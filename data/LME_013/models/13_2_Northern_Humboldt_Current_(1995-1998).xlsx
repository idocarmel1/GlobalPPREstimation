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Taxon-Group Map" sheetId="3" state="visible" r:id="rId3"/>
    <sheet name="SPPR" sheetId="4" state="visible" r:id="rId4"/>
    <sheet name="PPR by method" sheetId="5" state="visible" r:id="rId5"/>
    <sheet name="sppr_inner" sheetId="6" state="visible" r:id="rId6"/>
    <sheet name="PPR inner" sheetId="7" state="visible" r:id="rId7"/>
    <sheet name="sppr_PP" sheetId="8" state="visible" r:id="rId8"/>
    <sheet name="PPR PP" sheetId="9" state="visible" r:id="rId9"/>
    <sheet name="Recycling" sheetId="10" state="visible" r:id="rId10"/>
    <sheet name="PPR by taxon" sheetId="11" state="visible" r:id="rId11"/>
    <sheet name="Model groups" sheetId="12" state="visible" r:id="rId12"/>
    <sheet name="NPP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00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i val="1"/>
    </font>
    <font>
      <i val="1"/>
      <color rgb="00808080"/>
    </font>
    <font>
      <b val="1"/>
      <color rgb="009C000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49C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0" borderId="0" applyAlignment="1" pivotButton="0" quotePrefix="0" xfId="0">
      <alignment vertical="top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/>
    </xf>
    <xf numFmtId="164" fontId="0" fillId="0" borderId="0" pivotButton="0" quotePrefix="0" xfId="0"/>
    <xf numFmtId="0" fontId="7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20" customWidth="1" min="3" max="3"/>
    <col width="24" customWidth="1" min="4" max="4"/>
    <col width="20" customWidth="1" min="5" max="5"/>
    <col width="24" customWidth="1" min="6" max="6"/>
  </cols>
  <sheetData>
    <row r="1">
      <c r="A1" s="1" t="inlineStr">
        <is>
          <t>LME_013 — Humboldt Current</t>
        </is>
      </c>
    </row>
    <row r="2">
      <c r="A2" s="2" t="inlineStr">
        <is>
          <t>Ecopath model: 13_2_Northern_Humboldt_Current_(1995-1998)</t>
        </is>
      </c>
    </row>
    <row r="3">
      <c r="A3" s="3" t="inlineStr">
        <is>
          <t>Northern Humboldt model only. Selection does not override failed SPPR configurations. Northern Humboldt Current, 1995-1998: source audit</t>
        </is>
      </c>
    </row>
    <row r="5">
      <c r="A5" t="inlineStr">
        <is>
          <t>region type</t>
        </is>
      </c>
      <c r="B5" t="inlineStr">
        <is>
          <t>LME</t>
        </is>
      </c>
    </row>
    <row r="6">
      <c r="A6" t="inlineStr">
        <is>
          <t>latitude</t>
        </is>
      </c>
      <c r="B6" t="inlineStr">
        <is>
          <t>-44.05031</t>
        </is>
      </c>
    </row>
    <row r="7">
      <c r="A7" t="inlineStr">
        <is>
          <t>longitude</t>
        </is>
      </c>
      <c r="B7" t="inlineStr">
        <is>
          <t>-73.05294</t>
        </is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218</v>
      </c>
    </row>
    <row r="10">
      <c r="A10" t="inlineStr">
        <is>
          <t>taxa apportioned across groups</t>
        </is>
      </c>
      <c r="B10" t="n">
        <v>18</v>
      </c>
    </row>
    <row r="11">
      <c r="A11" t="inlineStr">
        <is>
          <t>taxa unresolved</t>
        </is>
      </c>
      <c r="B11" t="n">
        <v>48</v>
      </c>
    </row>
    <row r="12">
      <c r="A12" t="inlineStr">
        <is>
          <t>catch tonnage on a named group, %</t>
        </is>
      </c>
      <c r="B12" t="n">
        <v>98.2</v>
      </c>
    </row>
    <row r="13">
      <c r="A13" t="inlineStr">
        <is>
          <t>SPPR methods</t>
        </is>
      </c>
      <c r="B13" t="n">
        <v>20</v>
      </c>
    </row>
    <row r="14">
      <c r="A14" t="inlineStr">
        <is>
          <t>methods flagged as unusable</t>
        </is>
      </c>
      <c r="B14" t="n">
        <v>6</v>
      </c>
    </row>
    <row r="15">
      <c r="A15" t="inlineStr">
        <is>
          <t>headline method below</t>
        </is>
      </c>
      <c r="B15" t="inlineStr">
        <is>
          <t>new_TE_noEEfix</t>
        </is>
      </c>
    </row>
    <row r="17">
      <c r="A17" s="4" t="inlineStr">
        <is>
          <t>year</t>
        </is>
      </c>
      <c r="B17" s="4" t="inlineStr">
        <is>
          <t>catch_tonnes</t>
        </is>
      </c>
      <c r="C17" s="4" t="inlineStr">
        <is>
          <t>ppr_simple</t>
        </is>
      </c>
      <c r="D17" s="4" t="inlineStr">
        <is>
          <t>ppr_new_TE_noEEfix</t>
        </is>
      </c>
      <c r="E17" s="4" t="inlineStr">
        <is>
          <t>ppr_simple / NPP %</t>
        </is>
      </c>
      <c r="F17" s="4" t="inlineStr">
        <is>
          <t>ppr_new_TE_noEEfix / NPP %</t>
        </is>
      </c>
    </row>
    <row r="18">
      <c r="A18" t="n">
        <v>1950</v>
      </c>
      <c r="B18" t="n">
        <v>212918.962</v>
      </c>
      <c r="C18" t="n">
        <v>266839351.154</v>
      </c>
      <c r="D18" t="n">
        <v>147790140.175</v>
      </c>
      <c r="E18" t="n">
        <v>4.6922</v>
      </c>
      <c r="F18" t="n">
        <v>2.5988</v>
      </c>
    </row>
    <row r="19">
      <c r="A19" t="n">
        <v>1951</v>
      </c>
      <c r="B19" t="n">
        <v>261140.88</v>
      </c>
      <c r="C19" t="n">
        <v>337327018.195</v>
      </c>
      <c r="D19" t="n">
        <v>157595818.304</v>
      </c>
      <c r="E19" t="n">
        <v>5.9317</v>
      </c>
      <c r="F19" t="n">
        <v>2.7712</v>
      </c>
    </row>
    <row r="20">
      <c r="A20" t="n">
        <v>1952</v>
      </c>
      <c r="B20" t="n">
        <v>300323.819</v>
      </c>
      <c r="C20" t="n">
        <v>394715516.606</v>
      </c>
      <c r="D20" t="n">
        <v>190081425.975</v>
      </c>
      <c r="E20" t="n">
        <v>6.9408</v>
      </c>
      <c r="F20" t="n">
        <v>3.3425</v>
      </c>
    </row>
    <row r="21">
      <c r="A21" t="n">
        <v>1953</v>
      </c>
      <c r="B21" t="n">
        <v>310451.16</v>
      </c>
      <c r="C21" t="n">
        <v>347383312.854</v>
      </c>
      <c r="D21" t="n">
        <v>166211298.676</v>
      </c>
      <c r="E21" t="n">
        <v>6.1085</v>
      </c>
      <c r="F21" t="n">
        <v>2.9227</v>
      </c>
    </row>
    <row r="22">
      <c r="A22" t="n">
        <v>1954</v>
      </c>
      <c r="B22" t="n">
        <v>334077.41</v>
      </c>
      <c r="C22" t="n">
        <v>371439130.843</v>
      </c>
      <c r="D22" t="n">
        <v>211209961.626</v>
      </c>
      <c r="E22" t="n">
        <v>6.5315</v>
      </c>
      <c r="F22" t="n">
        <v>3.714</v>
      </c>
    </row>
    <row r="23">
      <c r="A23" t="n">
        <v>1955</v>
      </c>
      <c r="B23" t="n">
        <v>436073.825</v>
      </c>
      <c r="C23" t="n">
        <v>520784290.415</v>
      </c>
      <c r="D23" t="n">
        <v>225245431.467</v>
      </c>
      <c r="E23" t="n">
        <v>9.1577</v>
      </c>
      <c r="F23" t="n">
        <v>3.9608</v>
      </c>
    </row>
    <row r="24">
      <c r="A24" t="n">
        <v>1956</v>
      </c>
      <c r="B24" t="n">
        <v>484327.476</v>
      </c>
      <c r="C24" t="n">
        <v>522953529.215</v>
      </c>
      <c r="D24" t="n">
        <v>243091472.741</v>
      </c>
      <c r="E24" t="n">
        <v>9.1958</v>
      </c>
      <c r="F24" t="n">
        <v>4.2746</v>
      </c>
    </row>
    <row r="25">
      <c r="A25" t="n">
        <v>1957</v>
      </c>
      <c r="B25" t="n">
        <v>676783.961</v>
      </c>
      <c r="C25" t="n">
        <v>449059991.41</v>
      </c>
      <c r="D25" t="n">
        <v>245403456.641</v>
      </c>
      <c r="E25" t="n">
        <v>7.8964</v>
      </c>
      <c r="F25" t="n">
        <v>4.3153</v>
      </c>
    </row>
    <row r="26">
      <c r="A26" t="n">
        <v>1958</v>
      </c>
      <c r="B26" t="n">
        <v>1146316.666</v>
      </c>
      <c r="C26" t="n">
        <v>497630831.618</v>
      </c>
      <c r="D26" t="n">
        <v>296505549.824</v>
      </c>
      <c r="E26" t="n">
        <v>8.750500000000001</v>
      </c>
      <c r="F26" t="n">
        <v>5.2139</v>
      </c>
    </row>
    <row r="27">
      <c r="A27" t="n">
        <v>1959</v>
      </c>
      <c r="B27" t="n">
        <v>2540138.321</v>
      </c>
      <c r="C27" t="n">
        <v>618245719.5700001</v>
      </c>
      <c r="D27" t="n">
        <v>408192559.746</v>
      </c>
      <c r="E27" t="n">
        <v>10.8715</v>
      </c>
      <c r="F27" t="n">
        <v>7.1778</v>
      </c>
    </row>
    <row r="28">
      <c r="A28" t="n">
        <v>1960</v>
      </c>
      <c r="B28" t="n">
        <v>4388998.485</v>
      </c>
      <c r="C28" t="n">
        <v>787332609.071</v>
      </c>
      <c r="D28" t="n">
        <v>551633752.057</v>
      </c>
      <c r="E28" t="n">
        <v>13.8447</v>
      </c>
      <c r="F28" t="n">
        <v>9.700100000000001</v>
      </c>
    </row>
    <row r="29">
      <c r="A29" t="n">
        <v>1961</v>
      </c>
      <c r="B29" t="n">
        <v>6614336.772</v>
      </c>
      <c r="C29" t="n">
        <v>897591230.5319999</v>
      </c>
      <c r="D29" t="n">
        <v>634612367.914</v>
      </c>
      <c r="E29" t="n">
        <v>15.7836</v>
      </c>
      <c r="F29" t="n">
        <v>11.1593</v>
      </c>
    </row>
    <row r="30">
      <c r="A30" t="n">
        <v>1962</v>
      </c>
      <c r="B30" t="n">
        <v>8841352.425000001</v>
      </c>
      <c r="C30" t="n">
        <v>994524162.401</v>
      </c>
      <c r="D30" t="n">
        <v>789231406.057</v>
      </c>
      <c r="E30" t="n">
        <v>17.4881</v>
      </c>
      <c r="F30" t="n">
        <v>13.8781</v>
      </c>
    </row>
    <row r="31">
      <c r="A31" t="n">
        <v>1963</v>
      </c>
      <c r="B31" t="n">
        <v>9718821.314999999</v>
      </c>
      <c r="C31" t="n">
        <v>1153027995.963</v>
      </c>
      <c r="D31" t="n">
        <v>1608205830.443</v>
      </c>
      <c r="E31" t="n">
        <v>20.2753</v>
      </c>
      <c r="F31" t="n">
        <v>28.2793</v>
      </c>
    </row>
    <row r="32">
      <c r="A32" t="n">
        <v>1964</v>
      </c>
      <c r="B32" t="n">
        <v>13513065.302</v>
      </c>
      <c r="C32" t="n">
        <v>1332003472.351</v>
      </c>
      <c r="D32" t="n">
        <v>2214602795.668</v>
      </c>
      <c r="E32" t="n">
        <v>23.4224</v>
      </c>
      <c r="F32" t="n">
        <v>38.9424</v>
      </c>
    </row>
    <row r="33">
      <c r="A33" t="n">
        <v>1965</v>
      </c>
      <c r="B33" t="n">
        <v>9761564.148</v>
      </c>
      <c r="C33" t="n">
        <v>1016114576.574</v>
      </c>
      <c r="D33" t="n">
        <v>776122159.523</v>
      </c>
      <c r="E33" t="n">
        <v>17.8677</v>
      </c>
      <c r="F33" t="n">
        <v>13.6476</v>
      </c>
    </row>
    <row r="34">
      <c r="A34" t="n">
        <v>1966</v>
      </c>
      <c r="B34" t="n">
        <v>12363963.367</v>
      </c>
      <c r="C34" t="n">
        <v>1175417599.717</v>
      </c>
      <c r="D34" t="n">
        <v>996997826.029</v>
      </c>
      <c r="E34" t="n">
        <v>20.669</v>
      </c>
      <c r="F34" t="n">
        <v>17.5316</v>
      </c>
    </row>
    <row r="35">
      <c r="A35" t="n">
        <v>1967</v>
      </c>
      <c r="B35" t="n">
        <v>13911691.194</v>
      </c>
      <c r="C35" t="n">
        <v>1286937470.75</v>
      </c>
      <c r="D35" t="n">
        <v>1211535138.47</v>
      </c>
      <c r="E35" t="n">
        <v>22.63</v>
      </c>
      <c r="F35" t="n">
        <v>21.3041</v>
      </c>
    </row>
    <row r="36">
      <c r="A36" t="n">
        <v>1968</v>
      </c>
      <c r="B36" t="n">
        <v>14829628.637</v>
      </c>
      <c r="C36" t="n">
        <v>1315604077.016</v>
      </c>
      <c r="D36" t="n">
        <v>1199783212.07</v>
      </c>
      <c r="E36" t="n">
        <v>23.1341</v>
      </c>
      <c r="F36" t="n">
        <v>21.0974</v>
      </c>
    </row>
    <row r="37">
      <c r="A37" t="n">
        <v>1969</v>
      </c>
      <c r="B37" t="n">
        <v>12625068.535</v>
      </c>
      <c r="C37" t="n">
        <v>1152010350.295</v>
      </c>
      <c r="D37" t="n">
        <v>1007093678.349</v>
      </c>
      <c r="E37" t="n">
        <v>20.2574</v>
      </c>
      <c r="F37" t="n">
        <v>17.7091</v>
      </c>
    </row>
    <row r="38">
      <c r="A38" t="n">
        <v>1970</v>
      </c>
      <c r="B38" t="n">
        <v>17941795.619</v>
      </c>
      <c r="C38" t="n">
        <v>1521656812.312</v>
      </c>
      <c r="D38" t="n">
        <v>1418577305.548</v>
      </c>
      <c r="E38" t="n">
        <v>26.7574</v>
      </c>
      <c r="F38" t="n">
        <v>24.9448</v>
      </c>
    </row>
    <row r="39">
      <c r="A39" t="n">
        <v>1971</v>
      </c>
      <c r="B39" t="n">
        <v>14997458.317</v>
      </c>
      <c r="C39" t="n">
        <v>1319944041.988</v>
      </c>
      <c r="D39" t="n">
        <v>1223996264.331</v>
      </c>
      <c r="E39" t="n">
        <v>23.2104</v>
      </c>
      <c r="F39" t="n">
        <v>21.5232</v>
      </c>
    </row>
    <row r="40">
      <c r="A40" t="n">
        <v>1972</v>
      </c>
      <c r="B40" t="n">
        <v>6387213.244</v>
      </c>
      <c r="C40" t="n">
        <v>1002749136.39</v>
      </c>
      <c r="D40" t="n">
        <v>810920846.554</v>
      </c>
      <c r="E40" t="n">
        <v>17.6327</v>
      </c>
      <c r="F40" t="n">
        <v>14.2595</v>
      </c>
    </row>
    <row r="41">
      <c r="A41" t="n">
        <v>1973</v>
      </c>
      <c r="B41" t="n">
        <v>3302424.026</v>
      </c>
      <c r="C41" t="n">
        <v>1027725121.21</v>
      </c>
      <c r="D41" t="n">
        <v>1540938448.723</v>
      </c>
      <c r="E41" t="n">
        <v>18.0719</v>
      </c>
      <c r="F41" t="n">
        <v>27.0964</v>
      </c>
    </row>
    <row r="42">
      <c r="A42" t="n">
        <v>1974</v>
      </c>
      <c r="B42" t="n">
        <v>6943407.359</v>
      </c>
      <c r="C42" t="n">
        <v>1038412019.225</v>
      </c>
      <c r="D42" t="n">
        <v>1433408916.11</v>
      </c>
      <c r="E42" t="n">
        <v>18.2598</v>
      </c>
      <c r="F42" t="n">
        <v>25.2056</v>
      </c>
    </row>
    <row r="43">
      <c r="A43" t="n">
        <v>1975</v>
      </c>
      <c r="B43" t="n">
        <v>5767146.014</v>
      </c>
      <c r="C43" t="n">
        <v>858033259.778</v>
      </c>
      <c r="D43" t="n">
        <v>1276510046.882</v>
      </c>
      <c r="E43" t="n">
        <v>15.088</v>
      </c>
      <c r="F43" t="n">
        <v>22.4466</v>
      </c>
    </row>
    <row r="44">
      <c r="A44" t="n">
        <v>1976</v>
      </c>
      <c r="B44" t="n">
        <v>7082321.413</v>
      </c>
      <c r="C44" t="n">
        <v>910045731.906</v>
      </c>
      <c r="D44" t="n">
        <v>1405179202.974</v>
      </c>
      <c r="E44" t="n">
        <v>16.0026</v>
      </c>
      <c r="F44" t="n">
        <v>24.7092</v>
      </c>
    </row>
    <row r="45">
      <c r="A45" t="n">
        <v>1977</v>
      </c>
      <c r="B45" t="n">
        <v>5532350.228</v>
      </c>
      <c r="C45" t="n">
        <v>1157229951.036</v>
      </c>
      <c r="D45" t="n">
        <v>2466290368.425</v>
      </c>
      <c r="E45" t="n">
        <v>20.3492</v>
      </c>
      <c r="F45" t="n">
        <v>43.3682</v>
      </c>
    </row>
    <row r="46">
      <c r="A46" t="n">
        <v>1978</v>
      </c>
      <c r="B46" t="n">
        <v>7839492.266</v>
      </c>
      <c r="C46" t="n">
        <v>1937829566.399</v>
      </c>
      <c r="D46" t="n">
        <v>3645620710.419</v>
      </c>
      <c r="E46" t="n">
        <v>34.0755</v>
      </c>
      <c r="F46" t="n">
        <v>64.10590000000001</v>
      </c>
    </row>
    <row r="47">
      <c r="A47" t="n">
        <v>1979</v>
      </c>
      <c r="B47" t="n">
        <v>6844745.444</v>
      </c>
      <c r="C47" t="n">
        <v>1022221054.699</v>
      </c>
      <c r="D47" t="n">
        <v>1848404442.555</v>
      </c>
      <c r="E47" t="n">
        <v>17.9751</v>
      </c>
      <c r="F47" t="n">
        <v>32.503</v>
      </c>
    </row>
    <row r="48">
      <c r="A48" t="n">
        <v>1980</v>
      </c>
      <c r="B48" t="n">
        <v>6108547.744</v>
      </c>
      <c r="C48" t="n">
        <v>1288930819.21</v>
      </c>
      <c r="D48" t="n">
        <v>1855746720.622</v>
      </c>
      <c r="E48" t="n">
        <v>22.665</v>
      </c>
      <c r="F48" t="n">
        <v>32.6321</v>
      </c>
    </row>
    <row r="49">
      <c r="A49" t="n">
        <v>1981</v>
      </c>
      <c r="B49" t="n">
        <v>6937559.158</v>
      </c>
      <c r="C49" t="n">
        <v>1196015418.736</v>
      </c>
      <c r="D49" t="n">
        <v>2088936985.217</v>
      </c>
      <c r="E49" t="n">
        <v>21.0312</v>
      </c>
      <c r="F49" t="n">
        <v>36.7326</v>
      </c>
    </row>
    <row r="50">
      <c r="A50" t="n">
        <v>1982</v>
      </c>
      <c r="B50" t="n">
        <v>10089163.06</v>
      </c>
      <c r="C50" t="n">
        <v>1395644133.123</v>
      </c>
      <c r="D50" t="n">
        <v>2230357264.87</v>
      </c>
      <c r="E50" t="n">
        <v>24.5415</v>
      </c>
      <c r="F50" t="n">
        <v>39.2194</v>
      </c>
    </row>
    <row r="51">
      <c r="A51" t="n">
        <v>1983</v>
      </c>
      <c r="B51" t="n">
        <v>6897872.333</v>
      </c>
      <c r="C51" t="n">
        <v>1191890863.022</v>
      </c>
      <c r="D51" t="n">
        <v>2216285277.576</v>
      </c>
      <c r="E51" t="n">
        <v>20.9586</v>
      </c>
      <c r="F51" t="n">
        <v>38.972</v>
      </c>
    </row>
    <row r="52">
      <c r="A52" t="n">
        <v>1984</v>
      </c>
      <c r="B52" t="n">
        <v>8863892.963</v>
      </c>
      <c r="C52" t="n">
        <v>1362117497.292</v>
      </c>
      <c r="D52" t="n">
        <v>2776805799.581</v>
      </c>
      <c r="E52" t="n">
        <v>23.952</v>
      </c>
      <c r="F52" t="n">
        <v>48.8284</v>
      </c>
    </row>
    <row r="53">
      <c r="A53" t="n">
        <v>1985</v>
      </c>
      <c r="B53" t="n">
        <v>10035424.28</v>
      </c>
      <c r="C53" t="n">
        <v>1205616788.422</v>
      </c>
      <c r="D53" t="n">
        <v>2403405297.507</v>
      </c>
      <c r="E53" t="n">
        <v>21.2</v>
      </c>
      <c r="F53" t="n">
        <v>42.2624</v>
      </c>
    </row>
    <row r="54">
      <c r="A54" t="n">
        <v>1986</v>
      </c>
      <c r="B54" t="n">
        <v>12878604.774</v>
      </c>
      <c r="C54" t="n">
        <v>1483103093.532</v>
      </c>
      <c r="D54" t="n">
        <v>2447508625.52</v>
      </c>
      <c r="E54" t="n">
        <v>26.0794</v>
      </c>
      <c r="F54" t="n">
        <v>43.0379</v>
      </c>
    </row>
    <row r="55">
      <c r="A55" t="n">
        <v>1987</v>
      </c>
      <c r="B55" t="n">
        <v>11219927.12</v>
      </c>
      <c r="C55" t="n">
        <v>1584028271.69</v>
      </c>
      <c r="D55" t="n">
        <v>2577203789.068</v>
      </c>
      <c r="E55" t="n">
        <v>27.8541</v>
      </c>
      <c r="F55" t="n">
        <v>45.3185</v>
      </c>
    </row>
    <row r="56">
      <c r="A56" t="n">
        <v>1988</v>
      </c>
      <c r="B56" t="n">
        <v>13351631.68</v>
      </c>
      <c r="C56" t="n">
        <v>2176549618.981</v>
      </c>
      <c r="D56" t="n">
        <v>3261048659.549</v>
      </c>
      <c r="E56" t="n">
        <v>38.2733</v>
      </c>
      <c r="F56" t="n">
        <v>57.3435</v>
      </c>
    </row>
    <row r="57">
      <c r="A57" t="n">
        <v>1989</v>
      </c>
      <c r="B57" t="n">
        <v>15303726.213</v>
      </c>
      <c r="C57" t="n">
        <v>2376707976.783</v>
      </c>
      <c r="D57" t="n">
        <v>3809421155.405</v>
      </c>
      <c r="E57" t="n">
        <v>41.7929</v>
      </c>
      <c r="F57" t="n">
        <v>66.9863</v>
      </c>
    </row>
    <row r="58">
      <c r="A58" t="n">
        <v>1990</v>
      </c>
      <c r="B58" t="n">
        <v>13834613.01</v>
      </c>
      <c r="C58" t="n">
        <v>2490512890.815</v>
      </c>
      <c r="D58" t="n">
        <v>4236430082.538</v>
      </c>
      <c r="E58" t="n">
        <v>43.7941</v>
      </c>
      <c r="F58" t="n">
        <v>74.495</v>
      </c>
    </row>
    <row r="59">
      <c r="A59" t="n">
        <v>1991</v>
      </c>
      <c r="B59" t="n">
        <v>14325574.783</v>
      </c>
      <c r="C59" t="n">
        <v>2334033309.785</v>
      </c>
      <c r="D59" t="n">
        <v>3879234500.548</v>
      </c>
      <c r="E59" t="n">
        <v>41.0425</v>
      </c>
      <c r="F59" t="n">
        <v>68.2139</v>
      </c>
    </row>
    <row r="60">
      <c r="A60" t="n">
        <v>1992</v>
      </c>
      <c r="B60" t="n">
        <v>15256812.392</v>
      </c>
      <c r="C60" t="n">
        <v>2358993010.766</v>
      </c>
      <c r="D60" t="n">
        <v>3402502213.059</v>
      </c>
      <c r="E60" t="n">
        <v>41.4814</v>
      </c>
      <c r="F60" t="n">
        <v>59.8309</v>
      </c>
    </row>
    <row r="61">
      <c r="A61" t="n">
        <v>1993</v>
      </c>
      <c r="B61" t="n">
        <v>16060411.89</v>
      </c>
      <c r="C61" t="n">
        <v>2424357300.994</v>
      </c>
      <c r="D61" t="n">
        <v>3712033595.792</v>
      </c>
      <c r="E61" t="n">
        <v>42.6308</v>
      </c>
      <c r="F61" t="n">
        <v>65.27379999999999</v>
      </c>
    </row>
    <row r="62">
      <c r="A62" t="n">
        <v>1994</v>
      </c>
      <c r="B62" t="n">
        <v>21651348.899</v>
      </c>
      <c r="C62" t="n">
        <v>2999472447.885</v>
      </c>
      <c r="D62" t="n">
        <v>4326878264.825</v>
      </c>
      <c r="E62" t="n">
        <v>52.7438</v>
      </c>
      <c r="F62" t="n">
        <v>76.08540000000001</v>
      </c>
    </row>
    <row r="63">
      <c r="A63" t="n">
        <v>1995</v>
      </c>
      <c r="B63" t="n">
        <v>17189367.662</v>
      </c>
      <c r="C63" t="n">
        <v>2982847201.066</v>
      </c>
      <c r="D63" t="n">
        <v>4782952998.129</v>
      </c>
      <c r="E63" t="n">
        <v>52.4515</v>
      </c>
      <c r="F63" t="n">
        <v>84.1052</v>
      </c>
    </row>
    <row r="64">
      <c r="A64" t="n">
        <v>1996</v>
      </c>
      <c r="B64" t="n">
        <v>17782775.289</v>
      </c>
      <c r="C64" t="n">
        <v>3101686944.979</v>
      </c>
      <c r="D64" t="n">
        <v>4713122195.083</v>
      </c>
      <c r="E64" t="n">
        <v>54.5412</v>
      </c>
      <c r="F64" t="n">
        <v>82.87730000000001</v>
      </c>
    </row>
    <row r="65">
      <c r="A65" t="n">
        <v>1997</v>
      </c>
      <c r="B65" t="n">
        <v>14422307.521</v>
      </c>
      <c r="C65" t="n">
        <v>2425608958.771</v>
      </c>
      <c r="D65" t="n">
        <v>4472977083.815</v>
      </c>
      <c r="E65" t="n">
        <v>42.6528</v>
      </c>
      <c r="F65" t="n">
        <v>78.6545</v>
      </c>
    </row>
    <row r="66">
      <c r="A66" t="n">
        <v>1998</v>
      </c>
      <c r="B66" t="n">
        <v>7969965.814</v>
      </c>
      <c r="C66" t="n">
        <v>2065966513.457</v>
      </c>
      <c r="D66" t="n">
        <v>3710539473.793</v>
      </c>
      <c r="E66" t="n">
        <v>36.3287</v>
      </c>
      <c r="F66" t="n">
        <v>65.2475</v>
      </c>
    </row>
    <row r="67">
      <c r="A67" t="n">
        <v>1999</v>
      </c>
      <c r="B67" t="n">
        <v>14928787.576</v>
      </c>
      <c r="C67" t="n">
        <v>2148433461.206</v>
      </c>
      <c r="D67" t="n">
        <v>3547471671.958</v>
      </c>
      <c r="E67" t="n">
        <v>37.7788</v>
      </c>
      <c r="F67" t="n">
        <v>62.3801</v>
      </c>
    </row>
    <row r="68">
      <c r="A68" t="n">
        <v>2000</v>
      </c>
      <c r="B68" t="n">
        <v>17368621.382</v>
      </c>
      <c r="C68" t="n">
        <v>2076648513.313</v>
      </c>
      <c r="D68" t="n">
        <v>2866801960.151</v>
      </c>
      <c r="E68" t="n">
        <v>36.5166</v>
      </c>
      <c r="F68" t="n">
        <v>50.4109</v>
      </c>
    </row>
    <row r="69">
      <c r="A69" t="n">
        <v>2001</v>
      </c>
      <c r="B69" t="n">
        <v>13563360.647</v>
      </c>
      <c r="C69" t="n">
        <v>2565629350.073</v>
      </c>
      <c r="D69" t="n">
        <v>4250813818.494</v>
      </c>
      <c r="E69" t="n">
        <v>45.115</v>
      </c>
      <c r="F69" t="n">
        <v>74.7479</v>
      </c>
    </row>
    <row r="70">
      <c r="A70" t="n">
        <v>2002</v>
      </c>
      <c r="B70" t="n">
        <v>14797909.571</v>
      </c>
      <c r="C70" t="n">
        <v>1884712765.14</v>
      </c>
      <c r="D70" t="n">
        <v>2504795112.692</v>
      </c>
      <c r="E70" t="n">
        <v>33.1415</v>
      </c>
      <c r="F70" t="n">
        <v>44.0452</v>
      </c>
    </row>
    <row r="71">
      <c r="A71" t="n">
        <v>2003</v>
      </c>
      <c r="B71" t="n">
        <v>11458502.84</v>
      </c>
      <c r="C71" t="n">
        <v>2308318980.21</v>
      </c>
      <c r="D71" t="n">
        <v>3656864798.524</v>
      </c>
      <c r="E71" t="n">
        <v>40.5903</v>
      </c>
      <c r="F71" t="n">
        <v>64.30370000000001</v>
      </c>
    </row>
    <row r="72">
      <c r="A72" t="n">
        <v>2004</v>
      </c>
      <c r="B72" t="n">
        <v>17593307.728</v>
      </c>
      <c r="C72" t="n">
        <v>2972908951.744</v>
      </c>
      <c r="D72" t="n">
        <v>4170967995.687</v>
      </c>
      <c r="E72" t="n">
        <v>52.2767</v>
      </c>
      <c r="F72" t="n">
        <v>73.3438</v>
      </c>
    </row>
    <row r="73">
      <c r="A73" t="n">
        <v>2005</v>
      </c>
      <c r="B73" t="n">
        <v>16622403.477</v>
      </c>
      <c r="C73" t="n">
        <v>3123678254.528</v>
      </c>
      <c r="D73" t="n">
        <v>3733765526.152</v>
      </c>
      <c r="E73" t="n">
        <v>54.9279</v>
      </c>
      <c r="F73" t="n">
        <v>65.6559</v>
      </c>
    </row>
    <row r="74">
      <c r="A74" t="n">
        <v>2006</v>
      </c>
      <c r="B74" t="n">
        <v>12937278.157</v>
      </c>
      <c r="C74" t="n">
        <v>3036015301.708</v>
      </c>
      <c r="D74" t="n">
        <v>3929619410.855</v>
      </c>
      <c r="E74" t="n">
        <v>53.3864</v>
      </c>
      <c r="F74" t="n">
        <v>69.09990000000001</v>
      </c>
    </row>
    <row r="75">
      <c r="A75" t="n">
        <v>2007</v>
      </c>
      <c r="B75" t="n">
        <v>12698747.267</v>
      </c>
      <c r="C75" t="n">
        <v>2661174913.494</v>
      </c>
      <c r="D75" t="n">
        <v>3473585546.184</v>
      </c>
      <c r="E75" t="n">
        <v>46.7951</v>
      </c>
      <c r="F75" t="n">
        <v>61.0808</v>
      </c>
    </row>
    <row r="76">
      <c r="A76" t="n">
        <v>2008</v>
      </c>
      <c r="B76" t="n">
        <v>12739674.959</v>
      </c>
      <c r="C76" t="n">
        <v>3034654980.1</v>
      </c>
      <c r="D76" t="n">
        <v>3147340640.069</v>
      </c>
      <c r="E76" t="n">
        <v>53.3625</v>
      </c>
      <c r="F76" t="n">
        <v>55.344</v>
      </c>
    </row>
    <row r="77">
      <c r="A77" t="n">
        <v>2009</v>
      </c>
      <c r="B77" t="n">
        <v>12006481.973</v>
      </c>
      <c r="C77" t="n">
        <v>2697094749.671</v>
      </c>
      <c r="D77" t="n">
        <v>2957340694.06</v>
      </c>
      <c r="E77" t="n">
        <v>47.4267</v>
      </c>
      <c r="F77" t="n">
        <v>52.003</v>
      </c>
    </row>
    <row r="78">
      <c r="A78" t="n">
        <v>2010</v>
      </c>
      <c r="B78" t="n">
        <v>8301834.935</v>
      </c>
      <c r="C78" t="n">
        <v>2244831354.694</v>
      </c>
      <c r="D78" t="n">
        <v>2162790200.945</v>
      </c>
      <c r="E78" t="n">
        <v>39.4739</v>
      </c>
      <c r="F78" t="n">
        <v>38.0313</v>
      </c>
    </row>
    <row r="79">
      <c r="A79" t="n">
        <v>2011</v>
      </c>
      <c r="B79" t="n">
        <v>14395237.025</v>
      </c>
      <c r="C79" t="n">
        <v>2858418640.566</v>
      </c>
      <c r="D79" t="n">
        <v>2925624380.191</v>
      </c>
      <c r="E79" t="n">
        <v>50.2635</v>
      </c>
      <c r="F79" t="n">
        <v>51.4453</v>
      </c>
    </row>
    <row r="80">
      <c r="A80" t="n">
        <v>2012</v>
      </c>
      <c r="B80" t="n">
        <v>8984182.839</v>
      </c>
      <c r="C80" t="n">
        <v>2639529744.06</v>
      </c>
      <c r="D80" t="n">
        <v>2942011476.431</v>
      </c>
      <c r="E80" t="n">
        <v>46.4145</v>
      </c>
      <c r="F80" t="n">
        <v>51.7334</v>
      </c>
    </row>
    <row r="81">
      <c r="A81" t="n">
        <v>2013</v>
      </c>
      <c r="B81" t="n">
        <v>9221087.624</v>
      </c>
      <c r="C81" t="n">
        <v>2460501516.6</v>
      </c>
      <c r="D81" t="n">
        <v>3188376301.016</v>
      </c>
      <c r="E81" t="n">
        <v>43.2664</v>
      </c>
      <c r="F81" t="n">
        <v>56.0656</v>
      </c>
    </row>
    <row r="82">
      <c r="A82" t="n">
        <v>2014</v>
      </c>
      <c r="B82" t="n">
        <v>7213476.458</v>
      </c>
      <c r="C82" t="n">
        <v>2847965658.858</v>
      </c>
      <c r="D82" t="n">
        <v>3525404129.154</v>
      </c>
      <c r="E82" t="n">
        <v>50.0797</v>
      </c>
      <c r="F82" t="n">
        <v>61.992</v>
      </c>
    </row>
    <row r="83">
      <c r="A83" t="n">
        <v>2015</v>
      </c>
      <c r="B83" t="n">
        <v>7352335.417</v>
      </c>
      <c r="C83" t="n">
        <v>2882795802.084</v>
      </c>
      <c r="D83" t="n">
        <v>3218074795.903</v>
      </c>
      <c r="E83" t="n">
        <v>50.6921</v>
      </c>
      <c r="F83" t="n">
        <v>56.5878</v>
      </c>
    </row>
    <row r="84">
      <c r="A84" t="n">
        <v>2016</v>
      </c>
      <c r="B84" t="n">
        <v>6001614.328</v>
      </c>
      <c r="C84" t="n">
        <v>2528659248.978</v>
      </c>
      <c r="D84" t="n">
        <v>2952204037.835</v>
      </c>
      <c r="E84" t="n">
        <v>44.4649</v>
      </c>
      <c r="F84" t="n">
        <v>51.9126</v>
      </c>
    </row>
    <row r="85">
      <c r="A85" t="n">
        <v>2017</v>
      </c>
      <c r="B85" t="n">
        <v>6537115.741</v>
      </c>
      <c r="C85" t="n">
        <v>2393277692.362</v>
      </c>
      <c r="D85" t="n">
        <v>9891106288.268</v>
      </c>
      <c r="E85" t="n">
        <v>42.0843</v>
      </c>
      <c r="F85" t="n">
        <v>173.9289</v>
      </c>
    </row>
    <row r="86">
      <c r="A86" t="n">
        <v>2018</v>
      </c>
      <c r="B86" t="n">
        <v>9798419.551999999</v>
      </c>
      <c r="C86" t="n">
        <v>2492262690.047</v>
      </c>
      <c r="D86" t="n">
        <v>2728556124.56</v>
      </c>
      <c r="E86" t="n">
        <v>43.8249</v>
      </c>
      <c r="F86" t="n">
        <v>47.9799</v>
      </c>
    </row>
    <row r="87">
      <c r="A87" t="n">
        <v>2019</v>
      </c>
      <c r="B87" t="n">
        <v>7390380.681</v>
      </c>
      <c r="C87" t="n">
        <v>2612052521.28</v>
      </c>
      <c r="D87" t="n">
        <v>3629987805.001</v>
      </c>
      <c r="E87" t="n">
        <v>45.9313</v>
      </c>
      <c r="F87" t="n">
        <v>63.831</v>
      </c>
    </row>
    <row r="88">
      <c r="A88" t="inlineStr">
        <is>
          <t>PPR/NPP converts wet-weight PP to carbon at 9:1; NPP is the fixed 2019 ensemble median.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1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6" customWidth="1" min="2" max="2"/>
    <col width="30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</cols>
  <sheetData>
    <row r="1">
      <c r="A1" s="4" t="inlineStr">
        <is>
          <t>taxon</t>
        </is>
      </c>
      <c r="B1" s="4" t="inlineStr">
        <is>
          <t>common_name</t>
        </is>
      </c>
      <c r="C1" s="4" t="inlineStr">
        <is>
          <t>functional_group</t>
        </is>
      </c>
      <c r="D1" s="4" t="inlineStr">
        <is>
          <t>commercial_group</t>
        </is>
      </c>
      <c r="E1" s="4" t="n">
        <v>1950</v>
      </c>
      <c r="F1" s="4" t="n">
        <v>1951</v>
      </c>
      <c r="G1" s="4" t="n">
        <v>1952</v>
      </c>
      <c r="H1" s="4" t="n">
        <v>1953</v>
      </c>
      <c r="I1" s="4" t="n">
        <v>1954</v>
      </c>
      <c r="J1" s="4" t="n">
        <v>1955</v>
      </c>
      <c r="K1" s="4" t="n">
        <v>1956</v>
      </c>
      <c r="L1" s="4" t="n">
        <v>1957</v>
      </c>
      <c r="M1" s="4" t="n">
        <v>1958</v>
      </c>
      <c r="N1" s="4" t="n">
        <v>1959</v>
      </c>
      <c r="O1" s="4" t="n">
        <v>1960</v>
      </c>
      <c r="P1" s="4" t="n">
        <v>1961</v>
      </c>
      <c r="Q1" s="4" t="n">
        <v>1962</v>
      </c>
      <c r="R1" s="4" t="n">
        <v>1963</v>
      </c>
      <c r="S1" s="4" t="n">
        <v>1964</v>
      </c>
      <c r="T1" s="4" t="n">
        <v>1965</v>
      </c>
      <c r="U1" s="4" t="n">
        <v>1966</v>
      </c>
      <c r="V1" s="4" t="n">
        <v>1967</v>
      </c>
      <c r="W1" s="4" t="n">
        <v>1968</v>
      </c>
      <c r="X1" s="4" t="n">
        <v>1969</v>
      </c>
      <c r="Y1" s="4" t="n">
        <v>1970</v>
      </c>
      <c r="Z1" s="4" t="n">
        <v>1971</v>
      </c>
      <c r="AA1" s="4" t="n">
        <v>1972</v>
      </c>
      <c r="AB1" s="4" t="n">
        <v>1973</v>
      </c>
      <c r="AC1" s="4" t="n">
        <v>1974</v>
      </c>
      <c r="AD1" s="4" t="n">
        <v>1975</v>
      </c>
      <c r="AE1" s="4" t="n">
        <v>1976</v>
      </c>
      <c r="AF1" s="4" t="n">
        <v>1977</v>
      </c>
      <c r="AG1" s="4" t="n">
        <v>1978</v>
      </c>
      <c r="AH1" s="4" t="n">
        <v>1979</v>
      </c>
      <c r="AI1" s="4" t="n">
        <v>1980</v>
      </c>
      <c r="AJ1" s="4" t="n">
        <v>1981</v>
      </c>
      <c r="AK1" s="4" t="n">
        <v>1982</v>
      </c>
      <c r="AL1" s="4" t="n">
        <v>1983</v>
      </c>
      <c r="AM1" s="4" t="n">
        <v>1984</v>
      </c>
      <c r="AN1" s="4" t="n">
        <v>1985</v>
      </c>
      <c r="AO1" s="4" t="n">
        <v>1986</v>
      </c>
      <c r="AP1" s="4" t="n">
        <v>1987</v>
      </c>
      <c r="AQ1" s="4" t="n">
        <v>1988</v>
      </c>
      <c r="AR1" s="4" t="n">
        <v>1989</v>
      </c>
      <c r="AS1" s="4" t="n">
        <v>1990</v>
      </c>
      <c r="AT1" s="4" t="n">
        <v>1991</v>
      </c>
      <c r="AU1" s="4" t="n">
        <v>1992</v>
      </c>
      <c r="AV1" s="4" t="n">
        <v>1993</v>
      </c>
      <c r="AW1" s="4" t="n">
        <v>1994</v>
      </c>
      <c r="AX1" s="4" t="n">
        <v>1995</v>
      </c>
      <c r="AY1" s="4" t="n">
        <v>1996</v>
      </c>
      <c r="AZ1" s="4" t="n">
        <v>1997</v>
      </c>
      <c r="BA1" s="4" t="n">
        <v>1998</v>
      </c>
      <c r="BB1" s="4" t="n">
        <v>1999</v>
      </c>
      <c r="BC1" s="4" t="n">
        <v>2000</v>
      </c>
      <c r="BD1" s="4" t="n">
        <v>2001</v>
      </c>
      <c r="BE1" s="4" t="n">
        <v>2002</v>
      </c>
      <c r="BF1" s="4" t="n">
        <v>2003</v>
      </c>
      <c r="BG1" s="4" t="n">
        <v>2004</v>
      </c>
      <c r="BH1" s="4" t="n">
        <v>2005</v>
      </c>
      <c r="BI1" s="4" t="n">
        <v>2006</v>
      </c>
      <c r="BJ1" s="4" t="n">
        <v>2007</v>
      </c>
      <c r="BK1" s="4" t="n">
        <v>2008</v>
      </c>
      <c r="BL1" s="4" t="n">
        <v>2009</v>
      </c>
      <c r="BM1" s="4" t="n">
        <v>2010</v>
      </c>
      <c r="BN1" s="4" t="n">
        <v>2011</v>
      </c>
      <c r="BO1" s="4" t="n">
        <v>2012</v>
      </c>
      <c r="BP1" s="4" t="n">
        <v>2013</v>
      </c>
      <c r="BQ1" s="4" t="n">
        <v>2014</v>
      </c>
      <c r="BR1" s="4" t="n">
        <v>2015</v>
      </c>
      <c r="BS1" s="4" t="n">
        <v>2016</v>
      </c>
      <c r="BT1" s="4" t="n">
        <v>2017</v>
      </c>
      <c r="BU1" s="4" t="n">
        <v>2018</v>
      </c>
      <c r="BV1" s="4" t="n">
        <v>2019</v>
      </c>
    </row>
    <row r="2">
      <c r="A2" t="inlineStr">
        <is>
          <t>Engraulis ringens</t>
        </is>
      </c>
      <c r="B2" t="inlineStr">
        <is>
          <t>Anchoveta</t>
        </is>
      </c>
      <c r="C2" t="inlineStr">
        <is>
          <t>Small pelagics (&lt;30 cm)</t>
        </is>
      </c>
      <c r="D2" t="inlineStr">
        <is>
          <t>Anchovies</t>
        </is>
      </c>
      <c r="E2" t="n">
        <v>13051.364</v>
      </c>
      <c r="F2" t="n">
        <v>27823.604</v>
      </c>
      <c r="G2" t="n">
        <v>33693.703</v>
      </c>
      <c r="H2" t="n">
        <v>55415.306</v>
      </c>
      <c r="I2" t="n">
        <v>62075.321</v>
      </c>
      <c r="J2" t="n">
        <v>77481.406</v>
      </c>
      <c r="K2" t="n">
        <v>137184.409</v>
      </c>
      <c r="L2" t="n">
        <v>352466.376</v>
      </c>
      <c r="M2" t="n">
        <v>795065.713</v>
      </c>
      <c r="N2" t="n">
        <v>2163651.056</v>
      </c>
      <c r="O2" t="n">
        <v>3965688.295</v>
      </c>
      <c r="P2" t="n">
        <v>6198660.021</v>
      </c>
      <c r="Q2" t="n">
        <v>8359449.497</v>
      </c>
      <c r="R2" t="n">
        <v>8622669.446</v>
      </c>
      <c r="S2" t="n">
        <v>12072138.518</v>
      </c>
      <c r="T2" t="n">
        <v>9331412.75</v>
      </c>
      <c r="U2" t="n">
        <v>11778956.475</v>
      </c>
      <c r="V2" t="n">
        <v>13200387.012</v>
      </c>
      <c r="W2" t="n">
        <v>14133397.157</v>
      </c>
      <c r="X2" t="n">
        <v>12018897.495</v>
      </c>
      <c r="Y2" t="n">
        <v>16787916.104</v>
      </c>
      <c r="Z2" t="n">
        <v>14108559.77</v>
      </c>
      <c r="AA2" t="n">
        <v>5606277.937</v>
      </c>
      <c r="AB2" t="n">
        <v>1870263.607</v>
      </c>
      <c r="AC2" t="n">
        <v>5001847.96</v>
      </c>
      <c r="AD2" t="n">
        <v>4068389.087</v>
      </c>
      <c r="AE2" t="n">
        <v>4991739.6</v>
      </c>
      <c r="AF2" t="n">
        <v>1001487.857</v>
      </c>
      <c r="AG2" t="n">
        <v>1930131.645</v>
      </c>
      <c r="AH2" t="n">
        <v>1670797.972</v>
      </c>
      <c r="AI2" t="n">
        <v>1017621.907</v>
      </c>
      <c r="AJ2" t="n">
        <v>1835779.875</v>
      </c>
      <c r="AK2" t="n">
        <v>2320019.346</v>
      </c>
      <c r="AL2" t="n">
        <v>399735.411</v>
      </c>
      <c r="AM2" t="n">
        <v>354461.016</v>
      </c>
      <c r="AN2" t="n">
        <v>1322382.369</v>
      </c>
      <c r="AO2" t="n">
        <v>5809116.393</v>
      </c>
      <c r="AP2" t="n">
        <v>3347143.357</v>
      </c>
      <c r="AQ2" t="n">
        <v>4237965.227</v>
      </c>
      <c r="AR2" t="n">
        <v>6329552.506</v>
      </c>
      <c r="AS2" t="n">
        <v>4437669.175</v>
      </c>
      <c r="AT2" t="n">
        <v>4760994.848</v>
      </c>
      <c r="AU2" t="n">
        <v>7377564.906</v>
      </c>
      <c r="AV2" t="n">
        <v>10024072.692</v>
      </c>
      <c r="AW2" t="n">
        <v>15080468.238</v>
      </c>
      <c r="AX2" t="n">
        <v>10136794.669</v>
      </c>
      <c r="AY2" t="n">
        <v>10865490.293</v>
      </c>
      <c r="AZ2" t="n">
        <v>9013175.585000001</v>
      </c>
      <c r="BA2" t="n">
        <v>2061385.576</v>
      </c>
      <c r="BB2" t="n">
        <v>10477273.009</v>
      </c>
      <c r="BC2" t="n">
        <v>13968434.613</v>
      </c>
      <c r="BD2" t="n">
        <v>8855660.294</v>
      </c>
      <c r="BE2" t="n">
        <v>11895176.477</v>
      </c>
      <c r="BF2" t="n">
        <v>7477569.847</v>
      </c>
      <c r="BG2" t="n">
        <v>13187989.027</v>
      </c>
      <c r="BH2" t="n">
        <v>12630739.339</v>
      </c>
      <c r="BI2" t="n">
        <v>8265312.315</v>
      </c>
      <c r="BJ2" t="n">
        <v>8954899.005999999</v>
      </c>
      <c r="BK2" t="n">
        <v>8730006.753</v>
      </c>
      <c r="BL2" t="n">
        <v>8046932.742</v>
      </c>
      <c r="BM2" t="n">
        <v>4906342.895</v>
      </c>
      <c r="BN2" t="n">
        <v>10511531.934</v>
      </c>
      <c r="BO2" t="n">
        <v>5762970.856</v>
      </c>
      <c r="BP2" t="n">
        <v>6761447.323</v>
      </c>
      <c r="BQ2" t="n">
        <v>3935545.156</v>
      </c>
      <c r="BR2" t="n">
        <v>4660546.832</v>
      </c>
      <c r="BS2" t="n">
        <v>3515005.52</v>
      </c>
      <c r="BT2" t="n">
        <v>4161342.159</v>
      </c>
      <c r="BU2" t="n">
        <v>7419198.258</v>
      </c>
      <c r="BV2" t="n">
        <v>4598511.871</v>
      </c>
    </row>
    <row r="3">
      <c r="A3" t="inlineStr">
        <is>
          <t>Sardinops sagax</t>
        </is>
      </c>
      <c r="B3" t="inlineStr">
        <is>
          <t>South American pilchard</t>
        </is>
      </c>
      <c r="C3" t="inlineStr">
        <is>
          <t>Medium pelagics (30 - 89 cm)</t>
        </is>
      </c>
      <c r="D3" t="inlineStr">
        <is>
          <t>Herring-likes</t>
        </is>
      </c>
      <c r="E3" t="n">
        <v>2334.138</v>
      </c>
      <c r="F3" t="n">
        <v>3946.11</v>
      </c>
      <c r="G3" t="n">
        <v>4102.227</v>
      </c>
      <c r="H3" t="n">
        <v>4396.81</v>
      </c>
      <c r="I3" t="n">
        <v>4218.527</v>
      </c>
      <c r="J3" t="n">
        <v>6002.518</v>
      </c>
      <c r="K3" t="n">
        <v>6469.426</v>
      </c>
      <c r="L3" t="n">
        <v>5813.352</v>
      </c>
      <c r="M3" t="n">
        <v>7827.616</v>
      </c>
      <c r="N3" t="n">
        <v>11794.215</v>
      </c>
      <c r="O3" t="n">
        <v>15810.182</v>
      </c>
      <c r="P3" t="n">
        <v>17187.03</v>
      </c>
      <c r="Q3" t="n">
        <v>19121.794</v>
      </c>
      <c r="R3" t="n">
        <v>26669.556</v>
      </c>
      <c r="S3" t="n">
        <v>48836.606</v>
      </c>
      <c r="T3" t="n">
        <v>29834.855</v>
      </c>
      <c r="U3" t="n">
        <v>50389.506</v>
      </c>
      <c r="V3" t="n">
        <v>39775.021</v>
      </c>
      <c r="W3" t="n">
        <v>47088.552</v>
      </c>
      <c r="X3" t="n">
        <v>37409.098</v>
      </c>
      <c r="Y3" t="n">
        <v>43099.219</v>
      </c>
      <c r="Z3" t="n">
        <v>63846.186</v>
      </c>
      <c r="AA3" t="n">
        <v>36815.694</v>
      </c>
      <c r="AB3" t="n">
        <v>218399.891</v>
      </c>
      <c r="AC3" t="n">
        <v>543715.639</v>
      </c>
      <c r="AD3" t="n">
        <v>500052.278</v>
      </c>
      <c r="AE3" t="n">
        <v>908533.946</v>
      </c>
      <c r="AF3" t="n">
        <v>2268966.527</v>
      </c>
      <c r="AG3" t="n">
        <v>2945273.581</v>
      </c>
      <c r="AH3" t="n">
        <v>3598953.213</v>
      </c>
      <c r="AI3" t="n">
        <v>3476313.445</v>
      </c>
      <c r="AJ3" t="n">
        <v>3018014.557</v>
      </c>
      <c r="AK3" t="n">
        <v>5314038.477</v>
      </c>
      <c r="AL3" t="n">
        <v>3848561.954</v>
      </c>
      <c r="AM3" t="n">
        <v>5778927.128</v>
      </c>
      <c r="AN3" t="n">
        <v>6248878.232</v>
      </c>
      <c r="AO3" t="n">
        <v>4639499.569</v>
      </c>
      <c r="AP3" t="n">
        <v>5029278.139</v>
      </c>
      <c r="AQ3" t="n">
        <v>5541786.569</v>
      </c>
      <c r="AR3" t="n">
        <v>4655341.08</v>
      </c>
      <c r="AS3" t="n">
        <v>4748000.801</v>
      </c>
      <c r="AT3" t="n">
        <v>4740591.138</v>
      </c>
      <c r="AU3" t="n">
        <v>3493354.713</v>
      </c>
      <c r="AV3" t="n">
        <v>2124506.531</v>
      </c>
      <c r="AW3" t="n">
        <v>1937681.831</v>
      </c>
      <c r="AX3" t="n">
        <v>1646594.872</v>
      </c>
      <c r="AY3" t="n">
        <v>1424754.179</v>
      </c>
      <c r="AZ3" t="n">
        <v>799325.0919999999</v>
      </c>
      <c r="BA3" t="n">
        <v>1122981.764</v>
      </c>
      <c r="BB3" t="n">
        <v>467204.099</v>
      </c>
      <c r="BC3" t="n">
        <v>374605.96</v>
      </c>
      <c r="BD3" t="n">
        <v>246404.876</v>
      </c>
      <c r="BE3" t="n">
        <v>23282.802</v>
      </c>
      <c r="BF3" t="n">
        <v>174954.853</v>
      </c>
      <c r="BG3" t="n">
        <v>198734.06</v>
      </c>
      <c r="BH3" t="n">
        <v>138215.46</v>
      </c>
      <c r="BI3" t="n">
        <v>82185.603</v>
      </c>
      <c r="BJ3" t="n">
        <v>63166.898</v>
      </c>
      <c r="BK3" t="n">
        <v>27581.843</v>
      </c>
      <c r="BL3" t="n">
        <v>30823.882</v>
      </c>
      <c r="BM3" t="n">
        <v>70636.811</v>
      </c>
      <c r="BN3" t="n">
        <v>196066.165</v>
      </c>
      <c r="BO3" t="n">
        <v>180.699</v>
      </c>
      <c r="BP3" t="n">
        <v>6270.739</v>
      </c>
      <c r="BQ3" t="n">
        <v>905.6660000000001</v>
      </c>
      <c r="BR3" t="n">
        <v>1343.788</v>
      </c>
      <c r="BS3" t="n">
        <v>3389.82</v>
      </c>
      <c r="BT3" t="n">
        <v>3003.996</v>
      </c>
      <c r="BU3" t="n">
        <v>4118.18</v>
      </c>
      <c r="BV3" t="n">
        <v>3986.145</v>
      </c>
    </row>
    <row r="4">
      <c r="A4" t="inlineStr">
        <is>
          <t>Trachurus murphyi</t>
        </is>
      </c>
      <c r="B4" t="inlineStr">
        <is>
          <t>Chilean jack mackerel</t>
        </is>
      </c>
      <c r="C4" t="inlineStr">
        <is>
          <t>Medium pelagics (30 - 89 cm)</t>
        </is>
      </c>
      <c r="D4" t="inlineStr">
        <is>
          <t>Perch-likes</t>
        </is>
      </c>
      <c r="E4" t="n">
        <v>2723.76</v>
      </c>
      <c r="F4" t="n">
        <v>3465.039</v>
      </c>
      <c r="G4" t="n">
        <v>4422.72</v>
      </c>
      <c r="H4" t="n">
        <v>4474.124</v>
      </c>
      <c r="I4" t="n">
        <v>4970.276</v>
      </c>
      <c r="J4" t="n">
        <v>6193.638</v>
      </c>
      <c r="K4" t="n">
        <v>6319.594</v>
      </c>
      <c r="L4" t="n">
        <v>6510.126</v>
      </c>
      <c r="M4" t="n">
        <v>2450.776</v>
      </c>
      <c r="N4" t="n">
        <v>7570.675</v>
      </c>
      <c r="O4" t="n">
        <v>12753.718</v>
      </c>
      <c r="P4" t="n">
        <v>14651.75</v>
      </c>
      <c r="Q4" t="n">
        <v>17502.747</v>
      </c>
      <c r="R4" t="n">
        <v>27769.284</v>
      </c>
      <c r="S4" t="n">
        <v>39553.442</v>
      </c>
      <c r="T4" t="n">
        <v>29417.177</v>
      </c>
      <c r="U4" t="n">
        <v>53814.265</v>
      </c>
      <c r="V4" t="n">
        <v>50750.604</v>
      </c>
      <c r="W4" t="n">
        <v>56778.359</v>
      </c>
      <c r="X4" t="n">
        <v>45642.611</v>
      </c>
      <c r="Y4" t="n">
        <v>126430.62</v>
      </c>
      <c r="Z4" t="n">
        <v>177890.911</v>
      </c>
      <c r="AA4" t="n">
        <v>112268.197</v>
      </c>
      <c r="AB4" t="n">
        <v>161421.475</v>
      </c>
      <c r="AC4" t="n">
        <v>347283.987</v>
      </c>
      <c r="AD4" t="n">
        <v>486051.316</v>
      </c>
      <c r="AE4" t="n">
        <v>374019.44</v>
      </c>
      <c r="AF4" t="n">
        <v>1147803.748</v>
      </c>
      <c r="AG4" t="n">
        <v>1419845.414</v>
      </c>
      <c r="AH4" t="n">
        <v>696140.127</v>
      </c>
      <c r="AI4" t="n">
        <v>638322.968</v>
      </c>
      <c r="AJ4" t="n">
        <v>1210916.337</v>
      </c>
      <c r="AK4" t="n">
        <v>1603737.112</v>
      </c>
      <c r="AL4" t="n">
        <v>1862878.697</v>
      </c>
      <c r="AM4" t="n">
        <v>1743324.279</v>
      </c>
      <c r="AN4" t="n">
        <v>1650575.922</v>
      </c>
      <c r="AO4" t="n">
        <v>1497511.959</v>
      </c>
      <c r="AP4" t="n">
        <v>1884123.073</v>
      </c>
      <c r="AQ4" t="n">
        <v>2388587.153</v>
      </c>
      <c r="AR4" t="n">
        <v>2766412.612</v>
      </c>
      <c r="AS4" t="n">
        <v>2826446.64</v>
      </c>
      <c r="AT4" t="n">
        <v>2884212.116</v>
      </c>
      <c r="AU4" t="n">
        <v>2550677.448</v>
      </c>
      <c r="AV4" t="n">
        <v>2433474.023</v>
      </c>
      <c r="AW4" t="n">
        <v>3044145.951</v>
      </c>
      <c r="AX4" t="n">
        <v>3517467.73</v>
      </c>
      <c r="AY4" t="n">
        <v>3267803.845</v>
      </c>
      <c r="AZ4" t="n">
        <v>2750969.878</v>
      </c>
      <c r="BA4" t="n">
        <v>1571500.362</v>
      </c>
      <c r="BB4" t="n">
        <v>1050807.679</v>
      </c>
      <c r="BC4" t="n">
        <v>1215598.488</v>
      </c>
      <c r="BD4" t="n">
        <v>2026079.242</v>
      </c>
      <c r="BE4" t="n">
        <v>1278299.16</v>
      </c>
      <c r="BF4" t="n">
        <v>1382379.015</v>
      </c>
      <c r="BG4" t="n">
        <v>1436217.298</v>
      </c>
      <c r="BH4" t="n">
        <v>1274674.381</v>
      </c>
      <c r="BI4" t="n">
        <v>1442104.141</v>
      </c>
      <c r="BJ4" t="n">
        <v>1333610.663</v>
      </c>
      <c r="BK4" t="n">
        <v>949116.282</v>
      </c>
      <c r="BL4" t="n">
        <v>795871.424</v>
      </c>
      <c r="BM4" t="n">
        <v>488531.476</v>
      </c>
      <c r="BN4" t="n">
        <v>803964.167</v>
      </c>
      <c r="BO4" t="n">
        <v>659320.269</v>
      </c>
      <c r="BP4" t="n">
        <v>524678.6409999999</v>
      </c>
      <c r="BQ4" t="n">
        <v>543025.384</v>
      </c>
      <c r="BR4" t="n">
        <v>257066.043</v>
      </c>
      <c r="BS4" t="n">
        <v>348666.209</v>
      </c>
      <c r="BT4" t="n">
        <v>339030.047</v>
      </c>
      <c r="BU4" t="n">
        <v>465932.184</v>
      </c>
      <c r="BV4" t="n">
        <v>580714.211</v>
      </c>
    </row>
    <row r="5">
      <c r="A5" t="inlineStr">
        <is>
          <t>Clupeidae</t>
        </is>
      </c>
      <c r="B5" t="inlineStr">
        <is>
          <t>Herrings, sardines, menhadens</t>
        </is>
      </c>
      <c r="C5" t="inlineStr">
        <is>
          <t>Small pelagics (&lt;30 cm)</t>
        </is>
      </c>
      <c r="D5" t="inlineStr">
        <is>
          <t>Herring-likes</t>
        </is>
      </c>
      <c r="E5" t="n">
        <v>8519.934999999999</v>
      </c>
      <c r="F5" t="n">
        <v>5688.111</v>
      </c>
      <c r="G5" t="n">
        <v>6966.255</v>
      </c>
      <c r="H5" t="n">
        <v>17075.344</v>
      </c>
      <c r="I5" t="n">
        <v>16272.28</v>
      </c>
      <c r="J5" t="n">
        <v>23944.014</v>
      </c>
      <c r="K5" t="n">
        <v>11018.514</v>
      </c>
      <c r="L5" t="n">
        <v>18556.822</v>
      </c>
      <c r="M5" t="n">
        <v>16471.058</v>
      </c>
      <c r="N5" t="n">
        <v>36360.091</v>
      </c>
      <c r="O5" t="n">
        <v>30229.56</v>
      </c>
      <c r="P5" t="n">
        <v>32058.269</v>
      </c>
      <c r="Q5" t="n">
        <v>26966.459</v>
      </c>
      <c r="R5" t="n">
        <v>41694.913</v>
      </c>
      <c r="S5" t="n">
        <v>61241.837</v>
      </c>
      <c r="T5" t="n">
        <v>53411.18</v>
      </c>
      <c r="U5" t="n">
        <v>85660.666</v>
      </c>
      <c r="V5" t="n">
        <v>132567.353</v>
      </c>
      <c r="W5" t="n">
        <v>120043.192</v>
      </c>
      <c r="X5" t="n">
        <v>132750.272</v>
      </c>
      <c r="Y5" t="n">
        <v>82865.073</v>
      </c>
      <c r="Z5" t="n">
        <v>186179.058</v>
      </c>
      <c r="AA5" t="n">
        <v>129768.559</v>
      </c>
      <c r="AB5" t="n">
        <v>137692.11</v>
      </c>
      <c r="AC5" t="n">
        <v>368943.347</v>
      </c>
      <c r="AD5" t="n">
        <v>104566.779</v>
      </c>
      <c r="AE5" t="n">
        <v>69658.746</v>
      </c>
      <c r="AF5" t="n">
        <v>70731.48699999999</v>
      </c>
      <c r="AG5" t="n">
        <v>138839.36</v>
      </c>
      <c r="AH5" t="n">
        <v>86606.11</v>
      </c>
      <c r="AI5" t="n">
        <v>106008.093</v>
      </c>
      <c r="AJ5" t="n">
        <v>126297.105</v>
      </c>
      <c r="AK5" t="n">
        <v>210674.792</v>
      </c>
      <c r="AL5" t="n">
        <v>146104.645</v>
      </c>
      <c r="AM5" t="n">
        <v>159152.983</v>
      </c>
      <c r="AN5" t="n">
        <v>160563.196</v>
      </c>
      <c r="AO5" t="n">
        <v>178832.912</v>
      </c>
      <c r="AP5" t="n">
        <v>151587.989</v>
      </c>
      <c r="AQ5" t="n">
        <v>154586.13</v>
      </c>
      <c r="AR5" t="n">
        <v>322806.262</v>
      </c>
      <c r="AS5" t="n">
        <v>400433.23</v>
      </c>
      <c r="AT5" t="n">
        <v>680676.745</v>
      </c>
      <c r="AU5" t="n">
        <v>590272.405</v>
      </c>
      <c r="AV5" t="n">
        <v>235503.203</v>
      </c>
      <c r="AW5" t="n">
        <v>315947.525</v>
      </c>
      <c r="AX5" t="n">
        <v>177646.888</v>
      </c>
      <c r="AY5" t="n">
        <v>560906.113</v>
      </c>
      <c r="AZ5" t="n">
        <v>460162.769</v>
      </c>
      <c r="BA5" t="n">
        <v>361660.735</v>
      </c>
      <c r="BB5" t="n">
        <v>759253.051</v>
      </c>
      <c r="BC5" t="n">
        <v>628568.628</v>
      </c>
      <c r="BD5" t="n">
        <v>444886.19</v>
      </c>
      <c r="BE5" t="n">
        <v>591941.238</v>
      </c>
      <c r="BF5" t="n">
        <v>427112.131</v>
      </c>
      <c r="BG5" t="n">
        <v>510482.869</v>
      </c>
      <c r="BH5" t="n">
        <v>393535.059</v>
      </c>
      <c r="BI5" t="n">
        <v>482027.808</v>
      </c>
      <c r="BJ5" t="n">
        <v>318056.061</v>
      </c>
      <c r="BK5" t="n">
        <v>757819.737</v>
      </c>
      <c r="BL5" t="n">
        <v>816424.324</v>
      </c>
      <c r="BM5" t="n">
        <v>758107.051</v>
      </c>
      <c r="BN5" t="n">
        <v>615377.4300000001</v>
      </c>
      <c r="BO5" t="n">
        <v>429685.081</v>
      </c>
      <c r="BP5" t="n">
        <v>242.096</v>
      </c>
      <c r="BQ5" t="n">
        <v>159240.57</v>
      </c>
      <c r="BR5" t="n">
        <v>72164.357</v>
      </c>
      <c r="BS5" t="n">
        <v>290851.049</v>
      </c>
      <c r="BT5" t="n">
        <v>13286.096</v>
      </c>
      <c r="BU5" t="n">
        <v>16674.25</v>
      </c>
      <c r="BV5" t="n">
        <v>18060.134</v>
      </c>
    </row>
    <row r="6">
      <c r="A6" t="inlineStr">
        <is>
          <t>Dosidicus gigas</t>
        </is>
      </c>
      <c r="B6" t="inlineStr">
        <is>
          <t>Jumbo flying squid</t>
        </is>
      </c>
      <c r="C6" t="inlineStr">
        <is>
          <t>Cephalopods</t>
        </is>
      </c>
      <c r="D6" t="inlineStr">
        <is>
          <t>Other fishes &amp; inverts</t>
        </is>
      </c>
      <c r="E6" t="n">
        <v>18.598</v>
      </c>
      <c r="F6" t="n">
        <v>11.746</v>
      </c>
      <c r="G6" t="n">
        <v>29.366</v>
      </c>
      <c r="H6" t="n">
        <v>19.577</v>
      </c>
      <c r="I6" t="n">
        <v>35.229</v>
      </c>
      <c r="J6" t="n">
        <v>17.619</v>
      </c>
      <c r="K6" t="n">
        <v>47.964</v>
      </c>
      <c r="L6" t="n">
        <v>109.592</v>
      </c>
      <c r="M6" t="n">
        <v>178.141</v>
      </c>
      <c r="N6" t="n">
        <v>271.142</v>
      </c>
      <c r="O6" t="n">
        <v>404.265</v>
      </c>
      <c r="P6" t="n">
        <v>589.485</v>
      </c>
      <c r="Q6" t="n">
        <v>3590.237</v>
      </c>
      <c r="R6" t="n">
        <v>4056.639</v>
      </c>
      <c r="S6" t="n">
        <v>4637.752</v>
      </c>
      <c r="T6" t="n">
        <v>897.227</v>
      </c>
      <c r="U6" t="n">
        <v>1081.133</v>
      </c>
      <c r="V6" t="n">
        <v>2183.367</v>
      </c>
      <c r="W6" t="n">
        <v>1976.037</v>
      </c>
      <c r="X6" t="n">
        <v>1926.228</v>
      </c>
      <c r="Y6" t="n">
        <v>2314.499</v>
      </c>
      <c r="Z6" t="n">
        <v>2364.943</v>
      </c>
      <c r="AA6" t="n">
        <v>973.396</v>
      </c>
      <c r="AB6" t="n">
        <v>3234.415</v>
      </c>
      <c r="AC6" t="n">
        <v>3708.553</v>
      </c>
      <c r="AD6" t="n">
        <v>2232.172</v>
      </c>
      <c r="AE6" t="n">
        <v>3612.455</v>
      </c>
      <c r="AF6" t="n">
        <v>6060.031</v>
      </c>
      <c r="AG6" t="n">
        <v>8338.933999999999</v>
      </c>
      <c r="AH6" t="n">
        <v>3565.222</v>
      </c>
      <c r="AI6" t="n">
        <v>3883.272</v>
      </c>
      <c r="AJ6" t="n">
        <v>1793.358</v>
      </c>
      <c r="AK6" t="n">
        <v>2248.427</v>
      </c>
      <c r="AL6" t="n">
        <v>857.456</v>
      </c>
      <c r="AM6" t="n">
        <v>2237.948</v>
      </c>
      <c r="AN6" t="n">
        <v>1693.773</v>
      </c>
      <c r="AO6" t="n">
        <v>2720.516</v>
      </c>
      <c r="AP6" t="n">
        <v>1349.107</v>
      </c>
      <c r="AQ6" t="n">
        <v>3699.622</v>
      </c>
      <c r="AR6" t="n">
        <v>6929.448</v>
      </c>
      <c r="AS6" t="n">
        <v>14077.28</v>
      </c>
      <c r="AT6" t="n">
        <v>91784.00599999999</v>
      </c>
      <c r="AU6" t="n">
        <v>136478.303</v>
      </c>
      <c r="AV6" t="n">
        <v>176654.942</v>
      </c>
      <c r="AW6" t="n">
        <v>247110.181</v>
      </c>
      <c r="AX6" t="n">
        <v>134154.412</v>
      </c>
      <c r="AY6" t="n">
        <v>41623.42</v>
      </c>
      <c r="AZ6" t="n">
        <v>36808.91</v>
      </c>
      <c r="BA6" t="n">
        <v>9091.155000000001</v>
      </c>
      <c r="BB6" t="n">
        <v>110593.304</v>
      </c>
      <c r="BC6" t="n">
        <v>163537.352</v>
      </c>
      <c r="BD6" t="n">
        <v>196311.388</v>
      </c>
      <c r="BE6" t="n">
        <v>288792.258</v>
      </c>
      <c r="BF6" t="n">
        <v>485973.054</v>
      </c>
      <c r="BG6" t="n">
        <v>655155.806</v>
      </c>
      <c r="BH6" t="n">
        <v>745654.7290000001</v>
      </c>
      <c r="BI6" t="n">
        <v>857240.544</v>
      </c>
      <c r="BJ6" t="n">
        <v>651864.164</v>
      </c>
      <c r="BK6" t="n">
        <v>855230.946</v>
      </c>
      <c r="BL6" t="n">
        <v>635411.924</v>
      </c>
      <c r="BM6" t="n">
        <v>622147.3810000001</v>
      </c>
      <c r="BN6" t="n">
        <v>766836.473</v>
      </c>
      <c r="BO6" t="n">
        <v>859867.843</v>
      </c>
      <c r="BP6" t="n">
        <v>772406.589</v>
      </c>
      <c r="BQ6" t="n">
        <v>971546.406</v>
      </c>
      <c r="BR6" t="n">
        <v>914203.2169999999</v>
      </c>
      <c r="BS6" t="n">
        <v>683829.4669999999</v>
      </c>
      <c r="BT6" t="n">
        <v>607661.308</v>
      </c>
      <c r="BU6" t="n">
        <v>695433.576</v>
      </c>
      <c r="BV6" t="n">
        <v>759913.374</v>
      </c>
    </row>
    <row r="7">
      <c r="A7" t="inlineStr">
        <is>
          <t>Scomber japonicus</t>
        </is>
      </c>
      <c r="B7" t="inlineStr">
        <is>
          <t>Pacific chub mackerel</t>
        </is>
      </c>
      <c r="C7" t="inlineStr">
        <is>
          <t>Medium pelagics (30 - 89 cm)</t>
        </is>
      </c>
      <c r="D7" t="inlineStr">
        <is>
          <t>Perch-likes</t>
        </is>
      </c>
      <c r="E7" t="n">
        <v>2519.096</v>
      </c>
      <c r="F7" t="n">
        <v>1205.012</v>
      </c>
      <c r="G7" t="n">
        <v>3613.153</v>
      </c>
      <c r="H7" t="n">
        <v>2080.839</v>
      </c>
      <c r="I7" t="n">
        <v>3831.469</v>
      </c>
      <c r="J7" t="n">
        <v>1406.159</v>
      </c>
      <c r="K7" t="n">
        <v>3998.361</v>
      </c>
      <c r="L7" t="n">
        <v>9304.071</v>
      </c>
      <c r="M7" t="n">
        <v>13622.897</v>
      </c>
      <c r="N7" t="n">
        <v>10164.09</v>
      </c>
      <c r="O7" t="n">
        <v>9933.495999999999</v>
      </c>
      <c r="P7" t="n">
        <v>12362.652</v>
      </c>
      <c r="Q7" t="n">
        <v>14061.024</v>
      </c>
      <c r="R7" t="n">
        <v>8355.323</v>
      </c>
      <c r="S7" t="n">
        <v>2114.839</v>
      </c>
      <c r="T7" t="n">
        <v>4024.266</v>
      </c>
      <c r="U7" t="n">
        <v>7991.551</v>
      </c>
      <c r="V7" t="n">
        <v>14101.629</v>
      </c>
      <c r="W7" t="n">
        <v>7586.286</v>
      </c>
      <c r="X7" t="n">
        <v>7587.313</v>
      </c>
      <c r="Y7" t="n">
        <v>9264.228999999999</v>
      </c>
      <c r="Z7" t="n">
        <v>10633.926</v>
      </c>
      <c r="AA7" t="n">
        <v>9154.978999999999</v>
      </c>
      <c r="AB7" t="n">
        <v>69217.02499999999</v>
      </c>
      <c r="AC7" t="n">
        <v>67633.451</v>
      </c>
      <c r="AD7" t="n">
        <v>25286.448</v>
      </c>
      <c r="AE7" t="n">
        <v>139801.656</v>
      </c>
      <c r="AF7" t="n">
        <v>317905.301</v>
      </c>
      <c r="AG7" t="n">
        <v>465091.129</v>
      </c>
      <c r="AH7" t="n">
        <v>214245.051</v>
      </c>
      <c r="AI7" t="n">
        <v>163393.018</v>
      </c>
      <c r="AJ7" t="n">
        <v>144478.808</v>
      </c>
      <c r="AK7" t="n">
        <v>58701.524</v>
      </c>
      <c r="AL7" t="n">
        <v>41698.719</v>
      </c>
      <c r="AM7" t="n">
        <v>204953.798</v>
      </c>
      <c r="AN7" t="n">
        <v>80830.56</v>
      </c>
      <c r="AO7" t="n">
        <v>43448.412</v>
      </c>
      <c r="AP7" t="n">
        <v>57549.484</v>
      </c>
      <c r="AQ7" t="n">
        <v>54800.932</v>
      </c>
      <c r="AR7" t="n">
        <v>93253.599</v>
      </c>
      <c r="AS7" t="n">
        <v>293978.916</v>
      </c>
      <c r="AT7" t="n">
        <v>220779.523</v>
      </c>
      <c r="AU7" t="n">
        <v>89354.908</v>
      </c>
      <c r="AV7" t="n">
        <v>123471.531</v>
      </c>
      <c r="AW7" t="n">
        <v>72724.61599999999</v>
      </c>
      <c r="AX7" t="n">
        <v>152030.837</v>
      </c>
      <c r="AY7" t="n">
        <v>192008.286</v>
      </c>
      <c r="AZ7" t="n">
        <v>417487.198</v>
      </c>
      <c r="BA7" t="n">
        <v>486493.415</v>
      </c>
      <c r="BB7" t="n">
        <v>662729.791</v>
      </c>
      <c r="BC7" t="n">
        <v>167480.354</v>
      </c>
      <c r="BD7" t="n">
        <v>533922.439</v>
      </c>
      <c r="BE7" t="n">
        <v>51169.298</v>
      </c>
      <c r="BF7" t="n">
        <v>644862.596</v>
      </c>
      <c r="BG7" t="n">
        <v>616558.407</v>
      </c>
      <c r="BH7" t="n">
        <v>323932.176</v>
      </c>
      <c r="BI7" t="n">
        <v>460406.614</v>
      </c>
      <c r="BJ7" t="n">
        <v>349908.179</v>
      </c>
      <c r="BK7" t="n">
        <v>225325.598</v>
      </c>
      <c r="BL7" t="n">
        <v>268144.386</v>
      </c>
      <c r="BM7" t="n">
        <v>115404.41</v>
      </c>
      <c r="BN7" t="n">
        <v>74243.564</v>
      </c>
      <c r="BO7" t="n">
        <v>195133.852</v>
      </c>
      <c r="BP7" t="n">
        <v>106665.17</v>
      </c>
      <c r="BQ7" t="n">
        <v>391410.438</v>
      </c>
      <c r="BR7" t="n">
        <v>101771.269</v>
      </c>
      <c r="BS7" t="n">
        <v>240034.145</v>
      </c>
      <c r="BT7" t="n">
        <v>187987.204</v>
      </c>
      <c r="BU7" t="n">
        <v>137659.57</v>
      </c>
      <c r="BV7" t="n">
        <v>147607.045</v>
      </c>
    </row>
    <row r="8">
      <c r="A8" t="inlineStr">
        <is>
          <t>Marine fishes not identified</t>
        </is>
      </c>
      <c r="B8" t="inlineStr">
        <is>
          <t>Marine fishes nei</t>
        </is>
      </c>
      <c r="C8" t="inlineStr">
        <is>
          <t>Medium demersals (30 - 89 cm)</t>
        </is>
      </c>
      <c r="D8" t="inlineStr">
        <is>
          <t>Other fishes &amp; inverts</t>
        </is>
      </c>
      <c r="E8" t="n">
        <v>11265.589</v>
      </c>
      <c r="F8" t="n">
        <v>13020.736</v>
      </c>
      <c r="G8" t="n">
        <v>14159.799</v>
      </c>
      <c r="H8" t="n">
        <v>12346.07</v>
      </c>
      <c r="I8" t="n">
        <v>15933.829</v>
      </c>
      <c r="J8" t="n">
        <v>17913.988</v>
      </c>
      <c r="K8" t="n">
        <v>16148.9</v>
      </c>
      <c r="L8" t="n">
        <v>16495.312</v>
      </c>
      <c r="M8" t="n">
        <v>19046.473</v>
      </c>
      <c r="N8" t="n">
        <v>18638.906</v>
      </c>
      <c r="O8" t="n">
        <v>20500.125</v>
      </c>
      <c r="P8" t="n">
        <v>15272.512</v>
      </c>
      <c r="Q8" t="n">
        <v>72407.42600000001</v>
      </c>
      <c r="R8" t="n">
        <v>629990.933</v>
      </c>
      <c r="S8" t="n">
        <v>921868.464</v>
      </c>
      <c r="T8" t="n">
        <v>16681.662</v>
      </c>
      <c r="U8" t="n">
        <v>42394.093</v>
      </c>
      <c r="V8" t="n">
        <v>47348.101</v>
      </c>
      <c r="W8" t="n">
        <v>27978.246</v>
      </c>
      <c r="X8" t="n">
        <v>20265.245</v>
      </c>
      <c r="Y8" t="n">
        <v>70814.217</v>
      </c>
      <c r="Z8" t="n">
        <v>19227.468</v>
      </c>
      <c r="AA8" t="n">
        <v>34583.043</v>
      </c>
      <c r="AB8" t="n">
        <v>225307.459</v>
      </c>
      <c r="AC8" t="n">
        <v>52326.634</v>
      </c>
      <c r="AD8" t="n">
        <v>81363.33500000001</v>
      </c>
      <c r="AE8" t="n">
        <v>52483.07</v>
      </c>
      <c r="AF8" t="n">
        <v>116367.806</v>
      </c>
      <c r="AG8" t="n">
        <v>120698.007</v>
      </c>
      <c r="AH8" t="n">
        <v>62073.512</v>
      </c>
      <c r="AI8" t="n">
        <v>63196.186</v>
      </c>
      <c r="AJ8" t="n">
        <v>53308.948</v>
      </c>
      <c r="AK8" t="n">
        <v>47569.749</v>
      </c>
      <c r="AL8" t="n">
        <v>84722.382</v>
      </c>
      <c r="AM8" t="n">
        <v>76479.318</v>
      </c>
      <c r="AN8" t="n">
        <v>65700.66</v>
      </c>
      <c r="AO8" t="n">
        <v>133274.531</v>
      </c>
      <c r="AP8" t="n">
        <v>69337.516</v>
      </c>
      <c r="AQ8" t="n">
        <v>63362.517</v>
      </c>
      <c r="AR8" t="n">
        <v>157861.038</v>
      </c>
      <c r="AS8" t="n">
        <v>178124.856</v>
      </c>
      <c r="AT8" t="n">
        <v>135906.34</v>
      </c>
      <c r="AU8" t="n">
        <v>90708.75199999999</v>
      </c>
      <c r="AV8" t="n">
        <v>111968.143</v>
      </c>
      <c r="AW8" t="n">
        <v>73080.30499999999</v>
      </c>
      <c r="AX8" t="n">
        <v>133343.816</v>
      </c>
      <c r="AY8" t="n">
        <v>120665.199</v>
      </c>
      <c r="AZ8" t="n">
        <v>163744.977</v>
      </c>
      <c r="BA8" t="n">
        <v>474518.376</v>
      </c>
      <c r="BB8" t="n">
        <v>243513.072</v>
      </c>
      <c r="BC8" t="n">
        <v>156559.286</v>
      </c>
      <c r="BD8" t="n">
        <v>207438.755</v>
      </c>
      <c r="BE8" t="n">
        <v>100188.432</v>
      </c>
      <c r="BF8" t="n">
        <v>118422.751</v>
      </c>
      <c r="BG8" t="n">
        <v>134033.102</v>
      </c>
      <c r="BH8" t="n">
        <v>238351.579</v>
      </c>
      <c r="BI8" t="n">
        <v>206503.612</v>
      </c>
      <c r="BJ8" t="n">
        <v>217743.377</v>
      </c>
      <c r="BK8" t="n">
        <v>208879.972</v>
      </c>
      <c r="BL8" t="n">
        <v>210040.767</v>
      </c>
      <c r="BM8" t="n">
        <v>172020.251</v>
      </c>
      <c r="BN8" t="n">
        <v>194353.778</v>
      </c>
      <c r="BO8" t="n">
        <v>177195.926</v>
      </c>
      <c r="BP8" t="n">
        <v>215767.163</v>
      </c>
      <c r="BQ8" t="n">
        <v>206401.848</v>
      </c>
      <c r="BR8" t="n">
        <v>116792.392</v>
      </c>
      <c r="BS8" t="n">
        <v>136733.771</v>
      </c>
      <c r="BT8" t="n">
        <v>70543.65700000001</v>
      </c>
      <c r="BU8" t="n">
        <v>72245.071</v>
      </c>
      <c r="BV8" t="n">
        <v>172560.573</v>
      </c>
    </row>
    <row r="9">
      <c r="A9" t="inlineStr">
        <is>
          <t>Merluccius peruanus</t>
        </is>
      </c>
      <c r="B9" t="inlineStr">
        <is>
          <t>Peruvian hake</t>
        </is>
      </c>
      <c r="C9" t="inlineStr">
        <is>
          <t>Medium bathydemersals (30 - 89 cm)</t>
        </is>
      </c>
      <c r="D9" t="inlineStr">
        <is>
          <t>Cod-likes</t>
        </is>
      </c>
      <c r="E9" t="n">
        <v>0</v>
      </c>
      <c r="F9" t="n">
        <v>0</v>
      </c>
      <c r="G9" t="n">
        <v>0</v>
      </c>
      <c r="H9" t="n">
        <v>24.522</v>
      </c>
      <c r="I9" t="n">
        <v>11.77</v>
      </c>
      <c r="J9" t="n">
        <v>16.675</v>
      </c>
      <c r="K9" t="n">
        <v>6.866</v>
      </c>
      <c r="L9" t="n">
        <v>12.751</v>
      </c>
      <c r="M9" t="n">
        <v>17.655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1269.402</v>
      </c>
      <c r="U9" t="n">
        <v>673.54</v>
      </c>
      <c r="V9" t="n">
        <v>23179.52</v>
      </c>
      <c r="W9" t="n">
        <v>21148.182</v>
      </c>
      <c r="X9" t="n">
        <v>18074.624</v>
      </c>
      <c r="Y9" t="n">
        <v>20335.073</v>
      </c>
      <c r="Z9" t="n">
        <v>32134.822</v>
      </c>
      <c r="AA9" t="n">
        <v>14879.165</v>
      </c>
      <c r="AB9" t="n">
        <v>156891.557</v>
      </c>
      <c r="AC9" t="n">
        <v>129061.299</v>
      </c>
      <c r="AD9" t="n">
        <v>100224.033</v>
      </c>
      <c r="AE9" t="n">
        <v>109557.783</v>
      </c>
      <c r="AF9" t="n">
        <v>126051.266</v>
      </c>
      <c r="AG9" t="n">
        <v>358310.135</v>
      </c>
      <c r="AH9" t="n">
        <v>109711.099</v>
      </c>
      <c r="AI9" t="n">
        <v>188085.779</v>
      </c>
      <c r="AJ9" t="n">
        <v>81783.425</v>
      </c>
      <c r="AK9" t="n">
        <v>31269.462</v>
      </c>
      <c r="AL9" t="n">
        <v>6886.501</v>
      </c>
      <c r="AM9" t="n">
        <v>14288.186</v>
      </c>
      <c r="AN9" t="n">
        <v>21683.922</v>
      </c>
      <c r="AO9" t="n">
        <v>45965.416</v>
      </c>
      <c r="AP9" t="n">
        <v>37793.877</v>
      </c>
      <c r="AQ9" t="n">
        <v>93074.31</v>
      </c>
      <c r="AR9" t="n">
        <v>103862.261</v>
      </c>
      <c r="AS9" t="n">
        <v>150235.758</v>
      </c>
      <c r="AT9" t="n">
        <v>86116.299</v>
      </c>
      <c r="AU9" t="n">
        <v>35895.346</v>
      </c>
      <c r="AV9" t="n">
        <v>104724.603</v>
      </c>
      <c r="AW9" t="n">
        <v>160177.139</v>
      </c>
      <c r="AX9" t="n">
        <v>213887.493</v>
      </c>
      <c r="AY9" t="n">
        <v>277426.815</v>
      </c>
      <c r="AZ9" t="n">
        <v>210074.55</v>
      </c>
      <c r="BA9" t="n">
        <v>97268.295</v>
      </c>
      <c r="BB9" t="n">
        <v>43967.441</v>
      </c>
      <c r="BC9" t="n">
        <v>98551.443</v>
      </c>
      <c r="BD9" t="n">
        <v>148191.606</v>
      </c>
      <c r="BE9" t="n">
        <v>54855.927</v>
      </c>
      <c r="BF9" t="n">
        <v>9167.804</v>
      </c>
      <c r="BG9" t="n">
        <v>46225.962</v>
      </c>
      <c r="BH9" t="n">
        <v>37039.053</v>
      </c>
      <c r="BI9" t="n">
        <v>35379.871</v>
      </c>
      <c r="BJ9" t="n">
        <v>37690.158</v>
      </c>
      <c r="BK9" t="n">
        <v>41287.558</v>
      </c>
      <c r="BL9" t="n">
        <v>54994.1</v>
      </c>
      <c r="BM9" t="n">
        <v>48794.589</v>
      </c>
      <c r="BN9" t="n">
        <v>44547.236</v>
      </c>
      <c r="BO9" t="n">
        <v>39820.635</v>
      </c>
      <c r="BP9" t="n">
        <v>65074.846</v>
      </c>
      <c r="BQ9" t="n">
        <v>76505.182</v>
      </c>
      <c r="BR9" t="n">
        <v>67910.595</v>
      </c>
      <c r="BS9" t="n">
        <v>86697.842</v>
      </c>
      <c r="BT9" t="n">
        <v>95190.469</v>
      </c>
      <c r="BU9" t="n">
        <v>90240.838</v>
      </c>
      <c r="BV9" t="n">
        <v>63732.511</v>
      </c>
    </row>
    <row r="10">
      <c r="A10" t="inlineStr">
        <is>
          <t>Merluccius gayi</t>
        </is>
      </c>
      <c r="B10" t="inlineStr">
        <is>
          <t>South Pacific hake</t>
        </is>
      </c>
      <c r="C10" t="inlineStr">
        <is>
          <t>Medium bathydemersals (30 - 89 cm)</t>
        </is>
      </c>
      <c r="D10" t="inlineStr">
        <is>
          <t>Cod-likes</t>
        </is>
      </c>
      <c r="E10" t="n">
        <v>35174.91</v>
      </c>
      <c r="F10" t="n">
        <v>45901.178</v>
      </c>
      <c r="G10" t="n">
        <v>69336.091</v>
      </c>
      <c r="H10" t="n">
        <v>65978.318</v>
      </c>
      <c r="I10" t="n">
        <v>56807.325</v>
      </c>
      <c r="J10" t="n">
        <v>87504.77</v>
      </c>
      <c r="K10" t="n">
        <v>74439.06600000001</v>
      </c>
      <c r="L10" t="n">
        <v>72073.579</v>
      </c>
      <c r="M10" t="n">
        <v>69686.807</v>
      </c>
      <c r="N10" t="n">
        <v>67413.118</v>
      </c>
      <c r="O10" t="n">
        <v>74658.713</v>
      </c>
      <c r="P10" t="n">
        <v>70752.132</v>
      </c>
      <c r="Q10" t="n">
        <v>87250.86500000001</v>
      </c>
      <c r="R10" t="n">
        <v>94733.107</v>
      </c>
      <c r="S10" t="n">
        <v>67977.39200000001</v>
      </c>
      <c r="T10" t="n">
        <v>96751.182</v>
      </c>
      <c r="U10" t="n">
        <v>86913.429</v>
      </c>
      <c r="V10" t="n">
        <v>72780.75900000001</v>
      </c>
      <c r="W10" t="n">
        <v>117932.711</v>
      </c>
      <c r="X10" t="n">
        <v>73631.696</v>
      </c>
      <c r="Y10" t="n">
        <v>97344.33100000001</v>
      </c>
      <c r="Z10" t="n">
        <v>61002.102</v>
      </c>
      <c r="AA10" t="n">
        <v>88096.882</v>
      </c>
      <c r="AB10" t="n">
        <v>81225.2</v>
      </c>
      <c r="AC10" t="n">
        <v>40512.836</v>
      </c>
      <c r="AD10" t="n">
        <v>58797.901</v>
      </c>
      <c r="AE10" t="n">
        <v>28944.562</v>
      </c>
      <c r="AF10" t="n">
        <v>66971.33199999999</v>
      </c>
      <c r="AG10" t="n">
        <v>67370.83199999999</v>
      </c>
      <c r="AH10" t="n">
        <v>32734.489</v>
      </c>
      <c r="AI10" t="n">
        <v>31683.015</v>
      </c>
      <c r="AJ10" t="n">
        <v>37020.523</v>
      </c>
      <c r="AK10" t="n">
        <v>35418.337</v>
      </c>
      <c r="AL10" t="n">
        <v>51134.626</v>
      </c>
      <c r="AM10" t="n">
        <v>39225.787</v>
      </c>
      <c r="AN10" t="n">
        <v>35480.357</v>
      </c>
      <c r="AO10" t="n">
        <v>34221.953</v>
      </c>
      <c r="AP10" t="n">
        <v>117994.954</v>
      </c>
      <c r="AQ10" t="n">
        <v>56700.854</v>
      </c>
      <c r="AR10" t="n">
        <v>74578.643</v>
      </c>
      <c r="AS10" t="n">
        <v>103528.372</v>
      </c>
      <c r="AT10" t="n">
        <v>76752.442</v>
      </c>
      <c r="AU10" t="n">
        <v>73487.296</v>
      </c>
      <c r="AV10" t="n">
        <v>72598.291</v>
      </c>
      <c r="AW10" t="n">
        <v>80562.068</v>
      </c>
      <c r="AX10" t="n">
        <v>88193.871</v>
      </c>
      <c r="AY10" t="n">
        <v>96717.57399999999</v>
      </c>
      <c r="AZ10" t="n">
        <v>85518.465</v>
      </c>
      <c r="BA10" t="n">
        <v>70545.44</v>
      </c>
      <c r="BB10" t="n">
        <v>83235.587</v>
      </c>
      <c r="BC10" t="n">
        <v>71638.674</v>
      </c>
      <c r="BD10" t="n">
        <v>97806.802</v>
      </c>
      <c r="BE10" t="n">
        <v>30004.709</v>
      </c>
      <c r="BF10" t="n">
        <v>91964.084</v>
      </c>
      <c r="BG10" t="n">
        <v>63456.297</v>
      </c>
      <c r="BH10" t="n">
        <v>44837.79</v>
      </c>
      <c r="BI10" t="n">
        <v>44385.357</v>
      </c>
      <c r="BJ10" t="n">
        <v>42374.729</v>
      </c>
      <c r="BK10" t="n">
        <v>40659.394</v>
      </c>
      <c r="BL10" t="n">
        <v>40295.873</v>
      </c>
      <c r="BM10" t="n">
        <v>40195.176</v>
      </c>
      <c r="BN10" t="n">
        <v>70263.67999999999</v>
      </c>
      <c r="BO10" t="n">
        <v>65711.41800000001</v>
      </c>
      <c r="BP10" t="n">
        <v>46952.246</v>
      </c>
      <c r="BQ10" t="n">
        <v>48063.782</v>
      </c>
      <c r="BR10" t="n">
        <v>20822.398</v>
      </c>
      <c r="BS10" t="n">
        <v>22122.227</v>
      </c>
      <c r="BT10" t="n">
        <v>23997.435</v>
      </c>
      <c r="BU10" t="n">
        <v>25183.916</v>
      </c>
      <c r="BV10" t="n">
        <v>28557.488</v>
      </c>
    </row>
    <row r="11">
      <c r="A11" t="inlineStr">
        <is>
          <t>Macruronus magellanicus</t>
        </is>
      </c>
      <c r="B11" t="inlineStr">
        <is>
          <t>Patagonian grenadier</t>
        </is>
      </c>
      <c r="C11" t="inlineStr">
        <is>
          <t>Large benthopelagics (&gt;=90 cm)</t>
        </is>
      </c>
      <c r="D11" t="inlineStr">
        <is>
          <t>Cod-likes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35.487</v>
      </c>
      <c r="AH11" t="n">
        <v>293.484</v>
      </c>
      <c r="AI11" t="n">
        <v>17609.979</v>
      </c>
      <c r="AJ11" t="n">
        <v>22697.988</v>
      </c>
      <c r="AK11" t="n">
        <v>17663.688</v>
      </c>
      <c r="AL11" t="n">
        <v>21585.436</v>
      </c>
      <c r="AM11" t="n">
        <v>25691.33</v>
      </c>
      <c r="AN11" t="n">
        <v>1703.356</v>
      </c>
      <c r="AO11" t="n">
        <v>35564.274</v>
      </c>
      <c r="AP11" t="n">
        <v>35714.852</v>
      </c>
      <c r="AQ11" t="n">
        <v>202967.932</v>
      </c>
      <c r="AR11" t="n">
        <v>218092.878</v>
      </c>
      <c r="AS11" t="n">
        <v>122766.327</v>
      </c>
      <c r="AT11" t="n">
        <v>157960.389</v>
      </c>
      <c r="AU11" t="n">
        <v>205557.493</v>
      </c>
      <c r="AV11" t="n">
        <v>79202.226</v>
      </c>
      <c r="AW11" t="n">
        <v>77984.17200000001</v>
      </c>
      <c r="AX11" t="n">
        <v>198277.948</v>
      </c>
      <c r="AY11" t="n">
        <v>360089.111</v>
      </c>
      <c r="AZ11" t="n">
        <v>68555.291</v>
      </c>
      <c r="BA11" t="n">
        <v>339696.795</v>
      </c>
      <c r="BB11" t="n">
        <v>297227.982</v>
      </c>
      <c r="BC11" t="n">
        <v>86682.224</v>
      </c>
      <c r="BD11" t="n">
        <v>155452.351</v>
      </c>
      <c r="BE11" t="n">
        <v>6181.38</v>
      </c>
      <c r="BF11" t="n">
        <v>82382.591</v>
      </c>
      <c r="BG11" t="n">
        <v>68265.643</v>
      </c>
      <c r="BH11" t="n">
        <v>76492.777</v>
      </c>
      <c r="BI11" t="n">
        <v>70417.857</v>
      </c>
      <c r="BJ11" t="n">
        <v>61091.598</v>
      </c>
      <c r="BK11" t="n">
        <v>70557.88499999999</v>
      </c>
      <c r="BL11" t="n">
        <v>75231.564</v>
      </c>
      <c r="BM11" t="n">
        <v>71289.67600000001</v>
      </c>
      <c r="BN11" t="n">
        <v>0</v>
      </c>
      <c r="BO11" t="n">
        <v>0</v>
      </c>
      <c r="BP11" t="n">
        <v>0</v>
      </c>
      <c r="BQ11" t="n">
        <v>0</v>
      </c>
      <c r="BR11" t="n">
        <v>9776.518</v>
      </c>
      <c r="BS11" t="n">
        <v>8967.537</v>
      </c>
      <c r="BT11" t="n">
        <v>3656.492</v>
      </c>
      <c r="BU11" t="n">
        <v>3854.962</v>
      </c>
      <c r="BV11" t="n">
        <v>2182.201</v>
      </c>
    </row>
    <row r="12">
      <c r="A12" t="inlineStr">
        <is>
          <t>Sarda chiliensis</t>
        </is>
      </c>
      <c r="B12" t="inlineStr">
        <is>
          <t>Eastern Pacific bonito</t>
        </is>
      </c>
      <c r="C12" t="inlineStr">
        <is>
          <t>Medium pelagics (30 - 89 cm)</t>
        </is>
      </c>
      <c r="D12" t="inlineStr">
        <is>
          <t>Tuna &amp; billfishes</t>
        </is>
      </c>
      <c r="E12" t="n">
        <v>44696.628</v>
      </c>
      <c r="F12" t="n">
        <v>62305.13</v>
      </c>
      <c r="G12" t="n">
        <v>64336.802</v>
      </c>
      <c r="H12" t="n">
        <v>52525.374</v>
      </c>
      <c r="I12" t="n">
        <v>64432.691</v>
      </c>
      <c r="J12" t="n">
        <v>89602.27499999999</v>
      </c>
      <c r="K12" t="n">
        <v>98460.855</v>
      </c>
      <c r="L12" t="n">
        <v>68139.098</v>
      </c>
      <c r="M12" t="n">
        <v>78136.981</v>
      </c>
      <c r="N12" t="n">
        <v>94760.86199999999</v>
      </c>
      <c r="O12" t="n">
        <v>110505.375</v>
      </c>
      <c r="P12" t="n">
        <v>121592.765</v>
      </c>
      <c r="Q12" t="n">
        <v>103476.297</v>
      </c>
      <c r="R12" t="n">
        <v>104305.231</v>
      </c>
      <c r="S12" t="n">
        <v>97316.076</v>
      </c>
      <c r="T12" t="n">
        <v>83229.51700000001</v>
      </c>
      <c r="U12" t="n">
        <v>94821.061</v>
      </c>
      <c r="V12" t="n">
        <v>81473.06</v>
      </c>
      <c r="W12" t="n">
        <v>65896.961</v>
      </c>
      <c r="X12" t="n">
        <v>75877.501</v>
      </c>
      <c r="Y12" t="n">
        <v>69704.47500000001</v>
      </c>
      <c r="Z12" t="n">
        <v>83675.266</v>
      </c>
      <c r="AA12" t="n">
        <v>126011.062</v>
      </c>
      <c r="AB12" t="n">
        <v>43836.304</v>
      </c>
      <c r="AC12" t="n">
        <v>10834.793</v>
      </c>
      <c r="AD12" t="n">
        <v>5861.023</v>
      </c>
      <c r="AE12" t="n">
        <v>5189.303</v>
      </c>
      <c r="AF12" t="n">
        <v>13031.17</v>
      </c>
      <c r="AG12" t="n">
        <v>10920.406</v>
      </c>
      <c r="AH12" t="n">
        <v>10410.432</v>
      </c>
      <c r="AI12" t="n">
        <v>10825.342</v>
      </c>
      <c r="AJ12" t="n">
        <v>13358.227</v>
      </c>
      <c r="AK12" t="n">
        <v>25308.045</v>
      </c>
      <c r="AL12" t="n">
        <v>31519.98</v>
      </c>
      <c r="AM12" t="n">
        <v>32111.488</v>
      </c>
      <c r="AN12" t="n">
        <v>11300.567</v>
      </c>
      <c r="AO12" t="n">
        <v>5854.531</v>
      </c>
      <c r="AP12" t="n">
        <v>21739.573</v>
      </c>
      <c r="AQ12" t="n">
        <v>38590.11</v>
      </c>
      <c r="AR12" t="n">
        <v>29572.427</v>
      </c>
      <c r="AS12" t="n">
        <v>44581.962</v>
      </c>
      <c r="AT12" t="n">
        <v>28896.305</v>
      </c>
      <c r="AU12" t="n">
        <v>39422.438</v>
      </c>
      <c r="AV12" t="n">
        <v>41871.814</v>
      </c>
      <c r="AW12" t="n">
        <v>35204.476</v>
      </c>
      <c r="AX12" t="n">
        <v>31753.06</v>
      </c>
      <c r="AY12" t="n">
        <v>25849.265</v>
      </c>
      <c r="AZ12" t="n">
        <v>19890.902</v>
      </c>
      <c r="BA12" t="n">
        <v>6510.872</v>
      </c>
      <c r="BB12" t="n">
        <v>1534.966</v>
      </c>
      <c r="BC12" t="n">
        <v>539.913</v>
      </c>
      <c r="BD12" t="n">
        <v>1467.918</v>
      </c>
      <c r="BE12" t="n">
        <v>988.638</v>
      </c>
      <c r="BF12" t="n">
        <v>2469.446</v>
      </c>
      <c r="BG12" t="n">
        <v>1658.338</v>
      </c>
      <c r="BH12" t="n">
        <v>3397</v>
      </c>
      <c r="BI12" t="n">
        <v>14500.112</v>
      </c>
      <c r="BJ12" t="n">
        <v>10522.728</v>
      </c>
      <c r="BK12" t="n">
        <v>46611.658</v>
      </c>
      <c r="BL12" t="n">
        <v>33881.481</v>
      </c>
      <c r="BM12" t="n">
        <v>14824.778</v>
      </c>
      <c r="BN12" t="n">
        <v>16143.383</v>
      </c>
      <c r="BO12" t="n">
        <v>26736.237</v>
      </c>
      <c r="BP12" t="n">
        <v>42359.607</v>
      </c>
      <c r="BQ12" t="n">
        <v>45705.083</v>
      </c>
      <c r="BR12" t="n">
        <v>107182.205</v>
      </c>
      <c r="BS12" t="n">
        <v>90844.04300000001</v>
      </c>
      <c r="BT12" t="n">
        <v>111900.853</v>
      </c>
      <c r="BU12" t="n">
        <v>91096.552</v>
      </c>
      <c r="BV12" t="n">
        <v>91729.87699999999</v>
      </c>
    </row>
    <row r="13">
      <c r="A13" t="inlineStr">
        <is>
          <t>Normanichthys crockeri</t>
        </is>
      </c>
      <c r="B13" t="inlineStr">
        <is>
          <t>Mote sculpin</t>
        </is>
      </c>
      <c r="C13" t="inlineStr">
        <is>
          <t>Small demersals (&lt;30 cm)</t>
        </is>
      </c>
      <c r="D13" t="inlineStr">
        <is>
          <t>Scorpionfishes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32.018</v>
      </c>
      <c r="AI13" t="n">
        <v>0</v>
      </c>
      <c r="AJ13" t="n">
        <v>3.558</v>
      </c>
      <c r="AK13" t="n">
        <v>0</v>
      </c>
      <c r="AL13" t="n">
        <v>0</v>
      </c>
      <c r="AM13" t="n">
        <v>0</v>
      </c>
      <c r="AN13" t="n">
        <v>33.204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5130.101</v>
      </c>
      <c r="AU13" t="n">
        <v>15104.102</v>
      </c>
      <c r="AV13" t="n">
        <v>1096.261</v>
      </c>
      <c r="AW13" t="n">
        <v>48.376</v>
      </c>
      <c r="AX13" t="n">
        <v>3288.98</v>
      </c>
      <c r="AY13" t="n">
        <v>4863.01</v>
      </c>
      <c r="AZ13" t="n">
        <v>25517.426</v>
      </c>
      <c r="BA13" t="n">
        <v>289.858</v>
      </c>
      <c r="BB13" t="n">
        <v>7284.073</v>
      </c>
      <c r="BC13" t="n">
        <v>3891.086</v>
      </c>
      <c r="BD13" t="n">
        <v>6870.076</v>
      </c>
      <c r="BE13" t="n">
        <v>15165.183</v>
      </c>
      <c r="BF13" t="n">
        <v>16046.055</v>
      </c>
      <c r="BG13" t="n">
        <v>94811.39999999999</v>
      </c>
      <c r="BH13" t="n">
        <v>139519.939</v>
      </c>
      <c r="BI13" t="n">
        <v>404433.836</v>
      </c>
      <c r="BJ13" t="n">
        <v>25794.973</v>
      </c>
      <c r="BK13" t="n">
        <v>86020.717</v>
      </c>
      <c r="BL13" t="n">
        <v>217627.706</v>
      </c>
      <c r="BM13" t="n">
        <v>41483.619</v>
      </c>
      <c r="BN13" t="n">
        <v>393220.156</v>
      </c>
      <c r="BO13" t="n">
        <v>139167.169</v>
      </c>
      <c r="BP13" t="n">
        <v>89297.55100000001</v>
      </c>
      <c r="BQ13" t="n">
        <v>109869.535</v>
      </c>
      <c r="BR13" t="n">
        <v>28681.817</v>
      </c>
      <c r="BS13" t="n">
        <v>21917.138</v>
      </c>
      <c r="BT13" t="n">
        <v>61589.295</v>
      </c>
      <c r="BU13" t="n">
        <v>16586.919</v>
      </c>
      <c r="BV13" t="n">
        <v>11843.436</v>
      </c>
    </row>
    <row r="14">
      <c r="A14" t="inlineStr">
        <is>
          <t>Loxechinus albus</t>
        </is>
      </c>
      <c r="B14" t="inlineStr">
        <is>
          <t>Chilean sea urchin</t>
        </is>
      </c>
      <c r="C14" t="inlineStr">
        <is>
          <t>Other demersal invertebrates</t>
        </is>
      </c>
      <c r="D14" t="inlineStr">
        <is>
          <t>Other fishes &amp; inverts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2226.032</v>
      </c>
      <c r="P14" t="n">
        <v>2423.067</v>
      </c>
      <c r="Q14" t="n">
        <v>3159.605</v>
      </c>
      <c r="R14" t="n">
        <v>3091.581</v>
      </c>
      <c r="S14" t="n">
        <v>3710.835</v>
      </c>
      <c r="T14" t="n">
        <v>2443.396</v>
      </c>
      <c r="U14" t="n">
        <v>2541.132</v>
      </c>
      <c r="V14" t="n">
        <v>3337.688</v>
      </c>
      <c r="W14" t="n">
        <v>4097.307</v>
      </c>
      <c r="X14" t="n">
        <v>918.2380000000001</v>
      </c>
      <c r="Y14" t="n">
        <v>3724.958</v>
      </c>
      <c r="Z14" t="n">
        <v>4903.416</v>
      </c>
      <c r="AA14" t="n">
        <v>287.629</v>
      </c>
      <c r="AB14" t="n">
        <v>2917.312</v>
      </c>
      <c r="AC14" t="n">
        <v>300.442</v>
      </c>
      <c r="AD14" t="n">
        <v>2508.419</v>
      </c>
      <c r="AE14" t="n">
        <v>273.99</v>
      </c>
      <c r="AF14" t="n">
        <v>10014.621</v>
      </c>
      <c r="AG14" t="n">
        <v>8146.49</v>
      </c>
      <c r="AH14" t="n">
        <v>15604.696</v>
      </c>
      <c r="AI14" t="n">
        <v>16109.476</v>
      </c>
      <c r="AJ14" t="n">
        <v>18328.068</v>
      </c>
      <c r="AK14" t="n">
        <v>14356.046</v>
      </c>
      <c r="AL14" t="n">
        <v>13899.459</v>
      </c>
      <c r="AM14" t="n">
        <v>18945.901</v>
      </c>
      <c r="AN14" t="n">
        <v>35861.633</v>
      </c>
      <c r="AO14" t="n">
        <v>5288.716</v>
      </c>
      <c r="AP14" t="n">
        <v>28905.893</v>
      </c>
      <c r="AQ14" t="n">
        <v>26988.965</v>
      </c>
      <c r="AR14" t="n">
        <v>29996.989</v>
      </c>
      <c r="AS14" t="n">
        <v>18475.541</v>
      </c>
      <c r="AT14" t="n">
        <v>25273.936</v>
      </c>
      <c r="AU14" t="n">
        <v>28616.757</v>
      </c>
      <c r="AV14" t="n">
        <v>37309.036</v>
      </c>
      <c r="AW14" t="n">
        <v>47568.736</v>
      </c>
      <c r="AX14" t="n">
        <v>65739.571</v>
      </c>
      <c r="AY14" t="n">
        <v>62485.372</v>
      </c>
      <c r="AZ14" t="n">
        <v>45280.252</v>
      </c>
      <c r="BA14" t="n">
        <v>44202.801</v>
      </c>
      <c r="BB14" t="n">
        <v>56595.862</v>
      </c>
      <c r="BC14" t="n">
        <v>55392.546</v>
      </c>
      <c r="BD14" t="n">
        <v>49318.514</v>
      </c>
      <c r="BE14" t="n">
        <v>73052.882</v>
      </c>
      <c r="BF14" t="n">
        <v>55350.242</v>
      </c>
      <c r="BG14" t="n">
        <v>62730.843</v>
      </c>
      <c r="BH14" t="n">
        <v>50292.907</v>
      </c>
      <c r="BI14" t="n">
        <v>43882.523</v>
      </c>
      <c r="BJ14" t="n">
        <v>50067.155</v>
      </c>
      <c r="BK14" t="n">
        <v>53870.042</v>
      </c>
      <c r="BL14" t="n">
        <v>50222.257</v>
      </c>
      <c r="BM14" t="n">
        <v>35449.95</v>
      </c>
      <c r="BN14" t="n">
        <v>73699.963</v>
      </c>
      <c r="BO14" t="n">
        <v>68494.97500000001</v>
      </c>
      <c r="BP14" t="n">
        <v>69807.327</v>
      </c>
      <c r="BQ14" t="n">
        <v>75099.60799999999</v>
      </c>
      <c r="BR14" t="n">
        <v>35050.458</v>
      </c>
      <c r="BS14" t="n">
        <v>32696.342</v>
      </c>
      <c r="BT14" t="n">
        <v>31773.873</v>
      </c>
      <c r="BU14" t="n">
        <v>34288.975</v>
      </c>
      <c r="BV14" t="n">
        <v>38885.545</v>
      </c>
    </row>
    <row r="15">
      <c r="A15" t="inlineStr">
        <is>
          <t>Merluccius australis</t>
        </is>
      </c>
      <c r="B15" t="inlineStr">
        <is>
          <t>Southern hake</t>
        </is>
      </c>
      <c r="C15" t="inlineStr">
        <is>
          <t>Large benthopelagics (&gt;=90 cm)</t>
        </is>
      </c>
      <c r="D15" t="inlineStr">
        <is>
          <t>Cod-likes</t>
        </is>
      </c>
      <c r="E15" t="n">
        <v>457.642</v>
      </c>
      <c r="F15" t="n">
        <v>565.687</v>
      </c>
      <c r="G15" t="n">
        <v>798.586</v>
      </c>
      <c r="H15" t="n">
        <v>766.308</v>
      </c>
      <c r="I15" t="n">
        <v>680.314</v>
      </c>
      <c r="J15" t="n">
        <v>984.821</v>
      </c>
      <c r="K15" t="n">
        <v>855.176</v>
      </c>
      <c r="L15" t="n">
        <v>835.34</v>
      </c>
      <c r="M15" t="n">
        <v>789.48</v>
      </c>
      <c r="N15" t="n">
        <v>796.104</v>
      </c>
      <c r="O15" t="n">
        <v>949.54</v>
      </c>
      <c r="P15" t="n">
        <v>1014.073</v>
      </c>
      <c r="Q15" t="n">
        <v>1097.282</v>
      </c>
      <c r="R15" t="n">
        <v>1326.793</v>
      </c>
      <c r="S15" t="n">
        <v>1252.22</v>
      </c>
      <c r="T15" t="n">
        <v>1071.732</v>
      </c>
      <c r="U15" t="n">
        <v>1724.335</v>
      </c>
      <c r="V15" t="n">
        <v>1020.034</v>
      </c>
      <c r="W15" t="n">
        <v>2017.455</v>
      </c>
      <c r="X15" t="n">
        <v>1631.675</v>
      </c>
      <c r="Y15" t="n">
        <v>11415.152</v>
      </c>
      <c r="Z15" t="n">
        <v>2347.466</v>
      </c>
      <c r="AA15" t="n">
        <v>1776.723</v>
      </c>
      <c r="AB15" t="n">
        <v>1660.029</v>
      </c>
      <c r="AC15" t="n">
        <v>2095.343</v>
      </c>
      <c r="AD15" t="n">
        <v>4407.499</v>
      </c>
      <c r="AE15" t="n">
        <v>2273.608</v>
      </c>
      <c r="AF15" t="n">
        <v>5369.533</v>
      </c>
      <c r="AG15" t="n">
        <v>7991.043</v>
      </c>
      <c r="AH15" t="n">
        <v>3613.232</v>
      </c>
      <c r="AI15" t="n">
        <v>45933.174</v>
      </c>
      <c r="AJ15" t="n">
        <v>50811.903</v>
      </c>
      <c r="AK15" t="n">
        <v>59240.338</v>
      </c>
      <c r="AL15" t="n">
        <v>45819.581</v>
      </c>
      <c r="AM15" t="n">
        <v>43287.175</v>
      </c>
      <c r="AN15" t="n">
        <v>17191.988</v>
      </c>
      <c r="AO15" t="n">
        <v>50427.763</v>
      </c>
      <c r="AP15" t="n">
        <v>33335.536</v>
      </c>
      <c r="AQ15" t="n">
        <v>89757.07000000001</v>
      </c>
      <c r="AR15" t="n">
        <v>77043.39599999999</v>
      </c>
      <c r="AS15" t="n">
        <v>71086.768</v>
      </c>
      <c r="AT15" t="n">
        <v>59343.88</v>
      </c>
      <c r="AU15" t="n">
        <v>57468.416</v>
      </c>
      <c r="AV15" t="n">
        <v>35387.355</v>
      </c>
      <c r="AW15" t="n">
        <v>41460.438</v>
      </c>
      <c r="AX15" t="n">
        <v>44384.075</v>
      </c>
      <c r="AY15" t="n">
        <v>42122.668</v>
      </c>
      <c r="AZ15" t="n">
        <v>39965.103</v>
      </c>
      <c r="BA15" t="n">
        <v>33400.067</v>
      </c>
      <c r="BB15" t="n">
        <v>34792.787</v>
      </c>
      <c r="BC15" t="n">
        <v>26073.693</v>
      </c>
      <c r="BD15" t="n">
        <v>41403.882</v>
      </c>
      <c r="BE15" t="n">
        <v>14888.577</v>
      </c>
      <c r="BF15" t="n">
        <v>33684.17</v>
      </c>
      <c r="BG15" t="n">
        <v>44664.931</v>
      </c>
      <c r="BH15" t="n">
        <v>44218.648</v>
      </c>
      <c r="BI15" t="n">
        <v>44073.56</v>
      </c>
      <c r="BJ15" t="n">
        <v>42853.474</v>
      </c>
      <c r="BK15" t="n">
        <v>38503.508</v>
      </c>
      <c r="BL15" t="n">
        <v>36463.949</v>
      </c>
      <c r="BM15" t="n">
        <v>34809.462</v>
      </c>
      <c r="BN15" t="n">
        <v>19971.964</v>
      </c>
      <c r="BO15" t="n">
        <v>13575.396</v>
      </c>
      <c r="BP15" t="n">
        <v>13782.445</v>
      </c>
      <c r="BQ15" t="n">
        <v>13583.015</v>
      </c>
      <c r="BR15" t="n">
        <v>10105.549</v>
      </c>
      <c r="BS15" t="n">
        <v>9830.057000000001</v>
      </c>
      <c r="BT15" t="n">
        <v>9369.028</v>
      </c>
      <c r="BU15" t="n">
        <v>9282.482</v>
      </c>
      <c r="BV15" t="n">
        <v>8622.931</v>
      </c>
    </row>
    <row r="16">
      <c r="A16" t="inlineStr">
        <is>
          <t>Ethmidium maculatum</t>
        </is>
      </c>
      <c r="B16" t="inlineStr">
        <is>
          <t>Pacific menhaden</t>
        </is>
      </c>
      <c r="C16" t="inlineStr">
        <is>
          <t>Small pelagics (&lt;30 cm)</t>
        </is>
      </c>
      <c r="D16" t="inlineStr">
        <is>
          <t>Herring-likes</t>
        </is>
      </c>
      <c r="E16" t="n">
        <v>7350.294</v>
      </c>
      <c r="F16" t="n">
        <v>15681.83</v>
      </c>
      <c r="G16" t="n">
        <v>10680.305</v>
      </c>
      <c r="H16" t="n">
        <v>9264.713</v>
      </c>
      <c r="I16" t="n">
        <v>11773.993</v>
      </c>
      <c r="J16" t="n">
        <v>21196.23</v>
      </c>
      <c r="K16" t="n">
        <v>23492.03</v>
      </c>
      <c r="L16" t="n">
        <v>11924.011</v>
      </c>
      <c r="M16" t="n">
        <v>22885.913</v>
      </c>
      <c r="N16" t="n">
        <v>8169.682</v>
      </c>
      <c r="O16" t="n">
        <v>9291.002</v>
      </c>
      <c r="P16" t="n">
        <v>9977.606</v>
      </c>
      <c r="Q16" t="n">
        <v>13343.989</v>
      </c>
      <c r="R16" t="n">
        <v>9569.166999999999</v>
      </c>
      <c r="S16" t="n">
        <v>17680.887</v>
      </c>
      <c r="T16" t="n">
        <v>8655.314</v>
      </c>
      <c r="U16" t="n">
        <v>16347.955</v>
      </c>
      <c r="V16" t="n">
        <v>22561.301</v>
      </c>
      <c r="W16" t="n">
        <v>14531.133</v>
      </c>
      <c r="X16" t="n">
        <v>16092.456</v>
      </c>
      <c r="Y16" t="n">
        <v>24724.887</v>
      </c>
      <c r="Z16" t="n">
        <v>28190.96</v>
      </c>
      <c r="AA16" t="n">
        <v>46660.186</v>
      </c>
      <c r="AB16" t="n">
        <v>62680.615</v>
      </c>
      <c r="AC16" t="n">
        <v>22201.759</v>
      </c>
      <c r="AD16" t="n">
        <v>5481.169</v>
      </c>
      <c r="AE16" t="n">
        <v>4175.026</v>
      </c>
      <c r="AF16" t="n">
        <v>11631.932</v>
      </c>
      <c r="AG16" t="n">
        <v>9446.239</v>
      </c>
      <c r="AH16" t="n">
        <v>4691.266</v>
      </c>
      <c r="AI16" t="n">
        <v>14835.856</v>
      </c>
      <c r="AJ16" t="n">
        <v>12899.677</v>
      </c>
      <c r="AK16" t="n">
        <v>16931.208</v>
      </c>
      <c r="AL16" t="n">
        <v>17648.842</v>
      </c>
      <c r="AM16" t="n">
        <v>6257.28</v>
      </c>
      <c r="AN16" t="n">
        <v>6631.523</v>
      </c>
      <c r="AO16" t="n">
        <v>5638.426</v>
      </c>
      <c r="AP16" t="n">
        <v>3478.788</v>
      </c>
      <c r="AQ16" t="n">
        <v>3853.575</v>
      </c>
      <c r="AR16" t="n">
        <v>10135.202</v>
      </c>
      <c r="AS16" t="n">
        <v>9158.633</v>
      </c>
      <c r="AT16" t="n">
        <v>5428.255</v>
      </c>
      <c r="AU16" t="n">
        <v>27469.894</v>
      </c>
      <c r="AV16" t="n">
        <v>9050.846</v>
      </c>
      <c r="AW16" t="n">
        <v>7787.718</v>
      </c>
      <c r="AX16" t="n">
        <v>7605.224</v>
      </c>
      <c r="AY16" t="n">
        <v>17278.171</v>
      </c>
      <c r="AZ16" t="n">
        <v>23265.074</v>
      </c>
      <c r="BA16" t="n">
        <v>51801.828</v>
      </c>
      <c r="BB16" t="n">
        <v>37901.165</v>
      </c>
      <c r="BC16" t="n">
        <v>27865.962</v>
      </c>
      <c r="BD16" t="n">
        <v>24262.441</v>
      </c>
      <c r="BE16" t="n">
        <v>57332.325</v>
      </c>
      <c r="BF16" t="n">
        <v>46042.469</v>
      </c>
      <c r="BG16" t="n">
        <v>53962.812</v>
      </c>
      <c r="BH16" t="n">
        <v>29653.835</v>
      </c>
      <c r="BI16" t="n">
        <v>38909.233</v>
      </c>
      <c r="BJ16" t="n">
        <v>35225.562</v>
      </c>
      <c r="BK16" t="n">
        <v>41847.289</v>
      </c>
      <c r="BL16" t="n">
        <v>49677.648</v>
      </c>
      <c r="BM16" t="n">
        <v>24551.163</v>
      </c>
      <c r="BN16" t="n">
        <v>26164.929</v>
      </c>
      <c r="BO16" t="n">
        <v>27001.129</v>
      </c>
      <c r="BP16" t="n">
        <v>21971.961</v>
      </c>
      <c r="BQ16" t="n">
        <v>23612.143</v>
      </c>
      <c r="BR16" t="n">
        <v>17495.918</v>
      </c>
      <c r="BS16" t="n">
        <v>15460.807</v>
      </c>
      <c r="BT16" t="n">
        <v>33966.153</v>
      </c>
      <c r="BU16" t="n">
        <v>10759.329</v>
      </c>
      <c r="BV16" t="n">
        <v>19393.773</v>
      </c>
    </row>
    <row r="17">
      <c r="A17" t="inlineStr">
        <is>
          <t>Aulacomya atra</t>
        </is>
      </c>
      <c r="B17" t="inlineStr">
        <is>
          <t>Chilean ribbed mussel</t>
        </is>
      </c>
      <c r="C17" t="inlineStr">
        <is>
          <t>Other demersal invertebrates</t>
        </is>
      </c>
      <c r="D17" t="inlineStr">
        <is>
          <t>Molluscs</t>
        </is>
      </c>
      <c r="E17" t="n">
        <v>6592.547</v>
      </c>
      <c r="F17" t="n">
        <v>6592.547</v>
      </c>
      <c r="G17" t="n">
        <v>6592.547</v>
      </c>
      <c r="H17" t="n">
        <v>7176.561</v>
      </c>
      <c r="I17" t="n">
        <v>7170.682</v>
      </c>
      <c r="J17" t="n">
        <v>6737.571</v>
      </c>
      <c r="K17" t="n">
        <v>7895.8</v>
      </c>
      <c r="L17" t="n">
        <v>8179.967</v>
      </c>
      <c r="M17" t="n">
        <v>9318.598</v>
      </c>
      <c r="N17" t="n">
        <v>10372.959</v>
      </c>
      <c r="O17" t="n">
        <v>11773.22</v>
      </c>
      <c r="P17" t="n">
        <v>16396.905</v>
      </c>
      <c r="Q17" t="n">
        <v>20085.848</v>
      </c>
      <c r="R17" t="n">
        <v>20605.117</v>
      </c>
      <c r="S17" t="n">
        <v>24048.791</v>
      </c>
      <c r="T17" t="n">
        <v>5645.14</v>
      </c>
      <c r="U17" t="n">
        <v>6326.163</v>
      </c>
      <c r="V17" t="n">
        <v>35356.307</v>
      </c>
      <c r="W17" t="n">
        <v>23719.013</v>
      </c>
      <c r="X17" t="n">
        <v>18658.929</v>
      </c>
      <c r="Y17" t="n">
        <v>30212.952</v>
      </c>
      <c r="Z17" t="n">
        <v>34402.276</v>
      </c>
      <c r="AA17" t="n">
        <v>23698.842</v>
      </c>
      <c r="AB17" t="n">
        <v>33447.863</v>
      </c>
      <c r="AC17" t="n">
        <v>109240.645</v>
      </c>
      <c r="AD17" t="n">
        <v>30303.737</v>
      </c>
      <c r="AE17" t="n">
        <v>42946.637</v>
      </c>
      <c r="AF17" t="n">
        <v>25003.912</v>
      </c>
      <c r="AG17" t="n">
        <v>31661.314</v>
      </c>
      <c r="AH17" t="n">
        <v>27724.784</v>
      </c>
      <c r="AI17" t="n">
        <v>33334.82</v>
      </c>
      <c r="AJ17" t="n">
        <v>25217.846</v>
      </c>
      <c r="AK17" t="n">
        <v>24790.338</v>
      </c>
      <c r="AL17" t="n">
        <v>7809.715</v>
      </c>
      <c r="AM17" t="n">
        <v>22048.182</v>
      </c>
      <c r="AN17" t="n">
        <v>14864.628</v>
      </c>
      <c r="AO17" t="n">
        <v>23880.368</v>
      </c>
      <c r="AP17" t="n">
        <v>23942.457</v>
      </c>
      <c r="AQ17" t="n">
        <v>23465.131</v>
      </c>
      <c r="AR17" t="n">
        <v>28478.441</v>
      </c>
      <c r="AS17" t="n">
        <v>31792.607</v>
      </c>
      <c r="AT17" t="n">
        <v>12028.831</v>
      </c>
      <c r="AU17" t="n">
        <v>20126.57</v>
      </c>
      <c r="AV17" t="n">
        <v>17714.033</v>
      </c>
      <c r="AW17" t="n">
        <v>21979.612</v>
      </c>
      <c r="AX17" t="n">
        <v>23854.235</v>
      </c>
      <c r="AY17" t="n">
        <v>17773.354</v>
      </c>
      <c r="AZ17" t="n">
        <v>13949.028</v>
      </c>
      <c r="BA17" t="n">
        <v>22104.174</v>
      </c>
      <c r="BB17" t="n">
        <v>21962.439</v>
      </c>
      <c r="BC17" t="n">
        <v>19713.805</v>
      </c>
      <c r="BD17" t="n">
        <v>22635.627</v>
      </c>
      <c r="BE17" t="n">
        <v>27985.488</v>
      </c>
      <c r="BF17" t="n">
        <v>20059.054</v>
      </c>
      <c r="BG17" t="n">
        <v>16857.547</v>
      </c>
      <c r="BH17" t="n">
        <v>15173.362</v>
      </c>
      <c r="BI17" t="n">
        <v>11510.944</v>
      </c>
      <c r="BJ17" t="n">
        <v>16735.611</v>
      </c>
      <c r="BK17" t="n">
        <v>18616.369</v>
      </c>
      <c r="BL17" t="n">
        <v>17091.669</v>
      </c>
      <c r="BM17" t="n">
        <v>17674.52</v>
      </c>
      <c r="BN17" t="n">
        <v>16814.129</v>
      </c>
      <c r="BO17" t="n">
        <v>18184.842</v>
      </c>
      <c r="BP17" t="n">
        <v>20675.85</v>
      </c>
      <c r="BQ17" t="n">
        <v>15929.083</v>
      </c>
      <c r="BR17" t="n">
        <v>12835.813</v>
      </c>
      <c r="BS17" t="n">
        <v>13424.543</v>
      </c>
      <c r="BT17" t="n">
        <v>11283.511</v>
      </c>
      <c r="BU17" t="n">
        <v>9866.196</v>
      </c>
      <c r="BV17" t="n">
        <v>9550.629000000001</v>
      </c>
    </row>
    <row r="18">
      <c r="A18" t="inlineStr">
        <is>
          <t>Anchoa nasus</t>
        </is>
      </c>
      <c r="B18" t="inlineStr">
        <is>
          <t>Longnose anchovy</t>
        </is>
      </c>
      <c r="C18" t="inlineStr">
        <is>
          <t>Small pelagics (&lt;30 cm)</t>
        </is>
      </c>
      <c r="D18" t="inlineStr">
        <is>
          <t>Anchovies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68463.575</v>
      </c>
      <c r="AW18" t="n">
        <v>43012.409</v>
      </c>
      <c r="AX18" t="n">
        <v>204432.712</v>
      </c>
      <c r="AY18" t="n">
        <v>64381.383</v>
      </c>
      <c r="AZ18" t="n">
        <v>26667.138</v>
      </c>
      <c r="BA18" t="n">
        <v>762323.341</v>
      </c>
      <c r="BB18" t="n">
        <v>12135.402</v>
      </c>
      <c r="BC18" t="n">
        <v>4175.127</v>
      </c>
      <c r="BD18" t="n">
        <v>148000.313</v>
      </c>
      <c r="BE18" t="n">
        <v>6501.108</v>
      </c>
      <c r="BF18" t="n">
        <v>6383.854</v>
      </c>
      <c r="BG18" t="n">
        <v>4404.425</v>
      </c>
      <c r="BH18" t="n">
        <v>332.655</v>
      </c>
      <c r="BI18" t="n">
        <v>0</v>
      </c>
      <c r="BJ18" t="n">
        <v>7.817</v>
      </c>
      <c r="BK18" t="n">
        <v>8.686</v>
      </c>
      <c r="BL18" t="n">
        <v>6.08</v>
      </c>
      <c r="BM18" t="n">
        <v>28879.339</v>
      </c>
      <c r="BN18" t="n">
        <v>3799.913</v>
      </c>
      <c r="BO18" t="n">
        <v>0</v>
      </c>
      <c r="BP18" t="n">
        <v>0</v>
      </c>
      <c r="BQ18" t="n">
        <v>0</v>
      </c>
      <c r="BR18" t="n">
        <v>699.184</v>
      </c>
      <c r="BS18" t="n">
        <v>2906.173</v>
      </c>
      <c r="BT18" t="n">
        <v>704.395</v>
      </c>
      <c r="BU18" t="n">
        <v>265.777</v>
      </c>
      <c r="BV18" t="n">
        <v>35.133</v>
      </c>
    </row>
    <row r="19">
      <c r="A19" t="inlineStr">
        <is>
          <t>Strangomera bentincki</t>
        </is>
      </c>
      <c r="B19" t="inlineStr">
        <is>
          <t>Araucanian herring</t>
        </is>
      </c>
      <c r="C19" t="inlineStr">
        <is>
          <t>Small pelagics (&lt;30 cm)</t>
        </is>
      </c>
      <c r="D19" t="inlineStr">
        <is>
          <t>Herring-likes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384240.098</v>
      </c>
      <c r="BS19" t="n">
        <v>0</v>
      </c>
      <c r="BT19" t="n">
        <v>314243.805</v>
      </c>
      <c r="BU19" t="n">
        <v>327637.732</v>
      </c>
      <c r="BV19" t="n">
        <v>309373.641</v>
      </c>
    </row>
    <row r="20">
      <c r="A20" t="inlineStr">
        <is>
          <t>Coryphaena hippurus</t>
        </is>
      </c>
      <c r="B20" t="inlineStr">
        <is>
          <t>Common dolphinfish</t>
        </is>
      </c>
      <c r="C20" t="inlineStr">
        <is>
          <t>Large pelagics (&gt;=90 cm)</t>
        </is>
      </c>
      <c r="D20" t="inlineStr">
        <is>
          <t>Perch-likes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0.114</v>
      </c>
      <c r="J20" t="n">
        <v>0.06900000000000001</v>
      </c>
      <c r="K20" t="n">
        <v>0</v>
      </c>
      <c r="L20" t="n">
        <v>2.254</v>
      </c>
      <c r="M20" t="n">
        <v>0</v>
      </c>
      <c r="N20" t="n">
        <v>1.111</v>
      </c>
      <c r="O20" t="n">
        <v>12.648</v>
      </c>
      <c r="P20" t="n">
        <v>2.145</v>
      </c>
      <c r="Q20" t="n">
        <v>11.749</v>
      </c>
      <c r="R20" t="n">
        <v>32.052</v>
      </c>
      <c r="S20" t="n">
        <v>45.053</v>
      </c>
      <c r="T20" t="n">
        <v>125.453</v>
      </c>
      <c r="U20" t="n">
        <v>87.72499999999999</v>
      </c>
      <c r="V20" t="n">
        <v>314.688</v>
      </c>
      <c r="W20" t="n">
        <v>47.486</v>
      </c>
      <c r="X20" t="n">
        <v>51.714</v>
      </c>
      <c r="Y20" t="n">
        <v>7.945</v>
      </c>
      <c r="Z20" t="n">
        <v>51.488</v>
      </c>
      <c r="AA20" t="n">
        <v>264.844</v>
      </c>
      <c r="AB20" t="n">
        <v>219.6</v>
      </c>
      <c r="AC20" t="n">
        <v>355.384</v>
      </c>
      <c r="AD20" t="n">
        <v>893.973</v>
      </c>
      <c r="AE20" t="n">
        <v>962.374</v>
      </c>
      <c r="AF20" t="n">
        <v>695.807</v>
      </c>
      <c r="AG20" t="n">
        <v>812.7569999999999</v>
      </c>
      <c r="AH20" t="n">
        <v>739.593</v>
      </c>
      <c r="AI20" t="n">
        <v>324.428</v>
      </c>
      <c r="AJ20" t="n">
        <v>499.011</v>
      </c>
      <c r="AK20" t="n">
        <v>3033.698</v>
      </c>
      <c r="AL20" t="n">
        <v>89.42400000000001</v>
      </c>
      <c r="AM20" t="n">
        <v>80.70699999999999</v>
      </c>
      <c r="AN20" t="n">
        <v>1324.441</v>
      </c>
      <c r="AO20" t="n">
        <v>3446.25</v>
      </c>
      <c r="AP20" t="n">
        <v>204.415</v>
      </c>
      <c r="AQ20" t="n">
        <v>797.754</v>
      </c>
      <c r="AR20" t="n">
        <v>810.226</v>
      </c>
      <c r="AS20" t="n">
        <v>457.528</v>
      </c>
      <c r="AT20" t="n">
        <v>612.575</v>
      </c>
      <c r="AU20" t="n">
        <v>5233.385</v>
      </c>
      <c r="AV20" t="n">
        <v>4410.246</v>
      </c>
      <c r="AW20" t="n">
        <v>4317.066</v>
      </c>
      <c r="AX20" t="n">
        <v>8239.689</v>
      </c>
      <c r="AY20" t="n">
        <v>3316.633</v>
      </c>
      <c r="AZ20" t="n">
        <v>9944.964</v>
      </c>
      <c r="BA20" t="n">
        <v>26232.578</v>
      </c>
      <c r="BB20" t="n">
        <v>2606.901</v>
      </c>
      <c r="BC20" t="n">
        <v>13806.941</v>
      </c>
      <c r="BD20" t="n">
        <v>34851.615</v>
      </c>
      <c r="BE20" t="n">
        <v>36859.831</v>
      </c>
      <c r="BF20" t="n">
        <v>44132.497</v>
      </c>
      <c r="BG20" t="n">
        <v>39027.812</v>
      </c>
      <c r="BH20" t="n">
        <v>45995.859</v>
      </c>
      <c r="BI20" t="n">
        <v>41870.015</v>
      </c>
      <c r="BJ20" t="n">
        <v>43757.362</v>
      </c>
      <c r="BK20" t="n">
        <v>61281.221</v>
      </c>
      <c r="BL20" t="n">
        <v>70741.783</v>
      </c>
      <c r="BM20" t="n">
        <v>66008.189</v>
      </c>
      <c r="BN20" t="n">
        <v>54084.195</v>
      </c>
      <c r="BO20" t="n">
        <v>72963.139</v>
      </c>
      <c r="BP20" t="n">
        <v>69165.41099999999</v>
      </c>
      <c r="BQ20" t="n">
        <v>68340.162</v>
      </c>
      <c r="BR20" t="n">
        <v>76654.47199999999</v>
      </c>
      <c r="BS20" t="n">
        <v>50026.381</v>
      </c>
      <c r="BT20" t="n">
        <v>38626.951</v>
      </c>
      <c r="BU20" t="n">
        <v>59065.862</v>
      </c>
      <c r="BV20" t="n">
        <v>47415.612</v>
      </c>
    </row>
    <row r="21">
      <c r="A21" t="inlineStr">
        <is>
          <t>Grimothea monodon</t>
        </is>
      </c>
      <c r="B21" t="inlineStr">
        <is>
          <t>Squat Lobster</t>
        </is>
      </c>
      <c r="C21" t="inlineStr">
        <is>
          <t>Lobsters, crabs</t>
        </is>
      </c>
      <c r="D21" t="inlineStr">
        <is>
          <t>Crustaceans</t>
        </is>
      </c>
      <c r="E21" t="n">
        <v>5973.46</v>
      </c>
      <c r="F21" t="n">
        <v>6084.593</v>
      </c>
      <c r="G21" t="n">
        <v>6324.149</v>
      </c>
      <c r="H21" t="n">
        <v>6291.929</v>
      </c>
      <c r="I21" t="n">
        <v>6203.477</v>
      </c>
      <c r="J21" t="n">
        <v>6516.687</v>
      </c>
      <c r="K21" t="n">
        <v>6383.337</v>
      </c>
      <c r="L21" t="n">
        <v>6364.896</v>
      </c>
      <c r="M21" t="n">
        <v>6317.725</v>
      </c>
      <c r="N21" t="n">
        <v>6325.519</v>
      </c>
      <c r="O21" t="n">
        <v>6483.341</v>
      </c>
      <c r="P21" t="n">
        <v>8638.370999999999</v>
      </c>
      <c r="Q21" t="n">
        <v>8161.699</v>
      </c>
      <c r="R21" t="n">
        <v>10555.875</v>
      </c>
      <c r="S21" t="n">
        <v>11908.697</v>
      </c>
      <c r="T21" t="n">
        <v>1151.969</v>
      </c>
      <c r="U21" t="n">
        <v>15095.696</v>
      </c>
      <c r="V21" t="n">
        <v>1227.613</v>
      </c>
      <c r="W21" t="n">
        <v>21039.923</v>
      </c>
      <c r="X21" t="n">
        <v>28309.712</v>
      </c>
      <c r="Y21" t="n">
        <v>12692.505</v>
      </c>
      <c r="Z21" t="n">
        <v>39842.959</v>
      </c>
      <c r="AA21" t="n">
        <v>34826.448</v>
      </c>
      <c r="AB21" t="n">
        <v>26945.612</v>
      </c>
      <c r="AC21" t="n">
        <v>29349.619</v>
      </c>
      <c r="AD21" t="n">
        <v>75090.901</v>
      </c>
      <c r="AE21" t="n">
        <v>3004.756</v>
      </c>
      <c r="AF21" t="n">
        <v>92154.77899999999</v>
      </c>
      <c r="AG21" t="n">
        <v>9524.258</v>
      </c>
      <c r="AH21" t="n">
        <v>32629.311</v>
      </c>
      <c r="AI21" t="n">
        <v>6730.325</v>
      </c>
      <c r="AJ21" t="n">
        <v>6586.897</v>
      </c>
      <c r="AK21" t="n">
        <v>9365.116</v>
      </c>
      <c r="AL21" t="n">
        <v>27357.145</v>
      </c>
      <c r="AM21" t="n">
        <v>21219.712</v>
      </c>
      <c r="AN21" t="n">
        <v>12395.451</v>
      </c>
      <c r="AO21" t="n">
        <v>12865.684</v>
      </c>
      <c r="AP21" t="n">
        <v>10202.279</v>
      </c>
      <c r="AQ21" t="n">
        <v>11375.184</v>
      </c>
      <c r="AR21" t="n">
        <v>13617</v>
      </c>
      <c r="AS21" t="n">
        <v>13166.73</v>
      </c>
      <c r="AT21" t="n">
        <v>16350.373</v>
      </c>
      <c r="AU21" t="n">
        <v>20688.887</v>
      </c>
      <c r="AV21" t="n">
        <v>19003.209</v>
      </c>
      <c r="AW21" t="n">
        <v>21483.587</v>
      </c>
      <c r="AX21" t="n">
        <v>25685.208</v>
      </c>
      <c r="AY21" t="n">
        <v>26705.749</v>
      </c>
      <c r="AZ21" t="n">
        <v>23362.089</v>
      </c>
      <c r="BA21" t="n">
        <v>21523.701</v>
      </c>
      <c r="BB21" t="n">
        <v>22080.76</v>
      </c>
      <c r="BC21" t="n">
        <v>18545.813</v>
      </c>
      <c r="BD21" t="n">
        <v>11598.073</v>
      </c>
      <c r="BE21" t="n">
        <v>11046.707</v>
      </c>
      <c r="BF21" t="n">
        <v>8758.237999999999</v>
      </c>
      <c r="BG21" t="n">
        <v>9278.093000000001</v>
      </c>
      <c r="BH21" t="n">
        <v>10821.808</v>
      </c>
      <c r="BI21" t="n">
        <v>13960.563</v>
      </c>
      <c r="BJ21" t="n">
        <v>15712.655</v>
      </c>
      <c r="BK21" t="n">
        <v>10441.875</v>
      </c>
      <c r="BL21" t="n">
        <v>10371.425</v>
      </c>
      <c r="BM21" t="n">
        <v>9328.959999999999</v>
      </c>
      <c r="BN21" t="n">
        <v>9876.264999999999</v>
      </c>
      <c r="BO21" t="n">
        <v>14270.897</v>
      </c>
      <c r="BP21" t="n">
        <v>17507.394</v>
      </c>
      <c r="BQ21" t="n">
        <v>17964.188</v>
      </c>
      <c r="BR21" t="n">
        <v>7659.703</v>
      </c>
      <c r="BS21" t="n">
        <v>6110.222</v>
      </c>
      <c r="BT21" t="n">
        <v>3154.922</v>
      </c>
      <c r="BU21" t="n">
        <v>3432.776</v>
      </c>
      <c r="BV21" t="n">
        <v>2770.615</v>
      </c>
    </row>
    <row r="22">
      <c r="A22" t="inlineStr">
        <is>
          <t>Cervimunida johni</t>
        </is>
      </c>
      <c r="B22" t="inlineStr">
        <is>
          <t>Carrot squat lobster</t>
        </is>
      </c>
      <c r="C22" t="inlineStr">
        <is>
          <t>Lobsters, crabs</t>
        </is>
      </c>
      <c r="D22" t="inlineStr">
        <is>
          <t>Crustaceans</t>
        </is>
      </c>
      <c r="E22" t="n">
        <v>771.386</v>
      </c>
      <c r="F22" t="n">
        <v>953.504</v>
      </c>
      <c r="G22" t="n">
        <v>1346.071</v>
      </c>
      <c r="H22" t="n">
        <v>1291.665</v>
      </c>
      <c r="I22" t="n">
        <v>1146.715</v>
      </c>
      <c r="J22" t="n">
        <v>1659.983</v>
      </c>
      <c r="K22" t="n">
        <v>1441.457</v>
      </c>
      <c r="L22" t="n">
        <v>1408.023</v>
      </c>
      <c r="M22" t="n">
        <v>1330.722</v>
      </c>
      <c r="N22" t="n">
        <v>1341.887</v>
      </c>
      <c r="O22" t="n">
        <v>1600.514</v>
      </c>
      <c r="P22" t="n">
        <v>1709.289</v>
      </c>
      <c r="Q22" t="n">
        <v>1849.543</v>
      </c>
      <c r="R22" t="n">
        <v>2236.4</v>
      </c>
      <c r="S22" t="n">
        <v>2110.702</v>
      </c>
      <c r="T22" t="n">
        <v>1806.478</v>
      </c>
      <c r="U22" t="n">
        <v>2906.483</v>
      </c>
      <c r="V22" t="n">
        <v>2713.636</v>
      </c>
      <c r="W22" t="n">
        <v>3400.557</v>
      </c>
      <c r="X22" t="n">
        <v>2750.298</v>
      </c>
      <c r="Y22" t="n">
        <v>371496.29</v>
      </c>
      <c r="Z22" t="n">
        <v>3956.814</v>
      </c>
      <c r="AA22" t="n">
        <v>2994.787</v>
      </c>
      <c r="AB22" t="n">
        <v>2798.092</v>
      </c>
      <c r="AC22" t="n">
        <v>3531.842</v>
      </c>
      <c r="AD22" t="n">
        <v>7429.139</v>
      </c>
      <c r="AE22" t="n">
        <v>4346.309</v>
      </c>
      <c r="AF22" t="n">
        <v>9050.712</v>
      </c>
      <c r="AG22" t="n">
        <v>80875.14</v>
      </c>
      <c r="AH22" t="n">
        <v>6363.527</v>
      </c>
      <c r="AI22" t="n">
        <v>8340.33</v>
      </c>
      <c r="AJ22" t="n">
        <v>23959.973</v>
      </c>
      <c r="AK22" t="n">
        <v>21929.409</v>
      </c>
      <c r="AL22" t="n">
        <v>23782.25</v>
      </c>
      <c r="AM22" t="n">
        <v>12963.173</v>
      </c>
      <c r="AN22" t="n">
        <v>14019.322</v>
      </c>
      <c r="AO22" t="n">
        <v>13338.118</v>
      </c>
      <c r="AP22" t="n">
        <v>13316.1</v>
      </c>
      <c r="AQ22" t="n">
        <v>14727.528</v>
      </c>
      <c r="AR22" t="n">
        <v>19739.422</v>
      </c>
      <c r="AS22" t="n">
        <v>21474.801</v>
      </c>
      <c r="AT22" t="n">
        <v>22584.83</v>
      </c>
      <c r="AU22" t="n">
        <v>23605.431</v>
      </c>
      <c r="AV22" t="n">
        <v>21006.195</v>
      </c>
      <c r="AW22" t="n">
        <v>26828.426</v>
      </c>
      <c r="AX22" t="n">
        <v>29281.57</v>
      </c>
      <c r="AY22" t="n">
        <v>27372.567</v>
      </c>
      <c r="AZ22" t="n">
        <v>23969.373</v>
      </c>
      <c r="BA22" t="n">
        <v>16843.464</v>
      </c>
      <c r="BB22" t="n">
        <v>12504.48</v>
      </c>
      <c r="BC22" t="n">
        <v>11027.159</v>
      </c>
      <c r="BD22" t="n">
        <v>11797.707</v>
      </c>
      <c r="BE22" t="n">
        <v>9238.977000000001</v>
      </c>
      <c r="BF22" t="n">
        <v>9477.98</v>
      </c>
      <c r="BG22" t="n">
        <v>10320.195</v>
      </c>
      <c r="BH22" t="n">
        <v>8644.995999999999</v>
      </c>
      <c r="BI22" t="n">
        <v>8074.696</v>
      </c>
      <c r="BJ22" t="n">
        <v>7683.918</v>
      </c>
      <c r="BK22" t="n">
        <v>5498.459</v>
      </c>
      <c r="BL22" t="n">
        <v>5623.685</v>
      </c>
      <c r="BM22" t="n">
        <v>4583.122</v>
      </c>
      <c r="BN22" t="n">
        <v>7860.035</v>
      </c>
      <c r="BO22" t="n">
        <v>6846.852</v>
      </c>
      <c r="BP22" t="n">
        <v>4786.535</v>
      </c>
      <c r="BQ22" t="n">
        <v>5341.787</v>
      </c>
      <c r="BR22" t="n">
        <v>4473.376</v>
      </c>
      <c r="BS22" t="n">
        <v>3758.504</v>
      </c>
      <c r="BT22" t="n">
        <v>2241.816</v>
      </c>
      <c r="BU22" t="n">
        <v>2555.146</v>
      </c>
      <c r="BV22" t="n">
        <v>2053.655</v>
      </c>
    </row>
    <row r="23">
      <c r="A23" t="inlineStr">
        <is>
          <t>Mugil cephalus</t>
        </is>
      </c>
      <c r="B23" t="inlineStr">
        <is>
          <t>Flathead grey mullet</t>
        </is>
      </c>
      <c r="C23" t="inlineStr">
        <is>
          <t>Large benthopelagics (&gt;=90 cm)</t>
        </is>
      </c>
      <c r="D23" t="inlineStr">
        <is>
          <t>Perch-likes</t>
        </is>
      </c>
      <c r="E23" t="n">
        <v>384.072</v>
      </c>
      <c r="F23" t="n">
        <v>145.91</v>
      </c>
      <c r="G23" t="n">
        <v>252.283</v>
      </c>
      <c r="H23" t="n">
        <v>128.965</v>
      </c>
      <c r="I23" t="n">
        <v>382.19</v>
      </c>
      <c r="J23" t="n">
        <v>630.707</v>
      </c>
      <c r="K23" t="n">
        <v>878.283</v>
      </c>
      <c r="L23" t="n">
        <v>1388.496</v>
      </c>
      <c r="M23" t="n">
        <v>1133.39</v>
      </c>
      <c r="N23" t="n">
        <v>1888.355</v>
      </c>
      <c r="O23" t="n">
        <v>2075.894</v>
      </c>
      <c r="P23" t="n">
        <v>3160.064</v>
      </c>
      <c r="Q23" t="n">
        <v>5364.209</v>
      </c>
      <c r="R23" t="n">
        <v>3077.353</v>
      </c>
      <c r="S23" t="n">
        <v>3331.732</v>
      </c>
      <c r="T23" t="n">
        <v>3366.975</v>
      </c>
      <c r="U23" t="n">
        <v>1478.719</v>
      </c>
      <c r="V23" t="n">
        <v>1062.488</v>
      </c>
      <c r="W23" t="n">
        <v>1280.132</v>
      </c>
      <c r="X23" t="n">
        <v>1306.706</v>
      </c>
      <c r="Y23" t="n">
        <v>1585.679</v>
      </c>
      <c r="Z23" t="n">
        <v>2844.403</v>
      </c>
      <c r="AA23" t="n">
        <v>6126.539</v>
      </c>
      <c r="AB23" t="n">
        <v>9006.946</v>
      </c>
      <c r="AC23" t="n">
        <v>9692.300999999999</v>
      </c>
      <c r="AD23" t="n">
        <v>8491.468000000001</v>
      </c>
      <c r="AE23" t="n">
        <v>4585.221</v>
      </c>
      <c r="AF23" t="n">
        <v>8238.139999999999</v>
      </c>
      <c r="AG23" t="n">
        <v>10377.32</v>
      </c>
      <c r="AH23" t="n">
        <v>17672.025</v>
      </c>
      <c r="AI23" t="n">
        <v>23689.5</v>
      </c>
      <c r="AJ23" t="n">
        <v>22044.251</v>
      </c>
      <c r="AK23" t="n">
        <v>19751.768</v>
      </c>
      <c r="AL23" t="n">
        <v>21833.498</v>
      </c>
      <c r="AM23" t="n">
        <v>27326.73</v>
      </c>
      <c r="AN23" t="n">
        <v>20295.967</v>
      </c>
      <c r="AO23" t="n">
        <v>22196.51</v>
      </c>
      <c r="AP23" t="n">
        <v>31590.319</v>
      </c>
      <c r="AQ23" t="n">
        <v>21973.197</v>
      </c>
      <c r="AR23" t="n">
        <v>37558.232</v>
      </c>
      <c r="AS23" t="n">
        <v>27507.858</v>
      </c>
      <c r="AT23" t="n">
        <v>8280.02</v>
      </c>
      <c r="AU23" t="n">
        <v>30262.098</v>
      </c>
      <c r="AV23" t="n">
        <v>19281.746</v>
      </c>
      <c r="AW23" t="n">
        <v>21941.194</v>
      </c>
      <c r="AX23" t="n">
        <v>21290.753</v>
      </c>
      <c r="AY23" t="n">
        <v>17876.359</v>
      </c>
      <c r="AZ23" t="n">
        <v>16832.476</v>
      </c>
      <c r="BA23" t="n">
        <v>36408.391</v>
      </c>
      <c r="BB23" t="n">
        <v>26053.241</v>
      </c>
      <c r="BC23" t="n">
        <v>33309.599</v>
      </c>
      <c r="BD23" t="n">
        <v>30467.13</v>
      </c>
      <c r="BE23" t="n">
        <v>24763.047</v>
      </c>
      <c r="BF23" t="n">
        <v>24222.771</v>
      </c>
      <c r="BG23" t="n">
        <v>15502.915</v>
      </c>
      <c r="BH23" t="n">
        <v>8978.981</v>
      </c>
      <c r="BI23" t="n">
        <v>5406.712</v>
      </c>
      <c r="BJ23" t="n">
        <v>13426.833</v>
      </c>
      <c r="BK23" t="n">
        <v>20468.138</v>
      </c>
      <c r="BL23" t="n">
        <v>23517.881</v>
      </c>
      <c r="BM23" t="n">
        <v>13776.511</v>
      </c>
      <c r="BN23" t="n">
        <v>17084.067</v>
      </c>
      <c r="BO23" t="n">
        <v>23941.551</v>
      </c>
      <c r="BP23" t="n">
        <v>17514.412</v>
      </c>
      <c r="BQ23" t="n">
        <v>18053.953</v>
      </c>
      <c r="BR23" t="n">
        <v>17760.431</v>
      </c>
      <c r="BS23" t="n">
        <v>21745.96</v>
      </c>
      <c r="BT23" t="n">
        <v>40893.162</v>
      </c>
      <c r="BU23" t="n">
        <v>33009.647</v>
      </c>
      <c r="BV23" t="n">
        <v>32279.129</v>
      </c>
    </row>
    <row r="24">
      <c r="A24" t="inlineStr">
        <is>
          <t>Katsuwonus pelamis</t>
        </is>
      </c>
      <c r="B24" t="inlineStr">
        <is>
          <t>Skipjack tuna</t>
        </is>
      </c>
      <c r="C24" t="inlineStr">
        <is>
          <t>Large pelagics (&gt;=90 cm)</t>
        </is>
      </c>
      <c r="D24" t="inlineStr">
        <is>
          <t>Tuna &amp; billfishes</t>
        </is>
      </c>
      <c r="E24" t="n">
        <v>0.9419999999999999</v>
      </c>
      <c r="F24" t="n">
        <v>6.594</v>
      </c>
      <c r="G24" t="n">
        <v>18.84</v>
      </c>
      <c r="H24" t="n">
        <v>23.55</v>
      </c>
      <c r="I24" t="n">
        <v>35.8</v>
      </c>
      <c r="J24" t="n">
        <v>32.059</v>
      </c>
      <c r="K24" t="n">
        <v>42.389</v>
      </c>
      <c r="L24" t="n">
        <v>46.223</v>
      </c>
      <c r="M24" t="n">
        <v>59.345</v>
      </c>
      <c r="N24" t="n">
        <v>529.852</v>
      </c>
      <c r="O24" t="n">
        <v>1391.248</v>
      </c>
      <c r="P24" t="n">
        <v>2010.597</v>
      </c>
      <c r="Q24" t="n">
        <v>1242.512</v>
      </c>
      <c r="R24" t="n">
        <v>8924.691999999999</v>
      </c>
      <c r="S24" t="n">
        <v>3155.423</v>
      </c>
      <c r="T24" t="n">
        <v>7755.373</v>
      </c>
      <c r="U24" t="n">
        <v>3205.426</v>
      </c>
      <c r="V24" t="n">
        <v>15940.027</v>
      </c>
      <c r="W24" t="n">
        <v>1145.016</v>
      </c>
      <c r="X24" t="n">
        <v>3459.293</v>
      </c>
      <c r="Y24" t="n">
        <v>385.702</v>
      </c>
      <c r="Z24" t="n">
        <v>239.827</v>
      </c>
      <c r="AA24" t="n">
        <v>656.818</v>
      </c>
      <c r="AB24" t="n">
        <v>754.269</v>
      </c>
      <c r="AC24" t="n">
        <v>396.621</v>
      </c>
      <c r="AD24" t="n">
        <v>66.55800000000001</v>
      </c>
      <c r="AE24" t="n">
        <v>3826.074</v>
      </c>
      <c r="AF24" t="n">
        <v>812.453</v>
      </c>
      <c r="AG24" t="n">
        <v>267.246</v>
      </c>
      <c r="AH24" t="n">
        <v>244.791</v>
      </c>
      <c r="AI24" t="n">
        <v>160.583</v>
      </c>
      <c r="AJ24" t="n">
        <v>29.399</v>
      </c>
      <c r="AK24" t="n">
        <v>80.77800000000001</v>
      </c>
      <c r="AL24" t="n">
        <v>1704.106</v>
      </c>
      <c r="AM24" t="n">
        <v>3019.151</v>
      </c>
      <c r="AN24" t="n">
        <v>1.922</v>
      </c>
      <c r="AO24" t="n">
        <v>3.181</v>
      </c>
      <c r="AP24" t="n">
        <v>11.523</v>
      </c>
      <c r="AQ24" t="n">
        <v>26.603</v>
      </c>
      <c r="AR24" t="n">
        <v>336.231</v>
      </c>
      <c r="AS24" t="n">
        <v>873.28</v>
      </c>
      <c r="AT24" t="n">
        <v>39.102</v>
      </c>
      <c r="AU24" t="n">
        <v>16702.035</v>
      </c>
      <c r="AV24" t="n">
        <v>17807.345</v>
      </c>
      <c r="AW24" t="n">
        <v>16443.945</v>
      </c>
      <c r="AX24" t="n">
        <v>10830.558</v>
      </c>
      <c r="AY24" t="n">
        <v>2621.678</v>
      </c>
      <c r="AZ24" t="n">
        <v>1845.513</v>
      </c>
      <c r="BA24" t="n">
        <v>6489.536</v>
      </c>
      <c r="BB24" t="n">
        <v>557.928</v>
      </c>
      <c r="BC24" t="n">
        <v>331.737</v>
      </c>
      <c r="BD24" t="n">
        <v>4094.535</v>
      </c>
      <c r="BE24" t="n">
        <v>5690.924</v>
      </c>
      <c r="BF24" t="n">
        <v>24445.037</v>
      </c>
      <c r="BG24" t="n">
        <v>21851.738</v>
      </c>
      <c r="BH24" t="n">
        <v>75932.166</v>
      </c>
      <c r="BI24" t="n">
        <v>73200.821</v>
      </c>
      <c r="BJ24" t="n">
        <v>59602.757</v>
      </c>
      <c r="BK24" t="n">
        <v>62182.436</v>
      </c>
      <c r="BL24" t="n">
        <v>47323.413</v>
      </c>
      <c r="BM24" t="n">
        <v>11872.707</v>
      </c>
      <c r="BN24" t="n">
        <v>47747.467</v>
      </c>
      <c r="BO24" t="n">
        <v>27971.162</v>
      </c>
      <c r="BP24" t="n">
        <v>31816.138</v>
      </c>
      <c r="BQ24" t="n">
        <v>33930.362</v>
      </c>
      <c r="BR24" t="n">
        <v>78172.41499999999</v>
      </c>
      <c r="BS24" t="n">
        <v>75273.444</v>
      </c>
      <c r="BT24" t="n">
        <v>72654.90300000001</v>
      </c>
      <c r="BU24" t="n">
        <v>25556.517</v>
      </c>
      <c r="BV24" t="n">
        <v>53711.599</v>
      </c>
    </row>
    <row r="25">
      <c r="A25" t="inlineStr">
        <is>
          <t>Veneridae</t>
        </is>
      </c>
      <c r="B25" t="inlineStr">
        <is>
          <t>Venus clams</t>
        </is>
      </c>
      <c r="C25" t="inlineStr">
        <is>
          <t>Other demersal invertebrates</t>
        </is>
      </c>
      <c r="D25" t="inlineStr">
        <is>
          <t>Molluscs</t>
        </is>
      </c>
      <c r="E25" t="n">
        <v>2351.622</v>
      </c>
      <c r="F25" t="n">
        <v>2351.622</v>
      </c>
      <c r="G25" t="n">
        <v>2351.622</v>
      </c>
      <c r="H25" t="n">
        <v>2351.622</v>
      </c>
      <c r="I25" t="n">
        <v>2351.622</v>
      </c>
      <c r="J25" t="n">
        <v>2351.622</v>
      </c>
      <c r="K25" t="n">
        <v>2351.622</v>
      </c>
      <c r="L25" t="n">
        <v>2351.622</v>
      </c>
      <c r="M25" t="n">
        <v>2351.622</v>
      </c>
      <c r="N25" t="n">
        <v>2351.622</v>
      </c>
      <c r="O25" t="n">
        <v>2351.622</v>
      </c>
      <c r="P25" t="n">
        <v>2048.375</v>
      </c>
      <c r="Q25" t="n">
        <v>2630.471</v>
      </c>
      <c r="R25" t="n">
        <v>4307.048</v>
      </c>
      <c r="S25" t="n">
        <v>7047.896</v>
      </c>
      <c r="T25" t="n">
        <v>0</v>
      </c>
      <c r="U25" t="n">
        <v>7815.891</v>
      </c>
      <c r="V25" t="n">
        <v>6426.296</v>
      </c>
      <c r="W25" t="n">
        <v>13676.357</v>
      </c>
      <c r="X25" t="n">
        <v>252.126</v>
      </c>
      <c r="Y25" t="n">
        <v>8753.519</v>
      </c>
      <c r="Z25" t="n">
        <v>3586.689</v>
      </c>
      <c r="AA25" t="n">
        <v>273.039</v>
      </c>
      <c r="AB25" t="n">
        <v>10428.934</v>
      </c>
      <c r="AC25" t="n">
        <v>290.467</v>
      </c>
      <c r="AD25" t="n">
        <v>12662.046</v>
      </c>
      <c r="AE25" t="n">
        <v>13808.81</v>
      </c>
      <c r="AF25" t="n">
        <v>14741.791</v>
      </c>
      <c r="AG25" t="n">
        <v>21499.22</v>
      </c>
      <c r="AH25" t="n">
        <v>39783.548</v>
      </c>
      <c r="AI25" t="n">
        <v>35519.49</v>
      </c>
      <c r="AJ25" t="n">
        <v>29257.017</v>
      </c>
      <c r="AK25" t="n">
        <v>24543.316</v>
      </c>
      <c r="AL25" t="n">
        <v>27535.128</v>
      </c>
      <c r="AM25" t="n">
        <v>34326.251</v>
      </c>
      <c r="AN25" t="n">
        <v>37562.055</v>
      </c>
      <c r="AO25" t="n">
        <v>43218.033</v>
      </c>
      <c r="AP25" t="n">
        <v>40716.529</v>
      </c>
      <c r="AQ25" t="n">
        <v>50844.539</v>
      </c>
      <c r="AR25" t="n">
        <v>38768.075</v>
      </c>
      <c r="AS25" t="n">
        <v>28099.321</v>
      </c>
      <c r="AT25" t="n">
        <v>42851.352</v>
      </c>
      <c r="AU25" t="n">
        <v>40904.973</v>
      </c>
      <c r="AV25" t="n">
        <v>27227.417</v>
      </c>
      <c r="AW25" t="n">
        <v>19238.389</v>
      </c>
      <c r="AX25" t="n">
        <v>20414.754</v>
      </c>
      <c r="AY25" t="n">
        <v>23901.964</v>
      </c>
      <c r="AZ25" t="n">
        <v>413.57</v>
      </c>
      <c r="BA25" t="n">
        <v>2690.722</v>
      </c>
      <c r="BB25" t="n">
        <v>4434.475</v>
      </c>
      <c r="BC25" t="n">
        <v>2809.56</v>
      </c>
      <c r="BD25" t="n">
        <v>17572.657</v>
      </c>
      <c r="BE25" t="n">
        <v>6702.83</v>
      </c>
      <c r="BF25" t="n">
        <v>10794.923</v>
      </c>
      <c r="BG25" t="n">
        <v>18137.961</v>
      </c>
      <c r="BH25" t="n">
        <v>17437.326</v>
      </c>
      <c r="BI25" t="n">
        <v>17183.647</v>
      </c>
      <c r="BJ25" t="n">
        <v>11599.6</v>
      </c>
      <c r="BK25" t="n">
        <v>19641.668</v>
      </c>
      <c r="BL25" t="n">
        <v>19761.802</v>
      </c>
      <c r="BM25" t="n">
        <v>27177.66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Argopecten purpuratus</t>
        </is>
      </c>
      <c r="B26" t="inlineStr">
        <is>
          <t>Peruvian calico scallop</t>
        </is>
      </c>
      <c r="C26" t="inlineStr">
        <is>
          <t>Other demersal invertebrates</t>
        </is>
      </c>
      <c r="D26" t="inlineStr">
        <is>
          <t>Molluscs</t>
        </is>
      </c>
      <c r="E26" t="n">
        <v>0</v>
      </c>
      <c r="F26" t="n">
        <v>0</v>
      </c>
      <c r="G26" t="n">
        <v>0</v>
      </c>
      <c r="H26" t="n">
        <v>37.036</v>
      </c>
      <c r="I26" t="n">
        <v>204.171</v>
      </c>
      <c r="J26" t="n">
        <v>0</v>
      </c>
      <c r="K26" t="n">
        <v>24.691</v>
      </c>
      <c r="L26" t="n">
        <v>4.748</v>
      </c>
      <c r="M26" t="n">
        <v>3339.866</v>
      </c>
      <c r="N26" t="n">
        <v>2294.318</v>
      </c>
      <c r="O26" t="n">
        <v>885.0599999999999</v>
      </c>
      <c r="P26" t="n">
        <v>303.883</v>
      </c>
      <c r="Q26" t="n">
        <v>206.071</v>
      </c>
      <c r="R26" t="n">
        <v>104.46</v>
      </c>
      <c r="S26" t="n">
        <v>191.826</v>
      </c>
      <c r="T26" t="n">
        <v>191.826</v>
      </c>
      <c r="U26" t="n">
        <v>677.09</v>
      </c>
      <c r="V26" t="n">
        <v>287.739</v>
      </c>
      <c r="W26" t="n">
        <v>383.652</v>
      </c>
      <c r="X26" t="n">
        <v>287.739</v>
      </c>
      <c r="Y26" t="n">
        <v>382.703</v>
      </c>
      <c r="Z26" t="n">
        <v>382.703</v>
      </c>
      <c r="AA26" t="n">
        <v>387.451</v>
      </c>
      <c r="AB26" t="n">
        <v>2974.256</v>
      </c>
      <c r="AC26" t="n">
        <v>943.937</v>
      </c>
      <c r="AD26" t="n">
        <v>2225.944</v>
      </c>
      <c r="AE26" t="n">
        <v>2931.523</v>
      </c>
      <c r="AF26" t="n">
        <v>2432.015</v>
      </c>
      <c r="AG26" t="n">
        <v>3717.82</v>
      </c>
      <c r="AH26" t="n">
        <v>7395.066</v>
      </c>
      <c r="AI26" t="n">
        <v>4032.149</v>
      </c>
      <c r="AJ26" t="n">
        <v>4907.713</v>
      </c>
      <c r="AK26" t="n">
        <v>4922.067</v>
      </c>
      <c r="AL26" t="n">
        <v>13072.864</v>
      </c>
      <c r="AM26" t="n">
        <v>22363.799</v>
      </c>
      <c r="AN26" t="n">
        <v>52642.061</v>
      </c>
      <c r="AO26" t="n">
        <v>15696.768</v>
      </c>
      <c r="AP26" t="n">
        <v>5114.733</v>
      </c>
      <c r="AQ26" t="n">
        <v>6524.941</v>
      </c>
      <c r="AR26" t="n">
        <v>3175.579</v>
      </c>
      <c r="AS26" t="n">
        <v>2268.611</v>
      </c>
      <c r="AT26" t="n">
        <v>3323.369</v>
      </c>
      <c r="AU26" t="n">
        <v>7721.005</v>
      </c>
      <c r="AV26" t="n">
        <v>8213.258</v>
      </c>
      <c r="AW26" t="n">
        <v>14849.945</v>
      </c>
      <c r="AX26" t="n">
        <v>19675.319</v>
      </c>
      <c r="AY26" t="n">
        <v>13856.475</v>
      </c>
      <c r="AZ26" t="n">
        <v>4960.892</v>
      </c>
      <c r="BA26" t="n">
        <v>29937.236</v>
      </c>
      <c r="BB26" t="n">
        <v>37232.331</v>
      </c>
      <c r="BC26" t="n">
        <v>11232.28</v>
      </c>
      <c r="BD26" t="n">
        <v>2915.379</v>
      </c>
      <c r="BE26" t="n">
        <v>7349.224</v>
      </c>
      <c r="BF26" t="n">
        <v>14611.978</v>
      </c>
      <c r="BG26" t="n">
        <v>19821.699</v>
      </c>
      <c r="BH26" t="n">
        <v>15416.348</v>
      </c>
      <c r="BI26" t="n">
        <v>18152.863</v>
      </c>
      <c r="BJ26" t="n">
        <v>23542.071</v>
      </c>
      <c r="BK26" t="n">
        <v>18636.902</v>
      </c>
      <c r="BL26" t="n">
        <v>25149.178</v>
      </c>
      <c r="BM26" t="n">
        <v>59685.495</v>
      </c>
      <c r="BN26" t="n">
        <v>88406.25</v>
      </c>
      <c r="BO26" t="n">
        <v>18398.224</v>
      </c>
      <c r="BP26" t="n">
        <v>29360.808</v>
      </c>
      <c r="BQ26" t="n">
        <v>69142.908</v>
      </c>
      <c r="BR26" t="n">
        <v>21207.244</v>
      </c>
      <c r="BS26" t="n">
        <v>16476.163</v>
      </c>
      <c r="BT26" t="n">
        <v>10230.415</v>
      </c>
      <c r="BU26" t="n">
        <v>13258.123</v>
      </c>
      <c r="BV26" t="n">
        <v>54089.384</v>
      </c>
    </row>
    <row r="27">
      <c r="A27" t="inlineStr">
        <is>
          <t>Doryteuthis gahi</t>
        </is>
      </c>
      <c r="B27" t="inlineStr">
        <is>
          <t>Patagonian squid</t>
        </is>
      </c>
      <c r="C27" t="inlineStr">
        <is>
          <t>Cephalopods</t>
        </is>
      </c>
      <c r="D27" t="inlineStr">
        <is>
          <t>Other fishes &amp; inverts</t>
        </is>
      </c>
      <c r="E27" t="n">
        <v>0</v>
      </c>
      <c r="F27" t="n">
        <v>0</v>
      </c>
      <c r="G27" t="n">
        <v>0</v>
      </c>
      <c r="H27" t="n">
        <v>18.985</v>
      </c>
      <c r="I27" t="n">
        <v>12.99</v>
      </c>
      <c r="J27" t="n">
        <v>323.752</v>
      </c>
      <c r="K27" t="n">
        <v>44.966</v>
      </c>
      <c r="L27" t="n">
        <v>9.992000000000001</v>
      </c>
      <c r="M27" t="n">
        <v>10.992</v>
      </c>
      <c r="N27" t="n">
        <v>0</v>
      </c>
      <c r="O27" t="n">
        <v>0</v>
      </c>
      <c r="P27" t="n">
        <v>1721.423</v>
      </c>
      <c r="Q27" t="n">
        <v>5.977</v>
      </c>
      <c r="R27" t="n">
        <v>150.83</v>
      </c>
      <c r="S27" t="n">
        <v>82.22</v>
      </c>
      <c r="T27" t="n">
        <v>413.684</v>
      </c>
      <c r="U27" t="n">
        <v>953.271</v>
      </c>
      <c r="V27" t="n">
        <v>537.5890000000001</v>
      </c>
      <c r="W27" t="n">
        <v>537.5890000000001</v>
      </c>
      <c r="X27" t="n">
        <v>1075.177</v>
      </c>
      <c r="Y27" t="n">
        <v>412.684</v>
      </c>
      <c r="Z27" t="n">
        <v>550.631</v>
      </c>
      <c r="AA27" t="n">
        <v>960.365</v>
      </c>
      <c r="AB27" t="n">
        <v>405.732</v>
      </c>
      <c r="AC27" t="n">
        <v>183.88</v>
      </c>
      <c r="AD27" t="n">
        <v>648.574</v>
      </c>
      <c r="AE27" t="n">
        <v>521.657</v>
      </c>
      <c r="AF27" t="n">
        <v>370.76</v>
      </c>
      <c r="AG27" t="n">
        <v>571.579</v>
      </c>
      <c r="AH27" t="n">
        <v>571.228</v>
      </c>
      <c r="AI27" t="n">
        <v>301.515</v>
      </c>
      <c r="AJ27" t="n">
        <v>1217.97</v>
      </c>
      <c r="AK27" t="n">
        <v>2056.291</v>
      </c>
      <c r="AL27" t="n">
        <v>763.336</v>
      </c>
      <c r="AM27" t="n">
        <v>804.002</v>
      </c>
      <c r="AN27" t="n">
        <v>1752.632</v>
      </c>
      <c r="AO27" t="n">
        <v>1591.348</v>
      </c>
      <c r="AP27" t="n">
        <v>1214.851</v>
      </c>
      <c r="AQ27" t="n">
        <v>907.652</v>
      </c>
      <c r="AR27" t="n">
        <v>2567.828</v>
      </c>
      <c r="AS27" t="n">
        <v>8797.831</v>
      </c>
      <c r="AT27" t="n">
        <v>1672.508</v>
      </c>
      <c r="AU27" t="n">
        <v>3684.949</v>
      </c>
      <c r="AV27" t="n">
        <v>2012.525</v>
      </c>
      <c r="AW27" t="n">
        <v>1749.992</v>
      </c>
      <c r="AX27" t="n">
        <v>11089.317</v>
      </c>
      <c r="AY27" t="n">
        <v>14097.084</v>
      </c>
      <c r="AZ27" t="n">
        <v>5219.245</v>
      </c>
      <c r="BA27" t="n">
        <v>405.797</v>
      </c>
      <c r="BB27" t="n">
        <v>1858.189</v>
      </c>
      <c r="BC27" t="n">
        <v>33785.851</v>
      </c>
      <c r="BD27" t="n">
        <v>26207.421</v>
      </c>
      <c r="BE27" t="n">
        <v>15169.051</v>
      </c>
      <c r="BF27" t="n">
        <v>37674.393</v>
      </c>
      <c r="BG27" t="n">
        <v>17244.24</v>
      </c>
      <c r="BH27" t="n">
        <v>15321.187</v>
      </c>
      <c r="BI27" t="n">
        <v>12542.411</v>
      </c>
      <c r="BJ27" t="n">
        <v>20424.475</v>
      </c>
      <c r="BK27" t="n">
        <v>87608.523</v>
      </c>
      <c r="BL27" t="n">
        <v>90859.04399999999</v>
      </c>
      <c r="BM27" t="n">
        <v>266234.004</v>
      </c>
      <c r="BN27" t="n">
        <v>3356.821</v>
      </c>
      <c r="BO27" t="n">
        <v>28706.465</v>
      </c>
      <c r="BP27" t="n">
        <v>23958.673</v>
      </c>
      <c r="BQ27" t="n">
        <v>17170.208</v>
      </c>
      <c r="BR27" t="n">
        <v>24948.459</v>
      </c>
      <c r="BS27" t="n">
        <v>9460.762000000001</v>
      </c>
      <c r="BT27" t="n">
        <v>1823.605</v>
      </c>
      <c r="BU27" t="n">
        <v>764.415</v>
      </c>
      <c r="BV27" t="n">
        <v>11520.896</v>
      </c>
    </row>
    <row r="28">
      <c r="A28" t="inlineStr">
        <is>
          <t>Odontesthes regia</t>
        </is>
      </c>
      <c r="B28" t="inlineStr">
        <is>
          <t>Chilean silverside</t>
        </is>
      </c>
      <c r="C28" t="inlineStr">
        <is>
          <t>Small pelagics (&lt;30 cm)</t>
        </is>
      </c>
      <c r="D28" t="inlineStr">
        <is>
          <t>Other fishes &amp; inverts</t>
        </is>
      </c>
      <c r="E28" t="n">
        <v>25906.817</v>
      </c>
      <c r="F28" t="n">
        <v>26033.896</v>
      </c>
      <c r="G28" t="n">
        <v>27054.466</v>
      </c>
      <c r="H28" t="n">
        <v>25906.817</v>
      </c>
      <c r="I28" t="n">
        <v>26029.955</v>
      </c>
      <c r="J28" t="n">
        <v>26284.113</v>
      </c>
      <c r="K28" t="n">
        <v>27800.191</v>
      </c>
      <c r="L28" t="n">
        <v>27049.54</v>
      </c>
      <c r="M28" t="n">
        <v>26789.472</v>
      </c>
      <c r="N28" t="n">
        <v>26915.566</v>
      </c>
      <c r="O28" t="n">
        <v>27038.704</v>
      </c>
      <c r="P28" t="n">
        <v>2503.366</v>
      </c>
      <c r="Q28" t="n">
        <v>2440.482</v>
      </c>
      <c r="R28" t="n">
        <v>2563.341</v>
      </c>
      <c r="S28" t="n">
        <v>3141.678</v>
      </c>
      <c r="T28" t="n">
        <v>2775.931</v>
      </c>
      <c r="U28" t="n">
        <v>2739.608</v>
      </c>
      <c r="V28" t="n">
        <v>4105.087</v>
      </c>
      <c r="W28" t="n">
        <v>4657.709</v>
      </c>
      <c r="X28" t="n">
        <v>3441.558</v>
      </c>
      <c r="Y28" t="n">
        <v>6829.7</v>
      </c>
      <c r="Z28" t="n">
        <v>4143.07</v>
      </c>
      <c r="AA28" t="n">
        <v>3025.37</v>
      </c>
      <c r="AB28" t="n">
        <v>4768.653</v>
      </c>
      <c r="AC28" t="n">
        <v>14885.106</v>
      </c>
      <c r="AD28" t="n">
        <v>14585.842</v>
      </c>
      <c r="AE28" t="n">
        <v>5798.808</v>
      </c>
      <c r="AF28" t="n">
        <v>4478.719</v>
      </c>
      <c r="AG28" t="n">
        <v>2198.381</v>
      </c>
      <c r="AH28" t="n">
        <v>6702.187</v>
      </c>
      <c r="AI28" t="n">
        <v>6169.015</v>
      </c>
      <c r="AJ28" t="n">
        <v>7537.572</v>
      </c>
      <c r="AK28" t="n">
        <v>11089.321</v>
      </c>
      <c r="AL28" t="n">
        <v>505.115</v>
      </c>
      <c r="AM28" t="n">
        <v>505.521</v>
      </c>
      <c r="AN28" t="n">
        <v>2358.968</v>
      </c>
      <c r="AO28" t="n">
        <v>7363.034</v>
      </c>
      <c r="AP28" t="n">
        <v>5534.738</v>
      </c>
      <c r="AQ28" t="n">
        <v>8846.457</v>
      </c>
      <c r="AR28" t="n">
        <v>15698.849</v>
      </c>
      <c r="AS28" t="n">
        <v>19454.334</v>
      </c>
      <c r="AT28" t="n">
        <v>3027.204</v>
      </c>
      <c r="AU28" t="n">
        <v>3483.096</v>
      </c>
      <c r="AV28" t="n">
        <v>2192.287</v>
      </c>
      <c r="AW28" t="n">
        <v>4311.042</v>
      </c>
      <c r="AX28" t="n">
        <v>3668.349</v>
      </c>
      <c r="AY28" t="n">
        <v>6047.929</v>
      </c>
      <c r="AZ28" t="n">
        <v>7187.62</v>
      </c>
      <c r="BA28" t="n">
        <v>738.053</v>
      </c>
      <c r="BB28" t="n">
        <v>12540.585</v>
      </c>
      <c r="BC28" t="n">
        <v>14311.812</v>
      </c>
      <c r="BD28" t="n">
        <v>10538.173</v>
      </c>
      <c r="BE28" t="n">
        <v>14840.348</v>
      </c>
      <c r="BF28" t="n">
        <v>13126.414</v>
      </c>
      <c r="BG28" t="n">
        <v>15575.103</v>
      </c>
      <c r="BH28" t="n">
        <v>13691.09</v>
      </c>
      <c r="BI28" t="n">
        <v>15110.891</v>
      </c>
      <c r="BJ28" t="n">
        <v>20706.001</v>
      </c>
      <c r="BK28" t="n">
        <v>14401.218</v>
      </c>
      <c r="BL28" t="n">
        <v>17822.364</v>
      </c>
      <c r="BM28" t="n">
        <v>10013.891</v>
      </c>
      <c r="BN28" t="n">
        <v>16629.821</v>
      </c>
      <c r="BO28" t="n">
        <v>20740.163</v>
      </c>
      <c r="BP28" t="n">
        <v>12222.925</v>
      </c>
      <c r="BQ28" t="n">
        <v>14932.932</v>
      </c>
      <c r="BR28" t="n">
        <v>10845.383</v>
      </c>
      <c r="BS28" t="n">
        <v>6806.466</v>
      </c>
      <c r="BT28" t="n">
        <v>4744.392</v>
      </c>
      <c r="BU28" t="n">
        <v>6570.48</v>
      </c>
      <c r="BV28" t="n">
        <v>5417.904</v>
      </c>
    </row>
    <row r="29">
      <c r="A29" t="inlineStr">
        <is>
          <t>Brama australis</t>
        </is>
      </c>
      <c r="B29" t="inlineStr">
        <is>
          <t>Southern rays bream</t>
        </is>
      </c>
      <c r="C29" t="inlineStr">
        <is>
          <t>Medium pelagics (30 - 89 cm)</t>
        </is>
      </c>
      <c r="D29" t="inlineStr">
        <is>
          <t>Perch-likes</t>
        </is>
      </c>
      <c r="E29" t="n">
        <v>310.426</v>
      </c>
      <c r="F29" t="n">
        <v>383.715</v>
      </c>
      <c r="G29" t="n">
        <v>541.6950000000001</v>
      </c>
      <c r="H29" t="n">
        <v>519.8</v>
      </c>
      <c r="I29" t="n">
        <v>461.468</v>
      </c>
      <c r="J29" t="n">
        <v>668.021</v>
      </c>
      <c r="K29" t="n">
        <v>580.08</v>
      </c>
      <c r="L29" t="n">
        <v>566.626</v>
      </c>
      <c r="M29" t="n">
        <v>535.518</v>
      </c>
      <c r="N29" t="n">
        <v>540.011</v>
      </c>
      <c r="O29" t="n">
        <v>644.0890000000001</v>
      </c>
      <c r="P29" t="n">
        <v>691.525</v>
      </c>
      <c r="Q29" t="n">
        <v>752.2910000000001</v>
      </c>
      <c r="R29" t="n">
        <v>914.582</v>
      </c>
      <c r="S29" t="n">
        <v>867.9109999999999</v>
      </c>
      <c r="T29" t="n">
        <v>746.9299999999999</v>
      </c>
      <c r="U29" t="n">
        <v>1208.477</v>
      </c>
      <c r="V29" t="n">
        <v>718.918</v>
      </c>
      <c r="W29" t="n">
        <v>1430.017</v>
      </c>
      <c r="X29" t="n">
        <v>1163.24</v>
      </c>
      <c r="Y29" t="n">
        <v>8185.431</v>
      </c>
      <c r="Z29" t="n">
        <v>1693.206</v>
      </c>
      <c r="AA29" t="n">
        <v>1289.161</v>
      </c>
      <c r="AB29" t="n">
        <v>1211.735</v>
      </c>
      <c r="AC29" t="n">
        <v>1538.79</v>
      </c>
      <c r="AD29" t="n">
        <v>3256.694</v>
      </c>
      <c r="AE29" t="n">
        <v>1690.4</v>
      </c>
      <c r="AF29" t="n">
        <v>4017.249</v>
      </c>
      <c r="AG29" t="n">
        <v>6227.679</v>
      </c>
      <c r="AH29" t="n">
        <v>2758.706</v>
      </c>
      <c r="AI29" t="n">
        <v>2440.795</v>
      </c>
      <c r="AJ29" t="n">
        <v>4310.183</v>
      </c>
      <c r="AK29" t="n">
        <v>5741.874</v>
      </c>
      <c r="AL29" t="n">
        <v>6721.87</v>
      </c>
      <c r="AM29" t="n">
        <v>5277.164</v>
      </c>
      <c r="AN29" t="n">
        <v>5268.38</v>
      </c>
      <c r="AO29" t="n">
        <v>4507.474</v>
      </c>
      <c r="AP29" t="n">
        <v>7367.575</v>
      </c>
      <c r="AQ29" t="n">
        <v>7429.659</v>
      </c>
      <c r="AR29" t="n">
        <v>8521.629999999999</v>
      </c>
      <c r="AS29" t="n">
        <v>8595.059999999999</v>
      </c>
      <c r="AT29" t="n">
        <v>10448.513</v>
      </c>
      <c r="AU29" t="n">
        <v>10914.391</v>
      </c>
      <c r="AV29" t="n">
        <v>10245.095</v>
      </c>
      <c r="AW29" t="n">
        <v>13863.65</v>
      </c>
      <c r="AX29" t="n">
        <v>18272.401</v>
      </c>
      <c r="AY29" t="n">
        <v>19144.644</v>
      </c>
      <c r="AZ29" t="n">
        <v>16710.155</v>
      </c>
      <c r="BA29" t="n">
        <v>13488.052</v>
      </c>
      <c r="BB29" t="n">
        <v>12874.805</v>
      </c>
      <c r="BC29" t="n">
        <v>5759.362</v>
      </c>
      <c r="BD29" t="n">
        <v>24436.875</v>
      </c>
      <c r="BE29" t="n">
        <v>10005.299</v>
      </c>
      <c r="BF29" t="n">
        <v>8399.785</v>
      </c>
      <c r="BG29" t="n">
        <v>9865.4</v>
      </c>
      <c r="BH29" t="n">
        <v>20765.278</v>
      </c>
      <c r="BI29" t="n">
        <v>7861.872</v>
      </c>
      <c r="BJ29" t="n">
        <v>9223.227999999999</v>
      </c>
      <c r="BK29" t="n">
        <v>10911.723</v>
      </c>
      <c r="BL29" t="n">
        <v>22367.396</v>
      </c>
      <c r="BM29" t="n">
        <v>24097.461</v>
      </c>
      <c r="BN29" t="n">
        <v>58798.301</v>
      </c>
      <c r="BO29" t="n">
        <v>46828.655</v>
      </c>
      <c r="BP29" t="n">
        <v>26308.823</v>
      </c>
      <c r="BQ29" t="n">
        <v>75241.97100000001</v>
      </c>
      <c r="BR29" t="n">
        <v>36166.134</v>
      </c>
      <c r="BS29" t="n">
        <v>29474.452</v>
      </c>
      <c r="BT29" t="n">
        <v>24350.273</v>
      </c>
      <c r="BU29" t="n">
        <v>27680.52</v>
      </c>
      <c r="BV29" t="n">
        <v>40574.236</v>
      </c>
    </row>
    <row r="30">
      <c r="A30" t="inlineStr">
        <is>
          <t>Seriolella</t>
        </is>
      </c>
      <c r="B30" t="inlineStr">
        <is>
          <t>Warehous, butterfishes</t>
        </is>
      </c>
      <c r="C30" t="inlineStr">
        <is>
          <t>Medium benthopelagics (30 - 89 cm)</t>
        </is>
      </c>
      <c r="D30" t="inlineStr">
        <is>
          <t>Perch-likes</t>
        </is>
      </c>
      <c r="E30" t="n">
        <v>3724.442</v>
      </c>
      <c r="F30" t="n">
        <v>5142.553</v>
      </c>
      <c r="G30" t="n">
        <v>4466.329</v>
      </c>
      <c r="H30" t="n">
        <v>5658.051</v>
      </c>
      <c r="I30" t="n">
        <v>4606.474</v>
      </c>
      <c r="J30" t="n">
        <v>3957.691</v>
      </c>
      <c r="K30" t="n">
        <v>6473.44</v>
      </c>
      <c r="L30" t="n">
        <v>7587.74</v>
      </c>
      <c r="M30" t="n">
        <v>8331.585999999999</v>
      </c>
      <c r="N30" t="n">
        <v>7029.12</v>
      </c>
      <c r="O30" t="n">
        <v>7169.265</v>
      </c>
      <c r="P30" t="n">
        <v>5727.825</v>
      </c>
      <c r="Q30" t="n">
        <v>4974.175</v>
      </c>
      <c r="R30" t="n">
        <v>9803.052</v>
      </c>
      <c r="S30" t="n">
        <v>9638.946</v>
      </c>
      <c r="T30" t="n">
        <v>7612.426</v>
      </c>
      <c r="U30" t="n">
        <v>9221.867</v>
      </c>
      <c r="V30" t="n">
        <v>10874.773</v>
      </c>
      <c r="W30" t="n">
        <v>10375.862</v>
      </c>
      <c r="X30" t="n">
        <v>10045.27</v>
      </c>
      <c r="Y30" t="n">
        <v>11416.673</v>
      </c>
      <c r="Z30" t="n">
        <v>20037.047</v>
      </c>
      <c r="AA30" t="n">
        <v>16143.369</v>
      </c>
      <c r="AB30" t="n">
        <v>14200.375</v>
      </c>
      <c r="AC30" t="n">
        <v>13185.338</v>
      </c>
      <c r="AD30" t="n">
        <v>12063.725</v>
      </c>
      <c r="AE30" t="n">
        <v>27010.123</v>
      </c>
      <c r="AF30" t="n">
        <v>30954.368</v>
      </c>
      <c r="AG30" t="n">
        <v>26126.078</v>
      </c>
      <c r="AH30" t="n">
        <v>15611.406</v>
      </c>
      <c r="AI30" t="n">
        <v>20821.725</v>
      </c>
      <c r="AJ30" t="n">
        <v>30518.001</v>
      </c>
      <c r="AK30" t="n">
        <v>42513.594</v>
      </c>
      <c r="AL30" t="n">
        <v>6375.966</v>
      </c>
      <c r="AM30" t="n">
        <v>12589.691</v>
      </c>
      <c r="AN30" t="n">
        <v>20608.525</v>
      </c>
      <c r="AO30" t="n">
        <v>47444.886</v>
      </c>
      <c r="AP30" t="n">
        <v>55611.024</v>
      </c>
      <c r="AQ30" t="n">
        <v>33095.457</v>
      </c>
      <c r="AR30" t="n">
        <v>21850.126</v>
      </c>
      <c r="AS30" t="n">
        <v>16763.974</v>
      </c>
      <c r="AT30" t="n">
        <v>6998.92</v>
      </c>
      <c r="AU30" t="n">
        <v>15829.824</v>
      </c>
      <c r="AV30" t="n">
        <v>7976.945</v>
      </c>
      <c r="AW30" t="n">
        <v>13793.955</v>
      </c>
      <c r="AX30" t="n">
        <v>12182.619</v>
      </c>
      <c r="AY30" t="n">
        <v>6254.203</v>
      </c>
      <c r="AZ30" t="n">
        <v>2849.303</v>
      </c>
      <c r="BA30" t="n">
        <v>2696.6</v>
      </c>
      <c r="BB30" t="n">
        <v>3367.086</v>
      </c>
      <c r="BC30" t="n">
        <v>2885.044</v>
      </c>
      <c r="BD30" t="n">
        <v>5335.171</v>
      </c>
      <c r="BE30" t="n">
        <v>3513.363</v>
      </c>
      <c r="BF30" t="n">
        <v>2583.519</v>
      </c>
      <c r="BG30" t="n">
        <v>4506.935</v>
      </c>
      <c r="BH30" t="n">
        <v>1979.653</v>
      </c>
      <c r="BI30" t="n">
        <v>1982.31</v>
      </c>
      <c r="BJ30" t="n">
        <v>2015.277</v>
      </c>
      <c r="BK30" t="n">
        <v>1941.807</v>
      </c>
      <c r="BL30" t="n">
        <v>1075.837</v>
      </c>
      <c r="BM30" t="n">
        <v>788.776</v>
      </c>
      <c r="BN30" t="n">
        <v>753.682</v>
      </c>
      <c r="BO30" t="n">
        <v>1302.531</v>
      </c>
      <c r="BP30" t="n">
        <v>534.149</v>
      </c>
      <c r="BQ30" t="n">
        <v>316.571</v>
      </c>
      <c r="BR30" t="n">
        <v>885.022</v>
      </c>
      <c r="BS30" t="n">
        <v>680.179</v>
      </c>
      <c r="BT30" t="n">
        <v>288.14</v>
      </c>
      <c r="BU30" t="n">
        <v>301.876</v>
      </c>
      <c r="BV30" t="n">
        <v>0</v>
      </c>
    </row>
    <row r="31">
      <c r="A31" t="inlineStr">
        <is>
          <t>Prionotus stephanophrys</t>
        </is>
      </c>
      <c r="B31" t="inlineStr">
        <is>
          <t>Lumptail searobin</t>
        </is>
      </c>
      <c r="C31" t="inlineStr">
        <is>
          <t>Medium demersals (30 - 89 cm)</t>
        </is>
      </c>
      <c r="D31" t="inlineStr">
        <is>
          <t>Scorpionfishes</t>
        </is>
      </c>
      <c r="E31" t="n">
        <v>7.491</v>
      </c>
      <c r="F31" t="n">
        <v>4.682</v>
      </c>
      <c r="G31" t="n">
        <v>4.682</v>
      </c>
      <c r="H31" t="n">
        <v>2.809</v>
      </c>
      <c r="I31" t="n">
        <v>4.682</v>
      </c>
      <c r="J31" t="n">
        <v>4.682</v>
      </c>
      <c r="K31" t="n">
        <v>3.746</v>
      </c>
      <c r="L31" t="n">
        <v>2.809</v>
      </c>
      <c r="M31" t="n">
        <v>2.809</v>
      </c>
      <c r="N31" t="n">
        <v>8.428000000000001</v>
      </c>
      <c r="O31" t="n">
        <v>6.555</v>
      </c>
      <c r="P31" t="n">
        <v>9.364000000000001</v>
      </c>
      <c r="Q31" t="n">
        <v>4.682</v>
      </c>
      <c r="R31" t="n">
        <v>4.682</v>
      </c>
      <c r="S31" t="n">
        <v>15.919</v>
      </c>
      <c r="T31" t="n">
        <v>10.301</v>
      </c>
      <c r="U31" t="n">
        <v>15.919</v>
      </c>
      <c r="V31" t="n">
        <v>10.301</v>
      </c>
      <c r="W31" t="n">
        <v>8.428000000000001</v>
      </c>
      <c r="X31" t="n">
        <v>6.555</v>
      </c>
      <c r="Y31" t="n">
        <v>40.21</v>
      </c>
      <c r="Z31" t="n">
        <v>91.46899999999999</v>
      </c>
      <c r="AA31" t="n">
        <v>405.088</v>
      </c>
      <c r="AB31" t="n">
        <v>7690.388</v>
      </c>
      <c r="AC31" t="n">
        <v>9379.686</v>
      </c>
      <c r="AD31" t="n">
        <v>1232.91</v>
      </c>
      <c r="AE31" t="n">
        <v>4170.951</v>
      </c>
      <c r="AF31" t="n">
        <v>4937.216</v>
      </c>
      <c r="AG31" t="n">
        <v>5465.524</v>
      </c>
      <c r="AH31" t="n">
        <v>32787.407</v>
      </c>
      <c r="AI31" t="n">
        <v>8589.085999999999</v>
      </c>
      <c r="AJ31" t="n">
        <v>1157.304</v>
      </c>
      <c r="AK31" t="n">
        <v>1569.032</v>
      </c>
      <c r="AL31" t="n">
        <v>6518.381</v>
      </c>
      <c r="AM31" t="n">
        <v>376.119</v>
      </c>
      <c r="AN31" t="n">
        <v>1318.797</v>
      </c>
      <c r="AO31" t="n">
        <v>6000.412</v>
      </c>
      <c r="AP31" t="n">
        <v>2673.069</v>
      </c>
      <c r="AQ31" t="n">
        <v>677.571</v>
      </c>
      <c r="AR31" t="n">
        <v>1189.975</v>
      </c>
      <c r="AS31" t="n">
        <v>385.455</v>
      </c>
      <c r="AT31" t="n">
        <v>70.946</v>
      </c>
      <c r="AU31" t="n">
        <v>12738.838</v>
      </c>
      <c r="AV31" t="n">
        <v>7294.387</v>
      </c>
      <c r="AW31" t="n">
        <v>1051.83</v>
      </c>
      <c r="AX31" t="n">
        <v>33346.431</v>
      </c>
      <c r="AY31" t="n">
        <v>731.705</v>
      </c>
      <c r="AZ31" t="n">
        <v>4332.329</v>
      </c>
      <c r="BA31" t="n">
        <v>158791.751</v>
      </c>
      <c r="BB31" t="n">
        <v>295608.08</v>
      </c>
      <c r="BC31" t="n">
        <v>47544.558</v>
      </c>
      <c r="BD31" t="n">
        <v>28110.726</v>
      </c>
      <c r="BE31" t="n">
        <v>3583.937</v>
      </c>
      <c r="BF31" t="n">
        <v>457.39</v>
      </c>
      <c r="BG31" t="n">
        <v>394.822</v>
      </c>
      <c r="BH31" t="n">
        <v>1844.242</v>
      </c>
      <c r="BI31" t="n">
        <v>608.527</v>
      </c>
      <c r="BJ31" t="n">
        <v>669.231</v>
      </c>
      <c r="BK31" t="n">
        <v>690.669</v>
      </c>
      <c r="BL31" t="n">
        <v>1146.176</v>
      </c>
      <c r="BM31" t="n">
        <v>1937.885</v>
      </c>
      <c r="BN31" t="n">
        <v>4028.622</v>
      </c>
      <c r="BO31" t="n">
        <v>4072.484</v>
      </c>
      <c r="BP31" t="n">
        <v>2776.051</v>
      </c>
      <c r="BQ31" t="n">
        <v>3958.591</v>
      </c>
      <c r="BR31" t="n">
        <v>2837.626</v>
      </c>
      <c r="BS31" t="n">
        <v>5214.223</v>
      </c>
      <c r="BT31" t="n">
        <v>4660.72</v>
      </c>
      <c r="BU31" t="n">
        <v>4230.42</v>
      </c>
      <c r="BV31" t="n">
        <v>503.26</v>
      </c>
    </row>
    <row r="32">
      <c r="A32" t="inlineStr">
        <is>
          <t>Bivalvia</t>
        </is>
      </c>
      <c r="B32" t="inlineStr">
        <is>
          <t>Clams</t>
        </is>
      </c>
      <c r="C32" t="inlineStr">
        <is>
          <t>Other demersal invertebrates</t>
        </is>
      </c>
      <c r="D32" t="inlineStr">
        <is>
          <t>Molluscs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3.91</v>
      </c>
      <c r="M32" t="n">
        <v>0.977</v>
      </c>
      <c r="N32" t="n">
        <v>0.977</v>
      </c>
      <c r="O32" t="n">
        <v>0.977</v>
      </c>
      <c r="P32" t="n">
        <v>0.977</v>
      </c>
      <c r="Q32" t="n">
        <v>2.932</v>
      </c>
      <c r="R32" t="n">
        <v>1.955</v>
      </c>
      <c r="S32" t="n">
        <v>255.112</v>
      </c>
      <c r="T32" t="n">
        <v>210.15</v>
      </c>
      <c r="U32" t="n">
        <v>793.683</v>
      </c>
      <c r="V32" t="n">
        <v>260.977</v>
      </c>
      <c r="W32" t="n">
        <v>418.345</v>
      </c>
      <c r="X32" t="n">
        <v>674.4349999999999</v>
      </c>
      <c r="Y32" t="n">
        <v>1011.653</v>
      </c>
      <c r="Z32" t="n">
        <v>656.841</v>
      </c>
      <c r="AA32" t="n">
        <v>1371.351</v>
      </c>
      <c r="AB32" t="n">
        <v>4077.888</v>
      </c>
      <c r="AC32" t="n">
        <v>2359.545</v>
      </c>
      <c r="AD32" t="n">
        <v>2577.515</v>
      </c>
      <c r="AE32" t="n">
        <v>3613.603</v>
      </c>
      <c r="AF32" t="n">
        <v>3203.078</v>
      </c>
      <c r="AG32" t="n">
        <v>5146.181</v>
      </c>
      <c r="AH32" t="n">
        <v>10327.998</v>
      </c>
      <c r="AI32" t="n">
        <v>4473.306</v>
      </c>
      <c r="AJ32" t="n">
        <v>4638.427</v>
      </c>
      <c r="AK32" t="n">
        <v>4270.366</v>
      </c>
      <c r="AL32" t="n">
        <v>2505.901</v>
      </c>
      <c r="AM32" t="n">
        <v>4275.689</v>
      </c>
      <c r="AN32" t="n">
        <v>6628.586</v>
      </c>
      <c r="AO32" t="n">
        <v>7844.73</v>
      </c>
      <c r="AP32" t="n">
        <v>7963.534</v>
      </c>
      <c r="AQ32" t="n">
        <v>9126.232</v>
      </c>
      <c r="AR32" t="n">
        <v>30598.616</v>
      </c>
      <c r="AS32" t="n">
        <v>52309.673</v>
      </c>
      <c r="AT32" t="n">
        <v>50614.661</v>
      </c>
      <c r="AU32" t="n">
        <v>48009.697</v>
      </c>
      <c r="AV32" t="n">
        <v>27259.134</v>
      </c>
      <c r="AW32" t="n">
        <v>26427.862</v>
      </c>
      <c r="AX32" t="n">
        <v>24706.474</v>
      </c>
      <c r="AY32" t="n">
        <v>22998.2</v>
      </c>
      <c r="AZ32" t="n">
        <v>500.233</v>
      </c>
      <c r="BA32" t="n">
        <v>1013.335</v>
      </c>
      <c r="BB32" t="n">
        <v>3596.52</v>
      </c>
      <c r="BC32" t="n">
        <v>4440.069</v>
      </c>
      <c r="BD32" t="n">
        <v>4408.009</v>
      </c>
      <c r="BE32" t="n">
        <v>18271.56</v>
      </c>
      <c r="BF32" t="n">
        <v>21369.062</v>
      </c>
      <c r="BG32" t="n">
        <v>24020.924</v>
      </c>
      <c r="BH32" t="n">
        <v>17097.828</v>
      </c>
      <c r="BI32" t="n">
        <v>17155.148</v>
      </c>
      <c r="BJ32" t="n">
        <v>18865.334</v>
      </c>
      <c r="BK32" t="n">
        <v>16464.918</v>
      </c>
      <c r="BL32" t="n">
        <v>9080.92</v>
      </c>
      <c r="BM32" t="n">
        <v>14446.511</v>
      </c>
      <c r="BN32" t="n">
        <v>7513.597</v>
      </c>
      <c r="BO32" t="n">
        <v>10459.608</v>
      </c>
      <c r="BP32" t="n">
        <v>3913.678</v>
      </c>
      <c r="BQ32" t="n">
        <v>4579.316</v>
      </c>
      <c r="BR32" t="n">
        <v>7708.262</v>
      </c>
      <c r="BS32" t="n">
        <v>2703.558</v>
      </c>
      <c r="BT32" t="n">
        <v>2407.351</v>
      </c>
      <c r="BU32" t="n">
        <v>2545.089</v>
      </c>
      <c r="BV32" t="n">
        <v>1486.079</v>
      </c>
    </row>
    <row r="33">
      <c r="A33" t="inlineStr">
        <is>
          <t>Mesodesma donacium</t>
        </is>
      </c>
      <c r="B33" t="inlineStr">
        <is>
          <t>Macha clam</t>
        </is>
      </c>
      <c r="C33" t="inlineStr">
        <is>
          <t>Other demersal invertebrates</t>
        </is>
      </c>
      <c r="D33" t="inlineStr">
        <is>
          <t>Molluscs</t>
        </is>
      </c>
      <c r="E33" t="n">
        <v>1106.944</v>
      </c>
      <c r="F33" t="n">
        <v>1106.944</v>
      </c>
      <c r="G33" t="n">
        <v>1106.944</v>
      </c>
      <c r="H33" t="n">
        <v>1107.93</v>
      </c>
      <c r="I33" t="n">
        <v>1109.9</v>
      </c>
      <c r="J33" t="n">
        <v>1106.944</v>
      </c>
      <c r="K33" t="n">
        <v>1107.93</v>
      </c>
      <c r="L33" t="n">
        <v>1108.915</v>
      </c>
      <c r="M33" t="n">
        <v>1116.796</v>
      </c>
      <c r="N33" t="n">
        <v>1112.855</v>
      </c>
      <c r="O33" t="n">
        <v>1117.781</v>
      </c>
      <c r="P33" t="n">
        <v>2002.783</v>
      </c>
      <c r="Q33" t="n">
        <v>2453.561</v>
      </c>
      <c r="R33" t="n">
        <v>1805.673</v>
      </c>
      <c r="S33" t="n">
        <v>3356.297</v>
      </c>
      <c r="T33" t="n">
        <v>58.122</v>
      </c>
      <c r="U33" t="n">
        <v>46.3</v>
      </c>
      <c r="V33" t="n">
        <v>3694.533</v>
      </c>
      <c r="W33" t="n">
        <v>3245.31</v>
      </c>
      <c r="X33" t="n">
        <v>4457.119</v>
      </c>
      <c r="Y33" t="n">
        <v>6087.322</v>
      </c>
      <c r="Z33" t="n">
        <v>5294.469</v>
      </c>
      <c r="AA33" t="n">
        <v>1168.253</v>
      </c>
      <c r="AB33" t="n">
        <v>2958.809</v>
      </c>
      <c r="AC33" t="n">
        <v>2600.233</v>
      </c>
      <c r="AD33" t="n">
        <v>3081.14</v>
      </c>
      <c r="AE33" t="n">
        <v>4178.416</v>
      </c>
      <c r="AF33" t="n">
        <v>44469.707</v>
      </c>
      <c r="AG33" t="n">
        <v>7797.745</v>
      </c>
      <c r="AH33" t="n">
        <v>7338.56</v>
      </c>
      <c r="AI33" t="n">
        <v>7567.627</v>
      </c>
      <c r="AJ33" t="n">
        <v>6337.391</v>
      </c>
      <c r="AK33" t="n">
        <v>4472.448</v>
      </c>
      <c r="AL33" t="n">
        <v>7666.593</v>
      </c>
      <c r="AM33" t="n">
        <v>9118.114</v>
      </c>
      <c r="AN33" t="n">
        <v>10825.65</v>
      </c>
      <c r="AO33" t="n">
        <v>15717.103</v>
      </c>
      <c r="AP33" t="n">
        <v>17027.243</v>
      </c>
      <c r="AQ33" t="n">
        <v>10451.54</v>
      </c>
      <c r="AR33" t="n">
        <v>22859.592</v>
      </c>
      <c r="AS33" t="n">
        <v>13257.564</v>
      </c>
      <c r="AT33" t="n">
        <v>11817.252</v>
      </c>
      <c r="AU33" t="n">
        <v>15922.849</v>
      </c>
      <c r="AV33" t="n">
        <v>11731.36</v>
      </c>
      <c r="AW33" t="n">
        <v>9002.004000000001</v>
      </c>
      <c r="AX33" t="n">
        <v>9788.761</v>
      </c>
      <c r="AY33" t="n">
        <v>8721.982</v>
      </c>
      <c r="AZ33" t="n">
        <v>1257.99</v>
      </c>
      <c r="BA33" t="n">
        <v>702.042</v>
      </c>
      <c r="BB33" t="n">
        <v>10.822</v>
      </c>
      <c r="BC33" t="n">
        <v>14.29</v>
      </c>
      <c r="BD33" t="n">
        <v>605.846</v>
      </c>
      <c r="BE33" t="n">
        <v>1711.662</v>
      </c>
      <c r="BF33" t="n">
        <v>3019.722</v>
      </c>
      <c r="BG33" t="n">
        <v>2651.407</v>
      </c>
      <c r="BH33" t="n">
        <v>18.321</v>
      </c>
      <c r="BI33" t="n">
        <v>42086.35</v>
      </c>
      <c r="BJ33" t="n">
        <v>53081.636</v>
      </c>
      <c r="BK33" t="n">
        <v>53985.356</v>
      </c>
      <c r="BL33" t="n">
        <v>37254.343</v>
      </c>
      <c r="BM33" t="n">
        <v>25268.826</v>
      </c>
      <c r="BN33" t="n">
        <v>6197.194</v>
      </c>
      <c r="BO33" t="n">
        <v>6525.867</v>
      </c>
      <c r="BP33" t="n">
        <v>6213.061</v>
      </c>
      <c r="BQ33" t="n">
        <v>1885.905</v>
      </c>
      <c r="BR33" t="n">
        <v>1360.521</v>
      </c>
      <c r="BS33" t="n">
        <v>1087.332</v>
      </c>
      <c r="BT33" t="n">
        <v>2588.295</v>
      </c>
      <c r="BU33" t="n">
        <v>2405.706</v>
      </c>
      <c r="BV33" t="n">
        <v>2113.943</v>
      </c>
    </row>
    <row r="34">
      <c r="A34" t="inlineStr">
        <is>
          <t>Sciaenidae</t>
        </is>
      </c>
      <c r="B34" t="inlineStr">
        <is>
          <t>Drums, croakers</t>
        </is>
      </c>
      <c r="C34" t="inlineStr">
        <is>
          <t>Medium demersals (30 - 89 cm)</t>
        </is>
      </c>
      <c r="D34" t="inlineStr">
        <is>
          <t>Perch-likes</t>
        </is>
      </c>
      <c r="E34" t="n">
        <v>4918.179</v>
      </c>
      <c r="F34" t="n">
        <v>3101.333</v>
      </c>
      <c r="G34" t="n">
        <v>5504.534</v>
      </c>
      <c r="H34" t="n">
        <v>3036.919</v>
      </c>
      <c r="I34" t="n">
        <v>5521.585</v>
      </c>
      <c r="J34" t="n">
        <v>3568.332</v>
      </c>
      <c r="K34" t="n">
        <v>4153.74</v>
      </c>
      <c r="L34" t="n">
        <v>4177.421</v>
      </c>
      <c r="M34" t="n">
        <v>9204.535</v>
      </c>
      <c r="N34" t="n">
        <v>11296.088</v>
      </c>
      <c r="O34" t="n">
        <v>11926.964</v>
      </c>
      <c r="P34" t="n">
        <v>13014.419</v>
      </c>
      <c r="Q34" t="n">
        <v>10362.088</v>
      </c>
      <c r="R34" t="n">
        <v>8572.712</v>
      </c>
      <c r="S34" t="n">
        <v>2563.288</v>
      </c>
      <c r="T34" t="n">
        <v>2066.924</v>
      </c>
      <c r="U34" t="n">
        <v>2669.382</v>
      </c>
      <c r="V34" t="n">
        <v>5163.969</v>
      </c>
      <c r="W34" t="n">
        <v>5195.234</v>
      </c>
      <c r="X34" t="n">
        <v>6672.99</v>
      </c>
      <c r="Y34" t="n">
        <v>5414.913</v>
      </c>
      <c r="Z34" t="n">
        <v>5606.358</v>
      </c>
      <c r="AA34" t="n">
        <v>4797.561</v>
      </c>
      <c r="AB34" t="n">
        <v>15436.182</v>
      </c>
      <c r="AC34" t="n">
        <v>13682.078</v>
      </c>
      <c r="AD34" t="n">
        <v>12022.845</v>
      </c>
      <c r="AE34" t="n">
        <v>4626.498</v>
      </c>
      <c r="AF34" t="n">
        <v>11870.59</v>
      </c>
      <c r="AG34" t="n">
        <v>13416.226</v>
      </c>
      <c r="AH34" t="n">
        <v>8651.418</v>
      </c>
      <c r="AI34" t="n">
        <v>11397.511</v>
      </c>
      <c r="AJ34" t="n">
        <v>11758.104</v>
      </c>
      <c r="AK34" t="n">
        <v>6715.25</v>
      </c>
      <c r="AL34" t="n">
        <v>7532.96</v>
      </c>
      <c r="AM34" t="n">
        <v>11814.912</v>
      </c>
      <c r="AN34" t="n">
        <v>13921.877</v>
      </c>
      <c r="AO34" t="n">
        <v>8813.279</v>
      </c>
      <c r="AP34" t="n">
        <v>4155.692</v>
      </c>
      <c r="AQ34" t="n">
        <v>12589.952</v>
      </c>
      <c r="AR34" t="n">
        <v>10764.796</v>
      </c>
      <c r="AS34" t="n">
        <v>7861.946</v>
      </c>
      <c r="AT34" t="n">
        <v>1702.863</v>
      </c>
      <c r="AU34" t="n">
        <v>4860.578</v>
      </c>
      <c r="AV34" t="n">
        <v>4941.393</v>
      </c>
      <c r="AW34" t="n">
        <v>5447.074</v>
      </c>
      <c r="AX34" t="n">
        <v>6406.98</v>
      </c>
      <c r="AY34" t="n">
        <v>9349.191999999999</v>
      </c>
      <c r="AZ34" t="n">
        <v>2644.828</v>
      </c>
      <c r="BA34" t="n">
        <v>5929.791</v>
      </c>
      <c r="BB34" t="n">
        <v>7301.939</v>
      </c>
      <c r="BC34" t="n">
        <v>5169.695</v>
      </c>
      <c r="BD34" t="n">
        <v>3980.688</v>
      </c>
      <c r="BE34" t="n">
        <v>6270.952</v>
      </c>
      <c r="BF34" t="n">
        <v>7357.215</v>
      </c>
      <c r="BG34" t="n">
        <v>5703.9</v>
      </c>
      <c r="BH34" t="n">
        <v>7181.075</v>
      </c>
      <c r="BI34" t="n">
        <v>5173.961</v>
      </c>
      <c r="BJ34" t="n">
        <v>7789.2</v>
      </c>
      <c r="BK34" t="n">
        <v>11060.171</v>
      </c>
      <c r="BL34" t="n">
        <v>10883.777</v>
      </c>
      <c r="BM34" t="n">
        <v>11906.613</v>
      </c>
      <c r="BN34" t="n">
        <v>10765.615</v>
      </c>
      <c r="BO34" t="n">
        <v>10669.153</v>
      </c>
      <c r="BP34" t="n">
        <v>9089.805</v>
      </c>
      <c r="BQ34" t="n">
        <v>6905.873</v>
      </c>
      <c r="BR34" t="n">
        <v>9026.895</v>
      </c>
      <c r="BS34" t="n">
        <v>14158.399</v>
      </c>
      <c r="BT34" t="n">
        <v>12972.773</v>
      </c>
      <c r="BU34" t="n">
        <v>8795.916999999999</v>
      </c>
      <c r="BV34" t="n">
        <v>10943.404</v>
      </c>
    </row>
    <row r="35">
      <c r="A35" t="inlineStr">
        <is>
          <t>Gastropoda</t>
        </is>
      </c>
      <c r="B35" t="inlineStr">
        <is>
          <t>Sea snails</t>
        </is>
      </c>
      <c r="C35" t="inlineStr">
        <is>
          <t>Other demersal invertebrates</t>
        </is>
      </c>
      <c r="D35" t="inlineStr">
        <is>
          <t>Molluscs</t>
        </is>
      </c>
      <c r="E35" t="n">
        <v>0</v>
      </c>
      <c r="F35" t="n">
        <v>0</v>
      </c>
      <c r="G35" t="n">
        <v>2.827</v>
      </c>
      <c r="H35" t="n">
        <v>16.964</v>
      </c>
      <c r="I35" t="n">
        <v>4.712</v>
      </c>
      <c r="J35" t="n">
        <v>4.712</v>
      </c>
      <c r="K35" t="n">
        <v>9.425000000000001</v>
      </c>
      <c r="L35" t="n">
        <v>17.907</v>
      </c>
      <c r="M35" t="n">
        <v>23.561</v>
      </c>
      <c r="N35" t="n">
        <v>3.77</v>
      </c>
      <c r="O35" t="n">
        <v>18.849</v>
      </c>
      <c r="P35" t="n">
        <v>222.418</v>
      </c>
      <c r="Q35" t="n">
        <v>117.806</v>
      </c>
      <c r="R35" t="n">
        <v>245.037</v>
      </c>
      <c r="S35" t="n">
        <v>286.505</v>
      </c>
      <c r="T35" t="n">
        <v>288.39</v>
      </c>
      <c r="U35" t="n">
        <v>138.54</v>
      </c>
      <c r="V35" t="n">
        <v>321.376</v>
      </c>
      <c r="W35" t="n">
        <v>119.691</v>
      </c>
      <c r="X35" t="n">
        <v>457.088</v>
      </c>
      <c r="Y35" t="n">
        <v>671.967</v>
      </c>
      <c r="Z35" t="n">
        <v>1267.596</v>
      </c>
      <c r="AA35" t="n">
        <v>1771.807</v>
      </c>
      <c r="AB35" t="n">
        <v>2250.571</v>
      </c>
      <c r="AC35" t="n">
        <v>1917.886</v>
      </c>
      <c r="AD35" t="n">
        <v>1961.239</v>
      </c>
      <c r="AE35" t="n">
        <v>3614.297</v>
      </c>
      <c r="AF35" t="n">
        <v>3438.059</v>
      </c>
      <c r="AG35" t="n">
        <v>3853.798</v>
      </c>
      <c r="AH35" t="n">
        <v>16558.602</v>
      </c>
      <c r="AI35" t="n">
        <v>11121.06</v>
      </c>
      <c r="AJ35" t="n">
        <v>10110.568</v>
      </c>
      <c r="AK35" t="n">
        <v>14347.774</v>
      </c>
      <c r="AL35" t="n">
        <v>11888.746</v>
      </c>
      <c r="AM35" t="n">
        <v>12772.816</v>
      </c>
      <c r="AN35" t="n">
        <v>17946.29</v>
      </c>
      <c r="AO35" t="n">
        <v>27209.68</v>
      </c>
      <c r="AP35" t="n">
        <v>21710.098</v>
      </c>
      <c r="AQ35" t="n">
        <v>23087.766</v>
      </c>
      <c r="AR35" t="n">
        <v>28668.052</v>
      </c>
      <c r="AS35" t="n">
        <v>22142.998</v>
      </c>
      <c r="AT35" t="n">
        <v>18729.277</v>
      </c>
      <c r="AU35" t="n">
        <v>20839.973</v>
      </c>
      <c r="AV35" t="n">
        <v>14271.459</v>
      </c>
      <c r="AW35" t="n">
        <v>16378.774</v>
      </c>
      <c r="AX35" t="n">
        <v>12535.395</v>
      </c>
      <c r="AY35" t="n">
        <v>10666.573</v>
      </c>
      <c r="AZ35" t="n">
        <v>7089.633</v>
      </c>
      <c r="BA35" t="n">
        <v>5125.404</v>
      </c>
      <c r="BB35" t="n">
        <v>4629.64</v>
      </c>
      <c r="BC35" t="n">
        <v>3279.499</v>
      </c>
      <c r="BD35" t="n">
        <v>6528.839</v>
      </c>
      <c r="BE35" t="n">
        <v>9038.112999999999</v>
      </c>
      <c r="BF35" t="n">
        <v>10454.064</v>
      </c>
      <c r="BG35" t="n">
        <v>19219.557</v>
      </c>
      <c r="BH35" t="n">
        <v>9823.563</v>
      </c>
      <c r="BI35" t="n">
        <v>7932.18</v>
      </c>
      <c r="BJ35" t="n">
        <v>7984.586</v>
      </c>
      <c r="BK35" t="n">
        <v>8875.527</v>
      </c>
      <c r="BL35" t="n">
        <v>8055.854</v>
      </c>
      <c r="BM35" t="n">
        <v>8876.904</v>
      </c>
      <c r="BN35" t="n">
        <v>4578.878</v>
      </c>
      <c r="BO35" t="n">
        <v>4021.951</v>
      </c>
      <c r="BP35" t="n">
        <v>10260.357</v>
      </c>
      <c r="BQ35" t="n">
        <v>59398.967</v>
      </c>
      <c r="BR35" t="n">
        <v>4211.78</v>
      </c>
      <c r="BS35" t="n">
        <v>3630.568</v>
      </c>
      <c r="BT35" t="n">
        <v>2415.532</v>
      </c>
      <c r="BU35" t="n">
        <v>3014.475</v>
      </c>
      <c r="BV35" t="n">
        <v>3027.777</v>
      </c>
    </row>
    <row r="36">
      <c r="A36" t="inlineStr">
        <is>
          <t>Penaeidae</t>
        </is>
      </c>
      <c r="B36" t="inlineStr">
        <is>
          <t>Commercial shrimps and prawns</t>
        </is>
      </c>
      <c r="C36" t="inlineStr">
        <is>
          <t>Shrimps</t>
        </is>
      </c>
      <c r="D36" t="inlineStr">
        <is>
          <t>Crustaceans</t>
        </is>
      </c>
      <c r="E36" t="n">
        <v>4.678</v>
      </c>
      <c r="F36" t="n">
        <v>9.356</v>
      </c>
      <c r="G36" t="n">
        <v>18.712</v>
      </c>
      <c r="H36" t="n">
        <v>341.492</v>
      </c>
      <c r="I36" t="n">
        <v>234.834</v>
      </c>
      <c r="J36" t="n">
        <v>317.167</v>
      </c>
      <c r="K36" t="n">
        <v>251.675</v>
      </c>
      <c r="L36" t="n">
        <v>434.116</v>
      </c>
      <c r="M36" t="n">
        <v>291.906</v>
      </c>
      <c r="N36" t="n">
        <v>93.559</v>
      </c>
      <c r="O36" t="n">
        <v>93.559</v>
      </c>
      <c r="P36" t="n">
        <v>280.678</v>
      </c>
      <c r="Q36" t="n">
        <v>260.095</v>
      </c>
      <c r="R36" t="n">
        <v>396.692</v>
      </c>
      <c r="S36" t="n">
        <v>842.035</v>
      </c>
      <c r="T36" t="n">
        <v>448.15</v>
      </c>
      <c r="U36" t="n">
        <v>450.957</v>
      </c>
      <c r="V36" t="n">
        <v>339.596</v>
      </c>
      <c r="W36" t="n">
        <v>338.661</v>
      </c>
      <c r="X36" t="n">
        <v>793.337</v>
      </c>
      <c r="Y36" t="n">
        <v>338.661</v>
      </c>
      <c r="Z36" t="n">
        <v>578.263</v>
      </c>
      <c r="AA36" t="n">
        <v>1040.495</v>
      </c>
      <c r="AB36" t="n">
        <v>1031.061</v>
      </c>
      <c r="AC36" t="n">
        <v>533.923</v>
      </c>
      <c r="AD36" t="n">
        <v>1747.997</v>
      </c>
      <c r="AE36" t="n">
        <v>1403.676</v>
      </c>
      <c r="AF36" t="n">
        <v>620.701</v>
      </c>
      <c r="AG36" t="n">
        <v>552.7910000000001</v>
      </c>
      <c r="AH36" t="n">
        <v>745.223</v>
      </c>
      <c r="AI36" t="n">
        <v>932.954</v>
      </c>
      <c r="AJ36" t="n">
        <v>732.967</v>
      </c>
      <c r="AK36" t="n">
        <v>1845.262</v>
      </c>
      <c r="AL36" t="n">
        <v>11079.105</v>
      </c>
      <c r="AM36" t="n">
        <v>2937.699</v>
      </c>
      <c r="AN36" t="n">
        <v>4241.46</v>
      </c>
      <c r="AO36" t="n">
        <v>3977.313</v>
      </c>
      <c r="AP36" t="n">
        <v>6343.298</v>
      </c>
      <c r="AQ36" t="n">
        <v>4748.04</v>
      </c>
      <c r="AR36" t="n">
        <v>5981.021</v>
      </c>
      <c r="AS36" t="n">
        <v>7491.357</v>
      </c>
      <c r="AT36" t="n">
        <v>11110.151</v>
      </c>
      <c r="AU36" t="n">
        <v>10214.817</v>
      </c>
      <c r="AV36" t="n">
        <v>10244.062</v>
      </c>
      <c r="AW36" t="n">
        <v>10614.807</v>
      </c>
      <c r="AX36" t="n">
        <v>12024.198</v>
      </c>
      <c r="AY36" t="n">
        <v>10223.307</v>
      </c>
      <c r="AZ36" t="n">
        <v>17306.137</v>
      </c>
      <c r="BA36" t="n">
        <v>24705.806</v>
      </c>
      <c r="BB36" t="n">
        <v>8026.193</v>
      </c>
      <c r="BC36" t="n">
        <v>2098.127</v>
      </c>
      <c r="BD36" t="n">
        <v>6029.268</v>
      </c>
      <c r="BE36" t="n">
        <v>4330.211</v>
      </c>
      <c r="BF36" t="n">
        <v>4547.187</v>
      </c>
      <c r="BG36" t="n">
        <v>6570.785</v>
      </c>
      <c r="BH36" t="n">
        <v>9762.308000000001</v>
      </c>
      <c r="BI36" t="n">
        <v>12237.799</v>
      </c>
      <c r="BJ36" t="n">
        <v>14433.082</v>
      </c>
      <c r="BK36" t="n">
        <v>15317.041</v>
      </c>
      <c r="BL36" t="n">
        <v>17686.871</v>
      </c>
      <c r="BM36" t="n">
        <v>21093.499</v>
      </c>
      <c r="BN36" t="n">
        <v>28765.22</v>
      </c>
      <c r="BO36" t="n">
        <v>12519.871</v>
      </c>
      <c r="BP36" t="n">
        <v>7049.094</v>
      </c>
      <c r="BQ36" t="n">
        <v>27674.638</v>
      </c>
      <c r="BR36" t="n">
        <v>34063.636</v>
      </c>
      <c r="BS36" t="n">
        <v>30324.798</v>
      </c>
      <c r="BT36" t="n">
        <v>19854.991</v>
      </c>
      <c r="BU36" t="n">
        <v>19223.525</v>
      </c>
      <c r="BV36" t="n">
        <v>92.88500000000001</v>
      </c>
    </row>
    <row r="37">
      <c r="A37" t="inlineStr">
        <is>
          <t>Mustelus whitneyi</t>
        </is>
      </c>
      <c r="B37" t="inlineStr">
        <is>
          <t>Humpback smooth-hound</t>
        </is>
      </c>
      <c r="C37" t="inlineStr">
        <is>
          <t>Small to medium sharks (&lt;90 cm)</t>
        </is>
      </c>
      <c r="D37" t="inlineStr">
        <is>
          <t>Sharks &amp; rays</t>
        </is>
      </c>
      <c r="E37" t="n">
        <v>1045.751</v>
      </c>
      <c r="F37" t="n">
        <v>782.869</v>
      </c>
      <c r="G37" t="n">
        <v>1812.249</v>
      </c>
      <c r="H37" t="n">
        <v>2611.488</v>
      </c>
      <c r="I37" t="n">
        <v>5064.091</v>
      </c>
      <c r="J37" t="n">
        <v>2193.573</v>
      </c>
      <c r="K37" t="n">
        <v>2571.044</v>
      </c>
      <c r="L37" t="n">
        <v>3230.657</v>
      </c>
      <c r="M37" t="n">
        <v>2960.071</v>
      </c>
      <c r="N37" t="n">
        <v>4248.482</v>
      </c>
      <c r="O37" t="n">
        <v>8090.604</v>
      </c>
      <c r="P37" t="n">
        <v>3339.469</v>
      </c>
      <c r="Q37" t="n">
        <v>5534.004</v>
      </c>
      <c r="R37" t="n">
        <v>5544.597</v>
      </c>
      <c r="S37" t="n">
        <v>6049.176</v>
      </c>
      <c r="T37" t="n">
        <v>7010.188</v>
      </c>
      <c r="U37" t="n">
        <v>9022.727999999999</v>
      </c>
      <c r="V37" t="n">
        <v>14288.122</v>
      </c>
      <c r="W37" t="n">
        <v>18513.663</v>
      </c>
      <c r="X37" t="n">
        <v>11420.655</v>
      </c>
      <c r="Y37" t="n">
        <v>14540.473</v>
      </c>
      <c r="Z37" t="n">
        <v>11103.776</v>
      </c>
      <c r="AA37" t="n">
        <v>10085.68</v>
      </c>
      <c r="AB37" t="n">
        <v>22332.876</v>
      </c>
      <c r="AC37" t="n">
        <v>15941.933</v>
      </c>
      <c r="AD37" t="n">
        <v>13866.19</v>
      </c>
      <c r="AE37" t="n">
        <v>10161.726</v>
      </c>
      <c r="AF37" t="n">
        <v>11433.208</v>
      </c>
      <c r="AG37" t="n">
        <v>13080.291</v>
      </c>
      <c r="AH37" t="n">
        <v>9569.404</v>
      </c>
      <c r="AI37" t="n">
        <v>10064.476</v>
      </c>
      <c r="AJ37" t="n">
        <v>11934.045</v>
      </c>
      <c r="AK37" t="n">
        <v>10752.206</v>
      </c>
      <c r="AL37" t="n">
        <v>10441.041</v>
      </c>
      <c r="AM37" t="n">
        <v>29416.186</v>
      </c>
      <c r="AN37" t="n">
        <v>10358.245</v>
      </c>
      <c r="AO37" t="n">
        <v>12855.843</v>
      </c>
      <c r="AP37" t="n">
        <v>12936.846</v>
      </c>
      <c r="AQ37" t="n">
        <v>15150.303</v>
      </c>
      <c r="AR37" t="n">
        <v>13366.47</v>
      </c>
      <c r="AS37" t="n">
        <v>6234.859</v>
      </c>
      <c r="AT37" t="n">
        <v>2423.413</v>
      </c>
      <c r="AU37" t="n">
        <v>7741.305</v>
      </c>
      <c r="AV37" t="n">
        <v>6165.463</v>
      </c>
      <c r="AW37" t="n">
        <v>2393.561</v>
      </c>
      <c r="AX37" t="n">
        <v>2682.526</v>
      </c>
      <c r="AY37" t="n">
        <v>2248.124</v>
      </c>
      <c r="AZ37" t="n">
        <v>1745.325</v>
      </c>
      <c r="BA37" t="n">
        <v>3498.396</v>
      </c>
      <c r="BB37" t="n">
        <v>1405.338</v>
      </c>
      <c r="BC37" t="n">
        <v>1066.281</v>
      </c>
      <c r="BD37" t="n">
        <v>870.747</v>
      </c>
      <c r="BE37" t="n">
        <v>745.5309999999999</v>
      </c>
      <c r="BF37" t="n">
        <v>525.918</v>
      </c>
      <c r="BG37" t="n">
        <v>769.611</v>
      </c>
      <c r="BH37" t="n">
        <v>901.573</v>
      </c>
      <c r="BI37" t="n">
        <v>619.35</v>
      </c>
      <c r="BJ37" t="n">
        <v>1219.436</v>
      </c>
      <c r="BK37" t="n">
        <v>392.994</v>
      </c>
      <c r="BL37" t="n">
        <v>568.299</v>
      </c>
      <c r="BM37" t="n">
        <v>847.634</v>
      </c>
      <c r="BN37" t="n">
        <v>291.811</v>
      </c>
      <c r="BO37" t="n">
        <v>451.681</v>
      </c>
      <c r="BP37" t="n">
        <v>505.614</v>
      </c>
      <c r="BQ37" t="n">
        <v>481.538</v>
      </c>
      <c r="BR37" t="n">
        <v>911.067</v>
      </c>
      <c r="BS37" t="n">
        <v>797.425</v>
      </c>
      <c r="BT37" t="n">
        <v>613.478</v>
      </c>
      <c r="BU37" t="n">
        <v>546.063</v>
      </c>
      <c r="BV37" t="n">
        <v>134.644</v>
      </c>
    </row>
    <row r="38">
      <c r="A38" t="inlineStr">
        <is>
          <t>Concholepas concholepas</t>
        </is>
      </c>
      <c r="B38" t="inlineStr">
        <is>
          <t>False abalone</t>
        </is>
      </c>
      <c r="C38" t="inlineStr">
        <is>
          <t>Other demersal invertebrates</t>
        </is>
      </c>
      <c r="D38" t="inlineStr">
        <is>
          <t>Molluscs</t>
        </is>
      </c>
      <c r="E38" t="n">
        <v>2809.678</v>
      </c>
      <c r="F38" t="n">
        <v>2809.678</v>
      </c>
      <c r="G38" t="n">
        <v>2809.678</v>
      </c>
      <c r="H38" t="n">
        <v>2809.678</v>
      </c>
      <c r="I38" t="n">
        <v>2809.678</v>
      </c>
      <c r="J38" t="n">
        <v>2809.678</v>
      </c>
      <c r="K38" t="n">
        <v>2809.678</v>
      </c>
      <c r="L38" t="n">
        <v>2809.678</v>
      </c>
      <c r="M38" t="n">
        <v>2809.678</v>
      </c>
      <c r="N38" t="n">
        <v>2809.678</v>
      </c>
      <c r="O38" t="n">
        <v>2809.678</v>
      </c>
      <c r="P38" t="n">
        <v>2456.715</v>
      </c>
      <c r="Q38" t="n">
        <v>3638.322</v>
      </c>
      <c r="R38" t="n">
        <v>4963.686</v>
      </c>
      <c r="S38" t="n">
        <v>5153.024</v>
      </c>
      <c r="T38" t="n">
        <v>0</v>
      </c>
      <c r="U38" t="n">
        <v>0</v>
      </c>
      <c r="V38" t="n">
        <v>4766.167</v>
      </c>
      <c r="W38" t="n">
        <v>5269.899</v>
      </c>
      <c r="X38" t="n">
        <v>3711.953</v>
      </c>
      <c r="Y38" t="n">
        <v>4389.829</v>
      </c>
      <c r="Z38" t="n">
        <v>5799.343</v>
      </c>
      <c r="AA38" t="n">
        <v>3818.31</v>
      </c>
      <c r="AB38" t="n">
        <v>6272.687</v>
      </c>
      <c r="AC38" t="n">
        <v>6689.931</v>
      </c>
      <c r="AD38" t="n">
        <v>11208.323</v>
      </c>
      <c r="AE38" t="n">
        <v>11701.536</v>
      </c>
      <c r="AF38" t="n">
        <v>16550.684</v>
      </c>
      <c r="AG38" t="n">
        <v>14319.538</v>
      </c>
      <c r="AH38" t="n">
        <v>19367.374</v>
      </c>
      <c r="AI38" t="n">
        <v>29050.477</v>
      </c>
      <c r="AJ38" t="n">
        <v>20419.25</v>
      </c>
      <c r="AK38" t="n">
        <v>23488.39</v>
      </c>
      <c r="AL38" t="n">
        <v>18688.33</v>
      </c>
      <c r="AM38" t="n">
        <v>21457.101</v>
      </c>
      <c r="AN38" t="n">
        <v>12976.643</v>
      </c>
      <c r="AO38" t="n">
        <v>7443.776</v>
      </c>
      <c r="AP38" t="n">
        <v>24819.598</v>
      </c>
      <c r="AQ38" t="n">
        <v>13066.637</v>
      </c>
      <c r="AR38" t="n">
        <v>0</v>
      </c>
      <c r="AS38" t="n">
        <v>266.359</v>
      </c>
      <c r="AT38" t="n">
        <v>256.81</v>
      </c>
      <c r="AU38" t="n">
        <v>5.913</v>
      </c>
      <c r="AV38" t="n">
        <v>10179.933</v>
      </c>
      <c r="AW38" t="n">
        <v>9667.83</v>
      </c>
      <c r="AX38" t="n">
        <v>3194.865</v>
      </c>
      <c r="AY38" t="n">
        <v>3052.291</v>
      </c>
      <c r="AZ38" t="n">
        <v>22.911</v>
      </c>
      <c r="BA38" t="n">
        <v>197.31</v>
      </c>
      <c r="BB38" t="n">
        <v>380.336</v>
      </c>
      <c r="BC38" t="n">
        <v>784.311</v>
      </c>
      <c r="BD38" t="n">
        <v>950.139</v>
      </c>
      <c r="BE38" t="n">
        <v>1852.169</v>
      </c>
      <c r="BF38" t="n">
        <v>2942.331</v>
      </c>
      <c r="BG38" t="n">
        <v>4690.755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5051.44</v>
      </c>
      <c r="BO38" t="n">
        <v>5044.719</v>
      </c>
      <c r="BP38" t="n">
        <v>4630.3</v>
      </c>
      <c r="BQ38" t="n">
        <v>5040.239</v>
      </c>
      <c r="BR38" t="n">
        <v>2565.896</v>
      </c>
      <c r="BS38" t="n">
        <v>2529.47</v>
      </c>
      <c r="BT38" t="n">
        <v>2759.119</v>
      </c>
      <c r="BU38" t="n">
        <v>2576.731</v>
      </c>
      <c r="BV38" t="n">
        <v>2311.883</v>
      </c>
    </row>
    <row r="39">
      <c r="A39" t="inlineStr">
        <is>
          <t>Mytilus chilensis</t>
        </is>
      </c>
      <c r="B39" t="inlineStr">
        <is>
          <t>Chilean mussel</t>
        </is>
      </c>
      <c r="C39" t="inlineStr">
        <is>
          <t>Other demersal invertebrates</t>
        </is>
      </c>
      <c r="D39" t="inlineStr">
        <is>
          <t>Molluscs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6036.591</v>
      </c>
      <c r="Q39" t="n">
        <v>7503.002</v>
      </c>
      <c r="R39" t="n">
        <v>8458.902</v>
      </c>
      <c r="S39" t="n">
        <v>8610.078</v>
      </c>
      <c r="T39" t="n">
        <v>0</v>
      </c>
      <c r="U39" t="n">
        <v>0</v>
      </c>
      <c r="V39" t="n">
        <v>7065.753</v>
      </c>
      <c r="W39" t="n">
        <v>10469.548</v>
      </c>
      <c r="X39" t="n">
        <v>239.556</v>
      </c>
      <c r="Y39" t="n">
        <v>6887.83</v>
      </c>
      <c r="Z39" t="n">
        <v>9100.82</v>
      </c>
      <c r="AA39" t="n">
        <v>234.905</v>
      </c>
      <c r="AB39" t="n">
        <v>10531.182</v>
      </c>
      <c r="AC39" t="n">
        <v>819.841</v>
      </c>
      <c r="AD39" t="n">
        <v>7400.667</v>
      </c>
      <c r="AE39" t="n">
        <v>14196.628</v>
      </c>
      <c r="AF39" t="n">
        <v>7920.481</v>
      </c>
      <c r="AG39" t="n">
        <v>6333.129</v>
      </c>
      <c r="AH39" t="n">
        <v>12806.968</v>
      </c>
      <c r="AI39" t="n">
        <v>12553.457</v>
      </c>
      <c r="AJ39" t="n">
        <v>9014.766</v>
      </c>
      <c r="AK39" t="n">
        <v>6566.871</v>
      </c>
      <c r="AL39" t="n">
        <v>7529.748</v>
      </c>
      <c r="AM39" t="n">
        <v>10931.218</v>
      </c>
      <c r="AN39" t="n">
        <v>10705.616</v>
      </c>
      <c r="AO39" t="n">
        <v>10834.698</v>
      </c>
      <c r="AP39" t="n">
        <v>8832.191000000001</v>
      </c>
      <c r="AQ39" t="n">
        <v>11235.896</v>
      </c>
      <c r="AR39" t="n">
        <v>10304.417</v>
      </c>
      <c r="AS39" t="n">
        <v>12627.79</v>
      </c>
      <c r="AT39" t="n">
        <v>10000.569</v>
      </c>
      <c r="AU39" t="n">
        <v>12935.897</v>
      </c>
      <c r="AV39" t="n">
        <v>11567.82</v>
      </c>
      <c r="AW39" t="n">
        <v>11254.844</v>
      </c>
      <c r="AX39" t="n">
        <v>12766.627</v>
      </c>
      <c r="AY39" t="n">
        <v>14077.044</v>
      </c>
      <c r="AZ39" t="n">
        <v>9.599</v>
      </c>
      <c r="BA39" t="n">
        <v>340.853</v>
      </c>
      <c r="BB39" t="n">
        <v>313.142</v>
      </c>
      <c r="BC39" t="n">
        <v>109.229</v>
      </c>
      <c r="BD39" t="n">
        <v>5845.267</v>
      </c>
      <c r="BE39" t="n">
        <v>1197.206</v>
      </c>
      <c r="BF39" t="n">
        <v>5143.228</v>
      </c>
      <c r="BG39" t="n">
        <v>1002.942</v>
      </c>
      <c r="BH39" t="n">
        <v>2525.403</v>
      </c>
      <c r="BI39" t="n">
        <v>5075.859</v>
      </c>
      <c r="BJ39" t="n">
        <v>10047.417</v>
      </c>
      <c r="BK39" t="n">
        <v>1827.089</v>
      </c>
      <c r="BL39" t="n">
        <v>11236.45</v>
      </c>
      <c r="BM39" t="n">
        <v>3038.646</v>
      </c>
      <c r="BN39" t="n">
        <v>909.384</v>
      </c>
      <c r="BO39" t="n">
        <v>891.553</v>
      </c>
      <c r="BP39" t="n">
        <v>791.253</v>
      </c>
      <c r="BQ39" t="n">
        <v>1647.145</v>
      </c>
      <c r="BR39" t="n">
        <v>1217.358</v>
      </c>
      <c r="BS39" t="n">
        <v>2269.488</v>
      </c>
      <c r="BT39" t="n">
        <v>2246.942</v>
      </c>
      <c r="BU39" t="n">
        <v>1502.334</v>
      </c>
      <c r="BV39" t="n">
        <v>1525.974</v>
      </c>
    </row>
    <row r="40">
      <c r="A40" t="inlineStr">
        <is>
          <t>Thunnus albacares</t>
        </is>
      </c>
      <c r="B40" t="inlineStr">
        <is>
          <t>Yellowfin tuna</t>
        </is>
      </c>
      <c r="C40" t="inlineStr">
        <is>
          <t>Large pelagics (&gt;=90 cm)</t>
        </is>
      </c>
      <c r="D40" t="inlineStr">
        <is>
          <t>Tuna &amp; billfishes</t>
        </is>
      </c>
      <c r="E40" t="n">
        <v>147.131</v>
      </c>
      <c r="F40" t="n">
        <v>77.33799999999999</v>
      </c>
      <c r="G40" t="n">
        <v>34.897</v>
      </c>
      <c r="H40" t="n">
        <v>27.351</v>
      </c>
      <c r="I40" t="n">
        <v>66.10899999999999</v>
      </c>
      <c r="J40" t="n">
        <v>81.684</v>
      </c>
      <c r="K40" t="n">
        <v>41.499</v>
      </c>
      <c r="L40" t="n">
        <v>51.861</v>
      </c>
      <c r="M40" t="n">
        <v>68.84999999999999</v>
      </c>
      <c r="N40" t="n">
        <v>324.595</v>
      </c>
      <c r="O40" t="n">
        <v>704.384</v>
      </c>
      <c r="P40" t="n">
        <v>750.463</v>
      </c>
      <c r="Q40" t="n">
        <v>2759.169</v>
      </c>
      <c r="R40" t="n">
        <v>825.0700000000001</v>
      </c>
      <c r="S40" t="n">
        <v>2251.753</v>
      </c>
      <c r="T40" t="n">
        <v>1141.765</v>
      </c>
      <c r="U40" t="n">
        <v>3026.989</v>
      </c>
      <c r="V40" t="n">
        <v>1404.734</v>
      </c>
      <c r="W40" t="n">
        <v>632.763</v>
      </c>
      <c r="X40" t="n">
        <v>350.428</v>
      </c>
      <c r="Y40" t="n">
        <v>571.013</v>
      </c>
      <c r="Z40" t="n">
        <v>543.384</v>
      </c>
      <c r="AA40" t="n">
        <v>691.255</v>
      </c>
      <c r="AB40" t="n">
        <v>2605.087</v>
      </c>
      <c r="AC40" t="n">
        <v>1223.179</v>
      </c>
      <c r="AD40" t="n">
        <v>551.853</v>
      </c>
      <c r="AE40" t="n">
        <v>2651.079</v>
      </c>
      <c r="AF40" t="n">
        <v>3131.776</v>
      </c>
      <c r="AG40" t="n">
        <v>1841.555</v>
      </c>
      <c r="AH40" t="n">
        <v>131.396</v>
      </c>
      <c r="AI40" t="n">
        <v>797.785</v>
      </c>
      <c r="AJ40" t="n">
        <v>115.224</v>
      </c>
      <c r="AK40" t="n">
        <v>146.96</v>
      </c>
      <c r="AL40" t="n">
        <v>1322.906</v>
      </c>
      <c r="AM40" t="n">
        <v>159.097</v>
      </c>
      <c r="AN40" t="n">
        <v>81.25700000000001</v>
      </c>
      <c r="AO40" t="n">
        <v>92.048</v>
      </c>
      <c r="AP40" t="n">
        <v>42.937</v>
      </c>
      <c r="AQ40" t="n">
        <v>468.483</v>
      </c>
      <c r="AR40" t="n">
        <v>539.431</v>
      </c>
      <c r="AS40" t="n">
        <v>2432.181</v>
      </c>
      <c r="AT40" t="n">
        <v>213.472</v>
      </c>
      <c r="AU40" t="n">
        <v>5861.038</v>
      </c>
      <c r="AV40" t="n">
        <v>6891.896</v>
      </c>
      <c r="AW40" t="n">
        <v>8792.018</v>
      </c>
      <c r="AX40" t="n">
        <v>2385.62</v>
      </c>
      <c r="AY40" t="n">
        <v>3318.757</v>
      </c>
      <c r="AZ40" t="n">
        <v>2348.153</v>
      </c>
      <c r="BA40" t="n">
        <v>5725.063</v>
      </c>
      <c r="BB40" t="n">
        <v>315.612</v>
      </c>
      <c r="BC40" t="n">
        <v>241.534</v>
      </c>
      <c r="BD40" t="n">
        <v>19796.969</v>
      </c>
      <c r="BE40" t="n">
        <v>1283.755</v>
      </c>
      <c r="BF40" t="n">
        <v>10916.568</v>
      </c>
      <c r="BG40" t="n">
        <v>41938.804</v>
      </c>
      <c r="BH40" t="n">
        <v>47356.824</v>
      </c>
      <c r="BI40" t="n">
        <v>11835.124</v>
      </c>
      <c r="BJ40" t="n">
        <v>18799.783</v>
      </c>
      <c r="BK40" t="n">
        <v>16507.463</v>
      </c>
      <c r="BL40" t="n">
        <v>11537.776</v>
      </c>
      <c r="BM40" t="n">
        <v>5906.584</v>
      </c>
      <c r="BN40" t="n">
        <v>10668.637</v>
      </c>
      <c r="BO40" t="n">
        <v>10713.733</v>
      </c>
      <c r="BP40" t="n">
        <v>4983.452</v>
      </c>
      <c r="BQ40" t="n">
        <v>10906.462</v>
      </c>
      <c r="BR40" t="n">
        <v>10621.613</v>
      </c>
      <c r="BS40" t="n">
        <v>16989.237</v>
      </c>
      <c r="BT40" t="n">
        <v>17988.224</v>
      </c>
      <c r="BU40" t="n">
        <v>6590.9</v>
      </c>
      <c r="BV40" t="n">
        <v>8068.85</v>
      </c>
    </row>
    <row r="41">
      <c r="A41" t="inlineStr">
        <is>
          <t>Cynoscion analis</t>
        </is>
      </c>
      <c r="B41" t="inlineStr">
        <is>
          <t>Peruvian weakfish</t>
        </is>
      </c>
      <c r="C41" t="inlineStr">
        <is>
          <t>Medium demersals (30 - 89 cm)</t>
        </is>
      </c>
      <c r="D41" t="inlineStr">
        <is>
          <t>Perch-likes</t>
        </is>
      </c>
      <c r="E41" t="n">
        <v>307.758</v>
      </c>
      <c r="F41" t="n">
        <v>499.382</v>
      </c>
      <c r="G41" t="n">
        <v>524.544</v>
      </c>
      <c r="H41" t="n">
        <v>1752.675</v>
      </c>
      <c r="I41" t="n">
        <v>486.8</v>
      </c>
      <c r="J41" t="n">
        <v>0.968</v>
      </c>
      <c r="K41" t="n">
        <v>550.675</v>
      </c>
      <c r="L41" t="n">
        <v>3548.9</v>
      </c>
      <c r="M41" t="n">
        <v>3950.535</v>
      </c>
      <c r="N41" t="n">
        <v>3988.279</v>
      </c>
      <c r="O41" t="n">
        <v>3765.686</v>
      </c>
      <c r="P41" t="n">
        <v>4656.057</v>
      </c>
      <c r="Q41" t="n">
        <v>3470.509</v>
      </c>
      <c r="R41" t="n">
        <v>3118.232</v>
      </c>
      <c r="S41" t="n">
        <v>3117.264</v>
      </c>
      <c r="T41" t="n">
        <v>3384.375</v>
      </c>
      <c r="U41" t="n">
        <v>5035.432</v>
      </c>
      <c r="V41" t="n">
        <v>6347.887</v>
      </c>
      <c r="W41" t="n">
        <v>2526.96</v>
      </c>
      <c r="X41" t="n">
        <v>3132.811</v>
      </c>
      <c r="Y41" t="n">
        <v>3239.271</v>
      </c>
      <c r="Z41" t="n">
        <v>3718.343</v>
      </c>
      <c r="AA41" t="n">
        <v>2154.356</v>
      </c>
      <c r="AB41" t="n">
        <v>9293.704</v>
      </c>
      <c r="AC41" t="n">
        <v>7554.485</v>
      </c>
      <c r="AD41" t="n">
        <v>2713.065</v>
      </c>
      <c r="AE41" t="n">
        <v>2899.907</v>
      </c>
      <c r="AF41" t="n">
        <v>3726.576</v>
      </c>
      <c r="AG41" t="n">
        <v>3676.292</v>
      </c>
      <c r="AH41" t="n">
        <v>3685.025</v>
      </c>
      <c r="AI41" t="n">
        <v>3038.191</v>
      </c>
      <c r="AJ41" t="n">
        <v>4664.484</v>
      </c>
      <c r="AK41" t="n">
        <v>3802.339</v>
      </c>
      <c r="AL41" t="n">
        <v>5943.856</v>
      </c>
      <c r="AM41" t="n">
        <v>10870.762</v>
      </c>
      <c r="AN41" t="n">
        <v>5566.426</v>
      </c>
      <c r="AO41" t="n">
        <v>5374.754</v>
      </c>
      <c r="AP41" t="n">
        <v>6258.56</v>
      </c>
      <c r="AQ41" t="n">
        <v>5306.424</v>
      </c>
      <c r="AR41" t="n">
        <v>4832.55</v>
      </c>
      <c r="AS41" t="n">
        <v>6052.247</v>
      </c>
      <c r="AT41" t="n">
        <v>2289.837</v>
      </c>
      <c r="AU41" t="n">
        <v>4389.136</v>
      </c>
      <c r="AV41" t="n">
        <v>11687.005</v>
      </c>
      <c r="AW41" t="n">
        <v>6383.771</v>
      </c>
      <c r="AX41" t="n">
        <v>10967.783</v>
      </c>
      <c r="AY41" t="n">
        <v>8983.696</v>
      </c>
      <c r="AZ41" t="n">
        <v>6598.077</v>
      </c>
      <c r="BA41" t="n">
        <v>12832.72</v>
      </c>
      <c r="BB41" t="n">
        <v>10165.336</v>
      </c>
      <c r="BC41" t="n">
        <v>7249.838</v>
      </c>
      <c r="BD41" t="n">
        <v>5025.597</v>
      </c>
      <c r="BE41" t="n">
        <v>3935.2</v>
      </c>
      <c r="BF41" t="n">
        <v>5956.061</v>
      </c>
      <c r="BG41" t="n">
        <v>3168.37</v>
      </c>
      <c r="BH41" t="n">
        <v>3739.948</v>
      </c>
      <c r="BI41" t="n">
        <v>1345.411</v>
      </c>
      <c r="BJ41" t="n">
        <v>2481.361</v>
      </c>
      <c r="BK41" t="n">
        <v>2397.636</v>
      </c>
      <c r="BL41" t="n">
        <v>3115.762</v>
      </c>
      <c r="BM41" t="n">
        <v>5107.082</v>
      </c>
      <c r="BN41" t="n">
        <v>5342.247</v>
      </c>
      <c r="BO41" t="n">
        <v>3524.497</v>
      </c>
      <c r="BP41" t="n">
        <v>4353.044</v>
      </c>
      <c r="BQ41" t="n">
        <v>5859.698</v>
      </c>
      <c r="BR41" t="n">
        <v>5430.91</v>
      </c>
      <c r="BS41" t="n">
        <v>8773.995999999999</v>
      </c>
      <c r="BT41" t="n">
        <v>7340.537</v>
      </c>
      <c r="BU41" t="n">
        <v>6844.001</v>
      </c>
      <c r="BV41" t="n">
        <v>7729.485</v>
      </c>
    </row>
    <row r="42">
      <c r="A42" t="inlineStr">
        <is>
          <t>Paralonchurus peruanus</t>
        </is>
      </c>
      <c r="B42" t="inlineStr">
        <is>
          <t>Peruvian banded croaker</t>
        </is>
      </c>
      <c r="C42" t="inlineStr">
        <is>
          <t>Medium demersals (30 - 89 cm)</t>
        </is>
      </c>
      <c r="D42" t="inlineStr">
        <is>
          <t>Perch-likes</t>
        </is>
      </c>
      <c r="E42" t="n">
        <v>238.08</v>
      </c>
      <c r="F42" t="n">
        <v>362.379</v>
      </c>
      <c r="G42" t="n">
        <v>360.467</v>
      </c>
      <c r="H42" t="n">
        <v>720.934</v>
      </c>
      <c r="I42" t="n">
        <v>238.08</v>
      </c>
      <c r="J42" t="n">
        <v>358.555</v>
      </c>
      <c r="K42" t="n">
        <v>473.292</v>
      </c>
      <c r="L42" t="n">
        <v>1311.832</v>
      </c>
      <c r="M42" t="n">
        <v>830.891</v>
      </c>
      <c r="N42" t="n">
        <v>712.329</v>
      </c>
      <c r="O42" t="n">
        <v>589.942</v>
      </c>
      <c r="P42" t="n">
        <v>708.504</v>
      </c>
      <c r="Q42" t="n">
        <v>831.847</v>
      </c>
      <c r="R42" t="n">
        <v>2138.898</v>
      </c>
      <c r="S42" t="n">
        <v>3795.898</v>
      </c>
      <c r="T42" t="n">
        <v>4668.859</v>
      </c>
      <c r="U42" t="n">
        <v>3798.767</v>
      </c>
      <c r="V42" t="n">
        <v>3303.081</v>
      </c>
      <c r="W42" t="n">
        <v>4857.214</v>
      </c>
      <c r="X42" t="n">
        <v>4861.994</v>
      </c>
      <c r="Y42" t="n">
        <v>4725.383</v>
      </c>
      <c r="Z42" t="n">
        <v>4963.224</v>
      </c>
      <c r="AA42" t="n">
        <v>3535.189</v>
      </c>
      <c r="AB42" t="n">
        <v>7545.959</v>
      </c>
      <c r="AC42" t="n">
        <v>9148.912</v>
      </c>
      <c r="AD42" t="n">
        <v>7154.535</v>
      </c>
      <c r="AE42" t="n">
        <v>5856.418</v>
      </c>
      <c r="AF42" t="n">
        <v>6779.977</v>
      </c>
      <c r="AG42" t="n">
        <v>7548.892</v>
      </c>
      <c r="AH42" t="n">
        <v>7038.866</v>
      </c>
      <c r="AI42" t="n">
        <v>5002.394</v>
      </c>
      <c r="AJ42" t="n">
        <v>7997.924</v>
      </c>
      <c r="AK42" t="n">
        <v>9008.508</v>
      </c>
      <c r="AL42" t="n">
        <v>5028.27</v>
      </c>
      <c r="AM42" t="n">
        <v>8510.819</v>
      </c>
      <c r="AN42" t="n">
        <v>29139.421</v>
      </c>
      <c r="AO42" t="n">
        <v>13888.155</v>
      </c>
      <c r="AP42" t="n">
        <v>12148.765</v>
      </c>
      <c r="AQ42" t="n">
        <v>12822.162</v>
      </c>
      <c r="AR42" t="n">
        <v>8539.106</v>
      </c>
      <c r="AS42" t="n">
        <v>9870.549999999999</v>
      </c>
      <c r="AT42" t="n">
        <v>4824.575</v>
      </c>
      <c r="AU42" t="n">
        <v>6986.917</v>
      </c>
      <c r="AV42" t="n">
        <v>8700.512000000001</v>
      </c>
      <c r="AW42" t="n">
        <v>4368.858</v>
      </c>
      <c r="AX42" t="n">
        <v>6367.939</v>
      </c>
      <c r="AY42" t="n">
        <v>4905.6</v>
      </c>
      <c r="AZ42" t="n">
        <v>3053.47</v>
      </c>
      <c r="BA42" t="n">
        <v>4864.182</v>
      </c>
      <c r="BB42" t="n">
        <v>6688.584</v>
      </c>
      <c r="BC42" t="n">
        <v>6374.224</v>
      </c>
      <c r="BD42" t="n">
        <v>4600.06</v>
      </c>
      <c r="BE42" t="n">
        <v>2111.355</v>
      </c>
      <c r="BF42" t="n">
        <v>1769.331</v>
      </c>
      <c r="BG42" t="n">
        <v>2676.919</v>
      </c>
      <c r="BH42" t="n">
        <v>960.136</v>
      </c>
      <c r="BI42" t="n">
        <v>985.928</v>
      </c>
      <c r="BJ42" t="n">
        <v>1506.581</v>
      </c>
      <c r="BK42" t="n">
        <v>1371.874</v>
      </c>
      <c r="BL42" t="n">
        <v>1215.196</v>
      </c>
      <c r="BM42" t="n">
        <v>2429.452</v>
      </c>
      <c r="BN42" t="n">
        <v>1360.416</v>
      </c>
      <c r="BO42" t="n">
        <v>1662.299</v>
      </c>
      <c r="BP42" t="n">
        <v>1542.866</v>
      </c>
      <c r="BQ42" t="n">
        <v>2282.303</v>
      </c>
      <c r="BR42" t="n">
        <v>3076.171</v>
      </c>
      <c r="BS42" t="n">
        <v>2733.218</v>
      </c>
      <c r="BT42" t="n">
        <v>1794.117</v>
      </c>
      <c r="BU42" t="n">
        <v>1537.097</v>
      </c>
      <c r="BV42" t="n">
        <v>1296.416</v>
      </c>
    </row>
    <row r="43">
      <c r="A43" t="inlineStr">
        <is>
          <t>Thyrsites atun</t>
        </is>
      </c>
      <c r="B43" t="inlineStr">
        <is>
          <t>Snoek</t>
        </is>
      </c>
      <c r="C43" t="inlineStr">
        <is>
          <t>Large benthopelagics (&gt;=90 cm)</t>
        </is>
      </c>
      <c r="D43" t="inlineStr">
        <is>
          <t>Perch-likes</t>
        </is>
      </c>
      <c r="E43" t="n">
        <v>6929.368</v>
      </c>
      <c r="F43" t="n">
        <v>5774.473</v>
      </c>
      <c r="G43" t="n">
        <v>5312.515</v>
      </c>
      <c r="H43" t="n">
        <v>6351.921</v>
      </c>
      <c r="I43" t="n">
        <v>11202.478</v>
      </c>
      <c r="J43" t="n">
        <v>20788.104</v>
      </c>
      <c r="K43" t="n">
        <v>15822.057</v>
      </c>
      <c r="L43" t="n">
        <v>13627.757</v>
      </c>
      <c r="M43" t="n">
        <v>11895.415</v>
      </c>
      <c r="N43" t="n">
        <v>9239.156999999999</v>
      </c>
      <c r="O43" t="n">
        <v>7504.505</v>
      </c>
      <c r="P43" t="n">
        <v>5267.475</v>
      </c>
      <c r="Q43" t="n">
        <v>3357.279</v>
      </c>
      <c r="R43" t="n">
        <v>11105.467</v>
      </c>
      <c r="S43" t="n">
        <v>15272.327</v>
      </c>
      <c r="T43" t="n">
        <v>15991.826</v>
      </c>
      <c r="U43" t="n">
        <v>12575.648</v>
      </c>
      <c r="V43" t="n">
        <v>7794.384</v>
      </c>
      <c r="W43" t="n">
        <v>13334.414</v>
      </c>
      <c r="X43" t="n">
        <v>11080.059</v>
      </c>
      <c r="Y43" t="n">
        <v>8258.652</v>
      </c>
      <c r="Z43" t="n">
        <v>6215.643</v>
      </c>
      <c r="AA43" t="n">
        <v>5018.017</v>
      </c>
      <c r="AB43" t="n">
        <v>7473.323</v>
      </c>
      <c r="AC43" t="n">
        <v>3932.416</v>
      </c>
      <c r="AD43" t="n">
        <v>4188.803</v>
      </c>
      <c r="AE43" t="n">
        <v>3058.161</v>
      </c>
      <c r="AF43" t="n">
        <v>727.122</v>
      </c>
      <c r="AG43" t="n">
        <v>355.708</v>
      </c>
      <c r="AH43" t="n">
        <v>195.177</v>
      </c>
      <c r="AI43" t="n">
        <v>73.913</v>
      </c>
      <c r="AJ43" t="n">
        <v>50.815</v>
      </c>
      <c r="AK43" t="n">
        <v>155.911</v>
      </c>
      <c r="AL43" t="n">
        <v>35.802</v>
      </c>
      <c r="AM43" t="n">
        <v>33.492</v>
      </c>
      <c r="AN43" t="n">
        <v>147.827</v>
      </c>
      <c r="AO43" t="n">
        <v>17.323</v>
      </c>
      <c r="AP43" t="n">
        <v>15.014</v>
      </c>
      <c r="AQ43" t="n">
        <v>33.492</v>
      </c>
      <c r="AR43" t="n">
        <v>120.109</v>
      </c>
      <c r="AS43" t="n">
        <v>166.965</v>
      </c>
      <c r="AT43" t="n">
        <v>183.922</v>
      </c>
      <c r="AU43" t="n">
        <v>680.15</v>
      </c>
      <c r="AV43" t="n">
        <v>500.968</v>
      </c>
      <c r="AW43" t="n">
        <v>673.707</v>
      </c>
      <c r="AX43" t="n">
        <v>812.303</v>
      </c>
      <c r="AY43" t="n">
        <v>974.5069999999999</v>
      </c>
      <c r="AZ43" t="n">
        <v>1593.113</v>
      </c>
      <c r="BA43" t="n">
        <v>1222.456</v>
      </c>
      <c r="BB43" t="n">
        <v>76.846</v>
      </c>
      <c r="BC43" t="n">
        <v>201.286</v>
      </c>
      <c r="BD43" t="n">
        <v>1004.208</v>
      </c>
      <c r="BE43" t="n">
        <v>820.9829999999999</v>
      </c>
      <c r="BF43" t="n">
        <v>572.956</v>
      </c>
      <c r="BG43" t="n">
        <v>898.151</v>
      </c>
      <c r="BH43" t="n">
        <v>1518.082</v>
      </c>
      <c r="BI43" t="n">
        <v>829.677</v>
      </c>
      <c r="BJ43" t="n">
        <v>1268.322</v>
      </c>
      <c r="BK43" t="n">
        <v>1040.771</v>
      </c>
      <c r="BL43" t="n">
        <v>1680.353</v>
      </c>
      <c r="BM43" t="n">
        <v>2697.449</v>
      </c>
      <c r="BN43" t="n">
        <v>6027.491</v>
      </c>
      <c r="BO43" t="n">
        <v>7789.476</v>
      </c>
      <c r="BP43" t="n">
        <v>4316.419</v>
      </c>
      <c r="BQ43" t="n">
        <v>4546.628</v>
      </c>
      <c r="BR43" t="n">
        <v>3708.463</v>
      </c>
      <c r="BS43" t="n">
        <v>4744.885</v>
      </c>
      <c r="BT43" t="n">
        <v>3230.832</v>
      </c>
      <c r="BU43" t="n">
        <v>3398.421</v>
      </c>
      <c r="BV43" t="n">
        <v>3279.594</v>
      </c>
    </row>
    <row r="44">
      <c r="A44" t="inlineStr">
        <is>
          <t>Heterocarpus reedi</t>
        </is>
      </c>
      <c r="B44" t="inlineStr">
        <is>
          <t>Chilean nylon shrimp</t>
        </is>
      </c>
      <c r="C44" t="inlineStr">
        <is>
          <t>Shrimps</t>
        </is>
      </c>
      <c r="D44" t="inlineStr">
        <is>
          <t>Crustaceans</t>
        </is>
      </c>
      <c r="E44" t="n">
        <v>84.83799999999999</v>
      </c>
      <c r="F44" t="n">
        <v>84.83799999999999</v>
      </c>
      <c r="G44" t="n">
        <v>84.83799999999999</v>
      </c>
      <c r="H44" t="n">
        <v>84.83799999999999</v>
      </c>
      <c r="I44" t="n">
        <v>84.83799999999999</v>
      </c>
      <c r="J44" t="n">
        <v>84.83799999999999</v>
      </c>
      <c r="K44" t="n">
        <v>84.83799999999999</v>
      </c>
      <c r="L44" t="n">
        <v>84.83799999999999</v>
      </c>
      <c r="M44" t="n">
        <v>84.83799999999999</v>
      </c>
      <c r="N44" t="n">
        <v>84.83799999999999</v>
      </c>
      <c r="O44" t="n">
        <v>84.83799999999999</v>
      </c>
      <c r="P44" t="n">
        <v>2280.304</v>
      </c>
      <c r="Q44" t="n">
        <v>323.574</v>
      </c>
      <c r="R44" t="n">
        <v>3504.245</v>
      </c>
      <c r="S44" t="n">
        <v>5690.657</v>
      </c>
      <c r="T44" t="n">
        <v>0</v>
      </c>
      <c r="U44" t="n">
        <v>10749.34</v>
      </c>
      <c r="V44" t="n">
        <v>1087.055</v>
      </c>
      <c r="W44" t="n">
        <v>9760.768</v>
      </c>
      <c r="X44" t="n">
        <v>8402.386</v>
      </c>
      <c r="Y44" t="n">
        <v>8811.133</v>
      </c>
      <c r="Z44" t="n">
        <v>8366.788</v>
      </c>
      <c r="AA44" t="n">
        <v>6929.393</v>
      </c>
      <c r="AB44" t="n">
        <v>7419.822</v>
      </c>
      <c r="AC44" t="n">
        <v>6675.673</v>
      </c>
      <c r="AD44" t="n">
        <v>13889.091</v>
      </c>
      <c r="AE44" t="n">
        <v>11709.086</v>
      </c>
      <c r="AF44" t="n">
        <v>13544.175</v>
      </c>
      <c r="AG44" t="n">
        <v>15908.333</v>
      </c>
      <c r="AH44" t="n">
        <v>3078.286</v>
      </c>
      <c r="AI44" t="n">
        <v>4526.313</v>
      </c>
      <c r="AJ44" t="n">
        <v>4890.298</v>
      </c>
      <c r="AK44" t="n">
        <v>5683.663</v>
      </c>
      <c r="AL44" t="n">
        <v>10781.146</v>
      </c>
      <c r="AM44" t="n">
        <v>3127.292</v>
      </c>
      <c r="AN44" t="n">
        <v>2363.692</v>
      </c>
      <c r="AO44" t="n">
        <v>2366.491</v>
      </c>
      <c r="AP44" t="n">
        <v>1.573</v>
      </c>
      <c r="AQ44" t="n">
        <v>6.235</v>
      </c>
      <c r="AR44" t="n">
        <v>4306.589</v>
      </c>
      <c r="AS44" t="n">
        <v>5065.775</v>
      </c>
      <c r="AT44" t="n">
        <v>7502.413</v>
      </c>
      <c r="AU44" t="n">
        <v>6165.8</v>
      </c>
      <c r="AV44" t="n">
        <v>6114.604</v>
      </c>
      <c r="AW44" t="n">
        <v>7231.762</v>
      </c>
      <c r="AX44" t="n">
        <v>7726.438</v>
      </c>
      <c r="AY44" t="n">
        <v>7586.652</v>
      </c>
      <c r="AZ44" t="n">
        <v>7152.337</v>
      </c>
      <c r="BA44" t="n">
        <v>4513.474</v>
      </c>
      <c r="BB44" t="n">
        <v>5189.895</v>
      </c>
      <c r="BC44" t="n">
        <v>3488.624</v>
      </c>
      <c r="BD44" t="n">
        <v>3243.481</v>
      </c>
      <c r="BE44" t="n">
        <v>2770.459</v>
      </c>
      <c r="BF44" t="n">
        <v>526.884</v>
      </c>
      <c r="BG44" t="n">
        <v>2270.506</v>
      </c>
      <c r="BH44" t="n">
        <v>2677.926</v>
      </c>
      <c r="BI44" t="n">
        <v>3043.914</v>
      </c>
      <c r="BJ44" t="n">
        <v>3092.943</v>
      </c>
      <c r="BK44" t="n">
        <v>3148.186</v>
      </c>
      <c r="BL44" t="n">
        <v>3206.192</v>
      </c>
      <c r="BM44" t="n">
        <v>3311.845</v>
      </c>
      <c r="BN44" t="n">
        <v>5190.053</v>
      </c>
      <c r="BO44" t="n">
        <v>4942.079</v>
      </c>
      <c r="BP44" t="n">
        <v>5036.338</v>
      </c>
      <c r="BQ44" t="n">
        <v>5091.444</v>
      </c>
      <c r="BR44" t="n">
        <v>3374.041</v>
      </c>
      <c r="BS44" t="n">
        <v>3772.646</v>
      </c>
      <c r="BT44" t="n">
        <v>967.598</v>
      </c>
      <c r="BU44" t="n">
        <v>1088.105</v>
      </c>
      <c r="BV44" t="n">
        <v>1161.289</v>
      </c>
    </row>
    <row r="45">
      <c r="A45" t="inlineStr">
        <is>
          <t>Paralabrax humeralis</t>
        </is>
      </c>
      <c r="B45" t="inlineStr">
        <is>
          <t>Peruvian rock seabass</t>
        </is>
      </c>
      <c r="C45" t="inlineStr">
        <is>
          <t>Medium benthopelagics (30 - 89 cm)</t>
        </is>
      </c>
      <c r="D45" t="inlineStr">
        <is>
          <t>Perch-likes</t>
        </is>
      </c>
      <c r="E45" t="n">
        <v>2118.925</v>
      </c>
      <c r="F45" t="n">
        <v>2741.619</v>
      </c>
      <c r="G45" t="n">
        <v>2732.283</v>
      </c>
      <c r="H45" t="n">
        <v>3368.981</v>
      </c>
      <c r="I45" t="n">
        <v>2847.113</v>
      </c>
      <c r="J45" t="n">
        <v>2837.777</v>
      </c>
      <c r="K45" t="n">
        <v>4179.323</v>
      </c>
      <c r="L45" t="n">
        <v>8376.672</v>
      </c>
      <c r="M45" t="n">
        <v>8347.731</v>
      </c>
      <c r="N45" t="n">
        <v>5898.966</v>
      </c>
      <c r="O45" t="n">
        <v>6012.863</v>
      </c>
      <c r="P45" t="n">
        <v>6031.646</v>
      </c>
      <c r="Q45" t="n">
        <v>6007.547</v>
      </c>
      <c r="R45" t="n">
        <v>5247.383</v>
      </c>
      <c r="S45" t="n">
        <v>6502.28</v>
      </c>
      <c r="T45" t="n">
        <v>6340.727</v>
      </c>
      <c r="U45" t="n">
        <v>4372.696</v>
      </c>
      <c r="V45" t="n">
        <v>6220.556</v>
      </c>
      <c r="W45" t="n">
        <v>6207.02</v>
      </c>
      <c r="X45" t="n">
        <v>8506.674999999999</v>
      </c>
      <c r="Y45" t="n">
        <v>6307.501</v>
      </c>
      <c r="Z45" t="n">
        <v>5187.663</v>
      </c>
      <c r="AA45" t="n">
        <v>4736.175</v>
      </c>
      <c r="AB45" t="n">
        <v>4908.095</v>
      </c>
      <c r="AC45" t="n">
        <v>5902.57</v>
      </c>
      <c r="AD45" t="n">
        <v>3466.734</v>
      </c>
      <c r="AE45" t="n">
        <v>2322.565</v>
      </c>
      <c r="AF45" t="n">
        <v>2383.065</v>
      </c>
      <c r="AG45" t="n">
        <v>3367.33</v>
      </c>
      <c r="AH45" t="n">
        <v>1868.771</v>
      </c>
      <c r="AI45" t="n">
        <v>3428.216</v>
      </c>
      <c r="AJ45" t="n">
        <v>5170.941</v>
      </c>
      <c r="AK45" t="n">
        <v>4608.245</v>
      </c>
      <c r="AL45" t="n">
        <v>2621.981</v>
      </c>
      <c r="AM45" t="n">
        <v>8269.441000000001</v>
      </c>
      <c r="AN45" t="n">
        <v>9003.816000000001</v>
      </c>
      <c r="AO45" t="n">
        <v>7311.403</v>
      </c>
      <c r="AP45" t="n">
        <v>5384.707</v>
      </c>
      <c r="AQ45" t="n">
        <v>7258.958</v>
      </c>
      <c r="AR45" t="n">
        <v>4796.25</v>
      </c>
      <c r="AS45" t="n">
        <v>4840.354</v>
      </c>
      <c r="AT45" t="n">
        <v>2489.693</v>
      </c>
      <c r="AU45" t="n">
        <v>6236.958</v>
      </c>
      <c r="AV45" t="n">
        <v>4502.47</v>
      </c>
      <c r="AW45" t="n">
        <v>3774.208</v>
      </c>
      <c r="AX45" t="n">
        <v>6924.129</v>
      </c>
      <c r="AY45" t="n">
        <v>5990.628</v>
      </c>
      <c r="AZ45" t="n">
        <v>3507.01</v>
      </c>
      <c r="BA45" t="n">
        <v>3079.834</v>
      </c>
      <c r="BB45" t="n">
        <v>4872.31</v>
      </c>
      <c r="BC45" t="n">
        <v>5127.296</v>
      </c>
      <c r="BD45" t="n">
        <v>2345.429</v>
      </c>
      <c r="BE45" t="n">
        <v>1806.379</v>
      </c>
      <c r="BF45" t="n">
        <v>2166.356</v>
      </c>
      <c r="BG45" t="n">
        <v>1620.194</v>
      </c>
      <c r="BH45" t="n">
        <v>1091.307</v>
      </c>
      <c r="BI45" t="n">
        <v>907.333</v>
      </c>
      <c r="BJ45" t="n">
        <v>1627.782</v>
      </c>
      <c r="BK45" t="n">
        <v>1822.149</v>
      </c>
      <c r="BL45" t="n">
        <v>2991.815</v>
      </c>
      <c r="BM45" t="n">
        <v>1266.066</v>
      </c>
      <c r="BN45" t="n">
        <v>1318.064</v>
      </c>
      <c r="BO45" t="n">
        <v>1940.78</v>
      </c>
      <c r="BP45" t="n">
        <v>1028.4</v>
      </c>
      <c r="BQ45" t="n">
        <v>2023.592</v>
      </c>
      <c r="BR45" t="n">
        <v>3763.082</v>
      </c>
      <c r="BS45" t="n">
        <v>3878.218</v>
      </c>
      <c r="BT45" t="n">
        <v>2519.423</v>
      </c>
      <c r="BU45" t="n">
        <v>3537.212</v>
      </c>
      <c r="BV45" t="n">
        <v>3020.252</v>
      </c>
    </row>
    <row r="46">
      <c r="A46" t="inlineStr">
        <is>
          <t>Genypterus blacodes</t>
        </is>
      </c>
      <c r="B46" t="inlineStr">
        <is>
          <t>Pink cusk-eel</t>
        </is>
      </c>
      <c r="C46" t="inlineStr">
        <is>
          <t>Large bathydemersals (&gt;=90 cm)</t>
        </is>
      </c>
      <c r="D46" t="inlineStr">
        <is>
          <t>Other fishes &amp; inverts</t>
        </is>
      </c>
      <c r="E46" t="n">
        <v>594.364</v>
      </c>
      <c r="F46" t="n">
        <v>594.364</v>
      </c>
      <c r="G46" t="n">
        <v>594.364</v>
      </c>
      <c r="H46" t="n">
        <v>594.364</v>
      </c>
      <c r="I46" t="n">
        <v>594.364</v>
      </c>
      <c r="J46" t="n">
        <v>594.364</v>
      </c>
      <c r="K46" t="n">
        <v>594.364</v>
      </c>
      <c r="L46" t="n">
        <v>594.364</v>
      </c>
      <c r="M46" t="n">
        <v>594.364</v>
      </c>
      <c r="N46" t="n">
        <v>594.364</v>
      </c>
      <c r="O46" t="n">
        <v>594.364</v>
      </c>
      <c r="P46" t="n">
        <v>240.3</v>
      </c>
      <c r="Q46" t="n">
        <v>234.495</v>
      </c>
      <c r="R46" t="n">
        <v>515.425</v>
      </c>
      <c r="S46" t="n">
        <v>539.803</v>
      </c>
      <c r="T46" t="n">
        <v>0</v>
      </c>
      <c r="U46" t="n">
        <v>315.756</v>
      </c>
      <c r="V46" t="n">
        <v>745.277</v>
      </c>
      <c r="W46" t="n">
        <v>669.8200000000001</v>
      </c>
      <c r="X46" t="n">
        <v>733.668</v>
      </c>
      <c r="Y46" t="n">
        <v>703.486</v>
      </c>
      <c r="Z46" t="n">
        <v>1338.48</v>
      </c>
      <c r="AA46" t="n">
        <v>1324.55</v>
      </c>
      <c r="AB46" t="n">
        <v>1438.315</v>
      </c>
      <c r="AC46" t="n">
        <v>751.081</v>
      </c>
      <c r="AD46" t="n">
        <v>701.164</v>
      </c>
      <c r="AE46" t="n">
        <v>489.886</v>
      </c>
      <c r="AF46" t="n">
        <v>2274.139</v>
      </c>
      <c r="AG46" t="n">
        <v>2948.603</v>
      </c>
      <c r="AH46" t="n">
        <v>2103.492</v>
      </c>
      <c r="AI46" t="n">
        <v>6324.405</v>
      </c>
      <c r="AJ46" t="n">
        <v>7884.611</v>
      </c>
      <c r="AK46" t="n">
        <v>8747.135</v>
      </c>
      <c r="AL46" t="n">
        <v>8049.454</v>
      </c>
      <c r="AM46" t="n">
        <v>8129.554</v>
      </c>
      <c r="AN46" t="n">
        <v>2837.16</v>
      </c>
      <c r="AO46" t="n">
        <v>9825.581</v>
      </c>
      <c r="AP46" t="n">
        <v>13594.917</v>
      </c>
      <c r="AQ46" t="n">
        <v>17698.583</v>
      </c>
      <c r="AR46" t="n">
        <v>17045.014</v>
      </c>
      <c r="AS46" t="n">
        <v>15387.752</v>
      </c>
      <c r="AT46" t="n">
        <v>11205.861</v>
      </c>
      <c r="AU46" t="n">
        <v>7615.497</v>
      </c>
      <c r="AV46" t="n">
        <v>5475.461</v>
      </c>
      <c r="AW46" t="n">
        <v>5476.723</v>
      </c>
      <c r="AX46" t="n">
        <v>6463.101</v>
      </c>
      <c r="AY46" t="n">
        <v>6896.197</v>
      </c>
      <c r="AZ46" t="n">
        <v>7677.387</v>
      </c>
      <c r="BA46" t="n">
        <v>8219.106</v>
      </c>
      <c r="BB46" t="n">
        <v>6904.866</v>
      </c>
      <c r="BC46" t="n">
        <v>6120.7</v>
      </c>
      <c r="BD46" t="n">
        <v>9147.855</v>
      </c>
      <c r="BE46" t="n">
        <v>682.401</v>
      </c>
      <c r="BF46" t="n">
        <v>5841.291</v>
      </c>
      <c r="BG46" t="n">
        <v>7135.036</v>
      </c>
      <c r="BH46" t="n">
        <v>4777.798</v>
      </c>
      <c r="BI46" t="n">
        <v>6474.714</v>
      </c>
      <c r="BJ46" t="n">
        <v>5702.761</v>
      </c>
      <c r="BK46" t="n">
        <v>4177.123</v>
      </c>
      <c r="BL46" t="n">
        <v>4623.569</v>
      </c>
      <c r="BM46" t="n">
        <v>4090.993</v>
      </c>
      <c r="BN46" t="n">
        <v>3005.969</v>
      </c>
      <c r="BO46" t="n">
        <v>1846.746</v>
      </c>
      <c r="BP46" t="n">
        <v>2538.72</v>
      </c>
      <c r="BQ46" t="n">
        <v>1332.772</v>
      </c>
      <c r="BR46" t="n">
        <v>727.961</v>
      </c>
      <c r="BS46" t="n">
        <v>683.17</v>
      </c>
      <c r="BT46" t="n">
        <v>672.741</v>
      </c>
      <c r="BU46" t="n">
        <v>642.125</v>
      </c>
      <c r="BV46" t="n">
        <v>721.008</v>
      </c>
    </row>
    <row r="47">
      <c r="A47" t="inlineStr">
        <is>
          <t>Malacostraca</t>
        </is>
      </c>
      <c r="B47" t="inlineStr">
        <is>
          <t>Lobsters, crabs, shrimps, krill</t>
        </is>
      </c>
      <c r="C47" t="inlineStr">
        <is>
          <t>Shrimps</t>
        </is>
      </c>
      <c r="D47" t="inlineStr">
        <is>
          <t>Crustaceans</t>
        </is>
      </c>
      <c r="E47" t="n">
        <v>274.462</v>
      </c>
      <c r="F47" t="n">
        <v>274.462</v>
      </c>
      <c r="G47" t="n">
        <v>274.462</v>
      </c>
      <c r="H47" t="n">
        <v>274.462</v>
      </c>
      <c r="I47" t="n">
        <v>274.462</v>
      </c>
      <c r="J47" t="n">
        <v>274.462</v>
      </c>
      <c r="K47" t="n">
        <v>274.462</v>
      </c>
      <c r="L47" t="n">
        <v>274.462</v>
      </c>
      <c r="M47" t="n">
        <v>274.462</v>
      </c>
      <c r="N47" t="n">
        <v>274.462</v>
      </c>
      <c r="O47" t="n">
        <v>274.462</v>
      </c>
      <c r="P47" t="n">
        <v>567.61</v>
      </c>
      <c r="Q47" t="n">
        <v>1153.908</v>
      </c>
      <c r="R47" t="n">
        <v>1382.82</v>
      </c>
      <c r="S47" t="n">
        <v>1214.639</v>
      </c>
      <c r="T47" t="n">
        <v>0</v>
      </c>
      <c r="U47" t="n">
        <v>1075.657</v>
      </c>
      <c r="V47" t="n">
        <v>23389.985</v>
      </c>
      <c r="W47" t="n">
        <v>2555.415</v>
      </c>
      <c r="X47" t="n">
        <v>30.366</v>
      </c>
      <c r="Y47" t="n">
        <v>2224.893</v>
      </c>
      <c r="Z47" t="n">
        <v>1344.279</v>
      </c>
      <c r="AA47" t="n">
        <v>5196.088</v>
      </c>
      <c r="AB47" t="n">
        <v>3008.569</v>
      </c>
      <c r="AC47" t="n">
        <v>29.198</v>
      </c>
      <c r="AD47" t="n">
        <v>687.79</v>
      </c>
      <c r="AE47" t="n">
        <v>146350.042</v>
      </c>
      <c r="AF47" t="n">
        <v>750.974</v>
      </c>
      <c r="AG47" t="n">
        <v>475.344</v>
      </c>
      <c r="AH47" t="n">
        <v>1142.228</v>
      </c>
      <c r="AI47" t="n">
        <v>19241.524</v>
      </c>
      <c r="AJ47" t="n">
        <v>1169.09</v>
      </c>
      <c r="AK47" t="n">
        <v>1062.81</v>
      </c>
      <c r="AL47" t="n">
        <v>1024.268</v>
      </c>
      <c r="AM47" t="n">
        <v>1214.639</v>
      </c>
      <c r="AN47" t="n">
        <v>746.303</v>
      </c>
      <c r="AO47" t="n">
        <v>1181.938</v>
      </c>
      <c r="AP47" t="n">
        <v>1880.355</v>
      </c>
      <c r="AQ47" t="n">
        <v>1092.008</v>
      </c>
      <c r="AR47" t="n">
        <v>1393.332</v>
      </c>
      <c r="AS47" t="n">
        <v>2659.36</v>
      </c>
      <c r="AT47" t="n">
        <v>7016.063</v>
      </c>
      <c r="AU47" t="n">
        <v>2517.29</v>
      </c>
      <c r="AV47" t="n">
        <v>2404.957</v>
      </c>
      <c r="AW47" t="n">
        <v>2084.417</v>
      </c>
      <c r="AX47" t="n">
        <v>2104.485</v>
      </c>
      <c r="AY47" t="n">
        <v>1667.307</v>
      </c>
      <c r="AZ47" t="n">
        <v>10.845</v>
      </c>
      <c r="BA47" t="n">
        <v>280.635</v>
      </c>
      <c r="BB47" t="n">
        <v>805.0599999999999</v>
      </c>
      <c r="BC47" t="n">
        <v>102.388</v>
      </c>
      <c r="BD47" t="n">
        <v>1011.866</v>
      </c>
      <c r="BE47" t="n">
        <v>744.273</v>
      </c>
      <c r="BF47" t="n">
        <v>482.028</v>
      </c>
      <c r="BG47" t="n">
        <v>551.899</v>
      </c>
      <c r="BH47" t="n">
        <v>273.257</v>
      </c>
      <c r="BI47" t="n">
        <v>309.184</v>
      </c>
      <c r="BJ47" t="n">
        <v>401.682</v>
      </c>
      <c r="BK47" t="n">
        <v>635.526</v>
      </c>
      <c r="BL47" t="n">
        <v>712.247</v>
      </c>
      <c r="BM47" t="n">
        <v>644.0119999999999</v>
      </c>
      <c r="BN47" t="n">
        <v>0</v>
      </c>
      <c r="BO47" t="n">
        <v>0</v>
      </c>
      <c r="BP47" t="n">
        <v>0</v>
      </c>
      <c r="BQ47" t="n">
        <v>0</v>
      </c>
      <c r="BR47" t="n">
        <v>2.141</v>
      </c>
      <c r="BS47" t="n">
        <v>484.98</v>
      </c>
      <c r="BT47" t="n">
        <v>29.05</v>
      </c>
      <c r="BU47" t="n">
        <v>32.983</v>
      </c>
      <c r="BV47" t="n">
        <v>38.101</v>
      </c>
    </row>
    <row r="48">
      <c r="A48" t="inlineStr">
        <is>
          <t>Scombridae</t>
        </is>
      </c>
      <c r="B48" t="inlineStr">
        <is>
          <t>Mackerels, tunas, bonitos</t>
        </is>
      </c>
      <c r="C48" t="inlineStr">
        <is>
          <t>Medium pelagics (30 - 89 cm)</t>
        </is>
      </c>
      <c r="D48" t="inlineStr">
        <is>
          <t>Perch-likes</t>
        </is>
      </c>
      <c r="E48" t="n">
        <v>2103.828</v>
      </c>
      <c r="F48" t="n">
        <v>2855.657</v>
      </c>
      <c r="G48" t="n">
        <v>3511.891</v>
      </c>
      <c r="H48" t="n">
        <v>65.542</v>
      </c>
      <c r="I48" t="n">
        <v>0.232</v>
      </c>
      <c r="J48" t="n">
        <v>5130.82</v>
      </c>
      <c r="K48" t="n">
        <v>1438.665</v>
      </c>
      <c r="L48" t="n">
        <v>0.751</v>
      </c>
      <c r="M48" t="n">
        <v>0</v>
      </c>
      <c r="N48" t="n">
        <v>1.203</v>
      </c>
      <c r="O48" t="n">
        <v>4076.627</v>
      </c>
      <c r="P48" t="n">
        <v>253.67</v>
      </c>
      <c r="Q48" t="n">
        <v>1698.381</v>
      </c>
      <c r="R48" t="n">
        <v>3551.63</v>
      </c>
      <c r="S48" t="n">
        <v>8117.703</v>
      </c>
      <c r="T48" t="n">
        <v>3545.668</v>
      </c>
      <c r="U48" t="n">
        <v>1336.369</v>
      </c>
      <c r="V48" t="n">
        <v>7058.364</v>
      </c>
      <c r="W48" t="n">
        <v>5773.28</v>
      </c>
      <c r="X48" t="n">
        <v>8521.993</v>
      </c>
      <c r="Y48" t="n">
        <v>22693.087</v>
      </c>
      <c r="Z48" t="n">
        <v>12653.906</v>
      </c>
      <c r="AA48" t="n">
        <v>11597.431</v>
      </c>
      <c r="AB48" t="n">
        <v>11152.49</v>
      </c>
      <c r="AC48" t="n">
        <v>8490.147000000001</v>
      </c>
      <c r="AD48" t="n">
        <v>1919.268</v>
      </c>
      <c r="AE48" t="n">
        <v>4935.387</v>
      </c>
      <c r="AF48" t="n">
        <v>6528.667</v>
      </c>
      <c r="AG48" t="n">
        <v>5412.11</v>
      </c>
      <c r="AH48" t="n">
        <v>4750.034</v>
      </c>
      <c r="AI48" t="n">
        <v>2543.597</v>
      </c>
      <c r="AJ48" t="n">
        <v>3792.04</v>
      </c>
      <c r="AK48" t="n">
        <v>4719.769</v>
      </c>
      <c r="AL48" t="n">
        <v>7132.469</v>
      </c>
      <c r="AM48" t="n">
        <v>5586.959</v>
      </c>
      <c r="AN48" t="n">
        <v>3100.002</v>
      </c>
      <c r="AO48" t="n">
        <v>66.104</v>
      </c>
      <c r="AP48" t="n">
        <v>0.422</v>
      </c>
      <c r="AQ48" t="n">
        <v>34.432</v>
      </c>
      <c r="AR48" t="n">
        <v>52.118</v>
      </c>
      <c r="AS48" t="n">
        <v>110.309</v>
      </c>
      <c r="AT48" t="n">
        <v>56.415</v>
      </c>
      <c r="AU48" t="n">
        <v>332.74</v>
      </c>
      <c r="AV48" t="n">
        <v>511.931</v>
      </c>
      <c r="AW48" t="n">
        <v>241.891</v>
      </c>
      <c r="AX48" t="n">
        <v>116.322</v>
      </c>
      <c r="AY48" t="n">
        <v>77.20999999999999</v>
      </c>
      <c r="AZ48" t="n">
        <v>85.381</v>
      </c>
      <c r="BA48" t="n">
        <v>157.146</v>
      </c>
      <c r="BB48" t="n">
        <v>1350.486</v>
      </c>
      <c r="BC48" t="n">
        <v>23.968</v>
      </c>
      <c r="BD48" t="n">
        <v>800.994</v>
      </c>
      <c r="BE48" t="n">
        <v>388.754</v>
      </c>
      <c r="BF48" t="n">
        <v>148.552</v>
      </c>
      <c r="BG48" t="n">
        <v>300.483</v>
      </c>
      <c r="BH48" t="n">
        <v>839.413</v>
      </c>
      <c r="BI48" t="n">
        <v>615.169</v>
      </c>
      <c r="BJ48" t="n">
        <v>3949.193</v>
      </c>
      <c r="BK48" t="n">
        <v>2076.661</v>
      </c>
      <c r="BL48" t="n">
        <v>1749.213</v>
      </c>
      <c r="BM48" t="n">
        <v>988.4880000000001</v>
      </c>
      <c r="BN48" t="n">
        <v>2150.415</v>
      </c>
      <c r="BO48" t="n">
        <v>4369.504</v>
      </c>
      <c r="BP48" t="n">
        <v>2138.607</v>
      </c>
      <c r="BQ48" t="n">
        <v>2242.768</v>
      </c>
      <c r="BR48" t="n">
        <v>1685.861</v>
      </c>
      <c r="BS48" t="n">
        <v>3821.542</v>
      </c>
      <c r="BT48" t="n">
        <v>2832.861</v>
      </c>
      <c r="BU48" t="n">
        <v>2497.097</v>
      </c>
      <c r="BV48" t="n">
        <v>39279.613</v>
      </c>
    </row>
    <row r="49">
      <c r="A49" t="inlineStr">
        <is>
          <t>Cilus gilberti</t>
        </is>
      </c>
      <c r="B49" t="inlineStr">
        <is>
          <t>Corvina drum</t>
        </is>
      </c>
      <c r="C49" t="inlineStr">
        <is>
          <t>Medium demersals (30 - 89 cm)</t>
        </is>
      </c>
      <c r="D49" t="inlineStr">
        <is>
          <t>Perch-likes</t>
        </is>
      </c>
      <c r="E49" t="n">
        <v>4279.916</v>
      </c>
      <c r="F49" t="n">
        <v>3125.118</v>
      </c>
      <c r="G49" t="n">
        <v>3408.965</v>
      </c>
      <c r="H49" t="n">
        <v>2330.346</v>
      </c>
      <c r="I49" t="n">
        <v>3247.465</v>
      </c>
      <c r="J49" t="n">
        <v>3322.832</v>
      </c>
      <c r="K49" t="n">
        <v>2783.522</v>
      </c>
      <c r="L49" t="n">
        <v>2705.22</v>
      </c>
      <c r="M49" t="n">
        <v>2636.705</v>
      </c>
      <c r="N49" t="n">
        <v>4847.776</v>
      </c>
      <c r="O49" t="n">
        <v>5160.088</v>
      </c>
      <c r="P49" t="n">
        <v>5676.352</v>
      </c>
      <c r="Q49" t="n">
        <v>3994.157</v>
      </c>
      <c r="R49" t="n">
        <v>5739.491</v>
      </c>
      <c r="S49" t="n">
        <v>10720.767</v>
      </c>
      <c r="T49" t="n">
        <v>8125.437</v>
      </c>
      <c r="U49" t="n">
        <v>9269.316999999999</v>
      </c>
      <c r="V49" t="n">
        <v>7221.448</v>
      </c>
      <c r="W49" t="n">
        <v>6132.428</v>
      </c>
      <c r="X49" t="n">
        <v>5190.409</v>
      </c>
      <c r="Y49" t="n">
        <v>6184.986</v>
      </c>
      <c r="Z49" t="n">
        <v>3287.732</v>
      </c>
      <c r="AA49" t="n">
        <v>5731.196</v>
      </c>
      <c r="AB49" t="n">
        <v>6239.239</v>
      </c>
      <c r="AC49" t="n">
        <v>4129.828</v>
      </c>
      <c r="AD49" t="n">
        <v>3261.313</v>
      </c>
      <c r="AE49" t="n">
        <v>3098.046</v>
      </c>
      <c r="AF49" t="n">
        <v>4830.397</v>
      </c>
      <c r="AG49" t="n">
        <v>1384.003</v>
      </c>
      <c r="AH49" t="n">
        <v>2380.607</v>
      </c>
      <c r="AI49" t="n">
        <v>2624.032</v>
      </c>
      <c r="AJ49" t="n">
        <v>2453.891</v>
      </c>
      <c r="AK49" t="n">
        <v>1618.139</v>
      </c>
      <c r="AL49" t="n">
        <v>1716.639</v>
      </c>
      <c r="AM49" t="n">
        <v>1473.565</v>
      </c>
      <c r="AN49" t="n">
        <v>1526.649</v>
      </c>
      <c r="AO49" t="n">
        <v>2183.1</v>
      </c>
      <c r="AP49" t="n">
        <v>1614.232</v>
      </c>
      <c r="AQ49" t="n">
        <v>1928.932</v>
      </c>
      <c r="AR49" t="n">
        <v>2126.957</v>
      </c>
      <c r="AS49" t="n">
        <v>2670.865</v>
      </c>
      <c r="AT49" t="n">
        <v>2720.215</v>
      </c>
      <c r="AU49" t="n">
        <v>2730.904</v>
      </c>
      <c r="AV49" t="n">
        <v>4332.574</v>
      </c>
      <c r="AW49" t="n">
        <v>7186.57</v>
      </c>
      <c r="AX49" t="n">
        <v>5677.954</v>
      </c>
      <c r="AY49" t="n">
        <v>2382.619</v>
      </c>
      <c r="AZ49" t="n">
        <v>2435.91</v>
      </c>
      <c r="BA49" t="n">
        <v>2585.225</v>
      </c>
      <c r="BB49" t="n">
        <v>2508.675</v>
      </c>
      <c r="BC49" t="n">
        <v>1507.484</v>
      </c>
      <c r="BD49" t="n">
        <v>2324.884</v>
      </c>
      <c r="BE49" t="n">
        <v>2392.137</v>
      </c>
      <c r="BF49" t="n">
        <v>979.998</v>
      </c>
      <c r="BG49" t="n">
        <v>2402.888</v>
      </c>
      <c r="BH49" t="n">
        <v>1934.876</v>
      </c>
      <c r="BI49" t="n">
        <v>2867.473</v>
      </c>
      <c r="BJ49" t="n">
        <v>3657.902</v>
      </c>
      <c r="BK49" t="n">
        <v>1486.933</v>
      </c>
      <c r="BL49" t="n">
        <v>2095.616</v>
      </c>
      <c r="BM49" t="n">
        <v>1278.025</v>
      </c>
      <c r="BN49" t="n">
        <v>2923.858</v>
      </c>
      <c r="BO49" t="n">
        <v>2529.761</v>
      </c>
      <c r="BP49" t="n">
        <v>4139.198</v>
      </c>
      <c r="BQ49" t="n">
        <v>3399.22</v>
      </c>
      <c r="BR49" t="n">
        <v>2586.817</v>
      </c>
      <c r="BS49" t="n">
        <v>3886.65</v>
      </c>
      <c r="BT49" t="n">
        <v>2276.884</v>
      </c>
      <c r="BU49" t="n">
        <v>1445.288</v>
      </c>
      <c r="BV49" t="n">
        <v>2788.733</v>
      </c>
    </row>
    <row r="50">
      <c r="A50" t="inlineStr">
        <is>
          <t>Pleuronectiformes</t>
        </is>
      </c>
      <c r="B50" t="inlineStr">
        <is>
          <t>Flatfishes</t>
        </is>
      </c>
      <c r="C50" t="inlineStr">
        <is>
          <t>Small to medium flatfishes (&lt;90 cm)</t>
        </is>
      </c>
      <c r="D50" t="inlineStr">
        <is>
          <t>Flatfishes</t>
        </is>
      </c>
      <c r="E50" t="n">
        <v>429.517</v>
      </c>
      <c r="F50" t="n">
        <v>504.031</v>
      </c>
      <c r="G50" t="n">
        <v>675.696</v>
      </c>
      <c r="H50" t="n">
        <v>639.825</v>
      </c>
      <c r="I50" t="n">
        <v>596.199</v>
      </c>
      <c r="J50" t="n">
        <v>791.425</v>
      </c>
      <c r="K50" t="n">
        <v>705.228</v>
      </c>
      <c r="L50" t="n">
        <v>691.896</v>
      </c>
      <c r="M50" t="n">
        <v>664.85</v>
      </c>
      <c r="N50" t="n">
        <v>768.5309999999999</v>
      </c>
      <c r="O50" t="n">
        <v>911.356</v>
      </c>
      <c r="P50" t="n">
        <v>1016.159</v>
      </c>
      <c r="Q50" t="n">
        <v>974.751</v>
      </c>
      <c r="R50" t="n">
        <v>1130.909</v>
      </c>
      <c r="S50" t="n">
        <v>1279.241</v>
      </c>
      <c r="T50" t="n">
        <v>1007.664</v>
      </c>
      <c r="U50" t="n">
        <v>1895.207</v>
      </c>
      <c r="V50" t="n">
        <v>2381.058</v>
      </c>
      <c r="W50" t="n">
        <v>2600.689</v>
      </c>
      <c r="X50" t="n">
        <v>1884.914</v>
      </c>
      <c r="Y50" t="n">
        <v>8411.489</v>
      </c>
      <c r="Z50" t="n">
        <v>2228.73</v>
      </c>
      <c r="AA50" t="n">
        <v>1863.119</v>
      </c>
      <c r="AB50" t="n">
        <v>2017.036</v>
      </c>
      <c r="AC50" t="n">
        <v>2348.461</v>
      </c>
      <c r="AD50" t="n">
        <v>3801.728</v>
      </c>
      <c r="AE50" t="n">
        <v>2565.78</v>
      </c>
      <c r="AF50" t="n">
        <v>4974.494</v>
      </c>
      <c r="AG50" t="n">
        <v>6400.456</v>
      </c>
      <c r="AH50" t="n">
        <v>3754.635</v>
      </c>
      <c r="AI50" t="n">
        <v>3128.59</v>
      </c>
      <c r="AJ50" t="n">
        <v>4504.668</v>
      </c>
      <c r="AK50" t="n">
        <v>5655.48</v>
      </c>
      <c r="AL50" t="n">
        <v>6955.071</v>
      </c>
      <c r="AM50" t="n">
        <v>7943.081</v>
      </c>
      <c r="AN50" t="n">
        <v>5276.298</v>
      </c>
      <c r="AO50" t="n">
        <v>5314.184</v>
      </c>
      <c r="AP50" t="n">
        <v>7234.04</v>
      </c>
      <c r="AQ50" t="n">
        <v>7593.368</v>
      </c>
      <c r="AR50" t="n">
        <v>8536.445</v>
      </c>
      <c r="AS50" t="n">
        <v>9005.436</v>
      </c>
      <c r="AT50" t="n">
        <v>8311.288</v>
      </c>
      <c r="AU50" t="n">
        <v>10449.582</v>
      </c>
      <c r="AV50" t="n">
        <v>8856.290000000001</v>
      </c>
      <c r="AW50" t="n">
        <v>9646.762000000001</v>
      </c>
      <c r="AX50" t="n">
        <v>11130.464</v>
      </c>
      <c r="AY50" t="n">
        <v>9058.659</v>
      </c>
      <c r="AZ50" t="n">
        <v>6616.083</v>
      </c>
      <c r="BA50" t="n">
        <v>4232.482</v>
      </c>
      <c r="BB50" t="n">
        <v>3398.816</v>
      </c>
      <c r="BC50" t="n">
        <v>3131.752</v>
      </c>
      <c r="BD50" t="n">
        <v>4182.902</v>
      </c>
      <c r="BE50" t="n">
        <v>3303.856</v>
      </c>
      <c r="BF50" t="n">
        <v>3890.912</v>
      </c>
      <c r="BG50" t="n">
        <v>3850.597</v>
      </c>
      <c r="BH50" t="n">
        <v>3468.343</v>
      </c>
      <c r="BI50" t="n">
        <v>3329.284</v>
      </c>
      <c r="BJ50" t="n">
        <v>3143.803</v>
      </c>
      <c r="BK50" t="n">
        <v>2311.557</v>
      </c>
      <c r="BL50" t="n">
        <v>2338.338</v>
      </c>
      <c r="BM50" t="n">
        <v>2016.982</v>
      </c>
      <c r="BN50" t="n">
        <v>204.384</v>
      </c>
      <c r="BO50" t="n">
        <v>813.001</v>
      </c>
      <c r="BP50" t="n">
        <v>169.418</v>
      </c>
      <c r="BQ50" t="n">
        <v>171.308</v>
      </c>
      <c r="BR50" t="n">
        <v>483.174</v>
      </c>
      <c r="BS50" t="n">
        <v>563.502</v>
      </c>
      <c r="BT50" t="n">
        <v>199.649</v>
      </c>
      <c r="BU50" t="n">
        <v>197.157</v>
      </c>
      <c r="BV50" t="n">
        <v>786.558</v>
      </c>
    </row>
    <row r="51">
      <c r="A51" t="inlineStr">
        <is>
          <t>Sprattus fuegensis</t>
        </is>
      </c>
      <c r="B51" t="inlineStr">
        <is>
          <t>Falkland sprat</t>
        </is>
      </c>
      <c r="C51" t="inlineStr">
        <is>
          <t>Small pelagics (&lt;30 cm)</t>
        </is>
      </c>
      <c r="D51" t="inlineStr">
        <is>
          <t>Herring-likes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30.232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2.678</v>
      </c>
      <c r="BG51" t="n">
        <v>70.976</v>
      </c>
      <c r="BH51" t="n">
        <v>153.336</v>
      </c>
      <c r="BI51" t="n">
        <v>26478.852</v>
      </c>
      <c r="BJ51" t="n">
        <v>33951.452</v>
      </c>
      <c r="BK51" t="n">
        <v>30191.047</v>
      </c>
      <c r="BL51" t="n">
        <v>35221.66</v>
      </c>
      <c r="BM51" t="n">
        <v>13507.596</v>
      </c>
      <c r="BN51" t="n">
        <v>0</v>
      </c>
      <c r="BO51" t="n">
        <v>0</v>
      </c>
      <c r="BP51" t="n">
        <v>0</v>
      </c>
      <c r="BQ51" t="n">
        <v>0</v>
      </c>
      <c r="BR51" t="n">
        <v>32929.077</v>
      </c>
      <c r="BS51" t="n">
        <v>24812.452</v>
      </c>
      <c r="BT51" t="n">
        <v>19686.013</v>
      </c>
      <c r="BU51" t="n">
        <v>10317.295</v>
      </c>
      <c r="BV51" t="n">
        <v>13852.227</v>
      </c>
    </row>
    <row r="52">
      <c r="A52" t="inlineStr">
        <is>
          <t>Prionace glauca</t>
        </is>
      </c>
      <c r="B52" t="inlineStr">
        <is>
          <t>Blue shark</t>
        </is>
      </c>
      <c r="C52" t="inlineStr">
        <is>
          <t>Large sharks (&gt;=90 cm)</t>
        </is>
      </c>
      <c r="D52" t="inlineStr">
        <is>
          <t>Sharks &amp; rays</t>
        </is>
      </c>
      <c r="E52" t="n">
        <v>32.077</v>
      </c>
      <c r="F52" t="n">
        <v>35.966</v>
      </c>
      <c r="G52" t="n">
        <v>82.624</v>
      </c>
      <c r="H52" t="n">
        <v>43.742</v>
      </c>
      <c r="I52" t="n">
        <v>46.637</v>
      </c>
      <c r="J52" t="n">
        <v>178.349</v>
      </c>
      <c r="K52" t="n">
        <v>278.977</v>
      </c>
      <c r="L52" t="n">
        <v>144.165</v>
      </c>
      <c r="M52" t="n">
        <v>142.891</v>
      </c>
      <c r="N52" t="n">
        <v>46.658</v>
      </c>
      <c r="O52" t="n">
        <v>48.602</v>
      </c>
      <c r="P52" t="n">
        <v>44.714</v>
      </c>
      <c r="Q52" t="n">
        <v>54.434</v>
      </c>
      <c r="R52" t="n">
        <v>64.155</v>
      </c>
      <c r="S52" t="n">
        <v>197.325</v>
      </c>
      <c r="T52" t="n">
        <v>399.51</v>
      </c>
      <c r="U52" t="n">
        <v>205.101</v>
      </c>
      <c r="V52" t="n">
        <v>372.293</v>
      </c>
      <c r="W52" t="n">
        <v>496.715</v>
      </c>
      <c r="X52" t="n">
        <v>333.411</v>
      </c>
      <c r="Y52" t="n">
        <v>445.196</v>
      </c>
      <c r="Z52" t="n">
        <v>348.964</v>
      </c>
      <c r="AA52" t="n">
        <v>342.16</v>
      </c>
      <c r="AB52" t="n">
        <v>805.825</v>
      </c>
      <c r="AC52" t="n">
        <v>601.6950000000001</v>
      </c>
      <c r="AD52" t="n">
        <v>536.568</v>
      </c>
      <c r="AE52" t="n">
        <v>444.224</v>
      </c>
      <c r="AF52" t="n">
        <v>516.1559999999999</v>
      </c>
      <c r="AG52" t="n">
        <v>719.313</v>
      </c>
      <c r="AH52" t="n">
        <v>708.8440000000001</v>
      </c>
      <c r="AI52" t="n">
        <v>758.1950000000001</v>
      </c>
      <c r="AJ52" t="n">
        <v>795.1319999999999</v>
      </c>
      <c r="AK52" t="n">
        <v>724.173</v>
      </c>
      <c r="AL52" t="n">
        <v>1212.139</v>
      </c>
      <c r="AM52" t="n">
        <v>3088.409</v>
      </c>
      <c r="AN52" t="n">
        <v>1172.785</v>
      </c>
      <c r="AO52" t="n">
        <v>1952.43</v>
      </c>
      <c r="AP52" t="n">
        <v>2083.512</v>
      </c>
      <c r="AQ52" t="n">
        <v>2483.962</v>
      </c>
      <c r="AR52" t="n">
        <v>3201.116</v>
      </c>
      <c r="AS52" t="n">
        <v>2157.28</v>
      </c>
      <c r="AT52" t="n">
        <v>1410.589</v>
      </c>
      <c r="AU52" t="n">
        <v>4266.138</v>
      </c>
      <c r="AV52" t="n">
        <v>4715.963</v>
      </c>
      <c r="AW52" t="n">
        <v>1961.771</v>
      </c>
      <c r="AX52" t="n">
        <v>2671.344</v>
      </c>
      <c r="AY52" t="n">
        <v>2824.339</v>
      </c>
      <c r="AZ52" t="n">
        <v>3176.564</v>
      </c>
      <c r="BA52" t="n">
        <v>8155.737</v>
      </c>
      <c r="BB52" t="n">
        <v>5103.179</v>
      </c>
      <c r="BC52" t="n">
        <v>7800.344</v>
      </c>
      <c r="BD52" t="n">
        <v>9150.973</v>
      </c>
      <c r="BE52" t="n">
        <v>8597.898999999999</v>
      </c>
      <c r="BF52" t="n">
        <v>4679.682</v>
      </c>
      <c r="BG52" t="n">
        <v>5325.231</v>
      </c>
      <c r="BH52" t="n">
        <v>6048.963</v>
      </c>
      <c r="BI52" t="n">
        <v>4629.596</v>
      </c>
      <c r="BJ52" t="n">
        <v>3970.959</v>
      </c>
      <c r="BK52" t="n">
        <v>3988.803</v>
      </c>
      <c r="BL52" t="n">
        <v>6531.564</v>
      </c>
      <c r="BM52" t="n">
        <v>9694.495999999999</v>
      </c>
      <c r="BN52" t="n">
        <v>8911.919</v>
      </c>
      <c r="BO52" t="n">
        <v>7045.885</v>
      </c>
      <c r="BP52" t="n">
        <v>12537.915</v>
      </c>
      <c r="BQ52" t="n">
        <v>12166.039</v>
      </c>
      <c r="BR52" t="n">
        <v>14036.119</v>
      </c>
      <c r="BS52" t="n">
        <v>14664.628</v>
      </c>
      <c r="BT52" t="n">
        <v>13589.638</v>
      </c>
      <c r="BU52" t="n">
        <v>10030.961</v>
      </c>
      <c r="BV52" t="n">
        <v>9942.227999999999</v>
      </c>
    </row>
    <row r="53">
      <c r="A53" t="inlineStr">
        <is>
          <t>Isacia conceptionis</t>
        </is>
      </c>
      <c r="B53" t="inlineStr">
        <is>
          <t>Cabinza grunt</t>
        </is>
      </c>
      <c r="C53" t="inlineStr">
        <is>
          <t>Medium benthopelagics (30 - 89 cm)</t>
        </is>
      </c>
      <c r="D53" t="inlineStr">
        <is>
          <t>Perch-likes</t>
        </is>
      </c>
      <c r="E53" t="n">
        <v>730.158</v>
      </c>
      <c r="F53" t="n">
        <v>733.931</v>
      </c>
      <c r="G53" t="n">
        <v>853.722</v>
      </c>
      <c r="H53" t="n">
        <v>734.874</v>
      </c>
      <c r="I53" t="n">
        <v>615.083</v>
      </c>
      <c r="J53" t="n">
        <v>614.14</v>
      </c>
      <c r="K53" t="n">
        <v>3276.9</v>
      </c>
      <c r="L53" t="n">
        <v>3047.693</v>
      </c>
      <c r="M53" t="n">
        <v>2552.493</v>
      </c>
      <c r="N53" t="n">
        <v>980.116</v>
      </c>
      <c r="O53" t="n">
        <v>1280.675</v>
      </c>
      <c r="P53" t="n">
        <v>1370.012</v>
      </c>
      <c r="Q53" t="n">
        <v>1354.989</v>
      </c>
      <c r="R53" t="n">
        <v>1108.949</v>
      </c>
      <c r="S53" t="n">
        <v>1180.11</v>
      </c>
      <c r="T53" t="n">
        <v>1123.236</v>
      </c>
      <c r="U53" t="n">
        <v>1073.011</v>
      </c>
      <c r="V53" t="n">
        <v>1140.534</v>
      </c>
      <c r="W53" t="n">
        <v>1530.33</v>
      </c>
      <c r="X53" t="n">
        <v>1571.566</v>
      </c>
      <c r="Y53" t="n">
        <v>2297.244</v>
      </c>
      <c r="Z53" t="n">
        <v>2316.043</v>
      </c>
      <c r="AA53" t="n">
        <v>3531.398</v>
      </c>
      <c r="AB53" t="n">
        <v>5723.205</v>
      </c>
      <c r="AC53" t="n">
        <v>2335.865</v>
      </c>
      <c r="AD53" t="n">
        <v>1805.653</v>
      </c>
      <c r="AE53" t="n">
        <v>2700.941</v>
      </c>
      <c r="AF53" t="n">
        <v>2899.535</v>
      </c>
      <c r="AG53" t="n">
        <v>5321.349</v>
      </c>
      <c r="AH53" t="n">
        <v>5070.77</v>
      </c>
      <c r="AI53" t="n">
        <v>3464.824</v>
      </c>
      <c r="AJ53" t="n">
        <v>4754.239</v>
      </c>
      <c r="AK53" t="n">
        <v>4048.634</v>
      </c>
      <c r="AL53" t="n">
        <v>5878.275</v>
      </c>
      <c r="AM53" t="n">
        <v>3991.137</v>
      </c>
      <c r="AN53" t="n">
        <v>1522.921</v>
      </c>
      <c r="AO53" t="n">
        <v>1087.582</v>
      </c>
      <c r="AP53" t="n">
        <v>812.7190000000001</v>
      </c>
      <c r="AQ53" t="n">
        <v>1536.9</v>
      </c>
      <c r="AR53" t="n">
        <v>2366.427</v>
      </c>
      <c r="AS53" t="n">
        <v>2249.092</v>
      </c>
      <c r="AT53" t="n">
        <v>1232.23</v>
      </c>
      <c r="AU53" t="n">
        <v>2834.252</v>
      </c>
      <c r="AV53" t="n">
        <v>1409.997</v>
      </c>
      <c r="AW53" t="n">
        <v>915.106</v>
      </c>
      <c r="AX53" t="n">
        <v>1836.09</v>
      </c>
      <c r="AY53" t="n">
        <v>2494.046</v>
      </c>
      <c r="AZ53" t="n">
        <v>2476.284</v>
      </c>
      <c r="BA53" t="n">
        <v>2570.44</v>
      </c>
      <c r="BB53" t="n">
        <v>3533.407</v>
      </c>
      <c r="BC53" t="n">
        <v>3997.832</v>
      </c>
      <c r="BD53" t="n">
        <v>4014.986</v>
      </c>
      <c r="BE53" t="n">
        <v>7037.596</v>
      </c>
      <c r="BF53" t="n">
        <v>11080.704</v>
      </c>
      <c r="BG53" t="n">
        <v>8446.953</v>
      </c>
      <c r="BH53" t="n">
        <v>4463.98</v>
      </c>
      <c r="BI53" t="n">
        <v>2683.764</v>
      </c>
      <c r="BJ53" t="n">
        <v>3197.122</v>
      </c>
      <c r="BK53" t="n">
        <v>4207.624</v>
      </c>
      <c r="BL53" t="n">
        <v>5825.49</v>
      </c>
      <c r="BM53" t="n">
        <v>5097.902</v>
      </c>
      <c r="BN53" t="n">
        <v>4698.689</v>
      </c>
      <c r="BO53" t="n">
        <v>3019.471</v>
      </c>
      <c r="BP53" t="n">
        <v>2842.384</v>
      </c>
      <c r="BQ53" t="n">
        <v>2765.23</v>
      </c>
      <c r="BR53" t="n">
        <v>3150.575</v>
      </c>
      <c r="BS53" t="n">
        <v>3775.21</v>
      </c>
      <c r="BT53" t="n">
        <v>2194.364</v>
      </c>
      <c r="BU53" t="n">
        <v>2467.57</v>
      </c>
      <c r="BV53" t="n">
        <v>2379.804</v>
      </c>
    </row>
    <row r="54">
      <c r="A54" t="inlineStr">
        <is>
          <t>Genypterus maculatus</t>
        </is>
      </c>
      <c r="B54" t="inlineStr">
        <is>
          <t>Black cusk-eel</t>
        </is>
      </c>
      <c r="C54" t="inlineStr">
        <is>
          <t>Medium demersals (30 - 89 cm)</t>
        </is>
      </c>
      <c r="D54" t="inlineStr">
        <is>
          <t>Other fishes &amp; inverts</t>
        </is>
      </c>
      <c r="E54" t="n">
        <v>3491.571</v>
      </c>
      <c r="F54" t="n">
        <v>3491.571</v>
      </c>
      <c r="G54" t="n">
        <v>3491.571</v>
      </c>
      <c r="H54" t="n">
        <v>3491.571</v>
      </c>
      <c r="I54" t="n">
        <v>3491.571</v>
      </c>
      <c r="J54" t="n">
        <v>3491.571</v>
      </c>
      <c r="K54" t="n">
        <v>3491.571</v>
      </c>
      <c r="L54" t="n">
        <v>3491.571</v>
      </c>
      <c r="M54" t="n">
        <v>3491.571</v>
      </c>
      <c r="N54" t="n">
        <v>3491.571</v>
      </c>
      <c r="O54" t="n">
        <v>3491.571</v>
      </c>
      <c r="P54" t="n">
        <v>2151.492</v>
      </c>
      <c r="Q54" t="n">
        <v>1809.344</v>
      </c>
      <c r="R54" t="n">
        <v>2422.359</v>
      </c>
      <c r="S54" t="n">
        <v>2728.867</v>
      </c>
      <c r="T54" t="n">
        <v>1366.215</v>
      </c>
      <c r="U54" t="n">
        <v>1363.839</v>
      </c>
      <c r="V54" t="n">
        <v>1561.049</v>
      </c>
      <c r="W54" t="n">
        <v>1321.071</v>
      </c>
      <c r="X54" t="n">
        <v>1034.76</v>
      </c>
      <c r="Y54" t="n">
        <v>1273.55</v>
      </c>
      <c r="Z54" t="n">
        <v>1274.738</v>
      </c>
      <c r="AA54" t="n">
        <v>2485.324</v>
      </c>
      <c r="AB54" t="n">
        <v>2032.691</v>
      </c>
      <c r="AC54" t="n">
        <v>3556.912</v>
      </c>
      <c r="AD54" t="n">
        <v>3840.847</v>
      </c>
      <c r="AE54" t="n">
        <v>17939.001</v>
      </c>
      <c r="AF54" t="n">
        <v>2245.345</v>
      </c>
      <c r="AG54" t="n">
        <v>1898.445</v>
      </c>
      <c r="AH54" t="n">
        <v>2674.218</v>
      </c>
      <c r="AI54" t="n">
        <v>4301.796</v>
      </c>
      <c r="AJ54" t="n">
        <v>3270.601</v>
      </c>
      <c r="AK54" t="n">
        <v>4604.74</v>
      </c>
      <c r="AL54" t="n">
        <v>5051.433</v>
      </c>
      <c r="AM54" t="n">
        <v>3339.505</v>
      </c>
      <c r="AN54" t="n">
        <v>4642.756</v>
      </c>
      <c r="AO54" t="n">
        <v>4494.254</v>
      </c>
      <c r="AP54" t="n">
        <v>6821.572</v>
      </c>
      <c r="AQ54" t="n">
        <v>6345.179</v>
      </c>
      <c r="AR54" t="n">
        <v>7265.889</v>
      </c>
      <c r="AS54" t="n">
        <v>8338.359</v>
      </c>
      <c r="AT54" t="n">
        <v>7106.818</v>
      </c>
      <c r="AU54" t="n">
        <v>2293.714</v>
      </c>
      <c r="AV54" t="n">
        <v>2441.499</v>
      </c>
      <c r="AW54" t="n">
        <v>1363.033</v>
      </c>
      <c r="AX54" t="n">
        <v>1451.045</v>
      </c>
      <c r="AY54" t="n">
        <v>1639.821</v>
      </c>
      <c r="AZ54" t="n">
        <v>2035.934</v>
      </c>
      <c r="BA54" t="n">
        <v>3387.408</v>
      </c>
      <c r="BB54" t="n">
        <v>2399.909</v>
      </c>
      <c r="BC54" t="n">
        <v>1115.884</v>
      </c>
      <c r="BD54" t="n">
        <v>4840.192</v>
      </c>
      <c r="BE54" t="n">
        <v>1539.137</v>
      </c>
      <c r="BF54" t="n">
        <v>1958.77</v>
      </c>
      <c r="BG54" t="n">
        <v>1849.072</v>
      </c>
      <c r="BH54" t="n">
        <v>1095.405</v>
      </c>
      <c r="BI54" t="n">
        <v>651.833</v>
      </c>
      <c r="BJ54" t="n">
        <v>329.674</v>
      </c>
      <c r="BK54" t="n">
        <v>375.61</v>
      </c>
      <c r="BL54" t="n">
        <v>396.231</v>
      </c>
      <c r="BM54" t="n">
        <v>252.255</v>
      </c>
      <c r="BN54" t="n">
        <v>539.655</v>
      </c>
      <c r="BO54" t="n">
        <v>592.027</v>
      </c>
      <c r="BP54" t="n">
        <v>503.223</v>
      </c>
      <c r="BQ54" t="n">
        <v>537.378</v>
      </c>
      <c r="BR54" t="n">
        <v>216.614</v>
      </c>
      <c r="BS54" t="n">
        <v>157.907</v>
      </c>
      <c r="BT54" t="n">
        <v>235.751</v>
      </c>
      <c r="BU54" t="n">
        <v>311.498</v>
      </c>
      <c r="BV54" t="n">
        <v>194.805</v>
      </c>
    </row>
    <row r="55">
      <c r="A55" t="inlineStr">
        <is>
          <t>Batoidea</t>
        </is>
      </c>
      <c r="B55" t="inlineStr">
        <is>
          <t>Batoids, skates, rays, sawfishes</t>
        </is>
      </c>
      <c r="C55" t="inlineStr">
        <is>
          <t>Large rays (&gt;=90 cm)</t>
        </is>
      </c>
      <c r="D55" t="inlineStr">
        <is>
          <t>Sharks &amp; rays</t>
        </is>
      </c>
      <c r="E55" t="n">
        <v>384.268</v>
      </c>
      <c r="F55" t="n">
        <v>380.492</v>
      </c>
      <c r="G55" t="n">
        <v>760.9829999999999</v>
      </c>
      <c r="H55" t="n">
        <v>1283.097</v>
      </c>
      <c r="I55" t="n">
        <v>634.467</v>
      </c>
      <c r="J55" t="n">
        <v>507.007</v>
      </c>
      <c r="K55" t="n">
        <v>880.89</v>
      </c>
      <c r="L55" t="n">
        <v>887.499</v>
      </c>
      <c r="M55" t="n">
        <v>884.667</v>
      </c>
      <c r="N55" t="n">
        <v>881.8339999999999</v>
      </c>
      <c r="O55" t="n">
        <v>756.263</v>
      </c>
      <c r="P55" t="n">
        <v>1007.406</v>
      </c>
      <c r="Q55" t="n">
        <v>1008.35</v>
      </c>
      <c r="R55" t="n">
        <v>759.095</v>
      </c>
      <c r="S55" t="n">
        <v>1264.214</v>
      </c>
      <c r="T55" t="n">
        <v>1147.14</v>
      </c>
      <c r="U55" t="n">
        <v>1896.793</v>
      </c>
      <c r="V55" t="n">
        <v>5780.632</v>
      </c>
      <c r="W55" t="n">
        <v>6914.817</v>
      </c>
      <c r="X55" t="n">
        <v>3986.935</v>
      </c>
      <c r="Y55" t="n">
        <v>5265.089</v>
      </c>
      <c r="Z55" t="n">
        <v>1638.398</v>
      </c>
      <c r="AA55" t="n">
        <v>1403.248</v>
      </c>
      <c r="AB55" t="n">
        <v>1504.807</v>
      </c>
      <c r="AC55" t="n">
        <v>2119.752</v>
      </c>
      <c r="AD55" t="n">
        <v>2198.717</v>
      </c>
      <c r="AE55" t="n">
        <v>1522.92</v>
      </c>
      <c r="AF55" t="n">
        <v>1860.401</v>
      </c>
      <c r="AG55" t="n">
        <v>2306.537</v>
      </c>
      <c r="AH55" t="n">
        <v>3352.651</v>
      </c>
      <c r="AI55" t="n">
        <v>3109.281</v>
      </c>
      <c r="AJ55" t="n">
        <v>3792.288</v>
      </c>
      <c r="AK55" t="n">
        <v>4146.589</v>
      </c>
      <c r="AL55" t="n">
        <v>4459.339</v>
      </c>
      <c r="AM55" t="n">
        <v>5313.324</v>
      </c>
      <c r="AN55" t="n">
        <v>6353.877</v>
      </c>
      <c r="AO55" t="n">
        <v>8303.252</v>
      </c>
      <c r="AP55" t="n">
        <v>8957.246999999999</v>
      </c>
      <c r="AQ55" t="n">
        <v>9328.705</v>
      </c>
      <c r="AR55" t="n">
        <v>11032.812</v>
      </c>
      <c r="AS55" t="n">
        <v>4827.698</v>
      </c>
      <c r="AT55" t="n">
        <v>2364.014</v>
      </c>
      <c r="AU55" t="n">
        <v>3139.111</v>
      </c>
      <c r="AV55" t="n">
        <v>4115.323</v>
      </c>
      <c r="AW55" t="n">
        <v>1877.391</v>
      </c>
      <c r="AX55" t="n">
        <v>2080.037</v>
      </c>
      <c r="AY55" t="n">
        <v>1275.531</v>
      </c>
      <c r="AZ55" t="n">
        <v>1332.556</v>
      </c>
      <c r="BA55" t="n">
        <v>1666.63</v>
      </c>
      <c r="BB55" t="n">
        <v>3012.037</v>
      </c>
      <c r="BC55" t="n">
        <v>4360.301</v>
      </c>
      <c r="BD55" t="n">
        <v>2204.255</v>
      </c>
      <c r="BE55" t="n">
        <v>2724.004</v>
      </c>
      <c r="BF55" t="n">
        <v>2494.457</v>
      </c>
      <c r="BG55" t="n">
        <v>1093.431</v>
      </c>
      <c r="BH55" t="n">
        <v>749.547</v>
      </c>
      <c r="BI55" t="n">
        <v>1550.836</v>
      </c>
      <c r="BJ55" t="n">
        <v>1096.558</v>
      </c>
      <c r="BK55" t="n">
        <v>1335.56</v>
      </c>
      <c r="BL55" t="n">
        <v>1703.048</v>
      </c>
      <c r="BM55" t="n">
        <v>1632.11</v>
      </c>
      <c r="BN55" t="n">
        <v>1436.39</v>
      </c>
      <c r="BO55" t="n">
        <v>2353.959</v>
      </c>
      <c r="BP55" t="n">
        <v>947.08</v>
      </c>
      <c r="BQ55" t="n">
        <v>2016.854</v>
      </c>
      <c r="BR55" t="n">
        <v>2896.384</v>
      </c>
      <c r="BS55" t="n">
        <v>2853.796</v>
      </c>
      <c r="BT55" t="n">
        <v>2161.877</v>
      </c>
      <c r="BU55" t="n">
        <v>2121.534</v>
      </c>
      <c r="BV55" t="n">
        <v>1979.417</v>
      </c>
    </row>
    <row r="56">
      <c r="A56" t="inlineStr">
        <is>
          <t>Pyura chilensis</t>
        </is>
      </c>
      <c r="B56" t="inlineStr">
        <is>
          <t>Red sea squirt</t>
        </is>
      </c>
      <c r="C56" t="inlineStr">
        <is>
          <t>Other demersal invertebrates</t>
        </is>
      </c>
      <c r="D56" t="inlineStr">
        <is>
          <t>Other fishes &amp; inverts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2014.618</v>
      </c>
      <c r="P56" t="n">
        <v>1327.071</v>
      </c>
      <c r="Q56" t="n">
        <v>1132.637</v>
      </c>
      <c r="R56" t="n">
        <v>470.858</v>
      </c>
      <c r="S56" t="n">
        <v>2292.214</v>
      </c>
      <c r="T56" t="n">
        <v>0</v>
      </c>
      <c r="U56" t="n">
        <v>0</v>
      </c>
      <c r="V56" t="n">
        <v>4309.174</v>
      </c>
      <c r="W56" t="n">
        <v>5201.697</v>
      </c>
      <c r="X56" t="n">
        <v>4432.16</v>
      </c>
      <c r="Y56" t="n">
        <v>4972.124</v>
      </c>
      <c r="Z56" t="n">
        <v>3492.785</v>
      </c>
      <c r="AA56" t="n">
        <v>8.199</v>
      </c>
      <c r="AB56" t="n">
        <v>3317.092</v>
      </c>
      <c r="AC56" t="n">
        <v>3564.234</v>
      </c>
      <c r="AD56" t="n">
        <v>39616.525</v>
      </c>
      <c r="AE56" t="n">
        <v>2798.211</v>
      </c>
      <c r="AF56" t="n">
        <v>3756.325</v>
      </c>
      <c r="AG56" t="n">
        <v>3099.232</v>
      </c>
      <c r="AH56" t="n">
        <v>2373.033</v>
      </c>
      <c r="AI56" t="n">
        <v>3456.475</v>
      </c>
      <c r="AJ56" t="n">
        <v>2659.998</v>
      </c>
      <c r="AK56" t="n">
        <v>3168.338</v>
      </c>
      <c r="AL56" t="n">
        <v>2760.729</v>
      </c>
      <c r="AM56" t="n">
        <v>3392.054</v>
      </c>
      <c r="AN56" t="n">
        <v>4546.946</v>
      </c>
      <c r="AO56" t="n">
        <v>0</v>
      </c>
      <c r="AP56" t="n">
        <v>4974.467</v>
      </c>
      <c r="AQ56" t="n">
        <v>4399.363</v>
      </c>
      <c r="AR56" t="n">
        <v>3935.533</v>
      </c>
      <c r="AS56" t="n">
        <v>206.965</v>
      </c>
      <c r="AT56" t="n">
        <v>2500.48</v>
      </c>
      <c r="AU56" t="n">
        <v>0</v>
      </c>
      <c r="AV56" t="n">
        <v>4750.007</v>
      </c>
      <c r="AW56" t="n">
        <v>3594.339</v>
      </c>
      <c r="AX56" t="n">
        <v>3953.688</v>
      </c>
      <c r="AY56" t="n">
        <v>5406.38</v>
      </c>
      <c r="AZ56" t="n">
        <v>37.463</v>
      </c>
      <c r="BA56" t="n">
        <v>372.428</v>
      </c>
      <c r="BB56" t="n">
        <v>1382.168</v>
      </c>
      <c r="BC56" t="n">
        <v>506.081</v>
      </c>
      <c r="BD56" t="n">
        <v>796.365</v>
      </c>
      <c r="BE56" t="n">
        <v>1636.947</v>
      </c>
      <c r="BF56" t="n">
        <v>1567.706</v>
      </c>
      <c r="BG56" t="n">
        <v>1348.977</v>
      </c>
      <c r="BH56" t="n">
        <v>359.995</v>
      </c>
      <c r="BI56" t="n">
        <v>230.056</v>
      </c>
      <c r="BJ56" t="n">
        <v>207.067</v>
      </c>
      <c r="BK56" t="n">
        <v>202.796</v>
      </c>
      <c r="BL56" t="n">
        <v>399.503</v>
      </c>
      <c r="BM56" t="n">
        <v>119.276</v>
      </c>
      <c r="BN56" t="n">
        <v>2319.056</v>
      </c>
      <c r="BO56" t="n">
        <v>2878.054</v>
      </c>
      <c r="BP56" t="n">
        <v>2516.613</v>
      </c>
      <c r="BQ56" t="n">
        <v>4254.221</v>
      </c>
      <c r="BR56" t="n">
        <v>2441.553</v>
      </c>
      <c r="BS56" t="n">
        <v>2276.206</v>
      </c>
      <c r="BT56" t="n">
        <v>2348.553</v>
      </c>
      <c r="BU56" t="n">
        <v>2847.791</v>
      </c>
      <c r="BV56" t="n">
        <v>2644.112</v>
      </c>
    </row>
    <row r="57">
      <c r="A57" t="inlineStr">
        <is>
          <t>Dissostichus eleginoides</t>
        </is>
      </c>
      <c r="B57" t="inlineStr">
        <is>
          <t>Patagonian toothfish</t>
        </is>
      </c>
      <c r="C57" t="inlineStr">
        <is>
          <t>Large bathydemersals (&gt;=90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15.641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33.481</v>
      </c>
      <c r="AH57" t="n">
        <v>102.126</v>
      </c>
      <c r="AI57" t="n">
        <v>349.253</v>
      </c>
      <c r="AJ57" t="n">
        <v>280.114</v>
      </c>
      <c r="AK57" t="n">
        <v>520.4349999999999</v>
      </c>
      <c r="AL57" t="n">
        <v>1360.853</v>
      </c>
      <c r="AM57" t="n">
        <v>2018.302</v>
      </c>
      <c r="AN57" t="n">
        <v>4051.293</v>
      </c>
      <c r="AO57" t="n">
        <v>5580.626</v>
      </c>
      <c r="AP57" t="n">
        <v>3432.739</v>
      </c>
      <c r="AQ57" t="n">
        <v>3371.446</v>
      </c>
      <c r="AR57" t="n">
        <v>5350.091</v>
      </c>
      <c r="AS57" t="n">
        <v>7483.35</v>
      </c>
      <c r="AT57" t="n">
        <v>8407.332</v>
      </c>
      <c r="AU57" t="n">
        <v>19519.36</v>
      </c>
      <c r="AV57" t="n">
        <v>13797.288</v>
      </c>
      <c r="AW57" t="n">
        <v>13067.03</v>
      </c>
      <c r="AX57" t="n">
        <v>10784.382</v>
      </c>
      <c r="AY57" t="n">
        <v>7144.247</v>
      </c>
      <c r="AZ57" t="n">
        <v>6102.345</v>
      </c>
      <c r="BA57" t="n">
        <v>6296.928</v>
      </c>
      <c r="BB57" t="n">
        <v>7371.426</v>
      </c>
      <c r="BC57" t="n">
        <v>5707.61</v>
      </c>
      <c r="BD57" t="n">
        <v>4601.895</v>
      </c>
      <c r="BE57" t="n">
        <v>2662.229</v>
      </c>
      <c r="BF57" t="n">
        <v>4825.254</v>
      </c>
      <c r="BG57" t="n">
        <v>3773.776</v>
      </c>
      <c r="BH57" t="n">
        <v>3700.295</v>
      </c>
      <c r="BI57" t="n">
        <v>3023.219</v>
      </c>
      <c r="BJ57" t="n">
        <v>2841.85</v>
      </c>
      <c r="BK57" t="n">
        <v>2997.559</v>
      </c>
      <c r="BL57" t="n">
        <v>3044.797</v>
      </c>
      <c r="BM57" t="n">
        <v>3089.702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1885.616</v>
      </c>
      <c r="BT57" t="n">
        <v>2036.243</v>
      </c>
      <c r="BU57" t="n">
        <v>1662.15</v>
      </c>
      <c r="BV57" t="n">
        <v>1705.422</v>
      </c>
    </row>
    <row r="58">
      <c r="A58" t="inlineStr">
        <is>
          <t>Semele solida</t>
        </is>
      </c>
      <c r="B58" t="inlineStr">
        <is>
          <t>Chilean semele</t>
        </is>
      </c>
      <c r="C58" t="inlineStr">
        <is>
          <t>Other demersal invertebrates</t>
        </is>
      </c>
      <c r="D58" t="inlineStr">
        <is>
          <t>Molluscs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5521.684</v>
      </c>
      <c r="AX58" t="n">
        <v>3031.74</v>
      </c>
      <c r="AY58" t="n">
        <v>0</v>
      </c>
      <c r="AZ58" t="n">
        <v>1.211</v>
      </c>
      <c r="BA58" t="n">
        <v>173.833</v>
      </c>
      <c r="BB58" t="n">
        <v>584.51</v>
      </c>
      <c r="BC58" t="n">
        <v>485.072</v>
      </c>
      <c r="BD58" t="n">
        <v>259.443</v>
      </c>
      <c r="BE58" t="n">
        <v>2475.892</v>
      </c>
      <c r="BF58" t="n">
        <v>2917.612</v>
      </c>
      <c r="BG58" t="n">
        <v>3787.879</v>
      </c>
      <c r="BH58" t="n">
        <v>3299.035</v>
      </c>
      <c r="BI58" t="n">
        <v>1411.989</v>
      </c>
      <c r="BJ58" t="n">
        <v>0</v>
      </c>
      <c r="BK58" t="n">
        <v>0</v>
      </c>
      <c r="BL58" t="n">
        <v>47266.029</v>
      </c>
      <c r="BM58" t="n">
        <v>87442.57799999999</v>
      </c>
      <c r="BN58" t="n">
        <v>2260.831</v>
      </c>
      <c r="BO58" t="n">
        <v>1410.489</v>
      </c>
      <c r="BP58" t="n">
        <v>1338.502</v>
      </c>
      <c r="BQ58" t="n">
        <v>1203.527</v>
      </c>
      <c r="BR58" t="n">
        <v>711.162</v>
      </c>
      <c r="BS58" t="n">
        <v>374.409</v>
      </c>
      <c r="BT58" t="n">
        <v>500.662</v>
      </c>
      <c r="BU58" t="n">
        <v>516.4589999999999</v>
      </c>
      <c r="BV58" t="n">
        <v>455.345</v>
      </c>
    </row>
    <row r="59">
      <c r="A59" t="inlineStr">
        <is>
          <t>Ophichthus</t>
        </is>
      </c>
      <c r="B59" t="inlineStr">
        <is>
          <t>Snake eel</t>
        </is>
      </c>
      <c r="C59" t="inlineStr">
        <is>
          <t>Medium demersals (30 - 89 cm)</t>
        </is>
      </c>
      <c r="D59" t="inlineStr">
        <is>
          <t>Other fishes &amp; inverts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9.407</v>
      </c>
      <c r="AP59" t="n">
        <v>18.815</v>
      </c>
      <c r="AQ59" t="n">
        <v>75.258</v>
      </c>
      <c r="AR59" t="n">
        <v>94.07299999999999</v>
      </c>
      <c r="AS59" t="n">
        <v>249.294</v>
      </c>
      <c r="AT59" t="n">
        <v>818.436</v>
      </c>
      <c r="AU59" t="n">
        <v>1632.169</v>
      </c>
      <c r="AV59" t="n">
        <v>2004.698</v>
      </c>
      <c r="AW59" t="n">
        <v>1147.692</v>
      </c>
      <c r="AX59" t="n">
        <v>1519.281</v>
      </c>
      <c r="AY59" t="n">
        <v>1204.136</v>
      </c>
      <c r="AZ59" t="n">
        <v>2778.92</v>
      </c>
      <c r="BA59" t="n">
        <v>3126.99</v>
      </c>
      <c r="BB59" t="n">
        <v>3228.589</v>
      </c>
      <c r="BC59" t="n">
        <v>1119.47</v>
      </c>
      <c r="BD59" t="n">
        <v>4684.841</v>
      </c>
      <c r="BE59" t="n">
        <v>4565.368</v>
      </c>
      <c r="BF59" t="n">
        <v>9358.394</v>
      </c>
      <c r="BG59" t="n">
        <v>9755.382</v>
      </c>
      <c r="BH59" t="n">
        <v>10323.584</v>
      </c>
      <c r="BI59" t="n">
        <v>8828.762000000001</v>
      </c>
      <c r="BJ59" t="n">
        <v>8537.136</v>
      </c>
      <c r="BK59" t="n">
        <v>6600.17</v>
      </c>
      <c r="BL59" t="n">
        <v>5597.351</v>
      </c>
      <c r="BM59" t="n">
        <v>6435.542</v>
      </c>
      <c r="BN59" t="n">
        <v>3614.289</v>
      </c>
      <c r="BO59" t="n">
        <v>3979.712</v>
      </c>
      <c r="BP59" t="n">
        <v>4020.685</v>
      </c>
      <c r="BQ59" t="n">
        <v>7612.397</v>
      </c>
      <c r="BR59" t="n">
        <v>9059.241</v>
      </c>
      <c r="BS59" t="n">
        <v>5635.921</v>
      </c>
      <c r="BT59" t="n">
        <v>5267.423</v>
      </c>
      <c r="BU59" t="n">
        <v>3767.746</v>
      </c>
      <c r="BV59" t="n">
        <v>7526.831</v>
      </c>
    </row>
    <row r="60">
      <c r="A60" t="inlineStr">
        <is>
          <t>Xiphias gladius</t>
        </is>
      </c>
      <c r="B60" t="inlineStr">
        <is>
          <t>Swordfish</t>
        </is>
      </c>
      <c r="C60" t="inlineStr">
        <is>
          <t>Large pelagics (&gt;=90 cm)</t>
        </is>
      </c>
      <c r="D60" t="inlineStr">
        <is>
          <t>Tuna &amp; billfishes</t>
        </is>
      </c>
      <c r="E60" t="n">
        <v>1627.845</v>
      </c>
      <c r="F60" t="n">
        <v>679.998</v>
      </c>
      <c r="G60" t="n">
        <v>630.5549999999999</v>
      </c>
      <c r="H60" t="n">
        <v>340.471</v>
      </c>
      <c r="I60" t="n">
        <v>562.914</v>
      </c>
      <c r="J60" t="n">
        <v>617.9589999999999</v>
      </c>
      <c r="K60" t="n">
        <v>504.025</v>
      </c>
      <c r="L60" t="n">
        <v>559.8579999999999</v>
      </c>
      <c r="M60" t="n">
        <v>549.742</v>
      </c>
      <c r="N60" t="n">
        <v>1556.379</v>
      </c>
      <c r="O60" t="n">
        <v>1431.756</v>
      </c>
      <c r="P60" t="n">
        <v>2159.041</v>
      </c>
      <c r="Q60" t="n">
        <v>981.457</v>
      </c>
      <c r="R60" t="n">
        <v>1144.364</v>
      </c>
      <c r="S60" t="n">
        <v>3689.107</v>
      </c>
      <c r="T60" t="n">
        <v>2448.133</v>
      </c>
      <c r="U60" t="n">
        <v>3661.064</v>
      </c>
      <c r="V60" t="n">
        <v>2375.779</v>
      </c>
      <c r="W60" t="n">
        <v>2025.046</v>
      </c>
      <c r="X60" t="n">
        <v>1683.549</v>
      </c>
      <c r="Y60" t="n">
        <v>3046.547</v>
      </c>
      <c r="Z60" t="n">
        <v>252.181</v>
      </c>
      <c r="AA60" t="n">
        <v>749.77</v>
      </c>
      <c r="AB60" t="n">
        <v>2384.361</v>
      </c>
      <c r="AC60" t="n">
        <v>599.861</v>
      </c>
      <c r="AD60" t="n">
        <v>198.582</v>
      </c>
      <c r="AE60" t="n">
        <v>385.426</v>
      </c>
      <c r="AF60" t="n">
        <v>550.84</v>
      </c>
      <c r="AG60" t="n">
        <v>564.061</v>
      </c>
      <c r="AH60" t="n">
        <v>234.925</v>
      </c>
      <c r="AI60" t="n">
        <v>284.222</v>
      </c>
      <c r="AJ60" t="n">
        <v>114.354</v>
      </c>
      <c r="AK60" t="n">
        <v>201.044</v>
      </c>
      <c r="AL60" t="n">
        <v>318.775</v>
      </c>
      <c r="AM60" t="n">
        <v>431.854</v>
      </c>
      <c r="AN60" t="n">
        <v>108.191</v>
      </c>
      <c r="AO60" t="n">
        <v>36.783</v>
      </c>
      <c r="AP60" t="n">
        <v>90.355</v>
      </c>
      <c r="AQ60" t="n">
        <v>251</v>
      </c>
      <c r="AR60" t="n">
        <v>79.379</v>
      </c>
      <c r="AS60" t="n">
        <v>304.828</v>
      </c>
      <c r="AT60" t="n">
        <v>467.652</v>
      </c>
      <c r="AU60" t="n">
        <v>260.016</v>
      </c>
      <c r="AV60" t="n">
        <v>328.96</v>
      </c>
      <c r="AW60" t="n">
        <v>478.93</v>
      </c>
      <c r="AX60" t="n">
        <v>316.278</v>
      </c>
      <c r="AY60" t="n">
        <v>511.11</v>
      </c>
      <c r="AZ60" t="n">
        <v>592.323</v>
      </c>
      <c r="BA60" t="n">
        <v>1199.882</v>
      </c>
      <c r="BB60" t="n">
        <v>1297.581</v>
      </c>
      <c r="BC60" t="n">
        <v>326.094</v>
      </c>
      <c r="BD60" t="n">
        <v>2060.29</v>
      </c>
      <c r="BE60" t="n">
        <v>1136.447</v>
      </c>
      <c r="BF60" t="n">
        <v>897.67</v>
      </c>
      <c r="BG60" t="n">
        <v>593.442</v>
      </c>
      <c r="BH60" t="n">
        <v>1793.095</v>
      </c>
      <c r="BI60" t="n">
        <v>2922.377</v>
      </c>
      <c r="BJ60" t="n">
        <v>2423.376</v>
      </c>
      <c r="BK60" t="n">
        <v>3334.471</v>
      </c>
      <c r="BL60" t="n">
        <v>1552.91</v>
      </c>
      <c r="BM60" t="n">
        <v>1099.778</v>
      </c>
      <c r="BN60" t="n">
        <v>6933.437</v>
      </c>
      <c r="BO60" t="n">
        <v>6148.318</v>
      </c>
      <c r="BP60" t="n">
        <v>2640.618</v>
      </c>
      <c r="BQ60" t="n">
        <v>3823.155</v>
      </c>
      <c r="BR60" t="n">
        <v>11234.905</v>
      </c>
      <c r="BS60" t="n">
        <v>11362.006</v>
      </c>
      <c r="BT60" t="n">
        <v>6451.921</v>
      </c>
      <c r="BU60" t="n">
        <v>7104.091</v>
      </c>
      <c r="BV60" t="n">
        <v>11753.567</v>
      </c>
    </row>
    <row r="61">
      <c r="A61" t="inlineStr">
        <is>
          <t>Tawera gayi</t>
        </is>
      </c>
      <c r="B61" t="inlineStr">
        <is>
          <t>Gay's little venus</t>
        </is>
      </c>
      <c r="C61" t="inlineStr">
        <is>
          <t>Other demersal invertebrates</t>
        </is>
      </c>
      <c r="D61" t="inlineStr">
        <is>
          <t>Molluscs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328.606</v>
      </c>
      <c r="BF61" t="n">
        <v>3088.779</v>
      </c>
      <c r="BG61" t="n">
        <v>3521.325</v>
      </c>
      <c r="BH61" t="n">
        <v>3614.816</v>
      </c>
      <c r="BI61" t="n">
        <v>7865.458</v>
      </c>
      <c r="BJ61" t="n">
        <v>8268.087</v>
      </c>
      <c r="BK61" t="n">
        <v>4061.283</v>
      </c>
      <c r="BL61" t="n">
        <v>9683.492</v>
      </c>
      <c r="BM61" t="n">
        <v>12091.291</v>
      </c>
      <c r="BN61" t="n">
        <v>16685.447</v>
      </c>
      <c r="BO61" t="n">
        <v>16469.476</v>
      </c>
      <c r="BP61" t="n">
        <v>10927.699</v>
      </c>
      <c r="BQ61" t="n">
        <v>11326.244</v>
      </c>
      <c r="BR61" t="n">
        <v>4018.749</v>
      </c>
      <c r="BS61" t="n">
        <v>3269.094</v>
      </c>
      <c r="BT61" t="n">
        <v>4222.036</v>
      </c>
      <c r="BU61" t="n">
        <v>3449.794</v>
      </c>
      <c r="BV61" t="n">
        <v>2760.736</v>
      </c>
    </row>
    <row r="62">
      <c r="A62" t="inlineStr">
        <is>
          <t>Paralomis granulosa</t>
        </is>
      </c>
      <c r="B62" t="inlineStr">
        <is>
          <t>Softshell red crab</t>
        </is>
      </c>
      <c r="C62" t="inlineStr">
        <is>
          <t>Lobsters, crabs</t>
        </is>
      </c>
      <c r="D62" t="inlineStr">
        <is>
          <t>Crustaceans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732.976</v>
      </c>
      <c r="AH62" t="n">
        <v>1095.436</v>
      </c>
      <c r="AI62" t="n">
        <v>493.637</v>
      </c>
      <c r="AJ62" t="n">
        <v>356.707</v>
      </c>
      <c r="AK62" t="n">
        <v>355.556</v>
      </c>
      <c r="AL62" t="n">
        <v>956.205</v>
      </c>
      <c r="AM62" t="n">
        <v>979.2190000000001</v>
      </c>
      <c r="AN62" t="n">
        <v>306.078</v>
      </c>
      <c r="AO62" t="n">
        <v>1142.613</v>
      </c>
      <c r="AP62" t="n">
        <v>1361.24</v>
      </c>
      <c r="AQ62" t="n">
        <v>2264.515</v>
      </c>
      <c r="AR62" t="n">
        <v>518.951</v>
      </c>
      <c r="AS62" t="n">
        <v>2154.512</v>
      </c>
      <c r="AT62" t="n">
        <v>6363.825</v>
      </c>
      <c r="AU62" t="n">
        <v>1543.95</v>
      </c>
      <c r="AV62" t="n">
        <v>1116.331</v>
      </c>
      <c r="AW62" t="n">
        <v>2606.341</v>
      </c>
      <c r="AX62" t="n">
        <v>1550.334</v>
      </c>
      <c r="AY62" t="n">
        <v>1505.489</v>
      </c>
      <c r="AZ62" t="n">
        <v>224.38</v>
      </c>
      <c r="BA62" t="n">
        <v>486.239</v>
      </c>
      <c r="BB62" t="n">
        <v>570.649</v>
      </c>
      <c r="BC62" t="n">
        <v>1861.388</v>
      </c>
      <c r="BD62" t="n">
        <v>1439.321</v>
      </c>
      <c r="BE62" t="n">
        <v>4571.486</v>
      </c>
      <c r="BF62" t="n">
        <v>3099.644</v>
      </c>
      <c r="BG62" t="n">
        <v>3831.821</v>
      </c>
      <c r="BH62" t="n">
        <v>6307.086</v>
      </c>
      <c r="BI62" t="n">
        <v>2793.137</v>
      </c>
      <c r="BJ62" t="n">
        <v>2185.859</v>
      </c>
      <c r="BK62" t="n">
        <v>2571.369</v>
      </c>
      <c r="BL62" t="n">
        <v>2664.071</v>
      </c>
      <c r="BM62" t="n">
        <v>0</v>
      </c>
      <c r="BN62" t="n">
        <v>5151.925</v>
      </c>
      <c r="BO62" t="n">
        <v>5612.863</v>
      </c>
      <c r="BP62" t="n">
        <v>6525.919</v>
      </c>
      <c r="BQ62" t="n">
        <v>4964.462</v>
      </c>
      <c r="BR62" t="n">
        <v>2073.696</v>
      </c>
      <c r="BS62" t="n">
        <v>3811.972</v>
      </c>
      <c r="BT62" t="n">
        <v>6077.669</v>
      </c>
      <c r="BU62" t="n">
        <v>6219.47</v>
      </c>
      <c r="BV62" t="n">
        <v>4895.422</v>
      </c>
    </row>
    <row r="63">
      <c r="A63" t="inlineStr">
        <is>
          <t>Isurus oxyrinchus</t>
        </is>
      </c>
      <c r="B63" t="inlineStr">
        <is>
          <t>Shortfin mako</t>
        </is>
      </c>
      <c r="C63" t="inlineStr">
        <is>
          <t>Large sharks (&gt;=90 cm)</t>
        </is>
      </c>
      <c r="D63" t="inlineStr">
        <is>
          <t>Sharks &amp; rays</t>
        </is>
      </c>
      <c r="E63" t="n">
        <v>20.36</v>
      </c>
      <c r="F63" t="n">
        <v>22.299</v>
      </c>
      <c r="G63" t="n">
        <v>48.475</v>
      </c>
      <c r="H63" t="n">
        <v>26.177</v>
      </c>
      <c r="I63" t="n">
        <v>26.177</v>
      </c>
      <c r="J63" t="n">
        <v>100.829</v>
      </c>
      <c r="K63" t="n">
        <v>156.091</v>
      </c>
      <c r="L63" t="n">
        <v>77.56100000000001</v>
      </c>
      <c r="M63" t="n">
        <v>77.56100000000001</v>
      </c>
      <c r="N63" t="n">
        <v>55.262</v>
      </c>
      <c r="O63" t="n">
        <v>46.536</v>
      </c>
      <c r="P63" t="n">
        <v>58.17</v>
      </c>
      <c r="Q63" t="n">
        <v>29.085</v>
      </c>
      <c r="R63" t="n">
        <v>32.963</v>
      </c>
      <c r="S63" t="n">
        <v>99.85899999999999</v>
      </c>
      <c r="T63" t="n">
        <v>200.688</v>
      </c>
      <c r="U63" t="n">
        <v>102.768</v>
      </c>
      <c r="V63" t="n">
        <v>181.298</v>
      </c>
      <c r="W63" t="n">
        <v>241.407</v>
      </c>
      <c r="X63" t="n">
        <v>159.969</v>
      </c>
      <c r="Y63" t="n">
        <v>212.322</v>
      </c>
      <c r="Z63" t="n">
        <v>165.786</v>
      </c>
      <c r="AA63" t="n">
        <v>159.969</v>
      </c>
      <c r="AB63" t="n">
        <v>374.23</v>
      </c>
      <c r="AC63" t="n">
        <v>277.279</v>
      </c>
      <c r="AD63" t="n">
        <v>244.316</v>
      </c>
      <c r="AE63" t="n">
        <v>201.658</v>
      </c>
      <c r="AF63" t="n">
        <v>230.743</v>
      </c>
      <c r="AG63" t="n">
        <v>359.156</v>
      </c>
      <c r="AH63" t="n">
        <v>384.867</v>
      </c>
      <c r="AI63" t="n">
        <v>394.695</v>
      </c>
      <c r="AJ63" t="n">
        <v>386.302</v>
      </c>
      <c r="AK63" t="n">
        <v>438.203</v>
      </c>
      <c r="AL63" t="n">
        <v>527.742</v>
      </c>
      <c r="AM63" t="n">
        <v>1085.475</v>
      </c>
      <c r="AN63" t="n">
        <v>656.725</v>
      </c>
      <c r="AO63" t="n">
        <v>976.6609999999999</v>
      </c>
      <c r="AP63" t="n">
        <v>1301.071</v>
      </c>
      <c r="AQ63" t="n">
        <v>1466.285</v>
      </c>
      <c r="AR63" t="n">
        <v>1623.147</v>
      </c>
      <c r="AS63" t="n">
        <v>1689.188</v>
      </c>
      <c r="AT63" t="n">
        <v>1672.671</v>
      </c>
      <c r="AU63" t="n">
        <v>2151.117</v>
      </c>
      <c r="AV63" t="n">
        <v>2045.334</v>
      </c>
      <c r="AW63" t="n">
        <v>1188.418</v>
      </c>
      <c r="AX63" t="n">
        <v>1486.791</v>
      </c>
      <c r="AY63" t="n">
        <v>1370.375</v>
      </c>
      <c r="AZ63" t="n">
        <v>2388.84</v>
      </c>
      <c r="BA63" t="n">
        <v>3905.973</v>
      </c>
      <c r="BB63" t="n">
        <v>2072.61</v>
      </c>
      <c r="BC63" t="n">
        <v>3019.166</v>
      </c>
      <c r="BD63" t="n">
        <v>3567.859</v>
      </c>
      <c r="BE63" t="n">
        <v>4531.158</v>
      </c>
      <c r="BF63" t="n">
        <v>2531.75</v>
      </c>
      <c r="BG63" t="n">
        <v>3410.187</v>
      </c>
      <c r="BH63" t="n">
        <v>3509.783</v>
      </c>
      <c r="BI63" t="n">
        <v>3490.092</v>
      </c>
      <c r="BJ63" t="n">
        <v>2051.453</v>
      </c>
      <c r="BK63" t="n">
        <v>1875.327</v>
      </c>
      <c r="BL63" t="n">
        <v>2288.977</v>
      </c>
      <c r="BM63" t="n">
        <v>3332.026</v>
      </c>
      <c r="BN63" t="n">
        <v>4116.277</v>
      </c>
      <c r="BO63" t="n">
        <v>3355.393</v>
      </c>
      <c r="BP63" t="n">
        <v>2928.476</v>
      </c>
      <c r="BQ63" t="n">
        <v>3786.144</v>
      </c>
      <c r="BR63" t="n">
        <v>4426.251</v>
      </c>
      <c r="BS63" t="n">
        <v>4176.832</v>
      </c>
      <c r="BT63" t="n">
        <v>3603.116</v>
      </c>
      <c r="BU63" t="n">
        <v>3304.964</v>
      </c>
      <c r="BV63" t="n">
        <v>2554.485</v>
      </c>
    </row>
    <row r="64">
      <c r="A64" t="inlineStr">
        <is>
          <t>Lithodes</t>
        </is>
      </c>
      <c r="B64" t="inlineStr">
        <is>
          <t>King crabs</t>
        </is>
      </c>
      <c r="C64" t="inlineStr">
        <is>
          <t>Lobsters, crabs</t>
        </is>
      </c>
      <c r="D64" t="inlineStr">
        <is>
          <t>Crustaceans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20.375</v>
      </c>
      <c r="Q64" t="n">
        <v>249.355</v>
      </c>
      <c r="R64" t="n">
        <v>153.3</v>
      </c>
      <c r="S64" t="n">
        <v>318.244</v>
      </c>
      <c r="T64" t="n">
        <v>0</v>
      </c>
      <c r="U64" t="n">
        <v>403.626</v>
      </c>
      <c r="V64" t="n">
        <v>9676.349</v>
      </c>
      <c r="W64" t="n">
        <v>465.722</v>
      </c>
      <c r="X64" t="n">
        <v>414.299</v>
      </c>
      <c r="Y64" t="n">
        <v>415.269</v>
      </c>
      <c r="Z64" t="n">
        <v>360.935</v>
      </c>
      <c r="AA64" t="n">
        <v>379.37</v>
      </c>
      <c r="AB64" t="n">
        <v>344.44</v>
      </c>
      <c r="AC64" t="n">
        <v>485.127</v>
      </c>
      <c r="AD64" t="n">
        <v>590.885</v>
      </c>
      <c r="AE64" t="n">
        <v>997.422</v>
      </c>
      <c r="AF64" t="n">
        <v>1669.808</v>
      </c>
      <c r="AG64" t="n">
        <v>2221.495</v>
      </c>
      <c r="AH64" t="n">
        <v>2197.627</v>
      </c>
      <c r="AI64" t="n">
        <v>1310.814</v>
      </c>
      <c r="AJ64" t="n">
        <v>1241.926</v>
      </c>
      <c r="AK64" t="n">
        <v>1429.185</v>
      </c>
      <c r="AL64" t="n">
        <v>2673.051</v>
      </c>
      <c r="AM64" t="n">
        <v>2664.319</v>
      </c>
      <c r="AN64" t="n">
        <v>2557.591</v>
      </c>
      <c r="AO64" t="n">
        <v>2515.87</v>
      </c>
      <c r="AP64" t="n">
        <v>1834.751</v>
      </c>
      <c r="AQ64" t="n">
        <v>2023.951</v>
      </c>
      <c r="AR64" t="n">
        <v>2228.675</v>
      </c>
      <c r="AS64" t="n">
        <v>1779.447</v>
      </c>
      <c r="AT64" t="n">
        <v>7132.342</v>
      </c>
      <c r="AU64" t="n">
        <v>1524.27</v>
      </c>
      <c r="AV64" t="n">
        <v>1921.104</v>
      </c>
      <c r="AW64" t="n">
        <v>1678.189</v>
      </c>
      <c r="AX64" t="n">
        <v>1847.503</v>
      </c>
      <c r="AY64" t="n">
        <v>1706.678</v>
      </c>
      <c r="AZ64" t="n">
        <v>464.752</v>
      </c>
      <c r="BA64" t="n">
        <v>1043.994</v>
      </c>
      <c r="BB64" t="n">
        <v>852.854</v>
      </c>
      <c r="BC64" t="n">
        <v>1168.187</v>
      </c>
      <c r="BD64" t="n">
        <v>983.838</v>
      </c>
      <c r="BE64" t="n">
        <v>2105.452</v>
      </c>
      <c r="BF64" t="n">
        <v>2650.736</v>
      </c>
      <c r="BG64" t="n">
        <v>2338.036</v>
      </c>
      <c r="BH64" t="n">
        <v>2801.661</v>
      </c>
      <c r="BI64" t="n">
        <v>3975.133</v>
      </c>
      <c r="BJ64" t="n">
        <v>2783.938</v>
      </c>
      <c r="BK64" t="n">
        <v>3258.115</v>
      </c>
      <c r="BL64" t="n">
        <v>2935.02</v>
      </c>
      <c r="BM64" t="n">
        <v>5782.135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Caulolatilus</t>
        </is>
      </c>
      <c r="B65" t="inlineStr">
        <is>
          <t>Pacific and Atlantic tilefishes</t>
        </is>
      </c>
      <c r="C65" t="inlineStr">
        <is>
          <t>Medium demersals (30 - 89 cm)</t>
        </is>
      </c>
      <c r="D65" t="inlineStr">
        <is>
          <t>Perch-likes</t>
        </is>
      </c>
      <c r="E65" t="n">
        <v>659.114</v>
      </c>
      <c r="F65" t="n">
        <v>752.359</v>
      </c>
      <c r="G65" t="n">
        <v>1041.236</v>
      </c>
      <c r="H65" t="n">
        <v>2348.494</v>
      </c>
      <c r="I65" t="n">
        <v>1225.897</v>
      </c>
      <c r="J65" t="n">
        <v>1216.756</v>
      </c>
      <c r="K65" t="n">
        <v>2310.099</v>
      </c>
      <c r="L65" t="n">
        <v>4038.788</v>
      </c>
      <c r="M65" t="n">
        <v>3657.581</v>
      </c>
      <c r="N65" t="n">
        <v>2460.022</v>
      </c>
      <c r="O65" t="n">
        <v>3166.673</v>
      </c>
      <c r="P65" t="n">
        <v>3164.845</v>
      </c>
      <c r="Q65" t="n">
        <v>3539.653</v>
      </c>
      <c r="R65" t="n">
        <v>2811.062</v>
      </c>
      <c r="S65" t="n">
        <v>1708.577</v>
      </c>
      <c r="T65" t="n">
        <v>1845.702</v>
      </c>
      <c r="U65" t="n">
        <v>2566.066</v>
      </c>
      <c r="V65" t="n">
        <v>1951.241</v>
      </c>
      <c r="W65" t="n">
        <v>1959.468</v>
      </c>
      <c r="X65" t="n">
        <v>1473.256</v>
      </c>
      <c r="Y65" t="n">
        <v>2076.448</v>
      </c>
      <c r="Z65" t="n">
        <v>733.8869999999999</v>
      </c>
      <c r="AA65" t="n">
        <v>975.163</v>
      </c>
      <c r="AB65" t="n">
        <v>958.705</v>
      </c>
      <c r="AC65" t="n">
        <v>1064.729</v>
      </c>
      <c r="AD65" t="n">
        <v>1328.859</v>
      </c>
      <c r="AE65" t="n">
        <v>938.6079999999999</v>
      </c>
      <c r="AF65" t="n">
        <v>1415.675</v>
      </c>
      <c r="AG65" t="n">
        <v>1471.42</v>
      </c>
      <c r="AH65" t="n">
        <v>1985.968</v>
      </c>
      <c r="AI65" t="n">
        <v>912.101</v>
      </c>
      <c r="AJ65" t="n">
        <v>3408.956</v>
      </c>
      <c r="AK65" t="n">
        <v>3343.155</v>
      </c>
      <c r="AL65" t="n">
        <v>757.652</v>
      </c>
      <c r="AM65" t="n">
        <v>562.069</v>
      </c>
      <c r="AN65" t="n">
        <v>1072.957</v>
      </c>
      <c r="AO65" t="n">
        <v>629.699</v>
      </c>
      <c r="AP65" t="n">
        <v>509.977</v>
      </c>
      <c r="AQ65" t="n">
        <v>410.355</v>
      </c>
      <c r="AR65" t="n">
        <v>247.675</v>
      </c>
      <c r="AS65" t="n">
        <v>392.99</v>
      </c>
      <c r="AT65" t="n">
        <v>97.789</v>
      </c>
      <c r="AU65" t="n">
        <v>520.936</v>
      </c>
      <c r="AV65" t="n">
        <v>884.672</v>
      </c>
      <c r="AW65" t="n">
        <v>905.702</v>
      </c>
      <c r="AX65" t="n">
        <v>1874.451</v>
      </c>
      <c r="AY65" t="n">
        <v>1714.513</v>
      </c>
      <c r="AZ65" t="n">
        <v>447.821</v>
      </c>
      <c r="BA65" t="n">
        <v>144.401</v>
      </c>
      <c r="BB65" t="n">
        <v>175.475</v>
      </c>
      <c r="BC65" t="n">
        <v>145.315</v>
      </c>
      <c r="BD65" t="n">
        <v>1794.933</v>
      </c>
      <c r="BE65" t="n">
        <v>3025.973</v>
      </c>
      <c r="BF65" t="n">
        <v>1674.286</v>
      </c>
      <c r="BG65" t="n">
        <v>1061.054</v>
      </c>
      <c r="BH65" t="n">
        <v>1603</v>
      </c>
      <c r="BI65" t="n">
        <v>612.318</v>
      </c>
      <c r="BJ65" t="n">
        <v>392.068</v>
      </c>
      <c r="BK65" t="n">
        <v>309.816</v>
      </c>
      <c r="BL65" t="n">
        <v>274.175</v>
      </c>
      <c r="BM65" t="n">
        <v>264.123</v>
      </c>
      <c r="BN65" t="n">
        <v>372.874</v>
      </c>
      <c r="BO65" t="n">
        <v>122.464</v>
      </c>
      <c r="BP65" t="n">
        <v>602.266</v>
      </c>
      <c r="BQ65" t="n">
        <v>147.139</v>
      </c>
      <c r="BR65" t="n">
        <v>186.437</v>
      </c>
      <c r="BS65" t="n">
        <v>215.683</v>
      </c>
      <c r="BT65" t="n">
        <v>148.968</v>
      </c>
      <c r="BU65" t="n">
        <v>169.986</v>
      </c>
      <c r="BV65" t="n">
        <v>164.567</v>
      </c>
    </row>
    <row r="66">
      <c r="A66" t="inlineStr">
        <is>
          <t>Salilota australis</t>
        </is>
      </c>
      <c r="B66" t="inlineStr">
        <is>
          <t>Tadpole codling</t>
        </is>
      </c>
      <c r="C66" t="inlineStr">
        <is>
          <t>Medium demersals (30 - 89 cm)</t>
        </is>
      </c>
      <c r="D66" t="inlineStr">
        <is>
          <t>Cod-likes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3.429</v>
      </c>
      <c r="AI66" t="n">
        <v>1353.468</v>
      </c>
      <c r="AJ66" t="n">
        <v>2423.439</v>
      </c>
      <c r="AK66" t="n">
        <v>2412.007</v>
      </c>
      <c r="AL66" t="n">
        <v>5901.988</v>
      </c>
      <c r="AM66" t="n">
        <v>3327.656</v>
      </c>
      <c r="AN66" t="n">
        <v>1.143</v>
      </c>
      <c r="AO66" t="n">
        <v>4258.165</v>
      </c>
      <c r="AP66" t="n">
        <v>5186.388</v>
      </c>
      <c r="AQ66" t="n">
        <v>8912.995999999999</v>
      </c>
      <c r="AR66" t="n">
        <v>5024.063</v>
      </c>
      <c r="AS66" t="n">
        <v>6199.701</v>
      </c>
      <c r="AT66" t="n">
        <v>2727.267</v>
      </c>
      <c r="AU66" t="n">
        <v>5295.557</v>
      </c>
      <c r="AV66" t="n">
        <v>3376.992</v>
      </c>
      <c r="AW66" t="n">
        <v>2098.463</v>
      </c>
      <c r="AX66" t="n">
        <v>2137.057</v>
      </c>
      <c r="AY66" t="n">
        <v>565.12</v>
      </c>
      <c r="AZ66" t="n">
        <v>763.086</v>
      </c>
      <c r="BA66" t="n">
        <v>416.753</v>
      </c>
      <c r="BB66" t="n">
        <v>291.181</v>
      </c>
      <c r="BC66" t="n">
        <v>449.772</v>
      </c>
      <c r="BD66" t="n">
        <v>770.035</v>
      </c>
      <c r="BE66" t="n">
        <v>12.021</v>
      </c>
      <c r="BF66" t="n">
        <v>1376.775</v>
      </c>
      <c r="BG66" t="n">
        <v>3459.116</v>
      </c>
      <c r="BH66" t="n">
        <v>3806.392</v>
      </c>
      <c r="BI66" t="n">
        <v>2136.653</v>
      </c>
      <c r="BJ66" t="n">
        <v>838.977</v>
      </c>
      <c r="BK66" t="n">
        <v>858.0650000000001</v>
      </c>
      <c r="BL66" t="n">
        <v>4140.821</v>
      </c>
      <c r="BM66" t="n">
        <v>1733.749</v>
      </c>
      <c r="BN66" t="n">
        <v>1039.297</v>
      </c>
      <c r="BO66" t="n">
        <v>731.823</v>
      </c>
      <c r="BP66" t="n">
        <v>356.495</v>
      </c>
      <c r="BQ66" t="n">
        <v>497.262</v>
      </c>
      <c r="BR66" t="n">
        <v>669.875</v>
      </c>
      <c r="BS66" t="n">
        <v>510.599</v>
      </c>
      <c r="BT66" t="n">
        <v>0</v>
      </c>
      <c r="BU66" t="n">
        <v>0</v>
      </c>
      <c r="BV66" t="n">
        <v>0</v>
      </c>
    </row>
    <row r="67">
      <c r="A67" t="inlineStr">
        <is>
          <t>Pseudobatos planiceps</t>
        </is>
      </c>
      <c r="B67" t="inlineStr">
        <is>
          <t>Pacific guitarfish</t>
        </is>
      </c>
      <c r="C67" t="inlineStr">
        <is>
          <t>Small to medium rays (&lt;90 cm)</t>
        </is>
      </c>
      <c r="D67" t="inlineStr">
        <is>
          <t>Sharks &amp; rays</t>
        </is>
      </c>
      <c r="E67" t="n">
        <v>1148.767</v>
      </c>
      <c r="F67" t="n">
        <v>665.4160000000001</v>
      </c>
      <c r="G67" t="n">
        <v>771.698</v>
      </c>
      <c r="H67" t="n">
        <v>360.434</v>
      </c>
      <c r="I67" t="n">
        <v>710.702</v>
      </c>
      <c r="J67" t="n">
        <v>737.503</v>
      </c>
      <c r="K67" t="n">
        <v>530.485</v>
      </c>
      <c r="L67" t="n">
        <v>499.986</v>
      </c>
      <c r="M67" t="n">
        <v>471.337</v>
      </c>
      <c r="N67" t="n">
        <v>1312.349</v>
      </c>
      <c r="O67" t="n">
        <v>1071.135</v>
      </c>
      <c r="P67" t="n">
        <v>1455.598</v>
      </c>
      <c r="Q67" t="n">
        <v>860.42</v>
      </c>
      <c r="R67" t="n">
        <v>999.049</v>
      </c>
      <c r="S67" t="n">
        <v>3232.814</v>
      </c>
      <c r="T67" t="n">
        <v>2134.877</v>
      </c>
      <c r="U67" t="n">
        <v>3199.543</v>
      </c>
      <c r="V67" t="n">
        <v>2340.047</v>
      </c>
      <c r="W67" t="n">
        <v>3036.886</v>
      </c>
      <c r="X67" t="n">
        <v>1469.461</v>
      </c>
      <c r="Y67" t="n">
        <v>2018.429</v>
      </c>
      <c r="Z67" t="n">
        <v>476.768</v>
      </c>
      <c r="AA67" t="n">
        <v>475.834</v>
      </c>
      <c r="AB67" t="n">
        <v>591.329</v>
      </c>
      <c r="AC67" t="n">
        <v>821.367</v>
      </c>
      <c r="AD67" t="n">
        <v>752.081</v>
      </c>
      <c r="AE67" t="n">
        <v>685.558</v>
      </c>
      <c r="AF67" t="n">
        <v>2332.874</v>
      </c>
      <c r="AG67" t="n">
        <v>2022.432</v>
      </c>
      <c r="AH67" t="n">
        <v>2270.906</v>
      </c>
      <c r="AI67" t="n">
        <v>1124.368</v>
      </c>
      <c r="AJ67" t="n">
        <v>5657.9</v>
      </c>
      <c r="AK67" t="n">
        <v>5229.248</v>
      </c>
      <c r="AL67" t="n">
        <v>1325.755</v>
      </c>
      <c r="AM67" t="n">
        <v>2356.808</v>
      </c>
      <c r="AN67" t="n">
        <v>1495.721</v>
      </c>
      <c r="AO67" t="n">
        <v>2129.486</v>
      </c>
      <c r="AP67" t="n">
        <v>1072.594</v>
      </c>
      <c r="AQ67" t="n">
        <v>3450.583</v>
      </c>
      <c r="AR67" t="n">
        <v>660.577</v>
      </c>
      <c r="AS67" t="n">
        <v>505.37</v>
      </c>
      <c r="AT67" t="n">
        <v>232.82</v>
      </c>
      <c r="AU67" t="n">
        <v>112.723</v>
      </c>
      <c r="AV67" t="n">
        <v>82.23399999999999</v>
      </c>
      <c r="AW67" t="n">
        <v>215.308</v>
      </c>
      <c r="AX67" t="n">
        <v>111.808</v>
      </c>
      <c r="AY67" t="n">
        <v>425.07</v>
      </c>
      <c r="AZ67" t="n">
        <v>400.155</v>
      </c>
      <c r="BA67" t="n">
        <v>413.075</v>
      </c>
      <c r="BB67" t="n">
        <v>764.2380000000001</v>
      </c>
      <c r="BC67" t="n">
        <v>3152.096</v>
      </c>
      <c r="BD67" t="n">
        <v>1273.39</v>
      </c>
      <c r="BE67" t="n">
        <v>987.873</v>
      </c>
      <c r="BF67" t="n">
        <v>313.262</v>
      </c>
      <c r="BG67" t="n">
        <v>268.911</v>
      </c>
      <c r="BH67" t="n">
        <v>222.701</v>
      </c>
      <c r="BI67" t="n">
        <v>207.924</v>
      </c>
      <c r="BJ67" t="n">
        <v>134.922</v>
      </c>
      <c r="BK67" t="n">
        <v>136.771</v>
      </c>
      <c r="BL67" t="n">
        <v>96.10599999999999</v>
      </c>
      <c r="BM67" t="n">
        <v>71.163</v>
      </c>
      <c r="BN67" t="n">
        <v>103.5</v>
      </c>
      <c r="BO67" t="n">
        <v>937.967</v>
      </c>
      <c r="BP67" t="n">
        <v>176.511</v>
      </c>
      <c r="BQ67" t="n">
        <v>355.775</v>
      </c>
      <c r="BR67" t="n">
        <v>299.418</v>
      </c>
      <c r="BS67" t="n">
        <v>194.975</v>
      </c>
      <c r="BT67" t="n">
        <v>142.306</v>
      </c>
      <c r="BU67" t="n">
        <v>144.155</v>
      </c>
      <c r="BV67" t="n">
        <v>179.27</v>
      </c>
    </row>
    <row r="68">
      <c r="A68" t="inlineStr">
        <is>
          <t>Marine pelagic fishes not identified</t>
        </is>
      </c>
      <c r="B68" t="inlineStr">
        <is>
          <t>Pelagic fishes</t>
        </is>
      </c>
      <c r="C68" t="inlineStr">
        <is>
          <t>Medium pelagics (30 - 89 cm)</t>
        </is>
      </c>
      <c r="D68" t="inlineStr">
        <is>
          <t>Other fishes &amp; inverts</t>
        </is>
      </c>
      <c r="E68" t="n">
        <v>0</v>
      </c>
      <c r="F68" t="n">
        <v>0</v>
      </c>
      <c r="G68" t="n">
        <v>0</v>
      </c>
      <c r="H68" t="n">
        <v>0</v>
      </c>
      <c r="I68" t="n">
        <v>15.671</v>
      </c>
      <c r="J68" t="n">
        <v>0.436</v>
      </c>
      <c r="K68" t="n">
        <v>0</v>
      </c>
      <c r="L68" t="n">
        <v>1.751</v>
      </c>
      <c r="M68" t="n">
        <v>0</v>
      </c>
      <c r="N68" t="n">
        <v>0.025</v>
      </c>
      <c r="O68" t="n">
        <v>15.224</v>
      </c>
      <c r="P68" t="n">
        <v>37.933</v>
      </c>
      <c r="Q68" t="n">
        <v>24.613</v>
      </c>
      <c r="R68" t="n">
        <v>67.465</v>
      </c>
      <c r="S68" t="n">
        <v>41.51</v>
      </c>
      <c r="T68" t="n">
        <v>0.876</v>
      </c>
      <c r="U68" t="n">
        <v>8.356999999999999</v>
      </c>
      <c r="V68" t="n">
        <v>19.839</v>
      </c>
      <c r="W68" t="n">
        <v>29.346</v>
      </c>
      <c r="X68" t="n">
        <v>3.159</v>
      </c>
      <c r="Y68" t="n">
        <v>39.077</v>
      </c>
      <c r="Z68" t="n">
        <v>2.296</v>
      </c>
      <c r="AA68" t="n">
        <v>6.097</v>
      </c>
      <c r="AB68" t="n">
        <v>8.377000000000001</v>
      </c>
      <c r="AC68" t="n">
        <v>9.782</v>
      </c>
      <c r="AD68" t="n">
        <v>3.628</v>
      </c>
      <c r="AE68" t="n">
        <v>10.767</v>
      </c>
      <c r="AF68" t="n">
        <v>18.305</v>
      </c>
      <c r="AG68" t="n">
        <v>7.986</v>
      </c>
      <c r="AH68" t="n">
        <v>11.042</v>
      </c>
      <c r="AI68" t="n">
        <v>49.705</v>
      </c>
      <c r="AJ68" t="n">
        <v>2.786</v>
      </c>
      <c r="AK68" t="n">
        <v>17.301</v>
      </c>
      <c r="AL68" t="n">
        <v>8.832000000000001</v>
      </c>
      <c r="AM68" t="n">
        <v>2.507</v>
      </c>
      <c r="AN68" t="n">
        <v>0.733</v>
      </c>
      <c r="AO68" t="n">
        <v>0.003</v>
      </c>
      <c r="AP68" t="n">
        <v>0.8120000000000001</v>
      </c>
      <c r="AQ68" t="n">
        <v>0.473</v>
      </c>
      <c r="AR68" t="n">
        <v>1.325</v>
      </c>
      <c r="AS68" t="n">
        <v>49.073</v>
      </c>
      <c r="AT68" t="n">
        <v>47.506</v>
      </c>
      <c r="AU68" t="n">
        <v>110.084</v>
      </c>
      <c r="AV68" t="n">
        <v>171.365</v>
      </c>
      <c r="AW68" t="n">
        <v>53.556</v>
      </c>
      <c r="AX68" t="n">
        <v>31.395</v>
      </c>
      <c r="AY68" t="n">
        <v>19.743</v>
      </c>
      <c r="AZ68" t="n">
        <v>63.49</v>
      </c>
      <c r="BA68" t="n">
        <v>67.76000000000001</v>
      </c>
      <c r="BB68" t="n">
        <v>242.91</v>
      </c>
      <c r="BC68" t="n">
        <v>14.973</v>
      </c>
      <c r="BD68" t="n">
        <v>220.063</v>
      </c>
      <c r="BE68" t="n">
        <v>107.92</v>
      </c>
      <c r="BF68" t="n">
        <v>66.324</v>
      </c>
      <c r="BG68" t="n">
        <v>87.842</v>
      </c>
      <c r="BH68" t="n">
        <v>1352.705</v>
      </c>
      <c r="BI68" t="n">
        <v>296.72</v>
      </c>
      <c r="BJ68" t="n">
        <v>1132.936</v>
      </c>
      <c r="BK68" t="n">
        <v>573.527</v>
      </c>
      <c r="BL68" t="n">
        <v>3142.756</v>
      </c>
      <c r="BM68" t="n">
        <v>14903.351</v>
      </c>
      <c r="BN68" t="n">
        <v>6905.333</v>
      </c>
      <c r="BO68" t="n">
        <v>1110.31</v>
      </c>
      <c r="BP68" t="n">
        <v>6743.587</v>
      </c>
      <c r="BQ68" t="n">
        <v>905.6</v>
      </c>
      <c r="BR68" t="n">
        <v>6142.126</v>
      </c>
      <c r="BS68" t="n">
        <v>4749.833</v>
      </c>
      <c r="BT68" t="n">
        <v>13538.543</v>
      </c>
      <c r="BU68" t="n">
        <v>8291.361000000001</v>
      </c>
      <c r="BV68" t="n">
        <v>1831.351</v>
      </c>
    </row>
    <row r="69">
      <c r="A69" t="inlineStr">
        <is>
          <t>Coryphaena</t>
        </is>
      </c>
      <c r="B69" t="inlineStr">
        <is>
          <t>Dolphinfishes</t>
        </is>
      </c>
      <c r="C69" t="inlineStr">
        <is>
          <t>Large pelagics (&gt;=90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1.642</v>
      </c>
      <c r="AA69" t="n">
        <v>0.04</v>
      </c>
      <c r="AB69" t="n">
        <v>0.369</v>
      </c>
      <c r="AC69" t="n">
        <v>9.125999999999999</v>
      </c>
      <c r="AD69" t="n">
        <v>16.803</v>
      </c>
      <c r="AE69" t="n">
        <v>88.13800000000001</v>
      </c>
      <c r="AF69" t="n">
        <v>89.242</v>
      </c>
      <c r="AG69" t="n">
        <v>67.842</v>
      </c>
      <c r="AH69" t="n">
        <v>28.034</v>
      </c>
      <c r="AI69" t="n">
        <v>78.69799999999999</v>
      </c>
      <c r="AJ69" t="n">
        <v>13.157</v>
      </c>
      <c r="AK69" t="n">
        <v>52.696</v>
      </c>
      <c r="AL69" t="n">
        <v>238.563</v>
      </c>
      <c r="AM69" t="n">
        <v>2.723</v>
      </c>
      <c r="AN69" t="n">
        <v>2.208</v>
      </c>
      <c r="AO69" t="n">
        <v>1.577</v>
      </c>
      <c r="AP69" t="n">
        <v>1.318</v>
      </c>
      <c r="AQ69" t="n">
        <v>0.398</v>
      </c>
      <c r="AR69" t="n">
        <v>11.175</v>
      </c>
      <c r="AS69" t="n">
        <v>26.118</v>
      </c>
      <c r="AT69" t="n">
        <v>0.008999999999999999</v>
      </c>
      <c r="AU69" t="n">
        <v>67.294</v>
      </c>
      <c r="AV69" t="n">
        <v>50.819</v>
      </c>
      <c r="AW69" t="n">
        <v>281.208</v>
      </c>
      <c r="AX69" t="n">
        <v>81.407</v>
      </c>
      <c r="AY69" t="n">
        <v>12.482</v>
      </c>
      <c r="AZ69" t="n">
        <v>61.652</v>
      </c>
      <c r="BA69" t="n">
        <v>361.44</v>
      </c>
      <c r="BB69" t="n">
        <v>9.116</v>
      </c>
      <c r="BC69" t="n">
        <v>27.971</v>
      </c>
      <c r="BD69" t="n">
        <v>1006.201</v>
      </c>
      <c r="BE69" t="n">
        <v>224.044</v>
      </c>
      <c r="BF69" t="n">
        <v>358.212</v>
      </c>
      <c r="BG69" t="n">
        <v>904.011</v>
      </c>
      <c r="BH69" t="n">
        <v>1783.03</v>
      </c>
      <c r="BI69" t="n">
        <v>1911.332</v>
      </c>
      <c r="BJ69" t="n">
        <v>1327.367</v>
      </c>
      <c r="BK69" t="n">
        <v>1086.556</v>
      </c>
      <c r="BL69" t="n">
        <v>3382.051</v>
      </c>
      <c r="BM69" t="n">
        <v>10085.267</v>
      </c>
      <c r="BN69" t="n">
        <v>7815.471</v>
      </c>
      <c r="BO69" t="n">
        <v>2854.793</v>
      </c>
      <c r="BP69" t="n">
        <v>4926.777</v>
      </c>
      <c r="BQ69" t="n">
        <v>1372.107</v>
      </c>
      <c r="BR69" t="n">
        <v>3841.01</v>
      </c>
      <c r="BS69" t="n">
        <v>6787.859</v>
      </c>
      <c r="BT69" t="n">
        <v>625.4930000000001</v>
      </c>
      <c r="BU69" t="n">
        <v>3628.94</v>
      </c>
      <c r="BV69" t="n">
        <v>11357.651</v>
      </c>
    </row>
    <row r="70">
      <c r="A70" t="inlineStr">
        <is>
          <t>Paralichthys microps</t>
        </is>
      </c>
      <c r="B70" t="inlineStr">
        <is>
          <t>Paralichthys microps</t>
        </is>
      </c>
      <c r="C70" t="inlineStr">
        <is>
          <t>Small to medium flatfishes (&lt;90 cm)</t>
        </is>
      </c>
      <c r="D70" t="inlineStr">
        <is>
          <t>Flatfishes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599.201</v>
      </c>
      <c r="P70" t="n">
        <v>566.875</v>
      </c>
      <c r="Q70" t="n">
        <v>619.9829999999999</v>
      </c>
      <c r="R70" t="n">
        <v>285.169</v>
      </c>
      <c r="S70" t="n">
        <v>377.532</v>
      </c>
      <c r="T70" t="n">
        <v>383.304</v>
      </c>
      <c r="U70" t="n">
        <v>454.885</v>
      </c>
      <c r="V70" t="n">
        <v>304.796</v>
      </c>
      <c r="W70" t="n">
        <v>475.667</v>
      </c>
      <c r="X70" t="n">
        <v>427.176</v>
      </c>
      <c r="Y70" t="n">
        <v>308.26</v>
      </c>
      <c r="Z70" t="n">
        <v>476.821</v>
      </c>
      <c r="AA70" t="n">
        <v>257.46</v>
      </c>
      <c r="AB70" t="n">
        <v>1037.923</v>
      </c>
      <c r="AC70" t="n">
        <v>44413.642</v>
      </c>
      <c r="AD70" t="n">
        <v>315.187</v>
      </c>
      <c r="AE70" t="n">
        <v>277.087</v>
      </c>
      <c r="AF70" t="n">
        <v>143.162</v>
      </c>
      <c r="AG70" t="n">
        <v>148.934</v>
      </c>
      <c r="AH70" t="n">
        <v>115.453</v>
      </c>
      <c r="AI70" t="n">
        <v>133.926</v>
      </c>
      <c r="AJ70" t="n">
        <v>303.642</v>
      </c>
      <c r="AK70" t="n">
        <v>202.043</v>
      </c>
      <c r="AL70" t="n">
        <v>204.352</v>
      </c>
      <c r="AM70" t="n">
        <v>202.043</v>
      </c>
      <c r="AN70" t="n">
        <v>237.833</v>
      </c>
      <c r="AO70" t="n">
        <v>372.913</v>
      </c>
      <c r="AP70" t="n">
        <v>421.404</v>
      </c>
      <c r="AQ70" t="n">
        <v>579.574</v>
      </c>
      <c r="AR70" t="n">
        <v>892.452</v>
      </c>
      <c r="AS70" t="n">
        <v>951.631</v>
      </c>
      <c r="AT70" t="n">
        <v>698.216</v>
      </c>
      <c r="AU70" t="n">
        <v>670.59</v>
      </c>
      <c r="AV70" t="n">
        <v>851.494</v>
      </c>
      <c r="AW70" t="n">
        <v>1402.329</v>
      </c>
      <c r="AX70" t="n">
        <v>260.044</v>
      </c>
      <c r="AY70" t="n">
        <v>240.88</v>
      </c>
      <c r="AZ70" t="n">
        <v>183.442</v>
      </c>
      <c r="BA70" t="n">
        <v>37.069</v>
      </c>
      <c r="BB70" t="n">
        <v>102.029</v>
      </c>
      <c r="BC70" t="n">
        <v>24.099</v>
      </c>
      <c r="BD70" t="n">
        <v>91.923</v>
      </c>
      <c r="BE70" t="n">
        <v>14.569</v>
      </c>
      <c r="BF70" t="n">
        <v>31.685</v>
      </c>
      <c r="BG70" t="n">
        <v>113.763</v>
      </c>
      <c r="BH70" t="n">
        <v>114.189</v>
      </c>
      <c r="BI70" t="n">
        <v>56.691</v>
      </c>
      <c r="BJ70" t="n">
        <v>14.844</v>
      </c>
      <c r="BK70" t="n">
        <v>1.242</v>
      </c>
      <c r="BL70" t="n">
        <v>127.108</v>
      </c>
      <c r="BM70" t="n">
        <v>41.274</v>
      </c>
      <c r="BN70" t="n">
        <v>0</v>
      </c>
      <c r="BO70" t="n">
        <v>99.578</v>
      </c>
      <c r="BP70" t="n">
        <v>37.618</v>
      </c>
      <c r="BQ70" t="n">
        <v>33.193</v>
      </c>
      <c r="BR70" t="n">
        <v>12.7</v>
      </c>
      <c r="BS70" t="n">
        <v>12.7</v>
      </c>
      <c r="BT70" t="n">
        <v>12.205</v>
      </c>
      <c r="BU70" t="n">
        <v>8.561</v>
      </c>
      <c r="BV70" t="n">
        <v>1.909</v>
      </c>
    </row>
    <row r="71">
      <c r="A71" t="inlineStr">
        <is>
          <t>Selene peruviana</t>
        </is>
      </c>
      <c r="B71" t="inlineStr">
        <is>
          <t>Peruvian moonfish</t>
        </is>
      </c>
      <c r="C71" t="inlineStr">
        <is>
          <t>Small pelagics (&lt;30 cm)</t>
        </is>
      </c>
      <c r="D71" t="inlineStr">
        <is>
          <t>Perch-likes</t>
        </is>
      </c>
      <c r="E71" t="n">
        <v>754.399</v>
      </c>
      <c r="F71" t="n">
        <v>436.757</v>
      </c>
      <c r="G71" t="n">
        <v>506.242</v>
      </c>
      <c r="H71" t="n">
        <v>236.427</v>
      </c>
      <c r="I71" t="n">
        <v>466.536</v>
      </c>
      <c r="J71" t="n">
        <v>483.682</v>
      </c>
      <c r="K71" t="n">
        <v>348.323</v>
      </c>
      <c r="L71" t="n">
        <v>328.47</v>
      </c>
      <c r="M71" t="n">
        <v>309.52</v>
      </c>
      <c r="N71" t="n">
        <v>860.881</v>
      </c>
      <c r="O71" t="n">
        <v>702.963</v>
      </c>
      <c r="P71" t="n">
        <v>954.73</v>
      </c>
      <c r="Q71" t="n">
        <v>434.05</v>
      </c>
      <c r="R71" t="n">
        <v>505.339</v>
      </c>
      <c r="S71" t="n">
        <v>1630.621</v>
      </c>
      <c r="T71" t="n">
        <v>1076.553</v>
      </c>
      <c r="U71" t="n">
        <v>1612.574</v>
      </c>
      <c r="V71" t="n">
        <v>1041.36</v>
      </c>
      <c r="W71" t="n">
        <v>1318.394</v>
      </c>
      <c r="X71" t="n">
        <v>2081.817</v>
      </c>
      <c r="Y71" t="n">
        <v>998.947</v>
      </c>
      <c r="Z71" t="n">
        <v>842.758</v>
      </c>
      <c r="AA71" t="n">
        <v>65.76900000000001</v>
      </c>
      <c r="AB71" t="n">
        <v>83.742</v>
      </c>
      <c r="AC71" t="n">
        <v>104.392</v>
      </c>
      <c r="AD71" t="n">
        <v>57.588</v>
      </c>
      <c r="AE71" t="n">
        <v>33.253</v>
      </c>
      <c r="AF71" t="n">
        <v>0.902</v>
      </c>
      <c r="AG71" t="n">
        <v>17.988</v>
      </c>
      <c r="AH71" t="n">
        <v>93.623</v>
      </c>
      <c r="AI71" t="n">
        <v>45.029</v>
      </c>
      <c r="AJ71" t="n">
        <v>47.707</v>
      </c>
      <c r="AK71" t="n">
        <v>30.606</v>
      </c>
      <c r="AL71" t="n">
        <v>3.595</v>
      </c>
      <c r="AM71" t="n">
        <v>81.997</v>
      </c>
      <c r="AN71" t="n">
        <v>117.191</v>
      </c>
      <c r="AO71" t="n">
        <v>146.052</v>
      </c>
      <c r="AP71" t="n">
        <v>43.27</v>
      </c>
      <c r="AQ71" t="n">
        <v>142.488</v>
      </c>
      <c r="AR71" t="n">
        <v>149.677</v>
      </c>
      <c r="AS71" t="n">
        <v>291.142</v>
      </c>
      <c r="AT71" t="n">
        <v>408.152</v>
      </c>
      <c r="AU71" t="n">
        <v>235.931</v>
      </c>
      <c r="AV71" t="n">
        <v>371.696</v>
      </c>
      <c r="AW71" t="n">
        <v>489.924</v>
      </c>
      <c r="AX71" t="n">
        <v>106.137</v>
      </c>
      <c r="AY71" t="n">
        <v>440.684</v>
      </c>
      <c r="AZ71" t="n">
        <v>273.832</v>
      </c>
      <c r="BA71" t="n">
        <v>695.684</v>
      </c>
      <c r="BB71" t="n">
        <v>1633.422</v>
      </c>
      <c r="BC71" t="n">
        <v>1128.141</v>
      </c>
      <c r="BD71" t="n">
        <v>344.639</v>
      </c>
      <c r="BE71" t="n">
        <v>898.362</v>
      </c>
      <c r="BF71" t="n">
        <v>376.689</v>
      </c>
      <c r="BG71" t="n">
        <v>99.81999999999999</v>
      </c>
      <c r="BH71" t="n">
        <v>659.575</v>
      </c>
      <c r="BI71" t="n">
        <v>98.18000000000001</v>
      </c>
      <c r="BJ71" t="n">
        <v>788.0890000000001</v>
      </c>
      <c r="BK71" t="n">
        <v>1085.262</v>
      </c>
      <c r="BL71" t="n">
        <v>2216.878</v>
      </c>
      <c r="BM71" t="n">
        <v>1205.46</v>
      </c>
      <c r="BN71" t="n">
        <v>1376.073</v>
      </c>
      <c r="BO71" t="n">
        <v>1275.171</v>
      </c>
      <c r="BP71" t="n">
        <v>1192.512</v>
      </c>
      <c r="BQ71" t="n">
        <v>5008.828</v>
      </c>
      <c r="BR71" t="n">
        <v>4341.549</v>
      </c>
      <c r="BS71" t="n">
        <v>4461.24</v>
      </c>
      <c r="BT71" t="n">
        <v>4716.27</v>
      </c>
      <c r="BU71" t="n">
        <v>2286.619</v>
      </c>
      <c r="BV71" t="n">
        <v>3244.608</v>
      </c>
    </row>
    <row r="72">
      <c r="A72" t="inlineStr">
        <is>
          <t>Lithodes santolla</t>
        </is>
      </c>
      <c r="B72" t="inlineStr">
        <is>
          <t>Southern king crab</t>
        </is>
      </c>
      <c r="C72" t="inlineStr">
        <is>
          <t>Lobsters, crabs</t>
        </is>
      </c>
      <c r="D72" t="inlineStr">
        <is>
          <t>Crustaceans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4.001</v>
      </c>
      <c r="Q72" t="n">
        <v>48.965</v>
      </c>
      <c r="R72" t="n">
        <v>30.103</v>
      </c>
      <c r="S72" t="n">
        <v>62.492</v>
      </c>
      <c r="T72" t="n">
        <v>0</v>
      </c>
      <c r="U72" t="n">
        <v>79.259</v>
      </c>
      <c r="V72" t="n">
        <v>1900.108</v>
      </c>
      <c r="W72" t="n">
        <v>91.452</v>
      </c>
      <c r="X72" t="n">
        <v>81.354</v>
      </c>
      <c r="Y72" t="n">
        <v>81.545</v>
      </c>
      <c r="Z72" t="n">
        <v>70.875</v>
      </c>
      <c r="AA72" t="n">
        <v>74.495</v>
      </c>
      <c r="AB72" t="n">
        <v>67.636</v>
      </c>
      <c r="AC72" t="n">
        <v>95.26300000000001</v>
      </c>
      <c r="AD72" t="n">
        <v>116.03</v>
      </c>
      <c r="AE72" t="n">
        <v>195.86</v>
      </c>
      <c r="AF72" t="n">
        <v>327.894</v>
      </c>
      <c r="AG72" t="n">
        <v>0</v>
      </c>
      <c r="AH72" t="n">
        <v>431.54</v>
      </c>
      <c r="AI72" t="n">
        <v>257.4</v>
      </c>
      <c r="AJ72" t="n">
        <v>243.872</v>
      </c>
      <c r="AK72" t="n">
        <v>280.644</v>
      </c>
      <c r="AL72" t="n">
        <v>524.897</v>
      </c>
      <c r="AM72" t="n">
        <v>523.182</v>
      </c>
      <c r="AN72" t="n">
        <v>502.225</v>
      </c>
      <c r="AO72" t="n">
        <v>494.032</v>
      </c>
      <c r="AP72" t="n">
        <v>360.283</v>
      </c>
      <c r="AQ72" t="n">
        <v>397.436</v>
      </c>
      <c r="AR72" t="n">
        <v>437.637</v>
      </c>
      <c r="AS72" t="n">
        <v>357.743</v>
      </c>
      <c r="AT72" t="n">
        <v>1467.244</v>
      </c>
      <c r="AU72" t="n">
        <v>320.695</v>
      </c>
      <c r="AV72" t="n">
        <v>413.168</v>
      </c>
      <c r="AW72" t="n">
        <v>355.203</v>
      </c>
      <c r="AX72" t="n">
        <v>413.277</v>
      </c>
      <c r="AY72" t="n">
        <v>390.99</v>
      </c>
      <c r="AZ72" t="n">
        <v>108.645</v>
      </c>
      <c r="BA72" t="n">
        <v>248.935</v>
      </c>
      <c r="BB72" t="n">
        <v>207.346</v>
      </c>
      <c r="BC72" t="n">
        <v>289.471</v>
      </c>
      <c r="BD72" t="n">
        <v>248.391</v>
      </c>
      <c r="BE72" t="n">
        <v>541.409</v>
      </c>
      <c r="BF72" t="n">
        <v>694.02</v>
      </c>
      <c r="BG72" t="n">
        <v>619.792</v>
      </c>
      <c r="BH72" t="n">
        <v>759.062</v>
      </c>
      <c r="BI72" t="n">
        <v>1096.532</v>
      </c>
      <c r="BJ72" t="n">
        <v>780.609</v>
      </c>
      <c r="BK72" t="n">
        <v>929.21</v>
      </c>
      <c r="BL72" t="n">
        <v>850.7859999999999</v>
      </c>
      <c r="BM72" t="n">
        <v>983.11</v>
      </c>
      <c r="BN72" t="n">
        <v>1283.073</v>
      </c>
      <c r="BO72" t="n">
        <v>3345.5</v>
      </c>
      <c r="BP72" t="n">
        <v>1262.478</v>
      </c>
      <c r="BQ72" t="n">
        <v>4210.961</v>
      </c>
      <c r="BR72" t="n">
        <v>6237.035</v>
      </c>
      <c r="BS72" t="n">
        <v>5819.975</v>
      </c>
      <c r="BT72" t="n">
        <v>5081.608</v>
      </c>
      <c r="BU72" t="n">
        <v>5374.233</v>
      </c>
      <c r="BV72" t="n">
        <v>5361.999</v>
      </c>
    </row>
    <row r="73">
      <c r="A73" t="inlineStr">
        <is>
          <t>Scomberomorus sierra</t>
        </is>
      </c>
      <c r="B73" t="inlineStr">
        <is>
          <t>Pacific sierra</t>
        </is>
      </c>
      <c r="C73" t="inlineStr">
        <is>
          <t>Large pelagics (&gt;=90 cm)</t>
        </is>
      </c>
      <c r="D73" t="inlineStr">
        <is>
          <t>Perch-likes</t>
        </is>
      </c>
      <c r="E73" t="n">
        <v>599.434</v>
      </c>
      <c r="F73" t="n">
        <v>374.299</v>
      </c>
      <c r="G73" t="n">
        <v>593.875</v>
      </c>
      <c r="H73" t="n">
        <v>482.697</v>
      </c>
      <c r="I73" t="n">
        <v>602.2140000000001</v>
      </c>
      <c r="J73" t="n">
        <v>601.287</v>
      </c>
      <c r="K73" t="n">
        <v>597.581</v>
      </c>
      <c r="L73" t="n">
        <v>1867.788</v>
      </c>
      <c r="M73" t="n">
        <v>1219.251</v>
      </c>
      <c r="N73" t="n">
        <v>495.668</v>
      </c>
      <c r="O73" t="n">
        <v>601.287</v>
      </c>
      <c r="P73" t="n">
        <v>363.181</v>
      </c>
      <c r="Q73" t="n">
        <v>357.622</v>
      </c>
      <c r="R73" t="n">
        <v>239.959</v>
      </c>
      <c r="S73" t="n">
        <v>471.58</v>
      </c>
      <c r="T73" t="n">
        <v>475.285</v>
      </c>
      <c r="U73" t="n">
        <v>1552.784</v>
      </c>
      <c r="V73" t="n">
        <v>480.844</v>
      </c>
      <c r="W73" t="n">
        <v>843.099</v>
      </c>
      <c r="X73" t="n">
        <v>603.14</v>
      </c>
      <c r="Y73" t="n">
        <v>480.844</v>
      </c>
      <c r="Z73" t="n">
        <v>600.361</v>
      </c>
      <c r="AA73" t="n">
        <v>957.056</v>
      </c>
      <c r="AB73" t="n">
        <v>1172.927</v>
      </c>
      <c r="AC73" t="n">
        <v>2442.207</v>
      </c>
      <c r="AD73" t="n">
        <v>2772.962</v>
      </c>
      <c r="AE73" t="n">
        <v>1526.843</v>
      </c>
      <c r="AF73" t="n">
        <v>1564.829</v>
      </c>
      <c r="AG73" t="n">
        <v>815.436</v>
      </c>
      <c r="AH73" t="n">
        <v>543.845</v>
      </c>
      <c r="AI73" t="n">
        <v>695.788</v>
      </c>
      <c r="AJ73" t="n">
        <v>426.182</v>
      </c>
      <c r="AK73" t="n">
        <v>535.5069999999999</v>
      </c>
      <c r="AL73" t="n">
        <v>529.021</v>
      </c>
      <c r="AM73" t="n">
        <v>1095.102</v>
      </c>
      <c r="AN73" t="n">
        <v>846.8049999999999</v>
      </c>
      <c r="AO73" t="n">
        <v>2055.864</v>
      </c>
      <c r="AP73" t="n">
        <v>1471.254</v>
      </c>
      <c r="AQ73" t="n">
        <v>1887.245</v>
      </c>
      <c r="AR73" t="n">
        <v>2048.452</v>
      </c>
      <c r="AS73" t="n">
        <v>866.261</v>
      </c>
      <c r="AT73" t="n">
        <v>706.453</v>
      </c>
      <c r="AU73" t="n">
        <v>925.556</v>
      </c>
      <c r="AV73" t="n">
        <v>1111.779</v>
      </c>
      <c r="AW73" t="n">
        <v>423.402</v>
      </c>
      <c r="AX73" t="n">
        <v>819.01</v>
      </c>
      <c r="AY73" t="n">
        <v>525.3150000000001</v>
      </c>
      <c r="AZ73" t="n">
        <v>116.737</v>
      </c>
      <c r="BA73" t="n">
        <v>1018.204</v>
      </c>
      <c r="BB73" t="n">
        <v>3188.952</v>
      </c>
      <c r="BC73" t="n">
        <v>1114.558</v>
      </c>
      <c r="BD73" t="n">
        <v>214.944</v>
      </c>
      <c r="BE73" t="n">
        <v>346.504</v>
      </c>
      <c r="BF73" t="n">
        <v>407.652</v>
      </c>
      <c r="BG73" t="n">
        <v>228.841</v>
      </c>
      <c r="BH73" t="n">
        <v>166.767</v>
      </c>
      <c r="BI73" t="n">
        <v>187.149</v>
      </c>
      <c r="BJ73" t="n">
        <v>109.325</v>
      </c>
      <c r="BK73" t="n">
        <v>261.268</v>
      </c>
      <c r="BL73" t="n">
        <v>388.196</v>
      </c>
      <c r="BM73" t="n">
        <v>491.962</v>
      </c>
      <c r="BN73" t="n">
        <v>392.829</v>
      </c>
      <c r="BO73" t="n">
        <v>301.107</v>
      </c>
      <c r="BP73" t="n">
        <v>59.295</v>
      </c>
      <c r="BQ73" t="n">
        <v>1158.103</v>
      </c>
      <c r="BR73" t="n">
        <v>104.693</v>
      </c>
      <c r="BS73" t="n">
        <v>209.385</v>
      </c>
      <c r="BT73" t="n">
        <v>597.581</v>
      </c>
      <c r="BU73" t="n">
        <v>236.253</v>
      </c>
      <c r="BV73" t="n">
        <v>557.707</v>
      </c>
    </row>
    <row r="74">
      <c r="A74" t="inlineStr">
        <is>
          <t>Paralichthyidae</t>
        </is>
      </c>
      <c r="B74" t="inlineStr">
        <is>
          <t>Largetooth flounders</t>
        </is>
      </c>
      <c r="C74" t="inlineStr">
        <is>
          <t>Small to medium flatfishes (&lt;90 cm)</t>
        </is>
      </c>
      <c r="D74" t="inlineStr">
        <is>
          <t>Flatfishes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5.051</v>
      </c>
      <c r="Q74" t="n">
        <v>11.014</v>
      </c>
      <c r="R74" t="n">
        <v>20.13</v>
      </c>
      <c r="S74" t="n">
        <v>25.527</v>
      </c>
      <c r="T74" t="n">
        <v>27.522</v>
      </c>
      <c r="U74" t="n">
        <v>53.555</v>
      </c>
      <c r="V74" t="n">
        <v>37.253</v>
      </c>
      <c r="W74" t="n">
        <v>84.878</v>
      </c>
      <c r="X74" t="n">
        <v>77.849</v>
      </c>
      <c r="Y74" t="n">
        <v>610.054</v>
      </c>
      <c r="Z74" t="n">
        <v>139.128</v>
      </c>
      <c r="AA74" t="n">
        <v>115.821</v>
      </c>
      <c r="AB74" t="n">
        <v>118.206</v>
      </c>
      <c r="AC74" t="n">
        <v>162.027</v>
      </c>
      <c r="AD74" t="n">
        <v>368.25</v>
      </c>
      <c r="AE74" t="n">
        <v>204.353</v>
      </c>
      <c r="AF74" t="n">
        <v>517.188</v>
      </c>
      <c r="AG74" t="n">
        <v>822.0309999999999</v>
      </c>
      <c r="AH74" t="n">
        <v>384.502</v>
      </c>
      <c r="AI74" t="n">
        <v>358.221</v>
      </c>
      <c r="AJ74" t="n">
        <v>664.439</v>
      </c>
      <c r="AK74" t="n">
        <v>927.612</v>
      </c>
      <c r="AL74" t="n">
        <v>1135.687</v>
      </c>
      <c r="AM74" t="n">
        <v>928.621</v>
      </c>
      <c r="AN74" t="n">
        <v>968.1849999999999</v>
      </c>
      <c r="AO74" t="n">
        <v>861.784</v>
      </c>
      <c r="AP74" t="n">
        <v>1322.184</v>
      </c>
      <c r="AQ74" t="n">
        <v>1530.806</v>
      </c>
      <c r="AR74" t="n">
        <v>1819.133</v>
      </c>
      <c r="AS74" t="n">
        <v>1898.736</v>
      </c>
      <c r="AT74" t="n">
        <v>2385.951</v>
      </c>
      <c r="AU74" t="n">
        <v>2573.627</v>
      </c>
      <c r="AV74" t="n">
        <v>2492.166</v>
      </c>
      <c r="AW74" t="n">
        <v>3120.863</v>
      </c>
      <c r="AX74" t="n">
        <v>3501.65</v>
      </c>
      <c r="AY74" t="n">
        <v>3300.933</v>
      </c>
      <c r="AZ74" t="n">
        <v>2585.598</v>
      </c>
      <c r="BA74" t="n">
        <v>1630.856</v>
      </c>
      <c r="BB74" t="n">
        <v>1314.635</v>
      </c>
      <c r="BC74" t="n">
        <v>1322.481</v>
      </c>
      <c r="BD74" t="n">
        <v>1729.918</v>
      </c>
      <c r="BE74" t="n">
        <v>1359.118</v>
      </c>
      <c r="BF74" t="n">
        <v>1515.769</v>
      </c>
      <c r="BG74" t="n">
        <v>1524.901</v>
      </c>
      <c r="BH74" t="n">
        <v>1442.634</v>
      </c>
      <c r="BI74" t="n">
        <v>1348.086</v>
      </c>
      <c r="BJ74" t="n">
        <v>1282.025</v>
      </c>
      <c r="BK74" t="n">
        <v>914.854</v>
      </c>
      <c r="BL74" t="n">
        <v>935.726</v>
      </c>
      <c r="BM74" t="n">
        <v>759.856</v>
      </c>
      <c r="BN74" t="n">
        <v>0</v>
      </c>
      <c r="BO74" t="n">
        <v>0</v>
      </c>
      <c r="BP74" t="n">
        <v>0</v>
      </c>
      <c r="BQ74" t="n">
        <v>0</v>
      </c>
      <c r="BR74" t="n">
        <v>317.086</v>
      </c>
      <c r="BS74" t="n">
        <v>277.544</v>
      </c>
      <c r="BT74" t="n">
        <v>391.593</v>
      </c>
      <c r="BU74" t="n">
        <v>447.562</v>
      </c>
      <c r="BV74" t="n">
        <v>379.336</v>
      </c>
    </row>
    <row r="75">
      <c r="A75" t="inlineStr">
        <is>
          <t>Larimus pacificus</t>
        </is>
      </c>
      <c r="B75" t="inlineStr">
        <is>
          <t>Pacific drum</t>
        </is>
      </c>
      <c r="C75" t="inlineStr">
        <is>
          <t>Small pelagics (&lt;30 cm)</t>
        </is>
      </c>
      <c r="D75" t="inlineStr">
        <is>
          <t>Perch-likes</t>
        </is>
      </c>
      <c r="E75" t="n">
        <v>154.419</v>
      </c>
      <c r="F75" t="n">
        <v>178.93</v>
      </c>
      <c r="G75" t="n">
        <v>207.73</v>
      </c>
      <c r="H75" t="n">
        <v>96.818</v>
      </c>
      <c r="I75" t="n">
        <v>191.798</v>
      </c>
      <c r="J75" t="n">
        <v>199.151</v>
      </c>
      <c r="K75" t="n">
        <v>143.389</v>
      </c>
      <c r="L75" t="n">
        <v>135.423</v>
      </c>
      <c r="M75" t="n">
        <v>127.457</v>
      </c>
      <c r="N75" t="n">
        <v>354.795</v>
      </c>
      <c r="O75" t="n">
        <v>289.229</v>
      </c>
      <c r="P75" t="n">
        <v>393.4</v>
      </c>
      <c r="Q75" t="n">
        <v>178.93</v>
      </c>
      <c r="R75" t="n">
        <v>208.343</v>
      </c>
      <c r="S75" t="n">
        <v>673.437</v>
      </c>
      <c r="T75" t="n">
        <v>444.873</v>
      </c>
      <c r="U75" t="n">
        <v>666.0839999999999</v>
      </c>
      <c r="V75" t="n">
        <v>429.385</v>
      </c>
      <c r="W75" t="n">
        <v>368.862</v>
      </c>
      <c r="X75" t="n">
        <v>282.603</v>
      </c>
      <c r="Y75" t="n">
        <v>412.298</v>
      </c>
      <c r="Z75" t="n">
        <v>367.637</v>
      </c>
      <c r="AA75" t="n">
        <v>257.48</v>
      </c>
      <c r="AB75" t="n">
        <v>1315.149</v>
      </c>
      <c r="AC75" t="n">
        <v>332.944</v>
      </c>
      <c r="AD75" t="n">
        <v>20.807</v>
      </c>
      <c r="AE75" t="n">
        <v>14.822</v>
      </c>
      <c r="AF75" t="n">
        <v>37.183</v>
      </c>
      <c r="AG75" t="n">
        <v>37.112</v>
      </c>
      <c r="AH75" t="n">
        <v>34.82</v>
      </c>
      <c r="AI75" t="n">
        <v>37.6</v>
      </c>
      <c r="AJ75" t="n">
        <v>35.734</v>
      </c>
      <c r="AK75" t="n">
        <v>26.553</v>
      </c>
      <c r="AL75" t="n">
        <v>8.081</v>
      </c>
      <c r="AM75" t="n">
        <v>10.932</v>
      </c>
      <c r="AN75" t="n">
        <v>92.188</v>
      </c>
      <c r="AO75" t="n">
        <v>960.063</v>
      </c>
      <c r="AP75" t="n">
        <v>451.845</v>
      </c>
      <c r="AQ75" t="n">
        <v>111.708</v>
      </c>
      <c r="AR75" t="n">
        <v>63.008</v>
      </c>
      <c r="AS75" t="n">
        <v>52.689</v>
      </c>
      <c r="AT75" t="n">
        <v>86.364</v>
      </c>
      <c r="AU75" t="n">
        <v>240.011</v>
      </c>
      <c r="AV75" t="n">
        <v>43.693</v>
      </c>
      <c r="AW75" t="n">
        <v>74.589</v>
      </c>
      <c r="AX75" t="n">
        <v>22.602</v>
      </c>
      <c r="AY75" t="n">
        <v>2529.714</v>
      </c>
      <c r="AZ75" t="n">
        <v>318.232</v>
      </c>
      <c r="BA75" t="n">
        <v>1781.314</v>
      </c>
      <c r="BB75" t="n">
        <v>12292.374</v>
      </c>
      <c r="BC75" t="n">
        <v>2498.134</v>
      </c>
      <c r="BD75" t="n">
        <v>3182.094</v>
      </c>
      <c r="BE75" t="n">
        <v>5578.501</v>
      </c>
      <c r="BF75" t="n">
        <v>1470.243</v>
      </c>
      <c r="BG75" t="n">
        <v>2012.892</v>
      </c>
      <c r="BH75" t="n">
        <v>2431.904</v>
      </c>
      <c r="BI75" t="n">
        <v>1162.454</v>
      </c>
      <c r="BJ75" t="n">
        <v>439.02</v>
      </c>
      <c r="BK75" t="n">
        <v>715.611</v>
      </c>
      <c r="BL75" t="n">
        <v>781.648</v>
      </c>
      <c r="BM75" t="n">
        <v>656.314</v>
      </c>
      <c r="BN75" t="n">
        <v>848.342</v>
      </c>
      <c r="BO75" t="n">
        <v>918.313</v>
      </c>
      <c r="BP75" t="n">
        <v>316.137</v>
      </c>
      <c r="BQ75" t="n">
        <v>490.066</v>
      </c>
      <c r="BR75" t="n">
        <v>312.531</v>
      </c>
      <c r="BS75" t="n">
        <v>191.016</v>
      </c>
      <c r="BT75" t="n">
        <v>310.08</v>
      </c>
      <c r="BU75" t="n">
        <v>264.877</v>
      </c>
      <c r="BV75" t="n">
        <v>328.677</v>
      </c>
    </row>
    <row r="76">
      <c r="A76" t="inlineStr">
        <is>
          <t>Mulinia</t>
        </is>
      </c>
      <c r="B76" t="inlineStr">
        <is>
          <t>Taquilla clams</t>
        </is>
      </c>
      <c r="C76" t="inlineStr">
        <is>
          <t>Other demersal invertebrates</t>
        </is>
      </c>
      <c r="D76" t="inlineStr">
        <is>
          <t>Molluscs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3036.391</v>
      </c>
      <c r="AX76" t="n">
        <v>2199.173</v>
      </c>
      <c r="AY76" t="n">
        <v>0</v>
      </c>
      <c r="AZ76" t="n">
        <v>0</v>
      </c>
      <c r="BA76" t="n">
        <v>37.239</v>
      </c>
      <c r="BB76" t="n">
        <v>28.941</v>
      </c>
      <c r="BC76" t="n">
        <v>37.525</v>
      </c>
      <c r="BD76" t="n">
        <v>82.625</v>
      </c>
      <c r="BE76" t="n">
        <v>7353.429</v>
      </c>
      <c r="BF76" t="n">
        <v>9069.458000000001</v>
      </c>
      <c r="BG76" t="n">
        <v>5321.057</v>
      </c>
      <c r="BH76" t="n">
        <v>1434.542</v>
      </c>
      <c r="BI76" t="n">
        <v>0</v>
      </c>
      <c r="BJ76" t="n">
        <v>3621.196</v>
      </c>
      <c r="BK76" t="n">
        <v>1133.788</v>
      </c>
      <c r="BL76" t="n">
        <v>1696.317</v>
      </c>
      <c r="BM76" t="n">
        <v>2705.237</v>
      </c>
      <c r="BN76" t="n">
        <v>3854.739</v>
      </c>
      <c r="BO76" t="n">
        <v>1605.03</v>
      </c>
      <c r="BP76" t="n">
        <v>2078.536</v>
      </c>
      <c r="BQ76" t="n">
        <v>3874.746</v>
      </c>
      <c r="BR76" t="n">
        <v>1226.921</v>
      </c>
      <c r="BS76" t="n">
        <v>1311.976</v>
      </c>
      <c r="BT76" t="n">
        <v>68.142</v>
      </c>
      <c r="BU76" t="n">
        <v>89.226</v>
      </c>
      <c r="BV76" t="n">
        <v>97.849</v>
      </c>
    </row>
    <row r="77">
      <c r="A77" t="inlineStr">
        <is>
          <t>Mollusca</t>
        </is>
      </c>
      <c r="B77" t="inlineStr">
        <is>
          <t>Clams, seasnails, squids, octopuses</t>
        </is>
      </c>
      <c r="C77" t="inlineStr">
        <is>
          <t>Other demersal invertebrates</t>
        </is>
      </c>
      <c r="D77" t="inlineStr">
        <is>
          <t>Molluscs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254.528</v>
      </c>
      <c r="AM77" t="n">
        <v>189.145</v>
      </c>
      <c r="AN77" t="n">
        <v>447.176</v>
      </c>
      <c r="AO77" t="n">
        <v>1185.074</v>
      </c>
      <c r="AP77" t="n">
        <v>810.287</v>
      </c>
      <c r="AQ77" t="n">
        <v>1373.052</v>
      </c>
      <c r="AR77" t="n">
        <v>1847.081</v>
      </c>
      <c r="AS77" t="n">
        <v>1324.579</v>
      </c>
      <c r="AT77" t="n">
        <v>1181.535</v>
      </c>
      <c r="AU77" t="n">
        <v>960.527</v>
      </c>
      <c r="AV77" t="n">
        <v>362.945</v>
      </c>
      <c r="AW77" t="n">
        <v>117.882</v>
      </c>
      <c r="AX77" t="n">
        <v>14.344</v>
      </c>
      <c r="AY77" t="n">
        <v>10.8</v>
      </c>
      <c r="AZ77" t="n">
        <v>4.819</v>
      </c>
      <c r="BA77" t="n">
        <v>0</v>
      </c>
      <c r="BB77" t="n">
        <v>0</v>
      </c>
      <c r="BC77" t="n">
        <v>26.266</v>
      </c>
      <c r="BD77" t="n">
        <v>0</v>
      </c>
      <c r="BE77" t="n">
        <v>2.456</v>
      </c>
      <c r="BF77" t="n">
        <v>140.497</v>
      </c>
      <c r="BG77" t="n">
        <v>40.823</v>
      </c>
      <c r="BH77" t="n">
        <v>7.45</v>
      </c>
      <c r="BI77" t="n">
        <v>162.022</v>
      </c>
      <c r="BJ77" t="n">
        <v>152.617</v>
      </c>
      <c r="BK77" t="n">
        <v>62.78</v>
      </c>
      <c r="BL77" t="n">
        <v>0</v>
      </c>
      <c r="BM77" t="n">
        <v>0</v>
      </c>
      <c r="BN77" t="n">
        <v>1750.427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39206.177</v>
      </c>
    </row>
    <row r="78">
      <c r="A78" t="inlineStr">
        <is>
          <t>Seriolella caerulea</t>
        </is>
      </c>
      <c r="B78" t="inlineStr">
        <is>
          <t>White warehou</t>
        </is>
      </c>
      <c r="C78" t="inlineStr">
        <is>
          <t>Medium bathypelagics (30 - 89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1426.402</v>
      </c>
      <c r="AH78" t="n">
        <v>0</v>
      </c>
      <c r="AI78" t="n">
        <v>0</v>
      </c>
      <c r="AJ78" t="n">
        <v>0</v>
      </c>
      <c r="AK78" t="n">
        <v>4876.815</v>
      </c>
      <c r="AL78" t="n">
        <v>4748.509</v>
      </c>
      <c r="AM78" t="n">
        <v>3529.016</v>
      </c>
      <c r="AN78" t="n">
        <v>409.195</v>
      </c>
      <c r="AO78" t="n">
        <v>2655.142</v>
      </c>
      <c r="AP78" t="n">
        <v>2800.788</v>
      </c>
      <c r="AQ78" t="n">
        <v>3391.462</v>
      </c>
      <c r="AR78" t="n">
        <v>2941.81</v>
      </c>
      <c r="AS78" t="n">
        <v>3554.625</v>
      </c>
      <c r="AT78" t="n">
        <v>1677.732</v>
      </c>
      <c r="AU78" t="n">
        <v>738.067</v>
      </c>
      <c r="AV78" t="n">
        <v>972.292</v>
      </c>
      <c r="AW78" t="n">
        <v>1284.949</v>
      </c>
      <c r="AX78" t="n">
        <v>995.272</v>
      </c>
      <c r="AY78" t="n">
        <v>958.737</v>
      </c>
      <c r="AZ78" t="n">
        <v>966.0170000000001</v>
      </c>
      <c r="BA78" t="n">
        <v>1090.649</v>
      </c>
      <c r="BB78" t="n">
        <v>2461.26</v>
      </c>
      <c r="BC78" t="n">
        <v>1653.939</v>
      </c>
      <c r="BD78" t="n">
        <v>1654.173</v>
      </c>
      <c r="BE78" t="n">
        <v>3.647</v>
      </c>
      <c r="BF78" t="n">
        <v>722.3200000000001</v>
      </c>
      <c r="BG78" t="n">
        <v>787.496</v>
      </c>
      <c r="BH78" t="n">
        <v>676.12</v>
      </c>
      <c r="BI78" t="n">
        <v>853.856</v>
      </c>
      <c r="BJ78" t="n">
        <v>551.125</v>
      </c>
      <c r="BK78" t="n">
        <v>529.548</v>
      </c>
      <c r="BL78" t="n">
        <v>848.407</v>
      </c>
      <c r="BM78" t="n">
        <v>414.493</v>
      </c>
      <c r="BN78" t="n">
        <v>79.758</v>
      </c>
      <c r="BO78" t="n">
        <v>81.974</v>
      </c>
      <c r="BP78" t="n">
        <v>13.293</v>
      </c>
      <c r="BQ78" t="n">
        <v>6.647</v>
      </c>
      <c r="BR78" t="n">
        <v>3.179</v>
      </c>
      <c r="BS78" t="n">
        <v>14.834</v>
      </c>
      <c r="BT78" t="n">
        <v>5.587</v>
      </c>
      <c r="BU78" t="n">
        <v>2.935</v>
      </c>
      <c r="BV78" t="n">
        <v>14.592</v>
      </c>
    </row>
    <row r="79">
      <c r="A79" t="inlineStr">
        <is>
          <t>Sphyrna zygaena</t>
        </is>
      </c>
      <c r="B79" t="inlineStr">
        <is>
          <t>Smooth hammerhead</t>
        </is>
      </c>
      <c r="C79" t="inlineStr">
        <is>
          <t>Large sharks (&gt;=90 cm)</t>
        </is>
      </c>
      <c r="D79" t="inlineStr">
        <is>
          <t>Sharks &amp; rays</t>
        </is>
      </c>
      <c r="E79" t="n">
        <v>20.416</v>
      </c>
      <c r="F79" t="n">
        <v>21.388</v>
      </c>
      <c r="G79" t="n">
        <v>48.61</v>
      </c>
      <c r="H79" t="n">
        <v>26.249</v>
      </c>
      <c r="I79" t="n">
        <v>25.277</v>
      </c>
      <c r="J79" t="n">
        <v>96.247</v>
      </c>
      <c r="K79" t="n">
        <v>147.774</v>
      </c>
      <c r="L79" t="n">
        <v>71.94199999999999</v>
      </c>
      <c r="M79" t="n">
        <v>70.97</v>
      </c>
      <c r="N79" t="n">
        <v>49.582</v>
      </c>
      <c r="O79" t="n">
        <v>42.777</v>
      </c>
      <c r="P79" t="n">
        <v>52.499</v>
      </c>
      <c r="Q79" t="n">
        <v>25.277</v>
      </c>
      <c r="R79" t="n">
        <v>29.166</v>
      </c>
      <c r="S79" t="n">
        <v>87.498</v>
      </c>
      <c r="T79" t="n">
        <v>173.051</v>
      </c>
      <c r="U79" t="n">
        <v>87.498</v>
      </c>
      <c r="V79" t="n">
        <v>154.579</v>
      </c>
      <c r="W79" t="n">
        <v>204.161</v>
      </c>
      <c r="X79" t="n">
        <v>134.163</v>
      </c>
      <c r="Y79" t="n">
        <v>174.995</v>
      </c>
      <c r="Z79" t="n">
        <v>136.107</v>
      </c>
      <c r="AA79" t="n">
        <v>130.274</v>
      </c>
      <c r="AB79" t="n">
        <v>303.325</v>
      </c>
      <c r="AC79" t="n">
        <v>221.66</v>
      </c>
      <c r="AD79" t="n">
        <v>194.439</v>
      </c>
      <c r="AE79" t="n">
        <v>158.468</v>
      </c>
      <c r="AF79" t="n">
        <v>180.828</v>
      </c>
      <c r="AG79" t="n">
        <v>249.854</v>
      </c>
      <c r="AH79" t="n">
        <v>243.049</v>
      </c>
      <c r="AI79" t="n">
        <v>255.687</v>
      </c>
      <c r="AJ79" t="n">
        <v>265.409</v>
      </c>
      <c r="AK79" t="n">
        <v>237.216</v>
      </c>
      <c r="AL79" t="n">
        <v>286.798</v>
      </c>
      <c r="AM79" t="n">
        <v>721.369</v>
      </c>
      <c r="AN79" t="n">
        <v>263.465</v>
      </c>
      <c r="AO79" t="n">
        <v>435.543</v>
      </c>
      <c r="AP79" t="n">
        <v>447.21</v>
      </c>
      <c r="AQ79" t="n">
        <v>523.0410000000001</v>
      </c>
      <c r="AR79" t="n">
        <v>705.814</v>
      </c>
      <c r="AS79" t="n">
        <v>477.348</v>
      </c>
      <c r="AT79" t="n">
        <v>485.125</v>
      </c>
      <c r="AU79" t="n">
        <v>927.474</v>
      </c>
      <c r="AV79" t="n">
        <v>1592.456</v>
      </c>
      <c r="AW79" t="n">
        <v>262.493</v>
      </c>
      <c r="AX79" t="n">
        <v>140.968</v>
      </c>
      <c r="AY79" t="n">
        <v>218.744</v>
      </c>
      <c r="AZ79" t="n">
        <v>1214.272</v>
      </c>
      <c r="BA79" t="n">
        <v>2545.207</v>
      </c>
      <c r="BB79" t="n">
        <v>652.343</v>
      </c>
      <c r="BC79" t="n">
        <v>593.039</v>
      </c>
      <c r="BD79" t="n">
        <v>927.474</v>
      </c>
      <c r="BE79" t="n">
        <v>1623.566</v>
      </c>
      <c r="BF79" t="n">
        <v>1592.456</v>
      </c>
      <c r="BG79" t="n">
        <v>1708.147</v>
      </c>
      <c r="BH79" t="n">
        <v>1978.417</v>
      </c>
      <c r="BI79" t="n">
        <v>2144.662</v>
      </c>
      <c r="BJ79" t="n">
        <v>1450.515</v>
      </c>
      <c r="BK79" t="n">
        <v>1454.404</v>
      </c>
      <c r="BL79" t="n">
        <v>1625.51</v>
      </c>
      <c r="BM79" t="n">
        <v>1868.559</v>
      </c>
      <c r="BN79" t="n">
        <v>2003.694</v>
      </c>
      <c r="BO79" t="n">
        <v>1938.557</v>
      </c>
      <c r="BP79" t="n">
        <v>1365.934</v>
      </c>
      <c r="BQ79" t="n">
        <v>1708.147</v>
      </c>
      <c r="BR79" t="n">
        <v>2719.23</v>
      </c>
      <c r="BS79" t="n">
        <v>2436.321</v>
      </c>
      <c r="BT79" t="n">
        <v>1969.667</v>
      </c>
      <c r="BU79" t="n">
        <v>1711.063</v>
      </c>
      <c r="BV79" t="n">
        <v>1207.183</v>
      </c>
    </row>
    <row r="80">
      <c r="A80" t="inlineStr">
        <is>
          <t>Leukoma thaca</t>
        </is>
      </c>
      <c r="B80" t="inlineStr">
        <is>
          <t>Taca clam</t>
        </is>
      </c>
      <c r="C80" t="inlineStr">
        <is>
          <t>Other demersal invertebrates</t>
        </is>
      </c>
      <c r="D80" t="inlineStr">
        <is>
          <t>Molluscs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4682.688</v>
      </c>
      <c r="BO80" t="n">
        <v>2567.359</v>
      </c>
      <c r="BP80" t="n">
        <v>6168.058</v>
      </c>
      <c r="BQ80" t="n">
        <v>2054.743</v>
      </c>
      <c r="BR80" t="n">
        <v>13970.909</v>
      </c>
      <c r="BS80" t="n">
        <v>14913.434</v>
      </c>
      <c r="BT80" t="n">
        <v>774.583</v>
      </c>
      <c r="BU80" t="n">
        <v>1017.178</v>
      </c>
      <c r="BV80" t="n">
        <v>1113.248</v>
      </c>
    </row>
    <row r="81">
      <c r="A81" t="inlineStr">
        <is>
          <t>Serranidae</t>
        </is>
      </c>
      <c r="B81" t="inlineStr">
        <is>
          <t>Basses, groupers, hinds</t>
        </is>
      </c>
      <c r="C81" t="inlineStr">
        <is>
          <t>Medium reef assoc. fish (30 - 89 cm)</t>
        </is>
      </c>
      <c r="D81" t="inlineStr">
        <is>
          <t>Perch-likes</t>
        </is>
      </c>
      <c r="E81" t="n">
        <v>620.308</v>
      </c>
      <c r="F81" t="n">
        <v>386.39</v>
      </c>
      <c r="G81" t="n">
        <v>455.524</v>
      </c>
      <c r="H81" t="n">
        <v>283.163</v>
      </c>
      <c r="I81" t="n">
        <v>506.664</v>
      </c>
      <c r="J81" t="n">
        <v>537.9160000000001</v>
      </c>
      <c r="K81" t="n">
        <v>541.704</v>
      </c>
      <c r="L81" t="n">
        <v>470.676</v>
      </c>
      <c r="M81" t="n">
        <v>463.1</v>
      </c>
      <c r="N81" t="n">
        <v>873.1660000000001</v>
      </c>
      <c r="O81" t="n">
        <v>781.304</v>
      </c>
      <c r="P81" t="n">
        <v>1154.436</v>
      </c>
      <c r="Q81" t="n">
        <v>3728.296</v>
      </c>
      <c r="R81" t="n">
        <v>809.715</v>
      </c>
      <c r="S81" t="n">
        <v>1695.193</v>
      </c>
      <c r="T81" t="n">
        <v>1315.432</v>
      </c>
      <c r="U81" t="n">
        <v>1702.769</v>
      </c>
      <c r="V81" t="n">
        <v>1617.536</v>
      </c>
      <c r="W81" t="n">
        <v>933.776</v>
      </c>
      <c r="X81" t="n">
        <v>1006.698</v>
      </c>
      <c r="Y81" t="n">
        <v>1093.825</v>
      </c>
      <c r="Z81" t="n">
        <v>824.867</v>
      </c>
      <c r="AA81" t="n">
        <v>945.141</v>
      </c>
      <c r="AB81" t="n">
        <v>1072.991</v>
      </c>
      <c r="AC81" t="n">
        <v>1214.099</v>
      </c>
      <c r="AD81" t="n">
        <v>877.901</v>
      </c>
      <c r="AE81" t="n">
        <v>500.034</v>
      </c>
      <c r="AF81" t="n">
        <v>1121.289</v>
      </c>
      <c r="AG81" t="n">
        <v>578.638</v>
      </c>
      <c r="AH81" t="n">
        <v>1195.785</v>
      </c>
      <c r="AI81" t="n">
        <v>676.596</v>
      </c>
      <c r="AJ81" t="n">
        <v>1378.27</v>
      </c>
      <c r="AK81" t="n">
        <v>2344.099</v>
      </c>
      <c r="AL81" t="n">
        <v>302.905</v>
      </c>
      <c r="AM81" t="n">
        <v>743.516</v>
      </c>
      <c r="AN81" t="n">
        <v>661.831</v>
      </c>
      <c r="AO81" t="n">
        <v>826.348</v>
      </c>
      <c r="AP81" t="n">
        <v>452.083</v>
      </c>
      <c r="AQ81" t="n">
        <v>543.572</v>
      </c>
      <c r="AR81" t="n">
        <v>1323.689</v>
      </c>
      <c r="AS81" t="n">
        <v>490.03</v>
      </c>
      <c r="AT81" t="n">
        <v>167.606</v>
      </c>
      <c r="AU81" t="n">
        <v>215.731</v>
      </c>
      <c r="AV81" t="n">
        <v>183.161</v>
      </c>
      <c r="AW81" t="n">
        <v>470.011</v>
      </c>
      <c r="AX81" t="n">
        <v>304.174</v>
      </c>
      <c r="AY81" t="n">
        <v>643.241</v>
      </c>
      <c r="AZ81" t="n">
        <v>179.644</v>
      </c>
      <c r="BA81" t="n">
        <v>185.465</v>
      </c>
      <c r="BB81" t="n">
        <v>208.806</v>
      </c>
      <c r="BC81" t="n">
        <v>341.88</v>
      </c>
      <c r="BD81" t="n">
        <v>183.244</v>
      </c>
      <c r="BE81" t="n">
        <v>459.312</v>
      </c>
      <c r="BF81" t="n">
        <v>182.123</v>
      </c>
      <c r="BG81" t="n">
        <v>166.86</v>
      </c>
      <c r="BH81" t="n">
        <v>188.374</v>
      </c>
      <c r="BI81" t="n">
        <v>106.651</v>
      </c>
      <c r="BJ81" t="n">
        <v>286.315</v>
      </c>
      <c r="BK81" t="n">
        <v>164.15</v>
      </c>
      <c r="BL81" t="n">
        <v>211.521</v>
      </c>
      <c r="BM81" t="n">
        <v>76.43899999999999</v>
      </c>
      <c r="BN81" t="n">
        <v>832.816</v>
      </c>
      <c r="BO81" t="n">
        <v>622.0650000000001</v>
      </c>
      <c r="BP81" t="n">
        <v>248.287</v>
      </c>
      <c r="BQ81" t="n">
        <v>557.311</v>
      </c>
      <c r="BR81" t="n">
        <v>159.444</v>
      </c>
      <c r="BS81" t="n">
        <v>129.313</v>
      </c>
      <c r="BT81" t="n">
        <v>97.768</v>
      </c>
      <c r="BU81" t="n">
        <v>65.63800000000001</v>
      </c>
      <c r="BV81" t="n">
        <v>39.921</v>
      </c>
    </row>
    <row r="82">
      <c r="A82" t="inlineStr">
        <is>
          <t>Beryx splendens</t>
        </is>
      </c>
      <c r="B82" t="inlineStr">
        <is>
          <t>Splendid alfonsino</t>
        </is>
      </c>
      <c r="C82" t="inlineStr">
        <is>
          <t>Medium benthopelagics (30 - 89 cm)</t>
        </is>
      </c>
      <c r="D82" t="inlineStr">
        <is>
          <t>Other fishes &amp; inverts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55.501</v>
      </c>
      <c r="AS82" t="n">
        <v>16.598</v>
      </c>
      <c r="AT82" t="n">
        <v>1.19</v>
      </c>
      <c r="AU82" t="n">
        <v>33.458</v>
      </c>
      <c r="AV82" t="n">
        <v>3.599</v>
      </c>
      <c r="AW82" t="n">
        <v>0</v>
      </c>
      <c r="AX82" t="n">
        <v>9.672000000000001</v>
      </c>
      <c r="AY82" t="n">
        <v>1.214</v>
      </c>
      <c r="AZ82" t="n">
        <v>7.31</v>
      </c>
      <c r="BA82" t="n">
        <v>176.119</v>
      </c>
      <c r="BB82" t="n">
        <v>866.7809999999999</v>
      </c>
      <c r="BC82" t="n">
        <v>5354.869</v>
      </c>
      <c r="BD82" t="n">
        <v>6410.688</v>
      </c>
      <c r="BE82" t="n">
        <v>0</v>
      </c>
      <c r="BF82" t="n">
        <v>12403.711</v>
      </c>
      <c r="BG82" t="n">
        <v>3578.332</v>
      </c>
      <c r="BH82" t="n">
        <v>3707.272</v>
      </c>
      <c r="BI82" t="n">
        <v>2974.867</v>
      </c>
      <c r="BJ82" t="n">
        <v>3352.841</v>
      </c>
      <c r="BK82" t="n">
        <v>3332.241</v>
      </c>
      <c r="BL82" t="n">
        <v>1413.526</v>
      </c>
      <c r="BM82" t="n">
        <v>1212.758</v>
      </c>
      <c r="BN82" t="n">
        <v>0</v>
      </c>
      <c r="BO82" t="n">
        <v>4.527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Choromytilus chorus</t>
        </is>
      </c>
      <c r="B83" t="inlineStr">
        <is>
          <t>Choro mussel</t>
        </is>
      </c>
      <c r="C83" t="inlineStr">
        <is>
          <t>Other demersal invertebrates</t>
        </is>
      </c>
      <c r="D83" t="inlineStr">
        <is>
          <t>Molluscs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511.882</v>
      </c>
      <c r="Q83" t="n">
        <v>162.447</v>
      </c>
      <c r="R83" t="n">
        <v>50.253</v>
      </c>
      <c r="S83" t="n">
        <v>36.229</v>
      </c>
      <c r="T83" t="n">
        <v>0</v>
      </c>
      <c r="U83" t="n">
        <v>0</v>
      </c>
      <c r="V83" t="n">
        <v>0</v>
      </c>
      <c r="W83" t="n">
        <v>4.675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7.012</v>
      </c>
      <c r="AE83" t="n">
        <v>19.868</v>
      </c>
      <c r="AF83" t="n">
        <v>0</v>
      </c>
      <c r="AG83" t="n">
        <v>49.085</v>
      </c>
      <c r="AH83" t="n">
        <v>116.868</v>
      </c>
      <c r="AI83" t="n">
        <v>142.579</v>
      </c>
      <c r="AJ83" t="n">
        <v>150.76</v>
      </c>
      <c r="AK83" t="n">
        <v>177.639</v>
      </c>
      <c r="AL83" t="n">
        <v>8600.323</v>
      </c>
      <c r="AM83" t="n">
        <v>413.713</v>
      </c>
      <c r="AN83" t="n">
        <v>1172.187</v>
      </c>
      <c r="AO83" t="n">
        <v>937.282</v>
      </c>
      <c r="AP83" t="n">
        <v>695.365</v>
      </c>
      <c r="AQ83" t="n">
        <v>1008.572</v>
      </c>
      <c r="AR83" t="n">
        <v>1540.321</v>
      </c>
      <c r="AS83" t="n">
        <v>1776.404</v>
      </c>
      <c r="AT83" t="n">
        <v>1922.424</v>
      </c>
      <c r="AU83" t="n">
        <v>2081.365</v>
      </c>
      <c r="AV83" t="n">
        <v>1621.758</v>
      </c>
      <c r="AW83" t="n">
        <v>1244.311</v>
      </c>
      <c r="AX83" t="n">
        <v>589.878</v>
      </c>
      <c r="AY83" t="n">
        <v>745.9109999999999</v>
      </c>
      <c r="AZ83" t="n">
        <v>13.264</v>
      </c>
      <c r="BA83" t="n">
        <v>9.683</v>
      </c>
      <c r="BB83" t="n">
        <v>31.591</v>
      </c>
      <c r="BC83" t="n">
        <v>21.955</v>
      </c>
      <c r="BD83" t="n">
        <v>142.023</v>
      </c>
      <c r="BE83" t="n">
        <v>170.827</v>
      </c>
      <c r="BF83" t="n">
        <v>164.07</v>
      </c>
      <c r="BG83" t="n">
        <v>177.069</v>
      </c>
      <c r="BH83" t="n">
        <v>62.144</v>
      </c>
      <c r="BI83" t="n">
        <v>88.574</v>
      </c>
      <c r="BJ83" t="n">
        <v>83.895</v>
      </c>
      <c r="BK83" t="n">
        <v>167.154</v>
      </c>
      <c r="BL83" t="n">
        <v>268.685</v>
      </c>
      <c r="BM83" t="n">
        <v>688.7430000000001</v>
      </c>
      <c r="BN83" t="n">
        <v>1211.825</v>
      </c>
      <c r="BO83" t="n">
        <v>1167.025</v>
      </c>
      <c r="BP83" t="n">
        <v>1433.582</v>
      </c>
      <c r="BQ83" t="n">
        <v>1182.705</v>
      </c>
      <c r="BR83" t="n">
        <v>1035.938</v>
      </c>
      <c r="BS83" t="n">
        <v>1765.487</v>
      </c>
      <c r="BT83" t="n">
        <v>2402.763</v>
      </c>
      <c r="BU83" t="n">
        <v>2345.431</v>
      </c>
      <c r="BV83" t="n">
        <v>2363.854</v>
      </c>
    </row>
    <row r="84">
      <c r="A84" t="inlineStr">
        <is>
          <t>Zearaja chilensis</t>
        </is>
      </c>
      <c r="B84" t="inlineStr">
        <is>
          <t>Yellownose skate</t>
        </is>
      </c>
      <c r="C84" t="inlineStr">
        <is>
          <t>Small to medium rays (&lt;90 cm)</t>
        </is>
      </c>
      <c r="D84" t="inlineStr">
        <is>
          <t>Sharks &amp; rays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6530.815</v>
      </c>
      <c r="BG84" t="n">
        <v>4024.362</v>
      </c>
      <c r="BH84" t="n">
        <v>3793.622</v>
      </c>
      <c r="BI84" t="n">
        <v>3848.475</v>
      </c>
      <c r="BJ84" t="n">
        <v>3390.465</v>
      </c>
      <c r="BK84" t="n">
        <v>2158.92</v>
      </c>
      <c r="BL84" t="n">
        <v>2274.91</v>
      </c>
      <c r="BM84" t="n">
        <v>2345.228</v>
      </c>
      <c r="BN84" t="n">
        <v>3838.683</v>
      </c>
      <c r="BO84" t="n">
        <v>3304.327</v>
      </c>
      <c r="BP84" t="n">
        <v>1915.916</v>
      </c>
      <c r="BQ84" t="n">
        <v>45.671</v>
      </c>
      <c r="BR84" t="n">
        <v>10.921</v>
      </c>
      <c r="BS84" t="n">
        <v>655.2859999999999</v>
      </c>
      <c r="BT84" t="n">
        <v>35.027</v>
      </c>
      <c r="BU84" t="n">
        <v>342.422</v>
      </c>
      <c r="BV84" t="n">
        <v>544.308</v>
      </c>
    </row>
    <row r="85">
      <c r="A85" t="inlineStr">
        <is>
          <t>Ameghinomya antiqua</t>
        </is>
      </c>
      <c r="B85" t="inlineStr">
        <is>
          <t>Cancellated clam</t>
        </is>
      </c>
      <c r="C85" t="inlineStr">
        <is>
          <t>Other demersal invertebrates</t>
        </is>
      </c>
      <c r="D85" t="inlineStr">
        <is>
          <t>Molluscs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15261.431</v>
      </c>
      <c r="BU85" t="n">
        <v>11796.642</v>
      </c>
      <c r="BV85" t="n">
        <v>11721.659</v>
      </c>
    </row>
    <row r="86">
      <c r="A86" t="inlineStr">
        <is>
          <t>Fissurella maxima</t>
        </is>
      </c>
      <c r="B86" t="inlineStr">
        <is>
          <t>giant keyhole limpet</t>
        </is>
      </c>
      <c r="C86" t="inlineStr">
        <is>
          <t>Other demersal invertebrates</t>
        </is>
      </c>
      <c r="D86" t="inlineStr">
        <is>
          <t>Molluscs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16.361</v>
      </c>
      <c r="BP86" t="n">
        <v>22721</v>
      </c>
      <c r="BQ86" t="n">
        <v>12967.868</v>
      </c>
      <c r="BR86" t="n">
        <v>16.078</v>
      </c>
      <c r="BS86" t="n">
        <v>30.012</v>
      </c>
      <c r="BT86" t="n">
        <v>25.919</v>
      </c>
      <c r="BU86" t="n">
        <v>20.555</v>
      </c>
      <c r="BV86" t="n">
        <v>12.957</v>
      </c>
    </row>
    <row r="87">
      <c r="A87" t="inlineStr">
        <is>
          <t>Tagelus dombeii</t>
        </is>
      </c>
      <c r="B87" t="inlineStr">
        <is>
          <t>Hard razor clam</t>
        </is>
      </c>
      <c r="C87" t="inlineStr">
        <is>
          <t>Other demersal invertebrates</t>
        </is>
      </c>
      <c r="D87" t="inlineStr">
        <is>
          <t>Molluscs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3830.241</v>
      </c>
      <c r="BO87" t="n">
        <v>1125.798</v>
      </c>
      <c r="BP87" t="n">
        <v>1269.147</v>
      </c>
      <c r="BQ87" t="n">
        <v>980.643</v>
      </c>
      <c r="BR87" t="n">
        <v>5422.039</v>
      </c>
      <c r="BS87" t="n">
        <v>5392.888</v>
      </c>
      <c r="BT87" t="n">
        <v>6152.454</v>
      </c>
      <c r="BU87" t="n">
        <v>5665.917</v>
      </c>
      <c r="BV87" t="n">
        <v>5669.267</v>
      </c>
    </row>
    <row r="88">
      <c r="A88" t="inlineStr">
        <is>
          <t>Stromateus stellatus</t>
        </is>
      </c>
      <c r="B88" t="inlineStr">
        <is>
          <t>Starry butterfish</t>
        </is>
      </c>
      <c r="C88" t="inlineStr">
        <is>
          <t>Small benthopelagics (&lt;30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423.712</v>
      </c>
      <c r="BO88" t="n">
        <v>683.086</v>
      </c>
      <c r="BP88" t="n">
        <v>2165.738</v>
      </c>
      <c r="BQ88" t="n">
        <v>1185.58</v>
      </c>
      <c r="BR88" t="n">
        <v>2537.108</v>
      </c>
      <c r="BS88" t="n">
        <v>0</v>
      </c>
      <c r="BT88" t="n">
        <v>22606.872</v>
      </c>
      <c r="BU88" t="n">
        <v>1075.735</v>
      </c>
      <c r="BV88" t="n">
        <v>3079.519</v>
      </c>
    </row>
    <row r="89">
      <c r="A89" t="inlineStr">
        <is>
          <t>Taliepus dentatus</t>
        </is>
      </c>
      <c r="B89" t="inlineStr">
        <is>
          <t>Spider crabs</t>
        </is>
      </c>
      <c r="C89" t="inlineStr">
        <is>
          <t>Lobsters, crabs</t>
        </is>
      </c>
      <c r="D89" t="inlineStr">
        <is>
          <t>Crustaceans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38.096</v>
      </c>
      <c r="BO89" t="n">
        <v>222.299</v>
      </c>
      <c r="BP89" t="n">
        <v>18368.799</v>
      </c>
      <c r="BQ89" t="n">
        <v>12478.996</v>
      </c>
      <c r="BR89" t="n">
        <v>15.004</v>
      </c>
      <c r="BS89" t="n">
        <v>18.22</v>
      </c>
      <c r="BT89" t="n">
        <v>36.996</v>
      </c>
      <c r="BU89" t="n">
        <v>29.494</v>
      </c>
      <c r="BV89" t="n">
        <v>20.845</v>
      </c>
    </row>
    <row r="90">
      <c r="A90" t="inlineStr">
        <is>
          <t>Seriolella punctata</t>
        </is>
      </c>
      <c r="B90" t="inlineStr">
        <is>
          <t>Silver warehou</t>
        </is>
      </c>
      <c r="C90" t="inlineStr">
        <is>
          <t>Medium benthopelagics (30 - 89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709.9880000000001</v>
      </c>
      <c r="AS90" t="n">
        <v>572.563</v>
      </c>
      <c r="AT90" t="n">
        <v>388.647</v>
      </c>
      <c r="AU90" t="n">
        <v>255.835</v>
      </c>
      <c r="AV90" t="n">
        <v>309.613</v>
      </c>
      <c r="AW90" t="n">
        <v>631.064</v>
      </c>
      <c r="AX90" t="n">
        <v>99.283</v>
      </c>
      <c r="AY90" t="n">
        <v>285.951</v>
      </c>
      <c r="AZ90" t="n">
        <v>116.728</v>
      </c>
      <c r="BA90" t="n">
        <v>23.914</v>
      </c>
      <c r="BB90" t="n">
        <v>22.805</v>
      </c>
      <c r="BC90" t="n">
        <v>2.41</v>
      </c>
      <c r="BD90" t="n">
        <v>357.99</v>
      </c>
      <c r="BE90" t="n">
        <v>3.642</v>
      </c>
      <c r="BF90" t="n">
        <v>1582.947</v>
      </c>
      <c r="BG90" t="n">
        <v>1980.312</v>
      </c>
      <c r="BH90" t="n">
        <v>2015.967</v>
      </c>
      <c r="BI90" t="n">
        <v>1327.222</v>
      </c>
      <c r="BJ90" t="n">
        <v>2306.843</v>
      </c>
      <c r="BK90" t="n">
        <v>2464.366</v>
      </c>
      <c r="BL90" t="n">
        <v>4361.264</v>
      </c>
      <c r="BM90" t="n">
        <v>3676.931</v>
      </c>
      <c r="BN90" t="n">
        <v>0</v>
      </c>
      <c r="BO90" t="n">
        <v>0</v>
      </c>
      <c r="BP90" t="n">
        <v>0</v>
      </c>
      <c r="BQ90" t="n">
        <v>0</v>
      </c>
      <c r="BR90" t="n">
        <v>1245.998</v>
      </c>
      <c r="BS90" t="n">
        <v>912.213</v>
      </c>
      <c r="BT90" t="n">
        <v>317.79</v>
      </c>
      <c r="BU90" t="n">
        <v>1136.893</v>
      </c>
      <c r="BV90" t="n">
        <v>112.003</v>
      </c>
    </row>
    <row r="91">
      <c r="A91" t="inlineStr">
        <is>
          <t>Haemulidae</t>
        </is>
      </c>
      <c r="B91" t="inlineStr">
        <is>
          <t>Grunts, sweetlips, bonnetmouths</t>
        </is>
      </c>
      <c r="C91" t="inlineStr">
        <is>
          <t>Medium demersals (30 - 89 cm)</t>
        </is>
      </c>
      <c r="D91" t="inlineStr">
        <is>
          <t>Perch-likes</t>
        </is>
      </c>
      <c r="E91" t="n">
        <v>298.788</v>
      </c>
      <c r="F91" t="n">
        <v>220.556</v>
      </c>
      <c r="G91" t="n">
        <v>196.05</v>
      </c>
      <c r="H91" t="n">
        <v>169.659</v>
      </c>
      <c r="I91" t="n">
        <v>205.476</v>
      </c>
      <c r="J91" t="n">
        <v>232.81</v>
      </c>
      <c r="K91" t="n">
        <v>161.176</v>
      </c>
      <c r="L91" t="n">
        <v>166.831</v>
      </c>
      <c r="M91" t="n">
        <v>156.463</v>
      </c>
      <c r="N91" t="n">
        <v>341.203</v>
      </c>
      <c r="O91" t="n">
        <v>268.626</v>
      </c>
      <c r="P91" t="n">
        <v>337.432</v>
      </c>
      <c r="Q91" t="n">
        <v>214.901</v>
      </c>
      <c r="R91" t="n">
        <v>222.442</v>
      </c>
      <c r="S91" t="n">
        <v>559.874</v>
      </c>
      <c r="T91" t="n">
        <v>356.283</v>
      </c>
      <c r="U91" t="n">
        <v>508.034</v>
      </c>
      <c r="V91" t="n">
        <v>377.02</v>
      </c>
      <c r="W91" t="n">
        <v>415.664</v>
      </c>
      <c r="X91" t="n">
        <v>265.799</v>
      </c>
      <c r="Y91" t="n">
        <v>363.824</v>
      </c>
      <c r="Z91" t="n">
        <v>174.372</v>
      </c>
      <c r="AA91" t="n">
        <v>399.641</v>
      </c>
      <c r="AB91" t="n">
        <v>491.068</v>
      </c>
      <c r="AC91" t="n">
        <v>233.752</v>
      </c>
      <c r="AD91" t="n">
        <v>286.535</v>
      </c>
      <c r="AE91" t="n">
        <v>213.959</v>
      </c>
      <c r="AF91" t="n">
        <v>450.538</v>
      </c>
      <c r="AG91" t="n">
        <v>312.926</v>
      </c>
      <c r="AH91" t="n">
        <v>420.062</v>
      </c>
      <c r="AI91" t="n">
        <v>273.301</v>
      </c>
      <c r="AJ91" t="n">
        <v>394.71</v>
      </c>
      <c r="AK91" t="n">
        <v>419.812</v>
      </c>
      <c r="AL91" t="n">
        <v>301.852</v>
      </c>
      <c r="AM91" t="n">
        <v>174.474</v>
      </c>
      <c r="AN91" t="n">
        <v>258.499</v>
      </c>
      <c r="AO91" t="n">
        <v>499.791</v>
      </c>
      <c r="AP91" t="n">
        <v>317.463</v>
      </c>
      <c r="AQ91" t="n">
        <v>265.448</v>
      </c>
      <c r="AR91" t="n">
        <v>414.79</v>
      </c>
      <c r="AS91" t="n">
        <v>951.653</v>
      </c>
      <c r="AT91" t="n">
        <v>329.71</v>
      </c>
      <c r="AU91" t="n">
        <v>282.095</v>
      </c>
      <c r="AV91" t="n">
        <v>541.922</v>
      </c>
      <c r="AW91" t="n">
        <v>1574.849</v>
      </c>
      <c r="AX91" t="n">
        <v>1144.844</v>
      </c>
      <c r="AY91" t="n">
        <v>302.225</v>
      </c>
      <c r="AZ91" t="n">
        <v>510.007</v>
      </c>
      <c r="BA91" t="n">
        <v>666.955</v>
      </c>
      <c r="BB91" t="n">
        <v>367.097</v>
      </c>
      <c r="BC91" t="n">
        <v>239.407</v>
      </c>
      <c r="BD91" t="n">
        <v>400.242</v>
      </c>
      <c r="BE91" t="n">
        <v>117.487</v>
      </c>
      <c r="BF91" t="n">
        <v>68.435</v>
      </c>
      <c r="BG91" t="n">
        <v>377.036</v>
      </c>
      <c r="BH91" t="n">
        <v>386</v>
      </c>
      <c r="BI91" t="n">
        <v>310.22</v>
      </c>
      <c r="BJ91" t="n">
        <v>301.704</v>
      </c>
      <c r="BK91" t="n">
        <v>175.981</v>
      </c>
      <c r="BL91" t="n">
        <v>183.531</v>
      </c>
      <c r="BM91" t="n">
        <v>123.817</v>
      </c>
      <c r="BN91" t="n">
        <v>492.596</v>
      </c>
      <c r="BO91" t="n">
        <v>704.6180000000001</v>
      </c>
      <c r="BP91" t="n">
        <v>1378.274</v>
      </c>
      <c r="BQ91" t="n">
        <v>338.664</v>
      </c>
      <c r="BR91" t="n">
        <v>224.111</v>
      </c>
      <c r="BS91" t="n">
        <v>162.99</v>
      </c>
      <c r="BT91" t="n">
        <v>204.208</v>
      </c>
      <c r="BU91" t="n">
        <v>400.085</v>
      </c>
      <c r="BV91" t="n">
        <v>634.934</v>
      </c>
    </row>
    <row r="92">
      <c r="A92" t="inlineStr">
        <is>
          <t>Ensis macha</t>
        </is>
      </c>
      <c r="B92" t="inlineStr">
        <is>
          <t>Razor clam</t>
        </is>
      </c>
      <c r="C92" t="inlineStr">
        <is>
          <t>Other demersal invertebrates</t>
        </is>
      </c>
      <c r="D92" t="inlineStr">
        <is>
          <t>Molluscs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8694.007</v>
      </c>
      <c r="BO92" t="n">
        <v>1377.769</v>
      </c>
      <c r="BP92" t="n">
        <v>879.184</v>
      </c>
      <c r="BQ92" t="n">
        <v>2109.416</v>
      </c>
      <c r="BR92" t="n">
        <v>3490.611</v>
      </c>
      <c r="BS92" t="n">
        <v>2592.261</v>
      </c>
      <c r="BT92" t="n">
        <v>2120.374</v>
      </c>
      <c r="BU92" t="n">
        <v>1937.176</v>
      </c>
      <c r="BV92" t="n">
        <v>2001.912</v>
      </c>
    </row>
    <row r="93">
      <c r="A93" t="inlineStr">
        <is>
          <t>Odontocymbiola magellanica</t>
        </is>
      </c>
      <c r="B93" t="inlineStr">
        <is>
          <t>Magellanic volute</t>
        </is>
      </c>
      <c r="C93" t="inlineStr">
        <is>
          <t>Other demersal invertebrates</t>
        </is>
      </c>
      <c r="D93" t="inlineStr">
        <is>
          <t>Molluscs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337.157</v>
      </c>
      <c r="BO93" t="n">
        <v>12534.72</v>
      </c>
      <c r="BP93" t="n">
        <v>11395.462</v>
      </c>
      <c r="BQ93" t="n">
        <v>208.042</v>
      </c>
      <c r="BR93" t="n">
        <v>11.631</v>
      </c>
      <c r="BS93" t="n">
        <v>7.402</v>
      </c>
      <c r="BT93" t="n">
        <v>5.191</v>
      </c>
      <c r="BU93" t="n">
        <v>0.503</v>
      </c>
      <c r="BV93" t="n">
        <v>1.513</v>
      </c>
    </row>
    <row r="94">
      <c r="A94" t="inlineStr">
        <is>
          <t>Thunnus obesus</t>
        </is>
      </c>
      <c r="B94" t="inlineStr">
        <is>
          <t>Bigeye tuna</t>
        </is>
      </c>
      <c r="C94" t="inlineStr">
        <is>
          <t>Large pelagics (&gt;=90 cm)</t>
        </is>
      </c>
      <c r="D94" t="inlineStr">
        <is>
          <t>Tuna &amp; billfishes</t>
        </is>
      </c>
      <c r="E94" t="n">
        <v>0</v>
      </c>
      <c r="F94" t="n">
        <v>0</v>
      </c>
      <c r="G94" t="n">
        <v>0</v>
      </c>
      <c r="H94" t="n">
        <v>0</v>
      </c>
      <c r="I94" t="n">
        <v>6.477</v>
      </c>
      <c r="J94" t="n">
        <v>11.538</v>
      </c>
      <c r="K94" t="n">
        <v>0</v>
      </c>
      <c r="L94" t="n">
        <v>0.701</v>
      </c>
      <c r="M94" t="n">
        <v>0</v>
      </c>
      <c r="N94" t="n">
        <v>0</v>
      </c>
      <c r="O94" t="n">
        <v>0</v>
      </c>
      <c r="P94" t="n">
        <v>0.726</v>
      </c>
      <c r="Q94" t="n">
        <v>2.683</v>
      </c>
      <c r="R94" t="n">
        <v>0</v>
      </c>
      <c r="S94" t="n">
        <v>0.081</v>
      </c>
      <c r="T94" t="n">
        <v>0</v>
      </c>
      <c r="U94" t="n">
        <v>5.177</v>
      </c>
      <c r="V94" t="n">
        <v>94.462</v>
      </c>
      <c r="W94" t="n">
        <v>46.199</v>
      </c>
      <c r="X94" t="n">
        <v>33.56</v>
      </c>
      <c r="Y94" t="n">
        <v>12.71</v>
      </c>
      <c r="Z94" t="n">
        <v>169.967</v>
      </c>
      <c r="AA94" t="n">
        <v>71.099</v>
      </c>
      <c r="AB94" t="n">
        <v>53.066</v>
      </c>
      <c r="AC94" t="n">
        <v>52.79</v>
      </c>
      <c r="AD94" t="n">
        <v>2.411</v>
      </c>
      <c r="AE94" t="n">
        <v>4187.731</v>
      </c>
      <c r="AF94" t="n">
        <v>271.052</v>
      </c>
      <c r="AG94" t="n">
        <v>173.65</v>
      </c>
      <c r="AH94" t="n">
        <v>101.837</v>
      </c>
      <c r="AI94" t="n">
        <v>199.189</v>
      </c>
      <c r="AJ94" t="n">
        <v>1.636</v>
      </c>
      <c r="AK94" t="n">
        <v>5.886</v>
      </c>
      <c r="AL94" t="n">
        <v>63.809</v>
      </c>
      <c r="AM94" t="n">
        <v>0.474</v>
      </c>
      <c r="AN94" t="n">
        <v>1.927</v>
      </c>
      <c r="AO94" t="n">
        <v>0.145</v>
      </c>
      <c r="AP94" t="n">
        <v>24.442</v>
      </c>
      <c r="AQ94" t="n">
        <v>13.888</v>
      </c>
      <c r="AR94" t="n">
        <v>5.724</v>
      </c>
      <c r="AS94" t="n">
        <v>664.38</v>
      </c>
      <c r="AT94" t="n">
        <v>253.089</v>
      </c>
      <c r="AU94" t="n">
        <v>351.296</v>
      </c>
      <c r="AV94" t="n">
        <v>1703.046</v>
      </c>
      <c r="AW94" t="n">
        <v>274.615</v>
      </c>
      <c r="AX94" t="n">
        <v>318.665</v>
      </c>
      <c r="AY94" t="n">
        <v>577.5599999999999</v>
      </c>
      <c r="AZ94" t="n">
        <v>617.0069999999999</v>
      </c>
      <c r="BA94" t="n">
        <v>2132.293</v>
      </c>
      <c r="BB94" t="n">
        <v>124.692</v>
      </c>
      <c r="BC94" t="n">
        <v>185.341</v>
      </c>
      <c r="BD94" t="n">
        <v>649.7859999999999</v>
      </c>
      <c r="BE94" t="n">
        <v>66.051</v>
      </c>
      <c r="BF94" t="n">
        <v>175.163</v>
      </c>
      <c r="BG94" t="n">
        <v>492.505</v>
      </c>
      <c r="BH94" t="n">
        <v>808.728</v>
      </c>
      <c r="BI94" t="n">
        <v>589.83</v>
      </c>
      <c r="BJ94" t="n">
        <v>565.84</v>
      </c>
      <c r="BK94" t="n">
        <v>774.1660000000001</v>
      </c>
      <c r="BL94" t="n">
        <v>2230.517</v>
      </c>
      <c r="BM94" t="n">
        <v>817.543</v>
      </c>
      <c r="BN94" t="n">
        <v>707.1</v>
      </c>
      <c r="BO94" t="n">
        <v>545.87</v>
      </c>
      <c r="BP94" t="n">
        <v>240.531</v>
      </c>
      <c r="BQ94" t="n">
        <v>825.486</v>
      </c>
      <c r="BR94" t="n">
        <v>543.485</v>
      </c>
      <c r="BS94" t="n">
        <v>390.197</v>
      </c>
      <c r="BT94" t="n">
        <v>283.124</v>
      </c>
      <c r="BU94" t="n">
        <v>348.442</v>
      </c>
      <c r="BV94" t="n">
        <v>324.299</v>
      </c>
    </row>
    <row r="95">
      <c r="A95" t="inlineStr">
        <is>
          <t>Alopias vulpinus</t>
        </is>
      </c>
      <c r="B95" t="inlineStr">
        <is>
          <t>Thresher</t>
        </is>
      </c>
      <c r="C95" t="inlineStr">
        <is>
          <t>Large sharks (&gt;=90 cm)</t>
        </is>
      </c>
      <c r="D95" t="inlineStr">
        <is>
          <t>Sharks &amp; rays</t>
        </is>
      </c>
      <c r="E95" t="n">
        <v>3.885</v>
      </c>
      <c r="F95" t="n">
        <v>3.885</v>
      </c>
      <c r="G95" t="n">
        <v>10.685</v>
      </c>
      <c r="H95" t="n">
        <v>4.857</v>
      </c>
      <c r="I95" t="n">
        <v>5.828</v>
      </c>
      <c r="J95" t="n">
        <v>20.398</v>
      </c>
      <c r="K95" t="n">
        <v>31.083</v>
      </c>
      <c r="L95" t="n">
        <v>16.513</v>
      </c>
      <c r="M95" t="n">
        <v>16.513</v>
      </c>
      <c r="N95" t="n">
        <v>11.656</v>
      </c>
      <c r="O95" t="n">
        <v>9.712999999999999</v>
      </c>
      <c r="P95" t="n">
        <v>12.627</v>
      </c>
      <c r="Q95" t="n">
        <v>5.828</v>
      </c>
      <c r="R95" t="n">
        <v>6.799</v>
      </c>
      <c r="S95" t="n">
        <v>20.398</v>
      </c>
      <c r="T95" t="n">
        <v>41.768</v>
      </c>
      <c r="U95" t="n">
        <v>22.341</v>
      </c>
      <c r="V95" t="n">
        <v>36.911</v>
      </c>
      <c r="W95" t="n">
        <v>50.51</v>
      </c>
      <c r="X95" t="n">
        <v>33.026</v>
      </c>
      <c r="Y95" t="n">
        <v>43.71</v>
      </c>
      <c r="Z95" t="n">
        <v>33.997</v>
      </c>
      <c r="AA95" t="n">
        <v>33.026</v>
      </c>
      <c r="AB95" t="n">
        <v>78.678</v>
      </c>
      <c r="AC95" t="n">
        <v>57.309</v>
      </c>
      <c r="AD95" t="n">
        <v>51.481</v>
      </c>
      <c r="AE95" t="n">
        <v>41.768</v>
      </c>
      <c r="AF95" t="n">
        <v>49.538</v>
      </c>
      <c r="AG95" t="n">
        <v>67.994</v>
      </c>
      <c r="AH95" t="n">
        <v>68.44199999999999</v>
      </c>
      <c r="AI95" t="n">
        <v>75.913</v>
      </c>
      <c r="AJ95" t="n">
        <v>124.025</v>
      </c>
      <c r="AK95" t="n">
        <v>117.45</v>
      </c>
      <c r="AL95" t="n">
        <v>131.496</v>
      </c>
      <c r="AM95" t="n">
        <v>214.664</v>
      </c>
      <c r="AN95" t="n">
        <v>78.827</v>
      </c>
      <c r="AO95" t="n">
        <v>123.808</v>
      </c>
      <c r="AP95" t="n">
        <v>125.303</v>
      </c>
      <c r="AQ95" t="n">
        <v>147.643</v>
      </c>
      <c r="AR95" t="n">
        <v>224.676</v>
      </c>
      <c r="AS95" t="n">
        <v>147.643</v>
      </c>
      <c r="AT95" t="n">
        <v>79.65000000000001</v>
      </c>
      <c r="AU95" t="n">
        <v>328.313</v>
      </c>
      <c r="AV95" t="n">
        <v>345.797</v>
      </c>
      <c r="AW95" t="n">
        <v>168.042</v>
      </c>
      <c r="AX95" t="n">
        <v>240.892</v>
      </c>
      <c r="AY95" t="n">
        <v>260.319</v>
      </c>
      <c r="AZ95" t="n">
        <v>272.946</v>
      </c>
      <c r="BA95" t="n">
        <v>753.759</v>
      </c>
      <c r="BB95" t="n">
        <v>419.618</v>
      </c>
      <c r="BC95" t="n">
        <v>708.106</v>
      </c>
      <c r="BD95" t="n">
        <v>270.032</v>
      </c>
      <c r="BE95" t="n">
        <v>369.109</v>
      </c>
      <c r="BF95" t="n">
        <v>321.513</v>
      </c>
      <c r="BG95" t="n">
        <v>778.042</v>
      </c>
      <c r="BH95" t="n">
        <v>1381.544</v>
      </c>
      <c r="BI95" t="n">
        <v>639.141</v>
      </c>
      <c r="BJ95" t="n">
        <v>721.705</v>
      </c>
      <c r="BK95" t="n">
        <v>522.894</v>
      </c>
      <c r="BL95" t="n">
        <v>406.991</v>
      </c>
      <c r="BM95" t="n">
        <v>268.413</v>
      </c>
      <c r="BN95" t="n">
        <v>1097.338</v>
      </c>
      <c r="BO95" t="n">
        <v>1552.199</v>
      </c>
      <c r="BP95" t="n">
        <v>429.057</v>
      </c>
      <c r="BQ95" t="n">
        <v>999.508</v>
      </c>
      <c r="BR95" t="n">
        <v>2762.262</v>
      </c>
      <c r="BS95" t="n">
        <v>1402.536</v>
      </c>
      <c r="BT95" t="n">
        <v>1393.401</v>
      </c>
      <c r="BU95" t="n">
        <v>1303.95</v>
      </c>
      <c r="BV95" t="n">
        <v>899.831</v>
      </c>
    </row>
    <row r="96">
      <c r="A96" t="inlineStr">
        <is>
          <t>Elasmobranchii</t>
        </is>
      </c>
      <c r="B96" t="inlineStr">
        <is>
          <t>Sharks, rays, skates</t>
        </is>
      </c>
      <c r="C96" t="inlineStr">
        <is>
          <t>Large sharks (&gt;=90 cm)</t>
        </is>
      </c>
      <c r="D96" t="inlineStr">
        <is>
          <t>Sharks &amp; rays</t>
        </is>
      </c>
      <c r="E96" t="n">
        <v>0.971</v>
      </c>
      <c r="F96" t="n">
        <v>0.971</v>
      </c>
      <c r="G96" t="n">
        <v>0</v>
      </c>
      <c r="H96" t="n">
        <v>2.914</v>
      </c>
      <c r="I96" t="n">
        <v>0.971</v>
      </c>
      <c r="J96" t="n">
        <v>2.914</v>
      </c>
      <c r="K96" t="n">
        <v>2.914</v>
      </c>
      <c r="L96" t="n">
        <v>2.914</v>
      </c>
      <c r="M96" t="n">
        <v>3.885</v>
      </c>
      <c r="N96" t="n">
        <v>0.971</v>
      </c>
      <c r="O96" t="n">
        <v>14.792</v>
      </c>
      <c r="P96" t="n">
        <v>27.221</v>
      </c>
      <c r="Q96" t="n">
        <v>33.89</v>
      </c>
      <c r="R96" t="n">
        <v>67.167</v>
      </c>
      <c r="S96" t="n">
        <v>88.11499999999999</v>
      </c>
      <c r="T96" t="n">
        <v>127.14</v>
      </c>
      <c r="U96" t="n">
        <v>90.91200000000001</v>
      </c>
      <c r="V96" t="n">
        <v>334.526</v>
      </c>
      <c r="W96" t="n">
        <v>46.248</v>
      </c>
      <c r="X96" t="n">
        <v>59.846</v>
      </c>
      <c r="Y96" t="n">
        <v>39.126</v>
      </c>
      <c r="Z96" t="n">
        <v>22.41</v>
      </c>
      <c r="AA96" t="n">
        <v>18.054</v>
      </c>
      <c r="AB96" t="n">
        <v>52.935</v>
      </c>
      <c r="AC96" t="n">
        <v>18.735</v>
      </c>
      <c r="AD96" t="n">
        <v>12.491</v>
      </c>
      <c r="AE96" t="n">
        <v>153.962</v>
      </c>
      <c r="AF96" t="n">
        <v>35.415</v>
      </c>
      <c r="AG96" t="n">
        <v>40.469</v>
      </c>
      <c r="AH96" t="n">
        <v>46.333</v>
      </c>
      <c r="AI96" t="n">
        <v>110.414</v>
      </c>
      <c r="AJ96" t="n">
        <v>49.254</v>
      </c>
      <c r="AK96" t="n">
        <v>75.768</v>
      </c>
      <c r="AL96" t="n">
        <v>94.39400000000001</v>
      </c>
      <c r="AM96" t="n">
        <v>46.594</v>
      </c>
      <c r="AN96" t="n">
        <v>46.229</v>
      </c>
      <c r="AO96" t="n">
        <v>60.219</v>
      </c>
      <c r="AP96" t="n">
        <v>63.221</v>
      </c>
      <c r="AQ96" t="n">
        <v>113.469</v>
      </c>
      <c r="AR96" t="n">
        <v>13.542</v>
      </c>
      <c r="AS96" t="n">
        <v>26.864</v>
      </c>
      <c r="AT96" t="n">
        <v>90.691</v>
      </c>
      <c r="AU96" t="n">
        <v>432.992</v>
      </c>
      <c r="AV96" t="n">
        <v>469.952</v>
      </c>
      <c r="AW96" t="n">
        <v>327.747</v>
      </c>
      <c r="AX96" t="n">
        <v>151.365</v>
      </c>
      <c r="AY96" t="n">
        <v>165.776</v>
      </c>
      <c r="AZ96" t="n">
        <v>149.572</v>
      </c>
      <c r="BA96" t="n">
        <v>457.571</v>
      </c>
      <c r="BB96" t="n">
        <v>1420.223</v>
      </c>
      <c r="BC96" t="n">
        <v>332.847</v>
      </c>
      <c r="BD96" t="n">
        <v>1076.081</v>
      </c>
      <c r="BE96" t="n">
        <v>542.664</v>
      </c>
      <c r="BF96" t="n">
        <v>433.705</v>
      </c>
      <c r="BG96" t="n">
        <v>346.028</v>
      </c>
      <c r="BH96" t="n">
        <v>432.953</v>
      </c>
      <c r="BI96" t="n">
        <v>247.872</v>
      </c>
      <c r="BJ96" t="n">
        <v>440.783</v>
      </c>
      <c r="BK96" t="n">
        <v>426.292</v>
      </c>
      <c r="BL96" t="n">
        <v>933.482</v>
      </c>
      <c r="BM96" t="n">
        <v>739.102</v>
      </c>
      <c r="BN96" t="n">
        <v>1173.44</v>
      </c>
      <c r="BO96" t="n">
        <v>185.038</v>
      </c>
      <c r="BP96" t="n">
        <v>135.381</v>
      </c>
      <c r="BQ96" t="n">
        <v>158.149</v>
      </c>
      <c r="BR96" t="n">
        <v>489.492</v>
      </c>
      <c r="BS96" t="n">
        <v>559.986</v>
      </c>
      <c r="BT96" t="n">
        <v>1965.539</v>
      </c>
      <c r="BU96" t="n">
        <v>665.173</v>
      </c>
      <c r="BV96" t="n">
        <v>5275.535</v>
      </c>
    </row>
    <row r="97">
      <c r="A97" t="inlineStr">
        <is>
          <t>Haliporoides diomedeae</t>
        </is>
      </c>
      <c r="B97" t="inlineStr">
        <is>
          <t>Chilean knife shrimp</t>
        </is>
      </c>
      <c r="C97" t="inlineStr">
        <is>
          <t>Shrimps</t>
        </is>
      </c>
      <c r="D97" t="inlineStr">
        <is>
          <t>Crustaceans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1485.398</v>
      </c>
      <c r="AI97" t="n">
        <v>291.626</v>
      </c>
      <c r="AJ97" t="n">
        <v>59.274</v>
      </c>
      <c r="AK97" t="n">
        <v>9.484</v>
      </c>
      <c r="AL97" t="n">
        <v>2.371</v>
      </c>
      <c r="AM97" t="n">
        <v>0</v>
      </c>
      <c r="AN97" t="n">
        <v>1.185</v>
      </c>
      <c r="AO97" t="n">
        <v>0</v>
      </c>
      <c r="AP97" t="n">
        <v>0</v>
      </c>
      <c r="AQ97" t="n">
        <v>0</v>
      </c>
      <c r="AR97" t="n">
        <v>59.274</v>
      </c>
      <c r="AS97" t="n">
        <v>24.994</v>
      </c>
      <c r="AT97" t="n">
        <v>5661.351</v>
      </c>
      <c r="AU97" t="n">
        <v>7.198</v>
      </c>
      <c r="AV97" t="n">
        <v>6.021</v>
      </c>
      <c r="AW97" t="n">
        <v>24.18</v>
      </c>
      <c r="AX97" t="n">
        <v>6.068</v>
      </c>
      <c r="AY97" t="n">
        <v>18.276</v>
      </c>
      <c r="AZ97" t="n">
        <v>51.371</v>
      </c>
      <c r="BA97" t="n">
        <v>42.973</v>
      </c>
      <c r="BB97" t="n">
        <v>204.598</v>
      </c>
      <c r="BC97" t="n">
        <v>241.258</v>
      </c>
      <c r="BD97" t="n">
        <v>445.851</v>
      </c>
      <c r="BE97" t="n">
        <v>607.1079999999999</v>
      </c>
      <c r="BF97" t="n">
        <v>127.636</v>
      </c>
      <c r="BG97" t="n">
        <v>364.251</v>
      </c>
      <c r="BH97" t="n">
        <v>320.228</v>
      </c>
      <c r="BI97" t="n">
        <v>240.435</v>
      </c>
      <c r="BJ97" t="n">
        <v>268.002</v>
      </c>
      <c r="BK97" t="n">
        <v>197.602</v>
      </c>
      <c r="BL97" t="n">
        <v>122.838</v>
      </c>
      <c r="BM97" t="n">
        <v>115.584</v>
      </c>
      <c r="BN97" t="n">
        <v>10054.752</v>
      </c>
      <c r="BO97" t="n">
        <v>9.089</v>
      </c>
      <c r="BP97" t="n">
        <v>194.724</v>
      </c>
      <c r="BQ97" t="n">
        <v>11.361</v>
      </c>
      <c r="BR97" t="n">
        <v>0</v>
      </c>
      <c r="BS97" t="n">
        <v>0</v>
      </c>
      <c r="BT97" t="n">
        <v>12.843</v>
      </c>
      <c r="BU97" t="n">
        <v>18.77</v>
      </c>
      <c r="BV97" t="n">
        <v>12.843</v>
      </c>
    </row>
    <row r="98">
      <c r="A98" t="inlineStr">
        <is>
          <t>Chirodactylus variegatus</t>
        </is>
      </c>
      <c r="B98" t="inlineStr">
        <is>
          <t>Peruvian morwong</t>
        </is>
      </c>
      <c r="C98" t="inlineStr">
        <is>
          <t>Medium benthopelagics (30 - 89 cm)</t>
        </is>
      </c>
      <c r="D98" t="inlineStr">
        <is>
          <t>Perch-likes</t>
        </is>
      </c>
      <c r="E98" t="n">
        <v>43.066</v>
      </c>
      <c r="F98" t="n">
        <v>69.492</v>
      </c>
      <c r="G98" t="n">
        <v>62.641</v>
      </c>
      <c r="H98" t="n">
        <v>41.108</v>
      </c>
      <c r="I98" t="n">
        <v>11.745</v>
      </c>
      <c r="J98" t="n">
        <v>20.554</v>
      </c>
      <c r="K98" t="n">
        <v>69.492</v>
      </c>
      <c r="L98" t="n">
        <v>99.834</v>
      </c>
      <c r="M98" t="n">
        <v>56.768</v>
      </c>
      <c r="N98" t="n">
        <v>44.044</v>
      </c>
      <c r="O98" t="n">
        <v>60.683</v>
      </c>
      <c r="P98" t="n">
        <v>49.917</v>
      </c>
      <c r="Q98" t="n">
        <v>62.641</v>
      </c>
      <c r="R98" t="n">
        <v>46.002</v>
      </c>
      <c r="S98" t="n">
        <v>86.131</v>
      </c>
      <c r="T98" t="n">
        <v>125.282</v>
      </c>
      <c r="U98" t="n">
        <v>136.048</v>
      </c>
      <c r="V98" t="n">
        <v>271.118</v>
      </c>
      <c r="W98" t="n">
        <v>138.985</v>
      </c>
      <c r="X98" t="n">
        <v>142.9</v>
      </c>
      <c r="Y98" t="n">
        <v>410.102</v>
      </c>
      <c r="Z98" t="n">
        <v>276.99</v>
      </c>
      <c r="AA98" t="n">
        <v>408.145</v>
      </c>
      <c r="AB98" t="n">
        <v>536.3630000000001</v>
      </c>
      <c r="AC98" t="n">
        <v>234.903</v>
      </c>
      <c r="AD98" t="n">
        <v>204.562</v>
      </c>
      <c r="AE98" t="n">
        <v>234.903</v>
      </c>
      <c r="AF98" t="n">
        <v>159.539</v>
      </c>
      <c r="AG98" t="n">
        <v>178.135</v>
      </c>
      <c r="AH98" t="n">
        <v>240.776</v>
      </c>
      <c r="AI98" t="n">
        <v>310.268</v>
      </c>
      <c r="AJ98" t="n">
        <v>366.058</v>
      </c>
      <c r="AK98" t="n">
        <v>283.842</v>
      </c>
      <c r="AL98" t="n">
        <v>162.475</v>
      </c>
      <c r="AM98" t="n">
        <v>540.278</v>
      </c>
      <c r="AN98" t="n">
        <v>492.318</v>
      </c>
      <c r="AO98" t="n">
        <v>663.602</v>
      </c>
      <c r="AP98" t="n">
        <v>386.612</v>
      </c>
      <c r="AQ98" t="n">
        <v>362.143</v>
      </c>
      <c r="AR98" t="n">
        <v>447.295</v>
      </c>
      <c r="AS98" t="n">
        <v>372.909</v>
      </c>
      <c r="AT98" t="n">
        <v>150.73</v>
      </c>
      <c r="AU98" t="n">
        <v>197.71</v>
      </c>
      <c r="AV98" t="n">
        <v>156.602</v>
      </c>
      <c r="AW98" t="n">
        <v>135.069</v>
      </c>
      <c r="AX98" t="n">
        <v>129.197</v>
      </c>
      <c r="AY98" t="n">
        <v>384.654</v>
      </c>
      <c r="AZ98" t="n">
        <v>554.9589999999999</v>
      </c>
      <c r="BA98" t="n">
        <v>122.346</v>
      </c>
      <c r="BB98" t="n">
        <v>316.141</v>
      </c>
      <c r="BC98" t="n">
        <v>454.147</v>
      </c>
      <c r="BD98" t="n">
        <v>349.419</v>
      </c>
      <c r="BE98" t="n">
        <v>482.531</v>
      </c>
      <c r="BF98" t="n">
        <v>410.102</v>
      </c>
      <c r="BG98" t="n">
        <v>580.407</v>
      </c>
      <c r="BH98" t="n">
        <v>505.042</v>
      </c>
      <c r="BI98" t="n">
        <v>427.72</v>
      </c>
      <c r="BJ98" t="n">
        <v>1196.05</v>
      </c>
      <c r="BK98" t="n">
        <v>375.845</v>
      </c>
      <c r="BL98" t="n">
        <v>509.936</v>
      </c>
      <c r="BM98" t="n">
        <v>353.334</v>
      </c>
      <c r="BN98" t="n">
        <v>341.589</v>
      </c>
      <c r="BO98" t="n">
        <v>785.948</v>
      </c>
      <c r="BP98" t="n">
        <v>344.525</v>
      </c>
      <c r="BQ98" t="n">
        <v>1282.181</v>
      </c>
      <c r="BR98" t="n">
        <v>428.699</v>
      </c>
      <c r="BS98" t="n">
        <v>287.757</v>
      </c>
      <c r="BT98" t="n">
        <v>216.326</v>
      </c>
      <c r="BU98" t="n">
        <v>271.146</v>
      </c>
      <c r="BV98" t="n">
        <v>355.083</v>
      </c>
    </row>
    <row r="99">
      <c r="A99" t="inlineStr">
        <is>
          <t>Teuthida</t>
        </is>
      </c>
      <c r="B99" t="inlineStr">
        <is>
          <t>Squids</t>
        </is>
      </c>
      <c r="C99" t="inlineStr">
        <is>
          <t>Cephalopods</t>
        </is>
      </c>
      <c r="D99" t="inlineStr">
        <is>
          <t>Other fishes &amp; inverts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0.147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20259.211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Ostrea chilensis</t>
        </is>
      </c>
      <c r="B100" t="inlineStr">
        <is>
          <t>Chilean flat oyster</t>
        </is>
      </c>
      <c r="C100" t="inlineStr">
        <is>
          <t>Other demersal invertebrates</t>
        </is>
      </c>
      <c r="D100" t="inlineStr">
        <is>
          <t>Molluscs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7.003</v>
      </c>
      <c r="Q100" t="n">
        <v>47.854</v>
      </c>
      <c r="R100" t="n">
        <v>19.842</v>
      </c>
      <c r="S100" t="n">
        <v>56.024</v>
      </c>
      <c r="T100" t="n">
        <v>0</v>
      </c>
      <c r="U100" t="n">
        <v>0</v>
      </c>
      <c r="V100" t="n">
        <v>28.012</v>
      </c>
      <c r="W100" t="n">
        <v>22.176</v>
      </c>
      <c r="X100" t="n">
        <v>0</v>
      </c>
      <c r="Y100" t="n">
        <v>362.992</v>
      </c>
      <c r="Z100" t="n">
        <v>64.19499999999999</v>
      </c>
      <c r="AA100" t="n">
        <v>0</v>
      </c>
      <c r="AB100" t="n">
        <v>58.359</v>
      </c>
      <c r="AC100" t="n">
        <v>0</v>
      </c>
      <c r="AD100" t="n">
        <v>102.712</v>
      </c>
      <c r="AE100" t="n">
        <v>66.529</v>
      </c>
      <c r="AF100" t="n">
        <v>85.20399999999999</v>
      </c>
      <c r="AG100" t="n">
        <v>303.466</v>
      </c>
      <c r="AH100" t="n">
        <v>248.609</v>
      </c>
      <c r="AI100" t="n">
        <v>278.955</v>
      </c>
      <c r="AJ100" t="n">
        <v>590.591</v>
      </c>
      <c r="AK100" t="n">
        <v>683.965</v>
      </c>
      <c r="AL100" t="n">
        <v>679.297</v>
      </c>
      <c r="AM100" t="n">
        <v>1001.437</v>
      </c>
      <c r="AN100" t="n">
        <v>7222.486</v>
      </c>
      <c r="AO100" t="n">
        <v>561.412</v>
      </c>
      <c r="AP100" t="n">
        <v>388.67</v>
      </c>
      <c r="AQ100" t="n">
        <v>594.093</v>
      </c>
      <c r="AR100" t="n">
        <v>50.189</v>
      </c>
      <c r="AS100" t="n">
        <v>258.97</v>
      </c>
      <c r="AT100" t="n">
        <v>521.163</v>
      </c>
      <c r="AU100" t="n">
        <v>243.301</v>
      </c>
      <c r="AV100" t="n">
        <v>827.621</v>
      </c>
      <c r="AW100" t="n">
        <v>198.786</v>
      </c>
      <c r="AX100" t="n">
        <v>243.773</v>
      </c>
      <c r="AY100" t="n">
        <v>630.9880000000001</v>
      </c>
      <c r="AZ100" t="n">
        <v>6.021</v>
      </c>
      <c r="BA100" t="n">
        <v>2.418</v>
      </c>
      <c r="BB100" t="n">
        <v>10.921</v>
      </c>
      <c r="BC100" t="n">
        <v>109.631</v>
      </c>
      <c r="BD100" t="n">
        <v>694.525</v>
      </c>
      <c r="BE100" t="n">
        <v>92.054</v>
      </c>
      <c r="BF100" t="n">
        <v>30.8</v>
      </c>
      <c r="BG100" t="n">
        <v>16.076</v>
      </c>
      <c r="BH100" t="n">
        <v>18.619</v>
      </c>
      <c r="BI100" t="n">
        <v>0</v>
      </c>
      <c r="BJ100" t="n">
        <v>43.769</v>
      </c>
      <c r="BK100" t="n">
        <v>7.531</v>
      </c>
      <c r="BL100" t="n">
        <v>1103.593</v>
      </c>
      <c r="BM100" t="n">
        <v>754.871</v>
      </c>
      <c r="BN100" t="n">
        <v>53.69</v>
      </c>
      <c r="BO100" t="n">
        <v>24.608</v>
      </c>
      <c r="BP100" t="n">
        <v>13.423</v>
      </c>
      <c r="BQ100" t="n">
        <v>42.505</v>
      </c>
      <c r="BR100" t="n">
        <v>20.328</v>
      </c>
      <c r="BS100" t="n">
        <v>116.62</v>
      </c>
      <c r="BT100" t="n">
        <v>172.38</v>
      </c>
      <c r="BU100" t="n">
        <v>117.84</v>
      </c>
      <c r="BV100" t="n">
        <v>160.431</v>
      </c>
    </row>
    <row r="101">
      <c r="A101" t="inlineStr">
        <is>
          <t>Prolatilus jugularis</t>
        </is>
      </c>
      <c r="B101" t="inlineStr">
        <is>
          <t>Pacific sandperch</t>
        </is>
      </c>
      <c r="C101" t="inlineStr">
        <is>
          <t>Medium demersals (30 - 89 cm)</t>
        </is>
      </c>
      <c r="D101" t="inlineStr">
        <is>
          <t>Perch-likes</t>
        </is>
      </c>
      <c r="E101" t="n">
        <v>469.059</v>
      </c>
      <c r="F101" t="n">
        <v>469.059</v>
      </c>
      <c r="G101" t="n">
        <v>469.059</v>
      </c>
      <c r="H101" t="n">
        <v>469.059</v>
      </c>
      <c r="I101" t="n">
        <v>469.059</v>
      </c>
      <c r="J101" t="n">
        <v>469.059</v>
      </c>
      <c r="K101" t="n">
        <v>469.059</v>
      </c>
      <c r="L101" t="n">
        <v>469.059</v>
      </c>
      <c r="M101" t="n">
        <v>469.059</v>
      </c>
      <c r="N101" t="n">
        <v>469.059</v>
      </c>
      <c r="O101" t="n">
        <v>3881.463</v>
      </c>
      <c r="P101" t="n">
        <v>404.563</v>
      </c>
      <c r="Q101" t="n">
        <v>282.608</v>
      </c>
      <c r="R101" t="n">
        <v>116.092</v>
      </c>
      <c r="S101" t="n">
        <v>104.366</v>
      </c>
      <c r="T101" t="n">
        <v>730.559</v>
      </c>
      <c r="U101" t="n">
        <v>118.437</v>
      </c>
      <c r="V101" t="n">
        <v>86.776</v>
      </c>
      <c r="W101" t="n">
        <v>77.395</v>
      </c>
      <c r="X101" t="n">
        <v>46.906</v>
      </c>
      <c r="Y101" t="n">
        <v>3.518</v>
      </c>
      <c r="Z101" t="n">
        <v>28.144</v>
      </c>
      <c r="AA101" t="n">
        <v>52.769</v>
      </c>
      <c r="AB101" t="n">
        <v>57.46</v>
      </c>
      <c r="AC101" t="n">
        <v>26.971</v>
      </c>
      <c r="AD101" t="n">
        <v>82.08499999999999</v>
      </c>
      <c r="AE101" t="n">
        <v>119.61</v>
      </c>
      <c r="AF101" t="n">
        <v>181.76</v>
      </c>
      <c r="AG101" t="n">
        <v>119.61</v>
      </c>
      <c r="AH101" t="n">
        <v>39.87</v>
      </c>
      <c r="AI101" t="n">
        <v>43.388</v>
      </c>
      <c r="AJ101" t="n">
        <v>71.53100000000001</v>
      </c>
      <c r="AK101" t="n">
        <v>119.61</v>
      </c>
      <c r="AL101" t="n">
        <v>182.933</v>
      </c>
      <c r="AM101" t="n">
        <v>133.682</v>
      </c>
      <c r="AN101" t="n">
        <v>140.718</v>
      </c>
      <c r="AO101" t="n">
        <v>182.933</v>
      </c>
      <c r="AP101" t="n">
        <v>73.877</v>
      </c>
      <c r="AQ101" t="n">
        <v>119.61</v>
      </c>
      <c r="AR101" t="n">
        <v>242.738</v>
      </c>
      <c r="AS101" t="n">
        <v>466.211</v>
      </c>
      <c r="AT101" t="n">
        <v>807.275</v>
      </c>
      <c r="AU101" t="n">
        <v>683.486</v>
      </c>
      <c r="AV101" t="n">
        <v>456.253</v>
      </c>
      <c r="AW101" t="n">
        <v>233.203</v>
      </c>
      <c r="AX101" t="n">
        <v>302.543</v>
      </c>
      <c r="AY101" t="n">
        <v>141.011</v>
      </c>
      <c r="AZ101" t="n">
        <v>33.876</v>
      </c>
      <c r="BA101" t="n">
        <v>97.16200000000001</v>
      </c>
      <c r="BB101" t="n">
        <v>163.37</v>
      </c>
      <c r="BC101" t="n">
        <v>93.011</v>
      </c>
      <c r="BD101" t="n">
        <v>65.11</v>
      </c>
      <c r="BE101" t="n">
        <v>62.89</v>
      </c>
      <c r="BF101" t="n">
        <v>33.42</v>
      </c>
      <c r="BG101" t="n">
        <v>77.032</v>
      </c>
      <c r="BH101" t="n">
        <v>49.884</v>
      </c>
      <c r="BI101" t="n">
        <v>35.049</v>
      </c>
      <c r="BJ101" t="n">
        <v>49</v>
      </c>
      <c r="BK101" t="n">
        <v>69.358</v>
      </c>
      <c r="BL101" t="n">
        <v>75.943</v>
      </c>
      <c r="BM101" t="n">
        <v>40.652</v>
      </c>
      <c r="BN101" t="n">
        <v>98.893</v>
      </c>
      <c r="BO101" t="n">
        <v>242.738</v>
      </c>
      <c r="BP101" t="n">
        <v>119.121</v>
      </c>
      <c r="BQ101" t="n">
        <v>87.655</v>
      </c>
      <c r="BR101" t="n">
        <v>35.473</v>
      </c>
      <c r="BS101" t="n">
        <v>24.723</v>
      </c>
      <c r="BT101" t="n">
        <v>17.897</v>
      </c>
      <c r="BU101" t="n">
        <v>33.929</v>
      </c>
      <c r="BV101" t="n">
        <v>30.183</v>
      </c>
    </row>
    <row r="102">
      <c r="A102" t="inlineStr">
        <is>
          <t>Austromegabalanus psittacus</t>
        </is>
      </c>
      <c r="B102" t="inlineStr">
        <is>
          <t>Giant barnacle</t>
        </is>
      </c>
      <c r="C102" t="inlineStr">
        <is>
          <t>Other demersal invertebrates</t>
        </is>
      </c>
      <c r="D102" t="inlineStr">
        <is>
          <t>Crustaceans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8784.68</v>
      </c>
      <c r="BO102" t="n">
        <v>39.57</v>
      </c>
      <c r="BP102" t="n">
        <v>5101.128</v>
      </c>
      <c r="BQ102" t="n">
        <v>126.086</v>
      </c>
      <c r="BR102" t="n">
        <v>187.108</v>
      </c>
      <c r="BS102" t="n">
        <v>304.718</v>
      </c>
      <c r="BT102" t="n">
        <v>248.132</v>
      </c>
      <c r="BU102" t="n">
        <v>289.964</v>
      </c>
      <c r="BV102" t="n">
        <v>295.855</v>
      </c>
    </row>
    <row r="103">
      <c r="A103" t="inlineStr">
        <is>
          <t>Decapoda</t>
        </is>
      </c>
      <c r="B103" t="inlineStr">
        <is>
          <t>Crabs, lobsters, shrimps</t>
        </is>
      </c>
      <c r="C103" t="inlineStr">
        <is>
          <t>Lobsters, crabs</t>
        </is>
      </c>
      <c r="D103" t="inlineStr">
        <is>
          <t>Crustaceans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4741.155</v>
      </c>
      <c r="BU103" t="n">
        <v>5605.307</v>
      </c>
      <c r="BV103" t="n">
        <v>3822.508</v>
      </c>
    </row>
    <row r="104">
      <c r="A104" t="inlineStr">
        <is>
          <t>Pseudograpsus setosus</t>
        </is>
      </c>
      <c r="B104" t="inlineStr">
        <is>
          <t>Jaiba peluda</t>
        </is>
      </c>
      <c r="C104" t="inlineStr">
        <is>
          <t>Lobsters, crabs</t>
        </is>
      </c>
      <c r="D104" t="inlineStr">
        <is>
          <t>Crustaceans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11389.538</v>
      </c>
      <c r="BO104" t="n">
        <v>189.859</v>
      </c>
      <c r="BP104" t="n">
        <v>258.388</v>
      </c>
      <c r="BQ104" t="n">
        <v>134.137</v>
      </c>
      <c r="BR104" t="n">
        <v>588.872</v>
      </c>
      <c r="BS104" t="n">
        <v>0</v>
      </c>
      <c r="BT104" t="n">
        <v>267.669</v>
      </c>
      <c r="BU104" t="n">
        <v>257.9</v>
      </c>
      <c r="BV104" t="n">
        <v>211.009</v>
      </c>
    </row>
    <row r="105">
      <c r="A105" t="inlineStr">
        <is>
          <t>Chorus giganteus</t>
        </is>
      </c>
      <c r="B105" t="inlineStr">
        <is>
          <t>Top shell whelk</t>
        </is>
      </c>
      <c r="C105" t="inlineStr">
        <is>
          <t>Other demersal invertebrates</t>
        </is>
      </c>
      <c r="D105" t="inlineStr">
        <is>
          <t>Molluscs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3682.469</v>
      </c>
      <c r="BO105" t="n">
        <v>8107.369</v>
      </c>
      <c r="BP105" t="n">
        <v>82.145</v>
      </c>
      <c r="BQ105" t="n">
        <v>163.174</v>
      </c>
      <c r="BR105" t="n">
        <v>117.433</v>
      </c>
      <c r="BS105" t="n">
        <v>261.556</v>
      </c>
      <c r="BT105" t="n">
        <v>181.486</v>
      </c>
      <c r="BU105" t="n">
        <v>132.31</v>
      </c>
      <c r="BV105" t="n">
        <v>149.558</v>
      </c>
    </row>
    <row r="106">
      <c r="A106" t="inlineStr">
        <is>
          <t>Stellifer minor</t>
        </is>
      </c>
      <c r="B106" t="inlineStr">
        <is>
          <t>Minor stardrum</t>
        </is>
      </c>
      <c r="C106" t="inlineStr">
        <is>
          <t>Medium demersals (30 - 89 cm)</t>
        </is>
      </c>
      <c r="D106" t="inlineStr">
        <is>
          <t>Perch-likes</t>
        </is>
      </c>
      <c r="E106" t="n">
        <v>82.78100000000001</v>
      </c>
      <c r="F106" t="n">
        <v>48.128</v>
      </c>
      <c r="G106" t="n">
        <v>55.829</v>
      </c>
      <c r="H106" t="n">
        <v>25.989</v>
      </c>
      <c r="I106" t="n">
        <v>51.016</v>
      </c>
      <c r="J106" t="n">
        <v>53.904</v>
      </c>
      <c r="K106" t="n">
        <v>37.54</v>
      </c>
      <c r="L106" t="n">
        <v>36.578</v>
      </c>
      <c r="M106" t="n">
        <v>34.652</v>
      </c>
      <c r="N106" t="n">
        <v>96.25700000000001</v>
      </c>
      <c r="O106" t="n">
        <v>78.93000000000001</v>
      </c>
      <c r="P106" t="n">
        <v>107.808</v>
      </c>
      <c r="Q106" t="n">
        <v>49.091</v>
      </c>
      <c r="R106" t="n">
        <v>56.791</v>
      </c>
      <c r="S106" t="n">
        <v>184.813</v>
      </c>
      <c r="T106" t="n">
        <v>122.246</v>
      </c>
      <c r="U106" t="n">
        <v>183.85</v>
      </c>
      <c r="V106" t="n">
        <v>118.396</v>
      </c>
      <c r="W106" t="n">
        <v>102.995</v>
      </c>
      <c r="X106" t="n">
        <v>77.968</v>
      </c>
      <c r="Y106" t="n">
        <v>112.62</v>
      </c>
      <c r="Z106" t="n">
        <v>20.21</v>
      </c>
      <c r="AA106" t="n">
        <v>49.082</v>
      </c>
      <c r="AB106" t="n">
        <v>54.858</v>
      </c>
      <c r="AC106" t="n">
        <v>53.895</v>
      </c>
      <c r="AD106" t="n">
        <v>95.277</v>
      </c>
      <c r="AE106" t="n">
        <v>25.985</v>
      </c>
      <c r="AF106" t="n">
        <v>49.087</v>
      </c>
      <c r="AG106" t="n">
        <v>28.869</v>
      </c>
      <c r="AH106" t="n">
        <v>156.865</v>
      </c>
      <c r="AI106" t="n">
        <v>101.053</v>
      </c>
      <c r="AJ106" t="n">
        <v>131.846</v>
      </c>
      <c r="AK106" t="n">
        <v>322.405</v>
      </c>
      <c r="AL106" t="n">
        <v>158.79</v>
      </c>
      <c r="AM106" t="n">
        <v>58.704</v>
      </c>
      <c r="AN106" t="n">
        <v>61.592</v>
      </c>
      <c r="AO106" t="n">
        <v>337.802</v>
      </c>
      <c r="AP106" t="n">
        <v>65.44199999999999</v>
      </c>
      <c r="AQ106" t="n">
        <v>226.161</v>
      </c>
      <c r="AR106" t="n">
        <v>109.716</v>
      </c>
      <c r="AS106" t="n">
        <v>88.548</v>
      </c>
      <c r="AT106" t="n">
        <v>53.895</v>
      </c>
      <c r="AU106" t="n">
        <v>167.465</v>
      </c>
      <c r="AV106" t="n">
        <v>286.807</v>
      </c>
      <c r="AW106" t="n">
        <v>309.925</v>
      </c>
      <c r="AX106" t="n">
        <v>205.977</v>
      </c>
      <c r="AY106" t="n">
        <v>185.767</v>
      </c>
      <c r="AZ106" t="n">
        <v>319.534</v>
      </c>
      <c r="BA106" t="n">
        <v>219.444</v>
      </c>
      <c r="BB106" t="n">
        <v>140.522</v>
      </c>
      <c r="BC106" t="n">
        <v>188.65</v>
      </c>
      <c r="BD106" t="n">
        <v>164.586</v>
      </c>
      <c r="BE106" t="n">
        <v>283.932</v>
      </c>
      <c r="BF106" t="n">
        <v>690.106</v>
      </c>
      <c r="BG106" t="n">
        <v>561.147</v>
      </c>
      <c r="BH106" t="n">
        <v>255.055</v>
      </c>
      <c r="BI106" t="n">
        <v>218.49</v>
      </c>
      <c r="BJ106" t="n">
        <v>373.442</v>
      </c>
      <c r="BK106" t="n">
        <v>337.836</v>
      </c>
      <c r="BL106" t="n">
        <v>408.095</v>
      </c>
      <c r="BM106" t="n">
        <v>336.865</v>
      </c>
      <c r="BN106" t="n">
        <v>250.25</v>
      </c>
      <c r="BO106" t="n">
        <v>227.149</v>
      </c>
      <c r="BP106" t="n">
        <v>356.124</v>
      </c>
      <c r="BQ106" t="n">
        <v>431.2</v>
      </c>
      <c r="BR106" t="n">
        <v>422.533</v>
      </c>
      <c r="BS106" t="n">
        <v>304.146</v>
      </c>
      <c r="BT106" t="n">
        <v>269.502</v>
      </c>
      <c r="BU106" t="n">
        <v>317.678</v>
      </c>
      <c r="BV106" t="n">
        <v>335.582</v>
      </c>
    </row>
    <row r="107">
      <c r="A107" t="inlineStr">
        <is>
          <t>Cancer porteri</t>
        </is>
      </c>
      <c r="B107" t="inlineStr">
        <is>
          <t>Boco</t>
        </is>
      </c>
      <c r="C107" t="inlineStr">
        <is>
          <t>Lobsters, crabs</t>
        </is>
      </c>
      <c r="D107" t="inlineStr">
        <is>
          <t>Crustaceans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1061.874</v>
      </c>
      <c r="BO107" t="n">
        <v>69.095</v>
      </c>
      <c r="BP107" t="n">
        <v>95.687</v>
      </c>
      <c r="BQ107" t="n">
        <v>163.872</v>
      </c>
      <c r="BR107" t="n">
        <v>1164.192</v>
      </c>
      <c r="BS107" t="n">
        <v>2094.676</v>
      </c>
      <c r="BT107" t="n">
        <v>1884.58</v>
      </c>
      <c r="BU107" t="n">
        <v>2925.211</v>
      </c>
      <c r="BV107" t="n">
        <v>2755.176</v>
      </c>
    </row>
    <row r="108">
      <c r="A108" t="inlineStr">
        <is>
          <t>Argobuccinum pustulosum</t>
        </is>
      </c>
      <c r="B108" t="inlineStr">
        <is>
          <t>Swollen trumpet</t>
        </is>
      </c>
      <c r="C108" t="inlineStr">
        <is>
          <t>Other demersal invertebrates</t>
        </is>
      </c>
      <c r="D108" t="inlineStr">
        <is>
          <t>Molluscs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88.623</v>
      </c>
      <c r="BO108" t="n">
        <v>9547.753000000001</v>
      </c>
      <c r="BP108" t="n">
        <v>441.547</v>
      </c>
      <c r="BQ108" t="n">
        <v>59.753</v>
      </c>
      <c r="BR108" t="n">
        <v>65.29000000000001</v>
      </c>
      <c r="BS108" t="n">
        <v>147.705</v>
      </c>
      <c r="BT108" t="n">
        <v>7.672</v>
      </c>
      <c r="BU108" t="n">
        <v>10.045</v>
      </c>
      <c r="BV108" t="n">
        <v>11.016</v>
      </c>
    </row>
    <row r="109">
      <c r="A109" t="inlineStr">
        <is>
          <t>Gari solida</t>
        </is>
      </c>
      <c r="B109" t="inlineStr">
        <is>
          <t>Pacific clam</t>
        </is>
      </c>
      <c r="C109" t="inlineStr">
        <is>
          <t>Other demersal invertebrates</t>
        </is>
      </c>
      <c r="D109" t="inlineStr">
        <is>
          <t>Molluscs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661.279</v>
      </c>
      <c r="BO109" t="n">
        <v>392.691</v>
      </c>
      <c r="BP109" t="n">
        <v>326.208</v>
      </c>
      <c r="BQ109" t="n">
        <v>701.377</v>
      </c>
      <c r="BR109" t="n">
        <v>1592.034</v>
      </c>
      <c r="BS109" t="n">
        <v>1361.693</v>
      </c>
      <c r="BT109" t="n">
        <v>1614.45</v>
      </c>
      <c r="BU109" t="n">
        <v>1724.963</v>
      </c>
      <c r="BV109" t="n">
        <v>1320.954</v>
      </c>
    </row>
    <row r="110">
      <c r="A110" t="inlineStr">
        <is>
          <t>Homalaspis plana</t>
        </is>
      </c>
      <c r="B110" t="inlineStr">
        <is>
          <t>Blackberry crab</t>
        </is>
      </c>
      <c r="C110" t="inlineStr">
        <is>
          <t>Lobsters, crabs</t>
        </is>
      </c>
      <c r="D110" t="inlineStr">
        <is>
          <t>Crustaceans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79.91800000000001</v>
      </c>
      <c r="BO110" t="n">
        <v>7773.887</v>
      </c>
      <c r="BP110" t="n">
        <v>835.875</v>
      </c>
      <c r="BQ110" t="n">
        <v>296.26</v>
      </c>
      <c r="BR110" t="n">
        <v>158.27</v>
      </c>
      <c r="BS110" t="n">
        <v>136.737</v>
      </c>
      <c r="BT110" t="n">
        <v>105.96</v>
      </c>
      <c r="BU110" t="n">
        <v>116.966</v>
      </c>
      <c r="BV110" t="n">
        <v>135.483</v>
      </c>
    </row>
    <row r="111">
      <c r="A111" t="inlineStr">
        <is>
          <t>Perciformes</t>
        </is>
      </c>
      <c r="B111" t="inlineStr">
        <is>
          <t>Perch-likes</t>
        </is>
      </c>
      <c r="C111" t="inlineStr">
        <is>
          <t>Medium demersals (30 - 89 cm)</t>
        </is>
      </c>
      <c r="D111" t="inlineStr">
        <is>
          <t>Perch-likes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1034.424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23.893</v>
      </c>
      <c r="AI111" t="n">
        <v>51.37</v>
      </c>
      <c r="AJ111" t="n">
        <v>89.599</v>
      </c>
      <c r="AK111" t="n">
        <v>89.599</v>
      </c>
      <c r="AL111" t="n">
        <v>160.083</v>
      </c>
      <c r="AM111" t="n">
        <v>97.961</v>
      </c>
      <c r="AN111" t="n">
        <v>167.251</v>
      </c>
      <c r="AO111" t="n">
        <v>271.186</v>
      </c>
      <c r="AP111" t="n">
        <v>1717.91</v>
      </c>
      <c r="AQ111" t="n">
        <v>363.174</v>
      </c>
      <c r="AR111" t="n">
        <v>390.651</v>
      </c>
      <c r="AS111" t="n">
        <v>359.818</v>
      </c>
      <c r="AT111" t="n">
        <v>197.478</v>
      </c>
      <c r="AU111" t="n">
        <v>14.506</v>
      </c>
      <c r="AV111" t="n">
        <v>59.467</v>
      </c>
      <c r="AW111" t="n">
        <v>116.962</v>
      </c>
      <c r="AX111" t="n">
        <v>128.425</v>
      </c>
      <c r="AY111" t="n">
        <v>47.886</v>
      </c>
      <c r="AZ111" t="n">
        <v>66.559</v>
      </c>
      <c r="BA111" t="n">
        <v>40.832</v>
      </c>
      <c r="BB111" t="n">
        <v>21.115</v>
      </c>
      <c r="BC111" t="n">
        <v>0</v>
      </c>
      <c r="BD111" t="n">
        <v>61.325</v>
      </c>
      <c r="BE111" t="n">
        <v>1.256</v>
      </c>
      <c r="BF111" t="n">
        <v>5.044</v>
      </c>
      <c r="BG111" t="n">
        <v>94.932</v>
      </c>
      <c r="BH111" t="n">
        <v>113.075</v>
      </c>
      <c r="BI111" t="n">
        <v>56.111</v>
      </c>
      <c r="BJ111" t="n">
        <v>56.319</v>
      </c>
      <c r="BK111" t="n">
        <v>53.958</v>
      </c>
      <c r="BL111" t="n">
        <v>49</v>
      </c>
      <c r="BM111" t="n">
        <v>50.474</v>
      </c>
      <c r="BN111" t="n">
        <v>0</v>
      </c>
      <c r="BO111" t="n">
        <v>1278.367</v>
      </c>
      <c r="BP111" t="n">
        <v>2.519</v>
      </c>
      <c r="BQ111" t="n">
        <v>0</v>
      </c>
      <c r="BR111" t="n">
        <v>1804.721</v>
      </c>
      <c r="BS111" t="n">
        <v>30.663</v>
      </c>
      <c r="BT111" t="n">
        <v>49.801</v>
      </c>
      <c r="BU111" t="n">
        <v>157.367</v>
      </c>
      <c r="BV111" t="n">
        <v>12.171</v>
      </c>
    </row>
    <row r="112">
      <c r="A112" t="inlineStr">
        <is>
          <t>Gadiformes</t>
        </is>
      </c>
      <c r="B112" t="inlineStr">
        <is>
          <t>Cods</t>
        </is>
      </c>
      <c r="C112" t="inlineStr">
        <is>
          <t>Medium benthopelagics (30 - 89 cm)</t>
        </is>
      </c>
      <c r="D112" t="inlineStr">
        <is>
          <t>Cod-likes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9060.355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Seriolella violacea</t>
        </is>
      </c>
      <c r="B113" t="inlineStr">
        <is>
          <t>Palm ruff</t>
        </is>
      </c>
      <c r="C113" t="inlineStr">
        <is>
          <t>Medium pelagics (30 - 89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1738.705</v>
      </c>
      <c r="BO113" t="n">
        <v>137.395</v>
      </c>
      <c r="BP113" t="n">
        <v>6004.41</v>
      </c>
      <c r="BQ113" t="n">
        <v>66.35899999999999</v>
      </c>
      <c r="BR113" t="n">
        <v>324.826</v>
      </c>
      <c r="BS113" t="n">
        <v>226.846</v>
      </c>
      <c r="BT113" t="n">
        <v>125.06</v>
      </c>
      <c r="BU113" t="n">
        <v>81.264</v>
      </c>
      <c r="BV113" t="n">
        <v>342.131</v>
      </c>
    </row>
    <row r="114">
      <c r="A114" t="inlineStr">
        <is>
          <t>Labrisomus philippii</t>
        </is>
      </c>
      <c r="B114" t="inlineStr">
        <is>
          <t>Chalapo clinid</t>
        </is>
      </c>
      <c r="C114" t="inlineStr">
        <is>
          <t>Medium demersals (30 - 89 cm)</t>
        </is>
      </c>
      <c r="D114" t="inlineStr">
        <is>
          <t>Perch-likes</t>
        </is>
      </c>
      <c r="E114" t="n">
        <v>96.175</v>
      </c>
      <c r="F114" t="n">
        <v>55.939</v>
      </c>
      <c r="G114" t="n">
        <v>64.771</v>
      </c>
      <c r="H114" t="n">
        <v>30.423</v>
      </c>
      <c r="I114" t="n">
        <v>60.846</v>
      </c>
      <c r="J114" t="n">
        <v>62.808</v>
      </c>
      <c r="K114" t="n">
        <v>45.144</v>
      </c>
      <c r="L114" t="n">
        <v>42.199</v>
      </c>
      <c r="M114" t="n">
        <v>40.237</v>
      </c>
      <c r="N114" t="n">
        <v>110.896</v>
      </c>
      <c r="O114" t="n">
        <v>90.28700000000001</v>
      </c>
      <c r="P114" t="n">
        <v>122.673</v>
      </c>
      <c r="Q114" t="n">
        <v>55.939</v>
      </c>
      <c r="R114" t="n">
        <v>64.771</v>
      </c>
      <c r="S114" t="n">
        <v>210.016</v>
      </c>
      <c r="T114" t="n">
        <v>138.375</v>
      </c>
      <c r="U114" t="n">
        <v>207.072</v>
      </c>
      <c r="V114" t="n">
        <v>133.468</v>
      </c>
      <c r="W114" t="n">
        <v>152.114</v>
      </c>
      <c r="X114" t="n">
        <v>88.324</v>
      </c>
      <c r="Y114" t="n">
        <v>129.542</v>
      </c>
      <c r="Z114" t="n">
        <v>15.702</v>
      </c>
      <c r="AA114" t="n">
        <v>44.169</v>
      </c>
      <c r="AB114" t="n">
        <v>4.907</v>
      </c>
      <c r="AC114" t="n">
        <v>9.814</v>
      </c>
      <c r="AD114" t="n">
        <v>30.437</v>
      </c>
      <c r="AE114" t="n">
        <v>104.054</v>
      </c>
      <c r="AF114" t="n">
        <v>41.232</v>
      </c>
      <c r="AG114" t="n">
        <v>42.22</v>
      </c>
      <c r="AH114" t="n">
        <v>80.501</v>
      </c>
      <c r="AI114" t="n">
        <v>53.008</v>
      </c>
      <c r="AJ114" t="n">
        <v>112.907</v>
      </c>
      <c r="AK114" t="n">
        <v>75.608</v>
      </c>
      <c r="AL114" t="n">
        <v>95.22199999999999</v>
      </c>
      <c r="AM114" t="n">
        <v>59.871</v>
      </c>
      <c r="AN114" t="n">
        <v>46.132</v>
      </c>
      <c r="AO114" t="n">
        <v>85.39400000000001</v>
      </c>
      <c r="AP114" t="n">
        <v>68.711</v>
      </c>
      <c r="AQ114" t="n">
        <v>29.441</v>
      </c>
      <c r="AR114" t="n">
        <v>69.69199999999999</v>
      </c>
      <c r="AS114" t="n">
        <v>30.423</v>
      </c>
      <c r="AT114" t="n">
        <v>42.206</v>
      </c>
      <c r="AU114" t="n">
        <v>20.623</v>
      </c>
      <c r="AV114" t="n">
        <v>14.721</v>
      </c>
      <c r="AW114" t="n">
        <v>30.43</v>
      </c>
      <c r="AX114" t="n">
        <v>25.516</v>
      </c>
      <c r="AY114" t="n">
        <v>28.467</v>
      </c>
      <c r="AZ114" t="n">
        <v>111.891</v>
      </c>
      <c r="BA114" t="n">
        <v>14.728</v>
      </c>
      <c r="BB114" t="n">
        <v>22.592</v>
      </c>
      <c r="BC114" t="n">
        <v>20.609</v>
      </c>
      <c r="BD114" t="n">
        <v>85.41500000000001</v>
      </c>
      <c r="BE114" t="n">
        <v>206.187</v>
      </c>
      <c r="BF114" t="n">
        <v>131.567</v>
      </c>
      <c r="BG114" t="n">
        <v>99.16800000000001</v>
      </c>
      <c r="BH114" t="n">
        <v>304.387</v>
      </c>
      <c r="BI114" t="n">
        <v>189.483</v>
      </c>
      <c r="BJ114" t="n">
        <v>140.4</v>
      </c>
      <c r="BK114" t="n">
        <v>403.569</v>
      </c>
      <c r="BL114" t="n">
        <v>99.182</v>
      </c>
      <c r="BM114" t="n">
        <v>81.53100000000001</v>
      </c>
      <c r="BN114" t="n">
        <v>82.533</v>
      </c>
      <c r="BO114" t="n">
        <v>1928.844</v>
      </c>
      <c r="BP114" t="n">
        <v>75.67</v>
      </c>
      <c r="BQ114" t="n">
        <v>223.969</v>
      </c>
      <c r="BR114" t="n">
        <v>153.241</v>
      </c>
      <c r="BS114" t="n">
        <v>562.008</v>
      </c>
      <c r="BT114" t="n">
        <v>156.249</v>
      </c>
      <c r="BU114" t="n">
        <v>106.134</v>
      </c>
      <c r="BV114" t="n">
        <v>97.631</v>
      </c>
    </row>
    <row r="115">
      <c r="A115" t="inlineStr">
        <is>
          <t>Callorhinchus callorynchus</t>
        </is>
      </c>
      <c r="B115" t="inlineStr">
        <is>
          <t>Plownose chimaera</t>
        </is>
      </c>
      <c r="C115" t="inlineStr">
        <is>
          <t>Small to medium rays (&lt;90 cm)</t>
        </is>
      </c>
      <c r="D115" t="inlineStr">
        <is>
          <t>Sharks &amp; rays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708.956</v>
      </c>
      <c r="BO115" t="n">
        <v>4037.735</v>
      </c>
      <c r="BP115" t="n">
        <v>63.844</v>
      </c>
      <c r="BQ115" t="n">
        <v>124.796</v>
      </c>
      <c r="BR115" t="n">
        <v>470.245</v>
      </c>
      <c r="BS115" t="n">
        <v>662.812</v>
      </c>
      <c r="BT115" t="n">
        <v>679.539</v>
      </c>
      <c r="BU115" t="n">
        <v>640.864</v>
      </c>
      <c r="BV115" t="n">
        <v>717.357</v>
      </c>
    </row>
    <row r="116">
      <c r="A116" t="inlineStr">
        <is>
          <t>Hoplostethus atlanticus</t>
        </is>
      </c>
      <c r="B116" t="inlineStr">
        <is>
          <t>Orange roughy</t>
        </is>
      </c>
      <c r="C116" t="inlineStr">
        <is>
          <t>Medium bathypelagics (30 - 89 cm)</t>
        </is>
      </c>
      <c r="D116" t="inlineStr">
        <is>
          <t>Other fishes &amp; inverts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2.477</v>
      </c>
      <c r="BB116" t="n">
        <v>968.402</v>
      </c>
      <c r="BC116" t="n">
        <v>0</v>
      </c>
      <c r="BD116" t="n">
        <v>2339.902</v>
      </c>
      <c r="BE116" t="n">
        <v>13.831</v>
      </c>
      <c r="BF116" t="n">
        <v>1576.38</v>
      </c>
      <c r="BG116" t="n">
        <v>1598.776</v>
      </c>
      <c r="BH116" t="n">
        <v>995.665</v>
      </c>
      <c r="BI116" t="n">
        <v>330.574</v>
      </c>
      <c r="BJ116" t="n">
        <v>6.405</v>
      </c>
      <c r="BK116" t="n">
        <v>1.286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Magallana gigas</t>
        </is>
      </c>
      <c r="B117" t="inlineStr">
        <is>
          <t>Pacific cupped oyster</t>
        </is>
      </c>
      <c r="C117" t="inlineStr">
        <is>
          <t>Other demersal invertebrates</t>
        </is>
      </c>
      <c r="D117" t="inlineStr">
        <is>
          <t>Molluscs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443.643</v>
      </c>
      <c r="AU117" t="n">
        <v>147.663</v>
      </c>
      <c r="AV117" t="n">
        <v>524.27</v>
      </c>
      <c r="AW117" t="n">
        <v>1367.217</v>
      </c>
      <c r="AX117" t="n">
        <v>1594.815</v>
      </c>
      <c r="AY117" t="n">
        <v>2189.939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31.307</v>
      </c>
      <c r="BG117" t="n">
        <v>666.213</v>
      </c>
      <c r="BH117" t="n">
        <v>7.57</v>
      </c>
      <c r="BI117" t="n">
        <v>10.131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Seriola lalandi</t>
        </is>
      </c>
      <c r="B118" t="inlineStr">
        <is>
          <t>Yellowtail amberjack</t>
        </is>
      </c>
      <c r="C118" t="inlineStr">
        <is>
          <t>Large benthopelagics (&gt;=90 cm)</t>
        </is>
      </c>
      <c r="D118" t="inlineStr">
        <is>
          <t>Perch-likes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5.975</v>
      </c>
      <c r="AN118" t="n">
        <v>0</v>
      </c>
      <c r="AO118" t="n">
        <v>0</v>
      </c>
      <c r="AP118" t="n">
        <v>0</v>
      </c>
      <c r="AQ118" t="n">
        <v>0</v>
      </c>
      <c r="AR118" t="n">
        <v>28.682</v>
      </c>
      <c r="AS118" t="n">
        <v>21.597</v>
      </c>
      <c r="AT118" t="n">
        <v>226.458</v>
      </c>
      <c r="AU118" t="n">
        <v>58.047</v>
      </c>
      <c r="AV118" t="n">
        <v>9.712</v>
      </c>
      <c r="AW118" t="n">
        <v>45.095</v>
      </c>
      <c r="AX118" t="n">
        <v>9.788</v>
      </c>
      <c r="AY118" t="n">
        <v>9.826000000000001</v>
      </c>
      <c r="AZ118" t="n">
        <v>17.262</v>
      </c>
      <c r="BA118" t="n">
        <v>13.615</v>
      </c>
      <c r="BB118" t="n">
        <v>36.033</v>
      </c>
      <c r="BC118" t="n">
        <v>52.384</v>
      </c>
      <c r="BD118" t="n">
        <v>179.034</v>
      </c>
      <c r="BE118" t="n">
        <v>5.027</v>
      </c>
      <c r="BF118" t="n">
        <v>75.688</v>
      </c>
      <c r="BG118" t="n">
        <v>55.713</v>
      </c>
      <c r="BH118" t="n">
        <v>26.69</v>
      </c>
      <c r="BI118" t="n">
        <v>29.341</v>
      </c>
      <c r="BJ118" t="n">
        <v>55.059</v>
      </c>
      <c r="BK118" t="n">
        <v>84.822</v>
      </c>
      <c r="BL118" t="n">
        <v>20.639</v>
      </c>
      <c r="BM118" t="n">
        <v>7.768</v>
      </c>
      <c r="BN118" t="n">
        <v>907.066</v>
      </c>
      <c r="BO118" t="n">
        <v>1175.062</v>
      </c>
      <c r="BP118" t="n">
        <v>116.819</v>
      </c>
      <c r="BQ118" t="n">
        <v>852.092</v>
      </c>
      <c r="BR118" t="n">
        <v>614.5700000000001</v>
      </c>
      <c r="BS118" t="n">
        <v>716.45</v>
      </c>
      <c r="BT118" t="n">
        <v>579.502</v>
      </c>
      <c r="BU118" t="n">
        <v>275.501</v>
      </c>
      <c r="BV118" t="n">
        <v>433.33</v>
      </c>
    </row>
    <row r="119">
      <c r="A119" t="inlineStr">
        <is>
          <t>Graus nigra</t>
        </is>
      </c>
      <c r="B119" t="inlineStr">
        <is>
          <t>Mulata</t>
        </is>
      </c>
      <c r="C119" t="inlineStr">
        <is>
          <t>Medium demersals (30 - 89 cm)</t>
        </is>
      </c>
      <c r="D119" t="inlineStr">
        <is>
          <t>Other fishes &amp; inverts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14.077</v>
      </c>
      <c r="BO119" t="n">
        <v>17.028</v>
      </c>
      <c r="BP119" t="n">
        <v>949.727</v>
      </c>
      <c r="BQ119" t="n">
        <v>5596.648</v>
      </c>
      <c r="BR119" t="n">
        <v>6.515</v>
      </c>
      <c r="BS119" t="n">
        <v>4.343</v>
      </c>
      <c r="BT119" t="n">
        <v>6.148</v>
      </c>
      <c r="BU119" t="n">
        <v>2.27</v>
      </c>
      <c r="BV119" t="n">
        <v>3.285</v>
      </c>
    </row>
    <row r="120">
      <c r="A120" t="inlineStr">
        <is>
          <t>Hippoglossina macrops</t>
        </is>
      </c>
      <c r="B120" t="inlineStr">
        <is>
          <t>Bigeye flounder</t>
        </is>
      </c>
      <c r="C120" t="inlineStr">
        <is>
          <t>Small to medium flatfishes (&lt;90 cm)</t>
        </is>
      </c>
      <c r="D120" t="inlineStr">
        <is>
          <t>Flatfishes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1009.391</v>
      </c>
      <c r="BO120" t="n">
        <v>1098.062</v>
      </c>
      <c r="BP120" t="n">
        <v>1064.58</v>
      </c>
      <c r="BQ120" t="n">
        <v>1153.02</v>
      </c>
      <c r="BR120" t="n">
        <v>0</v>
      </c>
      <c r="BS120" t="n">
        <v>0</v>
      </c>
      <c r="BT120" t="n">
        <v>514.4109999999999</v>
      </c>
      <c r="BU120" t="n">
        <v>587.986</v>
      </c>
      <c r="BV120" t="n">
        <v>498.123</v>
      </c>
    </row>
    <row r="121">
      <c r="A121" t="inlineStr">
        <is>
          <t>Scorpaeniformes</t>
        </is>
      </c>
      <c r="B121" t="inlineStr">
        <is>
          <t>Scorpionfishes, flatheads</t>
        </is>
      </c>
      <c r="C121" t="inlineStr">
        <is>
          <t>Medium demersals (30 - 89 cm)</t>
        </is>
      </c>
      <c r="D121" t="inlineStr">
        <is>
          <t>Scorpionfishes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38.229</v>
      </c>
      <c r="AI121" t="n">
        <v>54.955</v>
      </c>
      <c r="AJ121" t="n">
        <v>358.399</v>
      </c>
      <c r="AK121" t="n">
        <v>221.013</v>
      </c>
      <c r="AL121" t="n">
        <v>256.853</v>
      </c>
      <c r="AM121" t="n">
        <v>106.325</v>
      </c>
      <c r="AN121" t="n">
        <v>2.389</v>
      </c>
      <c r="AO121" t="n">
        <v>253.269</v>
      </c>
      <c r="AP121" t="n">
        <v>37.035</v>
      </c>
      <c r="AQ121" t="n">
        <v>224.597</v>
      </c>
      <c r="AR121" t="n">
        <v>328.533</v>
      </c>
      <c r="AS121" t="n">
        <v>696.854</v>
      </c>
      <c r="AT121" t="n">
        <v>162.56</v>
      </c>
      <c r="AU121" t="n">
        <v>108.8</v>
      </c>
      <c r="AV121" t="n">
        <v>177.189</v>
      </c>
      <c r="AW121" t="n">
        <v>260.731</v>
      </c>
      <c r="AX121" t="n">
        <v>130.873</v>
      </c>
      <c r="AY121" t="n">
        <v>58.937</v>
      </c>
      <c r="AZ121" t="n">
        <v>78.886</v>
      </c>
      <c r="BA121" t="n">
        <v>50.731</v>
      </c>
      <c r="BB121" t="n">
        <v>161.469</v>
      </c>
      <c r="BC121" t="n">
        <v>64.834</v>
      </c>
      <c r="BD121" t="n">
        <v>108.885</v>
      </c>
      <c r="BE121" t="n">
        <v>26.382</v>
      </c>
      <c r="BF121" t="n">
        <v>20.177</v>
      </c>
      <c r="BG121" t="n">
        <v>121.514</v>
      </c>
      <c r="BH121" t="n">
        <v>113.076</v>
      </c>
      <c r="BI121" t="n">
        <v>123.7</v>
      </c>
      <c r="BJ121" t="n">
        <v>206.079</v>
      </c>
      <c r="BK121" t="n">
        <v>48.82</v>
      </c>
      <c r="BL121" t="n">
        <v>63.184</v>
      </c>
      <c r="BM121" t="n">
        <v>93.184</v>
      </c>
      <c r="BN121" t="n">
        <v>915.909</v>
      </c>
      <c r="BO121" t="n">
        <v>34.805</v>
      </c>
      <c r="BP121" t="n">
        <v>2.977</v>
      </c>
      <c r="BQ121" t="n">
        <v>43.964</v>
      </c>
      <c r="BR121" t="n">
        <v>3.285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Seriola</t>
        </is>
      </c>
      <c r="B122" t="inlineStr">
        <is>
          <t>Amberjacks</t>
        </is>
      </c>
      <c r="C122" t="inlineStr">
        <is>
          <t>Large benthopelagics (&gt;=90 cm)</t>
        </is>
      </c>
      <c r="D122" t="inlineStr">
        <is>
          <t>Perch-likes</t>
        </is>
      </c>
      <c r="E122" t="n">
        <v>119.914</v>
      </c>
      <c r="F122" t="n">
        <v>69.325</v>
      </c>
      <c r="G122" t="n">
        <v>80.56699999999999</v>
      </c>
      <c r="H122" t="n">
        <v>37.473</v>
      </c>
      <c r="I122" t="n">
        <v>74.009</v>
      </c>
      <c r="J122" t="n">
        <v>76.81999999999999</v>
      </c>
      <c r="K122" t="n">
        <v>55.273</v>
      </c>
      <c r="L122" t="n">
        <v>52.462</v>
      </c>
      <c r="M122" t="n">
        <v>49.652</v>
      </c>
      <c r="N122" t="n">
        <v>137.713</v>
      </c>
      <c r="O122" t="n">
        <v>112.419</v>
      </c>
      <c r="P122" t="n">
        <v>152.703</v>
      </c>
      <c r="Q122" t="n">
        <v>69.325</v>
      </c>
      <c r="R122" t="n">
        <v>80.56699999999999</v>
      </c>
      <c r="S122" t="n">
        <v>261.374</v>
      </c>
      <c r="T122" t="n">
        <v>172.376</v>
      </c>
      <c r="U122" t="n">
        <v>258.564</v>
      </c>
      <c r="V122" t="n">
        <v>166.755</v>
      </c>
      <c r="W122" t="n">
        <v>143.334</v>
      </c>
      <c r="X122" t="n">
        <v>310.089</v>
      </c>
      <c r="Y122" t="n">
        <v>159.26</v>
      </c>
      <c r="Z122" t="n">
        <v>0.9370000000000001</v>
      </c>
      <c r="AA122" t="n">
        <v>76.81999999999999</v>
      </c>
      <c r="AB122" t="n">
        <v>144.271</v>
      </c>
      <c r="AC122" t="n">
        <v>77.756</v>
      </c>
      <c r="AD122" t="n">
        <v>29.978</v>
      </c>
      <c r="AE122" t="n">
        <v>31.852</v>
      </c>
      <c r="AF122" t="n">
        <v>56.21</v>
      </c>
      <c r="AG122" t="n">
        <v>112.419</v>
      </c>
      <c r="AH122" t="n">
        <v>71.199</v>
      </c>
      <c r="AI122" t="n">
        <v>66.515</v>
      </c>
      <c r="AJ122" t="n">
        <v>43.094</v>
      </c>
      <c r="AK122" t="n">
        <v>49.652</v>
      </c>
      <c r="AL122" t="n">
        <v>2.81</v>
      </c>
      <c r="AM122" t="n">
        <v>29.042</v>
      </c>
      <c r="AN122" t="n">
        <v>50.589</v>
      </c>
      <c r="AO122" t="n">
        <v>77.756</v>
      </c>
      <c r="AP122" t="n">
        <v>24.357</v>
      </c>
      <c r="AQ122" t="n">
        <v>48.715</v>
      </c>
      <c r="AR122" t="n">
        <v>17.8</v>
      </c>
      <c r="AS122" t="n">
        <v>18.737</v>
      </c>
      <c r="AT122" t="n">
        <v>19.673</v>
      </c>
      <c r="AU122" t="n">
        <v>4.684</v>
      </c>
      <c r="AV122" t="n">
        <v>1.874</v>
      </c>
      <c r="AW122" t="n">
        <v>4.684</v>
      </c>
      <c r="AX122" t="n">
        <v>5.621</v>
      </c>
      <c r="AY122" t="n">
        <v>16.863</v>
      </c>
      <c r="AZ122" t="n">
        <v>37.473</v>
      </c>
      <c r="BA122" t="n">
        <v>84.31399999999999</v>
      </c>
      <c r="BB122" t="n">
        <v>35.599</v>
      </c>
      <c r="BC122" t="n">
        <v>25.294</v>
      </c>
      <c r="BD122" t="n">
        <v>7.495</v>
      </c>
      <c r="BE122" t="n">
        <v>24.357</v>
      </c>
      <c r="BF122" t="n">
        <v>25.294</v>
      </c>
      <c r="BG122" t="n">
        <v>12.179</v>
      </c>
      <c r="BH122" t="n">
        <v>28.105</v>
      </c>
      <c r="BI122" t="n">
        <v>25.294</v>
      </c>
      <c r="BJ122" t="n">
        <v>23.421</v>
      </c>
      <c r="BK122" t="n">
        <v>65.578</v>
      </c>
      <c r="BL122" t="n">
        <v>70.262</v>
      </c>
      <c r="BM122" t="n">
        <v>21.547</v>
      </c>
      <c r="BN122" t="n">
        <v>91.809</v>
      </c>
      <c r="BO122" t="n">
        <v>54.336</v>
      </c>
      <c r="BP122" t="n">
        <v>5.621</v>
      </c>
      <c r="BQ122" t="n">
        <v>66.515</v>
      </c>
      <c r="BR122" t="n">
        <v>71.199</v>
      </c>
      <c r="BS122" t="n">
        <v>65.578</v>
      </c>
      <c r="BT122" t="n">
        <v>26.231</v>
      </c>
      <c r="BU122" t="n">
        <v>37.473</v>
      </c>
      <c r="BV122" t="n">
        <v>46.469</v>
      </c>
    </row>
    <row r="123">
      <c r="A123" t="inlineStr">
        <is>
          <t>Mulinia edulis</t>
        </is>
      </c>
      <c r="B123" t="inlineStr">
        <is>
          <t>taquilla clam</t>
        </is>
      </c>
      <c r="C123" t="inlineStr">
        <is>
          <t>Other demersal invertebrates</t>
        </is>
      </c>
      <c r="D123" t="inlineStr">
        <is>
          <t>Molluscs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1550.892</v>
      </c>
      <c r="BU123" t="n">
        <v>1207.878</v>
      </c>
      <c r="BV123" t="n">
        <v>1868.497</v>
      </c>
    </row>
    <row r="124">
      <c r="A124" t="inlineStr">
        <is>
          <t>Tegula atra</t>
        </is>
      </c>
      <c r="B124" t="inlineStr">
        <is>
          <t>Smooth black trochid</t>
        </is>
      </c>
      <c r="C124" t="inlineStr">
        <is>
          <t>Other demersal invertebrates</t>
        </is>
      </c>
      <c r="D124" t="inlineStr">
        <is>
          <t>Molluscs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236.39</v>
      </c>
      <c r="BO124" t="n">
        <v>3525.516</v>
      </c>
      <c r="BP124" t="n">
        <v>22.343</v>
      </c>
      <c r="BQ124" t="n">
        <v>618.6799999999999</v>
      </c>
      <c r="BR124" t="n">
        <v>47.018</v>
      </c>
      <c r="BS124" t="n">
        <v>64.11499999999999</v>
      </c>
      <c r="BT124" t="n">
        <v>34.416</v>
      </c>
      <c r="BU124" t="n">
        <v>34.475</v>
      </c>
      <c r="BV124" t="n">
        <v>24.211</v>
      </c>
    </row>
    <row r="125">
      <c r="A125" t="inlineStr">
        <is>
          <t>Fissurella latimarginata</t>
        </is>
      </c>
      <c r="B125" t="inlineStr">
        <is>
          <t> </t>
        </is>
      </c>
      <c r="C125" t="inlineStr">
        <is>
          <t>Other demersal invertebrates</t>
        </is>
      </c>
      <c r="D125" t="inlineStr">
        <is>
          <t>Molluscs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110.707</v>
      </c>
      <c r="BO125" t="n">
        <v>596.413</v>
      </c>
      <c r="BP125" t="n">
        <v>245.915</v>
      </c>
      <c r="BQ125" t="n">
        <v>732.074</v>
      </c>
      <c r="BR125" t="n">
        <v>656.412</v>
      </c>
      <c r="BS125" t="n">
        <v>744.295</v>
      </c>
      <c r="BT125" t="n">
        <v>615.669</v>
      </c>
      <c r="BU125" t="n">
        <v>484.61</v>
      </c>
      <c r="BV125" t="n">
        <v>274.479</v>
      </c>
    </row>
    <row r="126">
      <c r="A126" t="inlineStr">
        <is>
          <t>Athyonidium chilensis</t>
        </is>
      </c>
      <c r="B126" t="inlineStr">
        <is>
          <t>Burrowing shaggy sea cucumber</t>
        </is>
      </c>
      <c r="C126" t="inlineStr">
        <is>
          <t>Other demersal invertebrates</t>
        </is>
      </c>
      <c r="D126" t="inlineStr">
        <is>
          <t>Other fishes &amp; inverts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382.992</v>
      </c>
      <c r="BO126" t="n">
        <v>1792.14</v>
      </c>
      <c r="BP126" t="n">
        <v>40.865</v>
      </c>
      <c r="BQ126" t="n">
        <v>142.345</v>
      </c>
      <c r="BR126" t="n">
        <v>0</v>
      </c>
      <c r="BS126" t="n">
        <v>222.584</v>
      </c>
      <c r="BT126" t="n">
        <v>441.922</v>
      </c>
      <c r="BU126" t="n">
        <v>911.395</v>
      </c>
      <c r="BV126" t="n">
        <v>246.587</v>
      </c>
    </row>
    <row r="127">
      <c r="A127" t="inlineStr">
        <is>
          <t>Paralichthys</t>
        </is>
      </c>
      <c r="B127" t="inlineStr">
        <is>
          <t>Paralichthyid flounders</t>
        </is>
      </c>
      <c r="C127" t="inlineStr">
        <is>
          <t>Small to medium flatfishes (&lt;90 cm)</t>
        </is>
      </c>
      <c r="D127" t="inlineStr">
        <is>
          <t>Flatfishes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3.644</v>
      </c>
      <c r="BF127" t="n">
        <v>31.704</v>
      </c>
      <c r="BG127" t="n">
        <v>0</v>
      </c>
      <c r="BH127" t="n">
        <v>9.827999999999999</v>
      </c>
      <c r="BI127" t="n">
        <v>0</v>
      </c>
      <c r="BJ127" t="n">
        <v>0</v>
      </c>
      <c r="BK127" t="n">
        <v>39.753</v>
      </c>
      <c r="BL127" t="n">
        <v>0</v>
      </c>
      <c r="BM127" t="n">
        <v>27.532</v>
      </c>
      <c r="BN127" t="n">
        <v>654.494</v>
      </c>
      <c r="BO127" t="n">
        <v>0</v>
      </c>
      <c r="BP127" t="n">
        <v>0</v>
      </c>
      <c r="BQ127" t="n">
        <v>3210.917</v>
      </c>
      <c r="BR127" t="n">
        <v>0</v>
      </c>
      <c r="BS127" t="n">
        <v>0</v>
      </c>
      <c r="BT127" t="n">
        <v>12.412</v>
      </c>
      <c r="BU127" t="n">
        <v>5.729</v>
      </c>
      <c r="BV127" t="n">
        <v>2.864</v>
      </c>
    </row>
    <row r="128">
      <c r="A128" t="inlineStr">
        <is>
          <t>Fissurella cumingi</t>
        </is>
      </c>
      <c r="B128" t="inlineStr">
        <is>
          <t>keyhole limpet</t>
        </is>
      </c>
      <c r="C128" t="inlineStr">
        <is>
          <t>Other demersal invertebrates</t>
        </is>
      </c>
      <c r="D128" t="inlineStr">
        <is>
          <t>Molluscs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31.169</v>
      </c>
      <c r="BO128" t="n">
        <v>3483.209</v>
      </c>
      <c r="BP128" t="n">
        <v>13.552</v>
      </c>
      <c r="BQ128" t="n">
        <v>13.326</v>
      </c>
      <c r="BR128" t="n">
        <v>44.288</v>
      </c>
      <c r="BS128" t="n">
        <v>16.203</v>
      </c>
      <c r="BT128" t="n">
        <v>7.716</v>
      </c>
      <c r="BU128" t="n">
        <v>25.652</v>
      </c>
      <c r="BV128" t="n">
        <v>15.938</v>
      </c>
    </row>
    <row r="129">
      <c r="A129" t="inlineStr">
        <is>
          <t>Penaeus californiensis</t>
        </is>
      </c>
      <c r="B129" t="inlineStr">
        <is>
          <t>Yellowleg shrimp</t>
        </is>
      </c>
      <c r="C129" t="inlineStr">
        <is>
          <t>Shrimps</t>
        </is>
      </c>
      <c r="D129" t="inlineStr">
        <is>
          <t>Crustaceans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2903.747</v>
      </c>
    </row>
    <row r="130">
      <c r="A130" t="inlineStr">
        <is>
          <t>Ovalipes trimaculatus</t>
        </is>
      </c>
      <c r="B130" t="inlineStr">
        <is>
          <t>Rowing crab</t>
        </is>
      </c>
      <c r="C130" t="inlineStr">
        <is>
          <t>Lobsters, crabs</t>
        </is>
      </c>
      <c r="D130" t="inlineStr">
        <is>
          <t>Crustaceans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530.878</v>
      </c>
      <c r="BO130" t="n">
        <v>1364.314</v>
      </c>
      <c r="BP130" t="n">
        <v>59.211</v>
      </c>
      <c r="BQ130" t="n">
        <v>73.116</v>
      </c>
      <c r="BR130" t="n">
        <v>197.369</v>
      </c>
      <c r="BS130" t="n">
        <v>195.224</v>
      </c>
      <c r="BT130" t="n">
        <v>89.125</v>
      </c>
      <c r="BU130" t="n">
        <v>201.477</v>
      </c>
      <c r="BV130" t="n">
        <v>165.706</v>
      </c>
    </row>
    <row r="131">
      <c r="A131" t="inlineStr">
        <is>
          <t>Galeorhinus galeus</t>
        </is>
      </c>
      <c r="B131" t="inlineStr">
        <is>
          <t>Tope shark</t>
        </is>
      </c>
      <c r="C131" t="inlineStr">
        <is>
          <t>Large sharks (&gt;=90 cm)</t>
        </is>
      </c>
      <c r="D131" t="inlineStr">
        <is>
          <t>Sharks &amp; rays</t>
        </is>
      </c>
      <c r="E131" t="n">
        <v>32.611</v>
      </c>
      <c r="F131" t="n">
        <v>26.089</v>
      </c>
      <c r="G131" t="n">
        <v>29.815</v>
      </c>
      <c r="H131" t="n">
        <v>4.659</v>
      </c>
      <c r="I131" t="n">
        <v>5.59</v>
      </c>
      <c r="J131" t="n">
        <v>40.996</v>
      </c>
      <c r="K131" t="n">
        <v>35.406</v>
      </c>
      <c r="L131" t="n">
        <v>15.839</v>
      </c>
      <c r="M131" t="n">
        <v>13.976</v>
      </c>
      <c r="N131" t="n">
        <v>18.635</v>
      </c>
      <c r="O131" t="n">
        <v>7.454</v>
      </c>
      <c r="P131" t="n">
        <v>27.952</v>
      </c>
      <c r="Q131" t="n">
        <v>3.727</v>
      </c>
      <c r="R131" t="n">
        <v>5.59</v>
      </c>
      <c r="S131" t="n">
        <v>45.655</v>
      </c>
      <c r="T131" t="n">
        <v>52.177</v>
      </c>
      <c r="U131" t="n">
        <v>29.815</v>
      </c>
      <c r="V131" t="n">
        <v>22.362</v>
      </c>
      <c r="W131" t="n">
        <v>20.498</v>
      </c>
      <c r="X131" t="n">
        <v>16.771</v>
      </c>
      <c r="Y131" t="n">
        <v>24.225</v>
      </c>
      <c r="Z131" t="n">
        <v>8.385999999999999</v>
      </c>
      <c r="AA131" t="n">
        <v>8.385999999999999</v>
      </c>
      <c r="AB131" t="n">
        <v>22.362</v>
      </c>
      <c r="AC131" t="n">
        <v>16.771</v>
      </c>
      <c r="AD131" t="n">
        <v>9.317</v>
      </c>
      <c r="AE131" t="n">
        <v>16.771</v>
      </c>
      <c r="AF131" t="n">
        <v>5.59</v>
      </c>
      <c r="AG131" t="n">
        <v>61.494</v>
      </c>
      <c r="AH131" t="n">
        <v>50.24</v>
      </c>
      <c r="AI131" t="n">
        <v>307.992</v>
      </c>
      <c r="AJ131" t="n">
        <v>33.947</v>
      </c>
      <c r="AK131" t="n">
        <v>11.049</v>
      </c>
      <c r="AL131" t="n">
        <v>4.659</v>
      </c>
      <c r="AM131" t="n">
        <v>0</v>
      </c>
      <c r="AN131" t="n">
        <v>0</v>
      </c>
      <c r="AO131" t="n">
        <v>41.928</v>
      </c>
      <c r="AP131" t="n">
        <v>57.009</v>
      </c>
      <c r="AQ131" t="n">
        <v>59.747</v>
      </c>
      <c r="AR131" t="n">
        <v>50.808</v>
      </c>
      <c r="AS131" t="n">
        <v>23.293</v>
      </c>
      <c r="AT131" t="n">
        <v>10.249</v>
      </c>
      <c r="AU131" t="n">
        <v>46.03</v>
      </c>
      <c r="AV131" t="n">
        <v>86.78400000000001</v>
      </c>
      <c r="AW131" t="n">
        <v>66.15300000000001</v>
      </c>
      <c r="AX131" t="n">
        <v>20.498</v>
      </c>
      <c r="AY131" t="n">
        <v>47.518</v>
      </c>
      <c r="AZ131" t="n">
        <v>28.884</v>
      </c>
      <c r="BA131" t="n">
        <v>49.382</v>
      </c>
      <c r="BB131" t="n">
        <v>17.703</v>
      </c>
      <c r="BC131" t="n">
        <v>53.109</v>
      </c>
      <c r="BD131" t="n">
        <v>45.958</v>
      </c>
      <c r="BE131" t="n">
        <v>51.245</v>
      </c>
      <c r="BF131" t="n">
        <v>24.225</v>
      </c>
      <c r="BG131" t="n">
        <v>47.518</v>
      </c>
      <c r="BH131" t="n">
        <v>47.518</v>
      </c>
      <c r="BI131" t="n">
        <v>32.611</v>
      </c>
      <c r="BJ131" t="n">
        <v>42.86</v>
      </c>
      <c r="BK131" t="n">
        <v>16.771</v>
      </c>
      <c r="BL131" t="n">
        <v>39.474</v>
      </c>
      <c r="BM131" t="n">
        <v>18.635</v>
      </c>
      <c r="BN131" t="n">
        <v>102.69</v>
      </c>
      <c r="BO131" t="n">
        <v>59.611</v>
      </c>
      <c r="BP131" t="n">
        <v>66.92700000000001</v>
      </c>
      <c r="BQ131" t="n">
        <v>126.102</v>
      </c>
      <c r="BR131" t="n">
        <v>43.791</v>
      </c>
      <c r="BS131" t="n">
        <v>65.221</v>
      </c>
      <c r="BT131" t="n">
        <v>45.655</v>
      </c>
      <c r="BU131" t="n">
        <v>34.474</v>
      </c>
      <c r="BV131" t="n">
        <v>24.011</v>
      </c>
    </row>
    <row r="132">
      <c r="A132" t="inlineStr">
        <is>
          <t>Thunnus alalunga</t>
        </is>
      </c>
      <c r="B132" t="inlineStr">
        <is>
          <t>Albacore</t>
        </is>
      </c>
      <c r="C132" t="inlineStr">
        <is>
          <t>Large pelagics (&gt;=90 cm)</t>
        </is>
      </c>
      <c r="D132" t="inlineStr">
        <is>
          <t>Tuna &amp; billfishes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27.213</v>
      </c>
      <c r="J132" t="n">
        <v>0.285</v>
      </c>
      <c r="K132" t="n">
        <v>0</v>
      </c>
      <c r="L132" t="n">
        <v>0.219</v>
      </c>
      <c r="M132" t="n">
        <v>0</v>
      </c>
      <c r="N132" t="n">
        <v>0.041</v>
      </c>
      <c r="O132" t="n">
        <v>0.306</v>
      </c>
      <c r="P132" t="n">
        <v>0.534</v>
      </c>
      <c r="Q132" t="n">
        <v>0.613</v>
      </c>
      <c r="R132" t="n">
        <v>2.397</v>
      </c>
      <c r="S132" t="n">
        <v>0.79</v>
      </c>
      <c r="T132" t="n">
        <v>0.25</v>
      </c>
      <c r="U132" t="n">
        <v>0</v>
      </c>
      <c r="V132" t="n">
        <v>113.712</v>
      </c>
      <c r="W132" t="n">
        <v>25.269</v>
      </c>
      <c r="X132" t="n">
        <v>53.298</v>
      </c>
      <c r="Y132" t="n">
        <v>46.168</v>
      </c>
      <c r="Z132" t="n">
        <v>0.217</v>
      </c>
      <c r="AA132" t="n">
        <v>0.367</v>
      </c>
      <c r="AB132" t="n">
        <v>0.322</v>
      </c>
      <c r="AC132" t="n">
        <v>0.5669999999999999</v>
      </c>
      <c r="AD132" t="n">
        <v>0.496</v>
      </c>
      <c r="AE132" t="n">
        <v>15.078</v>
      </c>
      <c r="AF132" t="n">
        <v>31.961</v>
      </c>
      <c r="AG132" t="n">
        <v>3.614</v>
      </c>
      <c r="AH132" t="n">
        <v>16.859</v>
      </c>
      <c r="AI132" t="n">
        <v>72.651</v>
      </c>
      <c r="AJ132" t="n">
        <v>43.173</v>
      </c>
      <c r="AK132" t="n">
        <v>2.4</v>
      </c>
      <c r="AL132" t="n">
        <v>2.432</v>
      </c>
      <c r="AM132" t="n">
        <v>28.883</v>
      </c>
      <c r="AN132" t="n">
        <v>203.898</v>
      </c>
      <c r="AO132" t="n">
        <v>0.128</v>
      </c>
      <c r="AP132" t="n">
        <v>3.777</v>
      </c>
      <c r="AQ132" t="n">
        <v>0</v>
      </c>
      <c r="AR132" t="n">
        <v>108.468</v>
      </c>
      <c r="AS132" t="n">
        <v>384.095</v>
      </c>
      <c r="AT132" t="n">
        <v>213.824</v>
      </c>
      <c r="AU132" t="n">
        <v>25.044</v>
      </c>
      <c r="AV132" t="n">
        <v>64.309</v>
      </c>
      <c r="AW132" t="n">
        <v>28.267</v>
      </c>
      <c r="AX132" t="n">
        <v>50.444</v>
      </c>
      <c r="AY132" t="n">
        <v>60.41</v>
      </c>
      <c r="AZ132" t="n">
        <v>16.316</v>
      </c>
      <c r="BA132" t="n">
        <v>81.596</v>
      </c>
      <c r="BB132" t="n">
        <v>18.13</v>
      </c>
      <c r="BC132" t="n">
        <v>8.853999999999999</v>
      </c>
      <c r="BD132" t="n">
        <v>107.819</v>
      </c>
      <c r="BE132" t="n">
        <v>9.207000000000001</v>
      </c>
      <c r="BF132" t="n">
        <v>44.188</v>
      </c>
      <c r="BG132" t="n">
        <v>78.166</v>
      </c>
      <c r="BH132" t="n">
        <v>24.342</v>
      </c>
      <c r="BI132" t="n">
        <v>26.161</v>
      </c>
      <c r="BJ132" t="n">
        <v>55.882</v>
      </c>
      <c r="BK132" t="n">
        <v>16.425</v>
      </c>
      <c r="BL132" t="n">
        <v>48.317</v>
      </c>
      <c r="BM132" t="n">
        <v>7.588</v>
      </c>
      <c r="BN132" t="n">
        <v>4.597</v>
      </c>
      <c r="BO132" t="n">
        <v>9.406000000000001</v>
      </c>
      <c r="BP132" t="n">
        <v>6.249</v>
      </c>
      <c r="BQ132" t="n">
        <v>20.287</v>
      </c>
      <c r="BR132" t="n">
        <v>57.133</v>
      </c>
      <c r="BS132" t="n">
        <v>53.448</v>
      </c>
      <c r="BT132" t="n">
        <v>138.527</v>
      </c>
      <c r="BU132" t="n">
        <v>69.163</v>
      </c>
      <c r="BV132" t="n">
        <v>40.396</v>
      </c>
    </row>
    <row r="133">
      <c r="A133" t="inlineStr">
        <is>
          <t>Carangidae</t>
        </is>
      </c>
      <c r="B133" t="inlineStr">
        <is>
          <t>Jacks, pompanos</t>
        </is>
      </c>
      <c r="C133" t="inlineStr">
        <is>
          <t>Medium pelagics (30 - 89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0.173</v>
      </c>
      <c r="O133" t="n">
        <v>14.008</v>
      </c>
      <c r="P133" t="n">
        <v>14.718</v>
      </c>
      <c r="Q133" t="n">
        <v>36.174</v>
      </c>
      <c r="R133" t="n">
        <v>40.631</v>
      </c>
      <c r="S133" t="n">
        <v>87.84099999999999</v>
      </c>
      <c r="T133" t="n">
        <v>126.103</v>
      </c>
      <c r="U133" t="n">
        <v>98.57299999999999</v>
      </c>
      <c r="V133" t="n">
        <v>224.529</v>
      </c>
      <c r="W133" t="n">
        <v>40.993</v>
      </c>
      <c r="X133" t="n">
        <v>18.55</v>
      </c>
      <c r="Y133" t="n">
        <v>11.46</v>
      </c>
      <c r="Z133" t="n">
        <v>14.065</v>
      </c>
      <c r="AA133" t="n">
        <v>7.278</v>
      </c>
      <c r="AB133" t="n">
        <v>37.235</v>
      </c>
      <c r="AC133" t="n">
        <v>3.985</v>
      </c>
      <c r="AD133" t="n">
        <v>0</v>
      </c>
      <c r="AE133" t="n">
        <v>121.214</v>
      </c>
      <c r="AF133" t="n">
        <v>7.716</v>
      </c>
      <c r="AG133" t="n">
        <v>2.973</v>
      </c>
      <c r="AH133" t="n">
        <v>5.665</v>
      </c>
      <c r="AI133" t="n">
        <v>22.51</v>
      </c>
      <c r="AJ133" t="n">
        <v>0.539</v>
      </c>
      <c r="AK133" t="n">
        <v>1.258</v>
      </c>
      <c r="AL133" t="n">
        <v>71.74299999999999</v>
      </c>
      <c r="AM133" t="n">
        <v>0.484</v>
      </c>
      <c r="AN133" t="n">
        <v>1.286</v>
      </c>
      <c r="AO133" t="n">
        <v>0</v>
      </c>
      <c r="AP133" t="n">
        <v>0</v>
      </c>
      <c r="AQ133" t="n">
        <v>16.083</v>
      </c>
      <c r="AR133" t="n">
        <v>0.173</v>
      </c>
      <c r="AS133" t="n">
        <v>0.011</v>
      </c>
      <c r="AT133" t="n">
        <v>2.807</v>
      </c>
      <c r="AU133" t="n">
        <v>75.11499999999999</v>
      </c>
      <c r="AV133" t="n">
        <v>173.031</v>
      </c>
      <c r="AW133" t="n">
        <v>74.974</v>
      </c>
      <c r="AX133" t="n">
        <v>18.95</v>
      </c>
      <c r="AY133" t="n">
        <v>23.848</v>
      </c>
      <c r="AZ133" t="n">
        <v>14.466</v>
      </c>
      <c r="BA133" t="n">
        <v>87.194</v>
      </c>
      <c r="BB133" t="n">
        <v>16.585</v>
      </c>
      <c r="BC133" t="n">
        <v>1.141</v>
      </c>
      <c r="BD133" t="n">
        <v>71.667</v>
      </c>
      <c r="BE133" t="n">
        <v>8.095000000000001</v>
      </c>
      <c r="BF133" t="n">
        <v>23.913</v>
      </c>
      <c r="BG133" t="n">
        <v>23.081</v>
      </c>
      <c r="BH133" t="n">
        <v>75.187</v>
      </c>
      <c r="BI133" t="n">
        <v>24.534</v>
      </c>
      <c r="BJ133" t="n">
        <v>34.823</v>
      </c>
      <c r="BK133" t="n">
        <v>20.432</v>
      </c>
      <c r="BL133" t="n">
        <v>40.023</v>
      </c>
      <c r="BM133" t="n">
        <v>10.045</v>
      </c>
      <c r="BN133" t="n">
        <v>24.474</v>
      </c>
      <c r="BO133" t="n">
        <v>17.393</v>
      </c>
      <c r="BP133" t="n">
        <v>11.27</v>
      </c>
      <c r="BQ133" t="n">
        <v>20.539</v>
      </c>
      <c r="BR133" t="n">
        <v>83.81699999999999</v>
      </c>
      <c r="BS133" t="n">
        <v>91.012</v>
      </c>
      <c r="BT133" t="n">
        <v>228.764</v>
      </c>
      <c r="BU133" t="n">
        <v>39.29</v>
      </c>
      <c r="BV133" t="n">
        <v>139.912</v>
      </c>
    </row>
    <row r="134">
      <c r="A134" t="inlineStr">
        <is>
          <t>Miscellaneous marine crustaceans</t>
        </is>
      </c>
      <c r="B134" t="inlineStr">
        <is>
          <t>Marine crabs, shrimps, lobsters nei</t>
        </is>
      </c>
      <c r="C134" t="inlineStr">
        <is>
          <t>Shrimps</t>
        </is>
      </c>
      <c r="D134" t="inlineStr">
        <is>
          <t>Crustaceans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275.595</v>
      </c>
      <c r="AM134" t="n">
        <v>1.168</v>
      </c>
      <c r="AN134" t="n">
        <v>0</v>
      </c>
      <c r="AO134" t="n">
        <v>1.168</v>
      </c>
      <c r="AP134" t="n">
        <v>0</v>
      </c>
      <c r="AQ134" t="n">
        <v>0</v>
      </c>
      <c r="AR134" t="n">
        <v>0</v>
      </c>
      <c r="AS134" t="n">
        <v>5.862</v>
      </c>
      <c r="AT134" t="n">
        <v>0</v>
      </c>
      <c r="AU134" t="n">
        <v>179.615</v>
      </c>
      <c r="AV134" t="n">
        <v>27.285</v>
      </c>
      <c r="AW134" t="n">
        <v>1.191</v>
      </c>
      <c r="AX134" t="n">
        <v>0</v>
      </c>
      <c r="AY134" t="n">
        <v>1.2</v>
      </c>
      <c r="AZ134" t="n">
        <v>0</v>
      </c>
      <c r="BA134" t="n">
        <v>1.209</v>
      </c>
      <c r="BB134" t="n">
        <v>68.64700000000001</v>
      </c>
      <c r="BC134" t="n">
        <v>100.989</v>
      </c>
      <c r="BD134" t="n">
        <v>0</v>
      </c>
      <c r="BE134" t="n">
        <v>0</v>
      </c>
      <c r="BF134" t="n">
        <v>0</v>
      </c>
      <c r="BG134" t="n">
        <v>0</v>
      </c>
      <c r="BH134" t="n">
        <v>373.818</v>
      </c>
      <c r="BI134" t="n">
        <v>0</v>
      </c>
      <c r="BJ134" t="n">
        <v>1.251</v>
      </c>
      <c r="BK134" t="n">
        <v>17.581</v>
      </c>
      <c r="BL134" t="n">
        <v>291.165</v>
      </c>
      <c r="BM134" t="n">
        <v>1110.748</v>
      </c>
      <c r="BN134" t="n">
        <v>0</v>
      </c>
      <c r="BO134" t="n">
        <v>2.238</v>
      </c>
      <c r="BP134" t="n">
        <v>15.668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23.851</v>
      </c>
    </row>
    <row r="135">
      <c r="A135" t="inlineStr">
        <is>
          <t>Enteroctopus megalocyathus</t>
        </is>
      </c>
      <c r="B135" t="inlineStr">
        <is>
          <t>Patagonian giant octopus</t>
        </is>
      </c>
      <c r="C135" t="inlineStr">
        <is>
          <t>Cephalopods</t>
        </is>
      </c>
      <c r="D135" t="inlineStr">
        <is>
          <t>Other fishes &amp; inverts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713.992</v>
      </c>
      <c r="BU135" t="n">
        <v>572.165</v>
      </c>
      <c r="BV135" t="n">
        <v>801.419</v>
      </c>
    </row>
    <row r="136">
      <c r="A136" t="inlineStr">
        <is>
          <t>Istiophoridae</t>
        </is>
      </c>
      <c r="B136" t="inlineStr">
        <is>
          <t>Billfishes</t>
        </is>
      </c>
      <c r="C136" t="inlineStr">
        <is>
          <t>Large pelagics (&gt;=90 cm)</t>
        </is>
      </c>
      <c r="D136" t="inlineStr">
        <is>
          <t>Tuna &amp; billfishes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0.08</v>
      </c>
      <c r="J136" t="n">
        <v>0.124</v>
      </c>
      <c r="K136" t="n">
        <v>0</v>
      </c>
      <c r="L136" t="n">
        <v>0.299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112.007</v>
      </c>
      <c r="W136" t="n">
        <v>0</v>
      </c>
      <c r="X136" t="n">
        <v>18.426</v>
      </c>
      <c r="Y136" t="n">
        <v>11.399</v>
      </c>
      <c r="Z136" t="n">
        <v>0</v>
      </c>
      <c r="AA136" t="n">
        <v>6.388</v>
      </c>
      <c r="AB136" t="n">
        <v>18.479</v>
      </c>
      <c r="AC136" t="n">
        <v>1.864</v>
      </c>
      <c r="AD136" t="n">
        <v>0</v>
      </c>
      <c r="AE136" t="n">
        <v>39.537</v>
      </c>
      <c r="AF136" t="n">
        <v>4.113</v>
      </c>
      <c r="AG136" t="n">
        <v>1.287</v>
      </c>
      <c r="AH136" t="n">
        <v>2.546</v>
      </c>
      <c r="AI136" t="n">
        <v>11.053</v>
      </c>
      <c r="AJ136" t="n">
        <v>0</v>
      </c>
      <c r="AK136" t="n">
        <v>0</v>
      </c>
      <c r="AL136" t="n">
        <v>9.813000000000001</v>
      </c>
      <c r="AM136" t="n">
        <v>0.003</v>
      </c>
      <c r="AN136" t="n">
        <v>0</v>
      </c>
      <c r="AO136" t="n">
        <v>0</v>
      </c>
      <c r="AP136" t="n">
        <v>0.19</v>
      </c>
      <c r="AQ136" t="n">
        <v>6.764</v>
      </c>
      <c r="AR136" t="n">
        <v>0.005</v>
      </c>
      <c r="AS136" t="n">
        <v>11.332</v>
      </c>
      <c r="AT136" t="n">
        <v>5.685</v>
      </c>
      <c r="AU136" t="n">
        <v>53.956</v>
      </c>
      <c r="AV136" t="n">
        <v>135.915</v>
      </c>
      <c r="AW136" t="n">
        <v>39.342</v>
      </c>
      <c r="AX136" t="n">
        <v>22.508</v>
      </c>
      <c r="AY136" t="n">
        <v>19.541</v>
      </c>
      <c r="AZ136" t="n">
        <v>1.219</v>
      </c>
      <c r="BA136" t="n">
        <v>44.034</v>
      </c>
      <c r="BB136" t="n">
        <v>8.170999999999999</v>
      </c>
      <c r="BC136" t="n">
        <v>1.135</v>
      </c>
      <c r="BD136" t="n">
        <v>7.974</v>
      </c>
      <c r="BE136" t="n">
        <v>17.394</v>
      </c>
      <c r="BF136" t="n">
        <v>20.266</v>
      </c>
      <c r="BG136" t="n">
        <v>11.848</v>
      </c>
      <c r="BH136" t="n">
        <v>50.003</v>
      </c>
      <c r="BI136" t="n">
        <v>32.05</v>
      </c>
      <c r="BJ136" t="n">
        <v>54.062</v>
      </c>
      <c r="BK136" t="n">
        <v>308.631</v>
      </c>
      <c r="BL136" t="n">
        <v>41.077</v>
      </c>
      <c r="BM136" t="n">
        <v>302.132</v>
      </c>
      <c r="BN136" t="n">
        <v>114.698</v>
      </c>
      <c r="BO136" t="n">
        <v>69.892</v>
      </c>
      <c r="BP136" t="n">
        <v>32.104</v>
      </c>
      <c r="BQ136" t="n">
        <v>2.989</v>
      </c>
      <c r="BR136" t="n">
        <v>42.763</v>
      </c>
      <c r="BS136" t="n">
        <v>52.911</v>
      </c>
      <c r="BT136" t="n">
        <v>134.191</v>
      </c>
      <c r="BU136" t="n">
        <v>20.457</v>
      </c>
      <c r="BV136" t="n">
        <v>110.549</v>
      </c>
    </row>
    <row r="137">
      <c r="A137" t="inlineStr">
        <is>
          <t>Chrysaora plocamia</t>
        </is>
      </c>
      <c r="B137" t="inlineStr">
        <is>
          <t>South American sea nettle</t>
        </is>
      </c>
      <c r="C137" t="inlineStr">
        <is>
          <t>Jellyfish</t>
        </is>
      </c>
      <c r="D137" t="inlineStr">
        <is>
          <t>Other fishes &amp; inverts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1029.939</v>
      </c>
      <c r="BT137" t="n">
        <v>908.076</v>
      </c>
      <c r="BU137" t="n">
        <v>0</v>
      </c>
      <c r="BV137" t="n">
        <v>0</v>
      </c>
    </row>
    <row r="138">
      <c r="A138" t="inlineStr">
        <is>
          <t>Pinguipes chilensis</t>
        </is>
      </c>
      <c r="B138" t="inlineStr">
        <is>
          <t>Chilean sandperch</t>
        </is>
      </c>
      <c r="C138" t="inlineStr">
        <is>
          <t>Medium demersals (30 - 89 cm)</t>
        </is>
      </c>
      <c r="D138" t="inlineStr">
        <is>
          <t>Perch-likes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3.497</v>
      </c>
      <c r="AL138" t="n">
        <v>11.656</v>
      </c>
      <c r="AM138" t="n">
        <v>36.134</v>
      </c>
      <c r="AN138" t="n">
        <v>88.58799999999999</v>
      </c>
      <c r="AO138" t="n">
        <v>124.722</v>
      </c>
      <c r="AP138" t="n">
        <v>12.822</v>
      </c>
      <c r="AQ138" t="n">
        <v>106.072</v>
      </c>
      <c r="AR138" t="n">
        <v>122.391</v>
      </c>
      <c r="AS138" t="n">
        <v>80.747</v>
      </c>
      <c r="AT138" t="n">
        <v>46.995</v>
      </c>
      <c r="AU138" t="n">
        <v>20.052</v>
      </c>
      <c r="AV138" t="n">
        <v>7.105</v>
      </c>
      <c r="AW138" t="n">
        <v>71.325</v>
      </c>
      <c r="AX138" t="n">
        <v>25.061</v>
      </c>
      <c r="AY138" t="n">
        <v>20.366</v>
      </c>
      <c r="AZ138" t="n">
        <v>33.674</v>
      </c>
      <c r="BA138" t="n">
        <v>10.865</v>
      </c>
      <c r="BB138" t="n">
        <v>2.424</v>
      </c>
      <c r="BC138" t="n">
        <v>0</v>
      </c>
      <c r="BD138" t="n">
        <v>13.432</v>
      </c>
      <c r="BE138" t="n">
        <v>1.226</v>
      </c>
      <c r="BF138" t="n">
        <v>0</v>
      </c>
      <c r="BG138" t="n">
        <v>41.99</v>
      </c>
      <c r="BH138" t="n">
        <v>69.419</v>
      </c>
      <c r="BI138" t="n">
        <v>33.595</v>
      </c>
      <c r="BJ138" t="n">
        <v>31.222</v>
      </c>
      <c r="BK138" t="n">
        <v>63.929</v>
      </c>
      <c r="BL138" t="n">
        <v>95.61799999999999</v>
      </c>
      <c r="BM138" t="n">
        <v>46.722</v>
      </c>
      <c r="BN138" t="n">
        <v>100.535</v>
      </c>
      <c r="BO138" t="n">
        <v>80.428</v>
      </c>
      <c r="BP138" t="n">
        <v>69.258</v>
      </c>
      <c r="BQ138" t="n">
        <v>55.853</v>
      </c>
      <c r="BR138" t="n">
        <v>17.096</v>
      </c>
      <c r="BS138" t="n">
        <v>26.712</v>
      </c>
      <c r="BT138" t="n">
        <v>42.184</v>
      </c>
      <c r="BU138" t="n">
        <v>49.413</v>
      </c>
      <c r="BV138" t="n">
        <v>26.276</v>
      </c>
    </row>
    <row r="139">
      <c r="A139" t="inlineStr">
        <is>
          <t>Rajiformes</t>
        </is>
      </c>
      <c r="B139" t="inlineStr">
        <is>
          <t>Skates and rays</t>
        </is>
      </c>
      <c r="C139" t="inlineStr">
        <is>
          <t>Large rays (&gt;=90 cm)</t>
        </is>
      </c>
      <c r="D139" t="inlineStr">
        <is>
          <t>Sharks &amp; rays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248.069</v>
      </c>
      <c r="AS139" t="n">
        <v>0</v>
      </c>
      <c r="AT139" t="n">
        <v>0</v>
      </c>
      <c r="AU139" t="n">
        <v>0</v>
      </c>
      <c r="AV139" t="n">
        <v>465.477</v>
      </c>
      <c r="AW139" t="n">
        <v>94.732</v>
      </c>
      <c r="AX139" t="n">
        <v>0</v>
      </c>
      <c r="AY139" t="n">
        <v>0</v>
      </c>
      <c r="AZ139" t="n">
        <v>0</v>
      </c>
      <c r="BA139" t="n">
        <v>0</v>
      </c>
      <c r="BB139" t="n">
        <v>224.137</v>
      </c>
      <c r="BC139" t="n">
        <v>219.69</v>
      </c>
      <c r="BD139" t="n">
        <v>33.798</v>
      </c>
      <c r="BE139" t="n">
        <v>1.779</v>
      </c>
      <c r="BF139" t="n">
        <v>0</v>
      </c>
      <c r="BG139" t="n">
        <v>7.42</v>
      </c>
      <c r="BH139" t="n">
        <v>0</v>
      </c>
      <c r="BI139" t="n">
        <v>29.903</v>
      </c>
      <c r="BJ139" t="n">
        <v>37.517</v>
      </c>
      <c r="BK139" t="n">
        <v>61.505</v>
      </c>
      <c r="BL139" t="n">
        <v>45.354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200.807</v>
      </c>
    </row>
    <row r="140">
      <c r="A140" t="inlineStr">
        <is>
          <t>Xanthochorus cassidiformis</t>
        </is>
      </c>
      <c r="B140" t="inlineStr">
        <is>
          <t>Orange whelk</t>
        </is>
      </c>
      <c r="C140" t="inlineStr">
        <is>
          <t>Other demersal invertebrates</t>
        </is>
      </c>
      <c r="D140" t="inlineStr">
        <is>
          <t>Molluscs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157.779</v>
      </c>
      <c r="BO140" t="n">
        <v>83.806</v>
      </c>
      <c r="BP140" t="n">
        <v>1373.081</v>
      </c>
      <c r="BQ140" t="n">
        <v>2.235</v>
      </c>
      <c r="BR140" t="n">
        <v>4.275</v>
      </c>
      <c r="BS140" t="n">
        <v>0</v>
      </c>
      <c r="BT140" t="n">
        <v>1.943</v>
      </c>
      <c r="BU140" t="n">
        <v>0</v>
      </c>
      <c r="BV140" t="n">
        <v>10.688</v>
      </c>
    </row>
    <row r="141">
      <c r="A141" t="inlineStr">
        <is>
          <t>Panulirus gracilis</t>
        </is>
      </c>
      <c r="B141" t="inlineStr">
        <is>
          <t>Blue spiny lobster</t>
        </is>
      </c>
      <c r="C141" t="inlineStr">
        <is>
          <t>Lobsters, crabs</t>
        </is>
      </c>
      <c r="D141" t="inlineStr">
        <is>
          <t>Crustaceans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0.362</v>
      </c>
      <c r="J141" t="n">
        <v>0.362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4.709</v>
      </c>
      <c r="R141" t="n">
        <v>17.386</v>
      </c>
      <c r="S141" t="n">
        <v>0.362</v>
      </c>
      <c r="T141" t="n">
        <v>4.347</v>
      </c>
      <c r="U141" t="n">
        <v>0.724</v>
      </c>
      <c r="V141" t="n">
        <v>1.811</v>
      </c>
      <c r="W141" t="n">
        <v>4.347</v>
      </c>
      <c r="X141" t="n">
        <v>10.142</v>
      </c>
      <c r="Y141" t="n">
        <v>14.488</v>
      </c>
      <c r="Z141" t="n">
        <v>7.969</v>
      </c>
      <c r="AA141" t="n">
        <v>12.677</v>
      </c>
      <c r="AB141" t="n">
        <v>3.984</v>
      </c>
      <c r="AC141" t="n">
        <v>4.347</v>
      </c>
      <c r="AD141" t="n">
        <v>0.362</v>
      </c>
      <c r="AE141" t="n">
        <v>5.433</v>
      </c>
      <c r="AF141" t="n">
        <v>4.347</v>
      </c>
      <c r="AG141" t="n">
        <v>0</v>
      </c>
      <c r="AH141" t="n">
        <v>9.055</v>
      </c>
      <c r="AI141" t="n">
        <v>14.126</v>
      </c>
      <c r="AJ141" t="n">
        <v>13.402</v>
      </c>
      <c r="AK141" t="n">
        <v>8.693</v>
      </c>
      <c r="AL141" t="n">
        <v>35.135</v>
      </c>
      <c r="AM141" t="n">
        <v>65.19799999999999</v>
      </c>
      <c r="AN141" t="n">
        <v>22.095</v>
      </c>
      <c r="AO141" t="n">
        <v>11.591</v>
      </c>
      <c r="AP141" t="n">
        <v>23.544</v>
      </c>
      <c r="AQ141" t="n">
        <v>8.693</v>
      </c>
      <c r="AR141" t="n">
        <v>21.37</v>
      </c>
      <c r="AS141" t="n">
        <v>5.433</v>
      </c>
      <c r="AT141" t="n">
        <v>1.449</v>
      </c>
      <c r="AU141" t="n">
        <v>1.811</v>
      </c>
      <c r="AV141" t="n">
        <v>6.882</v>
      </c>
      <c r="AW141" t="n">
        <v>24.993</v>
      </c>
      <c r="AX141" t="n">
        <v>81.13500000000001</v>
      </c>
      <c r="AY141" t="n">
        <v>24.993</v>
      </c>
      <c r="AZ141" t="n">
        <v>5.795</v>
      </c>
      <c r="BA141" t="n">
        <v>323.093</v>
      </c>
      <c r="BB141" t="n">
        <v>239.422</v>
      </c>
      <c r="BC141" t="n">
        <v>134.38</v>
      </c>
      <c r="BD141" t="n">
        <v>32.237</v>
      </c>
      <c r="BE141" t="n">
        <v>10.504</v>
      </c>
      <c r="BF141" t="n">
        <v>12.315</v>
      </c>
      <c r="BG141" t="n">
        <v>3.26</v>
      </c>
      <c r="BH141" t="n">
        <v>90.553</v>
      </c>
      <c r="BI141" t="n">
        <v>22.095</v>
      </c>
      <c r="BJ141" t="n">
        <v>1.087</v>
      </c>
      <c r="BK141" t="n">
        <v>0</v>
      </c>
      <c r="BL141" t="n">
        <v>0.724</v>
      </c>
      <c r="BM141" t="n">
        <v>1.087</v>
      </c>
      <c r="BN141" t="n">
        <v>1.087</v>
      </c>
      <c r="BO141" t="n">
        <v>0.724</v>
      </c>
      <c r="BP141" t="n">
        <v>0.724</v>
      </c>
      <c r="BQ141" t="n">
        <v>69.907</v>
      </c>
      <c r="BR141" t="n">
        <v>1.087</v>
      </c>
      <c r="BS141" t="n">
        <v>2.898</v>
      </c>
      <c r="BT141" t="n">
        <v>9.055</v>
      </c>
      <c r="BU141" t="n">
        <v>0.724</v>
      </c>
      <c r="BV141" t="n">
        <v>12.134</v>
      </c>
    </row>
    <row r="142">
      <c r="A142" t="inlineStr">
        <is>
          <t>Mustelus</t>
        </is>
      </c>
      <c r="B142" t="inlineStr">
        <is>
          <t>Smoothhounds</t>
        </is>
      </c>
      <c r="C142" t="inlineStr">
        <is>
          <t>Large sharks (&gt;=90 cm)</t>
        </is>
      </c>
      <c r="D142" t="inlineStr">
        <is>
          <t>Sharks &amp; rays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1275.114</v>
      </c>
    </row>
    <row r="143">
      <c r="A143" t="inlineStr">
        <is>
          <t>Emmelichthys nitidus</t>
        </is>
      </c>
      <c r="B143" t="inlineStr">
        <is>
          <t>Cape bonnetmouth</t>
        </is>
      </c>
      <c r="C143" t="inlineStr">
        <is>
          <t>Medium bathydemersals (30 - 89 cm)</t>
        </is>
      </c>
      <c r="D143" t="inlineStr">
        <is>
          <t>Perch-likes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1153.636</v>
      </c>
      <c r="BL143" t="n">
        <v>3.821</v>
      </c>
      <c r="BM143" t="n">
        <v>116.343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Tetrapturus</t>
        </is>
      </c>
      <c r="B144" t="inlineStr">
        <is>
          <t>Spearfishes</t>
        </is>
      </c>
      <c r="C144" t="inlineStr">
        <is>
          <t>Large pelagics (&gt;=90 cm)</t>
        </is>
      </c>
      <c r="D144" t="inlineStr">
        <is>
          <t>Tuna &amp; billfishes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6.779</v>
      </c>
      <c r="BO144" t="n">
        <v>1068.896</v>
      </c>
      <c r="BP144" t="n">
        <v>22.146</v>
      </c>
      <c r="BQ144" t="n">
        <v>13.107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Nemadactylus</t>
        </is>
      </c>
      <c r="B145" t="inlineStr">
        <is>
          <t>Porae</t>
        </is>
      </c>
      <c r="C145" t="inlineStr">
        <is>
          <t>Medium demersals (30 - 89 cm)</t>
        </is>
      </c>
      <c r="D145" t="inlineStr">
        <is>
          <t>Perch-likes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6.94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16.322</v>
      </c>
      <c r="AU145" t="n">
        <v>18.727</v>
      </c>
      <c r="AV145" t="n">
        <v>10.575</v>
      </c>
      <c r="AW145" t="n">
        <v>21.233</v>
      </c>
      <c r="AX145" t="n">
        <v>24.869</v>
      </c>
      <c r="AY145" t="n">
        <v>93.916</v>
      </c>
      <c r="AZ145" t="n">
        <v>60.863</v>
      </c>
      <c r="BA145" t="n">
        <v>59.9</v>
      </c>
      <c r="BB145" t="n">
        <v>62.534</v>
      </c>
      <c r="BC145" t="n">
        <v>0</v>
      </c>
      <c r="BD145" t="n">
        <v>55.741</v>
      </c>
      <c r="BE145" t="n">
        <v>4.865</v>
      </c>
      <c r="BF145" t="n">
        <v>7.326</v>
      </c>
      <c r="BG145" t="n">
        <v>79.65900000000001</v>
      </c>
      <c r="BH145" t="n">
        <v>77.498</v>
      </c>
      <c r="BI145" t="n">
        <v>60.501</v>
      </c>
      <c r="BJ145" t="n">
        <v>92.94799999999999</v>
      </c>
      <c r="BK145" t="n">
        <v>126.877</v>
      </c>
      <c r="BL145" t="n">
        <v>96.133</v>
      </c>
      <c r="BM145" t="n">
        <v>77.69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inlineStr">
        <is>
          <t>Kajikia audax</t>
        </is>
      </c>
      <c r="B146" t="inlineStr">
        <is>
          <t>Striped marlin</t>
        </is>
      </c>
      <c r="C146" t="inlineStr">
        <is>
          <t>Large pelagics (&gt;=90 cm)</t>
        </is>
      </c>
      <c r="D146" t="inlineStr">
        <is>
          <t>Tuna &amp; billfishes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0.001</v>
      </c>
      <c r="AL146" t="n">
        <v>0.001</v>
      </c>
      <c r="AM146" t="n">
        <v>0</v>
      </c>
      <c r="AN146" t="n">
        <v>0</v>
      </c>
      <c r="AO146" t="n">
        <v>0</v>
      </c>
      <c r="AP146" t="n">
        <v>0.011</v>
      </c>
      <c r="AQ146" t="n">
        <v>0</v>
      </c>
      <c r="AR146" t="n">
        <v>0</v>
      </c>
      <c r="AS146" t="n">
        <v>26.16</v>
      </c>
      <c r="AT146" t="n">
        <v>44.579</v>
      </c>
      <c r="AU146" t="n">
        <v>21.354</v>
      </c>
      <c r="AV146" t="n">
        <v>39.339</v>
      </c>
      <c r="AW146" t="n">
        <v>22.124</v>
      </c>
      <c r="AX146" t="n">
        <v>5.796</v>
      </c>
      <c r="AY146" t="n">
        <v>1.61</v>
      </c>
      <c r="AZ146" t="n">
        <v>1.602</v>
      </c>
      <c r="BA146" t="n">
        <v>9.198</v>
      </c>
      <c r="BB146" t="n">
        <v>0</v>
      </c>
      <c r="BC146" t="n">
        <v>0.146</v>
      </c>
      <c r="BD146" t="n">
        <v>1.505</v>
      </c>
      <c r="BE146" t="n">
        <v>2.431</v>
      </c>
      <c r="BF146" t="n">
        <v>8.013999999999999</v>
      </c>
      <c r="BG146" t="n">
        <v>8.896000000000001</v>
      </c>
      <c r="BH146" t="n">
        <v>20.936</v>
      </c>
      <c r="BI146" t="n">
        <v>21.467</v>
      </c>
      <c r="BJ146" t="n">
        <v>87.2</v>
      </c>
      <c r="BK146" t="n">
        <v>46.779</v>
      </c>
      <c r="BL146" t="n">
        <v>6.421</v>
      </c>
      <c r="BM146" t="n">
        <v>68.922</v>
      </c>
      <c r="BN146" t="n">
        <v>64.08199999999999</v>
      </c>
      <c r="BO146" t="n">
        <v>72.018</v>
      </c>
      <c r="BP146" t="n">
        <v>131.137</v>
      </c>
      <c r="BQ146" t="n">
        <v>20.889</v>
      </c>
      <c r="BR146" t="n">
        <v>163.948</v>
      </c>
      <c r="BS146" t="n">
        <v>40.158</v>
      </c>
      <c r="BT146" t="n">
        <v>47.611</v>
      </c>
      <c r="BU146" t="n">
        <v>8.972</v>
      </c>
      <c r="BV146" t="n">
        <v>51.022</v>
      </c>
    </row>
    <row r="147">
      <c r="A147" t="inlineStr">
        <is>
          <t>Genypterus</t>
        </is>
      </c>
      <c r="B147" t="inlineStr">
        <is>
          <t>Genypterid cuskeels</t>
        </is>
      </c>
      <c r="C147" t="inlineStr">
        <is>
          <t>Large bathydemersals (&gt;=90 cm)</t>
        </is>
      </c>
      <c r="D147" t="inlineStr">
        <is>
          <t>Other fishes &amp; inverts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4.83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1004.352</v>
      </c>
    </row>
    <row r="148">
      <c r="A148" t="inlineStr">
        <is>
          <t>Zygochlamys patagonica</t>
        </is>
      </c>
      <c r="B148" t="inlineStr">
        <is>
          <t>Patagonean scallop</t>
        </is>
      </c>
      <c r="C148" t="inlineStr">
        <is>
          <t>Other demersal invertebrates</t>
        </is>
      </c>
      <c r="D148" t="inlineStr">
        <is>
          <t>Molluscs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12.653</v>
      </c>
      <c r="R148" t="n">
        <v>83.96899999999999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63.265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254.209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168.77</v>
      </c>
      <c r="BG148" t="n">
        <v>32.906</v>
      </c>
      <c r="BH148" t="n">
        <v>263.009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83.77800000000001</v>
      </c>
      <c r="BO148" t="n">
        <v>24.251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inlineStr">
        <is>
          <t>Dipturus trachyderma</t>
        </is>
      </c>
      <c r="B149" t="inlineStr">
        <is>
          <t>Ray</t>
        </is>
      </c>
      <c r="C149" t="inlineStr">
        <is>
          <t>Large rays (&gt;=90 cm)</t>
        </is>
      </c>
      <c r="D149" t="inlineStr">
        <is>
          <t>Sharks &amp; rays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60.568</v>
      </c>
      <c r="BO149" t="n">
        <v>29.055</v>
      </c>
      <c r="BP149" t="n">
        <v>668.481</v>
      </c>
      <c r="BQ149" t="n">
        <v>0</v>
      </c>
      <c r="BR149" t="n">
        <v>0</v>
      </c>
      <c r="BS149" t="n">
        <v>33.136</v>
      </c>
      <c r="BT149" t="n">
        <v>1.721</v>
      </c>
      <c r="BU149" t="n">
        <v>39.179</v>
      </c>
      <c r="BV149" t="n">
        <v>60.775</v>
      </c>
    </row>
    <row r="150">
      <c r="A150" t="inlineStr">
        <is>
          <t>Istiophorus platypterus</t>
        </is>
      </c>
      <c r="B150" t="inlineStr">
        <is>
          <t>Indo-Pacific sailfish</t>
        </is>
      </c>
      <c r="C150" t="inlineStr">
        <is>
          <t>Large pelagics (&gt;=90 cm)</t>
        </is>
      </c>
      <c r="D150" t="inlineStr">
        <is>
          <t>Tuna &amp; billfishes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36.274</v>
      </c>
      <c r="AU150" t="n">
        <v>31.442</v>
      </c>
      <c r="AV150" t="n">
        <v>57.54</v>
      </c>
      <c r="AW150" t="n">
        <v>41.674</v>
      </c>
      <c r="AX150" t="n">
        <v>10.418</v>
      </c>
      <c r="AY150" t="n">
        <v>3.49</v>
      </c>
      <c r="AZ150" t="n">
        <v>4.8</v>
      </c>
      <c r="BA150" t="n">
        <v>30.854</v>
      </c>
      <c r="BB150" t="n">
        <v>0</v>
      </c>
      <c r="BC150" t="n">
        <v>0.993</v>
      </c>
      <c r="BD150" t="n">
        <v>7.358</v>
      </c>
      <c r="BE150" t="n">
        <v>12.568</v>
      </c>
      <c r="BF150" t="n">
        <v>22.95</v>
      </c>
      <c r="BG150" t="n">
        <v>43.299</v>
      </c>
      <c r="BH150" t="n">
        <v>34.384</v>
      </c>
      <c r="BI150" t="n">
        <v>61.435</v>
      </c>
      <c r="BJ150" t="n">
        <v>78.88800000000001</v>
      </c>
      <c r="BK150" t="n">
        <v>39.641</v>
      </c>
      <c r="BL150" t="n">
        <v>4.442</v>
      </c>
      <c r="BM150" t="n">
        <v>7.469</v>
      </c>
      <c r="BN150" t="n">
        <v>85.997</v>
      </c>
      <c r="BO150" t="n">
        <v>40.131</v>
      </c>
      <c r="BP150" t="n">
        <v>3.997</v>
      </c>
      <c r="BQ150" t="n">
        <v>10.351</v>
      </c>
      <c r="BR150" t="n">
        <v>51.374</v>
      </c>
      <c r="BS150" t="n">
        <v>20.082</v>
      </c>
      <c r="BT150" t="n">
        <v>13.766</v>
      </c>
      <c r="BU150" t="n">
        <v>7.375</v>
      </c>
      <c r="BV150" t="n">
        <v>16.65</v>
      </c>
    </row>
    <row r="151">
      <c r="A151" t="inlineStr">
        <is>
          <t>Squalus acanthias</t>
        </is>
      </c>
      <c r="B151" t="inlineStr">
        <is>
          <t>Picked dogfish</t>
        </is>
      </c>
      <c r="C151" t="inlineStr">
        <is>
          <t>Large sharks (&gt;=90 cm)</t>
        </is>
      </c>
      <c r="D151" t="inlineStr">
        <is>
          <t>Sharks &amp; rays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9.326000000000001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176.028</v>
      </c>
      <c r="AH151" t="n">
        <v>36.138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13.688</v>
      </c>
      <c r="BJ151" t="n">
        <v>121.155</v>
      </c>
      <c r="BK151" t="n">
        <v>152.945</v>
      </c>
      <c r="BL151" t="n">
        <v>133.377</v>
      </c>
      <c r="BM151" t="n">
        <v>125.027</v>
      </c>
      <c r="BN151" t="n">
        <v>0</v>
      </c>
      <c r="BO151" t="n">
        <v>0</v>
      </c>
      <c r="BP151" t="n">
        <v>0</v>
      </c>
      <c r="BQ151" t="n">
        <v>4.469</v>
      </c>
      <c r="BR151" t="n">
        <v>1.069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Galatheidae</t>
        </is>
      </c>
      <c r="B152" t="inlineStr">
        <is>
          <t>Squat lobsters</t>
        </is>
      </c>
      <c r="C152" t="inlineStr">
        <is>
          <t>Lobsters, crabs</t>
        </is>
      </c>
      <c r="D152" t="inlineStr">
        <is>
          <t>Crustaceans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155.862</v>
      </c>
      <c r="BU152" t="n">
        <v>290.293</v>
      </c>
      <c r="BV152" t="n">
        <v>271.784</v>
      </c>
    </row>
    <row r="153">
      <c r="A153" t="inlineStr">
        <is>
          <t>Rhynchocinetes typus</t>
        </is>
      </c>
      <c r="B153" t="inlineStr">
        <is>
          <t>Rabbitnose shrimp</t>
        </is>
      </c>
      <c r="C153" t="inlineStr">
        <is>
          <t>Shrimps</t>
        </is>
      </c>
      <c r="D153" t="inlineStr">
        <is>
          <t>Crustaceans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622.4589999999999</v>
      </c>
      <c r="BO153" t="n">
        <v>12.454</v>
      </c>
      <c r="BP153" t="n">
        <v>35.097</v>
      </c>
      <c r="BQ153" t="n">
        <v>0</v>
      </c>
      <c r="BR153" t="n">
        <v>0</v>
      </c>
      <c r="BS153" t="n">
        <v>0</v>
      </c>
      <c r="BT153" t="n">
        <v>4.922</v>
      </c>
      <c r="BU153" t="n">
        <v>0</v>
      </c>
      <c r="BV153" t="n">
        <v>0.984</v>
      </c>
    </row>
    <row r="154">
      <c r="A154" t="inlineStr">
        <is>
          <t>Lamna nasus</t>
        </is>
      </c>
      <c r="B154" t="inlineStr">
        <is>
          <t>Porbeagle</t>
        </is>
      </c>
      <c r="C154" t="inlineStr">
        <is>
          <t>Large sharks (&gt;=90 cm)</t>
        </is>
      </c>
      <c r="D154" t="inlineStr">
        <is>
          <t>Sharks &amp; rays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58.089</v>
      </c>
      <c r="BS154" t="n">
        <v>0</v>
      </c>
      <c r="BT154" t="n">
        <v>188.322</v>
      </c>
      <c r="BU154" t="n">
        <v>235.612</v>
      </c>
      <c r="BV154" t="n">
        <v>189.017</v>
      </c>
    </row>
    <row r="155">
      <c r="A155" t="inlineStr">
        <is>
          <t>Coelorinchus chilensis</t>
        </is>
      </c>
      <c r="B155" t="inlineStr">
        <is>
          <t>Chilean grenadier</t>
        </is>
      </c>
      <c r="C155" t="inlineStr">
        <is>
          <t>Medium benthopelagics (30 - 89 cm)</t>
        </is>
      </c>
      <c r="D155" t="inlineStr">
        <is>
          <t>Cod-likes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61.625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47.136</v>
      </c>
      <c r="AX155" t="n">
        <v>6.067</v>
      </c>
      <c r="AY155" t="n">
        <v>0</v>
      </c>
      <c r="AZ155" t="n">
        <v>1.223</v>
      </c>
      <c r="BA155" t="n">
        <v>8.592000000000001</v>
      </c>
      <c r="BB155" t="n">
        <v>24.643</v>
      </c>
      <c r="BC155" t="n">
        <v>13.605</v>
      </c>
      <c r="BD155" t="n">
        <v>1.242</v>
      </c>
      <c r="BE155" t="n">
        <v>0</v>
      </c>
      <c r="BF155" t="n">
        <v>0</v>
      </c>
      <c r="BG155" t="n">
        <v>13.812</v>
      </c>
      <c r="BH155" t="n">
        <v>2.521</v>
      </c>
      <c r="BI155" t="n">
        <v>41.747</v>
      </c>
      <c r="BJ155" t="n">
        <v>78.72499999999999</v>
      </c>
      <c r="BK155" t="n">
        <v>80.291</v>
      </c>
      <c r="BL155" t="n">
        <v>83.145</v>
      </c>
      <c r="BM155" t="n">
        <v>200.282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Cancer plebejus</t>
        </is>
      </c>
      <c r="B156" t="inlineStr">
        <is>
          <t>Chilean crab</t>
        </is>
      </c>
      <c r="C156" t="inlineStr">
        <is>
          <t>Lobsters, crabs</t>
        </is>
      </c>
      <c r="D156" t="inlineStr">
        <is>
          <t>Crustaceans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138.666</v>
      </c>
      <c r="BS156" t="n">
        <v>134.4</v>
      </c>
      <c r="BT156" t="n">
        <v>138.859</v>
      </c>
      <c r="BU156" t="n">
        <v>106.11</v>
      </c>
      <c r="BV156" t="n">
        <v>106.993</v>
      </c>
    </row>
    <row r="157">
      <c r="A157" t="inlineStr">
        <is>
          <t>Fistularia corneta</t>
        </is>
      </c>
      <c r="B157" t="inlineStr">
        <is>
          <t>Pacific cornetfish</t>
        </is>
      </c>
      <c r="C157" t="inlineStr">
        <is>
          <t>Large pelagics (&gt;=90 cm)</t>
        </is>
      </c>
      <c r="D157" t="inlineStr">
        <is>
          <t>Other fishes &amp; inverts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573.024</v>
      </c>
    </row>
    <row r="158">
      <c r="A158" t="inlineStr">
        <is>
          <t>Trichiuridae</t>
        </is>
      </c>
      <c r="B158" t="inlineStr">
        <is>
          <t>Cutlassfishes</t>
        </is>
      </c>
      <c r="C158" t="inlineStr">
        <is>
          <t>Large benthopelagics (&gt;=90 cm)</t>
        </is>
      </c>
      <c r="D158" t="inlineStr">
        <is>
          <t>Perch-likes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81.22</v>
      </c>
      <c r="BC158" t="n">
        <v>449.101</v>
      </c>
      <c r="BD158" t="n">
        <v>0</v>
      </c>
      <c r="BE158" t="n">
        <v>0.956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inlineStr">
        <is>
          <t>Cynoglossidae</t>
        </is>
      </c>
      <c r="B159" t="inlineStr">
        <is>
          <t>Tonguefishes</t>
        </is>
      </c>
      <c r="C159" t="inlineStr">
        <is>
          <t>Small to medium flatfishes (&lt;90 cm)</t>
        </is>
      </c>
      <c r="D159" t="inlineStr">
        <is>
          <t>Flatfishes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12.368</v>
      </c>
      <c r="BC159" t="n">
        <v>36.154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433.315</v>
      </c>
    </row>
    <row r="160">
      <c r="A160" t="inlineStr">
        <is>
          <t>Lampris guttatus</t>
        </is>
      </c>
      <c r="B160" t="inlineStr">
        <is>
          <t>Opah</t>
        </is>
      </c>
      <c r="C160" t="inlineStr">
        <is>
          <t>Large bathypelagics (&gt;=90 cm)</t>
        </is>
      </c>
      <c r="D160" t="inlineStr">
        <is>
          <t>Other fishes &amp; inverts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2.523</v>
      </c>
      <c r="BG160" t="n">
        <v>3.799</v>
      </c>
      <c r="BH160" t="n">
        <v>55.92</v>
      </c>
      <c r="BI160" t="n">
        <v>67.61</v>
      </c>
      <c r="BJ160" t="n">
        <v>16.645</v>
      </c>
      <c r="BK160" t="n">
        <v>14.137</v>
      </c>
      <c r="BL160" t="n">
        <v>21.928</v>
      </c>
      <c r="BM160" t="n">
        <v>29.776</v>
      </c>
      <c r="BN160" t="n">
        <v>0</v>
      </c>
      <c r="BO160" t="n">
        <v>2.29</v>
      </c>
      <c r="BP160" t="n">
        <v>0</v>
      </c>
      <c r="BQ160" t="n">
        <v>9.162000000000001</v>
      </c>
      <c r="BR160" t="n">
        <v>13.145</v>
      </c>
      <c r="BS160" t="n">
        <v>21.909</v>
      </c>
      <c r="BT160" t="n">
        <v>53.823</v>
      </c>
      <c r="BU160" t="n">
        <v>59.213</v>
      </c>
      <c r="BV160" t="n">
        <v>88.267</v>
      </c>
    </row>
    <row r="161">
      <c r="A161" t="inlineStr">
        <is>
          <t>Epinephelus</t>
        </is>
      </c>
      <c r="B161" t="inlineStr">
        <is>
          <t>Seabasses, hinds</t>
        </is>
      </c>
      <c r="C161" t="inlineStr">
        <is>
          <t>Medium reef assoc. fish (30 - 89 cm)</t>
        </is>
      </c>
      <c r="D161" t="inlineStr">
        <is>
          <t>Perch-likes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442.567</v>
      </c>
    </row>
    <row r="162">
      <c r="A162" t="inlineStr">
        <is>
          <t>Isurus</t>
        </is>
      </c>
      <c r="B162" t="inlineStr">
        <is>
          <t>Mako sharks</t>
        </is>
      </c>
      <c r="C162" t="inlineStr">
        <is>
          <t>Large sharks (&gt;=90 cm)</t>
        </is>
      </c>
      <c r="D162" t="inlineStr">
        <is>
          <t>Sharks &amp; rays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0.115</v>
      </c>
      <c r="J162" t="n">
        <v>0.264</v>
      </c>
      <c r="K162" t="n">
        <v>0</v>
      </c>
      <c r="L162" t="n">
        <v>0.377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0.353</v>
      </c>
      <c r="AQ162" t="n">
        <v>0.001</v>
      </c>
      <c r="AR162" t="n">
        <v>0.008999999999999999</v>
      </c>
      <c r="AS162" t="n">
        <v>17.649</v>
      </c>
      <c r="AT162" t="n">
        <v>13.741</v>
      </c>
      <c r="AU162" t="n">
        <v>9.179</v>
      </c>
      <c r="AV162" t="n">
        <v>42.104</v>
      </c>
      <c r="AW162" t="n">
        <v>0.08400000000000001</v>
      </c>
      <c r="AX162" t="n">
        <v>1.453</v>
      </c>
      <c r="AY162" t="n">
        <v>0.06</v>
      </c>
      <c r="AZ162" t="n">
        <v>4.917</v>
      </c>
      <c r="BA162" t="n">
        <v>18.113</v>
      </c>
      <c r="BB162" t="n">
        <v>11.371</v>
      </c>
      <c r="BC162" t="n">
        <v>14.998</v>
      </c>
      <c r="BD162" t="n">
        <v>69.20399999999999</v>
      </c>
      <c r="BE162" t="n">
        <v>24.477</v>
      </c>
      <c r="BF162" t="n">
        <v>15.241</v>
      </c>
      <c r="BG162" t="n">
        <v>17.462</v>
      </c>
      <c r="BH162" t="n">
        <v>13.419</v>
      </c>
      <c r="BI162" t="n">
        <v>8.342000000000001</v>
      </c>
      <c r="BJ162" t="n">
        <v>8.157</v>
      </c>
      <c r="BK162" t="n">
        <v>8.622</v>
      </c>
      <c r="BL162" t="n">
        <v>12.274</v>
      </c>
      <c r="BM162" t="n">
        <v>18.382</v>
      </c>
      <c r="BN162" t="n">
        <v>22.264</v>
      </c>
      <c r="BO162" t="n">
        <v>3.663</v>
      </c>
      <c r="BP162" t="n">
        <v>6.076</v>
      </c>
      <c r="BQ162" t="n">
        <v>16.341</v>
      </c>
      <c r="BR162" t="n">
        <v>8.141</v>
      </c>
      <c r="BS162" t="n">
        <v>19.872</v>
      </c>
      <c r="BT162" t="n">
        <v>2.672</v>
      </c>
      <c r="BU162" t="n">
        <v>1.186</v>
      </c>
      <c r="BV162" t="n">
        <v>1.792</v>
      </c>
    </row>
    <row r="163">
      <c r="A163" t="inlineStr">
        <is>
          <t>Rajidae</t>
        </is>
      </c>
      <c r="B163" t="inlineStr">
        <is>
          <t>Stingrays</t>
        </is>
      </c>
      <c r="C163" t="inlineStr">
        <is>
          <t>Large rays (&gt;=90 cm)</t>
        </is>
      </c>
      <c r="D163" t="inlineStr">
        <is>
          <t>Sharks &amp; rays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92.736</v>
      </c>
      <c r="BH163" t="n">
        <v>21.099</v>
      </c>
      <c r="BI163" t="n">
        <v>79.72799999999999</v>
      </c>
      <c r="BJ163" t="n">
        <v>143.793</v>
      </c>
      <c r="BK163" t="n">
        <v>10.04</v>
      </c>
      <c r="BL163" t="n">
        <v>36.529</v>
      </c>
      <c r="BM163" t="n">
        <v>8.85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Aplodactylus punctatus</t>
        </is>
      </c>
      <c r="B164" t="inlineStr">
        <is>
          <t>Aplodactylus punctatus</t>
        </is>
      </c>
      <c r="C164" t="inlineStr">
        <is>
          <t>Medium demersals (30 - 89 cm)</t>
        </is>
      </c>
      <c r="D164" t="inlineStr">
        <is>
          <t>Perch-likes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1.213</v>
      </c>
      <c r="BA164" t="n">
        <v>0</v>
      </c>
      <c r="BB164" t="n">
        <v>2.444</v>
      </c>
      <c r="BC164" t="n">
        <v>0</v>
      </c>
      <c r="BD164" t="n">
        <v>11.083</v>
      </c>
      <c r="BE164" t="n">
        <v>0</v>
      </c>
      <c r="BF164" t="n">
        <v>0</v>
      </c>
      <c r="BG164" t="n">
        <v>16.191</v>
      </c>
      <c r="BH164" t="n">
        <v>7.501</v>
      </c>
      <c r="BI164" t="n">
        <v>10.038</v>
      </c>
      <c r="BJ164" t="n">
        <v>15.113</v>
      </c>
      <c r="BK164" t="n">
        <v>27.81</v>
      </c>
      <c r="BL164" t="n">
        <v>40.6</v>
      </c>
      <c r="BM164" t="n">
        <v>16.554</v>
      </c>
      <c r="BN164" t="n">
        <v>45.059</v>
      </c>
      <c r="BO164" t="n">
        <v>49.565</v>
      </c>
      <c r="BP164" t="n">
        <v>29.289</v>
      </c>
      <c r="BQ164" t="n">
        <v>47.312</v>
      </c>
      <c r="BR164" t="n">
        <v>6.465</v>
      </c>
      <c r="BS164" t="n">
        <v>3.233</v>
      </c>
      <c r="BT164" t="n">
        <v>4.086</v>
      </c>
      <c r="BU164" t="n">
        <v>6.097</v>
      </c>
      <c r="BV164" t="n">
        <v>7.185</v>
      </c>
    </row>
    <row r="165">
      <c r="A165" t="inlineStr">
        <is>
          <t>Euthynnus lineatus</t>
        </is>
      </c>
      <c r="B165" t="inlineStr">
        <is>
          <t>Black skipjack</t>
        </is>
      </c>
      <c r="C165" t="inlineStr">
        <is>
          <t>Medium pelagics (30 - 89 cm)</t>
        </is>
      </c>
      <c r="D165" t="inlineStr">
        <is>
          <t>Tuna &amp; billfishes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10.958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0.027</v>
      </c>
      <c r="BJ165" t="n">
        <v>0.106</v>
      </c>
      <c r="BK165" t="n">
        <v>0.002</v>
      </c>
      <c r="BL165" t="n">
        <v>0</v>
      </c>
      <c r="BM165" t="n">
        <v>180.793</v>
      </c>
      <c r="BN165" t="n">
        <v>0</v>
      </c>
      <c r="BO165" t="n">
        <v>7.097</v>
      </c>
      <c r="BP165" t="n">
        <v>23.582</v>
      </c>
      <c r="BQ165" t="n">
        <v>7.754</v>
      </c>
      <c r="BR165" t="n">
        <v>35.403</v>
      </c>
      <c r="BS165" t="n">
        <v>0</v>
      </c>
      <c r="BT165" t="n">
        <v>0.451</v>
      </c>
      <c r="BU165" t="n">
        <v>0</v>
      </c>
      <c r="BV165" t="n">
        <v>25.925</v>
      </c>
    </row>
    <row r="166">
      <c r="A166" t="inlineStr">
        <is>
          <t>Chondrichthyes</t>
        </is>
      </c>
      <c r="B166" t="inlineStr">
        <is>
          <t>Sharks, rays, chimaeras</t>
        </is>
      </c>
      <c r="C166" t="inlineStr">
        <is>
          <t>Large sharks (&gt;=90 cm)</t>
        </is>
      </c>
      <c r="D166" t="inlineStr">
        <is>
          <t>Sharks &amp; rays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196.994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83.508</v>
      </c>
      <c r="BQ166" t="n">
        <v>0</v>
      </c>
      <c r="BR166" t="n">
        <v>0</v>
      </c>
      <c r="BS166" t="n">
        <v>1.05</v>
      </c>
      <c r="BT166" t="n">
        <v>1.05</v>
      </c>
      <c r="BU166" t="n">
        <v>0</v>
      </c>
      <c r="BV166" t="n">
        <v>0.362</v>
      </c>
    </row>
    <row r="167">
      <c r="A167" t="inlineStr">
        <is>
          <t>Thunnus orientalis</t>
        </is>
      </c>
      <c r="B167" t="inlineStr">
        <is>
          <t>Pacific bluefin tuna</t>
        </is>
      </c>
      <c r="C167" t="inlineStr">
        <is>
          <t>Large pelagics (&gt;=90 cm)</t>
        </is>
      </c>
      <c r="D167" t="inlineStr">
        <is>
          <t>Tuna &amp; billfishes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0.006</v>
      </c>
      <c r="J167" t="n">
        <v>0.011</v>
      </c>
      <c r="K167" t="n">
        <v>0</v>
      </c>
      <c r="L167" t="n">
        <v>0.007</v>
      </c>
      <c r="M167" t="n">
        <v>0</v>
      </c>
      <c r="N167" t="n">
        <v>0.767</v>
      </c>
      <c r="O167" t="n">
        <v>0</v>
      </c>
      <c r="P167" t="n">
        <v>1.099</v>
      </c>
      <c r="Q167" t="n">
        <v>8.869</v>
      </c>
      <c r="R167" t="n">
        <v>18.792</v>
      </c>
      <c r="S167" t="n">
        <v>3.677</v>
      </c>
      <c r="T167" t="n">
        <v>14.454</v>
      </c>
      <c r="U167" t="n">
        <v>0</v>
      </c>
      <c r="V167" t="n">
        <v>0</v>
      </c>
      <c r="W167" t="n">
        <v>0</v>
      </c>
      <c r="X167" t="n">
        <v>0</v>
      </c>
      <c r="Y167" t="n">
        <v>0.04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0.007</v>
      </c>
      <c r="AT167" t="n">
        <v>0.007</v>
      </c>
      <c r="AU167" t="n">
        <v>0.001</v>
      </c>
      <c r="AV167" t="n">
        <v>10.358</v>
      </c>
      <c r="AW167" t="n">
        <v>1.437</v>
      </c>
      <c r="AX167" t="n">
        <v>4.547</v>
      </c>
      <c r="AY167" t="n">
        <v>0.001</v>
      </c>
      <c r="AZ167" t="n">
        <v>0.002</v>
      </c>
      <c r="BA167" t="n">
        <v>0</v>
      </c>
      <c r="BB167" t="n">
        <v>0.679</v>
      </c>
      <c r="BC167" t="n">
        <v>0.001</v>
      </c>
      <c r="BD167" t="n">
        <v>3.451</v>
      </c>
      <c r="BE167" t="n">
        <v>0.006</v>
      </c>
      <c r="BF167" t="n">
        <v>2.819</v>
      </c>
      <c r="BG167" t="n">
        <v>0</v>
      </c>
      <c r="BH167" t="n">
        <v>90.77200000000001</v>
      </c>
      <c r="BI167" t="n">
        <v>0.001</v>
      </c>
      <c r="BJ167" t="n">
        <v>12.921</v>
      </c>
      <c r="BK167" t="n">
        <v>0.08599999999999999</v>
      </c>
      <c r="BL167" t="n">
        <v>0.62</v>
      </c>
      <c r="BM167" t="n">
        <v>0</v>
      </c>
      <c r="BN167" t="n">
        <v>25.343</v>
      </c>
      <c r="BO167" t="n">
        <v>6.483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Carcharhinus falciformis</t>
        </is>
      </c>
      <c r="B168" t="inlineStr">
        <is>
          <t>Silky shark</t>
        </is>
      </c>
      <c r="C168" t="inlineStr">
        <is>
          <t>Large sharks (&gt;=90 cm)</t>
        </is>
      </c>
      <c r="D168" t="inlineStr">
        <is>
          <t>Sharks &amp; rays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0.55</v>
      </c>
      <c r="J168" t="n">
        <v>0.598</v>
      </c>
      <c r="K168" t="n">
        <v>0</v>
      </c>
      <c r="L168" t="n">
        <v>1.882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0.102</v>
      </c>
      <c r="AU168" t="n">
        <v>3.219</v>
      </c>
      <c r="AV168" t="n">
        <v>1.969</v>
      </c>
      <c r="AW168" t="n">
        <v>0</v>
      </c>
      <c r="AX168" t="n">
        <v>0.165</v>
      </c>
      <c r="AY168" t="n">
        <v>0</v>
      </c>
      <c r="AZ168" t="n">
        <v>3.257</v>
      </c>
      <c r="BA168" t="n">
        <v>4.443</v>
      </c>
      <c r="BB168" t="n">
        <v>0.058</v>
      </c>
      <c r="BC168" t="n">
        <v>10.752</v>
      </c>
      <c r="BD168" t="n">
        <v>4.916</v>
      </c>
      <c r="BE168" t="n">
        <v>4.025</v>
      </c>
      <c r="BF168" t="n">
        <v>2.762</v>
      </c>
      <c r="BG168" t="n">
        <v>12.096</v>
      </c>
      <c r="BH168" t="n">
        <v>25.049</v>
      </c>
      <c r="BI168" t="n">
        <v>7.786</v>
      </c>
      <c r="BJ168" t="n">
        <v>57.983</v>
      </c>
      <c r="BK168" t="n">
        <v>2.232</v>
      </c>
      <c r="BL168" t="n">
        <v>45.301</v>
      </c>
      <c r="BM168" t="n">
        <v>5.589</v>
      </c>
      <c r="BN168" t="n">
        <v>2.969</v>
      </c>
      <c r="BO168" t="n">
        <v>0.141</v>
      </c>
      <c r="BP168" t="n">
        <v>0</v>
      </c>
      <c r="BQ168" t="n">
        <v>0.048</v>
      </c>
      <c r="BR168" t="n">
        <v>0</v>
      </c>
      <c r="BS168" t="n">
        <v>4.155</v>
      </c>
      <c r="BT168" t="n">
        <v>0.29</v>
      </c>
      <c r="BU168" t="n">
        <v>0.183</v>
      </c>
      <c r="BV168" t="n">
        <v>0.162</v>
      </c>
    </row>
    <row r="169">
      <c r="A169" t="inlineStr">
        <is>
          <t>Holothuriidae</t>
        </is>
      </c>
      <c r="B169" t="inlineStr">
        <is>
          <t>Fleshy sea cucumbers</t>
        </is>
      </c>
      <c r="C169" t="inlineStr">
        <is>
          <t>Other demersal invertebrates</t>
        </is>
      </c>
      <c r="D169" t="inlineStr">
        <is>
          <t>Other fishes &amp; inverts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198.441</v>
      </c>
    </row>
    <row r="170">
      <c r="A170" t="inlineStr">
        <is>
          <t>Brama brama</t>
        </is>
      </c>
      <c r="B170" t="inlineStr">
        <is>
          <t>Atlantic pomfret</t>
        </is>
      </c>
      <c r="C170" t="inlineStr">
        <is>
          <t>Medium bathypelagics (30 - 89 cm)</t>
        </is>
      </c>
      <c r="D170" t="inlineStr">
        <is>
          <t>Perch-likes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79.90600000000001</v>
      </c>
      <c r="BV170" t="n">
        <v>97.194</v>
      </c>
    </row>
    <row r="171">
      <c r="A171" t="inlineStr">
        <is>
          <t>Mobula birostris</t>
        </is>
      </c>
      <c r="B171" t="inlineStr">
        <is>
          <t>Giant manta</t>
        </is>
      </c>
      <c r="C171" t="inlineStr">
        <is>
          <t>Large rays (&gt;=90 cm)</t>
        </is>
      </c>
      <c r="D171" t="inlineStr">
        <is>
          <t>Sharks &amp; rays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166.272</v>
      </c>
    </row>
    <row r="172">
      <c r="A172" t="inlineStr">
        <is>
          <t>Malacanthidae</t>
        </is>
      </c>
      <c r="B172" t="inlineStr">
        <is>
          <t>Tilefishes</t>
        </is>
      </c>
      <c r="C172" t="inlineStr">
        <is>
          <t>Medium demersals (30 - 89 cm)</t>
        </is>
      </c>
      <c r="D172" t="inlineStr">
        <is>
          <t>Perch-likes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144.082</v>
      </c>
    </row>
    <row r="173">
      <c r="A173" t="inlineStr">
        <is>
          <t>Marine groundfishes not identified</t>
        </is>
      </c>
      <c r="B173" t="inlineStr">
        <is>
          <t>Groundfishes</t>
        </is>
      </c>
      <c r="C173" t="inlineStr">
        <is>
          <t>Medium demersals (30 - 89 cm)</t>
        </is>
      </c>
      <c r="D173" t="inlineStr">
        <is>
          <t>Other fishes &amp; inverts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4.662</v>
      </c>
      <c r="AL173" t="n">
        <v>10.489</v>
      </c>
      <c r="AM173" t="n">
        <v>1.165</v>
      </c>
      <c r="AN173" t="n">
        <v>3.496</v>
      </c>
      <c r="AO173" t="n">
        <v>24.475</v>
      </c>
      <c r="AP173" t="n">
        <v>4.662</v>
      </c>
      <c r="AQ173" t="n">
        <v>3.496</v>
      </c>
      <c r="AR173" t="n">
        <v>10.489</v>
      </c>
      <c r="AS173" t="n">
        <v>11.701</v>
      </c>
      <c r="AT173" t="n">
        <v>0</v>
      </c>
      <c r="AU173" t="n">
        <v>2.359</v>
      </c>
      <c r="AV173" t="n">
        <v>10.656</v>
      </c>
      <c r="AW173" t="n">
        <v>0</v>
      </c>
      <c r="AX173" t="n">
        <v>5.966</v>
      </c>
      <c r="AY173" t="n">
        <v>2.396</v>
      </c>
      <c r="AZ173" t="n">
        <v>26.454</v>
      </c>
      <c r="BA173" t="n">
        <v>9.657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1.239</v>
      </c>
      <c r="BI173" t="n">
        <v>0</v>
      </c>
      <c r="BJ173" t="n">
        <v>1.249</v>
      </c>
      <c r="BK173" t="n">
        <v>0</v>
      </c>
      <c r="BL173" t="n">
        <v>2.516</v>
      </c>
      <c r="BM173" t="n">
        <v>3.788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Micromesistius australis</t>
        </is>
      </c>
      <c r="B174" t="inlineStr">
        <is>
          <t>Southern blue whiting</t>
        </is>
      </c>
      <c r="C174" t="inlineStr">
        <is>
          <t>Medium benthopelagics (30 - 89 cm)</t>
        </is>
      </c>
      <c r="D174" t="inlineStr">
        <is>
          <t>Cod-likes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59.186</v>
      </c>
      <c r="BV174" t="n">
        <v>80.794</v>
      </c>
    </row>
    <row r="175">
      <c r="A175" t="inlineStr">
        <is>
          <t>Scombroidei</t>
        </is>
      </c>
      <c r="B175" t="inlineStr">
        <is>
          <t>Tunas, bonitos, billfishes</t>
        </is>
      </c>
      <c r="C175" t="inlineStr">
        <is>
          <t>Large pelagics (&gt;=90 cm)</t>
        </is>
      </c>
      <c r="D175" t="inlineStr">
        <is>
          <t>Tuna &amp; billfishes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26.261</v>
      </c>
      <c r="AK175" t="n">
        <v>96.68899999999999</v>
      </c>
      <c r="AL175" t="n">
        <v>0</v>
      </c>
      <c r="AM175" t="n">
        <v>10.195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Mustelus mento</t>
        </is>
      </c>
      <c r="B176" t="inlineStr">
        <is>
          <t>Speckled smooth-hound</t>
        </is>
      </c>
      <c r="C176" t="inlineStr">
        <is>
          <t>Large sharks (&gt;=90 cm)</t>
        </is>
      </c>
      <c r="D176" t="inlineStr">
        <is>
          <t>Sharks &amp; rays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28.816</v>
      </c>
      <c r="BS176" t="n">
        <v>23.48</v>
      </c>
      <c r="BT176" t="n">
        <v>24.505</v>
      </c>
      <c r="BU176" t="n">
        <v>18.091</v>
      </c>
      <c r="BV176" t="n">
        <v>36.679</v>
      </c>
    </row>
    <row r="177">
      <c r="A177" t="inlineStr">
        <is>
          <t>Trichiurus lepturus</t>
        </is>
      </c>
      <c r="B177" t="inlineStr">
        <is>
          <t>Largehead hairtail</t>
        </is>
      </c>
      <c r="C177" t="inlineStr">
        <is>
          <t>Large benthopelagics (&gt;=90 cm)</t>
        </is>
      </c>
      <c r="D177" t="inlineStr">
        <is>
          <t>Perch-likes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124.187</v>
      </c>
    </row>
    <row r="178">
      <c r="A178" t="inlineStr">
        <is>
          <t>Clupeiformes</t>
        </is>
      </c>
      <c r="B178" t="inlineStr">
        <is>
          <t>Herrings, shads, anchovies</t>
        </is>
      </c>
      <c r="C178" t="inlineStr">
        <is>
          <t>Small pelagics (&lt;30 cm)</t>
        </is>
      </c>
      <c r="D178" t="inlineStr">
        <is>
          <t>Other fishes &amp; inverts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116.623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inlineStr">
        <is>
          <t>Taliepus marginatus</t>
        </is>
      </c>
      <c r="B179" t="inlineStr">
        <is>
          <t>Spider crabs</t>
        </is>
      </c>
      <c r="C179" t="inlineStr">
        <is>
          <t>Lobsters, crabs</t>
        </is>
      </c>
      <c r="D179" t="inlineStr">
        <is>
          <t>Crustaceans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18.451</v>
      </c>
      <c r="BS179" t="n">
        <v>0</v>
      </c>
      <c r="BT179" t="n">
        <v>18.747</v>
      </c>
      <c r="BU179" t="n">
        <v>18.747</v>
      </c>
      <c r="BV179" t="n">
        <v>59.2</v>
      </c>
    </row>
    <row r="180">
      <c r="A180" t="inlineStr">
        <is>
          <t>Scorpaena histrio</t>
        </is>
      </c>
      <c r="B180" t="inlineStr">
        <is>
          <t>Player scorpionfish</t>
        </is>
      </c>
      <c r="C180" t="inlineStr">
        <is>
          <t>Small demersals (&lt;30 cm)</t>
        </is>
      </c>
      <c r="D180" t="inlineStr">
        <is>
          <t>Scorpionfishes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115.037</v>
      </c>
    </row>
    <row r="181">
      <c r="A181" t="inlineStr">
        <is>
          <t>Elagatis bipinnulata</t>
        </is>
      </c>
      <c r="B181" t="inlineStr">
        <is>
          <t>Rainbow runner</t>
        </is>
      </c>
      <c r="C181" t="inlineStr">
        <is>
          <t>Large pelagics (&gt;=90 cm)</t>
        </is>
      </c>
      <c r="D181" t="inlineStr">
        <is>
          <t>Perch-likes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4.832</v>
      </c>
      <c r="AW181" t="n">
        <v>2.426</v>
      </c>
      <c r="AX181" t="n">
        <v>0</v>
      </c>
      <c r="AY181" t="n">
        <v>1.222</v>
      </c>
      <c r="AZ181" t="n">
        <v>1.227</v>
      </c>
      <c r="BA181" t="n">
        <v>4.927</v>
      </c>
      <c r="BB181" t="n">
        <v>2.473</v>
      </c>
      <c r="BC181" t="n">
        <v>0</v>
      </c>
      <c r="BD181" t="n">
        <v>8.720000000000001</v>
      </c>
      <c r="BE181" t="n">
        <v>0</v>
      </c>
      <c r="BF181" t="n">
        <v>7.531</v>
      </c>
      <c r="BG181" t="n">
        <v>17.639</v>
      </c>
      <c r="BH181" t="n">
        <v>6.323</v>
      </c>
      <c r="BI181" t="n">
        <v>2.539</v>
      </c>
      <c r="BJ181" t="n">
        <v>3.822</v>
      </c>
      <c r="BK181" t="n">
        <v>14.067</v>
      </c>
      <c r="BL181" t="n">
        <v>16.686</v>
      </c>
      <c r="BM181" t="n">
        <v>7.73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Istiompax indica</t>
        </is>
      </c>
      <c r="B182" t="inlineStr">
        <is>
          <t>Black marlin</t>
        </is>
      </c>
      <c r="C182" t="inlineStr">
        <is>
          <t>Large pelagics (&gt;=90 cm)</t>
        </is>
      </c>
      <c r="D182" t="inlineStr">
        <is>
          <t>Tuna &amp; billfishes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3.829</v>
      </c>
      <c r="AT182" t="n">
        <v>0.414</v>
      </c>
      <c r="AU182" t="n">
        <v>0.199</v>
      </c>
      <c r="AV182" t="n">
        <v>6.272</v>
      </c>
      <c r="AW182" t="n">
        <v>2.53</v>
      </c>
      <c r="AX182" t="n">
        <v>0.48</v>
      </c>
      <c r="AY182" t="n">
        <v>0.385</v>
      </c>
      <c r="AZ182" t="n">
        <v>0.467</v>
      </c>
      <c r="BA182" t="n">
        <v>3.663</v>
      </c>
      <c r="BB182" t="n">
        <v>0</v>
      </c>
      <c r="BC182" t="n">
        <v>0.13</v>
      </c>
      <c r="BD182" t="n">
        <v>1.041</v>
      </c>
      <c r="BE182" t="n">
        <v>0.211</v>
      </c>
      <c r="BF182" t="n">
        <v>1.861</v>
      </c>
      <c r="BG182" t="n">
        <v>3.843</v>
      </c>
      <c r="BH182" t="n">
        <v>4.431</v>
      </c>
      <c r="BI182" t="n">
        <v>7.201</v>
      </c>
      <c r="BJ182" t="n">
        <v>7.777</v>
      </c>
      <c r="BK182" t="n">
        <v>12.593</v>
      </c>
      <c r="BL182" t="n">
        <v>5.448</v>
      </c>
      <c r="BM182" t="n">
        <v>2.037</v>
      </c>
      <c r="BN182" t="n">
        <v>3.333</v>
      </c>
      <c r="BO182" t="n">
        <v>2.049</v>
      </c>
      <c r="BP182" t="n">
        <v>1.452</v>
      </c>
      <c r="BQ182" t="n">
        <v>1.664</v>
      </c>
      <c r="BR182" t="n">
        <v>5.466</v>
      </c>
      <c r="BS182" t="n">
        <v>4.833</v>
      </c>
      <c r="BT182" t="n">
        <v>2.402</v>
      </c>
      <c r="BU182" t="n">
        <v>0.794</v>
      </c>
      <c r="BV182" t="n">
        <v>0.6830000000000001</v>
      </c>
    </row>
    <row r="183">
      <c r="A183" t="inlineStr">
        <is>
          <t>Paralabrax</t>
        </is>
      </c>
      <c r="B183" t="inlineStr">
        <is>
          <t>Sand basses</t>
        </is>
      </c>
      <c r="C183" t="inlineStr">
        <is>
          <t>Medium reef assoc. fish (30 - 89 cm)</t>
        </is>
      </c>
      <c r="D183" t="inlineStr">
        <is>
          <t>Perch-likes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85.27</v>
      </c>
    </row>
    <row r="184">
      <c r="A184" t="inlineStr">
        <is>
          <t>Carcharhinus longimanus</t>
        </is>
      </c>
      <c r="B184" t="inlineStr">
        <is>
          <t>Oceanic whitetip shark</t>
        </is>
      </c>
      <c r="C184" t="inlineStr">
        <is>
          <t>Large sharks (&gt;=90 cm)</t>
        </is>
      </c>
      <c r="D184" t="inlineStr">
        <is>
          <t>Sharks &amp; rays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0.058</v>
      </c>
      <c r="J184" t="n">
        <v>0.147</v>
      </c>
      <c r="K184" t="n">
        <v>0</v>
      </c>
      <c r="L184" t="n">
        <v>0.206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0.219</v>
      </c>
      <c r="AQ184" t="n">
        <v>0</v>
      </c>
      <c r="AR184" t="n">
        <v>0.006</v>
      </c>
      <c r="AS184" t="n">
        <v>10.402</v>
      </c>
      <c r="AT184" t="n">
        <v>3.795</v>
      </c>
      <c r="AU184" t="n">
        <v>0.6870000000000001</v>
      </c>
      <c r="AV184" t="n">
        <v>21.983</v>
      </c>
      <c r="AW184" t="n">
        <v>0.018</v>
      </c>
      <c r="AX184" t="n">
        <v>0.8169999999999999</v>
      </c>
      <c r="AY184" t="n">
        <v>0.037</v>
      </c>
      <c r="AZ184" t="n">
        <v>0.669</v>
      </c>
      <c r="BA184" t="n">
        <v>0</v>
      </c>
      <c r="BB184" t="n">
        <v>5.522</v>
      </c>
      <c r="BC184" t="n">
        <v>0.119</v>
      </c>
      <c r="BD184" t="n">
        <v>5.497</v>
      </c>
      <c r="BE184" t="n">
        <v>3.247</v>
      </c>
      <c r="BF184" t="n">
        <v>4.285</v>
      </c>
      <c r="BG184" t="n">
        <v>1.279</v>
      </c>
      <c r="BH184" t="n">
        <v>0.82</v>
      </c>
      <c r="BI184" t="n">
        <v>0.423</v>
      </c>
      <c r="BJ184" t="n">
        <v>0.057</v>
      </c>
      <c r="BK184" t="n">
        <v>1.125</v>
      </c>
      <c r="BL184" t="n">
        <v>0.034</v>
      </c>
      <c r="BM184" t="n">
        <v>2.682</v>
      </c>
      <c r="BN184" t="n">
        <v>3.816</v>
      </c>
      <c r="BO184" t="n">
        <v>0.005</v>
      </c>
      <c r="BP184" t="n">
        <v>0</v>
      </c>
      <c r="BQ184" t="n">
        <v>0</v>
      </c>
      <c r="BR184" t="n">
        <v>0</v>
      </c>
      <c r="BS184" t="n">
        <v>14.613</v>
      </c>
      <c r="BT184" t="n">
        <v>0</v>
      </c>
      <c r="BU184" t="n">
        <v>0</v>
      </c>
      <c r="BV184" t="n">
        <v>0.091</v>
      </c>
    </row>
    <row r="185">
      <c r="A185" t="inlineStr">
        <is>
          <t>Diplectrum pacificum</t>
        </is>
      </c>
      <c r="B185" t="inlineStr">
        <is>
          <t>Inshore sand perch</t>
        </is>
      </c>
      <c r="C185" t="inlineStr">
        <is>
          <t>Small demersals (&lt;30 cm)</t>
        </is>
      </c>
      <c r="D185" t="inlineStr">
        <is>
          <t>Perch-likes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60.615</v>
      </c>
    </row>
    <row r="186">
      <c r="A186" t="inlineStr">
        <is>
          <t>Decapterus macrosoma</t>
        </is>
      </c>
      <c r="B186" t="inlineStr">
        <is>
          <t>Shortfin scad</t>
        </is>
      </c>
      <c r="C186" t="inlineStr">
        <is>
          <t>Medium pelagics (30 - 89 cm)</t>
        </is>
      </c>
      <c r="D186" t="inlineStr">
        <is>
          <t>Perch-likes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52.513</v>
      </c>
    </row>
    <row r="187">
      <c r="A187" t="inlineStr">
        <is>
          <t>Heteropriacanthus cruentatus</t>
        </is>
      </c>
      <c r="B187" t="inlineStr">
        <is>
          <t>Glasseye</t>
        </is>
      </c>
      <c r="C187" t="inlineStr">
        <is>
          <t>Medium reef assoc. fish (30 - 89 cm)</t>
        </is>
      </c>
      <c r="D187" t="inlineStr">
        <is>
          <t>Perch-likes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1.232</v>
      </c>
      <c r="BB187" t="n">
        <v>2.472</v>
      </c>
      <c r="BC187" t="n">
        <v>0</v>
      </c>
      <c r="BD187" t="n">
        <v>0</v>
      </c>
      <c r="BE187" t="n">
        <v>0</v>
      </c>
      <c r="BF187" t="n">
        <v>0</v>
      </c>
      <c r="BG187" t="n">
        <v>5.039</v>
      </c>
      <c r="BH187" t="n">
        <v>5.058</v>
      </c>
      <c r="BI187" t="n">
        <v>10.154</v>
      </c>
      <c r="BJ187" t="n">
        <v>2.548</v>
      </c>
      <c r="BK187" t="n">
        <v>6.393</v>
      </c>
      <c r="BL187" t="n">
        <v>12.834</v>
      </c>
      <c r="BM187" t="n">
        <v>6.441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</row>
    <row r="188">
      <c r="A188" t="inlineStr">
        <is>
          <t>Paralomis</t>
        </is>
      </c>
      <c r="B188" t="inlineStr">
        <is>
          <t>Spider crabs</t>
        </is>
      </c>
      <c r="C188" t="inlineStr">
        <is>
          <t>Lobsters, crabs</t>
        </is>
      </c>
      <c r="D188" t="inlineStr">
        <is>
          <t>Crustaceans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5.893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13.468</v>
      </c>
      <c r="BH188" t="n">
        <v>22.122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2.215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</row>
    <row r="189">
      <c r="A189" t="inlineStr">
        <is>
          <t>Diapterus peruvianus</t>
        </is>
      </c>
      <c r="B189" t="inlineStr">
        <is>
          <t>Peruvian mojarra</t>
        </is>
      </c>
      <c r="C189" t="inlineStr">
        <is>
          <t>Small demersals (&lt;30 cm)</t>
        </is>
      </c>
      <c r="D189" t="inlineStr">
        <is>
          <t>Perch-likes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41.923</v>
      </c>
    </row>
    <row r="190">
      <c r="A190" t="inlineStr">
        <is>
          <t>Seriola rivoliana</t>
        </is>
      </c>
      <c r="B190" t="inlineStr">
        <is>
          <t>Longfin yellowtail</t>
        </is>
      </c>
      <c r="C190" t="inlineStr">
        <is>
          <t>Large benthopelagics (&gt;=90 cm)</t>
        </is>
      </c>
      <c r="D190" t="inlineStr">
        <is>
          <t>Perch-likes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27.837</v>
      </c>
    </row>
    <row r="191">
      <c r="A191" t="inlineStr">
        <is>
          <t>Sebastidae</t>
        </is>
      </c>
      <c r="B191" t="inlineStr">
        <is>
          <t>Rockfishes, rockcods, thornyheads</t>
        </is>
      </c>
      <c r="C191" t="inlineStr">
        <is>
          <t>Medium demersals (30 - 89 cm)</t>
        </is>
      </c>
      <c r="D191" t="inlineStr">
        <is>
          <t>Scorpionfishes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14.137</v>
      </c>
      <c r="BU191" t="n">
        <v>7.02</v>
      </c>
      <c r="BV191" t="n">
        <v>2.922</v>
      </c>
    </row>
    <row r="192">
      <c r="A192" t="inlineStr">
        <is>
          <t>Tetrapturus angustirostris</t>
        </is>
      </c>
      <c r="B192" t="inlineStr">
        <is>
          <t>Shortbill spearfish</t>
        </is>
      </c>
      <c r="C192" t="inlineStr">
        <is>
          <t>Large pelagics (&gt;=90 cm)</t>
        </is>
      </c>
      <c r="D192" t="inlineStr">
        <is>
          <t>Tuna &amp; billfishes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0.059</v>
      </c>
      <c r="AY192" t="n">
        <v>0.003</v>
      </c>
      <c r="AZ192" t="n">
        <v>0.023</v>
      </c>
      <c r="BA192" t="n">
        <v>0</v>
      </c>
      <c r="BB192" t="n">
        <v>0</v>
      </c>
      <c r="BC192" t="n">
        <v>0</v>
      </c>
      <c r="BD192" t="n">
        <v>0</v>
      </c>
      <c r="BE192" t="n">
        <v>0.096</v>
      </c>
      <c r="BF192" t="n">
        <v>0</v>
      </c>
      <c r="BG192" t="n">
        <v>0</v>
      </c>
      <c r="BH192" t="n">
        <v>0</v>
      </c>
      <c r="BI192" t="n">
        <v>0.006</v>
      </c>
      <c r="BJ192" t="n">
        <v>0.056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23.194</v>
      </c>
    </row>
    <row r="193">
      <c r="A193" t="inlineStr">
        <is>
          <t>Auxis rochei</t>
        </is>
      </c>
      <c r="B193" t="inlineStr">
        <is>
          <t>Bullet tuna</t>
        </is>
      </c>
      <c r="C193" t="inlineStr">
        <is>
          <t>Medium pelagics (30 - 89 cm)</t>
        </is>
      </c>
      <c r="D193" t="inlineStr">
        <is>
          <t>Tuna &amp; billfishes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22.346</v>
      </c>
    </row>
    <row r="194">
      <c r="A194" t="inlineStr">
        <is>
          <t>Ruvettus pretiosus</t>
        </is>
      </c>
      <c r="B194" t="inlineStr">
        <is>
          <t>Oilfish</t>
        </is>
      </c>
      <c r="C194" t="inlineStr">
        <is>
          <t>Large benthopelagics (&gt;=90 cm)</t>
        </is>
      </c>
      <c r="D194" t="inlineStr">
        <is>
          <t>Perch-likes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17.99</v>
      </c>
    </row>
    <row r="195">
      <c r="A195" t="inlineStr">
        <is>
          <t>Marine finfishes not identified</t>
        </is>
      </c>
      <c r="B195" t="inlineStr">
        <is>
          <t>Finfishes</t>
        </is>
      </c>
      <c r="C195" t="inlineStr">
        <is>
          <t>Medium demersals (30 - 89 cm)</t>
        </is>
      </c>
      <c r="D195" t="inlineStr">
        <is>
          <t>Other fishes &amp; inverts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2.237</v>
      </c>
      <c r="BP195" t="n">
        <v>8.949</v>
      </c>
      <c r="BQ195" t="n">
        <v>6.712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</row>
    <row r="196">
      <c r="A196" t="inlineStr">
        <is>
          <t>Fissurella picta</t>
        </is>
      </c>
      <c r="B196" t="inlineStr">
        <is>
          <t>Large banded keyhole limpet</t>
        </is>
      </c>
      <c r="C196" t="inlineStr">
        <is>
          <t>Other demersal invertebrates</t>
        </is>
      </c>
      <c r="D196" t="inlineStr">
        <is>
          <t>Molluscs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10.685</v>
      </c>
      <c r="BS196" t="n">
        <v>0</v>
      </c>
      <c r="BT196" t="n">
        <v>3.886</v>
      </c>
      <c r="BU196" t="n">
        <v>0.971</v>
      </c>
      <c r="BV196" t="n">
        <v>0.971</v>
      </c>
    </row>
    <row r="197">
      <c r="A197" t="inlineStr">
        <is>
          <t>Polydactylus approximans</t>
        </is>
      </c>
      <c r="B197" t="inlineStr">
        <is>
          <t>Blue bobo</t>
        </is>
      </c>
      <c r="C197" t="inlineStr">
        <is>
          <t>Medium demersals (30 - 89 cm)</t>
        </is>
      </c>
      <c r="D197" t="inlineStr">
        <is>
          <t>Perch-likes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14.669</v>
      </c>
    </row>
    <row r="198">
      <c r="A198" t="inlineStr">
        <is>
          <t>Hemigrapsus crenulatus</t>
        </is>
      </c>
      <c r="B198" t="inlineStr">
        <is>
          <t>Hairy-handed shore crab</t>
        </is>
      </c>
      <c r="C198" t="inlineStr">
        <is>
          <t>Lobsters, crabs</t>
        </is>
      </c>
      <c r="D198" t="inlineStr">
        <is>
          <t>Crustaceans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2.916</v>
      </c>
      <c r="BU198" t="n">
        <v>9.720000000000001</v>
      </c>
      <c r="BV198" t="n">
        <v>0</v>
      </c>
    </row>
    <row r="199">
      <c r="A199" t="inlineStr">
        <is>
          <t>Alopias</t>
        </is>
      </c>
      <c r="B199" t="inlineStr">
        <is>
          <t>Thresher sharks</t>
        </is>
      </c>
      <c r="C199" t="inlineStr">
        <is>
          <t>Large sharks (&gt;=90 cm)</t>
        </is>
      </c>
      <c r="D199" t="inlineStr">
        <is>
          <t>Sharks &amp; rays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0.023</v>
      </c>
      <c r="J199" t="n">
        <v>0.053</v>
      </c>
      <c r="K199" t="n">
        <v>0</v>
      </c>
      <c r="L199" t="n">
        <v>0.07199999999999999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0.055</v>
      </c>
      <c r="AQ199" t="n">
        <v>0</v>
      </c>
      <c r="AR199" t="n">
        <v>0.002</v>
      </c>
      <c r="AS199" t="n">
        <v>3.118</v>
      </c>
      <c r="AT199" t="n">
        <v>1</v>
      </c>
      <c r="AU199" t="n">
        <v>0.147</v>
      </c>
      <c r="AV199" t="n">
        <v>6.151</v>
      </c>
      <c r="AW199" t="n">
        <v>0.005</v>
      </c>
      <c r="AX199" t="n">
        <v>0.217</v>
      </c>
      <c r="AY199" t="n">
        <v>0.012</v>
      </c>
      <c r="AZ199" t="n">
        <v>0.053</v>
      </c>
      <c r="BA199" t="n">
        <v>0</v>
      </c>
      <c r="BB199" t="n">
        <v>0.061</v>
      </c>
      <c r="BC199" t="n">
        <v>0.027</v>
      </c>
      <c r="BD199" t="n">
        <v>0.076</v>
      </c>
      <c r="BE199" t="n">
        <v>0.059</v>
      </c>
      <c r="BF199" t="n">
        <v>0.027</v>
      </c>
      <c r="BG199" t="n">
        <v>0</v>
      </c>
      <c r="BH199" t="n">
        <v>0.032</v>
      </c>
      <c r="BI199" t="n">
        <v>0.001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  <row r="200">
      <c r="A200" t="inlineStr">
        <is>
          <t>Hexanchus griseus</t>
        </is>
      </c>
      <c r="B200" t="inlineStr">
        <is>
          <t>Bluntnose sixgill shark</t>
        </is>
      </c>
      <c r="C200" t="inlineStr">
        <is>
          <t>Large sharks (&gt;=90 cm)</t>
        </is>
      </c>
      <c r="D200" t="inlineStr">
        <is>
          <t>Sharks &amp; rays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2.948</v>
      </c>
      <c r="BU200" t="n">
        <v>3.931</v>
      </c>
      <c r="BV200" t="n">
        <v>3.931</v>
      </c>
    </row>
    <row r="201">
      <c r="A201" t="inlineStr">
        <is>
          <t>Caranx</t>
        </is>
      </c>
      <c r="B201" t="inlineStr">
        <is>
          <t>Jacks</t>
        </is>
      </c>
      <c r="C201" t="inlineStr">
        <is>
          <t>Medium reef assoc. fish (30 - 89 cm)</t>
        </is>
      </c>
      <c r="D201" t="inlineStr">
        <is>
          <t>Perch-likes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10.776</v>
      </c>
    </row>
    <row r="202">
      <c r="A202" t="inlineStr">
        <is>
          <t>Caranx lugubris</t>
        </is>
      </c>
      <c r="B202" t="inlineStr">
        <is>
          <t>Black jack</t>
        </is>
      </c>
      <c r="C202" t="inlineStr">
        <is>
          <t>Large benthopelagics (&gt;=90 cm)</t>
        </is>
      </c>
      <c r="D202" t="inlineStr">
        <is>
          <t>Perch-likes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1.28</v>
      </c>
      <c r="BK202" t="n">
        <v>0</v>
      </c>
      <c r="BL202" t="n">
        <v>0</v>
      </c>
      <c r="BM202" t="n">
        <v>3.883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</row>
    <row r="203">
      <c r="A203" t="inlineStr">
        <is>
          <t>Bothidae</t>
        </is>
      </c>
      <c r="B203" t="inlineStr">
        <is>
          <t>Lefteye flounders</t>
        </is>
      </c>
      <c r="C203" t="inlineStr">
        <is>
          <t>Small to medium flatfishes (&lt;90 cm)</t>
        </is>
      </c>
      <c r="D203" t="inlineStr">
        <is>
          <t>Flatfishes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4.748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</row>
    <row r="204">
      <c r="A204" t="inlineStr">
        <is>
          <t>Monacanthidae</t>
        </is>
      </c>
      <c r="B204" t="inlineStr">
        <is>
          <t>Filefishes</t>
        </is>
      </c>
      <c r="C204" t="inlineStr">
        <is>
          <t>Medium reef assoc. fish (30 - 89 cm)</t>
        </is>
      </c>
      <c r="D204" t="inlineStr">
        <is>
          <t>Other fishes &amp; inverts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3.217</v>
      </c>
      <c r="BS204" t="n">
        <v>1.072</v>
      </c>
      <c r="BT204" t="n">
        <v>0.056</v>
      </c>
      <c r="BU204" t="n">
        <v>0.073</v>
      </c>
      <c r="BV204" t="n">
        <v>0.08</v>
      </c>
    </row>
    <row r="205">
      <c r="A205" t="inlineStr">
        <is>
          <t>Myliobatidae</t>
        </is>
      </c>
      <c r="B205" t="inlineStr">
        <is>
          <t>Eagle/manta rays</t>
        </is>
      </c>
      <c r="C205" t="inlineStr">
        <is>
          <t>Large rays (&gt;=90 cm)</t>
        </is>
      </c>
      <c r="D205" t="inlineStr">
        <is>
          <t>Sharks &amp; rays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2.535</v>
      </c>
      <c r="BJ205" t="n">
        <v>1.272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</row>
    <row r="206">
      <c r="A206" t="inlineStr">
        <is>
          <t>Auxis</t>
        </is>
      </c>
      <c r="B206" t="inlineStr">
        <is>
          <t>Bullet and frigate tunas</t>
        </is>
      </c>
      <c r="C206" t="inlineStr">
        <is>
          <t>Medium pelagics (30 - 89 cm)</t>
        </is>
      </c>
      <c r="D206" t="inlineStr">
        <is>
          <t>Tuna &amp; billfishes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3.341</v>
      </c>
    </row>
    <row r="207">
      <c r="A207" t="inlineStr">
        <is>
          <t>Actinopterygii</t>
        </is>
      </c>
      <c r="B207" t="inlineStr">
        <is>
          <t>Ray-finned fishes</t>
        </is>
      </c>
      <c r="C207" t="inlineStr">
        <is>
          <t>Medium demersals (30 - 89 cm)</t>
        </is>
      </c>
      <c r="D207" t="inlineStr">
        <is>
          <t>Other fishes &amp; inverts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2.989</v>
      </c>
      <c r="BU207" t="n">
        <v>0</v>
      </c>
      <c r="BV207" t="n">
        <v>0</v>
      </c>
    </row>
    <row r="208">
      <c r="A208" t="inlineStr">
        <is>
          <t>Parapsettus panamensis</t>
        </is>
      </c>
      <c r="B208" t="inlineStr">
        <is>
          <t>Panama spadefish</t>
        </is>
      </c>
      <c r="C208" t="inlineStr">
        <is>
          <t>Small reef assoc. fish (&lt;30 cm)</t>
        </is>
      </c>
      <c r="D208" t="inlineStr">
        <is>
          <t>Perch-likes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2.14</v>
      </c>
    </row>
    <row r="209">
      <c r="A209" t="inlineStr">
        <is>
          <t>Deania calceus</t>
        </is>
      </c>
      <c r="B209" t="inlineStr">
        <is>
          <t>Birdbeak dogfish</t>
        </is>
      </c>
      <c r="C209" t="inlineStr">
        <is>
          <t>Large sharks (&gt;=90 cm)</t>
        </is>
      </c>
      <c r="D209" t="inlineStr">
        <is>
          <t>Sharks &amp; rays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1.967</v>
      </c>
      <c r="BU209" t="n">
        <v>0</v>
      </c>
      <c r="BV209" t="n">
        <v>0</v>
      </c>
    </row>
    <row r="210">
      <c r="A210" t="inlineStr">
        <is>
          <t>Acanthocybium solandri</t>
        </is>
      </c>
      <c r="B210" t="inlineStr">
        <is>
          <t>Wahoo</t>
        </is>
      </c>
      <c r="C210" t="inlineStr">
        <is>
          <t>Large pelagics (&gt;=90 cm)</t>
        </is>
      </c>
      <c r="D210" t="inlineStr">
        <is>
          <t>Perch-likes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0.074</v>
      </c>
      <c r="J210" t="n">
        <v>0.042</v>
      </c>
      <c r="K210" t="n">
        <v>0</v>
      </c>
      <c r="L210" t="n">
        <v>0.275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0.003</v>
      </c>
      <c r="AQ210" t="n">
        <v>0</v>
      </c>
      <c r="AR210" t="n">
        <v>0</v>
      </c>
      <c r="AS210" t="n">
        <v>0</v>
      </c>
      <c r="AT210" t="n">
        <v>0</v>
      </c>
      <c r="AU210" t="n">
        <v>0.008</v>
      </c>
      <c r="AV210" t="n">
        <v>0.006</v>
      </c>
      <c r="AW210" t="n">
        <v>0</v>
      </c>
      <c r="AX210" t="n">
        <v>0</v>
      </c>
      <c r="AY210" t="n">
        <v>0</v>
      </c>
      <c r="AZ210" t="n">
        <v>0.131</v>
      </c>
      <c r="BA210" t="n">
        <v>0</v>
      </c>
      <c r="BB210" t="n">
        <v>0</v>
      </c>
      <c r="BC210" t="n">
        <v>0</v>
      </c>
      <c r="BD210" t="n">
        <v>0</v>
      </c>
      <c r="BE210" t="n">
        <v>0.89</v>
      </c>
      <c r="BF210" t="n">
        <v>0.025</v>
      </c>
      <c r="BG210" t="n">
        <v>0.005</v>
      </c>
      <c r="BH210" t="n">
        <v>0</v>
      </c>
      <c r="BI210" t="n">
        <v>0</v>
      </c>
      <c r="BJ210" t="n">
        <v>0</v>
      </c>
      <c r="BK210" t="n">
        <v>0</v>
      </c>
      <c r="BL210" t="n">
        <v>0.034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</row>
    <row r="211">
      <c r="A211" t="inlineStr">
        <is>
          <t>Macrouridae</t>
        </is>
      </c>
      <c r="B211" t="inlineStr">
        <is>
          <t>Grenadiers, rattails</t>
        </is>
      </c>
      <c r="C211" t="inlineStr">
        <is>
          <t>Medium benthopelagics (30 - 89 cm)</t>
        </is>
      </c>
      <c r="D211" t="inlineStr">
        <is>
          <t>Cod-likes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1.087</v>
      </c>
      <c r="BS211" t="n">
        <v>0</v>
      </c>
      <c r="BT211" t="n">
        <v>0</v>
      </c>
      <c r="BU211" t="n">
        <v>0</v>
      </c>
      <c r="BV211" t="n">
        <v>0</v>
      </c>
    </row>
    <row r="212">
      <c r="A212" t="inlineStr">
        <is>
          <t>Allothunnus fallai</t>
        </is>
      </c>
      <c r="B212" t="inlineStr">
        <is>
          <t>Slender tuna</t>
        </is>
      </c>
      <c r="C212" t="inlineStr">
        <is>
          <t>Large pelagics (&gt;=90 cm)</t>
        </is>
      </c>
      <c r="D212" t="inlineStr">
        <is>
          <t>Tuna &amp; billfishes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0.993</v>
      </c>
    </row>
    <row r="213">
      <c r="A213" t="inlineStr">
        <is>
          <t>Galaxias maculatus</t>
        </is>
      </c>
      <c r="B213" t="inlineStr">
        <is>
          <t>Inanga</t>
        </is>
      </c>
      <c r="C213" t="inlineStr">
        <is>
          <t>Large reef assoc. fish (&gt;=90 cm)</t>
        </is>
      </c>
      <c r="D213" t="inlineStr">
        <is>
          <t>Salmon, smelts, etc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0.958</v>
      </c>
    </row>
    <row r="214">
      <c r="A214" t="inlineStr">
        <is>
          <t>Thunnus maccoyii</t>
        </is>
      </c>
      <c r="B214" t="inlineStr">
        <is>
          <t>Southern bluefin tuna</t>
        </is>
      </c>
      <c r="C214" t="inlineStr">
        <is>
          <t>Large pelagics (&gt;=90 cm)</t>
        </is>
      </c>
      <c r="D214" t="inlineStr">
        <is>
          <t>Tuna &amp; billfishes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0.11</v>
      </c>
      <c r="AQ214" t="n">
        <v>0.035</v>
      </c>
      <c r="AR214" t="n">
        <v>0</v>
      </c>
      <c r="AS214" t="n">
        <v>0.167</v>
      </c>
      <c r="AT214" t="n">
        <v>0.099</v>
      </c>
      <c r="AU214" t="n">
        <v>0.01</v>
      </c>
      <c r="AV214" t="n">
        <v>0.373</v>
      </c>
      <c r="AW214" t="n">
        <v>0</v>
      </c>
      <c r="AX214" t="n">
        <v>0.01</v>
      </c>
      <c r="AY214" t="n">
        <v>0</v>
      </c>
      <c r="AZ214" t="n">
        <v>0.003</v>
      </c>
      <c r="BA214" t="n">
        <v>0</v>
      </c>
      <c r="BB214" t="n">
        <v>0.01</v>
      </c>
      <c r="BC214" t="n">
        <v>0.003</v>
      </c>
      <c r="BD214" t="n">
        <v>0.01</v>
      </c>
      <c r="BE214" t="n">
        <v>0.01</v>
      </c>
      <c r="BF214" t="n">
        <v>0.003</v>
      </c>
      <c r="BG214" t="n">
        <v>0</v>
      </c>
      <c r="BH214" t="n">
        <v>0.003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</row>
    <row r="215">
      <c r="A215" t="inlineStr">
        <is>
          <t>Cetengraulis mysticetus</t>
        </is>
      </c>
      <c r="B215" t="inlineStr">
        <is>
          <t>Pacific anchoveta</t>
        </is>
      </c>
      <c r="C215" t="inlineStr">
        <is>
          <t>Small pelagics (&lt;30 cm)</t>
        </is>
      </c>
      <c r="D215" t="inlineStr">
        <is>
          <t>Anchovies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0.795</v>
      </c>
    </row>
    <row r="216">
      <c r="A216" t="inlineStr">
        <is>
          <t>Rhinoptera steindachneri</t>
        </is>
      </c>
      <c r="B216" t="inlineStr">
        <is>
          <t>Pacific cownose ray</t>
        </is>
      </c>
      <c r="C216" t="inlineStr">
        <is>
          <t>Large rays (&gt;=90 cm)</t>
        </is>
      </c>
      <c r="D216" t="inlineStr">
        <is>
          <t>Sharks &amp; rays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0.399</v>
      </c>
    </row>
    <row r="217">
      <c r="A217" t="inlineStr">
        <is>
          <t>Lepidocybium flavobrunneum</t>
        </is>
      </c>
      <c r="B217" t="inlineStr">
        <is>
          <t>Escolar</t>
        </is>
      </c>
      <c r="C217" t="inlineStr">
        <is>
          <t>Large bathypelagics (&gt;=90 cm)</t>
        </is>
      </c>
      <c r="D217" t="inlineStr">
        <is>
          <t>Perch-likes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0.367</v>
      </c>
    </row>
    <row r="218">
      <c r="A218" t="inlineStr">
        <is>
          <t>Hippocampus</t>
        </is>
      </c>
      <c r="B218" t="inlineStr">
        <is>
          <t>Seahorses</t>
        </is>
      </c>
      <c r="C218" t="inlineStr">
        <is>
          <t>Small reef assoc. fish (&lt;30 cm)</t>
        </is>
      </c>
      <c r="D218" t="inlineStr">
        <is>
          <t>Other fishes &amp; inverts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0.192</v>
      </c>
    </row>
    <row r="219">
      <c r="A219" t="inlineStr">
        <is>
          <t>Caulolatilus princeps</t>
        </is>
      </c>
      <c r="B219" t="inlineStr">
        <is>
          <t>Ocean whitefish</t>
        </is>
      </c>
      <c r="C219" t="inlineStr">
        <is>
          <t>Medium reef assoc. fish (30 - 89 cm)</t>
        </is>
      </c>
      <c r="D219" t="inlineStr">
        <is>
          <t>Perch-likes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0.081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8" customWidth="1" min="3" max="3"/>
    <col width="20" customWidth="1" min="4" max="4"/>
    <col width="40" customWidth="1" min="5" max="5"/>
    <col width="18" customWidth="1" min="6" max="6"/>
    <col width="18" customWidth="1" min="7" max="7"/>
    <col width="12" customWidth="1" min="8" max="8"/>
    <col width="20" customWidth="1" min="9" max="9"/>
    <col width="14" customWidth="1" min="10" max="10"/>
    <col width="10" customWidth="1" min="11" max="11"/>
    <col width="110" customWidth="1" min="12" max="12"/>
  </cols>
  <sheetData>
    <row r="1">
      <c r="A1" s="1" t="inlineStr">
        <is>
          <t>Which Ecopath group each catch taxon belongs to, and on what evidence.</t>
        </is>
      </c>
    </row>
    <row r="2">
      <c r="A2" t="inlineStr">
        <is>
          <t>Several groups separated by | means the taxon spans them and its catch is apportioned; the weights used are in the next two columns.</t>
        </is>
      </c>
    </row>
    <row r="4">
      <c r="A4" s="4" t="inlineStr">
        <is>
          <t>taxon</t>
        </is>
      </c>
      <c r="B4" s="4" t="inlineStr">
        <is>
          <t>common_name</t>
        </is>
      </c>
      <c r="C4" s="4" t="inlineStr">
        <is>
          <t>SAU functional group</t>
        </is>
      </c>
      <c r="D4" s="4" t="inlineStr">
        <is>
          <t>SAU commercial group</t>
        </is>
      </c>
      <c r="E4" s="4" t="inlineStr">
        <is>
          <t>Ecopath group</t>
        </is>
      </c>
      <c r="F4" s="4" t="inlineStr">
        <is>
          <t>weights</t>
        </is>
      </c>
      <c r="G4" s="4" t="inlineStr">
        <is>
          <t>weight basis</t>
        </is>
      </c>
      <c r="H4" s="4" t="inlineStr">
        <is>
          <t>confidence</t>
        </is>
      </c>
      <c r="I4" s="4" t="inlineStr">
        <is>
          <t>evidence</t>
        </is>
      </c>
      <c r="J4" s="4" t="inlineStr">
        <is>
          <t>catch tonnes</t>
        </is>
      </c>
      <c r="K4" s="4" t="inlineStr">
        <is>
          <t>% of catch</t>
        </is>
      </c>
      <c r="L4" s="4" t="inlineStr">
        <is>
          <t>explanation</t>
        </is>
      </c>
    </row>
    <row r="5">
      <c r="A5" t="inlineStr">
        <is>
          <t>Engraulis ringens</t>
        </is>
      </c>
      <c r="B5" t="inlineStr">
        <is>
          <t>Anchoveta</t>
        </is>
      </c>
      <c r="C5" t="inlineStr">
        <is>
          <t>Small pelagics (&lt;30 cm)</t>
        </is>
      </c>
      <c r="D5" t="inlineStr">
        <is>
          <t>Anchovies</t>
        </is>
      </c>
      <c r="E5" s="5" t="inlineStr">
        <is>
          <t>Anchovy</t>
        </is>
      </c>
      <c r="F5" t="inlineStr"/>
      <c r="G5" t="inlineStr"/>
      <c r="H5" t="inlineStr">
        <is>
          <t>high</t>
        </is>
      </c>
      <c r="I5" t="inlineStr">
        <is>
          <t>explicit_member</t>
        </is>
      </c>
      <c r="J5" t="n">
        <v>429890806.078</v>
      </c>
      <c r="K5" t="n">
        <v>63.4058</v>
      </c>
      <c r="L5" s="6" t="inlineStr">
        <is>
          <t>Focal model adopts Tam et al. (2008) pp.353-354 membership (Chiaverano 2018 p.30); Engraulis ringens matches the printed species or recorded synonym. Peruvian hake spans three source size classes and uses fixed model catch weights.</t>
        </is>
      </c>
    </row>
    <row r="6">
      <c r="A6" t="inlineStr">
        <is>
          <t>Sardinops sagax</t>
        </is>
      </c>
      <c r="B6" t="inlineStr">
        <is>
          <t>South American pilchard</t>
        </is>
      </c>
      <c r="C6" t="inlineStr">
        <is>
          <t>Medium pelagics (30 - 89 cm)</t>
        </is>
      </c>
      <c r="D6" t="inlineStr">
        <is>
          <t>Herring-likes</t>
        </is>
      </c>
      <c r="E6" s="5" t="inlineStr">
        <is>
          <t>Sardine</t>
        </is>
      </c>
      <c r="F6" t="inlineStr"/>
      <c r="G6" t="inlineStr"/>
      <c r="H6" t="inlineStr">
        <is>
          <t>high</t>
        </is>
      </c>
      <c r="I6" t="inlineStr">
        <is>
          <t>explicit_member</t>
        </is>
      </c>
      <c r="J6" t="n">
        <v>83222175.729</v>
      </c>
      <c r="K6" t="n">
        <v>12.2747</v>
      </c>
      <c r="L6" s="6" t="inlineStr">
        <is>
          <t>Focal model adopts Tam et al. (2008) pp.353-354 membership (Chiaverano 2018 p.30); Sardinops sagax matches the printed species or recorded synonym. Peruvian hake spans three source size classes and uses fixed model catch weights.</t>
        </is>
      </c>
    </row>
    <row r="7">
      <c r="A7" t="inlineStr">
        <is>
          <t>Trachurus murphyi</t>
        </is>
      </c>
      <c r="B7" t="inlineStr">
        <is>
          <t>Chilean jack mackerel</t>
        </is>
      </c>
      <c r="C7" t="inlineStr">
        <is>
          <t>Medium pelagics (30 - 89 cm)</t>
        </is>
      </c>
      <c r="D7" t="inlineStr">
        <is>
          <t>Perch-likes</t>
        </is>
      </c>
      <c r="E7" s="5" t="inlineStr">
        <is>
          <t>Horse mackerel</t>
        </is>
      </c>
      <c r="F7" t="inlineStr"/>
      <c r="G7" t="inlineStr"/>
      <c r="H7" t="inlineStr">
        <is>
          <t>high</t>
        </is>
      </c>
      <c r="I7" t="inlineStr">
        <is>
          <t>inherited_model</t>
        </is>
      </c>
      <c r="J7" t="n">
        <v>66735664.429</v>
      </c>
      <c r="K7" t="n">
        <v>9.843</v>
      </c>
      <c r="L7" s="6" t="inlineStr">
        <is>
          <t>Focal model adopts Tam et al. (2008) pp.353-354 membership (Chiaverano 2018 p.30); Trachurus murphyi matches the printed species or recorded synonym. Peruvian hake spans three source size classes and uses fixed model catch weights.</t>
        </is>
      </c>
    </row>
    <row r="8">
      <c r="A8" t="inlineStr">
        <is>
          <t>Clupeidae</t>
        </is>
      </c>
      <c r="B8" t="inlineStr">
        <is>
          <t>Herrings, sardines, menhadens</t>
        </is>
      </c>
      <c r="C8" t="inlineStr">
        <is>
          <t>Small pelagics (&lt;30 cm)</t>
        </is>
      </c>
      <c r="D8" t="inlineStr">
        <is>
          <t>Herring-likes</t>
        </is>
      </c>
      <c r="E8" s="7" t="inlineStr">
        <is>
          <t>Sardine | Other small pelagic fish</t>
        </is>
      </c>
      <c r="F8" t="inlineStr">
        <is>
          <t>0.965 | 0.035</t>
        </is>
      </c>
      <c r="G8" t="inlineStr">
        <is>
          <t>explicit</t>
        </is>
      </c>
      <c r="H8" t="inlineStr">
        <is>
          <t>medium</t>
        </is>
      </c>
      <c r="I8" t="inlineStr">
        <is>
          <t>composite_split</t>
        </is>
      </c>
      <c r="J8" t="n">
        <v>16256965.684</v>
      </c>
      <c r="K8" t="n">
        <v>2.3978</v>
      </c>
      <c r="L8" s="6" t="inlineStr">
        <is>
          <t>Clupeidae spans the dedicated Sardinops sardine stock and other small planktivorous pelagics. Family-specific catch weights use identified Sardinops versus other clupeids, not all pelagic catch.</t>
        </is>
      </c>
    </row>
    <row r="9">
      <c r="A9" t="inlineStr">
        <is>
          <t>Dosidicus gigas</t>
        </is>
      </c>
      <c r="B9" t="inlineStr">
        <is>
          <t>Jumbo flying squid</t>
        </is>
      </c>
      <c r="C9" t="inlineStr">
        <is>
          <t>Cephalopods</t>
        </is>
      </c>
      <c r="D9" t="inlineStr">
        <is>
          <t>Other fishes &amp; inverts</t>
        </is>
      </c>
      <c r="E9" s="5" t="inlineStr">
        <is>
          <t>Jumbo squid</t>
        </is>
      </c>
      <c r="F9" t="inlineStr"/>
      <c r="G9" t="inlineStr"/>
      <c r="H9" t="inlineStr">
        <is>
          <t>high</t>
        </is>
      </c>
      <c r="I9" t="inlineStr">
        <is>
          <t>inherited_model</t>
        </is>
      </c>
      <c r="J9" t="n">
        <v>14273292.603</v>
      </c>
      <c r="K9" t="n">
        <v>2.1052</v>
      </c>
      <c r="L9" s="6" t="inlineStr">
        <is>
          <t>Focal model adopts Tam et al. (2008) pp.353-354 membership (Chiaverano 2018 p.30); Dosidicus gigas matches the printed species or recorded synonym. Peruvian hake spans three source size classes and uses fixed model catch weights.</t>
        </is>
      </c>
    </row>
    <row r="10">
      <c r="A10" t="inlineStr">
        <is>
          <t>Scomber japonicus</t>
        </is>
      </c>
      <c r="B10" t="inlineStr">
        <is>
          <t>Pacific chub mackerel</t>
        </is>
      </c>
      <c r="C10" t="inlineStr">
        <is>
          <t>Medium pelagics (30 - 89 cm)</t>
        </is>
      </c>
      <c r="D10" t="inlineStr">
        <is>
          <t>Perch-likes</t>
        </is>
      </c>
      <c r="E10" s="5" t="inlineStr">
        <is>
          <t>Chub mackerel</t>
        </is>
      </c>
      <c r="F10" t="inlineStr"/>
      <c r="G10" t="inlineStr"/>
      <c r="H10" t="inlineStr">
        <is>
          <t>high</t>
        </is>
      </c>
      <c r="I10" t="inlineStr">
        <is>
          <t>inherited_model</t>
        </is>
      </c>
      <c r="J10" t="n">
        <v>10461891.31</v>
      </c>
      <c r="K10" t="n">
        <v>1.5431</v>
      </c>
      <c r="L10" s="6" t="inlineStr">
        <is>
          <t>Focal model adopts Tam et al. (2008) pp.353-354 membership (Chiaverano 2018 p.30); Scomber japonicus matches the printed species or recorded synonym. Peruvian hake spans three source size classes and uses fixed model catch weights.</t>
        </is>
      </c>
    </row>
    <row r="11">
      <c r="A11" t="inlineStr">
        <is>
          <t>Marine fishes not identified</t>
        </is>
      </c>
      <c r="B11" t="inlineStr">
        <is>
          <t>Marine fishes nei</t>
        </is>
      </c>
      <c r="C11" t="inlineStr">
        <is>
          <t>Medium demersals (30 - 89 cm)</t>
        </is>
      </c>
      <c r="D11" t="inlineStr">
        <is>
          <t>Other fishes &amp; inverts</t>
        </is>
      </c>
      <c r="E11" s="8" t="inlineStr">
        <is>
          <t>Small demersal fish | Medium demersal fish | Medium sciaenids</t>
        </is>
      </c>
      <c r="F11" t="inlineStr">
        <is>
          <t>0.227 | 0.497 | 0.276</t>
        </is>
      </c>
      <c r="G11" t="inlineStr">
        <is>
          <t>catch_composition</t>
        </is>
      </c>
      <c r="H11" t="inlineStr">
        <is>
          <t>low</t>
        </is>
      </c>
      <c r="I11" t="inlineStr">
        <is>
          <t>composite_split</t>
        </is>
      </c>
      <c r="J11" t="n">
        <v>8678083.704</v>
      </c>
      <c r="K11" t="n">
        <v>1.28</v>
      </c>
      <c r="L11" s="6" t="inlineStr">
        <is>
          <t>Analyst residual-catch composite, SAU Medium demersals (30 - 89 cm). Candidate residual groups are constrained by source habitat and Table E feeding guilds; dedicated stocks are excluded. Catch-composition weights are estimated, not a source species list.</t>
        </is>
      </c>
    </row>
    <row r="12">
      <c r="A12" t="inlineStr">
        <is>
          <t>Merluccius peruanus</t>
        </is>
      </c>
      <c r="B12" t="inlineStr">
        <is>
          <t>Peruvian hake</t>
        </is>
      </c>
      <c r="C12" t="inlineStr">
        <is>
          <t>Medium bathydemersals (30 - 89 cm)</t>
        </is>
      </c>
      <c r="D12" t="inlineStr">
        <is>
          <t>Cod-likes</t>
        </is>
      </c>
      <c r="E12" s="7" t="inlineStr">
        <is>
          <t>Large hake | Medium hake | Small hake</t>
        </is>
      </c>
      <c r="F12" t="inlineStr">
        <is>
          <t>0.037 | 0.038 | 0.925</t>
        </is>
      </c>
      <c r="G12" t="inlineStr">
        <is>
          <t>model_catch</t>
        </is>
      </c>
      <c r="H12" t="inlineStr">
        <is>
          <t>medium</t>
        </is>
      </c>
      <c r="I12" t="inlineStr">
        <is>
          <t>composite_split</t>
        </is>
      </c>
      <c r="J12" t="n">
        <v>4467956.842</v>
      </c>
      <c r="K12" t="n">
        <v>0.659</v>
      </c>
      <c r="L12" s="6" t="inlineStr">
        <is>
          <t>Focal model adopts Tam et al. (2008) pp.353-354 membership (Chiaverano 2018 p.30); Merluccius peruanus matches the printed species or recorded synonym. Peruvian hake spans three source size classes and uses fixed model catch weights.</t>
        </is>
      </c>
    </row>
    <row r="13">
      <c r="A13" t="inlineStr">
        <is>
          <t>Merluccius gayi</t>
        </is>
      </c>
      <c r="B13" t="inlineStr">
        <is>
          <t>South Pacific hake</t>
        </is>
      </c>
      <c r="C13" t="inlineStr">
        <is>
          <t>Medium bathydemersals (30 - 89 cm)</t>
        </is>
      </c>
      <c r="D13" t="inlineStr">
        <is>
          <t>Cod-likes</t>
        </is>
      </c>
      <c r="E13" s="9" t="inlineStr">
        <is>
          <t>Unresolved</t>
        </is>
      </c>
      <c r="F13" t="inlineStr"/>
      <c r="G13" t="inlineStr"/>
      <c r="H13" t="inlineStr">
        <is>
          <t>unresolved</t>
        </is>
      </c>
      <c r="I13" t="inlineStr">
        <is>
          <t>none</t>
        </is>
      </c>
      <c r="J13" t="n">
        <v>4414589.545</v>
      </c>
      <c r="K13" t="n">
        <v>0.6511</v>
      </c>
      <c r="L13" s="6" t="inlineStr">
        <is>
          <t>This is a southern/offshore demersal stock, not the explicitly modelled northern Peruvian hake Merluccius peruanus; the northern model has no corresponding named stock compartment.</t>
        </is>
      </c>
    </row>
    <row r="14">
      <c r="A14" t="inlineStr">
        <is>
          <t>Macruronus magellanicus</t>
        </is>
      </c>
      <c r="B14" t="inlineStr">
        <is>
          <t>Patagonian grenadier</t>
        </is>
      </c>
      <c r="C14" t="inlineStr">
        <is>
          <t>Large benthopelagics (&gt;=90 cm)</t>
        </is>
      </c>
      <c r="D14" t="inlineStr">
        <is>
          <t>Cod-likes</t>
        </is>
      </c>
      <c r="E14" s="9" t="inlineStr">
        <is>
          <t>Unresolved</t>
        </is>
      </c>
      <c r="F14" t="inlineStr"/>
      <c r="G14" t="inlineStr"/>
      <c r="H14" t="inlineStr">
        <is>
          <t>unresolved</t>
        </is>
      </c>
      <c r="I14" t="inlineStr">
        <is>
          <t>none</t>
        </is>
      </c>
      <c r="J14" t="n">
        <v>3359421.674</v>
      </c>
      <c r="K14" t="n">
        <v>0.4955</v>
      </c>
      <c r="L14" s="6" t="inlineStr">
        <is>
          <t>This is a southern/offshore demersal stock, not the explicitly modelled northern Peruvian hake Merluccius peruanus; the northern model has no corresponding named stock compartment.</t>
        </is>
      </c>
    </row>
    <row r="15">
      <c r="A15" t="inlineStr">
        <is>
          <t>Sarda chiliensis</t>
        </is>
      </c>
      <c r="B15" t="inlineStr">
        <is>
          <t>Eastern Pacific bonito</t>
        </is>
      </c>
      <c r="C15" t="inlineStr">
        <is>
          <t>Medium pelagics (30 - 89 cm)</t>
        </is>
      </c>
      <c r="D15" t="inlineStr">
        <is>
          <t>Tuna &amp; billfishes</t>
        </is>
      </c>
      <c r="E15" s="5" t="inlineStr">
        <is>
          <t>Other large pelagic fish</t>
        </is>
      </c>
      <c r="F15" t="inlineStr"/>
      <c r="G15" t="inlineStr"/>
      <c r="H15" t="inlineStr">
        <is>
          <t>high</t>
        </is>
      </c>
      <c r="I15" t="inlineStr">
        <is>
          <t>inherited_model</t>
        </is>
      </c>
      <c r="J15" t="n">
        <v>3285620.974</v>
      </c>
      <c r="K15" t="n">
        <v>0.4846</v>
      </c>
      <c r="L15" s="6" t="inlineStr">
        <is>
          <t>Focal model adopts Tam et al. (2008) pp.353-354 membership (Chiaverano 2018 p.30); Sarda chiliensis matches the printed species or recorded synonym. Peruvian hake spans three source size classes and uses fixed model catch weights.</t>
        </is>
      </c>
    </row>
    <row r="16">
      <c r="A16" t="inlineStr">
        <is>
          <t>Normanichthys crockeri</t>
        </is>
      </c>
      <c r="B16" t="inlineStr">
        <is>
          <t>Mote sculpin</t>
        </is>
      </c>
      <c r="C16" t="inlineStr">
        <is>
          <t>Small demersals (&lt;30 cm)</t>
        </is>
      </c>
      <c r="D16" t="inlineStr">
        <is>
          <t>Scorpionfishes</t>
        </is>
      </c>
      <c r="E16" s="8" t="inlineStr">
        <is>
          <t>Other small pelagic fish</t>
        </is>
      </c>
      <c r="F16" t="inlineStr"/>
      <c r="G16" t="inlineStr"/>
      <c r="H16" t="inlineStr">
        <is>
          <t>low</t>
        </is>
      </c>
      <c r="I16" t="inlineStr">
        <is>
          <t>analogue</t>
        </is>
      </c>
      <c r="J16" t="n">
        <v>1986528.573</v>
      </c>
      <c r="K16" t="n">
        <v>0.293</v>
      </c>
      <c r="L16" s="6" t="inlineStr">
        <is>
          <t>Analyst small schooling planktivorous/pelagic analogue to source Other small pelagic fish; the species is not in the source member list, and its SAU demersal/size class may differ.</t>
        </is>
      </c>
    </row>
    <row r="17">
      <c r="A17" t="inlineStr">
        <is>
          <t>Loxechinus albus</t>
        </is>
      </c>
      <c r="B17" t="inlineStr">
        <is>
          <t>Chilean sea urchin</t>
        </is>
      </c>
      <c r="C17" t="inlineStr">
        <is>
          <t>Other demersal invertebrates</t>
        </is>
      </c>
      <c r="D17" t="inlineStr">
        <is>
          <t>Other fishes &amp; inverts</t>
        </is>
      </c>
      <c r="E17" s="7" t="inlineStr">
        <is>
          <t>Macrobenthos</t>
        </is>
      </c>
      <c r="F17" t="inlineStr"/>
      <c r="G17" t="inlineStr"/>
      <c r="H17" t="inlineStr">
        <is>
          <t>medium</t>
        </is>
      </c>
      <c r="I17" t="inlineStr">
        <is>
          <t>taxonomic_containment</t>
        </is>
      </c>
      <c r="J17" t="n">
        <v>1756286.791</v>
      </c>
      <c r="K17" t="n">
        <v>0.259</v>
      </c>
      <c r="L17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18">
      <c r="A18" t="inlineStr">
        <is>
          <t>Merluccius australis</t>
        </is>
      </c>
      <c r="B18" t="inlineStr">
        <is>
          <t>Southern hake</t>
        </is>
      </c>
      <c r="C18" t="inlineStr">
        <is>
          <t>Large benthopelagics (&gt;=90 cm)</t>
        </is>
      </c>
      <c r="D18" t="inlineStr">
        <is>
          <t>Cod-likes</t>
        </is>
      </c>
      <c r="E18" s="9" t="inlineStr">
        <is>
          <t>Unresolved</t>
        </is>
      </c>
      <c r="F18" t="inlineStr"/>
      <c r="G18" t="inlineStr"/>
      <c r="H18" t="inlineStr">
        <is>
          <t>unresolved</t>
        </is>
      </c>
      <c r="I18" t="inlineStr">
        <is>
          <t>none</t>
        </is>
      </c>
      <c r="J18" t="n">
        <v>1545604.427</v>
      </c>
      <c r="K18" t="n">
        <v>0.228</v>
      </c>
      <c r="L18" s="6" t="inlineStr">
        <is>
          <t>This is a southern/offshore demersal stock, not the explicitly modelled northern Peruvian hake Merluccius peruanus; the northern model has no corresponding named stock compartment.</t>
        </is>
      </c>
    </row>
    <row r="19">
      <c r="A19" t="inlineStr">
        <is>
          <t>Ethmidium maculatum</t>
        </is>
      </c>
      <c r="B19" t="inlineStr">
        <is>
          <t>Pacific menhaden</t>
        </is>
      </c>
      <c r="C19" t="inlineStr">
        <is>
          <t>Small pelagics (&lt;30 cm)</t>
        </is>
      </c>
      <c r="D19" t="inlineStr">
        <is>
          <t>Herring-likes</t>
        </is>
      </c>
      <c r="E19" s="7" t="inlineStr">
        <is>
          <t>Other small pelagic fish</t>
        </is>
      </c>
      <c r="F19" t="inlineStr"/>
      <c r="G19" t="inlineStr"/>
      <c r="H19" t="inlineStr">
        <is>
          <t>medium</t>
        </is>
      </c>
      <c r="I19" t="inlineStr">
        <is>
          <t>analogue</t>
        </is>
      </c>
      <c r="J19" t="n">
        <v>1420567.916</v>
      </c>
      <c r="K19" t="n">
        <v>0.2095</v>
      </c>
      <c r="L19" s="6" t="inlineStr">
        <is>
          <t>Other small planktivorous clupeiform, compared with source Anchoa nasus (Tam 2008 p.353); distinct from the named Sardinops and Engraulis stocks. This is an ecological extension to LME-wide catches.</t>
        </is>
      </c>
    </row>
    <row r="20">
      <c r="A20" t="inlineStr">
        <is>
          <t>Aulacomya atra</t>
        </is>
      </c>
      <c r="B20" t="inlineStr">
        <is>
          <t>Chilean ribbed mussel</t>
        </is>
      </c>
      <c r="C20" t="inlineStr">
        <is>
          <t>Other demersal invertebrates</t>
        </is>
      </c>
      <c r="D20" t="inlineStr">
        <is>
          <t>Molluscs</t>
        </is>
      </c>
      <c r="E20" s="7" t="inlineStr">
        <is>
          <t>Macrobenthos</t>
        </is>
      </c>
      <c r="F20" t="inlineStr"/>
      <c r="G20" t="inlineStr"/>
      <c r="H20" t="inlineStr">
        <is>
          <t>medium</t>
        </is>
      </c>
      <c r="I20" t="inlineStr">
        <is>
          <t>taxonomic_containment</t>
        </is>
      </c>
      <c r="J20" t="n">
        <v>1411623.575</v>
      </c>
      <c r="K20" t="n">
        <v>0.2082</v>
      </c>
      <c r="L20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21">
      <c r="A21" t="inlineStr">
        <is>
          <t>Anchoa nasus</t>
        </is>
      </c>
      <c r="B21" t="inlineStr">
        <is>
          <t>Longnose anchovy</t>
        </is>
      </c>
      <c r="C21" t="inlineStr">
        <is>
          <t>Small pelagics (&lt;30 cm)</t>
        </is>
      </c>
      <c r="D21" t="inlineStr">
        <is>
          <t>Anchovies</t>
        </is>
      </c>
      <c r="E21" s="5" t="inlineStr">
        <is>
          <t>Other small pelagic fish</t>
        </is>
      </c>
      <c r="F21" t="inlineStr"/>
      <c r="G21" t="inlineStr"/>
      <c r="H21" t="inlineStr">
        <is>
          <t>high</t>
        </is>
      </c>
      <c r="I21" t="inlineStr">
        <is>
          <t>inherited_model</t>
        </is>
      </c>
      <c r="J21" t="n">
        <v>1388525.939</v>
      </c>
      <c r="K21" t="n">
        <v>0.2048</v>
      </c>
      <c r="L21" s="6" t="inlineStr">
        <is>
          <t>Focal model adopts Tam et al. (2008) pp.353-354 membership (Chiaverano 2018 p.30); Anchoa nasus matches the printed species or recorded synonym. Peruvian hake spans three source size classes and uses fixed model catch weights.</t>
        </is>
      </c>
    </row>
    <row r="22">
      <c r="A22" t="inlineStr">
        <is>
          <t>Strangomera bentincki</t>
        </is>
      </c>
      <c r="B22" t="inlineStr">
        <is>
          <t>Araucanian herring</t>
        </is>
      </c>
      <c r="C22" t="inlineStr">
        <is>
          <t>Small pelagics (&lt;30 cm)</t>
        </is>
      </c>
      <c r="D22" t="inlineStr">
        <is>
          <t>Herring-likes</t>
        </is>
      </c>
      <c r="E22" s="7" t="inlineStr">
        <is>
          <t>Other small pelagic fish</t>
        </is>
      </c>
      <c r="F22" t="inlineStr"/>
      <c r="G22" t="inlineStr"/>
      <c r="H22" t="inlineStr">
        <is>
          <t>medium</t>
        </is>
      </c>
      <c r="I22" t="inlineStr">
        <is>
          <t>analogue</t>
        </is>
      </c>
      <c r="J22" t="n">
        <v>1335495.276</v>
      </c>
      <c r="K22" t="n">
        <v>0.197</v>
      </c>
      <c r="L22" s="6" t="inlineStr">
        <is>
          <t>Other small planktivorous clupeiform, compared with source Anchoa nasus (Tam 2008 p.353); distinct from the named Sardinops and Engraulis stocks. This is an ecological extension to LME-wide catches.</t>
        </is>
      </c>
    </row>
    <row r="23">
      <c r="A23" t="inlineStr">
        <is>
          <t>Coryphaena hippurus</t>
        </is>
      </c>
      <c r="B23" t="inlineStr">
        <is>
          <t>Common dolphinfish</t>
        </is>
      </c>
      <c r="C23" t="inlineStr">
        <is>
          <t>Large pelagics (&gt;=90 cm)</t>
        </is>
      </c>
      <c r="D23" t="inlineStr">
        <is>
          <t>Perch-likes</t>
        </is>
      </c>
      <c r="E23" s="5" t="inlineStr">
        <is>
          <t>Other large pelagic fish</t>
        </is>
      </c>
      <c r="F23" t="inlineStr"/>
      <c r="G23" t="inlineStr"/>
      <c r="H23" t="inlineStr">
        <is>
          <t>high</t>
        </is>
      </c>
      <c r="I23" t="inlineStr">
        <is>
          <t>inherited_model</t>
        </is>
      </c>
      <c r="J23" t="n">
        <v>1116395.255</v>
      </c>
      <c r="K23" t="n">
        <v>0.1647</v>
      </c>
      <c r="L23" s="6" t="inlineStr">
        <is>
          <t>Focal model adopts Tam et al. (2008) pp.353-354 membership (Chiaverano 2018 p.30); Coryphaena hippurus matches the printed species or recorded synonym. Peruvian hake spans three source size classes and uses fixed model catch weights.</t>
        </is>
      </c>
    </row>
    <row r="24">
      <c r="A24" t="inlineStr">
        <is>
          <t>Grimothea monodon</t>
        </is>
      </c>
      <c r="B24" t="inlineStr">
        <is>
          <t>Squat Lobster</t>
        </is>
      </c>
      <c r="C24" t="inlineStr">
        <is>
          <t>Lobsters, crabs</t>
        </is>
      </c>
      <c r="D24" t="inlineStr">
        <is>
          <t>Crustaceans</t>
        </is>
      </c>
      <c r="E24" s="7" t="inlineStr">
        <is>
          <t>Macrobenthos</t>
        </is>
      </c>
      <c r="F24" t="inlineStr"/>
      <c r="G24" t="inlineStr"/>
      <c r="H24" t="inlineStr">
        <is>
          <t>medium</t>
        </is>
      </c>
      <c r="I24" t="inlineStr">
        <is>
          <t>taxonomic_containment</t>
        </is>
      </c>
      <c r="J24" t="n">
        <v>1085796.094</v>
      </c>
      <c r="K24" t="n">
        <v>0.1601</v>
      </c>
      <c r="L24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25">
      <c r="A25" t="inlineStr">
        <is>
          <t>Cervimunida johni</t>
        </is>
      </c>
      <c r="B25" t="inlineStr">
        <is>
          <t>Carrot squat lobster</t>
        </is>
      </c>
      <c r="C25" t="inlineStr">
        <is>
          <t>Lobsters, crabs</t>
        </is>
      </c>
      <c r="D25" t="inlineStr">
        <is>
          <t>Crustaceans</t>
        </is>
      </c>
      <c r="E25" s="7" t="inlineStr">
        <is>
          <t>Macrobenthos</t>
        </is>
      </c>
      <c r="F25" t="inlineStr"/>
      <c r="G25" t="inlineStr"/>
      <c r="H25" t="inlineStr">
        <is>
          <t>medium</t>
        </is>
      </c>
      <c r="I25" t="inlineStr">
        <is>
          <t>taxonomic_containment</t>
        </is>
      </c>
      <c r="J25" t="n">
        <v>1052093.327</v>
      </c>
      <c r="K25" t="n">
        <v>0.1552</v>
      </c>
      <c r="L25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26">
      <c r="A26" t="inlineStr">
        <is>
          <t>Mugil cephalus</t>
        </is>
      </c>
      <c r="B26" t="inlineStr">
        <is>
          <t>Flathead grey mullet</t>
        </is>
      </c>
      <c r="C26" t="inlineStr">
        <is>
          <t>Large benthopelagics (&gt;=90 cm)</t>
        </is>
      </c>
      <c r="D26" t="inlineStr">
        <is>
          <t>Perch-likes</t>
        </is>
      </c>
      <c r="E26" s="5" t="inlineStr">
        <is>
          <t>Medium demersal fish</t>
        </is>
      </c>
      <c r="F26" t="inlineStr"/>
      <c r="G26" t="inlineStr"/>
      <c r="H26" t="inlineStr">
        <is>
          <t>high</t>
        </is>
      </c>
      <c r="I26" t="inlineStr">
        <is>
          <t>inherited_model</t>
        </is>
      </c>
      <c r="J26" t="n">
        <v>1021453.903</v>
      </c>
      <c r="K26" t="n">
        <v>0.1507</v>
      </c>
      <c r="L26" s="6" t="inlineStr">
        <is>
          <t>Focal model adopts Tam et al. (2008) pp.353-354 membership (Chiaverano 2018 p.30); Mugil cephalus matches the printed species or recorded synonym. Peruvian hake spans three source size classes and uses fixed model catch weights.</t>
        </is>
      </c>
    </row>
    <row r="27">
      <c r="A27" t="inlineStr">
        <is>
          <t>Katsuwonus pelamis</t>
        </is>
      </c>
      <c r="B27" t="inlineStr">
        <is>
          <t>Skipjack tuna</t>
        </is>
      </c>
      <c r="C27" t="inlineStr">
        <is>
          <t>Large pelagics (&gt;=90 cm)</t>
        </is>
      </c>
      <c r="D27" t="inlineStr">
        <is>
          <t>Tuna &amp; billfishes</t>
        </is>
      </c>
      <c r="E27" s="7" t="inlineStr">
        <is>
          <t>Other large pelagic fish</t>
        </is>
      </c>
      <c r="F27" t="inlineStr"/>
      <c r="G27" t="inlineStr"/>
      <c r="H27" t="inlineStr">
        <is>
          <t>medium</t>
        </is>
      </c>
      <c r="I27" t="inlineStr">
        <is>
          <t>analogue</t>
        </is>
      </c>
      <c r="J27" t="n">
        <v>969622.235</v>
      </c>
      <c r="K27" t="n">
        <v>0.143</v>
      </c>
      <c r="L27" s="6" t="inlineStr">
        <is>
          <t>Pelagic predatory fish extending the source Sarda/Coryphaena/Thunnus examples in Other large pelagic fish (Tam 2008 p.353); same feeding and water-column habitat, not a source-listed species.</t>
        </is>
      </c>
    </row>
    <row r="28">
      <c r="A28" t="inlineStr">
        <is>
          <t>Veneridae</t>
        </is>
      </c>
      <c r="B28" t="inlineStr">
        <is>
          <t>Venus clams</t>
        </is>
      </c>
      <c r="C28" t="inlineStr">
        <is>
          <t>Other demersal invertebrates</t>
        </is>
      </c>
      <c r="D28" t="inlineStr">
        <is>
          <t>Molluscs</t>
        </is>
      </c>
      <c r="E28" s="7" t="inlineStr">
        <is>
          <t>Macrobenthos</t>
        </is>
      </c>
      <c r="F28" t="inlineStr"/>
      <c r="G28" t="inlineStr"/>
      <c r="H28" t="inlineStr">
        <is>
          <t>medium</t>
        </is>
      </c>
      <c r="I28" t="inlineStr">
        <is>
          <t>taxonomic_containment</t>
        </is>
      </c>
      <c r="J28" t="n">
        <v>937187.3689999999</v>
      </c>
      <c r="K28" t="n">
        <v>0.1382</v>
      </c>
      <c r="L28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29">
      <c r="A29" t="inlineStr">
        <is>
          <t>Argopecten purpuratus</t>
        </is>
      </c>
      <c r="B29" t="inlineStr">
        <is>
          <t>Peruvian calico scallop</t>
        </is>
      </c>
      <c r="C29" t="inlineStr">
        <is>
          <t>Other demersal invertebrates</t>
        </is>
      </c>
      <c r="D29" t="inlineStr">
        <is>
          <t>Molluscs</t>
        </is>
      </c>
      <c r="E29" s="7" t="inlineStr">
        <is>
          <t>Macrobenthos</t>
        </is>
      </c>
      <c r="F29" t="inlineStr"/>
      <c r="G29" t="inlineStr"/>
      <c r="H29" t="inlineStr">
        <is>
          <t>medium</t>
        </is>
      </c>
      <c r="I29" t="inlineStr">
        <is>
          <t>taxonomic_containment</t>
        </is>
      </c>
      <c r="J29" t="n">
        <v>844771.645</v>
      </c>
      <c r="K29" t="n">
        <v>0.1246</v>
      </c>
      <c r="L29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30">
      <c r="A30" t="inlineStr">
        <is>
          <t>Doryteuthis gahi</t>
        </is>
      </c>
      <c r="B30" t="inlineStr">
        <is>
          <t>Patagonian squid</t>
        </is>
      </c>
      <c r="C30" t="inlineStr">
        <is>
          <t>Cephalopods</t>
        </is>
      </c>
      <c r="D30" t="inlineStr">
        <is>
          <t>Other fishes &amp; inverts</t>
        </is>
      </c>
      <c r="E30" s="5" t="inlineStr">
        <is>
          <t>Other cephalopods</t>
        </is>
      </c>
      <c r="F30" t="inlineStr"/>
      <c r="G30" t="inlineStr"/>
      <c r="H30" t="inlineStr">
        <is>
          <t>high</t>
        </is>
      </c>
      <c r="I30" t="inlineStr">
        <is>
          <t>inherited_model</t>
        </is>
      </c>
      <c r="J30" t="n">
        <v>819642.2929999999</v>
      </c>
      <c r="K30" t="n">
        <v>0.1209</v>
      </c>
      <c r="L30" s="6" t="inlineStr">
        <is>
          <t>Focal model adopts Tam et al. (2008) pp.353-354 membership (Chiaverano 2018 p.30); Doryteuthis gahi matches the printed species or recorded synonym. Peruvian hake spans three source size classes and uses fixed model catch weights.</t>
        </is>
      </c>
    </row>
    <row r="31">
      <c r="A31" t="inlineStr">
        <is>
          <t>Odontesthes regia</t>
        </is>
      </c>
      <c r="B31" t="inlineStr">
        <is>
          <t>Chilean silverside</t>
        </is>
      </c>
      <c r="C31" t="inlineStr">
        <is>
          <t>Small pelagics (&lt;30 cm)</t>
        </is>
      </c>
      <c r="D31" t="inlineStr">
        <is>
          <t>Other fishes &amp; inverts</t>
        </is>
      </c>
      <c r="E31" s="5" t="inlineStr">
        <is>
          <t>Small demersal fish</t>
        </is>
      </c>
      <c r="F31" t="inlineStr"/>
      <c r="G31" t="inlineStr"/>
      <c r="H31" t="inlineStr">
        <is>
          <t>high</t>
        </is>
      </c>
      <c r="I31" t="inlineStr">
        <is>
          <t>inherited_model</t>
        </is>
      </c>
      <c r="J31" t="n">
        <v>775900.993</v>
      </c>
      <c r="K31" t="n">
        <v>0.1144</v>
      </c>
      <c r="L31" s="6" t="inlineStr">
        <is>
          <t>Focal model adopts Tam et al. (2008) pp.353-354 membership (Chiaverano 2018 p.30); Odontesthes regia matches the printed species or recorded synonym. Peruvian hake spans three source size classes and uses fixed model catch weights.</t>
        </is>
      </c>
    </row>
    <row r="32">
      <c r="A32" t="inlineStr">
        <is>
          <t>Brama australis</t>
        </is>
      </c>
      <c r="B32" t="inlineStr">
        <is>
          <t>Southern rays bream</t>
        </is>
      </c>
      <c r="C32" t="inlineStr">
        <is>
          <t>Medium pelagics (30 - 89 cm)</t>
        </is>
      </c>
      <c r="D32" t="inlineStr">
        <is>
          <t>Perch-likes</t>
        </is>
      </c>
      <c r="E32" s="9" t="inlineStr">
        <is>
          <t>Unresolved</t>
        </is>
      </c>
      <c r="F32" t="inlineStr"/>
      <c r="G32" t="inlineStr"/>
      <c r="H32" t="inlineStr">
        <is>
          <t>unresolved</t>
        </is>
      </c>
      <c r="I32" t="inlineStr">
        <is>
          <t>none</t>
        </is>
      </c>
      <c r="J32" t="n">
        <v>757374.8050000001</v>
      </c>
      <c r="K32" t="n">
        <v>0.1117</v>
      </c>
      <c r="L32" s="6" t="inlineStr">
        <is>
          <t>No documented source member or sufficiently supported feeding-guild analogue established for Brama australis; source size/habitat labels alone do not resolve its placement.</t>
        </is>
      </c>
    </row>
    <row r="33">
      <c r="A33" t="inlineStr">
        <is>
          <t>Seriolella</t>
        </is>
      </c>
      <c r="B33" t="inlineStr">
        <is>
          <t>Warehous, butterfishes</t>
        </is>
      </c>
      <c r="C33" t="inlineStr">
        <is>
          <t>Medium benthopelagics (30 - 89 cm)</t>
        </is>
      </c>
      <c r="D33" t="inlineStr">
        <is>
          <t>Perch-likes</t>
        </is>
      </c>
      <c r="E33" s="9" t="inlineStr">
        <is>
          <t>Unresolved</t>
        </is>
      </c>
      <c r="F33" t="inlineStr"/>
      <c r="G33" t="inlineStr"/>
      <c r="H33" t="inlineStr">
        <is>
          <t>unresolved</t>
        </is>
      </c>
      <c r="I33" t="inlineStr">
        <is>
          <t>none</t>
        </is>
      </c>
      <c r="J33" t="n">
        <v>742981.655</v>
      </c>
      <c r="K33" t="n">
        <v>0.1096</v>
      </c>
      <c r="L33" s="6" t="inlineStr">
        <is>
          <t>No documented source member or sufficiently supported feeding-guild analogue established for Seriolella; source size/habitat labels alone do not resolve its placement.</t>
        </is>
      </c>
    </row>
    <row r="34">
      <c r="A34" t="inlineStr">
        <is>
          <t>Prionotus stephanophrys</t>
        </is>
      </c>
      <c r="B34" t="inlineStr">
        <is>
          <t>Lumptail searobin</t>
        </is>
      </c>
      <c r="C34" t="inlineStr">
        <is>
          <t>Medium demersals (30 - 89 cm)</t>
        </is>
      </c>
      <c r="D34" t="inlineStr">
        <is>
          <t>Scorpionfishes</t>
        </is>
      </c>
      <c r="E34" s="5" t="inlineStr">
        <is>
          <t>Sea robin</t>
        </is>
      </c>
      <c r="F34" t="inlineStr"/>
      <c r="G34" t="inlineStr"/>
      <c r="H34" t="inlineStr">
        <is>
          <t>high</t>
        </is>
      </c>
      <c r="I34" t="inlineStr">
        <is>
          <t>inherited_model</t>
        </is>
      </c>
      <c r="J34" t="n">
        <v>730032.0330000001</v>
      </c>
      <c r="K34" t="n">
        <v>0.1077</v>
      </c>
      <c r="L34" s="6" t="inlineStr">
        <is>
          <t>Focal model adopts Tam et al. (2008) pp.353-354 membership (Chiaverano 2018 p.30); Prionotus stephanophrys matches the printed species or recorded synonym. Peruvian hake spans three source size classes and uses fixed model catch weights.</t>
        </is>
      </c>
    </row>
    <row r="35">
      <c r="A35" t="inlineStr">
        <is>
          <t>Bivalvia</t>
        </is>
      </c>
      <c r="B35" t="inlineStr">
        <is>
          <t>Clams</t>
        </is>
      </c>
      <c r="C35" t="inlineStr">
        <is>
          <t>Other demersal invertebrates</t>
        </is>
      </c>
      <c r="D35" t="inlineStr">
        <is>
          <t>Molluscs</t>
        </is>
      </c>
      <c r="E35" s="7" t="inlineStr">
        <is>
          <t>Macrobenthos</t>
        </is>
      </c>
      <c r="F35" t="inlineStr"/>
      <c r="G35" t="inlineStr"/>
      <c r="H35" t="inlineStr">
        <is>
          <t>medium</t>
        </is>
      </c>
      <c r="I35" t="inlineStr">
        <is>
          <t>taxonomic_containment</t>
        </is>
      </c>
      <c r="J35" t="n">
        <v>585669.057</v>
      </c>
      <c r="K35" t="n">
        <v>0.0864</v>
      </c>
      <c r="L35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36">
      <c r="A36" t="inlineStr">
        <is>
          <t>Mesodesma donacium</t>
        </is>
      </c>
      <c r="B36" t="inlineStr">
        <is>
          <t>Macha clam</t>
        </is>
      </c>
      <c r="C36" t="inlineStr">
        <is>
          <t>Other demersal invertebrates</t>
        </is>
      </c>
      <c r="D36" t="inlineStr">
        <is>
          <t>Molluscs</t>
        </is>
      </c>
      <c r="E36" s="7" t="inlineStr">
        <is>
          <t>Macrobenthos</t>
        </is>
      </c>
      <c r="F36" t="inlineStr"/>
      <c r="G36" t="inlineStr"/>
      <c r="H36" t="inlineStr">
        <is>
          <t>medium</t>
        </is>
      </c>
      <c r="I36" t="inlineStr">
        <is>
          <t>taxonomic_containment</t>
        </is>
      </c>
      <c r="J36" t="n">
        <v>562635.745</v>
      </c>
      <c r="K36" t="n">
        <v>0.083</v>
      </c>
      <c r="L36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37">
      <c r="A37" t="inlineStr">
        <is>
          <t>Sciaenidae</t>
        </is>
      </c>
      <c r="B37" t="inlineStr">
        <is>
          <t>Drums, croakers</t>
        </is>
      </c>
      <c r="C37" t="inlineStr">
        <is>
          <t>Medium demersals (30 - 89 cm)</t>
        </is>
      </c>
      <c r="D37" t="inlineStr">
        <is>
          <t>Perch-likes</t>
        </is>
      </c>
      <c r="E37" s="8" t="inlineStr">
        <is>
          <t>Small demersal fish | Medium sciaenids</t>
        </is>
      </c>
      <c r="F37" t="inlineStr">
        <is>
          <t>0.451 | 0.549</t>
        </is>
      </c>
      <c r="G37" t="inlineStr">
        <is>
          <t>catch_composition</t>
        </is>
      </c>
      <c r="H37" t="inlineStr">
        <is>
          <t>low</t>
        </is>
      </c>
      <c r="I37" t="inlineStr">
        <is>
          <t>composite_split</t>
        </is>
      </c>
      <c r="J37" t="n">
        <v>549931.303</v>
      </c>
      <c r="K37" t="n">
        <v>0.08110000000000001</v>
      </c>
      <c r="L37" s="6" t="inlineStr">
        <is>
          <t>Analyst sciaenid extension: source explicitly separates Ctenosciaena into Small demersal fish and a Medium sciaenids pool (Tam 2008 p.353); the family label spans both, named medium croakers use the latter.</t>
        </is>
      </c>
    </row>
    <row r="38">
      <c r="A38" t="inlineStr">
        <is>
          <t>Gastropoda</t>
        </is>
      </c>
      <c r="B38" t="inlineStr">
        <is>
          <t>Sea snails</t>
        </is>
      </c>
      <c r="C38" t="inlineStr">
        <is>
          <t>Other demersal invertebrates</t>
        </is>
      </c>
      <c r="D38" t="inlineStr">
        <is>
          <t>Molluscs</t>
        </is>
      </c>
      <c r="E38" s="7" t="inlineStr">
        <is>
          <t>Macrobenthos</t>
        </is>
      </c>
      <c r="F38" t="inlineStr"/>
      <c r="G38" t="inlineStr"/>
      <c r="H38" t="inlineStr">
        <is>
          <t>medium</t>
        </is>
      </c>
      <c r="I38" t="inlineStr">
        <is>
          <t>taxonomic_containment</t>
        </is>
      </c>
      <c r="J38" t="n">
        <v>545506.347</v>
      </c>
      <c r="K38" t="n">
        <v>0.0805</v>
      </c>
      <c r="L38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39">
      <c r="A39" t="inlineStr">
        <is>
          <t>Penaeidae</t>
        </is>
      </c>
      <c r="B39" t="inlineStr">
        <is>
          <t>Commercial shrimps and prawns</t>
        </is>
      </c>
      <c r="C39" t="inlineStr">
        <is>
          <t>Shrimps</t>
        </is>
      </c>
      <c r="D39" t="inlineStr">
        <is>
          <t>Crustaceans</t>
        </is>
      </c>
      <c r="E39" s="7" t="inlineStr">
        <is>
          <t>Macrobenthos</t>
        </is>
      </c>
      <c r="F39" t="inlineStr"/>
      <c r="G39" t="inlineStr"/>
      <c r="H39" t="inlineStr">
        <is>
          <t>medium</t>
        </is>
      </c>
      <c r="I39" t="inlineStr">
        <is>
          <t>taxonomic_containment</t>
        </is>
      </c>
      <c r="J39" t="n">
        <v>473288.836</v>
      </c>
      <c r="K39" t="n">
        <v>0.0698</v>
      </c>
      <c r="L39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40">
      <c r="A40" t="inlineStr">
        <is>
          <t>Mustelus whitneyi</t>
        </is>
      </c>
      <c r="B40" t="inlineStr">
        <is>
          <t>Humpback smooth-hound</t>
        </is>
      </c>
      <c r="C40" t="inlineStr">
        <is>
          <t>Small to medium sharks (&lt;90 cm)</t>
        </is>
      </c>
      <c r="D40" t="inlineStr">
        <is>
          <t>Sharks &amp; rays</t>
        </is>
      </c>
      <c r="E40" s="7" t="inlineStr">
        <is>
          <t>Benthic elasmobranchs</t>
        </is>
      </c>
      <c r="F40" t="inlineStr"/>
      <c r="G40" t="inlineStr"/>
      <c r="H40" t="inlineStr">
        <is>
          <t>medium</t>
        </is>
      </c>
      <c r="I40" t="inlineStr">
        <is>
          <t>analogue</t>
        </is>
      </c>
      <c r="J40" t="n">
        <v>434523.704</v>
      </c>
      <c r="K40" t="n">
        <v>0.0641</v>
      </c>
      <c r="L40" s="6" t="inlineStr">
        <is>
          <t>Analyst habitat/feeding inference to benthic elasmobranchs or, for oceanic Mobula, the remaining Chondrichthyans pool (Tam 2008 pp.353-354; Table E separates benthivores from apex fish).</t>
        </is>
      </c>
    </row>
    <row r="41">
      <c r="A41" t="inlineStr">
        <is>
          <t>Concholepas concholepas</t>
        </is>
      </c>
      <c r="B41" t="inlineStr">
        <is>
          <t>False abalone</t>
        </is>
      </c>
      <c r="C41" t="inlineStr">
        <is>
          <t>Other demersal invertebrates</t>
        </is>
      </c>
      <c r="D41" t="inlineStr">
        <is>
          <t>Molluscs</t>
        </is>
      </c>
      <c r="E41" s="7" t="inlineStr">
        <is>
          <t>Macrobenthos</t>
        </is>
      </c>
      <c r="F41" t="inlineStr"/>
      <c r="G41" t="inlineStr"/>
      <c r="H41" t="inlineStr">
        <is>
          <t>medium</t>
        </is>
      </c>
      <c r="I41" t="inlineStr">
        <is>
          <t>taxonomic_containment</t>
        </is>
      </c>
      <c r="J41" t="n">
        <v>403348.041</v>
      </c>
      <c r="K41" t="n">
        <v>0.0595</v>
      </c>
      <c r="L41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42">
      <c r="A42" t="inlineStr">
        <is>
          <t>Mytilus chilensis</t>
        </is>
      </c>
      <c r="B42" t="inlineStr">
        <is>
          <t>Chilean mussel</t>
        </is>
      </c>
      <c r="C42" t="inlineStr">
        <is>
          <t>Other demersal invertebrates</t>
        </is>
      </c>
      <c r="D42" t="inlineStr">
        <is>
          <t>Molluscs</t>
        </is>
      </c>
      <c r="E42" s="7" t="inlineStr">
        <is>
          <t>Macrobenthos</t>
        </is>
      </c>
      <c r="F42" t="inlineStr"/>
      <c r="G42" t="inlineStr"/>
      <c r="H42" t="inlineStr">
        <is>
          <t>medium</t>
        </is>
      </c>
      <c r="I42" t="inlineStr">
        <is>
          <t>taxonomic_containment</t>
        </is>
      </c>
      <c r="J42" t="n">
        <v>369069.111</v>
      </c>
      <c r="K42" t="n">
        <v>0.0544</v>
      </c>
      <c r="L42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43">
      <c r="A43" t="inlineStr">
        <is>
          <t>Thunnus albacares</t>
        </is>
      </c>
      <c r="B43" t="inlineStr">
        <is>
          <t>Yellowfin tuna</t>
        </is>
      </c>
      <c r="C43" t="inlineStr">
        <is>
          <t>Large pelagics (&gt;=90 cm)</t>
        </is>
      </c>
      <c r="D43" t="inlineStr">
        <is>
          <t>Tuna &amp; billfishes</t>
        </is>
      </c>
      <c r="E43" s="5" t="inlineStr">
        <is>
          <t>Other large pelagic fish</t>
        </is>
      </c>
      <c r="F43" t="inlineStr"/>
      <c r="G43" t="inlineStr"/>
      <c r="H43" t="inlineStr">
        <is>
          <t>high</t>
        </is>
      </c>
      <c r="I43" t="inlineStr">
        <is>
          <t>inherited_model</t>
        </is>
      </c>
      <c r="J43" t="n">
        <v>354412.64</v>
      </c>
      <c r="K43" t="n">
        <v>0.0523</v>
      </c>
      <c r="L43" s="6" t="inlineStr">
        <is>
          <t>Focal model adopts Tam et al. (2008) pp.353-354 membership (Chiaverano 2018 p.30); Thunnus albacares matches the printed species or recorded synonym. Peruvian hake spans three source size classes and uses fixed model catch weights.</t>
        </is>
      </c>
    </row>
    <row r="44">
      <c r="A44" t="inlineStr">
        <is>
          <t>Cynoscion analis</t>
        </is>
      </c>
      <c r="B44" t="inlineStr">
        <is>
          <t>Peruvian weakfish</t>
        </is>
      </c>
      <c r="C44" t="inlineStr">
        <is>
          <t>Medium demersals (30 - 89 cm)</t>
        </is>
      </c>
      <c r="D44" t="inlineStr">
        <is>
          <t>Perch-likes</t>
        </is>
      </c>
      <c r="E44" s="7" t="inlineStr">
        <is>
          <t>Medium sciaenids</t>
        </is>
      </c>
      <c r="F44" t="inlineStr"/>
      <c r="G44" t="inlineStr"/>
      <c r="H44" t="inlineStr">
        <is>
          <t>medium</t>
        </is>
      </c>
      <c r="I44" t="inlineStr">
        <is>
          <t>analogue</t>
        </is>
      </c>
      <c r="J44" t="n">
        <v>331555.388</v>
      </c>
      <c r="K44" t="n">
        <v>0.0489</v>
      </c>
      <c r="L44" s="6" t="inlineStr">
        <is>
          <t>Analyst sciaenid extension: source explicitly separates Ctenosciaena into Small demersal fish and a Medium sciaenids pool (Tam 2008 p.353); the family label spans both, named medium croakers use the latter.</t>
        </is>
      </c>
    </row>
    <row r="45">
      <c r="A45" t="inlineStr">
        <is>
          <t>Paralonchurus peruanus</t>
        </is>
      </c>
      <c r="B45" t="inlineStr">
        <is>
          <t>Peruvian banded croaker</t>
        </is>
      </c>
      <c r="C45" t="inlineStr">
        <is>
          <t>Medium demersals (30 - 89 cm)</t>
        </is>
      </c>
      <c r="D45" t="inlineStr">
        <is>
          <t>Perch-likes</t>
        </is>
      </c>
      <c r="E45" s="7" t="inlineStr">
        <is>
          <t>Medium sciaenids</t>
        </is>
      </c>
      <c r="F45" t="inlineStr"/>
      <c r="G45" t="inlineStr"/>
      <c r="H45" t="inlineStr">
        <is>
          <t>medium</t>
        </is>
      </c>
      <c r="I45" t="inlineStr">
        <is>
          <t>analogue</t>
        </is>
      </c>
      <c r="J45" t="n">
        <v>315461.868</v>
      </c>
      <c r="K45" t="n">
        <v>0.0465</v>
      </c>
      <c r="L45" s="6" t="inlineStr">
        <is>
          <t>Analyst sciaenid extension: source explicitly separates Ctenosciaena into Small demersal fish and a Medium sciaenids pool (Tam 2008 p.353); the family label spans both, named medium croakers use the latter.</t>
        </is>
      </c>
    </row>
    <row r="46">
      <c r="A46" t="inlineStr">
        <is>
          <t>Thyrsites atun</t>
        </is>
      </c>
      <c r="B46" t="inlineStr">
        <is>
          <t>Snoek</t>
        </is>
      </c>
      <c r="C46" t="inlineStr">
        <is>
          <t>Large benthopelagics (&gt;=90 cm)</t>
        </is>
      </c>
      <c r="D46" t="inlineStr">
        <is>
          <t>Perch-likes</t>
        </is>
      </c>
      <c r="E46" s="9" t="inlineStr">
        <is>
          <t>Unresolved</t>
        </is>
      </c>
      <c r="F46" t="inlineStr"/>
      <c r="G46" t="inlineStr"/>
      <c r="H46" t="inlineStr">
        <is>
          <t>unresolved</t>
        </is>
      </c>
      <c r="I46" t="inlineStr">
        <is>
          <t>none</t>
        </is>
      </c>
      <c r="J46" t="n">
        <v>310792.733</v>
      </c>
      <c r="K46" t="n">
        <v>0.0458</v>
      </c>
      <c r="L46" s="6" t="inlineStr">
        <is>
          <t>No documented source member or sufficiently supported feeding-guild analogue established for Thyrsites atun; source size/habitat labels alone do not resolve its placement.</t>
        </is>
      </c>
    </row>
    <row r="47">
      <c r="A47" t="inlineStr">
        <is>
          <t>Heterocarpus reedi</t>
        </is>
      </c>
      <c r="B47" t="inlineStr">
        <is>
          <t>Chilean nylon shrimp</t>
        </is>
      </c>
      <c r="C47" t="inlineStr">
        <is>
          <t>Shrimps</t>
        </is>
      </c>
      <c r="D47" t="inlineStr">
        <is>
          <t>Crustaceans</t>
        </is>
      </c>
      <c r="E47" s="7" t="inlineStr">
        <is>
          <t>Macrobenthos</t>
        </is>
      </c>
      <c r="F47" t="inlineStr"/>
      <c r="G47" t="inlineStr"/>
      <c r="H47" t="inlineStr">
        <is>
          <t>medium</t>
        </is>
      </c>
      <c r="I47" t="inlineStr">
        <is>
          <t>taxonomic_containment</t>
        </is>
      </c>
      <c r="J47" t="n">
        <v>302770.322</v>
      </c>
      <c r="K47" t="n">
        <v>0.0447</v>
      </c>
      <c r="L47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48">
      <c r="A48" t="inlineStr">
        <is>
          <t>Paralabrax humeralis</t>
        </is>
      </c>
      <c r="B48" t="inlineStr">
        <is>
          <t>Peruvian rock seabass</t>
        </is>
      </c>
      <c r="C48" t="inlineStr">
        <is>
          <t>Medium benthopelagics (30 - 89 cm)</t>
        </is>
      </c>
      <c r="D48" t="inlineStr">
        <is>
          <t>Perch-likes</t>
        </is>
      </c>
      <c r="E48" s="5" t="inlineStr">
        <is>
          <t>Medium demersal fish</t>
        </is>
      </c>
      <c r="F48" t="inlineStr"/>
      <c r="G48" t="inlineStr"/>
      <c r="H48" t="inlineStr">
        <is>
          <t>high</t>
        </is>
      </c>
      <c r="I48" t="inlineStr">
        <is>
          <t>inherited_model</t>
        </is>
      </c>
      <c r="J48" t="n">
        <v>295221.933</v>
      </c>
      <c r="K48" t="n">
        <v>0.0435</v>
      </c>
      <c r="L48" s="6" t="inlineStr">
        <is>
          <t>Focal model adopts Tam et al. (2008) pp.353-354 membership (Chiaverano 2018 p.30); Paralabrax humeralis matches the printed species or recorded synonym. Peruvian hake spans three source size classes and uses fixed model catch weights.</t>
        </is>
      </c>
    </row>
    <row r="49">
      <c r="A49" t="inlineStr">
        <is>
          <t>Genypterus blacodes</t>
        </is>
      </c>
      <c r="B49" t="inlineStr">
        <is>
          <t>Pink cusk-eel</t>
        </is>
      </c>
      <c r="C49" t="inlineStr">
        <is>
          <t>Large bathydemersals (&gt;=90 cm)</t>
        </is>
      </c>
      <c r="D49" t="inlineStr">
        <is>
          <t>Other fishes &amp; inverts</t>
        </is>
      </c>
      <c r="E49" s="9" t="inlineStr">
        <is>
          <t>Unresolved</t>
        </is>
      </c>
      <c r="F49" t="inlineStr"/>
      <c r="G49" t="inlineStr"/>
      <c r="H49" t="inlineStr">
        <is>
          <t>unresolved</t>
        </is>
      </c>
      <c r="I49" t="inlineStr">
        <is>
          <t>none</t>
        </is>
      </c>
      <c r="J49" t="n">
        <v>277009.562</v>
      </c>
      <c r="K49" t="n">
        <v>0.0409</v>
      </c>
      <c r="L49" s="6" t="inlineStr">
        <is>
          <t>Source names Conger without a member list; snake eels and cusk-eels cannot be declared members from a shared eel-like shape, and the relevant demersal trophic analogue is not established.</t>
        </is>
      </c>
    </row>
    <row r="50">
      <c r="A50" t="inlineStr">
        <is>
          <t>Malacostraca</t>
        </is>
      </c>
      <c r="B50" t="inlineStr">
        <is>
          <t>Lobsters, crabs, shrimps, krill</t>
        </is>
      </c>
      <c r="C50" t="inlineStr">
        <is>
          <t>Shrimps</t>
        </is>
      </c>
      <c r="D50" t="inlineStr">
        <is>
          <t>Crustaceans</t>
        </is>
      </c>
      <c r="E50" s="7" t="inlineStr">
        <is>
          <t>Macrobenthos</t>
        </is>
      </c>
      <c r="F50" t="inlineStr"/>
      <c r="G50" t="inlineStr"/>
      <c r="H50" t="inlineStr">
        <is>
          <t>medium</t>
        </is>
      </c>
      <c r="I50" t="inlineStr">
        <is>
          <t>taxonomic_containment</t>
        </is>
      </c>
      <c r="J50" t="n">
        <v>253611.19</v>
      </c>
      <c r="K50" t="n">
        <v>0.0374</v>
      </c>
      <c r="L50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51">
      <c r="A51" t="inlineStr">
        <is>
          <t>Scombridae</t>
        </is>
      </c>
      <c r="B51" t="inlineStr">
        <is>
          <t>Mackerels, tunas, bonitos</t>
        </is>
      </c>
      <c r="C51" t="inlineStr">
        <is>
          <t>Medium pelagics (30 - 89 cm)</t>
        </is>
      </c>
      <c r="D51" t="inlineStr">
        <is>
          <t>Perch-likes</t>
        </is>
      </c>
      <c r="E51" s="7" t="inlineStr">
        <is>
          <t>Chub mackerel | Other large pelagic fish</t>
        </is>
      </c>
      <c r="F51" t="inlineStr">
        <is>
          <t>0.690 | 0.310</t>
        </is>
      </c>
      <c r="G51" t="inlineStr">
        <is>
          <t>explicit</t>
        </is>
      </c>
      <c r="H51" t="inlineStr">
        <is>
          <t>medium</t>
        </is>
      </c>
      <c r="I51" t="inlineStr">
        <is>
          <t>composite_split</t>
        </is>
      </c>
      <c r="J51" t="n">
        <v>252141.7</v>
      </c>
      <c r="K51" t="n">
        <v>0.0372</v>
      </c>
      <c r="L51" s="6" t="inlineStr">
        <is>
          <t>Scombrid aggregate spans dedicated chub mackerel and other large pelagic predatory fishes including tuna/bonito (Tam 2008 p.353); fixed composition uses the identified scombrid genera.</t>
        </is>
      </c>
    </row>
    <row r="52">
      <c r="A52" t="inlineStr">
        <is>
          <t>Cilus gilberti</t>
        </is>
      </c>
      <c r="B52" t="inlineStr">
        <is>
          <t>Corvina drum</t>
        </is>
      </c>
      <c r="C52" t="inlineStr">
        <is>
          <t>Medium demersals (30 - 89 cm)</t>
        </is>
      </c>
      <c r="D52" t="inlineStr">
        <is>
          <t>Perch-likes</t>
        </is>
      </c>
      <c r="E52" s="7" t="inlineStr">
        <is>
          <t>Medium sciaenids</t>
        </is>
      </c>
      <c r="F52" t="inlineStr"/>
      <c r="G52" t="inlineStr"/>
      <c r="H52" t="inlineStr">
        <is>
          <t>medium</t>
        </is>
      </c>
      <c r="I52" t="inlineStr">
        <is>
          <t>analogue</t>
        </is>
      </c>
      <c r="J52" t="n">
        <v>243847.378</v>
      </c>
      <c r="K52" t="n">
        <v>0.036</v>
      </c>
      <c r="L52" s="6" t="inlineStr">
        <is>
          <t>Analyst sciaenid extension: source explicitly separates Ctenosciaena into Small demersal fish and a Medium sciaenids pool (Tam 2008 p.353); the family label spans both, named medium croakers use the latter.</t>
        </is>
      </c>
    </row>
    <row r="53">
      <c r="A53" t="inlineStr">
        <is>
          <t>Pleuronectiformes</t>
        </is>
      </c>
      <c r="B53" t="inlineStr">
        <is>
          <t>Flatfishes</t>
        </is>
      </c>
      <c r="C53" t="inlineStr">
        <is>
          <t>Small to medium flatfishes (&lt;90 cm)</t>
        </is>
      </c>
      <c r="D53" t="inlineStr">
        <is>
          <t>Flatfishes</t>
        </is>
      </c>
      <c r="E53" s="5" t="inlineStr">
        <is>
          <t>Flatfish</t>
        </is>
      </c>
      <c r="F53" t="inlineStr"/>
      <c r="G53" t="inlineStr"/>
      <c r="H53" t="inlineStr">
        <is>
          <t>high</t>
        </is>
      </c>
      <c r="I53" t="inlineStr">
        <is>
          <t>taxonomic_containment</t>
        </is>
      </c>
      <c r="J53" t="n">
        <v>241318.638</v>
      </c>
      <c r="K53" t="n">
        <v>0.0356</v>
      </c>
      <c r="L53" s="6" t="inlineStr">
        <is>
          <t>Flatfish taxon falls within the source Flatfish pool; examples Paralichthys and Hippoglossina are given in Tam (2008) p.353.</t>
        </is>
      </c>
    </row>
    <row r="54">
      <c r="A54" t="inlineStr">
        <is>
          <t>Sprattus fuegensis</t>
        </is>
      </c>
      <c r="B54" t="inlineStr">
        <is>
          <t>Falkland sprat</t>
        </is>
      </c>
      <c r="C54" t="inlineStr">
        <is>
          <t>Small pelagics (&lt;30 cm)</t>
        </is>
      </c>
      <c r="D54" t="inlineStr">
        <is>
          <t>Herring-likes</t>
        </is>
      </c>
      <c r="E54" s="7" t="inlineStr">
        <is>
          <t>Other small pelagic fish</t>
        </is>
      </c>
      <c r="F54" t="inlineStr"/>
      <c r="G54" t="inlineStr"/>
      <c r="H54" t="inlineStr">
        <is>
          <t>medium</t>
        </is>
      </c>
      <c r="I54" t="inlineStr">
        <is>
          <t>analogue</t>
        </is>
      </c>
      <c r="J54" t="n">
        <v>241204.893</v>
      </c>
      <c r="K54" t="n">
        <v>0.0356</v>
      </c>
      <c r="L54" s="6" t="inlineStr">
        <is>
          <t>Other small planktivorous clupeiform, compared with source Anchoa nasus (Tam 2008 p.353); distinct from the named Sardinops and Engraulis stocks. This is an ecological extension to LME-wide catches.</t>
        </is>
      </c>
    </row>
    <row r="55">
      <c r="A55" t="inlineStr">
        <is>
          <t>Prionace glauca</t>
        </is>
      </c>
      <c r="B55" t="inlineStr">
        <is>
          <t>Blue shark</t>
        </is>
      </c>
      <c r="C55" t="inlineStr">
        <is>
          <t>Large sharks (&gt;=90 cm)</t>
        </is>
      </c>
      <c r="D55" t="inlineStr">
        <is>
          <t>Sharks &amp; rays</t>
        </is>
      </c>
      <c r="E55" s="7" t="inlineStr">
        <is>
          <t>Chondrichthyans</t>
        </is>
      </c>
      <c r="F55" t="inlineStr"/>
      <c r="G55" t="inlineStr"/>
      <c r="H55" t="inlineStr">
        <is>
          <t>medium</t>
        </is>
      </c>
      <c r="I55" t="inlineStr">
        <is>
          <t>analogue</t>
        </is>
      </c>
      <c r="J55" t="n">
        <v>235975.89</v>
      </c>
      <c r="K55" t="n">
        <v>0.0348</v>
      </c>
      <c r="L55" s="6" t="inlineStr">
        <is>
          <t>Analyst inference: pelagic predatory shark corresponds to Chondrichthyans after the benthic elasmobranch pool is excluded (Tam 2008 p.354; Table E apex predatory fish).</t>
        </is>
      </c>
    </row>
    <row r="56">
      <c r="A56" t="inlineStr">
        <is>
          <t>Isacia conceptionis</t>
        </is>
      </c>
      <c r="B56" t="inlineStr">
        <is>
          <t>Cabinza grunt</t>
        </is>
      </c>
      <c r="C56" t="inlineStr">
        <is>
          <t>Medium benthopelagics (30 - 89 cm)</t>
        </is>
      </c>
      <c r="D56" t="inlineStr">
        <is>
          <t>Perch-likes</t>
        </is>
      </c>
      <c r="E56" s="8" t="inlineStr">
        <is>
          <t>Medium demersal fish</t>
        </is>
      </c>
      <c r="F56" t="inlineStr"/>
      <c r="G56" t="inlineStr"/>
      <c r="H56" t="inlineStr">
        <is>
          <t>low</t>
        </is>
      </c>
      <c r="I56" t="inlineStr">
        <is>
          <t>analogue</t>
        </is>
      </c>
      <c r="J56" t="n">
        <v>199236.377</v>
      </c>
      <c r="K56" t="n">
        <v>0.0294</v>
      </c>
      <c r="L56" s="6" t="inlineStr">
        <is>
          <t>Analyst benthic-invertebrate-feeding demersal lineage, SAU Medium benthopelagics (30 - 89 cm), compared with the source Medium demersal fish guild (Supplement Table E); no exact membership documented.</t>
        </is>
      </c>
    </row>
    <row r="57">
      <c r="A57" t="inlineStr">
        <is>
          <t>Genypterus maculatus</t>
        </is>
      </c>
      <c r="B57" t="inlineStr">
        <is>
          <t>Black cusk-eel</t>
        </is>
      </c>
      <c r="C57" t="inlineStr">
        <is>
          <t>Medium demersals (30 - 89 cm)</t>
        </is>
      </c>
      <c r="D57" t="inlineStr">
        <is>
          <t>Other fishes &amp; inverts</t>
        </is>
      </c>
      <c r="E57" s="9" t="inlineStr">
        <is>
          <t>Unresolved</t>
        </is>
      </c>
      <c r="F57" t="inlineStr"/>
      <c r="G57" t="inlineStr"/>
      <c r="H57" t="inlineStr">
        <is>
          <t>unresolved</t>
        </is>
      </c>
      <c r="I57" t="inlineStr">
        <is>
          <t>none</t>
        </is>
      </c>
      <c r="J57" t="n">
        <v>193675.534</v>
      </c>
      <c r="K57" t="n">
        <v>0.0286</v>
      </c>
      <c r="L57" s="6" t="inlineStr">
        <is>
          <t>Source names Conger without a member list; snake eels and cusk-eels cannot be declared members from a shared eel-like shape, and the relevant demersal trophic analogue is not established.</t>
        </is>
      </c>
    </row>
    <row r="58">
      <c r="A58" t="inlineStr">
        <is>
          <t>Batoidea</t>
        </is>
      </c>
      <c r="B58" t="inlineStr">
        <is>
          <t>Batoids, skates, rays, sawfishes</t>
        </is>
      </c>
      <c r="C58" t="inlineStr">
        <is>
          <t>Large rays (&gt;=90 cm)</t>
        </is>
      </c>
      <c r="D58" t="inlineStr">
        <is>
          <t>Sharks &amp; rays</t>
        </is>
      </c>
      <c r="E58" s="7" t="inlineStr">
        <is>
          <t>Benthic elasmobranchs</t>
        </is>
      </c>
      <c r="F58" t="inlineStr"/>
      <c r="G58" t="inlineStr"/>
      <c r="H58" t="inlineStr">
        <is>
          <t>medium</t>
        </is>
      </c>
      <c r="I58" t="inlineStr">
        <is>
          <t>analogue</t>
        </is>
      </c>
      <c r="J58" t="n">
        <v>185377.809</v>
      </c>
      <c r="K58" t="n">
        <v>0.0273</v>
      </c>
      <c r="L58" s="6" t="inlineStr">
        <is>
          <t>Analyst habitat/feeding inference to benthic elasmobranchs or, for oceanic Mobula, the remaining Chondrichthyans pool (Tam 2008 pp.353-354; Table E separates benthivores from apex fish).</t>
        </is>
      </c>
    </row>
    <row r="59">
      <c r="A59" t="inlineStr">
        <is>
          <t>Pyura chilensis</t>
        </is>
      </c>
      <c r="B59" t="inlineStr">
        <is>
          <t>Red sea squirt</t>
        </is>
      </c>
      <c r="C59" t="inlineStr">
        <is>
          <t>Other demersal invertebrates</t>
        </is>
      </c>
      <c r="D59" t="inlineStr">
        <is>
          <t>Other fishes &amp; inverts</t>
        </is>
      </c>
      <c r="E59" s="7" t="inlineStr">
        <is>
          <t>Macrobenthos</t>
        </is>
      </c>
      <c r="F59" t="inlineStr"/>
      <c r="G59" t="inlineStr"/>
      <c r="H59" t="inlineStr">
        <is>
          <t>medium</t>
        </is>
      </c>
      <c r="I59" t="inlineStr">
        <is>
          <t>taxonomic_containment</t>
        </is>
      </c>
      <c r="J59" t="n">
        <v>175576.938</v>
      </c>
      <c r="K59" t="n">
        <v>0.0259</v>
      </c>
      <c r="L59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60">
      <c r="A60" t="inlineStr">
        <is>
          <t>Dissostichus eleginoides</t>
        </is>
      </c>
      <c r="B60" t="inlineStr">
        <is>
          <t>Patagonian toothfish</t>
        </is>
      </c>
      <c r="C60" t="inlineStr">
        <is>
          <t>Large bathydemersals (&gt;=90 cm)</t>
        </is>
      </c>
      <c r="D60" t="inlineStr">
        <is>
          <t>Perch-likes</t>
        </is>
      </c>
      <c r="E60" s="9" t="inlineStr">
        <is>
          <t>Unresolved</t>
        </is>
      </c>
      <c r="F60" t="inlineStr"/>
      <c r="G60" t="inlineStr"/>
      <c r="H60" t="inlineStr">
        <is>
          <t>unresolved</t>
        </is>
      </c>
      <c r="I60" t="inlineStr">
        <is>
          <t>none</t>
        </is>
      </c>
      <c r="J60" t="n">
        <v>173997.705</v>
      </c>
      <c r="K60" t="n">
        <v>0.0257</v>
      </c>
      <c r="L60" s="6" t="inlineStr">
        <is>
          <t>This is a southern/offshore demersal stock, not the explicitly modelled northern Peruvian hake Merluccius peruanus; the northern model has no corresponding named stock compartment.</t>
        </is>
      </c>
    </row>
    <row r="61">
      <c r="A61" t="inlineStr">
        <is>
          <t>Semele solida</t>
        </is>
      </c>
      <c r="B61" t="inlineStr">
        <is>
          <t>Chilean semele</t>
        </is>
      </c>
      <c r="C61" t="inlineStr">
        <is>
          <t>Other demersal invertebrates</t>
        </is>
      </c>
      <c r="D61" t="inlineStr">
        <is>
          <t>Molluscs</t>
        </is>
      </c>
      <c r="E61" s="7" t="inlineStr">
        <is>
          <t>Macrobenthos</t>
        </is>
      </c>
      <c r="F61" t="inlineStr"/>
      <c r="G61" t="inlineStr"/>
      <c r="H61" t="inlineStr">
        <is>
          <t>medium</t>
        </is>
      </c>
      <c r="I61" t="inlineStr">
        <is>
          <t>taxonomic_containment</t>
        </is>
      </c>
      <c r="J61" t="n">
        <v>167429.893</v>
      </c>
      <c r="K61" t="n">
        <v>0.0247</v>
      </c>
      <c r="L61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62">
      <c r="A62" t="inlineStr">
        <is>
          <t>Ophichthus</t>
        </is>
      </c>
      <c r="B62" t="inlineStr">
        <is>
          <t>Snake eel</t>
        </is>
      </c>
      <c r="C62" t="inlineStr">
        <is>
          <t>Medium demersals (30 - 89 cm)</t>
        </is>
      </c>
      <c r="D62" t="inlineStr">
        <is>
          <t>Other fishes &amp; inverts</t>
        </is>
      </c>
      <c r="E62" s="9" t="inlineStr">
        <is>
          <t>Unresolved</t>
        </is>
      </c>
      <c r="F62" t="inlineStr"/>
      <c r="G62" t="inlineStr"/>
      <c r="H62" t="inlineStr">
        <is>
          <t>unresolved</t>
        </is>
      </c>
      <c r="I62" t="inlineStr">
        <is>
          <t>none</t>
        </is>
      </c>
      <c r="J62" t="n">
        <v>144198.003</v>
      </c>
      <c r="K62" t="n">
        <v>0.0213</v>
      </c>
      <c r="L62" s="6" t="inlineStr">
        <is>
          <t>Source names Conger without a member list; snake eels and cusk-eels cannot be declared members from a shared eel-like shape, and the relevant demersal trophic analogue is not established.</t>
        </is>
      </c>
    </row>
    <row r="63">
      <c r="A63" t="inlineStr">
        <is>
          <t>Xiphias gladius</t>
        </is>
      </c>
      <c r="B63" t="inlineStr">
        <is>
          <t>Swordfish</t>
        </is>
      </c>
      <c r="C63" t="inlineStr">
        <is>
          <t>Large pelagics (&gt;=90 cm)</t>
        </is>
      </c>
      <c r="D63" t="inlineStr">
        <is>
          <t>Tuna &amp; billfishes</t>
        </is>
      </c>
      <c r="E63" s="9" t="inlineStr">
        <is>
          <t>Unresolved</t>
        </is>
      </c>
      <c r="F63" t="inlineStr"/>
      <c r="G63" t="inlineStr"/>
      <c r="H63" t="inlineStr">
        <is>
          <t>unresolved</t>
        </is>
      </c>
      <c r="I63" t="inlineStr">
        <is>
          <t>none</t>
        </is>
      </c>
      <c r="J63" t="n">
        <v>131461.081</v>
      </c>
      <c r="K63" t="n">
        <v>0.0194</v>
      </c>
      <c r="L63" s="6" t="inlineStr">
        <is>
          <t>Billfish is outside the documented source examples and no oceanic billfish stock/feeding compartment is supplied; a coastal pelagic-piscivore analogy is insufficiently established.</t>
        </is>
      </c>
    </row>
    <row r="64">
      <c r="A64" t="inlineStr">
        <is>
          <t>Tawera gayi</t>
        </is>
      </c>
      <c r="B64" t="inlineStr">
        <is>
          <t>Gay's little venus</t>
        </is>
      </c>
      <c r="C64" t="inlineStr">
        <is>
          <t>Other demersal invertebrates</t>
        </is>
      </c>
      <c r="D64" t="inlineStr">
        <is>
          <t>Molluscs</t>
        </is>
      </c>
      <c r="E64" s="7" t="inlineStr">
        <is>
          <t>Macrobenthos</t>
        </is>
      </c>
      <c r="F64" t="inlineStr"/>
      <c r="G64" t="inlineStr"/>
      <c r="H64" t="inlineStr">
        <is>
          <t>medium</t>
        </is>
      </c>
      <c r="I64" t="inlineStr">
        <is>
          <t>taxonomic_containment</t>
        </is>
      </c>
      <c r="J64" t="n">
        <v>125652.412</v>
      </c>
      <c r="K64" t="n">
        <v>0.0185</v>
      </c>
      <c r="L64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65">
      <c r="A65" t="inlineStr">
        <is>
          <t>Paralomis granulosa</t>
        </is>
      </c>
      <c r="B65" t="inlineStr">
        <is>
          <t>Softshell red crab</t>
        </is>
      </c>
      <c r="C65" t="inlineStr">
        <is>
          <t>Lobsters, crabs</t>
        </is>
      </c>
      <c r="D65" t="inlineStr">
        <is>
          <t>Crustaceans</t>
        </is>
      </c>
      <c r="E65" s="7" t="inlineStr">
        <is>
          <t>Macrobenthos</t>
        </is>
      </c>
      <c r="F65" t="inlineStr"/>
      <c r="G65" t="inlineStr"/>
      <c r="H65" t="inlineStr">
        <is>
          <t>medium</t>
        </is>
      </c>
      <c r="I65" t="inlineStr">
        <is>
          <t>taxonomic_containment</t>
        </is>
      </c>
      <c r="J65" t="n">
        <v>105343.763</v>
      </c>
      <c r="K65" t="n">
        <v>0.0155</v>
      </c>
      <c r="L65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66">
      <c r="A66" t="inlineStr">
        <is>
          <t>Isurus oxyrinchus</t>
        </is>
      </c>
      <c r="B66" t="inlineStr">
        <is>
          <t>Shortfin mako</t>
        </is>
      </c>
      <c r="C66" t="inlineStr">
        <is>
          <t>Large sharks (&gt;=90 cm)</t>
        </is>
      </c>
      <c r="D66" t="inlineStr">
        <is>
          <t>Sharks &amp; rays</t>
        </is>
      </c>
      <c r="E66" s="7" t="inlineStr">
        <is>
          <t>Chondrichthyans</t>
        </is>
      </c>
      <c r="F66" t="inlineStr"/>
      <c r="G66" t="inlineStr"/>
      <c r="H66" t="inlineStr">
        <is>
          <t>medium</t>
        </is>
      </c>
      <c r="I66" t="inlineStr">
        <is>
          <t>analogue</t>
        </is>
      </c>
      <c r="J66" t="n">
        <v>99061.2</v>
      </c>
      <c r="K66" t="n">
        <v>0.0146</v>
      </c>
      <c r="L66" s="6" t="inlineStr">
        <is>
          <t>Analyst inference: pelagic predatory shark corresponds to Chondrichthyans after the benthic elasmobranch pool is excluded (Tam 2008 p.354; Table E apex predatory fish).</t>
        </is>
      </c>
    </row>
    <row r="67">
      <c r="A67" t="inlineStr">
        <is>
          <t>Lithodes</t>
        </is>
      </c>
      <c r="B67" t="inlineStr">
        <is>
          <t>King crabs</t>
        </is>
      </c>
      <c r="C67" t="inlineStr">
        <is>
          <t>Lobsters, crabs</t>
        </is>
      </c>
      <c r="D67" t="inlineStr">
        <is>
          <t>Crustaceans</t>
        </is>
      </c>
      <c r="E67" s="7" t="inlineStr">
        <is>
          <t>Macrobenthos</t>
        </is>
      </c>
      <c r="F67" t="inlineStr"/>
      <c r="G67" t="inlineStr"/>
      <c r="H67" t="inlineStr">
        <is>
          <t>medium</t>
        </is>
      </c>
      <c r="I67" t="inlineStr">
        <is>
          <t>taxonomic_containment</t>
        </is>
      </c>
      <c r="J67" t="n">
        <v>92577.16499999999</v>
      </c>
      <c r="K67" t="n">
        <v>0.0137</v>
      </c>
      <c r="L67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68">
      <c r="A68" t="inlineStr">
        <is>
          <t>Caulolatilus</t>
        </is>
      </c>
      <c r="B68" t="inlineStr">
        <is>
          <t>Pacific and Atlantic tilefishes</t>
        </is>
      </c>
      <c r="C68" t="inlineStr">
        <is>
          <t>Medium demersals (30 - 89 cm)</t>
        </is>
      </c>
      <c r="D68" t="inlineStr">
        <is>
          <t>Perch-likes</t>
        </is>
      </c>
      <c r="E68" s="8" t="inlineStr">
        <is>
          <t>Medium demersal fish</t>
        </is>
      </c>
      <c r="F68" t="inlineStr"/>
      <c r="G68" t="inlineStr"/>
      <c r="H68" t="inlineStr">
        <is>
          <t>low</t>
        </is>
      </c>
      <c r="I68" t="inlineStr">
        <is>
          <t>analogue</t>
        </is>
      </c>
      <c r="J68" t="n">
        <v>89147.14200000001</v>
      </c>
      <c r="K68" t="n">
        <v>0.0131</v>
      </c>
      <c r="L68" s="6" t="inlineStr">
        <is>
          <t>Analyst benthic-invertebrate-feeding demersal lineage, SAU Medium demersals (30 - 89 cm), compared with the source Medium demersal fish guild (Supplement Table E); no exact membership documented.</t>
        </is>
      </c>
    </row>
    <row r="69">
      <c r="A69" t="inlineStr">
        <is>
          <t>Salilota australis</t>
        </is>
      </c>
      <c r="B69" t="inlineStr">
        <is>
          <t>Tadpole codling</t>
        </is>
      </c>
      <c r="C69" t="inlineStr">
        <is>
          <t>Medium demersals (30 - 89 cm)</t>
        </is>
      </c>
      <c r="D69" t="inlineStr">
        <is>
          <t>Cod-likes</t>
        </is>
      </c>
      <c r="E69" s="9" t="inlineStr">
        <is>
          <t>Unresolved</t>
        </is>
      </c>
      <c r="F69" t="inlineStr"/>
      <c r="G69" t="inlineStr"/>
      <c r="H69" t="inlineStr">
        <is>
          <t>unresolved</t>
        </is>
      </c>
      <c r="I69" t="inlineStr">
        <is>
          <t>none</t>
        </is>
      </c>
      <c r="J69" t="n">
        <v>86063.64599999999</v>
      </c>
      <c r="K69" t="n">
        <v>0.0127</v>
      </c>
      <c r="L69" s="6" t="inlineStr">
        <is>
          <t>This is a southern/offshore demersal stock, not the explicitly modelled northern Peruvian hake Merluccius peruanus; the northern model has no corresponding named stock compartment.</t>
        </is>
      </c>
    </row>
    <row r="70">
      <c r="A70" t="inlineStr">
        <is>
          <t>Pseudobatos planiceps</t>
        </is>
      </c>
      <c r="B70" t="inlineStr">
        <is>
          <t>Pacific guitarfish</t>
        </is>
      </c>
      <c r="C70" t="inlineStr">
        <is>
          <t>Small to medium rays (&lt;90 cm)</t>
        </is>
      </c>
      <c r="D70" t="inlineStr">
        <is>
          <t>Sharks &amp; rays</t>
        </is>
      </c>
      <c r="E70" s="7" t="inlineStr">
        <is>
          <t>Benthic elasmobranchs</t>
        </is>
      </c>
      <c r="F70" t="inlineStr"/>
      <c r="G70" t="inlineStr"/>
      <c r="H70" t="inlineStr">
        <is>
          <t>medium</t>
        </is>
      </c>
      <c r="I70" t="inlineStr">
        <is>
          <t>analogue</t>
        </is>
      </c>
      <c r="J70" t="n">
        <v>76620.92200000001</v>
      </c>
      <c r="K70" t="n">
        <v>0.0113</v>
      </c>
      <c r="L70" s="6" t="inlineStr">
        <is>
          <t>Analyst habitat/feeding inference to benthic elasmobranchs or, for oceanic Mobula, the remaining Chondrichthyans pool (Tam 2008 pp.353-354; Table E separates benthivores from apex fish).</t>
        </is>
      </c>
    </row>
    <row r="71">
      <c r="A71" t="inlineStr">
        <is>
          <t>Marine pelagic fishes not identified</t>
        </is>
      </c>
      <c r="B71" t="inlineStr">
        <is>
          <t>Pelagic fishes</t>
        </is>
      </c>
      <c r="C71" t="inlineStr">
        <is>
          <t>Medium pelagics (30 - 89 cm)</t>
        </is>
      </c>
      <c r="D71" t="inlineStr">
        <is>
          <t>Other fishes &amp; inverts</t>
        </is>
      </c>
      <c r="E71" s="8" t="inlineStr">
        <is>
          <t>Other small pelagic fish | Other large pelagic fish</t>
        </is>
      </c>
      <c r="F71" t="inlineStr">
        <is>
          <t>0.522 | 0.478</t>
        </is>
      </c>
      <c r="G71" t="inlineStr">
        <is>
          <t>catch_composition</t>
        </is>
      </c>
      <c r="H71" t="inlineStr">
        <is>
          <t>low</t>
        </is>
      </c>
      <c r="I71" t="inlineStr">
        <is>
          <t>composite_split</t>
        </is>
      </c>
      <c r="J71" t="n">
        <v>73442.08199999999</v>
      </c>
      <c r="K71" t="n">
        <v>0.0108</v>
      </c>
      <c r="L71" s="6" t="inlineStr">
        <is>
          <t>Analyst residual-catch composite, SAU Medium pelagics (30 - 89 cm). Candidate residual groups are constrained by source habitat and Table E feeding guilds; dedicated stocks are excluded. Catch-composition weights are estimated, not a source species list.</t>
        </is>
      </c>
    </row>
    <row r="72">
      <c r="A72" t="inlineStr">
        <is>
          <t>Coryphaena</t>
        </is>
      </c>
      <c r="B72" t="inlineStr">
        <is>
          <t>Dolphinfishes</t>
        </is>
      </c>
      <c r="C72" t="inlineStr">
        <is>
          <t>Large pelagics (&gt;=90 cm)</t>
        </is>
      </c>
      <c r="D72" t="inlineStr">
        <is>
          <t>Perch-likes</t>
        </is>
      </c>
      <c r="E72" s="7" t="inlineStr">
        <is>
          <t>Other large pelagic fish</t>
        </is>
      </c>
      <c r="F72" t="inlineStr"/>
      <c r="G72" t="inlineStr"/>
      <c r="H72" t="inlineStr">
        <is>
          <t>medium</t>
        </is>
      </c>
      <c r="I72" t="inlineStr">
        <is>
          <t>analogue</t>
        </is>
      </c>
      <c r="J72" t="n">
        <v>66961.43700000001</v>
      </c>
      <c r="K72" t="n">
        <v>0.009900000000000001</v>
      </c>
      <c r="L72" s="6" t="inlineStr">
        <is>
          <t>Pelagic predatory fish extending the source Sarda/Coryphaena/Thunnus examples in Other large pelagic fish (Tam 2008 p.353); same feeding and water-column habitat, not a source-listed species.</t>
        </is>
      </c>
    </row>
    <row r="73">
      <c r="A73" t="inlineStr">
        <is>
          <t>Paralichthys microps</t>
        </is>
      </c>
      <c r="B73" t="inlineStr">
        <is>
          <t>Paralichthys microps</t>
        </is>
      </c>
      <c r="C73" t="inlineStr">
        <is>
          <t>Small to medium flatfishes (&lt;90 cm)</t>
        </is>
      </c>
      <c r="D73" t="inlineStr">
        <is>
          <t>Flatfishes</t>
        </is>
      </c>
      <c r="E73" s="5" t="inlineStr">
        <is>
          <t>Flatfish</t>
        </is>
      </c>
      <c r="F73" t="inlineStr"/>
      <c r="G73" t="inlineStr"/>
      <c r="H73" t="inlineStr">
        <is>
          <t>high</t>
        </is>
      </c>
      <c r="I73" t="inlineStr">
        <is>
          <t>taxonomic_containment</t>
        </is>
      </c>
      <c r="J73" t="n">
        <v>61786.274</v>
      </c>
      <c r="K73" t="n">
        <v>0.0091</v>
      </c>
      <c r="L73" s="6" t="inlineStr">
        <is>
          <t>Flatfish taxon falls within the source Flatfish pool; examples Paralichthys and Hippoglossina are given in Tam (2008) p.353.</t>
        </is>
      </c>
    </row>
    <row r="74">
      <c r="A74" t="inlineStr">
        <is>
          <t>Selene peruviana</t>
        </is>
      </c>
      <c r="B74" t="inlineStr">
        <is>
          <t>Peruvian moonfish</t>
        </is>
      </c>
      <c r="C74" t="inlineStr">
        <is>
          <t>Small pelagics (&lt;30 cm)</t>
        </is>
      </c>
      <c r="D74" t="inlineStr">
        <is>
          <t>Perch-likes</t>
        </is>
      </c>
      <c r="E74" s="8" t="inlineStr">
        <is>
          <t>Other small pelagic fish</t>
        </is>
      </c>
      <c r="F74" t="inlineStr"/>
      <c r="G74" t="inlineStr"/>
      <c r="H74" t="inlineStr">
        <is>
          <t>low</t>
        </is>
      </c>
      <c r="I74" t="inlineStr">
        <is>
          <t>analogue</t>
        </is>
      </c>
      <c r="J74" t="n">
        <v>60946.781</v>
      </c>
      <c r="K74" t="n">
        <v>0.008999999999999999</v>
      </c>
      <c r="L74" s="6" t="inlineStr">
        <is>
          <t>Analyst small schooling planktivorous/pelagic analogue to source Other small pelagic fish; the species is not in the source member list, and its SAU demersal/size class may differ.</t>
        </is>
      </c>
    </row>
    <row r="75">
      <c r="A75" t="inlineStr">
        <is>
          <t>Lithodes santolla</t>
        </is>
      </c>
      <c r="B75" t="inlineStr">
        <is>
          <t>Southern king crab</t>
        </is>
      </c>
      <c r="C75" t="inlineStr">
        <is>
          <t>Lobsters, crabs</t>
        </is>
      </c>
      <c r="D75" t="inlineStr">
        <is>
          <t>Crustaceans</t>
        </is>
      </c>
      <c r="E75" s="7" t="inlineStr">
        <is>
          <t>Macrobenthos</t>
        </is>
      </c>
      <c r="F75" t="inlineStr"/>
      <c r="G75" t="inlineStr"/>
      <c r="H75" t="inlineStr">
        <is>
          <t>medium</t>
        </is>
      </c>
      <c r="I75" t="inlineStr">
        <is>
          <t>taxonomic_containment</t>
        </is>
      </c>
      <c r="J75" t="n">
        <v>57832.98</v>
      </c>
      <c r="K75" t="n">
        <v>0.008500000000000001</v>
      </c>
      <c r="L75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76">
      <c r="A76" t="inlineStr">
        <is>
          <t>Scomberomorus sierra</t>
        </is>
      </c>
      <c r="B76" t="inlineStr">
        <is>
          <t>Pacific sierra</t>
        </is>
      </c>
      <c r="C76" t="inlineStr">
        <is>
          <t>Large pelagics (&gt;=90 cm)</t>
        </is>
      </c>
      <c r="D76" t="inlineStr">
        <is>
          <t>Perch-likes</t>
        </is>
      </c>
      <c r="E76" s="7" t="inlineStr">
        <is>
          <t>Other large pelagic fish</t>
        </is>
      </c>
      <c r="F76" t="inlineStr"/>
      <c r="G76" t="inlineStr"/>
      <c r="H76" t="inlineStr">
        <is>
          <t>medium</t>
        </is>
      </c>
      <c r="I76" t="inlineStr">
        <is>
          <t>analogue</t>
        </is>
      </c>
      <c r="J76" t="n">
        <v>55127.193</v>
      </c>
      <c r="K76" t="n">
        <v>0.0081</v>
      </c>
      <c r="L76" s="6" t="inlineStr">
        <is>
          <t>Pelagic predatory fish extending the source Sarda/Coryphaena/Thunnus examples in Other large pelagic fish (Tam 2008 p.353); same feeding and water-column habitat, not a source-listed species.</t>
        </is>
      </c>
    </row>
    <row r="77">
      <c r="A77" t="inlineStr">
        <is>
          <t>Paralichthyidae</t>
        </is>
      </c>
      <c r="B77" t="inlineStr">
        <is>
          <t>Largetooth flounders</t>
        </is>
      </c>
      <c r="C77" t="inlineStr">
        <is>
          <t>Small to medium flatfishes (&lt;90 cm)</t>
        </is>
      </c>
      <c r="D77" t="inlineStr">
        <is>
          <t>Flatfishes</t>
        </is>
      </c>
      <c r="E77" s="5" t="inlineStr">
        <is>
          <t>Flatfish</t>
        </is>
      </c>
      <c r="F77" t="inlineStr"/>
      <c r="G77" t="inlineStr"/>
      <c r="H77" t="inlineStr">
        <is>
          <t>high</t>
        </is>
      </c>
      <c r="I77" t="inlineStr">
        <is>
          <t>taxonomic_containment</t>
        </is>
      </c>
      <c r="J77" t="n">
        <v>55054.515</v>
      </c>
      <c r="K77" t="n">
        <v>0.0081</v>
      </c>
      <c r="L77" s="6" t="inlineStr">
        <is>
          <t>Flatfish taxon falls within the source Flatfish pool; examples Paralichthys and Hippoglossina are given in Tam (2008) p.353.</t>
        </is>
      </c>
    </row>
    <row r="78">
      <c r="A78" t="inlineStr">
        <is>
          <t>Larimus pacificus</t>
        </is>
      </c>
      <c r="B78" t="inlineStr">
        <is>
          <t>Pacific drum</t>
        </is>
      </c>
      <c r="C78" t="inlineStr">
        <is>
          <t>Small pelagics (&lt;30 cm)</t>
        </is>
      </c>
      <c r="D78" t="inlineStr">
        <is>
          <t>Perch-likes</t>
        </is>
      </c>
      <c r="E78" s="7" t="inlineStr">
        <is>
          <t>Medium sciaenids</t>
        </is>
      </c>
      <c r="F78" t="inlineStr"/>
      <c r="G78" t="inlineStr"/>
      <c r="H78" t="inlineStr">
        <is>
          <t>medium</t>
        </is>
      </c>
      <c r="I78" t="inlineStr">
        <is>
          <t>analogue</t>
        </is>
      </c>
      <c r="J78" t="n">
        <v>52703.456</v>
      </c>
      <c r="K78" t="n">
        <v>0.0078</v>
      </c>
      <c r="L78" s="6" t="inlineStr">
        <is>
          <t>Analyst sciaenid extension: source explicitly separates Ctenosciaena into Small demersal fish and a Medium sciaenids pool (Tam 2008 p.353); the family label spans both, named medium croakers use the latter.</t>
        </is>
      </c>
    </row>
    <row r="79">
      <c r="A79" t="inlineStr">
        <is>
          <t>Mulinia</t>
        </is>
      </c>
      <c r="B79" t="inlineStr">
        <is>
          <t>Taquilla clams</t>
        </is>
      </c>
      <c r="C79" t="inlineStr">
        <is>
          <t>Other demersal invertebrates</t>
        </is>
      </c>
      <c r="D79" t="inlineStr">
        <is>
          <t>Molluscs</t>
        </is>
      </c>
      <c r="E79" s="7" t="inlineStr">
        <is>
          <t>Macrobenthos</t>
        </is>
      </c>
      <c r="F79" t="inlineStr"/>
      <c r="G79" t="inlineStr"/>
      <c r="H79" t="inlineStr">
        <is>
          <t>medium</t>
        </is>
      </c>
      <c r="I79" t="inlineStr">
        <is>
          <t>taxonomic_containment</t>
        </is>
      </c>
      <c r="J79" t="n">
        <v>51964.083</v>
      </c>
      <c r="K79" t="n">
        <v>0.0077</v>
      </c>
      <c r="L79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80">
      <c r="A80" t="inlineStr">
        <is>
          <t>Mollusca</t>
        </is>
      </c>
      <c r="B80" t="inlineStr">
        <is>
          <t>Clams, seasnails, squids, octopuses</t>
        </is>
      </c>
      <c r="C80" t="inlineStr">
        <is>
          <t>Other demersal invertebrates</t>
        </is>
      </c>
      <c r="D80" t="inlineStr">
        <is>
          <t>Molluscs</t>
        </is>
      </c>
      <c r="E80" s="7" t="inlineStr">
        <is>
          <t>Macrobenthos</t>
        </is>
      </c>
      <c r="F80" t="inlineStr"/>
      <c r="G80" t="inlineStr"/>
      <c r="H80" t="inlineStr">
        <is>
          <t>medium</t>
        </is>
      </c>
      <c r="I80" t="inlineStr">
        <is>
          <t>taxonomic_containment</t>
        </is>
      </c>
      <c r="J80" t="n">
        <v>51635.289</v>
      </c>
      <c r="K80" t="n">
        <v>0.0076</v>
      </c>
      <c r="L80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81">
      <c r="A81" t="inlineStr">
        <is>
          <t>Seriolella caerulea</t>
        </is>
      </c>
      <c r="B81" t="inlineStr">
        <is>
          <t>White warehou</t>
        </is>
      </c>
      <c r="C81" t="inlineStr">
        <is>
          <t>Medium bathypelagics (30 - 89 cm)</t>
        </is>
      </c>
      <c r="D81" t="inlineStr">
        <is>
          <t>Perch-likes</t>
        </is>
      </c>
      <c r="E81" s="9" t="inlineStr">
        <is>
          <t>Unresolved</t>
        </is>
      </c>
      <c r="F81" t="inlineStr"/>
      <c r="G81" t="inlineStr"/>
      <c r="H81" t="inlineStr">
        <is>
          <t>unresolved</t>
        </is>
      </c>
      <c r="I81" t="inlineStr">
        <is>
          <t>none</t>
        </is>
      </c>
      <c r="J81" t="n">
        <v>50396.662</v>
      </c>
      <c r="K81" t="n">
        <v>0.0074</v>
      </c>
      <c r="L81" s="6" t="inlineStr">
        <is>
          <t>The 4-16 S coastal model lacks a documented deep pelagic stock or comparable feeding compartment for this taxon.</t>
        </is>
      </c>
    </row>
    <row r="82">
      <c r="A82" t="inlineStr">
        <is>
          <t>Sphyrna zygaena</t>
        </is>
      </c>
      <c r="B82" t="inlineStr">
        <is>
          <t>Smooth hammerhead</t>
        </is>
      </c>
      <c r="C82" t="inlineStr">
        <is>
          <t>Large sharks (&gt;=90 cm)</t>
        </is>
      </c>
      <c r="D82" t="inlineStr">
        <is>
          <t>Sharks &amp; rays</t>
        </is>
      </c>
      <c r="E82" s="7" t="inlineStr">
        <is>
          <t>Chondrichthyans</t>
        </is>
      </c>
      <c r="F82" t="inlineStr"/>
      <c r="G82" t="inlineStr"/>
      <c r="H82" t="inlineStr">
        <is>
          <t>medium</t>
        </is>
      </c>
      <c r="I82" t="inlineStr">
        <is>
          <t>analogue</t>
        </is>
      </c>
      <c r="J82" t="n">
        <v>50246.65</v>
      </c>
      <c r="K82" t="n">
        <v>0.0074</v>
      </c>
      <c r="L82" s="6" t="inlineStr">
        <is>
          <t>Analyst inference: pelagic predatory shark corresponds to Chondrichthyans after the benthic elasmobranch pool is excluded (Tam 2008 p.354; Table E apex predatory fish).</t>
        </is>
      </c>
    </row>
    <row r="83">
      <c r="A83" t="inlineStr">
        <is>
          <t>Leukoma thaca</t>
        </is>
      </c>
      <c r="B83" t="inlineStr">
        <is>
          <t>Taca clam</t>
        </is>
      </c>
      <c r="C83" t="inlineStr">
        <is>
          <t>Other demersal invertebrates</t>
        </is>
      </c>
      <c r="D83" t="inlineStr">
        <is>
          <t>Molluscs</t>
        </is>
      </c>
      <c r="E83" s="7" t="inlineStr">
        <is>
          <t>Macrobenthos</t>
        </is>
      </c>
      <c r="F83" t="inlineStr"/>
      <c r="G83" t="inlineStr"/>
      <c r="H83" t="inlineStr">
        <is>
          <t>medium</t>
        </is>
      </c>
      <c r="I83" t="inlineStr">
        <is>
          <t>taxonomic_containment</t>
        </is>
      </c>
      <c r="J83" t="n">
        <v>47262.2</v>
      </c>
      <c r="K83" t="n">
        <v>0.007</v>
      </c>
      <c r="L83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84">
      <c r="A84" t="inlineStr">
        <is>
          <t>Serranidae</t>
        </is>
      </c>
      <c r="B84" t="inlineStr">
        <is>
          <t>Basses, groupers, hinds</t>
        </is>
      </c>
      <c r="C84" t="inlineStr">
        <is>
          <t>Medium reef assoc. fish (30 - 89 cm)</t>
        </is>
      </c>
      <c r="D84" t="inlineStr">
        <is>
          <t>Perch-likes</t>
        </is>
      </c>
      <c r="E84" s="8" t="inlineStr">
        <is>
          <t>Medium demersal fish</t>
        </is>
      </c>
      <c r="F84" t="inlineStr"/>
      <c r="G84" t="inlineStr"/>
      <c r="H84" t="inlineStr">
        <is>
          <t>low</t>
        </is>
      </c>
      <c r="I84" t="inlineStr">
        <is>
          <t>analogue</t>
        </is>
      </c>
      <c r="J84" t="n">
        <v>46728.546</v>
      </c>
      <c r="K84" t="n">
        <v>0.0069</v>
      </c>
      <c r="L84" s="6" t="inlineStr">
        <is>
          <t>Analyst family/genus extension from source Paralabrax humeralis and Hemanthias peruanus to the Medium demersal fish pool (Tam 2008 p.353); species diets vary, so this is low confidence.</t>
        </is>
      </c>
    </row>
    <row r="85">
      <c r="A85" t="inlineStr">
        <is>
          <t>Beryx splendens</t>
        </is>
      </c>
      <c r="B85" t="inlineStr">
        <is>
          <t>Splendid alfonsino</t>
        </is>
      </c>
      <c r="C85" t="inlineStr">
        <is>
          <t>Medium benthopelagics (30 - 89 cm)</t>
        </is>
      </c>
      <c r="D85" t="inlineStr">
        <is>
          <t>Other fishes &amp; inverts</t>
        </is>
      </c>
      <c r="E85" s="9" t="inlineStr">
        <is>
          <t>Unresolved</t>
        </is>
      </c>
      <c r="F85" t="inlineStr"/>
      <c r="G85" t="inlineStr"/>
      <c r="H85" t="inlineStr">
        <is>
          <t>unresolved</t>
        </is>
      </c>
      <c r="I85" t="inlineStr">
        <is>
          <t>none</t>
        </is>
      </c>
      <c r="J85" t="n">
        <v>44917.074</v>
      </c>
      <c r="K85" t="n">
        <v>0.0066</v>
      </c>
      <c r="L85" s="6" t="inlineStr">
        <is>
          <t>No documented source member or sufficiently supported feeding-guild analogue established for Beryx splendens; source size/habitat labels alone do not resolve its placement.</t>
        </is>
      </c>
    </row>
    <row r="86">
      <c r="A86" t="inlineStr">
        <is>
          <t>Choromytilus chorus</t>
        </is>
      </c>
      <c r="B86" t="inlineStr">
        <is>
          <t>Choro mussel</t>
        </is>
      </c>
      <c r="C86" t="inlineStr">
        <is>
          <t>Other demersal invertebrates</t>
        </is>
      </c>
      <c r="D86" t="inlineStr">
        <is>
          <t>Molluscs</t>
        </is>
      </c>
      <c r="E86" s="7" t="inlineStr">
        <is>
          <t>Macrobenthos</t>
        </is>
      </c>
      <c r="F86" t="inlineStr"/>
      <c r="G86" t="inlineStr"/>
      <c r="H86" t="inlineStr">
        <is>
          <t>medium</t>
        </is>
      </c>
      <c r="I86" t="inlineStr">
        <is>
          <t>taxonomic_containment</t>
        </is>
      </c>
      <c r="J86" t="n">
        <v>42777.398</v>
      </c>
      <c r="K86" t="n">
        <v>0.0063</v>
      </c>
      <c r="L86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87">
      <c r="A87" t="inlineStr">
        <is>
          <t>Zearaja chilensis</t>
        </is>
      </c>
      <c r="B87" t="inlineStr">
        <is>
          <t>Yellownose skate</t>
        </is>
      </c>
      <c r="C87" t="inlineStr">
        <is>
          <t>Small to medium rays (&lt;90 cm)</t>
        </is>
      </c>
      <c r="D87" t="inlineStr">
        <is>
          <t>Sharks &amp; rays</t>
        </is>
      </c>
      <c r="E87" s="7" t="inlineStr">
        <is>
          <t>Benthic elasmobranchs</t>
        </is>
      </c>
      <c r="F87" t="inlineStr"/>
      <c r="G87" t="inlineStr"/>
      <c r="H87" t="inlineStr">
        <is>
          <t>medium</t>
        </is>
      </c>
      <c r="I87" t="inlineStr">
        <is>
          <t>analogue</t>
        </is>
      </c>
      <c r="J87" t="n">
        <v>39059.358</v>
      </c>
      <c r="K87" t="n">
        <v>0.0058</v>
      </c>
      <c r="L87" s="6" t="inlineStr">
        <is>
          <t>Analyst habitat/feeding inference to benthic elasmobranchs or, for oceanic Mobula, the remaining Chondrichthyans pool (Tam 2008 pp.353-354; Table E separates benthivores from apex fish).</t>
        </is>
      </c>
    </row>
    <row r="88">
      <c r="A88" t="inlineStr">
        <is>
          <t>Ameghinomya antiqua</t>
        </is>
      </c>
      <c r="B88" t="inlineStr">
        <is>
          <t>Cancellated clam</t>
        </is>
      </c>
      <c r="C88" t="inlineStr">
        <is>
          <t>Other demersal invertebrates</t>
        </is>
      </c>
      <c r="D88" t="inlineStr">
        <is>
          <t>Molluscs</t>
        </is>
      </c>
      <c r="E88" s="7" t="inlineStr">
        <is>
          <t>Macrobenthos</t>
        </is>
      </c>
      <c r="F88" t="inlineStr"/>
      <c r="G88" t="inlineStr"/>
      <c r="H88" t="inlineStr">
        <is>
          <t>medium</t>
        </is>
      </c>
      <c r="I88" t="inlineStr">
        <is>
          <t>taxonomic_containment</t>
        </is>
      </c>
      <c r="J88" t="n">
        <v>38779.732</v>
      </c>
      <c r="K88" t="n">
        <v>0.0057</v>
      </c>
      <c r="L88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89">
      <c r="A89" t="inlineStr">
        <is>
          <t>Fissurella maxima</t>
        </is>
      </c>
      <c r="B89" t="inlineStr">
        <is>
          <t>giant keyhole limpet</t>
        </is>
      </c>
      <c r="C89" t="inlineStr">
        <is>
          <t>Other demersal invertebrates</t>
        </is>
      </c>
      <c r="D89" t="inlineStr">
        <is>
          <t>Molluscs</t>
        </is>
      </c>
      <c r="E89" s="7" t="inlineStr">
        <is>
          <t>Macrobenthos</t>
        </is>
      </c>
      <c r="F89" t="inlineStr"/>
      <c r="G89" t="inlineStr"/>
      <c r="H89" t="inlineStr">
        <is>
          <t>medium</t>
        </is>
      </c>
      <c r="I89" t="inlineStr">
        <is>
          <t>taxonomic_containment</t>
        </is>
      </c>
      <c r="J89" t="n">
        <v>35810.75</v>
      </c>
      <c r="K89" t="n">
        <v>0.0053</v>
      </c>
      <c r="L89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90">
      <c r="A90" t="inlineStr">
        <is>
          <t>Tagelus dombeii</t>
        </is>
      </c>
      <c r="B90" t="inlineStr">
        <is>
          <t>Hard razor clam</t>
        </is>
      </c>
      <c r="C90" t="inlineStr">
        <is>
          <t>Other demersal invertebrates</t>
        </is>
      </c>
      <c r="D90" t="inlineStr">
        <is>
          <t>Molluscs</t>
        </is>
      </c>
      <c r="E90" s="7" t="inlineStr">
        <is>
          <t>Macrobenthos</t>
        </is>
      </c>
      <c r="F90" t="inlineStr"/>
      <c r="G90" t="inlineStr"/>
      <c r="H90" t="inlineStr">
        <is>
          <t>medium</t>
        </is>
      </c>
      <c r="I90" t="inlineStr">
        <is>
          <t>taxonomic_containment</t>
        </is>
      </c>
      <c r="J90" t="n">
        <v>35508.394</v>
      </c>
      <c r="K90" t="n">
        <v>0.0052</v>
      </c>
      <c r="L90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91">
      <c r="A91" t="inlineStr">
        <is>
          <t>Stromateus stellatus</t>
        </is>
      </c>
      <c r="B91" t="inlineStr">
        <is>
          <t>Starry butterfish</t>
        </is>
      </c>
      <c r="C91" t="inlineStr">
        <is>
          <t>Small benthopelagics (&lt;30 cm)</t>
        </is>
      </c>
      <c r="D91" t="inlineStr">
        <is>
          <t>Perch-likes</t>
        </is>
      </c>
      <c r="E91" s="5" t="inlineStr">
        <is>
          <t>Butter fishes</t>
        </is>
      </c>
      <c r="F91" t="inlineStr"/>
      <c r="G91" t="inlineStr"/>
      <c r="H91" t="inlineStr">
        <is>
          <t>high</t>
        </is>
      </c>
      <c r="I91" t="inlineStr">
        <is>
          <t>inherited_model</t>
        </is>
      </c>
      <c r="J91" t="n">
        <v>33757.35</v>
      </c>
      <c r="K91" t="n">
        <v>0.005</v>
      </c>
      <c r="L91" s="6" t="inlineStr">
        <is>
          <t>Focal model adopts Tam et al. (2008) pp.353-354 membership (Chiaverano 2018 p.30); Stromateus stellatus matches the printed species or recorded synonym. Peruvian hake spans three source size classes and uses fixed model catch weights.</t>
        </is>
      </c>
    </row>
    <row r="92">
      <c r="A92" t="inlineStr">
        <is>
          <t>Taliepus dentatus</t>
        </is>
      </c>
      <c r="B92" t="inlineStr">
        <is>
          <t>Spider crabs</t>
        </is>
      </c>
      <c r="C92" t="inlineStr">
        <is>
          <t>Lobsters, crabs</t>
        </is>
      </c>
      <c r="D92" t="inlineStr">
        <is>
          <t>Crustaceans</t>
        </is>
      </c>
      <c r="E92" s="7" t="inlineStr">
        <is>
          <t>Macrobenthos</t>
        </is>
      </c>
      <c r="F92" t="inlineStr"/>
      <c r="G92" t="inlineStr"/>
      <c r="H92" t="inlineStr">
        <is>
          <t>medium</t>
        </is>
      </c>
      <c r="I92" t="inlineStr">
        <is>
          <t>taxonomic_containment</t>
        </is>
      </c>
      <c r="J92" t="n">
        <v>31228.749</v>
      </c>
      <c r="K92" t="n">
        <v>0.0046</v>
      </c>
      <c r="L92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93">
      <c r="A93" t="inlineStr">
        <is>
          <t>Seriolella punctata</t>
        </is>
      </c>
      <c r="B93" t="inlineStr">
        <is>
          <t>Silver warehou</t>
        </is>
      </c>
      <c r="C93" t="inlineStr">
        <is>
          <t>Medium benthopelagics (30 - 89 cm)</t>
        </is>
      </c>
      <c r="D93" t="inlineStr">
        <is>
          <t>Perch-likes</t>
        </is>
      </c>
      <c r="E93" s="9" t="inlineStr">
        <is>
          <t>Unresolved</t>
        </is>
      </c>
      <c r="F93" t="inlineStr"/>
      <c r="G93" t="inlineStr"/>
      <c r="H93" t="inlineStr">
        <is>
          <t>unresolved</t>
        </is>
      </c>
      <c r="I93" t="inlineStr">
        <is>
          <t>none</t>
        </is>
      </c>
      <c r="J93" t="n">
        <v>27221.182</v>
      </c>
      <c r="K93" t="n">
        <v>0.004</v>
      </c>
      <c r="L93" s="6" t="inlineStr">
        <is>
          <t>No documented source member or sufficiently supported feeding-guild analogue established for Seriolella punctata; source size/habitat labels alone do not resolve its placement.</t>
        </is>
      </c>
    </row>
    <row r="94">
      <c r="A94" t="inlineStr">
        <is>
          <t>Haemulidae</t>
        </is>
      </c>
      <c r="B94" t="inlineStr">
        <is>
          <t>Grunts, sweetlips, bonnetmouths</t>
        </is>
      </c>
      <c r="C94" t="inlineStr">
        <is>
          <t>Medium demersals (30 - 89 cm)</t>
        </is>
      </c>
      <c r="D94" t="inlineStr">
        <is>
          <t>Perch-likes</t>
        </is>
      </c>
      <c r="E94" s="8" t="inlineStr">
        <is>
          <t>Medium demersal fish</t>
        </is>
      </c>
      <c r="F94" t="inlineStr"/>
      <c r="G94" t="inlineStr"/>
      <c r="H94" t="inlineStr">
        <is>
          <t>low</t>
        </is>
      </c>
      <c r="I94" t="inlineStr">
        <is>
          <t>analogue</t>
        </is>
      </c>
      <c r="J94" t="n">
        <v>26237.601</v>
      </c>
      <c r="K94" t="n">
        <v>0.0039</v>
      </c>
      <c r="L94" s="6" t="inlineStr">
        <is>
          <t>Analyst benthic-invertebrate-feeding demersal lineage, SAU Medium demersals (30 - 89 cm), compared with the source Medium demersal fish guild (Supplement Table E); no exact membership documented.</t>
        </is>
      </c>
    </row>
    <row r="95">
      <c r="A95" t="inlineStr">
        <is>
          <t>Ensis macha</t>
        </is>
      </c>
      <c r="B95" t="inlineStr">
        <is>
          <t>Razor clam</t>
        </is>
      </c>
      <c r="C95" t="inlineStr">
        <is>
          <t>Other demersal invertebrates</t>
        </is>
      </c>
      <c r="D95" t="inlineStr">
        <is>
          <t>Molluscs</t>
        </is>
      </c>
      <c r="E95" s="7" t="inlineStr">
        <is>
          <t>Macrobenthos</t>
        </is>
      </c>
      <c r="F95" t="inlineStr"/>
      <c r="G95" t="inlineStr"/>
      <c r="H95" t="inlineStr">
        <is>
          <t>medium</t>
        </is>
      </c>
      <c r="I95" t="inlineStr">
        <is>
          <t>taxonomic_containment</t>
        </is>
      </c>
      <c r="J95" t="n">
        <v>25202.71</v>
      </c>
      <c r="K95" t="n">
        <v>0.0037</v>
      </c>
      <c r="L95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96">
      <c r="A96" t="inlineStr">
        <is>
          <t>Odontocymbiola magellanica</t>
        </is>
      </c>
      <c r="B96" t="inlineStr">
        <is>
          <t>Magellanic volute</t>
        </is>
      </c>
      <c r="C96" t="inlineStr">
        <is>
          <t>Other demersal invertebrates</t>
        </is>
      </c>
      <c r="D96" t="inlineStr">
        <is>
          <t>Molluscs</t>
        </is>
      </c>
      <c r="E96" s="7" t="inlineStr">
        <is>
          <t>Macrobenthos</t>
        </is>
      </c>
      <c r="F96" t="inlineStr"/>
      <c r="G96" t="inlineStr"/>
      <c r="H96" t="inlineStr">
        <is>
          <t>medium</t>
        </is>
      </c>
      <c r="I96" t="inlineStr">
        <is>
          <t>taxonomic_containment</t>
        </is>
      </c>
      <c r="J96" t="n">
        <v>24501.621</v>
      </c>
      <c r="K96" t="n">
        <v>0.0036</v>
      </c>
      <c r="L96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97">
      <c r="A97" t="inlineStr">
        <is>
          <t>Thunnus obesus</t>
        </is>
      </c>
      <c r="B97" t="inlineStr">
        <is>
          <t>Bigeye tuna</t>
        </is>
      </c>
      <c r="C97" t="inlineStr">
        <is>
          <t>Large pelagics (&gt;=90 cm)</t>
        </is>
      </c>
      <c r="D97" t="inlineStr">
        <is>
          <t>Tuna &amp; billfishes</t>
        </is>
      </c>
      <c r="E97" s="7" t="inlineStr">
        <is>
          <t>Other large pelagic fish</t>
        </is>
      </c>
      <c r="F97" t="inlineStr"/>
      <c r="G97" t="inlineStr"/>
      <c r="H97" t="inlineStr">
        <is>
          <t>medium</t>
        </is>
      </c>
      <c r="I97" t="inlineStr">
        <is>
          <t>analogue</t>
        </is>
      </c>
      <c r="J97" t="n">
        <v>24195.684</v>
      </c>
      <c r="K97" t="n">
        <v>0.0036</v>
      </c>
      <c r="L97" s="6" t="inlineStr">
        <is>
          <t>Pelagic predatory fish extending the source Sarda/Coryphaena/Thunnus examples in Other large pelagic fish (Tam 2008 p.353); same feeding and water-column habitat, not a source-listed species.</t>
        </is>
      </c>
    </row>
    <row r="98">
      <c r="A98" t="inlineStr">
        <is>
          <t>Alopias vulpinus</t>
        </is>
      </c>
      <c r="B98" t="inlineStr">
        <is>
          <t>Thresher</t>
        </is>
      </c>
      <c r="C98" t="inlineStr">
        <is>
          <t>Large sharks (&gt;=90 cm)</t>
        </is>
      </c>
      <c r="D98" t="inlineStr">
        <is>
          <t>Sharks &amp; rays</t>
        </is>
      </c>
      <c r="E98" s="7" t="inlineStr">
        <is>
          <t>Chondrichthyans</t>
        </is>
      </c>
      <c r="F98" t="inlineStr"/>
      <c r="G98" t="inlineStr"/>
      <c r="H98" t="inlineStr">
        <is>
          <t>medium</t>
        </is>
      </c>
      <c r="I98" t="inlineStr">
        <is>
          <t>analogue</t>
        </is>
      </c>
      <c r="J98" t="n">
        <v>23499.523</v>
      </c>
      <c r="K98" t="n">
        <v>0.0035</v>
      </c>
      <c r="L98" s="6" t="inlineStr">
        <is>
          <t>Analyst inference: pelagic predatory shark corresponds to Chondrichthyans after the benthic elasmobranch pool is excluded (Tam 2008 p.354; Table E apex predatory fish).</t>
        </is>
      </c>
    </row>
    <row r="99">
      <c r="A99" t="inlineStr">
        <is>
          <t>Elasmobranchii</t>
        </is>
      </c>
      <c r="B99" t="inlineStr">
        <is>
          <t>Sharks, rays, skates</t>
        </is>
      </c>
      <c r="C99" t="inlineStr">
        <is>
          <t>Large sharks (&gt;=90 cm)</t>
        </is>
      </c>
      <c r="D99" t="inlineStr">
        <is>
          <t>Sharks &amp; rays</t>
        </is>
      </c>
      <c r="E99" s="8" t="inlineStr">
        <is>
          <t>Benthic elasmobranchs | Chondrichthyans</t>
        </is>
      </c>
      <c r="F99" t="inlineStr">
        <is>
          <t>0.647 | 0.353</t>
        </is>
      </c>
      <c r="G99" t="inlineStr">
        <is>
          <t>catch_composition</t>
        </is>
      </c>
      <c r="H99" t="inlineStr">
        <is>
          <t>low</t>
        </is>
      </c>
      <c r="I99" t="inlineStr">
        <is>
          <t>composite_split</t>
        </is>
      </c>
      <c r="J99" t="n">
        <v>22274.611</v>
      </c>
      <c r="K99" t="n">
        <v>0.0033</v>
      </c>
      <c r="L99" s="6" t="inlineStr">
        <is>
          <t>Coarse cartilaginous-fish label spans source benthic elasmobranchs and apex Chondrichthyans; source does not supply a species-level split.</t>
        </is>
      </c>
    </row>
    <row r="100">
      <c r="A100" t="inlineStr">
        <is>
          <t>Haliporoides diomedeae</t>
        </is>
      </c>
      <c r="B100" t="inlineStr">
        <is>
          <t>Chilean knife shrimp</t>
        </is>
      </c>
      <c r="C100" t="inlineStr">
        <is>
          <t>Shrimps</t>
        </is>
      </c>
      <c r="D100" t="inlineStr">
        <is>
          <t>Crustaceans</t>
        </is>
      </c>
      <c r="E100" s="7" t="inlineStr">
        <is>
          <t>Macrobenthos</t>
        </is>
      </c>
      <c r="F100" t="inlineStr"/>
      <c r="G100" t="inlineStr"/>
      <c r="H100" t="inlineStr">
        <is>
          <t>medium</t>
        </is>
      </c>
      <c r="I100" t="inlineStr">
        <is>
          <t>taxonomic_containment</t>
        </is>
      </c>
      <c r="J100" t="n">
        <v>21320.817</v>
      </c>
      <c r="K100" t="n">
        <v>0.0031</v>
      </c>
      <c r="L100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101">
      <c r="A101" t="inlineStr">
        <is>
          <t>Chirodactylus variegatus</t>
        </is>
      </c>
      <c r="B101" t="inlineStr">
        <is>
          <t>Peruvian morwong</t>
        </is>
      </c>
      <c r="C101" t="inlineStr">
        <is>
          <t>Medium benthopelagics (30 - 89 cm)</t>
        </is>
      </c>
      <c r="D101" t="inlineStr">
        <is>
          <t>Perch-likes</t>
        </is>
      </c>
      <c r="E101" s="8" t="inlineStr">
        <is>
          <t>Medium demersal fish</t>
        </is>
      </c>
      <c r="F101" t="inlineStr"/>
      <c r="G101" t="inlineStr"/>
      <c r="H101" t="inlineStr">
        <is>
          <t>low</t>
        </is>
      </c>
      <c r="I101" t="inlineStr">
        <is>
          <t>analogue</t>
        </is>
      </c>
      <c r="J101" t="n">
        <v>21015.864</v>
      </c>
      <c r="K101" t="n">
        <v>0.0031</v>
      </c>
      <c r="L101" s="6" t="inlineStr">
        <is>
          <t>Analyst benthic-invertebrate-feeding demersal lineage, SAU Medium benthopelagics (30 - 89 cm), compared with the source Medium demersal fish guild (Supplement Table E); no exact membership documented.</t>
        </is>
      </c>
    </row>
    <row r="102">
      <c r="A102" t="inlineStr">
        <is>
          <t>Teuthida</t>
        </is>
      </c>
      <c r="B102" t="inlineStr">
        <is>
          <t>Squids</t>
        </is>
      </c>
      <c r="C102" t="inlineStr">
        <is>
          <t>Cephalopods</t>
        </is>
      </c>
      <c r="D102" t="inlineStr">
        <is>
          <t>Other fishes &amp; inverts</t>
        </is>
      </c>
      <c r="E102" s="7" t="inlineStr">
        <is>
          <t>Jumbo squid | Other cephalopods</t>
        </is>
      </c>
      <c r="F102" t="inlineStr">
        <is>
          <t>0.946 | 0.054</t>
        </is>
      </c>
      <c r="G102" t="inlineStr">
        <is>
          <t>explicit</t>
        </is>
      </c>
      <c r="H102" t="inlineStr">
        <is>
          <t>medium</t>
        </is>
      </c>
      <c r="I102" t="inlineStr">
        <is>
          <t>composite_split</t>
        </is>
      </c>
      <c r="J102" t="n">
        <v>20259.358</v>
      </c>
      <c r="K102" t="n">
        <v>0.003</v>
      </c>
      <c r="L102" s="6" t="inlineStr">
        <is>
          <t>Unidentified squids span explicitly modelled Dosidicus gigas and other cephalopods; fixed weights use identified squid catch, excluding octopods.</t>
        </is>
      </c>
    </row>
    <row r="103">
      <c r="A103" t="inlineStr">
        <is>
          <t>Ostrea chilensis</t>
        </is>
      </c>
      <c r="B103" t="inlineStr">
        <is>
          <t>Chilean flat oyster</t>
        </is>
      </c>
      <c r="C103" t="inlineStr">
        <is>
          <t>Other demersal invertebrates</t>
        </is>
      </c>
      <c r="D103" t="inlineStr">
        <is>
          <t>Molluscs</t>
        </is>
      </c>
      <c r="E103" s="7" t="inlineStr">
        <is>
          <t>Macrobenthos</t>
        </is>
      </c>
      <c r="F103" t="inlineStr"/>
      <c r="G103" t="inlineStr"/>
      <c r="H103" t="inlineStr">
        <is>
          <t>medium</t>
        </is>
      </c>
      <c r="I103" t="inlineStr">
        <is>
          <t>taxonomic_containment</t>
        </is>
      </c>
      <c r="J103" t="n">
        <v>20061.328</v>
      </c>
      <c r="K103" t="n">
        <v>0.003</v>
      </c>
      <c r="L103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104">
      <c r="A104" t="inlineStr">
        <is>
          <t>Prolatilus jugularis</t>
        </is>
      </c>
      <c r="B104" t="inlineStr">
        <is>
          <t>Pacific sandperch</t>
        </is>
      </c>
      <c r="C104" t="inlineStr">
        <is>
          <t>Medium demersals (30 - 89 cm)</t>
        </is>
      </c>
      <c r="D104" t="inlineStr">
        <is>
          <t>Perch-likes</t>
        </is>
      </c>
      <c r="E104" s="8" t="inlineStr">
        <is>
          <t>Medium demersal fish</t>
        </is>
      </c>
      <c r="F104" t="inlineStr"/>
      <c r="G104" t="inlineStr"/>
      <c r="H104" t="inlineStr">
        <is>
          <t>low</t>
        </is>
      </c>
      <c r="I104" t="inlineStr">
        <is>
          <t>analogue</t>
        </is>
      </c>
      <c r="J104" t="n">
        <v>17288.923</v>
      </c>
      <c r="K104" t="n">
        <v>0.0025</v>
      </c>
      <c r="L104" s="6" t="inlineStr">
        <is>
          <t>Analyst benthic-invertebrate-feeding demersal lineage, SAU Medium demersals (30 - 89 cm), compared with the source Medium demersal fish guild (Supplement Table E); no exact membership documented.</t>
        </is>
      </c>
    </row>
    <row r="105">
      <c r="A105" t="inlineStr">
        <is>
          <t>Austromegabalanus psittacus</t>
        </is>
      </c>
      <c r="B105" t="inlineStr">
        <is>
          <t>Giant barnacle</t>
        </is>
      </c>
      <c r="C105" t="inlineStr">
        <is>
          <t>Other demersal invertebrates</t>
        </is>
      </c>
      <c r="D105" t="inlineStr">
        <is>
          <t>Crustaceans</t>
        </is>
      </c>
      <c r="E105" s="7" t="inlineStr">
        <is>
          <t>Macrobenthos</t>
        </is>
      </c>
      <c r="F105" t="inlineStr"/>
      <c r="G105" t="inlineStr"/>
      <c r="H105" t="inlineStr">
        <is>
          <t>medium</t>
        </is>
      </c>
      <c r="I105" t="inlineStr">
        <is>
          <t>taxonomic_containment</t>
        </is>
      </c>
      <c r="J105" t="n">
        <v>15377.241</v>
      </c>
      <c r="K105" t="n">
        <v>0.0023</v>
      </c>
      <c r="L105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106">
      <c r="A106" t="inlineStr">
        <is>
          <t>Decapoda</t>
        </is>
      </c>
      <c r="B106" t="inlineStr">
        <is>
          <t>Crabs, lobsters, shrimps</t>
        </is>
      </c>
      <c r="C106" t="inlineStr">
        <is>
          <t>Lobsters, crabs</t>
        </is>
      </c>
      <c r="D106" t="inlineStr">
        <is>
          <t>Crustaceans</t>
        </is>
      </c>
      <c r="E106" s="7" t="inlineStr">
        <is>
          <t>Macrobenthos</t>
        </is>
      </c>
      <c r="F106" t="inlineStr"/>
      <c r="G106" t="inlineStr"/>
      <c r="H106" t="inlineStr">
        <is>
          <t>medium</t>
        </is>
      </c>
      <c r="I106" t="inlineStr">
        <is>
          <t>taxonomic_containment</t>
        </is>
      </c>
      <c r="J106" t="n">
        <v>14168.97</v>
      </c>
      <c r="K106" t="n">
        <v>0.0021</v>
      </c>
      <c r="L106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107">
      <c r="A107" t="inlineStr">
        <is>
          <t>Pseudograpsus setosus</t>
        </is>
      </c>
      <c r="B107" t="inlineStr">
        <is>
          <t>Jaiba peluda</t>
        </is>
      </c>
      <c r="C107" t="inlineStr">
        <is>
          <t>Lobsters, crabs</t>
        </is>
      </c>
      <c r="D107" t="inlineStr">
        <is>
          <t>Crustaceans</t>
        </is>
      </c>
      <c r="E107" s="7" t="inlineStr">
        <is>
          <t>Macrobenthos</t>
        </is>
      </c>
      <c r="F107" t="inlineStr"/>
      <c r="G107" t="inlineStr"/>
      <c r="H107" t="inlineStr">
        <is>
          <t>medium</t>
        </is>
      </c>
      <c r="I107" t="inlineStr">
        <is>
          <t>taxonomic_containment</t>
        </is>
      </c>
      <c r="J107" t="n">
        <v>13297.372</v>
      </c>
      <c r="K107" t="n">
        <v>0.002</v>
      </c>
      <c r="L107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108">
      <c r="A108" t="inlineStr">
        <is>
          <t>Chorus giganteus</t>
        </is>
      </c>
      <c r="B108" t="inlineStr">
        <is>
          <t>Top shell whelk</t>
        </is>
      </c>
      <c r="C108" t="inlineStr">
        <is>
          <t>Other demersal invertebrates</t>
        </is>
      </c>
      <c r="D108" t="inlineStr">
        <is>
          <t>Molluscs</t>
        </is>
      </c>
      <c r="E108" s="7" t="inlineStr">
        <is>
          <t>Macrobenthos</t>
        </is>
      </c>
      <c r="F108" t="inlineStr"/>
      <c r="G108" t="inlineStr"/>
      <c r="H108" t="inlineStr">
        <is>
          <t>medium</t>
        </is>
      </c>
      <c r="I108" t="inlineStr">
        <is>
          <t>taxonomic_containment</t>
        </is>
      </c>
      <c r="J108" t="n">
        <v>12877.5</v>
      </c>
      <c r="K108" t="n">
        <v>0.0019</v>
      </c>
      <c r="L108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109">
      <c r="A109" t="inlineStr">
        <is>
          <t>Stellifer minor</t>
        </is>
      </c>
      <c r="B109" t="inlineStr">
        <is>
          <t>Minor stardrum</t>
        </is>
      </c>
      <c r="C109" t="inlineStr">
        <is>
          <t>Medium demersals (30 - 89 cm)</t>
        </is>
      </c>
      <c r="D109" t="inlineStr">
        <is>
          <t>Perch-likes</t>
        </is>
      </c>
      <c r="E109" s="7" t="inlineStr">
        <is>
          <t>Medium sciaenids</t>
        </is>
      </c>
      <c r="F109" t="inlineStr"/>
      <c r="G109" t="inlineStr"/>
      <c r="H109" t="inlineStr">
        <is>
          <t>medium</t>
        </is>
      </c>
      <c r="I109" t="inlineStr">
        <is>
          <t>analogue</t>
        </is>
      </c>
      <c r="J109" t="n">
        <v>12536.073</v>
      </c>
      <c r="K109" t="n">
        <v>0.0018</v>
      </c>
      <c r="L109" s="6" t="inlineStr">
        <is>
          <t>Analyst sciaenid extension: source explicitly separates Ctenosciaena into Small demersal fish and a Medium sciaenids pool (Tam 2008 p.353); the family label spans both, named medium croakers use the latter.</t>
        </is>
      </c>
    </row>
    <row r="110">
      <c r="A110" t="inlineStr">
        <is>
          <t>Cancer porteri</t>
        </is>
      </c>
      <c r="B110" t="inlineStr">
        <is>
          <t>Boco</t>
        </is>
      </c>
      <c r="C110" t="inlineStr">
        <is>
          <t>Lobsters, crabs</t>
        </is>
      </c>
      <c r="D110" t="inlineStr">
        <is>
          <t>Crustaceans</t>
        </is>
      </c>
      <c r="E110" s="7" t="inlineStr">
        <is>
          <t>Macrobenthos</t>
        </is>
      </c>
      <c r="F110" t="inlineStr"/>
      <c r="G110" t="inlineStr"/>
      <c r="H110" t="inlineStr">
        <is>
          <t>medium</t>
        </is>
      </c>
      <c r="I110" t="inlineStr">
        <is>
          <t>taxonomic_containment</t>
        </is>
      </c>
      <c r="J110" t="n">
        <v>12214.363</v>
      </c>
      <c r="K110" t="n">
        <v>0.0018</v>
      </c>
      <c r="L110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111">
      <c r="A111" t="inlineStr">
        <is>
          <t>Argobuccinum pustulosum</t>
        </is>
      </c>
      <c r="B111" t="inlineStr">
        <is>
          <t>Swollen trumpet</t>
        </is>
      </c>
      <c r="C111" t="inlineStr">
        <is>
          <t>Other demersal invertebrates</t>
        </is>
      </c>
      <c r="D111" t="inlineStr">
        <is>
          <t>Molluscs</t>
        </is>
      </c>
      <c r="E111" s="7" t="inlineStr">
        <is>
          <t>Macrobenthos</t>
        </is>
      </c>
      <c r="F111" t="inlineStr"/>
      <c r="G111" t="inlineStr"/>
      <c r="H111" t="inlineStr">
        <is>
          <t>medium</t>
        </is>
      </c>
      <c r="I111" t="inlineStr">
        <is>
          <t>taxonomic_containment</t>
        </is>
      </c>
      <c r="J111" t="n">
        <v>10379.404</v>
      </c>
      <c r="K111" t="n">
        <v>0.0015</v>
      </c>
      <c r="L111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112">
      <c r="A112" t="inlineStr">
        <is>
          <t>Gari solida</t>
        </is>
      </c>
      <c r="B112" t="inlineStr">
        <is>
          <t>Pacific clam</t>
        </is>
      </c>
      <c r="C112" t="inlineStr">
        <is>
          <t>Other demersal invertebrates</t>
        </is>
      </c>
      <c r="D112" t="inlineStr">
        <is>
          <t>Molluscs</t>
        </is>
      </c>
      <c r="E112" s="7" t="inlineStr">
        <is>
          <t>Macrobenthos</t>
        </is>
      </c>
      <c r="F112" t="inlineStr"/>
      <c r="G112" t="inlineStr"/>
      <c r="H112" t="inlineStr">
        <is>
          <t>medium</t>
        </is>
      </c>
      <c r="I112" t="inlineStr">
        <is>
          <t>taxonomic_containment</t>
        </is>
      </c>
      <c r="J112" t="n">
        <v>9695.648999999999</v>
      </c>
      <c r="K112" t="n">
        <v>0.0014</v>
      </c>
      <c r="L112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113">
      <c r="A113" t="inlineStr">
        <is>
          <t>Homalaspis plana</t>
        </is>
      </c>
      <c r="B113" t="inlineStr">
        <is>
          <t>Blackberry crab</t>
        </is>
      </c>
      <c r="C113" t="inlineStr">
        <is>
          <t>Lobsters, crabs</t>
        </is>
      </c>
      <c r="D113" t="inlineStr">
        <is>
          <t>Crustaceans</t>
        </is>
      </c>
      <c r="E113" s="7" t="inlineStr">
        <is>
          <t>Macrobenthos</t>
        </is>
      </c>
      <c r="F113" t="inlineStr"/>
      <c r="G113" t="inlineStr"/>
      <c r="H113" t="inlineStr">
        <is>
          <t>medium</t>
        </is>
      </c>
      <c r="I113" t="inlineStr">
        <is>
          <t>taxonomic_containment</t>
        </is>
      </c>
      <c r="J113" t="n">
        <v>9639.356</v>
      </c>
      <c r="K113" t="n">
        <v>0.0014</v>
      </c>
      <c r="L113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114">
      <c r="A114" t="inlineStr">
        <is>
          <t>Perciformes</t>
        </is>
      </c>
      <c r="B114" t="inlineStr">
        <is>
          <t>Perch-likes</t>
        </is>
      </c>
      <c r="C114" t="inlineStr">
        <is>
          <t>Medium demersals (30 - 89 cm)</t>
        </is>
      </c>
      <c r="D114" t="inlineStr">
        <is>
          <t>Perch-likes</t>
        </is>
      </c>
      <c r="E114" s="8" t="inlineStr">
        <is>
          <t>Small demersal fish | Medium demersal fish | Medium sciaenids</t>
        </is>
      </c>
      <c r="F114" t="inlineStr">
        <is>
          <t>0.227 | 0.497 | 0.276</t>
        </is>
      </c>
      <c r="G114" t="inlineStr">
        <is>
          <t>catch_composition</t>
        </is>
      </c>
      <c r="H114" t="inlineStr">
        <is>
          <t>low</t>
        </is>
      </c>
      <c r="I114" t="inlineStr">
        <is>
          <t>composite_split</t>
        </is>
      </c>
      <c r="J114" t="n">
        <v>9387.252</v>
      </c>
      <c r="K114" t="n">
        <v>0.0014</v>
      </c>
      <c r="L114" s="6" t="inlineStr">
        <is>
          <t>Analyst residual-catch composite, SAU Medium demersals (30 - 89 cm). Candidate residual groups are constrained by source habitat and Table E feeding guilds; dedicated stocks are excluded. Catch-composition weights are estimated, not a source species list.</t>
        </is>
      </c>
    </row>
    <row r="115">
      <c r="A115" t="inlineStr">
        <is>
          <t>Gadiformes</t>
        </is>
      </c>
      <c r="B115" t="inlineStr">
        <is>
          <t>Cods</t>
        </is>
      </c>
      <c r="C115" t="inlineStr">
        <is>
          <t>Medium benthopelagics (30 - 89 cm)</t>
        </is>
      </c>
      <c r="D115" t="inlineStr">
        <is>
          <t>Cod-likes</t>
        </is>
      </c>
      <c r="E115" s="9" t="inlineStr">
        <is>
          <t>Unresolved</t>
        </is>
      </c>
      <c r="F115" t="inlineStr"/>
      <c r="G115" t="inlineStr"/>
      <c r="H115" t="inlineStr">
        <is>
          <t>unresolved</t>
        </is>
      </c>
      <c r="I115" t="inlineStr">
        <is>
          <t>none</t>
        </is>
      </c>
      <c r="J115" t="n">
        <v>9060.355</v>
      </c>
      <c r="K115" t="n">
        <v>0.0013</v>
      </c>
      <c r="L115" s="6" t="inlineStr">
        <is>
          <t>This coarse/deep demersal label can include southern gadiform stocks; no evidence justifies assigning all of it to the northern Peruvian hake stock.</t>
        </is>
      </c>
    </row>
    <row r="116">
      <c r="A116" t="inlineStr">
        <is>
          <t>Seriolella violacea</t>
        </is>
      </c>
      <c r="B116" t="inlineStr">
        <is>
          <t>Palm ruff</t>
        </is>
      </c>
      <c r="C116" t="inlineStr">
        <is>
          <t>Medium pelagics (30 - 89 cm)</t>
        </is>
      </c>
      <c r="D116" t="inlineStr">
        <is>
          <t>Perch-likes</t>
        </is>
      </c>
      <c r="E116" s="9" t="inlineStr">
        <is>
          <t>Unresolved</t>
        </is>
      </c>
      <c r="F116" t="inlineStr"/>
      <c r="G116" t="inlineStr"/>
      <c r="H116" t="inlineStr">
        <is>
          <t>unresolved</t>
        </is>
      </c>
      <c r="I116" t="inlineStr">
        <is>
          <t>none</t>
        </is>
      </c>
      <c r="J116" t="n">
        <v>9046.995999999999</v>
      </c>
      <c r="K116" t="n">
        <v>0.0013</v>
      </c>
      <c r="L116" s="6" t="inlineStr">
        <is>
          <t>No documented source member or sufficiently supported feeding-guild analogue established for Seriolella violacea; source size/habitat labels alone do not resolve its placement.</t>
        </is>
      </c>
    </row>
    <row r="117">
      <c r="A117" t="inlineStr">
        <is>
          <t>Labrisomus philippii</t>
        </is>
      </c>
      <c r="B117" t="inlineStr">
        <is>
          <t>Chalapo clinid</t>
        </is>
      </c>
      <c r="C117" t="inlineStr">
        <is>
          <t>Medium demersals (30 - 89 cm)</t>
        </is>
      </c>
      <c r="D117" t="inlineStr">
        <is>
          <t>Perch-likes</t>
        </is>
      </c>
      <c r="E117" s="5" t="inlineStr">
        <is>
          <t>Small demersal fish</t>
        </is>
      </c>
      <c r="F117" t="inlineStr"/>
      <c r="G117" t="inlineStr"/>
      <c r="H117" t="inlineStr">
        <is>
          <t>high</t>
        </is>
      </c>
      <c r="I117" t="inlineStr">
        <is>
          <t>inherited_model</t>
        </is>
      </c>
      <c r="J117" t="n">
        <v>8560.415000000001</v>
      </c>
      <c r="K117" t="n">
        <v>0.0013</v>
      </c>
      <c r="L117" s="6" t="inlineStr">
        <is>
          <t>Focal model adopts Tam et al. (2008) pp.353-354 membership (Chiaverano 2018 p.30); Labrisomus philippii matches the printed species or recorded synonym. Peruvian hake spans three source size classes and uses fixed model catch weights.</t>
        </is>
      </c>
    </row>
    <row r="118">
      <c r="A118" t="inlineStr">
        <is>
          <t>Callorhinchus callorynchus</t>
        </is>
      </c>
      <c r="B118" t="inlineStr">
        <is>
          <t>Plownose chimaera</t>
        </is>
      </c>
      <c r="C118" t="inlineStr">
        <is>
          <t>Small to medium rays (&lt;90 cm)</t>
        </is>
      </c>
      <c r="D118" t="inlineStr">
        <is>
          <t>Sharks &amp; rays</t>
        </is>
      </c>
      <c r="E118" s="7" t="inlineStr">
        <is>
          <t>Benthic elasmobranchs</t>
        </is>
      </c>
      <c r="F118" t="inlineStr"/>
      <c r="G118" t="inlineStr"/>
      <c r="H118" t="inlineStr">
        <is>
          <t>medium</t>
        </is>
      </c>
      <c r="I118" t="inlineStr">
        <is>
          <t>analogue</t>
        </is>
      </c>
      <c r="J118" t="n">
        <v>8106.148</v>
      </c>
      <c r="K118" t="n">
        <v>0.0012</v>
      </c>
      <c r="L118" s="6" t="inlineStr">
        <is>
          <t>Analyst habitat/feeding inference to benthic elasmobranchs or, for oceanic Mobula, the remaining Chondrichthyans pool (Tam 2008 pp.353-354; Table E separates benthivores from apex fish).</t>
        </is>
      </c>
    </row>
    <row r="119">
      <c r="A119" t="inlineStr">
        <is>
          <t>Hoplostethus atlanticus</t>
        </is>
      </c>
      <c r="B119" t="inlineStr">
        <is>
          <t>Orange roughy</t>
        </is>
      </c>
      <c r="C119" t="inlineStr">
        <is>
          <t>Medium bathypelagics (30 - 89 cm)</t>
        </is>
      </c>
      <c r="D119" t="inlineStr">
        <is>
          <t>Other fishes &amp; inverts</t>
        </is>
      </c>
      <c r="E119" s="9" t="inlineStr">
        <is>
          <t>Unresolved</t>
        </is>
      </c>
      <c r="F119" t="inlineStr"/>
      <c r="G119" t="inlineStr"/>
      <c r="H119" t="inlineStr">
        <is>
          <t>unresolved</t>
        </is>
      </c>
      <c r="I119" t="inlineStr">
        <is>
          <t>none</t>
        </is>
      </c>
      <c r="J119" t="n">
        <v>7833.698</v>
      </c>
      <c r="K119" t="n">
        <v>0.0012</v>
      </c>
      <c r="L119" s="6" t="inlineStr">
        <is>
          <t>The 4-16 S coastal model lacks a documented deep pelagic stock or comparable feeding compartment for this taxon.</t>
        </is>
      </c>
    </row>
    <row r="120">
      <c r="A120" t="inlineStr">
        <is>
          <t>Magallana gigas</t>
        </is>
      </c>
      <c r="B120" t="inlineStr">
        <is>
          <t>Pacific cupped oyster</t>
        </is>
      </c>
      <c r="C120" t="inlineStr">
        <is>
          <t>Other demersal invertebrates</t>
        </is>
      </c>
      <c r="D120" t="inlineStr">
        <is>
          <t>Molluscs</t>
        </is>
      </c>
      <c r="E120" s="7" t="inlineStr">
        <is>
          <t>Macrobenthos</t>
        </is>
      </c>
      <c r="F120" t="inlineStr"/>
      <c r="G120" t="inlineStr"/>
      <c r="H120" t="inlineStr">
        <is>
          <t>medium</t>
        </is>
      </c>
      <c r="I120" t="inlineStr">
        <is>
          <t>taxonomic_containment</t>
        </is>
      </c>
      <c r="J120" t="n">
        <v>6982.768</v>
      </c>
      <c r="K120" t="n">
        <v>0.001</v>
      </c>
      <c r="L120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121">
      <c r="A121" t="inlineStr">
        <is>
          <t>Seriola lalandi</t>
        </is>
      </c>
      <c r="B121" t="inlineStr">
        <is>
          <t>Yellowtail amberjack</t>
        </is>
      </c>
      <c r="C121" t="inlineStr">
        <is>
          <t>Large benthopelagics (&gt;=90 cm)</t>
        </is>
      </c>
      <c r="D121" t="inlineStr">
        <is>
          <t>Perch-likes</t>
        </is>
      </c>
      <c r="E121" s="7" t="inlineStr">
        <is>
          <t>Other large pelagic fish</t>
        </is>
      </c>
      <c r="F121" t="inlineStr"/>
      <c r="G121" t="inlineStr"/>
      <c r="H121" t="inlineStr">
        <is>
          <t>medium</t>
        </is>
      </c>
      <c r="I121" t="inlineStr">
        <is>
          <t>analogue</t>
        </is>
      </c>
      <c r="J121" t="n">
        <v>6744.647</v>
      </c>
      <c r="K121" t="n">
        <v>0.001</v>
      </c>
      <c r="L121" s="6" t="inlineStr">
        <is>
          <t>Pelagic predatory fish extending the source Sarda/Coryphaena/Thunnus examples in Other large pelagic fish (Tam 2008 p.353); same feeding and water-column habitat, not a source-listed species.</t>
        </is>
      </c>
    </row>
    <row r="122">
      <c r="A122" t="inlineStr">
        <is>
          <t>Graus nigra</t>
        </is>
      </c>
      <c r="B122" t="inlineStr">
        <is>
          <t>Mulata</t>
        </is>
      </c>
      <c r="C122" t="inlineStr">
        <is>
          <t>Medium demersals (30 - 89 cm)</t>
        </is>
      </c>
      <c r="D122" t="inlineStr">
        <is>
          <t>Other fishes &amp; inverts</t>
        </is>
      </c>
      <c r="E122" s="9" t="inlineStr">
        <is>
          <t>Unresolved</t>
        </is>
      </c>
      <c r="F122" t="inlineStr"/>
      <c r="G122" t="inlineStr"/>
      <c r="H122" t="inlineStr">
        <is>
          <t>unresolved</t>
        </is>
      </c>
      <c r="I122" t="inlineStr">
        <is>
          <t>none</t>
        </is>
      </c>
      <c r="J122" t="n">
        <v>6600.041</v>
      </c>
      <c r="K122" t="n">
        <v>0.001</v>
      </c>
      <c r="L122" s="6" t="inlineStr">
        <is>
          <t>No documented source member or sufficiently supported feeding-guild analogue established for Graus nigra; source size/habitat labels alone do not resolve its placement.</t>
        </is>
      </c>
    </row>
    <row r="123">
      <c r="A123" t="inlineStr">
        <is>
          <t>Hippoglossina macrops</t>
        </is>
      </c>
      <c r="B123" t="inlineStr">
        <is>
          <t>Bigeye flounder</t>
        </is>
      </c>
      <c r="C123" t="inlineStr">
        <is>
          <t>Small to medium flatfishes (&lt;90 cm)</t>
        </is>
      </c>
      <c r="D123" t="inlineStr">
        <is>
          <t>Flatfishes</t>
        </is>
      </c>
      <c r="E123" s="5" t="inlineStr">
        <is>
          <t>Flatfish</t>
        </is>
      </c>
      <c r="F123" t="inlineStr"/>
      <c r="G123" t="inlineStr"/>
      <c r="H123" t="inlineStr">
        <is>
          <t>high</t>
        </is>
      </c>
      <c r="I123" t="inlineStr">
        <is>
          <t>taxonomic_containment</t>
        </is>
      </c>
      <c r="J123" t="n">
        <v>5925.573</v>
      </c>
      <c r="K123" t="n">
        <v>0.0009</v>
      </c>
      <c r="L123" s="6" t="inlineStr">
        <is>
          <t>Flatfish taxon falls within the source Flatfish pool; examples Paralichthys and Hippoglossina are given in Tam (2008) p.353.</t>
        </is>
      </c>
    </row>
    <row r="124">
      <c r="A124" t="inlineStr">
        <is>
          <t>Scorpaeniformes</t>
        </is>
      </c>
      <c r="B124" t="inlineStr">
        <is>
          <t>Scorpionfishes, flatheads</t>
        </is>
      </c>
      <c r="C124" t="inlineStr">
        <is>
          <t>Medium demersals (30 - 89 cm)</t>
        </is>
      </c>
      <c r="D124" t="inlineStr">
        <is>
          <t>Scorpionfishes</t>
        </is>
      </c>
      <c r="E124" s="8" t="inlineStr">
        <is>
          <t>Small demersal fish | Medium demersal fish | Medium sciaenids</t>
        </is>
      </c>
      <c r="F124" t="inlineStr">
        <is>
          <t>0.227 | 0.497 | 0.276</t>
        </is>
      </c>
      <c r="G124" t="inlineStr">
        <is>
          <t>catch_composition</t>
        </is>
      </c>
      <c r="H124" t="inlineStr">
        <is>
          <t>low</t>
        </is>
      </c>
      <c r="I124" t="inlineStr">
        <is>
          <t>composite_split</t>
        </is>
      </c>
      <c r="J124" t="n">
        <v>5759.402</v>
      </c>
      <c r="K124" t="n">
        <v>0.0008</v>
      </c>
      <c r="L124" s="6" t="inlineStr">
        <is>
          <t>Analyst residual-catch composite, SAU Medium demersals (30 - 89 cm). Candidate residual groups are constrained by source habitat and Table E feeding guilds; dedicated stocks are excluded. Catch-composition weights are estimated, not a source species list.</t>
        </is>
      </c>
    </row>
    <row r="125">
      <c r="A125" t="inlineStr">
        <is>
          <t>Seriola</t>
        </is>
      </c>
      <c r="B125" t="inlineStr">
        <is>
          <t>Amberjacks</t>
        </is>
      </c>
      <c r="C125" t="inlineStr">
        <is>
          <t>Large benthopelagics (&gt;=90 cm)</t>
        </is>
      </c>
      <c r="D125" t="inlineStr">
        <is>
          <t>Perch-likes</t>
        </is>
      </c>
      <c r="E125" s="7" t="inlineStr">
        <is>
          <t>Other large pelagic fish</t>
        </is>
      </c>
      <c r="F125" t="inlineStr"/>
      <c r="G125" t="inlineStr"/>
      <c r="H125" t="inlineStr">
        <is>
          <t>medium</t>
        </is>
      </c>
      <c r="I125" t="inlineStr">
        <is>
          <t>analogue</t>
        </is>
      </c>
      <c r="J125" t="n">
        <v>4675.325</v>
      </c>
      <c r="K125" t="n">
        <v>0.0007</v>
      </c>
      <c r="L125" s="6" t="inlineStr">
        <is>
          <t>Pelagic predatory fish extending the source Sarda/Coryphaena/Thunnus examples in Other large pelagic fish (Tam 2008 p.353); same feeding and water-column habitat, not a source-listed species.</t>
        </is>
      </c>
    </row>
    <row r="126">
      <c r="A126" t="inlineStr">
        <is>
          <t>Mulinia edulis</t>
        </is>
      </c>
      <c r="B126" t="inlineStr">
        <is>
          <t>taquilla clam</t>
        </is>
      </c>
      <c r="C126" t="inlineStr">
        <is>
          <t>Other demersal invertebrates</t>
        </is>
      </c>
      <c r="D126" t="inlineStr">
        <is>
          <t>Molluscs</t>
        </is>
      </c>
      <c r="E126" s="7" t="inlineStr">
        <is>
          <t>Macrobenthos</t>
        </is>
      </c>
      <c r="F126" t="inlineStr"/>
      <c r="G126" t="inlineStr"/>
      <c r="H126" t="inlineStr">
        <is>
          <t>medium</t>
        </is>
      </c>
      <c r="I126" t="inlineStr">
        <is>
          <t>taxonomic_containment</t>
        </is>
      </c>
      <c r="J126" t="n">
        <v>4627.267</v>
      </c>
      <c r="K126" t="n">
        <v>0.0007</v>
      </c>
      <c r="L126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127">
      <c r="A127" t="inlineStr">
        <is>
          <t>Tegula atra</t>
        </is>
      </c>
      <c r="B127" t="inlineStr">
        <is>
          <t>Smooth black trochid</t>
        </is>
      </c>
      <c r="C127" t="inlineStr">
        <is>
          <t>Other demersal invertebrates</t>
        </is>
      </c>
      <c r="D127" t="inlineStr">
        <is>
          <t>Molluscs</t>
        </is>
      </c>
      <c r="E127" s="7" t="inlineStr">
        <is>
          <t>Macrobenthos</t>
        </is>
      </c>
      <c r="F127" t="inlineStr"/>
      <c r="G127" t="inlineStr"/>
      <c r="H127" t="inlineStr">
        <is>
          <t>medium</t>
        </is>
      </c>
      <c r="I127" t="inlineStr">
        <is>
          <t>taxonomic_containment</t>
        </is>
      </c>
      <c r="J127" t="n">
        <v>4607.164</v>
      </c>
      <c r="K127" t="n">
        <v>0.0007</v>
      </c>
      <c r="L127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128">
      <c r="A128" t="inlineStr">
        <is>
          <t>Fissurella latimarginata</t>
        </is>
      </c>
      <c r="B128" t="inlineStr">
        <is>
          <t> </t>
        </is>
      </c>
      <c r="C128" t="inlineStr">
        <is>
          <t>Other demersal invertebrates</t>
        </is>
      </c>
      <c r="D128" t="inlineStr">
        <is>
          <t>Molluscs</t>
        </is>
      </c>
      <c r="E128" s="7" t="inlineStr">
        <is>
          <t>Macrobenthos</t>
        </is>
      </c>
      <c r="F128" t="inlineStr"/>
      <c r="G128" t="inlineStr"/>
      <c r="H128" t="inlineStr">
        <is>
          <t>medium</t>
        </is>
      </c>
      <c r="I128" t="inlineStr">
        <is>
          <t>taxonomic_containment</t>
        </is>
      </c>
      <c r="J128" t="n">
        <v>4460.574</v>
      </c>
      <c r="K128" t="n">
        <v>0.0007</v>
      </c>
      <c r="L128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129">
      <c r="A129" t="inlineStr">
        <is>
          <t>Athyonidium chilensis</t>
        </is>
      </c>
      <c r="B129" t="inlineStr">
        <is>
          <t>Burrowing shaggy sea cucumber</t>
        </is>
      </c>
      <c r="C129" t="inlineStr">
        <is>
          <t>Other demersal invertebrates</t>
        </is>
      </c>
      <c r="D129" t="inlineStr">
        <is>
          <t>Other fishes &amp; inverts</t>
        </is>
      </c>
      <c r="E129" s="7" t="inlineStr">
        <is>
          <t>Macrobenthos</t>
        </is>
      </c>
      <c r="F129" t="inlineStr"/>
      <c r="G129" t="inlineStr"/>
      <c r="H129" t="inlineStr">
        <is>
          <t>medium</t>
        </is>
      </c>
      <c r="I129" t="inlineStr">
        <is>
          <t>taxonomic_containment</t>
        </is>
      </c>
      <c r="J129" t="n">
        <v>4180.83</v>
      </c>
      <c r="K129" t="n">
        <v>0.0005999999999999999</v>
      </c>
      <c r="L129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130">
      <c r="A130" t="inlineStr">
        <is>
          <t>Paralichthys</t>
        </is>
      </c>
      <c r="B130" t="inlineStr">
        <is>
          <t>Paralichthyid flounders</t>
        </is>
      </c>
      <c r="C130" t="inlineStr">
        <is>
          <t>Small to medium flatfishes (&lt;90 cm)</t>
        </is>
      </c>
      <c r="D130" t="inlineStr">
        <is>
          <t>Flatfishes</t>
        </is>
      </c>
      <c r="E130" s="5" t="inlineStr">
        <is>
          <t>Flatfish</t>
        </is>
      </c>
      <c r="F130" t="inlineStr"/>
      <c r="G130" t="inlineStr"/>
      <c r="H130" t="inlineStr">
        <is>
          <t>high</t>
        </is>
      </c>
      <c r="I130" t="inlineStr">
        <is>
          <t>taxonomic_containment</t>
        </is>
      </c>
      <c r="J130" t="n">
        <v>3998.877</v>
      </c>
      <c r="K130" t="n">
        <v>0.0005999999999999999</v>
      </c>
      <c r="L130" s="6" t="inlineStr">
        <is>
          <t>Flatfish taxon falls within the source Flatfish pool; examples Paralichthys and Hippoglossina are given in Tam (2008) p.353.</t>
        </is>
      </c>
    </row>
    <row r="131">
      <c r="A131" t="inlineStr">
        <is>
          <t>Fissurella cumingi</t>
        </is>
      </c>
      <c r="B131" t="inlineStr">
        <is>
          <t>keyhole limpet</t>
        </is>
      </c>
      <c r="C131" t="inlineStr">
        <is>
          <t>Other demersal invertebrates</t>
        </is>
      </c>
      <c r="D131" t="inlineStr">
        <is>
          <t>Molluscs</t>
        </is>
      </c>
      <c r="E131" s="7" t="inlineStr">
        <is>
          <t>Macrobenthos</t>
        </is>
      </c>
      <c r="F131" t="inlineStr"/>
      <c r="G131" t="inlineStr"/>
      <c r="H131" t="inlineStr">
        <is>
          <t>medium</t>
        </is>
      </c>
      <c r="I131" t="inlineStr">
        <is>
          <t>taxonomic_containment</t>
        </is>
      </c>
      <c r="J131" t="n">
        <v>3651.053</v>
      </c>
      <c r="K131" t="n">
        <v>0.0005</v>
      </c>
      <c r="L131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132">
      <c r="A132" t="inlineStr">
        <is>
          <t>Penaeus californiensis</t>
        </is>
      </c>
      <c r="B132" t="inlineStr">
        <is>
          <t>Yellowleg shrimp</t>
        </is>
      </c>
      <c r="C132" t="inlineStr">
        <is>
          <t>Shrimps</t>
        </is>
      </c>
      <c r="D132" t="inlineStr">
        <is>
          <t>Crustaceans</t>
        </is>
      </c>
      <c r="E132" s="7" t="inlineStr">
        <is>
          <t>Macrobenthos</t>
        </is>
      </c>
      <c r="F132" t="inlineStr"/>
      <c r="G132" t="inlineStr"/>
      <c r="H132" t="inlineStr">
        <is>
          <t>medium</t>
        </is>
      </c>
      <c r="I132" t="inlineStr">
        <is>
          <t>taxonomic_containment</t>
        </is>
      </c>
      <c r="J132" t="n">
        <v>2903.747</v>
      </c>
      <c r="K132" t="n">
        <v>0.0004</v>
      </c>
      <c r="L132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133">
      <c r="A133" t="inlineStr">
        <is>
          <t>Ovalipes trimaculatus</t>
        </is>
      </c>
      <c r="B133" t="inlineStr">
        <is>
          <t>Rowing crab</t>
        </is>
      </c>
      <c r="C133" t="inlineStr">
        <is>
          <t>Lobsters, crabs</t>
        </is>
      </c>
      <c r="D133" t="inlineStr">
        <is>
          <t>Crustaceans</t>
        </is>
      </c>
      <c r="E133" s="7" t="inlineStr">
        <is>
          <t>Macrobenthos</t>
        </is>
      </c>
      <c r="F133" t="inlineStr"/>
      <c r="G133" t="inlineStr"/>
      <c r="H133" t="inlineStr">
        <is>
          <t>medium</t>
        </is>
      </c>
      <c r="I133" t="inlineStr">
        <is>
          <t>taxonomic_containment</t>
        </is>
      </c>
      <c r="J133" t="n">
        <v>2876.42</v>
      </c>
      <c r="K133" t="n">
        <v>0.0004</v>
      </c>
      <c r="L133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134">
      <c r="A134" t="inlineStr">
        <is>
          <t>Galeorhinus galeus</t>
        </is>
      </c>
      <c r="B134" t="inlineStr">
        <is>
          <t>Tope shark</t>
        </is>
      </c>
      <c r="C134" t="inlineStr">
        <is>
          <t>Large sharks (&gt;=90 cm)</t>
        </is>
      </c>
      <c r="D134" t="inlineStr">
        <is>
          <t>Sharks &amp; rays</t>
        </is>
      </c>
      <c r="E134" s="7" t="inlineStr">
        <is>
          <t>Benthic elasmobranchs</t>
        </is>
      </c>
      <c r="F134" t="inlineStr"/>
      <c r="G134" t="inlineStr"/>
      <c r="H134" t="inlineStr">
        <is>
          <t>medium</t>
        </is>
      </c>
      <c r="I134" t="inlineStr">
        <is>
          <t>analogue</t>
        </is>
      </c>
      <c r="J134" t="n">
        <v>2631.198</v>
      </c>
      <c r="K134" t="n">
        <v>0.0004</v>
      </c>
      <c r="L134" s="6" t="inlineStr">
        <is>
          <t>Analyst habitat/feeding inference to benthic elasmobranchs or, for oceanic Mobula, the remaining Chondrichthyans pool (Tam 2008 pp.353-354; Table E separates benthivores from apex fish).</t>
        </is>
      </c>
    </row>
    <row r="135">
      <c r="A135" t="inlineStr">
        <is>
          <t>Thunnus alalunga</t>
        </is>
      </c>
      <c r="B135" t="inlineStr">
        <is>
          <t>Albacore</t>
        </is>
      </c>
      <c r="C135" t="inlineStr">
        <is>
          <t>Large pelagics (&gt;=90 cm)</t>
        </is>
      </c>
      <c r="D135" t="inlineStr">
        <is>
          <t>Tuna &amp; billfishes</t>
        </is>
      </c>
      <c r="E135" s="7" t="inlineStr">
        <is>
          <t>Other large pelagic fish</t>
        </is>
      </c>
      <c r="F135" t="inlineStr"/>
      <c r="G135" t="inlineStr"/>
      <c r="H135" t="inlineStr">
        <is>
          <t>medium</t>
        </is>
      </c>
      <c r="I135" t="inlineStr">
        <is>
          <t>analogue</t>
        </is>
      </c>
      <c r="J135" t="n">
        <v>2574.976</v>
      </c>
      <c r="K135" t="n">
        <v>0.0004</v>
      </c>
      <c r="L135" s="6" t="inlineStr">
        <is>
          <t>Pelagic predatory fish extending the source Sarda/Coryphaena/Thunnus examples in Other large pelagic fish (Tam 2008 p.353); same feeding and water-column habitat, not a source-listed species.</t>
        </is>
      </c>
    </row>
    <row r="136">
      <c r="A136" t="inlineStr">
        <is>
          <t>Carangidae</t>
        </is>
      </c>
      <c r="B136" t="inlineStr">
        <is>
          <t>Jacks, pompanos</t>
        </is>
      </c>
      <c r="C136" t="inlineStr">
        <is>
          <t>Medium pelagics (30 - 89 cm)</t>
        </is>
      </c>
      <c r="D136" t="inlineStr">
        <is>
          <t>Perch-likes</t>
        </is>
      </c>
      <c r="E136" s="8" t="inlineStr">
        <is>
          <t>Other small pelagic fish | Horse mackerel | Other large pelagic fish | Butter fishes</t>
        </is>
      </c>
      <c r="F136" t="inlineStr">
        <is>
          <t>0.448 | 0.463 | 0.089 | 0.000</t>
        </is>
      </c>
      <c r="G136" t="inlineStr">
        <is>
          <t>model_catch</t>
        </is>
      </c>
      <c r="H136" t="inlineStr">
        <is>
          <t>low</t>
        </is>
      </c>
      <c r="I136" t="inlineStr">
        <is>
          <t>composite_split</t>
        </is>
      </c>
      <c r="J136" t="n">
        <v>2504.353</v>
      </c>
      <c r="K136" t="n">
        <v>0.0004</v>
      </c>
      <c r="L136" s="6" t="inlineStr">
        <is>
          <t>Carangidae includes source horse mackerel and the butter-fish example Trachinotus, as well as other small/large pelagics; size and feeding data do not identify one stock. This broad analyst composite uses period model catch.</t>
        </is>
      </c>
    </row>
    <row r="137">
      <c r="A137" t="inlineStr">
        <is>
          <t>Miscellaneous marine crustaceans</t>
        </is>
      </c>
      <c r="B137" t="inlineStr">
        <is>
          <t>Marine crabs, shrimps, lobsters nei</t>
        </is>
      </c>
      <c r="C137" t="inlineStr">
        <is>
          <t>Shrimps</t>
        </is>
      </c>
      <c r="D137" t="inlineStr">
        <is>
          <t>Crustaceans</t>
        </is>
      </c>
      <c r="E137" s="7" t="inlineStr">
        <is>
          <t>Macrobenthos</t>
        </is>
      </c>
      <c r="F137" t="inlineStr"/>
      <c r="G137" t="inlineStr"/>
      <c r="H137" t="inlineStr">
        <is>
          <t>medium</t>
        </is>
      </c>
      <c r="I137" t="inlineStr">
        <is>
          <t>taxonomic_containment</t>
        </is>
      </c>
      <c r="J137" t="n">
        <v>2500.249</v>
      </c>
      <c r="K137" t="n">
        <v>0.0004</v>
      </c>
      <c r="L137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138">
      <c r="A138" t="inlineStr">
        <is>
          <t>Enteroctopus megalocyathus</t>
        </is>
      </c>
      <c r="B138" t="inlineStr">
        <is>
          <t>Patagonian giant octopus</t>
        </is>
      </c>
      <c r="C138" t="inlineStr">
        <is>
          <t>Cephalopods</t>
        </is>
      </c>
      <c r="D138" t="inlineStr">
        <is>
          <t>Other fishes &amp; inverts</t>
        </is>
      </c>
      <c r="E138" s="5" t="inlineStr">
        <is>
          <t>Other cephalopods</t>
        </is>
      </c>
      <c r="F138" t="inlineStr"/>
      <c r="G138" t="inlineStr"/>
      <c r="H138" t="inlineStr">
        <is>
          <t>high</t>
        </is>
      </c>
      <c r="I138" t="inlineStr">
        <is>
          <t>taxonomic_containment</t>
        </is>
      </c>
      <c r="J138" t="n">
        <v>2087.576</v>
      </c>
      <c r="K138" t="n">
        <v>0.0003</v>
      </c>
      <c r="L138" s="6" t="inlineStr">
        <is>
          <t>Cephalopod other than Dosidicus gigas belongs to Other cephalopods; Tam (2008) p.353 explicitly separates the jumbo squid stock.</t>
        </is>
      </c>
    </row>
    <row r="139">
      <c r="A139" t="inlineStr">
        <is>
          <t>Istiophoridae</t>
        </is>
      </c>
      <c r="B139" t="inlineStr">
        <is>
          <t>Billfishes</t>
        </is>
      </c>
      <c r="C139" t="inlineStr">
        <is>
          <t>Large pelagics (&gt;=90 cm)</t>
        </is>
      </c>
      <c r="D139" t="inlineStr">
        <is>
          <t>Tuna &amp; billfishes</t>
        </is>
      </c>
      <c r="E139" s="9" t="inlineStr">
        <is>
          <t>Unresolved</t>
        </is>
      </c>
      <c r="F139" t="inlineStr"/>
      <c r="G139" t="inlineStr"/>
      <c r="H139" t="inlineStr">
        <is>
          <t>unresolved</t>
        </is>
      </c>
      <c r="I139" t="inlineStr">
        <is>
          <t>none</t>
        </is>
      </c>
      <c r="J139" t="n">
        <v>2013.206</v>
      </c>
      <c r="K139" t="n">
        <v>0.0003</v>
      </c>
      <c r="L139" s="6" t="inlineStr">
        <is>
          <t>Billfish is outside the documented source examples and no oceanic billfish stock/feeding compartment is supplied; a coastal pelagic-piscivore analogy is insufficiently established.</t>
        </is>
      </c>
    </row>
    <row r="140">
      <c r="A140" t="inlineStr">
        <is>
          <t>Chrysaora plocamia</t>
        </is>
      </c>
      <c r="B140" t="inlineStr">
        <is>
          <t>South American sea nettle</t>
        </is>
      </c>
      <c r="C140" t="inlineStr">
        <is>
          <t>Jellyfish</t>
        </is>
      </c>
      <c r="D140" t="inlineStr">
        <is>
          <t>Other fishes &amp; inverts</t>
        </is>
      </c>
      <c r="E140" s="5" t="inlineStr">
        <is>
          <t>Chrysaora plocamia</t>
        </is>
      </c>
      <c r="F140" t="inlineStr"/>
      <c r="G140" t="inlineStr"/>
      <c r="H140" t="inlineStr">
        <is>
          <t>high</t>
        </is>
      </c>
      <c r="I140" t="inlineStr">
        <is>
          <t>explicit_member</t>
        </is>
      </c>
      <c r="J140" t="n">
        <v>1938.015</v>
      </c>
      <c r="K140" t="n">
        <v>0.0003</v>
      </c>
      <c r="L140" s="6" t="inlineStr">
        <is>
          <t>Focal model adopts Tam et al. (2008) pp.353-354 membership (Chiaverano 2018 p.30); Chrysaora plocamia matches the printed species or recorded synonym. Peruvian hake spans three source size classes and uses fixed model catch weights.</t>
        </is>
      </c>
    </row>
    <row r="141">
      <c r="A141" t="inlineStr">
        <is>
          <t>Pinguipes chilensis</t>
        </is>
      </c>
      <c r="B141" t="inlineStr">
        <is>
          <t>Chilean sandperch</t>
        </is>
      </c>
      <c r="C141" t="inlineStr">
        <is>
          <t>Medium demersals (30 - 89 cm)</t>
        </is>
      </c>
      <c r="D141" t="inlineStr">
        <is>
          <t>Perch-likes</t>
        </is>
      </c>
      <c r="E141" s="8" t="inlineStr">
        <is>
          <t>Medium demersal fish</t>
        </is>
      </c>
      <c r="F141" t="inlineStr"/>
      <c r="G141" t="inlineStr"/>
      <c r="H141" t="inlineStr">
        <is>
          <t>low</t>
        </is>
      </c>
      <c r="I141" t="inlineStr">
        <is>
          <t>analogue</t>
        </is>
      </c>
      <c r="J141" t="n">
        <v>1689.404</v>
      </c>
      <c r="K141" t="n">
        <v>0.0002</v>
      </c>
      <c r="L141" s="6" t="inlineStr">
        <is>
          <t>Analyst benthic-invertebrate-feeding demersal lineage, SAU Medium demersals (30 - 89 cm), compared with the source Medium demersal fish guild (Supplement Table E); no exact membership documented.</t>
        </is>
      </c>
    </row>
    <row r="142">
      <c r="A142" t="inlineStr">
        <is>
          <t>Rajiformes</t>
        </is>
      </c>
      <c r="B142" t="inlineStr">
        <is>
          <t>Skates and rays</t>
        </is>
      </c>
      <c r="C142" t="inlineStr">
        <is>
          <t>Large rays (&gt;=90 cm)</t>
        </is>
      </c>
      <c r="D142" t="inlineStr">
        <is>
          <t>Sharks &amp; rays</t>
        </is>
      </c>
      <c r="E142" s="7" t="inlineStr">
        <is>
          <t>Benthic elasmobranchs</t>
        </is>
      </c>
      <c r="F142" t="inlineStr"/>
      <c r="G142" t="inlineStr"/>
      <c r="H142" t="inlineStr">
        <is>
          <t>medium</t>
        </is>
      </c>
      <c r="I142" t="inlineStr">
        <is>
          <t>analogue</t>
        </is>
      </c>
      <c r="J142" t="n">
        <v>1670.188</v>
      </c>
      <c r="K142" t="n">
        <v>0.0002</v>
      </c>
      <c r="L142" s="6" t="inlineStr">
        <is>
          <t>Analyst habitat/feeding inference to benthic elasmobranchs or, for oceanic Mobula, the remaining Chondrichthyans pool (Tam 2008 pp.353-354; Table E separates benthivores from apex fish).</t>
        </is>
      </c>
    </row>
    <row r="143">
      <c r="A143" t="inlineStr">
        <is>
          <t>Xanthochorus cassidiformis</t>
        </is>
      </c>
      <c r="B143" t="inlineStr">
        <is>
          <t>Orange whelk</t>
        </is>
      </c>
      <c r="C143" t="inlineStr">
        <is>
          <t>Other demersal invertebrates</t>
        </is>
      </c>
      <c r="D143" t="inlineStr">
        <is>
          <t>Molluscs</t>
        </is>
      </c>
      <c r="E143" s="7" t="inlineStr">
        <is>
          <t>Macrobenthos</t>
        </is>
      </c>
      <c r="F143" t="inlineStr"/>
      <c r="G143" t="inlineStr"/>
      <c r="H143" t="inlineStr">
        <is>
          <t>medium</t>
        </is>
      </c>
      <c r="I143" t="inlineStr">
        <is>
          <t>taxonomic_containment</t>
        </is>
      </c>
      <c r="J143" t="n">
        <v>1633.807</v>
      </c>
      <c r="K143" t="n">
        <v>0.0002</v>
      </c>
      <c r="L143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144">
      <c r="A144" t="inlineStr">
        <is>
          <t>Panulirus gracilis</t>
        </is>
      </c>
      <c r="B144" t="inlineStr">
        <is>
          <t>Blue spiny lobster</t>
        </is>
      </c>
      <c r="C144" t="inlineStr">
        <is>
          <t>Lobsters, crabs</t>
        </is>
      </c>
      <c r="D144" t="inlineStr">
        <is>
          <t>Crustaceans</t>
        </is>
      </c>
      <c r="E144" s="7" t="inlineStr">
        <is>
          <t>Macrobenthos</t>
        </is>
      </c>
      <c r="F144" t="inlineStr"/>
      <c r="G144" t="inlineStr"/>
      <c r="H144" t="inlineStr">
        <is>
          <t>medium</t>
        </is>
      </c>
      <c r="I144" t="inlineStr">
        <is>
          <t>taxonomic_containment</t>
        </is>
      </c>
      <c r="J144" t="n">
        <v>1452.649</v>
      </c>
      <c r="K144" t="n">
        <v>0.0002</v>
      </c>
      <c r="L144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145">
      <c r="A145" t="inlineStr">
        <is>
          <t>Mustelus</t>
        </is>
      </c>
      <c r="B145" t="inlineStr">
        <is>
          <t>Smoothhounds</t>
        </is>
      </c>
      <c r="C145" t="inlineStr">
        <is>
          <t>Large sharks (&gt;=90 cm)</t>
        </is>
      </c>
      <c r="D145" t="inlineStr">
        <is>
          <t>Sharks &amp; rays</t>
        </is>
      </c>
      <c r="E145" s="7" t="inlineStr">
        <is>
          <t>Benthic elasmobranchs</t>
        </is>
      </c>
      <c r="F145" t="inlineStr"/>
      <c r="G145" t="inlineStr"/>
      <c r="H145" t="inlineStr">
        <is>
          <t>medium</t>
        </is>
      </c>
      <c r="I145" t="inlineStr">
        <is>
          <t>analogue</t>
        </is>
      </c>
      <c r="J145" t="n">
        <v>1275.114</v>
      </c>
      <c r="K145" t="n">
        <v>0.0002</v>
      </c>
      <c r="L145" s="6" t="inlineStr">
        <is>
          <t>Analyst habitat/feeding inference to benthic elasmobranchs or, for oceanic Mobula, the remaining Chondrichthyans pool (Tam 2008 pp.353-354; Table E separates benthivores from apex fish).</t>
        </is>
      </c>
    </row>
    <row r="146">
      <c r="A146" t="inlineStr">
        <is>
          <t>Emmelichthys nitidus</t>
        </is>
      </c>
      <c r="B146" t="inlineStr">
        <is>
          <t>Cape bonnetmouth</t>
        </is>
      </c>
      <c r="C146" t="inlineStr">
        <is>
          <t>Medium bathydemersals (30 - 89 cm)</t>
        </is>
      </c>
      <c r="D146" t="inlineStr">
        <is>
          <t>Perch-likes</t>
        </is>
      </c>
      <c r="E146" s="9" t="inlineStr">
        <is>
          <t>Unresolved</t>
        </is>
      </c>
      <c r="F146" t="inlineStr"/>
      <c r="G146" t="inlineStr"/>
      <c r="H146" t="inlineStr">
        <is>
          <t>unresolved</t>
        </is>
      </c>
      <c r="I146" t="inlineStr">
        <is>
          <t>none</t>
        </is>
      </c>
      <c r="J146" t="n">
        <v>1273.8</v>
      </c>
      <c r="K146" t="n">
        <v>0.0002</v>
      </c>
      <c r="L146" s="6" t="inlineStr">
        <is>
          <t>No documented source member or sufficiently supported feeding-guild analogue established for Emmelichthys nitidus; source size/habitat labels alone do not resolve its placement.</t>
        </is>
      </c>
    </row>
    <row r="147">
      <c r="A147" t="inlineStr">
        <is>
          <t>Tetrapturus</t>
        </is>
      </c>
      <c r="B147" t="inlineStr">
        <is>
          <t>Spearfishes</t>
        </is>
      </c>
      <c r="C147" t="inlineStr">
        <is>
          <t>Large pelagics (&gt;=90 cm)</t>
        </is>
      </c>
      <c r="D147" t="inlineStr">
        <is>
          <t>Tuna &amp; billfishes</t>
        </is>
      </c>
      <c r="E147" s="9" t="inlineStr">
        <is>
          <t>Unresolved</t>
        </is>
      </c>
      <c r="F147" t="inlineStr"/>
      <c r="G147" t="inlineStr"/>
      <c r="H147" t="inlineStr">
        <is>
          <t>unresolved</t>
        </is>
      </c>
      <c r="I147" t="inlineStr">
        <is>
          <t>none</t>
        </is>
      </c>
      <c r="J147" t="n">
        <v>1110.928</v>
      </c>
      <c r="K147" t="n">
        <v>0.0002</v>
      </c>
      <c r="L147" s="6" t="inlineStr">
        <is>
          <t>Billfish is outside the documented source examples and no oceanic billfish stock/feeding compartment is supplied; a coastal pelagic-piscivore analogy is insufficiently established.</t>
        </is>
      </c>
    </row>
    <row r="148">
      <c r="A148" t="inlineStr">
        <is>
          <t>Nemadactylus</t>
        </is>
      </c>
      <c r="B148" t="inlineStr">
        <is>
          <t>Porae</t>
        </is>
      </c>
      <c r="C148" t="inlineStr">
        <is>
          <t>Medium demersals (30 - 89 cm)</t>
        </is>
      </c>
      <c r="D148" t="inlineStr">
        <is>
          <t>Perch-likes</t>
        </is>
      </c>
      <c r="E148" s="8" t="inlineStr">
        <is>
          <t>Medium demersal fish</t>
        </is>
      </c>
      <c r="F148" t="inlineStr"/>
      <c r="G148" t="inlineStr"/>
      <c r="H148" t="inlineStr">
        <is>
          <t>low</t>
        </is>
      </c>
      <c r="I148" t="inlineStr">
        <is>
          <t>analogue</t>
        </is>
      </c>
      <c r="J148" t="n">
        <v>1055.117</v>
      </c>
      <c r="K148" t="n">
        <v>0.0002</v>
      </c>
      <c r="L148" s="6" t="inlineStr">
        <is>
          <t>Analyst benthic-invertebrate-feeding demersal lineage, SAU Medium demersals (30 - 89 cm), compared with the source Medium demersal fish guild (Supplement Table E); no exact membership documented.</t>
        </is>
      </c>
    </row>
    <row r="149">
      <c r="A149" t="inlineStr">
        <is>
          <t>Kajikia audax</t>
        </is>
      </c>
      <c r="B149" t="inlineStr">
        <is>
          <t>Striped marlin</t>
        </is>
      </c>
      <c r="C149" t="inlineStr">
        <is>
          <t>Large pelagics (&gt;=90 cm)</t>
        </is>
      </c>
      <c r="D149" t="inlineStr">
        <is>
          <t>Tuna &amp; billfishes</t>
        </is>
      </c>
      <c r="E149" s="9" t="inlineStr">
        <is>
          <t>Unresolved</t>
        </is>
      </c>
      <c r="F149" t="inlineStr"/>
      <c r="G149" t="inlineStr"/>
      <c r="H149" t="inlineStr">
        <is>
          <t>unresolved</t>
        </is>
      </c>
      <c r="I149" t="inlineStr">
        <is>
          <t>none</t>
        </is>
      </c>
      <c r="J149" t="n">
        <v>1044.329</v>
      </c>
      <c r="K149" t="n">
        <v>0.0002</v>
      </c>
      <c r="L149" s="6" t="inlineStr">
        <is>
          <t>Billfish is outside the documented source examples and no oceanic billfish stock/feeding compartment is supplied; a coastal pelagic-piscivore analogy is insufficiently established.</t>
        </is>
      </c>
    </row>
    <row r="150">
      <c r="A150" t="inlineStr">
        <is>
          <t>Genypterus</t>
        </is>
      </c>
      <c r="B150" t="inlineStr">
        <is>
          <t>Genypterid cuskeels</t>
        </is>
      </c>
      <c r="C150" t="inlineStr">
        <is>
          <t>Large bathydemersals (&gt;=90 cm)</t>
        </is>
      </c>
      <c r="D150" t="inlineStr">
        <is>
          <t>Other fishes &amp; inverts</t>
        </is>
      </c>
      <c r="E150" s="9" t="inlineStr">
        <is>
          <t>Unresolved</t>
        </is>
      </c>
      <c r="F150" t="inlineStr"/>
      <c r="G150" t="inlineStr"/>
      <c r="H150" t="inlineStr">
        <is>
          <t>unresolved</t>
        </is>
      </c>
      <c r="I150" t="inlineStr">
        <is>
          <t>none</t>
        </is>
      </c>
      <c r="J150" t="n">
        <v>1009.182</v>
      </c>
      <c r="K150" t="n">
        <v>0.0001</v>
      </c>
      <c r="L150" s="6" t="inlineStr">
        <is>
          <t>Source names Conger without a member list; snake eels and cusk-eels cannot be declared members from a shared eel-like shape, and the relevant demersal trophic analogue is not established.</t>
        </is>
      </c>
    </row>
    <row r="151">
      <c r="A151" t="inlineStr">
        <is>
          <t>Zygochlamys patagonica</t>
        </is>
      </c>
      <c r="B151" t="inlineStr">
        <is>
          <t>Patagonean scallop</t>
        </is>
      </c>
      <c r="C151" t="inlineStr">
        <is>
          <t>Other demersal invertebrates</t>
        </is>
      </c>
      <c r="D151" t="inlineStr">
        <is>
          <t>Molluscs</t>
        </is>
      </c>
      <c r="E151" s="7" t="inlineStr">
        <is>
          <t>Macrobenthos</t>
        </is>
      </c>
      <c r="F151" t="inlineStr"/>
      <c r="G151" t="inlineStr"/>
      <c r="H151" t="inlineStr">
        <is>
          <t>medium</t>
        </is>
      </c>
      <c r="I151" t="inlineStr">
        <is>
          <t>taxonomic_containment</t>
        </is>
      </c>
      <c r="J151" t="n">
        <v>986.8099999999999</v>
      </c>
      <c r="K151" t="n">
        <v>0.0001</v>
      </c>
      <c r="L151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152">
      <c r="A152" t="inlineStr">
        <is>
          <t>Dipturus trachyderma</t>
        </is>
      </c>
      <c r="B152" t="inlineStr">
        <is>
          <t>Ray</t>
        </is>
      </c>
      <c r="C152" t="inlineStr">
        <is>
          <t>Large rays (&gt;=90 cm)</t>
        </is>
      </c>
      <c r="D152" t="inlineStr">
        <is>
          <t>Sharks &amp; rays</t>
        </is>
      </c>
      <c r="E152" s="7" t="inlineStr">
        <is>
          <t>Benthic elasmobranchs</t>
        </is>
      </c>
      <c r="F152" t="inlineStr"/>
      <c r="G152" t="inlineStr"/>
      <c r="H152" t="inlineStr">
        <is>
          <t>medium</t>
        </is>
      </c>
      <c r="I152" t="inlineStr">
        <is>
          <t>analogue</t>
        </is>
      </c>
      <c r="J152" t="n">
        <v>892.915</v>
      </c>
      <c r="K152" t="n">
        <v>0.0001</v>
      </c>
      <c r="L152" s="6" t="inlineStr">
        <is>
          <t>Analyst habitat/feeding inference to benthic elasmobranchs or, for oceanic Mobula, the remaining Chondrichthyans pool (Tam 2008 pp.353-354; Table E separates benthivores from apex fish).</t>
        </is>
      </c>
    </row>
    <row r="153">
      <c r="A153" t="inlineStr">
        <is>
          <t>Istiophorus platypterus</t>
        </is>
      </c>
      <c r="B153" t="inlineStr">
        <is>
          <t>Indo-Pacific sailfish</t>
        </is>
      </c>
      <c r="C153" t="inlineStr">
        <is>
          <t>Large pelagics (&gt;=90 cm)</t>
        </is>
      </c>
      <c r="D153" t="inlineStr">
        <is>
          <t>Tuna &amp; billfishes</t>
        </is>
      </c>
      <c r="E153" s="9" t="inlineStr">
        <is>
          <t>Unresolved</t>
        </is>
      </c>
      <c r="F153" t="inlineStr"/>
      <c r="G153" t="inlineStr"/>
      <c r="H153" t="inlineStr">
        <is>
          <t>unresolved</t>
        </is>
      </c>
      <c r="I153" t="inlineStr">
        <is>
          <t>none</t>
        </is>
      </c>
      <c r="J153" t="n">
        <v>779.6420000000001</v>
      </c>
      <c r="K153" t="n">
        <v>0.0001</v>
      </c>
      <c r="L153" s="6" t="inlineStr">
        <is>
          <t>Billfish is outside the documented source examples and no oceanic billfish stock/feeding compartment is supplied; a coastal pelagic-piscivore analogy is insufficiently established.</t>
        </is>
      </c>
    </row>
    <row r="154">
      <c r="A154" t="inlineStr">
        <is>
          <t>Squalus acanthias</t>
        </is>
      </c>
      <c r="B154" t="inlineStr">
        <is>
          <t>Picked dogfish</t>
        </is>
      </c>
      <c r="C154" t="inlineStr">
        <is>
          <t>Large sharks (&gt;=90 cm)</t>
        </is>
      </c>
      <c r="D154" t="inlineStr">
        <is>
          <t>Sharks &amp; rays</t>
        </is>
      </c>
      <c r="E154" s="7" t="inlineStr">
        <is>
          <t>Benthic elasmobranchs</t>
        </is>
      </c>
      <c r="F154" t="inlineStr"/>
      <c r="G154" t="inlineStr"/>
      <c r="H154" t="inlineStr">
        <is>
          <t>medium</t>
        </is>
      </c>
      <c r="I154" t="inlineStr">
        <is>
          <t>analogue</t>
        </is>
      </c>
      <c r="J154" t="n">
        <v>773.222</v>
      </c>
      <c r="K154" t="n">
        <v>0.0001</v>
      </c>
      <c r="L154" s="6" t="inlineStr">
        <is>
          <t>Analyst habitat/feeding inference to benthic elasmobranchs or, for oceanic Mobula, the remaining Chondrichthyans pool (Tam 2008 pp.353-354; Table E separates benthivores from apex fish).</t>
        </is>
      </c>
    </row>
    <row r="155">
      <c r="A155" t="inlineStr">
        <is>
          <t>Galatheidae</t>
        </is>
      </c>
      <c r="B155" t="inlineStr">
        <is>
          <t>Squat lobsters</t>
        </is>
      </c>
      <c r="C155" t="inlineStr">
        <is>
          <t>Lobsters, crabs</t>
        </is>
      </c>
      <c r="D155" t="inlineStr">
        <is>
          <t>Crustaceans</t>
        </is>
      </c>
      <c r="E155" s="7" t="inlineStr">
        <is>
          <t>Macrobenthos</t>
        </is>
      </c>
      <c r="F155" t="inlineStr"/>
      <c r="G155" t="inlineStr"/>
      <c r="H155" t="inlineStr">
        <is>
          <t>medium</t>
        </is>
      </c>
      <c r="I155" t="inlineStr">
        <is>
          <t>taxonomic_containment</t>
        </is>
      </c>
      <c r="J155" t="n">
        <v>717.939</v>
      </c>
      <c r="K155" t="n">
        <v>0.0001</v>
      </c>
      <c r="L155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156">
      <c r="A156" t="inlineStr">
        <is>
          <t>Rhynchocinetes typus</t>
        </is>
      </c>
      <c r="B156" t="inlineStr">
        <is>
          <t>Rabbitnose shrimp</t>
        </is>
      </c>
      <c r="C156" t="inlineStr">
        <is>
          <t>Shrimps</t>
        </is>
      </c>
      <c r="D156" t="inlineStr">
        <is>
          <t>Crustaceans</t>
        </is>
      </c>
      <c r="E156" s="7" t="inlineStr">
        <is>
          <t>Macrobenthos</t>
        </is>
      </c>
      <c r="F156" t="inlineStr"/>
      <c r="G156" t="inlineStr"/>
      <c r="H156" t="inlineStr">
        <is>
          <t>medium</t>
        </is>
      </c>
      <c r="I156" t="inlineStr">
        <is>
          <t>taxonomic_containment</t>
        </is>
      </c>
      <c r="J156" t="n">
        <v>675.9160000000001</v>
      </c>
      <c r="K156" t="n">
        <v>0.0001</v>
      </c>
      <c r="L156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157">
      <c r="A157" t="inlineStr">
        <is>
          <t>Lamna nasus</t>
        </is>
      </c>
      <c r="B157" t="inlineStr">
        <is>
          <t>Porbeagle</t>
        </is>
      </c>
      <c r="C157" t="inlineStr">
        <is>
          <t>Large sharks (&gt;=90 cm)</t>
        </is>
      </c>
      <c r="D157" t="inlineStr">
        <is>
          <t>Sharks &amp; rays</t>
        </is>
      </c>
      <c r="E157" s="7" t="inlineStr">
        <is>
          <t>Chondrichthyans</t>
        </is>
      </c>
      <c r="F157" t="inlineStr"/>
      <c r="G157" t="inlineStr"/>
      <c r="H157" t="inlineStr">
        <is>
          <t>medium</t>
        </is>
      </c>
      <c r="I157" t="inlineStr">
        <is>
          <t>analogue</t>
        </is>
      </c>
      <c r="J157" t="n">
        <v>671.04</v>
      </c>
      <c r="K157" t="n">
        <v>0.0001</v>
      </c>
      <c r="L157" s="6" t="inlineStr">
        <is>
          <t>Analyst inference: pelagic predatory shark corresponds to Chondrichthyans after the benthic elasmobranch pool is excluded (Tam 2008 p.354; Table E apex predatory fish).</t>
        </is>
      </c>
    </row>
    <row r="158">
      <c r="A158" t="inlineStr">
        <is>
          <t>Coelorinchus chilensis</t>
        </is>
      </c>
      <c r="B158" t="inlineStr">
        <is>
          <t>Chilean grenadier</t>
        </is>
      </c>
      <c r="C158" t="inlineStr">
        <is>
          <t>Medium benthopelagics (30 - 89 cm)</t>
        </is>
      </c>
      <c r="D158" t="inlineStr">
        <is>
          <t>Cod-likes</t>
        </is>
      </c>
      <c r="E158" s="9" t="inlineStr">
        <is>
          <t>Unresolved</t>
        </is>
      </c>
      <c r="F158" t="inlineStr"/>
      <c r="G158" t="inlineStr"/>
      <c r="H158" t="inlineStr">
        <is>
          <t>unresolved</t>
        </is>
      </c>
      <c r="I158" t="inlineStr">
        <is>
          <t>none</t>
        </is>
      </c>
      <c r="J158" t="n">
        <v>664.6559999999999</v>
      </c>
      <c r="K158" t="n">
        <v>0.0001</v>
      </c>
      <c r="L158" s="6" t="inlineStr">
        <is>
          <t>This coarse/deep demersal label can include southern gadiform stocks; no evidence justifies assigning all of it to the northern Peruvian hake stock.</t>
        </is>
      </c>
    </row>
    <row r="159">
      <c r="A159" t="inlineStr">
        <is>
          <t>Cancer plebejus</t>
        </is>
      </c>
      <c r="B159" t="inlineStr">
        <is>
          <t>Chilean crab</t>
        </is>
      </c>
      <c r="C159" t="inlineStr">
        <is>
          <t>Lobsters, crabs</t>
        </is>
      </c>
      <c r="D159" t="inlineStr">
        <is>
          <t>Crustaceans</t>
        </is>
      </c>
      <c r="E159" s="7" t="inlineStr">
        <is>
          <t>Macrobenthos</t>
        </is>
      </c>
      <c r="F159" t="inlineStr"/>
      <c r="G159" t="inlineStr"/>
      <c r="H159" t="inlineStr">
        <is>
          <t>medium</t>
        </is>
      </c>
      <c r="I159" t="inlineStr">
        <is>
          <t>taxonomic_containment</t>
        </is>
      </c>
      <c r="J159" t="n">
        <v>625.028</v>
      </c>
      <c r="K159" t="n">
        <v>0.0001</v>
      </c>
      <c r="L159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160">
      <c r="A160" t="inlineStr">
        <is>
          <t>Fistularia corneta</t>
        </is>
      </c>
      <c r="B160" t="inlineStr">
        <is>
          <t>Pacific cornetfish</t>
        </is>
      </c>
      <c r="C160" t="inlineStr">
        <is>
          <t>Large pelagics (&gt;=90 cm)</t>
        </is>
      </c>
      <c r="D160" t="inlineStr">
        <is>
          <t>Other fishes &amp; inverts</t>
        </is>
      </c>
      <c r="E160" s="9" t="inlineStr">
        <is>
          <t>Unresolved</t>
        </is>
      </c>
      <c r="F160" t="inlineStr"/>
      <c r="G160" t="inlineStr"/>
      <c r="H160" t="inlineStr">
        <is>
          <t>unresolved</t>
        </is>
      </c>
      <c r="I160" t="inlineStr">
        <is>
          <t>none</t>
        </is>
      </c>
      <c r="J160" t="n">
        <v>573.024</v>
      </c>
      <c r="K160" t="n">
        <v>0.0001</v>
      </c>
      <c r="L160" s="6" t="inlineStr">
        <is>
          <t>No documented source member or sufficiently supported feeding-guild analogue established for Fistularia corneta; source size/habitat labels alone do not resolve its placement.</t>
        </is>
      </c>
    </row>
    <row r="161">
      <c r="A161" t="inlineStr">
        <is>
          <t>Trichiuridae</t>
        </is>
      </c>
      <c r="B161" t="inlineStr">
        <is>
          <t>Cutlassfishes</t>
        </is>
      </c>
      <c r="C161" t="inlineStr">
        <is>
          <t>Large benthopelagics (&gt;=90 cm)</t>
        </is>
      </c>
      <c r="D161" t="inlineStr">
        <is>
          <t>Perch-likes</t>
        </is>
      </c>
      <c r="E161" s="9" t="inlineStr">
        <is>
          <t>Unresolved</t>
        </is>
      </c>
      <c r="F161" t="inlineStr"/>
      <c r="G161" t="inlineStr"/>
      <c r="H161" t="inlineStr">
        <is>
          <t>unresolved</t>
        </is>
      </c>
      <c r="I161" t="inlineStr">
        <is>
          <t>none</t>
        </is>
      </c>
      <c r="J161" t="n">
        <v>531.277</v>
      </c>
      <c r="K161" t="n">
        <v>0.0001</v>
      </c>
      <c r="L161" s="6" t="inlineStr">
        <is>
          <t>No documented source member or sufficiently supported feeding-guild analogue established for Trichiuridae; source size/habitat labels alone do not resolve its placement.</t>
        </is>
      </c>
    </row>
    <row r="162">
      <c r="A162" t="inlineStr">
        <is>
          <t>Cynoglossidae</t>
        </is>
      </c>
      <c r="B162" t="inlineStr">
        <is>
          <t>Tonguefishes</t>
        </is>
      </c>
      <c r="C162" t="inlineStr">
        <is>
          <t>Small to medium flatfishes (&lt;90 cm)</t>
        </is>
      </c>
      <c r="D162" t="inlineStr">
        <is>
          <t>Flatfishes</t>
        </is>
      </c>
      <c r="E162" s="5" t="inlineStr">
        <is>
          <t>Flatfish</t>
        </is>
      </c>
      <c r="F162" t="inlineStr"/>
      <c r="G162" t="inlineStr"/>
      <c r="H162" t="inlineStr">
        <is>
          <t>high</t>
        </is>
      </c>
      <c r="I162" t="inlineStr">
        <is>
          <t>taxonomic_containment</t>
        </is>
      </c>
      <c r="J162" t="n">
        <v>481.837</v>
      </c>
      <c r="K162" t="n">
        <v>0.0001</v>
      </c>
      <c r="L162" s="6" t="inlineStr">
        <is>
          <t>Flatfish taxon falls within the source Flatfish pool; examples Paralichthys and Hippoglossina are given in Tam (2008) p.353.</t>
        </is>
      </c>
    </row>
    <row r="163">
      <c r="A163" t="inlineStr">
        <is>
          <t>Lampris guttatus</t>
        </is>
      </c>
      <c r="B163" t="inlineStr">
        <is>
          <t>Opah</t>
        </is>
      </c>
      <c r="C163" t="inlineStr">
        <is>
          <t>Large bathypelagics (&gt;=90 cm)</t>
        </is>
      </c>
      <c r="D163" t="inlineStr">
        <is>
          <t>Other fishes &amp; inverts</t>
        </is>
      </c>
      <c r="E163" s="9" t="inlineStr">
        <is>
          <t>Unresolved</t>
        </is>
      </c>
      <c r="F163" t="inlineStr"/>
      <c r="G163" t="inlineStr"/>
      <c r="H163" t="inlineStr">
        <is>
          <t>unresolved</t>
        </is>
      </c>
      <c r="I163" t="inlineStr">
        <is>
          <t>none</t>
        </is>
      </c>
      <c r="J163" t="n">
        <v>460.147</v>
      </c>
      <c r="K163" t="n">
        <v>0.0001</v>
      </c>
      <c r="L163" s="6" t="inlineStr">
        <is>
          <t>The 4-16 S coastal model lacks a documented deep pelagic stock or comparable feeding compartment for this taxon.</t>
        </is>
      </c>
    </row>
    <row r="164">
      <c r="A164" t="inlineStr">
        <is>
          <t>Epinephelus</t>
        </is>
      </c>
      <c r="B164" t="inlineStr">
        <is>
          <t>Seabasses, hinds</t>
        </is>
      </c>
      <c r="C164" t="inlineStr">
        <is>
          <t>Medium reef assoc. fish (30 - 89 cm)</t>
        </is>
      </c>
      <c r="D164" t="inlineStr">
        <is>
          <t>Perch-likes</t>
        </is>
      </c>
      <c r="E164" s="8" t="inlineStr">
        <is>
          <t>Medium demersal fish</t>
        </is>
      </c>
      <c r="F164" t="inlineStr"/>
      <c r="G164" t="inlineStr"/>
      <c r="H164" t="inlineStr">
        <is>
          <t>low</t>
        </is>
      </c>
      <c r="I164" t="inlineStr">
        <is>
          <t>analogue</t>
        </is>
      </c>
      <c r="J164" t="n">
        <v>442.567</v>
      </c>
      <c r="K164" t="n">
        <v>0.0001</v>
      </c>
      <c r="L164" s="6" t="inlineStr">
        <is>
          <t>Analyst family/genus extension from source Paralabrax humeralis and Hemanthias peruanus to the Medium demersal fish pool (Tam 2008 p.353); species diets vary, so this is low confidence.</t>
        </is>
      </c>
    </row>
    <row r="165">
      <c r="A165" t="inlineStr">
        <is>
          <t>Isurus</t>
        </is>
      </c>
      <c r="B165" t="inlineStr">
        <is>
          <t>Mako sharks</t>
        </is>
      </c>
      <c r="C165" t="inlineStr">
        <is>
          <t>Large sharks (&gt;=90 cm)</t>
        </is>
      </c>
      <c r="D165" t="inlineStr">
        <is>
          <t>Sharks &amp; rays</t>
        </is>
      </c>
      <c r="E165" s="7" t="inlineStr">
        <is>
          <t>Chondrichthyans</t>
        </is>
      </c>
      <c r="F165" t="inlineStr"/>
      <c r="G165" t="inlineStr"/>
      <c r="H165" t="inlineStr">
        <is>
          <t>medium</t>
        </is>
      </c>
      <c r="I165" t="inlineStr">
        <is>
          <t>analogue</t>
        </is>
      </c>
      <c r="J165" t="n">
        <v>412.375</v>
      </c>
      <c r="K165" t="n">
        <v>0.0001</v>
      </c>
      <c r="L165" s="6" t="inlineStr">
        <is>
          <t>Analyst inference: pelagic predatory shark corresponds to Chondrichthyans after the benthic elasmobranch pool is excluded (Tam 2008 p.354; Table E apex predatory fish).</t>
        </is>
      </c>
    </row>
    <row r="166">
      <c r="A166" t="inlineStr">
        <is>
          <t>Rajidae</t>
        </is>
      </c>
      <c r="B166" t="inlineStr">
        <is>
          <t>Stingrays</t>
        </is>
      </c>
      <c r="C166" t="inlineStr">
        <is>
          <t>Large rays (&gt;=90 cm)</t>
        </is>
      </c>
      <c r="D166" t="inlineStr">
        <is>
          <t>Sharks &amp; rays</t>
        </is>
      </c>
      <c r="E166" s="7" t="inlineStr">
        <is>
          <t>Benthic elasmobranchs</t>
        </is>
      </c>
      <c r="F166" t="inlineStr"/>
      <c r="G166" t="inlineStr"/>
      <c r="H166" t="inlineStr">
        <is>
          <t>medium</t>
        </is>
      </c>
      <c r="I166" t="inlineStr">
        <is>
          <t>analogue</t>
        </is>
      </c>
      <c r="J166" t="n">
        <v>392.775</v>
      </c>
      <c r="K166" t="n">
        <v>0.0001</v>
      </c>
      <c r="L166" s="6" t="inlineStr">
        <is>
          <t>Analyst habitat/feeding inference to benthic elasmobranchs or, for oceanic Mobula, the remaining Chondrichthyans pool (Tam 2008 pp.353-354; Table E separates benthivores from apex fish).</t>
        </is>
      </c>
    </row>
    <row r="167">
      <c r="A167" t="inlineStr">
        <is>
          <t>Aplodactylus punctatus</t>
        </is>
      </c>
      <c r="B167" t="inlineStr">
        <is>
          <t>Aplodactylus punctatus</t>
        </is>
      </c>
      <c r="C167" t="inlineStr">
        <is>
          <t>Medium demersals (30 - 89 cm)</t>
        </is>
      </c>
      <c r="D167" t="inlineStr">
        <is>
          <t>Perch-likes</t>
        </is>
      </c>
      <c r="E167" s="9" t="inlineStr">
        <is>
          <t>Unresolved</t>
        </is>
      </c>
      <c r="F167" t="inlineStr"/>
      <c r="G167" t="inlineStr"/>
      <c r="H167" t="inlineStr">
        <is>
          <t>unresolved</t>
        </is>
      </c>
      <c r="I167" t="inlineStr">
        <is>
          <t>none</t>
        </is>
      </c>
      <c r="J167" t="n">
        <v>346.838</v>
      </c>
      <c r="K167" t="n">
        <v>0.0001</v>
      </c>
      <c r="L167" s="6" t="inlineStr">
        <is>
          <t>No documented source member or sufficiently supported feeding-guild analogue established for Aplodactylus punctatus; source size/habitat labels alone do not resolve its placement.</t>
        </is>
      </c>
    </row>
    <row r="168">
      <c r="A168" t="inlineStr">
        <is>
          <t>Euthynnus lineatus</t>
        </is>
      </c>
      <c r="B168" t="inlineStr">
        <is>
          <t>Black skipjack</t>
        </is>
      </c>
      <c r="C168" t="inlineStr">
        <is>
          <t>Medium pelagics (30 - 89 cm)</t>
        </is>
      </c>
      <c r="D168" t="inlineStr">
        <is>
          <t>Tuna &amp; billfishes</t>
        </is>
      </c>
      <c r="E168" s="7" t="inlineStr">
        <is>
          <t>Other large pelagic fish</t>
        </is>
      </c>
      <c r="F168" t="inlineStr"/>
      <c r="G168" t="inlineStr"/>
      <c r="H168" t="inlineStr">
        <is>
          <t>medium</t>
        </is>
      </c>
      <c r="I168" t="inlineStr">
        <is>
          <t>analogue</t>
        </is>
      </c>
      <c r="J168" t="n">
        <v>292.098</v>
      </c>
      <c r="K168" t="n">
        <v>0</v>
      </c>
      <c r="L168" s="6" t="inlineStr">
        <is>
          <t>Pelagic predatory fish extending the source Sarda/Coryphaena/Thunnus examples in Other large pelagic fish (Tam 2008 p.353); same feeding and water-column habitat, not a source-listed species.</t>
        </is>
      </c>
    </row>
    <row r="169">
      <c r="A169" t="inlineStr">
        <is>
          <t>Chondrichthyes</t>
        </is>
      </c>
      <c r="B169" t="inlineStr">
        <is>
          <t>Sharks, rays, chimaeras</t>
        </is>
      </c>
      <c r="C169" t="inlineStr">
        <is>
          <t>Large sharks (&gt;=90 cm)</t>
        </is>
      </c>
      <c r="D169" t="inlineStr">
        <is>
          <t>Sharks &amp; rays</t>
        </is>
      </c>
      <c r="E169" s="8" t="inlineStr">
        <is>
          <t>Benthic elasmobranchs | Chondrichthyans</t>
        </is>
      </c>
      <c r="F169" t="inlineStr">
        <is>
          <t>0.647 | 0.353</t>
        </is>
      </c>
      <c r="G169" t="inlineStr">
        <is>
          <t>catch_composition</t>
        </is>
      </c>
      <c r="H169" t="inlineStr">
        <is>
          <t>low</t>
        </is>
      </c>
      <c r="I169" t="inlineStr">
        <is>
          <t>composite_split</t>
        </is>
      </c>
      <c r="J169" t="n">
        <v>282.964</v>
      </c>
      <c r="K169" t="n">
        <v>0</v>
      </c>
      <c r="L169" s="6" t="inlineStr">
        <is>
          <t>Coarse cartilaginous-fish label spans source benthic elasmobranchs and apex Chondrichthyans; source does not supply a species-level split.</t>
        </is>
      </c>
    </row>
    <row r="170">
      <c r="A170" t="inlineStr">
        <is>
          <t>Thunnus orientalis</t>
        </is>
      </c>
      <c r="B170" t="inlineStr">
        <is>
          <t>Pacific bluefin tuna</t>
        </is>
      </c>
      <c r="C170" t="inlineStr">
        <is>
          <t>Large pelagics (&gt;=90 cm)</t>
        </is>
      </c>
      <c r="D170" t="inlineStr">
        <is>
          <t>Tuna &amp; billfishes</t>
        </is>
      </c>
      <c r="E170" s="7" t="inlineStr">
        <is>
          <t>Other large pelagic fish</t>
        </is>
      </c>
      <c r="F170" t="inlineStr"/>
      <c r="G170" t="inlineStr"/>
      <c r="H170" t="inlineStr">
        <is>
          <t>medium</t>
        </is>
      </c>
      <c r="I170" t="inlineStr">
        <is>
          <t>analogue</t>
        </is>
      </c>
      <c r="J170" t="n">
        <v>207.264</v>
      </c>
      <c r="K170" t="n">
        <v>0</v>
      </c>
      <c r="L170" s="6" t="inlineStr">
        <is>
          <t>Pelagic predatory fish extending the source Sarda/Coryphaena/Thunnus examples in Other large pelagic fish (Tam 2008 p.353); same feeding and water-column habitat, not a source-listed species.</t>
        </is>
      </c>
    </row>
    <row r="171">
      <c r="A171" t="inlineStr">
        <is>
          <t>Carcharhinus falciformis</t>
        </is>
      </c>
      <c r="B171" t="inlineStr">
        <is>
          <t>Silky shark</t>
        </is>
      </c>
      <c r="C171" t="inlineStr">
        <is>
          <t>Large sharks (&gt;=90 cm)</t>
        </is>
      </c>
      <c r="D171" t="inlineStr">
        <is>
          <t>Sharks &amp; rays</t>
        </is>
      </c>
      <c r="E171" s="7" t="inlineStr">
        <is>
          <t>Chondrichthyans</t>
        </is>
      </c>
      <c r="F171" t="inlineStr"/>
      <c r="G171" t="inlineStr"/>
      <c r="H171" t="inlineStr">
        <is>
          <t>medium</t>
        </is>
      </c>
      <c r="I171" t="inlineStr">
        <is>
          <t>analogue</t>
        </is>
      </c>
      <c r="J171" t="n">
        <v>202.682</v>
      </c>
      <c r="K171" t="n">
        <v>0</v>
      </c>
      <c r="L171" s="6" t="inlineStr">
        <is>
          <t>Analyst inference: pelagic predatory shark corresponds to Chondrichthyans after the benthic elasmobranch pool is excluded (Tam 2008 p.354; Table E apex predatory fish).</t>
        </is>
      </c>
    </row>
    <row r="172">
      <c r="A172" t="inlineStr">
        <is>
          <t>Holothuriidae</t>
        </is>
      </c>
      <c r="B172" t="inlineStr">
        <is>
          <t>Fleshy sea cucumbers</t>
        </is>
      </c>
      <c r="C172" t="inlineStr">
        <is>
          <t>Other demersal invertebrates</t>
        </is>
      </c>
      <c r="D172" t="inlineStr">
        <is>
          <t>Other fishes &amp; inverts</t>
        </is>
      </c>
      <c r="E172" s="7" t="inlineStr">
        <is>
          <t>Macrobenthos</t>
        </is>
      </c>
      <c r="F172" t="inlineStr"/>
      <c r="G172" t="inlineStr"/>
      <c r="H172" t="inlineStr">
        <is>
          <t>medium</t>
        </is>
      </c>
      <c r="I172" t="inlineStr">
        <is>
          <t>taxonomic_containment</t>
        </is>
      </c>
      <c r="J172" t="n">
        <v>198.441</v>
      </c>
      <c r="K172" t="n">
        <v>0</v>
      </c>
      <c r="L172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173">
      <c r="A173" t="inlineStr">
        <is>
          <t>Brama brama</t>
        </is>
      </c>
      <c r="B173" t="inlineStr">
        <is>
          <t>Atlantic pomfret</t>
        </is>
      </c>
      <c r="C173" t="inlineStr">
        <is>
          <t>Medium bathypelagics (30 - 89 cm)</t>
        </is>
      </c>
      <c r="D173" t="inlineStr">
        <is>
          <t>Perch-likes</t>
        </is>
      </c>
      <c r="E173" s="9" t="inlineStr">
        <is>
          <t>Unresolved</t>
        </is>
      </c>
      <c r="F173" t="inlineStr"/>
      <c r="G173" t="inlineStr"/>
      <c r="H173" t="inlineStr">
        <is>
          <t>unresolved</t>
        </is>
      </c>
      <c r="I173" t="inlineStr">
        <is>
          <t>none</t>
        </is>
      </c>
      <c r="J173" t="n">
        <v>177.1</v>
      </c>
      <c r="K173" t="n">
        <v>0</v>
      </c>
      <c r="L173" s="6" t="inlineStr">
        <is>
          <t>The 4-16 S coastal model lacks a documented deep pelagic stock or comparable feeding compartment for this taxon.</t>
        </is>
      </c>
    </row>
    <row r="174">
      <c r="A174" t="inlineStr">
        <is>
          <t>Mobula birostris</t>
        </is>
      </c>
      <c r="B174" t="inlineStr">
        <is>
          <t>Giant manta</t>
        </is>
      </c>
      <c r="C174" t="inlineStr">
        <is>
          <t>Large rays (&gt;=90 cm)</t>
        </is>
      </c>
      <c r="D174" t="inlineStr">
        <is>
          <t>Sharks &amp; rays</t>
        </is>
      </c>
      <c r="E174" s="8" t="inlineStr">
        <is>
          <t>Chondrichthyans</t>
        </is>
      </c>
      <c r="F174" t="inlineStr"/>
      <c r="G174" t="inlineStr"/>
      <c r="H174" t="inlineStr">
        <is>
          <t>low</t>
        </is>
      </c>
      <c r="I174" t="inlineStr">
        <is>
          <t>analogue</t>
        </is>
      </c>
      <c r="J174" t="n">
        <v>166.272</v>
      </c>
      <c r="K174" t="n">
        <v>0</v>
      </c>
      <c r="L174" s="6" t="inlineStr">
        <is>
          <t>Analyst habitat/feeding inference to benthic elasmobranchs or, for oceanic Mobula, the remaining Chondrichthyans pool (Tam 2008 pp.353-354; Table E separates benthivores from apex fish).</t>
        </is>
      </c>
    </row>
    <row r="175">
      <c r="A175" t="inlineStr">
        <is>
          <t>Malacanthidae</t>
        </is>
      </c>
      <c r="B175" t="inlineStr">
        <is>
          <t>Tilefishes</t>
        </is>
      </c>
      <c r="C175" t="inlineStr">
        <is>
          <t>Medium demersals (30 - 89 cm)</t>
        </is>
      </c>
      <c r="D175" t="inlineStr">
        <is>
          <t>Perch-likes</t>
        </is>
      </c>
      <c r="E175" s="8" t="inlineStr">
        <is>
          <t>Medium demersal fish</t>
        </is>
      </c>
      <c r="F175" t="inlineStr"/>
      <c r="G175" t="inlineStr"/>
      <c r="H175" t="inlineStr">
        <is>
          <t>low</t>
        </is>
      </c>
      <c r="I175" t="inlineStr">
        <is>
          <t>analogue</t>
        </is>
      </c>
      <c r="J175" t="n">
        <v>144.082</v>
      </c>
      <c r="K175" t="n">
        <v>0</v>
      </c>
      <c r="L175" s="6" t="inlineStr">
        <is>
          <t>Analyst benthic-invertebrate-feeding demersal lineage, SAU Medium demersals (30 - 89 cm), compared with the source Medium demersal fish guild (Supplement Table E); no exact membership documented.</t>
        </is>
      </c>
    </row>
    <row r="176">
      <c r="A176" t="inlineStr">
        <is>
          <t>Marine groundfishes not identified</t>
        </is>
      </c>
      <c r="B176" t="inlineStr">
        <is>
          <t>Groundfishes</t>
        </is>
      </c>
      <c r="C176" t="inlineStr">
        <is>
          <t>Medium demersals (30 - 89 cm)</t>
        </is>
      </c>
      <c r="D176" t="inlineStr">
        <is>
          <t>Other fishes &amp; inverts</t>
        </is>
      </c>
      <c r="E176" s="8" t="inlineStr">
        <is>
          <t>Small demersal fish | Medium demersal fish | Medium sciaenids</t>
        </is>
      </c>
      <c r="F176" t="inlineStr">
        <is>
          <t>0.227 | 0.497 | 0.276</t>
        </is>
      </c>
      <c r="G176" t="inlineStr">
        <is>
          <t>catch_composition</t>
        </is>
      </c>
      <c r="H176" t="inlineStr">
        <is>
          <t>low</t>
        </is>
      </c>
      <c r="I176" t="inlineStr">
        <is>
          <t>composite_split</t>
        </is>
      </c>
      <c r="J176" t="n">
        <v>140.915</v>
      </c>
      <c r="K176" t="n">
        <v>0</v>
      </c>
      <c r="L176" s="6" t="inlineStr">
        <is>
          <t>Analyst residual-catch composite, SAU Medium demersals (30 - 89 cm). Candidate residual groups are constrained by source habitat and Table E feeding guilds; dedicated stocks are excluded. Catch-composition weights are estimated, not a source species list.</t>
        </is>
      </c>
    </row>
    <row r="177">
      <c r="A177" t="inlineStr">
        <is>
          <t>Micromesistius australis</t>
        </is>
      </c>
      <c r="B177" t="inlineStr">
        <is>
          <t>Southern blue whiting</t>
        </is>
      </c>
      <c r="C177" t="inlineStr">
        <is>
          <t>Medium benthopelagics (30 - 89 cm)</t>
        </is>
      </c>
      <c r="D177" t="inlineStr">
        <is>
          <t>Cod-likes</t>
        </is>
      </c>
      <c r="E177" s="9" t="inlineStr">
        <is>
          <t>Unresolved</t>
        </is>
      </c>
      <c r="F177" t="inlineStr"/>
      <c r="G177" t="inlineStr"/>
      <c r="H177" t="inlineStr">
        <is>
          <t>unresolved</t>
        </is>
      </c>
      <c r="I177" t="inlineStr">
        <is>
          <t>none</t>
        </is>
      </c>
      <c r="J177" t="n">
        <v>139.98</v>
      </c>
      <c r="K177" t="n">
        <v>0</v>
      </c>
      <c r="L177" s="6" t="inlineStr">
        <is>
          <t>This is a southern/offshore demersal stock, not the explicitly modelled northern Peruvian hake Merluccius peruanus; the northern model has no corresponding named stock compartment.</t>
        </is>
      </c>
    </row>
    <row r="178">
      <c r="A178" t="inlineStr">
        <is>
          <t>Scombroidei</t>
        </is>
      </c>
      <c r="B178" t="inlineStr">
        <is>
          <t>Tunas, bonitos, billfishes</t>
        </is>
      </c>
      <c r="C178" t="inlineStr">
        <is>
          <t>Large pelagics (&gt;=90 cm)</t>
        </is>
      </c>
      <c r="D178" t="inlineStr">
        <is>
          <t>Tuna &amp; billfishes</t>
        </is>
      </c>
      <c r="E178" s="7" t="inlineStr">
        <is>
          <t>Chub mackerel | Other large pelagic fish</t>
        </is>
      </c>
      <c r="F178" t="inlineStr">
        <is>
          <t>0.690 | 0.310</t>
        </is>
      </c>
      <c r="G178" t="inlineStr">
        <is>
          <t>explicit</t>
        </is>
      </c>
      <c r="H178" t="inlineStr">
        <is>
          <t>medium</t>
        </is>
      </c>
      <c r="I178" t="inlineStr">
        <is>
          <t>composite_split</t>
        </is>
      </c>
      <c r="J178" t="n">
        <v>133.145</v>
      </c>
      <c r="K178" t="n">
        <v>0</v>
      </c>
      <c r="L178" s="6" t="inlineStr">
        <is>
          <t>Scombrid aggregate spans dedicated chub mackerel and other large pelagic predatory fishes including tuna/bonito (Tam 2008 p.353); fixed composition uses the identified scombrid genera.</t>
        </is>
      </c>
    </row>
    <row r="179">
      <c r="A179" t="inlineStr">
        <is>
          <t>Mustelus mento</t>
        </is>
      </c>
      <c r="B179" t="inlineStr">
        <is>
          <t>Speckled smooth-hound</t>
        </is>
      </c>
      <c r="C179" t="inlineStr">
        <is>
          <t>Large sharks (&gt;=90 cm)</t>
        </is>
      </c>
      <c r="D179" t="inlineStr">
        <is>
          <t>Sharks &amp; rays</t>
        </is>
      </c>
      <c r="E179" s="7" t="inlineStr">
        <is>
          <t>Benthic elasmobranchs</t>
        </is>
      </c>
      <c r="F179" t="inlineStr"/>
      <c r="G179" t="inlineStr"/>
      <c r="H179" t="inlineStr">
        <is>
          <t>medium</t>
        </is>
      </c>
      <c r="I179" t="inlineStr">
        <is>
          <t>analogue</t>
        </is>
      </c>
      <c r="J179" t="n">
        <v>131.571</v>
      </c>
      <c r="K179" t="n">
        <v>0</v>
      </c>
      <c r="L179" s="6" t="inlineStr">
        <is>
          <t>Analyst habitat/feeding inference to benthic elasmobranchs or, for oceanic Mobula, the remaining Chondrichthyans pool (Tam 2008 pp.353-354; Table E separates benthivores from apex fish).</t>
        </is>
      </c>
    </row>
    <row r="180">
      <c r="A180" t="inlineStr">
        <is>
          <t>Trichiurus lepturus</t>
        </is>
      </c>
      <c r="B180" t="inlineStr">
        <is>
          <t>Largehead hairtail</t>
        </is>
      </c>
      <c r="C180" t="inlineStr">
        <is>
          <t>Large benthopelagics (&gt;=90 cm)</t>
        </is>
      </c>
      <c r="D180" t="inlineStr">
        <is>
          <t>Perch-likes</t>
        </is>
      </c>
      <c r="E180" s="9" t="inlineStr">
        <is>
          <t>Unresolved</t>
        </is>
      </c>
      <c r="F180" t="inlineStr"/>
      <c r="G180" t="inlineStr"/>
      <c r="H180" t="inlineStr">
        <is>
          <t>unresolved</t>
        </is>
      </c>
      <c r="I180" t="inlineStr">
        <is>
          <t>none</t>
        </is>
      </c>
      <c r="J180" t="n">
        <v>124.187</v>
      </c>
      <c r="K180" t="n">
        <v>0</v>
      </c>
      <c r="L180" s="6" t="inlineStr">
        <is>
          <t>No documented source member or sufficiently supported feeding-guild analogue established for Trichiurus lepturus; source size/habitat labels alone do not resolve its placement.</t>
        </is>
      </c>
    </row>
    <row r="181">
      <c r="A181" t="inlineStr">
        <is>
          <t>Clupeiformes</t>
        </is>
      </c>
      <c r="B181" t="inlineStr">
        <is>
          <t>Herrings, shads, anchovies</t>
        </is>
      </c>
      <c r="C181" t="inlineStr">
        <is>
          <t>Small pelagics (&lt;30 cm)</t>
        </is>
      </c>
      <c r="D181" t="inlineStr">
        <is>
          <t>Other fishes &amp; inverts</t>
        </is>
      </c>
      <c r="E181" s="7" t="inlineStr">
        <is>
          <t>Sardine | Anchovy | Other small pelagic fish</t>
        </is>
      </c>
      <c r="F181" t="inlineStr">
        <is>
          <t>0.161 | 0.831 | 0.008</t>
        </is>
      </c>
      <c r="G181" t="inlineStr">
        <is>
          <t>explicit</t>
        </is>
      </c>
      <c r="H181" t="inlineStr">
        <is>
          <t>medium</t>
        </is>
      </c>
      <c r="I181" t="inlineStr">
        <is>
          <t>composite_split</t>
        </is>
      </c>
      <c r="J181" t="n">
        <v>116.623</v>
      </c>
      <c r="K181" t="n">
        <v>0</v>
      </c>
      <c r="L181" s="6" t="inlineStr">
        <is>
          <t>Order-level catch spans sardine, Peruvian anchovy and other small pelagics (Tam 2008 p.353); fixed composition uses the identified members of this order.</t>
        </is>
      </c>
    </row>
    <row r="182">
      <c r="A182" t="inlineStr">
        <is>
          <t>Taliepus marginatus</t>
        </is>
      </c>
      <c r="B182" t="inlineStr">
        <is>
          <t>Spider crabs</t>
        </is>
      </c>
      <c r="C182" t="inlineStr">
        <is>
          <t>Lobsters, crabs</t>
        </is>
      </c>
      <c r="D182" t="inlineStr">
        <is>
          <t>Crustaceans</t>
        </is>
      </c>
      <c r="E182" s="7" t="inlineStr">
        <is>
          <t>Macrobenthos</t>
        </is>
      </c>
      <c r="F182" t="inlineStr"/>
      <c r="G182" t="inlineStr"/>
      <c r="H182" t="inlineStr">
        <is>
          <t>medium</t>
        </is>
      </c>
      <c r="I182" t="inlineStr">
        <is>
          <t>taxonomic_containment</t>
        </is>
      </c>
      <c r="J182" t="n">
        <v>115.145</v>
      </c>
      <c r="K182" t="n">
        <v>0</v>
      </c>
      <c r="L182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183">
      <c r="A183" t="inlineStr">
        <is>
          <t>Scorpaena histrio</t>
        </is>
      </c>
      <c r="B183" t="inlineStr">
        <is>
          <t>Player scorpionfish</t>
        </is>
      </c>
      <c r="C183" t="inlineStr">
        <is>
          <t>Small demersals (&lt;30 cm)</t>
        </is>
      </c>
      <c r="D183" t="inlineStr">
        <is>
          <t>Scorpionfishes</t>
        </is>
      </c>
      <c r="E183" s="9" t="inlineStr">
        <is>
          <t>Unresolved</t>
        </is>
      </c>
      <c r="F183" t="inlineStr"/>
      <c r="G183" t="inlineStr"/>
      <c r="H183" t="inlineStr">
        <is>
          <t>unresolved</t>
        </is>
      </c>
      <c r="I183" t="inlineStr">
        <is>
          <t>none</t>
        </is>
      </c>
      <c r="J183" t="n">
        <v>115.037</v>
      </c>
      <c r="K183" t="n">
        <v>0</v>
      </c>
      <c r="L183" s="6" t="inlineStr">
        <is>
          <t>No documented source member or sufficiently supported feeding-guild analogue established for Scorpaena histrio; source size/habitat labels alone do not resolve its placement.</t>
        </is>
      </c>
    </row>
    <row r="184">
      <c r="A184" t="inlineStr">
        <is>
          <t>Elagatis bipinnulata</t>
        </is>
      </c>
      <c r="B184" t="inlineStr">
        <is>
          <t>Rainbow runner</t>
        </is>
      </c>
      <c r="C184" t="inlineStr">
        <is>
          <t>Large pelagics (&gt;=90 cm)</t>
        </is>
      </c>
      <c r="D184" t="inlineStr">
        <is>
          <t>Perch-likes</t>
        </is>
      </c>
      <c r="E184" s="7" t="inlineStr">
        <is>
          <t>Other large pelagic fish</t>
        </is>
      </c>
      <c r="F184" t="inlineStr"/>
      <c r="G184" t="inlineStr"/>
      <c r="H184" t="inlineStr">
        <is>
          <t>medium</t>
        </is>
      </c>
      <c r="I184" t="inlineStr">
        <is>
          <t>analogue</t>
        </is>
      </c>
      <c r="J184" t="n">
        <v>102.164</v>
      </c>
      <c r="K184" t="n">
        <v>0</v>
      </c>
      <c r="L184" s="6" t="inlineStr">
        <is>
          <t>Pelagic predatory fish extending the source Sarda/Coryphaena/Thunnus examples in Other large pelagic fish (Tam 2008 p.353); same feeding and water-column habitat, not a source-listed species.</t>
        </is>
      </c>
    </row>
    <row r="185">
      <c r="A185" t="inlineStr">
        <is>
          <t>Istiompax indica</t>
        </is>
      </c>
      <c r="B185" t="inlineStr">
        <is>
          <t>Black marlin</t>
        </is>
      </c>
      <c r="C185" t="inlineStr">
        <is>
          <t>Large pelagics (&gt;=90 cm)</t>
        </is>
      </c>
      <c r="D185" t="inlineStr">
        <is>
          <t>Tuna &amp; billfishes</t>
        </is>
      </c>
      <c r="E185" s="9" t="inlineStr">
        <is>
          <t>Unresolved</t>
        </is>
      </c>
      <c r="F185" t="inlineStr"/>
      <c r="G185" t="inlineStr"/>
      <c r="H185" t="inlineStr">
        <is>
          <t>unresolved</t>
        </is>
      </c>
      <c r="I185" t="inlineStr">
        <is>
          <t>none</t>
        </is>
      </c>
      <c r="J185" t="n">
        <v>87.488</v>
      </c>
      <c r="K185" t="n">
        <v>0</v>
      </c>
      <c r="L185" s="6" t="inlineStr">
        <is>
          <t>Billfish is outside the documented source examples and no oceanic billfish stock/feeding compartment is supplied; a coastal pelagic-piscivore analogy is insufficiently established.</t>
        </is>
      </c>
    </row>
    <row r="186">
      <c r="A186" t="inlineStr">
        <is>
          <t>Paralabrax</t>
        </is>
      </c>
      <c r="B186" t="inlineStr">
        <is>
          <t>Sand basses</t>
        </is>
      </c>
      <c r="C186" t="inlineStr">
        <is>
          <t>Medium reef assoc. fish (30 - 89 cm)</t>
        </is>
      </c>
      <c r="D186" t="inlineStr">
        <is>
          <t>Perch-likes</t>
        </is>
      </c>
      <c r="E186" s="8" t="inlineStr">
        <is>
          <t>Medium demersal fish</t>
        </is>
      </c>
      <c r="F186" t="inlineStr"/>
      <c r="G186" t="inlineStr"/>
      <c r="H186" t="inlineStr">
        <is>
          <t>low</t>
        </is>
      </c>
      <c r="I186" t="inlineStr">
        <is>
          <t>analogue</t>
        </is>
      </c>
      <c r="J186" t="n">
        <v>85.27</v>
      </c>
      <c r="K186" t="n">
        <v>0</v>
      </c>
      <c r="L186" s="6" t="inlineStr">
        <is>
          <t>Analyst family/genus extension from source Paralabrax humeralis and Hemanthias peruanus to the Medium demersal fish pool (Tam 2008 p.353); species diets vary, so this is low confidence.</t>
        </is>
      </c>
    </row>
    <row r="187">
      <c r="A187" t="inlineStr">
        <is>
          <t>Carcharhinus longimanus</t>
        </is>
      </c>
      <c r="B187" t="inlineStr">
        <is>
          <t>Oceanic whitetip shark</t>
        </is>
      </c>
      <c r="C187" t="inlineStr">
        <is>
          <t>Large sharks (&gt;=90 cm)</t>
        </is>
      </c>
      <c r="D187" t="inlineStr">
        <is>
          <t>Sharks &amp; rays</t>
        </is>
      </c>
      <c r="E187" s="7" t="inlineStr">
        <is>
          <t>Chondrichthyans</t>
        </is>
      </c>
      <c r="F187" t="inlineStr"/>
      <c r="G187" t="inlineStr"/>
      <c r="H187" t="inlineStr">
        <is>
          <t>medium</t>
        </is>
      </c>
      <c r="I187" t="inlineStr">
        <is>
          <t>analogue</t>
        </is>
      </c>
      <c r="J187" t="n">
        <v>82.65900000000001</v>
      </c>
      <c r="K187" t="n">
        <v>0</v>
      </c>
      <c r="L187" s="6" t="inlineStr">
        <is>
          <t>Analyst inference: pelagic predatory shark corresponds to Chondrichthyans after the benthic elasmobranch pool is excluded (Tam 2008 p.354; Table E apex predatory fish).</t>
        </is>
      </c>
    </row>
    <row r="188">
      <c r="A188" t="inlineStr">
        <is>
          <t>Diplectrum pacificum</t>
        </is>
      </c>
      <c r="B188" t="inlineStr">
        <is>
          <t>Inshore sand perch</t>
        </is>
      </c>
      <c r="C188" t="inlineStr">
        <is>
          <t>Small demersals (&lt;30 cm)</t>
        </is>
      </c>
      <c r="D188" t="inlineStr">
        <is>
          <t>Perch-likes</t>
        </is>
      </c>
      <c r="E188" s="9" t="inlineStr">
        <is>
          <t>Unresolved</t>
        </is>
      </c>
      <c r="F188" t="inlineStr"/>
      <c r="G188" t="inlineStr"/>
      <c r="H188" t="inlineStr">
        <is>
          <t>unresolved</t>
        </is>
      </c>
      <c r="I188" t="inlineStr">
        <is>
          <t>none</t>
        </is>
      </c>
      <c r="J188" t="n">
        <v>60.615</v>
      </c>
      <c r="K188" t="n">
        <v>0</v>
      </c>
      <c r="L188" s="6" t="inlineStr">
        <is>
          <t>No documented source member or sufficiently supported feeding-guild analogue established for Diplectrum pacificum; source size/habitat labels alone do not resolve its placement.</t>
        </is>
      </c>
    </row>
    <row r="189">
      <c r="A189" t="inlineStr">
        <is>
          <t>Decapterus macrosoma</t>
        </is>
      </c>
      <c r="B189" t="inlineStr">
        <is>
          <t>Shortfin scad</t>
        </is>
      </c>
      <c r="C189" t="inlineStr">
        <is>
          <t>Medium pelagics (30 - 89 cm)</t>
        </is>
      </c>
      <c r="D189" t="inlineStr">
        <is>
          <t>Perch-likes</t>
        </is>
      </c>
      <c r="E189" s="8" t="inlineStr">
        <is>
          <t>Other small pelagic fish</t>
        </is>
      </c>
      <c r="F189" t="inlineStr"/>
      <c r="G189" t="inlineStr"/>
      <c r="H189" t="inlineStr">
        <is>
          <t>low</t>
        </is>
      </c>
      <c r="I189" t="inlineStr">
        <is>
          <t>analogue</t>
        </is>
      </c>
      <c r="J189" t="n">
        <v>52.513</v>
      </c>
      <c r="K189" t="n">
        <v>0</v>
      </c>
      <c r="L189" s="6" t="inlineStr">
        <is>
          <t>Analyst small schooling planktivorous/pelagic analogue to source Other small pelagic fish; the species is not in the source member list, and its SAU demersal/size class may differ.</t>
        </is>
      </c>
    </row>
    <row r="190">
      <c r="A190" t="inlineStr">
        <is>
          <t>Heteropriacanthus cruentatus</t>
        </is>
      </c>
      <c r="B190" t="inlineStr">
        <is>
          <t>Glasseye</t>
        </is>
      </c>
      <c r="C190" t="inlineStr">
        <is>
          <t>Medium reef assoc. fish (30 - 89 cm)</t>
        </is>
      </c>
      <c r="D190" t="inlineStr">
        <is>
          <t>Perch-likes</t>
        </is>
      </c>
      <c r="E190" s="9" t="inlineStr">
        <is>
          <t>Unresolved</t>
        </is>
      </c>
      <c r="F190" t="inlineStr"/>
      <c r="G190" t="inlineStr"/>
      <c r="H190" t="inlineStr">
        <is>
          <t>unresolved</t>
        </is>
      </c>
      <c r="I190" t="inlineStr">
        <is>
          <t>none</t>
        </is>
      </c>
      <c r="J190" t="n">
        <v>52.171</v>
      </c>
      <c r="K190" t="n">
        <v>0</v>
      </c>
      <c r="L190" s="6" t="inlineStr">
        <is>
          <t>No documented source member or sufficiently supported feeding-guild analogue established for Heteropriacanthus cruentatus; source size/habitat labels alone do not resolve its placement.</t>
        </is>
      </c>
    </row>
    <row r="191">
      <c r="A191" t="inlineStr">
        <is>
          <t>Paralomis</t>
        </is>
      </c>
      <c r="B191" t="inlineStr">
        <is>
          <t>Spider crabs</t>
        </is>
      </c>
      <c r="C191" t="inlineStr">
        <is>
          <t>Lobsters, crabs</t>
        </is>
      </c>
      <c r="D191" t="inlineStr">
        <is>
          <t>Crustaceans</t>
        </is>
      </c>
      <c r="E191" s="7" t="inlineStr">
        <is>
          <t>Macrobenthos</t>
        </is>
      </c>
      <c r="F191" t="inlineStr"/>
      <c r="G191" t="inlineStr"/>
      <c r="H191" t="inlineStr">
        <is>
          <t>medium</t>
        </is>
      </c>
      <c r="I191" t="inlineStr">
        <is>
          <t>taxonomic_containment</t>
        </is>
      </c>
      <c r="J191" t="n">
        <v>43.698</v>
      </c>
      <c r="K191" t="n">
        <v>0</v>
      </c>
      <c r="L191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192">
      <c r="A192" t="inlineStr">
        <is>
          <t>Diapterus peruvianus</t>
        </is>
      </c>
      <c r="B192" t="inlineStr">
        <is>
          <t>Peruvian mojarra</t>
        </is>
      </c>
      <c r="C192" t="inlineStr">
        <is>
          <t>Small demersals (&lt;30 cm)</t>
        </is>
      </c>
      <c r="D192" t="inlineStr">
        <is>
          <t>Perch-likes</t>
        </is>
      </c>
      <c r="E192" s="8" t="inlineStr">
        <is>
          <t>Medium demersal fish</t>
        </is>
      </c>
      <c r="F192" t="inlineStr"/>
      <c r="G192" t="inlineStr"/>
      <c r="H192" t="inlineStr">
        <is>
          <t>low</t>
        </is>
      </c>
      <c r="I192" t="inlineStr">
        <is>
          <t>analogue</t>
        </is>
      </c>
      <c r="J192" t="n">
        <v>41.923</v>
      </c>
      <c r="K192" t="n">
        <v>0</v>
      </c>
      <c r="L192" s="6" t="inlineStr">
        <is>
          <t>Analyst benthic-invertebrate-feeding demersal lineage, SAU Small demersals (&lt;30 cm), compared with the source Medium demersal fish guild (Supplement Table E); no exact membership documented.</t>
        </is>
      </c>
    </row>
    <row r="193">
      <c r="A193" t="inlineStr">
        <is>
          <t>Seriola rivoliana</t>
        </is>
      </c>
      <c r="B193" t="inlineStr">
        <is>
          <t>Longfin yellowtail</t>
        </is>
      </c>
      <c r="C193" t="inlineStr">
        <is>
          <t>Large benthopelagics (&gt;=90 cm)</t>
        </is>
      </c>
      <c r="D193" t="inlineStr">
        <is>
          <t>Perch-likes</t>
        </is>
      </c>
      <c r="E193" s="7" t="inlineStr">
        <is>
          <t>Other large pelagic fish</t>
        </is>
      </c>
      <c r="F193" t="inlineStr"/>
      <c r="G193" t="inlineStr"/>
      <c r="H193" t="inlineStr">
        <is>
          <t>medium</t>
        </is>
      </c>
      <c r="I193" t="inlineStr">
        <is>
          <t>analogue</t>
        </is>
      </c>
      <c r="J193" t="n">
        <v>27.837</v>
      </c>
      <c r="K193" t="n">
        <v>0</v>
      </c>
      <c r="L193" s="6" t="inlineStr">
        <is>
          <t>Pelagic predatory fish extending the source Sarda/Coryphaena/Thunnus examples in Other large pelagic fish (Tam 2008 p.353); same feeding and water-column habitat, not a source-listed species.</t>
        </is>
      </c>
    </row>
    <row r="194">
      <c r="A194" t="inlineStr">
        <is>
          <t>Sebastidae</t>
        </is>
      </c>
      <c r="B194" t="inlineStr">
        <is>
          <t>Rockfishes, rockcods, thornyheads</t>
        </is>
      </c>
      <c r="C194" t="inlineStr">
        <is>
          <t>Medium demersals (30 - 89 cm)</t>
        </is>
      </c>
      <c r="D194" t="inlineStr">
        <is>
          <t>Scorpionfishes</t>
        </is>
      </c>
      <c r="E194" s="9" t="inlineStr">
        <is>
          <t>Unresolved</t>
        </is>
      </c>
      <c r="F194" t="inlineStr"/>
      <c r="G194" t="inlineStr"/>
      <c r="H194" t="inlineStr">
        <is>
          <t>unresolved</t>
        </is>
      </c>
      <c r="I194" t="inlineStr">
        <is>
          <t>none</t>
        </is>
      </c>
      <c r="J194" t="n">
        <v>24.079</v>
      </c>
      <c r="K194" t="n">
        <v>0</v>
      </c>
      <c r="L194" s="6" t="inlineStr">
        <is>
          <t>No documented source member or sufficiently supported feeding-guild analogue established for Sebastidae; source size/habitat labels alone do not resolve its placement.</t>
        </is>
      </c>
    </row>
    <row r="195">
      <c r="A195" t="inlineStr">
        <is>
          <t>Tetrapturus angustirostris</t>
        </is>
      </c>
      <c r="B195" t="inlineStr">
        <is>
          <t>Shortbill spearfish</t>
        </is>
      </c>
      <c r="C195" t="inlineStr">
        <is>
          <t>Large pelagics (&gt;=90 cm)</t>
        </is>
      </c>
      <c r="D195" t="inlineStr">
        <is>
          <t>Tuna &amp; billfishes</t>
        </is>
      </c>
      <c r="E195" s="9" t="inlineStr">
        <is>
          <t>Unresolved</t>
        </is>
      </c>
      <c r="F195" t="inlineStr"/>
      <c r="G195" t="inlineStr"/>
      <c r="H195" t="inlineStr">
        <is>
          <t>unresolved</t>
        </is>
      </c>
      <c r="I195" t="inlineStr">
        <is>
          <t>none</t>
        </is>
      </c>
      <c r="J195" t="n">
        <v>23.437</v>
      </c>
      <c r="K195" t="n">
        <v>0</v>
      </c>
      <c r="L195" s="6" t="inlineStr">
        <is>
          <t>Billfish is outside the documented source examples and no oceanic billfish stock/feeding compartment is supplied; a coastal pelagic-piscivore analogy is insufficiently established.</t>
        </is>
      </c>
    </row>
    <row r="196">
      <c r="A196" t="inlineStr">
        <is>
          <t>Auxis rochei</t>
        </is>
      </c>
      <c r="B196" t="inlineStr">
        <is>
          <t>Bullet tuna</t>
        </is>
      </c>
      <c r="C196" t="inlineStr">
        <is>
          <t>Medium pelagics (30 - 89 cm)</t>
        </is>
      </c>
      <c r="D196" t="inlineStr">
        <is>
          <t>Tuna &amp; billfishes</t>
        </is>
      </c>
      <c r="E196" s="7" t="inlineStr">
        <is>
          <t>Other large pelagic fish</t>
        </is>
      </c>
      <c r="F196" t="inlineStr"/>
      <c r="G196" t="inlineStr"/>
      <c r="H196" t="inlineStr">
        <is>
          <t>medium</t>
        </is>
      </c>
      <c r="I196" t="inlineStr">
        <is>
          <t>analogue</t>
        </is>
      </c>
      <c r="J196" t="n">
        <v>22.346</v>
      </c>
      <c r="K196" t="n">
        <v>0</v>
      </c>
      <c r="L196" s="6" t="inlineStr">
        <is>
          <t>Pelagic predatory fish extending the source Sarda/Coryphaena/Thunnus examples in Other large pelagic fish (Tam 2008 p.353); same feeding and water-column habitat, not a source-listed species.</t>
        </is>
      </c>
    </row>
    <row r="197">
      <c r="A197" t="inlineStr">
        <is>
          <t>Ruvettus pretiosus</t>
        </is>
      </c>
      <c r="B197" t="inlineStr">
        <is>
          <t>Oilfish</t>
        </is>
      </c>
      <c r="C197" t="inlineStr">
        <is>
          <t>Large benthopelagics (&gt;=90 cm)</t>
        </is>
      </c>
      <c r="D197" t="inlineStr">
        <is>
          <t>Perch-likes</t>
        </is>
      </c>
      <c r="E197" s="9" t="inlineStr">
        <is>
          <t>Unresolved</t>
        </is>
      </c>
      <c r="F197" t="inlineStr"/>
      <c r="G197" t="inlineStr"/>
      <c r="H197" t="inlineStr">
        <is>
          <t>unresolved</t>
        </is>
      </c>
      <c r="I197" t="inlineStr">
        <is>
          <t>none</t>
        </is>
      </c>
      <c r="J197" t="n">
        <v>17.99</v>
      </c>
      <c r="K197" t="n">
        <v>0</v>
      </c>
      <c r="L197" s="6" t="inlineStr">
        <is>
          <t>The 4-16 S coastal model lacks a documented deep pelagic stock or comparable feeding compartment for this taxon.</t>
        </is>
      </c>
    </row>
    <row r="198">
      <c r="A198" t="inlineStr">
        <is>
          <t>Marine finfishes not identified</t>
        </is>
      </c>
      <c r="B198" t="inlineStr">
        <is>
          <t>Finfishes</t>
        </is>
      </c>
      <c r="C198" t="inlineStr">
        <is>
          <t>Medium demersals (30 - 89 cm)</t>
        </is>
      </c>
      <c r="D198" t="inlineStr">
        <is>
          <t>Other fishes &amp; inverts</t>
        </is>
      </c>
      <c r="E198" s="8" t="inlineStr">
        <is>
          <t>Small demersal fish | Medium demersal fish | Medium sciaenids</t>
        </is>
      </c>
      <c r="F198" t="inlineStr">
        <is>
          <t>0.227 | 0.497 | 0.276</t>
        </is>
      </c>
      <c r="G198" t="inlineStr">
        <is>
          <t>catch_composition</t>
        </is>
      </c>
      <c r="H198" t="inlineStr">
        <is>
          <t>low</t>
        </is>
      </c>
      <c r="I198" t="inlineStr">
        <is>
          <t>composite_split</t>
        </is>
      </c>
      <c r="J198" t="n">
        <v>17.898</v>
      </c>
      <c r="K198" t="n">
        <v>0</v>
      </c>
      <c r="L198" s="6" t="inlineStr">
        <is>
          <t>Analyst residual-catch composite, SAU Medium demersals (30 - 89 cm). Candidate residual groups are constrained by source habitat and Table E feeding guilds; dedicated stocks are excluded. Catch-composition weights are estimated, not a source species list.</t>
        </is>
      </c>
    </row>
    <row r="199">
      <c r="A199" t="inlineStr">
        <is>
          <t>Fissurella picta</t>
        </is>
      </c>
      <c r="B199" t="inlineStr">
        <is>
          <t>Large banded keyhole limpet</t>
        </is>
      </c>
      <c r="C199" t="inlineStr">
        <is>
          <t>Other demersal invertebrates</t>
        </is>
      </c>
      <c r="D199" t="inlineStr">
        <is>
          <t>Molluscs</t>
        </is>
      </c>
      <c r="E199" s="7" t="inlineStr">
        <is>
          <t>Macrobenthos</t>
        </is>
      </c>
      <c r="F199" t="inlineStr"/>
      <c r="G199" t="inlineStr"/>
      <c r="H199" t="inlineStr">
        <is>
          <t>medium</t>
        </is>
      </c>
      <c r="I199" t="inlineStr">
        <is>
          <t>taxonomic_containment</t>
        </is>
      </c>
      <c r="J199" t="n">
        <v>16.513</v>
      </c>
      <c r="K199" t="n">
        <v>0</v>
      </c>
      <c r="L199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200">
      <c r="A200" t="inlineStr">
        <is>
          <t>Polydactylus approximans</t>
        </is>
      </c>
      <c r="B200" t="inlineStr">
        <is>
          <t>Blue bobo</t>
        </is>
      </c>
      <c r="C200" t="inlineStr">
        <is>
          <t>Medium demersals (30 - 89 cm)</t>
        </is>
      </c>
      <c r="D200" t="inlineStr">
        <is>
          <t>Perch-likes</t>
        </is>
      </c>
      <c r="E200" s="8" t="inlineStr">
        <is>
          <t>Medium demersal fish</t>
        </is>
      </c>
      <c r="F200" t="inlineStr"/>
      <c r="G200" t="inlineStr"/>
      <c r="H200" t="inlineStr">
        <is>
          <t>low</t>
        </is>
      </c>
      <c r="I200" t="inlineStr">
        <is>
          <t>analogue</t>
        </is>
      </c>
      <c r="J200" t="n">
        <v>14.669</v>
      </c>
      <c r="K200" t="n">
        <v>0</v>
      </c>
      <c r="L200" s="6" t="inlineStr">
        <is>
          <t>Analyst benthic-invertebrate-feeding demersal lineage, SAU Medium demersals (30 - 89 cm), compared with the source Medium demersal fish guild (Supplement Table E); no exact membership documented.</t>
        </is>
      </c>
    </row>
    <row r="201">
      <c r="A201" t="inlineStr">
        <is>
          <t>Hemigrapsus crenulatus</t>
        </is>
      </c>
      <c r="B201" t="inlineStr">
        <is>
          <t>Hairy-handed shore crab</t>
        </is>
      </c>
      <c r="C201" t="inlineStr">
        <is>
          <t>Lobsters, crabs</t>
        </is>
      </c>
      <c r="D201" t="inlineStr">
        <is>
          <t>Crustaceans</t>
        </is>
      </c>
      <c r="E201" s="7" t="inlineStr">
        <is>
          <t>Macrobenthos</t>
        </is>
      </c>
      <c r="F201" t="inlineStr"/>
      <c r="G201" t="inlineStr"/>
      <c r="H201" t="inlineStr">
        <is>
          <t>medium</t>
        </is>
      </c>
      <c r="I201" t="inlineStr">
        <is>
          <t>taxonomic_containment</t>
        </is>
      </c>
      <c r="J201" t="n">
        <v>12.636</v>
      </c>
      <c r="K201" t="n">
        <v>0</v>
      </c>
      <c r="L201" s="6" t="inlineStr">
        <is>
          <t>Taxonomic/habitat containment in the single Macrobenthos pool, Tam (2008) p.353; no species list documents this exact taxon. Applying the northern pool to LME-wide benthic catches is an area transfer.</t>
        </is>
      </c>
    </row>
    <row r="202">
      <c r="A202" t="inlineStr">
        <is>
          <t>Alopias</t>
        </is>
      </c>
      <c r="B202" t="inlineStr">
        <is>
          <t>Thresher sharks</t>
        </is>
      </c>
      <c r="C202" t="inlineStr">
        <is>
          <t>Large sharks (&gt;=90 cm)</t>
        </is>
      </c>
      <c r="D202" t="inlineStr">
        <is>
          <t>Sharks &amp; rays</t>
        </is>
      </c>
      <c r="E202" s="7" t="inlineStr">
        <is>
          <t>Chondrichthyans</t>
        </is>
      </c>
      <c r="F202" t="inlineStr"/>
      <c r="G202" t="inlineStr"/>
      <c r="H202" t="inlineStr">
        <is>
          <t>medium</t>
        </is>
      </c>
      <c r="I202" t="inlineStr">
        <is>
          <t>analogue</t>
        </is>
      </c>
      <c r="J202" t="n">
        <v>11.191</v>
      </c>
      <c r="K202" t="n">
        <v>0</v>
      </c>
      <c r="L202" s="6" t="inlineStr">
        <is>
          <t>Analyst inference: pelagic predatory shark corresponds to Chondrichthyans after the benthic elasmobranch pool is excluded (Tam 2008 p.354; Table E apex predatory fish).</t>
        </is>
      </c>
    </row>
    <row r="203">
      <c r="A203" t="inlineStr">
        <is>
          <t>Hexanchus griseus</t>
        </is>
      </c>
      <c r="B203" t="inlineStr">
        <is>
          <t>Bluntnose sixgill shark</t>
        </is>
      </c>
      <c r="C203" t="inlineStr">
        <is>
          <t>Large sharks (&gt;=90 cm)</t>
        </is>
      </c>
      <c r="D203" t="inlineStr">
        <is>
          <t>Sharks &amp; rays</t>
        </is>
      </c>
      <c r="E203" s="7" t="inlineStr">
        <is>
          <t>Benthic elasmobranchs</t>
        </is>
      </c>
      <c r="F203" t="inlineStr"/>
      <c r="G203" t="inlineStr"/>
      <c r="H203" t="inlineStr">
        <is>
          <t>medium</t>
        </is>
      </c>
      <c r="I203" t="inlineStr">
        <is>
          <t>analogue</t>
        </is>
      </c>
      <c r="J203" t="n">
        <v>10.81</v>
      </c>
      <c r="K203" t="n">
        <v>0</v>
      </c>
      <c r="L203" s="6" t="inlineStr">
        <is>
          <t>Analyst habitat/feeding inference to benthic elasmobranchs or, for oceanic Mobula, the remaining Chondrichthyans pool (Tam 2008 pp.353-354; Table E separates benthivores from apex fish).</t>
        </is>
      </c>
    </row>
    <row r="204">
      <c r="A204" t="inlineStr">
        <is>
          <t>Caranx</t>
        </is>
      </c>
      <c r="B204" t="inlineStr">
        <is>
          <t>Jacks</t>
        </is>
      </c>
      <c r="C204" t="inlineStr">
        <is>
          <t>Medium reef assoc. fish (30 - 89 cm)</t>
        </is>
      </c>
      <c r="D204" t="inlineStr">
        <is>
          <t>Perch-likes</t>
        </is>
      </c>
      <c r="E204" s="9" t="inlineStr">
        <is>
          <t>Unresolved</t>
        </is>
      </c>
      <c r="F204" t="inlineStr"/>
      <c r="G204" t="inlineStr"/>
      <c r="H204" t="inlineStr">
        <is>
          <t>unresolved</t>
        </is>
      </c>
      <c r="I204" t="inlineStr">
        <is>
          <t>none</t>
        </is>
      </c>
      <c r="J204" t="n">
        <v>10.776</v>
      </c>
      <c r="K204" t="n">
        <v>0</v>
      </c>
      <c r="L204" s="6" t="inlineStr">
        <is>
          <t>No documented source member or sufficiently supported feeding-guild analogue established for Caranx; source size/habitat labels alone do not resolve its placement.</t>
        </is>
      </c>
    </row>
    <row r="205">
      <c r="A205" t="inlineStr">
        <is>
          <t>Caranx lugubris</t>
        </is>
      </c>
      <c r="B205" t="inlineStr">
        <is>
          <t>Black jack</t>
        </is>
      </c>
      <c r="C205" t="inlineStr">
        <is>
          <t>Large benthopelagics (&gt;=90 cm)</t>
        </is>
      </c>
      <c r="D205" t="inlineStr">
        <is>
          <t>Perch-likes</t>
        </is>
      </c>
      <c r="E205" s="9" t="inlineStr">
        <is>
          <t>Unresolved</t>
        </is>
      </c>
      <c r="F205" t="inlineStr"/>
      <c r="G205" t="inlineStr"/>
      <c r="H205" t="inlineStr">
        <is>
          <t>unresolved</t>
        </is>
      </c>
      <c r="I205" t="inlineStr">
        <is>
          <t>none</t>
        </is>
      </c>
      <c r="J205" t="n">
        <v>5.163</v>
      </c>
      <c r="K205" t="n">
        <v>0</v>
      </c>
      <c r="L205" s="6" t="inlineStr">
        <is>
          <t>No documented source member or sufficiently supported feeding-guild analogue established for Caranx lugubris; source size/habitat labels alone do not resolve its placement.</t>
        </is>
      </c>
    </row>
    <row r="206">
      <c r="A206" t="inlineStr">
        <is>
          <t>Bothidae</t>
        </is>
      </c>
      <c r="B206" t="inlineStr">
        <is>
          <t>Lefteye flounders</t>
        </is>
      </c>
      <c r="C206" t="inlineStr">
        <is>
          <t>Small to medium flatfishes (&lt;90 cm)</t>
        </is>
      </c>
      <c r="D206" t="inlineStr">
        <is>
          <t>Flatfishes</t>
        </is>
      </c>
      <c r="E206" s="5" t="inlineStr">
        <is>
          <t>Flatfish</t>
        </is>
      </c>
      <c r="F206" t="inlineStr"/>
      <c r="G206" t="inlineStr"/>
      <c r="H206" t="inlineStr">
        <is>
          <t>high</t>
        </is>
      </c>
      <c r="I206" t="inlineStr">
        <is>
          <t>taxonomic_containment</t>
        </is>
      </c>
      <c r="J206" t="n">
        <v>4.748</v>
      </c>
      <c r="K206" t="n">
        <v>0</v>
      </c>
      <c r="L206" s="6" t="inlineStr">
        <is>
          <t>Flatfish taxon falls within the source Flatfish pool; examples Paralichthys and Hippoglossina are given in Tam (2008) p.353.</t>
        </is>
      </c>
    </row>
    <row r="207">
      <c r="A207" t="inlineStr">
        <is>
          <t>Monacanthidae</t>
        </is>
      </c>
      <c r="B207" t="inlineStr">
        <is>
          <t>Filefishes</t>
        </is>
      </c>
      <c r="C207" t="inlineStr">
        <is>
          <t>Medium reef assoc. fish (30 - 89 cm)</t>
        </is>
      </c>
      <c r="D207" t="inlineStr">
        <is>
          <t>Other fishes &amp; inverts</t>
        </is>
      </c>
      <c r="E207" s="9" t="inlineStr">
        <is>
          <t>Unresolved</t>
        </is>
      </c>
      <c r="F207" t="inlineStr"/>
      <c r="G207" t="inlineStr"/>
      <c r="H207" t="inlineStr">
        <is>
          <t>unresolved</t>
        </is>
      </c>
      <c r="I207" t="inlineStr">
        <is>
          <t>none</t>
        </is>
      </c>
      <c r="J207" t="n">
        <v>4.498</v>
      </c>
      <c r="K207" t="n">
        <v>0</v>
      </c>
      <c r="L207" s="6" t="inlineStr">
        <is>
          <t>No documented source member or sufficiently supported feeding-guild analogue established for Monacanthidae; source size/habitat labels alone do not resolve its placement.</t>
        </is>
      </c>
    </row>
    <row r="208">
      <c r="A208" t="inlineStr">
        <is>
          <t>Myliobatidae</t>
        </is>
      </c>
      <c r="B208" t="inlineStr">
        <is>
          <t>Eagle/manta rays</t>
        </is>
      </c>
      <c r="C208" t="inlineStr">
        <is>
          <t>Large rays (&gt;=90 cm)</t>
        </is>
      </c>
      <c r="D208" t="inlineStr">
        <is>
          <t>Sharks &amp; rays</t>
        </is>
      </c>
      <c r="E208" s="8" t="inlineStr">
        <is>
          <t>Benthic elasmobranchs | Chondrichthyans</t>
        </is>
      </c>
      <c r="F208" t="inlineStr">
        <is>
          <t>0.647 | 0.353</t>
        </is>
      </c>
      <c r="G208" t="inlineStr">
        <is>
          <t>catch_composition</t>
        </is>
      </c>
      <c r="H208" t="inlineStr">
        <is>
          <t>low</t>
        </is>
      </c>
      <c r="I208" t="inlineStr">
        <is>
          <t>composite_split</t>
        </is>
      </c>
      <c r="J208" t="n">
        <v>3.807</v>
      </c>
      <c r="K208" t="n">
        <v>0</v>
      </c>
      <c r="L208" s="6" t="inlineStr">
        <is>
          <t>Coarse cartilaginous-fish label spans source benthic elasmobranchs and apex Chondrichthyans; source does not supply a species-level split.</t>
        </is>
      </c>
    </row>
    <row r="209">
      <c r="A209" t="inlineStr">
        <is>
          <t>Auxis</t>
        </is>
      </c>
      <c r="B209" t="inlineStr">
        <is>
          <t>Bullet and frigate tunas</t>
        </is>
      </c>
      <c r="C209" t="inlineStr">
        <is>
          <t>Medium pelagics (30 - 89 cm)</t>
        </is>
      </c>
      <c r="D209" t="inlineStr">
        <is>
          <t>Tuna &amp; billfishes</t>
        </is>
      </c>
      <c r="E209" s="7" t="inlineStr">
        <is>
          <t>Other large pelagic fish</t>
        </is>
      </c>
      <c r="F209" t="inlineStr"/>
      <c r="G209" t="inlineStr"/>
      <c r="H209" t="inlineStr">
        <is>
          <t>medium</t>
        </is>
      </c>
      <c r="I209" t="inlineStr">
        <is>
          <t>analogue</t>
        </is>
      </c>
      <c r="J209" t="n">
        <v>3.341</v>
      </c>
      <c r="K209" t="n">
        <v>0</v>
      </c>
      <c r="L209" s="6" t="inlineStr">
        <is>
          <t>Pelagic predatory fish extending the source Sarda/Coryphaena/Thunnus examples in Other large pelagic fish (Tam 2008 p.353); same feeding and water-column habitat, not a source-listed species.</t>
        </is>
      </c>
    </row>
    <row r="210">
      <c r="A210" t="inlineStr">
        <is>
          <t>Actinopterygii</t>
        </is>
      </c>
      <c r="B210" t="inlineStr">
        <is>
          <t>Ray-finned fishes</t>
        </is>
      </c>
      <c r="C210" t="inlineStr">
        <is>
          <t>Medium demersals (30 - 89 cm)</t>
        </is>
      </c>
      <c r="D210" t="inlineStr">
        <is>
          <t>Other fishes &amp; inverts</t>
        </is>
      </c>
      <c r="E210" s="8" t="inlineStr">
        <is>
          <t>Small demersal fish | Medium demersal fish | Medium sciaenids</t>
        </is>
      </c>
      <c r="F210" t="inlineStr">
        <is>
          <t>0.227 | 0.497 | 0.276</t>
        </is>
      </c>
      <c r="G210" t="inlineStr">
        <is>
          <t>catch_composition</t>
        </is>
      </c>
      <c r="H210" t="inlineStr">
        <is>
          <t>low</t>
        </is>
      </c>
      <c r="I210" t="inlineStr">
        <is>
          <t>composite_split</t>
        </is>
      </c>
      <c r="J210" t="n">
        <v>2.989</v>
      </c>
      <c r="K210" t="n">
        <v>0</v>
      </c>
      <c r="L210" s="6" t="inlineStr">
        <is>
          <t>Analyst residual-catch composite, SAU Medium demersals (30 - 89 cm). Candidate residual groups are constrained by source habitat and Table E feeding guilds; dedicated stocks are excluded. Catch-composition weights are estimated, not a source species list.</t>
        </is>
      </c>
    </row>
    <row r="211">
      <c r="A211" t="inlineStr">
        <is>
          <t>Parapsettus panamensis</t>
        </is>
      </c>
      <c r="B211" t="inlineStr">
        <is>
          <t>Panama spadefish</t>
        </is>
      </c>
      <c r="C211" t="inlineStr">
        <is>
          <t>Small reef assoc. fish (&lt;30 cm)</t>
        </is>
      </c>
      <c r="D211" t="inlineStr">
        <is>
          <t>Perch-likes</t>
        </is>
      </c>
      <c r="E211" s="9" t="inlineStr">
        <is>
          <t>Unresolved</t>
        </is>
      </c>
      <c r="F211" t="inlineStr"/>
      <c r="G211" t="inlineStr"/>
      <c r="H211" t="inlineStr">
        <is>
          <t>unresolved</t>
        </is>
      </c>
      <c r="I211" t="inlineStr">
        <is>
          <t>none</t>
        </is>
      </c>
      <c r="J211" t="n">
        <v>2.14</v>
      </c>
      <c r="K211" t="n">
        <v>0</v>
      </c>
      <c r="L211" s="6" t="inlineStr">
        <is>
          <t>No documented source member or sufficiently supported feeding-guild analogue established for Parapsettus panamensis; source size/habitat labels alone do not resolve its placement.</t>
        </is>
      </c>
    </row>
    <row r="212">
      <c r="A212" t="inlineStr">
        <is>
          <t>Deania calceus</t>
        </is>
      </c>
      <c r="B212" t="inlineStr">
        <is>
          <t>Birdbeak dogfish</t>
        </is>
      </c>
      <c r="C212" t="inlineStr">
        <is>
          <t>Large sharks (&gt;=90 cm)</t>
        </is>
      </c>
      <c r="D212" t="inlineStr">
        <is>
          <t>Sharks &amp; rays</t>
        </is>
      </c>
      <c r="E212" s="7" t="inlineStr">
        <is>
          <t>Benthic elasmobranchs</t>
        </is>
      </c>
      <c r="F212" t="inlineStr"/>
      <c r="G212" t="inlineStr"/>
      <c r="H212" t="inlineStr">
        <is>
          <t>medium</t>
        </is>
      </c>
      <c r="I212" t="inlineStr">
        <is>
          <t>analogue</t>
        </is>
      </c>
      <c r="J212" t="n">
        <v>1.967</v>
      </c>
      <c r="K212" t="n">
        <v>0</v>
      </c>
      <c r="L212" s="6" t="inlineStr">
        <is>
          <t>Analyst habitat/feeding inference to benthic elasmobranchs or, for oceanic Mobula, the remaining Chondrichthyans pool (Tam 2008 pp.353-354; Table E separates benthivores from apex fish).</t>
        </is>
      </c>
    </row>
    <row r="213">
      <c r="A213" t="inlineStr">
        <is>
          <t>Acanthocybium solandri</t>
        </is>
      </c>
      <c r="B213" t="inlineStr">
        <is>
          <t>Wahoo</t>
        </is>
      </c>
      <c r="C213" t="inlineStr">
        <is>
          <t>Large pelagics (&gt;=90 cm)</t>
        </is>
      </c>
      <c r="D213" t="inlineStr">
        <is>
          <t>Perch-likes</t>
        </is>
      </c>
      <c r="E213" s="7" t="inlineStr">
        <is>
          <t>Other large pelagic fish</t>
        </is>
      </c>
      <c r="F213" t="inlineStr"/>
      <c r="G213" t="inlineStr"/>
      <c r="H213" t="inlineStr">
        <is>
          <t>medium</t>
        </is>
      </c>
      <c r="I213" t="inlineStr">
        <is>
          <t>analogue</t>
        </is>
      </c>
      <c r="J213" t="n">
        <v>1.493</v>
      </c>
      <c r="K213" t="n">
        <v>0</v>
      </c>
      <c r="L213" s="6" t="inlineStr">
        <is>
          <t>Pelagic predatory fish extending the source Sarda/Coryphaena/Thunnus examples in Other large pelagic fish (Tam 2008 p.353); same feeding and water-column habitat, not a source-listed species.</t>
        </is>
      </c>
    </row>
    <row r="214">
      <c r="A214" t="inlineStr">
        <is>
          <t>Macrouridae</t>
        </is>
      </c>
      <c r="B214" t="inlineStr">
        <is>
          <t>Grenadiers, rattails</t>
        </is>
      </c>
      <c r="C214" t="inlineStr">
        <is>
          <t>Medium benthopelagics (30 - 89 cm)</t>
        </is>
      </c>
      <c r="D214" t="inlineStr">
        <is>
          <t>Cod-likes</t>
        </is>
      </c>
      <c r="E214" s="9" t="inlineStr">
        <is>
          <t>Unresolved</t>
        </is>
      </c>
      <c r="F214" t="inlineStr"/>
      <c r="G214" t="inlineStr"/>
      <c r="H214" t="inlineStr">
        <is>
          <t>unresolved</t>
        </is>
      </c>
      <c r="I214" t="inlineStr">
        <is>
          <t>none</t>
        </is>
      </c>
      <c r="J214" t="n">
        <v>1.087</v>
      </c>
      <c r="K214" t="n">
        <v>0</v>
      </c>
      <c r="L214" s="6" t="inlineStr">
        <is>
          <t>This coarse/deep demersal label can include southern gadiform stocks; no evidence justifies assigning all of it to the northern Peruvian hake stock.</t>
        </is>
      </c>
    </row>
    <row r="215">
      <c r="A215" t="inlineStr">
        <is>
          <t>Allothunnus fallai</t>
        </is>
      </c>
      <c r="B215" t="inlineStr">
        <is>
          <t>Slender tuna</t>
        </is>
      </c>
      <c r="C215" t="inlineStr">
        <is>
          <t>Large pelagics (&gt;=90 cm)</t>
        </is>
      </c>
      <c r="D215" t="inlineStr">
        <is>
          <t>Tuna &amp; billfishes</t>
        </is>
      </c>
      <c r="E215" s="7" t="inlineStr">
        <is>
          <t>Other large pelagic fish</t>
        </is>
      </c>
      <c r="F215" t="inlineStr"/>
      <c r="G215" t="inlineStr"/>
      <c r="H215" t="inlineStr">
        <is>
          <t>medium</t>
        </is>
      </c>
      <c r="I215" t="inlineStr">
        <is>
          <t>analogue</t>
        </is>
      </c>
      <c r="J215" t="n">
        <v>0.993</v>
      </c>
      <c r="K215" t="n">
        <v>0</v>
      </c>
      <c r="L215" s="6" t="inlineStr">
        <is>
          <t>Pelagic predatory fish extending the source Sarda/Coryphaena/Thunnus examples in Other large pelagic fish (Tam 2008 p.353); same feeding and water-column habitat, not a source-listed species.</t>
        </is>
      </c>
    </row>
    <row r="216">
      <c r="A216" t="inlineStr">
        <is>
          <t>Galaxias maculatus</t>
        </is>
      </c>
      <c r="B216" t="inlineStr">
        <is>
          <t>Inanga</t>
        </is>
      </c>
      <c r="C216" t="inlineStr">
        <is>
          <t>Large reef assoc. fish (&gt;=90 cm)</t>
        </is>
      </c>
      <c r="D216" t="inlineStr">
        <is>
          <t>Salmon, smelts, etc</t>
        </is>
      </c>
      <c r="E216" s="9" t="inlineStr">
        <is>
          <t>Unresolved</t>
        </is>
      </c>
      <c r="F216" t="inlineStr"/>
      <c r="G216" t="inlineStr"/>
      <c r="H216" t="inlineStr">
        <is>
          <t>unresolved</t>
        </is>
      </c>
      <c r="I216" t="inlineStr">
        <is>
          <t>none</t>
        </is>
      </c>
      <c r="J216" t="n">
        <v>0.958</v>
      </c>
      <c r="K216" t="n">
        <v>0</v>
      </c>
      <c r="L216" s="6" t="inlineStr">
        <is>
          <t>No documented source member or sufficiently supported feeding-guild analogue established for Galaxias maculatus; source size/habitat labels alone do not resolve its placement.</t>
        </is>
      </c>
    </row>
    <row r="217">
      <c r="A217" t="inlineStr">
        <is>
          <t>Thunnus maccoyii</t>
        </is>
      </c>
      <c r="B217" t="inlineStr">
        <is>
          <t>Southern bluefin tuna</t>
        </is>
      </c>
      <c r="C217" t="inlineStr">
        <is>
          <t>Large pelagics (&gt;=90 cm)</t>
        </is>
      </c>
      <c r="D217" t="inlineStr">
        <is>
          <t>Tuna &amp; billfishes</t>
        </is>
      </c>
      <c r="E217" s="7" t="inlineStr">
        <is>
          <t>Other large pelagic fish</t>
        </is>
      </c>
      <c r="F217" t="inlineStr"/>
      <c r="G217" t="inlineStr"/>
      <c r="H217" t="inlineStr">
        <is>
          <t>medium</t>
        </is>
      </c>
      <c r="I217" t="inlineStr">
        <is>
          <t>analogue</t>
        </is>
      </c>
      <c r="J217" t="n">
        <v>0.846</v>
      </c>
      <c r="K217" t="n">
        <v>0</v>
      </c>
      <c r="L217" s="6" t="inlineStr">
        <is>
          <t>Pelagic predatory fish extending the source Sarda/Coryphaena/Thunnus examples in Other large pelagic fish (Tam 2008 p.353); same feeding and water-column habitat, not a source-listed species.</t>
        </is>
      </c>
    </row>
    <row r="218">
      <c r="A218" t="inlineStr">
        <is>
          <t>Cetengraulis mysticetus</t>
        </is>
      </c>
      <c r="B218" t="inlineStr">
        <is>
          <t>Pacific anchoveta</t>
        </is>
      </c>
      <c r="C218" t="inlineStr">
        <is>
          <t>Small pelagics (&lt;30 cm)</t>
        </is>
      </c>
      <c r="D218" t="inlineStr">
        <is>
          <t>Anchovies</t>
        </is>
      </c>
      <c r="E218" s="7" t="inlineStr">
        <is>
          <t>Other small pelagic fish</t>
        </is>
      </c>
      <c r="F218" t="inlineStr"/>
      <c r="G218" t="inlineStr"/>
      <c r="H218" t="inlineStr">
        <is>
          <t>medium</t>
        </is>
      </c>
      <c r="I218" t="inlineStr">
        <is>
          <t>analogue</t>
        </is>
      </c>
      <c r="J218" t="n">
        <v>0.795</v>
      </c>
      <c r="K218" t="n">
        <v>0</v>
      </c>
      <c r="L218" s="6" t="inlineStr">
        <is>
          <t>Other small planktivorous clupeiform, compared with source Anchoa nasus (Tam 2008 p.353); distinct from the named Sardinops and Engraulis stocks. This is an ecological extension to LME-wide catches.</t>
        </is>
      </c>
    </row>
    <row r="219">
      <c r="A219" t="inlineStr">
        <is>
          <t>Rhinoptera steindachneri</t>
        </is>
      </c>
      <c r="B219" t="inlineStr">
        <is>
          <t>Pacific cownose ray</t>
        </is>
      </c>
      <c r="C219" t="inlineStr">
        <is>
          <t>Large rays (&gt;=90 cm)</t>
        </is>
      </c>
      <c r="D219" t="inlineStr">
        <is>
          <t>Sharks &amp; rays</t>
        </is>
      </c>
      <c r="E219" s="7" t="inlineStr">
        <is>
          <t>Benthic elasmobranchs</t>
        </is>
      </c>
      <c r="F219" t="inlineStr"/>
      <c r="G219" t="inlineStr"/>
      <c r="H219" t="inlineStr">
        <is>
          <t>medium</t>
        </is>
      </c>
      <c r="I219" t="inlineStr">
        <is>
          <t>analogue</t>
        </is>
      </c>
      <c r="J219" t="n">
        <v>0.399</v>
      </c>
      <c r="K219" t="n">
        <v>0</v>
      </c>
      <c r="L219" s="6" t="inlineStr">
        <is>
          <t>Analyst habitat/feeding inference to benthic elasmobranchs or, for oceanic Mobula, the remaining Chondrichthyans pool (Tam 2008 pp.353-354; Table E separates benthivores from apex fish).</t>
        </is>
      </c>
    </row>
    <row r="220">
      <c r="A220" t="inlineStr">
        <is>
          <t>Lepidocybium flavobrunneum</t>
        </is>
      </c>
      <c r="B220" t="inlineStr">
        <is>
          <t>Escolar</t>
        </is>
      </c>
      <c r="C220" t="inlineStr">
        <is>
          <t>Large bathypelagics (&gt;=90 cm)</t>
        </is>
      </c>
      <c r="D220" t="inlineStr">
        <is>
          <t>Perch-likes</t>
        </is>
      </c>
      <c r="E220" s="9" t="inlineStr">
        <is>
          <t>Unresolved</t>
        </is>
      </c>
      <c r="F220" t="inlineStr"/>
      <c r="G220" t="inlineStr"/>
      <c r="H220" t="inlineStr">
        <is>
          <t>unresolved</t>
        </is>
      </c>
      <c r="I220" t="inlineStr">
        <is>
          <t>none</t>
        </is>
      </c>
      <c r="J220" t="n">
        <v>0.367</v>
      </c>
      <c r="K220" t="n">
        <v>0</v>
      </c>
      <c r="L220" s="6" t="inlineStr">
        <is>
          <t>The 4-16 S coastal model lacks a documented deep pelagic stock or comparable feeding compartment for this taxon.</t>
        </is>
      </c>
    </row>
    <row r="221">
      <c r="A221" t="inlineStr">
        <is>
          <t>Hippocampus</t>
        </is>
      </c>
      <c r="B221" t="inlineStr">
        <is>
          <t>Seahorses</t>
        </is>
      </c>
      <c r="C221" t="inlineStr">
        <is>
          <t>Small reef assoc. fish (&lt;30 cm)</t>
        </is>
      </c>
      <c r="D221" t="inlineStr">
        <is>
          <t>Other fishes &amp; inverts</t>
        </is>
      </c>
      <c r="E221" s="9" t="inlineStr">
        <is>
          <t>Unresolved</t>
        </is>
      </c>
      <c r="F221" t="inlineStr"/>
      <c r="G221" t="inlineStr"/>
      <c r="H221" t="inlineStr">
        <is>
          <t>unresolved</t>
        </is>
      </c>
      <c r="I221" t="inlineStr">
        <is>
          <t>none</t>
        </is>
      </c>
      <c r="J221" t="n">
        <v>0.192</v>
      </c>
      <c r="K221" t="n">
        <v>0</v>
      </c>
      <c r="L221" s="6" t="inlineStr">
        <is>
          <t>No documented source member or sufficiently supported feeding-guild analogue established for Hippocampus; source size/habitat labels alone do not resolve its placement.</t>
        </is>
      </c>
    </row>
    <row r="222">
      <c r="A222" t="inlineStr">
        <is>
          <t>Caulolatilus princeps</t>
        </is>
      </c>
      <c r="B222" t="inlineStr">
        <is>
          <t>Ocean whitefish</t>
        </is>
      </c>
      <c r="C222" t="inlineStr">
        <is>
          <t>Medium reef assoc. fish (30 - 89 cm)</t>
        </is>
      </c>
      <c r="D222" t="inlineStr">
        <is>
          <t>Perch-likes</t>
        </is>
      </c>
      <c r="E222" s="8" t="inlineStr">
        <is>
          <t>Medium demersal fish</t>
        </is>
      </c>
      <c r="F222" t="inlineStr"/>
      <c r="G222" t="inlineStr"/>
      <c r="H222" t="inlineStr">
        <is>
          <t>low</t>
        </is>
      </c>
      <c r="I222" t="inlineStr">
        <is>
          <t>analogue</t>
        </is>
      </c>
      <c r="J222" t="n">
        <v>0.081</v>
      </c>
      <c r="K222" t="n">
        <v>0</v>
      </c>
      <c r="L222" s="6" t="inlineStr">
        <is>
          <t>Analyst benthic-invertebrate-feeding demersal lineage, SAU Medium reef assoc. fish (30 - 89 cm), compared with the source Medium demersal fish guild (Supplement Table E); no exact membership documented.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22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4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>
      <c r="A1" s="1" t="inlineStr">
        <is>
          <t>Specific PPR per taxon — LME_013, model 13_2_Northern_Humboldt_Current_(1995-1998)</t>
        </is>
      </c>
    </row>
    <row r="2">
      <c r="A2" t="inlineStr">
        <is>
          <t>sppr_simple is the trophic-chain estimate (1/TE)^(TL-1) at TE=0.1, applied to the taxon's own trophic level and needing no model.</t>
        </is>
      </c>
    </row>
    <row r="3">
      <c r="A3" t="inlineStr">
        <is>
          <t>All basal sources, including imports. Blank means unavailable, not zero. sppr_simple is an unpartitioned reference.</t>
        </is>
      </c>
    </row>
    <row r="4">
      <c r="A4" s="4" t="inlineStr">
        <is>
          <t>taxon</t>
        </is>
      </c>
      <c r="B4" s="4" t="inlineStr">
        <is>
          <t>trophic_level</t>
        </is>
      </c>
      <c r="C4" s="4" t="inlineStr">
        <is>
          <t>sppr_simple</t>
        </is>
      </c>
      <c r="D4" s="4" t="inlineStr">
        <is>
          <t>Ecopath group</t>
        </is>
      </c>
      <c r="E4" s="4" t="inlineStr">
        <is>
          <t>SPPR_1986</t>
        </is>
      </c>
      <c r="F4" s="4" t="inlineStr">
        <is>
          <t>SPPR_1995_TE0.1</t>
        </is>
      </c>
      <c r="G4" s="4" t="inlineStr">
        <is>
          <t>SPPR_1995_TEmean</t>
        </is>
      </c>
      <c r="H4" s="4" t="inlineStr">
        <is>
          <t>Ulanowicz_globalTEmean</t>
        </is>
      </c>
      <c r="I4" s="4" t="inlineStr">
        <is>
          <t>Ulanowicz_TE</t>
        </is>
      </c>
      <c r="J4" s="4" t="inlineStr">
        <is>
          <t>EwE_TE_noEE</t>
        </is>
      </c>
      <c r="K4" s="4" t="inlineStr">
        <is>
          <t>EwE_TE_EE</t>
        </is>
      </c>
      <c r="L4" s="4" t="inlineStr">
        <is>
          <t>SPPR_2015</t>
        </is>
      </c>
      <c r="M4" s="4" t="inlineStr">
        <is>
          <t>new_TE_noEEfix</t>
        </is>
      </c>
      <c r="N4" s="4" t="inlineStr">
        <is>
          <t>new_TE_EEfix</t>
        </is>
      </c>
      <c r="O4" s="4" t="inlineStr">
        <is>
          <t>new_GE</t>
        </is>
      </c>
      <c r="P4" s="4" t="inlineStr">
        <is>
          <t>new_WithEgestion</t>
        </is>
      </c>
      <c r="Q4" s="4" t="inlineStr">
        <is>
          <t>sym_TE_asPP</t>
        </is>
      </c>
      <c r="R4" s="4" t="inlineStr">
        <is>
          <t>sym_TE_asDC</t>
        </is>
      </c>
      <c r="S4" s="4" t="inlineStr">
        <is>
          <t>sym_GE_asPP</t>
        </is>
      </c>
      <c r="T4" s="4" t="inlineStr">
        <is>
          <t>sym_GE_asDC</t>
        </is>
      </c>
      <c r="U4" s="4" t="inlineStr">
        <is>
          <t>sym_WithEgestion_asPP</t>
        </is>
      </c>
      <c r="V4" s="4" t="inlineStr">
        <is>
          <t>sym_WithEgestion_asDC</t>
        </is>
      </c>
      <c r="W4" s="4" t="inlineStr">
        <is>
          <t>MC_new_GE</t>
        </is>
      </c>
      <c r="X4" s="4" t="inlineStr">
        <is>
          <t>MC_new_TE_EEfix</t>
        </is>
      </c>
    </row>
    <row r="5" ht="21" customHeight="1">
      <c r="A5" t="inlineStr">
        <is>
          <t>Engraulis ringens</t>
        </is>
      </c>
      <c r="B5" t="n">
        <v>2.7</v>
      </c>
      <c r="C5" t="n">
        <v>50.118723</v>
      </c>
      <c r="D5" s="10" t="inlineStr">
        <is>
          <t>Anchovy</t>
        </is>
      </c>
      <c r="E5" t="n">
        <v>100.341534</v>
      </c>
      <c r="F5" t="n">
        <v>79.859919</v>
      </c>
      <c r="G5" t="n">
        <v>75.605829</v>
      </c>
      <c r="H5" t="n">
        <v>172.399554</v>
      </c>
      <c r="I5" t="n">
        <v>32.654082</v>
      </c>
      <c r="J5" t="n">
        <v>32.654082</v>
      </c>
      <c r="K5" t="n">
        <v>26.608094</v>
      </c>
      <c r="L5" t="n">
        <v>43.673175</v>
      </c>
      <c r="M5" t="n">
        <v>43.673175</v>
      </c>
      <c r="N5" t="n">
        <v>43.673175</v>
      </c>
      <c r="O5" t="n">
        <v>-46.608493</v>
      </c>
      <c r="P5" t="n">
        <v>-90.268379</v>
      </c>
      <c r="Q5" t="n">
        <v>43.673175</v>
      </c>
      <c r="S5" t="n">
        <v>-46.608493</v>
      </c>
      <c r="U5" t="n">
        <v>60.488948</v>
      </c>
      <c r="V5" t="n">
        <v>62.511821</v>
      </c>
      <c r="W5" t="n">
        <v>1076.569236</v>
      </c>
      <c r="X5" t="n">
        <v>49.223524</v>
      </c>
    </row>
    <row r="6" ht="21" customHeight="1">
      <c r="A6" t="inlineStr">
        <is>
          <t>Sardinops sagax</t>
        </is>
      </c>
      <c r="B6" t="n">
        <v>2.84</v>
      </c>
      <c r="C6" t="n">
        <v>69.183097</v>
      </c>
      <c r="D6" s="10" t="inlineStr">
        <is>
          <t>Sardine</t>
        </is>
      </c>
      <c r="E6" t="n">
        <v>100.341534</v>
      </c>
      <c r="F6" t="n">
        <v>110.734289</v>
      </c>
      <c r="G6" t="n">
        <v>104.408181</v>
      </c>
      <c r="H6" t="n">
        <v>186.968209</v>
      </c>
      <c r="I6" t="n">
        <v>36.031758</v>
      </c>
      <c r="J6" t="n">
        <v>36.031758</v>
      </c>
      <c r="K6" t="n">
        <v>34.950931</v>
      </c>
      <c r="L6" t="n">
        <v>48.153928</v>
      </c>
      <c r="M6" t="n">
        <v>48.153928</v>
      </c>
      <c r="N6" t="n">
        <v>48.153928</v>
      </c>
      <c r="O6" t="n">
        <v>-60.849913</v>
      </c>
      <c r="P6" t="n">
        <v>-115.044593</v>
      </c>
      <c r="Q6" t="n">
        <v>48.153928</v>
      </c>
      <c r="S6" t="n">
        <v>-60.849913</v>
      </c>
      <c r="U6" t="n">
        <v>76.49407100000001</v>
      </c>
      <c r="V6" t="n">
        <v>79.06417399999999</v>
      </c>
      <c r="W6" t="n">
        <v>1336.899397</v>
      </c>
      <c r="X6" t="n">
        <v>54.375213</v>
      </c>
    </row>
    <row r="7" ht="21" customHeight="1">
      <c r="A7" t="inlineStr">
        <is>
          <t>Trachurus murphyi</t>
        </is>
      </c>
      <c r="B7" t="n">
        <v>3.33</v>
      </c>
      <c r="C7" t="n">
        <v>213.796209</v>
      </c>
      <c r="D7" s="10" t="inlineStr">
        <is>
          <t>Horse mackerel</t>
        </is>
      </c>
      <c r="E7" t="n">
        <v>100.341534</v>
      </c>
      <c r="F7" t="n">
        <v>256.972815</v>
      </c>
      <c r="G7" t="n">
        <v>239.756609</v>
      </c>
      <c r="H7" t="n">
        <v>917.183319</v>
      </c>
      <c r="I7" t="n">
        <v>603.956798</v>
      </c>
      <c r="J7" t="n">
        <v>603.956798</v>
      </c>
      <c r="K7" t="n">
        <v>142.242144</v>
      </c>
      <c r="L7" t="n">
        <v>799.915344</v>
      </c>
      <c r="M7" t="n">
        <v>799.915344</v>
      </c>
      <c r="N7" t="n">
        <v>799.915344</v>
      </c>
      <c r="O7" t="n">
        <v>-225.032932</v>
      </c>
      <c r="P7" t="n">
        <v>-321.007038</v>
      </c>
      <c r="Q7" t="n">
        <v>799.915344</v>
      </c>
      <c r="S7" t="n">
        <v>-225.032932</v>
      </c>
      <c r="U7" t="n">
        <v>207.897305</v>
      </c>
      <c r="V7" t="n">
        <v>217.28759</v>
      </c>
      <c r="W7" t="n">
        <v>4639.642196</v>
      </c>
      <c r="X7" t="n">
        <v>914.487717</v>
      </c>
    </row>
    <row r="8" ht="21" customHeight="1">
      <c r="A8" t="inlineStr">
        <is>
          <t>Clupeidae</t>
        </is>
      </c>
      <c r="B8" t="n">
        <v>3.16</v>
      </c>
      <c r="C8" t="n">
        <v>144.543977</v>
      </c>
      <c r="D8" s="10" t="inlineStr">
        <is>
          <t>Sardine | Other small pelagic fish</t>
        </is>
      </c>
      <c r="E8" t="n">
        <v>100.341534</v>
      </c>
      <c r="F8" t="n">
        <v>108.828466</v>
      </c>
      <c r="G8" t="n">
        <v>102.626952</v>
      </c>
      <c r="H8" t="n">
        <v>184.965062</v>
      </c>
      <c r="I8" t="n">
        <v>36.07268</v>
      </c>
      <c r="J8" t="n">
        <v>36.07268</v>
      </c>
      <c r="K8" t="n">
        <v>34.900076</v>
      </c>
      <c r="L8" t="n">
        <v>48.127026</v>
      </c>
      <c r="M8" t="n">
        <v>48.127026</v>
      </c>
      <c r="N8" t="n">
        <v>48.127026</v>
      </c>
      <c r="O8" t="n">
        <v>-60.147512</v>
      </c>
      <c r="P8" t="n">
        <v>-113.722043</v>
      </c>
      <c r="Q8" t="n">
        <v>48.127026</v>
      </c>
      <c r="S8" t="n">
        <v>-60.147512</v>
      </c>
      <c r="U8" t="n">
        <v>75.81976400000001</v>
      </c>
      <c r="V8" t="n">
        <v>78.45894</v>
      </c>
      <c r="W8" t="n">
        <v>1333.609607</v>
      </c>
      <c r="X8" t="n">
        <v>54.313577</v>
      </c>
    </row>
    <row r="9" ht="21" customHeight="1">
      <c r="A9" t="inlineStr">
        <is>
          <t>Dosidicus gigas</t>
        </is>
      </c>
      <c r="B9" t="n">
        <v>4.14</v>
      </c>
      <c r="C9" t="n">
        <v>1380.384265</v>
      </c>
      <c r="D9" s="10" t="inlineStr">
        <is>
          <t>Jumbo squid</t>
        </is>
      </c>
      <c r="E9" t="n">
        <v>100.341534</v>
      </c>
      <c r="F9" t="n">
        <v>702.789811</v>
      </c>
      <c r="G9" t="n">
        <v>647.512865</v>
      </c>
      <c r="H9" t="n">
        <v>1318.510929</v>
      </c>
      <c r="I9" t="n">
        <v>236.565116</v>
      </c>
      <c r="J9" t="n">
        <v>271.85235</v>
      </c>
      <c r="K9" t="n">
        <v>217.476018</v>
      </c>
      <c r="L9" t="n">
        <v>831.745041</v>
      </c>
      <c r="M9" t="n">
        <v>831.745041</v>
      </c>
      <c r="N9" t="n">
        <v>831.745041</v>
      </c>
      <c r="O9" t="n">
        <v>-273.766548</v>
      </c>
      <c r="P9" t="n">
        <v>-364.499399</v>
      </c>
      <c r="Q9" t="n">
        <v>831.745041</v>
      </c>
      <c r="S9" t="n">
        <v>-273.766548</v>
      </c>
      <c r="U9" t="n">
        <v>230.761943</v>
      </c>
      <c r="V9" t="n">
        <v>241.869962</v>
      </c>
      <c r="W9" t="n">
        <v>5891.013993</v>
      </c>
      <c r="X9" t="n">
        <v>1054.680272</v>
      </c>
    </row>
    <row r="10" ht="21" customHeight="1">
      <c r="A10" t="inlineStr">
        <is>
          <t>Scomber japonicus</t>
        </is>
      </c>
      <c r="B10" t="n">
        <v>3.38</v>
      </c>
      <c r="C10" t="n">
        <v>239.883292</v>
      </c>
      <c r="D10" s="10" t="inlineStr">
        <is>
          <t>Chub mackerel</t>
        </is>
      </c>
      <c r="E10" t="n">
        <v>100.341534</v>
      </c>
      <c r="F10" t="n">
        <v>367.102367</v>
      </c>
      <c r="G10" t="n">
        <v>340.984619</v>
      </c>
      <c r="H10" t="n">
        <v>1026.554481</v>
      </c>
      <c r="I10" t="n">
        <v>1462.563584</v>
      </c>
      <c r="J10" t="n">
        <v>1462.563584</v>
      </c>
      <c r="K10" t="n">
        <v>226.88376</v>
      </c>
      <c r="L10" t="n">
        <v>1951.049028</v>
      </c>
      <c r="M10" t="n">
        <v>1951.049028</v>
      </c>
      <c r="N10" t="n">
        <v>1951.049028</v>
      </c>
      <c r="O10" t="n">
        <v>-337.355195</v>
      </c>
      <c r="P10" t="n">
        <v>-532.270367</v>
      </c>
      <c r="Q10" t="n">
        <v>1951.049028</v>
      </c>
      <c r="S10" t="n">
        <v>-337.355195</v>
      </c>
      <c r="U10" t="n">
        <v>354.114289</v>
      </c>
      <c r="V10" t="n">
        <v>369.116223</v>
      </c>
      <c r="W10" t="n">
        <v>7302.838698</v>
      </c>
      <c r="X10" t="n">
        <v>2206.173008</v>
      </c>
    </row>
    <row r="11" ht="36" customHeight="1">
      <c r="A11" t="inlineStr">
        <is>
          <t>Marine fishes not identified</t>
        </is>
      </c>
      <c r="B11" t="n">
        <v>3.28</v>
      </c>
      <c r="C11" t="n">
        <v>190.546072</v>
      </c>
      <c r="D11" s="10" t="inlineStr">
        <is>
          <t>Small demersal fish | Medium demersal fish | Medium sciaenids</t>
        </is>
      </c>
      <c r="E11" t="n">
        <v>100.341534</v>
      </c>
      <c r="F11" t="n">
        <v>138.326515</v>
      </c>
      <c r="G11" t="n">
        <v>129.842543</v>
      </c>
      <c r="H11" t="n">
        <v>381.787667</v>
      </c>
      <c r="I11" t="n">
        <v>897.522249</v>
      </c>
      <c r="J11" t="n">
        <v>898.111319</v>
      </c>
      <c r="K11" t="n">
        <v>642.850064</v>
      </c>
      <c r="L11" t="n">
        <v>1416.620481</v>
      </c>
      <c r="M11" t="n">
        <v>1416.620481</v>
      </c>
      <c r="N11" t="n">
        <v>1416.620481</v>
      </c>
      <c r="O11" t="n">
        <v>-245.919475</v>
      </c>
      <c r="P11" t="n">
        <v>-623.522679</v>
      </c>
      <c r="Q11" t="n">
        <v>1416.620481</v>
      </c>
      <c r="S11" t="n">
        <v>-245.919475</v>
      </c>
      <c r="U11" t="n">
        <v>331.68607</v>
      </c>
      <c r="V11" t="n">
        <v>405.129578</v>
      </c>
      <c r="W11" t="n">
        <v>4869.54909</v>
      </c>
      <c r="X11" t="n">
        <v>1676.963843</v>
      </c>
    </row>
    <row r="12" ht="36" customHeight="1">
      <c r="A12" t="inlineStr">
        <is>
          <t>Merluccius peruanus</t>
        </is>
      </c>
      <c r="B12" t="n">
        <v>4.4</v>
      </c>
      <c r="C12" t="n">
        <v>2511.886432</v>
      </c>
      <c r="D12" s="10" t="inlineStr">
        <is>
          <t>Large hake | Medium hake | Small hake</t>
        </is>
      </c>
      <c r="E12" t="n">
        <v>100.341534</v>
      </c>
      <c r="F12" t="n">
        <v>524.223832</v>
      </c>
      <c r="G12" t="n">
        <v>484.181454</v>
      </c>
      <c r="H12" t="n">
        <v>1951.668776</v>
      </c>
      <c r="I12" t="n">
        <v>1695.15027</v>
      </c>
      <c r="J12" t="n">
        <v>1706.302389</v>
      </c>
      <c r="K12" t="n">
        <v>1366.585585</v>
      </c>
      <c r="L12" t="n">
        <v>2528.885911</v>
      </c>
      <c r="M12" t="n">
        <v>2528.885911</v>
      </c>
      <c r="N12" t="n">
        <v>2528.885911</v>
      </c>
      <c r="O12" t="n">
        <v>-389.062022</v>
      </c>
      <c r="P12" t="n">
        <v>-543.522377</v>
      </c>
      <c r="Q12" t="n">
        <v>2528.885911</v>
      </c>
      <c r="S12" t="n">
        <v>-389.062022</v>
      </c>
      <c r="U12" t="n">
        <v>335.387637</v>
      </c>
      <c r="V12" t="n">
        <v>368.883579</v>
      </c>
      <c r="W12" t="n">
        <v>7607.098835</v>
      </c>
      <c r="X12" t="n">
        <v>2964.010682</v>
      </c>
    </row>
    <row r="13" ht="21" customHeight="1">
      <c r="A13" t="inlineStr">
        <is>
          <t>Merluccius gayi</t>
        </is>
      </c>
      <c r="B13" t="n">
        <v>4.26</v>
      </c>
      <c r="C13" t="n">
        <v>1819.700859</v>
      </c>
      <c r="D13" s="10" t="inlineStr">
        <is>
          <t>Unresolved</t>
        </is>
      </c>
    </row>
    <row r="14" ht="21" customHeight="1">
      <c r="A14" t="inlineStr">
        <is>
          <t>Macruronus magellanicus</t>
        </is>
      </c>
      <c r="B14" t="n">
        <v>3.93</v>
      </c>
      <c r="C14" t="n">
        <v>851.1380380000001</v>
      </c>
      <c r="D14" s="10" t="inlineStr">
        <is>
          <t>Unresolved</t>
        </is>
      </c>
    </row>
    <row r="15" ht="21" customHeight="1">
      <c r="A15" t="inlineStr">
        <is>
          <t>Sarda chiliensis</t>
        </is>
      </c>
      <c r="B15" t="n">
        <v>4.49</v>
      </c>
      <c r="C15" t="n">
        <v>3090.295433</v>
      </c>
      <c r="D15" s="10" t="inlineStr">
        <is>
          <t>Other large pelagic fish</t>
        </is>
      </c>
      <c r="E15" t="n">
        <v>100.341534</v>
      </c>
      <c r="F15" t="n">
        <v>721.5611730000001</v>
      </c>
      <c r="G15" t="n">
        <v>664.588831</v>
      </c>
      <c r="H15" t="n">
        <v>1923.880477</v>
      </c>
      <c r="I15" t="n">
        <v>707.786261</v>
      </c>
      <c r="J15" t="n">
        <v>730.795754</v>
      </c>
      <c r="K15" t="n">
        <v>390.224794</v>
      </c>
      <c r="L15" t="n">
        <v>1280.174581</v>
      </c>
      <c r="M15" t="n">
        <v>1280.174581</v>
      </c>
      <c r="N15" t="n">
        <v>1280.174581</v>
      </c>
      <c r="O15" t="n">
        <v>-479.794164</v>
      </c>
      <c r="P15" t="n">
        <v>-709.965776</v>
      </c>
      <c r="Q15" t="n">
        <v>1280.174581</v>
      </c>
      <c r="S15" t="n">
        <v>-479.794164</v>
      </c>
      <c r="U15" t="n">
        <v>483.377545</v>
      </c>
      <c r="V15" t="n">
        <v>503.881531</v>
      </c>
      <c r="W15" t="n">
        <v>10483.563691</v>
      </c>
      <c r="X15" t="n">
        <v>1536.980814</v>
      </c>
    </row>
    <row r="16" ht="21" customHeight="1">
      <c r="A16" t="inlineStr">
        <is>
          <t>Normanichthys crockeri</t>
        </is>
      </c>
      <c r="B16" t="n">
        <v>2.75</v>
      </c>
      <c r="C16" t="n">
        <v>56.234133</v>
      </c>
      <c r="D16" s="10" t="inlineStr">
        <is>
          <t>Other small pelagic fish</t>
        </is>
      </c>
      <c r="E16" t="n">
        <v>100.341534</v>
      </c>
      <c r="F16" t="n">
        <v>55.911353</v>
      </c>
      <c r="G16" t="n">
        <v>53.169346</v>
      </c>
      <c r="H16" t="n">
        <v>129.345644</v>
      </c>
      <c r="I16" t="n">
        <v>37.208913</v>
      </c>
      <c r="J16" t="n">
        <v>37.208913</v>
      </c>
      <c r="K16" t="n">
        <v>33.488021</v>
      </c>
      <c r="L16" t="n">
        <v>47.38007</v>
      </c>
      <c r="M16" t="n">
        <v>47.38007</v>
      </c>
      <c r="N16" t="n">
        <v>47.38007</v>
      </c>
      <c r="O16" t="n">
        <v>-40.644634</v>
      </c>
      <c r="P16" t="n">
        <v>-77.00011499999999</v>
      </c>
      <c r="Q16" t="n">
        <v>47.38007</v>
      </c>
      <c r="S16" t="n">
        <v>-40.644634</v>
      </c>
      <c r="U16" t="n">
        <v>57.096937</v>
      </c>
      <c r="V16" t="n">
        <v>61.654006</v>
      </c>
      <c r="W16" t="n">
        <v>1242.265249</v>
      </c>
      <c r="X16" t="n">
        <v>52.602205</v>
      </c>
    </row>
    <row r="17" ht="21" customHeight="1">
      <c r="A17" t="inlineStr">
        <is>
          <t>Loxechinus albus</t>
        </is>
      </c>
      <c r="B17" t="n">
        <v>2</v>
      </c>
      <c r="C17" t="n">
        <v>10</v>
      </c>
      <c r="D17" s="10" t="inlineStr">
        <is>
          <t>Macrobenthos</t>
        </is>
      </c>
      <c r="E17" t="n">
        <v>100.341534</v>
      </c>
      <c r="F17" t="n">
        <v>10</v>
      </c>
      <c r="G17" t="n">
        <v>9.716343999999999</v>
      </c>
      <c r="H17" t="n">
        <v>9.230527</v>
      </c>
      <c r="I17" t="n">
        <v>10.017358</v>
      </c>
      <c r="J17" t="n">
        <v>10.017358</v>
      </c>
      <c r="K17" t="n">
        <v>7.916667</v>
      </c>
      <c r="L17" t="n">
        <v>2.899495</v>
      </c>
      <c r="M17" t="n">
        <v>2.899495</v>
      </c>
      <c r="N17" t="n">
        <v>2.899495</v>
      </c>
      <c r="O17" t="n">
        <v>-50.833365</v>
      </c>
      <c r="P17" t="n">
        <v>-184.825074</v>
      </c>
      <c r="Q17" t="n">
        <v>2.899495</v>
      </c>
      <c r="S17" t="n">
        <v>-50.833365</v>
      </c>
      <c r="U17" t="n">
        <v>91.52878800000001</v>
      </c>
      <c r="V17" t="n">
        <v>116.691946</v>
      </c>
      <c r="W17" t="n">
        <v>929.622982</v>
      </c>
      <c r="X17" t="n">
        <v>3.093013</v>
      </c>
    </row>
    <row r="18" ht="21" customHeight="1">
      <c r="A18" t="inlineStr">
        <is>
          <t>Merluccius australis</t>
        </is>
      </c>
      <c r="B18" t="n">
        <v>4.45</v>
      </c>
      <c r="C18" t="n">
        <v>2818.382931</v>
      </c>
      <c r="D18" s="10" t="inlineStr">
        <is>
          <t>Unresolved</t>
        </is>
      </c>
    </row>
    <row r="19" ht="21" customHeight="1">
      <c r="A19" t="inlineStr">
        <is>
          <t>Ethmidium maculatum</t>
        </is>
      </c>
      <c r="B19" t="n">
        <v>2.07</v>
      </c>
      <c r="C19" t="n">
        <v>11.748976</v>
      </c>
      <c r="D19" s="10" t="inlineStr">
        <is>
          <t>Other small pelagic fish</t>
        </is>
      </c>
      <c r="E19" t="n">
        <v>100.341534</v>
      </c>
      <c r="F19" t="n">
        <v>55.911353</v>
      </c>
      <c r="G19" t="n">
        <v>53.169346</v>
      </c>
      <c r="H19" t="n">
        <v>129.345644</v>
      </c>
      <c r="I19" t="n">
        <v>37.208913</v>
      </c>
      <c r="J19" t="n">
        <v>37.208913</v>
      </c>
      <c r="K19" t="n">
        <v>33.488021</v>
      </c>
      <c r="L19" t="n">
        <v>47.38007</v>
      </c>
      <c r="M19" t="n">
        <v>47.38007</v>
      </c>
      <c r="N19" t="n">
        <v>47.38007</v>
      </c>
      <c r="O19" t="n">
        <v>-40.644634</v>
      </c>
      <c r="P19" t="n">
        <v>-77.00011499999999</v>
      </c>
      <c r="Q19" t="n">
        <v>47.38007</v>
      </c>
      <c r="S19" t="n">
        <v>-40.644634</v>
      </c>
      <c r="U19" t="n">
        <v>57.096937</v>
      </c>
      <c r="V19" t="n">
        <v>61.654006</v>
      </c>
      <c r="W19" t="n">
        <v>1242.265249</v>
      </c>
      <c r="X19" t="n">
        <v>52.602205</v>
      </c>
    </row>
    <row r="20" ht="21" customHeight="1">
      <c r="A20" t="inlineStr">
        <is>
          <t>Aulacomya atra</t>
        </is>
      </c>
      <c r="B20" t="n">
        <v>2</v>
      </c>
      <c r="C20" t="n">
        <v>10</v>
      </c>
      <c r="D20" s="10" t="inlineStr">
        <is>
          <t>Macrobenthos</t>
        </is>
      </c>
      <c r="E20" t="n">
        <v>100.341534</v>
      </c>
      <c r="F20" t="n">
        <v>10</v>
      </c>
      <c r="G20" t="n">
        <v>9.716343999999999</v>
      </c>
      <c r="H20" t="n">
        <v>9.230527</v>
      </c>
      <c r="I20" t="n">
        <v>10.017358</v>
      </c>
      <c r="J20" t="n">
        <v>10.017358</v>
      </c>
      <c r="K20" t="n">
        <v>7.916667</v>
      </c>
      <c r="L20" t="n">
        <v>2.899495</v>
      </c>
      <c r="M20" t="n">
        <v>2.899495</v>
      </c>
      <c r="N20" t="n">
        <v>2.899495</v>
      </c>
      <c r="O20" t="n">
        <v>-50.833365</v>
      </c>
      <c r="P20" t="n">
        <v>-184.825074</v>
      </c>
      <c r="Q20" t="n">
        <v>2.899495</v>
      </c>
      <c r="S20" t="n">
        <v>-50.833365</v>
      </c>
      <c r="U20" t="n">
        <v>91.52878800000001</v>
      </c>
      <c r="V20" t="n">
        <v>116.691946</v>
      </c>
      <c r="W20" t="n">
        <v>929.622982</v>
      </c>
      <c r="X20" t="n">
        <v>3.093013</v>
      </c>
    </row>
    <row r="21" ht="21" customHeight="1">
      <c r="A21" t="inlineStr">
        <is>
          <t>Anchoa nasus</t>
        </is>
      </c>
      <c r="B21" t="n">
        <v>3.4</v>
      </c>
      <c r="C21" t="n">
        <v>251.188643</v>
      </c>
      <c r="D21" s="10" t="inlineStr">
        <is>
          <t>Other small pelagic fish</t>
        </is>
      </c>
      <c r="E21" t="n">
        <v>100.341534</v>
      </c>
      <c r="F21" t="n">
        <v>55.911353</v>
      </c>
      <c r="G21" t="n">
        <v>53.169346</v>
      </c>
      <c r="H21" t="n">
        <v>129.345644</v>
      </c>
      <c r="I21" t="n">
        <v>37.208913</v>
      </c>
      <c r="J21" t="n">
        <v>37.208913</v>
      </c>
      <c r="K21" t="n">
        <v>33.488021</v>
      </c>
      <c r="L21" t="n">
        <v>47.38007</v>
      </c>
      <c r="M21" t="n">
        <v>47.38007</v>
      </c>
      <c r="N21" t="n">
        <v>47.38007</v>
      </c>
      <c r="O21" t="n">
        <v>-40.644634</v>
      </c>
      <c r="P21" t="n">
        <v>-77.00011499999999</v>
      </c>
      <c r="Q21" t="n">
        <v>47.38007</v>
      </c>
      <c r="S21" t="n">
        <v>-40.644634</v>
      </c>
      <c r="U21" t="n">
        <v>57.096937</v>
      </c>
      <c r="V21" t="n">
        <v>61.654006</v>
      </c>
      <c r="W21" t="n">
        <v>1242.265249</v>
      </c>
      <c r="X21" t="n">
        <v>52.602205</v>
      </c>
    </row>
    <row r="22" ht="21" customHeight="1">
      <c r="A22" t="inlineStr">
        <is>
          <t>Strangomera bentincki</t>
        </is>
      </c>
      <c r="B22" t="n">
        <v>2</v>
      </c>
      <c r="C22" t="n">
        <v>10</v>
      </c>
      <c r="D22" s="10" t="inlineStr">
        <is>
          <t>Other small pelagic fish</t>
        </is>
      </c>
      <c r="E22" t="n">
        <v>100.341534</v>
      </c>
      <c r="F22" t="n">
        <v>55.911353</v>
      </c>
      <c r="G22" t="n">
        <v>53.169346</v>
      </c>
      <c r="H22" t="n">
        <v>129.345644</v>
      </c>
      <c r="I22" t="n">
        <v>37.208913</v>
      </c>
      <c r="J22" t="n">
        <v>37.208913</v>
      </c>
      <c r="K22" t="n">
        <v>33.488021</v>
      </c>
      <c r="L22" t="n">
        <v>47.38007</v>
      </c>
      <c r="M22" t="n">
        <v>47.38007</v>
      </c>
      <c r="N22" t="n">
        <v>47.38007</v>
      </c>
      <c r="O22" t="n">
        <v>-40.644634</v>
      </c>
      <c r="P22" t="n">
        <v>-77.00011499999999</v>
      </c>
      <c r="Q22" t="n">
        <v>47.38007</v>
      </c>
      <c r="S22" t="n">
        <v>-40.644634</v>
      </c>
      <c r="U22" t="n">
        <v>57.096937</v>
      </c>
      <c r="V22" t="n">
        <v>61.654006</v>
      </c>
      <c r="W22" t="n">
        <v>1242.265249</v>
      </c>
      <c r="X22" t="n">
        <v>52.602205</v>
      </c>
    </row>
    <row r="23" ht="21" customHeight="1">
      <c r="A23" t="inlineStr">
        <is>
          <t>Coryphaena hippurus</t>
        </is>
      </c>
      <c r="B23" t="n">
        <v>4.37</v>
      </c>
      <c r="C23" t="n">
        <v>2344.228815</v>
      </c>
      <c r="D23" s="10" t="inlineStr">
        <is>
          <t>Other large pelagic fish</t>
        </is>
      </c>
      <c r="E23" t="n">
        <v>100.341534</v>
      </c>
      <c r="F23" t="n">
        <v>721.5611730000001</v>
      </c>
      <c r="G23" t="n">
        <v>664.588831</v>
      </c>
      <c r="H23" t="n">
        <v>1923.880477</v>
      </c>
      <c r="I23" t="n">
        <v>707.786261</v>
      </c>
      <c r="J23" t="n">
        <v>730.795754</v>
      </c>
      <c r="K23" t="n">
        <v>390.224794</v>
      </c>
      <c r="L23" t="n">
        <v>1280.174581</v>
      </c>
      <c r="M23" t="n">
        <v>1280.174581</v>
      </c>
      <c r="N23" t="n">
        <v>1280.174581</v>
      </c>
      <c r="O23" t="n">
        <v>-479.794164</v>
      </c>
      <c r="P23" t="n">
        <v>-709.965776</v>
      </c>
      <c r="Q23" t="n">
        <v>1280.174581</v>
      </c>
      <c r="S23" t="n">
        <v>-479.794164</v>
      </c>
      <c r="U23" t="n">
        <v>483.377545</v>
      </c>
      <c r="V23" t="n">
        <v>503.881531</v>
      </c>
      <c r="W23" t="n">
        <v>10483.563691</v>
      </c>
      <c r="X23" t="n">
        <v>1536.980814</v>
      </c>
    </row>
    <row r="24" ht="21" customHeight="1">
      <c r="A24" t="inlineStr">
        <is>
          <t>Grimothea monodon</t>
        </is>
      </c>
      <c r="B24" t="n">
        <v>2.74</v>
      </c>
      <c r="C24" t="n">
        <v>54.954087</v>
      </c>
      <c r="D24" s="10" t="inlineStr">
        <is>
          <t>Macrobenthos</t>
        </is>
      </c>
      <c r="E24" t="n">
        <v>100.341534</v>
      </c>
      <c r="F24" t="n">
        <v>10</v>
      </c>
      <c r="G24" t="n">
        <v>9.716343999999999</v>
      </c>
      <c r="H24" t="n">
        <v>9.230527</v>
      </c>
      <c r="I24" t="n">
        <v>10.017358</v>
      </c>
      <c r="J24" t="n">
        <v>10.017358</v>
      </c>
      <c r="K24" t="n">
        <v>7.916667</v>
      </c>
      <c r="L24" t="n">
        <v>2.899495</v>
      </c>
      <c r="M24" t="n">
        <v>2.899495</v>
      </c>
      <c r="N24" t="n">
        <v>2.899495</v>
      </c>
      <c r="O24" t="n">
        <v>-50.833365</v>
      </c>
      <c r="P24" t="n">
        <v>-184.825074</v>
      </c>
      <c r="Q24" t="n">
        <v>2.899495</v>
      </c>
      <c r="S24" t="n">
        <v>-50.833365</v>
      </c>
      <c r="U24" t="n">
        <v>91.52878800000001</v>
      </c>
      <c r="V24" t="n">
        <v>116.691946</v>
      </c>
      <c r="W24" t="n">
        <v>929.622982</v>
      </c>
      <c r="X24" t="n">
        <v>3.093013</v>
      </c>
    </row>
    <row r="25" ht="21" customHeight="1">
      <c r="A25" t="inlineStr">
        <is>
          <t>Cervimunida johni</t>
        </is>
      </c>
      <c r="B25" t="n">
        <v>2.6</v>
      </c>
      <c r="C25" t="n">
        <v>39.810717</v>
      </c>
      <c r="D25" s="10" t="inlineStr">
        <is>
          <t>Macrobenthos</t>
        </is>
      </c>
      <c r="E25" t="n">
        <v>100.341534</v>
      </c>
      <c r="F25" t="n">
        <v>10</v>
      </c>
      <c r="G25" t="n">
        <v>9.716343999999999</v>
      </c>
      <c r="H25" t="n">
        <v>9.230527</v>
      </c>
      <c r="I25" t="n">
        <v>10.017358</v>
      </c>
      <c r="J25" t="n">
        <v>10.017358</v>
      </c>
      <c r="K25" t="n">
        <v>7.916667</v>
      </c>
      <c r="L25" t="n">
        <v>2.899495</v>
      </c>
      <c r="M25" t="n">
        <v>2.899495</v>
      </c>
      <c r="N25" t="n">
        <v>2.899495</v>
      </c>
      <c r="O25" t="n">
        <v>-50.833365</v>
      </c>
      <c r="P25" t="n">
        <v>-184.825074</v>
      </c>
      <c r="Q25" t="n">
        <v>2.899495</v>
      </c>
      <c r="S25" t="n">
        <v>-50.833365</v>
      </c>
      <c r="U25" t="n">
        <v>91.52878800000001</v>
      </c>
      <c r="V25" t="n">
        <v>116.691946</v>
      </c>
      <c r="W25" t="n">
        <v>929.622982</v>
      </c>
      <c r="X25" t="n">
        <v>3.093013</v>
      </c>
    </row>
    <row r="26" ht="21" customHeight="1">
      <c r="A26" t="inlineStr">
        <is>
          <t>Mugil cephalus</t>
        </is>
      </c>
      <c r="B26" t="n">
        <v>2.14</v>
      </c>
      <c r="C26" t="n">
        <v>13.803843</v>
      </c>
      <c r="D26" s="10" t="inlineStr">
        <is>
          <t>Medium demersal fish</t>
        </is>
      </c>
      <c r="E26" t="n">
        <v>100.341534</v>
      </c>
      <c r="F26" t="n">
        <v>150.446864</v>
      </c>
      <c r="G26" t="n">
        <v>141.309763</v>
      </c>
      <c r="H26" t="n">
        <v>345.608481</v>
      </c>
      <c r="I26" t="n">
        <v>95.134595</v>
      </c>
      <c r="J26" t="n">
        <v>95.68003899999999</v>
      </c>
      <c r="K26" t="n">
        <v>78.47268099999999</v>
      </c>
      <c r="L26" t="n">
        <v>85.358492</v>
      </c>
      <c r="M26" t="n">
        <v>85.358492</v>
      </c>
      <c r="N26" t="n">
        <v>85.358492</v>
      </c>
      <c r="O26" t="n">
        <v>-290.0196</v>
      </c>
      <c r="P26" t="n">
        <v>-770.353084</v>
      </c>
      <c r="Q26" t="n">
        <v>85.358492</v>
      </c>
      <c r="S26" t="n">
        <v>-290.0196</v>
      </c>
      <c r="U26" t="n">
        <v>400.586214</v>
      </c>
      <c r="V26" t="n">
        <v>495.192523</v>
      </c>
      <c r="W26" t="n">
        <v>4943.256156</v>
      </c>
      <c r="X26" t="n">
        <v>95.427959</v>
      </c>
    </row>
    <row r="27" ht="21" customHeight="1">
      <c r="A27" t="inlineStr">
        <is>
          <t>Katsuwonus pelamis</t>
        </is>
      </c>
      <c r="B27" t="n">
        <v>4.43</v>
      </c>
      <c r="C27" t="n">
        <v>2691.534804</v>
      </c>
      <c r="D27" s="10" t="inlineStr">
        <is>
          <t>Other large pelagic fish</t>
        </is>
      </c>
      <c r="E27" t="n">
        <v>100.341534</v>
      </c>
      <c r="F27" t="n">
        <v>721.5611730000001</v>
      </c>
      <c r="G27" t="n">
        <v>664.588831</v>
      </c>
      <c r="H27" t="n">
        <v>1923.880477</v>
      </c>
      <c r="I27" t="n">
        <v>707.786261</v>
      </c>
      <c r="J27" t="n">
        <v>730.795754</v>
      </c>
      <c r="K27" t="n">
        <v>390.224794</v>
      </c>
      <c r="L27" t="n">
        <v>1280.174581</v>
      </c>
      <c r="M27" t="n">
        <v>1280.174581</v>
      </c>
      <c r="N27" t="n">
        <v>1280.174581</v>
      </c>
      <c r="O27" t="n">
        <v>-479.794164</v>
      </c>
      <c r="P27" t="n">
        <v>-709.965776</v>
      </c>
      <c r="Q27" t="n">
        <v>1280.174581</v>
      </c>
      <c r="S27" t="n">
        <v>-479.794164</v>
      </c>
      <c r="U27" t="n">
        <v>483.377545</v>
      </c>
      <c r="V27" t="n">
        <v>503.881531</v>
      </c>
      <c r="W27" t="n">
        <v>10483.563691</v>
      </c>
      <c r="X27" t="n">
        <v>1536.980814</v>
      </c>
    </row>
    <row r="28" ht="21" customHeight="1">
      <c r="A28" t="inlineStr">
        <is>
          <t>Veneridae</t>
        </is>
      </c>
      <c r="D28" s="10" t="inlineStr">
        <is>
          <t>Macrobenthos</t>
        </is>
      </c>
      <c r="E28" t="n">
        <v>100.341534</v>
      </c>
      <c r="F28" t="n">
        <v>10</v>
      </c>
      <c r="G28" t="n">
        <v>9.716343999999999</v>
      </c>
      <c r="H28" t="n">
        <v>9.230527</v>
      </c>
      <c r="I28" t="n">
        <v>10.017358</v>
      </c>
      <c r="J28" t="n">
        <v>10.017358</v>
      </c>
      <c r="K28" t="n">
        <v>7.916667</v>
      </c>
      <c r="L28" t="n">
        <v>2.899495</v>
      </c>
      <c r="M28" t="n">
        <v>2.899495</v>
      </c>
      <c r="N28" t="n">
        <v>2.899495</v>
      </c>
      <c r="O28" t="n">
        <v>-50.833365</v>
      </c>
      <c r="P28" t="n">
        <v>-184.825074</v>
      </c>
      <c r="Q28" t="n">
        <v>2.899495</v>
      </c>
      <c r="S28" t="n">
        <v>-50.833365</v>
      </c>
      <c r="U28" t="n">
        <v>91.52878800000001</v>
      </c>
      <c r="V28" t="n">
        <v>116.691946</v>
      </c>
      <c r="W28" t="n">
        <v>929.622982</v>
      </c>
      <c r="X28" t="n">
        <v>3.093013</v>
      </c>
    </row>
    <row r="29" ht="21" customHeight="1">
      <c r="A29" t="inlineStr">
        <is>
          <t>Argopecten purpuratus</t>
        </is>
      </c>
      <c r="B29" t="n">
        <v>2</v>
      </c>
      <c r="C29" t="n">
        <v>10</v>
      </c>
      <c r="D29" s="10" t="inlineStr">
        <is>
          <t>Macrobenthos</t>
        </is>
      </c>
      <c r="E29" t="n">
        <v>100.341534</v>
      </c>
      <c r="F29" t="n">
        <v>10</v>
      </c>
      <c r="G29" t="n">
        <v>9.716343999999999</v>
      </c>
      <c r="H29" t="n">
        <v>9.230527</v>
      </c>
      <c r="I29" t="n">
        <v>10.017358</v>
      </c>
      <c r="J29" t="n">
        <v>10.017358</v>
      </c>
      <c r="K29" t="n">
        <v>7.916667</v>
      </c>
      <c r="L29" t="n">
        <v>2.899495</v>
      </c>
      <c r="M29" t="n">
        <v>2.899495</v>
      </c>
      <c r="N29" t="n">
        <v>2.899495</v>
      </c>
      <c r="O29" t="n">
        <v>-50.833365</v>
      </c>
      <c r="P29" t="n">
        <v>-184.825074</v>
      </c>
      <c r="Q29" t="n">
        <v>2.899495</v>
      </c>
      <c r="S29" t="n">
        <v>-50.833365</v>
      </c>
      <c r="U29" t="n">
        <v>91.52878800000001</v>
      </c>
      <c r="V29" t="n">
        <v>116.691946</v>
      </c>
      <c r="W29" t="n">
        <v>929.622982</v>
      </c>
      <c r="X29" t="n">
        <v>3.093013</v>
      </c>
    </row>
    <row r="30" ht="21" customHeight="1">
      <c r="A30" t="inlineStr">
        <is>
          <t>Doryteuthis gahi</t>
        </is>
      </c>
      <c r="B30" t="n">
        <v>3.2</v>
      </c>
      <c r="C30" t="n">
        <v>158.489319</v>
      </c>
      <c r="D30" s="10" t="inlineStr">
        <is>
          <t>Other cephalopods</t>
        </is>
      </c>
      <c r="E30" t="n">
        <v>100.341534</v>
      </c>
      <c r="F30" t="n">
        <v>133.998519</v>
      </c>
      <c r="G30" t="n">
        <v>126.042621</v>
      </c>
      <c r="H30" t="n">
        <v>240.466435</v>
      </c>
      <c r="I30" t="n">
        <v>9.809711</v>
      </c>
      <c r="J30" t="n">
        <v>9.809711</v>
      </c>
      <c r="K30" t="n">
        <v>9.319224999999999</v>
      </c>
      <c r="L30" t="n">
        <v>13.826862</v>
      </c>
      <c r="M30" t="n">
        <v>13.826862</v>
      </c>
      <c r="N30" t="n">
        <v>13.826862</v>
      </c>
      <c r="O30" t="n">
        <v>-21.746323</v>
      </c>
      <c r="P30" t="n">
        <v>-52.393884</v>
      </c>
      <c r="Q30" t="n">
        <v>13.826862</v>
      </c>
      <c r="S30" t="n">
        <v>-21.746323</v>
      </c>
      <c r="U30" t="n">
        <v>33.004478</v>
      </c>
      <c r="V30" t="n">
        <v>37.738157</v>
      </c>
      <c r="W30" t="n">
        <v>384.456062</v>
      </c>
      <c r="X30" t="n">
        <v>15.987649</v>
      </c>
    </row>
    <row r="31" ht="21" customHeight="1">
      <c r="A31" t="inlineStr">
        <is>
          <t>Odontesthes regia</t>
        </is>
      </c>
      <c r="B31" t="n">
        <v>4</v>
      </c>
      <c r="C31" t="n">
        <v>1000</v>
      </c>
      <c r="D31" s="10" t="inlineStr">
        <is>
          <t>Small demersal fish</t>
        </is>
      </c>
      <c r="E31" t="n">
        <v>100.341534</v>
      </c>
      <c r="F31" t="n">
        <v>28.840315</v>
      </c>
      <c r="G31" t="n">
        <v>27.653763</v>
      </c>
      <c r="H31" t="n">
        <v>83.33437499999999</v>
      </c>
      <c r="I31" t="n">
        <v>22.319429</v>
      </c>
      <c r="J31" t="n">
        <v>22.319429</v>
      </c>
      <c r="K31" t="n">
        <v>16.302777</v>
      </c>
      <c r="L31" t="n">
        <v>27.460928</v>
      </c>
      <c r="M31" t="n">
        <v>27.460928</v>
      </c>
      <c r="N31" t="n">
        <v>27.460928</v>
      </c>
      <c r="O31" t="n">
        <v>-14.110618</v>
      </c>
      <c r="P31" t="n">
        <v>-36.828458</v>
      </c>
      <c r="Q31" t="n">
        <v>27.460928</v>
      </c>
      <c r="S31" t="n">
        <v>-14.110618</v>
      </c>
      <c r="U31" t="n">
        <v>30.881292</v>
      </c>
      <c r="V31" t="n">
        <v>31.789849</v>
      </c>
      <c r="W31" t="n">
        <v>429.71383</v>
      </c>
      <c r="X31" t="n">
        <v>30.241866</v>
      </c>
    </row>
    <row r="32" ht="21" customHeight="1">
      <c r="A32" t="inlineStr">
        <is>
          <t>Brama australis</t>
        </is>
      </c>
      <c r="B32" t="n">
        <v>4.2</v>
      </c>
      <c r="C32" t="n">
        <v>1584.893192</v>
      </c>
      <c r="D32" s="10" t="inlineStr">
        <is>
          <t>Unresolved</t>
        </is>
      </c>
    </row>
    <row r="33" ht="21" customHeight="1">
      <c r="A33" t="inlineStr">
        <is>
          <t>Seriolella</t>
        </is>
      </c>
      <c r="D33" s="10" t="inlineStr">
        <is>
          <t>Unresolved</t>
        </is>
      </c>
    </row>
    <row r="34" ht="21" customHeight="1">
      <c r="A34" t="inlineStr">
        <is>
          <t>Prionotus stephanophrys</t>
        </is>
      </c>
      <c r="B34" t="n">
        <v>3.5</v>
      </c>
      <c r="C34" t="n">
        <v>316.227766</v>
      </c>
      <c r="D34" s="10" t="inlineStr">
        <is>
          <t>Sea robin</t>
        </is>
      </c>
      <c r="E34" t="n">
        <v>100.341534</v>
      </c>
      <c r="F34" t="n">
        <v>190.408156</v>
      </c>
      <c r="G34" t="n">
        <v>178.318374</v>
      </c>
      <c r="H34" t="n">
        <v>351.915566</v>
      </c>
      <c r="I34" t="n">
        <v>90.725031</v>
      </c>
      <c r="J34" t="n">
        <v>90.725031</v>
      </c>
      <c r="K34" t="n">
        <v>41.601385</v>
      </c>
      <c r="L34" t="n">
        <v>110.63707</v>
      </c>
      <c r="M34" t="n">
        <v>110.63707</v>
      </c>
      <c r="N34" t="n">
        <v>110.63707</v>
      </c>
      <c r="O34" t="n">
        <v>-88.56025200000001</v>
      </c>
      <c r="P34" t="n">
        <v>-205.516976</v>
      </c>
      <c r="Q34" t="n">
        <v>110.63707</v>
      </c>
      <c r="S34" t="n">
        <v>-88.56025200000001</v>
      </c>
      <c r="U34" t="n">
        <v>122.578877</v>
      </c>
      <c r="V34" t="n">
        <v>136.605519</v>
      </c>
      <c r="W34" t="n">
        <v>1664.508704</v>
      </c>
      <c r="X34" t="n">
        <v>126.767706</v>
      </c>
    </row>
    <row r="35" ht="21" customHeight="1">
      <c r="A35" t="inlineStr">
        <is>
          <t>Bivalvia</t>
        </is>
      </c>
      <c r="B35" t="n">
        <v>2.23</v>
      </c>
      <c r="C35" t="n">
        <v>16.982437</v>
      </c>
      <c r="D35" s="10" t="inlineStr">
        <is>
          <t>Macrobenthos</t>
        </is>
      </c>
      <c r="E35" t="n">
        <v>100.341534</v>
      </c>
      <c r="F35" t="n">
        <v>10</v>
      </c>
      <c r="G35" t="n">
        <v>9.716343999999999</v>
      </c>
      <c r="H35" t="n">
        <v>9.230527</v>
      </c>
      <c r="I35" t="n">
        <v>10.017358</v>
      </c>
      <c r="J35" t="n">
        <v>10.017358</v>
      </c>
      <c r="K35" t="n">
        <v>7.916667</v>
      </c>
      <c r="L35" t="n">
        <v>2.899495</v>
      </c>
      <c r="M35" t="n">
        <v>2.899495</v>
      </c>
      <c r="N35" t="n">
        <v>2.899495</v>
      </c>
      <c r="O35" t="n">
        <v>-50.833365</v>
      </c>
      <c r="P35" t="n">
        <v>-184.825074</v>
      </c>
      <c r="Q35" t="n">
        <v>2.899495</v>
      </c>
      <c r="S35" t="n">
        <v>-50.833365</v>
      </c>
      <c r="U35" t="n">
        <v>91.52878800000001</v>
      </c>
      <c r="V35" t="n">
        <v>116.691946</v>
      </c>
      <c r="W35" t="n">
        <v>929.622982</v>
      </c>
      <c r="X35" t="n">
        <v>3.093013</v>
      </c>
    </row>
    <row r="36" ht="21" customHeight="1">
      <c r="A36" t="inlineStr">
        <is>
          <t>Mesodesma donacium</t>
        </is>
      </c>
      <c r="B36" t="n">
        <v>2</v>
      </c>
      <c r="C36" t="n">
        <v>10</v>
      </c>
      <c r="D36" s="10" t="inlineStr">
        <is>
          <t>Macrobenthos</t>
        </is>
      </c>
      <c r="E36" t="n">
        <v>100.341534</v>
      </c>
      <c r="F36" t="n">
        <v>10</v>
      </c>
      <c r="G36" t="n">
        <v>9.716343999999999</v>
      </c>
      <c r="H36" t="n">
        <v>9.230527</v>
      </c>
      <c r="I36" t="n">
        <v>10.017358</v>
      </c>
      <c r="J36" t="n">
        <v>10.017358</v>
      </c>
      <c r="K36" t="n">
        <v>7.916667</v>
      </c>
      <c r="L36" t="n">
        <v>2.899495</v>
      </c>
      <c r="M36" t="n">
        <v>2.899495</v>
      </c>
      <c r="N36" t="n">
        <v>2.899495</v>
      </c>
      <c r="O36" t="n">
        <v>-50.833365</v>
      </c>
      <c r="P36" t="n">
        <v>-184.825074</v>
      </c>
      <c r="Q36" t="n">
        <v>2.899495</v>
      </c>
      <c r="S36" t="n">
        <v>-50.833365</v>
      </c>
      <c r="U36" t="n">
        <v>91.52878800000001</v>
      </c>
      <c r="V36" t="n">
        <v>116.691946</v>
      </c>
      <c r="W36" t="n">
        <v>929.622982</v>
      </c>
      <c r="X36" t="n">
        <v>3.093013</v>
      </c>
    </row>
    <row r="37" ht="36" customHeight="1">
      <c r="A37" t="inlineStr">
        <is>
          <t>Sciaenidae</t>
        </is>
      </c>
      <c r="B37" t="n">
        <v>3.76</v>
      </c>
      <c r="C37" t="n">
        <v>575.439937</v>
      </c>
      <c r="D37" s="10" t="inlineStr">
        <is>
          <t>Small demersal fish | Medium sciaenids</t>
        </is>
      </c>
      <c r="E37" t="n">
        <v>100.341534</v>
      </c>
      <c r="F37" t="n">
        <v>126.350743</v>
      </c>
      <c r="G37" t="n">
        <v>118.512108</v>
      </c>
      <c r="H37" t="n">
        <v>417.535293</v>
      </c>
      <c r="I37" t="n">
        <v>1690.3387</v>
      </c>
      <c r="J37" t="n">
        <v>1690.970876</v>
      </c>
      <c r="K37" t="n">
        <v>1200.495325</v>
      </c>
      <c r="L37" t="n">
        <v>2732.002639</v>
      </c>
      <c r="M37" t="n">
        <v>2732.002639</v>
      </c>
      <c r="N37" t="n">
        <v>2732.002639</v>
      </c>
      <c r="O37" t="n">
        <v>-202.345394</v>
      </c>
      <c r="P37" t="n">
        <v>-478.443726</v>
      </c>
      <c r="Q37" t="n">
        <v>2732.002639</v>
      </c>
      <c r="S37" t="n">
        <v>-202.345394</v>
      </c>
      <c r="U37" t="n">
        <v>263.607794</v>
      </c>
      <c r="V37" t="n">
        <v>316.14094</v>
      </c>
      <c r="W37" t="n">
        <v>4796.721231</v>
      </c>
      <c r="X37" t="n">
        <v>3239.634528</v>
      </c>
    </row>
    <row r="38" ht="21" customHeight="1">
      <c r="A38" t="inlineStr">
        <is>
          <t>Gastropoda</t>
        </is>
      </c>
      <c r="B38" t="n">
        <v>3.06</v>
      </c>
      <c r="C38" t="n">
        <v>114.815362</v>
      </c>
      <c r="D38" s="10" t="inlineStr">
        <is>
          <t>Macrobenthos</t>
        </is>
      </c>
      <c r="E38" t="n">
        <v>100.341534</v>
      </c>
      <c r="F38" t="n">
        <v>10</v>
      </c>
      <c r="G38" t="n">
        <v>9.716343999999999</v>
      </c>
      <c r="H38" t="n">
        <v>9.230527</v>
      </c>
      <c r="I38" t="n">
        <v>10.017358</v>
      </c>
      <c r="J38" t="n">
        <v>10.017358</v>
      </c>
      <c r="K38" t="n">
        <v>7.916667</v>
      </c>
      <c r="L38" t="n">
        <v>2.899495</v>
      </c>
      <c r="M38" t="n">
        <v>2.899495</v>
      </c>
      <c r="N38" t="n">
        <v>2.899495</v>
      </c>
      <c r="O38" t="n">
        <v>-50.833365</v>
      </c>
      <c r="P38" t="n">
        <v>-184.825074</v>
      </c>
      <c r="Q38" t="n">
        <v>2.899495</v>
      </c>
      <c r="S38" t="n">
        <v>-50.833365</v>
      </c>
      <c r="U38" t="n">
        <v>91.52878800000001</v>
      </c>
      <c r="V38" t="n">
        <v>116.691946</v>
      </c>
      <c r="W38" t="n">
        <v>929.622982</v>
      </c>
      <c r="X38" t="n">
        <v>3.093013</v>
      </c>
    </row>
    <row r="39" ht="21" customHeight="1">
      <c r="A39" t="inlineStr">
        <is>
          <t>Penaeidae</t>
        </is>
      </c>
      <c r="B39" t="n">
        <v>3.31</v>
      </c>
      <c r="C39" t="n">
        <v>204.173794</v>
      </c>
      <c r="D39" s="10" t="inlineStr">
        <is>
          <t>Macrobenthos</t>
        </is>
      </c>
      <c r="E39" t="n">
        <v>100.341534</v>
      </c>
      <c r="F39" t="n">
        <v>10</v>
      </c>
      <c r="G39" t="n">
        <v>9.716343999999999</v>
      </c>
      <c r="H39" t="n">
        <v>9.230527</v>
      </c>
      <c r="I39" t="n">
        <v>10.017358</v>
      </c>
      <c r="J39" t="n">
        <v>10.017358</v>
      </c>
      <c r="K39" t="n">
        <v>7.916667</v>
      </c>
      <c r="L39" t="n">
        <v>2.899495</v>
      </c>
      <c r="M39" t="n">
        <v>2.899495</v>
      </c>
      <c r="N39" t="n">
        <v>2.899495</v>
      </c>
      <c r="O39" t="n">
        <v>-50.833365</v>
      </c>
      <c r="P39" t="n">
        <v>-184.825074</v>
      </c>
      <c r="Q39" t="n">
        <v>2.899495</v>
      </c>
      <c r="S39" t="n">
        <v>-50.833365</v>
      </c>
      <c r="U39" t="n">
        <v>91.52878800000001</v>
      </c>
      <c r="V39" t="n">
        <v>116.691946</v>
      </c>
      <c r="W39" t="n">
        <v>929.622982</v>
      </c>
      <c r="X39" t="n">
        <v>3.093013</v>
      </c>
    </row>
    <row r="40" ht="21" customHeight="1">
      <c r="A40" t="inlineStr">
        <is>
          <t>Mustelus whitneyi</t>
        </is>
      </c>
      <c r="B40" t="n">
        <v>3.66</v>
      </c>
      <c r="C40" t="n">
        <v>457.08819</v>
      </c>
      <c r="D40" s="10" t="inlineStr">
        <is>
          <t>Benthic elasmobranchs</t>
        </is>
      </c>
      <c r="E40" t="n">
        <v>100.341534</v>
      </c>
      <c r="F40" t="n">
        <v>227.672107</v>
      </c>
      <c r="G40" t="n">
        <v>212.74056</v>
      </c>
      <c r="H40" t="n">
        <v>1454.477274</v>
      </c>
      <c r="I40" t="n">
        <v>5850.040026</v>
      </c>
      <c r="J40" t="n">
        <v>5861.611252</v>
      </c>
      <c r="K40" t="n">
        <v>3861.19455</v>
      </c>
      <c r="L40" t="n">
        <v>7955.355087</v>
      </c>
      <c r="M40" t="n">
        <v>7955.355087</v>
      </c>
      <c r="N40" t="n">
        <v>7955.355087</v>
      </c>
      <c r="O40" t="n">
        <v>-475.304228</v>
      </c>
      <c r="P40" t="n">
        <v>-1034.602781</v>
      </c>
      <c r="Q40" t="n">
        <v>7955.355087</v>
      </c>
      <c r="S40" t="n">
        <v>-475.304228</v>
      </c>
      <c r="U40" t="n">
        <v>558.607592</v>
      </c>
      <c r="V40" t="n">
        <v>673.429313</v>
      </c>
      <c r="W40" t="n">
        <v>8955.769672</v>
      </c>
      <c r="X40" t="n">
        <v>9372.190554999999</v>
      </c>
    </row>
    <row r="41" ht="21" customHeight="1">
      <c r="A41" t="inlineStr">
        <is>
          <t>Concholepas concholepas</t>
        </is>
      </c>
      <c r="B41" t="n">
        <v>3.18</v>
      </c>
      <c r="C41" t="n">
        <v>151.356125</v>
      </c>
      <c r="D41" s="10" t="inlineStr">
        <is>
          <t>Macrobenthos</t>
        </is>
      </c>
      <c r="E41" t="n">
        <v>100.341534</v>
      </c>
      <c r="F41" t="n">
        <v>10</v>
      </c>
      <c r="G41" t="n">
        <v>9.716343999999999</v>
      </c>
      <c r="H41" t="n">
        <v>9.230527</v>
      </c>
      <c r="I41" t="n">
        <v>10.017358</v>
      </c>
      <c r="J41" t="n">
        <v>10.017358</v>
      </c>
      <c r="K41" t="n">
        <v>7.916667</v>
      </c>
      <c r="L41" t="n">
        <v>2.899495</v>
      </c>
      <c r="M41" t="n">
        <v>2.899495</v>
      </c>
      <c r="N41" t="n">
        <v>2.899495</v>
      </c>
      <c r="O41" t="n">
        <v>-50.833365</v>
      </c>
      <c r="P41" t="n">
        <v>-184.825074</v>
      </c>
      <c r="Q41" t="n">
        <v>2.899495</v>
      </c>
      <c r="S41" t="n">
        <v>-50.833365</v>
      </c>
      <c r="U41" t="n">
        <v>91.52878800000001</v>
      </c>
      <c r="V41" t="n">
        <v>116.691946</v>
      </c>
      <c r="W41" t="n">
        <v>929.622982</v>
      </c>
      <c r="X41" t="n">
        <v>3.093013</v>
      </c>
    </row>
    <row r="42" ht="21" customHeight="1">
      <c r="A42" t="inlineStr">
        <is>
          <t>Mytilus chilensis</t>
        </is>
      </c>
      <c r="B42" t="n">
        <v>2</v>
      </c>
      <c r="C42" t="n">
        <v>10</v>
      </c>
      <c r="D42" s="10" t="inlineStr">
        <is>
          <t>Macrobenthos</t>
        </is>
      </c>
      <c r="E42" t="n">
        <v>100.341534</v>
      </c>
      <c r="F42" t="n">
        <v>10</v>
      </c>
      <c r="G42" t="n">
        <v>9.716343999999999</v>
      </c>
      <c r="H42" t="n">
        <v>9.230527</v>
      </c>
      <c r="I42" t="n">
        <v>10.017358</v>
      </c>
      <c r="J42" t="n">
        <v>10.017358</v>
      </c>
      <c r="K42" t="n">
        <v>7.916667</v>
      </c>
      <c r="L42" t="n">
        <v>2.899495</v>
      </c>
      <c r="M42" t="n">
        <v>2.899495</v>
      </c>
      <c r="N42" t="n">
        <v>2.899495</v>
      </c>
      <c r="O42" t="n">
        <v>-50.833365</v>
      </c>
      <c r="P42" t="n">
        <v>-184.825074</v>
      </c>
      <c r="Q42" t="n">
        <v>2.899495</v>
      </c>
      <c r="S42" t="n">
        <v>-50.833365</v>
      </c>
      <c r="U42" t="n">
        <v>91.52878800000001</v>
      </c>
      <c r="V42" t="n">
        <v>116.691946</v>
      </c>
      <c r="W42" t="n">
        <v>929.622982</v>
      </c>
      <c r="X42" t="n">
        <v>3.093013</v>
      </c>
    </row>
    <row r="43" ht="21" customHeight="1">
      <c r="A43" t="inlineStr">
        <is>
          <t>Thunnus albacares</t>
        </is>
      </c>
      <c r="B43" t="n">
        <v>4.41</v>
      </c>
      <c r="C43" t="n">
        <v>2570.395783</v>
      </c>
      <c r="D43" s="10" t="inlineStr">
        <is>
          <t>Other large pelagic fish</t>
        </is>
      </c>
      <c r="E43" t="n">
        <v>100.341534</v>
      </c>
      <c r="F43" t="n">
        <v>721.5611730000001</v>
      </c>
      <c r="G43" t="n">
        <v>664.588831</v>
      </c>
      <c r="H43" t="n">
        <v>1923.880477</v>
      </c>
      <c r="I43" t="n">
        <v>707.786261</v>
      </c>
      <c r="J43" t="n">
        <v>730.795754</v>
      </c>
      <c r="K43" t="n">
        <v>390.224794</v>
      </c>
      <c r="L43" t="n">
        <v>1280.174581</v>
      </c>
      <c r="M43" t="n">
        <v>1280.174581</v>
      </c>
      <c r="N43" t="n">
        <v>1280.174581</v>
      </c>
      <c r="O43" t="n">
        <v>-479.794164</v>
      </c>
      <c r="P43" t="n">
        <v>-709.965776</v>
      </c>
      <c r="Q43" t="n">
        <v>1280.174581</v>
      </c>
      <c r="S43" t="n">
        <v>-479.794164</v>
      </c>
      <c r="U43" t="n">
        <v>483.377545</v>
      </c>
      <c r="V43" t="n">
        <v>503.881531</v>
      </c>
      <c r="W43" t="n">
        <v>10483.563691</v>
      </c>
      <c r="X43" t="n">
        <v>1536.980814</v>
      </c>
    </row>
    <row r="44" ht="21" customHeight="1">
      <c r="A44" t="inlineStr">
        <is>
          <t>Cynoscion analis</t>
        </is>
      </c>
      <c r="B44" t="n">
        <v>4.06</v>
      </c>
      <c r="C44" t="n">
        <v>1148.153621</v>
      </c>
      <c r="D44" s="10" t="inlineStr">
        <is>
          <t>Medium sciaenids</t>
        </is>
      </c>
      <c r="E44" t="n">
        <v>100.341534</v>
      </c>
      <c r="F44" t="n">
        <v>206.3558</v>
      </c>
      <c r="G44" t="n">
        <v>193.059284</v>
      </c>
      <c r="H44" t="n">
        <v>691.739437</v>
      </c>
      <c r="I44" t="n">
        <v>3058.91003</v>
      </c>
      <c r="J44" t="n">
        <v>3060.060891</v>
      </c>
      <c r="K44" t="n">
        <v>2172.097992</v>
      </c>
      <c r="L44" t="n">
        <v>4951.016719</v>
      </c>
      <c r="M44" t="n">
        <v>4951.016719</v>
      </c>
      <c r="N44" t="n">
        <v>4951.016719</v>
      </c>
      <c r="O44" t="n">
        <v>-356.787684</v>
      </c>
      <c r="P44" t="n">
        <v>-840.778865</v>
      </c>
      <c r="Q44" t="n">
        <v>4951.016719</v>
      </c>
      <c r="S44" t="n">
        <v>-356.787684</v>
      </c>
      <c r="U44" t="n">
        <v>454.55452</v>
      </c>
      <c r="V44" t="n">
        <v>549.444451</v>
      </c>
      <c r="W44" t="n">
        <v>8379.750055</v>
      </c>
      <c r="X44" t="n">
        <v>5872.867166</v>
      </c>
    </row>
    <row r="45" ht="21" customHeight="1">
      <c r="A45" t="inlineStr">
        <is>
          <t>Paralonchurus peruanus</t>
        </is>
      </c>
      <c r="B45" t="n">
        <v>2.17</v>
      </c>
      <c r="C45" t="n">
        <v>14.791084</v>
      </c>
      <c r="D45" s="10" t="inlineStr">
        <is>
          <t>Medium sciaenids</t>
        </is>
      </c>
      <c r="E45" t="n">
        <v>100.341534</v>
      </c>
      <c r="F45" t="n">
        <v>206.3558</v>
      </c>
      <c r="G45" t="n">
        <v>193.059284</v>
      </c>
      <c r="H45" t="n">
        <v>691.739437</v>
      </c>
      <c r="I45" t="n">
        <v>3058.91003</v>
      </c>
      <c r="J45" t="n">
        <v>3060.060891</v>
      </c>
      <c r="K45" t="n">
        <v>2172.097992</v>
      </c>
      <c r="L45" t="n">
        <v>4951.016719</v>
      </c>
      <c r="M45" t="n">
        <v>4951.016719</v>
      </c>
      <c r="N45" t="n">
        <v>4951.016719</v>
      </c>
      <c r="O45" t="n">
        <v>-356.787684</v>
      </c>
      <c r="P45" t="n">
        <v>-840.778865</v>
      </c>
      <c r="Q45" t="n">
        <v>4951.016719</v>
      </c>
      <c r="S45" t="n">
        <v>-356.787684</v>
      </c>
      <c r="U45" t="n">
        <v>454.55452</v>
      </c>
      <c r="V45" t="n">
        <v>549.444451</v>
      </c>
      <c r="W45" t="n">
        <v>8379.750055</v>
      </c>
      <c r="X45" t="n">
        <v>5872.867166</v>
      </c>
    </row>
    <row r="46" ht="21" customHeight="1">
      <c r="A46" t="inlineStr">
        <is>
          <t>Thyrsites atun</t>
        </is>
      </c>
      <c r="B46" t="n">
        <v>3.63</v>
      </c>
      <c r="C46" t="n">
        <v>426.579519</v>
      </c>
      <c r="D46" s="10" t="inlineStr">
        <is>
          <t>Unresolved</t>
        </is>
      </c>
    </row>
    <row r="47" ht="21" customHeight="1">
      <c r="A47" t="inlineStr">
        <is>
          <t>Heterocarpus reedi</t>
        </is>
      </c>
      <c r="B47" t="n">
        <v>2.3</v>
      </c>
      <c r="C47" t="n">
        <v>19.952623</v>
      </c>
      <c r="D47" s="10" t="inlineStr">
        <is>
          <t>Macrobenthos</t>
        </is>
      </c>
      <c r="E47" t="n">
        <v>100.341534</v>
      </c>
      <c r="F47" t="n">
        <v>10</v>
      </c>
      <c r="G47" t="n">
        <v>9.716343999999999</v>
      </c>
      <c r="H47" t="n">
        <v>9.230527</v>
      </c>
      <c r="I47" t="n">
        <v>10.017358</v>
      </c>
      <c r="J47" t="n">
        <v>10.017358</v>
      </c>
      <c r="K47" t="n">
        <v>7.916667</v>
      </c>
      <c r="L47" t="n">
        <v>2.899495</v>
      </c>
      <c r="M47" t="n">
        <v>2.899495</v>
      </c>
      <c r="N47" t="n">
        <v>2.899495</v>
      </c>
      <c r="O47" t="n">
        <v>-50.833365</v>
      </c>
      <c r="P47" t="n">
        <v>-184.825074</v>
      </c>
      <c r="Q47" t="n">
        <v>2.899495</v>
      </c>
      <c r="S47" t="n">
        <v>-50.833365</v>
      </c>
      <c r="U47" t="n">
        <v>91.52878800000001</v>
      </c>
      <c r="V47" t="n">
        <v>116.691946</v>
      </c>
      <c r="W47" t="n">
        <v>929.622982</v>
      </c>
      <c r="X47" t="n">
        <v>3.093013</v>
      </c>
    </row>
    <row r="48" ht="21" customHeight="1">
      <c r="A48" t="inlineStr">
        <is>
          <t>Paralabrax humeralis</t>
        </is>
      </c>
      <c r="B48" t="n">
        <v>4.12</v>
      </c>
      <c r="C48" t="n">
        <v>1318.256739</v>
      </c>
      <c r="D48" s="10" t="inlineStr">
        <is>
          <t>Medium demersal fish</t>
        </is>
      </c>
      <c r="E48" t="n">
        <v>100.341534</v>
      </c>
      <c r="F48" t="n">
        <v>150.446864</v>
      </c>
      <c r="G48" t="n">
        <v>141.309763</v>
      </c>
      <c r="H48" t="n">
        <v>345.608481</v>
      </c>
      <c r="I48" t="n">
        <v>95.134595</v>
      </c>
      <c r="J48" t="n">
        <v>95.68003899999999</v>
      </c>
      <c r="K48" t="n">
        <v>78.47268099999999</v>
      </c>
      <c r="L48" t="n">
        <v>85.358492</v>
      </c>
      <c r="M48" t="n">
        <v>85.358492</v>
      </c>
      <c r="N48" t="n">
        <v>85.358492</v>
      </c>
      <c r="O48" t="n">
        <v>-290.0196</v>
      </c>
      <c r="P48" t="n">
        <v>-770.353084</v>
      </c>
      <c r="Q48" t="n">
        <v>85.358492</v>
      </c>
      <c r="S48" t="n">
        <v>-290.0196</v>
      </c>
      <c r="U48" t="n">
        <v>400.586214</v>
      </c>
      <c r="V48" t="n">
        <v>495.192523</v>
      </c>
      <c r="W48" t="n">
        <v>4943.256156</v>
      </c>
      <c r="X48" t="n">
        <v>95.427959</v>
      </c>
    </row>
    <row r="49" ht="21" customHeight="1">
      <c r="A49" t="inlineStr">
        <is>
          <t>Genypterus blacodes</t>
        </is>
      </c>
      <c r="B49" t="n">
        <v>4.22</v>
      </c>
      <c r="C49" t="n">
        <v>1659.586907</v>
      </c>
      <c r="D49" s="10" t="inlineStr">
        <is>
          <t>Unresolved</t>
        </is>
      </c>
    </row>
    <row r="50" ht="21" customHeight="1">
      <c r="A50" t="inlineStr">
        <is>
          <t>Malacostraca</t>
        </is>
      </c>
      <c r="B50" t="n">
        <v>3</v>
      </c>
      <c r="C50" t="n">
        <v>100</v>
      </c>
      <c r="D50" s="10" t="inlineStr">
        <is>
          <t>Macrobenthos</t>
        </is>
      </c>
      <c r="E50" t="n">
        <v>100.341534</v>
      </c>
      <c r="F50" t="n">
        <v>10</v>
      </c>
      <c r="G50" t="n">
        <v>9.716343999999999</v>
      </c>
      <c r="H50" t="n">
        <v>9.230527</v>
      </c>
      <c r="I50" t="n">
        <v>10.017358</v>
      </c>
      <c r="J50" t="n">
        <v>10.017358</v>
      </c>
      <c r="K50" t="n">
        <v>7.916667</v>
      </c>
      <c r="L50" t="n">
        <v>2.899495</v>
      </c>
      <c r="M50" t="n">
        <v>2.899495</v>
      </c>
      <c r="N50" t="n">
        <v>2.899495</v>
      </c>
      <c r="O50" t="n">
        <v>-50.833365</v>
      </c>
      <c r="P50" t="n">
        <v>-184.825074</v>
      </c>
      <c r="Q50" t="n">
        <v>2.899495</v>
      </c>
      <c r="S50" t="n">
        <v>-50.833365</v>
      </c>
      <c r="U50" t="n">
        <v>91.52878800000001</v>
      </c>
      <c r="V50" t="n">
        <v>116.691946</v>
      </c>
      <c r="W50" t="n">
        <v>929.622982</v>
      </c>
      <c r="X50" t="n">
        <v>3.093013</v>
      </c>
    </row>
    <row r="51" ht="36" customHeight="1">
      <c r="A51" t="inlineStr">
        <is>
          <t>Scombridae</t>
        </is>
      </c>
      <c r="B51" t="n">
        <v>4.26</v>
      </c>
      <c r="C51" t="n">
        <v>1819.700859</v>
      </c>
      <c r="D51" s="10" t="inlineStr">
        <is>
          <t>Chub mackerel | Other large pelagic fish</t>
        </is>
      </c>
      <c r="E51" t="n">
        <v>100.341534</v>
      </c>
      <c r="F51" t="n">
        <v>476.852449</v>
      </c>
      <c r="G51" t="n">
        <v>441.18128</v>
      </c>
      <c r="H51" t="n">
        <v>1304.391001</v>
      </c>
      <c r="I51" t="n">
        <v>1228.864008</v>
      </c>
      <c r="J51" t="n">
        <v>1235.988372</v>
      </c>
      <c r="K51" t="n">
        <v>277.458584</v>
      </c>
      <c r="L51" t="n">
        <v>1743.328063</v>
      </c>
      <c r="M51" t="n">
        <v>1743.328063</v>
      </c>
      <c r="N51" t="n">
        <v>1743.328063</v>
      </c>
      <c r="O51" t="n">
        <v>-381.458172</v>
      </c>
      <c r="P51" t="n">
        <v>-587.289696</v>
      </c>
      <c r="Q51" t="n">
        <v>1743.328063</v>
      </c>
      <c r="S51" t="n">
        <v>-381.458172</v>
      </c>
      <c r="U51" t="n">
        <v>394.137707</v>
      </c>
      <c r="V51" t="n">
        <v>410.843225</v>
      </c>
      <c r="W51" t="n">
        <v>8287.677616000001</v>
      </c>
      <c r="X51" t="n">
        <v>1998.972914</v>
      </c>
    </row>
    <row r="52" ht="21" customHeight="1">
      <c r="A52" t="inlineStr">
        <is>
          <t>Cilus gilberti</t>
        </is>
      </c>
      <c r="B52" t="n">
        <v>3.67</v>
      </c>
      <c r="C52" t="n">
        <v>467.735141</v>
      </c>
      <c r="D52" s="10" t="inlineStr">
        <is>
          <t>Medium sciaenids</t>
        </is>
      </c>
      <c r="E52" t="n">
        <v>100.341534</v>
      </c>
      <c r="F52" t="n">
        <v>206.3558</v>
      </c>
      <c r="G52" t="n">
        <v>193.059284</v>
      </c>
      <c r="H52" t="n">
        <v>691.739437</v>
      </c>
      <c r="I52" t="n">
        <v>3058.91003</v>
      </c>
      <c r="J52" t="n">
        <v>3060.060891</v>
      </c>
      <c r="K52" t="n">
        <v>2172.097992</v>
      </c>
      <c r="L52" t="n">
        <v>4951.016719</v>
      </c>
      <c r="M52" t="n">
        <v>4951.016719</v>
      </c>
      <c r="N52" t="n">
        <v>4951.016719</v>
      </c>
      <c r="O52" t="n">
        <v>-356.787684</v>
      </c>
      <c r="P52" t="n">
        <v>-840.778865</v>
      </c>
      <c r="Q52" t="n">
        <v>4951.016719</v>
      </c>
      <c r="S52" t="n">
        <v>-356.787684</v>
      </c>
      <c r="U52" t="n">
        <v>454.55452</v>
      </c>
      <c r="V52" t="n">
        <v>549.444451</v>
      </c>
      <c r="W52" t="n">
        <v>8379.750055</v>
      </c>
      <c r="X52" t="n">
        <v>5872.867166</v>
      </c>
    </row>
    <row r="53" ht="21" customHeight="1">
      <c r="A53" t="inlineStr">
        <is>
          <t>Pleuronectiformes</t>
        </is>
      </c>
      <c r="B53" t="n">
        <v>3.57</v>
      </c>
      <c r="C53" t="n">
        <v>371.535229</v>
      </c>
      <c r="D53" s="10" t="inlineStr">
        <is>
          <t>Flatfish</t>
        </is>
      </c>
      <c r="E53" t="n">
        <v>100.341534</v>
      </c>
      <c r="F53" t="n">
        <v>734.481858</v>
      </c>
      <c r="G53" t="n">
        <v>676.339308</v>
      </c>
      <c r="H53" t="n">
        <v>2059.00128</v>
      </c>
      <c r="I53" t="n">
        <v>348.100268</v>
      </c>
      <c r="J53" t="n">
        <v>348.100268</v>
      </c>
      <c r="K53" t="n">
        <v>346.519469</v>
      </c>
      <c r="L53" t="n">
        <v>354.754813</v>
      </c>
      <c r="M53" t="n">
        <v>354.754813</v>
      </c>
      <c r="N53" t="n">
        <v>354.754813</v>
      </c>
      <c r="O53" t="n">
        <v>-898.853069</v>
      </c>
      <c r="P53" t="n">
        <v>-1857.796138</v>
      </c>
      <c r="Q53" t="n">
        <v>354.754813</v>
      </c>
      <c r="S53" t="n">
        <v>-898.853069</v>
      </c>
      <c r="U53" t="n">
        <v>998.77079</v>
      </c>
      <c r="V53" t="n">
        <v>1204.597703</v>
      </c>
      <c r="W53" t="n">
        <v>19477.73429</v>
      </c>
      <c r="X53" t="n">
        <v>404.581425</v>
      </c>
    </row>
    <row r="54" ht="21" customHeight="1">
      <c r="A54" t="inlineStr">
        <is>
          <t>Sprattus fuegensis</t>
        </is>
      </c>
      <c r="B54" t="n">
        <v>3.4</v>
      </c>
      <c r="C54" t="n">
        <v>251.188643</v>
      </c>
      <c r="D54" s="10" t="inlineStr">
        <is>
          <t>Other small pelagic fish</t>
        </is>
      </c>
      <c r="E54" t="n">
        <v>100.341534</v>
      </c>
      <c r="F54" t="n">
        <v>55.911353</v>
      </c>
      <c r="G54" t="n">
        <v>53.169346</v>
      </c>
      <c r="H54" t="n">
        <v>129.345644</v>
      </c>
      <c r="I54" t="n">
        <v>37.208913</v>
      </c>
      <c r="J54" t="n">
        <v>37.208913</v>
      </c>
      <c r="K54" t="n">
        <v>33.488021</v>
      </c>
      <c r="L54" t="n">
        <v>47.38007</v>
      </c>
      <c r="M54" t="n">
        <v>47.38007</v>
      </c>
      <c r="N54" t="n">
        <v>47.38007</v>
      </c>
      <c r="O54" t="n">
        <v>-40.644634</v>
      </c>
      <c r="P54" t="n">
        <v>-77.00011499999999</v>
      </c>
      <c r="Q54" t="n">
        <v>47.38007</v>
      </c>
      <c r="S54" t="n">
        <v>-40.644634</v>
      </c>
      <c r="U54" t="n">
        <v>57.096937</v>
      </c>
      <c r="V54" t="n">
        <v>61.654006</v>
      </c>
      <c r="W54" t="n">
        <v>1242.265249</v>
      </c>
      <c r="X54" t="n">
        <v>52.602205</v>
      </c>
    </row>
    <row r="55" ht="21" customHeight="1">
      <c r="A55" t="inlineStr">
        <is>
          <t>Prionace glauca</t>
        </is>
      </c>
      <c r="B55" t="n">
        <v>4.35</v>
      </c>
      <c r="C55" t="n">
        <v>2238.721139</v>
      </c>
      <c r="D55" s="10" t="inlineStr">
        <is>
          <t>Chondrichthyans</t>
        </is>
      </c>
      <c r="E55" t="n">
        <v>100.341534</v>
      </c>
      <c r="F55" t="n">
        <v>2800.516289</v>
      </c>
      <c r="G55" t="n">
        <v>2536.048955</v>
      </c>
      <c r="H55" t="n">
        <v>9821.426826999999</v>
      </c>
      <c r="I55" t="n">
        <v>3417.612265</v>
      </c>
      <c r="J55" t="n">
        <v>3623.32641</v>
      </c>
      <c r="K55" t="n">
        <v>2044.394086</v>
      </c>
      <c r="L55" t="n">
        <v>7596.014295</v>
      </c>
      <c r="M55" t="n">
        <v>7596.014295</v>
      </c>
      <c r="N55" t="n">
        <v>7596.014295</v>
      </c>
      <c r="O55" t="n">
        <v>-1524.487508</v>
      </c>
      <c r="P55" t="n">
        <v>-1803.683294</v>
      </c>
      <c r="Q55" t="n">
        <v>7596.014295</v>
      </c>
      <c r="S55" t="n">
        <v>-1524.487508</v>
      </c>
      <c r="U55" t="n">
        <v>1166.999333</v>
      </c>
      <c r="V55" t="n">
        <v>1235.00506</v>
      </c>
      <c r="W55" t="n">
        <v>32229.818329</v>
      </c>
      <c r="X55" t="n">
        <v>9391.662139</v>
      </c>
    </row>
    <row r="56" ht="21" customHeight="1">
      <c r="A56" t="inlineStr">
        <is>
          <t>Isacia conceptionis</t>
        </is>
      </c>
      <c r="B56" t="n">
        <v>2.91</v>
      </c>
      <c r="C56" t="n">
        <v>81.283052</v>
      </c>
      <c r="D56" s="10" t="inlineStr">
        <is>
          <t>Medium demersal fish</t>
        </is>
      </c>
      <c r="E56" t="n">
        <v>100.341534</v>
      </c>
      <c r="F56" t="n">
        <v>150.446864</v>
      </c>
      <c r="G56" t="n">
        <v>141.309763</v>
      </c>
      <c r="H56" t="n">
        <v>345.608481</v>
      </c>
      <c r="I56" t="n">
        <v>95.134595</v>
      </c>
      <c r="J56" t="n">
        <v>95.68003899999999</v>
      </c>
      <c r="K56" t="n">
        <v>78.47268099999999</v>
      </c>
      <c r="L56" t="n">
        <v>85.358492</v>
      </c>
      <c r="M56" t="n">
        <v>85.358492</v>
      </c>
      <c r="N56" t="n">
        <v>85.358492</v>
      </c>
      <c r="O56" t="n">
        <v>-290.0196</v>
      </c>
      <c r="P56" t="n">
        <v>-770.353084</v>
      </c>
      <c r="Q56" t="n">
        <v>85.358492</v>
      </c>
      <c r="S56" t="n">
        <v>-290.0196</v>
      </c>
      <c r="U56" t="n">
        <v>400.586214</v>
      </c>
      <c r="V56" t="n">
        <v>495.192523</v>
      </c>
      <c r="W56" t="n">
        <v>4943.256156</v>
      </c>
      <c r="X56" t="n">
        <v>95.427959</v>
      </c>
    </row>
    <row r="57" ht="21" customHeight="1">
      <c r="A57" t="inlineStr">
        <is>
          <t>Genypterus maculatus</t>
        </is>
      </c>
      <c r="B57" t="n">
        <v>3.48</v>
      </c>
      <c r="C57" t="n">
        <v>301.995172</v>
      </c>
      <c r="D57" s="10" t="inlineStr">
        <is>
          <t>Unresolved</t>
        </is>
      </c>
    </row>
    <row r="58" ht="21" customHeight="1">
      <c r="A58" t="inlineStr">
        <is>
          <t>Batoidea</t>
        </is>
      </c>
      <c r="B58" t="n">
        <v>3.72</v>
      </c>
      <c r="C58" t="n">
        <v>524.80746</v>
      </c>
      <c r="D58" s="10" t="inlineStr">
        <is>
          <t>Benthic elasmobranchs</t>
        </is>
      </c>
      <c r="E58" t="n">
        <v>100.341534</v>
      </c>
      <c r="F58" t="n">
        <v>227.672107</v>
      </c>
      <c r="G58" t="n">
        <v>212.74056</v>
      </c>
      <c r="H58" t="n">
        <v>1454.477274</v>
      </c>
      <c r="I58" t="n">
        <v>5850.040026</v>
      </c>
      <c r="J58" t="n">
        <v>5861.611252</v>
      </c>
      <c r="K58" t="n">
        <v>3861.19455</v>
      </c>
      <c r="L58" t="n">
        <v>7955.355087</v>
      </c>
      <c r="M58" t="n">
        <v>7955.355087</v>
      </c>
      <c r="N58" t="n">
        <v>7955.355087</v>
      </c>
      <c r="O58" t="n">
        <v>-475.304228</v>
      </c>
      <c r="P58" t="n">
        <v>-1034.602781</v>
      </c>
      <c r="Q58" t="n">
        <v>7955.355087</v>
      </c>
      <c r="S58" t="n">
        <v>-475.304228</v>
      </c>
      <c r="U58" t="n">
        <v>558.607592</v>
      </c>
      <c r="V58" t="n">
        <v>673.429313</v>
      </c>
      <c r="W58" t="n">
        <v>8955.769672</v>
      </c>
      <c r="X58" t="n">
        <v>9372.190554999999</v>
      </c>
    </row>
    <row r="59" ht="21" customHeight="1">
      <c r="A59" t="inlineStr">
        <is>
          <t>Pyura chilensis</t>
        </is>
      </c>
      <c r="B59" t="n">
        <v>3</v>
      </c>
      <c r="C59" t="n">
        <v>100</v>
      </c>
      <c r="D59" s="10" t="inlineStr">
        <is>
          <t>Macrobenthos</t>
        </is>
      </c>
      <c r="E59" t="n">
        <v>100.341534</v>
      </c>
      <c r="F59" t="n">
        <v>10</v>
      </c>
      <c r="G59" t="n">
        <v>9.716343999999999</v>
      </c>
      <c r="H59" t="n">
        <v>9.230527</v>
      </c>
      <c r="I59" t="n">
        <v>10.017358</v>
      </c>
      <c r="J59" t="n">
        <v>10.017358</v>
      </c>
      <c r="K59" t="n">
        <v>7.916667</v>
      </c>
      <c r="L59" t="n">
        <v>2.899495</v>
      </c>
      <c r="M59" t="n">
        <v>2.899495</v>
      </c>
      <c r="N59" t="n">
        <v>2.899495</v>
      </c>
      <c r="O59" t="n">
        <v>-50.833365</v>
      </c>
      <c r="P59" t="n">
        <v>-184.825074</v>
      </c>
      <c r="Q59" t="n">
        <v>2.899495</v>
      </c>
      <c r="S59" t="n">
        <v>-50.833365</v>
      </c>
      <c r="U59" t="n">
        <v>91.52878800000001</v>
      </c>
      <c r="V59" t="n">
        <v>116.691946</v>
      </c>
      <c r="W59" t="n">
        <v>929.622982</v>
      </c>
      <c r="X59" t="n">
        <v>3.093013</v>
      </c>
    </row>
    <row r="60" ht="21" customHeight="1">
      <c r="A60" t="inlineStr">
        <is>
          <t>Dissostichus eleginoides</t>
        </is>
      </c>
      <c r="B60" t="n">
        <v>3.96</v>
      </c>
      <c r="C60" t="n">
        <v>912.010839</v>
      </c>
      <c r="D60" s="10" t="inlineStr">
        <is>
          <t>Unresolved</t>
        </is>
      </c>
    </row>
    <row r="61" ht="21" customHeight="1">
      <c r="A61" t="inlineStr">
        <is>
          <t>Semele solida</t>
        </is>
      </c>
      <c r="B61" t="n">
        <v>2</v>
      </c>
      <c r="C61" t="n">
        <v>10</v>
      </c>
      <c r="D61" s="10" t="inlineStr">
        <is>
          <t>Macrobenthos</t>
        </is>
      </c>
      <c r="E61" t="n">
        <v>100.341534</v>
      </c>
      <c r="F61" t="n">
        <v>10</v>
      </c>
      <c r="G61" t="n">
        <v>9.716343999999999</v>
      </c>
      <c r="H61" t="n">
        <v>9.230527</v>
      </c>
      <c r="I61" t="n">
        <v>10.017358</v>
      </c>
      <c r="J61" t="n">
        <v>10.017358</v>
      </c>
      <c r="K61" t="n">
        <v>7.916667</v>
      </c>
      <c r="L61" t="n">
        <v>2.899495</v>
      </c>
      <c r="M61" t="n">
        <v>2.899495</v>
      </c>
      <c r="N61" t="n">
        <v>2.899495</v>
      </c>
      <c r="O61" t="n">
        <v>-50.833365</v>
      </c>
      <c r="P61" t="n">
        <v>-184.825074</v>
      </c>
      <c r="Q61" t="n">
        <v>2.899495</v>
      </c>
      <c r="S61" t="n">
        <v>-50.833365</v>
      </c>
      <c r="U61" t="n">
        <v>91.52878800000001</v>
      </c>
      <c r="V61" t="n">
        <v>116.691946</v>
      </c>
      <c r="W61" t="n">
        <v>929.622982</v>
      </c>
      <c r="X61" t="n">
        <v>3.093013</v>
      </c>
    </row>
    <row r="62" ht="21" customHeight="1">
      <c r="A62" t="inlineStr">
        <is>
          <t>Ophichthus</t>
        </is>
      </c>
      <c r="B62" t="n">
        <v>4.05</v>
      </c>
      <c r="C62" t="n">
        <v>1122.018454</v>
      </c>
      <c r="D62" s="10" t="inlineStr">
        <is>
          <t>Unresolved</t>
        </is>
      </c>
    </row>
    <row r="63" ht="21" customHeight="1">
      <c r="A63" t="inlineStr">
        <is>
          <t>Xiphias gladius</t>
        </is>
      </c>
      <c r="B63" t="n">
        <v>4.53</v>
      </c>
      <c r="C63" t="n">
        <v>3388.441561</v>
      </c>
      <c r="D63" s="10" t="inlineStr">
        <is>
          <t>Unresolved</t>
        </is>
      </c>
    </row>
    <row r="64" ht="21" customHeight="1">
      <c r="A64" t="inlineStr">
        <is>
          <t>Tawera gayi</t>
        </is>
      </c>
      <c r="B64" t="n">
        <v>2</v>
      </c>
      <c r="C64" t="n">
        <v>10</v>
      </c>
      <c r="D64" s="10" t="inlineStr">
        <is>
          <t>Macrobenthos</t>
        </is>
      </c>
      <c r="E64" t="n">
        <v>100.341534</v>
      </c>
      <c r="F64" t="n">
        <v>10</v>
      </c>
      <c r="G64" t="n">
        <v>9.716343999999999</v>
      </c>
      <c r="H64" t="n">
        <v>9.230527</v>
      </c>
      <c r="I64" t="n">
        <v>10.017358</v>
      </c>
      <c r="J64" t="n">
        <v>10.017358</v>
      </c>
      <c r="K64" t="n">
        <v>7.916667</v>
      </c>
      <c r="L64" t="n">
        <v>2.899495</v>
      </c>
      <c r="M64" t="n">
        <v>2.899495</v>
      </c>
      <c r="N64" t="n">
        <v>2.899495</v>
      </c>
      <c r="O64" t="n">
        <v>-50.833365</v>
      </c>
      <c r="P64" t="n">
        <v>-184.825074</v>
      </c>
      <c r="Q64" t="n">
        <v>2.899495</v>
      </c>
      <c r="S64" t="n">
        <v>-50.833365</v>
      </c>
      <c r="U64" t="n">
        <v>91.52878800000001</v>
      </c>
      <c r="V64" t="n">
        <v>116.691946</v>
      </c>
      <c r="W64" t="n">
        <v>929.622982</v>
      </c>
      <c r="X64" t="n">
        <v>3.093013</v>
      </c>
    </row>
    <row r="65" ht="21" customHeight="1">
      <c r="A65" t="inlineStr">
        <is>
          <t>Paralomis granulosa</t>
        </is>
      </c>
      <c r="B65" t="n">
        <v>2.3</v>
      </c>
      <c r="C65" t="n">
        <v>19.952623</v>
      </c>
      <c r="D65" s="10" t="inlineStr">
        <is>
          <t>Macrobenthos</t>
        </is>
      </c>
      <c r="E65" t="n">
        <v>100.341534</v>
      </c>
      <c r="F65" t="n">
        <v>10</v>
      </c>
      <c r="G65" t="n">
        <v>9.716343999999999</v>
      </c>
      <c r="H65" t="n">
        <v>9.230527</v>
      </c>
      <c r="I65" t="n">
        <v>10.017358</v>
      </c>
      <c r="J65" t="n">
        <v>10.017358</v>
      </c>
      <c r="K65" t="n">
        <v>7.916667</v>
      </c>
      <c r="L65" t="n">
        <v>2.899495</v>
      </c>
      <c r="M65" t="n">
        <v>2.899495</v>
      </c>
      <c r="N65" t="n">
        <v>2.899495</v>
      </c>
      <c r="O65" t="n">
        <v>-50.833365</v>
      </c>
      <c r="P65" t="n">
        <v>-184.825074</v>
      </c>
      <c r="Q65" t="n">
        <v>2.899495</v>
      </c>
      <c r="S65" t="n">
        <v>-50.833365</v>
      </c>
      <c r="U65" t="n">
        <v>91.52878800000001</v>
      </c>
      <c r="V65" t="n">
        <v>116.691946</v>
      </c>
      <c r="W65" t="n">
        <v>929.622982</v>
      </c>
      <c r="X65" t="n">
        <v>3.093013</v>
      </c>
    </row>
    <row r="66" ht="21" customHeight="1">
      <c r="A66" t="inlineStr">
        <is>
          <t>Isurus oxyrinchus</t>
        </is>
      </c>
      <c r="B66" t="n">
        <v>4.5</v>
      </c>
      <c r="C66" t="n">
        <v>3162.27766</v>
      </c>
      <c r="D66" s="10" t="inlineStr">
        <is>
          <t>Chondrichthyans</t>
        </is>
      </c>
      <c r="E66" t="n">
        <v>100.341534</v>
      </c>
      <c r="F66" t="n">
        <v>2800.516289</v>
      </c>
      <c r="G66" t="n">
        <v>2536.048955</v>
      </c>
      <c r="H66" t="n">
        <v>9821.426826999999</v>
      </c>
      <c r="I66" t="n">
        <v>3417.612265</v>
      </c>
      <c r="J66" t="n">
        <v>3623.32641</v>
      </c>
      <c r="K66" t="n">
        <v>2044.394086</v>
      </c>
      <c r="L66" t="n">
        <v>7596.014295</v>
      </c>
      <c r="M66" t="n">
        <v>7596.014295</v>
      </c>
      <c r="N66" t="n">
        <v>7596.014295</v>
      </c>
      <c r="O66" t="n">
        <v>-1524.487508</v>
      </c>
      <c r="P66" t="n">
        <v>-1803.683294</v>
      </c>
      <c r="Q66" t="n">
        <v>7596.014295</v>
      </c>
      <c r="S66" t="n">
        <v>-1524.487508</v>
      </c>
      <c r="U66" t="n">
        <v>1166.999333</v>
      </c>
      <c r="V66" t="n">
        <v>1235.00506</v>
      </c>
      <c r="W66" t="n">
        <v>32229.818329</v>
      </c>
      <c r="X66" t="n">
        <v>9391.662139</v>
      </c>
    </row>
    <row r="67" ht="21" customHeight="1">
      <c r="A67" t="inlineStr">
        <is>
          <t>Lithodes</t>
        </is>
      </c>
      <c r="D67" s="10" t="inlineStr">
        <is>
          <t>Macrobenthos</t>
        </is>
      </c>
      <c r="E67" t="n">
        <v>100.341534</v>
      </c>
      <c r="F67" t="n">
        <v>10</v>
      </c>
      <c r="G67" t="n">
        <v>9.716343999999999</v>
      </c>
      <c r="H67" t="n">
        <v>9.230527</v>
      </c>
      <c r="I67" t="n">
        <v>10.017358</v>
      </c>
      <c r="J67" t="n">
        <v>10.017358</v>
      </c>
      <c r="K67" t="n">
        <v>7.916667</v>
      </c>
      <c r="L67" t="n">
        <v>2.899495</v>
      </c>
      <c r="M67" t="n">
        <v>2.899495</v>
      </c>
      <c r="N67" t="n">
        <v>2.899495</v>
      </c>
      <c r="O67" t="n">
        <v>-50.833365</v>
      </c>
      <c r="P67" t="n">
        <v>-184.825074</v>
      </c>
      <c r="Q67" t="n">
        <v>2.899495</v>
      </c>
      <c r="S67" t="n">
        <v>-50.833365</v>
      </c>
      <c r="U67" t="n">
        <v>91.52878800000001</v>
      </c>
      <c r="V67" t="n">
        <v>116.691946</v>
      </c>
      <c r="W67" t="n">
        <v>929.622982</v>
      </c>
      <c r="X67" t="n">
        <v>3.093013</v>
      </c>
    </row>
    <row r="68" ht="21" customHeight="1">
      <c r="A68" t="inlineStr">
        <is>
          <t>Caulolatilus</t>
        </is>
      </c>
      <c r="B68" t="n">
        <v>4.28</v>
      </c>
      <c r="C68" t="n">
        <v>1905.460718</v>
      </c>
      <c r="D68" s="10" t="inlineStr">
        <is>
          <t>Medium demersal fish</t>
        </is>
      </c>
      <c r="E68" t="n">
        <v>100.341534</v>
      </c>
      <c r="F68" t="n">
        <v>150.446864</v>
      </c>
      <c r="G68" t="n">
        <v>141.309763</v>
      </c>
      <c r="H68" t="n">
        <v>345.608481</v>
      </c>
      <c r="I68" t="n">
        <v>95.134595</v>
      </c>
      <c r="J68" t="n">
        <v>95.68003899999999</v>
      </c>
      <c r="K68" t="n">
        <v>78.47268099999999</v>
      </c>
      <c r="L68" t="n">
        <v>85.358492</v>
      </c>
      <c r="M68" t="n">
        <v>85.358492</v>
      </c>
      <c r="N68" t="n">
        <v>85.358492</v>
      </c>
      <c r="O68" t="n">
        <v>-290.0196</v>
      </c>
      <c r="P68" t="n">
        <v>-770.353084</v>
      </c>
      <c r="Q68" t="n">
        <v>85.358492</v>
      </c>
      <c r="S68" t="n">
        <v>-290.0196</v>
      </c>
      <c r="U68" t="n">
        <v>400.586214</v>
      </c>
      <c r="V68" t="n">
        <v>495.192523</v>
      </c>
      <c r="W68" t="n">
        <v>4943.256156</v>
      </c>
      <c r="X68" t="n">
        <v>95.427959</v>
      </c>
    </row>
    <row r="69" ht="21" customHeight="1">
      <c r="A69" t="inlineStr">
        <is>
          <t>Salilota australis</t>
        </is>
      </c>
      <c r="D69" s="10" t="inlineStr">
        <is>
          <t>Unresolved</t>
        </is>
      </c>
    </row>
    <row r="70" ht="21" customHeight="1">
      <c r="A70" t="inlineStr">
        <is>
          <t>Pseudobatos planiceps</t>
        </is>
      </c>
      <c r="B70" t="n">
        <v>3.56</v>
      </c>
      <c r="C70" t="n">
        <v>363.078055</v>
      </c>
      <c r="D70" s="10" t="inlineStr">
        <is>
          <t>Benthic elasmobranchs</t>
        </is>
      </c>
      <c r="E70" t="n">
        <v>100.341534</v>
      </c>
      <c r="F70" t="n">
        <v>227.672107</v>
      </c>
      <c r="G70" t="n">
        <v>212.74056</v>
      </c>
      <c r="H70" t="n">
        <v>1454.477274</v>
      </c>
      <c r="I70" t="n">
        <v>5850.040026</v>
      </c>
      <c r="J70" t="n">
        <v>5861.611252</v>
      </c>
      <c r="K70" t="n">
        <v>3861.19455</v>
      </c>
      <c r="L70" t="n">
        <v>7955.355087</v>
      </c>
      <c r="M70" t="n">
        <v>7955.355087</v>
      </c>
      <c r="N70" t="n">
        <v>7955.355087</v>
      </c>
      <c r="O70" t="n">
        <v>-475.304228</v>
      </c>
      <c r="P70" t="n">
        <v>-1034.602781</v>
      </c>
      <c r="Q70" t="n">
        <v>7955.355087</v>
      </c>
      <c r="S70" t="n">
        <v>-475.304228</v>
      </c>
      <c r="U70" t="n">
        <v>558.607592</v>
      </c>
      <c r="V70" t="n">
        <v>673.429313</v>
      </c>
      <c r="W70" t="n">
        <v>8955.769672</v>
      </c>
      <c r="X70" t="n">
        <v>9372.190554999999</v>
      </c>
    </row>
    <row r="71" ht="36" customHeight="1">
      <c r="A71" t="inlineStr">
        <is>
          <t>Marine pelagic fishes not identified</t>
        </is>
      </c>
      <c r="B71" t="n">
        <v>3.35</v>
      </c>
      <c r="C71" t="n">
        <v>223.872114</v>
      </c>
      <c r="D71" s="10" t="inlineStr">
        <is>
          <t>Other small pelagic fish | Other large pelagic fish</t>
        </is>
      </c>
      <c r="E71" t="n">
        <v>100.341534</v>
      </c>
      <c r="F71" t="n">
        <v>373.97742</v>
      </c>
      <c r="G71" t="n">
        <v>345.322645</v>
      </c>
      <c r="H71" t="n">
        <v>986.824485</v>
      </c>
      <c r="I71" t="n">
        <v>357.62949</v>
      </c>
      <c r="J71" t="n">
        <v>368.624068</v>
      </c>
      <c r="K71" t="n">
        <v>203.94681</v>
      </c>
      <c r="L71" t="n">
        <v>636.443703</v>
      </c>
      <c r="M71" t="n">
        <v>636.443703</v>
      </c>
      <c r="N71" t="n">
        <v>636.443703</v>
      </c>
      <c r="O71" t="n">
        <v>-250.482539</v>
      </c>
      <c r="P71" t="n">
        <v>-379.448778</v>
      </c>
      <c r="Q71" t="n">
        <v>636.443703</v>
      </c>
      <c r="S71" t="n">
        <v>-250.482539</v>
      </c>
      <c r="U71" t="n">
        <v>260.785712</v>
      </c>
      <c r="V71" t="n">
        <v>272.962663</v>
      </c>
      <c r="W71" t="n">
        <v>5658.015633</v>
      </c>
      <c r="X71" t="n">
        <v>761.879743</v>
      </c>
    </row>
    <row r="72" ht="21" customHeight="1">
      <c r="A72" t="inlineStr">
        <is>
          <t>Coryphaena</t>
        </is>
      </c>
      <c r="B72" t="n">
        <v>4.49</v>
      </c>
      <c r="C72" t="n">
        <v>3090.295433</v>
      </c>
      <c r="D72" s="10" t="inlineStr">
        <is>
          <t>Other large pelagic fish</t>
        </is>
      </c>
      <c r="E72" t="n">
        <v>100.341534</v>
      </c>
      <c r="F72" t="n">
        <v>721.5611730000001</v>
      </c>
      <c r="G72" t="n">
        <v>664.588831</v>
      </c>
      <c r="H72" t="n">
        <v>1923.880477</v>
      </c>
      <c r="I72" t="n">
        <v>707.786261</v>
      </c>
      <c r="J72" t="n">
        <v>730.795754</v>
      </c>
      <c r="K72" t="n">
        <v>390.224794</v>
      </c>
      <c r="L72" t="n">
        <v>1280.174581</v>
      </c>
      <c r="M72" t="n">
        <v>1280.174581</v>
      </c>
      <c r="N72" t="n">
        <v>1280.174581</v>
      </c>
      <c r="O72" t="n">
        <v>-479.794164</v>
      </c>
      <c r="P72" t="n">
        <v>-709.965776</v>
      </c>
      <c r="Q72" t="n">
        <v>1280.174581</v>
      </c>
      <c r="S72" t="n">
        <v>-479.794164</v>
      </c>
      <c r="U72" t="n">
        <v>483.377545</v>
      </c>
      <c r="V72" t="n">
        <v>503.881531</v>
      </c>
      <c r="W72" t="n">
        <v>10483.563691</v>
      </c>
      <c r="X72" t="n">
        <v>1536.980814</v>
      </c>
    </row>
    <row r="73" ht="21" customHeight="1">
      <c r="A73" t="inlineStr">
        <is>
          <t>Paralichthys microps</t>
        </is>
      </c>
      <c r="B73" t="n">
        <v>4.04</v>
      </c>
      <c r="C73" t="n">
        <v>1096.478196</v>
      </c>
      <c r="D73" s="10" t="inlineStr">
        <is>
          <t>Flatfish</t>
        </is>
      </c>
      <c r="E73" t="n">
        <v>100.341534</v>
      </c>
      <c r="F73" t="n">
        <v>734.481858</v>
      </c>
      <c r="G73" t="n">
        <v>676.339308</v>
      </c>
      <c r="H73" t="n">
        <v>2059.00128</v>
      </c>
      <c r="I73" t="n">
        <v>348.100268</v>
      </c>
      <c r="J73" t="n">
        <v>348.100268</v>
      </c>
      <c r="K73" t="n">
        <v>346.519469</v>
      </c>
      <c r="L73" t="n">
        <v>354.754813</v>
      </c>
      <c r="M73" t="n">
        <v>354.754813</v>
      </c>
      <c r="N73" t="n">
        <v>354.754813</v>
      </c>
      <c r="O73" t="n">
        <v>-898.853069</v>
      </c>
      <c r="P73" t="n">
        <v>-1857.796138</v>
      </c>
      <c r="Q73" t="n">
        <v>354.754813</v>
      </c>
      <c r="S73" t="n">
        <v>-898.853069</v>
      </c>
      <c r="U73" t="n">
        <v>998.77079</v>
      </c>
      <c r="V73" t="n">
        <v>1204.597703</v>
      </c>
      <c r="W73" t="n">
        <v>19477.73429</v>
      </c>
      <c r="X73" t="n">
        <v>404.581425</v>
      </c>
    </row>
    <row r="74" ht="21" customHeight="1">
      <c r="A74" t="inlineStr">
        <is>
          <t>Selene peruviana</t>
        </is>
      </c>
      <c r="B74" t="n">
        <v>4.26</v>
      </c>
      <c r="C74" t="n">
        <v>1819.700859</v>
      </c>
      <c r="D74" s="10" t="inlineStr">
        <is>
          <t>Other small pelagic fish</t>
        </is>
      </c>
      <c r="E74" t="n">
        <v>100.341534</v>
      </c>
      <c r="F74" t="n">
        <v>55.911353</v>
      </c>
      <c r="G74" t="n">
        <v>53.169346</v>
      </c>
      <c r="H74" t="n">
        <v>129.345644</v>
      </c>
      <c r="I74" t="n">
        <v>37.208913</v>
      </c>
      <c r="J74" t="n">
        <v>37.208913</v>
      </c>
      <c r="K74" t="n">
        <v>33.488021</v>
      </c>
      <c r="L74" t="n">
        <v>47.38007</v>
      </c>
      <c r="M74" t="n">
        <v>47.38007</v>
      </c>
      <c r="N74" t="n">
        <v>47.38007</v>
      </c>
      <c r="O74" t="n">
        <v>-40.644634</v>
      </c>
      <c r="P74" t="n">
        <v>-77.00011499999999</v>
      </c>
      <c r="Q74" t="n">
        <v>47.38007</v>
      </c>
      <c r="S74" t="n">
        <v>-40.644634</v>
      </c>
      <c r="U74" t="n">
        <v>57.096937</v>
      </c>
      <c r="V74" t="n">
        <v>61.654006</v>
      </c>
      <c r="W74" t="n">
        <v>1242.265249</v>
      </c>
      <c r="X74" t="n">
        <v>52.602205</v>
      </c>
    </row>
    <row r="75" ht="21" customHeight="1">
      <c r="A75" t="inlineStr">
        <is>
          <t>Lithodes santolla</t>
        </is>
      </c>
      <c r="B75" t="n">
        <v>2.5</v>
      </c>
      <c r="C75" t="n">
        <v>31.622777</v>
      </c>
      <c r="D75" s="10" t="inlineStr">
        <is>
          <t>Macrobenthos</t>
        </is>
      </c>
      <c r="E75" t="n">
        <v>100.341534</v>
      </c>
      <c r="F75" t="n">
        <v>10</v>
      </c>
      <c r="G75" t="n">
        <v>9.716343999999999</v>
      </c>
      <c r="H75" t="n">
        <v>9.230527</v>
      </c>
      <c r="I75" t="n">
        <v>10.017358</v>
      </c>
      <c r="J75" t="n">
        <v>10.017358</v>
      </c>
      <c r="K75" t="n">
        <v>7.916667</v>
      </c>
      <c r="L75" t="n">
        <v>2.899495</v>
      </c>
      <c r="M75" t="n">
        <v>2.899495</v>
      </c>
      <c r="N75" t="n">
        <v>2.899495</v>
      </c>
      <c r="O75" t="n">
        <v>-50.833365</v>
      </c>
      <c r="P75" t="n">
        <v>-184.825074</v>
      </c>
      <c r="Q75" t="n">
        <v>2.899495</v>
      </c>
      <c r="S75" t="n">
        <v>-50.833365</v>
      </c>
      <c r="U75" t="n">
        <v>91.52878800000001</v>
      </c>
      <c r="V75" t="n">
        <v>116.691946</v>
      </c>
      <c r="W75" t="n">
        <v>929.622982</v>
      </c>
      <c r="X75" t="n">
        <v>3.093013</v>
      </c>
    </row>
    <row r="76" ht="21" customHeight="1">
      <c r="A76" t="inlineStr">
        <is>
          <t>Scomberomorus sierra</t>
        </is>
      </c>
      <c r="B76" t="n">
        <v>4.49</v>
      </c>
      <c r="C76" t="n">
        <v>3090.295433</v>
      </c>
      <c r="D76" s="10" t="inlineStr">
        <is>
          <t>Other large pelagic fish</t>
        </is>
      </c>
      <c r="E76" t="n">
        <v>100.341534</v>
      </c>
      <c r="F76" t="n">
        <v>721.5611730000001</v>
      </c>
      <c r="G76" t="n">
        <v>664.588831</v>
      </c>
      <c r="H76" t="n">
        <v>1923.880477</v>
      </c>
      <c r="I76" t="n">
        <v>707.786261</v>
      </c>
      <c r="J76" t="n">
        <v>730.795754</v>
      </c>
      <c r="K76" t="n">
        <v>390.224794</v>
      </c>
      <c r="L76" t="n">
        <v>1280.174581</v>
      </c>
      <c r="M76" t="n">
        <v>1280.174581</v>
      </c>
      <c r="N76" t="n">
        <v>1280.174581</v>
      </c>
      <c r="O76" t="n">
        <v>-479.794164</v>
      </c>
      <c r="P76" t="n">
        <v>-709.965776</v>
      </c>
      <c r="Q76" t="n">
        <v>1280.174581</v>
      </c>
      <c r="S76" t="n">
        <v>-479.794164</v>
      </c>
      <c r="U76" t="n">
        <v>483.377545</v>
      </c>
      <c r="V76" t="n">
        <v>503.881531</v>
      </c>
      <c r="W76" t="n">
        <v>10483.563691</v>
      </c>
      <c r="X76" t="n">
        <v>1536.980814</v>
      </c>
    </row>
    <row r="77" ht="21" customHeight="1">
      <c r="A77" t="inlineStr">
        <is>
          <t>Paralichthyidae</t>
        </is>
      </c>
      <c r="B77" t="n">
        <v>4.06</v>
      </c>
      <c r="C77" t="n">
        <v>1148.153621</v>
      </c>
      <c r="D77" s="10" t="inlineStr">
        <is>
          <t>Flatfish</t>
        </is>
      </c>
      <c r="E77" t="n">
        <v>100.341534</v>
      </c>
      <c r="F77" t="n">
        <v>734.481858</v>
      </c>
      <c r="G77" t="n">
        <v>676.339308</v>
      </c>
      <c r="H77" t="n">
        <v>2059.00128</v>
      </c>
      <c r="I77" t="n">
        <v>348.100268</v>
      </c>
      <c r="J77" t="n">
        <v>348.100268</v>
      </c>
      <c r="K77" t="n">
        <v>346.519469</v>
      </c>
      <c r="L77" t="n">
        <v>354.754813</v>
      </c>
      <c r="M77" t="n">
        <v>354.754813</v>
      </c>
      <c r="N77" t="n">
        <v>354.754813</v>
      </c>
      <c r="O77" t="n">
        <v>-898.853069</v>
      </c>
      <c r="P77" t="n">
        <v>-1857.796138</v>
      </c>
      <c r="Q77" t="n">
        <v>354.754813</v>
      </c>
      <c r="S77" t="n">
        <v>-898.853069</v>
      </c>
      <c r="U77" t="n">
        <v>998.77079</v>
      </c>
      <c r="V77" t="n">
        <v>1204.597703</v>
      </c>
      <c r="W77" t="n">
        <v>19477.73429</v>
      </c>
      <c r="X77" t="n">
        <v>404.581425</v>
      </c>
    </row>
    <row r="78" ht="21" customHeight="1">
      <c r="A78" t="inlineStr">
        <is>
          <t>Larimus pacificus</t>
        </is>
      </c>
      <c r="B78" t="n">
        <v>4.46</v>
      </c>
      <c r="C78" t="n">
        <v>2884.031503</v>
      </c>
      <c r="D78" s="10" t="inlineStr">
        <is>
          <t>Medium sciaenids</t>
        </is>
      </c>
      <c r="E78" t="n">
        <v>100.341534</v>
      </c>
      <c r="F78" t="n">
        <v>206.3558</v>
      </c>
      <c r="G78" t="n">
        <v>193.059284</v>
      </c>
      <c r="H78" t="n">
        <v>691.739437</v>
      </c>
      <c r="I78" t="n">
        <v>3058.91003</v>
      </c>
      <c r="J78" t="n">
        <v>3060.060891</v>
      </c>
      <c r="K78" t="n">
        <v>2172.097992</v>
      </c>
      <c r="L78" t="n">
        <v>4951.016719</v>
      </c>
      <c r="M78" t="n">
        <v>4951.016719</v>
      </c>
      <c r="N78" t="n">
        <v>4951.016719</v>
      </c>
      <c r="O78" t="n">
        <v>-356.787684</v>
      </c>
      <c r="P78" t="n">
        <v>-840.778865</v>
      </c>
      <c r="Q78" t="n">
        <v>4951.016719</v>
      </c>
      <c r="S78" t="n">
        <v>-356.787684</v>
      </c>
      <c r="U78" t="n">
        <v>454.55452</v>
      </c>
      <c r="V78" t="n">
        <v>549.444451</v>
      </c>
      <c r="W78" t="n">
        <v>8379.750055</v>
      </c>
      <c r="X78" t="n">
        <v>5872.867166</v>
      </c>
    </row>
    <row r="79" ht="21" customHeight="1">
      <c r="A79" t="inlineStr">
        <is>
          <t>Mulinia</t>
        </is>
      </c>
      <c r="B79" t="n">
        <v>2</v>
      </c>
      <c r="C79" t="n">
        <v>10</v>
      </c>
      <c r="D79" s="10" t="inlineStr">
        <is>
          <t>Macrobenthos</t>
        </is>
      </c>
      <c r="E79" t="n">
        <v>100.341534</v>
      </c>
      <c r="F79" t="n">
        <v>10</v>
      </c>
      <c r="G79" t="n">
        <v>9.716343999999999</v>
      </c>
      <c r="H79" t="n">
        <v>9.230527</v>
      </c>
      <c r="I79" t="n">
        <v>10.017358</v>
      </c>
      <c r="J79" t="n">
        <v>10.017358</v>
      </c>
      <c r="K79" t="n">
        <v>7.916667</v>
      </c>
      <c r="L79" t="n">
        <v>2.899495</v>
      </c>
      <c r="M79" t="n">
        <v>2.899495</v>
      </c>
      <c r="N79" t="n">
        <v>2.899495</v>
      </c>
      <c r="O79" t="n">
        <v>-50.833365</v>
      </c>
      <c r="P79" t="n">
        <v>-184.825074</v>
      </c>
      <c r="Q79" t="n">
        <v>2.899495</v>
      </c>
      <c r="S79" t="n">
        <v>-50.833365</v>
      </c>
      <c r="U79" t="n">
        <v>91.52878800000001</v>
      </c>
      <c r="V79" t="n">
        <v>116.691946</v>
      </c>
      <c r="W79" t="n">
        <v>929.622982</v>
      </c>
      <c r="X79" t="n">
        <v>3.093013</v>
      </c>
    </row>
    <row r="80" ht="21" customHeight="1">
      <c r="A80" t="inlineStr">
        <is>
          <t>Mollusca</t>
        </is>
      </c>
      <c r="B80" t="n">
        <v>2.1</v>
      </c>
      <c r="C80" t="n">
        <v>12.589254</v>
      </c>
      <c r="D80" s="10" t="inlineStr">
        <is>
          <t>Macrobenthos</t>
        </is>
      </c>
      <c r="E80" t="n">
        <v>100.341534</v>
      </c>
      <c r="F80" t="n">
        <v>10</v>
      </c>
      <c r="G80" t="n">
        <v>9.716343999999999</v>
      </c>
      <c r="H80" t="n">
        <v>9.230527</v>
      </c>
      <c r="I80" t="n">
        <v>10.017358</v>
      </c>
      <c r="J80" t="n">
        <v>10.017358</v>
      </c>
      <c r="K80" t="n">
        <v>7.916667</v>
      </c>
      <c r="L80" t="n">
        <v>2.899495</v>
      </c>
      <c r="M80" t="n">
        <v>2.899495</v>
      </c>
      <c r="N80" t="n">
        <v>2.899495</v>
      </c>
      <c r="O80" t="n">
        <v>-50.833365</v>
      </c>
      <c r="P80" t="n">
        <v>-184.825074</v>
      </c>
      <c r="Q80" t="n">
        <v>2.899495</v>
      </c>
      <c r="S80" t="n">
        <v>-50.833365</v>
      </c>
      <c r="U80" t="n">
        <v>91.52878800000001</v>
      </c>
      <c r="V80" t="n">
        <v>116.691946</v>
      </c>
      <c r="W80" t="n">
        <v>929.622982</v>
      </c>
      <c r="X80" t="n">
        <v>3.093013</v>
      </c>
    </row>
    <row r="81" ht="21" customHeight="1">
      <c r="A81" t="inlineStr">
        <is>
          <t>Seriolella caerulea</t>
        </is>
      </c>
      <c r="B81" t="n">
        <v>3.42</v>
      </c>
      <c r="C81" t="n">
        <v>263.026799</v>
      </c>
      <c r="D81" s="10" t="inlineStr">
        <is>
          <t>Unresolved</t>
        </is>
      </c>
    </row>
    <row r="82" ht="21" customHeight="1">
      <c r="A82" t="inlineStr">
        <is>
          <t>Sphyrna zygaena</t>
        </is>
      </c>
      <c r="B82" t="n">
        <v>4.94</v>
      </c>
      <c r="C82" t="n">
        <v>8709.635899999999</v>
      </c>
      <c r="D82" s="10" t="inlineStr">
        <is>
          <t>Chondrichthyans</t>
        </is>
      </c>
      <c r="E82" t="n">
        <v>100.341534</v>
      </c>
      <c r="F82" t="n">
        <v>2800.516289</v>
      </c>
      <c r="G82" t="n">
        <v>2536.048955</v>
      </c>
      <c r="H82" t="n">
        <v>9821.426826999999</v>
      </c>
      <c r="I82" t="n">
        <v>3417.612265</v>
      </c>
      <c r="J82" t="n">
        <v>3623.32641</v>
      </c>
      <c r="K82" t="n">
        <v>2044.394086</v>
      </c>
      <c r="L82" t="n">
        <v>7596.014295</v>
      </c>
      <c r="M82" t="n">
        <v>7596.014295</v>
      </c>
      <c r="N82" t="n">
        <v>7596.014295</v>
      </c>
      <c r="O82" t="n">
        <v>-1524.487508</v>
      </c>
      <c r="P82" t="n">
        <v>-1803.683294</v>
      </c>
      <c r="Q82" t="n">
        <v>7596.014295</v>
      </c>
      <c r="S82" t="n">
        <v>-1524.487508</v>
      </c>
      <c r="U82" t="n">
        <v>1166.999333</v>
      </c>
      <c r="V82" t="n">
        <v>1235.00506</v>
      </c>
      <c r="W82" t="n">
        <v>32229.818329</v>
      </c>
      <c r="X82" t="n">
        <v>9391.662139</v>
      </c>
    </row>
    <row r="83" ht="21" customHeight="1">
      <c r="A83" t="inlineStr">
        <is>
          <t>Leukoma thaca</t>
        </is>
      </c>
      <c r="B83" t="n">
        <v>2</v>
      </c>
      <c r="C83" t="n">
        <v>10</v>
      </c>
      <c r="D83" s="10" t="inlineStr">
        <is>
          <t>Macrobenthos</t>
        </is>
      </c>
      <c r="E83" t="n">
        <v>100.341534</v>
      </c>
      <c r="F83" t="n">
        <v>10</v>
      </c>
      <c r="G83" t="n">
        <v>9.716343999999999</v>
      </c>
      <c r="H83" t="n">
        <v>9.230527</v>
      </c>
      <c r="I83" t="n">
        <v>10.017358</v>
      </c>
      <c r="J83" t="n">
        <v>10.017358</v>
      </c>
      <c r="K83" t="n">
        <v>7.916667</v>
      </c>
      <c r="L83" t="n">
        <v>2.899495</v>
      </c>
      <c r="M83" t="n">
        <v>2.899495</v>
      </c>
      <c r="N83" t="n">
        <v>2.899495</v>
      </c>
      <c r="O83" t="n">
        <v>-50.833365</v>
      </c>
      <c r="P83" t="n">
        <v>-184.825074</v>
      </c>
      <c r="Q83" t="n">
        <v>2.899495</v>
      </c>
      <c r="S83" t="n">
        <v>-50.833365</v>
      </c>
      <c r="U83" t="n">
        <v>91.52878800000001</v>
      </c>
      <c r="V83" t="n">
        <v>116.691946</v>
      </c>
      <c r="W83" t="n">
        <v>929.622982</v>
      </c>
      <c r="X83" t="n">
        <v>3.093013</v>
      </c>
    </row>
    <row r="84" ht="21" customHeight="1">
      <c r="A84" t="inlineStr">
        <is>
          <t>Serranidae</t>
        </is>
      </c>
      <c r="B84" t="n">
        <v>3.98</v>
      </c>
      <c r="C84" t="n">
        <v>954.992586</v>
      </c>
      <c r="D84" s="10" t="inlineStr">
        <is>
          <t>Medium demersal fish</t>
        </is>
      </c>
      <c r="E84" t="n">
        <v>100.341534</v>
      </c>
      <c r="F84" t="n">
        <v>150.446864</v>
      </c>
      <c r="G84" t="n">
        <v>141.309763</v>
      </c>
      <c r="H84" t="n">
        <v>345.608481</v>
      </c>
      <c r="I84" t="n">
        <v>95.134595</v>
      </c>
      <c r="J84" t="n">
        <v>95.68003899999999</v>
      </c>
      <c r="K84" t="n">
        <v>78.47268099999999</v>
      </c>
      <c r="L84" t="n">
        <v>85.358492</v>
      </c>
      <c r="M84" t="n">
        <v>85.358492</v>
      </c>
      <c r="N84" t="n">
        <v>85.358492</v>
      </c>
      <c r="O84" t="n">
        <v>-290.0196</v>
      </c>
      <c r="P84" t="n">
        <v>-770.353084</v>
      </c>
      <c r="Q84" t="n">
        <v>85.358492</v>
      </c>
      <c r="S84" t="n">
        <v>-290.0196</v>
      </c>
      <c r="U84" t="n">
        <v>400.586214</v>
      </c>
      <c r="V84" t="n">
        <v>495.192523</v>
      </c>
      <c r="W84" t="n">
        <v>4943.256156</v>
      </c>
      <c r="X84" t="n">
        <v>95.427959</v>
      </c>
    </row>
    <row r="85" ht="21" customHeight="1">
      <c r="A85" t="inlineStr">
        <is>
          <t>Beryx splendens</t>
        </is>
      </c>
      <c r="D85" s="10" t="inlineStr">
        <is>
          <t>Unresolved</t>
        </is>
      </c>
    </row>
    <row r="86" ht="21" customHeight="1">
      <c r="A86" t="inlineStr">
        <is>
          <t>Choromytilus chorus</t>
        </is>
      </c>
      <c r="B86" t="n">
        <v>2</v>
      </c>
      <c r="C86" t="n">
        <v>10</v>
      </c>
      <c r="D86" s="10" t="inlineStr">
        <is>
          <t>Macrobenthos</t>
        </is>
      </c>
      <c r="E86" t="n">
        <v>100.341534</v>
      </c>
      <c r="F86" t="n">
        <v>10</v>
      </c>
      <c r="G86" t="n">
        <v>9.716343999999999</v>
      </c>
      <c r="H86" t="n">
        <v>9.230527</v>
      </c>
      <c r="I86" t="n">
        <v>10.017358</v>
      </c>
      <c r="J86" t="n">
        <v>10.017358</v>
      </c>
      <c r="K86" t="n">
        <v>7.916667</v>
      </c>
      <c r="L86" t="n">
        <v>2.899495</v>
      </c>
      <c r="M86" t="n">
        <v>2.899495</v>
      </c>
      <c r="N86" t="n">
        <v>2.899495</v>
      </c>
      <c r="O86" t="n">
        <v>-50.833365</v>
      </c>
      <c r="P86" t="n">
        <v>-184.825074</v>
      </c>
      <c r="Q86" t="n">
        <v>2.899495</v>
      </c>
      <c r="S86" t="n">
        <v>-50.833365</v>
      </c>
      <c r="U86" t="n">
        <v>91.52878800000001</v>
      </c>
      <c r="V86" t="n">
        <v>116.691946</v>
      </c>
      <c r="W86" t="n">
        <v>929.622982</v>
      </c>
      <c r="X86" t="n">
        <v>3.093013</v>
      </c>
    </row>
    <row r="87" ht="21" customHeight="1">
      <c r="A87" t="inlineStr">
        <is>
          <t>Zearaja chilensis</t>
        </is>
      </c>
      <c r="B87" t="n">
        <v>4.46</v>
      </c>
      <c r="C87" t="n">
        <v>2884.031503</v>
      </c>
      <c r="D87" s="10" t="inlineStr">
        <is>
          <t>Benthic elasmobranchs</t>
        </is>
      </c>
      <c r="E87" t="n">
        <v>100.341534</v>
      </c>
      <c r="F87" t="n">
        <v>227.672107</v>
      </c>
      <c r="G87" t="n">
        <v>212.74056</v>
      </c>
      <c r="H87" t="n">
        <v>1454.477274</v>
      </c>
      <c r="I87" t="n">
        <v>5850.040026</v>
      </c>
      <c r="J87" t="n">
        <v>5861.611252</v>
      </c>
      <c r="K87" t="n">
        <v>3861.19455</v>
      </c>
      <c r="L87" t="n">
        <v>7955.355087</v>
      </c>
      <c r="M87" t="n">
        <v>7955.355087</v>
      </c>
      <c r="N87" t="n">
        <v>7955.355087</v>
      </c>
      <c r="O87" t="n">
        <v>-475.304228</v>
      </c>
      <c r="P87" t="n">
        <v>-1034.602781</v>
      </c>
      <c r="Q87" t="n">
        <v>7955.355087</v>
      </c>
      <c r="S87" t="n">
        <v>-475.304228</v>
      </c>
      <c r="U87" t="n">
        <v>558.607592</v>
      </c>
      <c r="V87" t="n">
        <v>673.429313</v>
      </c>
      <c r="W87" t="n">
        <v>8955.769672</v>
      </c>
      <c r="X87" t="n">
        <v>9372.190554999999</v>
      </c>
    </row>
    <row r="88" ht="21" customHeight="1">
      <c r="A88" t="inlineStr">
        <is>
          <t>Ameghinomya antiqua</t>
        </is>
      </c>
      <c r="B88" t="n">
        <v>2</v>
      </c>
      <c r="C88" t="n">
        <v>10</v>
      </c>
      <c r="D88" s="10" t="inlineStr">
        <is>
          <t>Macrobenthos</t>
        </is>
      </c>
      <c r="E88" t="n">
        <v>100.341534</v>
      </c>
      <c r="F88" t="n">
        <v>10</v>
      </c>
      <c r="G88" t="n">
        <v>9.716343999999999</v>
      </c>
      <c r="H88" t="n">
        <v>9.230527</v>
      </c>
      <c r="I88" t="n">
        <v>10.017358</v>
      </c>
      <c r="J88" t="n">
        <v>10.017358</v>
      </c>
      <c r="K88" t="n">
        <v>7.916667</v>
      </c>
      <c r="L88" t="n">
        <v>2.899495</v>
      </c>
      <c r="M88" t="n">
        <v>2.899495</v>
      </c>
      <c r="N88" t="n">
        <v>2.899495</v>
      </c>
      <c r="O88" t="n">
        <v>-50.833365</v>
      </c>
      <c r="P88" t="n">
        <v>-184.825074</v>
      </c>
      <c r="Q88" t="n">
        <v>2.899495</v>
      </c>
      <c r="S88" t="n">
        <v>-50.833365</v>
      </c>
      <c r="U88" t="n">
        <v>91.52878800000001</v>
      </c>
      <c r="V88" t="n">
        <v>116.691946</v>
      </c>
      <c r="W88" t="n">
        <v>929.622982</v>
      </c>
      <c r="X88" t="n">
        <v>3.093013</v>
      </c>
    </row>
    <row r="89" ht="21" customHeight="1">
      <c r="A89" t="inlineStr">
        <is>
          <t>Fissurella maxima</t>
        </is>
      </c>
      <c r="B89" t="n">
        <v>2</v>
      </c>
      <c r="C89" t="n">
        <v>10</v>
      </c>
      <c r="D89" s="10" t="inlineStr">
        <is>
          <t>Macrobenthos</t>
        </is>
      </c>
      <c r="E89" t="n">
        <v>100.341534</v>
      </c>
      <c r="F89" t="n">
        <v>10</v>
      </c>
      <c r="G89" t="n">
        <v>9.716343999999999</v>
      </c>
      <c r="H89" t="n">
        <v>9.230527</v>
      </c>
      <c r="I89" t="n">
        <v>10.017358</v>
      </c>
      <c r="J89" t="n">
        <v>10.017358</v>
      </c>
      <c r="K89" t="n">
        <v>7.916667</v>
      </c>
      <c r="L89" t="n">
        <v>2.899495</v>
      </c>
      <c r="M89" t="n">
        <v>2.899495</v>
      </c>
      <c r="N89" t="n">
        <v>2.899495</v>
      </c>
      <c r="O89" t="n">
        <v>-50.833365</v>
      </c>
      <c r="P89" t="n">
        <v>-184.825074</v>
      </c>
      <c r="Q89" t="n">
        <v>2.899495</v>
      </c>
      <c r="S89" t="n">
        <v>-50.833365</v>
      </c>
      <c r="U89" t="n">
        <v>91.52878800000001</v>
      </c>
      <c r="V89" t="n">
        <v>116.691946</v>
      </c>
      <c r="W89" t="n">
        <v>929.622982</v>
      </c>
      <c r="X89" t="n">
        <v>3.093013</v>
      </c>
    </row>
    <row r="90" ht="21" customHeight="1">
      <c r="A90" t="inlineStr">
        <is>
          <t>Tagelus dombeii</t>
        </is>
      </c>
      <c r="B90" t="n">
        <v>2</v>
      </c>
      <c r="C90" t="n">
        <v>10</v>
      </c>
      <c r="D90" s="10" t="inlineStr">
        <is>
          <t>Macrobenthos</t>
        </is>
      </c>
      <c r="E90" t="n">
        <v>100.341534</v>
      </c>
      <c r="F90" t="n">
        <v>10</v>
      </c>
      <c r="G90" t="n">
        <v>9.716343999999999</v>
      </c>
      <c r="H90" t="n">
        <v>9.230527</v>
      </c>
      <c r="I90" t="n">
        <v>10.017358</v>
      </c>
      <c r="J90" t="n">
        <v>10.017358</v>
      </c>
      <c r="K90" t="n">
        <v>7.916667</v>
      </c>
      <c r="L90" t="n">
        <v>2.899495</v>
      </c>
      <c r="M90" t="n">
        <v>2.899495</v>
      </c>
      <c r="N90" t="n">
        <v>2.899495</v>
      </c>
      <c r="O90" t="n">
        <v>-50.833365</v>
      </c>
      <c r="P90" t="n">
        <v>-184.825074</v>
      </c>
      <c r="Q90" t="n">
        <v>2.899495</v>
      </c>
      <c r="S90" t="n">
        <v>-50.833365</v>
      </c>
      <c r="U90" t="n">
        <v>91.52878800000001</v>
      </c>
      <c r="V90" t="n">
        <v>116.691946</v>
      </c>
      <c r="W90" t="n">
        <v>929.622982</v>
      </c>
      <c r="X90" t="n">
        <v>3.093013</v>
      </c>
    </row>
    <row r="91" ht="21" customHeight="1">
      <c r="A91" t="inlineStr">
        <is>
          <t>Stromateus stellatus</t>
        </is>
      </c>
      <c r="B91" t="n">
        <v>3.59</v>
      </c>
      <c r="C91" t="n">
        <v>389.045145</v>
      </c>
      <c r="D91" s="10" t="inlineStr">
        <is>
          <t>Butter fishes</t>
        </is>
      </c>
      <c r="E91" t="n">
        <v>100.341534</v>
      </c>
      <c r="F91" t="n">
        <v>40.75629</v>
      </c>
      <c r="G91" t="n">
        <v>38.910954</v>
      </c>
      <c r="H91" t="n">
        <v>257.989402</v>
      </c>
      <c r="I91" t="n">
        <v>240519.770836</v>
      </c>
      <c r="J91" t="n">
        <v>240519.770836</v>
      </c>
      <c r="K91" t="n">
        <v>129100.826489</v>
      </c>
      <c r="L91" t="n">
        <v>319786.504479</v>
      </c>
      <c r="M91" t="n">
        <v>319786.504476</v>
      </c>
      <c r="N91" t="n">
        <v>319786.504476</v>
      </c>
      <c r="O91" t="n">
        <v>-98.45384300000001</v>
      </c>
      <c r="P91" t="n">
        <v>-271.164444</v>
      </c>
      <c r="Q91" t="n">
        <v>319786.504476</v>
      </c>
      <c r="S91" t="n">
        <v>-98.45384300000001</v>
      </c>
      <c r="U91" t="n">
        <v>140.980985</v>
      </c>
      <c r="V91" t="n">
        <v>173.968592</v>
      </c>
      <c r="W91" t="n">
        <v>2138.179837</v>
      </c>
      <c r="X91" t="n">
        <v>368059.050579</v>
      </c>
    </row>
    <row r="92" ht="21" customHeight="1">
      <c r="A92" t="inlineStr">
        <is>
          <t>Taliepus dentatus</t>
        </is>
      </c>
      <c r="B92" t="n">
        <v>2</v>
      </c>
      <c r="C92" t="n">
        <v>10</v>
      </c>
      <c r="D92" s="10" t="inlineStr">
        <is>
          <t>Macrobenthos</t>
        </is>
      </c>
      <c r="E92" t="n">
        <v>100.341534</v>
      </c>
      <c r="F92" t="n">
        <v>10</v>
      </c>
      <c r="G92" t="n">
        <v>9.716343999999999</v>
      </c>
      <c r="H92" t="n">
        <v>9.230527</v>
      </c>
      <c r="I92" t="n">
        <v>10.017358</v>
      </c>
      <c r="J92" t="n">
        <v>10.017358</v>
      </c>
      <c r="K92" t="n">
        <v>7.916667</v>
      </c>
      <c r="L92" t="n">
        <v>2.899495</v>
      </c>
      <c r="M92" t="n">
        <v>2.899495</v>
      </c>
      <c r="N92" t="n">
        <v>2.899495</v>
      </c>
      <c r="O92" t="n">
        <v>-50.833365</v>
      </c>
      <c r="P92" t="n">
        <v>-184.825074</v>
      </c>
      <c r="Q92" t="n">
        <v>2.899495</v>
      </c>
      <c r="S92" t="n">
        <v>-50.833365</v>
      </c>
      <c r="U92" t="n">
        <v>91.52878800000001</v>
      </c>
      <c r="V92" t="n">
        <v>116.691946</v>
      </c>
      <c r="W92" t="n">
        <v>929.622982</v>
      </c>
      <c r="X92" t="n">
        <v>3.093013</v>
      </c>
    </row>
    <row r="93" ht="21" customHeight="1">
      <c r="A93" t="inlineStr">
        <is>
          <t>Seriolella punctata</t>
        </is>
      </c>
      <c r="B93" t="n">
        <v>3.4</v>
      </c>
      <c r="C93" t="n">
        <v>251.188643</v>
      </c>
      <c r="D93" s="10" t="inlineStr">
        <is>
          <t>Unresolved</t>
        </is>
      </c>
    </row>
    <row r="94" ht="21" customHeight="1">
      <c r="A94" t="inlineStr">
        <is>
          <t>Haemulidae</t>
        </is>
      </c>
      <c r="B94" t="n">
        <v>3.36</v>
      </c>
      <c r="C94" t="n">
        <v>229.086765</v>
      </c>
      <c r="D94" s="10" t="inlineStr">
        <is>
          <t>Medium demersal fish</t>
        </is>
      </c>
      <c r="E94" t="n">
        <v>100.341534</v>
      </c>
      <c r="F94" t="n">
        <v>150.446864</v>
      </c>
      <c r="G94" t="n">
        <v>141.309763</v>
      </c>
      <c r="H94" t="n">
        <v>345.608481</v>
      </c>
      <c r="I94" t="n">
        <v>95.134595</v>
      </c>
      <c r="J94" t="n">
        <v>95.68003899999999</v>
      </c>
      <c r="K94" t="n">
        <v>78.47268099999999</v>
      </c>
      <c r="L94" t="n">
        <v>85.358492</v>
      </c>
      <c r="M94" t="n">
        <v>85.358492</v>
      </c>
      <c r="N94" t="n">
        <v>85.358492</v>
      </c>
      <c r="O94" t="n">
        <v>-290.0196</v>
      </c>
      <c r="P94" t="n">
        <v>-770.353084</v>
      </c>
      <c r="Q94" t="n">
        <v>85.358492</v>
      </c>
      <c r="S94" t="n">
        <v>-290.0196</v>
      </c>
      <c r="U94" t="n">
        <v>400.586214</v>
      </c>
      <c r="V94" t="n">
        <v>495.192523</v>
      </c>
      <c r="W94" t="n">
        <v>4943.256156</v>
      </c>
      <c r="X94" t="n">
        <v>95.427959</v>
      </c>
    </row>
    <row r="95" ht="21" customHeight="1">
      <c r="A95" t="inlineStr">
        <is>
          <t>Ensis macha</t>
        </is>
      </c>
      <c r="B95" t="n">
        <v>2</v>
      </c>
      <c r="C95" t="n">
        <v>10</v>
      </c>
      <c r="D95" s="10" t="inlineStr">
        <is>
          <t>Macrobenthos</t>
        </is>
      </c>
      <c r="E95" t="n">
        <v>100.341534</v>
      </c>
      <c r="F95" t="n">
        <v>10</v>
      </c>
      <c r="G95" t="n">
        <v>9.716343999999999</v>
      </c>
      <c r="H95" t="n">
        <v>9.230527</v>
      </c>
      <c r="I95" t="n">
        <v>10.017358</v>
      </c>
      <c r="J95" t="n">
        <v>10.017358</v>
      </c>
      <c r="K95" t="n">
        <v>7.916667</v>
      </c>
      <c r="L95" t="n">
        <v>2.899495</v>
      </c>
      <c r="M95" t="n">
        <v>2.899495</v>
      </c>
      <c r="N95" t="n">
        <v>2.899495</v>
      </c>
      <c r="O95" t="n">
        <v>-50.833365</v>
      </c>
      <c r="P95" t="n">
        <v>-184.825074</v>
      </c>
      <c r="Q95" t="n">
        <v>2.899495</v>
      </c>
      <c r="S95" t="n">
        <v>-50.833365</v>
      </c>
      <c r="U95" t="n">
        <v>91.52878800000001</v>
      </c>
      <c r="V95" t="n">
        <v>116.691946</v>
      </c>
      <c r="W95" t="n">
        <v>929.622982</v>
      </c>
      <c r="X95" t="n">
        <v>3.093013</v>
      </c>
    </row>
    <row r="96" ht="21" customHeight="1">
      <c r="A96" t="inlineStr">
        <is>
          <t>Odontocymbiola magellanica</t>
        </is>
      </c>
      <c r="B96" t="n">
        <v>3.22</v>
      </c>
      <c r="C96" t="n">
        <v>165.958691</v>
      </c>
      <c r="D96" s="10" t="inlineStr">
        <is>
          <t>Macrobenthos</t>
        </is>
      </c>
      <c r="E96" t="n">
        <v>100.341534</v>
      </c>
      <c r="F96" t="n">
        <v>10</v>
      </c>
      <c r="G96" t="n">
        <v>9.716343999999999</v>
      </c>
      <c r="H96" t="n">
        <v>9.230527</v>
      </c>
      <c r="I96" t="n">
        <v>10.017358</v>
      </c>
      <c r="J96" t="n">
        <v>10.017358</v>
      </c>
      <c r="K96" t="n">
        <v>7.916667</v>
      </c>
      <c r="L96" t="n">
        <v>2.899495</v>
      </c>
      <c r="M96" t="n">
        <v>2.899495</v>
      </c>
      <c r="N96" t="n">
        <v>2.899495</v>
      </c>
      <c r="O96" t="n">
        <v>-50.833365</v>
      </c>
      <c r="P96" t="n">
        <v>-184.825074</v>
      </c>
      <c r="Q96" t="n">
        <v>2.899495</v>
      </c>
      <c r="S96" t="n">
        <v>-50.833365</v>
      </c>
      <c r="U96" t="n">
        <v>91.52878800000001</v>
      </c>
      <c r="V96" t="n">
        <v>116.691946</v>
      </c>
      <c r="W96" t="n">
        <v>929.622982</v>
      </c>
      <c r="X96" t="n">
        <v>3.093013</v>
      </c>
    </row>
    <row r="97" ht="21" customHeight="1">
      <c r="A97" t="inlineStr">
        <is>
          <t>Thunnus obesus</t>
        </is>
      </c>
      <c r="B97" t="n">
        <v>4.49</v>
      </c>
      <c r="C97" t="n">
        <v>3090.295433</v>
      </c>
      <c r="D97" s="10" t="inlineStr">
        <is>
          <t>Other large pelagic fish</t>
        </is>
      </c>
      <c r="E97" t="n">
        <v>100.341534</v>
      </c>
      <c r="F97" t="n">
        <v>721.5611730000001</v>
      </c>
      <c r="G97" t="n">
        <v>664.588831</v>
      </c>
      <c r="H97" t="n">
        <v>1923.880477</v>
      </c>
      <c r="I97" t="n">
        <v>707.786261</v>
      </c>
      <c r="J97" t="n">
        <v>730.795754</v>
      </c>
      <c r="K97" t="n">
        <v>390.224794</v>
      </c>
      <c r="L97" t="n">
        <v>1280.174581</v>
      </c>
      <c r="M97" t="n">
        <v>1280.174581</v>
      </c>
      <c r="N97" t="n">
        <v>1280.174581</v>
      </c>
      <c r="O97" t="n">
        <v>-479.794164</v>
      </c>
      <c r="P97" t="n">
        <v>-709.965776</v>
      </c>
      <c r="Q97" t="n">
        <v>1280.174581</v>
      </c>
      <c r="S97" t="n">
        <v>-479.794164</v>
      </c>
      <c r="U97" t="n">
        <v>483.377545</v>
      </c>
      <c r="V97" t="n">
        <v>503.881531</v>
      </c>
      <c r="W97" t="n">
        <v>10483.563691</v>
      </c>
      <c r="X97" t="n">
        <v>1536.980814</v>
      </c>
    </row>
    <row r="98" ht="21" customHeight="1">
      <c r="A98" t="inlineStr">
        <is>
          <t>Alopias vulpinus</t>
        </is>
      </c>
      <c r="B98" t="n">
        <v>4.5</v>
      </c>
      <c r="C98" t="n">
        <v>3162.27766</v>
      </c>
      <c r="D98" s="10" t="inlineStr">
        <is>
          <t>Chondrichthyans</t>
        </is>
      </c>
      <c r="E98" t="n">
        <v>100.341534</v>
      </c>
      <c r="F98" t="n">
        <v>2800.516289</v>
      </c>
      <c r="G98" t="n">
        <v>2536.048955</v>
      </c>
      <c r="H98" t="n">
        <v>9821.426826999999</v>
      </c>
      <c r="I98" t="n">
        <v>3417.612265</v>
      </c>
      <c r="J98" t="n">
        <v>3623.32641</v>
      </c>
      <c r="K98" t="n">
        <v>2044.394086</v>
      </c>
      <c r="L98" t="n">
        <v>7596.014295</v>
      </c>
      <c r="M98" t="n">
        <v>7596.014295</v>
      </c>
      <c r="N98" t="n">
        <v>7596.014295</v>
      </c>
      <c r="O98" t="n">
        <v>-1524.487508</v>
      </c>
      <c r="P98" t="n">
        <v>-1803.683294</v>
      </c>
      <c r="Q98" t="n">
        <v>7596.014295</v>
      </c>
      <c r="S98" t="n">
        <v>-1524.487508</v>
      </c>
      <c r="U98" t="n">
        <v>1166.999333</v>
      </c>
      <c r="V98" t="n">
        <v>1235.00506</v>
      </c>
      <c r="W98" t="n">
        <v>32229.818329</v>
      </c>
      <c r="X98" t="n">
        <v>9391.662139</v>
      </c>
    </row>
    <row r="99" ht="36" customHeight="1">
      <c r="A99" t="inlineStr">
        <is>
          <t>Elasmobranchii</t>
        </is>
      </c>
      <c r="B99" t="n">
        <v>4.05</v>
      </c>
      <c r="C99" t="n">
        <v>1122.018454</v>
      </c>
      <c r="D99" s="10" t="inlineStr">
        <is>
          <t>Benthic elasmobranchs | Chondrichthyans</t>
        </is>
      </c>
      <c r="E99" t="n">
        <v>100.341534</v>
      </c>
      <c r="F99" t="n">
        <v>1136.362086</v>
      </c>
      <c r="G99" t="n">
        <v>1033.298241</v>
      </c>
      <c r="H99" t="n">
        <v>4409.558374</v>
      </c>
      <c r="I99" t="n">
        <v>4990.943021</v>
      </c>
      <c r="J99" t="n">
        <v>5071.082614</v>
      </c>
      <c r="K99" t="n">
        <v>3219.527874</v>
      </c>
      <c r="L99" t="n">
        <v>7828.441308</v>
      </c>
      <c r="M99" t="n">
        <v>7828.441308</v>
      </c>
      <c r="N99" t="n">
        <v>7828.441308</v>
      </c>
      <c r="O99" t="n">
        <v>-845.8600280000001</v>
      </c>
      <c r="P99" t="n">
        <v>-1306.230484</v>
      </c>
      <c r="Q99" t="n">
        <v>7828.441308</v>
      </c>
      <c r="S99" t="n">
        <v>-845.8600280000001</v>
      </c>
      <c r="U99" t="n">
        <v>773.482431</v>
      </c>
      <c r="V99" t="n">
        <v>871.769445</v>
      </c>
      <c r="W99" t="n">
        <v>17175.814607</v>
      </c>
      <c r="X99" t="n">
        <v>9379.067626</v>
      </c>
    </row>
    <row r="100" ht="21" customHeight="1">
      <c r="A100" t="inlineStr">
        <is>
          <t>Haliporoides diomedeae</t>
        </is>
      </c>
      <c r="B100" t="n">
        <v>2.6</v>
      </c>
      <c r="C100" t="n">
        <v>39.810717</v>
      </c>
      <c r="D100" s="10" t="inlineStr">
        <is>
          <t>Macrobenthos</t>
        </is>
      </c>
      <c r="E100" t="n">
        <v>100.341534</v>
      </c>
      <c r="F100" t="n">
        <v>10</v>
      </c>
      <c r="G100" t="n">
        <v>9.716343999999999</v>
      </c>
      <c r="H100" t="n">
        <v>9.230527</v>
      </c>
      <c r="I100" t="n">
        <v>10.017358</v>
      </c>
      <c r="J100" t="n">
        <v>10.017358</v>
      </c>
      <c r="K100" t="n">
        <v>7.916667</v>
      </c>
      <c r="L100" t="n">
        <v>2.899495</v>
      </c>
      <c r="M100" t="n">
        <v>2.899495</v>
      </c>
      <c r="N100" t="n">
        <v>2.899495</v>
      </c>
      <c r="O100" t="n">
        <v>-50.833365</v>
      </c>
      <c r="P100" t="n">
        <v>-184.825074</v>
      </c>
      <c r="Q100" t="n">
        <v>2.899495</v>
      </c>
      <c r="S100" t="n">
        <v>-50.833365</v>
      </c>
      <c r="U100" t="n">
        <v>91.52878800000001</v>
      </c>
      <c r="V100" t="n">
        <v>116.691946</v>
      </c>
      <c r="W100" t="n">
        <v>929.622982</v>
      </c>
      <c r="X100" t="n">
        <v>3.093013</v>
      </c>
    </row>
    <row r="101" ht="21" customHeight="1">
      <c r="A101" t="inlineStr">
        <is>
          <t>Chirodactylus variegatus</t>
        </is>
      </c>
      <c r="B101" t="n">
        <v>3.65</v>
      </c>
      <c r="C101" t="n">
        <v>446.683592</v>
      </c>
      <c r="D101" s="10" t="inlineStr">
        <is>
          <t>Medium demersal fish</t>
        </is>
      </c>
      <c r="E101" t="n">
        <v>100.341534</v>
      </c>
      <c r="F101" t="n">
        <v>150.446864</v>
      </c>
      <c r="G101" t="n">
        <v>141.309763</v>
      </c>
      <c r="H101" t="n">
        <v>345.608481</v>
      </c>
      <c r="I101" t="n">
        <v>95.134595</v>
      </c>
      <c r="J101" t="n">
        <v>95.68003899999999</v>
      </c>
      <c r="K101" t="n">
        <v>78.47268099999999</v>
      </c>
      <c r="L101" t="n">
        <v>85.358492</v>
      </c>
      <c r="M101" t="n">
        <v>85.358492</v>
      </c>
      <c r="N101" t="n">
        <v>85.358492</v>
      </c>
      <c r="O101" t="n">
        <v>-290.0196</v>
      </c>
      <c r="P101" t="n">
        <v>-770.353084</v>
      </c>
      <c r="Q101" t="n">
        <v>85.358492</v>
      </c>
      <c r="S101" t="n">
        <v>-290.0196</v>
      </c>
      <c r="U101" t="n">
        <v>400.586214</v>
      </c>
      <c r="V101" t="n">
        <v>495.192523</v>
      </c>
      <c r="W101" t="n">
        <v>4943.256156</v>
      </c>
      <c r="X101" t="n">
        <v>95.427959</v>
      </c>
    </row>
    <row r="102" ht="21" customHeight="1">
      <c r="A102" t="inlineStr">
        <is>
          <t>Teuthida</t>
        </is>
      </c>
      <c r="D102" s="10" t="inlineStr">
        <is>
          <t>Jumbo squid | Other cephalopods</t>
        </is>
      </c>
      <c r="E102" t="n">
        <v>100.341534</v>
      </c>
      <c r="F102" t="n">
        <v>671.900829</v>
      </c>
      <c r="G102" t="n">
        <v>619.193716</v>
      </c>
      <c r="H102" t="n">
        <v>1259.966261</v>
      </c>
      <c r="I102" t="n">
        <v>224.250856</v>
      </c>
      <c r="J102" t="n">
        <v>257.62177</v>
      </c>
      <c r="K102" t="n">
        <v>206.171781</v>
      </c>
      <c r="L102" t="n">
        <v>787.3268849999999</v>
      </c>
      <c r="M102" t="n">
        <v>787.3268849999999</v>
      </c>
      <c r="N102" t="n">
        <v>787.3268849999999</v>
      </c>
      <c r="O102" t="n">
        <v>-260.080248</v>
      </c>
      <c r="P102" t="n">
        <v>-347.550086</v>
      </c>
      <c r="Q102" t="n">
        <v>787.3268849999999</v>
      </c>
      <c r="S102" t="n">
        <v>-260.080248</v>
      </c>
      <c r="U102" t="n">
        <v>220.022456</v>
      </c>
      <c r="V102" t="n">
        <v>230.784308</v>
      </c>
      <c r="W102" t="n">
        <v>5591.972898</v>
      </c>
      <c r="X102" t="n">
        <v>998.272661</v>
      </c>
    </row>
    <row r="103" ht="21" customHeight="1">
      <c r="A103" t="inlineStr">
        <is>
          <t>Ostrea chilensis</t>
        </is>
      </c>
      <c r="B103" t="n">
        <v>2</v>
      </c>
      <c r="C103" t="n">
        <v>10</v>
      </c>
      <c r="D103" s="10" t="inlineStr">
        <is>
          <t>Macrobenthos</t>
        </is>
      </c>
      <c r="E103" t="n">
        <v>100.341534</v>
      </c>
      <c r="F103" t="n">
        <v>10</v>
      </c>
      <c r="G103" t="n">
        <v>9.716343999999999</v>
      </c>
      <c r="H103" t="n">
        <v>9.230527</v>
      </c>
      <c r="I103" t="n">
        <v>10.017358</v>
      </c>
      <c r="J103" t="n">
        <v>10.017358</v>
      </c>
      <c r="K103" t="n">
        <v>7.916667</v>
      </c>
      <c r="L103" t="n">
        <v>2.899495</v>
      </c>
      <c r="M103" t="n">
        <v>2.899495</v>
      </c>
      <c r="N103" t="n">
        <v>2.899495</v>
      </c>
      <c r="O103" t="n">
        <v>-50.833365</v>
      </c>
      <c r="P103" t="n">
        <v>-184.825074</v>
      </c>
      <c r="Q103" t="n">
        <v>2.899495</v>
      </c>
      <c r="S103" t="n">
        <v>-50.833365</v>
      </c>
      <c r="U103" t="n">
        <v>91.52878800000001</v>
      </c>
      <c r="V103" t="n">
        <v>116.691946</v>
      </c>
      <c r="W103" t="n">
        <v>929.622982</v>
      </c>
      <c r="X103" t="n">
        <v>3.093013</v>
      </c>
    </row>
    <row r="104" ht="21" customHeight="1">
      <c r="A104" t="inlineStr">
        <is>
          <t>Prolatilus jugularis</t>
        </is>
      </c>
      <c r="B104" t="n">
        <v>3.7</v>
      </c>
      <c r="C104" t="n">
        <v>501.187234</v>
      </c>
      <c r="D104" s="10" t="inlineStr">
        <is>
          <t>Medium demersal fish</t>
        </is>
      </c>
      <c r="E104" t="n">
        <v>100.341534</v>
      </c>
      <c r="F104" t="n">
        <v>150.446864</v>
      </c>
      <c r="G104" t="n">
        <v>141.309763</v>
      </c>
      <c r="H104" t="n">
        <v>345.608481</v>
      </c>
      <c r="I104" t="n">
        <v>95.134595</v>
      </c>
      <c r="J104" t="n">
        <v>95.68003899999999</v>
      </c>
      <c r="K104" t="n">
        <v>78.47268099999999</v>
      </c>
      <c r="L104" t="n">
        <v>85.358492</v>
      </c>
      <c r="M104" t="n">
        <v>85.358492</v>
      </c>
      <c r="N104" t="n">
        <v>85.358492</v>
      </c>
      <c r="O104" t="n">
        <v>-290.0196</v>
      </c>
      <c r="P104" t="n">
        <v>-770.353084</v>
      </c>
      <c r="Q104" t="n">
        <v>85.358492</v>
      </c>
      <c r="S104" t="n">
        <v>-290.0196</v>
      </c>
      <c r="U104" t="n">
        <v>400.586214</v>
      </c>
      <c r="V104" t="n">
        <v>495.192523</v>
      </c>
      <c r="W104" t="n">
        <v>4943.256156</v>
      </c>
      <c r="X104" t="n">
        <v>95.427959</v>
      </c>
    </row>
    <row r="105" ht="21" customHeight="1">
      <c r="A105" t="inlineStr">
        <is>
          <t>Austromegabalanus psittacus</t>
        </is>
      </c>
      <c r="B105" t="n">
        <v>2</v>
      </c>
      <c r="C105" t="n">
        <v>10</v>
      </c>
      <c r="D105" s="10" t="inlineStr">
        <is>
          <t>Macrobenthos</t>
        </is>
      </c>
      <c r="E105" t="n">
        <v>100.341534</v>
      </c>
      <c r="F105" t="n">
        <v>10</v>
      </c>
      <c r="G105" t="n">
        <v>9.716343999999999</v>
      </c>
      <c r="H105" t="n">
        <v>9.230527</v>
      </c>
      <c r="I105" t="n">
        <v>10.017358</v>
      </c>
      <c r="J105" t="n">
        <v>10.017358</v>
      </c>
      <c r="K105" t="n">
        <v>7.916667</v>
      </c>
      <c r="L105" t="n">
        <v>2.899495</v>
      </c>
      <c r="M105" t="n">
        <v>2.899495</v>
      </c>
      <c r="N105" t="n">
        <v>2.899495</v>
      </c>
      <c r="O105" t="n">
        <v>-50.833365</v>
      </c>
      <c r="P105" t="n">
        <v>-184.825074</v>
      </c>
      <c r="Q105" t="n">
        <v>2.899495</v>
      </c>
      <c r="S105" t="n">
        <v>-50.833365</v>
      </c>
      <c r="U105" t="n">
        <v>91.52878800000001</v>
      </c>
      <c r="V105" t="n">
        <v>116.691946</v>
      </c>
      <c r="W105" t="n">
        <v>929.622982</v>
      </c>
      <c r="X105" t="n">
        <v>3.093013</v>
      </c>
    </row>
    <row r="106" ht="21" customHeight="1">
      <c r="A106" t="inlineStr">
        <is>
          <t>Decapoda</t>
        </is>
      </c>
      <c r="B106" t="n">
        <v>3.43</v>
      </c>
      <c r="C106" t="n">
        <v>269.15348</v>
      </c>
      <c r="D106" s="10" t="inlineStr">
        <is>
          <t>Macrobenthos</t>
        </is>
      </c>
      <c r="E106" t="n">
        <v>100.341534</v>
      </c>
      <c r="F106" t="n">
        <v>10</v>
      </c>
      <c r="G106" t="n">
        <v>9.716343999999999</v>
      </c>
      <c r="H106" t="n">
        <v>9.230527</v>
      </c>
      <c r="I106" t="n">
        <v>10.017358</v>
      </c>
      <c r="J106" t="n">
        <v>10.017358</v>
      </c>
      <c r="K106" t="n">
        <v>7.916667</v>
      </c>
      <c r="L106" t="n">
        <v>2.899495</v>
      </c>
      <c r="M106" t="n">
        <v>2.899495</v>
      </c>
      <c r="N106" t="n">
        <v>2.899495</v>
      </c>
      <c r="O106" t="n">
        <v>-50.833365</v>
      </c>
      <c r="P106" t="n">
        <v>-184.825074</v>
      </c>
      <c r="Q106" t="n">
        <v>2.899495</v>
      </c>
      <c r="S106" t="n">
        <v>-50.833365</v>
      </c>
      <c r="U106" t="n">
        <v>91.52878800000001</v>
      </c>
      <c r="V106" t="n">
        <v>116.691946</v>
      </c>
      <c r="W106" t="n">
        <v>929.622982</v>
      </c>
      <c r="X106" t="n">
        <v>3.093013</v>
      </c>
    </row>
    <row r="107" ht="21" customHeight="1">
      <c r="A107" t="inlineStr">
        <is>
          <t>Pseudograpsus setosus</t>
        </is>
      </c>
      <c r="B107" t="n">
        <v>3.37</v>
      </c>
      <c r="C107" t="n">
        <v>234.422882</v>
      </c>
      <c r="D107" s="10" t="inlineStr">
        <is>
          <t>Macrobenthos</t>
        </is>
      </c>
      <c r="E107" t="n">
        <v>100.341534</v>
      </c>
      <c r="F107" t="n">
        <v>10</v>
      </c>
      <c r="G107" t="n">
        <v>9.716343999999999</v>
      </c>
      <c r="H107" t="n">
        <v>9.230527</v>
      </c>
      <c r="I107" t="n">
        <v>10.017358</v>
      </c>
      <c r="J107" t="n">
        <v>10.017358</v>
      </c>
      <c r="K107" t="n">
        <v>7.916667</v>
      </c>
      <c r="L107" t="n">
        <v>2.899495</v>
      </c>
      <c r="M107" t="n">
        <v>2.899495</v>
      </c>
      <c r="N107" t="n">
        <v>2.899495</v>
      </c>
      <c r="O107" t="n">
        <v>-50.833365</v>
      </c>
      <c r="P107" t="n">
        <v>-184.825074</v>
      </c>
      <c r="Q107" t="n">
        <v>2.899495</v>
      </c>
      <c r="S107" t="n">
        <v>-50.833365</v>
      </c>
      <c r="U107" t="n">
        <v>91.52878800000001</v>
      </c>
      <c r="V107" t="n">
        <v>116.691946</v>
      </c>
      <c r="W107" t="n">
        <v>929.622982</v>
      </c>
      <c r="X107" t="n">
        <v>3.093013</v>
      </c>
    </row>
    <row r="108" ht="21" customHeight="1">
      <c r="A108" t="inlineStr">
        <is>
          <t>Chorus giganteus</t>
        </is>
      </c>
      <c r="B108" t="n">
        <v>3.23</v>
      </c>
      <c r="C108" t="n">
        <v>169.824365</v>
      </c>
      <c r="D108" s="10" t="inlineStr">
        <is>
          <t>Macrobenthos</t>
        </is>
      </c>
      <c r="E108" t="n">
        <v>100.341534</v>
      </c>
      <c r="F108" t="n">
        <v>10</v>
      </c>
      <c r="G108" t="n">
        <v>9.716343999999999</v>
      </c>
      <c r="H108" t="n">
        <v>9.230527</v>
      </c>
      <c r="I108" t="n">
        <v>10.017358</v>
      </c>
      <c r="J108" t="n">
        <v>10.017358</v>
      </c>
      <c r="K108" t="n">
        <v>7.916667</v>
      </c>
      <c r="L108" t="n">
        <v>2.899495</v>
      </c>
      <c r="M108" t="n">
        <v>2.899495</v>
      </c>
      <c r="N108" t="n">
        <v>2.899495</v>
      </c>
      <c r="O108" t="n">
        <v>-50.833365</v>
      </c>
      <c r="P108" t="n">
        <v>-184.825074</v>
      </c>
      <c r="Q108" t="n">
        <v>2.899495</v>
      </c>
      <c r="S108" t="n">
        <v>-50.833365</v>
      </c>
      <c r="U108" t="n">
        <v>91.52878800000001</v>
      </c>
      <c r="V108" t="n">
        <v>116.691946</v>
      </c>
      <c r="W108" t="n">
        <v>929.622982</v>
      </c>
      <c r="X108" t="n">
        <v>3.093013</v>
      </c>
    </row>
    <row r="109" ht="21" customHeight="1">
      <c r="A109" t="inlineStr">
        <is>
          <t>Stellifer minor</t>
        </is>
      </c>
      <c r="B109" t="n">
        <v>3.45</v>
      </c>
      <c r="C109" t="n">
        <v>281.838293</v>
      </c>
      <c r="D109" s="10" t="inlineStr">
        <is>
          <t>Medium sciaenids</t>
        </is>
      </c>
      <c r="E109" t="n">
        <v>100.341534</v>
      </c>
      <c r="F109" t="n">
        <v>206.3558</v>
      </c>
      <c r="G109" t="n">
        <v>193.059284</v>
      </c>
      <c r="H109" t="n">
        <v>691.739437</v>
      </c>
      <c r="I109" t="n">
        <v>3058.91003</v>
      </c>
      <c r="J109" t="n">
        <v>3060.060891</v>
      </c>
      <c r="K109" t="n">
        <v>2172.097992</v>
      </c>
      <c r="L109" t="n">
        <v>4951.016719</v>
      </c>
      <c r="M109" t="n">
        <v>4951.016719</v>
      </c>
      <c r="N109" t="n">
        <v>4951.016719</v>
      </c>
      <c r="O109" t="n">
        <v>-356.787684</v>
      </c>
      <c r="P109" t="n">
        <v>-840.778865</v>
      </c>
      <c r="Q109" t="n">
        <v>4951.016719</v>
      </c>
      <c r="S109" t="n">
        <v>-356.787684</v>
      </c>
      <c r="U109" t="n">
        <v>454.55452</v>
      </c>
      <c r="V109" t="n">
        <v>549.444451</v>
      </c>
      <c r="W109" t="n">
        <v>8379.750055</v>
      </c>
      <c r="X109" t="n">
        <v>5872.867166</v>
      </c>
    </row>
    <row r="110" ht="21" customHeight="1">
      <c r="A110" t="inlineStr">
        <is>
          <t>Cancer porteri</t>
        </is>
      </c>
      <c r="B110" t="n">
        <v>2.97</v>
      </c>
      <c r="C110" t="n">
        <v>93.32543</v>
      </c>
      <c r="D110" s="10" t="inlineStr">
        <is>
          <t>Macrobenthos</t>
        </is>
      </c>
      <c r="E110" t="n">
        <v>100.341534</v>
      </c>
      <c r="F110" t="n">
        <v>10</v>
      </c>
      <c r="G110" t="n">
        <v>9.716343999999999</v>
      </c>
      <c r="H110" t="n">
        <v>9.230527</v>
      </c>
      <c r="I110" t="n">
        <v>10.017358</v>
      </c>
      <c r="J110" t="n">
        <v>10.017358</v>
      </c>
      <c r="K110" t="n">
        <v>7.916667</v>
      </c>
      <c r="L110" t="n">
        <v>2.899495</v>
      </c>
      <c r="M110" t="n">
        <v>2.899495</v>
      </c>
      <c r="N110" t="n">
        <v>2.899495</v>
      </c>
      <c r="O110" t="n">
        <v>-50.833365</v>
      </c>
      <c r="P110" t="n">
        <v>-184.825074</v>
      </c>
      <c r="Q110" t="n">
        <v>2.899495</v>
      </c>
      <c r="S110" t="n">
        <v>-50.833365</v>
      </c>
      <c r="U110" t="n">
        <v>91.52878800000001</v>
      </c>
      <c r="V110" t="n">
        <v>116.691946</v>
      </c>
      <c r="W110" t="n">
        <v>929.622982</v>
      </c>
      <c r="X110" t="n">
        <v>3.093013</v>
      </c>
    </row>
    <row r="111" ht="21" customHeight="1">
      <c r="A111" t="inlineStr">
        <is>
          <t>Argobuccinum pustulosum</t>
        </is>
      </c>
      <c r="B111" t="n">
        <v>3</v>
      </c>
      <c r="C111" t="n">
        <v>100</v>
      </c>
      <c r="D111" s="10" t="inlineStr">
        <is>
          <t>Macrobenthos</t>
        </is>
      </c>
      <c r="E111" t="n">
        <v>100.341534</v>
      </c>
      <c r="F111" t="n">
        <v>10</v>
      </c>
      <c r="G111" t="n">
        <v>9.716343999999999</v>
      </c>
      <c r="H111" t="n">
        <v>9.230527</v>
      </c>
      <c r="I111" t="n">
        <v>10.017358</v>
      </c>
      <c r="J111" t="n">
        <v>10.017358</v>
      </c>
      <c r="K111" t="n">
        <v>7.916667</v>
      </c>
      <c r="L111" t="n">
        <v>2.899495</v>
      </c>
      <c r="M111" t="n">
        <v>2.899495</v>
      </c>
      <c r="N111" t="n">
        <v>2.899495</v>
      </c>
      <c r="O111" t="n">
        <v>-50.833365</v>
      </c>
      <c r="P111" t="n">
        <v>-184.825074</v>
      </c>
      <c r="Q111" t="n">
        <v>2.899495</v>
      </c>
      <c r="S111" t="n">
        <v>-50.833365</v>
      </c>
      <c r="U111" t="n">
        <v>91.52878800000001</v>
      </c>
      <c r="V111" t="n">
        <v>116.691946</v>
      </c>
      <c r="W111" t="n">
        <v>929.622982</v>
      </c>
      <c r="X111" t="n">
        <v>3.093013</v>
      </c>
    </row>
    <row r="112" ht="21" customHeight="1">
      <c r="A112" t="inlineStr">
        <is>
          <t>Gari solida</t>
        </is>
      </c>
      <c r="B112" t="n">
        <v>2</v>
      </c>
      <c r="C112" t="n">
        <v>10</v>
      </c>
      <c r="D112" s="10" t="inlineStr">
        <is>
          <t>Macrobenthos</t>
        </is>
      </c>
      <c r="E112" t="n">
        <v>100.341534</v>
      </c>
      <c r="F112" t="n">
        <v>10</v>
      </c>
      <c r="G112" t="n">
        <v>9.716343999999999</v>
      </c>
      <c r="H112" t="n">
        <v>9.230527</v>
      </c>
      <c r="I112" t="n">
        <v>10.017358</v>
      </c>
      <c r="J112" t="n">
        <v>10.017358</v>
      </c>
      <c r="K112" t="n">
        <v>7.916667</v>
      </c>
      <c r="L112" t="n">
        <v>2.899495</v>
      </c>
      <c r="M112" t="n">
        <v>2.899495</v>
      </c>
      <c r="N112" t="n">
        <v>2.899495</v>
      </c>
      <c r="O112" t="n">
        <v>-50.833365</v>
      </c>
      <c r="P112" t="n">
        <v>-184.825074</v>
      </c>
      <c r="Q112" t="n">
        <v>2.899495</v>
      </c>
      <c r="S112" t="n">
        <v>-50.833365</v>
      </c>
      <c r="U112" t="n">
        <v>91.52878800000001</v>
      </c>
      <c r="V112" t="n">
        <v>116.691946</v>
      </c>
      <c r="W112" t="n">
        <v>929.622982</v>
      </c>
      <c r="X112" t="n">
        <v>3.093013</v>
      </c>
    </row>
    <row r="113" ht="21" customHeight="1">
      <c r="A113" t="inlineStr">
        <is>
          <t>Homalaspis plana</t>
        </is>
      </c>
      <c r="B113" t="n">
        <v>3.59</v>
      </c>
      <c r="C113" t="n">
        <v>389.045145</v>
      </c>
      <c r="D113" s="10" t="inlineStr">
        <is>
          <t>Macrobenthos</t>
        </is>
      </c>
      <c r="E113" t="n">
        <v>100.341534</v>
      </c>
      <c r="F113" t="n">
        <v>10</v>
      </c>
      <c r="G113" t="n">
        <v>9.716343999999999</v>
      </c>
      <c r="H113" t="n">
        <v>9.230527</v>
      </c>
      <c r="I113" t="n">
        <v>10.017358</v>
      </c>
      <c r="J113" t="n">
        <v>10.017358</v>
      </c>
      <c r="K113" t="n">
        <v>7.916667</v>
      </c>
      <c r="L113" t="n">
        <v>2.899495</v>
      </c>
      <c r="M113" t="n">
        <v>2.899495</v>
      </c>
      <c r="N113" t="n">
        <v>2.899495</v>
      </c>
      <c r="O113" t="n">
        <v>-50.833365</v>
      </c>
      <c r="P113" t="n">
        <v>-184.825074</v>
      </c>
      <c r="Q113" t="n">
        <v>2.899495</v>
      </c>
      <c r="S113" t="n">
        <v>-50.833365</v>
      </c>
      <c r="U113" t="n">
        <v>91.52878800000001</v>
      </c>
      <c r="V113" t="n">
        <v>116.691946</v>
      </c>
      <c r="W113" t="n">
        <v>929.622982</v>
      </c>
      <c r="X113" t="n">
        <v>3.093013</v>
      </c>
    </row>
    <row r="114" ht="36" customHeight="1">
      <c r="A114" t="inlineStr">
        <is>
          <t>Perciformes</t>
        </is>
      </c>
      <c r="B114" t="n">
        <v>3.53</v>
      </c>
      <c r="C114" t="n">
        <v>338.844156</v>
      </c>
      <c r="D114" s="10" t="inlineStr">
        <is>
          <t>Small demersal fish | Medium demersal fish | Medium sciaenids</t>
        </is>
      </c>
      <c r="E114" t="n">
        <v>100.341534</v>
      </c>
      <c r="F114" t="n">
        <v>138.326515</v>
      </c>
      <c r="G114" t="n">
        <v>129.842543</v>
      </c>
      <c r="H114" t="n">
        <v>381.787667</v>
      </c>
      <c r="I114" t="n">
        <v>897.522249</v>
      </c>
      <c r="J114" t="n">
        <v>898.111319</v>
      </c>
      <c r="K114" t="n">
        <v>642.850064</v>
      </c>
      <c r="L114" t="n">
        <v>1416.620481</v>
      </c>
      <c r="M114" t="n">
        <v>1416.620481</v>
      </c>
      <c r="N114" t="n">
        <v>1416.620481</v>
      </c>
      <c r="O114" t="n">
        <v>-245.919475</v>
      </c>
      <c r="P114" t="n">
        <v>-623.522679</v>
      </c>
      <c r="Q114" t="n">
        <v>1416.620481</v>
      </c>
      <c r="S114" t="n">
        <v>-245.919475</v>
      </c>
      <c r="U114" t="n">
        <v>331.68607</v>
      </c>
      <c r="V114" t="n">
        <v>405.129578</v>
      </c>
      <c r="W114" t="n">
        <v>4869.54909</v>
      </c>
      <c r="X114" t="n">
        <v>1676.963843</v>
      </c>
    </row>
    <row r="115" ht="21" customHeight="1">
      <c r="A115" t="inlineStr">
        <is>
          <t>Gadiformes</t>
        </is>
      </c>
      <c r="D115" s="10" t="inlineStr">
        <is>
          <t>Unresolved</t>
        </is>
      </c>
    </row>
    <row r="116" ht="21" customHeight="1">
      <c r="A116" t="inlineStr">
        <is>
          <t>Seriolella violacea</t>
        </is>
      </c>
      <c r="B116" t="n">
        <v>3.53</v>
      </c>
      <c r="C116" t="n">
        <v>338.844156</v>
      </c>
      <c r="D116" s="10" t="inlineStr">
        <is>
          <t>Unresolved</t>
        </is>
      </c>
    </row>
    <row r="117" ht="21" customHeight="1">
      <c r="A117" t="inlineStr">
        <is>
          <t>Labrisomus philippii</t>
        </is>
      </c>
      <c r="B117" t="n">
        <v>3.7</v>
      </c>
      <c r="C117" t="n">
        <v>501.187234</v>
      </c>
      <c r="D117" s="10" t="inlineStr">
        <is>
          <t>Small demersal fish</t>
        </is>
      </c>
      <c r="E117" t="n">
        <v>100.341534</v>
      </c>
      <c r="F117" t="n">
        <v>28.840315</v>
      </c>
      <c r="G117" t="n">
        <v>27.653763</v>
      </c>
      <c r="H117" t="n">
        <v>83.33437499999999</v>
      </c>
      <c r="I117" t="n">
        <v>22.319429</v>
      </c>
      <c r="J117" t="n">
        <v>22.319429</v>
      </c>
      <c r="K117" t="n">
        <v>16.302777</v>
      </c>
      <c r="L117" t="n">
        <v>27.460928</v>
      </c>
      <c r="M117" t="n">
        <v>27.460928</v>
      </c>
      <c r="N117" t="n">
        <v>27.460928</v>
      </c>
      <c r="O117" t="n">
        <v>-14.110618</v>
      </c>
      <c r="P117" t="n">
        <v>-36.828458</v>
      </c>
      <c r="Q117" t="n">
        <v>27.460928</v>
      </c>
      <c r="S117" t="n">
        <v>-14.110618</v>
      </c>
      <c r="U117" t="n">
        <v>30.881292</v>
      </c>
      <c r="V117" t="n">
        <v>31.789849</v>
      </c>
      <c r="W117" t="n">
        <v>429.71383</v>
      </c>
      <c r="X117" t="n">
        <v>30.241866</v>
      </c>
    </row>
    <row r="118" ht="21" customHeight="1">
      <c r="A118" t="inlineStr">
        <is>
          <t>Callorhinchus callorynchus</t>
        </is>
      </c>
      <c r="B118" t="n">
        <v>3.35</v>
      </c>
      <c r="C118" t="n">
        <v>223.872114</v>
      </c>
      <c r="D118" s="10" t="inlineStr">
        <is>
          <t>Benthic elasmobranchs</t>
        </is>
      </c>
      <c r="E118" t="n">
        <v>100.341534</v>
      </c>
      <c r="F118" t="n">
        <v>227.672107</v>
      </c>
      <c r="G118" t="n">
        <v>212.74056</v>
      </c>
      <c r="H118" t="n">
        <v>1454.477274</v>
      </c>
      <c r="I118" t="n">
        <v>5850.040026</v>
      </c>
      <c r="J118" t="n">
        <v>5861.611252</v>
      </c>
      <c r="K118" t="n">
        <v>3861.19455</v>
      </c>
      <c r="L118" t="n">
        <v>7955.355087</v>
      </c>
      <c r="M118" t="n">
        <v>7955.355087</v>
      </c>
      <c r="N118" t="n">
        <v>7955.355087</v>
      </c>
      <c r="O118" t="n">
        <v>-475.304228</v>
      </c>
      <c r="P118" t="n">
        <v>-1034.602781</v>
      </c>
      <c r="Q118" t="n">
        <v>7955.355087</v>
      </c>
      <c r="S118" t="n">
        <v>-475.304228</v>
      </c>
      <c r="U118" t="n">
        <v>558.607592</v>
      </c>
      <c r="V118" t="n">
        <v>673.429313</v>
      </c>
      <c r="W118" t="n">
        <v>8955.769672</v>
      </c>
      <c r="X118" t="n">
        <v>9372.190554999999</v>
      </c>
    </row>
    <row r="119" ht="21" customHeight="1">
      <c r="A119" t="inlineStr">
        <is>
          <t>Hoplostethus atlanticus</t>
        </is>
      </c>
      <c r="D119" s="10" t="inlineStr">
        <is>
          <t>Unresolved</t>
        </is>
      </c>
    </row>
    <row r="120" ht="21" customHeight="1">
      <c r="A120" t="inlineStr">
        <is>
          <t>Magallana gigas</t>
        </is>
      </c>
      <c r="D120" s="10" t="inlineStr">
        <is>
          <t>Macrobenthos</t>
        </is>
      </c>
      <c r="E120" t="n">
        <v>100.341534</v>
      </c>
      <c r="F120" t="n">
        <v>10</v>
      </c>
      <c r="G120" t="n">
        <v>9.716343999999999</v>
      </c>
      <c r="H120" t="n">
        <v>9.230527</v>
      </c>
      <c r="I120" t="n">
        <v>10.017358</v>
      </c>
      <c r="J120" t="n">
        <v>10.017358</v>
      </c>
      <c r="K120" t="n">
        <v>7.916667</v>
      </c>
      <c r="L120" t="n">
        <v>2.899495</v>
      </c>
      <c r="M120" t="n">
        <v>2.899495</v>
      </c>
      <c r="N120" t="n">
        <v>2.899495</v>
      </c>
      <c r="O120" t="n">
        <v>-50.833365</v>
      </c>
      <c r="P120" t="n">
        <v>-184.825074</v>
      </c>
      <c r="Q120" t="n">
        <v>2.899495</v>
      </c>
      <c r="S120" t="n">
        <v>-50.833365</v>
      </c>
      <c r="U120" t="n">
        <v>91.52878800000001</v>
      </c>
      <c r="V120" t="n">
        <v>116.691946</v>
      </c>
      <c r="W120" t="n">
        <v>929.622982</v>
      </c>
      <c r="X120" t="n">
        <v>3.093013</v>
      </c>
    </row>
    <row r="121" ht="21" customHeight="1">
      <c r="A121" t="inlineStr">
        <is>
          <t>Seriola lalandi</t>
        </is>
      </c>
      <c r="B121" t="n">
        <v>4.16</v>
      </c>
      <c r="C121" t="n">
        <v>1445.439771</v>
      </c>
      <c r="D121" s="10" t="inlineStr">
        <is>
          <t>Other large pelagic fish</t>
        </is>
      </c>
      <c r="E121" t="n">
        <v>100.341534</v>
      </c>
      <c r="F121" t="n">
        <v>721.5611730000001</v>
      </c>
      <c r="G121" t="n">
        <v>664.588831</v>
      </c>
      <c r="H121" t="n">
        <v>1923.880477</v>
      </c>
      <c r="I121" t="n">
        <v>707.786261</v>
      </c>
      <c r="J121" t="n">
        <v>730.795754</v>
      </c>
      <c r="K121" t="n">
        <v>390.224794</v>
      </c>
      <c r="L121" t="n">
        <v>1280.174581</v>
      </c>
      <c r="M121" t="n">
        <v>1280.174581</v>
      </c>
      <c r="N121" t="n">
        <v>1280.174581</v>
      </c>
      <c r="O121" t="n">
        <v>-479.794164</v>
      </c>
      <c r="P121" t="n">
        <v>-709.965776</v>
      </c>
      <c r="Q121" t="n">
        <v>1280.174581</v>
      </c>
      <c r="S121" t="n">
        <v>-479.794164</v>
      </c>
      <c r="U121" t="n">
        <v>483.377545</v>
      </c>
      <c r="V121" t="n">
        <v>503.881531</v>
      </c>
      <c r="W121" t="n">
        <v>10483.563691</v>
      </c>
      <c r="X121" t="n">
        <v>1536.980814</v>
      </c>
    </row>
    <row r="122" ht="21" customHeight="1">
      <c r="A122" t="inlineStr">
        <is>
          <t>Graus nigra</t>
        </is>
      </c>
      <c r="B122" t="n">
        <v>3.35</v>
      </c>
      <c r="C122" t="n">
        <v>223.872114</v>
      </c>
      <c r="D122" s="10" t="inlineStr">
        <is>
          <t>Unresolved</t>
        </is>
      </c>
    </row>
    <row r="123" ht="21" customHeight="1">
      <c r="A123" t="inlineStr">
        <is>
          <t>Hippoglossina macrops</t>
        </is>
      </c>
      <c r="B123" t="n">
        <v>3.73</v>
      </c>
      <c r="C123" t="n">
        <v>537.031796</v>
      </c>
      <c r="D123" s="10" t="inlineStr">
        <is>
          <t>Flatfish</t>
        </is>
      </c>
      <c r="E123" t="n">
        <v>100.341534</v>
      </c>
      <c r="F123" t="n">
        <v>734.481858</v>
      </c>
      <c r="G123" t="n">
        <v>676.339308</v>
      </c>
      <c r="H123" t="n">
        <v>2059.00128</v>
      </c>
      <c r="I123" t="n">
        <v>348.100268</v>
      </c>
      <c r="J123" t="n">
        <v>348.100268</v>
      </c>
      <c r="K123" t="n">
        <v>346.519469</v>
      </c>
      <c r="L123" t="n">
        <v>354.754813</v>
      </c>
      <c r="M123" t="n">
        <v>354.754813</v>
      </c>
      <c r="N123" t="n">
        <v>354.754813</v>
      </c>
      <c r="O123" t="n">
        <v>-898.853069</v>
      </c>
      <c r="P123" t="n">
        <v>-1857.796138</v>
      </c>
      <c r="Q123" t="n">
        <v>354.754813</v>
      </c>
      <c r="S123" t="n">
        <v>-898.853069</v>
      </c>
      <c r="U123" t="n">
        <v>998.77079</v>
      </c>
      <c r="V123" t="n">
        <v>1204.597703</v>
      </c>
      <c r="W123" t="n">
        <v>19477.73429</v>
      </c>
      <c r="X123" t="n">
        <v>404.581425</v>
      </c>
    </row>
    <row r="124" ht="36" customHeight="1">
      <c r="A124" t="inlineStr">
        <is>
          <t>Scorpaeniformes</t>
        </is>
      </c>
      <c r="D124" s="10" t="inlineStr">
        <is>
          <t>Small demersal fish | Medium demersal fish | Medium sciaenids</t>
        </is>
      </c>
      <c r="E124" t="n">
        <v>100.341534</v>
      </c>
      <c r="F124" t="n">
        <v>138.326515</v>
      </c>
      <c r="G124" t="n">
        <v>129.842543</v>
      </c>
      <c r="H124" t="n">
        <v>381.787667</v>
      </c>
      <c r="I124" t="n">
        <v>897.522249</v>
      </c>
      <c r="J124" t="n">
        <v>898.111319</v>
      </c>
      <c r="K124" t="n">
        <v>642.850064</v>
      </c>
      <c r="L124" t="n">
        <v>1416.620481</v>
      </c>
      <c r="M124" t="n">
        <v>1416.620481</v>
      </c>
      <c r="N124" t="n">
        <v>1416.620481</v>
      </c>
      <c r="O124" t="n">
        <v>-245.919475</v>
      </c>
      <c r="P124" t="n">
        <v>-623.522679</v>
      </c>
      <c r="Q124" t="n">
        <v>1416.620481</v>
      </c>
      <c r="S124" t="n">
        <v>-245.919475</v>
      </c>
      <c r="U124" t="n">
        <v>331.68607</v>
      </c>
      <c r="V124" t="n">
        <v>405.129578</v>
      </c>
      <c r="W124" t="n">
        <v>4869.54909</v>
      </c>
      <c r="X124" t="n">
        <v>1676.963843</v>
      </c>
    </row>
    <row r="125" ht="21" customHeight="1">
      <c r="A125" t="inlineStr">
        <is>
          <t>Seriola</t>
        </is>
      </c>
      <c r="B125" t="n">
        <v>4.39</v>
      </c>
      <c r="C125" t="n">
        <v>2454.708916</v>
      </c>
      <c r="D125" s="10" t="inlineStr">
        <is>
          <t>Other large pelagic fish</t>
        </is>
      </c>
      <c r="E125" t="n">
        <v>100.341534</v>
      </c>
      <c r="F125" t="n">
        <v>721.5611730000001</v>
      </c>
      <c r="G125" t="n">
        <v>664.588831</v>
      </c>
      <c r="H125" t="n">
        <v>1923.880477</v>
      </c>
      <c r="I125" t="n">
        <v>707.786261</v>
      </c>
      <c r="J125" t="n">
        <v>730.795754</v>
      </c>
      <c r="K125" t="n">
        <v>390.224794</v>
      </c>
      <c r="L125" t="n">
        <v>1280.174581</v>
      </c>
      <c r="M125" t="n">
        <v>1280.174581</v>
      </c>
      <c r="N125" t="n">
        <v>1280.174581</v>
      </c>
      <c r="O125" t="n">
        <v>-479.794164</v>
      </c>
      <c r="P125" t="n">
        <v>-709.965776</v>
      </c>
      <c r="Q125" t="n">
        <v>1280.174581</v>
      </c>
      <c r="S125" t="n">
        <v>-479.794164</v>
      </c>
      <c r="U125" t="n">
        <v>483.377545</v>
      </c>
      <c r="V125" t="n">
        <v>503.881531</v>
      </c>
      <c r="W125" t="n">
        <v>10483.563691</v>
      </c>
      <c r="X125" t="n">
        <v>1536.980814</v>
      </c>
    </row>
    <row r="126" ht="21" customHeight="1">
      <c r="A126" t="inlineStr">
        <is>
          <t>Mulinia edulis</t>
        </is>
      </c>
      <c r="B126" t="n">
        <v>2.03</v>
      </c>
      <c r="C126" t="n">
        <v>10.715193</v>
      </c>
      <c r="D126" s="10" t="inlineStr">
        <is>
          <t>Macrobenthos</t>
        </is>
      </c>
      <c r="E126" t="n">
        <v>100.341534</v>
      </c>
      <c r="F126" t="n">
        <v>10</v>
      </c>
      <c r="G126" t="n">
        <v>9.716343999999999</v>
      </c>
      <c r="H126" t="n">
        <v>9.230527</v>
      </c>
      <c r="I126" t="n">
        <v>10.017358</v>
      </c>
      <c r="J126" t="n">
        <v>10.017358</v>
      </c>
      <c r="K126" t="n">
        <v>7.916667</v>
      </c>
      <c r="L126" t="n">
        <v>2.899495</v>
      </c>
      <c r="M126" t="n">
        <v>2.899495</v>
      </c>
      <c r="N126" t="n">
        <v>2.899495</v>
      </c>
      <c r="O126" t="n">
        <v>-50.833365</v>
      </c>
      <c r="P126" t="n">
        <v>-184.825074</v>
      </c>
      <c r="Q126" t="n">
        <v>2.899495</v>
      </c>
      <c r="S126" t="n">
        <v>-50.833365</v>
      </c>
      <c r="U126" t="n">
        <v>91.52878800000001</v>
      </c>
      <c r="V126" t="n">
        <v>116.691946</v>
      </c>
      <c r="W126" t="n">
        <v>929.622982</v>
      </c>
      <c r="X126" t="n">
        <v>3.093013</v>
      </c>
    </row>
    <row r="127" ht="21" customHeight="1">
      <c r="A127" t="inlineStr">
        <is>
          <t>Tegula atra</t>
        </is>
      </c>
      <c r="B127" t="n">
        <v>2</v>
      </c>
      <c r="C127" t="n">
        <v>10</v>
      </c>
      <c r="D127" s="10" t="inlineStr">
        <is>
          <t>Macrobenthos</t>
        </is>
      </c>
      <c r="E127" t="n">
        <v>100.341534</v>
      </c>
      <c r="F127" t="n">
        <v>10</v>
      </c>
      <c r="G127" t="n">
        <v>9.716343999999999</v>
      </c>
      <c r="H127" t="n">
        <v>9.230527</v>
      </c>
      <c r="I127" t="n">
        <v>10.017358</v>
      </c>
      <c r="J127" t="n">
        <v>10.017358</v>
      </c>
      <c r="K127" t="n">
        <v>7.916667</v>
      </c>
      <c r="L127" t="n">
        <v>2.899495</v>
      </c>
      <c r="M127" t="n">
        <v>2.899495</v>
      </c>
      <c r="N127" t="n">
        <v>2.899495</v>
      </c>
      <c r="O127" t="n">
        <v>-50.833365</v>
      </c>
      <c r="P127" t="n">
        <v>-184.825074</v>
      </c>
      <c r="Q127" t="n">
        <v>2.899495</v>
      </c>
      <c r="S127" t="n">
        <v>-50.833365</v>
      </c>
      <c r="U127" t="n">
        <v>91.52878800000001</v>
      </c>
      <c r="V127" t="n">
        <v>116.691946</v>
      </c>
      <c r="W127" t="n">
        <v>929.622982</v>
      </c>
      <c r="X127" t="n">
        <v>3.093013</v>
      </c>
    </row>
    <row r="128" ht="21" customHeight="1">
      <c r="A128" t="inlineStr">
        <is>
          <t>Fissurella latimarginata</t>
        </is>
      </c>
      <c r="B128" t="n">
        <v>2.19</v>
      </c>
      <c r="C128" t="n">
        <v>15.488166</v>
      </c>
      <c r="D128" s="10" t="inlineStr">
        <is>
          <t>Macrobenthos</t>
        </is>
      </c>
      <c r="E128" t="n">
        <v>100.341534</v>
      </c>
      <c r="F128" t="n">
        <v>10</v>
      </c>
      <c r="G128" t="n">
        <v>9.716343999999999</v>
      </c>
      <c r="H128" t="n">
        <v>9.230527</v>
      </c>
      <c r="I128" t="n">
        <v>10.017358</v>
      </c>
      <c r="J128" t="n">
        <v>10.017358</v>
      </c>
      <c r="K128" t="n">
        <v>7.916667</v>
      </c>
      <c r="L128" t="n">
        <v>2.899495</v>
      </c>
      <c r="M128" t="n">
        <v>2.899495</v>
      </c>
      <c r="N128" t="n">
        <v>2.899495</v>
      </c>
      <c r="O128" t="n">
        <v>-50.833365</v>
      </c>
      <c r="P128" t="n">
        <v>-184.825074</v>
      </c>
      <c r="Q128" t="n">
        <v>2.899495</v>
      </c>
      <c r="S128" t="n">
        <v>-50.833365</v>
      </c>
      <c r="U128" t="n">
        <v>91.52878800000001</v>
      </c>
      <c r="V128" t="n">
        <v>116.691946</v>
      </c>
      <c r="W128" t="n">
        <v>929.622982</v>
      </c>
      <c r="X128" t="n">
        <v>3.093013</v>
      </c>
    </row>
    <row r="129" ht="21" customHeight="1">
      <c r="A129" t="inlineStr">
        <is>
          <t>Athyonidium chilensis</t>
        </is>
      </c>
      <c r="B129" t="n">
        <v>2.86</v>
      </c>
      <c r="C129" t="n">
        <v>72.443596</v>
      </c>
      <c r="D129" s="10" t="inlineStr">
        <is>
          <t>Macrobenthos</t>
        </is>
      </c>
      <c r="E129" t="n">
        <v>100.341534</v>
      </c>
      <c r="F129" t="n">
        <v>10</v>
      </c>
      <c r="G129" t="n">
        <v>9.716343999999999</v>
      </c>
      <c r="H129" t="n">
        <v>9.230527</v>
      </c>
      <c r="I129" t="n">
        <v>10.017358</v>
      </c>
      <c r="J129" t="n">
        <v>10.017358</v>
      </c>
      <c r="K129" t="n">
        <v>7.916667</v>
      </c>
      <c r="L129" t="n">
        <v>2.899495</v>
      </c>
      <c r="M129" t="n">
        <v>2.899495</v>
      </c>
      <c r="N129" t="n">
        <v>2.899495</v>
      </c>
      <c r="O129" t="n">
        <v>-50.833365</v>
      </c>
      <c r="P129" t="n">
        <v>-184.825074</v>
      </c>
      <c r="Q129" t="n">
        <v>2.899495</v>
      </c>
      <c r="S129" t="n">
        <v>-50.833365</v>
      </c>
      <c r="U129" t="n">
        <v>91.52878800000001</v>
      </c>
      <c r="V129" t="n">
        <v>116.691946</v>
      </c>
      <c r="W129" t="n">
        <v>929.622982</v>
      </c>
      <c r="X129" t="n">
        <v>3.093013</v>
      </c>
    </row>
    <row r="130" ht="21" customHeight="1">
      <c r="A130" t="inlineStr">
        <is>
          <t>Paralichthys</t>
        </is>
      </c>
      <c r="B130" t="n">
        <v>4.14</v>
      </c>
      <c r="C130" t="n">
        <v>1380.384265</v>
      </c>
      <c r="D130" s="10" t="inlineStr">
        <is>
          <t>Flatfish</t>
        </is>
      </c>
      <c r="E130" t="n">
        <v>100.341534</v>
      </c>
      <c r="F130" t="n">
        <v>734.481858</v>
      </c>
      <c r="G130" t="n">
        <v>676.339308</v>
      </c>
      <c r="H130" t="n">
        <v>2059.00128</v>
      </c>
      <c r="I130" t="n">
        <v>348.100268</v>
      </c>
      <c r="J130" t="n">
        <v>348.100268</v>
      </c>
      <c r="K130" t="n">
        <v>346.519469</v>
      </c>
      <c r="L130" t="n">
        <v>354.754813</v>
      </c>
      <c r="M130" t="n">
        <v>354.754813</v>
      </c>
      <c r="N130" t="n">
        <v>354.754813</v>
      </c>
      <c r="O130" t="n">
        <v>-898.853069</v>
      </c>
      <c r="P130" t="n">
        <v>-1857.796138</v>
      </c>
      <c r="Q130" t="n">
        <v>354.754813</v>
      </c>
      <c r="S130" t="n">
        <v>-898.853069</v>
      </c>
      <c r="U130" t="n">
        <v>998.77079</v>
      </c>
      <c r="V130" t="n">
        <v>1204.597703</v>
      </c>
      <c r="W130" t="n">
        <v>19477.73429</v>
      </c>
      <c r="X130" t="n">
        <v>404.581425</v>
      </c>
    </row>
    <row r="131" ht="21" customHeight="1">
      <c r="A131" t="inlineStr">
        <is>
          <t>Fissurella cumingi</t>
        </is>
      </c>
      <c r="B131" t="n">
        <v>2</v>
      </c>
      <c r="C131" t="n">
        <v>10</v>
      </c>
      <c r="D131" s="10" t="inlineStr">
        <is>
          <t>Macrobenthos</t>
        </is>
      </c>
      <c r="E131" t="n">
        <v>100.341534</v>
      </c>
      <c r="F131" t="n">
        <v>10</v>
      </c>
      <c r="G131" t="n">
        <v>9.716343999999999</v>
      </c>
      <c r="H131" t="n">
        <v>9.230527</v>
      </c>
      <c r="I131" t="n">
        <v>10.017358</v>
      </c>
      <c r="J131" t="n">
        <v>10.017358</v>
      </c>
      <c r="K131" t="n">
        <v>7.916667</v>
      </c>
      <c r="L131" t="n">
        <v>2.899495</v>
      </c>
      <c r="M131" t="n">
        <v>2.899495</v>
      </c>
      <c r="N131" t="n">
        <v>2.899495</v>
      </c>
      <c r="O131" t="n">
        <v>-50.833365</v>
      </c>
      <c r="P131" t="n">
        <v>-184.825074</v>
      </c>
      <c r="Q131" t="n">
        <v>2.899495</v>
      </c>
      <c r="S131" t="n">
        <v>-50.833365</v>
      </c>
      <c r="U131" t="n">
        <v>91.52878800000001</v>
      </c>
      <c r="V131" t="n">
        <v>116.691946</v>
      </c>
      <c r="W131" t="n">
        <v>929.622982</v>
      </c>
      <c r="X131" t="n">
        <v>3.093013</v>
      </c>
    </row>
    <row r="132" ht="21" customHeight="1">
      <c r="A132" t="inlineStr">
        <is>
          <t>Penaeus californiensis</t>
        </is>
      </c>
      <c r="B132" t="n">
        <v>2.7</v>
      </c>
      <c r="C132" t="n">
        <v>50.118723</v>
      </c>
      <c r="D132" s="10" t="inlineStr">
        <is>
          <t>Macrobenthos</t>
        </is>
      </c>
      <c r="E132" t="n">
        <v>100.341534</v>
      </c>
      <c r="F132" t="n">
        <v>10</v>
      </c>
      <c r="G132" t="n">
        <v>9.716343999999999</v>
      </c>
      <c r="H132" t="n">
        <v>9.230527</v>
      </c>
      <c r="I132" t="n">
        <v>10.017358</v>
      </c>
      <c r="J132" t="n">
        <v>10.017358</v>
      </c>
      <c r="K132" t="n">
        <v>7.916667</v>
      </c>
      <c r="L132" t="n">
        <v>2.899495</v>
      </c>
      <c r="M132" t="n">
        <v>2.899495</v>
      </c>
      <c r="N132" t="n">
        <v>2.899495</v>
      </c>
      <c r="O132" t="n">
        <v>-50.833365</v>
      </c>
      <c r="P132" t="n">
        <v>-184.825074</v>
      </c>
      <c r="Q132" t="n">
        <v>2.899495</v>
      </c>
      <c r="S132" t="n">
        <v>-50.833365</v>
      </c>
      <c r="U132" t="n">
        <v>91.52878800000001</v>
      </c>
      <c r="V132" t="n">
        <v>116.691946</v>
      </c>
      <c r="W132" t="n">
        <v>929.622982</v>
      </c>
      <c r="X132" t="n">
        <v>3.093013</v>
      </c>
    </row>
    <row r="133" ht="21" customHeight="1">
      <c r="A133" t="inlineStr">
        <is>
          <t>Ovalipes trimaculatus</t>
        </is>
      </c>
      <c r="B133" t="n">
        <v>4.41</v>
      </c>
      <c r="C133" t="n">
        <v>2570.395783</v>
      </c>
      <c r="D133" s="10" t="inlineStr">
        <is>
          <t>Macrobenthos</t>
        </is>
      </c>
      <c r="E133" t="n">
        <v>100.341534</v>
      </c>
      <c r="F133" t="n">
        <v>10</v>
      </c>
      <c r="G133" t="n">
        <v>9.716343999999999</v>
      </c>
      <c r="H133" t="n">
        <v>9.230527</v>
      </c>
      <c r="I133" t="n">
        <v>10.017358</v>
      </c>
      <c r="J133" t="n">
        <v>10.017358</v>
      </c>
      <c r="K133" t="n">
        <v>7.916667</v>
      </c>
      <c r="L133" t="n">
        <v>2.899495</v>
      </c>
      <c r="M133" t="n">
        <v>2.899495</v>
      </c>
      <c r="N133" t="n">
        <v>2.899495</v>
      </c>
      <c r="O133" t="n">
        <v>-50.833365</v>
      </c>
      <c r="P133" t="n">
        <v>-184.825074</v>
      </c>
      <c r="Q133" t="n">
        <v>2.899495</v>
      </c>
      <c r="S133" t="n">
        <v>-50.833365</v>
      </c>
      <c r="U133" t="n">
        <v>91.52878800000001</v>
      </c>
      <c r="V133" t="n">
        <v>116.691946</v>
      </c>
      <c r="W133" t="n">
        <v>929.622982</v>
      </c>
      <c r="X133" t="n">
        <v>3.093013</v>
      </c>
    </row>
    <row r="134" ht="21" customHeight="1">
      <c r="A134" t="inlineStr">
        <is>
          <t>Galeorhinus galeus</t>
        </is>
      </c>
      <c r="B134" t="n">
        <v>4.34</v>
      </c>
      <c r="C134" t="n">
        <v>2187.761624</v>
      </c>
      <c r="D134" s="10" t="inlineStr">
        <is>
          <t>Benthic elasmobranchs</t>
        </is>
      </c>
      <c r="E134" t="n">
        <v>100.341534</v>
      </c>
      <c r="F134" t="n">
        <v>227.672107</v>
      </c>
      <c r="G134" t="n">
        <v>212.74056</v>
      </c>
      <c r="H134" t="n">
        <v>1454.477274</v>
      </c>
      <c r="I134" t="n">
        <v>5850.040026</v>
      </c>
      <c r="J134" t="n">
        <v>5861.611252</v>
      </c>
      <c r="K134" t="n">
        <v>3861.19455</v>
      </c>
      <c r="L134" t="n">
        <v>7955.355087</v>
      </c>
      <c r="M134" t="n">
        <v>7955.355087</v>
      </c>
      <c r="N134" t="n">
        <v>7955.355087</v>
      </c>
      <c r="O134" t="n">
        <v>-475.304228</v>
      </c>
      <c r="P134" t="n">
        <v>-1034.602781</v>
      </c>
      <c r="Q134" t="n">
        <v>7955.355087</v>
      </c>
      <c r="S134" t="n">
        <v>-475.304228</v>
      </c>
      <c r="U134" t="n">
        <v>558.607592</v>
      </c>
      <c r="V134" t="n">
        <v>673.429313</v>
      </c>
      <c r="W134" t="n">
        <v>8955.769672</v>
      </c>
      <c r="X134" t="n">
        <v>9372.190554999999</v>
      </c>
    </row>
    <row r="135" ht="21" customHeight="1">
      <c r="A135" t="inlineStr">
        <is>
          <t>Thunnus alalunga</t>
        </is>
      </c>
      <c r="B135" t="n">
        <v>4.3</v>
      </c>
      <c r="C135" t="n">
        <v>1995.262315</v>
      </c>
      <c r="D135" s="10" t="inlineStr">
        <is>
          <t>Other large pelagic fish</t>
        </is>
      </c>
      <c r="E135" t="n">
        <v>100.341534</v>
      </c>
      <c r="F135" t="n">
        <v>721.5611730000001</v>
      </c>
      <c r="G135" t="n">
        <v>664.588831</v>
      </c>
      <c r="H135" t="n">
        <v>1923.880477</v>
      </c>
      <c r="I135" t="n">
        <v>707.786261</v>
      </c>
      <c r="J135" t="n">
        <v>730.795754</v>
      </c>
      <c r="K135" t="n">
        <v>390.224794</v>
      </c>
      <c r="L135" t="n">
        <v>1280.174581</v>
      </c>
      <c r="M135" t="n">
        <v>1280.174581</v>
      </c>
      <c r="N135" t="n">
        <v>1280.174581</v>
      </c>
      <c r="O135" t="n">
        <v>-479.794164</v>
      </c>
      <c r="P135" t="n">
        <v>-709.965776</v>
      </c>
      <c r="Q135" t="n">
        <v>1280.174581</v>
      </c>
      <c r="S135" t="n">
        <v>-479.794164</v>
      </c>
      <c r="U135" t="n">
        <v>483.377545</v>
      </c>
      <c r="V135" t="n">
        <v>503.881531</v>
      </c>
      <c r="W135" t="n">
        <v>10483.563691</v>
      </c>
      <c r="X135" t="n">
        <v>1536.980814</v>
      </c>
    </row>
    <row r="136" ht="51" customHeight="1">
      <c r="A136" t="inlineStr">
        <is>
          <t>Carangidae</t>
        </is>
      </c>
      <c r="B136" t="n">
        <v>4.05</v>
      </c>
      <c r="C136" t="n">
        <v>1122.018454</v>
      </c>
      <c r="D136" s="10" t="inlineStr">
        <is>
          <t>Other small pelagic fish | Horse mackerel | Other large pelagic fish | Butter fishes</t>
        </is>
      </c>
      <c r="E136" t="n">
        <v>100.341534</v>
      </c>
      <c r="F136" t="n">
        <v>207.992101</v>
      </c>
      <c r="G136" t="n">
        <v>193.743177</v>
      </c>
      <c r="H136" t="n">
        <v>653.206507</v>
      </c>
      <c r="I136" t="n">
        <v>359.13094</v>
      </c>
      <c r="J136" t="n">
        <v>361.168269</v>
      </c>
      <c r="K136" t="n">
        <v>115.455126</v>
      </c>
      <c r="L136" t="n">
        <v>505.148865</v>
      </c>
      <c r="M136" t="n">
        <v>505.148865</v>
      </c>
      <c r="N136" t="n">
        <v>505.148865</v>
      </c>
      <c r="O136" t="n">
        <v>-164.946495</v>
      </c>
      <c r="P136" t="n">
        <v>-246.081483</v>
      </c>
      <c r="Q136" t="n">
        <v>505.148865</v>
      </c>
      <c r="S136" t="n">
        <v>-164.946495</v>
      </c>
      <c r="U136" t="n">
        <v>164.699669</v>
      </c>
      <c r="V136" t="n">
        <v>172.907722</v>
      </c>
      <c r="W136" t="n">
        <v>3634.35911</v>
      </c>
      <c r="X136" t="n">
        <v>583.303725</v>
      </c>
    </row>
    <row r="137" ht="21" customHeight="1">
      <c r="A137" t="inlineStr">
        <is>
          <t>Miscellaneous marine crustaceans</t>
        </is>
      </c>
      <c r="B137" t="n">
        <v>2.7</v>
      </c>
      <c r="C137" t="n">
        <v>50.118723</v>
      </c>
      <c r="D137" s="10" t="inlineStr">
        <is>
          <t>Macrobenthos</t>
        </is>
      </c>
      <c r="E137" t="n">
        <v>100.341534</v>
      </c>
      <c r="F137" t="n">
        <v>10</v>
      </c>
      <c r="G137" t="n">
        <v>9.716343999999999</v>
      </c>
      <c r="H137" t="n">
        <v>9.230527</v>
      </c>
      <c r="I137" t="n">
        <v>10.017358</v>
      </c>
      <c r="J137" t="n">
        <v>10.017358</v>
      </c>
      <c r="K137" t="n">
        <v>7.916667</v>
      </c>
      <c r="L137" t="n">
        <v>2.899495</v>
      </c>
      <c r="M137" t="n">
        <v>2.899495</v>
      </c>
      <c r="N137" t="n">
        <v>2.899495</v>
      </c>
      <c r="O137" t="n">
        <v>-50.833365</v>
      </c>
      <c r="P137" t="n">
        <v>-184.825074</v>
      </c>
      <c r="Q137" t="n">
        <v>2.899495</v>
      </c>
      <c r="S137" t="n">
        <v>-50.833365</v>
      </c>
      <c r="U137" t="n">
        <v>91.52878800000001</v>
      </c>
      <c r="V137" t="n">
        <v>116.691946</v>
      </c>
      <c r="W137" t="n">
        <v>929.622982</v>
      </c>
      <c r="X137" t="n">
        <v>3.093013</v>
      </c>
    </row>
    <row r="138" ht="21" customHeight="1">
      <c r="A138" t="inlineStr">
        <is>
          <t>Enteroctopus megalocyathus</t>
        </is>
      </c>
      <c r="B138" t="n">
        <v>3.68</v>
      </c>
      <c r="C138" t="n">
        <v>478.630092</v>
      </c>
      <c r="D138" s="10" t="inlineStr">
        <is>
          <t>Other cephalopods</t>
        </is>
      </c>
      <c r="E138" t="n">
        <v>100.341534</v>
      </c>
      <c r="F138" t="n">
        <v>133.998519</v>
      </c>
      <c r="G138" t="n">
        <v>126.042621</v>
      </c>
      <c r="H138" t="n">
        <v>240.466435</v>
      </c>
      <c r="I138" t="n">
        <v>9.809711</v>
      </c>
      <c r="J138" t="n">
        <v>9.809711</v>
      </c>
      <c r="K138" t="n">
        <v>9.319224999999999</v>
      </c>
      <c r="L138" t="n">
        <v>13.826862</v>
      </c>
      <c r="M138" t="n">
        <v>13.826862</v>
      </c>
      <c r="N138" t="n">
        <v>13.826862</v>
      </c>
      <c r="O138" t="n">
        <v>-21.746323</v>
      </c>
      <c r="P138" t="n">
        <v>-52.393884</v>
      </c>
      <c r="Q138" t="n">
        <v>13.826862</v>
      </c>
      <c r="S138" t="n">
        <v>-21.746323</v>
      </c>
      <c r="U138" t="n">
        <v>33.004478</v>
      </c>
      <c r="V138" t="n">
        <v>37.738157</v>
      </c>
      <c r="W138" t="n">
        <v>384.456062</v>
      </c>
      <c r="X138" t="n">
        <v>15.987649</v>
      </c>
    </row>
    <row r="139" ht="21" customHeight="1">
      <c r="A139" t="inlineStr">
        <is>
          <t>Istiophoridae</t>
        </is>
      </c>
      <c r="B139" t="n">
        <v>4.48</v>
      </c>
      <c r="C139" t="n">
        <v>3019.95172</v>
      </c>
      <c r="D139" s="10" t="inlineStr">
        <is>
          <t>Unresolved</t>
        </is>
      </c>
    </row>
    <row r="140" ht="21" customHeight="1">
      <c r="A140" t="inlineStr">
        <is>
          <t>Chrysaora plocamia</t>
        </is>
      </c>
      <c r="D140" s="10" t="inlineStr">
        <is>
          <t>Chrysaora plocamia</t>
        </is>
      </c>
      <c r="E140" t="n">
        <v>100.341534</v>
      </c>
      <c r="F140" t="n">
        <v>104.843322</v>
      </c>
      <c r="G140" t="n">
        <v>98.921314</v>
      </c>
      <c r="H140" t="n">
        <v>235.089971</v>
      </c>
      <c r="I140" t="n">
        <v>286887.918183</v>
      </c>
      <c r="J140" t="n">
        <v>286887.918183</v>
      </c>
      <c r="K140" t="n">
        <v>17.551243</v>
      </c>
      <c r="L140" t="n">
        <v>381475.8649</v>
      </c>
      <c r="M140" t="n">
        <v>381475.864896</v>
      </c>
      <c r="N140" t="n">
        <v>381475.864896</v>
      </c>
      <c r="O140" t="n">
        <v>-30.415099</v>
      </c>
      <c r="P140" t="n">
        <v>-56.231379</v>
      </c>
      <c r="Q140" t="n">
        <v>381475.864896</v>
      </c>
      <c r="S140" t="n">
        <v>-30.415099</v>
      </c>
      <c r="U140" t="n">
        <v>36.109759</v>
      </c>
      <c r="V140" t="n">
        <v>37.346278</v>
      </c>
      <c r="W140" t="n">
        <v>804.451973</v>
      </c>
      <c r="X140" t="n">
        <v>432377.280529</v>
      </c>
    </row>
    <row r="141" ht="21" customHeight="1">
      <c r="A141" t="inlineStr">
        <is>
          <t>Pinguipes chilensis</t>
        </is>
      </c>
      <c r="B141" t="n">
        <v>3.53</v>
      </c>
      <c r="C141" t="n">
        <v>338.844156</v>
      </c>
      <c r="D141" s="10" t="inlineStr">
        <is>
          <t>Medium demersal fish</t>
        </is>
      </c>
      <c r="E141" t="n">
        <v>100.341534</v>
      </c>
      <c r="F141" t="n">
        <v>150.446864</v>
      </c>
      <c r="G141" t="n">
        <v>141.309763</v>
      </c>
      <c r="H141" t="n">
        <v>345.608481</v>
      </c>
      <c r="I141" t="n">
        <v>95.134595</v>
      </c>
      <c r="J141" t="n">
        <v>95.68003899999999</v>
      </c>
      <c r="K141" t="n">
        <v>78.47268099999999</v>
      </c>
      <c r="L141" t="n">
        <v>85.358492</v>
      </c>
      <c r="M141" t="n">
        <v>85.358492</v>
      </c>
      <c r="N141" t="n">
        <v>85.358492</v>
      </c>
      <c r="O141" t="n">
        <v>-290.0196</v>
      </c>
      <c r="P141" t="n">
        <v>-770.353084</v>
      </c>
      <c r="Q141" t="n">
        <v>85.358492</v>
      </c>
      <c r="S141" t="n">
        <v>-290.0196</v>
      </c>
      <c r="U141" t="n">
        <v>400.586214</v>
      </c>
      <c r="V141" t="n">
        <v>495.192523</v>
      </c>
      <c r="W141" t="n">
        <v>4943.256156</v>
      </c>
      <c r="X141" t="n">
        <v>95.427959</v>
      </c>
    </row>
    <row r="142" ht="21" customHeight="1">
      <c r="A142" t="inlineStr">
        <is>
          <t>Rajiformes</t>
        </is>
      </c>
      <c r="B142" t="n">
        <v>3.61</v>
      </c>
      <c r="C142" t="n">
        <v>407.380278</v>
      </c>
      <c r="D142" s="10" t="inlineStr">
        <is>
          <t>Benthic elasmobranchs</t>
        </is>
      </c>
      <c r="E142" t="n">
        <v>100.341534</v>
      </c>
      <c r="F142" t="n">
        <v>227.672107</v>
      </c>
      <c r="G142" t="n">
        <v>212.74056</v>
      </c>
      <c r="H142" t="n">
        <v>1454.477274</v>
      </c>
      <c r="I142" t="n">
        <v>5850.040026</v>
      </c>
      <c r="J142" t="n">
        <v>5861.611252</v>
      </c>
      <c r="K142" t="n">
        <v>3861.19455</v>
      </c>
      <c r="L142" t="n">
        <v>7955.355087</v>
      </c>
      <c r="M142" t="n">
        <v>7955.355087</v>
      </c>
      <c r="N142" t="n">
        <v>7955.355087</v>
      </c>
      <c r="O142" t="n">
        <v>-475.304228</v>
      </c>
      <c r="P142" t="n">
        <v>-1034.602781</v>
      </c>
      <c r="Q142" t="n">
        <v>7955.355087</v>
      </c>
      <c r="S142" t="n">
        <v>-475.304228</v>
      </c>
      <c r="U142" t="n">
        <v>558.607592</v>
      </c>
      <c r="V142" t="n">
        <v>673.429313</v>
      </c>
      <c r="W142" t="n">
        <v>8955.769672</v>
      </c>
      <c r="X142" t="n">
        <v>9372.190554999999</v>
      </c>
    </row>
    <row r="143" ht="21" customHeight="1">
      <c r="A143" t="inlineStr">
        <is>
          <t>Xanthochorus cassidiformis</t>
        </is>
      </c>
      <c r="B143" t="n">
        <v>3.1</v>
      </c>
      <c r="C143" t="n">
        <v>125.892541</v>
      </c>
      <c r="D143" s="10" t="inlineStr">
        <is>
          <t>Macrobenthos</t>
        </is>
      </c>
      <c r="E143" t="n">
        <v>100.341534</v>
      </c>
      <c r="F143" t="n">
        <v>10</v>
      </c>
      <c r="G143" t="n">
        <v>9.716343999999999</v>
      </c>
      <c r="H143" t="n">
        <v>9.230527</v>
      </c>
      <c r="I143" t="n">
        <v>10.017358</v>
      </c>
      <c r="J143" t="n">
        <v>10.017358</v>
      </c>
      <c r="K143" t="n">
        <v>7.916667</v>
      </c>
      <c r="L143" t="n">
        <v>2.899495</v>
      </c>
      <c r="M143" t="n">
        <v>2.899495</v>
      </c>
      <c r="N143" t="n">
        <v>2.899495</v>
      </c>
      <c r="O143" t="n">
        <v>-50.833365</v>
      </c>
      <c r="P143" t="n">
        <v>-184.825074</v>
      </c>
      <c r="Q143" t="n">
        <v>2.899495</v>
      </c>
      <c r="S143" t="n">
        <v>-50.833365</v>
      </c>
      <c r="U143" t="n">
        <v>91.52878800000001</v>
      </c>
      <c r="V143" t="n">
        <v>116.691946</v>
      </c>
      <c r="W143" t="n">
        <v>929.622982</v>
      </c>
      <c r="X143" t="n">
        <v>3.093013</v>
      </c>
    </row>
    <row r="144" ht="21" customHeight="1">
      <c r="A144" t="inlineStr">
        <is>
          <t>Panulirus gracilis</t>
        </is>
      </c>
      <c r="B144" t="n">
        <v>2.6</v>
      </c>
      <c r="C144" t="n">
        <v>39.810717</v>
      </c>
      <c r="D144" s="10" t="inlineStr">
        <is>
          <t>Macrobenthos</t>
        </is>
      </c>
      <c r="E144" t="n">
        <v>100.341534</v>
      </c>
      <c r="F144" t="n">
        <v>10</v>
      </c>
      <c r="G144" t="n">
        <v>9.716343999999999</v>
      </c>
      <c r="H144" t="n">
        <v>9.230527</v>
      </c>
      <c r="I144" t="n">
        <v>10.017358</v>
      </c>
      <c r="J144" t="n">
        <v>10.017358</v>
      </c>
      <c r="K144" t="n">
        <v>7.916667</v>
      </c>
      <c r="L144" t="n">
        <v>2.899495</v>
      </c>
      <c r="M144" t="n">
        <v>2.899495</v>
      </c>
      <c r="N144" t="n">
        <v>2.899495</v>
      </c>
      <c r="O144" t="n">
        <v>-50.833365</v>
      </c>
      <c r="P144" t="n">
        <v>-184.825074</v>
      </c>
      <c r="Q144" t="n">
        <v>2.899495</v>
      </c>
      <c r="S144" t="n">
        <v>-50.833365</v>
      </c>
      <c r="U144" t="n">
        <v>91.52878800000001</v>
      </c>
      <c r="V144" t="n">
        <v>116.691946</v>
      </c>
      <c r="W144" t="n">
        <v>929.622982</v>
      </c>
      <c r="X144" t="n">
        <v>3.093013</v>
      </c>
    </row>
    <row r="145" ht="21" customHeight="1">
      <c r="A145" t="inlineStr">
        <is>
          <t>Mustelus</t>
        </is>
      </c>
      <c r="B145" t="n">
        <v>3.73</v>
      </c>
      <c r="C145" t="n">
        <v>537.031796</v>
      </c>
      <c r="D145" s="10" t="inlineStr">
        <is>
          <t>Benthic elasmobranchs</t>
        </is>
      </c>
      <c r="E145" t="n">
        <v>100.341534</v>
      </c>
      <c r="F145" t="n">
        <v>227.672107</v>
      </c>
      <c r="G145" t="n">
        <v>212.74056</v>
      </c>
      <c r="H145" t="n">
        <v>1454.477274</v>
      </c>
      <c r="I145" t="n">
        <v>5850.040026</v>
      </c>
      <c r="J145" t="n">
        <v>5861.611252</v>
      </c>
      <c r="K145" t="n">
        <v>3861.19455</v>
      </c>
      <c r="L145" t="n">
        <v>7955.355087</v>
      </c>
      <c r="M145" t="n">
        <v>7955.355087</v>
      </c>
      <c r="N145" t="n">
        <v>7955.355087</v>
      </c>
      <c r="O145" t="n">
        <v>-475.304228</v>
      </c>
      <c r="P145" t="n">
        <v>-1034.602781</v>
      </c>
      <c r="Q145" t="n">
        <v>7955.355087</v>
      </c>
      <c r="S145" t="n">
        <v>-475.304228</v>
      </c>
      <c r="U145" t="n">
        <v>558.607592</v>
      </c>
      <c r="V145" t="n">
        <v>673.429313</v>
      </c>
      <c r="W145" t="n">
        <v>8955.769672</v>
      </c>
      <c r="X145" t="n">
        <v>9372.190554999999</v>
      </c>
    </row>
    <row r="146" ht="21" customHeight="1">
      <c r="A146" t="inlineStr">
        <is>
          <t>Emmelichthys nitidus</t>
        </is>
      </c>
      <c r="D146" s="10" t="inlineStr">
        <is>
          <t>Unresolved</t>
        </is>
      </c>
    </row>
    <row r="147" ht="21" customHeight="1">
      <c r="A147" t="inlineStr">
        <is>
          <t>Tetrapturus</t>
        </is>
      </c>
      <c r="D147" s="10" t="inlineStr">
        <is>
          <t>Unresolved</t>
        </is>
      </c>
    </row>
    <row r="148" ht="21" customHeight="1">
      <c r="A148" t="inlineStr">
        <is>
          <t>Nemadactylus</t>
        </is>
      </c>
      <c r="D148" s="10" t="inlineStr">
        <is>
          <t>Medium demersal fish</t>
        </is>
      </c>
      <c r="E148" t="n">
        <v>100.341534</v>
      </c>
      <c r="F148" t="n">
        <v>150.446864</v>
      </c>
      <c r="G148" t="n">
        <v>141.309763</v>
      </c>
      <c r="H148" t="n">
        <v>345.608481</v>
      </c>
      <c r="I148" t="n">
        <v>95.134595</v>
      </c>
      <c r="J148" t="n">
        <v>95.68003899999999</v>
      </c>
      <c r="K148" t="n">
        <v>78.47268099999999</v>
      </c>
      <c r="L148" t="n">
        <v>85.358492</v>
      </c>
      <c r="M148" t="n">
        <v>85.358492</v>
      </c>
      <c r="N148" t="n">
        <v>85.358492</v>
      </c>
      <c r="O148" t="n">
        <v>-290.0196</v>
      </c>
      <c r="P148" t="n">
        <v>-770.353084</v>
      </c>
      <c r="Q148" t="n">
        <v>85.358492</v>
      </c>
      <c r="S148" t="n">
        <v>-290.0196</v>
      </c>
      <c r="U148" t="n">
        <v>400.586214</v>
      </c>
      <c r="V148" t="n">
        <v>495.192523</v>
      </c>
      <c r="W148" t="n">
        <v>4943.256156</v>
      </c>
      <c r="X148" t="n">
        <v>95.427959</v>
      </c>
    </row>
    <row r="149" ht="21" customHeight="1">
      <c r="A149" t="inlineStr">
        <is>
          <t>Kajikia audax</t>
        </is>
      </c>
      <c r="B149" t="n">
        <v>4.58</v>
      </c>
      <c r="C149" t="n">
        <v>3801.893963</v>
      </c>
      <c r="D149" s="10" t="inlineStr">
        <is>
          <t>Unresolved</t>
        </is>
      </c>
    </row>
    <row r="150" ht="21" customHeight="1">
      <c r="A150" t="inlineStr">
        <is>
          <t>Genypterus</t>
        </is>
      </c>
      <c r="B150" t="n">
        <v>4.2</v>
      </c>
      <c r="C150" t="n">
        <v>1584.893192</v>
      </c>
      <c r="D150" s="10" t="inlineStr">
        <is>
          <t>Unresolved</t>
        </is>
      </c>
    </row>
    <row r="151" ht="21" customHeight="1">
      <c r="A151" t="inlineStr">
        <is>
          <t>Zygochlamys patagonica</t>
        </is>
      </c>
      <c r="D151" s="10" t="inlineStr">
        <is>
          <t>Macrobenthos</t>
        </is>
      </c>
      <c r="E151" t="n">
        <v>100.341534</v>
      </c>
      <c r="F151" t="n">
        <v>10</v>
      </c>
      <c r="G151" t="n">
        <v>9.716343999999999</v>
      </c>
      <c r="H151" t="n">
        <v>9.230527</v>
      </c>
      <c r="I151" t="n">
        <v>10.017358</v>
      </c>
      <c r="J151" t="n">
        <v>10.017358</v>
      </c>
      <c r="K151" t="n">
        <v>7.916667</v>
      </c>
      <c r="L151" t="n">
        <v>2.899495</v>
      </c>
      <c r="M151" t="n">
        <v>2.899495</v>
      </c>
      <c r="N151" t="n">
        <v>2.899495</v>
      </c>
      <c r="O151" t="n">
        <v>-50.833365</v>
      </c>
      <c r="P151" t="n">
        <v>-184.825074</v>
      </c>
      <c r="Q151" t="n">
        <v>2.899495</v>
      </c>
      <c r="S151" t="n">
        <v>-50.833365</v>
      </c>
      <c r="U151" t="n">
        <v>91.52878800000001</v>
      </c>
      <c r="V151" t="n">
        <v>116.691946</v>
      </c>
      <c r="W151" t="n">
        <v>929.622982</v>
      </c>
      <c r="X151" t="n">
        <v>3.093013</v>
      </c>
    </row>
    <row r="152" ht="21" customHeight="1">
      <c r="A152" t="inlineStr">
        <is>
          <t>Dipturus trachyderma</t>
        </is>
      </c>
      <c r="B152" t="n">
        <v>4.14</v>
      </c>
      <c r="C152" t="n">
        <v>1380.384265</v>
      </c>
      <c r="D152" s="10" t="inlineStr">
        <is>
          <t>Benthic elasmobranchs</t>
        </is>
      </c>
      <c r="E152" t="n">
        <v>100.341534</v>
      </c>
      <c r="F152" t="n">
        <v>227.672107</v>
      </c>
      <c r="G152" t="n">
        <v>212.74056</v>
      </c>
      <c r="H152" t="n">
        <v>1454.477274</v>
      </c>
      <c r="I152" t="n">
        <v>5850.040026</v>
      </c>
      <c r="J152" t="n">
        <v>5861.611252</v>
      </c>
      <c r="K152" t="n">
        <v>3861.19455</v>
      </c>
      <c r="L152" t="n">
        <v>7955.355087</v>
      </c>
      <c r="M152" t="n">
        <v>7955.355087</v>
      </c>
      <c r="N152" t="n">
        <v>7955.355087</v>
      </c>
      <c r="O152" t="n">
        <v>-475.304228</v>
      </c>
      <c r="P152" t="n">
        <v>-1034.602781</v>
      </c>
      <c r="Q152" t="n">
        <v>7955.355087</v>
      </c>
      <c r="S152" t="n">
        <v>-475.304228</v>
      </c>
      <c r="U152" t="n">
        <v>558.607592</v>
      </c>
      <c r="V152" t="n">
        <v>673.429313</v>
      </c>
      <c r="W152" t="n">
        <v>8955.769672</v>
      </c>
      <c r="X152" t="n">
        <v>9372.190554999999</v>
      </c>
    </row>
    <row r="153" ht="21" customHeight="1">
      <c r="A153" t="inlineStr">
        <is>
          <t>Istiophorus platypterus</t>
        </is>
      </c>
      <c r="B153" t="n">
        <v>4.5</v>
      </c>
      <c r="C153" t="n">
        <v>3162.27766</v>
      </c>
      <c r="D153" s="10" t="inlineStr">
        <is>
          <t>Unresolved</t>
        </is>
      </c>
    </row>
    <row r="154" ht="21" customHeight="1">
      <c r="A154" t="inlineStr">
        <is>
          <t>Squalus acanthias</t>
        </is>
      </c>
      <c r="D154" s="10" t="inlineStr">
        <is>
          <t>Benthic elasmobranchs</t>
        </is>
      </c>
      <c r="E154" t="n">
        <v>100.341534</v>
      </c>
      <c r="F154" t="n">
        <v>227.672107</v>
      </c>
      <c r="G154" t="n">
        <v>212.74056</v>
      </c>
      <c r="H154" t="n">
        <v>1454.477274</v>
      </c>
      <c r="I154" t="n">
        <v>5850.040026</v>
      </c>
      <c r="J154" t="n">
        <v>5861.611252</v>
      </c>
      <c r="K154" t="n">
        <v>3861.19455</v>
      </c>
      <c r="L154" t="n">
        <v>7955.355087</v>
      </c>
      <c r="M154" t="n">
        <v>7955.355087</v>
      </c>
      <c r="N154" t="n">
        <v>7955.355087</v>
      </c>
      <c r="O154" t="n">
        <v>-475.304228</v>
      </c>
      <c r="P154" t="n">
        <v>-1034.602781</v>
      </c>
      <c r="Q154" t="n">
        <v>7955.355087</v>
      </c>
      <c r="S154" t="n">
        <v>-475.304228</v>
      </c>
      <c r="U154" t="n">
        <v>558.607592</v>
      </c>
      <c r="V154" t="n">
        <v>673.429313</v>
      </c>
      <c r="W154" t="n">
        <v>8955.769672</v>
      </c>
      <c r="X154" t="n">
        <v>9372.190554999999</v>
      </c>
    </row>
    <row r="155" ht="21" customHeight="1">
      <c r="A155" t="inlineStr">
        <is>
          <t>Galatheidae</t>
        </is>
      </c>
      <c r="B155" t="n">
        <v>3.1</v>
      </c>
      <c r="C155" t="n">
        <v>125.892541</v>
      </c>
      <c r="D155" s="10" t="inlineStr">
        <is>
          <t>Macrobenthos</t>
        </is>
      </c>
      <c r="E155" t="n">
        <v>100.341534</v>
      </c>
      <c r="F155" t="n">
        <v>10</v>
      </c>
      <c r="G155" t="n">
        <v>9.716343999999999</v>
      </c>
      <c r="H155" t="n">
        <v>9.230527</v>
      </c>
      <c r="I155" t="n">
        <v>10.017358</v>
      </c>
      <c r="J155" t="n">
        <v>10.017358</v>
      </c>
      <c r="K155" t="n">
        <v>7.916667</v>
      </c>
      <c r="L155" t="n">
        <v>2.899495</v>
      </c>
      <c r="M155" t="n">
        <v>2.899495</v>
      </c>
      <c r="N155" t="n">
        <v>2.899495</v>
      </c>
      <c r="O155" t="n">
        <v>-50.833365</v>
      </c>
      <c r="P155" t="n">
        <v>-184.825074</v>
      </c>
      <c r="Q155" t="n">
        <v>2.899495</v>
      </c>
      <c r="S155" t="n">
        <v>-50.833365</v>
      </c>
      <c r="U155" t="n">
        <v>91.52878800000001</v>
      </c>
      <c r="V155" t="n">
        <v>116.691946</v>
      </c>
      <c r="W155" t="n">
        <v>929.622982</v>
      </c>
      <c r="X155" t="n">
        <v>3.093013</v>
      </c>
    </row>
    <row r="156" ht="21" customHeight="1">
      <c r="A156" t="inlineStr">
        <is>
          <t>Rhynchocinetes typus</t>
        </is>
      </c>
      <c r="B156" t="n">
        <v>2.88</v>
      </c>
      <c r="C156" t="n">
        <v>75.857758</v>
      </c>
      <c r="D156" s="10" t="inlineStr">
        <is>
          <t>Macrobenthos</t>
        </is>
      </c>
      <c r="E156" t="n">
        <v>100.341534</v>
      </c>
      <c r="F156" t="n">
        <v>10</v>
      </c>
      <c r="G156" t="n">
        <v>9.716343999999999</v>
      </c>
      <c r="H156" t="n">
        <v>9.230527</v>
      </c>
      <c r="I156" t="n">
        <v>10.017358</v>
      </c>
      <c r="J156" t="n">
        <v>10.017358</v>
      </c>
      <c r="K156" t="n">
        <v>7.916667</v>
      </c>
      <c r="L156" t="n">
        <v>2.899495</v>
      </c>
      <c r="M156" t="n">
        <v>2.899495</v>
      </c>
      <c r="N156" t="n">
        <v>2.899495</v>
      </c>
      <c r="O156" t="n">
        <v>-50.833365</v>
      </c>
      <c r="P156" t="n">
        <v>-184.825074</v>
      </c>
      <c r="Q156" t="n">
        <v>2.899495</v>
      </c>
      <c r="S156" t="n">
        <v>-50.833365</v>
      </c>
      <c r="U156" t="n">
        <v>91.52878800000001</v>
      </c>
      <c r="V156" t="n">
        <v>116.691946</v>
      </c>
      <c r="W156" t="n">
        <v>929.622982</v>
      </c>
      <c r="X156" t="n">
        <v>3.093013</v>
      </c>
    </row>
    <row r="157" ht="21" customHeight="1">
      <c r="A157" t="inlineStr">
        <is>
          <t>Lamna nasus</t>
        </is>
      </c>
      <c r="B157" t="n">
        <v>4.57</v>
      </c>
      <c r="C157" t="n">
        <v>3715.352291</v>
      </c>
      <c r="D157" s="10" t="inlineStr">
        <is>
          <t>Chondrichthyans</t>
        </is>
      </c>
      <c r="E157" t="n">
        <v>100.341534</v>
      </c>
      <c r="F157" t="n">
        <v>2800.516289</v>
      </c>
      <c r="G157" t="n">
        <v>2536.048955</v>
      </c>
      <c r="H157" t="n">
        <v>9821.426826999999</v>
      </c>
      <c r="I157" t="n">
        <v>3417.612265</v>
      </c>
      <c r="J157" t="n">
        <v>3623.32641</v>
      </c>
      <c r="K157" t="n">
        <v>2044.394086</v>
      </c>
      <c r="L157" t="n">
        <v>7596.014295</v>
      </c>
      <c r="M157" t="n">
        <v>7596.014295</v>
      </c>
      <c r="N157" t="n">
        <v>7596.014295</v>
      </c>
      <c r="O157" t="n">
        <v>-1524.487508</v>
      </c>
      <c r="P157" t="n">
        <v>-1803.683294</v>
      </c>
      <c r="Q157" t="n">
        <v>7596.014295</v>
      </c>
      <c r="S157" t="n">
        <v>-1524.487508</v>
      </c>
      <c r="U157" t="n">
        <v>1166.999333</v>
      </c>
      <c r="V157" t="n">
        <v>1235.00506</v>
      </c>
      <c r="W157" t="n">
        <v>32229.818329</v>
      </c>
      <c r="X157" t="n">
        <v>9391.662139</v>
      </c>
    </row>
    <row r="158" ht="21" customHeight="1">
      <c r="A158" t="inlineStr">
        <is>
          <t>Coelorinchus chilensis</t>
        </is>
      </c>
      <c r="D158" s="10" t="inlineStr">
        <is>
          <t>Unresolved</t>
        </is>
      </c>
    </row>
    <row r="159" ht="21" customHeight="1">
      <c r="A159" t="inlineStr">
        <is>
          <t>Cancer plebejus</t>
        </is>
      </c>
      <c r="B159" t="n">
        <v>2.97</v>
      </c>
      <c r="C159" t="n">
        <v>93.32543</v>
      </c>
      <c r="D159" s="10" t="inlineStr">
        <is>
          <t>Macrobenthos</t>
        </is>
      </c>
      <c r="E159" t="n">
        <v>100.341534</v>
      </c>
      <c r="F159" t="n">
        <v>10</v>
      </c>
      <c r="G159" t="n">
        <v>9.716343999999999</v>
      </c>
      <c r="H159" t="n">
        <v>9.230527</v>
      </c>
      <c r="I159" t="n">
        <v>10.017358</v>
      </c>
      <c r="J159" t="n">
        <v>10.017358</v>
      </c>
      <c r="K159" t="n">
        <v>7.916667</v>
      </c>
      <c r="L159" t="n">
        <v>2.899495</v>
      </c>
      <c r="M159" t="n">
        <v>2.899495</v>
      </c>
      <c r="N159" t="n">
        <v>2.899495</v>
      </c>
      <c r="O159" t="n">
        <v>-50.833365</v>
      </c>
      <c r="P159" t="n">
        <v>-184.825074</v>
      </c>
      <c r="Q159" t="n">
        <v>2.899495</v>
      </c>
      <c r="S159" t="n">
        <v>-50.833365</v>
      </c>
      <c r="U159" t="n">
        <v>91.52878800000001</v>
      </c>
      <c r="V159" t="n">
        <v>116.691946</v>
      </c>
      <c r="W159" t="n">
        <v>929.622982</v>
      </c>
      <c r="X159" t="n">
        <v>3.093013</v>
      </c>
    </row>
    <row r="160" ht="21" customHeight="1">
      <c r="A160" t="inlineStr">
        <is>
          <t>Fistularia corneta</t>
        </is>
      </c>
      <c r="B160" t="n">
        <v>4.5</v>
      </c>
      <c r="C160" t="n">
        <v>3162.27766</v>
      </c>
      <c r="D160" s="10" t="inlineStr">
        <is>
          <t>Unresolved</t>
        </is>
      </c>
    </row>
    <row r="161" ht="21" customHeight="1">
      <c r="A161" t="inlineStr">
        <is>
          <t>Trichiuridae</t>
        </is>
      </c>
      <c r="D161" s="10" t="inlineStr">
        <is>
          <t>Unresolved</t>
        </is>
      </c>
    </row>
    <row r="162" ht="21" customHeight="1">
      <c r="A162" t="inlineStr">
        <is>
          <t>Cynoglossidae</t>
        </is>
      </c>
      <c r="B162" t="n">
        <v>3.29</v>
      </c>
      <c r="C162" t="n">
        <v>194.98446</v>
      </c>
      <c r="D162" s="10" t="inlineStr">
        <is>
          <t>Flatfish</t>
        </is>
      </c>
      <c r="E162" t="n">
        <v>100.341534</v>
      </c>
      <c r="F162" t="n">
        <v>734.481858</v>
      </c>
      <c r="G162" t="n">
        <v>676.339308</v>
      </c>
      <c r="H162" t="n">
        <v>2059.00128</v>
      </c>
      <c r="I162" t="n">
        <v>348.100268</v>
      </c>
      <c r="J162" t="n">
        <v>348.100268</v>
      </c>
      <c r="K162" t="n">
        <v>346.519469</v>
      </c>
      <c r="L162" t="n">
        <v>354.754813</v>
      </c>
      <c r="M162" t="n">
        <v>354.754813</v>
      </c>
      <c r="N162" t="n">
        <v>354.754813</v>
      </c>
      <c r="O162" t="n">
        <v>-898.853069</v>
      </c>
      <c r="P162" t="n">
        <v>-1857.796138</v>
      </c>
      <c r="Q162" t="n">
        <v>354.754813</v>
      </c>
      <c r="S162" t="n">
        <v>-898.853069</v>
      </c>
      <c r="U162" t="n">
        <v>998.77079</v>
      </c>
      <c r="V162" t="n">
        <v>1204.597703</v>
      </c>
      <c r="W162" t="n">
        <v>19477.73429</v>
      </c>
      <c r="X162" t="n">
        <v>404.581425</v>
      </c>
    </row>
    <row r="163" ht="21" customHeight="1">
      <c r="A163" t="inlineStr">
        <is>
          <t>Lampris guttatus</t>
        </is>
      </c>
      <c r="B163" t="n">
        <v>4.22</v>
      </c>
      <c r="C163" t="n">
        <v>1659.586907</v>
      </c>
      <c r="D163" s="10" t="inlineStr">
        <is>
          <t>Unresolved</t>
        </is>
      </c>
    </row>
    <row r="164" ht="21" customHeight="1">
      <c r="A164" t="inlineStr">
        <is>
          <t>Epinephelus</t>
        </is>
      </c>
      <c r="B164" t="n">
        <v>3.84</v>
      </c>
      <c r="C164" t="n">
        <v>691.830971</v>
      </c>
      <c r="D164" s="10" t="inlineStr">
        <is>
          <t>Medium demersal fish</t>
        </is>
      </c>
      <c r="E164" t="n">
        <v>100.341534</v>
      </c>
      <c r="F164" t="n">
        <v>150.446864</v>
      </c>
      <c r="G164" t="n">
        <v>141.309763</v>
      </c>
      <c r="H164" t="n">
        <v>345.608481</v>
      </c>
      <c r="I164" t="n">
        <v>95.134595</v>
      </c>
      <c r="J164" t="n">
        <v>95.68003899999999</v>
      </c>
      <c r="K164" t="n">
        <v>78.47268099999999</v>
      </c>
      <c r="L164" t="n">
        <v>85.358492</v>
      </c>
      <c r="M164" t="n">
        <v>85.358492</v>
      </c>
      <c r="N164" t="n">
        <v>85.358492</v>
      </c>
      <c r="O164" t="n">
        <v>-290.0196</v>
      </c>
      <c r="P164" t="n">
        <v>-770.353084</v>
      </c>
      <c r="Q164" t="n">
        <v>85.358492</v>
      </c>
      <c r="S164" t="n">
        <v>-290.0196</v>
      </c>
      <c r="U164" t="n">
        <v>400.586214</v>
      </c>
      <c r="V164" t="n">
        <v>495.192523</v>
      </c>
      <c r="W164" t="n">
        <v>4943.256156</v>
      </c>
      <c r="X164" t="n">
        <v>95.427959</v>
      </c>
    </row>
    <row r="165" ht="21" customHeight="1">
      <c r="A165" t="inlineStr">
        <is>
          <t>Isurus</t>
        </is>
      </c>
      <c r="B165" t="n">
        <v>4.5</v>
      </c>
      <c r="C165" t="n">
        <v>3162.27766</v>
      </c>
      <c r="D165" s="10" t="inlineStr">
        <is>
          <t>Chondrichthyans</t>
        </is>
      </c>
      <c r="E165" t="n">
        <v>100.341534</v>
      </c>
      <c r="F165" t="n">
        <v>2800.516289</v>
      </c>
      <c r="G165" t="n">
        <v>2536.048955</v>
      </c>
      <c r="H165" t="n">
        <v>9821.426826999999</v>
      </c>
      <c r="I165" t="n">
        <v>3417.612265</v>
      </c>
      <c r="J165" t="n">
        <v>3623.32641</v>
      </c>
      <c r="K165" t="n">
        <v>2044.394086</v>
      </c>
      <c r="L165" t="n">
        <v>7596.014295</v>
      </c>
      <c r="M165" t="n">
        <v>7596.014295</v>
      </c>
      <c r="N165" t="n">
        <v>7596.014295</v>
      </c>
      <c r="O165" t="n">
        <v>-1524.487508</v>
      </c>
      <c r="P165" t="n">
        <v>-1803.683294</v>
      </c>
      <c r="Q165" t="n">
        <v>7596.014295</v>
      </c>
      <c r="S165" t="n">
        <v>-1524.487508</v>
      </c>
      <c r="U165" t="n">
        <v>1166.999333</v>
      </c>
      <c r="V165" t="n">
        <v>1235.00506</v>
      </c>
      <c r="W165" t="n">
        <v>32229.818329</v>
      </c>
      <c r="X165" t="n">
        <v>9391.662139</v>
      </c>
    </row>
    <row r="166" ht="21" customHeight="1">
      <c r="A166" t="inlineStr">
        <is>
          <t>Rajidae</t>
        </is>
      </c>
      <c r="D166" s="10" t="inlineStr">
        <is>
          <t>Benthic elasmobranchs</t>
        </is>
      </c>
      <c r="E166" t="n">
        <v>100.341534</v>
      </c>
      <c r="F166" t="n">
        <v>227.672107</v>
      </c>
      <c r="G166" t="n">
        <v>212.74056</v>
      </c>
      <c r="H166" t="n">
        <v>1454.477274</v>
      </c>
      <c r="I166" t="n">
        <v>5850.040026</v>
      </c>
      <c r="J166" t="n">
        <v>5861.611252</v>
      </c>
      <c r="K166" t="n">
        <v>3861.19455</v>
      </c>
      <c r="L166" t="n">
        <v>7955.355087</v>
      </c>
      <c r="M166" t="n">
        <v>7955.355087</v>
      </c>
      <c r="N166" t="n">
        <v>7955.355087</v>
      </c>
      <c r="O166" t="n">
        <v>-475.304228</v>
      </c>
      <c r="P166" t="n">
        <v>-1034.602781</v>
      </c>
      <c r="Q166" t="n">
        <v>7955.355087</v>
      </c>
      <c r="S166" t="n">
        <v>-475.304228</v>
      </c>
      <c r="U166" t="n">
        <v>558.607592</v>
      </c>
      <c r="V166" t="n">
        <v>673.429313</v>
      </c>
      <c r="W166" t="n">
        <v>8955.769672</v>
      </c>
      <c r="X166" t="n">
        <v>9372.190554999999</v>
      </c>
    </row>
    <row r="167" ht="21" customHeight="1">
      <c r="A167" t="inlineStr">
        <is>
          <t>Aplodactylus punctatus</t>
        </is>
      </c>
      <c r="B167" t="n">
        <v>2.04</v>
      </c>
      <c r="C167" t="n">
        <v>10.964782</v>
      </c>
      <c r="D167" s="10" t="inlineStr">
        <is>
          <t>Unresolved</t>
        </is>
      </c>
    </row>
    <row r="168" ht="21" customHeight="1">
      <c r="A168" t="inlineStr">
        <is>
          <t>Euthynnus lineatus</t>
        </is>
      </c>
      <c r="B168" t="n">
        <v>3.83</v>
      </c>
      <c r="C168" t="n">
        <v>676.082975</v>
      </c>
      <c r="D168" s="10" t="inlineStr">
        <is>
          <t>Other large pelagic fish</t>
        </is>
      </c>
      <c r="E168" t="n">
        <v>100.341534</v>
      </c>
      <c r="F168" t="n">
        <v>721.5611730000001</v>
      </c>
      <c r="G168" t="n">
        <v>664.588831</v>
      </c>
      <c r="H168" t="n">
        <v>1923.880477</v>
      </c>
      <c r="I168" t="n">
        <v>707.786261</v>
      </c>
      <c r="J168" t="n">
        <v>730.795754</v>
      </c>
      <c r="K168" t="n">
        <v>390.224794</v>
      </c>
      <c r="L168" t="n">
        <v>1280.174581</v>
      </c>
      <c r="M168" t="n">
        <v>1280.174581</v>
      </c>
      <c r="N168" t="n">
        <v>1280.174581</v>
      </c>
      <c r="O168" t="n">
        <v>-479.794164</v>
      </c>
      <c r="P168" t="n">
        <v>-709.965776</v>
      </c>
      <c r="Q168" t="n">
        <v>1280.174581</v>
      </c>
      <c r="S168" t="n">
        <v>-479.794164</v>
      </c>
      <c r="U168" t="n">
        <v>483.377545</v>
      </c>
      <c r="V168" t="n">
        <v>503.881531</v>
      </c>
      <c r="W168" t="n">
        <v>10483.563691</v>
      </c>
      <c r="X168" t="n">
        <v>1536.980814</v>
      </c>
    </row>
    <row r="169" ht="36" customHeight="1">
      <c r="A169" t="inlineStr">
        <is>
          <t>Chondrichthyes</t>
        </is>
      </c>
      <c r="B169" t="n">
        <v>4</v>
      </c>
      <c r="C169" t="n">
        <v>1000</v>
      </c>
      <c r="D169" s="10" t="inlineStr">
        <is>
          <t>Benthic elasmobranchs | Chondrichthyans</t>
        </is>
      </c>
      <c r="E169" t="n">
        <v>100.341534</v>
      </c>
      <c r="F169" t="n">
        <v>1136.362086</v>
      </c>
      <c r="G169" t="n">
        <v>1033.298241</v>
      </c>
      <c r="H169" t="n">
        <v>4409.558374</v>
      </c>
      <c r="I169" t="n">
        <v>4990.943021</v>
      </c>
      <c r="J169" t="n">
        <v>5071.082614</v>
      </c>
      <c r="K169" t="n">
        <v>3219.527874</v>
      </c>
      <c r="L169" t="n">
        <v>7828.441308</v>
      </c>
      <c r="M169" t="n">
        <v>7828.441308</v>
      </c>
      <c r="N169" t="n">
        <v>7828.441308</v>
      </c>
      <c r="O169" t="n">
        <v>-845.8600280000001</v>
      </c>
      <c r="P169" t="n">
        <v>-1306.230484</v>
      </c>
      <c r="Q169" t="n">
        <v>7828.441308</v>
      </c>
      <c r="S169" t="n">
        <v>-845.8600280000001</v>
      </c>
      <c r="U169" t="n">
        <v>773.482431</v>
      </c>
      <c r="V169" t="n">
        <v>871.769445</v>
      </c>
      <c r="W169" t="n">
        <v>17175.814607</v>
      </c>
      <c r="X169" t="n">
        <v>9379.067626</v>
      </c>
    </row>
    <row r="170" ht="21" customHeight="1">
      <c r="A170" t="inlineStr">
        <is>
          <t>Thunnus orientalis</t>
        </is>
      </c>
      <c r="B170" t="n">
        <v>4.05</v>
      </c>
      <c r="C170" t="n">
        <v>1122.018454</v>
      </c>
      <c r="D170" s="10" t="inlineStr">
        <is>
          <t>Other large pelagic fish</t>
        </is>
      </c>
      <c r="E170" t="n">
        <v>100.341534</v>
      </c>
      <c r="F170" t="n">
        <v>721.5611730000001</v>
      </c>
      <c r="G170" t="n">
        <v>664.588831</v>
      </c>
      <c r="H170" t="n">
        <v>1923.880477</v>
      </c>
      <c r="I170" t="n">
        <v>707.786261</v>
      </c>
      <c r="J170" t="n">
        <v>730.795754</v>
      </c>
      <c r="K170" t="n">
        <v>390.224794</v>
      </c>
      <c r="L170" t="n">
        <v>1280.174581</v>
      </c>
      <c r="M170" t="n">
        <v>1280.174581</v>
      </c>
      <c r="N170" t="n">
        <v>1280.174581</v>
      </c>
      <c r="O170" t="n">
        <v>-479.794164</v>
      </c>
      <c r="P170" t="n">
        <v>-709.965776</v>
      </c>
      <c r="Q170" t="n">
        <v>1280.174581</v>
      </c>
      <c r="S170" t="n">
        <v>-479.794164</v>
      </c>
      <c r="U170" t="n">
        <v>483.377545</v>
      </c>
      <c r="V170" t="n">
        <v>503.881531</v>
      </c>
      <c r="W170" t="n">
        <v>10483.563691</v>
      </c>
      <c r="X170" t="n">
        <v>1536.980814</v>
      </c>
    </row>
    <row r="171" ht="21" customHeight="1">
      <c r="A171" t="inlineStr">
        <is>
          <t>Carcharhinus falciformis</t>
        </is>
      </c>
      <c r="B171" t="n">
        <v>4.51</v>
      </c>
      <c r="C171" t="n">
        <v>3235.936569</v>
      </c>
      <c r="D171" s="10" t="inlineStr">
        <is>
          <t>Chondrichthyans</t>
        </is>
      </c>
      <c r="E171" t="n">
        <v>100.341534</v>
      </c>
      <c r="F171" t="n">
        <v>2800.516289</v>
      </c>
      <c r="G171" t="n">
        <v>2536.048955</v>
      </c>
      <c r="H171" t="n">
        <v>9821.426826999999</v>
      </c>
      <c r="I171" t="n">
        <v>3417.612265</v>
      </c>
      <c r="J171" t="n">
        <v>3623.32641</v>
      </c>
      <c r="K171" t="n">
        <v>2044.394086</v>
      </c>
      <c r="L171" t="n">
        <v>7596.014295</v>
      </c>
      <c r="M171" t="n">
        <v>7596.014295</v>
      </c>
      <c r="N171" t="n">
        <v>7596.014295</v>
      </c>
      <c r="O171" t="n">
        <v>-1524.487508</v>
      </c>
      <c r="P171" t="n">
        <v>-1803.683294</v>
      </c>
      <c r="Q171" t="n">
        <v>7596.014295</v>
      </c>
      <c r="S171" t="n">
        <v>-1524.487508</v>
      </c>
      <c r="U171" t="n">
        <v>1166.999333</v>
      </c>
      <c r="V171" t="n">
        <v>1235.00506</v>
      </c>
      <c r="W171" t="n">
        <v>32229.818329</v>
      </c>
      <c r="X171" t="n">
        <v>9391.662139</v>
      </c>
    </row>
    <row r="172" ht="21" customHeight="1">
      <c r="A172" t="inlineStr">
        <is>
          <t>Holothuriidae</t>
        </is>
      </c>
      <c r="B172" t="n">
        <v>2</v>
      </c>
      <c r="C172" t="n">
        <v>10</v>
      </c>
      <c r="D172" s="10" t="inlineStr">
        <is>
          <t>Macrobenthos</t>
        </is>
      </c>
      <c r="E172" t="n">
        <v>100.341534</v>
      </c>
      <c r="F172" t="n">
        <v>10</v>
      </c>
      <c r="G172" t="n">
        <v>9.716343999999999</v>
      </c>
      <c r="H172" t="n">
        <v>9.230527</v>
      </c>
      <c r="I172" t="n">
        <v>10.017358</v>
      </c>
      <c r="J172" t="n">
        <v>10.017358</v>
      </c>
      <c r="K172" t="n">
        <v>7.916667</v>
      </c>
      <c r="L172" t="n">
        <v>2.899495</v>
      </c>
      <c r="M172" t="n">
        <v>2.899495</v>
      </c>
      <c r="N172" t="n">
        <v>2.899495</v>
      </c>
      <c r="O172" t="n">
        <v>-50.833365</v>
      </c>
      <c r="P172" t="n">
        <v>-184.825074</v>
      </c>
      <c r="Q172" t="n">
        <v>2.899495</v>
      </c>
      <c r="S172" t="n">
        <v>-50.833365</v>
      </c>
      <c r="U172" t="n">
        <v>91.52878800000001</v>
      </c>
      <c r="V172" t="n">
        <v>116.691946</v>
      </c>
      <c r="W172" t="n">
        <v>929.622982</v>
      </c>
      <c r="X172" t="n">
        <v>3.093013</v>
      </c>
    </row>
    <row r="173" ht="21" customHeight="1">
      <c r="A173" t="inlineStr">
        <is>
          <t>Brama brama</t>
        </is>
      </c>
      <c r="B173" t="n">
        <v>4.08</v>
      </c>
      <c r="C173" t="n">
        <v>1202.264435</v>
      </c>
      <c r="D173" s="10" t="inlineStr">
        <is>
          <t>Unresolved</t>
        </is>
      </c>
    </row>
    <row r="174" ht="21" customHeight="1">
      <c r="A174" t="inlineStr">
        <is>
          <t>Mobula birostris</t>
        </is>
      </c>
      <c r="B174" t="n">
        <v>3.46</v>
      </c>
      <c r="C174" t="n">
        <v>288.40315</v>
      </c>
      <c r="D174" s="10" t="inlineStr">
        <is>
          <t>Chondrichthyans</t>
        </is>
      </c>
      <c r="E174" t="n">
        <v>100.341534</v>
      </c>
      <c r="F174" t="n">
        <v>2800.516289</v>
      </c>
      <c r="G174" t="n">
        <v>2536.048955</v>
      </c>
      <c r="H174" t="n">
        <v>9821.426826999999</v>
      </c>
      <c r="I174" t="n">
        <v>3417.612265</v>
      </c>
      <c r="J174" t="n">
        <v>3623.32641</v>
      </c>
      <c r="K174" t="n">
        <v>2044.394086</v>
      </c>
      <c r="L174" t="n">
        <v>7596.014295</v>
      </c>
      <c r="M174" t="n">
        <v>7596.014295</v>
      </c>
      <c r="N174" t="n">
        <v>7596.014295</v>
      </c>
      <c r="O174" t="n">
        <v>-1524.487508</v>
      </c>
      <c r="P174" t="n">
        <v>-1803.683294</v>
      </c>
      <c r="Q174" t="n">
        <v>7596.014295</v>
      </c>
      <c r="S174" t="n">
        <v>-1524.487508</v>
      </c>
      <c r="U174" t="n">
        <v>1166.999333</v>
      </c>
      <c r="V174" t="n">
        <v>1235.00506</v>
      </c>
      <c r="W174" t="n">
        <v>32229.818329</v>
      </c>
      <c r="X174" t="n">
        <v>9391.662139</v>
      </c>
    </row>
    <row r="175" ht="21" customHeight="1">
      <c r="A175" t="inlineStr">
        <is>
          <t>Malacanthidae</t>
        </is>
      </c>
      <c r="B175" t="n">
        <v>3.62</v>
      </c>
      <c r="C175" t="n">
        <v>416.869383</v>
      </c>
      <c r="D175" s="10" t="inlineStr">
        <is>
          <t>Medium demersal fish</t>
        </is>
      </c>
      <c r="E175" t="n">
        <v>100.341534</v>
      </c>
      <c r="F175" t="n">
        <v>150.446864</v>
      </c>
      <c r="G175" t="n">
        <v>141.309763</v>
      </c>
      <c r="H175" t="n">
        <v>345.608481</v>
      </c>
      <c r="I175" t="n">
        <v>95.134595</v>
      </c>
      <c r="J175" t="n">
        <v>95.68003899999999</v>
      </c>
      <c r="K175" t="n">
        <v>78.47268099999999</v>
      </c>
      <c r="L175" t="n">
        <v>85.358492</v>
      </c>
      <c r="M175" t="n">
        <v>85.358492</v>
      </c>
      <c r="N175" t="n">
        <v>85.358492</v>
      </c>
      <c r="O175" t="n">
        <v>-290.0196</v>
      </c>
      <c r="P175" t="n">
        <v>-770.353084</v>
      </c>
      <c r="Q175" t="n">
        <v>85.358492</v>
      </c>
      <c r="S175" t="n">
        <v>-290.0196</v>
      </c>
      <c r="U175" t="n">
        <v>400.586214</v>
      </c>
      <c r="V175" t="n">
        <v>495.192523</v>
      </c>
      <c r="W175" t="n">
        <v>4943.256156</v>
      </c>
      <c r="X175" t="n">
        <v>95.427959</v>
      </c>
    </row>
    <row r="176" ht="36" customHeight="1">
      <c r="A176" t="inlineStr">
        <is>
          <t>Marine groundfishes not identified</t>
        </is>
      </c>
      <c r="D176" s="10" t="inlineStr">
        <is>
          <t>Small demersal fish | Medium demersal fish | Medium sciaenids</t>
        </is>
      </c>
      <c r="E176" t="n">
        <v>100.341534</v>
      </c>
      <c r="F176" t="n">
        <v>138.326515</v>
      </c>
      <c r="G176" t="n">
        <v>129.842543</v>
      </c>
      <c r="H176" t="n">
        <v>381.787667</v>
      </c>
      <c r="I176" t="n">
        <v>897.522249</v>
      </c>
      <c r="J176" t="n">
        <v>898.111319</v>
      </c>
      <c r="K176" t="n">
        <v>642.850064</v>
      </c>
      <c r="L176" t="n">
        <v>1416.620481</v>
      </c>
      <c r="M176" t="n">
        <v>1416.620481</v>
      </c>
      <c r="N176" t="n">
        <v>1416.620481</v>
      </c>
      <c r="O176" t="n">
        <v>-245.919475</v>
      </c>
      <c r="P176" t="n">
        <v>-623.522679</v>
      </c>
      <c r="Q176" t="n">
        <v>1416.620481</v>
      </c>
      <c r="S176" t="n">
        <v>-245.919475</v>
      </c>
      <c r="U176" t="n">
        <v>331.68607</v>
      </c>
      <c r="V176" t="n">
        <v>405.129578</v>
      </c>
      <c r="W176" t="n">
        <v>4869.54909</v>
      </c>
      <c r="X176" t="n">
        <v>1676.963843</v>
      </c>
    </row>
    <row r="177" ht="21" customHeight="1">
      <c r="A177" t="inlineStr">
        <is>
          <t>Micromesistius australis</t>
        </is>
      </c>
      <c r="B177" t="n">
        <v>3.76</v>
      </c>
      <c r="C177" t="n">
        <v>575.439937</v>
      </c>
      <c r="D177" s="10" t="inlineStr">
        <is>
          <t>Unresolved</t>
        </is>
      </c>
    </row>
    <row r="178" ht="36" customHeight="1">
      <c r="A178" t="inlineStr">
        <is>
          <t>Scombroidei</t>
        </is>
      </c>
      <c r="D178" s="10" t="inlineStr">
        <is>
          <t>Chub mackerel | Other large pelagic fish</t>
        </is>
      </c>
      <c r="E178" t="n">
        <v>100.341534</v>
      </c>
      <c r="F178" t="n">
        <v>476.852449</v>
      </c>
      <c r="G178" t="n">
        <v>441.18128</v>
      </c>
      <c r="H178" t="n">
        <v>1304.391001</v>
      </c>
      <c r="I178" t="n">
        <v>1228.864008</v>
      </c>
      <c r="J178" t="n">
        <v>1235.988372</v>
      </c>
      <c r="K178" t="n">
        <v>277.458584</v>
      </c>
      <c r="L178" t="n">
        <v>1743.328063</v>
      </c>
      <c r="M178" t="n">
        <v>1743.328063</v>
      </c>
      <c r="N178" t="n">
        <v>1743.328063</v>
      </c>
      <c r="O178" t="n">
        <v>-381.458172</v>
      </c>
      <c r="P178" t="n">
        <v>-587.289696</v>
      </c>
      <c r="Q178" t="n">
        <v>1743.328063</v>
      </c>
      <c r="S178" t="n">
        <v>-381.458172</v>
      </c>
      <c r="U178" t="n">
        <v>394.137707</v>
      </c>
      <c r="V178" t="n">
        <v>410.843225</v>
      </c>
      <c r="W178" t="n">
        <v>8287.677616000001</v>
      </c>
      <c r="X178" t="n">
        <v>1998.972914</v>
      </c>
    </row>
    <row r="179" ht="21" customHeight="1">
      <c r="A179" t="inlineStr">
        <is>
          <t>Mustelus mento</t>
        </is>
      </c>
      <c r="B179" t="n">
        <v>3.66</v>
      </c>
      <c r="C179" t="n">
        <v>457.08819</v>
      </c>
      <c r="D179" s="10" t="inlineStr">
        <is>
          <t>Benthic elasmobranchs</t>
        </is>
      </c>
      <c r="E179" t="n">
        <v>100.341534</v>
      </c>
      <c r="F179" t="n">
        <v>227.672107</v>
      </c>
      <c r="G179" t="n">
        <v>212.74056</v>
      </c>
      <c r="H179" t="n">
        <v>1454.477274</v>
      </c>
      <c r="I179" t="n">
        <v>5850.040026</v>
      </c>
      <c r="J179" t="n">
        <v>5861.611252</v>
      </c>
      <c r="K179" t="n">
        <v>3861.19455</v>
      </c>
      <c r="L179" t="n">
        <v>7955.355087</v>
      </c>
      <c r="M179" t="n">
        <v>7955.355087</v>
      </c>
      <c r="N179" t="n">
        <v>7955.355087</v>
      </c>
      <c r="O179" t="n">
        <v>-475.304228</v>
      </c>
      <c r="P179" t="n">
        <v>-1034.602781</v>
      </c>
      <c r="Q179" t="n">
        <v>7955.355087</v>
      </c>
      <c r="S179" t="n">
        <v>-475.304228</v>
      </c>
      <c r="U179" t="n">
        <v>558.607592</v>
      </c>
      <c r="V179" t="n">
        <v>673.429313</v>
      </c>
      <c r="W179" t="n">
        <v>8955.769672</v>
      </c>
      <c r="X179" t="n">
        <v>9372.190554999999</v>
      </c>
    </row>
    <row r="180" ht="21" customHeight="1">
      <c r="A180" t="inlineStr">
        <is>
          <t>Trichiurus lepturus</t>
        </is>
      </c>
      <c r="B180" t="n">
        <v>4.42</v>
      </c>
      <c r="C180" t="n">
        <v>2630.267992</v>
      </c>
      <c r="D180" s="10" t="inlineStr">
        <is>
          <t>Unresolved</t>
        </is>
      </c>
    </row>
    <row r="181" ht="36" customHeight="1">
      <c r="A181" t="inlineStr">
        <is>
          <t>Clupeiformes</t>
        </is>
      </c>
      <c r="D181" s="10" t="inlineStr">
        <is>
          <t>Sardine | Anchovy | Other small pelagic fish</t>
        </is>
      </c>
      <c r="E181" t="n">
        <v>100.341534</v>
      </c>
      <c r="F181" t="n">
        <v>84.62205400000001</v>
      </c>
      <c r="G181" t="n">
        <v>80.04756399999999</v>
      </c>
      <c r="H181" t="n">
        <v>174.377548</v>
      </c>
      <c r="I181" t="n">
        <v>33.235869</v>
      </c>
      <c r="J181" t="n">
        <v>33.235869</v>
      </c>
      <c r="K181" t="n">
        <v>28.008065</v>
      </c>
      <c r="L181" t="n">
        <v>44.425169</v>
      </c>
      <c r="M181" t="n">
        <v>44.425169</v>
      </c>
      <c r="N181" t="n">
        <v>44.425169</v>
      </c>
      <c r="O181" t="n">
        <v>-48.848201</v>
      </c>
      <c r="P181" t="n">
        <v>-94.14034599999999</v>
      </c>
      <c r="Q181" t="n">
        <v>44.425169</v>
      </c>
      <c r="S181" t="n">
        <v>-48.848201</v>
      </c>
      <c r="U181" t="n">
        <v>63.034084</v>
      </c>
      <c r="V181" t="n">
        <v>65.166437</v>
      </c>
      <c r="W181" t="n">
        <v>1119.838809</v>
      </c>
      <c r="X181" t="n">
        <v>50.080634</v>
      </c>
    </row>
    <row r="182" ht="21" customHeight="1">
      <c r="A182" t="inlineStr">
        <is>
          <t>Taliepus marginatus</t>
        </is>
      </c>
      <c r="B182" t="n">
        <v>2.86</v>
      </c>
      <c r="C182" t="n">
        <v>72.443596</v>
      </c>
      <c r="D182" s="10" t="inlineStr">
        <is>
          <t>Macrobenthos</t>
        </is>
      </c>
      <c r="E182" t="n">
        <v>100.341534</v>
      </c>
      <c r="F182" t="n">
        <v>10</v>
      </c>
      <c r="G182" t="n">
        <v>9.716343999999999</v>
      </c>
      <c r="H182" t="n">
        <v>9.230527</v>
      </c>
      <c r="I182" t="n">
        <v>10.017358</v>
      </c>
      <c r="J182" t="n">
        <v>10.017358</v>
      </c>
      <c r="K182" t="n">
        <v>7.916667</v>
      </c>
      <c r="L182" t="n">
        <v>2.899495</v>
      </c>
      <c r="M182" t="n">
        <v>2.899495</v>
      </c>
      <c r="N182" t="n">
        <v>2.899495</v>
      </c>
      <c r="O182" t="n">
        <v>-50.833365</v>
      </c>
      <c r="P182" t="n">
        <v>-184.825074</v>
      </c>
      <c r="Q182" t="n">
        <v>2.899495</v>
      </c>
      <c r="S182" t="n">
        <v>-50.833365</v>
      </c>
      <c r="U182" t="n">
        <v>91.52878800000001</v>
      </c>
      <c r="V182" t="n">
        <v>116.691946</v>
      </c>
      <c r="W182" t="n">
        <v>929.622982</v>
      </c>
      <c r="X182" t="n">
        <v>3.093013</v>
      </c>
    </row>
    <row r="183" ht="21" customHeight="1">
      <c r="A183" t="inlineStr">
        <is>
          <t>Scorpaena histrio</t>
        </is>
      </c>
      <c r="B183" t="n">
        <v>3.7</v>
      </c>
      <c r="C183" t="n">
        <v>501.187234</v>
      </c>
      <c r="D183" s="10" t="inlineStr">
        <is>
          <t>Unresolved</t>
        </is>
      </c>
    </row>
    <row r="184" ht="21" customHeight="1">
      <c r="A184" t="inlineStr">
        <is>
          <t>Elagatis bipinnulata</t>
        </is>
      </c>
      <c r="D184" s="10" t="inlineStr">
        <is>
          <t>Other large pelagic fish</t>
        </is>
      </c>
      <c r="E184" t="n">
        <v>100.341534</v>
      </c>
      <c r="F184" t="n">
        <v>721.5611730000001</v>
      </c>
      <c r="G184" t="n">
        <v>664.588831</v>
      </c>
      <c r="H184" t="n">
        <v>1923.880477</v>
      </c>
      <c r="I184" t="n">
        <v>707.786261</v>
      </c>
      <c r="J184" t="n">
        <v>730.795754</v>
      </c>
      <c r="K184" t="n">
        <v>390.224794</v>
      </c>
      <c r="L184" t="n">
        <v>1280.174581</v>
      </c>
      <c r="M184" t="n">
        <v>1280.174581</v>
      </c>
      <c r="N184" t="n">
        <v>1280.174581</v>
      </c>
      <c r="O184" t="n">
        <v>-479.794164</v>
      </c>
      <c r="P184" t="n">
        <v>-709.965776</v>
      </c>
      <c r="Q184" t="n">
        <v>1280.174581</v>
      </c>
      <c r="S184" t="n">
        <v>-479.794164</v>
      </c>
      <c r="U184" t="n">
        <v>483.377545</v>
      </c>
      <c r="V184" t="n">
        <v>503.881531</v>
      </c>
      <c r="W184" t="n">
        <v>10483.563691</v>
      </c>
      <c r="X184" t="n">
        <v>1536.980814</v>
      </c>
    </row>
    <row r="185" ht="21" customHeight="1">
      <c r="A185" t="inlineStr">
        <is>
          <t>Istiompax indica</t>
        </is>
      </c>
      <c r="B185" t="n">
        <v>4.5</v>
      </c>
      <c r="C185" t="n">
        <v>3162.27766</v>
      </c>
      <c r="D185" s="10" t="inlineStr">
        <is>
          <t>Unresolved</t>
        </is>
      </c>
    </row>
    <row r="186" ht="21" customHeight="1">
      <c r="A186" t="inlineStr">
        <is>
          <t>Paralabrax</t>
        </is>
      </c>
      <c r="B186" t="n">
        <v>4.14</v>
      </c>
      <c r="C186" t="n">
        <v>1380.384265</v>
      </c>
      <c r="D186" s="10" t="inlineStr">
        <is>
          <t>Medium demersal fish</t>
        </is>
      </c>
      <c r="E186" t="n">
        <v>100.341534</v>
      </c>
      <c r="F186" t="n">
        <v>150.446864</v>
      </c>
      <c r="G186" t="n">
        <v>141.309763</v>
      </c>
      <c r="H186" t="n">
        <v>345.608481</v>
      </c>
      <c r="I186" t="n">
        <v>95.134595</v>
      </c>
      <c r="J186" t="n">
        <v>95.68003899999999</v>
      </c>
      <c r="K186" t="n">
        <v>78.47268099999999</v>
      </c>
      <c r="L186" t="n">
        <v>85.358492</v>
      </c>
      <c r="M186" t="n">
        <v>85.358492</v>
      </c>
      <c r="N186" t="n">
        <v>85.358492</v>
      </c>
      <c r="O186" t="n">
        <v>-290.0196</v>
      </c>
      <c r="P186" t="n">
        <v>-770.353084</v>
      </c>
      <c r="Q186" t="n">
        <v>85.358492</v>
      </c>
      <c r="S186" t="n">
        <v>-290.0196</v>
      </c>
      <c r="U186" t="n">
        <v>400.586214</v>
      </c>
      <c r="V186" t="n">
        <v>495.192523</v>
      </c>
      <c r="W186" t="n">
        <v>4943.256156</v>
      </c>
      <c r="X186" t="n">
        <v>95.427959</v>
      </c>
    </row>
    <row r="187" ht="21" customHeight="1">
      <c r="A187" t="inlineStr">
        <is>
          <t>Carcharhinus longimanus</t>
        </is>
      </c>
      <c r="B187" t="n">
        <v>4.16</v>
      </c>
      <c r="C187" t="n">
        <v>1445.439771</v>
      </c>
      <c r="D187" s="10" t="inlineStr">
        <is>
          <t>Chondrichthyans</t>
        </is>
      </c>
      <c r="E187" t="n">
        <v>100.341534</v>
      </c>
      <c r="F187" t="n">
        <v>2800.516289</v>
      </c>
      <c r="G187" t="n">
        <v>2536.048955</v>
      </c>
      <c r="H187" t="n">
        <v>9821.426826999999</v>
      </c>
      <c r="I187" t="n">
        <v>3417.612265</v>
      </c>
      <c r="J187" t="n">
        <v>3623.32641</v>
      </c>
      <c r="K187" t="n">
        <v>2044.394086</v>
      </c>
      <c r="L187" t="n">
        <v>7596.014295</v>
      </c>
      <c r="M187" t="n">
        <v>7596.014295</v>
      </c>
      <c r="N187" t="n">
        <v>7596.014295</v>
      </c>
      <c r="O187" t="n">
        <v>-1524.487508</v>
      </c>
      <c r="P187" t="n">
        <v>-1803.683294</v>
      </c>
      <c r="Q187" t="n">
        <v>7596.014295</v>
      </c>
      <c r="S187" t="n">
        <v>-1524.487508</v>
      </c>
      <c r="U187" t="n">
        <v>1166.999333</v>
      </c>
      <c r="V187" t="n">
        <v>1235.00506</v>
      </c>
      <c r="W187" t="n">
        <v>32229.818329</v>
      </c>
      <c r="X187" t="n">
        <v>9391.662139</v>
      </c>
    </row>
    <row r="188" ht="21" customHeight="1">
      <c r="A188" t="inlineStr">
        <is>
          <t>Diplectrum pacificum</t>
        </is>
      </c>
      <c r="B188" t="n">
        <v>3.99</v>
      </c>
      <c r="C188" t="n">
        <v>977.237221</v>
      </c>
      <c r="D188" s="10" t="inlineStr">
        <is>
          <t>Unresolved</t>
        </is>
      </c>
    </row>
    <row r="189" ht="21" customHeight="1">
      <c r="A189" t="inlineStr">
        <is>
          <t>Decapterus macrosoma</t>
        </is>
      </c>
      <c r="B189" t="n">
        <v>3.4</v>
      </c>
      <c r="C189" t="n">
        <v>251.188643</v>
      </c>
      <c r="D189" s="10" t="inlineStr">
        <is>
          <t>Other small pelagic fish</t>
        </is>
      </c>
      <c r="E189" t="n">
        <v>100.341534</v>
      </c>
      <c r="F189" t="n">
        <v>55.911353</v>
      </c>
      <c r="G189" t="n">
        <v>53.169346</v>
      </c>
      <c r="H189" t="n">
        <v>129.345644</v>
      </c>
      <c r="I189" t="n">
        <v>37.208913</v>
      </c>
      <c r="J189" t="n">
        <v>37.208913</v>
      </c>
      <c r="K189" t="n">
        <v>33.488021</v>
      </c>
      <c r="L189" t="n">
        <v>47.38007</v>
      </c>
      <c r="M189" t="n">
        <v>47.38007</v>
      </c>
      <c r="N189" t="n">
        <v>47.38007</v>
      </c>
      <c r="O189" t="n">
        <v>-40.644634</v>
      </c>
      <c r="P189" t="n">
        <v>-77.00011499999999</v>
      </c>
      <c r="Q189" t="n">
        <v>47.38007</v>
      </c>
      <c r="S189" t="n">
        <v>-40.644634</v>
      </c>
      <c r="U189" t="n">
        <v>57.096937</v>
      </c>
      <c r="V189" t="n">
        <v>61.654006</v>
      </c>
      <c r="W189" t="n">
        <v>1242.265249</v>
      </c>
      <c r="X189" t="n">
        <v>52.602205</v>
      </c>
    </row>
    <row r="190" ht="21" customHeight="1">
      <c r="A190" t="inlineStr">
        <is>
          <t>Heteropriacanthus cruentatus</t>
        </is>
      </c>
      <c r="D190" s="10" t="inlineStr">
        <is>
          <t>Unresolved</t>
        </is>
      </c>
    </row>
    <row r="191" ht="21" customHeight="1">
      <c r="A191" t="inlineStr">
        <is>
          <t>Paralomis</t>
        </is>
      </c>
      <c r="D191" s="10" t="inlineStr">
        <is>
          <t>Macrobenthos</t>
        </is>
      </c>
      <c r="E191" t="n">
        <v>100.341534</v>
      </c>
      <c r="F191" t="n">
        <v>10</v>
      </c>
      <c r="G191" t="n">
        <v>9.716343999999999</v>
      </c>
      <c r="H191" t="n">
        <v>9.230527</v>
      </c>
      <c r="I191" t="n">
        <v>10.017358</v>
      </c>
      <c r="J191" t="n">
        <v>10.017358</v>
      </c>
      <c r="K191" t="n">
        <v>7.916667</v>
      </c>
      <c r="L191" t="n">
        <v>2.899495</v>
      </c>
      <c r="M191" t="n">
        <v>2.899495</v>
      </c>
      <c r="N191" t="n">
        <v>2.899495</v>
      </c>
      <c r="O191" t="n">
        <v>-50.833365</v>
      </c>
      <c r="P191" t="n">
        <v>-184.825074</v>
      </c>
      <c r="Q191" t="n">
        <v>2.899495</v>
      </c>
      <c r="S191" t="n">
        <v>-50.833365</v>
      </c>
      <c r="U191" t="n">
        <v>91.52878800000001</v>
      </c>
      <c r="V191" t="n">
        <v>116.691946</v>
      </c>
      <c r="W191" t="n">
        <v>929.622982</v>
      </c>
      <c r="X191" t="n">
        <v>3.093013</v>
      </c>
    </row>
    <row r="192" ht="21" customHeight="1">
      <c r="A192" t="inlineStr">
        <is>
          <t>Diapterus peruvianus</t>
        </is>
      </c>
      <c r="B192" t="n">
        <v>3.66</v>
      </c>
      <c r="C192" t="n">
        <v>457.08819</v>
      </c>
      <c r="D192" s="10" t="inlineStr">
        <is>
          <t>Medium demersal fish</t>
        </is>
      </c>
      <c r="E192" t="n">
        <v>100.341534</v>
      </c>
      <c r="F192" t="n">
        <v>150.446864</v>
      </c>
      <c r="G192" t="n">
        <v>141.309763</v>
      </c>
      <c r="H192" t="n">
        <v>345.608481</v>
      </c>
      <c r="I192" t="n">
        <v>95.134595</v>
      </c>
      <c r="J192" t="n">
        <v>95.68003899999999</v>
      </c>
      <c r="K192" t="n">
        <v>78.47268099999999</v>
      </c>
      <c r="L192" t="n">
        <v>85.358492</v>
      </c>
      <c r="M192" t="n">
        <v>85.358492</v>
      </c>
      <c r="N192" t="n">
        <v>85.358492</v>
      </c>
      <c r="O192" t="n">
        <v>-290.0196</v>
      </c>
      <c r="P192" t="n">
        <v>-770.353084</v>
      </c>
      <c r="Q192" t="n">
        <v>85.358492</v>
      </c>
      <c r="S192" t="n">
        <v>-290.0196</v>
      </c>
      <c r="U192" t="n">
        <v>400.586214</v>
      </c>
      <c r="V192" t="n">
        <v>495.192523</v>
      </c>
      <c r="W192" t="n">
        <v>4943.256156</v>
      </c>
      <c r="X192" t="n">
        <v>95.427959</v>
      </c>
    </row>
    <row r="193" ht="21" customHeight="1">
      <c r="A193" t="inlineStr">
        <is>
          <t>Seriola rivoliana</t>
        </is>
      </c>
      <c r="B193" t="n">
        <v>4.45</v>
      </c>
      <c r="C193" t="n">
        <v>2818.382931</v>
      </c>
      <c r="D193" s="10" t="inlineStr">
        <is>
          <t>Other large pelagic fish</t>
        </is>
      </c>
      <c r="E193" t="n">
        <v>100.341534</v>
      </c>
      <c r="F193" t="n">
        <v>721.5611730000001</v>
      </c>
      <c r="G193" t="n">
        <v>664.588831</v>
      </c>
      <c r="H193" t="n">
        <v>1923.880477</v>
      </c>
      <c r="I193" t="n">
        <v>707.786261</v>
      </c>
      <c r="J193" t="n">
        <v>730.795754</v>
      </c>
      <c r="K193" t="n">
        <v>390.224794</v>
      </c>
      <c r="L193" t="n">
        <v>1280.174581</v>
      </c>
      <c r="M193" t="n">
        <v>1280.174581</v>
      </c>
      <c r="N193" t="n">
        <v>1280.174581</v>
      </c>
      <c r="O193" t="n">
        <v>-479.794164</v>
      </c>
      <c r="P193" t="n">
        <v>-709.965776</v>
      </c>
      <c r="Q193" t="n">
        <v>1280.174581</v>
      </c>
      <c r="S193" t="n">
        <v>-479.794164</v>
      </c>
      <c r="U193" t="n">
        <v>483.377545</v>
      </c>
      <c r="V193" t="n">
        <v>503.881531</v>
      </c>
      <c r="W193" t="n">
        <v>10483.563691</v>
      </c>
      <c r="X193" t="n">
        <v>1536.980814</v>
      </c>
    </row>
    <row r="194" ht="21" customHeight="1">
      <c r="A194" t="inlineStr">
        <is>
          <t>Sebastidae</t>
        </is>
      </c>
      <c r="B194" t="n">
        <v>3.74</v>
      </c>
      <c r="C194" t="n">
        <v>549.540874</v>
      </c>
      <c r="D194" s="10" t="inlineStr">
        <is>
          <t>Unresolved</t>
        </is>
      </c>
    </row>
    <row r="195" ht="21" customHeight="1">
      <c r="A195" t="inlineStr">
        <is>
          <t>Tetrapturus angustirostris</t>
        </is>
      </c>
      <c r="B195" t="n">
        <v>4.5</v>
      </c>
      <c r="C195" t="n">
        <v>3162.27766</v>
      </c>
      <c r="D195" s="10" t="inlineStr">
        <is>
          <t>Unresolved</t>
        </is>
      </c>
    </row>
    <row r="196" ht="21" customHeight="1">
      <c r="A196" t="inlineStr">
        <is>
          <t>Auxis rochei</t>
        </is>
      </c>
      <c r="B196" t="n">
        <v>4.13</v>
      </c>
      <c r="C196" t="n">
        <v>1348.962883</v>
      </c>
      <c r="D196" s="10" t="inlineStr">
        <is>
          <t>Other large pelagic fish</t>
        </is>
      </c>
      <c r="E196" t="n">
        <v>100.341534</v>
      </c>
      <c r="F196" t="n">
        <v>721.5611730000001</v>
      </c>
      <c r="G196" t="n">
        <v>664.588831</v>
      </c>
      <c r="H196" t="n">
        <v>1923.880477</v>
      </c>
      <c r="I196" t="n">
        <v>707.786261</v>
      </c>
      <c r="J196" t="n">
        <v>730.795754</v>
      </c>
      <c r="K196" t="n">
        <v>390.224794</v>
      </c>
      <c r="L196" t="n">
        <v>1280.174581</v>
      </c>
      <c r="M196" t="n">
        <v>1280.174581</v>
      </c>
      <c r="N196" t="n">
        <v>1280.174581</v>
      </c>
      <c r="O196" t="n">
        <v>-479.794164</v>
      </c>
      <c r="P196" t="n">
        <v>-709.965776</v>
      </c>
      <c r="Q196" t="n">
        <v>1280.174581</v>
      </c>
      <c r="S196" t="n">
        <v>-479.794164</v>
      </c>
      <c r="U196" t="n">
        <v>483.377545</v>
      </c>
      <c r="V196" t="n">
        <v>503.881531</v>
      </c>
      <c r="W196" t="n">
        <v>10483.563691</v>
      </c>
      <c r="X196" t="n">
        <v>1536.980814</v>
      </c>
    </row>
    <row r="197" ht="21" customHeight="1">
      <c r="A197" t="inlineStr">
        <is>
          <t>Ruvettus pretiosus</t>
        </is>
      </c>
      <c r="B197" t="n">
        <v>4.18</v>
      </c>
      <c r="C197" t="n">
        <v>1513.561248</v>
      </c>
      <c r="D197" s="10" t="inlineStr">
        <is>
          <t>Unresolved</t>
        </is>
      </c>
    </row>
    <row r="198" ht="36" customHeight="1">
      <c r="A198" t="inlineStr">
        <is>
          <t>Marine finfishes not identified</t>
        </is>
      </c>
      <c r="D198" s="10" t="inlineStr">
        <is>
          <t>Small demersal fish | Medium demersal fish | Medium sciaenids</t>
        </is>
      </c>
      <c r="E198" t="n">
        <v>100.341534</v>
      </c>
      <c r="F198" t="n">
        <v>138.326515</v>
      </c>
      <c r="G198" t="n">
        <v>129.842543</v>
      </c>
      <c r="H198" t="n">
        <v>381.787667</v>
      </c>
      <c r="I198" t="n">
        <v>897.522249</v>
      </c>
      <c r="J198" t="n">
        <v>898.111319</v>
      </c>
      <c r="K198" t="n">
        <v>642.850064</v>
      </c>
      <c r="L198" t="n">
        <v>1416.620481</v>
      </c>
      <c r="M198" t="n">
        <v>1416.620481</v>
      </c>
      <c r="N198" t="n">
        <v>1416.620481</v>
      </c>
      <c r="O198" t="n">
        <v>-245.919475</v>
      </c>
      <c r="P198" t="n">
        <v>-623.522679</v>
      </c>
      <c r="Q198" t="n">
        <v>1416.620481</v>
      </c>
      <c r="S198" t="n">
        <v>-245.919475</v>
      </c>
      <c r="U198" t="n">
        <v>331.68607</v>
      </c>
      <c r="V198" t="n">
        <v>405.129578</v>
      </c>
      <c r="W198" t="n">
        <v>4869.54909</v>
      </c>
      <c r="X198" t="n">
        <v>1676.963843</v>
      </c>
    </row>
    <row r="199" ht="21" customHeight="1">
      <c r="A199" t="inlineStr">
        <is>
          <t>Fissurella picta</t>
        </is>
      </c>
      <c r="B199" t="n">
        <v>2</v>
      </c>
      <c r="C199" t="n">
        <v>10</v>
      </c>
      <c r="D199" s="10" t="inlineStr">
        <is>
          <t>Macrobenthos</t>
        </is>
      </c>
      <c r="E199" t="n">
        <v>100.341534</v>
      </c>
      <c r="F199" t="n">
        <v>10</v>
      </c>
      <c r="G199" t="n">
        <v>9.716343999999999</v>
      </c>
      <c r="H199" t="n">
        <v>9.230527</v>
      </c>
      <c r="I199" t="n">
        <v>10.017358</v>
      </c>
      <c r="J199" t="n">
        <v>10.017358</v>
      </c>
      <c r="K199" t="n">
        <v>7.916667</v>
      </c>
      <c r="L199" t="n">
        <v>2.899495</v>
      </c>
      <c r="M199" t="n">
        <v>2.899495</v>
      </c>
      <c r="N199" t="n">
        <v>2.899495</v>
      </c>
      <c r="O199" t="n">
        <v>-50.833365</v>
      </c>
      <c r="P199" t="n">
        <v>-184.825074</v>
      </c>
      <c r="Q199" t="n">
        <v>2.899495</v>
      </c>
      <c r="S199" t="n">
        <v>-50.833365</v>
      </c>
      <c r="U199" t="n">
        <v>91.52878800000001</v>
      </c>
      <c r="V199" t="n">
        <v>116.691946</v>
      </c>
      <c r="W199" t="n">
        <v>929.622982</v>
      </c>
      <c r="X199" t="n">
        <v>3.093013</v>
      </c>
    </row>
    <row r="200" ht="21" customHeight="1">
      <c r="A200" t="inlineStr">
        <is>
          <t>Polydactylus approximans</t>
        </is>
      </c>
      <c r="B200" t="n">
        <v>3.59</v>
      </c>
      <c r="C200" t="n">
        <v>389.045145</v>
      </c>
      <c r="D200" s="10" t="inlineStr">
        <is>
          <t>Medium demersal fish</t>
        </is>
      </c>
      <c r="E200" t="n">
        <v>100.341534</v>
      </c>
      <c r="F200" t="n">
        <v>150.446864</v>
      </c>
      <c r="G200" t="n">
        <v>141.309763</v>
      </c>
      <c r="H200" t="n">
        <v>345.608481</v>
      </c>
      <c r="I200" t="n">
        <v>95.134595</v>
      </c>
      <c r="J200" t="n">
        <v>95.68003899999999</v>
      </c>
      <c r="K200" t="n">
        <v>78.47268099999999</v>
      </c>
      <c r="L200" t="n">
        <v>85.358492</v>
      </c>
      <c r="M200" t="n">
        <v>85.358492</v>
      </c>
      <c r="N200" t="n">
        <v>85.358492</v>
      </c>
      <c r="O200" t="n">
        <v>-290.0196</v>
      </c>
      <c r="P200" t="n">
        <v>-770.353084</v>
      </c>
      <c r="Q200" t="n">
        <v>85.358492</v>
      </c>
      <c r="S200" t="n">
        <v>-290.0196</v>
      </c>
      <c r="U200" t="n">
        <v>400.586214</v>
      </c>
      <c r="V200" t="n">
        <v>495.192523</v>
      </c>
      <c r="W200" t="n">
        <v>4943.256156</v>
      </c>
      <c r="X200" t="n">
        <v>95.427959</v>
      </c>
    </row>
    <row r="201" ht="21" customHeight="1">
      <c r="A201" t="inlineStr">
        <is>
          <t>Hemigrapsus crenulatus</t>
        </is>
      </c>
      <c r="D201" s="10" t="inlineStr">
        <is>
          <t>Macrobenthos</t>
        </is>
      </c>
      <c r="E201" t="n">
        <v>100.341534</v>
      </c>
      <c r="F201" t="n">
        <v>10</v>
      </c>
      <c r="G201" t="n">
        <v>9.716343999999999</v>
      </c>
      <c r="H201" t="n">
        <v>9.230527</v>
      </c>
      <c r="I201" t="n">
        <v>10.017358</v>
      </c>
      <c r="J201" t="n">
        <v>10.017358</v>
      </c>
      <c r="K201" t="n">
        <v>7.916667</v>
      </c>
      <c r="L201" t="n">
        <v>2.899495</v>
      </c>
      <c r="M201" t="n">
        <v>2.899495</v>
      </c>
      <c r="N201" t="n">
        <v>2.899495</v>
      </c>
      <c r="O201" t="n">
        <v>-50.833365</v>
      </c>
      <c r="P201" t="n">
        <v>-184.825074</v>
      </c>
      <c r="Q201" t="n">
        <v>2.899495</v>
      </c>
      <c r="S201" t="n">
        <v>-50.833365</v>
      </c>
      <c r="U201" t="n">
        <v>91.52878800000001</v>
      </c>
      <c r="V201" t="n">
        <v>116.691946</v>
      </c>
      <c r="W201" t="n">
        <v>929.622982</v>
      </c>
      <c r="X201" t="n">
        <v>3.093013</v>
      </c>
    </row>
    <row r="202" ht="21" customHeight="1">
      <c r="A202" t="inlineStr">
        <is>
          <t>Alopias</t>
        </is>
      </c>
      <c r="B202" t="n">
        <v>4.5</v>
      </c>
      <c r="C202" t="n">
        <v>3162.27766</v>
      </c>
      <c r="D202" s="10" t="inlineStr">
        <is>
          <t>Chondrichthyans</t>
        </is>
      </c>
      <c r="E202" t="n">
        <v>100.341534</v>
      </c>
      <c r="F202" t="n">
        <v>2800.516289</v>
      </c>
      <c r="G202" t="n">
        <v>2536.048955</v>
      </c>
      <c r="H202" t="n">
        <v>9821.426826999999</v>
      </c>
      <c r="I202" t="n">
        <v>3417.612265</v>
      </c>
      <c r="J202" t="n">
        <v>3623.32641</v>
      </c>
      <c r="K202" t="n">
        <v>2044.394086</v>
      </c>
      <c r="L202" t="n">
        <v>7596.014295</v>
      </c>
      <c r="M202" t="n">
        <v>7596.014295</v>
      </c>
      <c r="N202" t="n">
        <v>7596.014295</v>
      </c>
      <c r="O202" t="n">
        <v>-1524.487508</v>
      </c>
      <c r="P202" t="n">
        <v>-1803.683294</v>
      </c>
      <c r="Q202" t="n">
        <v>7596.014295</v>
      </c>
      <c r="S202" t="n">
        <v>-1524.487508</v>
      </c>
      <c r="U202" t="n">
        <v>1166.999333</v>
      </c>
      <c r="V202" t="n">
        <v>1235.00506</v>
      </c>
      <c r="W202" t="n">
        <v>32229.818329</v>
      </c>
      <c r="X202" t="n">
        <v>9391.662139</v>
      </c>
    </row>
    <row r="203" ht="21" customHeight="1">
      <c r="A203" t="inlineStr">
        <is>
          <t>Hexanchus griseus</t>
        </is>
      </c>
      <c r="B203" t="n">
        <v>4.48</v>
      </c>
      <c r="C203" t="n">
        <v>3019.95172</v>
      </c>
      <c r="D203" s="10" t="inlineStr">
        <is>
          <t>Benthic elasmobranchs</t>
        </is>
      </c>
      <c r="E203" t="n">
        <v>100.341534</v>
      </c>
      <c r="F203" t="n">
        <v>227.672107</v>
      </c>
      <c r="G203" t="n">
        <v>212.74056</v>
      </c>
      <c r="H203" t="n">
        <v>1454.477274</v>
      </c>
      <c r="I203" t="n">
        <v>5850.040026</v>
      </c>
      <c r="J203" t="n">
        <v>5861.611252</v>
      </c>
      <c r="K203" t="n">
        <v>3861.19455</v>
      </c>
      <c r="L203" t="n">
        <v>7955.355087</v>
      </c>
      <c r="M203" t="n">
        <v>7955.355087</v>
      </c>
      <c r="N203" t="n">
        <v>7955.355087</v>
      </c>
      <c r="O203" t="n">
        <v>-475.304228</v>
      </c>
      <c r="P203" t="n">
        <v>-1034.602781</v>
      </c>
      <c r="Q203" t="n">
        <v>7955.355087</v>
      </c>
      <c r="S203" t="n">
        <v>-475.304228</v>
      </c>
      <c r="U203" t="n">
        <v>558.607592</v>
      </c>
      <c r="V203" t="n">
        <v>673.429313</v>
      </c>
      <c r="W203" t="n">
        <v>8955.769672</v>
      </c>
      <c r="X203" t="n">
        <v>9372.190554999999</v>
      </c>
    </row>
    <row r="204" ht="21" customHeight="1">
      <c r="A204" t="inlineStr">
        <is>
          <t>Caranx</t>
        </is>
      </c>
      <c r="B204" t="n">
        <v>4.12</v>
      </c>
      <c r="C204" t="n">
        <v>1318.256739</v>
      </c>
      <c r="D204" s="10" t="inlineStr">
        <is>
          <t>Unresolved</t>
        </is>
      </c>
    </row>
    <row r="205" ht="21" customHeight="1">
      <c r="A205" t="inlineStr">
        <is>
          <t>Caranx lugubris</t>
        </is>
      </c>
      <c r="D205" s="10" t="inlineStr">
        <is>
          <t>Unresolved</t>
        </is>
      </c>
    </row>
    <row r="206" ht="21" customHeight="1">
      <c r="A206" t="inlineStr">
        <is>
          <t>Bothidae</t>
        </is>
      </c>
      <c r="D206" s="10" t="inlineStr">
        <is>
          <t>Flatfish</t>
        </is>
      </c>
      <c r="E206" t="n">
        <v>100.341534</v>
      </c>
      <c r="F206" t="n">
        <v>734.481858</v>
      </c>
      <c r="G206" t="n">
        <v>676.339308</v>
      </c>
      <c r="H206" t="n">
        <v>2059.00128</v>
      </c>
      <c r="I206" t="n">
        <v>348.100268</v>
      </c>
      <c r="J206" t="n">
        <v>348.100268</v>
      </c>
      <c r="K206" t="n">
        <v>346.519469</v>
      </c>
      <c r="L206" t="n">
        <v>354.754813</v>
      </c>
      <c r="M206" t="n">
        <v>354.754813</v>
      </c>
      <c r="N206" t="n">
        <v>354.754813</v>
      </c>
      <c r="O206" t="n">
        <v>-898.853069</v>
      </c>
      <c r="P206" t="n">
        <v>-1857.796138</v>
      </c>
      <c r="Q206" t="n">
        <v>354.754813</v>
      </c>
      <c r="S206" t="n">
        <v>-898.853069</v>
      </c>
      <c r="U206" t="n">
        <v>998.77079</v>
      </c>
      <c r="V206" t="n">
        <v>1204.597703</v>
      </c>
      <c r="W206" t="n">
        <v>19477.73429</v>
      </c>
      <c r="X206" t="n">
        <v>404.581425</v>
      </c>
    </row>
    <row r="207" ht="21" customHeight="1">
      <c r="A207" t="inlineStr">
        <is>
          <t>Monacanthidae</t>
        </is>
      </c>
      <c r="B207" t="n">
        <v>3</v>
      </c>
      <c r="C207" t="n">
        <v>100</v>
      </c>
      <c r="D207" s="10" t="inlineStr">
        <is>
          <t>Unresolved</t>
        </is>
      </c>
    </row>
    <row r="208" ht="36" customHeight="1">
      <c r="A208" t="inlineStr">
        <is>
          <t>Myliobatidae</t>
        </is>
      </c>
      <c r="D208" s="10" t="inlineStr">
        <is>
          <t>Benthic elasmobranchs | Chondrichthyans</t>
        </is>
      </c>
      <c r="E208" t="n">
        <v>100.341534</v>
      </c>
      <c r="F208" t="n">
        <v>1136.362086</v>
      </c>
      <c r="G208" t="n">
        <v>1033.298241</v>
      </c>
      <c r="H208" t="n">
        <v>4409.558374</v>
      </c>
      <c r="I208" t="n">
        <v>4990.943021</v>
      </c>
      <c r="J208" t="n">
        <v>5071.082614</v>
      </c>
      <c r="K208" t="n">
        <v>3219.527874</v>
      </c>
      <c r="L208" t="n">
        <v>7828.441308</v>
      </c>
      <c r="M208" t="n">
        <v>7828.441308</v>
      </c>
      <c r="N208" t="n">
        <v>7828.441308</v>
      </c>
      <c r="O208" t="n">
        <v>-845.8600280000001</v>
      </c>
      <c r="P208" t="n">
        <v>-1306.230484</v>
      </c>
      <c r="Q208" t="n">
        <v>7828.441308</v>
      </c>
      <c r="S208" t="n">
        <v>-845.8600280000001</v>
      </c>
      <c r="U208" t="n">
        <v>773.482431</v>
      </c>
      <c r="V208" t="n">
        <v>871.769445</v>
      </c>
      <c r="W208" t="n">
        <v>17175.814607</v>
      </c>
      <c r="X208" t="n">
        <v>9379.067626</v>
      </c>
    </row>
    <row r="209" ht="21" customHeight="1">
      <c r="A209" t="inlineStr">
        <is>
          <t>Auxis</t>
        </is>
      </c>
      <c r="B209" t="n">
        <v>4.24</v>
      </c>
      <c r="C209" t="n">
        <v>1737.800829</v>
      </c>
      <c r="D209" s="10" t="inlineStr">
        <is>
          <t>Other large pelagic fish</t>
        </is>
      </c>
      <c r="E209" t="n">
        <v>100.341534</v>
      </c>
      <c r="F209" t="n">
        <v>721.5611730000001</v>
      </c>
      <c r="G209" t="n">
        <v>664.588831</v>
      </c>
      <c r="H209" t="n">
        <v>1923.880477</v>
      </c>
      <c r="I209" t="n">
        <v>707.786261</v>
      </c>
      <c r="J209" t="n">
        <v>730.795754</v>
      </c>
      <c r="K209" t="n">
        <v>390.224794</v>
      </c>
      <c r="L209" t="n">
        <v>1280.174581</v>
      </c>
      <c r="M209" t="n">
        <v>1280.174581</v>
      </c>
      <c r="N209" t="n">
        <v>1280.174581</v>
      </c>
      <c r="O209" t="n">
        <v>-479.794164</v>
      </c>
      <c r="P209" t="n">
        <v>-709.965776</v>
      </c>
      <c r="Q209" t="n">
        <v>1280.174581</v>
      </c>
      <c r="S209" t="n">
        <v>-479.794164</v>
      </c>
      <c r="U209" t="n">
        <v>483.377545</v>
      </c>
      <c r="V209" t="n">
        <v>503.881531</v>
      </c>
      <c r="W209" t="n">
        <v>10483.563691</v>
      </c>
      <c r="X209" t="n">
        <v>1536.980814</v>
      </c>
    </row>
    <row r="210" ht="36" customHeight="1">
      <c r="A210" t="inlineStr">
        <is>
          <t>Actinopterygii</t>
        </is>
      </c>
      <c r="D210" s="10" t="inlineStr">
        <is>
          <t>Small demersal fish | Medium demersal fish | Medium sciaenids</t>
        </is>
      </c>
      <c r="E210" t="n">
        <v>100.341534</v>
      </c>
      <c r="F210" t="n">
        <v>138.326515</v>
      </c>
      <c r="G210" t="n">
        <v>129.842543</v>
      </c>
      <c r="H210" t="n">
        <v>381.787667</v>
      </c>
      <c r="I210" t="n">
        <v>897.522249</v>
      </c>
      <c r="J210" t="n">
        <v>898.111319</v>
      </c>
      <c r="K210" t="n">
        <v>642.850064</v>
      </c>
      <c r="L210" t="n">
        <v>1416.620481</v>
      </c>
      <c r="M210" t="n">
        <v>1416.620481</v>
      </c>
      <c r="N210" t="n">
        <v>1416.620481</v>
      </c>
      <c r="O210" t="n">
        <v>-245.919475</v>
      </c>
      <c r="P210" t="n">
        <v>-623.522679</v>
      </c>
      <c r="Q210" t="n">
        <v>1416.620481</v>
      </c>
      <c r="S210" t="n">
        <v>-245.919475</v>
      </c>
      <c r="U210" t="n">
        <v>331.68607</v>
      </c>
      <c r="V210" t="n">
        <v>405.129578</v>
      </c>
      <c r="W210" t="n">
        <v>4869.54909</v>
      </c>
      <c r="X210" t="n">
        <v>1676.963843</v>
      </c>
    </row>
    <row r="211" ht="21" customHeight="1">
      <c r="A211" t="inlineStr">
        <is>
          <t>Parapsettus panamensis</t>
        </is>
      </c>
      <c r="B211" t="n">
        <v>3.5</v>
      </c>
      <c r="C211" t="n">
        <v>316.227766</v>
      </c>
      <c r="D211" s="10" t="inlineStr">
        <is>
          <t>Unresolved</t>
        </is>
      </c>
    </row>
    <row r="212" ht="21" customHeight="1">
      <c r="A212" t="inlineStr">
        <is>
          <t>Deania calceus</t>
        </is>
      </c>
      <c r="D212" s="10" t="inlineStr">
        <is>
          <t>Benthic elasmobranchs</t>
        </is>
      </c>
      <c r="E212" t="n">
        <v>100.341534</v>
      </c>
      <c r="F212" t="n">
        <v>227.672107</v>
      </c>
      <c r="G212" t="n">
        <v>212.74056</v>
      </c>
      <c r="H212" t="n">
        <v>1454.477274</v>
      </c>
      <c r="I212" t="n">
        <v>5850.040026</v>
      </c>
      <c r="J212" t="n">
        <v>5861.611252</v>
      </c>
      <c r="K212" t="n">
        <v>3861.19455</v>
      </c>
      <c r="L212" t="n">
        <v>7955.355087</v>
      </c>
      <c r="M212" t="n">
        <v>7955.355087</v>
      </c>
      <c r="N212" t="n">
        <v>7955.355087</v>
      </c>
      <c r="O212" t="n">
        <v>-475.304228</v>
      </c>
      <c r="P212" t="n">
        <v>-1034.602781</v>
      </c>
      <c r="Q212" t="n">
        <v>7955.355087</v>
      </c>
      <c r="S212" t="n">
        <v>-475.304228</v>
      </c>
      <c r="U212" t="n">
        <v>558.607592</v>
      </c>
      <c r="V212" t="n">
        <v>673.429313</v>
      </c>
      <c r="W212" t="n">
        <v>8955.769672</v>
      </c>
      <c r="X212" t="n">
        <v>9372.190554999999</v>
      </c>
    </row>
    <row r="213" ht="21" customHeight="1">
      <c r="A213" t="inlineStr">
        <is>
          <t>Acanthocybium solandri</t>
        </is>
      </c>
      <c r="D213" s="10" t="inlineStr">
        <is>
          <t>Other large pelagic fish</t>
        </is>
      </c>
      <c r="E213" t="n">
        <v>100.341534</v>
      </c>
      <c r="F213" t="n">
        <v>721.5611730000001</v>
      </c>
      <c r="G213" t="n">
        <v>664.588831</v>
      </c>
      <c r="H213" t="n">
        <v>1923.880477</v>
      </c>
      <c r="I213" t="n">
        <v>707.786261</v>
      </c>
      <c r="J213" t="n">
        <v>730.795754</v>
      </c>
      <c r="K213" t="n">
        <v>390.224794</v>
      </c>
      <c r="L213" t="n">
        <v>1280.174581</v>
      </c>
      <c r="M213" t="n">
        <v>1280.174581</v>
      </c>
      <c r="N213" t="n">
        <v>1280.174581</v>
      </c>
      <c r="O213" t="n">
        <v>-479.794164</v>
      </c>
      <c r="P213" t="n">
        <v>-709.965776</v>
      </c>
      <c r="Q213" t="n">
        <v>1280.174581</v>
      </c>
      <c r="S213" t="n">
        <v>-479.794164</v>
      </c>
      <c r="U213" t="n">
        <v>483.377545</v>
      </c>
      <c r="V213" t="n">
        <v>503.881531</v>
      </c>
      <c r="W213" t="n">
        <v>10483.563691</v>
      </c>
      <c r="X213" t="n">
        <v>1536.980814</v>
      </c>
    </row>
    <row r="214" ht="21" customHeight="1">
      <c r="A214" t="inlineStr">
        <is>
          <t>Macrouridae</t>
        </is>
      </c>
      <c r="D214" s="10" t="inlineStr">
        <is>
          <t>Unresolved</t>
        </is>
      </c>
    </row>
    <row r="215" ht="21" customHeight="1">
      <c r="A215" t="inlineStr">
        <is>
          <t>Allothunnus fallai</t>
        </is>
      </c>
      <c r="B215" t="n">
        <v>3.7</v>
      </c>
      <c r="C215" t="n">
        <v>501.187234</v>
      </c>
      <c r="D215" s="10" t="inlineStr">
        <is>
          <t>Other large pelagic fish</t>
        </is>
      </c>
      <c r="E215" t="n">
        <v>100.341534</v>
      </c>
      <c r="F215" t="n">
        <v>721.5611730000001</v>
      </c>
      <c r="G215" t="n">
        <v>664.588831</v>
      </c>
      <c r="H215" t="n">
        <v>1923.880477</v>
      </c>
      <c r="I215" t="n">
        <v>707.786261</v>
      </c>
      <c r="J215" t="n">
        <v>730.795754</v>
      </c>
      <c r="K215" t="n">
        <v>390.224794</v>
      </c>
      <c r="L215" t="n">
        <v>1280.174581</v>
      </c>
      <c r="M215" t="n">
        <v>1280.174581</v>
      </c>
      <c r="N215" t="n">
        <v>1280.174581</v>
      </c>
      <c r="O215" t="n">
        <v>-479.794164</v>
      </c>
      <c r="P215" t="n">
        <v>-709.965776</v>
      </c>
      <c r="Q215" t="n">
        <v>1280.174581</v>
      </c>
      <c r="S215" t="n">
        <v>-479.794164</v>
      </c>
      <c r="U215" t="n">
        <v>483.377545</v>
      </c>
      <c r="V215" t="n">
        <v>503.881531</v>
      </c>
      <c r="W215" t="n">
        <v>10483.563691</v>
      </c>
      <c r="X215" t="n">
        <v>1536.980814</v>
      </c>
    </row>
    <row r="216" ht="21" customHeight="1">
      <c r="A216" t="inlineStr">
        <is>
          <t>Galaxias maculatus</t>
        </is>
      </c>
      <c r="B216" t="n">
        <v>3.16</v>
      </c>
      <c r="C216" t="n">
        <v>144.543977</v>
      </c>
      <c r="D216" s="10" t="inlineStr">
        <is>
          <t>Unresolved</t>
        </is>
      </c>
    </row>
    <row r="217" ht="21" customHeight="1">
      <c r="A217" t="inlineStr">
        <is>
          <t>Thunnus maccoyii</t>
        </is>
      </c>
      <c r="B217" t="n">
        <v>3.93</v>
      </c>
      <c r="C217" t="n">
        <v>851.1380380000001</v>
      </c>
      <c r="D217" s="10" t="inlineStr">
        <is>
          <t>Other large pelagic fish</t>
        </is>
      </c>
      <c r="E217" t="n">
        <v>100.341534</v>
      </c>
      <c r="F217" t="n">
        <v>721.5611730000001</v>
      </c>
      <c r="G217" t="n">
        <v>664.588831</v>
      </c>
      <c r="H217" t="n">
        <v>1923.880477</v>
      </c>
      <c r="I217" t="n">
        <v>707.786261</v>
      </c>
      <c r="J217" t="n">
        <v>730.795754</v>
      </c>
      <c r="K217" t="n">
        <v>390.224794</v>
      </c>
      <c r="L217" t="n">
        <v>1280.174581</v>
      </c>
      <c r="M217" t="n">
        <v>1280.174581</v>
      </c>
      <c r="N217" t="n">
        <v>1280.174581</v>
      </c>
      <c r="O217" t="n">
        <v>-479.794164</v>
      </c>
      <c r="P217" t="n">
        <v>-709.965776</v>
      </c>
      <c r="Q217" t="n">
        <v>1280.174581</v>
      </c>
      <c r="S217" t="n">
        <v>-479.794164</v>
      </c>
      <c r="U217" t="n">
        <v>483.377545</v>
      </c>
      <c r="V217" t="n">
        <v>503.881531</v>
      </c>
      <c r="W217" t="n">
        <v>10483.563691</v>
      </c>
      <c r="X217" t="n">
        <v>1536.980814</v>
      </c>
    </row>
    <row r="218" ht="21" customHeight="1">
      <c r="A218" t="inlineStr">
        <is>
          <t>Cetengraulis mysticetus</t>
        </is>
      </c>
      <c r="B218" t="n">
        <v>2.47</v>
      </c>
      <c r="C218" t="n">
        <v>29.512092</v>
      </c>
      <c r="D218" s="10" t="inlineStr">
        <is>
          <t>Other small pelagic fish</t>
        </is>
      </c>
      <c r="E218" t="n">
        <v>100.341534</v>
      </c>
      <c r="F218" t="n">
        <v>55.911353</v>
      </c>
      <c r="G218" t="n">
        <v>53.169346</v>
      </c>
      <c r="H218" t="n">
        <v>129.345644</v>
      </c>
      <c r="I218" t="n">
        <v>37.208913</v>
      </c>
      <c r="J218" t="n">
        <v>37.208913</v>
      </c>
      <c r="K218" t="n">
        <v>33.488021</v>
      </c>
      <c r="L218" t="n">
        <v>47.38007</v>
      </c>
      <c r="M218" t="n">
        <v>47.38007</v>
      </c>
      <c r="N218" t="n">
        <v>47.38007</v>
      </c>
      <c r="O218" t="n">
        <v>-40.644634</v>
      </c>
      <c r="P218" t="n">
        <v>-77.00011499999999</v>
      </c>
      <c r="Q218" t="n">
        <v>47.38007</v>
      </c>
      <c r="S218" t="n">
        <v>-40.644634</v>
      </c>
      <c r="U218" t="n">
        <v>57.096937</v>
      </c>
      <c r="V218" t="n">
        <v>61.654006</v>
      </c>
      <c r="W218" t="n">
        <v>1242.265249</v>
      </c>
      <c r="X218" t="n">
        <v>52.602205</v>
      </c>
    </row>
    <row r="219" ht="21" customHeight="1">
      <c r="A219" t="inlineStr">
        <is>
          <t>Rhinoptera steindachneri</t>
        </is>
      </c>
      <c r="B219" t="n">
        <v>3.55</v>
      </c>
      <c r="C219" t="n">
        <v>354.813389</v>
      </c>
      <c r="D219" s="10" t="inlineStr">
        <is>
          <t>Benthic elasmobranchs</t>
        </is>
      </c>
      <c r="E219" t="n">
        <v>100.341534</v>
      </c>
      <c r="F219" t="n">
        <v>227.672107</v>
      </c>
      <c r="G219" t="n">
        <v>212.74056</v>
      </c>
      <c r="H219" t="n">
        <v>1454.477274</v>
      </c>
      <c r="I219" t="n">
        <v>5850.040026</v>
      </c>
      <c r="J219" t="n">
        <v>5861.611252</v>
      </c>
      <c r="K219" t="n">
        <v>3861.19455</v>
      </c>
      <c r="L219" t="n">
        <v>7955.355087</v>
      </c>
      <c r="M219" t="n">
        <v>7955.355087</v>
      </c>
      <c r="N219" t="n">
        <v>7955.355087</v>
      </c>
      <c r="O219" t="n">
        <v>-475.304228</v>
      </c>
      <c r="P219" t="n">
        <v>-1034.602781</v>
      </c>
      <c r="Q219" t="n">
        <v>7955.355087</v>
      </c>
      <c r="S219" t="n">
        <v>-475.304228</v>
      </c>
      <c r="U219" t="n">
        <v>558.607592</v>
      </c>
      <c r="V219" t="n">
        <v>673.429313</v>
      </c>
      <c r="W219" t="n">
        <v>8955.769672</v>
      </c>
      <c r="X219" t="n">
        <v>9372.190554999999</v>
      </c>
    </row>
    <row r="220" ht="21" customHeight="1">
      <c r="A220" t="inlineStr">
        <is>
          <t>Lepidocybium flavobrunneum</t>
        </is>
      </c>
      <c r="B220" t="n">
        <v>4.34</v>
      </c>
      <c r="C220" t="n">
        <v>2187.761624</v>
      </c>
      <c r="D220" s="10" t="inlineStr">
        <is>
          <t>Unresolved</t>
        </is>
      </c>
    </row>
    <row r="221" ht="21" customHeight="1">
      <c r="A221" t="inlineStr">
        <is>
          <t>Hippocampus</t>
        </is>
      </c>
      <c r="B221" t="n">
        <v>3.33</v>
      </c>
      <c r="C221" t="n">
        <v>213.796209</v>
      </c>
      <c r="D221" s="10" t="inlineStr">
        <is>
          <t>Unresolved</t>
        </is>
      </c>
    </row>
    <row r="222" ht="21" customHeight="1">
      <c r="A222" t="inlineStr">
        <is>
          <t>Caulolatilus princeps</t>
        </is>
      </c>
      <c r="B222" t="n">
        <v>3.7</v>
      </c>
      <c r="C222" t="n">
        <v>501.187234</v>
      </c>
      <c r="D222" s="10" t="inlineStr">
        <is>
          <t>Medium demersal fish</t>
        </is>
      </c>
      <c r="E222" t="n">
        <v>100.341534</v>
      </c>
      <c r="F222" t="n">
        <v>150.446864</v>
      </c>
      <c r="G222" t="n">
        <v>141.309763</v>
      </c>
      <c r="H222" t="n">
        <v>345.608481</v>
      </c>
      <c r="I222" t="n">
        <v>95.134595</v>
      </c>
      <c r="J222" t="n">
        <v>95.68003899999999</v>
      </c>
      <c r="K222" t="n">
        <v>78.47268099999999</v>
      </c>
      <c r="L222" t="n">
        <v>85.358492</v>
      </c>
      <c r="M222" t="n">
        <v>85.358492</v>
      </c>
      <c r="N222" t="n">
        <v>85.358492</v>
      </c>
      <c r="O222" t="n">
        <v>-290.0196</v>
      </c>
      <c r="P222" t="n">
        <v>-770.353084</v>
      </c>
      <c r="Q222" t="n">
        <v>85.358492</v>
      </c>
      <c r="S222" t="n">
        <v>-290.0196</v>
      </c>
      <c r="U222" t="n">
        <v>400.586214</v>
      </c>
      <c r="V222" t="n">
        <v>495.192523</v>
      </c>
      <c r="W222" t="n">
        <v>4943.256156</v>
      </c>
      <c r="X222" t="n">
        <v>95.427959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T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1" t="inlineStr">
        <is>
          <t>Total PPR by method and year — every taxon summed, tonnes wet weight equivalent of primary production.</t>
        </is>
      </c>
    </row>
    <row r="2">
      <c r="A2" t="inlineStr">
        <is>
          <t>All basal sources, including imports. The simple chain rows are unpartitioned references; model rows use this scope.</t>
        </is>
      </c>
    </row>
    <row r="3">
      <c r="A3" t="inlineStr">
        <is>
          <t>Methods are not alternatives to be averaged. They rest on different assumptions and the spread between them is the result.</t>
        </is>
      </c>
    </row>
    <row r="4">
      <c r="A4" t="inlineStr">
        <is>
          <t>The two grey rows aggregate the catch to a group before exponentiating, which understates the total: SPPR is convex in trophic level, so they measure the Jensen effect rather than the PPR.</t>
        </is>
      </c>
    </row>
    <row r="5">
      <c r="A5" s="4" t="inlineStr">
        <is>
          <t>method</t>
        </is>
      </c>
      <c r="B5" s="4" t="inlineStr">
        <is>
          <t>status</t>
        </is>
      </c>
      <c r="C5" s="4" t="n">
        <v>1950</v>
      </c>
      <c r="D5" s="4" t="n">
        <v>1951</v>
      </c>
      <c r="E5" s="4" t="n">
        <v>1952</v>
      </c>
      <c r="F5" s="4" t="n">
        <v>1953</v>
      </c>
      <c r="G5" s="4" t="n">
        <v>1954</v>
      </c>
      <c r="H5" s="4" t="n">
        <v>1955</v>
      </c>
      <c r="I5" s="4" t="n">
        <v>1956</v>
      </c>
      <c r="J5" s="4" t="n">
        <v>1957</v>
      </c>
      <c r="K5" s="4" t="n">
        <v>1958</v>
      </c>
      <c r="L5" s="4" t="n">
        <v>1959</v>
      </c>
      <c r="M5" s="4" t="n">
        <v>1960</v>
      </c>
      <c r="N5" s="4" t="n">
        <v>1961</v>
      </c>
      <c r="O5" s="4" t="n">
        <v>1962</v>
      </c>
      <c r="P5" s="4" t="n">
        <v>1963</v>
      </c>
      <c r="Q5" s="4" t="n">
        <v>1964</v>
      </c>
      <c r="R5" s="4" t="n">
        <v>1965</v>
      </c>
      <c r="S5" s="4" t="n">
        <v>1966</v>
      </c>
      <c r="T5" s="4" t="n">
        <v>1967</v>
      </c>
      <c r="U5" s="4" t="n">
        <v>1968</v>
      </c>
      <c r="V5" s="4" t="n">
        <v>1969</v>
      </c>
      <c r="W5" s="4" t="n">
        <v>1970</v>
      </c>
      <c r="X5" s="4" t="n">
        <v>1971</v>
      </c>
      <c r="Y5" s="4" t="n">
        <v>1972</v>
      </c>
      <c r="Z5" s="4" t="n">
        <v>1973</v>
      </c>
      <c r="AA5" s="4" t="n">
        <v>1974</v>
      </c>
      <c r="AB5" s="4" t="n">
        <v>1975</v>
      </c>
      <c r="AC5" s="4" t="n">
        <v>1976</v>
      </c>
      <c r="AD5" s="4" t="n">
        <v>1977</v>
      </c>
      <c r="AE5" s="4" t="n">
        <v>1978</v>
      </c>
      <c r="AF5" s="4" t="n">
        <v>1979</v>
      </c>
      <c r="AG5" s="4" t="n">
        <v>1980</v>
      </c>
      <c r="AH5" s="4" t="n">
        <v>1981</v>
      </c>
      <c r="AI5" s="4" t="n">
        <v>1982</v>
      </c>
      <c r="AJ5" s="4" t="n">
        <v>1983</v>
      </c>
      <c r="AK5" s="4" t="n">
        <v>1984</v>
      </c>
      <c r="AL5" s="4" t="n">
        <v>1985</v>
      </c>
      <c r="AM5" s="4" t="n">
        <v>1986</v>
      </c>
      <c r="AN5" s="4" t="n">
        <v>1987</v>
      </c>
      <c r="AO5" s="4" t="n">
        <v>1988</v>
      </c>
      <c r="AP5" s="4" t="n">
        <v>1989</v>
      </c>
      <c r="AQ5" s="4" t="n">
        <v>1990</v>
      </c>
      <c r="AR5" s="4" t="n">
        <v>1991</v>
      </c>
      <c r="AS5" s="4" t="n">
        <v>1992</v>
      </c>
      <c r="AT5" s="4" t="n">
        <v>1993</v>
      </c>
      <c r="AU5" s="4" t="n">
        <v>1994</v>
      </c>
      <c r="AV5" s="4" t="n">
        <v>1995</v>
      </c>
      <c r="AW5" s="4" t="n">
        <v>1996</v>
      </c>
      <c r="AX5" s="4" t="n">
        <v>1997</v>
      </c>
      <c r="AY5" s="4" t="n">
        <v>1998</v>
      </c>
      <c r="AZ5" s="4" t="n">
        <v>1999</v>
      </c>
      <c r="BA5" s="4" t="n">
        <v>2000</v>
      </c>
      <c r="BB5" s="4" t="n">
        <v>2001</v>
      </c>
      <c r="BC5" s="4" t="n">
        <v>2002</v>
      </c>
      <c r="BD5" s="4" t="n">
        <v>2003</v>
      </c>
      <c r="BE5" s="4" t="n">
        <v>2004</v>
      </c>
      <c r="BF5" s="4" t="n">
        <v>2005</v>
      </c>
      <c r="BG5" s="4" t="n">
        <v>2006</v>
      </c>
      <c r="BH5" s="4" t="n">
        <v>2007</v>
      </c>
      <c r="BI5" s="4" t="n">
        <v>2008</v>
      </c>
      <c r="BJ5" s="4" t="n">
        <v>2009</v>
      </c>
      <c r="BK5" s="4" t="n">
        <v>2010</v>
      </c>
      <c r="BL5" s="4" t="n">
        <v>2011</v>
      </c>
      <c r="BM5" s="4" t="n">
        <v>2012</v>
      </c>
      <c r="BN5" s="4" t="n">
        <v>2013</v>
      </c>
      <c r="BO5" s="4" t="n">
        <v>2014</v>
      </c>
      <c r="BP5" s="4" t="n">
        <v>2015</v>
      </c>
      <c r="BQ5" s="4" t="n">
        <v>2016</v>
      </c>
      <c r="BR5" s="4" t="n">
        <v>2017</v>
      </c>
      <c r="BS5" s="4" t="n">
        <v>2018</v>
      </c>
      <c r="BT5" s="4" t="n">
        <v>2019</v>
      </c>
    </row>
    <row r="6">
      <c r="A6" s="3" t="inlineStr">
        <is>
          <t>simple trophic chain, per taxon</t>
        </is>
      </c>
      <c r="B6" t="inlineStr">
        <is>
          <t>ok</t>
        </is>
      </c>
      <c r="C6" t="n">
        <v>266839351.154</v>
      </c>
      <c r="D6" t="n">
        <v>337327018.195</v>
      </c>
      <c r="E6" t="n">
        <v>394715516.606</v>
      </c>
      <c r="F6" t="n">
        <v>347383312.854</v>
      </c>
      <c r="G6" t="n">
        <v>371439130.843</v>
      </c>
      <c r="H6" t="n">
        <v>520784290.415</v>
      </c>
      <c r="I6" t="n">
        <v>522953529.215</v>
      </c>
      <c r="J6" t="n">
        <v>449059991.41</v>
      </c>
      <c r="K6" t="n">
        <v>497630831.618</v>
      </c>
      <c r="L6" t="n">
        <v>618245719.5700001</v>
      </c>
      <c r="M6" t="n">
        <v>787332609.071</v>
      </c>
      <c r="N6" t="n">
        <v>897591230.5319999</v>
      </c>
      <c r="O6" t="n">
        <v>994524162.401</v>
      </c>
      <c r="P6" t="n">
        <v>1153027995.963</v>
      </c>
      <c r="Q6" t="n">
        <v>1332003472.351</v>
      </c>
      <c r="R6" t="n">
        <v>1016114576.574</v>
      </c>
      <c r="S6" t="n">
        <v>1175417599.717</v>
      </c>
      <c r="T6" t="n">
        <v>1286937470.75</v>
      </c>
      <c r="U6" t="n">
        <v>1315604077.016</v>
      </c>
      <c r="V6" t="n">
        <v>1152010350.295</v>
      </c>
      <c r="W6" t="n">
        <v>1521656812.312</v>
      </c>
      <c r="X6" t="n">
        <v>1319944041.988</v>
      </c>
      <c r="Y6" t="n">
        <v>1002749136.39</v>
      </c>
      <c r="Z6" t="n">
        <v>1027725121.21</v>
      </c>
      <c r="AA6" t="n">
        <v>1038412019.225</v>
      </c>
      <c r="AB6" t="n">
        <v>858033259.778</v>
      </c>
      <c r="AC6" t="n">
        <v>910045731.906</v>
      </c>
      <c r="AD6" t="n">
        <v>1157229951.036</v>
      </c>
      <c r="AE6" t="n">
        <v>1937829566.399</v>
      </c>
      <c r="AF6" t="n">
        <v>1022221054.699</v>
      </c>
      <c r="AG6" t="n">
        <v>1288930819.21</v>
      </c>
      <c r="AH6" t="n">
        <v>1196015418.736</v>
      </c>
      <c r="AI6" t="n">
        <v>1395644133.123</v>
      </c>
      <c r="AJ6" t="n">
        <v>1191890863.022</v>
      </c>
      <c r="AK6" t="n">
        <v>1362117497.292</v>
      </c>
      <c r="AL6" t="n">
        <v>1205616788.422</v>
      </c>
      <c r="AM6" t="n">
        <v>1483103093.532</v>
      </c>
      <c r="AN6" t="n">
        <v>1584028271.69</v>
      </c>
      <c r="AO6" t="n">
        <v>2176549618.981</v>
      </c>
      <c r="AP6" t="n">
        <v>2376707976.783</v>
      </c>
      <c r="AQ6" t="n">
        <v>2490512890.815</v>
      </c>
      <c r="AR6" t="n">
        <v>2334033309.785</v>
      </c>
      <c r="AS6" t="n">
        <v>2358993010.766</v>
      </c>
      <c r="AT6" t="n">
        <v>2424357300.994</v>
      </c>
      <c r="AU6" t="n">
        <v>2999472447.885</v>
      </c>
      <c r="AV6" t="n">
        <v>2982847201.066</v>
      </c>
      <c r="AW6" t="n">
        <v>3101686944.979</v>
      </c>
      <c r="AX6" t="n">
        <v>2425608958.771</v>
      </c>
      <c r="AY6" t="n">
        <v>2065966513.457</v>
      </c>
      <c r="AZ6" t="n">
        <v>2148433461.206</v>
      </c>
      <c r="BA6" t="n">
        <v>2076648513.313</v>
      </c>
      <c r="BB6" t="n">
        <v>2565629350.073</v>
      </c>
      <c r="BC6" t="n">
        <v>1884712765.14</v>
      </c>
      <c r="BD6" t="n">
        <v>2308318980.21</v>
      </c>
      <c r="BE6" t="n">
        <v>2972908951.744</v>
      </c>
      <c r="BF6" t="n">
        <v>3123678254.528</v>
      </c>
      <c r="BG6" t="n">
        <v>3036015301.708</v>
      </c>
      <c r="BH6" t="n">
        <v>2661174913.494</v>
      </c>
      <c r="BI6" t="n">
        <v>3034654980.1</v>
      </c>
      <c r="BJ6" t="n">
        <v>2697094749.671</v>
      </c>
      <c r="BK6" t="n">
        <v>2244831354.694</v>
      </c>
      <c r="BL6" t="n">
        <v>2858418640.566</v>
      </c>
      <c r="BM6" t="n">
        <v>2639529744.06</v>
      </c>
      <c r="BN6" t="n">
        <v>2460501516.6</v>
      </c>
      <c r="BO6" t="n">
        <v>2847965658.858</v>
      </c>
      <c r="BP6" t="n">
        <v>2882795802.084</v>
      </c>
      <c r="BQ6" t="n">
        <v>2528659248.978</v>
      </c>
      <c r="BR6" t="n">
        <v>2393277692.362</v>
      </c>
      <c r="BS6" t="n">
        <v>2492262690.047</v>
      </c>
      <c r="BT6" t="n">
        <v>2612052521.28</v>
      </c>
    </row>
    <row r="7">
      <c r="A7" s="11" t="inlineStr">
        <is>
          <t>simple, aggregated to SAU functional group</t>
        </is>
      </c>
      <c r="B7" t="inlineStr">
        <is>
          <t>Jensen comparison, not a PPR estimate</t>
        </is>
      </c>
      <c r="C7" t="n">
        <v>209577447.726</v>
      </c>
      <c r="D7" t="n">
        <v>266937000.396</v>
      </c>
      <c r="E7" t="n">
        <v>313259060.906</v>
      </c>
      <c r="F7" t="n">
        <v>270578034.2</v>
      </c>
      <c r="G7" t="n">
        <v>287454312.582</v>
      </c>
      <c r="H7" t="n">
        <v>422888431.01</v>
      </c>
      <c r="I7" t="n">
        <v>409646795.21</v>
      </c>
      <c r="J7" t="n">
        <v>333532315.739</v>
      </c>
      <c r="K7" t="n">
        <v>371389689.679</v>
      </c>
      <c r="L7" t="n">
        <v>468296122.546</v>
      </c>
      <c r="M7" t="n">
        <v>607732594.8789999</v>
      </c>
      <c r="N7" t="n">
        <v>719628323.988</v>
      </c>
      <c r="O7" t="n">
        <v>819839609.818</v>
      </c>
      <c r="P7" t="n">
        <v>957274002.564</v>
      </c>
      <c r="Q7" t="n">
        <v>1108360893.198</v>
      </c>
      <c r="R7" t="n">
        <v>839182953.434</v>
      </c>
      <c r="S7" t="n">
        <v>951885563.431</v>
      </c>
      <c r="T7" t="n">
        <v>1084866714.06</v>
      </c>
      <c r="U7" t="n">
        <v>1134854601.167</v>
      </c>
      <c r="V7" t="n">
        <v>961028124.904</v>
      </c>
      <c r="W7" t="n">
        <v>1299639488.474</v>
      </c>
      <c r="X7" t="n">
        <v>1082946759.903</v>
      </c>
      <c r="Y7" t="n">
        <v>722407324.876</v>
      </c>
      <c r="Z7" t="n">
        <v>845740797.6109999</v>
      </c>
      <c r="AA7" t="n">
        <v>921153741.888</v>
      </c>
      <c r="AB7" t="n">
        <v>768783148.327</v>
      </c>
      <c r="AC7" t="n">
        <v>831347313.416</v>
      </c>
      <c r="AD7" t="n">
        <v>996532291.181</v>
      </c>
      <c r="AE7" t="n">
        <v>1749553574.694</v>
      </c>
      <c r="AF7" t="n">
        <v>890250065.37</v>
      </c>
      <c r="AG7" t="n">
        <v>1076709767.282</v>
      </c>
      <c r="AH7" t="n">
        <v>939673559.431</v>
      </c>
      <c r="AI7" t="n">
        <v>1073079641.197</v>
      </c>
      <c r="AJ7" t="n">
        <v>874886979.454</v>
      </c>
      <c r="AK7" t="n">
        <v>1020683563.809</v>
      </c>
      <c r="AL7" t="n">
        <v>987667420.6</v>
      </c>
      <c r="AM7" t="n">
        <v>1235617278.1</v>
      </c>
      <c r="AN7" t="n">
        <v>1290133447.785</v>
      </c>
      <c r="AO7" t="n">
        <v>1757072643.974</v>
      </c>
      <c r="AP7" t="n">
        <v>1932579130.153</v>
      </c>
      <c r="AQ7" t="n">
        <v>2012259533.353</v>
      </c>
      <c r="AR7" t="n">
        <v>1975234629.822</v>
      </c>
      <c r="AS7" t="n">
        <v>1938094687.417</v>
      </c>
      <c r="AT7" t="n">
        <v>2074252150.44</v>
      </c>
      <c r="AU7" t="n">
        <v>2653179846.141</v>
      </c>
      <c r="AV7" t="n">
        <v>2607693641.363</v>
      </c>
      <c r="AW7" t="n">
        <v>2755596955.845</v>
      </c>
      <c r="AX7" t="n">
        <v>2158113288.361</v>
      </c>
      <c r="AY7" t="n">
        <v>1724409701.274</v>
      </c>
      <c r="AZ7" t="n">
        <v>1887006794.806</v>
      </c>
      <c r="BA7" t="n">
        <v>1843101814.733</v>
      </c>
      <c r="BB7" t="n">
        <v>2286877249.69</v>
      </c>
      <c r="BC7" t="n">
        <v>1727528554.57</v>
      </c>
      <c r="BD7" t="n">
        <v>2072720821.657</v>
      </c>
      <c r="BE7" t="n">
        <v>2761009485.449</v>
      </c>
      <c r="BF7" t="n">
        <v>2929354136.857</v>
      </c>
      <c r="BG7" t="n">
        <v>2851223816.084</v>
      </c>
      <c r="BH7" t="n">
        <v>2448441677.91</v>
      </c>
      <c r="BI7" t="n">
        <v>2626341274.267</v>
      </c>
      <c r="BJ7" t="n">
        <v>2298167682.481</v>
      </c>
      <c r="BK7" t="n">
        <v>1781343308.092</v>
      </c>
      <c r="BL7" t="n">
        <v>2616254950.352</v>
      </c>
      <c r="BM7" t="n">
        <v>2374418133.846</v>
      </c>
      <c r="BN7" t="n">
        <v>2227842869.975</v>
      </c>
      <c r="BO7" t="n">
        <v>2556976762.787</v>
      </c>
      <c r="BP7" t="n">
        <v>2495052018.626</v>
      </c>
      <c r="BQ7" t="n">
        <v>2198499343.278</v>
      </c>
      <c r="BR7" t="n">
        <v>2048803101.987</v>
      </c>
      <c r="BS7" t="n">
        <v>2190958268.398</v>
      </c>
      <c r="BT7" t="n">
        <v>2239918373.408</v>
      </c>
    </row>
    <row r="8">
      <c r="A8" s="11" t="inlineStr">
        <is>
          <t>simple, aggregated to SAU commercial group</t>
        </is>
      </c>
      <c r="B8" t="inlineStr">
        <is>
          <t>Jensen comparison, not a PPR estimate</t>
        </is>
      </c>
      <c r="C8" t="n">
        <v>252602503.118</v>
      </c>
      <c r="D8" t="n">
        <v>322711838.484</v>
      </c>
      <c r="E8" t="n">
        <v>377501159.101</v>
      </c>
      <c r="F8" t="n">
        <v>331975392.852</v>
      </c>
      <c r="G8" t="n">
        <v>356108685.835</v>
      </c>
      <c r="H8" t="n">
        <v>499493692.505</v>
      </c>
      <c r="I8" t="n">
        <v>501712308.132</v>
      </c>
      <c r="J8" t="n">
        <v>421644156.353</v>
      </c>
      <c r="K8" t="n">
        <v>472023399.976</v>
      </c>
      <c r="L8" t="n">
        <v>594817117.6109999</v>
      </c>
      <c r="M8" t="n">
        <v>755772599.415</v>
      </c>
      <c r="N8" t="n">
        <v>875535225.295</v>
      </c>
      <c r="O8" t="n">
        <v>966910664.8559999</v>
      </c>
      <c r="P8" t="n">
        <v>1125199710.785</v>
      </c>
      <c r="Q8" t="n">
        <v>1293202984.063</v>
      </c>
      <c r="R8" t="n">
        <v>987053866.478</v>
      </c>
      <c r="S8" t="n">
        <v>1144786925.244</v>
      </c>
      <c r="T8" t="n">
        <v>1247119769.192</v>
      </c>
      <c r="U8" t="n">
        <v>1276601734.411</v>
      </c>
      <c r="V8" t="n">
        <v>1112696355.22</v>
      </c>
      <c r="W8" t="n">
        <v>1457575134.041</v>
      </c>
      <c r="X8" t="n">
        <v>1271626060.928</v>
      </c>
      <c r="Y8" t="n">
        <v>959666543.1440001</v>
      </c>
      <c r="Z8" t="n">
        <v>961006897.608</v>
      </c>
      <c r="AA8" t="n">
        <v>972918404.402</v>
      </c>
      <c r="AB8" t="n">
        <v>806668629.0190001</v>
      </c>
      <c r="AC8" t="n">
        <v>871493044.9809999</v>
      </c>
      <c r="AD8" t="n">
        <v>1100076379.779</v>
      </c>
      <c r="AE8" t="n">
        <v>1875015994.439</v>
      </c>
      <c r="AF8" t="n">
        <v>967057890.164</v>
      </c>
      <c r="AG8" t="n">
        <v>1211177589.81</v>
      </c>
      <c r="AH8" t="n">
        <v>1106048214.844</v>
      </c>
      <c r="AI8" t="n">
        <v>1300448491.016</v>
      </c>
      <c r="AJ8" t="n">
        <v>1109946009.215</v>
      </c>
      <c r="AK8" t="n">
        <v>1261570622.206</v>
      </c>
      <c r="AL8" t="n">
        <v>1128478497.719</v>
      </c>
      <c r="AM8" t="n">
        <v>1377156509.856</v>
      </c>
      <c r="AN8" t="n">
        <v>1475544302.607</v>
      </c>
      <c r="AO8" t="n">
        <v>1986517192.154</v>
      </c>
      <c r="AP8" t="n">
        <v>2168520275.168</v>
      </c>
      <c r="AQ8" t="n">
        <v>2306360848.96</v>
      </c>
      <c r="AR8" t="n">
        <v>2116032908.733</v>
      </c>
      <c r="AS8" t="n">
        <v>2092105482.54</v>
      </c>
      <c r="AT8" t="n">
        <v>2147523624.098</v>
      </c>
      <c r="AU8" t="n">
        <v>2692184488.655</v>
      </c>
      <c r="AV8" t="n">
        <v>2632456363.278</v>
      </c>
      <c r="AW8" t="n">
        <v>2793805473.574</v>
      </c>
      <c r="AX8" t="n">
        <v>2230688954.965</v>
      </c>
      <c r="AY8" t="n">
        <v>1738552966.911</v>
      </c>
      <c r="AZ8" t="n">
        <v>1847910641.861</v>
      </c>
      <c r="BA8" t="n">
        <v>1778597316.408</v>
      </c>
      <c r="BB8" t="n">
        <v>2151607512.379</v>
      </c>
      <c r="BC8" t="n">
        <v>1509103946.142</v>
      </c>
      <c r="BD8" t="n">
        <v>1850965116.235</v>
      </c>
      <c r="BE8" t="n">
        <v>2466111993.758</v>
      </c>
      <c r="BF8" t="n">
        <v>2570415720.946</v>
      </c>
      <c r="BG8" t="n">
        <v>2517274440.254</v>
      </c>
      <c r="BH8" t="n">
        <v>2153931494.097</v>
      </c>
      <c r="BI8" t="n">
        <v>2413721259.196</v>
      </c>
      <c r="BJ8" t="n">
        <v>2097000691.956</v>
      </c>
      <c r="BK8" t="n">
        <v>1633874922.426</v>
      </c>
      <c r="BL8" t="n">
        <v>2235889816.502</v>
      </c>
      <c r="BM8" t="n">
        <v>1983992464.509</v>
      </c>
      <c r="BN8" t="n">
        <v>1862843701.746</v>
      </c>
      <c r="BO8" t="n">
        <v>2148888629.629</v>
      </c>
      <c r="BP8" t="n">
        <v>2353457584.995</v>
      </c>
      <c r="BQ8" t="n">
        <v>2068785103.361</v>
      </c>
      <c r="BR8" t="n">
        <v>2018203688.023</v>
      </c>
      <c r="BS8" t="n">
        <v>2073867334.18</v>
      </c>
      <c r="BT8" t="n">
        <v>2058671338.976</v>
      </c>
    </row>
    <row r="9">
      <c r="A9" t="inlineStr">
        <is>
          <t>SPPR_1986</t>
        </is>
      </c>
      <c r="B9" t="inlineStr">
        <is>
          <t>ok</t>
        </is>
      </c>
      <c r="C9" t="n">
        <v>16115692.627</v>
      </c>
      <c r="D9" t="n">
        <v>19928565.26</v>
      </c>
      <c r="E9" t="n">
        <v>21588693.062</v>
      </c>
      <c r="F9" t="n">
        <v>22752478.556</v>
      </c>
      <c r="G9" t="n">
        <v>25654362.342</v>
      </c>
      <c r="H9" t="n">
        <v>31855065.569</v>
      </c>
      <c r="I9" t="n">
        <v>38287088.042</v>
      </c>
      <c r="J9" t="n">
        <v>57941900.425</v>
      </c>
      <c r="K9" t="n">
        <v>105402980.021</v>
      </c>
      <c r="L9" t="n">
        <v>245784429.889</v>
      </c>
      <c r="M9" t="n">
        <v>430721521.571</v>
      </c>
      <c r="N9" t="n">
        <v>654862255.484</v>
      </c>
      <c r="O9" t="n">
        <v>877073267.1720001</v>
      </c>
      <c r="P9" t="n">
        <v>962963269.274</v>
      </c>
      <c r="Q9" t="n">
        <v>1345690219.093</v>
      </c>
      <c r="R9" t="n">
        <v>966848447.112</v>
      </c>
      <c r="S9" t="n">
        <v>1228880654.909</v>
      </c>
      <c r="T9" t="n">
        <v>1386088672.421</v>
      </c>
      <c r="U9" t="n">
        <v>1473066121.583</v>
      </c>
      <c r="V9" t="n">
        <v>1256682006.792</v>
      </c>
      <c r="W9" t="n">
        <v>1786093392.951</v>
      </c>
      <c r="X9" t="n">
        <v>1495419728.193</v>
      </c>
      <c r="Y9" t="n">
        <v>629173834.516</v>
      </c>
      <c r="Z9" t="n">
        <v>320167711.492</v>
      </c>
      <c r="AA9" t="n">
        <v>690072100.6670001</v>
      </c>
      <c r="AB9" t="n">
        <v>569908887.4170001</v>
      </c>
      <c r="AC9" t="n">
        <v>702439976.494</v>
      </c>
      <c r="AD9" t="n">
        <v>543774472.112</v>
      </c>
      <c r="AE9" t="n">
        <v>774180369.9579999</v>
      </c>
      <c r="AF9" t="n">
        <v>680758930.89</v>
      </c>
      <c r="AG9" t="n">
        <v>599777566.5930001</v>
      </c>
      <c r="AH9" t="n">
        <v>680132640.376</v>
      </c>
      <c r="AI9" t="n">
        <v>994090314.369</v>
      </c>
      <c r="AJ9" t="n">
        <v>676371837.173</v>
      </c>
      <c r="AK9" t="n">
        <v>874678399.525</v>
      </c>
      <c r="AL9" t="n">
        <v>997693274.619</v>
      </c>
      <c r="AM9" t="n">
        <v>1272286615.535</v>
      </c>
      <c r="AN9" t="n">
        <v>1097529918.216</v>
      </c>
      <c r="AO9" t="n">
        <v>1296572616.666</v>
      </c>
      <c r="AP9" t="n">
        <v>1491571764.219</v>
      </c>
      <c r="AQ9" t="n">
        <v>1351556027.033</v>
      </c>
      <c r="AR9" t="n">
        <v>1402874869.454</v>
      </c>
      <c r="AS9" t="n">
        <v>1490585949.788</v>
      </c>
      <c r="AT9" t="n">
        <v>1587960118.12</v>
      </c>
      <c r="AU9" t="n">
        <v>2147038930.848</v>
      </c>
      <c r="AV9" t="n">
        <v>1686081315.126</v>
      </c>
      <c r="AW9" t="n">
        <v>1729711547.409</v>
      </c>
      <c r="AX9" t="n">
        <v>1423451573.092</v>
      </c>
      <c r="AY9" t="n">
        <v>751044201.029</v>
      </c>
      <c r="AZ9" t="n">
        <v>1452070507.694</v>
      </c>
      <c r="BA9" t="n">
        <v>1721164879.084</v>
      </c>
      <c r="BB9" t="n">
        <v>1324610927.69</v>
      </c>
      <c r="BC9" t="n">
        <v>1477212297.987</v>
      </c>
      <c r="BD9" t="n">
        <v>1123656266.765</v>
      </c>
      <c r="BE9" t="n">
        <v>1742634722.616</v>
      </c>
      <c r="BF9" t="n">
        <v>1645552883.489</v>
      </c>
      <c r="BG9" t="n">
        <v>1278145617.509</v>
      </c>
      <c r="BH9" t="n">
        <v>1255542243.864</v>
      </c>
      <c r="BI9" t="n">
        <v>1259256101.176</v>
      </c>
      <c r="BJ9" t="n">
        <v>1184348024.219</v>
      </c>
      <c r="BK9" t="n">
        <v>813287889.816</v>
      </c>
      <c r="BL9" t="n">
        <v>1427071020.46</v>
      </c>
      <c r="BM9" t="n">
        <v>886430253.2869999</v>
      </c>
      <c r="BN9" t="n">
        <v>914306664.049</v>
      </c>
      <c r="BO9" t="n">
        <v>707623187.668</v>
      </c>
      <c r="BP9" t="n">
        <v>727184604.66</v>
      </c>
      <c r="BQ9" t="n">
        <v>592442238.426</v>
      </c>
      <c r="BR9" t="n">
        <v>647888709.118</v>
      </c>
      <c r="BS9" t="n">
        <v>974693309.3890001</v>
      </c>
      <c r="BT9" t="n">
        <v>730727428.924</v>
      </c>
    </row>
    <row r="10">
      <c r="A10" t="inlineStr">
        <is>
          <t>SPPR_1995_TE0.1</t>
        </is>
      </c>
      <c r="B10" t="inlineStr">
        <is>
          <t>ok</t>
        </is>
      </c>
      <c r="C10" t="n">
        <v>44301837.474</v>
      </c>
      <c r="D10" t="n">
        <v>58096057.739</v>
      </c>
      <c r="E10" t="n">
        <v>62931928.116</v>
      </c>
      <c r="F10" t="n">
        <v>54523784.706</v>
      </c>
      <c r="G10" t="n">
        <v>65555937.462</v>
      </c>
      <c r="H10" t="n">
        <v>88718291.84199999</v>
      </c>
      <c r="I10" t="n">
        <v>99157639.833</v>
      </c>
      <c r="J10" t="n">
        <v>97873841.86499999</v>
      </c>
      <c r="K10" t="n">
        <v>141888218.038</v>
      </c>
      <c r="L10" t="n">
        <v>265438817.491</v>
      </c>
      <c r="M10" t="n">
        <v>427152189.518</v>
      </c>
      <c r="N10" t="n">
        <v>612260674.758</v>
      </c>
      <c r="O10" t="n">
        <v>784301605.8710001</v>
      </c>
      <c r="P10" t="n">
        <v>890471551.4859999</v>
      </c>
      <c r="Q10" t="n">
        <v>1209730004.309</v>
      </c>
      <c r="R10" t="n">
        <v>848359463.773</v>
      </c>
      <c r="S10" t="n">
        <v>1068277437.309</v>
      </c>
      <c r="T10" t="n">
        <v>1205348029.263</v>
      </c>
      <c r="U10" t="n">
        <v>1252304256.162</v>
      </c>
      <c r="V10" t="n">
        <v>1084215416.697</v>
      </c>
      <c r="W10" t="n">
        <v>1501281154.562</v>
      </c>
      <c r="X10" t="n">
        <v>1307635196.941</v>
      </c>
      <c r="Y10" t="n">
        <v>625572367.853</v>
      </c>
      <c r="Z10" t="n">
        <v>440760876.826</v>
      </c>
      <c r="AA10" t="n">
        <v>762982977.642</v>
      </c>
      <c r="AB10" t="n">
        <v>619416736.9220001</v>
      </c>
      <c r="AC10" t="n">
        <v>753549246.628</v>
      </c>
      <c r="AD10" t="n">
        <v>876307055.573</v>
      </c>
      <c r="AE10" t="n">
        <v>1279643346.537</v>
      </c>
      <c r="AF10" t="n">
        <v>906260106.842</v>
      </c>
      <c r="AG10" t="n">
        <v>846181582.005</v>
      </c>
      <c r="AH10" t="n">
        <v>949316535.544</v>
      </c>
      <c r="AI10" t="n">
        <v>1304874513.125</v>
      </c>
      <c r="AJ10" t="n">
        <v>1041741990.825</v>
      </c>
      <c r="AK10" t="n">
        <v>1301666944.664</v>
      </c>
      <c r="AL10" t="n">
        <v>1334781930.981</v>
      </c>
      <c r="AM10" t="n">
        <v>1485451878.406</v>
      </c>
      <c r="AN10" t="n">
        <v>1430523637.081</v>
      </c>
      <c r="AO10" t="n">
        <v>1733483909.923</v>
      </c>
      <c r="AP10" t="n">
        <v>1952672544.846</v>
      </c>
      <c r="AQ10" t="n">
        <v>1946997896.826</v>
      </c>
      <c r="AR10" t="n">
        <v>1993928050.698</v>
      </c>
      <c r="AS10" t="n">
        <v>1958024373.624</v>
      </c>
      <c r="AT10" t="n">
        <v>2035302769.058</v>
      </c>
      <c r="AU10" t="n">
        <v>2614606162.389</v>
      </c>
      <c r="AV10" t="n">
        <v>2293662424.183</v>
      </c>
      <c r="AW10" t="n">
        <v>2257101096.201</v>
      </c>
      <c r="AX10" t="n">
        <v>1944443666.581</v>
      </c>
      <c r="AY10" t="n">
        <v>1207756074.936</v>
      </c>
      <c r="AZ10" t="n">
        <v>1730117094.929</v>
      </c>
      <c r="BA10" t="n">
        <v>1867409500.997</v>
      </c>
      <c r="BB10" t="n">
        <v>1865600484.478</v>
      </c>
      <c r="BC10" t="n">
        <v>1709368175.179</v>
      </c>
      <c r="BD10" t="n">
        <v>1730565969.137</v>
      </c>
      <c r="BE10" t="n">
        <v>2364406738.609</v>
      </c>
      <c r="BF10" t="n">
        <v>2278756424.633</v>
      </c>
      <c r="BG10" t="n">
        <v>2085360377.601</v>
      </c>
      <c r="BH10" t="n">
        <v>1881016608.373</v>
      </c>
      <c r="BI10" t="n">
        <v>1954740461.127</v>
      </c>
      <c r="BJ10" t="n">
        <v>1742764543.399</v>
      </c>
      <c r="BK10" t="n">
        <v>1321484273.422</v>
      </c>
      <c r="BL10" t="n">
        <v>1940621220.254</v>
      </c>
      <c r="BM10" t="n">
        <v>1572179805.571</v>
      </c>
      <c r="BN10" t="n">
        <v>1506677784.415</v>
      </c>
      <c r="BO10" t="n">
        <v>1564201224.494</v>
      </c>
      <c r="BP10" t="n">
        <v>1490963693.513</v>
      </c>
      <c r="BQ10" t="n">
        <v>1297025257.016</v>
      </c>
      <c r="BR10" t="n">
        <v>1260356379.007</v>
      </c>
      <c r="BS10" t="n">
        <v>1531857338.836</v>
      </c>
      <c r="BT10" t="n">
        <v>1422786880.435</v>
      </c>
    </row>
    <row r="11">
      <c r="A11" t="inlineStr">
        <is>
          <t>SPPR_1995_TEmean</t>
        </is>
      </c>
      <c r="B11" t="inlineStr">
        <is>
          <t>ok</t>
        </is>
      </c>
      <c r="C11" t="n">
        <v>41000780.797</v>
      </c>
      <c r="D11" t="n">
        <v>53742695.34</v>
      </c>
      <c r="E11" t="n">
        <v>58226983.562</v>
      </c>
      <c r="F11" t="n">
        <v>50539524.287</v>
      </c>
      <c r="G11" t="n">
        <v>60737830.889</v>
      </c>
      <c r="H11" t="n">
        <v>82128552.294</v>
      </c>
      <c r="I11" t="n">
        <v>91845699.227</v>
      </c>
      <c r="J11" t="n">
        <v>91158211.169</v>
      </c>
      <c r="K11" t="n">
        <v>132637674.203</v>
      </c>
      <c r="L11" t="n">
        <v>249292866.772</v>
      </c>
      <c r="M11" t="n">
        <v>401986091.188</v>
      </c>
      <c r="N11" t="n">
        <v>577035847.821</v>
      </c>
      <c r="O11" t="n">
        <v>740083379.623</v>
      </c>
      <c r="P11" t="n">
        <v>839824602.494</v>
      </c>
      <c r="Q11" t="n">
        <v>1141826106.089</v>
      </c>
      <c r="R11" t="n">
        <v>800987061.921</v>
      </c>
      <c r="S11" t="n">
        <v>1008894555.931</v>
      </c>
      <c r="T11" t="n">
        <v>1138256497.305</v>
      </c>
      <c r="U11" t="n">
        <v>1183341261.851</v>
      </c>
      <c r="V11" t="n">
        <v>1024116452.198</v>
      </c>
      <c r="W11" t="n">
        <v>1418553676.614</v>
      </c>
      <c r="X11" t="n">
        <v>1234833416.411</v>
      </c>
      <c r="Y11" t="n">
        <v>588807996.053</v>
      </c>
      <c r="Z11" t="n">
        <v>412501161.093</v>
      </c>
      <c r="AA11" t="n">
        <v>717095087.962</v>
      </c>
      <c r="AB11" t="n">
        <v>582473405.6109999</v>
      </c>
      <c r="AC11" t="n">
        <v>708729691.776</v>
      </c>
      <c r="AD11" t="n">
        <v>820019884.5190001</v>
      </c>
      <c r="AE11" t="n">
        <v>1196768078.338</v>
      </c>
      <c r="AF11" t="n">
        <v>850441888.975</v>
      </c>
      <c r="AG11" t="n">
        <v>793241451.692</v>
      </c>
      <c r="AH11" t="n">
        <v>890402429.272</v>
      </c>
      <c r="AI11" t="n">
        <v>1225503261.402</v>
      </c>
      <c r="AJ11" t="n">
        <v>976286852.562</v>
      </c>
      <c r="AK11" t="n">
        <v>1220342256.603</v>
      </c>
      <c r="AL11" t="n">
        <v>1253433675.052</v>
      </c>
      <c r="AM11" t="n">
        <v>1397076782.995</v>
      </c>
      <c r="AN11" t="n">
        <v>1343349923.963</v>
      </c>
      <c r="AO11" t="n">
        <v>1627043718.186</v>
      </c>
      <c r="AP11" t="n">
        <v>1832999465.15</v>
      </c>
      <c r="AQ11" t="n">
        <v>1825175005.064</v>
      </c>
      <c r="AR11" t="n">
        <v>1869405384.712</v>
      </c>
      <c r="AS11" t="n">
        <v>1836926784.715</v>
      </c>
      <c r="AT11" t="n">
        <v>1909237205.666</v>
      </c>
      <c r="AU11" t="n">
        <v>2454787000.945</v>
      </c>
      <c r="AV11" t="n">
        <v>2150277376.472</v>
      </c>
      <c r="AW11" t="n">
        <v>2117522374.192</v>
      </c>
      <c r="AX11" t="n">
        <v>1822826899.31</v>
      </c>
      <c r="AY11" t="n">
        <v>1129183091.554</v>
      </c>
      <c r="AZ11" t="n">
        <v>1624687453.646</v>
      </c>
      <c r="BA11" t="n">
        <v>1755849866.992</v>
      </c>
      <c r="BB11" t="n">
        <v>1746726181.901</v>
      </c>
      <c r="BC11" t="n">
        <v>1604539575.088</v>
      </c>
      <c r="BD11" t="n">
        <v>1617323783.908</v>
      </c>
      <c r="BE11" t="n">
        <v>2213266388.001</v>
      </c>
      <c r="BF11" t="n">
        <v>2131635869.166</v>
      </c>
      <c r="BG11" t="n">
        <v>1946051757.168</v>
      </c>
      <c r="BH11" t="n">
        <v>1757731594.036</v>
      </c>
      <c r="BI11" t="n">
        <v>1824923750.482</v>
      </c>
      <c r="BJ11" t="n">
        <v>1628220641.461</v>
      </c>
      <c r="BK11" t="n">
        <v>1232189330.103</v>
      </c>
      <c r="BL11" t="n">
        <v>1814650750.044</v>
      </c>
      <c r="BM11" t="n">
        <v>1464251369.399</v>
      </c>
      <c r="BN11" t="n">
        <v>1404102991.543</v>
      </c>
      <c r="BO11" t="n">
        <v>1452567675.932</v>
      </c>
      <c r="BP11" t="n">
        <v>1384701218.132</v>
      </c>
      <c r="BQ11" t="n">
        <v>1204334266.947</v>
      </c>
      <c r="BR11" t="n">
        <v>1171585296.655</v>
      </c>
      <c r="BS11" t="n">
        <v>1428621832.484</v>
      </c>
      <c r="BT11" t="n">
        <v>1323106683.875</v>
      </c>
    </row>
    <row r="12">
      <c r="A12" t="inlineStr">
        <is>
          <t>Ulanowicz_globalTEmean</t>
        </is>
      </c>
      <c r="B12" t="inlineStr">
        <is>
          <t>ok</t>
        </is>
      </c>
      <c r="C12" t="n">
        <v>120314478.626</v>
      </c>
      <c r="D12" t="n">
        <v>155721443.79</v>
      </c>
      <c r="E12" t="n">
        <v>170450283.072</v>
      </c>
      <c r="F12" t="n">
        <v>146196145.143</v>
      </c>
      <c r="G12" t="n">
        <v>177621273.314</v>
      </c>
      <c r="H12" t="n">
        <v>235912671.81</v>
      </c>
      <c r="I12" t="n">
        <v>263326649.658</v>
      </c>
      <c r="J12" t="n">
        <v>250902670.669</v>
      </c>
      <c r="K12" t="n">
        <v>349471968.46</v>
      </c>
      <c r="L12" t="n">
        <v>624341539.127</v>
      </c>
      <c r="M12" t="n">
        <v>986640679.418</v>
      </c>
      <c r="N12" t="n">
        <v>1385988874.664</v>
      </c>
      <c r="O12" t="n">
        <v>1757665126.615</v>
      </c>
      <c r="P12" t="n">
        <v>2037375358.809</v>
      </c>
      <c r="Q12" t="n">
        <v>2753900720.601</v>
      </c>
      <c r="R12" t="n">
        <v>1894745495.101</v>
      </c>
      <c r="S12" t="n">
        <v>2383979180.428</v>
      </c>
      <c r="T12" t="n">
        <v>2706804199.65</v>
      </c>
      <c r="U12" t="n">
        <v>2799557424.766</v>
      </c>
      <c r="V12" t="n">
        <v>2422215212.288</v>
      </c>
      <c r="W12" t="n">
        <v>3365173887.037</v>
      </c>
      <c r="X12" t="n">
        <v>2959022866.646</v>
      </c>
      <c r="Y12" t="n">
        <v>1468632345.399</v>
      </c>
      <c r="Z12" t="n">
        <v>1214095869.001</v>
      </c>
      <c r="AA12" t="n">
        <v>1909785709.863</v>
      </c>
      <c r="AB12" t="n">
        <v>1605953682.035</v>
      </c>
      <c r="AC12" t="n">
        <v>1863141487.716</v>
      </c>
      <c r="AD12" t="n">
        <v>2405449796.453</v>
      </c>
      <c r="AE12" t="n">
        <v>3563227001.987</v>
      </c>
      <c r="AF12" t="n">
        <v>2190208527.995</v>
      </c>
      <c r="AG12" t="n">
        <v>2098098834.489</v>
      </c>
      <c r="AH12" t="n">
        <v>2469636146.549</v>
      </c>
      <c r="AI12" t="n">
        <v>3197768662.555</v>
      </c>
      <c r="AJ12" t="n">
        <v>2783674456.458</v>
      </c>
      <c r="AK12" t="n">
        <v>3278033807.222</v>
      </c>
      <c r="AL12" t="n">
        <v>3231415758.729</v>
      </c>
      <c r="AM12" t="n">
        <v>3605392302.775</v>
      </c>
      <c r="AN12" t="n">
        <v>3605432923.502</v>
      </c>
      <c r="AO12" t="n">
        <v>4474796731.818</v>
      </c>
      <c r="AP12" t="n">
        <v>5145581737.5</v>
      </c>
      <c r="AQ12" t="n">
        <v>5220263709.571</v>
      </c>
      <c r="AR12" t="n">
        <v>5215871116.234</v>
      </c>
      <c r="AS12" t="n">
        <v>5044364560.017</v>
      </c>
      <c r="AT12" t="n">
        <v>5324687043.588</v>
      </c>
      <c r="AU12" t="n">
        <v>6788921040.112</v>
      </c>
      <c r="AV12" t="n">
        <v>6379629005.77</v>
      </c>
      <c r="AW12" t="n">
        <v>6273565291.095</v>
      </c>
      <c r="AX12" t="n">
        <v>5456839590.568</v>
      </c>
      <c r="AY12" t="n">
        <v>3419377861.059</v>
      </c>
      <c r="AZ12" t="n">
        <v>4278568250.057</v>
      </c>
      <c r="BA12" t="n">
        <v>4585195838.825</v>
      </c>
      <c r="BB12" t="n">
        <v>5038762303.544</v>
      </c>
      <c r="BC12" t="n">
        <v>4215060642.721</v>
      </c>
      <c r="BD12" t="n">
        <v>4357428574.939</v>
      </c>
      <c r="BE12" t="n">
        <v>5745126933.598</v>
      </c>
      <c r="BF12" t="n">
        <v>5457221554.03</v>
      </c>
      <c r="BG12" t="n">
        <v>5086558030.455</v>
      </c>
      <c r="BH12" t="n">
        <v>4617848938.319</v>
      </c>
      <c r="BI12" t="n">
        <v>4562747767.947</v>
      </c>
      <c r="BJ12" t="n">
        <v>4119089370.663</v>
      </c>
      <c r="BK12" t="n">
        <v>3042761085.529</v>
      </c>
      <c r="BL12" t="n">
        <v>4484832300.286</v>
      </c>
      <c r="BM12" t="n">
        <v>3653849296.97</v>
      </c>
      <c r="BN12" t="n">
        <v>3515041804.327</v>
      </c>
      <c r="BO12" t="n">
        <v>3681519258.532</v>
      </c>
      <c r="BP12" t="n">
        <v>3421585717.197</v>
      </c>
      <c r="BQ12" t="n">
        <v>3101654646.099</v>
      </c>
      <c r="BR12" t="n">
        <v>3040045973.872</v>
      </c>
      <c r="BS12" t="n">
        <v>3593728336.312</v>
      </c>
      <c r="BT12" t="n">
        <v>3399210306.316</v>
      </c>
    </row>
    <row r="13">
      <c r="A13" t="inlineStr">
        <is>
          <t>Ulanowicz_TE</t>
        </is>
      </c>
      <c r="B13" t="inlineStr">
        <is>
          <t>ok</t>
        </is>
      </c>
      <c r="C13" t="n">
        <v>92180451.71699999</v>
      </c>
      <c r="D13" t="n">
        <v>96141363.362</v>
      </c>
      <c r="E13" t="n">
        <v>118220480.137</v>
      </c>
      <c r="F13" t="n">
        <v>104692577.84</v>
      </c>
      <c r="G13" t="n">
        <v>134060923.512</v>
      </c>
      <c r="H13" t="n">
        <v>138121779.591</v>
      </c>
      <c r="I13" t="n">
        <v>149221353.952</v>
      </c>
      <c r="J13" t="n">
        <v>156614644.43</v>
      </c>
      <c r="K13" t="n">
        <v>190420024.32</v>
      </c>
      <c r="L13" t="n">
        <v>267500013.259</v>
      </c>
      <c r="M13" t="n">
        <v>369640309.587</v>
      </c>
      <c r="N13" t="n">
        <v>428802685.956</v>
      </c>
      <c r="O13" t="n">
        <v>541200673.018</v>
      </c>
      <c r="P13" t="n">
        <v>1060130206.721</v>
      </c>
      <c r="Q13" t="n">
        <v>1465269401.633</v>
      </c>
      <c r="R13" t="n">
        <v>540013167.802</v>
      </c>
      <c r="S13" t="n">
        <v>698078804.88</v>
      </c>
      <c r="T13" t="n">
        <v>852030903.1210001</v>
      </c>
      <c r="U13" t="n">
        <v>856036359.427</v>
      </c>
      <c r="V13" t="n">
        <v>711986594.8710001</v>
      </c>
      <c r="W13" t="n">
        <v>1015038608.441</v>
      </c>
      <c r="X13" t="n">
        <v>872619519.597</v>
      </c>
      <c r="Y13" t="n">
        <v>554561779.584</v>
      </c>
      <c r="Z13" t="n">
        <v>1046970968.446</v>
      </c>
      <c r="AA13" t="n">
        <v>1017523495.245</v>
      </c>
      <c r="AB13" t="n">
        <v>906966550.243</v>
      </c>
      <c r="AC13" t="n">
        <v>1007332235.97</v>
      </c>
      <c r="AD13" t="n">
        <v>1785966257.41</v>
      </c>
      <c r="AE13" t="n">
        <v>2624246060.136</v>
      </c>
      <c r="AF13" t="n">
        <v>1337581981.866</v>
      </c>
      <c r="AG13" t="n">
        <v>1327119694.725</v>
      </c>
      <c r="AH13" t="n">
        <v>1523682246.507</v>
      </c>
      <c r="AI13" t="n">
        <v>1640734885.243</v>
      </c>
      <c r="AJ13" t="n">
        <v>1629359073.521</v>
      </c>
      <c r="AK13" t="n">
        <v>2032631331.503</v>
      </c>
      <c r="AL13" t="n">
        <v>1756501541.211</v>
      </c>
      <c r="AM13" t="n">
        <v>1779771574.147</v>
      </c>
      <c r="AN13" t="n">
        <v>1890921265.532</v>
      </c>
      <c r="AO13" t="n">
        <v>2384956773.229</v>
      </c>
      <c r="AP13" t="n">
        <v>2783065431.987</v>
      </c>
      <c r="AQ13" t="n">
        <v>3086963177.369</v>
      </c>
      <c r="AR13" t="n">
        <v>2816610252.207</v>
      </c>
      <c r="AS13" t="n">
        <v>2442820889.103</v>
      </c>
      <c r="AT13" t="n">
        <v>2629834082.596</v>
      </c>
      <c r="AU13" t="n">
        <v>3080268461.018</v>
      </c>
      <c r="AV13" t="n">
        <v>3445792193.644</v>
      </c>
      <c r="AW13" t="n">
        <v>3422632842.091</v>
      </c>
      <c r="AX13" t="n">
        <v>3248828150.416</v>
      </c>
      <c r="AY13" t="n">
        <v>2627839684.38</v>
      </c>
      <c r="AZ13" t="n">
        <v>2530290827.195</v>
      </c>
      <c r="BA13" t="n">
        <v>2000990685.395</v>
      </c>
      <c r="BB13" t="n">
        <v>2997604860.792</v>
      </c>
      <c r="BC13" t="n">
        <v>1687659336.314</v>
      </c>
      <c r="BD13" t="n">
        <v>2487583008.621</v>
      </c>
      <c r="BE13" t="n">
        <v>2787691983.211</v>
      </c>
      <c r="BF13" t="n">
        <v>2387227556.267</v>
      </c>
      <c r="BG13" t="n">
        <v>2513405768.985</v>
      </c>
      <c r="BH13" t="n">
        <v>2253827235.622</v>
      </c>
      <c r="BI13" t="n">
        <v>1917779774.995</v>
      </c>
      <c r="BJ13" t="n">
        <v>1853948561.299</v>
      </c>
      <c r="BK13" t="n">
        <v>1271715094.304</v>
      </c>
      <c r="BL13" t="n">
        <v>1777399598.768</v>
      </c>
      <c r="BM13" t="n">
        <v>1762535157.309</v>
      </c>
      <c r="BN13" t="n">
        <v>1959441873.437</v>
      </c>
      <c r="BO13" t="n">
        <v>2129708305.391</v>
      </c>
      <c r="BP13" t="n">
        <v>1893927658.047</v>
      </c>
      <c r="BQ13" t="n">
        <v>1783322948.385</v>
      </c>
      <c r="BR13" t="n">
        <v>7047325767.699</v>
      </c>
      <c r="BS13" t="n">
        <v>1654770012.288</v>
      </c>
      <c r="BT13" t="n">
        <v>2285755610.819</v>
      </c>
    </row>
    <row r="14">
      <c r="A14" t="inlineStr">
        <is>
          <t>EwE_TE_noEE</t>
        </is>
      </c>
      <c r="B14" t="inlineStr">
        <is>
          <t>ok</t>
        </is>
      </c>
      <c r="C14" t="n">
        <v>93309058.862</v>
      </c>
      <c r="D14" t="n">
        <v>97664087.51899999</v>
      </c>
      <c r="E14" t="n">
        <v>119842238.226</v>
      </c>
      <c r="F14" t="n">
        <v>106005014.43</v>
      </c>
      <c r="G14" t="n">
        <v>135680700.106</v>
      </c>
      <c r="H14" t="n">
        <v>140382394.807</v>
      </c>
      <c r="I14" t="n">
        <v>151712088.78</v>
      </c>
      <c r="J14" t="n">
        <v>158382342.498</v>
      </c>
      <c r="K14" t="n">
        <v>192405253.883</v>
      </c>
      <c r="L14" t="n">
        <v>269869369.795</v>
      </c>
      <c r="M14" t="n">
        <v>372478382.28</v>
      </c>
      <c r="N14" t="n">
        <v>431842298.597</v>
      </c>
      <c r="O14" t="n">
        <v>544005418.391</v>
      </c>
      <c r="P14" t="n">
        <v>1063446574.974</v>
      </c>
      <c r="Q14" t="n">
        <v>1468660421.796</v>
      </c>
      <c r="R14" t="n">
        <v>542558672.169</v>
      </c>
      <c r="S14" t="n">
        <v>700815213.608</v>
      </c>
      <c r="T14" t="n">
        <v>855215875.114</v>
      </c>
      <c r="U14" t="n">
        <v>858546328.1390001</v>
      </c>
      <c r="V14" t="n">
        <v>714550409.931</v>
      </c>
      <c r="W14" t="n">
        <v>1017657267.068</v>
      </c>
      <c r="X14" t="n">
        <v>875445453.266</v>
      </c>
      <c r="Y14" t="n">
        <v>558130528.237</v>
      </c>
      <c r="Z14" t="n">
        <v>1050828484.772</v>
      </c>
      <c r="AA14" t="n">
        <v>1020042282.53</v>
      </c>
      <c r="AB14" t="n">
        <v>908898073.544</v>
      </c>
      <c r="AC14" t="n">
        <v>1009525813.875</v>
      </c>
      <c r="AD14" t="n">
        <v>1788573248.978</v>
      </c>
      <c r="AE14" t="n">
        <v>2629521072.12</v>
      </c>
      <c r="AF14" t="n">
        <v>1339790513.295</v>
      </c>
      <c r="AG14" t="n">
        <v>1330235258.811</v>
      </c>
      <c r="AH14" t="n">
        <v>1525671253.278</v>
      </c>
      <c r="AI14" t="n">
        <v>1642489381.969</v>
      </c>
      <c r="AJ14" t="n">
        <v>1631059945.994</v>
      </c>
      <c r="AK14" t="n">
        <v>2035333709.311</v>
      </c>
      <c r="AL14" t="n">
        <v>1757912011.737</v>
      </c>
      <c r="AM14" t="n">
        <v>1781767262.956</v>
      </c>
      <c r="AN14" t="n">
        <v>1893106985.487</v>
      </c>
      <c r="AO14" t="n">
        <v>2388458571.636</v>
      </c>
      <c r="AP14" t="n">
        <v>2786861485.074</v>
      </c>
      <c r="AQ14" t="n">
        <v>3091509674.939</v>
      </c>
      <c r="AR14" t="n">
        <v>2823123912.132</v>
      </c>
      <c r="AS14" t="n">
        <v>2451459903.001</v>
      </c>
      <c r="AT14" t="n">
        <v>2641024276.958</v>
      </c>
      <c r="AU14" t="n">
        <v>3093192384.616</v>
      </c>
      <c r="AV14" t="n">
        <v>3455297851.406</v>
      </c>
      <c r="AW14" t="n">
        <v>3429167901.279</v>
      </c>
      <c r="AX14" t="n">
        <v>3254921437.893</v>
      </c>
      <c r="AY14" t="n">
        <v>2633965744.72</v>
      </c>
      <c r="AZ14" t="n">
        <v>2536971024.979</v>
      </c>
      <c r="BA14" t="n">
        <v>2011004402.3</v>
      </c>
      <c r="BB14" t="n">
        <v>3010809320.388</v>
      </c>
      <c r="BC14" t="n">
        <v>1702825694.849</v>
      </c>
      <c r="BD14" t="n">
        <v>2508886560.81</v>
      </c>
      <c r="BE14" t="n">
        <v>2816300264.32</v>
      </c>
      <c r="BF14" t="n">
        <v>2420946593.219</v>
      </c>
      <c r="BG14" t="n">
        <v>2549853824.502</v>
      </c>
      <c r="BH14" t="n">
        <v>2282353923.058</v>
      </c>
      <c r="BI14" t="n">
        <v>1954637851.47</v>
      </c>
      <c r="BJ14" t="n">
        <v>1883468077.179</v>
      </c>
      <c r="BK14" t="n">
        <v>1300294662.644</v>
      </c>
      <c r="BL14" t="n">
        <v>1811877790.609</v>
      </c>
      <c r="BM14" t="n">
        <v>1799805077</v>
      </c>
      <c r="BN14" t="n">
        <v>1994828051.249</v>
      </c>
      <c r="BO14" t="n">
        <v>2172670730.103</v>
      </c>
      <c r="BP14" t="n">
        <v>1938554316.8</v>
      </c>
      <c r="BQ14" t="n">
        <v>1818957414.362</v>
      </c>
      <c r="BR14" t="n">
        <v>7080157894.957</v>
      </c>
      <c r="BS14" t="n">
        <v>1688318656.42</v>
      </c>
      <c r="BT14" t="n">
        <v>2322205267.539</v>
      </c>
    </row>
    <row r="15">
      <c r="A15" t="inlineStr">
        <is>
          <t>EwE_TE_EE</t>
        </is>
      </c>
      <c r="B15" t="inlineStr">
        <is>
          <t>ok</t>
        </is>
      </c>
      <c r="C15" t="n">
        <v>55860173.957</v>
      </c>
      <c r="D15" t="n">
        <v>57472838.671</v>
      </c>
      <c r="E15" t="n">
        <v>69825029.09900001</v>
      </c>
      <c r="F15" t="n">
        <v>64782879.757</v>
      </c>
      <c r="G15" t="n">
        <v>82148596.105</v>
      </c>
      <c r="H15" t="n">
        <v>81758986.205</v>
      </c>
      <c r="I15" t="n">
        <v>88613683.42900001</v>
      </c>
      <c r="J15" t="n">
        <v>94345991.33400001</v>
      </c>
      <c r="K15" t="n">
        <v>116644128.967</v>
      </c>
      <c r="L15" t="n">
        <v>175041722.415</v>
      </c>
      <c r="M15" t="n">
        <v>247208314.601</v>
      </c>
      <c r="N15" t="n">
        <v>296515418.734</v>
      </c>
      <c r="O15" t="n">
        <v>382633285.504</v>
      </c>
      <c r="P15" t="n">
        <v>755083591.355</v>
      </c>
      <c r="Q15" t="n">
        <v>1055836318.998</v>
      </c>
      <c r="R15" t="n">
        <v>389236400.099</v>
      </c>
      <c r="S15" t="n">
        <v>499573692.272</v>
      </c>
      <c r="T15" t="n">
        <v>608164870.3660001</v>
      </c>
      <c r="U15" t="n">
        <v>619773179.892</v>
      </c>
      <c r="V15" t="n">
        <v>513403107.292</v>
      </c>
      <c r="W15" t="n">
        <v>712794813.262</v>
      </c>
      <c r="X15" t="n">
        <v>595531249.6160001</v>
      </c>
      <c r="Y15" t="n">
        <v>353243327.653</v>
      </c>
      <c r="Z15" t="n">
        <v>658711301.666</v>
      </c>
      <c r="AA15" t="n">
        <v>607428248.061</v>
      </c>
      <c r="AB15" t="n">
        <v>513852698.942</v>
      </c>
      <c r="AC15" t="n">
        <v>530718225.671</v>
      </c>
      <c r="AD15" t="n">
        <v>717840326.061</v>
      </c>
      <c r="AE15" t="n">
        <v>1164374261.978</v>
      </c>
      <c r="AF15" t="n">
        <v>625949791.188</v>
      </c>
      <c r="AG15" t="n">
        <v>687901939.123</v>
      </c>
      <c r="AH15" t="n">
        <v>657401752.1440001</v>
      </c>
      <c r="AI15" t="n">
        <v>711518144.783</v>
      </c>
      <c r="AJ15" t="n">
        <v>617070767.024</v>
      </c>
      <c r="AK15" t="n">
        <v>818292840.995</v>
      </c>
      <c r="AL15" t="n">
        <v>768753815.396</v>
      </c>
      <c r="AM15" t="n">
        <v>864222857.635</v>
      </c>
      <c r="AN15" t="n">
        <v>813106702.115</v>
      </c>
      <c r="AO15" t="n">
        <v>1034754058.685</v>
      </c>
      <c r="AP15" t="n">
        <v>1182478091.814</v>
      </c>
      <c r="AQ15" t="n">
        <v>1223827438.74</v>
      </c>
      <c r="AR15" t="n">
        <v>1076577745.772</v>
      </c>
      <c r="AS15" t="n">
        <v>995360100.077</v>
      </c>
      <c r="AT15" t="n">
        <v>1139258821.405</v>
      </c>
      <c r="AU15" t="n">
        <v>1359018525.269</v>
      </c>
      <c r="AV15" t="n">
        <v>1402654434.706</v>
      </c>
      <c r="AW15" t="n">
        <v>1436821995.854</v>
      </c>
      <c r="AX15" t="n">
        <v>1253100519.387</v>
      </c>
      <c r="AY15" t="n">
        <v>1050633087.874</v>
      </c>
      <c r="AZ15" t="n">
        <v>1006603795.922</v>
      </c>
      <c r="BA15" t="n">
        <v>1009772152.508</v>
      </c>
      <c r="BB15" t="n">
        <v>1173553399.557</v>
      </c>
      <c r="BC15" t="n">
        <v>849574598.841</v>
      </c>
      <c r="BD15" t="n">
        <v>889898777.006</v>
      </c>
      <c r="BE15" t="n">
        <v>1143593960.237</v>
      </c>
      <c r="BF15" t="n">
        <v>1134236854.497</v>
      </c>
      <c r="BG15" t="n">
        <v>1061954852.683</v>
      </c>
      <c r="BH15" t="n">
        <v>986865174.355</v>
      </c>
      <c r="BI15" t="n">
        <v>969497645.025</v>
      </c>
      <c r="BJ15" t="n">
        <v>924785911.484</v>
      </c>
      <c r="BK15" t="n">
        <v>714417729.526</v>
      </c>
      <c r="BL15" t="n">
        <v>1021538699.298</v>
      </c>
      <c r="BM15" t="n">
        <v>923966473.326</v>
      </c>
      <c r="BN15" t="n">
        <v>1111918715.88</v>
      </c>
      <c r="BO15" t="n">
        <v>1040271420.159</v>
      </c>
      <c r="BP15" t="n">
        <v>1116954517.491</v>
      </c>
      <c r="BQ15" t="n">
        <v>786124409.522</v>
      </c>
      <c r="BR15" t="n">
        <v>3651694039.39</v>
      </c>
      <c r="BS15" t="n">
        <v>932584968.2589999</v>
      </c>
      <c r="BT15" t="n">
        <v>1220246163.358</v>
      </c>
    </row>
    <row r="16">
      <c r="A16" t="inlineStr">
        <is>
          <t>SPPR_2015</t>
        </is>
      </c>
      <c r="B16" t="inlineStr">
        <is>
          <t>ok</t>
        </is>
      </c>
      <c r="C16" t="n">
        <v>147790140.175</v>
      </c>
      <c r="D16" t="n">
        <v>157595818.304</v>
      </c>
      <c r="E16" t="n">
        <v>190081425.975</v>
      </c>
      <c r="F16" t="n">
        <v>166211298.676</v>
      </c>
      <c r="G16" t="n">
        <v>211209961.626</v>
      </c>
      <c r="H16" t="n">
        <v>225245431.467</v>
      </c>
      <c r="I16" t="n">
        <v>243091472.741</v>
      </c>
      <c r="J16" t="n">
        <v>245403456.641</v>
      </c>
      <c r="K16" t="n">
        <v>296505549.824</v>
      </c>
      <c r="L16" t="n">
        <v>408192559.746</v>
      </c>
      <c r="M16" t="n">
        <v>551633752.057</v>
      </c>
      <c r="N16" t="n">
        <v>634612367.914</v>
      </c>
      <c r="O16" t="n">
        <v>789231406.057</v>
      </c>
      <c r="P16" t="n">
        <v>1608205830.443</v>
      </c>
      <c r="Q16" t="n">
        <v>2214602795.668</v>
      </c>
      <c r="R16" t="n">
        <v>776122159.523</v>
      </c>
      <c r="S16" t="n">
        <v>996997826.029</v>
      </c>
      <c r="T16" t="n">
        <v>1211535138.47</v>
      </c>
      <c r="U16" t="n">
        <v>1199783212.07</v>
      </c>
      <c r="V16" t="n">
        <v>1007093678.349</v>
      </c>
      <c r="W16" t="n">
        <v>1418577305.548</v>
      </c>
      <c r="X16" t="n">
        <v>1223996264.331</v>
      </c>
      <c r="Y16" t="n">
        <v>810920846.554</v>
      </c>
      <c r="Z16" t="n">
        <v>1540938448.723</v>
      </c>
      <c r="AA16" t="n">
        <v>1433408916.11</v>
      </c>
      <c r="AB16" t="n">
        <v>1276510046.882</v>
      </c>
      <c r="AC16" t="n">
        <v>1405179202.974</v>
      </c>
      <c r="AD16" t="n">
        <v>2466290368.425</v>
      </c>
      <c r="AE16" t="n">
        <v>3645620710.419</v>
      </c>
      <c r="AF16" t="n">
        <v>1848404442.555</v>
      </c>
      <c r="AG16" t="n">
        <v>1855746720.622</v>
      </c>
      <c r="AH16" t="n">
        <v>2088936985.217</v>
      </c>
      <c r="AI16" t="n">
        <v>2230357264.87</v>
      </c>
      <c r="AJ16" t="n">
        <v>2216285277.576</v>
      </c>
      <c r="AK16" t="n">
        <v>2776805799.581</v>
      </c>
      <c r="AL16" t="n">
        <v>2403405297.507</v>
      </c>
      <c r="AM16" t="n">
        <v>2447508625.52</v>
      </c>
      <c r="AN16" t="n">
        <v>2577203789.068</v>
      </c>
      <c r="AO16" t="n">
        <v>3261048659.549</v>
      </c>
      <c r="AP16" t="n">
        <v>3809421155.405</v>
      </c>
      <c r="AQ16" t="n">
        <v>4236430082.538</v>
      </c>
      <c r="AR16" t="n">
        <v>3879234500.548</v>
      </c>
      <c r="AS16" t="n">
        <v>3402502213.059</v>
      </c>
      <c r="AT16" t="n">
        <v>3712033595.792</v>
      </c>
      <c r="AU16" t="n">
        <v>4326878264.825</v>
      </c>
      <c r="AV16" t="n">
        <v>4782952998.129</v>
      </c>
      <c r="AW16" t="n">
        <v>4713122195.083</v>
      </c>
      <c r="AX16" t="n">
        <v>4472977083.815</v>
      </c>
      <c r="AY16" t="n">
        <v>3710539473.793</v>
      </c>
      <c r="AZ16" t="n">
        <v>3547471671.958</v>
      </c>
      <c r="BA16" t="n">
        <v>2866801960.151</v>
      </c>
      <c r="BB16" t="n">
        <v>4250813818.494</v>
      </c>
      <c r="BC16" t="n">
        <v>2504795112.692</v>
      </c>
      <c r="BD16" t="n">
        <v>3656864798.524</v>
      </c>
      <c r="BE16" t="n">
        <v>4170967995.687</v>
      </c>
      <c r="BF16" t="n">
        <v>3733765526.152</v>
      </c>
      <c r="BG16" t="n">
        <v>3929619410.855</v>
      </c>
      <c r="BH16" t="n">
        <v>3473585546.184</v>
      </c>
      <c r="BI16" t="n">
        <v>3147340640.069</v>
      </c>
      <c r="BJ16" t="n">
        <v>2957340694.06</v>
      </c>
      <c r="BK16" t="n">
        <v>2162790200.945</v>
      </c>
      <c r="BL16" t="n">
        <v>2925624380.192</v>
      </c>
      <c r="BM16" t="n">
        <v>2942011476.433</v>
      </c>
      <c r="BN16" t="n">
        <v>3188376301.023</v>
      </c>
      <c r="BO16" t="n">
        <v>3525404129.157</v>
      </c>
      <c r="BP16" t="n">
        <v>3218074795.911</v>
      </c>
      <c r="BQ16" t="n">
        <v>2952204037.839</v>
      </c>
      <c r="BR16" t="n">
        <v>9891106288.34</v>
      </c>
      <c r="BS16" t="n">
        <v>2728556124.563</v>
      </c>
      <c r="BT16" t="n">
        <v>3629987805.01</v>
      </c>
    </row>
    <row r="17">
      <c r="A17" t="inlineStr">
        <is>
          <t>new_TE_noEEfix</t>
        </is>
      </c>
      <c r="B17" t="inlineStr">
        <is>
          <t>ok</t>
        </is>
      </c>
      <c r="C17" t="n">
        <v>147790140.175</v>
      </c>
      <c r="D17" t="n">
        <v>157595818.304</v>
      </c>
      <c r="E17" t="n">
        <v>190081425.975</v>
      </c>
      <c r="F17" t="n">
        <v>166211298.676</v>
      </c>
      <c r="G17" t="n">
        <v>211209961.626</v>
      </c>
      <c r="H17" t="n">
        <v>225245431.467</v>
      </c>
      <c r="I17" t="n">
        <v>243091472.741</v>
      </c>
      <c r="J17" t="n">
        <v>245403456.641</v>
      </c>
      <c r="K17" t="n">
        <v>296505549.824</v>
      </c>
      <c r="L17" t="n">
        <v>408192559.746</v>
      </c>
      <c r="M17" t="n">
        <v>551633752.057</v>
      </c>
      <c r="N17" t="n">
        <v>634612367.914</v>
      </c>
      <c r="O17" t="n">
        <v>789231406.057</v>
      </c>
      <c r="P17" t="n">
        <v>1608205830.443</v>
      </c>
      <c r="Q17" t="n">
        <v>2214602795.668</v>
      </c>
      <c r="R17" t="n">
        <v>776122159.523</v>
      </c>
      <c r="S17" t="n">
        <v>996997826.029</v>
      </c>
      <c r="T17" t="n">
        <v>1211535138.47</v>
      </c>
      <c r="U17" t="n">
        <v>1199783212.07</v>
      </c>
      <c r="V17" t="n">
        <v>1007093678.349</v>
      </c>
      <c r="W17" t="n">
        <v>1418577305.548</v>
      </c>
      <c r="X17" t="n">
        <v>1223996264.331</v>
      </c>
      <c r="Y17" t="n">
        <v>810920846.554</v>
      </c>
      <c r="Z17" t="n">
        <v>1540938448.723</v>
      </c>
      <c r="AA17" t="n">
        <v>1433408916.11</v>
      </c>
      <c r="AB17" t="n">
        <v>1276510046.882</v>
      </c>
      <c r="AC17" t="n">
        <v>1405179202.974</v>
      </c>
      <c r="AD17" t="n">
        <v>2466290368.425</v>
      </c>
      <c r="AE17" t="n">
        <v>3645620710.419</v>
      </c>
      <c r="AF17" t="n">
        <v>1848404442.555</v>
      </c>
      <c r="AG17" t="n">
        <v>1855746720.622</v>
      </c>
      <c r="AH17" t="n">
        <v>2088936985.217</v>
      </c>
      <c r="AI17" t="n">
        <v>2230357264.87</v>
      </c>
      <c r="AJ17" t="n">
        <v>2216285277.576</v>
      </c>
      <c r="AK17" t="n">
        <v>2776805799.581</v>
      </c>
      <c r="AL17" t="n">
        <v>2403405297.507</v>
      </c>
      <c r="AM17" t="n">
        <v>2447508625.52</v>
      </c>
      <c r="AN17" t="n">
        <v>2577203789.068</v>
      </c>
      <c r="AO17" t="n">
        <v>3261048659.549</v>
      </c>
      <c r="AP17" t="n">
        <v>3809421155.405</v>
      </c>
      <c r="AQ17" t="n">
        <v>4236430082.538</v>
      </c>
      <c r="AR17" t="n">
        <v>3879234500.548</v>
      </c>
      <c r="AS17" t="n">
        <v>3402502213.059</v>
      </c>
      <c r="AT17" t="n">
        <v>3712033595.792</v>
      </c>
      <c r="AU17" t="n">
        <v>4326878264.825</v>
      </c>
      <c r="AV17" t="n">
        <v>4782952998.129</v>
      </c>
      <c r="AW17" t="n">
        <v>4713122195.083</v>
      </c>
      <c r="AX17" t="n">
        <v>4472977083.815</v>
      </c>
      <c r="AY17" t="n">
        <v>3710539473.793</v>
      </c>
      <c r="AZ17" t="n">
        <v>3547471671.958</v>
      </c>
      <c r="BA17" t="n">
        <v>2866801960.151</v>
      </c>
      <c r="BB17" t="n">
        <v>4250813818.494</v>
      </c>
      <c r="BC17" t="n">
        <v>2504795112.692</v>
      </c>
      <c r="BD17" t="n">
        <v>3656864798.524</v>
      </c>
      <c r="BE17" t="n">
        <v>4170967995.687</v>
      </c>
      <c r="BF17" t="n">
        <v>3733765526.152</v>
      </c>
      <c r="BG17" t="n">
        <v>3929619410.855</v>
      </c>
      <c r="BH17" t="n">
        <v>3473585546.184</v>
      </c>
      <c r="BI17" t="n">
        <v>3147340640.069</v>
      </c>
      <c r="BJ17" t="n">
        <v>2957340694.06</v>
      </c>
      <c r="BK17" t="n">
        <v>2162790200.945</v>
      </c>
      <c r="BL17" t="n">
        <v>2925624380.191</v>
      </c>
      <c r="BM17" t="n">
        <v>2942011476.431</v>
      </c>
      <c r="BN17" t="n">
        <v>3188376301.016</v>
      </c>
      <c r="BO17" t="n">
        <v>3525404129.154</v>
      </c>
      <c r="BP17" t="n">
        <v>3218074795.903</v>
      </c>
      <c r="BQ17" t="n">
        <v>2952204037.835</v>
      </c>
      <c r="BR17" t="n">
        <v>9891106288.268</v>
      </c>
      <c r="BS17" t="n">
        <v>2728556124.56</v>
      </c>
      <c r="BT17" t="n">
        <v>3629987805.001</v>
      </c>
    </row>
    <row r="18">
      <c r="A18" s="12" t="inlineStr">
        <is>
          <t>new_TE_EEfix</t>
        </is>
      </c>
      <c r="B18" s="9" t="inlineStr">
        <is>
          <t>FAILED diagnostic for this SPPR_new configuration</t>
        </is>
      </c>
      <c r="C18" t="n">
        <v>147790140.175</v>
      </c>
      <c r="D18" t="n">
        <v>157595818.304</v>
      </c>
      <c r="E18" t="n">
        <v>190081425.975</v>
      </c>
      <c r="F18" t="n">
        <v>166211298.676</v>
      </c>
      <c r="G18" t="n">
        <v>211209961.626</v>
      </c>
      <c r="H18" t="n">
        <v>225245431.467</v>
      </c>
      <c r="I18" t="n">
        <v>243091472.741</v>
      </c>
      <c r="J18" t="n">
        <v>245403456.641</v>
      </c>
      <c r="K18" t="n">
        <v>296505549.824</v>
      </c>
      <c r="L18" t="n">
        <v>408192559.746</v>
      </c>
      <c r="M18" t="n">
        <v>551633752.057</v>
      </c>
      <c r="N18" t="n">
        <v>634612367.914</v>
      </c>
      <c r="O18" t="n">
        <v>789231406.057</v>
      </c>
      <c r="P18" t="n">
        <v>1608205830.443</v>
      </c>
      <c r="Q18" t="n">
        <v>2214602795.668</v>
      </c>
      <c r="R18" t="n">
        <v>776122159.523</v>
      </c>
      <c r="S18" t="n">
        <v>996997826.029</v>
      </c>
      <c r="T18" t="n">
        <v>1211535138.47</v>
      </c>
      <c r="U18" t="n">
        <v>1199783212.07</v>
      </c>
      <c r="V18" t="n">
        <v>1007093678.349</v>
      </c>
      <c r="W18" t="n">
        <v>1418577305.548</v>
      </c>
      <c r="X18" t="n">
        <v>1223996264.331</v>
      </c>
      <c r="Y18" t="n">
        <v>810920846.554</v>
      </c>
      <c r="Z18" t="n">
        <v>1540938448.723</v>
      </c>
      <c r="AA18" t="n">
        <v>1433408916.11</v>
      </c>
      <c r="AB18" t="n">
        <v>1276510046.882</v>
      </c>
      <c r="AC18" t="n">
        <v>1405179202.974</v>
      </c>
      <c r="AD18" t="n">
        <v>2466290368.425</v>
      </c>
      <c r="AE18" t="n">
        <v>3645620710.419</v>
      </c>
      <c r="AF18" t="n">
        <v>1848404442.555</v>
      </c>
      <c r="AG18" t="n">
        <v>1855746720.622</v>
      </c>
      <c r="AH18" t="n">
        <v>2088936985.217</v>
      </c>
      <c r="AI18" t="n">
        <v>2230357264.87</v>
      </c>
      <c r="AJ18" t="n">
        <v>2216285277.576</v>
      </c>
      <c r="AK18" t="n">
        <v>2776805799.581</v>
      </c>
      <c r="AL18" t="n">
        <v>2403405297.507</v>
      </c>
      <c r="AM18" t="n">
        <v>2447508625.52</v>
      </c>
      <c r="AN18" t="n">
        <v>2577203789.068</v>
      </c>
      <c r="AO18" t="n">
        <v>3261048659.549</v>
      </c>
      <c r="AP18" t="n">
        <v>3809421155.405</v>
      </c>
      <c r="AQ18" t="n">
        <v>4236430082.538</v>
      </c>
      <c r="AR18" t="n">
        <v>3879234500.548</v>
      </c>
      <c r="AS18" t="n">
        <v>3402502213.059</v>
      </c>
      <c r="AT18" t="n">
        <v>3712033595.792</v>
      </c>
      <c r="AU18" t="n">
        <v>4326878264.825</v>
      </c>
      <c r="AV18" t="n">
        <v>4782952998.129</v>
      </c>
      <c r="AW18" t="n">
        <v>4713122195.083</v>
      </c>
      <c r="AX18" t="n">
        <v>4472977083.815</v>
      </c>
      <c r="AY18" t="n">
        <v>3710539473.793</v>
      </c>
      <c r="AZ18" t="n">
        <v>3547471671.958</v>
      </c>
      <c r="BA18" t="n">
        <v>2866801960.151</v>
      </c>
      <c r="BB18" t="n">
        <v>4250813818.494</v>
      </c>
      <c r="BC18" t="n">
        <v>2504795112.692</v>
      </c>
      <c r="BD18" t="n">
        <v>3656864798.524</v>
      </c>
      <c r="BE18" t="n">
        <v>4170967995.687</v>
      </c>
      <c r="BF18" t="n">
        <v>3733765526.152</v>
      </c>
      <c r="BG18" t="n">
        <v>3929619410.855</v>
      </c>
      <c r="BH18" t="n">
        <v>3473585546.184</v>
      </c>
      <c r="BI18" t="n">
        <v>3147340640.069</v>
      </c>
      <c r="BJ18" t="n">
        <v>2957340694.06</v>
      </c>
      <c r="BK18" t="n">
        <v>2162790200.945</v>
      </c>
      <c r="BL18" t="n">
        <v>2925624380.191</v>
      </c>
      <c r="BM18" t="n">
        <v>2942011476.431</v>
      </c>
      <c r="BN18" t="n">
        <v>3188376301.016</v>
      </c>
      <c r="BO18" t="n">
        <v>3525404129.154</v>
      </c>
      <c r="BP18" t="n">
        <v>3218074795.903</v>
      </c>
      <c r="BQ18" t="n">
        <v>2952204037.835</v>
      </c>
      <c r="BR18" t="n">
        <v>9891106288.268</v>
      </c>
      <c r="BS18" t="n">
        <v>2728556124.56</v>
      </c>
      <c r="BT18" t="n">
        <v>3629987805.001</v>
      </c>
    </row>
    <row r="19">
      <c r="A19" s="12" t="inlineStr">
        <is>
          <t>new_GE</t>
        </is>
      </c>
      <c r="B19" s="9" t="inlineStr">
        <is>
          <t>FAILED diagnostic for this SPPR_new configuration</t>
        </is>
      </c>
      <c r="C19" t="n">
        <v>-35967653.442</v>
      </c>
      <c r="D19" t="n">
        <v>-44755205.73</v>
      </c>
      <c r="E19" t="n">
        <v>-49401488.436</v>
      </c>
      <c r="F19" t="n">
        <v>-43314344.698</v>
      </c>
      <c r="G19" t="n">
        <v>-51927480.137</v>
      </c>
      <c r="H19" t="n">
        <v>-66408097.278</v>
      </c>
      <c r="I19" t="n">
        <v>-74058172.464</v>
      </c>
      <c r="J19" t="n">
        <v>-74455618.118</v>
      </c>
      <c r="K19" t="n">
        <v>-101856593.12</v>
      </c>
      <c r="L19" t="n">
        <v>-175467627.617</v>
      </c>
      <c r="M19" t="n">
        <v>-274662391.8</v>
      </c>
      <c r="N19" t="n">
        <v>-381987512.807</v>
      </c>
      <c r="O19" t="n">
        <v>-491888950.584</v>
      </c>
      <c r="P19" t="n">
        <v>-645707472.355</v>
      </c>
      <c r="Q19" t="n">
        <v>-883209622.597</v>
      </c>
      <c r="R19" t="n">
        <v>-518137134.52</v>
      </c>
      <c r="S19" t="n">
        <v>-656592860.386</v>
      </c>
      <c r="T19" t="n">
        <v>-745699197.002</v>
      </c>
      <c r="U19" t="n">
        <v>-768663237.826</v>
      </c>
      <c r="V19" t="n">
        <v>-664001128.071</v>
      </c>
      <c r="W19" t="n">
        <v>-945803043.814</v>
      </c>
      <c r="X19" t="n">
        <v>-806488615.505</v>
      </c>
      <c r="Y19" t="n">
        <v>-405862999.8</v>
      </c>
      <c r="Z19" t="n">
        <v>-358218517.764</v>
      </c>
      <c r="AA19" t="n">
        <v>-543950890.252</v>
      </c>
      <c r="AB19" t="n">
        <v>-446439634.258</v>
      </c>
      <c r="AC19" t="n">
        <v>-523614933.528</v>
      </c>
      <c r="AD19" t="n">
        <v>-686281035.03</v>
      </c>
      <c r="AE19" t="n">
        <v>-977215998.557</v>
      </c>
      <c r="AF19" t="n">
        <v>-639510899.666</v>
      </c>
      <c r="AG19" t="n">
        <v>-601083176.66</v>
      </c>
      <c r="AH19" t="n">
        <v>-697719676.502</v>
      </c>
      <c r="AI19" t="n">
        <v>-909642118.821</v>
      </c>
      <c r="AJ19" t="n">
        <v>-783992882.999</v>
      </c>
      <c r="AK19" t="n">
        <v>-950303018.459</v>
      </c>
      <c r="AL19" t="n">
        <v>-939708167.844</v>
      </c>
      <c r="AM19" t="n">
        <v>-1025488114.202</v>
      </c>
      <c r="AN19" t="n">
        <v>-1014870205.266</v>
      </c>
      <c r="AO19" t="n">
        <v>-1233006354.625</v>
      </c>
      <c r="AP19" t="n">
        <v>-1415021341.698</v>
      </c>
      <c r="AQ19" t="n">
        <v>-1440819324.502</v>
      </c>
      <c r="AR19" t="n">
        <v>-1427483940.648</v>
      </c>
      <c r="AS19" t="n">
        <v>-1367087979.181</v>
      </c>
      <c r="AT19" t="n">
        <v>-1416096158.168</v>
      </c>
      <c r="AU19" t="n">
        <v>-1781840878.89</v>
      </c>
      <c r="AV19" t="n">
        <v>-1673843231.834</v>
      </c>
      <c r="AW19" t="n">
        <v>-1648644551.669</v>
      </c>
      <c r="AX19" t="n">
        <v>-1449712571.665</v>
      </c>
      <c r="AY19" t="n">
        <v>-994154445.048</v>
      </c>
      <c r="AZ19" t="n">
        <v>-1216355607.019</v>
      </c>
      <c r="BA19" t="n">
        <v>-1231997876.993</v>
      </c>
      <c r="BB19" t="n">
        <v>-1348949220.169</v>
      </c>
      <c r="BC19" t="n">
        <v>-1104678301.836</v>
      </c>
      <c r="BD19" t="n">
        <v>-1173570739.691</v>
      </c>
      <c r="BE19" t="n">
        <v>-1526707865.11</v>
      </c>
      <c r="BF19" t="n">
        <v>-1433006065.259</v>
      </c>
      <c r="BG19" t="n">
        <v>-1329195491.951</v>
      </c>
      <c r="BH19" t="n">
        <v>-1219672411.3</v>
      </c>
      <c r="BI19" t="n">
        <v>-1187570876.422</v>
      </c>
      <c r="BJ19" t="n">
        <v>-1092093995.795</v>
      </c>
      <c r="BK19" t="n">
        <v>-784826991.678</v>
      </c>
      <c r="BL19" t="n">
        <v>-1168438155.033</v>
      </c>
      <c r="BM19" t="n">
        <v>-938368081.479</v>
      </c>
      <c r="BN19" t="n">
        <v>-897824098.8559999</v>
      </c>
      <c r="BO19" t="n">
        <v>-945272048.018</v>
      </c>
      <c r="BP19" t="n">
        <v>-838149452.885</v>
      </c>
      <c r="BQ19" t="n">
        <v>-781801575.739</v>
      </c>
      <c r="BR19" t="n">
        <v>-761173304.277</v>
      </c>
      <c r="BS19" t="n">
        <v>-903531979.595</v>
      </c>
      <c r="BT19" t="n">
        <v>-865254641.545</v>
      </c>
    </row>
    <row r="20">
      <c r="A20" s="12" t="inlineStr">
        <is>
          <t>new_WithEgestion</t>
        </is>
      </c>
      <c r="B20" s="9" t="inlineStr">
        <is>
          <t>FAILED diagnostic for this SPPR_new configuration</t>
        </is>
      </c>
      <c r="C20" t="n">
        <v>-64870741.284</v>
      </c>
      <c r="D20" t="n">
        <v>-78010187.54099999</v>
      </c>
      <c r="E20" t="n">
        <v>-86696939.07600001</v>
      </c>
      <c r="F20" t="n">
        <v>-78350889.332</v>
      </c>
      <c r="G20" t="n">
        <v>-92697678.20100001</v>
      </c>
      <c r="H20" t="n">
        <v>-114085625.407</v>
      </c>
      <c r="I20" t="n">
        <v>-128022954.592</v>
      </c>
      <c r="J20" t="n">
        <v>-137047226.404</v>
      </c>
      <c r="K20" t="n">
        <v>-188834205.89</v>
      </c>
      <c r="L20" t="n">
        <v>-327592291.926</v>
      </c>
      <c r="M20" t="n">
        <v>-516921606.318</v>
      </c>
      <c r="N20" t="n">
        <v>-722097887.531</v>
      </c>
      <c r="O20" t="n">
        <v>-946905160.707</v>
      </c>
      <c r="P20" t="n">
        <v>-1324090232.95</v>
      </c>
      <c r="Q20" t="n">
        <v>-1830208057.194</v>
      </c>
      <c r="R20" t="n">
        <v>-987820082.406</v>
      </c>
      <c r="S20" t="n">
        <v>-1258455652.192</v>
      </c>
      <c r="T20" t="n">
        <v>-1431739100.778</v>
      </c>
      <c r="U20" t="n">
        <v>-1480841703.824</v>
      </c>
      <c r="V20" t="n">
        <v>-1272739920.521</v>
      </c>
      <c r="W20" t="n">
        <v>-1850708727.104</v>
      </c>
      <c r="X20" t="n">
        <v>-1531258225.503</v>
      </c>
      <c r="Y20" t="n">
        <v>-757442931.7970001</v>
      </c>
      <c r="Z20" t="n">
        <v>-674902763.35</v>
      </c>
      <c r="AA20" t="n">
        <v>-1008249049.193</v>
      </c>
      <c r="AB20" t="n">
        <v>-818439351.08</v>
      </c>
      <c r="AC20" t="n">
        <v>-959510899.454</v>
      </c>
      <c r="AD20" t="n">
        <v>-1166572025.194</v>
      </c>
      <c r="AE20" t="n">
        <v>-1629391125.802</v>
      </c>
      <c r="AF20" t="n">
        <v>-1132964698</v>
      </c>
      <c r="AG20" t="n">
        <v>-1054282977.78</v>
      </c>
      <c r="AH20" t="n">
        <v>-1199900400.925</v>
      </c>
      <c r="AI20" t="n">
        <v>-1574010794.922</v>
      </c>
      <c r="AJ20" t="n">
        <v>-1317495705.382</v>
      </c>
      <c r="AK20" t="n">
        <v>-1628069862.346</v>
      </c>
      <c r="AL20" t="n">
        <v>-1639740071.507</v>
      </c>
      <c r="AM20" t="n">
        <v>-1830363845.181</v>
      </c>
      <c r="AN20" t="n">
        <v>-1754901378.507</v>
      </c>
      <c r="AO20" t="n">
        <v>-2100144700.463</v>
      </c>
      <c r="AP20" t="n">
        <v>-2423125600.669</v>
      </c>
      <c r="AQ20" t="n">
        <v>-2427087964.889</v>
      </c>
      <c r="AR20" t="n">
        <v>-2393532932.831</v>
      </c>
      <c r="AS20" t="n">
        <v>-2329096374.432</v>
      </c>
      <c r="AT20" t="n">
        <v>-2413425641.255</v>
      </c>
      <c r="AU20" t="n">
        <v>-3038345864.792</v>
      </c>
      <c r="AV20" t="n">
        <v>-2788605050.218</v>
      </c>
      <c r="AW20" t="n">
        <v>-2762826915.554</v>
      </c>
      <c r="AX20" t="n">
        <v>-2417328853.509</v>
      </c>
      <c r="AY20" t="n">
        <v>-1734846693.425</v>
      </c>
      <c r="AZ20" t="n">
        <v>-2187553593.733</v>
      </c>
      <c r="BA20" t="n">
        <v>-2208751765.787</v>
      </c>
      <c r="BB20" t="n">
        <v>-2276055430.475</v>
      </c>
      <c r="BC20" t="n">
        <v>-1941305048.148</v>
      </c>
      <c r="BD20" t="n">
        <v>-1969770261.636</v>
      </c>
      <c r="BE20" t="n">
        <v>-2608783657.737</v>
      </c>
      <c r="BF20" t="n">
        <v>-2460738426.553</v>
      </c>
      <c r="BG20" t="n">
        <v>-2211257971.066</v>
      </c>
      <c r="BH20" t="n">
        <v>-2071330412.75</v>
      </c>
      <c r="BI20" t="n">
        <v>-2021042474.447</v>
      </c>
      <c r="BJ20" t="n">
        <v>-1887482089.499</v>
      </c>
      <c r="BK20" t="n">
        <v>-1356147556.44</v>
      </c>
      <c r="BL20" t="n">
        <v>-2039545596.087</v>
      </c>
      <c r="BM20" t="n">
        <v>-1577064497.952</v>
      </c>
      <c r="BN20" t="n">
        <v>-1533484342.754</v>
      </c>
      <c r="BO20" t="n">
        <v>-1555682171.563</v>
      </c>
      <c r="BP20" t="n">
        <v>-1367418482.739</v>
      </c>
      <c r="BQ20" t="n">
        <v>-1277778431.686</v>
      </c>
      <c r="BR20" t="n">
        <v>-1249764823.013</v>
      </c>
      <c r="BS20" t="n">
        <v>-1518652722.257</v>
      </c>
      <c r="BT20" t="n">
        <v>-1435396168.792</v>
      </c>
    </row>
    <row r="21">
      <c r="A21" t="inlineStr">
        <is>
          <t>sym_TE_asPP</t>
        </is>
      </c>
      <c r="B21" t="inlineStr">
        <is>
          <t>ok</t>
        </is>
      </c>
      <c r="C21" t="n">
        <v>147790140.175</v>
      </c>
      <c r="D21" t="n">
        <v>157595818.304</v>
      </c>
      <c r="E21" t="n">
        <v>190081425.975</v>
      </c>
      <c r="F21" t="n">
        <v>166211298.676</v>
      </c>
      <c r="G21" t="n">
        <v>211209961.626</v>
      </c>
      <c r="H21" t="n">
        <v>225245431.467</v>
      </c>
      <c r="I21" t="n">
        <v>243091472.741</v>
      </c>
      <c r="J21" t="n">
        <v>245403456.641</v>
      </c>
      <c r="K21" t="n">
        <v>296505549.824</v>
      </c>
      <c r="L21" t="n">
        <v>408192559.746</v>
      </c>
      <c r="M21" t="n">
        <v>551633752.057</v>
      </c>
      <c r="N21" t="n">
        <v>634612367.914</v>
      </c>
      <c r="O21" t="n">
        <v>789231406.057</v>
      </c>
      <c r="P21" t="n">
        <v>1608205830.443</v>
      </c>
      <c r="Q21" t="n">
        <v>2214602795.668</v>
      </c>
      <c r="R21" t="n">
        <v>776122159.523</v>
      </c>
      <c r="S21" t="n">
        <v>996997826.029</v>
      </c>
      <c r="T21" t="n">
        <v>1211535138.47</v>
      </c>
      <c r="U21" t="n">
        <v>1199783212.07</v>
      </c>
      <c r="V21" t="n">
        <v>1007093678.349</v>
      </c>
      <c r="W21" t="n">
        <v>1418577305.548</v>
      </c>
      <c r="X21" t="n">
        <v>1223996264.331</v>
      </c>
      <c r="Y21" t="n">
        <v>810920846.554</v>
      </c>
      <c r="Z21" t="n">
        <v>1540938448.723</v>
      </c>
      <c r="AA21" t="n">
        <v>1433408916.11</v>
      </c>
      <c r="AB21" t="n">
        <v>1276510046.882</v>
      </c>
      <c r="AC21" t="n">
        <v>1405179202.974</v>
      </c>
      <c r="AD21" t="n">
        <v>2466290368.425</v>
      </c>
      <c r="AE21" t="n">
        <v>3645620710.419</v>
      </c>
      <c r="AF21" t="n">
        <v>1848404442.555</v>
      </c>
      <c r="AG21" t="n">
        <v>1855746720.622</v>
      </c>
      <c r="AH21" t="n">
        <v>2088936985.217</v>
      </c>
      <c r="AI21" t="n">
        <v>2230357264.87</v>
      </c>
      <c r="AJ21" t="n">
        <v>2216285277.576</v>
      </c>
      <c r="AK21" t="n">
        <v>2776805799.581</v>
      </c>
      <c r="AL21" t="n">
        <v>2403405297.507</v>
      </c>
      <c r="AM21" t="n">
        <v>2447508625.52</v>
      </c>
      <c r="AN21" t="n">
        <v>2577203789.068</v>
      </c>
      <c r="AO21" t="n">
        <v>3261048659.549</v>
      </c>
      <c r="AP21" t="n">
        <v>3809421155.405</v>
      </c>
      <c r="AQ21" t="n">
        <v>4236430082.538</v>
      </c>
      <c r="AR21" t="n">
        <v>3879234500.548</v>
      </c>
      <c r="AS21" t="n">
        <v>3402502213.059</v>
      </c>
      <c r="AT21" t="n">
        <v>3712033595.792</v>
      </c>
      <c r="AU21" t="n">
        <v>4326878264.825</v>
      </c>
      <c r="AV21" t="n">
        <v>4782952998.129</v>
      </c>
      <c r="AW21" t="n">
        <v>4713122195.083</v>
      </c>
      <c r="AX21" t="n">
        <v>4472977083.815</v>
      </c>
      <c r="AY21" t="n">
        <v>3710539473.793</v>
      </c>
      <c r="AZ21" t="n">
        <v>3547471671.958</v>
      </c>
      <c r="BA21" t="n">
        <v>2866801960.151</v>
      </c>
      <c r="BB21" t="n">
        <v>4250813818.494</v>
      </c>
      <c r="BC21" t="n">
        <v>2504795112.692</v>
      </c>
      <c r="BD21" t="n">
        <v>3656864798.524</v>
      </c>
      <c r="BE21" t="n">
        <v>4170967995.687</v>
      </c>
      <c r="BF21" t="n">
        <v>3733765526.152</v>
      </c>
      <c r="BG21" t="n">
        <v>3929619410.855</v>
      </c>
      <c r="BH21" t="n">
        <v>3473585546.184</v>
      </c>
      <c r="BI21" t="n">
        <v>3147340640.069</v>
      </c>
      <c r="BJ21" t="n">
        <v>2957340694.06</v>
      </c>
      <c r="BK21" t="n">
        <v>2162790200.945</v>
      </c>
      <c r="BL21" t="n">
        <v>2925624380.191</v>
      </c>
      <c r="BM21" t="n">
        <v>2942011476.431</v>
      </c>
      <c r="BN21" t="n">
        <v>3188376301.016</v>
      </c>
      <c r="BO21" t="n">
        <v>3525404129.154</v>
      </c>
      <c r="BP21" t="n">
        <v>3218074795.903</v>
      </c>
      <c r="BQ21" t="n">
        <v>2952204037.835</v>
      </c>
      <c r="BR21" t="n">
        <v>9891106288.268</v>
      </c>
      <c r="BS21" t="n">
        <v>2728556124.56</v>
      </c>
      <c r="BT21" t="n">
        <v>3629987805.001</v>
      </c>
    </row>
    <row r="22">
      <c r="A22" s="12" t="inlineStr">
        <is>
          <t>sym_TE_asDC</t>
        </is>
      </c>
      <c r="B22" s="9" t="inlineStr">
        <is>
          <t>did not resolve for any mapped group</t>
        </is>
      </c>
    </row>
    <row r="23">
      <c r="A23" s="12" t="inlineStr">
        <is>
          <t>sym_GE_asPP</t>
        </is>
      </c>
      <c r="B23" s="9" t="inlineStr">
        <is>
          <t>DIVERGED - negative SPPR in a source-model group</t>
        </is>
      </c>
      <c r="C23" t="n">
        <v>-35967653.442</v>
      </c>
      <c r="D23" t="n">
        <v>-44755205.73</v>
      </c>
      <c r="E23" t="n">
        <v>-49401488.436</v>
      </c>
      <c r="F23" t="n">
        <v>-43314344.698</v>
      </c>
      <c r="G23" t="n">
        <v>-51927480.137</v>
      </c>
      <c r="H23" t="n">
        <v>-66408097.278</v>
      </c>
      <c r="I23" t="n">
        <v>-74058172.464</v>
      </c>
      <c r="J23" t="n">
        <v>-74455618.118</v>
      </c>
      <c r="K23" t="n">
        <v>-101856593.12</v>
      </c>
      <c r="L23" t="n">
        <v>-175467627.617</v>
      </c>
      <c r="M23" t="n">
        <v>-274662391.8</v>
      </c>
      <c r="N23" t="n">
        <v>-381987512.807</v>
      </c>
      <c r="O23" t="n">
        <v>-491888950.584</v>
      </c>
      <c r="P23" t="n">
        <v>-645707472.355</v>
      </c>
      <c r="Q23" t="n">
        <v>-883209622.597</v>
      </c>
      <c r="R23" t="n">
        <v>-518137134.52</v>
      </c>
      <c r="S23" t="n">
        <v>-656592860.386</v>
      </c>
      <c r="T23" t="n">
        <v>-745699197.002</v>
      </c>
      <c r="U23" t="n">
        <v>-768663237.826</v>
      </c>
      <c r="V23" t="n">
        <v>-664001128.071</v>
      </c>
      <c r="W23" t="n">
        <v>-945803043.814</v>
      </c>
      <c r="X23" t="n">
        <v>-806488615.505</v>
      </c>
      <c r="Y23" t="n">
        <v>-405862999.8</v>
      </c>
      <c r="Z23" t="n">
        <v>-358218517.764</v>
      </c>
      <c r="AA23" t="n">
        <v>-543950890.252</v>
      </c>
      <c r="AB23" t="n">
        <v>-446439634.258</v>
      </c>
      <c r="AC23" t="n">
        <v>-523614933.528</v>
      </c>
      <c r="AD23" t="n">
        <v>-686281035.03</v>
      </c>
      <c r="AE23" t="n">
        <v>-977215998.557</v>
      </c>
      <c r="AF23" t="n">
        <v>-639510899.666</v>
      </c>
      <c r="AG23" t="n">
        <v>-601083176.66</v>
      </c>
      <c r="AH23" t="n">
        <v>-697719676.502</v>
      </c>
      <c r="AI23" t="n">
        <v>-909642118.821</v>
      </c>
      <c r="AJ23" t="n">
        <v>-783992882.999</v>
      </c>
      <c r="AK23" t="n">
        <v>-950303018.459</v>
      </c>
      <c r="AL23" t="n">
        <v>-939708167.844</v>
      </c>
      <c r="AM23" t="n">
        <v>-1025488114.202</v>
      </c>
      <c r="AN23" t="n">
        <v>-1014870205.266</v>
      </c>
      <c r="AO23" t="n">
        <v>-1233006354.625</v>
      </c>
      <c r="AP23" t="n">
        <v>-1415021341.698</v>
      </c>
      <c r="AQ23" t="n">
        <v>-1440819324.502</v>
      </c>
      <c r="AR23" t="n">
        <v>-1427483940.648</v>
      </c>
      <c r="AS23" t="n">
        <v>-1367087979.181</v>
      </c>
      <c r="AT23" t="n">
        <v>-1416096158.168</v>
      </c>
      <c r="AU23" t="n">
        <v>-1781840878.89</v>
      </c>
      <c r="AV23" t="n">
        <v>-1673843231.834</v>
      </c>
      <c r="AW23" t="n">
        <v>-1648644551.669</v>
      </c>
      <c r="AX23" t="n">
        <v>-1449712571.665</v>
      </c>
      <c r="AY23" t="n">
        <v>-994154445.048</v>
      </c>
      <c r="AZ23" t="n">
        <v>-1216355607.019</v>
      </c>
      <c r="BA23" t="n">
        <v>-1231997876.993</v>
      </c>
      <c r="BB23" t="n">
        <v>-1348949220.169</v>
      </c>
      <c r="BC23" t="n">
        <v>-1104678301.836</v>
      </c>
      <c r="BD23" t="n">
        <v>-1173570739.691</v>
      </c>
      <c r="BE23" t="n">
        <v>-1526707865.11</v>
      </c>
      <c r="BF23" t="n">
        <v>-1433006065.259</v>
      </c>
      <c r="BG23" t="n">
        <v>-1329195491.951</v>
      </c>
      <c r="BH23" t="n">
        <v>-1219672411.3</v>
      </c>
      <c r="BI23" t="n">
        <v>-1187570876.422</v>
      </c>
      <c r="BJ23" t="n">
        <v>-1092093995.795</v>
      </c>
      <c r="BK23" t="n">
        <v>-784826991.678</v>
      </c>
      <c r="BL23" t="n">
        <v>-1168438155.033</v>
      </c>
      <c r="BM23" t="n">
        <v>-938368081.479</v>
      </c>
      <c r="BN23" t="n">
        <v>-897824098.8559999</v>
      </c>
      <c r="BO23" t="n">
        <v>-945272048.018</v>
      </c>
      <c r="BP23" t="n">
        <v>-838149452.885</v>
      </c>
      <c r="BQ23" t="n">
        <v>-781801575.739</v>
      </c>
      <c r="BR23" t="n">
        <v>-761173304.277</v>
      </c>
      <c r="BS23" t="n">
        <v>-903531979.595</v>
      </c>
      <c r="BT23" t="n">
        <v>-865254641.545</v>
      </c>
    </row>
    <row r="24">
      <c r="A24" s="12" t="inlineStr">
        <is>
          <t>sym_GE_asDC</t>
        </is>
      </c>
      <c r="B24" s="9" t="inlineStr">
        <is>
          <t>did not resolve for any mapped group</t>
        </is>
      </c>
    </row>
    <row r="25">
      <c r="A25" t="inlineStr">
        <is>
          <t>sym_WithEgestion_asPP</t>
        </is>
      </c>
      <c r="B25" t="inlineStr">
        <is>
          <t>ok</t>
        </is>
      </c>
      <c r="C25" t="n">
        <v>40469954.598</v>
      </c>
      <c r="D25" t="n">
        <v>49545571.398</v>
      </c>
      <c r="E25" t="n">
        <v>54741894.88</v>
      </c>
      <c r="F25" t="n">
        <v>48988398.366</v>
      </c>
      <c r="G25" t="n">
        <v>58205001.698</v>
      </c>
      <c r="H25" t="n">
        <v>73041515.68700001</v>
      </c>
      <c r="I25" t="n">
        <v>81876344.162</v>
      </c>
      <c r="J25" t="n">
        <v>86381037.42900001</v>
      </c>
      <c r="K25" t="n">
        <v>120793821.052</v>
      </c>
      <c r="L25" t="n">
        <v>213589164.436</v>
      </c>
      <c r="M25" t="n">
        <v>339045765.267</v>
      </c>
      <c r="N25" t="n">
        <v>476897708.448</v>
      </c>
      <c r="O25" t="n">
        <v>621952561.419</v>
      </c>
      <c r="P25" t="n">
        <v>827008922.9220001</v>
      </c>
      <c r="Q25" t="n">
        <v>1139257042.464</v>
      </c>
      <c r="R25" t="n">
        <v>655090666.2460001</v>
      </c>
      <c r="S25" t="n">
        <v>832327740.094</v>
      </c>
      <c r="T25" t="n">
        <v>944227975.836</v>
      </c>
      <c r="U25" t="n">
        <v>978107830.7690001</v>
      </c>
      <c r="V25" t="n">
        <v>842062159.198</v>
      </c>
      <c r="W25" t="n">
        <v>1209390439.17</v>
      </c>
      <c r="X25" t="n">
        <v>1013302210.132</v>
      </c>
      <c r="Y25" t="n">
        <v>495946343.835</v>
      </c>
      <c r="Z25" t="n">
        <v>413167851.213</v>
      </c>
      <c r="AA25" t="n">
        <v>639296397.319</v>
      </c>
      <c r="AB25" t="n">
        <v>520435696.393</v>
      </c>
      <c r="AC25" t="n">
        <v>617718191.528</v>
      </c>
      <c r="AD25" t="n">
        <v>741767807.982</v>
      </c>
      <c r="AE25" t="n">
        <v>1041970495.566</v>
      </c>
      <c r="AF25" t="n">
        <v>727401171.168</v>
      </c>
      <c r="AG25" t="n">
        <v>673496360.886</v>
      </c>
      <c r="AH25" t="n">
        <v>769795913.344</v>
      </c>
      <c r="AI25" t="n">
        <v>1019176059.637</v>
      </c>
      <c r="AJ25" t="n">
        <v>843321151.25</v>
      </c>
      <c r="AK25" t="n">
        <v>1045712921.472</v>
      </c>
      <c r="AL25" t="n">
        <v>1055828074.878</v>
      </c>
      <c r="AM25" t="n">
        <v>1181812542.655</v>
      </c>
      <c r="AN25" t="n">
        <v>1132448346.091</v>
      </c>
      <c r="AO25" t="n">
        <v>1358580262.971</v>
      </c>
      <c r="AP25" t="n">
        <v>1562015431.893</v>
      </c>
      <c r="AQ25" t="n">
        <v>1563648190.488</v>
      </c>
      <c r="AR25" t="n">
        <v>1549027448.904</v>
      </c>
      <c r="AS25" t="n">
        <v>1509252251.742</v>
      </c>
      <c r="AT25" t="n">
        <v>1565159836.544</v>
      </c>
      <c r="AU25" t="n">
        <v>1980478712.297</v>
      </c>
      <c r="AV25" t="n">
        <v>1802904652.647</v>
      </c>
      <c r="AW25" t="n">
        <v>1789639369.701</v>
      </c>
      <c r="AX25" t="n">
        <v>1566054684.239</v>
      </c>
      <c r="AY25" t="n">
        <v>1091389618.929</v>
      </c>
      <c r="AZ25" t="n">
        <v>1411976473.883</v>
      </c>
      <c r="BA25" t="n">
        <v>1436922579.95</v>
      </c>
      <c r="BB25" t="n">
        <v>1471057486.58</v>
      </c>
      <c r="BC25" t="n">
        <v>1262930915.482</v>
      </c>
      <c r="BD25" t="n">
        <v>1276548149.047</v>
      </c>
      <c r="BE25" t="n">
        <v>1701317918.468</v>
      </c>
      <c r="BF25" t="n">
        <v>1597483353.92</v>
      </c>
      <c r="BG25" t="n">
        <v>1431511392.828</v>
      </c>
      <c r="BH25" t="n">
        <v>1336116259.824</v>
      </c>
      <c r="BI25" t="n">
        <v>1304041740.396</v>
      </c>
      <c r="BJ25" t="n">
        <v>1216140615.161</v>
      </c>
      <c r="BK25" t="n">
        <v>863645612.112</v>
      </c>
      <c r="BL25" t="n">
        <v>1317373874.011</v>
      </c>
      <c r="BM25" t="n">
        <v>1009118590.981</v>
      </c>
      <c r="BN25" t="n">
        <v>979340707.401</v>
      </c>
      <c r="BO25" t="n">
        <v>987892679.781</v>
      </c>
      <c r="BP25" t="n">
        <v>881748139.664</v>
      </c>
      <c r="BQ25" t="n">
        <v>818349883.976</v>
      </c>
      <c r="BR25" t="n">
        <v>806813303.382</v>
      </c>
      <c r="BS25" t="n">
        <v>986396718.202</v>
      </c>
      <c r="BT25" t="n">
        <v>918033749.795</v>
      </c>
    </row>
    <row r="26">
      <c r="A26" t="inlineStr">
        <is>
          <t>sym_WithEgestion_asDC</t>
        </is>
      </c>
      <c r="B26" t="inlineStr">
        <is>
          <t>ok</t>
        </is>
      </c>
      <c r="C26" t="n">
        <v>44584344.074</v>
      </c>
      <c r="D26" t="n">
        <v>53984731.147</v>
      </c>
      <c r="E26" t="n">
        <v>59804370.133</v>
      </c>
      <c r="F26" t="n">
        <v>53811534.608</v>
      </c>
      <c r="G26" t="n">
        <v>63769601.745</v>
      </c>
      <c r="H26" t="n">
        <v>79057574.147</v>
      </c>
      <c r="I26" t="n">
        <v>88637119.632</v>
      </c>
      <c r="J26" t="n">
        <v>94028919.51800001</v>
      </c>
      <c r="K26" t="n">
        <v>129992452.143</v>
      </c>
      <c r="L26" t="n">
        <v>226087321.527</v>
      </c>
      <c r="M26" t="n">
        <v>356912816.959</v>
      </c>
      <c r="N26" t="n">
        <v>499103349.814</v>
      </c>
      <c r="O26" t="n">
        <v>652851834.474</v>
      </c>
      <c r="P26" t="n">
        <v>899298930.038</v>
      </c>
      <c r="Q26" t="n">
        <v>1241341804.492</v>
      </c>
      <c r="R26" t="n">
        <v>682805161.5930001</v>
      </c>
      <c r="S26" t="n">
        <v>868969569.026</v>
      </c>
      <c r="T26" t="n">
        <v>987653293.886</v>
      </c>
      <c r="U26" t="n">
        <v>1021559087.956</v>
      </c>
      <c r="V26" t="n">
        <v>878725657.561</v>
      </c>
      <c r="W26" t="n">
        <v>1272053531.221</v>
      </c>
      <c r="X26" t="n">
        <v>1056843131.933</v>
      </c>
      <c r="Y26" t="n">
        <v>522097606.723</v>
      </c>
      <c r="Z26" t="n">
        <v>455752542.615</v>
      </c>
      <c r="AA26" t="n">
        <v>685837620.4910001</v>
      </c>
      <c r="AB26" t="n">
        <v>556572530.152</v>
      </c>
      <c r="AC26" t="n">
        <v>655397233.2970001</v>
      </c>
      <c r="AD26" t="n">
        <v>791826361.983</v>
      </c>
      <c r="AE26" t="n">
        <v>1108655528.779</v>
      </c>
      <c r="AF26" t="n">
        <v>771507179.332</v>
      </c>
      <c r="AG26" t="n">
        <v>717004526.973</v>
      </c>
      <c r="AH26" t="n">
        <v>815916392.826</v>
      </c>
      <c r="AI26" t="n">
        <v>1072510948.266</v>
      </c>
      <c r="AJ26" t="n">
        <v>893484709.127</v>
      </c>
      <c r="AK26" t="n">
        <v>1106407671.204</v>
      </c>
      <c r="AL26" t="n">
        <v>1114916683.366</v>
      </c>
      <c r="AM26" t="n">
        <v>1247471805.786</v>
      </c>
      <c r="AN26" t="n">
        <v>1194391666.443</v>
      </c>
      <c r="AO26" t="n">
        <v>1430531001.611</v>
      </c>
      <c r="AP26" t="n">
        <v>1649414595.074</v>
      </c>
      <c r="AQ26" t="n">
        <v>1652145802.794</v>
      </c>
      <c r="AR26" t="n">
        <v>1630082678.35</v>
      </c>
      <c r="AS26" t="n">
        <v>1588067414.325</v>
      </c>
      <c r="AT26" t="n">
        <v>1647509256.315</v>
      </c>
      <c r="AU26" t="n">
        <v>2076841614.034</v>
      </c>
      <c r="AV26" t="n">
        <v>1901382339.571</v>
      </c>
      <c r="AW26" t="n">
        <v>1885298764.048</v>
      </c>
      <c r="AX26" t="n">
        <v>1650495487.509</v>
      </c>
      <c r="AY26" t="n">
        <v>1180548797.928</v>
      </c>
      <c r="AZ26" t="n">
        <v>1495097336.898</v>
      </c>
      <c r="BA26" t="n">
        <v>1512068640.292</v>
      </c>
      <c r="BB26" t="n">
        <v>1554829414.561</v>
      </c>
      <c r="BC26" t="n">
        <v>1327968611.322</v>
      </c>
      <c r="BD26" t="n">
        <v>1345454896.948</v>
      </c>
      <c r="BE26" t="n">
        <v>1786425870.709</v>
      </c>
      <c r="BF26" t="n">
        <v>1682871395.673</v>
      </c>
      <c r="BG26" t="n">
        <v>1511113792.806</v>
      </c>
      <c r="BH26" t="n">
        <v>1412648257.209</v>
      </c>
      <c r="BI26" t="n">
        <v>1378949183.178</v>
      </c>
      <c r="BJ26" t="n">
        <v>1289581822.795</v>
      </c>
      <c r="BK26" t="n">
        <v>921956736.575</v>
      </c>
      <c r="BL26" t="n">
        <v>1393789461.698</v>
      </c>
      <c r="BM26" t="n">
        <v>1072579258.069</v>
      </c>
      <c r="BN26" t="n">
        <v>1042867684.272</v>
      </c>
      <c r="BO26" t="n">
        <v>1055415028.07</v>
      </c>
      <c r="BP26" t="n">
        <v>935617204.543</v>
      </c>
      <c r="BQ26" t="n">
        <v>870859631.567</v>
      </c>
      <c r="BR26" t="n">
        <v>856640307.7309999</v>
      </c>
      <c r="BS26" t="n">
        <v>1040669586.903</v>
      </c>
      <c r="BT26" t="n">
        <v>978595524.612</v>
      </c>
    </row>
    <row r="27">
      <c r="A27" t="inlineStr">
        <is>
          <t>MC_new_GE</t>
        </is>
      </c>
      <c r="B27" t="inlineStr">
        <is>
          <t>ok</t>
        </is>
      </c>
      <c r="C27" t="n">
        <v>776039173.6799999</v>
      </c>
      <c r="D27" t="n">
        <v>970236675.845</v>
      </c>
      <c r="E27" t="n">
        <v>1067380982.312</v>
      </c>
      <c r="F27" t="n">
        <v>932141919.852</v>
      </c>
      <c r="G27" t="n">
        <v>1118911895.096</v>
      </c>
      <c r="H27" t="n">
        <v>1440788967.89</v>
      </c>
      <c r="I27" t="n">
        <v>1604696816.088</v>
      </c>
      <c r="J27" t="n">
        <v>1614288619.441</v>
      </c>
      <c r="K27" t="n">
        <v>2245277464.383</v>
      </c>
      <c r="L27" t="n">
        <v>3932484947.456</v>
      </c>
      <c r="M27" t="n">
        <v>6190303371.338</v>
      </c>
      <c r="N27" t="n">
        <v>8671571777.448999</v>
      </c>
      <c r="O27" t="n">
        <v>11156800029.952</v>
      </c>
      <c r="P27" t="n">
        <v>14257862573.294</v>
      </c>
      <c r="Q27" t="n">
        <v>19493521508.803</v>
      </c>
      <c r="R27" t="n">
        <v>11822023867.741</v>
      </c>
      <c r="S27" t="n">
        <v>14968185009.525</v>
      </c>
      <c r="T27" t="n">
        <v>16954391523.893</v>
      </c>
      <c r="U27" t="n">
        <v>17507980802.926</v>
      </c>
      <c r="V27" t="n">
        <v>15128673931.49</v>
      </c>
      <c r="W27" t="n">
        <v>21436635756.465</v>
      </c>
      <c r="X27" t="n">
        <v>18317580257.61</v>
      </c>
      <c r="Y27" t="n">
        <v>9101317304.561001</v>
      </c>
      <c r="Z27" t="n">
        <v>7586016297.908</v>
      </c>
      <c r="AA27" t="n">
        <v>11873278105.465</v>
      </c>
      <c r="AB27" t="n">
        <v>9657692245.138</v>
      </c>
      <c r="AC27" t="n">
        <v>11426816876.218</v>
      </c>
      <c r="AD27" t="n">
        <v>14482982869.586</v>
      </c>
      <c r="AE27" t="n">
        <v>20598123152.979</v>
      </c>
      <c r="AF27" t="n">
        <v>13663919142.617</v>
      </c>
      <c r="AG27" t="n">
        <v>12740877588.415</v>
      </c>
      <c r="AH27" t="n">
        <v>14832137697.237</v>
      </c>
      <c r="AI27" t="n">
        <v>19459621721.413</v>
      </c>
      <c r="AJ27" t="n">
        <v>16522280336.874</v>
      </c>
      <c r="AK27" t="n">
        <v>20143850168.597</v>
      </c>
      <c r="AL27" t="n">
        <v>20049357331.527</v>
      </c>
      <c r="AM27" t="n">
        <v>22152282622.152</v>
      </c>
      <c r="AN27" t="n">
        <v>21694001480.745</v>
      </c>
      <c r="AO27" t="n">
        <v>26336529149.486</v>
      </c>
      <c r="AP27" t="n">
        <v>30242510485.437</v>
      </c>
      <c r="AQ27" t="n">
        <v>30652797331.196</v>
      </c>
      <c r="AR27" t="n">
        <v>30474837331.973</v>
      </c>
      <c r="AS27" t="n">
        <v>29423064739.909</v>
      </c>
      <c r="AT27" t="n">
        <v>30629463147.455</v>
      </c>
      <c r="AU27" t="n">
        <v>38707046086.461</v>
      </c>
      <c r="AV27" t="n">
        <v>35891499073.838</v>
      </c>
      <c r="AW27" t="n">
        <v>35386833939.124</v>
      </c>
      <c r="AX27" t="n">
        <v>31109223022.625</v>
      </c>
      <c r="AY27" t="n">
        <v>21203843950.752</v>
      </c>
      <c r="AZ27" t="n">
        <v>26557628034.068</v>
      </c>
      <c r="BA27" t="n">
        <v>27114697333.366</v>
      </c>
      <c r="BB27" t="n">
        <v>29105941267.118</v>
      </c>
      <c r="BC27" t="n">
        <v>24283336048.227</v>
      </c>
      <c r="BD27" t="n">
        <v>25463558076.936</v>
      </c>
      <c r="BE27" t="n">
        <v>33489891943.329</v>
      </c>
      <c r="BF27" t="n">
        <v>31446059239.192</v>
      </c>
      <c r="BG27" t="n">
        <v>28985179864.019</v>
      </c>
      <c r="BH27" t="n">
        <v>26529904497.221</v>
      </c>
      <c r="BI27" t="n">
        <v>25932836860.128</v>
      </c>
      <c r="BJ27" t="n">
        <v>23886422972.526</v>
      </c>
      <c r="BK27" t="n">
        <v>17030699123.7</v>
      </c>
      <c r="BL27" t="n">
        <v>25755443808.064</v>
      </c>
      <c r="BM27" t="n">
        <v>20392564244.726</v>
      </c>
      <c r="BN27" t="n">
        <v>19561233994.22</v>
      </c>
      <c r="BO27" t="n">
        <v>20381458997.356</v>
      </c>
      <c r="BP27" t="n">
        <v>18377855735.863</v>
      </c>
      <c r="BQ27" t="n">
        <v>16904333134.796</v>
      </c>
      <c r="BR27" t="n">
        <v>16636448817.875</v>
      </c>
      <c r="BS27" t="n">
        <v>19888093579.319</v>
      </c>
      <c r="BT27" t="n">
        <v>18801146419.026</v>
      </c>
    </row>
    <row r="28">
      <c r="A28" t="inlineStr">
        <is>
          <t>MC_new_TE_EEfix</t>
        </is>
      </c>
      <c r="B28" t="inlineStr">
        <is>
          <t>ok</t>
        </is>
      </c>
      <c r="C28" t="n">
        <v>175257350.424</v>
      </c>
      <c r="D28" t="n">
        <v>187252675.769</v>
      </c>
      <c r="E28" t="n">
        <v>225417080.777</v>
      </c>
      <c r="F28" t="n">
        <v>197115309.475</v>
      </c>
      <c r="G28" t="n">
        <v>250347333.671</v>
      </c>
      <c r="H28" t="n">
        <v>267515558.351</v>
      </c>
      <c r="I28" t="n">
        <v>288711826.444</v>
      </c>
      <c r="J28" t="n">
        <v>289718526.231</v>
      </c>
      <c r="K28" t="n">
        <v>349014272.441</v>
      </c>
      <c r="L28" t="n">
        <v>478289185.408</v>
      </c>
      <c r="M28" t="n">
        <v>643403570.929</v>
      </c>
      <c r="N28" t="n">
        <v>736567437.6</v>
      </c>
      <c r="O28" t="n">
        <v>913562677.09</v>
      </c>
      <c r="P28" t="n">
        <v>1882736252.852</v>
      </c>
      <c r="Q28" t="n">
        <v>2591660348.617</v>
      </c>
      <c r="R28" t="n">
        <v>895790026.921</v>
      </c>
      <c r="S28" t="n">
        <v>1149903661.934</v>
      </c>
      <c r="T28" t="n">
        <v>1398422210.08</v>
      </c>
      <c r="U28" t="n">
        <v>1381925485.829</v>
      </c>
      <c r="V28" t="n">
        <v>1159980889.416</v>
      </c>
      <c r="W28" t="n">
        <v>1631039188.232</v>
      </c>
      <c r="X28" t="n">
        <v>1406299293.156</v>
      </c>
      <c r="Y28" t="n">
        <v>942251697.355</v>
      </c>
      <c r="Z28" t="n">
        <v>1801493696.232</v>
      </c>
      <c r="AA28" t="n">
        <v>1658897579.607</v>
      </c>
      <c r="AB28" t="n">
        <v>1477926170.316</v>
      </c>
      <c r="AC28" t="n">
        <v>1618695527.595</v>
      </c>
      <c r="AD28" t="n">
        <v>2837090068.364</v>
      </c>
      <c r="AE28" t="n">
        <v>4198119975.586</v>
      </c>
      <c r="AF28" t="n">
        <v>2126108234.64</v>
      </c>
      <c r="AG28" t="n">
        <v>2141797440.55</v>
      </c>
      <c r="AH28" t="n">
        <v>2403065631.206</v>
      </c>
      <c r="AI28" t="n">
        <v>2560906902.849</v>
      </c>
      <c r="AJ28" t="n">
        <v>2547387931.584</v>
      </c>
      <c r="AK28" t="n">
        <v>3193264583.199</v>
      </c>
      <c r="AL28" t="n">
        <v>2762804619.69</v>
      </c>
      <c r="AM28" t="n">
        <v>2816511491.704</v>
      </c>
      <c r="AN28" t="n">
        <v>2961692221.068</v>
      </c>
      <c r="AO28" t="n">
        <v>3750612850.019</v>
      </c>
      <c r="AP28" t="n">
        <v>4380298472.653</v>
      </c>
      <c r="AQ28" t="n">
        <v>4866983538.452</v>
      </c>
      <c r="AR28" t="n">
        <v>4456591027.248</v>
      </c>
      <c r="AS28" t="n">
        <v>3918853993.891</v>
      </c>
      <c r="AT28" t="n">
        <v>4284990119.967</v>
      </c>
      <c r="AU28" t="n">
        <v>4987346226.621</v>
      </c>
      <c r="AV28" t="n">
        <v>5506980908.055</v>
      </c>
      <c r="AW28" t="n">
        <v>5417987489.022</v>
      </c>
      <c r="AX28" t="n">
        <v>5136301608.635</v>
      </c>
      <c r="AY28" t="n">
        <v>4283279211.756</v>
      </c>
      <c r="AZ28" t="n">
        <v>4075968256.784</v>
      </c>
      <c r="BA28" t="n">
        <v>3312556074.463</v>
      </c>
      <c r="BB28" t="n">
        <v>4902557765.757</v>
      </c>
      <c r="BC28" t="n">
        <v>2912286657.509</v>
      </c>
      <c r="BD28" t="n">
        <v>4235602958.971</v>
      </c>
      <c r="BE28" t="n">
        <v>4842943090.132</v>
      </c>
      <c r="BF28" t="n">
        <v>4371559146.123</v>
      </c>
      <c r="BG28" t="n">
        <v>4599858834.029</v>
      </c>
      <c r="BH28" t="n">
        <v>4059101553.58</v>
      </c>
      <c r="BI28" t="n">
        <v>3712828090.437</v>
      </c>
      <c r="BJ28" t="n">
        <v>3474492757.154</v>
      </c>
      <c r="BK28" t="n">
        <v>2568039199.744</v>
      </c>
      <c r="BL28" t="n">
        <v>3456891344.67</v>
      </c>
      <c r="BM28" t="n">
        <v>3484707462.088</v>
      </c>
      <c r="BN28" t="n">
        <v>3768436337.441</v>
      </c>
      <c r="BO28" t="n">
        <v>4168431594.264</v>
      </c>
      <c r="BP28" t="n">
        <v>3827970711.734</v>
      </c>
      <c r="BQ28" t="n">
        <v>3488343688.215</v>
      </c>
      <c r="BR28" t="n">
        <v>11464957570.799</v>
      </c>
      <c r="BS28" t="n">
        <v>3226023425.892</v>
      </c>
      <c r="BT28" t="n">
        <v>4277620408.949</v>
      </c>
    </row>
    <row r="30">
      <c r="A30" t="inlineStr">
        <is>
          <t>Catch tonnage on a named group: 665,696,783 of 677,999,683 (98.2 %). Unresolved taxa contribute nothing to the model rows and everything to the simple row, so the two are not directly comparable until coverage is 100 %.</t>
        </is>
      </c>
    </row>
    <row r="31">
      <c r="A31" s="12" t="inlineStr">
        <is>
          <t>6 of 20 methods are flagged above. A flagged row is a property of this model under that method, not of the mapping; see model_health in the SPPR workbook.</t>
        </is>
      </c>
    </row>
    <row r="32">
      <c r="A32" t="inlineStr">
        <is>
          <t>Coverage by year, %:</t>
        </is>
      </c>
    </row>
    <row r="33">
      <c r="A33" t="inlineStr">
        <is>
          <t>catch on a named group, %</t>
        </is>
      </c>
      <c r="B33" t="inlineStr"/>
      <c r="C33" t="n">
        <v>75.43000000000001</v>
      </c>
      <c r="D33" t="n">
        <v>76.05</v>
      </c>
      <c r="E33" t="n">
        <v>71.64</v>
      </c>
      <c r="F33" t="n">
        <v>73.04000000000001</v>
      </c>
      <c r="G33" t="n">
        <v>76.53</v>
      </c>
      <c r="H33" t="n">
        <v>72.8</v>
      </c>
      <c r="I33" t="n">
        <v>78.78</v>
      </c>
      <c r="J33" t="n">
        <v>85.31999999999999</v>
      </c>
      <c r="K33" t="n">
        <v>91.64</v>
      </c>
      <c r="L33" t="n">
        <v>96.43000000000001</v>
      </c>
      <c r="M33" t="n">
        <v>97.8</v>
      </c>
      <c r="N33" t="n">
        <v>98.67</v>
      </c>
      <c r="O33" t="n">
        <v>98.86</v>
      </c>
      <c r="P33" t="n">
        <v>98.75</v>
      </c>
      <c r="Q33" t="n">
        <v>99.25</v>
      </c>
      <c r="R33" t="n">
        <v>98.70999999999999</v>
      </c>
      <c r="S33" t="n">
        <v>99.05</v>
      </c>
      <c r="T33" t="n">
        <v>99.3</v>
      </c>
      <c r="U33" t="n">
        <v>98.98999999999999</v>
      </c>
      <c r="V33" t="n">
        <v>99.2</v>
      </c>
      <c r="W33" t="n">
        <v>99.20999999999999</v>
      </c>
      <c r="X33" t="n">
        <v>99.37</v>
      </c>
      <c r="Y33" t="n">
        <v>98.17</v>
      </c>
      <c r="Z33" t="n">
        <v>96.62</v>
      </c>
      <c r="AA33" t="n">
        <v>99.05</v>
      </c>
      <c r="AB33" t="n">
        <v>98.48</v>
      </c>
      <c r="AC33" t="n">
        <v>98.84</v>
      </c>
      <c r="AD33" t="n">
        <v>97.95999999999999</v>
      </c>
      <c r="AE33" t="n">
        <v>98.42</v>
      </c>
      <c r="AF33" t="n">
        <v>99.12</v>
      </c>
      <c r="AG33" t="n">
        <v>97.84999999999999</v>
      </c>
      <c r="AH33" t="n">
        <v>97.7</v>
      </c>
      <c r="AI33" t="n">
        <v>98.2</v>
      </c>
      <c r="AJ33" t="n">
        <v>97.72</v>
      </c>
      <c r="AK33" t="n">
        <v>98.34</v>
      </c>
      <c r="AL33" t="n">
        <v>99.08</v>
      </c>
      <c r="AM33" t="n">
        <v>98.45</v>
      </c>
      <c r="AN33" t="n">
        <v>97.48999999999999</v>
      </c>
      <c r="AO33" t="n">
        <v>96.78</v>
      </c>
      <c r="AP33" t="n">
        <v>97.13</v>
      </c>
      <c r="AQ33" t="n">
        <v>97.36</v>
      </c>
      <c r="AR33" t="n">
        <v>97.59</v>
      </c>
      <c r="AS33" t="n">
        <v>97.37</v>
      </c>
      <c r="AT33" t="n">
        <v>98.54000000000001</v>
      </c>
      <c r="AU33" t="n">
        <v>98.83</v>
      </c>
      <c r="AV33" t="n">
        <v>97.75</v>
      </c>
      <c r="AW33" t="n">
        <v>96.94</v>
      </c>
      <c r="AX33" t="n">
        <v>98.36</v>
      </c>
      <c r="AY33" t="n">
        <v>93.91</v>
      </c>
      <c r="AZ33" t="n">
        <v>96.94</v>
      </c>
      <c r="BA33" t="n">
        <v>98.76000000000001</v>
      </c>
      <c r="BB33" t="n">
        <v>97.33</v>
      </c>
      <c r="BC33" t="n">
        <v>99.48999999999999</v>
      </c>
      <c r="BD33" t="n">
        <v>97.73</v>
      </c>
      <c r="BE33" t="n">
        <v>98.70999999999999</v>
      </c>
      <c r="BF33" t="n">
        <v>98.66</v>
      </c>
      <c r="BG33" t="n">
        <v>98.45999999999999</v>
      </c>
      <c r="BH33" t="n">
        <v>98.53</v>
      </c>
      <c r="BI33" t="n">
        <v>98.51000000000001</v>
      </c>
      <c r="BJ33" t="n">
        <v>98.31</v>
      </c>
      <c r="BK33" t="n">
        <v>97.63</v>
      </c>
      <c r="BL33" t="n">
        <v>98.8</v>
      </c>
      <c r="BM33" t="n">
        <v>98.33</v>
      </c>
      <c r="BN33" t="n">
        <v>98.81999999999999</v>
      </c>
      <c r="BO33" t="n">
        <v>97.76000000000001</v>
      </c>
      <c r="BP33" t="n">
        <v>98.56999999999999</v>
      </c>
      <c r="BQ33" t="n">
        <v>98.38</v>
      </c>
      <c r="BR33" t="n">
        <v>98.77</v>
      </c>
      <c r="BS33" t="n">
        <v>99.14</v>
      </c>
      <c r="BT33" t="n">
        <v>98.54000000000001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22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40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</cols>
  <sheetData>
    <row r="1">
      <c r="A1" s="1" t="inlineStr">
        <is>
          <t>Specific PPR per taxon — LME_013, model 13_2_Northern_Humboldt_Current_(1995-1998)</t>
        </is>
      </c>
    </row>
    <row r="2">
      <c r="A2" t="inlineStr">
        <is>
          <t>sppr_simple is the trophic-chain estimate (1/TE)^(TL-1) at TE=0.1, applied to the taxon's own trophic level and needing no model.</t>
        </is>
      </c>
    </row>
    <row r="3">
      <c r="A3" t="inlineStr">
        <is>
          <t>Internal sources: primary producers and detritus; excludes imports. Blank means unavailable, not zero. sppr_simple is an unpartitioned reference.</t>
        </is>
      </c>
    </row>
    <row r="4" ht="42" customHeight="1">
      <c r="A4" s="13" t="inlineStr">
        <is>
          <t>taxon</t>
        </is>
      </c>
      <c r="B4" s="13" t="inlineStr">
        <is>
          <t>trophic_level</t>
        </is>
      </c>
      <c r="C4" s="13" t="inlineStr">
        <is>
          <t>sppr_simple</t>
        </is>
      </c>
      <c r="D4" s="13" t="inlineStr">
        <is>
          <t>Ecopath group</t>
        </is>
      </c>
      <c r="E4" s="13" t="inlineStr">
        <is>
          <t>SPPR_1986</t>
        </is>
      </c>
      <c r="F4" s="13" t="inlineStr">
        <is>
          <t>SPPR_1995_TE0.1</t>
        </is>
      </c>
      <c r="G4" s="13" t="inlineStr">
        <is>
          <t>SPPR_1995_TEmean</t>
        </is>
      </c>
      <c r="H4" s="13" t="inlineStr">
        <is>
          <t>Ulanowicz_globalTEmean</t>
        </is>
      </c>
      <c r="I4" s="13" t="inlineStr">
        <is>
          <t>Ulanowicz_TE</t>
        </is>
      </c>
      <c r="J4" s="13" t="inlineStr">
        <is>
          <t>EwE_TE_noEE</t>
        </is>
      </c>
      <c r="K4" s="13" t="inlineStr">
        <is>
          <t>EwE_TE_EE</t>
        </is>
      </c>
      <c r="L4" s="13" t="inlineStr">
        <is>
          <t>SPPR_2015</t>
        </is>
      </c>
      <c r="M4" s="13" t="inlineStr">
        <is>
          <t>new_TE_noEEfix</t>
        </is>
      </c>
      <c r="N4" s="13" t="inlineStr">
        <is>
          <t>new_TE_EEfix</t>
        </is>
      </c>
      <c r="O4" s="13" t="inlineStr">
        <is>
          <t>new_GE</t>
        </is>
      </c>
      <c r="P4" s="13" t="inlineStr">
        <is>
          <t>new_WithEgestion</t>
        </is>
      </c>
      <c r="Q4" s="13" t="inlineStr">
        <is>
          <t>sym_TE_asPP</t>
        </is>
      </c>
      <c r="R4" s="13" t="inlineStr">
        <is>
          <t>sym_TE_asDC</t>
        </is>
      </c>
      <c r="S4" s="13" t="inlineStr">
        <is>
          <t>sym_GE_asPP</t>
        </is>
      </c>
      <c r="T4" s="13" t="inlineStr">
        <is>
          <t>sym_GE_asDC</t>
        </is>
      </c>
      <c r="U4" s="13" t="inlineStr">
        <is>
          <t>sym_WithEgestion_asPP</t>
        </is>
      </c>
      <c r="V4" s="13" t="inlineStr">
        <is>
          <t>sym_WithEgestion_asDC</t>
        </is>
      </c>
      <c r="W4" s="13" t="inlineStr">
        <is>
          <t>MC_new_GE</t>
        </is>
      </c>
      <c r="X4" s="13" t="inlineStr">
        <is>
          <t>MC_new_TE_EEfix</t>
        </is>
      </c>
    </row>
    <row r="5" ht="21" customHeight="1">
      <c r="A5" t="inlineStr">
        <is>
          <t>Engraulis ringens</t>
        </is>
      </c>
      <c r="B5" t="n">
        <v>2.7</v>
      </c>
      <c r="C5" t="n">
        <v>50.118723</v>
      </c>
      <c r="D5" s="10" t="inlineStr">
        <is>
          <t>Anchovy</t>
        </is>
      </c>
      <c r="E5" t="n">
        <v>100.341534</v>
      </c>
      <c r="F5" t="n">
        <v>79.859919</v>
      </c>
      <c r="G5" t="n">
        <v>75.605829</v>
      </c>
      <c r="H5" t="n">
        <v>172.399554</v>
      </c>
      <c r="I5" t="n">
        <v>32.654082</v>
      </c>
      <c r="J5" t="n">
        <v>32.654082</v>
      </c>
      <c r="K5" t="n">
        <v>26.608094</v>
      </c>
      <c r="L5" t="n">
        <v>43.673175</v>
      </c>
      <c r="M5" t="n">
        <v>43.673175</v>
      </c>
      <c r="N5" t="n">
        <v>43.673175</v>
      </c>
      <c r="O5" t="n">
        <v>-46.608493</v>
      </c>
      <c r="P5" t="n">
        <v>-90.268379</v>
      </c>
      <c r="Q5" t="n">
        <v>43.673175</v>
      </c>
      <c r="S5" t="n">
        <v>-46.608493</v>
      </c>
      <c r="U5" t="n">
        <v>60.488948</v>
      </c>
      <c r="V5" t="n">
        <v>62.511821</v>
      </c>
      <c r="W5" t="n">
        <v>1076.569236</v>
      </c>
      <c r="X5" t="n">
        <v>49.223524</v>
      </c>
    </row>
    <row r="6" ht="21" customHeight="1">
      <c r="A6" t="inlineStr">
        <is>
          <t>Sardinops sagax</t>
        </is>
      </c>
      <c r="B6" t="n">
        <v>2.84</v>
      </c>
      <c r="C6" t="n">
        <v>69.183097</v>
      </c>
      <c r="D6" s="10" t="inlineStr">
        <is>
          <t>Sardine</t>
        </is>
      </c>
      <c r="E6" t="n">
        <v>100.341534</v>
      </c>
      <c r="F6" t="n">
        <v>110.734289</v>
      </c>
      <c r="G6" t="n">
        <v>104.408181</v>
      </c>
      <c r="H6" t="n">
        <v>186.968209</v>
      </c>
      <c r="I6" t="n">
        <v>36.031758</v>
      </c>
      <c r="J6" t="n">
        <v>36.031758</v>
      </c>
      <c r="K6" t="n">
        <v>34.950931</v>
      </c>
      <c r="L6" t="n">
        <v>48.153928</v>
      </c>
      <c r="M6" t="n">
        <v>48.153928</v>
      </c>
      <c r="N6" t="n">
        <v>48.153928</v>
      </c>
      <c r="O6" t="n">
        <v>-60.849913</v>
      </c>
      <c r="P6" t="n">
        <v>-115.044593</v>
      </c>
      <c r="Q6" t="n">
        <v>48.153928</v>
      </c>
      <c r="S6" t="n">
        <v>-60.849913</v>
      </c>
      <c r="U6" t="n">
        <v>76.49407100000001</v>
      </c>
      <c r="V6" t="n">
        <v>79.06417399999999</v>
      </c>
      <c r="W6" t="n">
        <v>1336.899397</v>
      </c>
      <c r="X6" t="n">
        <v>54.375213</v>
      </c>
    </row>
    <row r="7" ht="21" customHeight="1">
      <c r="A7" t="inlineStr">
        <is>
          <t>Trachurus murphyi</t>
        </is>
      </c>
      <c r="B7" t="n">
        <v>3.33</v>
      </c>
      <c r="C7" t="n">
        <v>213.796209</v>
      </c>
      <c r="D7" s="10" t="inlineStr">
        <is>
          <t>Horse mackerel</t>
        </is>
      </c>
      <c r="E7" t="n">
        <v>100.341534</v>
      </c>
      <c r="F7" t="n">
        <v>256.972815</v>
      </c>
      <c r="G7" t="n">
        <v>239.756609</v>
      </c>
      <c r="H7" t="n">
        <v>916.665262</v>
      </c>
      <c r="I7" t="n">
        <v>602.751578</v>
      </c>
      <c r="J7" t="n">
        <v>602.751578</v>
      </c>
      <c r="K7" t="n">
        <v>141.958294</v>
      </c>
      <c r="L7" t="n">
        <v>798.034002</v>
      </c>
      <c r="M7" t="n">
        <v>798.034002</v>
      </c>
      <c r="N7" t="n">
        <v>798.034002</v>
      </c>
      <c r="O7" t="n">
        <v>-225.356396</v>
      </c>
      <c r="P7" t="n">
        <v>-321.155658</v>
      </c>
      <c r="Q7" t="n">
        <v>798.034002</v>
      </c>
      <c r="S7" t="n">
        <v>-225.356396</v>
      </c>
      <c r="U7" t="n">
        <v>207.748685</v>
      </c>
      <c r="V7" t="n">
        <v>214.845625</v>
      </c>
      <c r="W7" t="n">
        <v>4639.36752</v>
      </c>
      <c r="X7" t="n">
        <v>912.496948</v>
      </c>
    </row>
    <row r="8" ht="21" customHeight="1">
      <c r="A8" t="inlineStr">
        <is>
          <t>Clupeidae</t>
        </is>
      </c>
      <c r="B8" t="n">
        <v>3.16</v>
      </c>
      <c r="C8" t="n">
        <v>144.543977</v>
      </c>
      <c r="D8" s="10" t="inlineStr">
        <is>
          <t>Sardine | Other small pelagic fish</t>
        </is>
      </c>
      <c r="E8" t="n">
        <v>100.341534</v>
      </c>
      <c r="F8" t="n">
        <v>108.828466</v>
      </c>
      <c r="G8" t="n">
        <v>102.626952</v>
      </c>
      <c r="H8" t="n">
        <v>184.948173</v>
      </c>
      <c r="I8" t="n">
        <v>36.053367</v>
      </c>
      <c r="J8" t="n">
        <v>36.053367</v>
      </c>
      <c r="K8" t="n">
        <v>34.882694</v>
      </c>
      <c r="L8" t="n">
        <v>48.107713</v>
      </c>
      <c r="M8" t="n">
        <v>48.107713</v>
      </c>
      <c r="N8" t="n">
        <v>48.107713</v>
      </c>
      <c r="O8" t="n">
        <v>-60.164894</v>
      </c>
      <c r="P8" t="n">
        <v>-113.733341</v>
      </c>
      <c r="Q8" t="n">
        <v>48.107713</v>
      </c>
      <c r="S8" t="n">
        <v>-60.164894</v>
      </c>
      <c r="U8" t="n">
        <v>75.808466</v>
      </c>
      <c r="V8" t="n">
        <v>78.351776</v>
      </c>
      <c r="W8" t="n">
        <v>1333.591087</v>
      </c>
      <c r="X8" t="n">
        <v>54.294221</v>
      </c>
    </row>
    <row r="9" ht="21" customHeight="1">
      <c r="A9" t="inlineStr">
        <is>
          <t>Dosidicus gigas</t>
        </is>
      </c>
      <c r="B9" t="n">
        <v>4.14</v>
      </c>
      <c r="C9" t="n">
        <v>1380.384265</v>
      </c>
      <c r="D9" s="10" t="inlineStr">
        <is>
          <t>Jumbo squid</t>
        </is>
      </c>
      <c r="E9" t="n">
        <v>100.341534</v>
      </c>
      <c r="F9" t="n">
        <v>702.789811</v>
      </c>
      <c r="G9" t="n">
        <v>647.512865</v>
      </c>
      <c r="H9" t="n">
        <v>1317.65487</v>
      </c>
      <c r="I9" t="n">
        <v>236.421925</v>
      </c>
      <c r="J9" t="n">
        <v>271.375979</v>
      </c>
      <c r="K9" t="n">
        <v>217.094931</v>
      </c>
      <c r="L9" t="n">
        <v>830.0757149999999</v>
      </c>
      <c r="M9" t="n">
        <v>830.0757149999999</v>
      </c>
      <c r="N9" t="n">
        <v>830.0757149999999</v>
      </c>
      <c r="O9" t="n">
        <v>-274.33794</v>
      </c>
      <c r="P9" t="n">
        <v>-364.709502</v>
      </c>
      <c r="Q9" t="n">
        <v>830.0757149999999</v>
      </c>
      <c r="S9" t="n">
        <v>-274.33794</v>
      </c>
      <c r="U9" t="n">
        <v>230.55184</v>
      </c>
      <c r="V9" t="n">
        <v>238.539281</v>
      </c>
      <c r="W9" t="n">
        <v>5890.540992</v>
      </c>
      <c r="X9" t="n">
        <v>1052.784036</v>
      </c>
    </row>
    <row r="10" ht="21" customHeight="1">
      <c r="A10" t="inlineStr">
        <is>
          <t>Scomber japonicus</t>
        </is>
      </c>
      <c r="B10" t="n">
        <v>3.38</v>
      </c>
      <c r="C10" t="n">
        <v>239.883292</v>
      </c>
      <c r="D10" s="10" t="inlineStr">
        <is>
          <t>Chub mackerel</t>
        </is>
      </c>
      <c r="E10" t="n">
        <v>100.341534</v>
      </c>
      <c r="F10" t="n">
        <v>367.102367</v>
      </c>
      <c r="G10" t="n">
        <v>340.984619</v>
      </c>
      <c r="H10" t="n">
        <v>1025.940037</v>
      </c>
      <c r="I10" t="n">
        <v>1459.778971</v>
      </c>
      <c r="J10" t="n">
        <v>1459.778971</v>
      </c>
      <c r="K10" t="n">
        <v>226.451791</v>
      </c>
      <c r="L10" t="n">
        <v>1947.662643</v>
      </c>
      <c r="M10" t="n">
        <v>1947.662643</v>
      </c>
      <c r="N10" t="n">
        <v>1947.662643</v>
      </c>
      <c r="O10" t="n">
        <v>-337.785337</v>
      </c>
      <c r="P10" t="n">
        <v>-532.496542</v>
      </c>
      <c r="Q10" t="n">
        <v>1947.662643</v>
      </c>
      <c r="S10" t="n">
        <v>-337.785337</v>
      </c>
      <c r="U10" t="n">
        <v>353.888115</v>
      </c>
      <c r="V10" t="n">
        <v>365.781788</v>
      </c>
      <c r="W10" t="n">
        <v>7302.413973</v>
      </c>
      <c r="X10" t="n">
        <v>2202.672862</v>
      </c>
    </row>
    <row r="11" ht="36" customHeight="1">
      <c r="A11" t="inlineStr">
        <is>
          <t>Marine fishes not identified</t>
        </is>
      </c>
      <c r="B11" t="n">
        <v>3.28</v>
      </c>
      <c r="C11" t="n">
        <v>190.546072</v>
      </c>
      <c r="D11" s="10" t="inlineStr">
        <is>
          <t>Small demersal fish | Medium demersal fish | Medium sciaenids</t>
        </is>
      </c>
      <c r="E11" t="n">
        <v>100.341534</v>
      </c>
      <c r="F11" t="n">
        <v>138.326515</v>
      </c>
      <c r="G11" t="n">
        <v>129.842543</v>
      </c>
      <c r="H11" t="n">
        <v>375.637884</v>
      </c>
      <c r="I11" t="n">
        <v>891.778171</v>
      </c>
      <c r="J11" t="n">
        <v>892.361268</v>
      </c>
      <c r="K11" t="n">
        <v>638.384396</v>
      </c>
      <c r="L11" t="n">
        <v>1402.227086</v>
      </c>
      <c r="M11" t="n">
        <v>1402.227086</v>
      </c>
      <c r="N11" t="n">
        <v>1402.227086</v>
      </c>
      <c r="O11" t="n">
        <v>-252.739042</v>
      </c>
      <c r="P11" t="n">
        <v>-627.209376</v>
      </c>
      <c r="Q11" t="n">
        <v>1402.227086</v>
      </c>
      <c r="S11" t="n">
        <v>-252.739042</v>
      </c>
      <c r="U11" t="n">
        <v>327.999372</v>
      </c>
      <c r="V11" t="n">
        <v>340.816723</v>
      </c>
      <c r="W11" t="n">
        <v>4864.146819</v>
      </c>
      <c r="X11" t="n">
        <v>1661.269592</v>
      </c>
    </row>
    <row r="12" ht="36" customHeight="1">
      <c r="A12" t="inlineStr">
        <is>
          <t>Merluccius peruanus</t>
        </is>
      </c>
      <c r="B12" t="n">
        <v>4.4</v>
      </c>
      <c r="C12" t="n">
        <v>2511.886432</v>
      </c>
      <c r="D12" s="10" t="inlineStr">
        <is>
          <t>Large hake | Medium hake | Small hake</t>
        </is>
      </c>
      <c r="E12" t="n">
        <v>100.341534</v>
      </c>
      <c r="F12" t="n">
        <v>524.223832</v>
      </c>
      <c r="G12" t="n">
        <v>484.181454</v>
      </c>
      <c r="H12" t="n">
        <v>1947.082235</v>
      </c>
      <c r="I12" t="n">
        <v>1690.682109</v>
      </c>
      <c r="J12" t="n">
        <v>1701.804723</v>
      </c>
      <c r="K12" t="n">
        <v>1363.685973</v>
      </c>
      <c r="L12" t="n">
        <v>2519.762848</v>
      </c>
      <c r="M12" t="n">
        <v>2519.762848</v>
      </c>
      <c r="N12" t="n">
        <v>2519.762848</v>
      </c>
      <c r="O12" t="n">
        <v>-392.304173</v>
      </c>
      <c r="P12" t="n">
        <v>-544.908068</v>
      </c>
      <c r="Q12" t="n">
        <v>2519.762848</v>
      </c>
      <c r="S12" t="n">
        <v>-392.304173</v>
      </c>
      <c r="U12" t="n">
        <v>334.001945</v>
      </c>
      <c r="V12" t="n">
        <v>345.795445</v>
      </c>
      <c r="W12" t="n">
        <v>7604.389612</v>
      </c>
      <c r="X12" t="n">
        <v>2954.189509</v>
      </c>
    </row>
    <row r="13" ht="21" customHeight="1">
      <c r="A13" t="inlineStr">
        <is>
          <t>Merluccius gayi</t>
        </is>
      </c>
      <c r="B13" t="n">
        <v>4.26</v>
      </c>
      <c r="C13" t="n">
        <v>1819.700859</v>
      </c>
      <c r="D13" s="10" t="inlineStr">
        <is>
          <t>Unresolved</t>
        </is>
      </c>
    </row>
    <row r="14" ht="21" customHeight="1">
      <c r="A14" t="inlineStr">
        <is>
          <t>Macruronus magellanicus</t>
        </is>
      </c>
      <c r="B14" t="n">
        <v>3.93</v>
      </c>
      <c r="C14" t="n">
        <v>851.1380380000001</v>
      </c>
      <c r="D14" s="10" t="inlineStr">
        <is>
          <t>Unresolved</t>
        </is>
      </c>
    </row>
    <row r="15" ht="21" customHeight="1">
      <c r="A15" t="inlineStr">
        <is>
          <t>Sarda chiliensis</t>
        </is>
      </c>
      <c r="B15" t="n">
        <v>4.49</v>
      </c>
      <c r="C15" t="n">
        <v>3090.295433</v>
      </c>
      <c r="D15" s="10" t="inlineStr">
        <is>
          <t>Other large pelagic fish</t>
        </is>
      </c>
      <c r="E15" t="n">
        <v>100.341534</v>
      </c>
      <c r="F15" t="n">
        <v>721.5611730000001</v>
      </c>
      <c r="G15" t="n">
        <v>664.588831</v>
      </c>
      <c r="H15" t="n">
        <v>1922.667229</v>
      </c>
      <c r="I15" t="n">
        <v>706.388691</v>
      </c>
      <c r="J15" t="n">
        <v>729.176823</v>
      </c>
      <c r="K15" t="n">
        <v>389.360329</v>
      </c>
      <c r="L15" t="n">
        <v>1277.756768</v>
      </c>
      <c r="M15" t="n">
        <v>1277.756768</v>
      </c>
      <c r="N15" t="n">
        <v>1277.756768</v>
      </c>
      <c r="O15" t="n">
        <v>-480.629183</v>
      </c>
      <c r="P15" t="n">
        <v>-710.36627</v>
      </c>
      <c r="Q15" t="n">
        <v>1277.756768</v>
      </c>
      <c r="S15" t="n">
        <v>-480.629183</v>
      </c>
      <c r="U15" t="n">
        <v>482.977051</v>
      </c>
      <c r="V15" t="n">
        <v>498.989546</v>
      </c>
      <c r="W15" t="n">
        <v>10482.764702</v>
      </c>
      <c r="X15" t="n">
        <v>1534.363238</v>
      </c>
    </row>
    <row r="16" ht="21" customHeight="1">
      <c r="A16" t="inlineStr">
        <is>
          <t>Normanichthys crockeri</t>
        </is>
      </c>
      <c r="B16" t="n">
        <v>2.75</v>
      </c>
      <c r="C16" t="n">
        <v>56.234133</v>
      </c>
      <c r="D16" s="10" t="inlineStr">
        <is>
          <t>Other small pelagic fish</t>
        </is>
      </c>
      <c r="E16" t="n">
        <v>100.341534</v>
      </c>
      <c r="F16" t="n">
        <v>55.911353</v>
      </c>
      <c r="G16" t="n">
        <v>53.169346</v>
      </c>
      <c r="H16" t="n">
        <v>128.859826</v>
      </c>
      <c r="I16" t="n">
        <v>36.653357</v>
      </c>
      <c r="J16" t="n">
        <v>36.653357</v>
      </c>
      <c r="K16" t="n">
        <v>32.988021</v>
      </c>
      <c r="L16" t="n">
        <v>46.824515</v>
      </c>
      <c r="M16" t="n">
        <v>46.824515</v>
      </c>
      <c r="N16" t="n">
        <v>46.824515</v>
      </c>
      <c r="O16" t="n">
        <v>-41.144634</v>
      </c>
      <c r="P16" t="n">
        <v>-77.325115</v>
      </c>
      <c r="Q16" t="n">
        <v>46.824515</v>
      </c>
      <c r="S16" t="n">
        <v>-41.144634</v>
      </c>
      <c r="U16" t="n">
        <v>56.771937</v>
      </c>
      <c r="V16" t="n">
        <v>58.571306</v>
      </c>
      <c r="W16" t="n">
        <v>1241.732501</v>
      </c>
      <c r="X16" t="n">
        <v>52.045388</v>
      </c>
    </row>
    <row r="17" ht="21" customHeight="1">
      <c r="A17" t="inlineStr">
        <is>
          <t>Loxechinus albus</t>
        </is>
      </c>
      <c r="B17" t="n">
        <v>2</v>
      </c>
      <c r="C17" t="n">
        <v>10</v>
      </c>
      <c r="D17" s="10" t="inlineStr">
        <is>
          <t>Macrobenthos</t>
        </is>
      </c>
      <c r="E17" t="n">
        <v>100.341534</v>
      </c>
      <c r="F17" t="n">
        <v>10</v>
      </c>
      <c r="G17" t="n">
        <v>9.716343999999999</v>
      </c>
      <c r="H17" t="n">
        <v>7.967402</v>
      </c>
      <c r="I17" t="n">
        <v>8.646561</v>
      </c>
      <c r="J17" t="n">
        <v>8.646561</v>
      </c>
      <c r="K17" t="n">
        <v>6.833334</v>
      </c>
      <c r="L17" t="n">
        <v>0</v>
      </c>
      <c r="M17" t="n">
        <v>0</v>
      </c>
      <c r="N17" t="n">
        <v>0</v>
      </c>
      <c r="O17" t="n">
        <v>-52.690508</v>
      </c>
      <c r="P17" t="n">
        <v>-186.125074</v>
      </c>
      <c r="Q17" t="n">
        <v>-0</v>
      </c>
      <c r="S17" t="n">
        <v>-52.690508</v>
      </c>
      <c r="U17" t="n">
        <v>90.228787</v>
      </c>
      <c r="V17" t="n">
        <v>93.937016</v>
      </c>
      <c r="W17" t="n">
        <v>928.129669</v>
      </c>
      <c r="X17" t="n">
        <v>0</v>
      </c>
    </row>
    <row r="18" ht="21" customHeight="1">
      <c r="A18" t="inlineStr">
        <is>
          <t>Merluccius australis</t>
        </is>
      </c>
      <c r="B18" t="n">
        <v>4.45</v>
      </c>
      <c r="C18" t="n">
        <v>2818.382931</v>
      </c>
      <c r="D18" s="10" t="inlineStr">
        <is>
          <t>Unresolved</t>
        </is>
      </c>
    </row>
    <row r="19" ht="21" customHeight="1">
      <c r="A19" t="inlineStr">
        <is>
          <t>Ethmidium maculatum</t>
        </is>
      </c>
      <c r="B19" t="n">
        <v>2.07</v>
      </c>
      <c r="C19" t="n">
        <v>11.748976</v>
      </c>
      <c r="D19" s="10" t="inlineStr">
        <is>
          <t>Other small pelagic fish</t>
        </is>
      </c>
      <c r="E19" t="n">
        <v>100.341534</v>
      </c>
      <c r="F19" t="n">
        <v>55.911353</v>
      </c>
      <c r="G19" t="n">
        <v>53.169346</v>
      </c>
      <c r="H19" t="n">
        <v>128.859826</v>
      </c>
      <c r="I19" t="n">
        <v>36.653357</v>
      </c>
      <c r="J19" t="n">
        <v>36.653357</v>
      </c>
      <c r="K19" t="n">
        <v>32.988021</v>
      </c>
      <c r="L19" t="n">
        <v>46.824515</v>
      </c>
      <c r="M19" t="n">
        <v>46.824515</v>
      </c>
      <c r="N19" t="n">
        <v>46.824515</v>
      </c>
      <c r="O19" t="n">
        <v>-41.144634</v>
      </c>
      <c r="P19" t="n">
        <v>-77.325115</v>
      </c>
      <c r="Q19" t="n">
        <v>46.824515</v>
      </c>
      <c r="S19" t="n">
        <v>-41.144634</v>
      </c>
      <c r="U19" t="n">
        <v>56.771937</v>
      </c>
      <c r="V19" t="n">
        <v>58.571306</v>
      </c>
      <c r="W19" t="n">
        <v>1241.732501</v>
      </c>
      <c r="X19" t="n">
        <v>52.045388</v>
      </c>
    </row>
    <row r="20" ht="21" customHeight="1">
      <c r="A20" t="inlineStr">
        <is>
          <t>Aulacomya atra</t>
        </is>
      </c>
      <c r="B20" t="n">
        <v>2</v>
      </c>
      <c r="C20" t="n">
        <v>10</v>
      </c>
      <c r="D20" s="10" t="inlineStr">
        <is>
          <t>Macrobenthos</t>
        </is>
      </c>
      <c r="E20" t="n">
        <v>100.341534</v>
      </c>
      <c r="F20" t="n">
        <v>10</v>
      </c>
      <c r="G20" t="n">
        <v>9.716343999999999</v>
      </c>
      <c r="H20" t="n">
        <v>7.967402</v>
      </c>
      <c r="I20" t="n">
        <v>8.646561</v>
      </c>
      <c r="J20" t="n">
        <v>8.646561</v>
      </c>
      <c r="K20" t="n">
        <v>6.833334</v>
      </c>
      <c r="L20" t="n">
        <v>0</v>
      </c>
      <c r="M20" t="n">
        <v>0</v>
      </c>
      <c r="N20" t="n">
        <v>0</v>
      </c>
      <c r="O20" t="n">
        <v>-52.690508</v>
      </c>
      <c r="P20" t="n">
        <v>-186.125074</v>
      </c>
      <c r="Q20" t="n">
        <v>-0</v>
      </c>
      <c r="S20" t="n">
        <v>-52.690508</v>
      </c>
      <c r="U20" t="n">
        <v>90.228787</v>
      </c>
      <c r="V20" t="n">
        <v>93.937016</v>
      </c>
      <c r="W20" t="n">
        <v>928.129669</v>
      </c>
      <c r="X20" t="n">
        <v>0</v>
      </c>
    </row>
    <row r="21" ht="21" customHeight="1">
      <c r="A21" t="inlineStr">
        <is>
          <t>Anchoa nasus</t>
        </is>
      </c>
      <c r="B21" t="n">
        <v>3.4</v>
      </c>
      <c r="C21" t="n">
        <v>251.188643</v>
      </c>
      <c r="D21" s="10" t="inlineStr">
        <is>
          <t>Other small pelagic fish</t>
        </is>
      </c>
      <c r="E21" t="n">
        <v>100.341534</v>
      </c>
      <c r="F21" t="n">
        <v>55.911353</v>
      </c>
      <c r="G21" t="n">
        <v>53.169346</v>
      </c>
      <c r="H21" t="n">
        <v>128.859826</v>
      </c>
      <c r="I21" t="n">
        <v>36.653357</v>
      </c>
      <c r="J21" t="n">
        <v>36.653357</v>
      </c>
      <c r="K21" t="n">
        <v>32.988021</v>
      </c>
      <c r="L21" t="n">
        <v>46.824515</v>
      </c>
      <c r="M21" t="n">
        <v>46.824515</v>
      </c>
      <c r="N21" t="n">
        <v>46.824515</v>
      </c>
      <c r="O21" t="n">
        <v>-41.144634</v>
      </c>
      <c r="P21" t="n">
        <v>-77.325115</v>
      </c>
      <c r="Q21" t="n">
        <v>46.824515</v>
      </c>
      <c r="S21" t="n">
        <v>-41.144634</v>
      </c>
      <c r="U21" t="n">
        <v>56.771937</v>
      </c>
      <c r="V21" t="n">
        <v>58.571306</v>
      </c>
      <c r="W21" t="n">
        <v>1241.732501</v>
      </c>
      <c r="X21" t="n">
        <v>52.045388</v>
      </c>
    </row>
    <row r="22" ht="21" customHeight="1">
      <c r="A22" t="inlineStr">
        <is>
          <t>Strangomera bentincki</t>
        </is>
      </c>
      <c r="B22" t="n">
        <v>2</v>
      </c>
      <c r="C22" t="n">
        <v>10</v>
      </c>
      <c r="D22" s="10" t="inlineStr">
        <is>
          <t>Other small pelagic fish</t>
        </is>
      </c>
      <c r="E22" t="n">
        <v>100.341534</v>
      </c>
      <c r="F22" t="n">
        <v>55.911353</v>
      </c>
      <c r="G22" t="n">
        <v>53.169346</v>
      </c>
      <c r="H22" t="n">
        <v>128.859826</v>
      </c>
      <c r="I22" t="n">
        <v>36.653357</v>
      </c>
      <c r="J22" t="n">
        <v>36.653357</v>
      </c>
      <c r="K22" t="n">
        <v>32.988021</v>
      </c>
      <c r="L22" t="n">
        <v>46.824515</v>
      </c>
      <c r="M22" t="n">
        <v>46.824515</v>
      </c>
      <c r="N22" t="n">
        <v>46.824515</v>
      </c>
      <c r="O22" t="n">
        <v>-41.144634</v>
      </c>
      <c r="P22" t="n">
        <v>-77.325115</v>
      </c>
      <c r="Q22" t="n">
        <v>46.824515</v>
      </c>
      <c r="S22" t="n">
        <v>-41.144634</v>
      </c>
      <c r="U22" t="n">
        <v>56.771937</v>
      </c>
      <c r="V22" t="n">
        <v>58.571306</v>
      </c>
      <c r="W22" t="n">
        <v>1241.732501</v>
      </c>
      <c r="X22" t="n">
        <v>52.045388</v>
      </c>
    </row>
    <row r="23" ht="21" customHeight="1">
      <c r="A23" t="inlineStr">
        <is>
          <t>Coryphaena hippurus</t>
        </is>
      </c>
      <c r="B23" t="n">
        <v>4.37</v>
      </c>
      <c r="C23" t="n">
        <v>2344.228815</v>
      </c>
      <c r="D23" s="10" t="inlineStr">
        <is>
          <t>Other large pelagic fish</t>
        </is>
      </c>
      <c r="E23" t="n">
        <v>100.341534</v>
      </c>
      <c r="F23" t="n">
        <v>721.5611730000001</v>
      </c>
      <c r="G23" t="n">
        <v>664.588831</v>
      </c>
      <c r="H23" t="n">
        <v>1922.667229</v>
      </c>
      <c r="I23" t="n">
        <v>706.388691</v>
      </c>
      <c r="J23" t="n">
        <v>729.176823</v>
      </c>
      <c r="K23" t="n">
        <v>389.360329</v>
      </c>
      <c r="L23" t="n">
        <v>1277.756768</v>
      </c>
      <c r="M23" t="n">
        <v>1277.756768</v>
      </c>
      <c r="N23" t="n">
        <v>1277.756768</v>
      </c>
      <c r="O23" t="n">
        <v>-480.629183</v>
      </c>
      <c r="P23" t="n">
        <v>-710.36627</v>
      </c>
      <c r="Q23" t="n">
        <v>1277.756768</v>
      </c>
      <c r="S23" t="n">
        <v>-480.629183</v>
      </c>
      <c r="U23" t="n">
        <v>482.977051</v>
      </c>
      <c r="V23" t="n">
        <v>498.989546</v>
      </c>
      <c r="W23" t="n">
        <v>10482.764702</v>
      </c>
      <c r="X23" t="n">
        <v>1534.363238</v>
      </c>
    </row>
    <row r="24" ht="21" customHeight="1">
      <c r="A24" t="inlineStr">
        <is>
          <t>Grimothea monodon</t>
        </is>
      </c>
      <c r="B24" t="n">
        <v>2.74</v>
      </c>
      <c r="C24" t="n">
        <v>54.954087</v>
      </c>
      <c r="D24" s="10" t="inlineStr">
        <is>
          <t>Macrobenthos</t>
        </is>
      </c>
      <c r="E24" t="n">
        <v>100.341534</v>
      </c>
      <c r="F24" t="n">
        <v>10</v>
      </c>
      <c r="G24" t="n">
        <v>9.716343999999999</v>
      </c>
      <c r="H24" t="n">
        <v>7.967402</v>
      </c>
      <c r="I24" t="n">
        <v>8.646561</v>
      </c>
      <c r="J24" t="n">
        <v>8.646561</v>
      </c>
      <c r="K24" t="n">
        <v>6.833334</v>
      </c>
      <c r="L24" t="n">
        <v>0</v>
      </c>
      <c r="M24" t="n">
        <v>0</v>
      </c>
      <c r="N24" t="n">
        <v>0</v>
      </c>
      <c r="O24" t="n">
        <v>-52.690508</v>
      </c>
      <c r="P24" t="n">
        <v>-186.125074</v>
      </c>
      <c r="Q24" t="n">
        <v>-0</v>
      </c>
      <c r="S24" t="n">
        <v>-52.690508</v>
      </c>
      <c r="U24" t="n">
        <v>90.228787</v>
      </c>
      <c r="V24" t="n">
        <v>93.937016</v>
      </c>
      <c r="W24" t="n">
        <v>928.129669</v>
      </c>
      <c r="X24" t="n">
        <v>0</v>
      </c>
    </row>
    <row r="25" ht="21" customHeight="1">
      <c r="A25" t="inlineStr">
        <is>
          <t>Cervimunida johni</t>
        </is>
      </c>
      <c r="B25" t="n">
        <v>2.6</v>
      </c>
      <c r="C25" t="n">
        <v>39.810717</v>
      </c>
      <c r="D25" s="10" t="inlineStr">
        <is>
          <t>Macrobenthos</t>
        </is>
      </c>
      <c r="E25" t="n">
        <v>100.341534</v>
      </c>
      <c r="F25" t="n">
        <v>10</v>
      </c>
      <c r="G25" t="n">
        <v>9.716343999999999</v>
      </c>
      <c r="H25" t="n">
        <v>7.967402</v>
      </c>
      <c r="I25" t="n">
        <v>8.646561</v>
      </c>
      <c r="J25" t="n">
        <v>8.646561</v>
      </c>
      <c r="K25" t="n">
        <v>6.833334</v>
      </c>
      <c r="L25" t="n">
        <v>0</v>
      </c>
      <c r="M25" t="n">
        <v>0</v>
      </c>
      <c r="N25" t="n">
        <v>0</v>
      </c>
      <c r="O25" t="n">
        <v>-52.690508</v>
      </c>
      <c r="P25" t="n">
        <v>-186.125074</v>
      </c>
      <c r="Q25" t="n">
        <v>-0</v>
      </c>
      <c r="S25" t="n">
        <v>-52.690508</v>
      </c>
      <c r="U25" t="n">
        <v>90.228787</v>
      </c>
      <c r="V25" t="n">
        <v>93.937016</v>
      </c>
      <c r="W25" t="n">
        <v>928.129669</v>
      </c>
      <c r="X25" t="n">
        <v>0</v>
      </c>
    </row>
    <row r="26" ht="21" customHeight="1">
      <c r="A26" t="inlineStr">
        <is>
          <t>Mugil cephalus</t>
        </is>
      </c>
      <c r="B26" t="n">
        <v>2.14</v>
      </c>
      <c r="C26" t="n">
        <v>13.803843</v>
      </c>
      <c r="D26" s="10" t="inlineStr">
        <is>
          <t>Medium demersal fish</t>
        </is>
      </c>
      <c r="E26" t="n">
        <v>100.341534</v>
      </c>
      <c r="F26" t="n">
        <v>150.446864</v>
      </c>
      <c r="G26" t="n">
        <v>141.309763</v>
      </c>
      <c r="H26" t="n">
        <v>337.73726</v>
      </c>
      <c r="I26" t="n">
        <v>88.13505000000001</v>
      </c>
      <c r="J26" t="n">
        <v>88.674589</v>
      </c>
      <c r="K26" t="n">
        <v>72.72711099999999</v>
      </c>
      <c r="L26" t="n">
        <v>68.19949200000001</v>
      </c>
      <c r="M26" t="n">
        <v>68.19949200000001</v>
      </c>
      <c r="N26" t="n">
        <v>68.19949200000001</v>
      </c>
      <c r="O26" t="n">
        <v>-298.793821</v>
      </c>
      <c r="P26" t="n">
        <v>-775.135045</v>
      </c>
      <c r="Q26" t="n">
        <v>68.19949200000001</v>
      </c>
      <c r="S26" t="n">
        <v>-298.793821</v>
      </c>
      <c r="U26" t="n">
        <v>395.804253</v>
      </c>
      <c r="V26" t="n">
        <v>411.516374</v>
      </c>
      <c r="W26" t="n">
        <v>4936.646121</v>
      </c>
      <c r="X26" t="n">
        <v>76.95169799999999</v>
      </c>
    </row>
    <row r="27" ht="21" customHeight="1">
      <c r="A27" t="inlineStr">
        <is>
          <t>Katsuwonus pelamis</t>
        </is>
      </c>
      <c r="B27" t="n">
        <v>4.43</v>
      </c>
      <c r="C27" t="n">
        <v>2691.534804</v>
      </c>
      <c r="D27" s="10" t="inlineStr">
        <is>
          <t>Other large pelagic fish</t>
        </is>
      </c>
      <c r="E27" t="n">
        <v>100.341534</v>
      </c>
      <c r="F27" t="n">
        <v>721.5611730000001</v>
      </c>
      <c r="G27" t="n">
        <v>664.588831</v>
      </c>
      <c r="H27" t="n">
        <v>1922.667229</v>
      </c>
      <c r="I27" t="n">
        <v>706.388691</v>
      </c>
      <c r="J27" t="n">
        <v>729.176823</v>
      </c>
      <c r="K27" t="n">
        <v>389.360329</v>
      </c>
      <c r="L27" t="n">
        <v>1277.756768</v>
      </c>
      <c r="M27" t="n">
        <v>1277.756768</v>
      </c>
      <c r="N27" t="n">
        <v>1277.756768</v>
      </c>
      <c r="O27" t="n">
        <v>-480.629183</v>
      </c>
      <c r="P27" t="n">
        <v>-710.36627</v>
      </c>
      <c r="Q27" t="n">
        <v>1277.756768</v>
      </c>
      <c r="S27" t="n">
        <v>-480.629183</v>
      </c>
      <c r="U27" t="n">
        <v>482.977051</v>
      </c>
      <c r="V27" t="n">
        <v>498.989546</v>
      </c>
      <c r="W27" t="n">
        <v>10482.764702</v>
      </c>
      <c r="X27" t="n">
        <v>1534.363238</v>
      </c>
    </row>
    <row r="28" ht="21" customHeight="1">
      <c r="A28" t="inlineStr">
        <is>
          <t>Veneridae</t>
        </is>
      </c>
      <c r="D28" s="10" t="inlineStr">
        <is>
          <t>Macrobenthos</t>
        </is>
      </c>
      <c r="E28" t="n">
        <v>100.341534</v>
      </c>
      <c r="F28" t="n">
        <v>10</v>
      </c>
      <c r="G28" t="n">
        <v>9.716343999999999</v>
      </c>
      <c r="H28" t="n">
        <v>7.967402</v>
      </c>
      <c r="I28" t="n">
        <v>8.646561</v>
      </c>
      <c r="J28" t="n">
        <v>8.646561</v>
      </c>
      <c r="K28" t="n">
        <v>6.833334</v>
      </c>
      <c r="L28" t="n">
        <v>0</v>
      </c>
      <c r="M28" t="n">
        <v>0</v>
      </c>
      <c r="N28" t="n">
        <v>0</v>
      </c>
      <c r="O28" t="n">
        <v>-52.690508</v>
      </c>
      <c r="P28" t="n">
        <v>-186.125074</v>
      </c>
      <c r="Q28" t="n">
        <v>-0</v>
      </c>
      <c r="S28" t="n">
        <v>-52.690508</v>
      </c>
      <c r="U28" t="n">
        <v>90.228787</v>
      </c>
      <c r="V28" t="n">
        <v>93.937016</v>
      </c>
      <c r="W28" t="n">
        <v>928.129669</v>
      </c>
      <c r="X28" t="n">
        <v>0</v>
      </c>
    </row>
    <row r="29" ht="21" customHeight="1">
      <c r="A29" t="inlineStr">
        <is>
          <t>Argopecten purpuratus</t>
        </is>
      </c>
      <c r="B29" t="n">
        <v>2</v>
      </c>
      <c r="C29" t="n">
        <v>10</v>
      </c>
      <c r="D29" s="10" t="inlineStr">
        <is>
          <t>Macrobenthos</t>
        </is>
      </c>
      <c r="E29" t="n">
        <v>100.341534</v>
      </c>
      <c r="F29" t="n">
        <v>10</v>
      </c>
      <c r="G29" t="n">
        <v>9.716343999999999</v>
      </c>
      <c r="H29" t="n">
        <v>7.967402</v>
      </c>
      <c r="I29" t="n">
        <v>8.646561</v>
      </c>
      <c r="J29" t="n">
        <v>8.646561</v>
      </c>
      <c r="K29" t="n">
        <v>6.833334</v>
      </c>
      <c r="L29" t="n">
        <v>0</v>
      </c>
      <c r="M29" t="n">
        <v>0</v>
      </c>
      <c r="N29" t="n">
        <v>0</v>
      </c>
      <c r="O29" t="n">
        <v>-52.690508</v>
      </c>
      <c r="P29" t="n">
        <v>-186.125074</v>
      </c>
      <c r="Q29" t="n">
        <v>-0</v>
      </c>
      <c r="S29" t="n">
        <v>-52.690508</v>
      </c>
      <c r="U29" t="n">
        <v>90.228787</v>
      </c>
      <c r="V29" t="n">
        <v>93.937016</v>
      </c>
      <c r="W29" t="n">
        <v>928.129669</v>
      </c>
      <c r="X29" t="n">
        <v>0</v>
      </c>
    </row>
    <row r="30" ht="21" customHeight="1">
      <c r="A30" t="inlineStr">
        <is>
          <t>Doryteuthis gahi</t>
        </is>
      </c>
      <c r="B30" t="n">
        <v>3.2</v>
      </c>
      <c r="C30" t="n">
        <v>158.489319</v>
      </c>
      <c r="D30" s="10" t="inlineStr">
        <is>
          <t>Other cephalopods</t>
        </is>
      </c>
      <c r="E30" t="n">
        <v>100.341534</v>
      </c>
      <c r="F30" t="n">
        <v>133.998519</v>
      </c>
      <c r="G30" t="n">
        <v>126.042621</v>
      </c>
      <c r="H30" t="n">
        <v>239.494801</v>
      </c>
      <c r="I30" t="n">
        <v>9.564913000000001</v>
      </c>
      <c r="J30" t="n">
        <v>9.564913000000001</v>
      </c>
      <c r="K30" t="n">
        <v>9.086667</v>
      </c>
      <c r="L30" t="n">
        <v>13.582064</v>
      </c>
      <c r="M30" t="n">
        <v>13.582064</v>
      </c>
      <c r="N30" t="n">
        <v>13.582064</v>
      </c>
      <c r="O30" t="n">
        <v>-21.978881</v>
      </c>
      <c r="P30" t="n">
        <v>-52.57993</v>
      </c>
      <c r="Q30" t="n">
        <v>13.582064</v>
      </c>
      <c r="S30" t="n">
        <v>-21.978881</v>
      </c>
      <c r="U30" t="n">
        <v>32.818431</v>
      </c>
      <c r="V30" t="n">
        <v>33.964341</v>
      </c>
      <c r="W30" t="n">
        <v>384.219955</v>
      </c>
      <c r="X30" t="n">
        <v>15.740459</v>
      </c>
    </row>
    <row r="31" ht="21" customHeight="1">
      <c r="A31" t="inlineStr">
        <is>
          <t>Odontesthes regia</t>
        </is>
      </c>
      <c r="B31" t="n">
        <v>4</v>
      </c>
      <c r="C31" t="n">
        <v>1000</v>
      </c>
      <c r="D31" s="10" t="inlineStr">
        <is>
          <t>Small demersal fish</t>
        </is>
      </c>
      <c r="E31" t="n">
        <v>100.341534</v>
      </c>
      <c r="F31" t="n">
        <v>28.840315</v>
      </c>
      <c r="G31" t="n">
        <v>27.653763</v>
      </c>
      <c r="H31" t="n">
        <v>83.33437499999999</v>
      </c>
      <c r="I31" t="n">
        <v>22.319429</v>
      </c>
      <c r="J31" t="n">
        <v>22.319429</v>
      </c>
      <c r="K31" t="n">
        <v>16.302777</v>
      </c>
      <c r="L31" t="n">
        <v>27.460928</v>
      </c>
      <c r="M31" t="n">
        <v>27.460928</v>
      </c>
      <c r="N31" t="n">
        <v>27.460928</v>
      </c>
      <c r="O31" t="n">
        <v>-14.110618</v>
      </c>
      <c r="P31" t="n">
        <v>-36.828458</v>
      </c>
      <c r="Q31" t="n">
        <v>27.460928</v>
      </c>
      <c r="S31" t="n">
        <v>-14.110618</v>
      </c>
      <c r="U31" t="n">
        <v>30.881292</v>
      </c>
      <c r="V31" t="n">
        <v>31.789849</v>
      </c>
      <c r="W31" t="n">
        <v>429.71383</v>
      </c>
      <c r="X31" t="n">
        <v>30.241866</v>
      </c>
    </row>
    <row r="32" ht="21" customHeight="1">
      <c r="A32" t="inlineStr">
        <is>
          <t>Brama australis</t>
        </is>
      </c>
      <c r="B32" t="n">
        <v>4.2</v>
      </c>
      <c r="C32" t="n">
        <v>1584.893192</v>
      </c>
      <c r="D32" s="10" t="inlineStr">
        <is>
          <t>Unresolved</t>
        </is>
      </c>
    </row>
    <row r="33" ht="21" customHeight="1">
      <c r="A33" t="inlineStr">
        <is>
          <t>Seriolella</t>
        </is>
      </c>
      <c r="D33" s="10" t="inlineStr">
        <is>
          <t>Unresolved</t>
        </is>
      </c>
    </row>
    <row r="34" ht="21" customHeight="1">
      <c r="A34" t="inlineStr">
        <is>
          <t>Prionotus stephanophrys</t>
        </is>
      </c>
      <c r="B34" t="n">
        <v>3.5</v>
      </c>
      <c r="C34" t="n">
        <v>316.227766</v>
      </c>
      <c r="D34" s="10" t="inlineStr">
        <is>
          <t>Sea robin</t>
        </is>
      </c>
      <c r="E34" t="n">
        <v>100.341534</v>
      </c>
      <c r="F34" t="n">
        <v>190.408156</v>
      </c>
      <c r="G34" t="n">
        <v>178.318374</v>
      </c>
      <c r="H34" t="n">
        <v>350.196713</v>
      </c>
      <c r="I34" t="n">
        <v>88.597972</v>
      </c>
      <c r="J34" t="n">
        <v>88.597972</v>
      </c>
      <c r="K34" t="n">
        <v>40.626035</v>
      </c>
      <c r="L34" t="n">
        <v>106.874186</v>
      </c>
      <c r="M34" t="n">
        <v>106.874186</v>
      </c>
      <c r="N34" t="n">
        <v>106.874186</v>
      </c>
      <c r="O34" t="n">
        <v>-89.743967</v>
      </c>
      <c r="P34" t="n">
        <v>-206.168959</v>
      </c>
      <c r="Q34" t="n">
        <v>106.874186</v>
      </c>
      <c r="S34" t="n">
        <v>-89.743967</v>
      </c>
      <c r="U34" t="n">
        <v>121.926894</v>
      </c>
      <c r="V34" t="n">
        <v>126.329418</v>
      </c>
      <c r="W34" t="n">
        <v>1663.634075</v>
      </c>
      <c r="X34" t="n">
        <v>122.728363</v>
      </c>
    </row>
    <row r="35" ht="21" customHeight="1">
      <c r="A35" t="inlineStr">
        <is>
          <t>Bivalvia</t>
        </is>
      </c>
      <c r="B35" t="n">
        <v>2.23</v>
      </c>
      <c r="C35" t="n">
        <v>16.982437</v>
      </c>
      <c r="D35" s="10" t="inlineStr">
        <is>
          <t>Macrobenthos</t>
        </is>
      </c>
      <c r="E35" t="n">
        <v>100.341534</v>
      </c>
      <c r="F35" t="n">
        <v>10</v>
      </c>
      <c r="G35" t="n">
        <v>9.716343999999999</v>
      </c>
      <c r="H35" t="n">
        <v>7.967402</v>
      </c>
      <c r="I35" t="n">
        <v>8.646561</v>
      </c>
      <c r="J35" t="n">
        <v>8.646561</v>
      </c>
      <c r="K35" t="n">
        <v>6.833334</v>
      </c>
      <c r="L35" t="n">
        <v>0</v>
      </c>
      <c r="M35" t="n">
        <v>0</v>
      </c>
      <c r="N35" t="n">
        <v>0</v>
      </c>
      <c r="O35" t="n">
        <v>-52.690508</v>
      </c>
      <c r="P35" t="n">
        <v>-186.125074</v>
      </c>
      <c r="Q35" t="n">
        <v>-0</v>
      </c>
      <c r="S35" t="n">
        <v>-52.690508</v>
      </c>
      <c r="U35" t="n">
        <v>90.228787</v>
      </c>
      <c r="V35" t="n">
        <v>93.937016</v>
      </c>
      <c r="W35" t="n">
        <v>928.129669</v>
      </c>
      <c r="X35" t="n">
        <v>0</v>
      </c>
    </row>
    <row r="36" ht="21" customHeight="1">
      <c r="A36" t="inlineStr">
        <is>
          <t>Mesodesma donacium</t>
        </is>
      </c>
      <c r="B36" t="n">
        <v>2</v>
      </c>
      <c r="C36" t="n">
        <v>10</v>
      </c>
      <c r="D36" s="10" t="inlineStr">
        <is>
          <t>Macrobenthos</t>
        </is>
      </c>
      <c r="E36" t="n">
        <v>100.341534</v>
      </c>
      <c r="F36" t="n">
        <v>10</v>
      </c>
      <c r="G36" t="n">
        <v>9.716343999999999</v>
      </c>
      <c r="H36" t="n">
        <v>7.967402</v>
      </c>
      <c r="I36" t="n">
        <v>8.646561</v>
      </c>
      <c r="J36" t="n">
        <v>8.646561</v>
      </c>
      <c r="K36" t="n">
        <v>6.833334</v>
      </c>
      <c r="L36" t="n">
        <v>0</v>
      </c>
      <c r="M36" t="n">
        <v>0</v>
      </c>
      <c r="N36" t="n">
        <v>0</v>
      </c>
      <c r="O36" t="n">
        <v>-52.690508</v>
      </c>
      <c r="P36" t="n">
        <v>-186.125074</v>
      </c>
      <c r="Q36" t="n">
        <v>-0</v>
      </c>
      <c r="S36" t="n">
        <v>-52.690508</v>
      </c>
      <c r="U36" t="n">
        <v>90.228787</v>
      </c>
      <c r="V36" t="n">
        <v>93.937016</v>
      </c>
      <c r="W36" t="n">
        <v>928.129669</v>
      </c>
      <c r="X36" t="n">
        <v>0</v>
      </c>
    </row>
    <row r="37" ht="36" customHeight="1">
      <c r="A37" t="inlineStr">
        <is>
          <t>Sciaenidae</t>
        </is>
      </c>
      <c r="B37" t="n">
        <v>3.76</v>
      </c>
      <c r="C37" t="n">
        <v>575.439937</v>
      </c>
      <c r="D37" s="10" t="inlineStr">
        <is>
          <t>Small demersal fish | Medium sciaenids</t>
        </is>
      </c>
      <c r="E37" t="n">
        <v>100.341534</v>
      </c>
      <c r="F37" t="n">
        <v>126.350743</v>
      </c>
      <c r="G37" t="n">
        <v>118.512108</v>
      </c>
      <c r="H37" t="n">
        <v>413.086415</v>
      </c>
      <c r="I37" t="n">
        <v>1685.835113</v>
      </c>
      <c r="J37" t="n">
        <v>1686.461249</v>
      </c>
      <c r="K37" t="n">
        <v>1197.294294</v>
      </c>
      <c r="L37" t="n">
        <v>2720.341859</v>
      </c>
      <c r="M37" t="n">
        <v>2720.341859</v>
      </c>
      <c r="N37" t="n">
        <v>2720.341859</v>
      </c>
      <c r="O37" t="n">
        <v>-207.233624</v>
      </c>
      <c r="P37" t="n">
        <v>-481.048225</v>
      </c>
      <c r="Q37" t="n">
        <v>2720.341859</v>
      </c>
      <c r="S37" t="n">
        <v>-207.233624</v>
      </c>
      <c r="U37" t="n">
        <v>261.003295</v>
      </c>
      <c r="V37" t="n">
        <v>270.960406</v>
      </c>
      <c r="W37" t="n">
        <v>4792.512318</v>
      </c>
      <c r="X37" t="n">
        <v>3226.689102</v>
      </c>
    </row>
    <row r="38" ht="21" customHeight="1">
      <c r="A38" t="inlineStr">
        <is>
          <t>Gastropoda</t>
        </is>
      </c>
      <c r="B38" t="n">
        <v>3.06</v>
      </c>
      <c r="C38" t="n">
        <v>114.815362</v>
      </c>
      <c r="D38" s="10" t="inlineStr">
        <is>
          <t>Macrobenthos</t>
        </is>
      </c>
      <c r="E38" t="n">
        <v>100.341534</v>
      </c>
      <c r="F38" t="n">
        <v>10</v>
      </c>
      <c r="G38" t="n">
        <v>9.716343999999999</v>
      </c>
      <c r="H38" t="n">
        <v>7.967402</v>
      </c>
      <c r="I38" t="n">
        <v>8.646561</v>
      </c>
      <c r="J38" t="n">
        <v>8.646561</v>
      </c>
      <c r="K38" t="n">
        <v>6.833334</v>
      </c>
      <c r="L38" t="n">
        <v>0</v>
      </c>
      <c r="M38" t="n">
        <v>0</v>
      </c>
      <c r="N38" t="n">
        <v>0</v>
      </c>
      <c r="O38" t="n">
        <v>-52.690508</v>
      </c>
      <c r="P38" t="n">
        <v>-186.125074</v>
      </c>
      <c r="Q38" t="n">
        <v>-0</v>
      </c>
      <c r="S38" t="n">
        <v>-52.690508</v>
      </c>
      <c r="U38" t="n">
        <v>90.228787</v>
      </c>
      <c r="V38" t="n">
        <v>93.937016</v>
      </c>
      <c r="W38" t="n">
        <v>928.129669</v>
      </c>
      <c r="X38" t="n">
        <v>0</v>
      </c>
    </row>
    <row r="39" ht="21" customHeight="1">
      <c r="A39" t="inlineStr">
        <is>
          <t>Penaeidae</t>
        </is>
      </c>
      <c r="B39" t="n">
        <v>3.31</v>
      </c>
      <c r="C39" t="n">
        <v>204.173794</v>
      </c>
      <c r="D39" s="10" t="inlineStr">
        <is>
          <t>Macrobenthos</t>
        </is>
      </c>
      <c r="E39" t="n">
        <v>100.341534</v>
      </c>
      <c r="F39" t="n">
        <v>10</v>
      </c>
      <c r="G39" t="n">
        <v>9.716343999999999</v>
      </c>
      <c r="H39" t="n">
        <v>7.967402</v>
      </c>
      <c r="I39" t="n">
        <v>8.646561</v>
      </c>
      <c r="J39" t="n">
        <v>8.646561</v>
      </c>
      <c r="K39" t="n">
        <v>6.833334</v>
      </c>
      <c r="L39" t="n">
        <v>0</v>
      </c>
      <c r="M39" t="n">
        <v>0</v>
      </c>
      <c r="N39" t="n">
        <v>0</v>
      </c>
      <c r="O39" t="n">
        <v>-52.690508</v>
      </c>
      <c r="P39" t="n">
        <v>-186.125074</v>
      </c>
      <c r="Q39" t="n">
        <v>-0</v>
      </c>
      <c r="S39" t="n">
        <v>-52.690508</v>
      </c>
      <c r="U39" t="n">
        <v>90.228787</v>
      </c>
      <c r="V39" t="n">
        <v>93.937016</v>
      </c>
      <c r="W39" t="n">
        <v>928.129669</v>
      </c>
      <c r="X39" t="n">
        <v>0</v>
      </c>
    </row>
    <row r="40" ht="21" customHeight="1">
      <c r="A40" t="inlineStr">
        <is>
          <t>Mustelus whitneyi</t>
        </is>
      </c>
      <c r="B40" t="n">
        <v>3.66</v>
      </c>
      <c r="C40" t="n">
        <v>457.08819</v>
      </c>
      <c r="D40" s="10" t="inlineStr">
        <is>
          <t>Benthic elasmobranchs</t>
        </is>
      </c>
      <c r="E40" t="n">
        <v>100.341534</v>
      </c>
      <c r="F40" t="n">
        <v>227.672107</v>
      </c>
      <c r="G40" t="n">
        <v>212.74056</v>
      </c>
      <c r="H40" t="n">
        <v>1440.71119</v>
      </c>
      <c r="I40" t="n">
        <v>5821.032484</v>
      </c>
      <c r="J40" t="n">
        <v>5832.493715</v>
      </c>
      <c r="K40" t="n">
        <v>3842.014077</v>
      </c>
      <c r="L40" t="n">
        <v>7895.724163</v>
      </c>
      <c r="M40" t="n">
        <v>7895.724163</v>
      </c>
      <c r="N40" t="n">
        <v>7895.724163</v>
      </c>
      <c r="O40" t="n">
        <v>-486.538743</v>
      </c>
      <c r="P40" t="n">
        <v>-1040.287329</v>
      </c>
      <c r="Q40" t="n">
        <v>7895.724163</v>
      </c>
      <c r="S40" t="n">
        <v>-486.538743</v>
      </c>
      <c r="U40" t="n">
        <v>552.923044</v>
      </c>
      <c r="V40" t="n">
        <v>574.301321</v>
      </c>
      <c r="W40" t="n">
        <v>8947.059363</v>
      </c>
      <c r="X40" t="n">
        <v>9306.463404</v>
      </c>
    </row>
    <row r="41" ht="21" customHeight="1">
      <c r="A41" t="inlineStr">
        <is>
          <t>Concholepas concholepas</t>
        </is>
      </c>
      <c r="B41" t="n">
        <v>3.18</v>
      </c>
      <c r="C41" t="n">
        <v>151.356125</v>
      </c>
      <c r="D41" s="10" t="inlineStr">
        <is>
          <t>Macrobenthos</t>
        </is>
      </c>
      <c r="E41" t="n">
        <v>100.341534</v>
      </c>
      <c r="F41" t="n">
        <v>10</v>
      </c>
      <c r="G41" t="n">
        <v>9.716343999999999</v>
      </c>
      <c r="H41" t="n">
        <v>7.967402</v>
      </c>
      <c r="I41" t="n">
        <v>8.646561</v>
      </c>
      <c r="J41" t="n">
        <v>8.646561</v>
      </c>
      <c r="K41" t="n">
        <v>6.833334</v>
      </c>
      <c r="L41" t="n">
        <v>0</v>
      </c>
      <c r="M41" t="n">
        <v>0</v>
      </c>
      <c r="N41" t="n">
        <v>0</v>
      </c>
      <c r="O41" t="n">
        <v>-52.690508</v>
      </c>
      <c r="P41" t="n">
        <v>-186.125074</v>
      </c>
      <c r="Q41" t="n">
        <v>-0</v>
      </c>
      <c r="S41" t="n">
        <v>-52.690508</v>
      </c>
      <c r="U41" t="n">
        <v>90.228787</v>
      </c>
      <c r="V41" t="n">
        <v>93.937016</v>
      </c>
      <c r="W41" t="n">
        <v>928.129669</v>
      </c>
      <c r="X41" t="n">
        <v>0</v>
      </c>
    </row>
    <row r="42" ht="21" customHeight="1">
      <c r="A42" t="inlineStr">
        <is>
          <t>Mytilus chilensis</t>
        </is>
      </c>
      <c r="B42" t="n">
        <v>2</v>
      </c>
      <c r="C42" t="n">
        <v>10</v>
      </c>
      <c r="D42" s="10" t="inlineStr">
        <is>
          <t>Macrobenthos</t>
        </is>
      </c>
      <c r="E42" t="n">
        <v>100.341534</v>
      </c>
      <c r="F42" t="n">
        <v>10</v>
      </c>
      <c r="G42" t="n">
        <v>9.716343999999999</v>
      </c>
      <c r="H42" t="n">
        <v>7.967402</v>
      </c>
      <c r="I42" t="n">
        <v>8.646561</v>
      </c>
      <c r="J42" t="n">
        <v>8.646561</v>
      </c>
      <c r="K42" t="n">
        <v>6.833334</v>
      </c>
      <c r="L42" t="n">
        <v>0</v>
      </c>
      <c r="M42" t="n">
        <v>0</v>
      </c>
      <c r="N42" t="n">
        <v>0</v>
      </c>
      <c r="O42" t="n">
        <v>-52.690508</v>
      </c>
      <c r="P42" t="n">
        <v>-186.125074</v>
      </c>
      <c r="Q42" t="n">
        <v>-0</v>
      </c>
      <c r="S42" t="n">
        <v>-52.690508</v>
      </c>
      <c r="U42" t="n">
        <v>90.228787</v>
      </c>
      <c r="V42" t="n">
        <v>93.937016</v>
      </c>
      <c r="W42" t="n">
        <v>928.129669</v>
      </c>
      <c r="X42" t="n">
        <v>0</v>
      </c>
    </row>
    <row r="43" ht="21" customHeight="1">
      <c r="A43" t="inlineStr">
        <is>
          <t>Thunnus albacares</t>
        </is>
      </c>
      <c r="B43" t="n">
        <v>4.41</v>
      </c>
      <c r="C43" t="n">
        <v>2570.395783</v>
      </c>
      <c r="D43" s="10" t="inlineStr">
        <is>
          <t>Other large pelagic fish</t>
        </is>
      </c>
      <c r="E43" t="n">
        <v>100.341534</v>
      </c>
      <c r="F43" t="n">
        <v>721.5611730000001</v>
      </c>
      <c r="G43" t="n">
        <v>664.588831</v>
      </c>
      <c r="H43" t="n">
        <v>1922.667229</v>
      </c>
      <c r="I43" t="n">
        <v>706.388691</v>
      </c>
      <c r="J43" t="n">
        <v>729.176823</v>
      </c>
      <c r="K43" t="n">
        <v>389.360329</v>
      </c>
      <c r="L43" t="n">
        <v>1277.756768</v>
      </c>
      <c r="M43" t="n">
        <v>1277.756768</v>
      </c>
      <c r="N43" t="n">
        <v>1277.756768</v>
      </c>
      <c r="O43" t="n">
        <v>-480.629183</v>
      </c>
      <c r="P43" t="n">
        <v>-710.36627</v>
      </c>
      <c r="Q43" t="n">
        <v>1277.756768</v>
      </c>
      <c r="S43" t="n">
        <v>-480.629183</v>
      </c>
      <c r="U43" t="n">
        <v>482.977051</v>
      </c>
      <c r="V43" t="n">
        <v>498.989546</v>
      </c>
      <c r="W43" t="n">
        <v>10482.764702</v>
      </c>
      <c r="X43" t="n">
        <v>1534.363238</v>
      </c>
    </row>
    <row r="44" ht="21" customHeight="1">
      <c r="A44" t="inlineStr">
        <is>
          <t>Cynoscion analis</t>
        </is>
      </c>
      <c r="B44" t="n">
        <v>4.06</v>
      </c>
      <c r="C44" t="n">
        <v>1148.153621</v>
      </c>
      <c r="D44" s="10" t="inlineStr">
        <is>
          <t>Medium sciaenids</t>
        </is>
      </c>
      <c r="E44" t="n">
        <v>100.341534</v>
      </c>
      <c r="F44" t="n">
        <v>206.3558</v>
      </c>
      <c r="G44" t="n">
        <v>193.059284</v>
      </c>
      <c r="H44" t="n">
        <v>683.640357</v>
      </c>
      <c r="I44" t="n">
        <v>3050.711354</v>
      </c>
      <c r="J44" t="n">
        <v>3051.851219</v>
      </c>
      <c r="K44" t="n">
        <v>2166.270587</v>
      </c>
      <c r="L44" t="n">
        <v>4929.788538</v>
      </c>
      <c r="M44" t="n">
        <v>4929.788538</v>
      </c>
      <c r="N44" t="n">
        <v>4929.788538</v>
      </c>
      <c r="O44" t="n">
        <v>-365.686595</v>
      </c>
      <c r="P44" t="n">
        <v>-845.520295</v>
      </c>
      <c r="Q44" t="n">
        <v>4929.788538</v>
      </c>
      <c r="S44" t="n">
        <v>-365.686595</v>
      </c>
      <c r="U44" t="n">
        <v>449.81309</v>
      </c>
      <c r="V44" t="n">
        <v>467.19433</v>
      </c>
      <c r="W44" t="n">
        <v>8372.087826000001</v>
      </c>
      <c r="X44" t="n">
        <v>5849.300316</v>
      </c>
    </row>
    <row r="45" ht="21" customHeight="1">
      <c r="A45" t="inlineStr">
        <is>
          <t>Paralonchurus peruanus</t>
        </is>
      </c>
      <c r="B45" t="n">
        <v>2.17</v>
      </c>
      <c r="C45" t="n">
        <v>14.791084</v>
      </c>
      <c r="D45" s="10" t="inlineStr">
        <is>
          <t>Medium sciaenids</t>
        </is>
      </c>
      <c r="E45" t="n">
        <v>100.341534</v>
      </c>
      <c r="F45" t="n">
        <v>206.3558</v>
      </c>
      <c r="G45" t="n">
        <v>193.059284</v>
      </c>
      <c r="H45" t="n">
        <v>683.640357</v>
      </c>
      <c r="I45" t="n">
        <v>3050.711354</v>
      </c>
      <c r="J45" t="n">
        <v>3051.851219</v>
      </c>
      <c r="K45" t="n">
        <v>2166.270587</v>
      </c>
      <c r="L45" t="n">
        <v>4929.788538</v>
      </c>
      <c r="M45" t="n">
        <v>4929.788538</v>
      </c>
      <c r="N45" t="n">
        <v>4929.788538</v>
      </c>
      <c r="O45" t="n">
        <v>-365.686595</v>
      </c>
      <c r="P45" t="n">
        <v>-845.520295</v>
      </c>
      <c r="Q45" t="n">
        <v>4929.788538</v>
      </c>
      <c r="S45" t="n">
        <v>-365.686595</v>
      </c>
      <c r="U45" t="n">
        <v>449.81309</v>
      </c>
      <c r="V45" t="n">
        <v>467.19433</v>
      </c>
      <c r="W45" t="n">
        <v>8372.087826000001</v>
      </c>
      <c r="X45" t="n">
        <v>5849.300316</v>
      </c>
    </row>
    <row r="46" ht="21" customHeight="1">
      <c r="A46" t="inlineStr">
        <is>
          <t>Thyrsites atun</t>
        </is>
      </c>
      <c r="B46" t="n">
        <v>3.63</v>
      </c>
      <c r="C46" t="n">
        <v>426.579519</v>
      </c>
      <c r="D46" s="10" t="inlineStr">
        <is>
          <t>Unresolved</t>
        </is>
      </c>
    </row>
    <row r="47" ht="21" customHeight="1">
      <c r="A47" t="inlineStr">
        <is>
          <t>Heterocarpus reedi</t>
        </is>
      </c>
      <c r="B47" t="n">
        <v>2.3</v>
      </c>
      <c r="C47" t="n">
        <v>19.952623</v>
      </c>
      <c r="D47" s="10" t="inlineStr">
        <is>
          <t>Macrobenthos</t>
        </is>
      </c>
      <c r="E47" t="n">
        <v>100.341534</v>
      </c>
      <c r="F47" t="n">
        <v>10</v>
      </c>
      <c r="G47" t="n">
        <v>9.716343999999999</v>
      </c>
      <c r="H47" t="n">
        <v>7.967402</v>
      </c>
      <c r="I47" t="n">
        <v>8.646561</v>
      </c>
      <c r="J47" t="n">
        <v>8.646561</v>
      </c>
      <c r="K47" t="n">
        <v>6.833334</v>
      </c>
      <c r="L47" t="n">
        <v>0</v>
      </c>
      <c r="M47" t="n">
        <v>0</v>
      </c>
      <c r="N47" t="n">
        <v>0</v>
      </c>
      <c r="O47" t="n">
        <v>-52.690508</v>
      </c>
      <c r="P47" t="n">
        <v>-186.125074</v>
      </c>
      <c r="Q47" t="n">
        <v>-0</v>
      </c>
      <c r="S47" t="n">
        <v>-52.690508</v>
      </c>
      <c r="U47" t="n">
        <v>90.228787</v>
      </c>
      <c r="V47" t="n">
        <v>93.937016</v>
      </c>
      <c r="W47" t="n">
        <v>928.129669</v>
      </c>
      <c r="X47" t="n">
        <v>0</v>
      </c>
    </row>
    <row r="48" ht="21" customHeight="1">
      <c r="A48" t="inlineStr">
        <is>
          <t>Paralabrax humeralis</t>
        </is>
      </c>
      <c r="B48" t="n">
        <v>4.12</v>
      </c>
      <c r="C48" t="n">
        <v>1318.256739</v>
      </c>
      <c r="D48" s="10" t="inlineStr">
        <is>
          <t>Medium demersal fish</t>
        </is>
      </c>
      <c r="E48" t="n">
        <v>100.341534</v>
      </c>
      <c r="F48" t="n">
        <v>150.446864</v>
      </c>
      <c r="G48" t="n">
        <v>141.309763</v>
      </c>
      <c r="H48" t="n">
        <v>337.73726</v>
      </c>
      <c r="I48" t="n">
        <v>88.13505000000001</v>
      </c>
      <c r="J48" t="n">
        <v>88.674589</v>
      </c>
      <c r="K48" t="n">
        <v>72.72711099999999</v>
      </c>
      <c r="L48" t="n">
        <v>68.19949200000001</v>
      </c>
      <c r="M48" t="n">
        <v>68.19949200000001</v>
      </c>
      <c r="N48" t="n">
        <v>68.19949200000001</v>
      </c>
      <c r="O48" t="n">
        <v>-298.793821</v>
      </c>
      <c r="P48" t="n">
        <v>-775.135045</v>
      </c>
      <c r="Q48" t="n">
        <v>68.19949200000001</v>
      </c>
      <c r="S48" t="n">
        <v>-298.793821</v>
      </c>
      <c r="U48" t="n">
        <v>395.804253</v>
      </c>
      <c r="V48" t="n">
        <v>411.516374</v>
      </c>
      <c r="W48" t="n">
        <v>4936.646121</v>
      </c>
      <c r="X48" t="n">
        <v>76.95169799999999</v>
      </c>
    </row>
    <row r="49" ht="21" customHeight="1">
      <c r="A49" t="inlineStr">
        <is>
          <t>Genypterus blacodes</t>
        </is>
      </c>
      <c r="B49" t="n">
        <v>4.22</v>
      </c>
      <c r="C49" t="n">
        <v>1659.586907</v>
      </c>
      <c r="D49" s="10" t="inlineStr">
        <is>
          <t>Unresolved</t>
        </is>
      </c>
    </row>
    <row r="50" ht="21" customHeight="1">
      <c r="A50" t="inlineStr">
        <is>
          <t>Malacostraca</t>
        </is>
      </c>
      <c r="B50" t="n">
        <v>3</v>
      </c>
      <c r="C50" t="n">
        <v>100</v>
      </c>
      <c r="D50" s="10" t="inlineStr">
        <is>
          <t>Macrobenthos</t>
        </is>
      </c>
      <c r="E50" t="n">
        <v>100.341534</v>
      </c>
      <c r="F50" t="n">
        <v>10</v>
      </c>
      <c r="G50" t="n">
        <v>9.716343999999999</v>
      </c>
      <c r="H50" t="n">
        <v>7.967402</v>
      </c>
      <c r="I50" t="n">
        <v>8.646561</v>
      </c>
      <c r="J50" t="n">
        <v>8.646561</v>
      </c>
      <c r="K50" t="n">
        <v>6.833334</v>
      </c>
      <c r="L50" t="n">
        <v>0</v>
      </c>
      <c r="M50" t="n">
        <v>0</v>
      </c>
      <c r="N50" t="n">
        <v>0</v>
      </c>
      <c r="O50" t="n">
        <v>-52.690508</v>
      </c>
      <c r="P50" t="n">
        <v>-186.125074</v>
      </c>
      <c r="Q50" t="n">
        <v>-0</v>
      </c>
      <c r="S50" t="n">
        <v>-52.690508</v>
      </c>
      <c r="U50" t="n">
        <v>90.228787</v>
      </c>
      <c r="V50" t="n">
        <v>93.937016</v>
      </c>
      <c r="W50" t="n">
        <v>928.129669</v>
      </c>
      <c r="X50" t="n">
        <v>0</v>
      </c>
    </row>
    <row r="51" ht="36" customHeight="1">
      <c r="A51" t="inlineStr">
        <is>
          <t>Scombridae</t>
        </is>
      </c>
      <c r="B51" t="n">
        <v>4.26</v>
      </c>
      <c r="C51" t="n">
        <v>1819.700859</v>
      </c>
      <c r="D51" s="10" t="inlineStr">
        <is>
          <t>Chub mackerel | Other large pelagic fish</t>
        </is>
      </c>
      <c r="E51" t="n">
        <v>100.341534</v>
      </c>
      <c r="F51" t="n">
        <v>476.852449</v>
      </c>
      <c r="G51" t="n">
        <v>441.18128</v>
      </c>
      <c r="H51" t="n">
        <v>1303.591151</v>
      </c>
      <c r="I51" t="n">
        <v>1226.508861</v>
      </c>
      <c r="J51" t="n">
        <v>1233.564686</v>
      </c>
      <c r="K51" t="n">
        <v>276.892702</v>
      </c>
      <c r="L51" t="n">
        <v>1740.241574</v>
      </c>
      <c r="M51" t="n">
        <v>1740.241574</v>
      </c>
      <c r="N51" t="n">
        <v>1740.241574</v>
      </c>
      <c r="O51" t="n">
        <v>-382.013675</v>
      </c>
      <c r="P51" t="n">
        <v>-587.569844</v>
      </c>
      <c r="Q51" t="n">
        <v>1740.241574</v>
      </c>
      <c r="S51" t="n">
        <v>-382.013675</v>
      </c>
      <c r="U51" t="n">
        <v>393.857558</v>
      </c>
      <c r="V51" t="n">
        <v>407.026531</v>
      </c>
      <c r="W51" t="n">
        <v>8287.137009</v>
      </c>
      <c r="X51" t="n">
        <v>1995.746036</v>
      </c>
    </row>
    <row r="52" ht="21" customHeight="1">
      <c r="A52" t="inlineStr">
        <is>
          <t>Cilus gilberti</t>
        </is>
      </c>
      <c r="B52" t="n">
        <v>3.67</v>
      </c>
      <c r="C52" t="n">
        <v>467.735141</v>
      </c>
      <c r="D52" s="10" t="inlineStr">
        <is>
          <t>Medium sciaenids</t>
        </is>
      </c>
      <c r="E52" t="n">
        <v>100.341534</v>
      </c>
      <c r="F52" t="n">
        <v>206.3558</v>
      </c>
      <c r="G52" t="n">
        <v>193.059284</v>
      </c>
      <c r="H52" t="n">
        <v>683.640357</v>
      </c>
      <c r="I52" t="n">
        <v>3050.711354</v>
      </c>
      <c r="J52" t="n">
        <v>3051.851219</v>
      </c>
      <c r="K52" t="n">
        <v>2166.270587</v>
      </c>
      <c r="L52" t="n">
        <v>4929.788538</v>
      </c>
      <c r="M52" t="n">
        <v>4929.788538</v>
      </c>
      <c r="N52" t="n">
        <v>4929.788538</v>
      </c>
      <c r="O52" t="n">
        <v>-365.686595</v>
      </c>
      <c r="P52" t="n">
        <v>-845.520295</v>
      </c>
      <c r="Q52" t="n">
        <v>4929.788538</v>
      </c>
      <c r="S52" t="n">
        <v>-365.686595</v>
      </c>
      <c r="U52" t="n">
        <v>449.81309</v>
      </c>
      <c r="V52" t="n">
        <v>467.19433</v>
      </c>
      <c r="W52" t="n">
        <v>8372.087826000001</v>
      </c>
      <c r="X52" t="n">
        <v>5849.300316</v>
      </c>
    </row>
    <row r="53" ht="21" customHeight="1">
      <c r="A53" t="inlineStr">
        <is>
          <t>Pleuronectiformes</t>
        </is>
      </c>
      <c r="B53" t="n">
        <v>3.57</v>
      </c>
      <c r="C53" t="n">
        <v>371.535229</v>
      </c>
      <c r="D53" s="10" t="inlineStr">
        <is>
          <t>Flatfish</t>
        </is>
      </c>
      <c r="E53" t="n">
        <v>100.341534</v>
      </c>
      <c r="F53" t="n">
        <v>734.481858</v>
      </c>
      <c r="G53" t="n">
        <v>676.339308</v>
      </c>
      <c r="H53" t="n">
        <v>2029.750446</v>
      </c>
      <c r="I53" t="n">
        <v>329.939479</v>
      </c>
      <c r="J53" t="n">
        <v>329.939479</v>
      </c>
      <c r="K53" t="n">
        <v>328.441152</v>
      </c>
      <c r="L53" t="n">
        <v>310.666808</v>
      </c>
      <c r="M53" t="n">
        <v>310.666808</v>
      </c>
      <c r="N53" t="n">
        <v>310.666808</v>
      </c>
      <c r="O53" t="n">
        <v>-921.644531</v>
      </c>
      <c r="P53" t="n">
        <v>-1867.948168</v>
      </c>
      <c r="Q53" t="n">
        <v>310.666808</v>
      </c>
      <c r="S53" t="n">
        <v>-921.644531</v>
      </c>
      <c r="U53" t="n">
        <v>988.618759</v>
      </c>
      <c r="V53" t="n">
        <v>1026.949166</v>
      </c>
      <c r="W53" t="n">
        <v>19457.939662</v>
      </c>
      <c r="X53" t="n">
        <v>355.992575</v>
      </c>
    </row>
    <row r="54" ht="21" customHeight="1">
      <c r="A54" t="inlineStr">
        <is>
          <t>Sprattus fuegensis</t>
        </is>
      </c>
      <c r="B54" t="n">
        <v>3.4</v>
      </c>
      <c r="C54" t="n">
        <v>251.188643</v>
      </c>
      <c r="D54" s="10" t="inlineStr">
        <is>
          <t>Other small pelagic fish</t>
        </is>
      </c>
      <c r="E54" t="n">
        <v>100.341534</v>
      </c>
      <c r="F54" t="n">
        <v>55.911353</v>
      </c>
      <c r="G54" t="n">
        <v>53.169346</v>
      </c>
      <c r="H54" t="n">
        <v>128.859826</v>
      </c>
      <c r="I54" t="n">
        <v>36.653357</v>
      </c>
      <c r="J54" t="n">
        <v>36.653357</v>
      </c>
      <c r="K54" t="n">
        <v>32.988021</v>
      </c>
      <c r="L54" t="n">
        <v>46.824515</v>
      </c>
      <c r="M54" t="n">
        <v>46.824515</v>
      </c>
      <c r="N54" t="n">
        <v>46.824515</v>
      </c>
      <c r="O54" t="n">
        <v>-41.144634</v>
      </c>
      <c r="P54" t="n">
        <v>-77.325115</v>
      </c>
      <c r="Q54" t="n">
        <v>46.824515</v>
      </c>
      <c r="S54" t="n">
        <v>-41.144634</v>
      </c>
      <c r="U54" t="n">
        <v>56.771937</v>
      </c>
      <c r="V54" t="n">
        <v>58.571306</v>
      </c>
      <c r="W54" t="n">
        <v>1241.732501</v>
      </c>
      <c r="X54" t="n">
        <v>52.045388</v>
      </c>
    </row>
    <row r="55" ht="21" customHeight="1">
      <c r="A55" t="inlineStr">
        <is>
          <t>Prionace glauca</t>
        </is>
      </c>
      <c r="B55" t="n">
        <v>4.35</v>
      </c>
      <c r="C55" t="n">
        <v>2238.721139</v>
      </c>
      <c r="D55" s="10" t="inlineStr">
        <is>
          <t>Chondrichthyans</t>
        </is>
      </c>
      <c r="E55" t="n">
        <v>100.341534</v>
      </c>
      <c r="F55" t="n">
        <v>2800.516289</v>
      </c>
      <c r="G55" t="n">
        <v>2536.048955</v>
      </c>
      <c r="H55" t="n">
        <v>9811.545592</v>
      </c>
      <c r="I55" t="n">
        <v>3407.596957</v>
      </c>
      <c r="J55" t="n">
        <v>3611.409494</v>
      </c>
      <c r="K55" t="n">
        <v>2037.670189</v>
      </c>
      <c r="L55" t="n">
        <v>7571.338585</v>
      </c>
      <c r="M55" t="n">
        <v>7571.338585</v>
      </c>
      <c r="N55" t="n">
        <v>7571.338585</v>
      </c>
      <c r="O55" t="n">
        <v>-1529.398807</v>
      </c>
      <c r="P55" t="n">
        <v>-1805.569841</v>
      </c>
      <c r="Q55" t="n">
        <v>7571.338585</v>
      </c>
      <c r="S55" t="n">
        <v>-1529.398807</v>
      </c>
      <c r="U55" t="n">
        <v>1165.112786</v>
      </c>
      <c r="V55" t="n">
        <v>1204.974224</v>
      </c>
      <c r="W55" t="n">
        <v>32225.773579</v>
      </c>
      <c r="X55" t="n">
        <v>9364.462680000001</v>
      </c>
    </row>
    <row r="56" ht="21" customHeight="1">
      <c r="A56" t="inlineStr">
        <is>
          <t>Isacia conceptionis</t>
        </is>
      </c>
      <c r="B56" t="n">
        <v>2.91</v>
      </c>
      <c r="C56" t="n">
        <v>81.283052</v>
      </c>
      <c r="D56" s="10" t="inlineStr">
        <is>
          <t>Medium demersal fish</t>
        </is>
      </c>
      <c r="E56" t="n">
        <v>100.341534</v>
      </c>
      <c r="F56" t="n">
        <v>150.446864</v>
      </c>
      <c r="G56" t="n">
        <v>141.309763</v>
      </c>
      <c r="H56" t="n">
        <v>337.73726</v>
      </c>
      <c r="I56" t="n">
        <v>88.13505000000001</v>
      </c>
      <c r="J56" t="n">
        <v>88.674589</v>
      </c>
      <c r="K56" t="n">
        <v>72.72711099999999</v>
      </c>
      <c r="L56" t="n">
        <v>68.19949200000001</v>
      </c>
      <c r="M56" t="n">
        <v>68.19949200000001</v>
      </c>
      <c r="N56" t="n">
        <v>68.19949200000001</v>
      </c>
      <c r="O56" t="n">
        <v>-298.793821</v>
      </c>
      <c r="P56" t="n">
        <v>-775.135045</v>
      </c>
      <c r="Q56" t="n">
        <v>68.19949200000001</v>
      </c>
      <c r="S56" t="n">
        <v>-298.793821</v>
      </c>
      <c r="U56" t="n">
        <v>395.804253</v>
      </c>
      <c r="V56" t="n">
        <v>411.516374</v>
      </c>
      <c r="W56" t="n">
        <v>4936.646121</v>
      </c>
      <c r="X56" t="n">
        <v>76.95169799999999</v>
      </c>
    </row>
    <row r="57" ht="21" customHeight="1">
      <c r="A57" t="inlineStr">
        <is>
          <t>Genypterus maculatus</t>
        </is>
      </c>
      <c r="B57" t="n">
        <v>3.48</v>
      </c>
      <c r="C57" t="n">
        <v>301.995172</v>
      </c>
      <c r="D57" s="10" t="inlineStr">
        <is>
          <t>Unresolved</t>
        </is>
      </c>
    </row>
    <row r="58" ht="21" customHeight="1">
      <c r="A58" t="inlineStr">
        <is>
          <t>Batoidea</t>
        </is>
      </c>
      <c r="B58" t="n">
        <v>3.72</v>
      </c>
      <c r="C58" t="n">
        <v>524.80746</v>
      </c>
      <c r="D58" s="10" t="inlineStr">
        <is>
          <t>Benthic elasmobranchs</t>
        </is>
      </c>
      <c r="E58" t="n">
        <v>100.341534</v>
      </c>
      <c r="F58" t="n">
        <v>227.672107</v>
      </c>
      <c r="G58" t="n">
        <v>212.74056</v>
      </c>
      <c r="H58" t="n">
        <v>1440.71119</v>
      </c>
      <c r="I58" t="n">
        <v>5821.032484</v>
      </c>
      <c r="J58" t="n">
        <v>5832.493715</v>
      </c>
      <c r="K58" t="n">
        <v>3842.014077</v>
      </c>
      <c r="L58" t="n">
        <v>7895.724163</v>
      </c>
      <c r="M58" t="n">
        <v>7895.724163</v>
      </c>
      <c r="N58" t="n">
        <v>7895.724163</v>
      </c>
      <c r="O58" t="n">
        <v>-486.538743</v>
      </c>
      <c r="P58" t="n">
        <v>-1040.287329</v>
      </c>
      <c r="Q58" t="n">
        <v>7895.724163</v>
      </c>
      <c r="S58" t="n">
        <v>-486.538743</v>
      </c>
      <c r="U58" t="n">
        <v>552.923044</v>
      </c>
      <c r="V58" t="n">
        <v>574.301321</v>
      </c>
      <c r="W58" t="n">
        <v>8947.059363</v>
      </c>
      <c r="X58" t="n">
        <v>9306.463404</v>
      </c>
    </row>
    <row r="59" ht="21" customHeight="1">
      <c r="A59" t="inlineStr">
        <is>
          <t>Pyura chilensis</t>
        </is>
      </c>
      <c r="B59" t="n">
        <v>3</v>
      </c>
      <c r="C59" t="n">
        <v>100</v>
      </c>
      <c r="D59" s="10" t="inlineStr">
        <is>
          <t>Macrobenthos</t>
        </is>
      </c>
      <c r="E59" t="n">
        <v>100.341534</v>
      </c>
      <c r="F59" t="n">
        <v>10</v>
      </c>
      <c r="G59" t="n">
        <v>9.716343999999999</v>
      </c>
      <c r="H59" t="n">
        <v>7.967402</v>
      </c>
      <c r="I59" t="n">
        <v>8.646561</v>
      </c>
      <c r="J59" t="n">
        <v>8.646561</v>
      </c>
      <c r="K59" t="n">
        <v>6.833334</v>
      </c>
      <c r="L59" t="n">
        <v>0</v>
      </c>
      <c r="M59" t="n">
        <v>0</v>
      </c>
      <c r="N59" t="n">
        <v>0</v>
      </c>
      <c r="O59" t="n">
        <v>-52.690508</v>
      </c>
      <c r="P59" t="n">
        <v>-186.125074</v>
      </c>
      <c r="Q59" t="n">
        <v>-0</v>
      </c>
      <c r="S59" t="n">
        <v>-52.690508</v>
      </c>
      <c r="U59" t="n">
        <v>90.228787</v>
      </c>
      <c r="V59" t="n">
        <v>93.937016</v>
      </c>
      <c r="W59" t="n">
        <v>928.129669</v>
      </c>
      <c r="X59" t="n">
        <v>0</v>
      </c>
    </row>
    <row r="60" ht="21" customHeight="1">
      <c r="A60" t="inlineStr">
        <is>
          <t>Dissostichus eleginoides</t>
        </is>
      </c>
      <c r="B60" t="n">
        <v>3.96</v>
      </c>
      <c r="C60" t="n">
        <v>912.010839</v>
      </c>
      <c r="D60" s="10" t="inlineStr">
        <is>
          <t>Unresolved</t>
        </is>
      </c>
    </row>
    <row r="61" ht="21" customHeight="1">
      <c r="A61" t="inlineStr">
        <is>
          <t>Semele solida</t>
        </is>
      </c>
      <c r="B61" t="n">
        <v>2</v>
      </c>
      <c r="C61" t="n">
        <v>10</v>
      </c>
      <c r="D61" s="10" t="inlineStr">
        <is>
          <t>Macrobenthos</t>
        </is>
      </c>
      <c r="E61" t="n">
        <v>100.341534</v>
      </c>
      <c r="F61" t="n">
        <v>10</v>
      </c>
      <c r="G61" t="n">
        <v>9.716343999999999</v>
      </c>
      <c r="H61" t="n">
        <v>7.967402</v>
      </c>
      <c r="I61" t="n">
        <v>8.646561</v>
      </c>
      <c r="J61" t="n">
        <v>8.646561</v>
      </c>
      <c r="K61" t="n">
        <v>6.833334</v>
      </c>
      <c r="L61" t="n">
        <v>0</v>
      </c>
      <c r="M61" t="n">
        <v>0</v>
      </c>
      <c r="N61" t="n">
        <v>0</v>
      </c>
      <c r="O61" t="n">
        <v>-52.690508</v>
      </c>
      <c r="P61" t="n">
        <v>-186.125074</v>
      </c>
      <c r="Q61" t="n">
        <v>-0</v>
      </c>
      <c r="S61" t="n">
        <v>-52.690508</v>
      </c>
      <c r="U61" t="n">
        <v>90.228787</v>
      </c>
      <c r="V61" t="n">
        <v>93.937016</v>
      </c>
      <c r="W61" t="n">
        <v>928.129669</v>
      </c>
      <c r="X61" t="n">
        <v>0</v>
      </c>
    </row>
    <row r="62" ht="21" customHeight="1">
      <c r="A62" t="inlineStr">
        <is>
          <t>Ophichthus</t>
        </is>
      </c>
      <c r="B62" t="n">
        <v>4.05</v>
      </c>
      <c r="C62" t="n">
        <v>1122.018454</v>
      </c>
      <c r="D62" s="10" t="inlineStr">
        <is>
          <t>Unresolved</t>
        </is>
      </c>
    </row>
    <row r="63" ht="21" customHeight="1">
      <c r="A63" t="inlineStr">
        <is>
          <t>Xiphias gladius</t>
        </is>
      </c>
      <c r="B63" t="n">
        <v>4.53</v>
      </c>
      <c r="C63" t="n">
        <v>3388.441561</v>
      </c>
      <c r="D63" s="10" t="inlineStr">
        <is>
          <t>Unresolved</t>
        </is>
      </c>
    </row>
    <row r="64" ht="21" customHeight="1">
      <c r="A64" t="inlineStr">
        <is>
          <t>Tawera gayi</t>
        </is>
      </c>
      <c r="B64" t="n">
        <v>2</v>
      </c>
      <c r="C64" t="n">
        <v>10</v>
      </c>
      <c r="D64" s="10" t="inlineStr">
        <is>
          <t>Macrobenthos</t>
        </is>
      </c>
      <c r="E64" t="n">
        <v>100.341534</v>
      </c>
      <c r="F64" t="n">
        <v>10</v>
      </c>
      <c r="G64" t="n">
        <v>9.716343999999999</v>
      </c>
      <c r="H64" t="n">
        <v>7.967402</v>
      </c>
      <c r="I64" t="n">
        <v>8.646561</v>
      </c>
      <c r="J64" t="n">
        <v>8.646561</v>
      </c>
      <c r="K64" t="n">
        <v>6.833334</v>
      </c>
      <c r="L64" t="n">
        <v>0</v>
      </c>
      <c r="M64" t="n">
        <v>0</v>
      </c>
      <c r="N64" t="n">
        <v>0</v>
      </c>
      <c r="O64" t="n">
        <v>-52.690508</v>
      </c>
      <c r="P64" t="n">
        <v>-186.125074</v>
      </c>
      <c r="Q64" t="n">
        <v>-0</v>
      </c>
      <c r="S64" t="n">
        <v>-52.690508</v>
      </c>
      <c r="U64" t="n">
        <v>90.228787</v>
      </c>
      <c r="V64" t="n">
        <v>93.937016</v>
      </c>
      <c r="W64" t="n">
        <v>928.129669</v>
      </c>
      <c r="X64" t="n">
        <v>0</v>
      </c>
    </row>
    <row r="65" ht="21" customHeight="1">
      <c r="A65" t="inlineStr">
        <is>
          <t>Paralomis granulosa</t>
        </is>
      </c>
      <c r="B65" t="n">
        <v>2.3</v>
      </c>
      <c r="C65" t="n">
        <v>19.952623</v>
      </c>
      <c r="D65" s="10" t="inlineStr">
        <is>
          <t>Macrobenthos</t>
        </is>
      </c>
      <c r="E65" t="n">
        <v>100.341534</v>
      </c>
      <c r="F65" t="n">
        <v>10</v>
      </c>
      <c r="G65" t="n">
        <v>9.716343999999999</v>
      </c>
      <c r="H65" t="n">
        <v>7.967402</v>
      </c>
      <c r="I65" t="n">
        <v>8.646561</v>
      </c>
      <c r="J65" t="n">
        <v>8.646561</v>
      </c>
      <c r="K65" t="n">
        <v>6.833334</v>
      </c>
      <c r="L65" t="n">
        <v>0</v>
      </c>
      <c r="M65" t="n">
        <v>0</v>
      </c>
      <c r="N65" t="n">
        <v>0</v>
      </c>
      <c r="O65" t="n">
        <v>-52.690508</v>
      </c>
      <c r="P65" t="n">
        <v>-186.125074</v>
      </c>
      <c r="Q65" t="n">
        <v>-0</v>
      </c>
      <c r="S65" t="n">
        <v>-52.690508</v>
      </c>
      <c r="U65" t="n">
        <v>90.228787</v>
      </c>
      <c r="V65" t="n">
        <v>93.937016</v>
      </c>
      <c r="W65" t="n">
        <v>928.129669</v>
      </c>
      <c r="X65" t="n">
        <v>0</v>
      </c>
    </row>
    <row r="66" ht="21" customHeight="1">
      <c r="A66" t="inlineStr">
        <is>
          <t>Isurus oxyrinchus</t>
        </is>
      </c>
      <c r="B66" t="n">
        <v>4.5</v>
      </c>
      <c r="C66" t="n">
        <v>3162.27766</v>
      </c>
      <c r="D66" s="10" t="inlineStr">
        <is>
          <t>Chondrichthyans</t>
        </is>
      </c>
      <c r="E66" t="n">
        <v>100.341534</v>
      </c>
      <c r="F66" t="n">
        <v>2800.516289</v>
      </c>
      <c r="G66" t="n">
        <v>2536.048955</v>
      </c>
      <c r="H66" t="n">
        <v>9811.545592</v>
      </c>
      <c r="I66" t="n">
        <v>3407.596957</v>
      </c>
      <c r="J66" t="n">
        <v>3611.409494</v>
      </c>
      <c r="K66" t="n">
        <v>2037.670189</v>
      </c>
      <c r="L66" t="n">
        <v>7571.338585</v>
      </c>
      <c r="M66" t="n">
        <v>7571.338585</v>
      </c>
      <c r="N66" t="n">
        <v>7571.338585</v>
      </c>
      <c r="O66" t="n">
        <v>-1529.398807</v>
      </c>
      <c r="P66" t="n">
        <v>-1805.569841</v>
      </c>
      <c r="Q66" t="n">
        <v>7571.338585</v>
      </c>
      <c r="S66" t="n">
        <v>-1529.398807</v>
      </c>
      <c r="U66" t="n">
        <v>1165.112786</v>
      </c>
      <c r="V66" t="n">
        <v>1204.974224</v>
      </c>
      <c r="W66" t="n">
        <v>32225.773579</v>
      </c>
      <c r="X66" t="n">
        <v>9364.462680000001</v>
      </c>
    </row>
    <row r="67" ht="21" customHeight="1">
      <c r="A67" t="inlineStr">
        <is>
          <t>Lithodes</t>
        </is>
      </c>
      <c r="D67" s="10" t="inlineStr">
        <is>
          <t>Macrobenthos</t>
        </is>
      </c>
      <c r="E67" t="n">
        <v>100.341534</v>
      </c>
      <c r="F67" t="n">
        <v>10</v>
      </c>
      <c r="G67" t="n">
        <v>9.716343999999999</v>
      </c>
      <c r="H67" t="n">
        <v>7.967402</v>
      </c>
      <c r="I67" t="n">
        <v>8.646561</v>
      </c>
      <c r="J67" t="n">
        <v>8.646561</v>
      </c>
      <c r="K67" t="n">
        <v>6.833334</v>
      </c>
      <c r="L67" t="n">
        <v>0</v>
      </c>
      <c r="M67" t="n">
        <v>0</v>
      </c>
      <c r="N67" t="n">
        <v>0</v>
      </c>
      <c r="O67" t="n">
        <v>-52.690508</v>
      </c>
      <c r="P67" t="n">
        <v>-186.125074</v>
      </c>
      <c r="Q67" t="n">
        <v>-0</v>
      </c>
      <c r="S67" t="n">
        <v>-52.690508</v>
      </c>
      <c r="U67" t="n">
        <v>90.228787</v>
      </c>
      <c r="V67" t="n">
        <v>93.937016</v>
      </c>
      <c r="W67" t="n">
        <v>928.129669</v>
      </c>
      <c r="X67" t="n">
        <v>0</v>
      </c>
    </row>
    <row r="68" ht="21" customHeight="1">
      <c r="A68" t="inlineStr">
        <is>
          <t>Caulolatilus</t>
        </is>
      </c>
      <c r="B68" t="n">
        <v>4.28</v>
      </c>
      <c r="C68" t="n">
        <v>1905.460718</v>
      </c>
      <c r="D68" s="10" t="inlineStr">
        <is>
          <t>Medium demersal fish</t>
        </is>
      </c>
      <c r="E68" t="n">
        <v>100.341534</v>
      </c>
      <c r="F68" t="n">
        <v>150.446864</v>
      </c>
      <c r="G68" t="n">
        <v>141.309763</v>
      </c>
      <c r="H68" t="n">
        <v>337.73726</v>
      </c>
      <c r="I68" t="n">
        <v>88.13505000000001</v>
      </c>
      <c r="J68" t="n">
        <v>88.674589</v>
      </c>
      <c r="K68" t="n">
        <v>72.72711099999999</v>
      </c>
      <c r="L68" t="n">
        <v>68.19949200000001</v>
      </c>
      <c r="M68" t="n">
        <v>68.19949200000001</v>
      </c>
      <c r="N68" t="n">
        <v>68.19949200000001</v>
      </c>
      <c r="O68" t="n">
        <v>-298.793821</v>
      </c>
      <c r="P68" t="n">
        <v>-775.135045</v>
      </c>
      <c r="Q68" t="n">
        <v>68.19949200000001</v>
      </c>
      <c r="S68" t="n">
        <v>-298.793821</v>
      </c>
      <c r="U68" t="n">
        <v>395.804253</v>
      </c>
      <c r="V68" t="n">
        <v>411.516374</v>
      </c>
      <c r="W68" t="n">
        <v>4936.646121</v>
      </c>
      <c r="X68" t="n">
        <v>76.95169799999999</v>
      </c>
    </row>
    <row r="69" ht="21" customHeight="1">
      <c r="A69" t="inlineStr">
        <is>
          <t>Salilota australis</t>
        </is>
      </c>
      <c r="D69" s="10" t="inlineStr">
        <is>
          <t>Unresolved</t>
        </is>
      </c>
    </row>
    <row r="70" ht="21" customHeight="1">
      <c r="A70" t="inlineStr">
        <is>
          <t>Pseudobatos planiceps</t>
        </is>
      </c>
      <c r="B70" t="n">
        <v>3.56</v>
      </c>
      <c r="C70" t="n">
        <v>363.078055</v>
      </c>
      <c r="D70" s="10" t="inlineStr">
        <is>
          <t>Benthic elasmobranchs</t>
        </is>
      </c>
      <c r="E70" t="n">
        <v>100.341534</v>
      </c>
      <c r="F70" t="n">
        <v>227.672107</v>
      </c>
      <c r="G70" t="n">
        <v>212.74056</v>
      </c>
      <c r="H70" t="n">
        <v>1440.71119</v>
      </c>
      <c r="I70" t="n">
        <v>5821.032484</v>
      </c>
      <c r="J70" t="n">
        <v>5832.493715</v>
      </c>
      <c r="K70" t="n">
        <v>3842.014077</v>
      </c>
      <c r="L70" t="n">
        <v>7895.724163</v>
      </c>
      <c r="M70" t="n">
        <v>7895.724163</v>
      </c>
      <c r="N70" t="n">
        <v>7895.724163</v>
      </c>
      <c r="O70" t="n">
        <v>-486.538743</v>
      </c>
      <c r="P70" t="n">
        <v>-1040.287329</v>
      </c>
      <c r="Q70" t="n">
        <v>7895.724163</v>
      </c>
      <c r="S70" t="n">
        <v>-486.538743</v>
      </c>
      <c r="U70" t="n">
        <v>552.923044</v>
      </c>
      <c r="V70" t="n">
        <v>574.301321</v>
      </c>
      <c r="W70" t="n">
        <v>8947.059363</v>
      </c>
      <c r="X70" t="n">
        <v>9306.463404</v>
      </c>
    </row>
    <row r="71" ht="36" customHeight="1">
      <c r="A71" t="inlineStr">
        <is>
          <t>Marine pelagic fishes not identified</t>
        </is>
      </c>
      <c r="B71" t="n">
        <v>3.35</v>
      </c>
      <c r="C71" t="n">
        <v>223.872114</v>
      </c>
      <c r="D71" s="10" t="inlineStr">
        <is>
          <t>Other small pelagic fish | Other large pelagic fish</t>
        </is>
      </c>
      <c r="E71" t="n">
        <v>100.341534</v>
      </c>
      <c r="F71" t="n">
        <v>373.97742</v>
      </c>
      <c r="G71" t="n">
        <v>345.322645</v>
      </c>
      <c r="H71" t="n">
        <v>985.991081</v>
      </c>
      <c r="I71" t="n">
        <v>356.671597</v>
      </c>
      <c r="J71" t="n">
        <v>367.560402</v>
      </c>
      <c r="K71" t="n">
        <v>203.272658</v>
      </c>
      <c r="L71" t="n">
        <v>634.9983089999999</v>
      </c>
      <c r="M71" t="n">
        <v>634.9983089999999</v>
      </c>
      <c r="N71" t="n">
        <v>634.9983089999999</v>
      </c>
      <c r="O71" t="n">
        <v>-251.14262</v>
      </c>
      <c r="P71" t="n">
        <v>-379.809851</v>
      </c>
      <c r="Q71" t="n">
        <v>634.9983089999999</v>
      </c>
      <c r="S71" t="n">
        <v>-251.14262</v>
      </c>
      <c r="U71" t="n">
        <v>260.424639</v>
      </c>
      <c r="V71" t="n">
        <v>269.015436</v>
      </c>
      <c r="W71" t="n">
        <v>5657.355668</v>
      </c>
      <c r="X71" t="n">
        <v>760.338239</v>
      </c>
    </row>
    <row r="72" ht="21" customHeight="1">
      <c r="A72" t="inlineStr">
        <is>
          <t>Coryphaena</t>
        </is>
      </c>
      <c r="B72" t="n">
        <v>4.49</v>
      </c>
      <c r="C72" t="n">
        <v>3090.295433</v>
      </c>
      <c r="D72" s="10" t="inlineStr">
        <is>
          <t>Other large pelagic fish</t>
        </is>
      </c>
      <c r="E72" t="n">
        <v>100.341534</v>
      </c>
      <c r="F72" t="n">
        <v>721.5611730000001</v>
      </c>
      <c r="G72" t="n">
        <v>664.588831</v>
      </c>
      <c r="H72" t="n">
        <v>1922.667229</v>
      </c>
      <c r="I72" t="n">
        <v>706.388691</v>
      </c>
      <c r="J72" t="n">
        <v>729.176823</v>
      </c>
      <c r="K72" t="n">
        <v>389.360329</v>
      </c>
      <c r="L72" t="n">
        <v>1277.756768</v>
      </c>
      <c r="M72" t="n">
        <v>1277.756768</v>
      </c>
      <c r="N72" t="n">
        <v>1277.756768</v>
      </c>
      <c r="O72" t="n">
        <v>-480.629183</v>
      </c>
      <c r="P72" t="n">
        <v>-710.36627</v>
      </c>
      <c r="Q72" t="n">
        <v>1277.756768</v>
      </c>
      <c r="S72" t="n">
        <v>-480.629183</v>
      </c>
      <c r="U72" t="n">
        <v>482.977051</v>
      </c>
      <c r="V72" t="n">
        <v>498.989546</v>
      </c>
      <c r="W72" t="n">
        <v>10482.764702</v>
      </c>
      <c r="X72" t="n">
        <v>1534.363238</v>
      </c>
    </row>
    <row r="73" ht="21" customHeight="1">
      <c r="A73" t="inlineStr">
        <is>
          <t>Paralichthys microps</t>
        </is>
      </c>
      <c r="B73" t="n">
        <v>4.04</v>
      </c>
      <c r="C73" t="n">
        <v>1096.478196</v>
      </c>
      <c r="D73" s="10" t="inlineStr">
        <is>
          <t>Flatfish</t>
        </is>
      </c>
      <c r="E73" t="n">
        <v>100.341534</v>
      </c>
      <c r="F73" t="n">
        <v>734.481858</v>
      </c>
      <c r="G73" t="n">
        <v>676.339308</v>
      </c>
      <c r="H73" t="n">
        <v>2029.750446</v>
      </c>
      <c r="I73" t="n">
        <v>329.939479</v>
      </c>
      <c r="J73" t="n">
        <v>329.939479</v>
      </c>
      <c r="K73" t="n">
        <v>328.441152</v>
      </c>
      <c r="L73" t="n">
        <v>310.666808</v>
      </c>
      <c r="M73" t="n">
        <v>310.666808</v>
      </c>
      <c r="N73" t="n">
        <v>310.666808</v>
      </c>
      <c r="O73" t="n">
        <v>-921.644531</v>
      </c>
      <c r="P73" t="n">
        <v>-1867.948168</v>
      </c>
      <c r="Q73" t="n">
        <v>310.666808</v>
      </c>
      <c r="S73" t="n">
        <v>-921.644531</v>
      </c>
      <c r="U73" t="n">
        <v>988.618759</v>
      </c>
      <c r="V73" t="n">
        <v>1026.949166</v>
      </c>
      <c r="W73" t="n">
        <v>19457.939662</v>
      </c>
      <c r="X73" t="n">
        <v>355.992575</v>
      </c>
    </row>
    <row r="74" ht="21" customHeight="1">
      <c r="A74" t="inlineStr">
        <is>
          <t>Selene peruviana</t>
        </is>
      </c>
      <c r="B74" t="n">
        <v>4.26</v>
      </c>
      <c r="C74" t="n">
        <v>1819.700859</v>
      </c>
      <c r="D74" s="10" t="inlineStr">
        <is>
          <t>Other small pelagic fish</t>
        </is>
      </c>
      <c r="E74" t="n">
        <v>100.341534</v>
      </c>
      <c r="F74" t="n">
        <v>55.911353</v>
      </c>
      <c r="G74" t="n">
        <v>53.169346</v>
      </c>
      <c r="H74" t="n">
        <v>128.859826</v>
      </c>
      <c r="I74" t="n">
        <v>36.653357</v>
      </c>
      <c r="J74" t="n">
        <v>36.653357</v>
      </c>
      <c r="K74" t="n">
        <v>32.988021</v>
      </c>
      <c r="L74" t="n">
        <v>46.824515</v>
      </c>
      <c r="M74" t="n">
        <v>46.824515</v>
      </c>
      <c r="N74" t="n">
        <v>46.824515</v>
      </c>
      <c r="O74" t="n">
        <v>-41.144634</v>
      </c>
      <c r="P74" t="n">
        <v>-77.325115</v>
      </c>
      <c r="Q74" t="n">
        <v>46.824515</v>
      </c>
      <c r="S74" t="n">
        <v>-41.144634</v>
      </c>
      <c r="U74" t="n">
        <v>56.771937</v>
      </c>
      <c r="V74" t="n">
        <v>58.571306</v>
      </c>
      <c r="W74" t="n">
        <v>1241.732501</v>
      </c>
      <c r="X74" t="n">
        <v>52.045388</v>
      </c>
    </row>
    <row r="75" ht="21" customHeight="1">
      <c r="A75" t="inlineStr">
        <is>
          <t>Lithodes santolla</t>
        </is>
      </c>
      <c r="B75" t="n">
        <v>2.5</v>
      </c>
      <c r="C75" t="n">
        <v>31.622777</v>
      </c>
      <c r="D75" s="10" t="inlineStr">
        <is>
          <t>Macrobenthos</t>
        </is>
      </c>
      <c r="E75" t="n">
        <v>100.341534</v>
      </c>
      <c r="F75" t="n">
        <v>10</v>
      </c>
      <c r="G75" t="n">
        <v>9.716343999999999</v>
      </c>
      <c r="H75" t="n">
        <v>7.967402</v>
      </c>
      <c r="I75" t="n">
        <v>8.646561</v>
      </c>
      <c r="J75" t="n">
        <v>8.646561</v>
      </c>
      <c r="K75" t="n">
        <v>6.833334</v>
      </c>
      <c r="L75" t="n">
        <v>0</v>
      </c>
      <c r="M75" t="n">
        <v>0</v>
      </c>
      <c r="N75" t="n">
        <v>0</v>
      </c>
      <c r="O75" t="n">
        <v>-52.690508</v>
      </c>
      <c r="P75" t="n">
        <v>-186.125074</v>
      </c>
      <c r="Q75" t="n">
        <v>-0</v>
      </c>
      <c r="S75" t="n">
        <v>-52.690508</v>
      </c>
      <c r="U75" t="n">
        <v>90.228787</v>
      </c>
      <c r="V75" t="n">
        <v>93.937016</v>
      </c>
      <c r="W75" t="n">
        <v>928.129669</v>
      </c>
      <c r="X75" t="n">
        <v>0</v>
      </c>
    </row>
    <row r="76" ht="21" customHeight="1">
      <c r="A76" t="inlineStr">
        <is>
          <t>Scomberomorus sierra</t>
        </is>
      </c>
      <c r="B76" t="n">
        <v>4.49</v>
      </c>
      <c r="C76" t="n">
        <v>3090.295433</v>
      </c>
      <c r="D76" s="10" t="inlineStr">
        <is>
          <t>Other large pelagic fish</t>
        </is>
      </c>
      <c r="E76" t="n">
        <v>100.341534</v>
      </c>
      <c r="F76" t="n">
        <v>721.5611730000001</v>
      </c>
      <c r="G76" t="n">
        <v>664.588831</v>
      </c>
      <c r="H76" t="n">
        <v>1922.667229</v>
      </c>
      <c r="I76" t="n">
        <v>706.388691</v>
      </c>
      <c r="J76" t="n">
        <v>729.176823</v>
      </c>
      <c r="K76" t="n">
        <v>389.360329</v>
      </c>
      <c r="L76" t="n">
        <v>1277.756768</v>
      </c>
      <c r="M76" t="n">
        <v>1277.756768</v>
      </c>
      <c r="N76" t="n">
        <v>1277.756768</v>
      </c>
      <c r="O76" t="n">
        <v>-480.629183</v>
      </c>
      <c r="P76" t="n">
        <v>-710.36627</v>
      </c>
      <c r="Q76" t="n">
        <v>1277.756768</v>
      </c>
      <c r="S76" t="n">
        <v>-480.629183</v>
      </c>
      <c r="U76" t="n">
        <v>482.977051</v>
      </c>
      <c r="V76" t="n">
        <v>498.989546</v>
      </c>
      <c r="W76" t="n">
        <v>10482.764702</v>
      </c>
      <c r="X76" t="n">
        <v>1534.363238</v>
      </c>
    </row>
    <row r="77" ht="21" customHeight="1">
      <c r="A77" t="inlineStr">
        <is>
          <t>Paralichthyidae</t>
        </is>
      </c>
      <c r="B77" t="n">
        <v>4.06</v>
      </c>
      <c r="C77" t="n">
        <v>1148.153621</v>
      </c>
      <c r="D77" s="10" t="inlineStr">
        <is>
          <t>Flatfish</t>
        </is>
      </c>
      <c r="E77" t="n">
        <v>100.341534</v>
      </c>
      <c r="F77" t="n">
        <v>734.481858</v>
      </c>
      <c r="G77" t="n">
        <v>676.339308</v>
      </c>
      <c r="H77" t="n">
        <v>2029.750446</v>
      </c>
      <c r="I77" t="n">
        <v>329.939479</v>
      </c>
      <c r="J77" t="n">
        <v>329.939479</v>
      </c>
      <c r="K77" t="n">
        <v>328.441152</v>
      </c>
      <c r="L77" t="n">
        <v>310.666808</v>
      </c>
      <c r="M77" t="n">
        <v>310.666808</v>
      </c>
      <c r="N77" t="n">
        <v>310.666808</v>
      </c>
      <c r="O77" t="n">
        <v>-921.644531</v>
      </c>
      <c r="P77" t="n">
        <v>-1867.948168</v>
      </c>
      <c r="Q77" t="n">
        <v>310.666808</v>
      </c>
      <c r="S77" t="n">
        <v>-921.644531</v>
      </c>
      <c r="U77" t="n">
        <v>988.618759</v>
      </c>
      <c r="V77" t="n">
        <v>1026.949166</v>
      </c>
      <c r="W77" t="n">
        <v>19457.939662</v>
      </c>
      <c r="X77" t="n">
        <v>355.992575</v>
      </c>
    </row>
    <row r="78" ht="21" customHeight="1">
      <c r="A78" t="inlineStr">
        <is>
          <t>Larimus pacificus</t>
        </is>
      </c>
      <c r="B78" t="n">
        <v>4.46</v>
      </c>
      <c r="C78" t="n">
        <v>2884.031503</v>
      </c>
      <c r="D78" s="10" t="inlineStr">
        <is>
          <t>Medium sciaenids</t>
        </is>
      </c>
      <c r="E78" t="n">
        <v>100.341534</v>
      </c>
      <c r="F78" t="n">
        <v>206.3558</v>
      </c>
      <c r="G78" t="n">
        <v>193.059284</v>
      </c>
      <c r="H78" t="n">
        <v>683.640357</v>
      </c>
      <c r="I78" t="n">
        <v>3050.711354</v>
      </c>
      <c r="J78" t="n">
        <v>3051.851219</v>
      </c>
      <c r="K78" t="n">
        <v>2166.270587</v>
      </c>
      <c r="L78" t="n">
        <v>4929.788538</v>
      </c>
      <c r="M78" t="n">
        <v>4929.788538</v>
      </c>
      <c r="N78" t="n">
        <v>4929.788538</v>
      </c>
      <c r="O78" t="n">
        <v>-365.686595</v>
      </c>
      <c r="P78" t="n">
        <v>-845.520295</v>
      </c>
      <c r="Q78" t="n">
        <v>4929.788538</v>
      </c>
      <c r="S78" t="n">
        <v>-365.686595</v>
      </c>
      <c r="U78" t="n">
        <v>449.81309</v>
      </c>
      <c r="V78" t="n">
        <v>467.19433</v>
      </c>
      <c r="W78" t="n">
        <v>8372.087826000001</v>
      </c>
      <c r="X78" t="n">
        <v>5849.300316</v>
      </c>
    </row>
    <row r="79" ht="21" customHeight="1">
      <c r="A79" t="inlineStr">
        <is>
          <t>Mulinia</t>
        </is>
      </c>
      <c r="B79" t="n">
        <v>2</v>
      </c>
      <c r="C79" t="n">
        <v>10</v>
      </c>
      <c r="D79" s="10" t="inlineStr">
        <is>
          <t>Macrobenthos</t>
        </is>
      </c>
      <c r="E79" t="n">
        <v>100.341534</v>
      </c>
      <c r="F79" t="n">
        <v>10</v>
      </c>
      <c r="G79" t="n">
        <v>9.716343999999999</v>
      </c>
      <c r="H79" t="n">
        <v>7.967402</v>
      </c>
      <c r="I79" t="n">
        <v>8.646561</v>
      </c>
      <c r="J79" t="n">
        <v>8.646561</v>
      </c>
      <c r="K79" t="n">
        <v>6.833334</v>
      </c>
      <c r="L79" t="n">
        <v>0</v>
      </c>
      <c r="M79" t="n">
        <v>0</v>
      </c>
      <c r="N79" t="n">
        <v>0</v>
      </c>
      <c r="O79" t="n">
        <v>-52.690508</v>
      </c>
      <c r="P79" t="n">
        <v>-186.125074</v>
      </c>
      <c r="Q79" t="n">
        <v>-0</v>
      </c>
      <c r="S79" t="n">
        <v>-52.690508</v>
      </c>
      <c r="U79" t="n">
        <v>90.228787</v>
      </c>
      <c r="V79" t="n">
        <v>93.937016</v>
      </c>
      <c r="W79" t="n">
        <v>928.129669</v>
      </c>
      <c r="X79" t="n">
        <v>0</v>
      </c>
    </row>
    <row r="80" ht="21" customHeight="1">
      <c r="A80" t="inlineStr">
        <is>
          <t>Mollusca</t>
        </is>
      </c>
      <c r="B80" t="n">
        <v>2.1</v>
      </c>
      <c r="C80" t="n">
        <v>12.589254</v>
      </c>
      <c r="D80" s="10" t="inlineStr">
        <is>
          <t>Macrobenthos</t>
        </is>
      </c>
      <c r="E80" t="n">
        <v>100.341534</v>
      </c>
      <c r="F80" t="n">
        <v>10</v>
      </c>
      <c r="G80" t="n">
        <v>9.716343999999999</v>
      </c>
      <c r="H80" t="n">
        <v>7.967402</v>
      </c>
      <c r="I80" t="n">
        <v>8.646561</v>
      </c>
      <c r="J80" t="n">
        <v>8.646561</v>
      </c>
      <c r="K80" t="n">
        <v>6.833334</v>
      </c>
      <c r="L80" t="n">
        <v>0</v>
      </c>
      <c r="M80" t="n">
        <v>0</v>
      </c>
      <c r="N80" t="n">
        <v>0</v>
      </c>
      <c r="O80" t="n">
        <v>-52.690508</v>
      </c>
      <c r="P80" t="n">
        <v>-186.125074</v>
      </c>
      <c r="Q80" t="n">
        <v>-0</v>
      </c>
      <c r="S80" t="n">
        <v>-52.690508</v>
      </c>
      <c r="U80" t="n">
        <v>90.228787</v>
      </c>
      <c r="V80" t="n">
        <v>93.937016</v>
      </c>
      <c r="W80" t="n">
        <v>928.129669</v>
      </c>
      <c r="X80" t="n">
        <v>0</v>
      </c>
    </row>
    <row r="81" ht="21" customHeight="1">
      <c r="A81" t="inlineStr">
        <is>
          <t>Seriolella caerulea</t>
        </is>
      </c>
      <c r="B81" t="n">
        <v>3.42</v>
      </c>
      <c r="C81" t="n">
        <v>263.026799</v>
      </c>
      <c r="D81" s="10" t="inlineStr">
        <is>
          <t>Unresolved</t>
        </is>
      </c>
    </row>
    <row r="82" ht="21" customHeight="1">
      <c r="A82" t="inlineStr">
        <is>
          <t>Sphyrna zygaena</t>
        </is>
      </c>
      <c r="B82" t="n">
        <v>4.94</v>
      </c>
      <c r="C82" t="n">
        <v>8709.635899999999</v>
      </c>
      <c r="D82" s="10" t="inlineStr">
        <is>
          <t>Chondrichthyans</t>
        </is>
      </c>
      <c r="E82" t="n">
        <v>100.341534</v>
      </c>
      <c r="F82" t="n">
        <v>2800.516289</v>
      </c>
      <c r="G82" t="n">
        <v>2536.048955</v>
      </c>
      <c r="H82" t="n">
        <v>9811.545592</v>
      </c>
      <c r="I82" t="n">
        <v>3407.596957</v>
      </c>
      <c r="J82" t="n">
        <v>3611.409494</v>
      </c>
      <c r="K82" t="n">
        <v>2037.670189</v>
      </c>
      <c r="L82" t="n">
        <v>7571.338585</v>
      </c>
      <c r="M82" t="n">
        <v>7571.338585</v>
      </c>
      <c r="N82" t="n">
        <v>7571.338585</v>
      </c>
      <c r="O82" t="n">
        <v>-1529.398807</v>
      </c>
      <c r="P82" t="n">
        <v>-1805.569841</v>
      </c>
      <c r="Q82" t="n">
        <v>7571.338585</v>
      </c>
      <c r="S82" t="n">
        <v>-1529.398807</v>
      </c>
      <c r="U82" t="n">
        <v>1165.112786</v>
      </c>
      <c r="V82" t="n">
        <v>1204.974224</v>
      </c>
      <c r="W82" t="n">
        <v>32225.773579</v>
      </c>
      <c r="X82" t="n">
        <v>9364.462680000001</v>
      </c>
    </row>
    <row r="83" ht="21" customHeight="1">
      <c r="A83" t="inlineStr">
        <is>
          <t>Leukoma thaca</t>
        </is>
      </c>
      <c r="B83" t="n">
        <v>2</v>
      </c>
      <c r="C83" t="n">
        <v>10</v>
      </c>
      <c r="D83" s="10" t="inlineStr">
        <is>
          <t>Macrobenthos</t>
        </is>
      </c>
      <c r="E83" t="n">
        <v>100.341534</v>
      </c>
      <c r="F83" t="n">
        <v>10</v>
      </c>
      <c r="G83" t="n">
        <v>9.716343999999999</v>
      </c>
      <c r="H83" t="n">
        <v>7.967402</v>
      </c>
      <c r="I83" t="n">
        <v>8.646561</v>
      </c>
      <c r="J83" t="n">
        <v>8.646561</v>
      </c>
      <c r="K83" t="n">
        <v>6.833334</v>
      </c>
      <c r="L83" t="n">
        <v>0</v>
      </c>
      <c r="M83" t="n">
        <v>0</v>
      </c>
      <c r="N83" t="n">
        <v>0</v>
      </c>
      <c r="O83" t="n">
        <v>-52.690508</v>
      </c>
      <c r="P83" t="n">
        <v>-186.125074</v>
      </c>
      <c r="Q83" t="n">
        <v>-0</v>
      </c>
      <c r="S83" t="n">
        <v>-52.690508</v>
      </c>
      <c r="U83" t="n">
        <v>90.228787</v>
      </c>
      <c r="V83" t="n">
        <v>93.937016</v>
      </c>
      <c r="W83" t="n">
        <v>928.129669</v>
      </c>
      <c r="X83" t="n">
        <v>0</v>
      </c>
    </row>
    <row r="84" ht="21" customHeight="1">
      <c r="A84" t="inlineStr">
        <is>
          <t>Serranidae</t>
        </is>
      </c>
      <c r="B84" t="n">
        <v>3.98</v>
      </c>
      <c r="C84" t="n">
        <v>954.992586</v>
      </c>
      <c r="D84" s="10" t="inlineStr">
        <is>
          <t>Medium demersal fish</t>
        </is>
      </c>
      <c r="E84" t="n">
        <v>100.341534</v>
      </c>
      <c r="F84" t="n">
        <v>150.446864</v>
      </c>
      <c r="G84" t="n">
        <v>141.309763</v>
      </c>
      <c r="H84" t="n">
        <v>337.73726</v>
      </c>
      <c r="I84" t="n">
        <v>88.13505000000001</v>
      </c>
      <c r="J84" t="n">
        <v>88.674589</v>
      </c>
      <c r="K84" t="n">
        <v>72.72711099999999</v>
      </c>
      <c r="L84" t="n">
        <v>68.19949200000001</v>
      </c>
      <c r="M84" t="n">
        <v>68.19949200000001</v>
      </c>
      <c r="N84" t="n">
        <v>68.19949200000001</v>
      </c>
      <c r="O84" t="n">
        <v>-298.793821</v>
      </c>
      <c r="P84" t="n">
        <v>-775.135045</v>
      </c>
      <c r="Q84" t="n">
        <v>68.19949200000001</v>
      </c>
      <c r="S84" t="n">
        <v>-298.793821</v>
      </c>
      <c r="U84" t="n">
        <v>395.804253</v>
      </c>
      <c r="V84" t="n">
        <v>411.516374</v>
      </c>
      <c r="W84" t="n">
        <v>4936.646121</v>
      </c>
      <c r="X84" t="n">
        <v>76.95169799999999</v>
      </c>
    </row>
    <row r="85" ht="21" customHeight="1">
      <c r="A85" t="inlineStr">
        <is>
          <t>Beryx splendens</t>
        </is>
      </c>
      <c r="D85" s="10" t="inlineStr">
        <is>
          <t>Unresolved</t>
        </is>
      </c>
    </row>
    <row r="86" ht="21" customHeight="1">
      <c r="A86" t="inlineStr">
        <is>
          <t>Choromytilus chorus</t>
        </is>
      </c>
      <c r="B86" t="n">
        <v>2</v>
      </c>
      <c r="C86" t="n">
        <v>10</v>
      </c>
      <c r="D86" s="10" t="inlineStr">
        <is>
          <t>Macrobenthos</t>
        </is>
      </c>
      <c r="E86" t="n">
        <v>100.341534</v>
      </c>
      <c r="F86" t="n">
        <v>10</v>
      </c>
      <c r="G86" t="n">
        <v>9.716343999999999</v>
      </c>
      <c r="H86" t="n">
        <v>7.967402</v>
      </c>
      <c r="I86" t="n">
        <v>8.646561</v>
      </c>
      <c r="J86" t="n">
        <v>8.646561</v>
      </c>
      <c r="K86" t="n">
        <v>6.833334</v>
      </c>
      <c r="L86" t="n">
        <v>0</v>
      </c>
      <c r="M86" t="n">
        <v>0</v>
      </c>
      <c r="N86" t="n">
        <v>0</v>
      </c>
      <c r="O86" t="n">
        <v>-52.690508</v>
      </c>
      <c r="P86" t="n">
        <v>-186.125074</v>
      </c>
      <c r="Q86" t="n">
        <v>-0</v>
      </c>
      <c r="S86" t="n">
        <v>-52.690508</v>
      </c>
      <c r="U86" t="n">
        <v>90.228787</v>
      </c>
      <c r="V86" t="n">
        <v>93.937016</v>
      </c>
      <c r="W86" t="n">
        <v>928.129669</v>
      </c>
      <c r="X86" t="n">
        <v>0</v>
      </c>
    </row>
    <row r="87" ht="21" customHeight="1">
      <c r="A87" t="inlineStr">
        <is>
          <t>Zearaja chilensis</t>
        </is>
      </c>
      <c r="B87" t="n">
        <v>4.46</v>
      </c>
      <c r="C87" t="n">
        <v>2884.031503</v>
      </c>
      <c r="D87" s="10" t="inlineStr">
        <is>
          <t>Benthic elasmobranchs</t>
        </is>
      </c>
      <c r="E87" t="n">
        <v>100.341534</v>
      </c>
      <c r="F87" t="n">
        <v>227.672107</v>
      </c>
      <c r="G87" t="n">
        <v>212.74056</v>
      </c>
      <c r="H87" t="n">
        <v>1440.71119</v>
      </c>
      <c r="I87" t="n">
        <v>5821.032484</v>
      </c>
      <c r="J87" t="n">
        <v>5832.493715</v>
      </c>
      <c r="K87" t="n">
        <v>3842.014077</v>
      </c>
      <c r="L87" t="n">
        <v>7895.724163</v>
      </c>
      <c r="M87" t="n">
        <v>7895.724163</v>
      </c>
      <c r="N87" t="n">
        <v>7895.724163</v>
      </c>
      <c r="O87" t="n">
        <v>-486.538743</v>
      </c>
      <c r="P87" t="n">
        <v>-1040.287329</v>
      </c>
      <c r="Q87" t="n">
        <v>7895.724163</v>
      </c>
      <c r="S87" t="n">
        <v>-486.538743</v>
      </c>
      <c r="U87" t="n">
        <v>552.923044</v>
      </c>
      <c r="V87" t="n">
        <v>574.301321</v>
      </c>
      <c r="W87" t="n">
        <v>8947.059363</v>
      </c>
      <c r="X87" t="n">
        <v>9306.463404</v>
      </c>
    </row>
    <row r="88" ht="21" customHeight="1">
      <c r="A88" t="inlineStr">
        <is>
          <t>Ameghinomya antiqua</t>
        </is>
      </c>
      <c r="B88" t="n">
        <v>2</v>
      </c>
      <c r="C88" t="n">
        <v>10</v>
      </c>
      <c r="D88" s="10" t="inlineStr">
        <is>
          <t>Macrobenthos</t>
        </is>
      </c>
      <c r="E88" t="n">
        <v>100.341534</v>
      </c>
      <c r="F88" t="n">
        <v>10</v>
      </c>
      <c r="G88" t="n">
        <v>9.716343999999999</v>
      </c>
      <c r="H88" t="n">
        <v>7.967402</v>
      </c>
      <c r="I88" t="n">
        <v>8.646561</v>
      </c>
      <c r="J88" t="n">
        <v>8.646561</v>
      </c>
      <c r="K88" t="n">
        <v>6.833334</v>
      </c>
      <c r="L88" t="n">
        <v>0</v>
      </c>
      <c r="M88" t="n">
        <v>0</v>
      </c>
      <c r="N88" t="n">
        <v>0</v>
      </c>
      <c r="O88" t="n">
        <v>-52.690508</v>
      </c>
      <c r="P88" t="n">
        <v>-186.125074</v>
      </c>
      <c r="Q88" t="n">
        <v>-0</v>
      </c>
      <c r="S88" t="n">
        <v>-52.690508</v>
      </c>
      <c r="U88" t="n">
        <v>90.228787</v>
      </c>
      <c r="V88" t="n">
        <v>93.937016</v>
      </c>
      <c r="W88" t="n">
        <v>928.129669</v>
      </c>
      <c r="X88" t="n">
        <v>0</v>
      </c>
    </row>
    <row r="89" ht="21" customHeight="1">
      <c r="A89" t="inlineStr">
        <is>
          <t>Fissurella maxima</t>
        </is>
      </c>
      <c r="B89" t="n">
        <v>2</v>
      </c>
      <c r="C89" t="n">
        <v>10</v>
      </c>
      <c r="D89" s="10" t="inlineStr">
        <is>
          <t>Macrobenthos</t>
        </is>
      </c>
      <c r="E89" t="n">
        <v>100.341534</v>
      </c>
      <c r="F89" t="n">
        <v>10</v>
      </c>
      <c r="G89" t="n">
        <v>9.716343999999999</v>
      </c>
      <c r="H89" t="n">
        <v>7.967402</v>
      </c>
      <c r="I89" t="n">
        <v>8.646561</v>
      </c>
      <c r="J89" t="n">
        <v>8.646561</v>
      </c>
      <c r="K89" t="n">
        <v>6.833334</v>
      </c>
      <c r="L89" t="n">
        <v>0</v>
      </c>
      <c r="M89" t="n">
        <v>0</v>
      </c>
      <c r="N89" t="n">
        <v>0</v>
      </c>
      <c r="O89" t="n">
        <v>-52.690508</v>
      </c>
      <c r="P89" t="n">
        <v>-186.125074</v>
      </c>
      <c r="Q89" t="n">
        <v>-0</v>
      </c>
      <c r="S89" t="n">
        <v>-52.690508</v>
      </c>
      <c r="U89" t="n">
        <v>90.228787</v>
      </c>
      <c r="V89" t="n">
        <v>93.937016</v>
      </c>
      <c r="W89" t="n">
        <v>928.129669</v>
      </c>
      <c r="X89" t="n">
        <v>0</v>
      </c>
    </row>
    <row r="90" ht="21" customHeight="1">
      <c r="A90" t="inlineStr">
        <is>
          <t>Tagelus dombeii</t>
        </is>
      </c>
      <c r="B90" t="n">
        <v>2</v>
      </c>
      <c r="C90" t="n">
        <v>10</v>
      </c>
      <c r="D90" s="10" t="inlineStr">
        <is>
          <t>Macrobenthos</t>
        </is>
      </c>
      <c r="E90" t="n">
        <v>100.341534</v>
      </c>
      <c r="F90" t="n">
        <v>10</v>
      </c>
      <c r="G90" t="n">
        <v>9.716343999999999</v>
      </c>
      <c r="H90" t="n">
        <v>7.967402</v>
      </c>
      <c r="I90" t="n">
        <v>8.646561</v>
      </c>
      <c r="J90" t="n">
        <v>8.646561</v>
      </c>
      <c r="K90" t="n">
        <v>6.833334</v>
      </c>
      <c r="L90" t="n">
        <v>0</v>
      </c>
      <c r="M90" t="n">
        <v>0</v>
      </c>
      <c r="N90" t="n">
        <v>0</v>
      </c>
      <c r="O90" t="n">
        <v>-52.690508</v>
      </c>
      <c r="P90" t="n">
        <v>-186.125074</v>
      </c>
      <c r="Q90" t="n">
        <v>-0</v>
      </c>
      <c r="S90" t="n">
        <v>-52.690508</v>
      </c>
      <c r="U90" t="n">
        <v>90.228787</v>
      </c>
      <c r="V90" t="n">
        <v>93.937016</v>
      </c>
      <c r="W90" t="n">
        <v>928.129669</v>
      </c>
      <c r="X90" t="n">
        <v>0</v>
      </c>
    </row>
    <row r="91" ht="21" customHeight="1">
      <c r="A91" t="inlineStr">
        <is>
          <t>Stromateus stellatus</t>
        </is>
      </c>
      <c r="B91" t="n">
        <v>3.59</v>
      </c>
      <c r="C91" t="n">
        <v>389.045145</v>
      </c>
      <c r="D91" s="10" t="inlineStr">
        <is>
          <t>Butter fishes</t>
        </is>
      </c>
      <c r="E91" t="n">
        <v>100.341534</v>
      </c>
      <c r="F91" t="n">
        <v>40.75629</v>
      </c>
      <c r="G91" t="n">
        <v>38.910954</v>
      </c>
      <c r="H91" t="n">
        <v>254.062645</v>
      </c>
      <c r="I91" t="n">
        <v>240515.685296</v>
      </c>
      <c r="J91" t="n">
        <v>240515.685296</v>
      </c>
      <c r="K91" t="n">
        <v>129098.633544</v>
      </c>
      <c r="L91" t="n">
        <v>319777.862782</v>
      </c>
      <c r="M91" t="n">
        <v>319777.862779</v>
      </c>
      <c r="N91" t="n">
        <v>319777.862779</v>
      </c>
      <c r="O91" t="n">
        <v>-101.424826</v>
      </c>
      <c r="P91" t="n">
        <v>-272.828195</v>
      </c>
      <c r="Q91" t="n">
        <v>319777.862779</v>
      </c>
      <c r="S91" t="n">
        <v>-101.424826</v>
      </c>
      <c r="U91" t="n">
        <v>139.317234</v>
      </c>
      <c r="V91" t="n">
        <v>144.846651</v>
      </c>
      <c r="W91" t="n">
        <v>2135.613237</v>
      </c>
      <c r="X91" t="n">
        <v>368049.711782</v>
      </c>
    </row>
    <row r="92" ht="21" customHeight="1">
      <c r="A92" t="inlineStr">
        <is>
          <t>Taliepus dentatus</t>
        </is>
      </c>
      <c r="B92" t="n">
        <v>2</v>
      </c>
      <c r="C92" t="n">
        <v>10</v>
      </c>
      <c r="D92" s="10" t="inlineStr">
        <is>
          <t>Macrobenthos</t>
        </is>
      </c>
      <c r="E92" t="n">
        <v>100.341534</v>
      </c>
      <c r="F92" t="n">
        <v>10</v>
      </c>
      <c r="G92" t="n">
        <v>9.716343999999999</v>
      </c>
      <c r="H92" t="n">
        <v>7.967402</v>
      </c>
      <c r="I92" t="n">
        <v>8.646561</v>
      </c>
      <c r="J92" t="n">
        <v>8.646561</v>
      </c>
      <c r="K92" t="n">
        <v>6.833334</v>
      </c>
      <c r="L92" t="n">
        <v>0</v>
      </c>
      <c r="M92" t="n">
        <v>0</v>
      </c>
      <c r="N92" t="n">
        <v>0</v>
      </c>
      <c r="O92" t="n">
        <v>-52.690508</v>
      </c>
      <c r="P92" t="n">
        <v>-186.125074</v>
      </c>
      <c r="Q92" t="n">
        <v>-0</v>
      </c>
      <c r="S92" t="n">
        <v>-52.690508</v>
      </c>
      <c r="U92" t="n">
        <v>90.228787</v>
      </c>
      <c r="V92" t="n">
        <v>93.937016</v>
      </c>
      <c r="W92" t="n">
        <v>928.129669</v>
      </c>
      <c r="X92" t="n">
        <v>0</v>
      </c>
    </row>
    <row r="93" ht="21" customHeight="1">
      <c r="A93" t="inlineStr">
        <is>
          <t>Seriolella punctata</t>
        </is>
      </c>
      <c r="B93" t="n">
        <v>3.4</v>
      </c>
      <c r="C93" t="n">
        <v>251.188643</v>
      </c>
      <c r="D93" s="10" t="inlineStr">
        <is>
          <t>Unresolved</t>
        </is>
      </c>
    </row>
    <row r="94" ht="21" customHeight="1">
      <c r="A94" t="inlineStr">
        <is>
          <t>Haemulidae</t>
        </is>
      </c>
      <c r="B94" t="n">
        <v>3.36</v>
      </c>
      <c r="C94" t="n">
        <v>229.086765</v>
      </c>
      <c r="D94" s="10" t="inlineStr">
        <is>
          <t>Medium demersal fish</t>
        </is>
      </c>
      <c r="E94" t="n">
        <v>100.341534</v>
      </c>
      <c r="F94" t="n">
        <v>150.446864</v>
      </c>
      <c r="G94" t="n">
        <v>141.309763</v>
      </c>
      <c r="H94" t="n">
        <v>337.73726</v>
      </c>
      <c r="I94" t="n">
        <v>88.13505000000001</v>
      </c>
      <c r="J94" t="n">
        <v>88.674589</v>
      </c>
      <c r="K94" t="n">
        <v>72.72711099999999</v>
      </c>
      <c r="L94" t="n">
        <v>68.19949200000001</v>
      </c>
      <c r="M94" t="n">
        <v>68.19949200000001</v>
      </c>
      <c r="N94" t="n">
        <v>68.19949200000001</v>
      </c>
      <c r="O94" t="n">
        <v>-298.793821</v>
      </c>
      <c r="P94" t="n">
        <v>-775.135045</v>
      </c>
      <c r="Q94" t="n">
        <v>68.19949200000001</v>
      </c>
      <c r="S94" t="n">
        <v>-298.793821</v>
      </c>
      <c r="U94" t="n">
        <v>395.804253</v>
      </c>
      <c r="V94" t="n">
        <v>411.516374</v>
      </c>
      <c r="W94" t="n">
        <v>4936.646121</v>
      </c>
      <c r="X94" t="n">
        <v>76.95169799999999</v>
      </c>
    </row>
    <row r="95" ht="21" customHeight="1">
      <c r="A95" t="inlineStr">
        <is>
          <t>Ensis macha</t>
        </is>
      </c>
      <c r="B95" t="n">
        <v>2</v>
      </c>
      <c r="C95" t="n">
        <v>10</v>
      </c>
      <c r="D95" s="10" t="inlineStr">
        <is>
          <t>Macrobenthos</t>
        </is>
      </c>
      <c r="E95" t="n">
        <v>100.341534</v>
      </c>
      <c r="F95" t="n">
        <v>10</v>
      </c>
      <c r="G95" t="n">
        <v>9.716343999999999</v>
      </c>
      <c r="H95" t="n">
        <v>7.967402</v>
      </c>
      <c r="I95" t="n">
        <v>8.646561</v>
      </c>
      <c r="J95" t="n">
        <v>8.646561</v>
      </c>
      <c r="K95" t="n">
        <v>6.833334</v>
      </c>
      <c r="L95" t="n">
        <v>0</v>
      </c>
      <c r="M95" t="n">
        <v>0</v>
      </c>
      <c r="N95" t="n">
        <v>0</v>
      </c>
      <c r="O95" t="n">
        <v>-52.690508</v>
      </c>
      <c r="P95" t="n">
        <v>-186.125074</v>
      </c>
      <c r="Q95" t="n">
        <v>-0</v>
      </c>
      <c r="S95" t="n">
        <v>-52.690508</v>
      </c>
      <c r="U95" t="n">
        <v>90.228787</v>
      </c>
      <c r="V95" t="n">
        <v>93.937016</v>
      </c>
      <c r="W95" t="n">
        <v>928.129669</v>
      </c>
      <c r="X95" t="n">
        <v>0</v>
      </c>
    </row>
    <row r="96" ht="21" customHeight="1">
      <c r="A96" t="inlineStr">
        <is>
          <t>Odontocymbiola magellanica</t>
        </is>
      </c>
      <c r="B96" t="n">
        <v>3.22</v>
      </c>
      <c r="C96" t="n">
        <v>165.958691</v>
      </c>
      <c r="D96" s="10" t="inlineStr">
        <is>
          <t>Macrobenthos</t>
        </is>
      </c>
      <c r="E96" t="n">
        <v>100.341534</v>
      </c>
      <c r="F96" t="n">
        <v>10</v>
      </c>
      <c r="G96" t="n">
        <v>9.716343999999999</v>
      </c>
      <c r="H96" t="n">
        <v>7.967402</v>
      </c>
      <c r="I96" t="n">
        <v>8.646561</v>
      </c>
      <c r="J96" t="n">
        <v>8.646561</v>
      </c>
      <c r="K96" t="n">
        <v>6.833334</v>
      </c>
      <c r="L96" t="n">
        <v>0</v>
      </c>
      <c r="M96" t="n">
        <v>0</v>
      </c>
      <c r="N96" t="n">
        <v>0</v>
      </c>
      <c r="O96" t="n">
        <v>-52.690508</v>
      </c>
      <c r="P96" t="n">
        <v>-186.125074</v>
      </c>
      <c r="Q96" t="n">
        <v>-0</v>
      </c>
      <c r="S96" t="n">
        <v>-52.690508</v>
      </c>
      <c r="U96" t="n">
        <v>90.228787</v>
      </c>
      <c r="V96" t="n">
        <v>93.937016</v>
      </c>
      <c r="W96" t="n">
        <v>928.129669</v>
      </c>
      <c r="X96" t="n">
        <v>0</v>
      </c>
    </row>
    <row r="97" ht="21" customHeight="1">
      <c r="A97" t="inlineStr">
        <is>
          <t>Thunnus obesus</t>
        </is>
      </c>
      <c r="B97" t="n">
        <v>4.49</v>
      </c>
      <c r="C97" t="n">
        <v>3090.295433</v>
      </c>
      <c r="D97" s="10" t="inlineStr">
        <is>
          <t>Other large pelagic fish</t>
        </is>
      </c>
      <c r="E97" t="n">
        <v>100.341534</v>
      </c>
      <c r="F97" t="n">
        <v>721.5611730000001</v>
      </c>
      <c r="G97" t="n">
        <v>664.588831</v>
      </c>
      <c r="H97" t="n">
        <v>1922.667229</v>
      </c>
      <c r="I97" t="n">
        <v>706.388691</v>
      </c>
      <c r="J97" t="n">
        <v>729.176823</v>
      </c>
      <c r="K97" t="n">
        <v>389.360329</v>
      </c>
      <c r="L97" t="n">
        <v>1277.756768</v>
      </c>
      <c r="M97" t="n">
        <v>1277.756768</v>
      </c>
      <c r="N97" t="n">
        <v>1277.756768</v>
      </c>
      <c r="O97" t="n">
        <v>-480.629183</v>
      </c>
      <c r="P97" t="n">
        <v>-710.36627</v>
      </c>
      <c r="Q97" t="n">
        <v>1277.756768</v>
      </c>
      <c r="S97" t="n">
        <v>-480.629183</v>
      </c>
      <c r="U97" t="n">
        <v>482.977051</v>
      </c>
      <c r="V97" t="n">
        <v>498.989546</v>
      </c>
      <c r="W97" t="n">
        <v>10482.764702</v>
      </c>
      <c r="X97" t="n">
        <v>1534.363238</v>
      </c>
    </row>
    <row r="98" ht="21" customHeight="1">
      <c r="A98" t="inlineStr">
        <is>
          <t>Alopias vulpinus</t>
        </is>
      </c>
      <c r="B98" t="n">
        <v>4.5</v>
      </c>
      <c r="C98" t="n">
        <v>3162.27766</v>
      </c>
      <c r="D98" s="10" t="inlineStr">
        <is>
          <t>Chondrichthyans</t>
        </is>
      </c>
      <c r="E98" t="n">
        <v>100.341534</v>
      </c>
      <c r="F98" t="n">
        <v>2800.516289</v>
      </c>
      <c r="G98" t="n">
        <v>2536.048955</v>
      </c>
      <c r="H98" t="n">
        <v>9811.545592</v>
      </c>
      <c r="I98" t="n">
        <v>3407.596957</v>
      </c>
      <c r="J98" t="n">
        <v>3611.409494</v>
      </c>
      <c r="K98" t="n">
        <v>2037.670189</v>
      </c>
      <c r="L98" t="n">
        <v>7571.338585</v>
      </c>
      <c r="M98" t="n">
        <v>7571.338585</v>
      </c>
      <c r="N98" t="n">
        <v>7571.338585</v>
      </c>
      <c r="O98" t="n">
        <v>-1529.398807</v>
      </c>
      <c r="P98" t="n">
        <v>-1805.569841</v>
      </c>
      <c r="Q98" t="n">
        <v>7571.338585</v>
      </c>
      <c r="S98" t="n">
        <v>-1529.398807</v>
      </c>
      <c r="U98" t="n">
        <v>1165.112786</v>
      </c>
      <c r="V98" t="n">
        <v>1204.974224</v>
      </c>
      <c r="W98" t="n">
        <v>32225.773579</v>
      </c>
      <c r="X98" t="n">
        <v>9364.462680000001</v>
      </c>
    </row>
    <row r="99" ht="36" customHeight="1">
      <c r="A99" t="inlineStr">
        <is>
          <t>Elasmobranchii</t>
        </is>
      </c>
      <c r="B99" t="n">
        <v>4.05</v>
      </c>
      <c r="C99" t="n">
        <v>1122.018454</v>
      </c>
      <c r="D99" s="10" t="inlineStr">
        <is>
          <t>Benthic elasmobranchs | Chondrichthyans</t>
        </is>
      </c>
      <c r="E99" t="n">
        <v>100.341534</v>
      </c>
      <c r="F99" t="n">
        <v>1136.362086</v>
      </c>
      <c r="G99" t="n">
        <v>1033.298241</v>
      </c>
      <c r="H99" t="n">
        <v>4397.16436</v>
      </c>
      <c r="I99" t="n">
        <v>4968.643251</v>
      </c>
      <c r="J99" t="n">
        <v>5048.040078</v>
      </c>
      <c r="K99" t="n">
        <v>3204.746876</v>
      </c>
      <c r="L99" t="n">
        <v>7781.156042</v>
      </c>
      <c r="M99" t="n">
        <v>7781.156042</v>
      </c>
      <c r="N99" t="n">
        <v>7781.156042</v>
      </c>
      <c r="O99" t="n">
        <v>-854.861277</v>
      </c>
      <c r="P99" t="n">
        <v>-1310.573635</v>
      </c>
      <c r="Q99" t="n">
        <v>7781.156042</v>
      </c>
      <c r="S99" t="n">
        <v>-854.861277</v>
      </c>
      <c r="U99" t="n">
        <v>769.13928</v>
      </c>
      <c r="V99" t="n">
        <v>797.045532</v>
      </c>
      <c r="W99" t="n">
        <v>17168.752103</v>
      </c>
      <c r="X99" t="n">
        <v>9326.947878000001</v>
      </c>
    </row>
    <row r="100" ht="21" customHeight="1">
      <c r="A100" t="inlineStr">
        <is>
          <t>Haliporoides diomedeae</t>
        </is>
      </c>
      <c r="B100" t="n">
        <v>2.6</v>
      </c>
      <c r="C100" t="n">
        <v>39.810717</v>
      </c>
      <c r="D100" s="10" t="inlineStr">
        <is>
          <t>Macrobenthos</t>
        </is>
      </c>
      <c r="E100" t="n">
        <v>100.341534</v>
      </c>
      <c r="F100" t="n">
        <v>10</v>
      </c>
      <c r="G100" t="n">
        <v>9.716343999999999</v>
      </c>
      <c r="H100" t="n">
        <v>7.967402</v>
      </c>
      <c r="I100" t="n">
        <v>8.646561</v>
      </c>
      <c r="J100" t="n">
        <v>8.646561</v>
      </c>
      <c r="K100" t="n">
        <v>6.833334</v>
      </c>
      <c r="L100" t="n">
        <v>0</v>
      </c>
      <c r="M100" t="n">
        <v>0</v>
      </c>
      <c r="N100" t="n">
        <v>0</v>
      </c>
      <c r="O100" t="n">
        <v>-52.690508</v>
      </c>
      <c r="P100" t="n">
        <v>-186.125074</v>
      </c>
      <c r="Q100" t="n">
        <v>-0</v>
      </c>
      <c r="S100" t="n">
        <v>-52.690508</v>
      </c>
      <c r="U100" t="n">
        <v>90.228787</v>
      </c>
      <c r="V100" t="n">
        <v>93.937016</v>
      </c>
      <c r="W100" t="n">
        <v>928.129669</v>
      </c>
      <c r="X100" t="n">
        <v>0</v>
      </c>
    </row>
    <row r="101" ht="21" customHeight="1">
      <c r="A101" t="inlineStr">
        <is>
          <t>Chirodactylus variegatus</t>
        </is>
      </c>
      <c r="B101" t="n">
        <v>3.65</v>
      </c>
      <c r="C101" t="n">
        <v>446.683592</v>
      </c>
      <c r="D101" s="10" t="inlineStr">
        <is>
          <t>Medium demersal fish</t>
        </is>
      </c>
      <c r="E101" t="n">
        <v>100.341534</v>
      </c>
      <c r="F101" t="n">
        <v>150.446864</v>
      </c>
      <c r="G101" t="n">
        <v>141.309763</v>
      </c>
      <c r="H101" t="n">
        <v>337.73726</v>
      </c>
      <c r="I101" t="n">
        <v>88.13505000000001</v>
      </c>
      <c r="J101" t="n">
        <v>88.674589</v>
      </c>
      <c r="K101" t="n">
        <v>72.72711099999999</v>
      </c>
      <c r="L101" t="n">
        <v>68.19949200000001</v>
      </c>
      <c r="M101" t="n">
        <v>68.19949200000001</v>
      </c>
      <c r="N101" t="n">
        <v>68.19949200000001</v>
      </c>
      <c r="O101" t="n">
        <v>-298.793821</v>
      </c>
      <c r="P101" t="n">
        <v>-775.135045</v>
      </c>
      <c r="Q101" t="n">
        <v>68.19949200000001</v>
      </c>
      <c r="S101" t="n">
        <v>-298.793821</v>
      </c>
      <c r="U101" t="n">
        <v>395.804253</v>
      </c>
      <c r="V101" t="n">
        <v>411.516374</v>
      </c>
      <c r="W101" t="n">
        <v>4936.646121</v>
      </c>
      <c r="X101" t="n">
        <v>76.95169799999999</v>
      </c>
    </row>
    <row r="102" ht="21" customHeight="1">
      <c r="A102" t="inlineStr">
        <is>
          <t>Teuthida</t>
        </is>
      </c>
      <c r="D102" s="10" t="inlineStr">
        <is>
          <t>Jumbo squid | Other cephalopods</t>
        </is>
      </c>
      <c r="E102" t="n">
        <v>100.341534</v>
      </c>
      <c r="F102" t="n">
        <v>671.900829</v>
      </c>
      <c r="G102" t="n">
        <v>619.193716</v>
      </c>
      <c r="H102" t="n">
        <v>1259.103925</v>
      </c>
      <c r="I102" t="n">
        <v>224.102148</v>
      </c>
      <c r="J102" t="n">
        <v>257.157974</v>
      </c>
      <c r="K102" t="n">
        <v>205.79876</v>
      </c>
      <c r="L102" t="n">
        <v>785.73492</v>
      </c>
      <c r="M102" t="n">
        <v>785.73492</v>
      </c>
      <c r="N102" t="n">
        <v>785.73492</v>
      </c>
      <c r="O102" t="n">
        <v>-260.633239</v>
      </c>
      <c r="P102" t="n">
        <v>-347.758882</v>
      </c>
      <c r="Q102" t="n">
        <v>785.73492</v>
      </c>
      <c r="S102" t="n">
        <v>-260.633239</v>
      </c>
      <c r="U102" t="n">
        <v>219.813659</v>
      </c>
      <c r="V102" t="n">
        <v>227.429561</v>
      </c>
      <c r="W102" t="n">
        <v>5591.512762</v>
      </c>
      <c r="X102" t="n">
        <v>996.465978</v>
      </c>
    </row>
    <row r="103" ht="21" customHeight="1">
      <c r="A103" t="inlineStr">
        <is>
          <t>Ostrea chilensis</t>
        </is>
      </c>
      <c r="B103" t="n">
        <v>2</v>
      </c>
      <c r="C103" t="n">
        <v>10</v>
      </c>
      <c r="D103" s="10" t="inlineStr">
        <is>
          <t>Macrobenthos</t>
        </is>
      </c>
      <c r="E103" t="n">
        <v>100.341534</v>
      </c>
      <c r="F103" t="n">
        <v>10</v>
      </c>
      <c r="G103" t="n">
        <v>9.716343999999999</v>
      </c>
      <c r="H103" t="n">
        <v>7.967402</v>
      </c>
      <c r="I103" t="n">
        <v>8.646561</v>
      </c>
      <c r="J103" t="n">
        <v>8.646561</v>
      </c>
      <c r="K103" t="n">
        <v>6.833334</v>
      </c>
      <c r="L103" t="n">
        <v>0</v>
      </c>
      <c r="M103" t="n">
        <v>0</v>
      </c>
      <c r="N103" t="n">
        <v>0</v>
      </c>
      <c r="O103" t="n">
        <v>-52.690508</v>
      </c>
      <c r="P103" t="n">
        <v>-186.125074</v>
      </c>
      <c r="Q103" t="n">
        <v>-0</v>
      </c>
      <c r="S103" t="n">
        <v>-52.690508</v>
      </c>
      <c r="U103" t="n">
        <v>90.228787</v>
      </c>
      <c r="V103" t="n">
        <v>93.937016</v>
      </c>
      <c r="W103" t="n">
        <v>928.129669</v>
      </c>
      <c r="X103" t="n">
        <v>0</v>
      </c>
    </row>
    <row r="104" ht="21" customHeight="1">
      <c r="A104" t="inlineStr">
        <is>
          <t>Prolatilus jugularis</t>
        </is>
      </c>
      <c r="B104" t="n">
        <v>3.7</v>
      </c>
      <c r="C104" t="n">
        <v>501.187234</v>
      </c>
      <c r="D104" s="10" t="inlineStr">
        <is>
          <t>Medium demersal fish</t>
        </is>
      </c>
      <c r="E104" t="n">
        <v>100.341534</v>
      </c>
      <c r="F104" t="n">
        <v>150.446864</v>
      </c>
      <c r="G104" t="n">
        <v>141.309763</v>
      </c>
      <c r="H104" t="n">
        <v>337.73726</v>
      </c>
      <c r="I104" t="n">
        <v>88.13505000000001</v>
      </c>
      <c r="J104" t="n">
        <v>88.674589</v>
      </c>
      <c r="K104" t="n">
        <v>72.72711099999999</v>
      </c>
      <c r="L104" t="n">
        <v>68.19949200000001</v>
      </c>
      <c r="M104" t="n">
        <v>68.19949200000001</v>
      </c>
      <c r="N104" t="n">
        <v>68.19949200000001</v>
      </c>
      <c r="O104" t="n">
        <v>-298.793821</v>
      </c>
      <c r="P104" t="n">
        <v>-775.135045</v>
      </c>
      <c r="Q104" t="n">
        <v>68.19949200000001</v>
      </c>
      <c r="S104" t="n">
        <v>-298.793821</v>
      </c>
      <c r="U104" t="n">
        <v>395.804253</v>
      </c>
      <c r="V104" t="n">
        <v>411.516374</v>
      </c>
      <c r="W104" t="n">
        <v>4936.646121</v>
      </c>
      <c r="X104" t="n">
        <v>76.95169799999999</v>
      </c>
    </row>
    <row r="105" ht="21" customHeight="1">
      <c r="A105" t="inlineStr">
        <is>
          <t>Austromegabalanus psittacus</t>
        </is>
      </c>
      <c r="B105" t="n">
        <v>2</v>
      </c>
      <c r="C105" t="n">
        <v>10</v>
      </c>
      <c r="D105" s="10" t="inlineStr">
        <is>
          <t>Macrobenthos</t>
        </is>
      </c>
      <c r="E105" t="n">
        <v>100.341534</v>
      </c>
      <c r="F105" t="n">
        <v>10</v>
      </c>
      <c r="G105" t="n">
        <v>9.716343999999999</v>
      </c>
      <c r="H105" t="n">
        <v>7.967402</v>
      </c>
      <c r="I105" t="n">
        <v>8.646561</v>
      </c>
      <c r="J105" t="n">
        <v>8.646561</v>
      </c>
      <c r="K105" t="n">
        <v>6.833334</v>
      </c>
      <c r="L105" t="n">
        <v>0</v>
      </c>
      <c r="M105" t="n">
        <v>0</v>
      </c>
      <c r="N105" t="n">
        <v>0</v>
      </c>
      <c r="O105" t="n">
        <v>-52.690508</v>
      </c>
      <c r="P105" t="n">
        <v>-186.125074</v>
      </c>
      <c r="Q105" t="n">
        <v>-0</v>
      </c>
      <c r="S105" t="n">
        <v>-52.690508</v>
      </c>
      <c r="U105" t="n">
        <v>90.228787</v>
      </c>
      <c r="V105" t="n">
        <v>93.937016</v>
      </c>
      <c r="W105" t="n">
        <v>928.129669</v>
      </c>
      <c r="X105" t="n">
        <v>0</v>
      </c>
    </row>
    <row r="106" ht="21" customHeight="1">
      <c r="A106" t="inlineStr">
        <is>
          <t>Decapoda</t>
        </is>
      </c>
      <c r="B106" t="n">
        <v>3.43</v>
      </c>
      <c r="C106" t="n">
        <v>269.15348</v>
      </c>
      <c r="D106" s="10" t="inlineStr">
        <is>
          <t>Macrobenthos</t>
        </is>
      </c>
      <c r="E106" t="n">
        <v>100.341534</v>
      </c>
      <c r="F106" t="n">
        <v>10</v>
      </c>
      <c r="G106" t="n">
        <v>9.716343999999999</v>
      </c>
      <c r="H106" t="n">
        <v>7.967402</v>
      </c>
      <c r="I106" t="n">
        <v>8.646561</v>
      </c>
      <c r="J106" t="n">
        <v>8.646561</v>
      </c>
      <c r="K106" t="n">
        <v>6.833334</v>
      </c>
      <c r="L106" t="n">
        <v>0</v>
      </c>
      <c r="M106" t="n">
        <v>0</v>
      </c>
      <c r="N106" t="n">
        <v>0</v>
      </c>
      <c r="O106" t="n">
        <v>-52.690508</v>
      </c>
      <c r="P106" t="n">
        <v>-186.125074</v>
      </c>
      <c r="Q106" t="n">
        <v>-0</v>
      </c>
      <c r="S106" t="n">
        <v>-52.690508</v>
      </c>
      <c r="U106" t="n">
        <v>90.228787</v>
      </c>
      <c r="V106" t="n">
        <v>93.937016</v>
      </c>
      <c r="W106" t="n">
        <v>928.129669</v>
      </c>
      <c r="X106" t="n">
        <v>0</v>
      </c>
    </row>
    <row r="107" ht="21" customHeight="1">
      <c r="A107" t="inlineStr">
        <is>
          <t>Pseudograpsus setosus</t>
        </is>
      </c>
      <c r="B107" t="n">
        <v>3.37</v>
      </c>
      <c r="C107" t="n">
        <v>234.422882</v>
      </c>
      <c r="D107" s="10" t="inlineStr">
        <is>
          <t>Macrobenthos</t>
        </is>
      </c>
      <c r="E107" t="n">
        <v>100.341534</v>
      </c>
      <c r="F107" t="n">
        <v>10</v>
      </c>
      <c r="G107" t="n">
        <v>9.716343999999999</v>
      </c>
      <c r="H107" t="n">
        <v>7.967402</v>
      </c>
      <c r="I107" t="n">
        <v>8.646561</v>
      </c>
      <c r="J107" t="n">
        <v>8.646561</v>
      </c>
      <c r="K107" t="n">
        <v>6.833334</v>
      </c>
      <c r="L107" t="n">
        <v>0</v>
      </c>
      <c r="M107" t="n">
        <v>0</v>
      </c>
      <c r="N107" t="n">
        <v>0</v>
      </c>
      <c r="O107" t="n">
        <v>-52.690508</v>
      </c>
      <c r="P107" t="n">
        <v>-186.125074</v>
      </c>
      <c r="Q107" t="n">
        <v>-0</v>
      </c>
      <c r="S107" t="n">
        <v>-52.690508</v>
      </c>
      <c r="U107" t="n">
        <v>90.228787</v>
      </c>
      <c r="V107" t="n">
        <v>93.937016</v>
      </c>
      <c r="W107" t="n">
        <v>928.129669</v>
      </c>
      <c r="X107" t="n">
        <v>0</v>
      </c>
    </row>
    <row r="108" ht="21" customHeight="1">
      <c r="A108" t="inlineStr">
        <is>
          <t>Chorus giganteus</t>
        </is>
      </c>
      <c r="B108" t="n">
        <v>3.23</v>
      </c>
      <c r="C108" t="n">
        <v>169.824365</v>
      </c>
      <c r="D108" s="10" t="inlineStr">
        <is>
          <t>Macrobenthos</t>
        </is>
      </c>
      <c r="E108" t="n">
        <v>100.341534</v>
      </c>
      <c r="F108" t="n">
        <v>10</v>
      </c>
      <c r="G108" t="n">
        <v>9.716343999999999</v>
      </c>
      <c r="H108" t="n">
        <v>7.967402</v>
      </c>
      <c r="I108" t="n">
        <v>8.646561</v>
      </c>
      <c r="J108" t="n">
        <v>8.646561</v>
      </c>
      <c r="K108" t="n">
        <v>6.833334</v>
      </c>
      <c r="L108" t="n">
        <v>0</v>
      </c>
      <c r="M108" t="n">
        <v>0</v>
      </c>
      <c r="N108" t="n">
        <v>0</v>
      </c>
      <c r="O108" t="n">
        <v>-52.690508</v>
      </c>
      <c r="P108" t="n">
        <v>-186.125074</v>
      </c>
      <c r="Q108" t="n">
        <v>-0</v>
      </c>
      <c r="S108" t="n">
        <v>-52.690508</v>
      </c>
      <c r="U108" t="n">
        <v>90.228787</v>
      </c>
      <c r="V108" t="n">
        <v>93.937016</v>
      </c>
      <c r="W108" t="n">
        <v>928.129669</v>
      </c>
      <c r="X108" t="n">
        <v>0</v>
      </c>
    </row>
    <row r="109" ht="21" customHeight="1">
      <c r="A109" t="inlineStr">
        <is>
          <t>Stellifer minor</t>
        </is>
      </c>
      <c r="B109" t="n">
        <v>3.45</v>
      </c>
      <c r="C109" t="n">
        <v>281.838293</v>
      </c>
      <c r="D109" s="10" t="inlineStr">
        <is>
          <t>Medium sciaenids</t>
        </is>
      </c>
      <c r="E109" t="n">
        <v>100.341534</v>
      </c>
      <c r="F109" t="n">
        <v>206.3558</v>
      </c>
      <c r="G109" t="n">
        <v>193.059284</v>
      </c>
      <c r="H109" t="n">
        <v>683.640357</v>
      </c>
      <c r="I109" t="n">
        <v>3050.711354</v>
      </c>
      <c r="J109" t="n">
        <v>3051.851219</v>
      </c>
      <c r="K109" t="n">
        <v>2166.270587</v>
      </c>
      <c r="L109" t="n">
        <v>4929.788538</v>
      </c>
      <c r="M109" t="n">
        <v>4929.788538</v>
      </c>
      <c r="N109" t="n">
        <v>4929.788538</v>
      </c>
      <c r="O109" t="n">
        <v>-365.686595</v>
      </c>
      <c r="P109" t="n">
        <v>-845.520295</v>
      </c>
      <c r="Q109" t="n">
        <v>4929.788538</v>
      </c>
      <c r="S109" t="n">
        <v>-365.686595</v>
      </c>
      <c r="U109" t="n">
        <v>449.81309</v>
      </c>
      <c r="V109" t="n">
        <v>467.19433</v>
      </c>
      <c r="W109" t="n">
        <v>8372.087826000001</v>
      </c>
      <c r="X109" t="n">
        <v>5849.300316</v>
      </c>
    </row>
    <row r="110" ht="21" customHeight="1">
      <c r="A110" t="inlineStr">
        <is>
          <t>Cancer porteri</t>
        </is>
      </c>
      <c r="B110" t="n">
        <v>2.97</v>
      </c>
      <c r="C110" t="n">
        <v>93.32543</v>
      </c>
      <c r="D110" s="10" t="inlineStr">
        <is>
          <t>Macrobenthos</t>
        </is>
      </c>
      <c r="E110" t="n">
        <v>100.341534</v>
      </c>
      <c r="F110" t="n">
        <v>10</v>
      </c>
      <c r="G110" t="n">
        <v>9.716343999999999</v>
      </c>
      <c r="H110" t="n">
        <v>7.967402</v>
      </c>
      <c r="I110" t="n">
        <v>8.646561</v>
      </c>
      <c r="J110" t="n">
        <v>8.646561</v>
      </c>
      <c r="K110" t="n">
        <v>6.833334</v>
      </c>
      <c r="L110" t="n">
        <v>0</v>
      </c>
      <c r="M110" t="n">
        <v>0</v>
      </c>
      <c r="N110" t="n">
        <v>0</v>
      </c>
      <c r="O110" t="n">
        <v>-52.690508</v>
      </c>
      <c r="P110" t="n">
        <v>-186.125074</v>
      </c>
      <c r="Q110" t="n">
        <v>-0</v>
      </c>
      <c r="S110" t="n">
        <v>-52.690508</v>
      </c>
      <c r="U110" t="n">
        <v>90.228787</v>
      </c>
      <c r="V110" t="n">
        <v>93.937016</v>
      </c>
      <c r="W110" t="n">
        <v>928.129669</v>
      </c>
      <c r="X110" t="n">
        <v>0</v>
      </c>
    </row>
    <row r="111" ht="21" customHeight="1">
      <c r="A111" t="inlineStr">
        <is>
          <t>Argobuccinum pustulosum</t>
        </is>
      </c>
      <c r="B111" t="n">
        <v>3</v>
      </c>
      <c r="C111" t="n">
        <v>100</v>
      </c>
      <c r="D111" s="10" t="inlineStr">
        <is>
          <t>Macrobenthos</t>
        </is>
      </c>
      <c r="E111" t="n">
        <v>100.341534</v>
      </c>
      <c r="F111" t="n">
        <v>10</v>
      </c>
      <c r="G111" t="n">
        <v>9.716343999999999</v>
      </c>
      <c r="H111" t="n">
        <v>7.967402</v>
      </c>
      <c r="I111" t="n">
        <v>8.646561</v>
      </c>
      <c r="J111" t="n">
        <v>8.646561</v>
      </c>
      <c r="K111" t="n">
        <v>6.833334</v>
      </c>
      <c r="L111" t="n">
        <v>0</v>
      </c>
      <c r="M111" t="n">
        <v>0</v>
      </c>
      <c r="N111" t="n">
        <v>0</v>
      </c>
      <c r="O111" t="n">
        <v>-52.690508</v>
      </c>
      <c r="P111" t="n">
        <v>-186.125074</v>
      </c>
      <c r="Q111" t="n">
        <v>-0</v>
      </c>
      <c r="S111" t="n">
        <v>-52.690508</v>
      </c>
      <c r="U111" t="n">
        <v>90.228787</v>
      </c>
      <c r="V111" t="n">
        <v>93.937016</v>
      </c>
      <c r="W111" t="n">
        <v>928.129669</v>
      </c>
      <c r="X111" t="n">
        <v>0</v>
      </c>
    </row>
    <row r="112" ht="21" customHeight="1">
      <c r="A112" t="inlineStr">
        <is>
          <t>Gari solida</t>
        </is>
      </c>
      <c r="B112" t="n">
        <v>2</v>
      </c>
      <c r="C112" t="n">
        <v>10</v>
      </c>
      <c r="D112" s="10" t="inlineStr">
        <is>
          <t>Macrobenthos</t>
        </is>
      </c>
      <c r="E112" t="n">
        <v>100.341534</v>
      </c>
      <c r="F112" t="n">
        <v>10</v>
      </c>
      <c r="G112" t="n">
        <v>9.716343999999999</v>
      </c>
      <c r="H112" t="n">
        <v>7.967402</v>
      </c>
      <c r="I112" t="n">
        <v>8.646561</v>
      </c>
      <c r="J112" t="n">
        <v>8.646561</v>
      </c>
      <c r="K112" t="n">
        <v>6.833334</v>
      </c>
      <c r="L112" t="n">
        <v>0</v>
      </c>
      <c r="M112" t="n">
        <v>0</v>
      </c>
      <c r="N112" t="n">
        <v>0</v>
      </c>
      <c r="O112" t="n">
        <v>-52.690508</v>
      </c>
      <c r="P112" t="n">
        <v>-186.125074</v>
      </c>
      <c r="Q112" t="n">
        <v>-0</v>
      </c>
      <c r="S112" t="n">
        <v>-52.690508</v>
      </c>
      <c r="U112" t="n">
        <v>90.228787</v>
      </c>
      <c r="V112" t="n">
        <v>93.937016</v>
      </c>
      <c r="W112" t="n">
        <v>928.129669</v>
      </c>
      <c r="X112" t="n">
        <v>0</v>
      </c>
    </row>
    <row r="113" ht="21" customHeight="1">
      <c r="A113" t="inlineStr">
        <is>
          <t>Homalaspis plana</t>
        </is>
      </c>
      <c r="B113" t="n">
        <v>3.59</v>
      </c>
      <c r="C113" t="n">
        <v>389.045145</v>
      </c>
      <c r="D113" s="10" t="inlineStr">
        <is>
          <t>Macrobenthos</t>
        </is>
      </c>
      <c r="E113" t="n">
        <v>100.341534</v>
      </c>
      <c r="F113" t="n">
        <v>10</v>
      </c>
      <c r="G113" t="n">
        <v>9.716343999999999</v>
      </c>
      <c r="H113" t="n">
        <v>7.967402</v>
      </c>
      <c r="I113" t="n">
        <v>8.646561</v>
      </c>
      <c r="J113" t="n">
        <v>8.646561</v>
      </c>
      <c r="K113" t="n">
        <v>6.833334</v>
      </c>
      <c r="L113" t="n">
        <v>0</v>
      </c>
      <c r="M113" t="n">
        <v>0</v>
      </c>
      <c r="N113" t="n">
        <v>0</v>
      </c>
      <c r="O113" t="n">
        <v>-52.690508</v>
      </c>
      <c r="P113" t="n">
        <v>-186.125074</v>
      </c>
      <c r="Q113" t="n">
        <v>-0</v>
      </c>
      <c r="S113" t="n">
        <v>-52.690508</v>
      </c>
      <c r="U113" t="n">
        <v>90.228787</v>
      </c>
      <c r="V113" t="n">
        <v>93.937016</v>
      </c>
      <c r="W113" t="n">
        <v>928.129669</v>
      </c>
      <c r="X113" t="n">
        <v>0</v>
      </c>
    </row>
    <row r="114" ht="36" customHeight="1">
      <c r="A114" t="inlineStr">
        <is>
          <t>Perciformes</t>
        </is>
      </c>
      <c r="B114" t="n">
        <v>3.53</v>
      </c>
      <c r="C114" t="n">
        <v>338.844156</v>
      </c>
      <c r="D114" s="10" t="inlineStr">
        <is>
          <t>Small demersal fish | Medium demersal fish | Medium sciaenids</t>
        </is>
      </c>
      <c r="E114" t="n">
        <v>100.341534</v>
      </c>
      <c r="F114" t="n">
        <v>138.326515</v>
      </c>
      <c r="G114" t="n">
        <v>129.842543</v>
      </c>
      <c r="H114" t="n">
        <v>375.637884</v>
      </c>
      <c r="I114" t="n">
        <v>891.778171</v>
      </c>
      <c r="J114" t="n">
        <v>892.361268</v>
      </c>
      <c r="K114" t="n">
        <v>638.384396</v>
      </c>
      <c r="L114" t="n">
        <v>1402.227086</v>
      </c>
      <c r="M114" t="n">
        <v>1402.227086</v>
      </c>
      <c r="N114" t="n">
        <v>1402.227086</v>
      </c>
      <c r="O114" t="n">
        <v>-252.739042</v>
      </c>
      <c r="P114" t="n">
        <v>-627.209376</v>
      </c>
      <c r="Q114" t="n">
        <v>1402.227086</v>
      </c>
      <c r="S114" t="n">
        <v>-252.739042</v>
      </c>
      <c r="U114" t="n">
        <v>327.999372</v>
      </c>
      <c r="V114" t="n">
        <v>340.816723</v>
      </c>
      <c r="W114" t="n">
        <v>4864.146819</v>
      </c>
      <c r="X114" t="n">
        <v>1661.269592</v>
      </c>
    </row>
    <row r="115" ht="21" customHeight="1">
      <c r="A115" t="inlineStr">
        <is>
          <t>Gadiformes</t>
        </is>
      </c>
      <c r="D115" s="10" t="inlineStr">
        <is>
          <t>Unresolved</t>
        </is>
      </c>
    </row>
    <row r="116" ht="21" customHeight="1">
      <c r="A116" t="inlineStr">
        <is>
          <t>Seriolella violacea</t>
        </is>
      </c>
      <c r="B116" t="n">
        <v>3.53</v>
      </c>
      <c r="C116" t="n">
        <v>338.844156</v>
      </c>
      <c r="D116" s="10" t="inlineStr">
        <is>
          <t>Unresolved</t>
        </is>
      </c>
    </row>
    <row r="117" ht="21" customHeight="1">
      <c r="A117" t="inlineStr">
        <is>
          <t>Labrisomus philippii</t>
        </is>
      </c>
      <c r="B117" t="n">
        <v>3.7</v>
      </c>
      <c r="C117" t="n">
        <v>501.187234</v>
      </c>
      <c r="D117" s="10" t="inlineStr">
        <is>
          <t>Small demersal fish</t>
        </is>
      </c>
      <c r="E117" t="n">
        <v>100.341534</v>
      </c>
      <c r="F117" t="n">
        <v>28.840315</v>
      </c>
      <c r="G117" t="n">
        <v>27.653763</v>
      </c>
      <c r="H117" t="n">
        <v>83.33437499999999</v>
      </c>
      <c r="I117" t="n">
        <v>22.319429</v>
      </c>
      <c r="J117" t="n">
        <v>22.319429</v>
      </c>
      <c r="K117" t="n">
        <v>16.302777</v>
      </c>
      <c r="L117" t="n">
        <v>27.460928</v>
      </c>
      <c r="M117" t="n">
        <v>27.460928</v>
      </c>
      <c r="N117" t="n">
        <v>27.460928</v>
      </c>
      <c r="O117" t="n">
        <v>-14.110618</v>
      </c>
      <c r="P117" t="n">
        <v>-36.828458</v>
      </c>
      <c r="Q117" t="n">
        <v>27.460928</v>
      </c>
      <c r="S117" t="n">
        <v>-14.110618</v>
      </c>
      <c r="U117" t="n">
        <v>30.881292</v>
      </c>
      <c r="V117" t="n">
        <v>31.789849</v>
      </c>
      <c r="W117" t="n">
        <v>429.71383</v>
      </c>
      <c r="X117" t="n">
        <v>30.241866</v>
      </c>
    </row>
    <row r="118" ht="21" customHeight="1">
      <c r="A118" t="inlineStr">
        <is>
          <t>Callorhinchus callorynchus</t>
        </is>
      </c>
      <c r="B118" t="n">
        <v>3.35</v>
      </c>
      <c r="C118" t="n">
        <v>223.872114</v>
      </c>
      <c r="D118" s="10" t="inlineStr">
        <is>
          <t>Benthic elasmobranchs</t>
        </is>
      </c>
      <c r="E118" t="n">
        <v>100.341534</v>
      </c>
      <c r="F118" t="n">
        <v>227.672107</v>
      </c>
      <c r="G118" t="n">
        <v>212.74056</v>
      </c>
      <c r="H118" t="n">
        <v>1440.71119</v>
      </c>
      <c r="I118" t="n">
        <v>5821.032484</v>
      </c>
      <c r="J118" t="n">
        <v>5832.493715</v>
      </c>
      <c r="K118" t="n">
        <v>3842.014077</v>
      </c>
      <c r="L118" t="n">
        <v>7895.724163</v>
      </c>
      <c r="M118" t="n">
        <v>7895.724163</v>
      </c>
      <c r="N118" t="n">
        <v>7895.724163</v>
      </c>
      <c r="O118" t="n">
        <v>-486.538743</v>
      </c>
      <c r="P118" t="n">
        <v>-1040.287329</v>
      </c>
      <c r="Q118" t="n">
        <v>7895.724163</v>
      </c>
      <c r="S118" t="n">
        <v>-486.538743</v>
      </c>
      <c r="U118" t="n">
        <v>552.923044</v>
      </c>
      <c r="V118" t="n">
        <v>574.301321</v>
      </c>
      <c r="W118" t="n">
        <v>8947.059363</v>
      </c>
      <c r="X118" t="n">
        <v>9306.463404</v>
      </c>
    </row>
    <row r="119" ht="21" customHeight="1">
      <c r="A119" t="inlineStr">
        <is>
          <t>Hoplostethus atlanticus</t>
        </is>
      </c>
      <c r="D119" s="10" t="inlineStr">
        <is>
          <t>Unresolved</t>
        </is>
      </c>
    </row>
    <row r="120" ht="21" customHeight="1">
      <c r="A120" t="inlineStr">
        <is>
          <t>Magallana gigas</t>
        </is>
      </c>
      <c r="D120" s="10" t="inlineStr">
        <is>
          <t>Macrobenthos</t>
        </is>
      </c>
      <c r="E120" t="n">
        <v>100.341534</v>
      </c>
      <c r="F120" t="n">
        <v>10</v>
      </c>
      <c r="G120" t="n">
        <v>9.716343999999999</v>
      </c>
      <c r="H120" t="n">
        <v>7.967402</v>
      </c>
      <c r="I120" t="n">
        <v>8.646561</v>
      </c>
      <c r="J120" t="n">
        <v>8.646561</v>
      </c>
      <c r="K120" t="n">
        <v>6.833334</v>
      </c>
      <c r="L120" t="n">
        <v>0</v>
      </c>
      <c r="M120" t="n">
        <v>0</v>
      </c>
      <c r="N120" t="n">
        <v>0</v>
      </c>
      <c r="O120" t="n">
        <v>-52.690508</v>
      </c>
      <c r="P120" t="n">
        <v>-186.125074</v>
      </c>
      <c r="Q120" t="n">
        <v>-0</v>
      </c>
      <c r="S120" t="n">
        <v>-52.690508</v>
      </c>
      <c r="U120" t="n">
        <v>90.228787</v>
      </c>
      <c r="V120" t="n">
        <v>93.937016</v>
      </c>
      <c r="W120" t="n">
        <v>928.129669</v>
      </c>
      <c r="X120" t="n">
        <v>0</v>
      </c>
    </row>
    <row r="121" ht="21" customHeight="1">
      <c r="A121" t="inlineStr">
        <is>
          <t>Seriola lalandi</t>
        </is>
      </c>
      <c r="B121" t="n">
        <v>4.16</v>
      </c>
      <c r="C121" t="n">
        <v>1445.439771</v>
      </c>
      <c r="D121" s="10" t="inlineStr">
        <is>
          <t>Other large pelagic fish</t>
        </is>
      </c>
      <c r="E121" t="n">
        <v>100.341534</v>
      </c>
      <c r="F121" t="n">
        <v>721.5611730000001</v>
      </c>
      <c r="G121" t="n">
        <v>664.588831</v>
      </c>
      <c r="H121" t="n">
        <v>1922.667229</v>
      </c>
      <c r="I121" t="n">
        <v>706.388691</v>
      </c>
      <c r="J121" t="n">
        <v>729.176823</v>
      </c>
      <c r="K121" t="n">
        <v>389.360329</v>
      </c>
      <c r="L121" t="n">
        <v>1277.756768</v>
      </c>
      <c r="M121" t="n">
        <v>1277.756768</v>
      </c>
      <c r="N121" t="n">
        <v>1277.756768</v>
      </c>
      <c r="O121" t="n">
        <v>-480.629183</v>
      </c>
      <c r="P121" t="n">
        <v>-710.36627</v>
      </c>
      <c r="Q121" t="n">
        <v>1277.756768</v>
      </c>
      <c r="S121" t="n">
        <v>-480.629183</v>
      </c>
      <c r="U121" t="n">
        <v>482.977051</v>
      </c>
      <c r="V121" t="n">
        <v>498.989546</v>
      </c>
      <c r="W121" t="n">
        <v>10482.764702</v>
      </c>
      <c r="X121" t="n">
        <v>1534.363238</v>
      </c>
    </row>
    <row r="122" ht="21" customHeight="1">
      <c r="A122" t="inlineStr">
        <is>
          <t>Graus nigra</t>
        </is>
      </c>
      <c r="B122" t="n">
        <v>3.35</v>
      </c>
      <c r="C122" t="n">
        <v>223.872114</v>
      </c>
      <c r="D122" s="10" t="inlineStr">
        <is>
          <t>Unresolved</t>
        </is>
      </c>
    </row>
    <row r="123" ht="21" customHeight="1">
      <c r="A123" t="inlineStr">
        <is>
          <t>Hippoglossina macrops</t>
        </is>
      </c>
      <c r="B123" t="n">
        <v>3.73</v>
      </c>
      <c r="C123" t="n">
        <v>537.031796</v>
      </c>
      <c r="D123" s="10" t="inlineStr">
        <is>
          <t>Flatfish</t>
        </is>
      </c>
      <c r="E123" t="n">
        <v>100.341534</v>
      </c>
      <c r="F123" t="n">
        <v>734.481858</v>
      </c>
      <c r="G123" t="n">
        <v>676.339308</v>
      </c>
      <c r="H123" t="n">
        <v>2029.750446</v>
      </c>
      <c r="I123" t="n">
        <v>329.939479</v>
      </c>
      <c r="J123" t="n">
        <v>329.939479</v>
      </c>
      <c r="K123" t="n">
        <v>328.441152</v>
      </c>
      <c r="L123" t="n">
        <v>310.666808</v>
      </c>
      <c r="M123" t="n">
        <v>310.666808</v>
      </c>
      <c r="N123" t="n">
        <v>310.666808</v>
      </c>
      <c r="O123" t="n">
        <v>-921.644531</v>
      </c>
      <c r="P123" t="n">
        <v>-1867.948168</v>
      </c>
      <c r="Q123" t="n">
        <v>310.666808</v>
      </c>
      <c r="S123" t="n">
        <v>-921.644531</v>
      </c>
      <c r="U123" t="n">
        <v>988.618759</v>
      </c>
      <c r="V123" t="n">
        <v>1026.949166</v>
      </c>
      <c r="W123" t="n">
        <v>19457.939662</v>
      </c>
      <c r="X123" t="n">
        <v>355.992575</v>
      </c>
    </row>
    <row r="124" ht="36" customHeight="1">
      <c r="A124" t="inlineStr">
        <is>
          <t>Scorpaeniformes</t>
        </is>
      </c>
      <c r="D124" s="10" t="inlineStr">
        <is>
          <t>Small demersal fish | Medium demersal fish | Medium sciaenids</t>
        </is>
      </c>
      <c r="E124" t="n">
        <v>100.341534</v>
      </c>
      <c r="F124" t="n">
        <v>138.326515</v>
      </c>
      <c r="G124" t="n">
        <v>129.842543</v>
      </c>
      <c r="H124" t="n">
        <v>375.637884</v>
      </c>
      <c r="I124" t="n">
        <v>891.778171</v>
      </c>
      <c r="J124" t="n">
        <v>892.361268</v>
      </c>
      <c r="K124" t="n">
        <v>638.384396</v>
      </c>
      <c r="L124" t="n">
        <v>1402.227086</v>
      </c>
      <c r="M124" t="n">
        <v>1402.227086</v>
      </c>
      <c r="N124" t="n">
        <v>1402.227086</v>
      </c>
      <c r="O124" t="n">
        <v>-252.739042</v>
      </c>
      <c r="P124" t="n">
        <v>-627.209376</v>
      </c>
      <c r="Q124" t="n">
        <v>1402.227086</v>
      </c>
      <c r="S124" t="n">
        <v>-252.739042</v>
      </c>
      <c r="U124" t="n">
        <v>327.999372</v>
      </c>
      <c r="V124" t="n">
        <v>340.816723</v>
      </c>
      <c r="W124" t="n">
        <v>4864.146819</v>
      </c>
      <c r="X124" t="n">
        <v>1661.269592</v>
      </c>
    </row>
    <row r="125" ht="21" customHeight="1">
      <c r="A125" t="inlineStr">
        <is>
          <t>Seriola</t>
        </is>
      </c>
      <c r="B125" t="n">
        <v>4.39</v>
      </c>
      <c r="C125" t="n">
        <v>2454.708916</v>
      </c>
      <c r="D125" s="10" t="inlineStr">
        <is>
          <t>Other large pelagic fish</t>
        </is>
      </c>
      <c r="E125" t="n">
        <v>100.341534</v>
      </c>
      <c r="F125" t="n">
        <v>721.5611730000001</v>
      </c>
      <c r="G125" t="n">
        <v>664.588831</v>
      </c>
      <c r="H125" t="n">
        <v>1922.667229</v>
      </c>
      <c r="I125" t="n">
        <v>706.388691</v>
      </c>
      <c r="J125" t="n">
        <v>729.176823</v>
      </c>
      <c r="K125" t="n">
        <v>389.360329</v>
      </c>
      <c r="L125" t="n">
        <v>1277.756768</v>
      </c>
      <c r="M125" t="n">
        <v>1277.756768</v>
      </c>
      <c r="N125" t="n">
        <v>1277.756768</v>
      </c>
      <c r="O125" t="n">
        <v>-480.629183</v>
      </c>
      <c r="P125" t="n">
        <v>-710.36627</v>
      </c>
      <c r="Q125" t="n">
        <v>1277.756768</v>
      </c>
      <c r="S125" t="n">
        <v>-480.629183</v>
      </c>
      <c r="U125" t="n">
        <v>482.977051</v>
      </c>
      <c r="V125" t="n">
        <v>498.989546</v>
      </c>
      <c r="W125" t="n">
        <v>10482.764702</v>
      </c>
      <c r="X125" t="n">
        <v>1534.363238</v>
      </c>
    </row>
    <row r="126" ht="21" customHeight="1">
      <c r="A126" t="inlineStr">
        <is>
          <t>Mulinia edulis</t>
        </is>
      </c>
      <c r="B126" t="n">
        <v>2.03</v>
      </c>
      <c r="C126" t="n">
        <v>10.715193</v>
      </c>
      <c r="D126" s="10" t="inlineStr">
        <is>
          <t>Macrobenthos</t>
        </is>
      </c>
      <c r="E126" t="n">
        <v>100.341534</v>
      </c>
      <c r="F126" t="n">
        <v>10</v>
      </c>
      <c r="G126" t="n">
        <v>9.716343999999999</v>
      </c>
      <c r="H126" t="n">
        <v>7.967402</v>
      </c>
      <c r="I126" t="n">
        <v>8.646561</v>
      </c>
      <c r="J126" t="n">
        <v>8.646561</v>
      </c>
      <c r="K126" t="n">
        <v>6.833334</v>
      </c>
      <c r="L126" t="n">
        <v>0</v>
      </c>
      <c r="M126" t="n">
        <v>0</v>
      </c>
      <c r="N126" t="n">
        <v>0</v>
      </c>
      <c r="O126" t="n">
        <v>-52.690508</v>
      </c>
      <c r="P126" t="n">
        <v>-186.125074</v>
      </c>
      <c r="Q126" t="n">
        <v>-0</v>
      </c>
      <c r="S126" t="n">
        <v>-52.690508</v>
      </c>
      <c r="U126" t="n">
        <v>90.228787</v>
      </c>
      <c r="V126" t="n">
        <v>93.937016</v>
      </c>
      <c r="W126" t="n">
        <v>928.129669</v>
      </c>
      <c r="X126" t="n">
        <v>0</v>
      </c>
    </row>
    <row r="127" ht="21" customHeight="1">
      <c r="A127" t="inlineStr">
        <is>
          <t>Tegula atra</t>
        </is>
      </c>
      <c r="B127" t="n">
        <v>2</v>
      </c>
      <c r="C127" t="n">
        <v>10</v>
      </c>
      <c r="D127" s="10" t="inlineStr">
        <is>
          <t>Macrobenthos</t>
        </is>
      </c>
      <c r="E127" t="n">
        <v>100.341534</v>
      </c>
      <c r="F127" t="n">
        <v>10</v>
      </c>
      <c r="G127" t="n">
        <v>9.716343999999999</v>
      </c>
      <c r="H127" t="n">
        <v>7.967402</v>
      </c>
      <c r="I127" t="n">
        <v>8.646561</v>
      </c>
      <c r="J127" t="n">
        <v>8.646561</v>
      </c>
      <c r="K127" t="n">
        <v>6.833334</v>
      </c>
      <c r="L127" t="n">
        <v>0</v>
      </c>
      <c r="M127" t="n">
        <v>0</v>
      </c>
      <c r="N127" t="n">
        <v>0</v>
      </c>
      <c r="O127" t="n">
        <v>-52.690508</v>
      </c>
      <c r="P127" t="n">
        <v>-186.125074</v>
      </c>
      <c r="Q127" t="n">
        <v>-0</v>
      </c>
      <c r="S127" t="n">
        <v>-52.690508</v>
      </c>
      <c r="U127" t="n">
        <v>90.228787</v>
      </c>
      <c r="V127" t="n">
        <v>93.937016</v>
      </c>
      <c r="W127" t="n">
        <v>928.129669</v>
      </c>
      <c r="X127" t="n">
        <v>0</v>
      </c>
    </row>
    <row r="128" ht="21" customHeight="1">
      <c r="A128" t="inlineStr">
        <is>
          <t>Fissurella latimarginata</t>
        </is>
      </c>
      <c r="B128" t="n">
        <v>2.19</v>
      </c>
      <c r="C128" t="n">
        <v>15.488166</v>
      </c>
      <c r="D128" s="10" t="inlineStr">
        <is>
          <t>Macrobenthos</t>
        </is>
      </c>
      <c r="E128" t="n">
        <v>100.341534</v>
      </c>
      <c r="F128" t="n">
        <v>10</v>
      </c>
      <c r="G128" t="n">
        <v>9.716343999999999</v>
      </c>
      <c r="H128" t="n">
        <v>7.967402</v>
      </c>
      <c r="I128" t="n">
        <v>8.646561</v>
      </c>
      <c r="J128" t="n">
        <v>8.646561</v>
      </c>
      <c r="K128" t="n">
        <v>6.833334</v>
      </c>
      <c r="L128" t="n">
        <v>0</v>
      </c>
      <c r="M128" t="n">
        <v>0</v>
      </c>
      <c r="N128" t="n">
        <v>0</v>
      </c>
      <c r="O128" t="n">
        <v>-52.690508</v>
      </c>
      <c r="P128" t="n">
        <v>-186.125074</v>
      </c>
      <c r="Q128" t="n">
        <v>-0</v>
      </c>
      <c r="S128" t="n">
        <v>-52.690508</v>
      </c>
      <c r="U128" t="n">
        <v>90.228787</v>
      </c>
      <c r="V128" t="n">
        <v>93.937016</v>
      </c>
      <c r="W128" t="n">
        <v>928.129669</v>
      </c>
      <c r="X128" t="n">
        <v>0</v>
      </c>
    </row>
    <row r="129" ht="21" customHeight="1">
      <c r="A129" t="inlineStr">
        <is>
          <t>Athyonidium chilensis</t>
        </is>
      </c>
      <c r="B129" t="n">
        <v>2.86</v>
      </c>
      <c r="C129" t="n">
        <v>72.443596</v>
      </c>
      <c r="D129" s="10" t="inlineStr">
        <is>
          <t>Macrobenthos</t>
        </is>
      </c>
      <c r="E129" t="n">
        <v>100.341534</v>
      </c>
      <c r="F129" t="n">
        <v>10</v>
      </c>
      <c r="G129" t="n">
        <v>9.716343999999999</v>
      </c>
      <c r="H129" t="n">
        <v>7.967402</v>
      </c>
      <c r="I129" t="n">
        <v>8.646561</v>
      </c>
      <c r="J129" t="n">
        <v>8.646561</v>
      </c>
      <c r="K129" t="n">
        <v>6.833334</v>
      </c>
      <c r="L129" t="n">
        <v>0</v>
      </c>
      <c r="M129" t="n">
        <v>0</v>
      </c>
      <c r="N129" t="n">
        <v>0</v>
      </c>
      <c r="O129" t="n">
        <v>-52.690508</v>
      </c>
      <c r="P129" t="n">
        <v>-186.125074</v>
      </c>
      <c r="Q129" t="n">
        <v>-0</v>
      </c>
      <c r="S129" t="n">
        <v>-52.690508</v>
      </c>
      <c r="U129" t="n">
        <v>90.228787</v>
      </c>
      <c r="V129" t="n">
        <v>93.937016</v>
      </c>
      <c r="W129" t="n">
        <v>928.129669</v>
      </c>
      <c r="X129" t="n">
        <v>0</v>
      </c>
    </row>
    <row r="130" ht="21" customHeight="1">
      <c r="A130" t="inlineStr">
        <is>
          <t>Paralichthys</t>
        </is>
      </c>
      <c r="B130" t="n">
        <v>4.14</v>
      </c>
      <c r="C130" t="n">
        <v>1380.384265</v>
      </c>
      <c r="D130" s="10" t="inlineStr">
        <is>
          <t>Flatfish</t>
        </is>
      </c>
      <c r="E130" t="n">
        <v>100.341534</v>
      </c>
      <c r="F130" t="n">
        <v>734.481858</v>
      </c>
      <c r="G130" t="n">
        <v>676.339308</v>
      </c>
      <c r="H130" t="n">
        <v>2029.750446</v>
      </c>
      <c r="I130" t="n">
        <v>329.939479</v>
      </c>
      <c r="J130" t="n">
        <v>329.939479</v>
      </c>
      <c r="K130" t="n">
        <v>328.441152</v>
      </c>
      <c r="L130" t="n">
        <v>310.666808</v>
      </c>
      <c r="M130" t="n">
        <v>310.666808</v>
      </c>
      <c r="N130" t="n">
        <v>310.666808</v>
      </c>
      <c r="O130" t="n">
        <v>-921.644531</v>
      </c>
      <c r="P130" t="n">
        <v>-1867.948168</v>
      </c>
      <c r="Q130" t="n">
        <v>310.666808</v>
      </c>
      <c r="S130" t="n">
        <v>-921.644531</v>
      </c>
      <c r="U130" t="n">
        <v>988.618759</v>
      </c>
      <c r="V130" t="n">
        <v>1026.949166</v>
      </c>
      <c r="W130" t="n">
        <v>19457.939662</v>
      </c>
      <c r="X130" t="n">
        <v>355.992575</v>
      </c>
    </row>
    <row r="131" ht="21" customHeight="1">
      <c r="A131" t="inlineStr">
        <is>
          <t>Fissurella cumingi</t>
        </is>
      </c>
      <c r="B131" t="n">
        <v>2</v>
      </c>
      <c r="C131" t="n">
        <v>10</v>
      </c>
      <c r="D131" s="10" t="inlineStr">
        <is>
          <t>Macrobenthos</t>
        </is>
      </c>
      <c r="E131" t="n">
        <v>100.341534</v>
      </c>
      <c r="F131" t="n">
        <v>10</v>
      </c>
      <c r="G131" t="n">
        <v>9.716343999999999</v>
      </c>
      <c r="H131" t="n">
        <v>7.967402</v>
      </c>
      <c r="I131" t="n">
        <v>8.646561</v>
      </c>
      <c r="J131" t="n">
        <v>8.646561</v>
      </c>
      <c r="K131" t="n">
        <v>6.833334</v>
      </c>
      <c r="L131" t="n">
        <v>0</v>
      </c>
      <c r="M131" t="n">
        <v>0</v>
      </c>
      <c r="N131" t="n">
        <v>0</v>
      </c>
      <c r="O131" t="n">
        <v>-52.690508</v>
      </c>
      <c r="P131" t="n">
        <v>-186.125074</v>
      </c>
      <c r="Q131" t="n">
        <v>-0</v>
      </c>
      <c r="S131" t="n">
        <v>-52.690508</v>
      </c>
      <c r="U131" t="n">
        <v>90.228787</v>
      </c>
      <c r="V131" t="n">
        <v>93.937016</v>
      </c>
      <c r="W131" t="n">
        <v>928.129669</v>
      </c>
      <c r="X131" t="n">
        <v>0</v>
      </c>
    </row>
    <row r="132" ht="21" customHeight="1">
      <c r="A132" t="inlineStr">
        <is>
          <t>Penaeus californiensis</t>
        </is>
      </c>
      <c r="B132" t="n">
        <v>2.7</v>
      </c>
      <c r="C132" t="n">
        <v>50.118723</v>
      </c>
      <c r="D132" s="10" t="inlineStr">
        <is>
          <t>Macrobenthos</t>
        </is>
      </c>
      <c r="E132" t="n">
        <v>100.341534</v>
      </c>
      <c r="F132" t="n">
        <v>10</v>
      </c>
      <c r="G132" t="n">
        <v>9.716343999999999</v>
      </c>
      <c r="H132" t="n">
        <v>7.967402</v>
      </c>
      <c r="I132" t="n">
        <v>8.646561</v>
      </c>
      <c r="J132" t="n">
        <v>8.646561</v>
      </c>
      <c r="K132" t="n">
        <v>6.833334</v>
      </c>
      <c r="L132" t="n">
        <v>0</v>
      </c>
      <c r="M132" t="n">
        <v>0</v>
      </c>
      <c r="N132" t="n">
        <v>0</v>
      </c>
      <c r="O132" t="n">
        <v>-52.690508</v>
      </c>
      <c r="P132" t="n">
        <v>-186.125074</v>
      </c>
      <c r="Q132" t="n">
        <v>-0</v>
      </c>
      <c r="S132" t="n">
        <v>-52.690508</v>
      </c>
      <c r="U132" t="n">
        <v>90.228787</v>
      </c>
      <c r="V132" t="n">
        <v>93.937016</v>
      </c>
      <c r="W132" t="n">
        <v>928.129669</v>
      </c>
      <c r="X132" t="n">
        <v>0</v>
      </c>
    </row>
    <row r="133" ht="21" customHeight="1">
      <c r="A133" t="inlineStr">
        <is>
          <t>Ovalipes trimaculatus</t>
        </is>
      </c>
      <c r="B133" t="n">
        <v>4.41</v>
      </c>
      <c r="C133" t="n">
        <v>2570.395783</v>
      </c>
      <c r="D133" s="10" t="inlineStr">
        <is>
          <t>Macrobenthos</t>
        </is>
      </c>
      <c r="E133" t="n">
        <v>100.341534</v>
      </c>
      <c r="F133" t="n">
        <v>10</v>
      </c>
      <c r="G133" t="n">
        <v>9.716343999999999</v>
      </c>
      <c r="H133" t="n">
        <v>7.967402</v>
      </c>
      <c r="I133" t="n">
        <v>8.646561</v>
      </c>
      <c r="J133" t="n">
        <v>8.646561</v>
      </c>
      <c r="K133" t="n">
        <v>6.833334</v>
      </c>
      <c r="L133" t="n">
        <v>0</v>
      </c>
      <c r="M133" t="n">
        <v>0</v>
      </c>
      <c r="N133" t="n">
        <v>0</v>
      </c>
      <c r="O133" t="n">
        <v>-52.690508</v>
      </c>
      <c r="P133" t="n">
        <v>-186.125074</v>
      </c>
      <c r="Q133" t="n">
        <v>-0</v>
      </c>
      <c r="S133" t="n">
        <v>-52.690508</v>
      </c>
      <c r="U133" t="n">
        <v>90.228787</v>
      </c>
      <c r="V133" t="n">
        <v>93.937016</v>
      </c>
      <c r="W133" t="n">
        <v>928.129669</v>
      </c>
      <c r="X133" t="n">
        <v>0</v>
      </c>
    </row>
    <row r="134" ht="21" customHeight="1">
      <c r="A134" t="inlineStr">
        <is>
          <t>Galeorhinus galeus</t>
        </is>
      </c>
      <c r="B134" t="n">
        <v>4.34</v>
      </c>
      <c r="C134" t="n">
        <v>2187.761624</v>
      </c>
      <c r="D134" s="10" t="inlineStr">
        <is>
          <t>Benthic elasmobranchs</t>
        </is>
      </c>
      <c r="E134" t="n">
        <v>100.341534</v>
      </c>
      <c r="F134" t="n">
        <v>227.672107</v>
      </c>
      <c r="G134" t="n">
        <v>212.74056</v>
      </c>
      <c r="H134" t="n">
        <v>1440.71119</v>
      </c>
      <c r="I134" t="n">
        <v>5821.032484</v>
      </c>
      <c r="J134" t="n">
        <v>5832.493715</v>
      </c>
      <c r="K134" t="n">
        <v>3842.014077</v>
      </c>
      <c r="L134" t="n">
        <v>7895.724163</v>
      </c>
      <c r="M134" t="n">
        <v>7895.724163</v>
      </c>
      <c r="N134" t="n">
        <v>7895.724163</v>
      </c>
      <c r="O134" t="n">
        <v>-486.538743</v>
      </c>
      <c r="P134" t="n">
        <v>-1040.287329</v>
      </c>
      <c r="Q134" t="n">
        <v>7895.724163</v>
      </c>
      <c r="S134" t="n">
        <v>-486.538743</v>
      </c>
      <c r="U134" t="n">
        <v>552.923044</v>
      </c>
      <c r="V134" t="n">
        <v>574.301321</v>
      </c>
      <c r="W134" t="n">
        <v>8947.059363</v>
      </c>
      <c r="X134" t="n">
        <v>9306.463404</v>
      </c>
    </row>
    <row r="135" ht="21" customHeight="1">
      <c r="A135" t="inlineStr">
        <is>
          <t>Thunnus alalunga</t>
        </is>
      </c>
      <c r="B135" t="n">
        <v>4.3</v>
      </c>
      <c r="C135" t="n">
        <v>1995.262315</v>
      </c>
      <c r="D135" s="10" t="inlineStr">
        <is>
          <t>Other large pelagic fish</t>
        </is>
      </c>
      <c r="E135" t="n">
        <v>100.341534</v>
      </c>
      <c r="F135" t="n">
        <v>721.5611730000001</v>
      </c>
      <c r="G135" t="n">
        <v>664.588831</v>
      </c>
      <c r="H135" t="n">
        <v>1922.667229</v>
      </c>
      <c r="I135" t="n">
        <v>706.388691</v>
      </c>
      <c r="J135" t="n">
        <v>729.176823</v>
      </c>
      <c r="K135" t="n">
        <v>389.360329</v>
      </c>
      <c r="L135" t="n">
        <v>1277.756768</v>
      </c>
      <c r="M135" t="n">
        <v>1277.756768</v>
      </c>
      <c r="N135" t="n">
        <v>1277.756768</v>
      </c>
      <c r="O135" t="n">
        <v>-480.629183</v>
      </c>
      <c r="P135" t="n">
        <v>-710.36627</v>
      </c>
      <c r="Q135" t="n">
        <v>1277.756768</v>
      </c>
      <c r="S135" t="n">
        <v>-480.629183</v>
      </c>
      <c r="U135" t="n">
        <v>482.977051</v>
      </c>
      <c r="V135" t="n">
        <v>498.989546</v>
      </c>
      <c r="W135" t="n">
        <v>10482.764702</v>
      </c>
      <c r="X135" t="n">
        <v>1534.363238</v>
      </c>
    </row>
    <row r="136" ht="51" customHeight="1">
      <c r="A136" t="inlineStr">
        <is>
          <t>Carangidae</t>
        </is>
      </c>
      <c r="B136" t="n">
        <v>4.05</v>
      </c>
      <c r="C136" t="n">
        <v>1122.018454</v>
      </c>
      <c r="D136" s="10" t="inlineStr">
        <is>
          <t>Other small pelagic fish | Horse mackerel | Other large pelagic fish | Butter fishes</t>
        </is>
      </c>
      <c r="E136" t="n">
        <v>100.341534</v>
      </c>
      <c r="F136" t="n">
        <v>207.992101</v>
      </c>
      <c r="G136" t="n">
        <v>193.743177</v>
      </c>
      <c r="H136" t="n">
        <v>652.641346</v>
      </c>
      <c r="I136" t="n">
        <v>358.199872</v>
      </c>
      <c r="J136" t="n">
        <v>360.217601</v>
      </c>
      <c r="K136" t="n">
        <v>115.022987</v>
      </c>
      <c r="L136" t="n">
        <v>503.814246</v>
      </c>
      <c r="M136" t="n">
        <v>503.814246</v>
      </c>
      <c r="N136" t="n">
        <v>503.814246</v>
      </c>
      <c r="O136" t="n">
        <v>-165.394378</v>
      </c>
      <c r="P136" t="n">
        <v>-246.331459</v>
      </c>
      <c r="Q136" t="n">
        <v>503.814246</v>
      </c>
      <c r="S136" t="n">
        <v>-165.394378</v>
      </c>
      <c r="U136" t="n">
        <v>164.449693</v>
      </c>
      <c r="V136" t="n">
        <v>169.961645</v>
      </c>
      <c r="W136" t="n">
        <v>3633.922341</v>
      </c>
      <c r="X136" t="n">
        <v>581.900161</v>
      </c>
    </row>
    <row r="137" ht="21" customHeight="1">
      <c r="A137" t="inlineStr">
        <is>
          <t>Miscellaneous marine crustaceans</t>
        </is>
      </c>
      <c r="B137" t="n">
        <v>2.7</v>
      </c>
      <c r="C137" t="n">
        <v>50.118723</v>
      </c>
      <c r="D137" s="10" t="inlineStr">
        <is>
          <t>Macrobenthos</t>
        </is>
      </c>
      <c r="E137" t="n">
        <v>100.341534</v>
      </c>
      <c r="F137" t="n">
        <v>10</v>
      </c>
      <c r="G137" t="n">
        <v>9.716343999999999</v>
      </c>
      <c r="H137" t="n">
        <v>7.967402</v>
      </c>
      <c r="I137" t="n">
        <v>8.646561</v>
      </c>
      <c r="J137" t="n">
        <v>8.646561</v>
      </c>
      <c r="K137" t="n">
        <v>6.833334</v>
      </c>
      <c r="L137" t="n">
        <v>0</v>
      </c>
      <c r="M137" t="n">
        <v>0</v>
      </c>
      <c r="N137" t="n">
        <v>0</v>
      </c>
      <c r="O137" t="n">
        <v>-52.690508</v>
      </c>
      <c r="P137" t="n">
        <v>-186.125074</v>
      </c>
      <c r="Q137" t="n">
        <v>-0</v>
      </c>
      <c r="S137" t="n">
        <v>-52.690508</v>
      </c>
      <c r="U137" t="n">
        <v>90.228787</v>
      </c>
      <c r="V137" t="n">
        <v>93.937016</v>
      </c>
      <c r="W137" t="n">
        <v>928.129669</v>
      </c>
      <c r="X137" t="n">
        <v>0</v>
      </c>
    </row>
    <row r="138" ht="21" customHeight="1">
      <c r="A138" t="inlineStr">
        <is>
          <t>Enteroctopus megalocyathus</t>
        </is>
      </c>
      <c r="B138" t="n">
        <v>3.68</v>
      </c>
      <c r="C138" t="n">
        <v>478.630092</v>
      </c>
      <c r="D138" s="10" t="inlineStr">
        <is>
          <t>Other cephalopods</t>
        </is>
      </c>
      <c r="E138" t="n">
        <v>100.341534</v>
      </c>
      <c r="F138" t="n">
        <v>133.998519</v>
      </c>
      <c r="G138" t="n">
        <v>126.042621</v>
      </c>
      <c r="H138" t="n">
        <v>239.494801</v>
      </c>
      <c r="I138" t="n">
        <v>9.564913000000001</v>
      </c>
      <c r="J138" t="n">
        <v>9.564913000000001</v>
      </c>
      <c r="K138" t="n">
        <v>9.086667</v>
      </c>
      <c r="L138" t="n">
        <v>13.582064</v>
      </c>
      <c r="M138" t="n">
        <v>13.582064</v>
      </c>
      <c r="N138" t="n">
        <v>13.582064</v>
      </c>
      <c r="O138" t="n">
        <v>-21.978881</v>
      </c>
      <c r="P138" t="n">
        <v>-52.57993</v>
      </c>
      <c r="Q138" t="n">
        <v>13.582064</v>
      </c>
      <c r="S138" t="n">
        <v>-21.978881</v>
      </c>
      <c r="U138" t="n">
        <v>32.818431</v>
      </c>
      <c r="V138" t="n">
        <v>33.964341</v>
      </c>
      <c r="W138" t="n">
        <v>384.219955</v>
      </c>
      <c r="X138" t="n">
        <v>15.740459</v>
      </c>
    </row>
    <row r="139" ht="21" customHeight="1">
      <c r="A139" t="inlineStr">
        <is>
          <t>Istiophoridae</t>
        </is>
      </c>
      <c r="B139" t="n">
        <v>4.48</v>
      </c>
      <c r="C139" t="n">
        <v>3019.95172</v>
      </c>
      <c r="D139" s="10" t="inlineStr">
        <is>
          <t>Unresolved</t>
        </is>
      </c>
    </row>
    <row r="140" ht="21" customHeight="1">
      <c r="A140" t="inlineStr">
        <is>
          <t>Chrysaora plocamia</t>
        </is>
      </c>
      <c r="D140" s="10" t="inlineStr">
        <is>
          <t>Chrysaora plocamia</t>
        </is>
      </c>
      <c r="E140" t="n">
        <v>100.341534</v>
      </c>
      <c r="F140" t="n">
        <v>104.843322</v>
      </c>
      <c r="G140" t="n">
        <v>98.921314</v>
      </c>
      <c r="H140" t="n">
        <v>235.089971</v>
      </c>
      <c r="I140" t="n">
        <v>286887.918183</v>
      </c>
      <c r="J140" t="n">
        <v>286887.918183</v>
      </c>
      <c r="K140" t="n">
        <v>17.551243</v>
      </c>
      <c r="L140" t="n">
        <v>381475.8649</v>
      </c>
      <c r="M140" t="n">
        <v>381475.864896</v>
      </c>
      <c r="N140" t="n">
        <v>381475.864896</v>
      </c>
      <c r="O140" t="n">
        <v>-30.415099</v>
      </c>
      <c r="P140" t="n">
        <v>-56.231379</v>
      </c>
      <c r="Q140" t="n">
        <v>381475.864896</v>
      </c>
      <c r="S140" t="n">
        <v>-30.415099</v>
      </c>
      <c r="U140" t="n">
        <v>36.109759</v>
      </c>
      <c r="V140" t="n">
        <v>37.346278</v>
      </c>
      <c r="W140" t="n">
        <v>804.451973</v>
      </c>
      <c r="X140" t="n">
        <v>432377.280529</v>
      </c>
    </row>
    <row r="141" ht="21" customHeight="1">
      <c r="A141" t="inlineStr">
        <is>
          <t>Pinguipes chilensis</t>
        </is>
      </c>
      <c r="B141" t="n">
        <v>3.53</v>
      </c>
      <c r="C141" t="n">
        <v>338.844156</v>
      </c>
      <c r="D141" s="10" t="inlineStr">
        <is>
          <t>Medium demersal fish</t>
        </is>
      </c>
      <c r="E141" t="n">
        <v>100.341534</v>
      </c>
      <c r="F141" t="n">
        <v>150.446864</v>
      </c>
      <c r="G141" t="n">
        <v>141.309763</v>
      </c>
      <c r="H141" t="n">
        <v>337.73726</v>
      </c>
      <c r="I141" t="n">
        <v>88.13505000000001</v>
      </c>
      <c r="J141" t="n">
        <v>88.674589</v>
      </c>
      <c r="K141" t="n">
        <v>72.72711099999999</v>
      </c>
      <c r="L141" t="n">
        <v>68.19949200000001</v>
      </c>
      <c r="M141" t="n">
        <v>68.19949200000001</v>
      </c>
      <c r="N141" t="n">
        <v>68.19949200000001</v>
      </c>
      <c r="O141" t="n">
        <v>-298.793821</v>
      </c>
      <c r="P141" t="n">
        <v>-775.135045</v>
      </c>
      <c r="Q141" t="n">
        <v>68.19949200000001</v>
      </c>
      <c r="S141" t="n">
        <v>-298.793821</v>
      </c>
      <c r="U141" t="n">
        <v>395.804253</v>
      </c>
      <c r="V141" t="n">
        <v>411.516374</v>
      </c>
      <c r="W141" t="n">
        <v>4936.646121</v>
      </c>
      <c r="X141" t="n">
        <v>76.95169799999999</v>
      </c>
    </row>
    <row r="142" ht="21" customHeight="1">
      <c r="A142" t="inlineStr">
        <is>
          <t>Rajiformes</t>
        </is>
      </c>
      <c r="B142" t="n">
        <v>3.61</v>
      </c>
      <c r="C142" t="n">
        <v>407.380278</v>
      </c>
      <c r="D142" s="10" t="inlineStr">
        <is>
          <t>Benthic elasmobranchs</t>
        </is>
      </c>
      <c r="E142" t="n">
        <v>100.341534</v>
      </c>
      <c r="F142" t="n">
        <v>227.672107</v>
      </c>
      <c r="G142" t="n">
        <v>212.74056</v>
      </c>
      <c r="H142" t="n">
        <v>1440.71119</v>
      </c>
      <c r="I142" t="n">
        <v>5821.032484</v>
      </c>
      <c r="J142" t="n">
        <v>5832.493715</v>
      </c>
      <c r="K142" t="n">
        <v>3842.014077</v>
      </c>
      <c r="L142" t="n">
        <v>7895.724163</v>
      </c>
      <c r="M142" t="n">
        <v>7895.724163</v>
      </c>
      <c r="N142" t="n">
        <v>7895.724163</v>
      </c>
      <c r="O142" t="n">
        <v>-486.538743</v>
      </c>
      <c r="P142" t="n">
        <v>-1040.287329</v>
      </c>
      <c r="Q142" t="n">
        <v>7895.724163</v>
      </c>
      <c r="S142" t="n">
        <v>-486.538743</v>
      </c>
      <c r="U142" t="n">
        <v>552.923044</v>
      </c>
      <c r="V142" t="n">
        <v>574.301321</v>
      </c>
      <c r="W142" t="n">
        <v>8947.059363</v>
      </c>
      <c r="X142" t="n">
        <v>9306.463404</v>
      </c>
    </row>
    <row r="143" ht="21" customHeight="1">
      <c r="A143" t="inlineStr">
        <is>
          <t>Xanthochorus cassidiformis</t>
        </is>
      </c>
      <c r="B143" t="n">
        <v>3.1</v>
      </c>
      <c r="C143" t="n">
        <v>125.892541</v>
      </c>
      <c r="D143" s="10" t="inlineStr">
        <is>
          <t>Macrobenthos</t>
        </is>
      </c>
      <c r="E143" t="n">
        <v>100.341534</v>
      </c>
      <c r="F143" t="n">
        <v>10</v>
      </c>
      <c r="G143" t="n">
        <v>9.716343999999999</v>
      </c>
      <c r="H143" t="n">
        <v>7.967402</v>
      </c>
      <c r="I143" t="n">
        <v>8.646561</v>
      </c>
      <c r="J143" t="n">
        <v>8.646561</v>
      </c>
      <c r="K143" t="n">
        <v>6.833334</v>
      </c>
      <c r="L143" t="n">
        <v>0</v>
      </c>
      <c r="M143" t="n">
        <v>0</v>
      </c>
      <c r="N143" t="n">
        <v>0</v>
      </c>
      <c r="O143" t="n">
        <v>-52.690508</v>
      </c>
      <c r="P143" t="n">
        <v>-186.125074</v>
      </c>
      <c r="Q143" t="n">
        <v>-0</v>
      </c>
      <c r="S143" t="n">
        <v>-52.690508</v>
      </c>
      <c r="U143" t="n">
        <v>90.228787</v>
      </c>
      <c r="V143" t="n">
        <v>93.937016</v>
      </c>
      <c r="W143" t="n">
        <v>928.129669</v>
      </c>
      <c r="X143" t="n">
        <v>0</v>
      </c>
    </row>
    <row r="144" ht="21" customHeight="1">
      <c r="A144" t="inlineStr">
        <is>
          <t>Panulirus gracilis</t>
        </is>
      </c>
      <c r="B144" t="n">
        <v>2.6</v>
      </c>
      <c r="C144" t="n">
        <v>39.810717</v>
      </c>
      <c r="D144" s="10" t="inlineStr">
        <is>
          <t>Macrobenthos</t>
        </is>
      </c>
      <c r="E144" t="n">
        <v>100.341534</v>
      </c>
      <c r="F144" t="n">
        <v>10</v>
      </c>
      <c r="G144" t="n">
        <v>9.716343999999999</v>
      </c>
      <c r="H144" t="n">
        <v>7.967402</v>
      </c>
      <c r="I144" t="n">
        <v>8.646561</v>
      </c>
      <c r="J144" t="n">
        <v>8.646561</v>
      </c>
      <c r="K144" t="n">
        <v>6.833334</v>
      </c>
      <c r="L144" t="n">
        <v>0</v>
      </c>
      <c r="M144" t="n">
        <v>0</v>
      </c>
      <c r="N144" t="n">
        <v>0</v>
      </c>
      <c r="O144" t="n">
        <v>-52.690508</v>
      </c>
      <c r="P144" t="n">
        <v>-186.125074</v>
      </c>
      <c r="Q144" t="n">
        <v>-0</v>
      </c>
      <c r="S144" t="n">
        <v>-52.690508</v>
      </c>
      <c r="U144" t="n">
        <v>90.228787</v>
      </c>
      <c r="V144" t="n">
        <v>93.937016</v>
      </c>
      <c r="W144" t="n">
        <v>928.129669</v>
      </c>
      <c r="X144" t="n">
        <v>0</v>
      </c>
    </row>
    <row r="145" ht="21" customHeight="1">
      <c r="A145" t="inlineStr">
        <is>
          <t>Mustelus</t>
        </is>
      </c>
      <c r="B145" t="n">
        <v>3.73</v>
      </c>
      <c r="C145" t="n">
        <v>537.031796</v>
      </c>
      <c r="D145" s="10" t="inlineStr">
        <is>
          <t>Benthic elasmobranchs</t>
        </is>
      </c>
      <c r="E145" t="n">
        <v>100.341534</v>
      </c>
      <c r="F145" t="n">
        <v>227.672107</v>
      </c>
      <c r="G145" t="n">
        <v>212.74056</v>
      </c>
      <c r="H145" t="n">
        <v>1440.71119</v>
      </c>
      <c r="I145" t="n">
        <v>5821.032484</v>
      </c>
      <c r="J145" t="n">
        <v>5832.493715</v>
      </c>
      <c r="K145" t="n">
        <v>3842.014077</v>
      </c>
      <c r="L145" t="n">
        <v>7895.724163</v>
      </c>
      <c r="M145" t="n">
        <v>7895.724163</v>
      </c>
      <c r="N145" t="n">
        <v>7895.724163</v>
      </c>
      <c r="O145" t="n">
        <v>-486.538743</v>
      </c>
      <c r="P145" t="n">
        <v>-1040.287329</v>
      </c>
      <c r="Q145" t="n">
        <v>7895.724163</v>
      </c>
      <c r="S145" t="n">
        <v>-486.538743</v>
      </c>
      <c r="U145" t="n">
        <v>552.923044</v>
      </c>
      <c r="V145" t="n">
        <v>574.301321</v>
      </c>
      <c r="W145" t="n">
        <v>8947.059363</v>
      </c>
      <c r="X145" t="n">
        <v>9306.463404</v>
      </c>
    </row>
    <row r="146" ht="21" customHeight="1">
      <c r="A146" t="inlineStr">
        <is>
          <t>Emmelichthys nitidus</t>
        </is>
      </c>
      <c r="D146" s="10" t="inlineStr">
        <is>
          <t>Unresolved</t>
        </is>
      </c>
    </row>
    <row r="147" ht="21" customHeight="1">
      <c r="A147" t="inlineStr">
        <is>
          <t>Tetrapturus</t>
        </is>
      </c>
      <c r="D147" s="10" t="inlineStr">
        <is>
          <t>Unresolved</t>
        </is>
      </c>
    </row>
    <row r="148" ht="21" customHeight="1">
      <c r="A148" t="inlineStr">
        <is>
          <t>Nemadactylus</t>
        </is>
      </c>
      <c r="D148" s="10" t="inlineStr">
        <is>
          <t>Medium demersal fish</t>
        </is>
      </c>
      <c r="E148" t="n">
        <v>100.341534</v>
      </c>
      <c r="F148" t="n">
        <v>150.446864</v>
      </c>
      <c r="G148" t="n">
        <v>141.309763</v>
      </c>
      <c r="H148" t="n">
        <v>337.73726</v>
      </c>
      <c r="I148" t="n">
        <v>88.13505000000001</v>
      </c>
      <c r="J148" t="n">
        <v>88.674589</v>
      </c>
      <c r="K148" t="n">
        <v>72.72711099999999</v>
      </c>
      <c r="L148" t="n">
        <v>68.19949200000001</v>
      </c>
      <c r="M148" t="n">
        <v>68.19949200000001</v>
      </c>
      <c r="N148" t="n">
        <v>68.19949200000001</v>
      </c>
      <c r="O148" t="n">
        <v>-298.793821</v>
      </c>
      <c r="P148" t="n">
        <v>-775.135045</v>
      </c>
      <c r="Q148" t="n">
        <v>68.19949200000001</v>
      </c>
      <c r="S148" t="n">
        <v>-298.793821</v>
      </c>
      <c r="U148" t="n">
        <v>395.804253</v>
      </c>
      <c r="V148" t="n">
        <v>411.516374</v>
      </c>
      <c r="W148" t="n">
        <v>4936.646121</v>
      </c>
      <c r="X148" t="n">
        <v>76.95169799999999</v>
      </c>
    </row>
    <row r="149" ht="21" customHeight="1">
      <c r="A149" t="inlineStr">
        <is>
          <t>Kajikia audax</t>
        </is>
      </c>
      <c r="B149" t="n">
        <v>4.58</v>
      </c>
      <c r="C149" t="n">
        <v>3801.893963</v>
      </c>
      <c r="D149" s="10" t="inlineStr">
        <is>
          <t>Unresolved</t>
        </is>
      </c>
    </row>
    <row r="150" ht="21" customHeight="1">
      <c r="A150" t="inlineStr">
        <is>
          <t>Genypterus</t>
        </is>
      </c>
      <c r="B150" t="n">
        <v>4.2</v>
      </c>
      <c r="C150" t="n">
        <v>1584.893192</v>
      </c>
      <c r="D150" s="10" t="inlineStr">
        <is>
          <t>Unresolved</t>
        </is>
      </c>
    </row>
    <row r="151" ht="21" customHeight="1">
      <c r="A151" t="inlineStr">
        <is>
          <t>Zygochlamys patagonica</t>
        </is>
      </c>
      <c r="D151" s="10" t="inlineStr">
        <is>
          <t>Macrobenthos</t>
        </is>
      </c>
      <c r="E151" t="n">
        <v>100.341534</v>
      </c>
      <c r="F151" t="n">
        <v>10</v>
      </c>
      <c r="G151" t="n">
        <v>9.716343999999999</v>
      </c>
      <c r="H151" t="n">
        <v>7.967402</v>
      </c>
      <c r="I151" t="n">
        <v>8.646561</v>
      </c>
      <c r="J151" t="n">
        <v>8.646561</v>
      </c>
      <c r="K151" t="n">
        <v>6.833334</v>
      </c>
      <c r="L151" t="n">
        <v>0</v>
      </c>
      <c r="M151" t="n">
        <v>0</v>
      </c>
      <c r="N151" t="n">
        <v>0</v>
      </c>
      <c r="O151" t="n">
        <v>-52.690508</v>
      </c>
      <c r="P151" t="n">
        <v>-186.125074</v>
      </c>
      <c r="Q151" t="n">
        <v>-0</v>
      </c>
      <c r="S151" t="n">
        <v>-52.690508</v>
      </c>
      <c r="U151" t="n">
        <v>90.228787</v>
      </c>
      <c r="V151" t="n">
        <v>93.937016</v>
      </c>
      <c r="W151" t="n">
        <v>928.129669</v>
      </c>
      <c r="X151" t="n">
        <v>0</v>
      </c>
    </row>
    <row r="152" ht="21" customHeight="1">
      <c r="A152" t="inlineStr">
        <is>
          <t>Dipturus trachyderma</t>
        </is>
      </c>
      <c r="B152" t="n">
        <v>4.14</v>
      </c>
      <c r="C152" t="n">
        <v>1380.384265</v>
      </c>
      <c r="D152" s="10" t="inlineStr">
        <is>
          <t>Benthic elasmobranchs</t>
        </is>
      </c>
      <c r="E152" t="n">
        <v>100.341534</v>
      </c>
      <c r="F152" t="n">
        <v>227.672107</v>
      </c>
      <c r="G152" t="n">
        <v>212.74056</v>
      </c>
      <c r="H152" t="n">
        <v>1440.71119</v>
      </c>
      <c r="I152" t="n">
        <v>5821.032484</v>
      </c>
      <c r="J152" t="n">
        <v>5832.493715</v>
      </c>
      <c r="K152" t="n">
        <v>3842.014077</v>
      </c>
      <c r="L152" t="n">
        <v>7895.724163</v>
      </c>
      <c r="M152" t="n">
        <v>7895.724163</v>
      </c>
      <c r="N152" t="n">
        <v>7895.724163</v>
      </c>
      <c r="O152" t="n">
        <v>-486.538743</v>
      </c>
      <c r="P152" t="n">
        <v>-1040.287329</v>
      </c>
      <c r="Q152" t="n">
        <v>7895.724163</v>
      </c>
      <c r="S152" t="n">
        <v>-486.538743</v>
      </c>
      <c r="U152" t="n">
        <v>552.923044</v>
      </c>
      <c r="V152" t="n">
        <v>574.301321</v>
      </c>
      <c r="W152" t="n">
        <v>8947.059363</v>
      </c>
      <c r="X152" t="n">
        <v>9306.463404</v>
      </c>
    </row>
    <row r="153" ht="21" customHeight="1">
      <c r="A153" t="inlineStr">
        <is>
          <t>Istiophorus platypterus</t>
        </is>
      </c>
      <c r="B153" t="n">
        <v>4.5</v>
      </c>
      <c r="C153" t="n">
        <v>3162.27766</v>
      </c>
      <c r="D153" s="10" t="inlineStr">
        <is>
          <t>Unresolved</t>
        </is>
      </c>
    </row>
    <row r="154" ht="21" customHeight="1">
      <c r="A154" t="inlineStr">
        <is>
          <t>Squalus acanthias</t>
        </is>
      </c>
      <c r="D154" s="10" t="inlineStr">
        <is>
          <t>Benthic elasmobranchs</t>
        </is>
      </c>
      <c r="E154" t="n">
        <v>100.341534</v>
      </c>
      <c r="F154" t="n">
        <v>227.672107</v>
      </c>
      <c r="G154" t="n">
        <v>212.74056</v>
      </c>
      <c r="H154" t="n">
        <v>1440.71119</v>
      </c>
      <c r="I154" t="n">
        <v>5821.032484</v>
      </c>
      <c r="J154" t="n">
        <v>5832.493715</v>
      </c>
      <c r="K154" t="n">
        <v>3842.014077</v>
      </c>
      <c r="L154" t="n">
        <v>7895.724163</v>
      </c>
      <c r="M154" t="n">
        <v>7895.724163</v>
      </c>
      <c r="N154" t="n">
        <v>7895.724163</v>
      </c>
      <c r="O154" t="n">
        <v>-486.538743</v>
      </c>
      <c r="P154" t="n">
        <v>-1040.287329</v>
      </c>
      <c r="Q154" t="n">
        <v>7895.724163</v>
      </c>
      <c r="S154" t="n">
        <v>-486.538743</v>
      </c>
      <c r="U154" t="n">
        <v>552.923044</v>
      </c>
      <c r="V154" t="n">
        <v>574.301321</v>
      </c>
      <c r="W154" t="n">
        <v>8947.059363</v>
      </c>
      <c r="X154" t="n">
        <v>9306.463404</v>
      </c>
    </row>
    <row r="155" ht="21" customHeight="1">
      <c r="A155" t="inlineStr">
        <is>
          <t>Galatheidae</t>
        </is>
      </c>
      <c r="B155" t="n">
        <v>3.1</v>
      </c>
      <c r="C155" t="n">
        <v>125.892541</v>
      </c>
      <c r="D155" s="10" t="inlineStr">
        <is>
          <t>Macrobenthos</t>
        </is>
      </c>
      <c r="E155" t="n">
        <v>100.341534</v>
      </c>
      <c r="F155" t="n">
        <v>10</v>
      </c>
      <c r="G155" t="n">
        <v>9.716343999999999</v>
      </c>
      <c r="H155" t="n">
        <v>7.967402</v>
      </c>
      <c r="I155" t="n">
        <v>8.646561</v>
      </c>
      <c r="J155" t="n">
        <v>8.646561</v>
      </c>
      <c r="K155" t="n">
        <v>6.833334</v>
      </c>
      <c r="L155" t="n">
        <v>0</v>
      </c>
      <c r="M155" t="n">
        <v>0</v>
      </c>
      <c r="N155" t="n">
        <v>0</v>
      </c>
      <c r="O155" t="n">
        <v>-52.690508</v>
      </c>
      <c r="P155" t="n">
        <v>-186.125074</v>
      </c>
      <c r="Q155" t="n">
        <v>-0</v>
      </c>
      <c r="S155" t="n">
        <v>-52.690508</v>
      </c>
      <c r="U155" t="n">
        <v>90.228787</v>
      </c>
      <c r="V155" t="n">
        <v>93.937016</v>
      </c>
      <c r="W155" t="n">
        <v>928.129669</v>
      </c>
      <c r="X155" t="n">
        <v>0</v>
      </c>
    </row>
    <row r="156" ht="21" customHeight="1">
      <c r="A156" t="inlineStr">
        <is>
          <t>Rhynchocinetes typus</t>
        </is>
      </c>
      <c r="B156" t="n">
        <v>2.88</v>
      </c>
      <c r="C156" t="n">
        <v>75.857758</v>
      </c>
      <c r="D156" s="10" t="inlineStr">
        <is>
          <t>Macrobenthos</t>
        </is>
      </c>
      <c r="E156" t="n">
        <v>100.341534</v>
      </c>
      <c r="F156" t="n">
        <v>10</v>
      </c>
      <c r="G156" t="n">
        <v>9.716343999999999</v>
      </c>
      <c r="H156" t="n">
        <v>7.967402</v>
      </c>
      <c r="I156" t="n">
        <v>8.646561</v>
      </c>
      <c r="J156" t="n">
        <v>8.646561</v>
      </c>
      <c r="K156" t="n">
        <v>6.833334</v>
      </c>
      <c r="L156" t="n">
        <v>0</v>
      </c>
      <c r="M156" t="n">
        <v>0</v>
      </c>
      <c r="N156" t="n">
        <v>0</v>
      </c>
      <c r="O156" t="n">
        <v>-52.690508</v>
      </c>
      <c r="P156" t="n">
        <v>-186.125074</v>
      </c>
      <c r="Q156" t="n">
        <v>-0</v>
      </c>
      <c r="S156" t="n">
        <v>-52.690508</v>
      </c>
      <c r="U156" t="n">
        <v>90.228787</v>
      </c>
      <c r="V156" t="n">
        <v>93.937016</v>
      </c>
      <c r="W156" t="n">
        <v>928.129669</v>
      </c>
      <c r="X156" t="n">
        <v>0</v>
      </c>
    </row>
    <row r="157" ht="21" customHeight="1">
      <c r="A157" t="inlineStr">
        <is>
          <t>Lamna nasus</t>
        </is>
      </c>
      <c r="B157" t="n">
        <v>4.57</v>
      </c>
      <c r="C157" t="n">
        <v>3715.352291</v>
      </c>
      <c r="D157" s="10" t="inlineStr">
        <is>
          <t>Chondrichthyans</t>
        </is>
      </c>
      <c r="E157" t="n">
        <v>100.341534</v>
      </c>
      <c r="F157" t="n">
        <v>2800.516289</v>
      </c>
      <c r="G157" t="n">
        <v>2536.048955</v>
      </c>
      <c r="H157" t="n">
        <v>9811.545592</v>
      </c>
      <c r="I157" t="n">
        <v>3407.596957</v>
      </c>
      <c r="J157" t="n">
        <v>3611.409494</v>
      </c>
      <c r="K157" t="n">
        <v>2037.670189</v>
      </c>
      <c r="L157" t="n">
        <v>7571.338585</v>
      </c>
      <c r="M157" t="n">
        <v>7571.338585</v>
      </c>
      <c r="N157" t="n">
        <v>7571.338585</v>
      </c>
      <c r="O157" t="n">
        <v>-1529.398807</v>
      </c>
      <c r="P157" t="n">
        <v>-1805.569841</v>
      </c>
      <c r="Q157" t="n">
        <v>7571.338585</v>
      </c>
      <c r="S157" t="n">
        <v>-1529.398807</v>
      </c>
      <c r="U157" t="n">
        <v>1165.112786</v>
      </c>
      <c r="V157" t="n">
        <v>1204.974224</v>
      </c>
      <c r="W157" t="n">
        <v>32225.773579</v>
      </c>
      <c r="X157" t="n">
        <v>9364.462680000001</v>
      </c>
    </row>
    <row r="158" ht="21" customHeight="1">
      <c r="A158" t="inlineStr">
        <is>
          <t>Coelorinchus chilensis</t>
        </is>
      </c>
      <c r="D158" s="10" t="inlineStr">
        <is>
          <t>Unresolved</t>
        </is>
      </c>
    </row>
    <row r="159" ht="21" customHeight="1">
      <c r="A159" t="inlineStr">
        <is>
          <t>Cancer plebejus</t>
        </is>
      </c>
      <c r="B159" t="n">
        <v>2.97</v>
      </c>
      <c r="C159" t="n">
        <v>93.32543</v>
      </c>
      <c r="D159" s="10" t="inlineStr">
        <is>
          <t>Macrobenthos</t>
        </is>
      </c>
      <c r="E159" t="n">
        <v>100.341534</v>
      </c>
      <c r="F159" t="n">
        <v>10</v>
      </c>
      <c r="G159" t="n">
        <v>9.716343999999999</v>
      </c>
      <c r="H159" t="n">
        <v>7.967402</v>
      </c>
      <c r="I159" t="n">
        <v>8.646561</v>
      </c>
      <c r="J159" t="n">
        <v>8.646561</v>
      </c>
      <c r="K159" t="n">
        <v>6.833334</v>
      </c>
      <c r="L159" t="n">
        <v>0</v>
      </c>
      <c r="M159" t="n">
        <v>0</v>
      </c>
      <c r="N159" t="n">
        <v>0</v>
      </c>
      <c r="O159" t="n">
        <v>-52.690508</v>
      </c>
      <c r="P159" t="n">
        <v>-186.125074</v>
      </c>
      <c r="Q159" t="n">
        <v>-0</v>
      </c>
      <c r="S159" t="n">
        <v>-52.690508</v>
      </c>
      <c r="U159" t="n">
        <v>90.228787</v>
      </c>
      <c r="V159" t="n">
        <v>93.937016</v>
      </c>
      <c r="W159" t="n">
        <v>928.129669</v>
      </c>
      <c r="X159" t="n">
        <v>0</v>
      </c>
    </row>
    <row r="160" ht="21" customHeight="1">
      <c r="A160" t="inlineStr">
        <is>
          <t>Fistularia corneta</t>
        </is>
      </c>
      <c r="B160" t="n">
        <v>4.5</v>
      </c>
      <c r="C160" t="n">
        <v>3162.27766</v>
      </c>
      <c r="D160" s="10" t="inlineStr">
        <is>
          <t>Unresolved</t>
        </is>
      </c>
    </row>
    <row r="161" ht="21" customHeight="1">
      <c r="A161" t="inlineStr">
        <is>
          <t>Trichiuridae</t>
        </is>
      </c>
      <c r="D161" s="10" t="inlineStr">
        <is>
          <t>Unresolved</t>
        </is>
      </c>
    </row>
    <row r="162" ht="21" customHeight="1">
      <c r="A162" t="inlineStr">
        <is>
          <t>Cynoglossidae</t>
        </is>
      </c>
      <c r="B162" t="n">
        <v>3.29</v>
      </c>
      <c r="C162" t="n">
        <v>194.98446</v>
      </c>
      <c r="D162" s="10" t="inlineStr">
        <is>
          <t>Flatfish</t>
        </is>
      </c>
      <c r="E162" t="n">
        <v>100.341534</v>
      </c>
      <c r="F162" t="n">
        <v>734.481858</v>
      </c>
      <c r="G162" t="n">
        <v>676.339308</v>
      </c>
      <c r="H162" t="n">
        <v>2029.750446</v>
      </c>
      <c r="I162" t="n">
        <v>329.939479</v>
      </c>
      <c r="J162" t="n">
        <v>329.939479</v>
      </c>
      <c r="K162" t="n">
        <v>328.441152</v>
      </c>
      <c r="L162" t="n">
        <v>310.666808</v>
      </c>
      <c r="M162" t="n">
        <v>310.666808</v>
      </c>
      <c r="N162" t="n">
        <v>310.666808</v>
      </c>
      <c r="O162" t="n">
        <v>-921.644531</v>
      </c>
      <c r="P162" t="n">
        <v>-1867.948168</v>
      </c>
      <c r="Q162" t="n">
        <v>310.666808</v>
      </c>
      <c r="S162" t="n">
        <v>-921.644531</v>
      </c>
      <c r="U162" t="n">
        <v>988.618759</v>
      </c>
      <c r="V162" t="n">
        <v>1026.949166</v>
      </c>
      <c r="W162" t="n">
        <v>19457.939662</v>
      </c>
      <c r="X162" t="n">
        <v>355.992575</v>
      </c>
    </row>
    <row r="163" ht="21" customHeight="1">
      <c r="A163" t="inlineStr">
        <is>
          <t>Lampris guttatus</t>
        </is>
      </c>
      <c r="B163" t="n">
        <v>4.22</v>
      </c>
      <c r="C163" t="n">
        <v>1659.586907</v>
      </c>
      <c r="D163" s="10" t="inlineStr">
        <is>
          <t>Unresolved</t>
        </is>
      </c>
    </row>
    <row r="164" ht="21" customHeight="1">
      <c r="A164" t="inlineStr">
        <is>
          <t>Epinephelus</t>
        </is>
      </c>
      <c r="B164" t="n">
        <v>3.84</v>
      </c>
      <c r="C164" t="n">
        <v>691.830971</v>
      </c>
      <c r="D164" s="10" t="inlineStr">
        <is>
          <t>Medium demersal fish</t>
        </is>
      </c>
      <c r="E164" t="n">
        <v>100.341534</v>
      </c>
      <c r="F164" t="n">
        <v>150.446864</v>
      </c>
      <c r="G164" t="n">
        <v>141.309763</v>
      </c>
      <c r="H164" t="n">
        <v>337.73726</v>
      </c>
      <c r="I164" t="n">
        <v>88.13505000000001</v>
      </c>
      <c r="J164" t="n">
        <v>88.674589</v>
      </c>
      <c r="K164" t="n">
        <v>72.72711099999999</v>
      </c>
      <c r="L164" t="n">
        <v>68.19949200000001</v>
      </c>
      <c r="M164" t="n">
        <v>68.19949200000001</v>
      </c>
      <c r="N164" t="n">
        <v>68.19949200000001</v>
      </c>
      <c r="O164" t="n">
        <v>-298.793821</v>
      </c>
      <c r="P164" t="n">
        <v>-775.135045</v>
      </c>
      <c r="Q164" t="n">
        <v>68.19949200000001</v>
      </c>
      <c r="S164" t="n">
        <v>-298.793821</v>
      </c>
      <c r="U164" t="n">
        <v>395.804253</v>
      </c>
      <c r="V164" t="n">
        <v>411.516374</v>
      </c>
      <c r="W164" t="n">
        <v>4936.646121</v>
      </c>
      <c r="X164" t="n">
        <v>76.95169799999999</v>
      </c>
    </row>
    <row r="165" ht="21" customHeight="1">
      <c r="A165" t="inlineStr">
        <is>
          <t>Isurus</t>
        </is>
      </c>
      <c r="B165" t="n">
        <v>4.5</v>
      </c>
      <c r="C165" t="n">
        <v>3162.27766</v>
      </c>
      <c r="D165" s="10" t="inlineStr">
        <is>
          <t>Chondrichthyans</t>
        </is>
      </c>
      <c r="E165" t="n">
        <v>100.341534</v>
      </c>
      <c r="F165" t="n">
        <v>2800.516289</v>
      </c>
      <c r="G165" t="n">
        <v>2536.048955</v>
      </c>
      <c r="H165" t="n">
        <v>9811.545592</v>
      </c>
      <c r="I165" t="n">
        <v>3407.596957</v>
      </c>
      <c r="J165" t="n">
        <v>3611.409494</v>
      </c>
      <c r="K165" t="n">
        <v>2037.670189</v>
      </c>
      <c r="L165" t="n">
        <v>7571.338585</v>
      </c>
      <c r="M165" t="n">
        <v>7571.338585</v>
      </c>
      <c r="N165" t="n">
        <v>7571.338585</v>
      </c>
      <c r="O165" t="n">
        <v>-1529.398807</v>
      </c>
      <c r="P165" t="n">
        <v>-1805.569841</v>
      </c>
      <c r="Q165" t="n">
        <v>7571.338585</v>
      </c>
      <c r="S165" t="n">
        <v>-1529.398807</v>
      </c>
      <c r="U165" t="n">
        <v>1165.112786</v>
      </c>
      <c r="V165" t="n">
        <v>1204.974224</v>
      </c>
      <c r="W165" t="n">
        <v>32225.773579</v>
      </c>
      <c r="X165" t="n">
        <v>9364.462680000001</v>
      </c>
    </row>
    <row r="166" ht="21" customHeight="1">
      <c r="A166" t="inlineStr">
        <is>
          <t>Rajidae</t>
        </is>
      </c>
      <c r="D166" s="10" t="inlineStr">
        <is>
          <t>Benthic elasmobranchs</t>
        </is>
      </c>
      <c r="E166" t="n">
        <v>100.341534</v>
      </c>
      <c r="F166" t="n">
        <v>227.672107</v>
      </c>
      <c r="G166" t="n">
        <v>212.74056</v>
      </c>
      <c r="H166" t="n">
        <v>1440.71119</v>
      </c>
      <c r="I166" t="n">
        <v>5821.032484</v>
      </c>
      <c r="J166" t="n">
        <v>5832.493715</v>
      </c>
      <c r="K166" t="n">
        <v>3842.014077</v>
      </c>
      <c r="L166" t="n">
        <v>7895.724163</v>
      </c>
      <c r="M166" t="n">
        <v>7895.724163</v>
      </c>
      <c r="N166" t="n">
        <v>7895.724163</v>
      </c>
      <c r="O166" t="n">
        <v>-486.538743</v>
      </c>
      <c r="P166" t="n">
        <v>-1040.287329</v>
      </c>
      <c r="Q166" t="n">
        <v>7895.724163</v>
      </c>
      <c r="S166" t="n">
        <v>-486.538743</v>
      </c>
      <c r="U166" t="n">
        <v>552.923044</v>
      </c>
      <c r="V166" t="n">
        <v>574.301321</v>
      </c>
      <c r="W166" t="n">
        <v>8947.059363</v>
      </c>
      <c r="X166" t="n">
        <v>9306.463404</v>
      </c>
    </row>
    <row r="167" ht="21" customHeight="1">
      <c r="A167" t="inlineStr">
        <is>
          <t>Aplodactylus punctatus</t>
        </is>
      </c>
      <c r="B167" t="n">
        <v>2.04</v>
      </c>
      <c r="C167" t="n">
        <v>10.964782</v>
      </c>
      <c r="D167" s="10" t="inlineStr">
        <is>
          <t>Unresolved</t>
        </is>
      </c>
    </row>
    <row r="168" ht="21" customHeight="1">
      <c r="A168" t="inlineStr">
        <is>
          <t>Euthynnus lineatus</t>
        </is>
      </c>
      <c r="B168" t="n">
        <v>3.83</v>
      </c>
      <c r="C168" t="n">
        <v>676.082975</v>
      </c>
      <c r="D168" s="10" t="inlineStr">
        <is>
          <t>Other large pelagic fish</t>
        </is>
      </c>
      <c r="E168" t="n">
        <v>100.341534</v>
      </c>
      <c r="F168" t="n">
        <v>721.5611730000001</v>
      </c>
      <c r="G168" t="n">
        <v>664.588831</v>
      </c>
      <c r="H168" t="n">
        <v>1922.667229</v>
      </c>
      <c r="I168" t="n">
        <v>706.388691</v>
      </c>
      <c r="J168" t="n">
        <v>729.176823</v>
      </c>
      <c r="K168" t="n">
        <v>389.360329</v>
      </c>
      <c r="L168" t="n">
        <v>1277.756768</v>
      </c>
      <c r="M168" t="n">
        <v>1277.756768</v>
      </c>
      <c r="N168" t="n">
        <v>1277.756768</v>
      </c>
      <c r="O168" t="n">
        <v>-480.629183</v>
      </c>
      <c r="P168" t="n">
        <v>-710.36627</v>
      </c>
      <c r="Q168" t="n">
        <v>1277.756768</v>
      </c>
      <c r="S168" t="n">
        <v>-480.629183</v>
      </c>
      <c r="U168" t="n">
        <v>482.977051</v>
      </c>
      <c r="V168" t="n">
        <v>498.989546</v>
      </c>
      <c r="W168" t="n">
        <v>10482.764702</v>
      </c>
      <c r="X168" t="n">
        <v>1534.363238</v>
      </c>
    </row>
    <row r="169" ht="36" customHeight="1">
      <c r="A169" t="inlineStr">
        <is>
          <t>Chondrichthyes</t>
        </is>
      </c>
      <c r="B169" t="n">
        <v>4</v>
      </c>
      <c r="C169" t="n">
        <v>1000</v>
      </c>
      <c r="D169" s="10" t="inlineStr">
        <is>
          <t>Benthic elasmobranchs | Chondrichthyans</t>
        </is>
      </c>
      <c r="E169" t="n">
        <v>100.341534</v>
      </c>
      <c r="F169" t="n">
        <v>1136.362086</v>
      </c>
      <c r="G169" t="n">
        <v>1033.298241</v>
      </c>
      <c r="H169" t="n">
        <v>4397.16436</v>
      </c>
      <c r="I169" t="n">
        <v>4968.643251</v>
      </c>
      <c r="J169" t="n">
        <v>5048.040078</v>
      </c>
      <c r="K169" t="n">
        <v>3204.746876</v>
      </c>
      <c r="L169" t="n">
        <v>7781.156042</v>
      </c>
      <c r="M169" t="n">
        <v>7781.156042</v>
      </c>
      <c r="N169" t="n">
        <v>7781.156042</v>
      </c>
      <c r="O169" t="n">
        <v>-854.861277</v>
      </c>
      <c r="P169" t="n">
        <v>-1310.573635</v>
      </c>
      <c r="Q169" t="n">
        <v>7781.156042</v>
      </c>
      <c r="S169" t="n">
        <v>-854.861277</v>
      </c>
      <c r="U169" t="n">
        <v>769.13928</v>
      </c>
      <c r="V169" t="n">
        <v>797.045532</v>
      </c>
      <c r="W169" t="n">
        <v>17168.752103</v>
      </c>
      <c r="X169" t="n">
        <v>9326.947878000001</v>
      </c>
    </row>
    <row r="170" ht="21" customHeight="1">
      <c r="A170" t="inlineStr">
        <is>
          <t>Thunnus orientalis</t>
        </is>
      </c>
      <c r="B170" t="n">
        <v>4.05</v>
      </c>
      <c r="C170" t="n">
        <v>1122.018454</v>
      </c>
      <c r="D170" s="10" t="inlineStr">
        <is>
          <t>Other large pelagic fish</t>
        </is>
      </c>
      <c r="E170" t="n">
        <v>100.341534</v>
      </c>
      <c r="F170" t="n">
        <v>721.5611730000001</v>
      </c>
      <c r="G170" t="n">
        <v>664.588831</v>
      </c>
      <c r="H170" t="n">
        <v>1922.667229</v>
      </c>
      <c r="I170" t="n">
        <v>706.388691</v>
      </c>
      <c r="J170" t="n">
        <v>729.176823</v>
      </c>
      <c r="K170" t="n">
        <v>389.360329</v>
      </c>
      <c r="L170" t="n">
        <v>1277.756768</v>
      </c>
      <c r="M170" t="n">
        <v>1277.756768</v>
      </c>
      <c r="N170" t="n">
        <v>1277.756768</v>
      </c>
      <c r="O170" t="n">
        <v>-480.629183</v>
      </c>
      <c r="P170" t="n">
        <v>-710.36627</v>
      </c>
      <c r="Q170" t="n">
        <v>1277.756768</v>
      </c>
      <c r="S170" t="n">
        <v>-480.629183</v>
      </c>
      <c r="U170" t="n">
        <v>482.977051</v>
      </c>
      <c r="V170" t="n">
        <v>498.989546</v>
      </c>
      <c r="W170" t="n">
        <v>10482.764702</v>
      </c>
      <c r="X170" t="n">
        <v>1534.363238</v>
      </c>
    </row>
    <row r="171" ht="21" customHeight="1">
      <c r="A171" t="inlineStr">
        <is>
          <t>Carcharhinus falciformis</t>
        </is>
      </c>
      <c r="B171" t="n">
        <v>4.51</v>
      </c>
      <c r="C171" t="n">
        <v>3235.936569</v>
      </c>
      <c r="D171" s="10" t="inlineStr">
        <is>
          <t>Chondrichthyans</t>
        </is>
      </c>
      <c r="E171" t="n">
        <v>100.341534</v>
      </c>
      <c r="F171" t="n">
        <v>2800.516289</v>
      </c>
      <c r="G171" t="n">
        <v>2536.048955</v>
      </c>
      <c r="H171" t="n">
        <v>9811.545592</v>
      </c>
      <c r="I171" t="n">
        <v>3407.596957</v>
      </c>
      <c r="J171" t="n">
        <v>3611.409494</v>
      </c>
      <c r="K171" t="n">
        <v>2037.670189</v>
      </c>
      <c r="L171" t="n">
        <v>7571.338585</v>
      </c>
      <c r="M171" t="n">
        <v>7571.338585</v>
      </c>
      <c r="N171" t="n">
        <v>7571.338585</v>
      </c>
      <c r="O171" t="n">
        <v>-1529.398807</v>
      </c>
      <c r="P171" t="n">
        <v>-1805.569841</v>
      </c>
      <c r="Q171" t="n">
        <v>7571.338585</v>
      </c>
      <c r="S171" t="n">
        <v>-1529.398807</v>
      </c>
      <c r="U171" t="n">
        <v>1165.112786</v>
      </c>
      <c r="V171" t="n">
        <v>1204.974224</v>
      </c>
      <c r="W171" t="n">
        <v>32225.773579</v>
      </c>
      <c r="X171" t="n">
        <v>9364.462680000001</v>
      </c>
    </row>
    <row r="172" ht="21" customHeight="1">
      <c r="A172" t="inlineStr">
        <is>
          <t>Holothuriidae</t>
        </is>
      </c>
      <c r="B172" t="n">
        <v>2</v>
      </c>
      <c r="C172" t="n">
        <v>10</v>
      </c>
      <c r="D172" s="10" t="inlineStr">
        <is>
          <t>Macrobenthos</t>
        </is>
      </c>
      <c r="E172" t="n">
        <v>100.341534</v>
      </c>
      <c r="F172" t="n">
        <v>10</v>
      </c>
      <c r="G172" t="n">
        <v>9.716343999999999</v>
      </c>
      <c r="H172" t="n">
        <v>7.967402</v>
      </c>
      <c r="I172" t="n">
        <v>8.646561</v>
      </c>
      <c r="J172" t="n">
        <v>8.646561</v>
      </c>
      <c r="K172" t="n">
        <v>6.833334</v>
      </c>
      <c r="L172" t="n">
        <v>0</v>
      </c>
      <c r="M172" t="n">
        <v>0</v>
      </c>
      <c r="N172" t="n">
        <v>0</v>
      </c>
      <c r="O172" t="n">
        <v>-52.690508</v>
      </c>
      <c r="P172" t="n">
        <v>-186.125074</v>
      </c>
      <c r="Q172" t="n">
        <v>-0</v>
      </c>
      <c r="S172" t="n">
        <v>-52.690508</v>
      </c>
      <c r="U172" t="n">
        <v>90.228787</v>
      </c>
      <c r="V172" t="n">
        <v>93.937016</v>
      </c>
      <c r="W172" t="n">
        <v>928.129669</v>
      </c>
      <c r="X172" t="n">
        <v>0</v>
      </c>
    </row>
    <row r="173" ht="21" customHeight="1">
      <c r="A173" t="inlineStr">
        <is>
          <t>Brama brama</t>
        </is>
      </c>
      <c r="B173" t="n">
        <v>4.08</v>
      </c>
      <c r="C173" t="n">
        <v>1202.264435</v>
      </c>
      <c r="D173" s="10" t="inlineStr">
        <is>
          <t>Unresolved</t>
        </is>
      </c>
    </row>
    <row r="174" ht="21" customHeight="1">
      <c r="A174" t="inlineStr">
        <is>
          <t>Mobula birostris</t>
        </is>
      </c>
      <c r="B174" t="n">
        <v>3.46</v>
      </c>
      <c r="C174" t="n">
        <v>288.40315</v>
      </c>
      <c r="D174" s="10" t="inlineStr">
        <is>
          <t>Chondrichthyans</t>
        </is>
      </c>
      <c r="E174" t="n">
        <v>100.341534</v>
      </c>
      <c r="F174" t="n">
        <v>2800.516289</v>
      </c>
      <c r="G174" t="n">
        <v>2536.048955</v>
      </c>
      <c r="H174" t="n">
        <v>9811.545592</v>
      </c>
      <c r="I174" t="n">
        <v>3407.596957</v>
      </c>
      <c r="J174" t="n">
        <v>3611.409494</v>
      </c>
      <c r="K174" t="n">
        <v>2037.670189</v>
      </c>
      <c r="L174" t="n">
        <v>7571.338585</v>
      </c>
      <c r="M174" t="n">
        <v>7571.338585</v>
      </c>
      <c r="N174" t="n">
        <v>7571.338585</v>
      </c>
      <c r="O174" t="n">
        <v>-1529.398807</v>
      </c>
      <c r="P174" t="n">
        <v>-1805.569841</v>
      </c>
      <c r="Q174" t="n">
        <v>7571.338585</v>
      </c>
      <c r="S174" t="n">
        <v>-1529.398807</v>
      </c>
      <c r="U174" t="n">
        <v>1165.112786</v>
      </c>
      <c r="V174" t="n">
        <v>1204.974224</v>
      </c>
      <c r="W174" t="n">
        <v>32225.773579</v>
      </c>
      <c r="X174" t="n">
        <v>9364.462680000001</v>
      </c>
    </row>
    <row r="175" ht="21" customHeight="1">
      <c r="A175" t="inlineStr">
        <is>
          <t>Malacanthidae</t>
        </is>
      </c>
      <c r="B175" t="n">
        <v>3.62</v>
      </c>
      <c r="C175" t="n">
        <v>416.869383</v>
      </c>
      <c r="D175" s="10" t="inlineStr">
        <is>
          <t>Medium demersal fish</t>
        </is>
      </c>
      <c r="E175" t="n">
        <v>100.341534</v>
      </c>
      <c r="F175" t="n">
        <v>150.446864</v>
      </c>
      <c r="G175" t="n">
        <v>141.309763</v>
      </c>
      <c r="H175" t="n">
        <v>337.73726</v>
      </c>
      <c r="I175" t="n">
        <v>88.13505000000001</v>
      </c>
      <c r="J175" t="n">
        <v>88.674589</v>
      </c>
      <c r="K175" t="n">
        <v>72.72711099999999</v>
      </c>
      <c r="L175" t="n">
        <v>68.19949200000001</v>
      </c>
      <c r="M175" t="n">
        <v>68.19949200000001</v>
      </c>
      <c r="N175" t="n">
        <v>68.19949200000001</v>
      </c>
      <c r="O175" t="n">
        <v>-298.793821</v>
      </c>
      <c r="P175" t="n">
        <v>-775.135045</v>
      </c>
      <c r="Q175" t="n">
        <v>68.19949200000001</v>
      </c>
      <c r="S175" t="n">
        <v>-298.793821</v>
      </c>
      <c r="U175" t="n">
        <v>395.804253</v>
      </c>
      <c r="V175" t="n">
        <v>411.516374</v>
      </c>
      <c r="W175" t="n">
        <v>4936.646121</v>
      </c>
      <c r="X175" t="n">
        <v>76.95169799999999</v>
      </c>
    </row>
    <row r="176" ht="36" customHeight="1">
      <c r="A176" t="inlineStr">
        <is>
          <t>Marine groundfishes not identified</t>
        </is>
      </c>
      <c r="D176" s="10" t="inlineStr">
        <is>
          <t>Small demersal fish | Medium demersal fish | Medium sciaenids</t>
        </is>
      </c>
      <c r="E176" t="n">
        <v>100.341534</v>
      </c>
      <c r="F176" t="n">
        <v>138.326515</v>
      </c>
      <c r="G176" t="n">
        <v>129.842543</v>
      </c>
      <c r="H176" t="n">
        <v>375.637884</v>
      </c>
      <c r="I176" t="n">
        <v>891.778171</v>
      </c>
      <c r="J176" t="n">
        <v>892.361268</v>
      </c>
      <c r="K176" t="n">
        <v>638.384396</v>
      </c>
      <c r="L176" t="n">
        <v>1402.227086</v>
      </c>
      <c r="M176" t="n">
        <v>1402.227086</v>
      </c>
      <c r="N176" t="n">
        <v>1402.227086</v>
      </c>
      <c r="O176" t="n">
        <v>-252.739042</v>
      </c>
      <c r="P176" t="n">
        <v>-627.209376</v>
      </c>
      <c r="Q176" t="n">
        <v>1402.227086</v>
      </c>
      <c r="S176" t="n">
        <v>-252.739042</v>
      </c>
      <c r="U176" t="n">
        <v>327.999372</v>
      </c>
      <c r="V176" t="n">
        <v>340.816723</v>
      </c>
      <c r="W176" t="n">
        <v>4864.146819</v>
      </c>
      <c r="X176" t="n">
        <v>1661.269592</v>
      </c>
    </row>
    <row r="177" ht="21" customHeight="1">
      <c r="A177" t="inlineStr">
        <is>
          <t>Micromesistius australis</t>
        </is>
      </c>
      <c r="B177" t="n">
        <v>3.76</v>
      </c>
      <c r="C177" t="n">
        <v>575.439937</v>
      </c>
      <c r="D177" s="10" t="inlineStr">
        <is>
          <t>Unresolved</t>
        </is>
      </c>
    </row>
    <row r="178" ht="36" customHeight="1">
      <c r="A178" t="inlineStr">
        <is>
          <t>Scombroidei</t>
        </is>
      </c>
      <c r="D178" s="10" t="inlineStr">
        <is>
          <t>Chub mackerel | Other large pelagic fish</t>
        </is>
      </c>
      <c r="E178" t="n">
        <v>100.341534</v>
      </c>
      <c r="F178" t="n">
        <v>476.852449</v>
      </c>
      <c r="G178" t="n">
        <v>441.18128</v>
      </c>
      <c r="H178" t="n">
        <v>1303.591151</v>
      </c>
      <c r="I178" t="n">
        <v>1226.508861</v>
      </c>
      <c r="J178" t="n">
        <v>1233.564686</v>
      </c>
      <c r="K178" t="n">
        <v>276.892702</v>
      </c>
      <c r="L178" t="n">
        <v>1740.241574</v>
      </c>
      <c r="M178" t="n">
        <v>1740.241574</v>
      </c>
      <c r="N178" t="n">
        <v>1740.241574</v>
      </c>
      <c r="O178" t="n">
        <v>-382.013675</v>
      </c>
      <c r="P178" t="n">
        <v>-587.569844</v>
      </c>
      <c r="Q178" t="n">
        <v>1740.241574</v>
      </c>
      <c r="S178" t="n">
        <v>-382.013675</v>
      </c>
      <c r="U178" t="n">
        <v>393.857558</v>
      </c>
      <c r="V178" t="n">
        <v>407.026531</v>
      </c>
      <c r="W178" t="n">
        <v>8287.137009</v>
      </c>
      <c r="X178" t="n">
        <v>1995.746036</v>
      </c>
    </row>
    <row r="179" ht="21" customHeight="1">
      <c r="A179" t="inlineStr">
        <is>
          <t>Mustelus mento</t>
        </is>
      </c>
      <c r="B179" t="n">
        <v>3.66</v>
      </c>
      <c r="C179" t="n">
        <v>457.08819</v>
      </c>
      <c r="D179" s="10" t="inlineStr">
        <is>
          <t>Benthic elasmobranchs</t>
        </is>
      </c>
      <c r="E179" t="n">
        <v>100.341534</v>
      </c>
      <c r="F179" t="n">
        <v>227.672107</v>
      </c>
      <c r="G179" t="n">
        <v>212.74056</v>
      </c>
      <c r="H179" t="n">
        <v>1440.71119</v>
      </c>
      <c r="I179" t="n">
        <v>5821.032484</v>
      </c>
      <c r="J179" t="n">
        <v>5832.493715</v>
      </c>
      <c r="K179" t="n">
        <v>3842.014077</v>
      </c>
      <c r="L179" t="n">
        <v>7895.724163</v>
      </c>
      <c r="M179" t="n">
        <v>7895.724163</v>
      </c>
      <c r="N179" t="n">
        <v>7895.724163</v>
      </c>
      <c r="O179" t="n">
        <v>-486.538743</v>
      </c>
      <c r="P179" t="n">
        <v>-1040.287329</v>
      </c>
      <c r="Q179" t="n">
        <v>7895.724163</v>
      </c>
      <c r="S179" t="n">
        <v>-486.538743</v>
      </c>
      <c r="U179" t="n">
        <v>552.923044</v>
      </c>
      <c r="V179" t="n">
        <v>574.301321</v>
      </c>
      <c r="W179" t="n">
        <v>8947.059363</v>
      </c>
      <c r="X179" t="n">
        <v>9306.463404</v>
      </c>
    </row>
    <row r="180" ht="21" customHeight="1">
      <c r="A180" t="inlineStr">
        <is>
          <t>Trichiurus lepturus</t>
        </is>
      </c>
      <c r="B180" t="n">
        <v>4.42</v>
      </c>
      <c r="C180" t="n">
        <v>2630.267992</v>
      </c>
      <c r="D180" s="10" t="inlineStr">
        <is>
          <t>Unresolved</t>
        </is>
      </c>
    </row>
    <row r="181" ht="36" customHeight="1">
      <c r="A181" t="inlineStr">
        <is>
          <t>Clupeiformes</t>
        </is>
      </c>
      <c r="D181" s="10" t="inlineStr">
        <is>
          <t>Sardine | Anchovy | Other small pelagic fish</t>
        </is>
      </c>
      <c r="E181" t="n">
        <v>100.341534</v>
      </c>
      <c r="F181" t="n">
        <v>84.62205400000001</v>
      </c>
      <c r="G181" t="n">
        <v>80.04756399999999</v>
      </c>
      <c r="H181" t="n">
        <v>174.373431</v>
      </c>
      <c r="I181" t="n">
        <v>33.231161</v>
      </c>
      <c r="J181" t="n">
        <v>33.231161</v>
      </c>
      <c r="K181" t="n">
        <v>28.003827</v>
      </c>
      <c r="L181" t="n">
        <v>44.42046</v>
      </c>
      <c r="M181" t="n">
        <v>44.42046</v>
      </c>
      <c r="N181" t="n">
        <v>44.42046</v>
      </c>
      <c r="O181" t="n">
        <v>-48.852438</v>
      </c>
      <c r="P181" t="n">
        <v>-94.143101</v>
      </c>
      <c r="Q181" t="n">
        <v>44.42046</v>
      </c>
      <c r="S181" t="n">
        <v>-48.852438</v>
      </c>
      <c r="U181" t="n">
        <v>63.031329</v>
      </c>
      <c r="V181" t="n">
        <v>65.140311</v>
      </c>
      <c r="W181" t="n">
        <v>1119.834294</v>
      </c>
      <c r="X181" t="n">
        <v>50.075915</v>
      </c>
    </row>
    <row r="182" ht="21" customHeight="1">
      <c r="A182" t="inlineStr">
        <is>
          <t>Taliepus marginatus</t>
        </is>
      </c>
      <c r="B182" t="n">
        <v>2.86</v>
      </c>
      <c r="C182" t="n">
        <v>72.443596</v>
      </c>
      <c r="D182" s="10" t="inlineStr">
        <is>
          <t>Macrobenthos</t>
        </is>
      </c>
      <c r="E182" t="n">
        <v>100.341534</v>
      </c>
      <c r="F182" t="n">
        <v>10</v>
      </c>
      <c r="G182" t="n">
        <v>9.716343999999999</v>
      </c>
      <c r="H182" t="n">
        <v>7.967402</v>
      </c>
      <c r="I182" t="n">
        <v>8.646561</v>
      </c>
      <c r="J182" t="n">
        <v>8.646561</v>
      </c>
      <c r="K182" t="n">
        <v>6.833334</v>
      </c>
      <c r="L182" t="n">
        <v>0</v>
      </c>
      <c r="M182" t="n">
        <v>0</v>
      </c>
      <c r="N182" t="n">
        <v>0</v>
      </c>
      <c r="O182" t="n">
        <v>-52.690508</v>
      </c>
      <c r="P182" t="n">
        <v>-186.125074</v>
      </c>
      <c r="Q182" t="n">
        <v>-0</v>
      </c>
      <c r="S182" t="n">
        <v>-52.690508</v>
      </c>
      <c r="U182" t="n">
        <v>90.228787</v>
      </c>
      <c r="V182" t="n">
        <v>93.937016</v>
      </c>
      <c r="W182" t="n">
        <v>928.129669</v>
      </c>
      <c r="X182" t="n">
        <v>0</v>
      </c>
    </row>
    <row r="183" ht="21" customHeight="1">
      <c r="A183" t="inlineStr">
        <is>
          <t>Scorpaena histrio</t>
        </is>
      </c>
      <c r="B183" t="n">
        <v>3.7</v>
      </c>
      <c r="C183" t="n">
        <v>501.187234</v>
      </c>
      <c r="D183" s="10" t="inlineStr">
        <is>
          <t>Unresolved</t>
        </is>
      </c>
    </row>
    <row r="184" ht="21" customHeight="1">
      <c r="A184" t="inlineStr">
        <is>
          <t>Elagatis bipinnulata</t>
        </is>
      </c>
      <c r="D184" s="10" t="inlineStr">
        <is>
          <t>Other large pelagic fish</t>
        </is>
      </c>
      <c r="E184" t="n">
        <v>100.341534</v>
      </c>
      <c r="F184" t="n">
        <v>721.5611730000001</v>
      </c>
      <c r="G184" t="n">
        <v>664.588831</v>
      </c>
      <c r="H184" t="n">
        <v>1922.667229</v>
      </c>
      <c r="I184" t="n">
        <v>706.388691</v>
      </c>
      <c r="J184" t="n">
        <v>729.176823</v>
      </c>
      <c r="K184" t="n">
        <v>389.360329</v>
      </c>
      <c r="L184" t="n">
        <v>1277.756768</v>
      </c>
      <c r="M184" t="n">
        <v>1277.756768</v>
      </c>
      <c r="N184" t="n">
        <v>1277.756768</v>
      </c>
      <c r="O184" t="n">
        <v>-480.629183</v>
      </c>
      <c r="P184" t="n">
        <v>-710.36627</v>
      </c>
      <c r="Q184" t="n">
        <v>1277.756768</v>
      </c>
      <c r="S184" t="n">
        <v>-480.629183</v>
      </c>
      <c r="U184" t="n">
        <v>482.977051</v>
      </c>
      <c r="V184" t="n">
        <v>498.989546</v>
      </c>
      <c r="W184" t="n">
        <v>10482.764702</v>
      </c>
      <c r="X184" t="n">
        <v>1534.363238</v>
      </c>
    </row>
    <row r="185" ht="21" customHeight="1">
      <c r="A185" t="inlineStr">
        <is>
          <t>Istiompax indica</t>
        </is>
      </c>
      <c r="B185" t="n">
        <v>4.5</v>
      </c>
      <c r="C185" t="n">
        <v>3162.27766</v>
      </c>
      <c r="D185" s="10" t="inlineStr">
        <is>
          <t>Unresolved</t>
        </is>
      </c>
    </row>
    <row r="186" ht="21" customHeight="1">
      <c r="A186" t="inlineStr">
        <is>
          <t>Paralabrax</t>
        </is>
      </c>
      <c r="B186" t="n">
        <v>4.14</v>
      </c>
      <c r="C186" t="n">
        <v>1380.384265</v>
      </c>
      <c r="D186" s="10" t="inlineStr">
        <is>
          <t>Medium demersal fish</t>
        </is>
      </c>
      <c r="E186" t="n">
        <v>100.341534</v>
      </c>
      <c r="F186" t="n">
        <v>150.446864</v>
      </c>
      <c r="G186" t="n">
        <v>141.309763</v>
      </c>
      <c r="H186" t="n">
        <v>337.73726</v>
      </c>
      <c r="I186" t="n">
        <v>88.13505000000001</v>
      </c>
      <c r="J186" t="n">
        <v>88.674589</v>
      </c>
      <c r="K186" t="n">
        <v>72.72711099999999</v>
      </c>
      <c r="L186" t="n">
        <v>68.19949200000001</v>
      </c>
      <c r="M186" t="n">
        <v>68.19949200000001</v>
      </c>
      <c r="N186" t="n">
        <v>68.19949200000001</v>
      </c>
      <c r="O186" t="n">
        <v>-298.793821</v>
      </c>
      <c r="P186" t="n">
        <v>-775.135045</v>
      </c>
      <c r="Q186" t="n">
        <v>68.19949200000001</v>
      </c>
      <c r="S186" t="n">
        <v>-298.793821</v>
      </c>
      <c r="U186" t="n">
        <v>395.804253</v>
      </c>
      <c r="V186" t="n">
        <v>411.516374</v>
      </c>
      <c r="W186" t="n">
        <v>4936.646121</v>
      </c>
      <c r="X186" t="n">
        <v>76.95169799999999</v>
      </c>
    </row>
    <row r="187" ht="21" customHeight="1">
      <c r="A187" t="inlineStr">
        <is>
          <t>Carcharhinus longimanus</t>
        </is>
      </c>
      <c r="B187" t="n">
        <v>4.16</v>
      </c>
      <c r="C187" t="n">
        <v>1445.439771</v>
      </c>
      <c r="D187" s="10" t="inlineStr">
        <is>
          <t>Chondrichthyans</t>
        </is>
      </c>
      <c r="E187" t="n">
        <v>100.341534</v>
      </c>
      <c r="F187" t="n">
        <v>2800.516289</v>
      </c>
      <c r="G187" t="n">
        <v>2536.048955</v>
      </c>
      <c r="H187" t="n">
        <v>9811.545592</v>
      </c>
      <c r="I187" t="n">
        <v>3407.596957</v>
      </c>
      <c r="J187" t="n">
        <v>3611.409494</v>
      </c>
      <c r="K187" t="n">
        <v>2037.670189</v>
      </c>
      <c r="L187" t="n">
        <v>7571.338585</v>
      </c>
      <c r="M187" t="n">
        <v>7571.338585</v>
      </c>
      <c r="N187" t="n">
        <v>7571.338585</v>
      </c>
      <c r="O187" t="n">
        <v>-1529.398807</v>
      </c>
      <c r="P187" t="n">
        <v>-1805.569841</v>
      </c>
      <c r="Q187" t="n">
        <v>7571.338585</v>
      </c>
      <c r="S187" t="n">
        <v>-1529.398807</v>
      </c>
      <c r="U187" t="n">
        <v>1165.112786</v>
      </c>
      <c r="V187" t="n">
        <v>1204.974224</v>
      </c>
      <c r="W187" t="n">
        <v>32225.773579</v>
      </c>
      <c r="X187" t="n">
        <v>9364.462680000001</v>
      </c>
    </row>
    <row r="188" ht="21" customHeight="1">
      <c r="A188" t="inlineStr">
        <is>
          <t>Diplectrum pacificum</t>
        </is>
      </c>
      <c r="B188" t="n">
        <v>3.99</v>
      </c>
      <c r="C188" t="n">
        <v>977.237221</v>
      </c>
      <c r="D188" s="10" t="inlineStr">
        <is>
          <t>Unresolved</t>
        </is>
      </c>
    </row>
    <row r="189" ht="21" customHeight="1">
      <c r="A189" t="inlineStr">
        <is>
          <t>Decapterus macrosoma</t>
        </is>
      </c>
      <c r="B189" t="n">
        <v>3.4</v>
      </c>
      <c r="C189" t="n">
        <v>251.188643</v>
      </c>
      <c r="D189" s="10" t="inlineStr">
        <is>
          <t>Other small pelagic fish</t>
        </is>
      </c>
      <c r="E189" t="n">
        <v>100.341534</v>
      </c>
      <c r="F189" t="n">
        <v>55.911353</v>
      </c>
      <c r="G189" t="n">
        <v>53.169346</v>
      </c>
      <c r="H189" t="n">
        <v>128.859826</v>
      </c>
      <c r="I189" t="n">
        <v>36.653357</v>
      </c>
      <c r="J189" t="n">
        <v>36.653357</v>
      </c>
      <c r="K189" t="n">
        <v>32.988021</v>
      </c>
      <c r="L189" t="n">
        <v>46.824515</v>
      </c>
      <c r="M189" t="n">
        <v>46.824515</v>
      </c>
      <c r="N189" t="n">
        <v>46.824515</v>
      </c>
      <c r="O189" t="n">
        <v>-41.144634</v>
      </c>
      <c r="P189" t="n">
        <v>-77.325115</v>
      </c>
      <c r="Q189" t="n">
        <v>46.824515</v>
      </c>
      <c r="S189" t="n">
        <v>-41.144634</v>
      </c>
      <c r="U189" t="n">
        <v>56.771937</v>
      </c>
      <c r="V189" t="n">
        <v>58.571306</v>
      </c>
      <c r="W189" t="n">
        <v>1241.732501</v>
      </c>
      <c r="X189" t="n">
        <v>52.045388</v>
      </c>
    </row>
    <row r="190" ht="21" customHeight="1">
      <c r="A190" t="inlineStr">
        <is>
          <t>Heteropriacanthus cruentatus</t>
        </is>
      </c>
      <c r="D190" s="10" t="inlineStr">
        <is>
          <t>Unresolved</t>
        </is>
      </c>
    </row>
    <row r="191" ht="21" customHeight="1">
      <c r="A191" t="inlineStr">
        <is>
          <t>Paralomis</t>
        </is>
      </c>
      <c r="D191" s="10" t="inlineStr">
        <is>
          <t>Macrobenthos</t>
        </is>
      </c>
      <c r="E191" t="n">
        <v>100.341534</v>
      </c>
      <c r="F191" t="n">
        <v>10</v>
      </c>
      <c r="G191" t="n">
        <v>9.716343999999999</v>
      </c>
      <c r="H191" t="n">
        <v>7.967402</v>
      </c>
      <c r="I191" t="n">
        <v>8.646561</v>
      </c>
      <c r="J191" t="n">
        <v>8.646561</v>
      </c>
      <c r="K191" t="n">
        <v>6.833334</v>
      </c>
      <c r="L191" t="n">
        <v>0</v>
      </c>
      <c r="M191" t="n">
        <v>0</v>
      </c>
      <c r="N191" t="n">
        <v>0</v>
      </c>
      <c r="O191" t="n">
        <v>-52.690508</v>
      </c>
      <c r="P191" t="n">
        <v>-186.125074</v>
      </c>
      <c r="Q191" t="n">
        <v>-0</v>
      </c>
      <c r="S191" t="n">
        <v>-52.690508</v>
      </c>
      <c r="U191" t="n">
        <v>90.228787</v>
      </c>
      <c r="V191" t="n">
        <v>93.937016</v>
      </c>
      <c r="W191" t="n">
        <v>928.129669</v>
      </c>
      <c r="X191" t="n">
        <v>0</v>
      </c>
    </row>
    <row r="192" ht="21" customHeight="1">
      <c r="A192" t="inlineStr">
        <is>
          <t>Diapterus peruvianus</t>
        </is>
      </c>
      <c r="B192" t="n">
        <v>3.66</v>
      </c>
      <c r="C192" t="n">
        <v>457.08819</v>
      </c>
      <c r="D192" s="10" t="inlineStr">
        <is>
          <t>Medium demersal fish</t>
        </is>
      </c>
      <c r="E192" t="n">
        <v>100.341534</v>
      </c>
      <c r="F192" t="n">
        <v>150.446864</v>
      </c>
      <c r="G192" t="n">
        <v>141.309763</v>
      </c>
      <c r="H192" t="n">
        <v>337.73726</v>
      </c>
      <c r="I192" t="n">
        <v>88.13505000000001</v>
      </c>
      <c r="J192" t="n">
        <v>88.674589</v>
      </c>
      <c r="K192" t="n">
        <v>72.72711099999999</v>
      </c>
      <c r="L192" t="n">
        <v>68.19949200000001</v>
      </c>
      <c r="M192" t="n">
        <v>68.19949200000001</v>
      </c>
      <c r="N192" t="n">
        <v>68.19949200000001</v>
      </c>
      <c r="O192" t="n">
        <v>-298.793821</v>
      </c>
      <c r="P192" t="n">
        <v>-775.135045</v>
      </c>
      <c r="Q192" t="n">
        <v>68.19949200000001</v>
      </c>
      <c r="S192" t="n">
        <v>-298.793821</v>
      </c>
      <c r="U192" t="n">
        <v>395.804253</v>
      </c>
      <c r="V192" t="n">
        <v>411.516374</v>
      </c>
      <c r="W192" t="n">
        <v>4936.646121</v>
      </c>
      <c r="X192" t="n">
        <v>76.95169799999999</v>
      </c>
    </row>
    <row r="193" ht="21" customHeight="1">
      <c r="A193" t="inlineStr">
        <is>
          <t>Seriola rivoliana</t>
        </is>
      </c>
      <c r="B193" t="n">
        <v>4.45</v>
      </c>
      <c r="C193" t="n">
        <v>2818.382931</v>
      </c>
      <c r="D193" s="10" t="inlineStr">
        <is>
          <t>Other large pelagic fish</t>
        </is>
      </c>
      <c r="E193" t="n">
        <v>100.341534</v>
      </c>
      <c r="F193" t="n">
        <v>721.5611730000001</v>
      </c>
      <c r="G193" t="n">
        <v>664.588831</v>
      </c>
      <c r="H193" t="n">
        <v>1922.667229</v>
      </c>
      <c r="I193" t="n">
        <v>706.388691</v>
      </c>
      <c r="J193" t="n">
        <v>729.176823</v>
      </c>
      <c r="K193" t="n">
        <v>389.360329</v>
      </c>
      <c r="L193" t="n">
        <v>1277.756768</v>
      </c>
      <c r="M193" t="n">
        <v>1277.756768</v>
      </c>
      <c r="N193" t="n">
        <v>1277.756768</v>
      </c>
      <c r="O193" t="n">
        <v>-480.629183</v>
      </c>
      <c r="P193" t="n">
        <v>-710.36627</v>
      </c>
      <c r="Q193" t="n">
        <v>1277.756768</v>
      </c>
      <c r="S193" t="n">
        <v>-480.629183</v>
      </c>
      <c r="U193" t="n">
        <v>482.977051</v>
      </c>
      <c r="V193" t="n">
        <v>498.989546</v>
      </c>
      <c r="W193" t="n">
        <v>10482.764702</v>
      </c>
      <c r="X193" t="n">
        <v>1534.363238</v>
      </c>
    </row>
    <row r="194" ht="21" customHeight="1">
      <c r="A194" t="inlineStr">
        <is>
          <t>Sebastidae</t>
        </is>
      </c>
      <c r="B194" t="n">
        <v>3.74</v>
      </c>
      <c r="C194" t="n">
        <v>549.540874</v>
      </c>
      <c r="D194" s="10" t="inlineStr">
        <is>
          <t>Unresolved</t>
        </is>
      </c>
    </row>
    <row r="195" ht="21" customHeight="1">
      <c r="A195" t="inlineStr">
        <is>
          <t>Tetrapturus angustirostris</t>
        </is>
      </c>
      <c r="B195" t="n">
        <v>4.5</v>
      </c>
      <c r="C195" t="n">
        <v>3162.27766</v>
      </c>
      <c r="D195" s="10" t="inlineStr">
        <is>
          <t>Unresolved</t>
        </is>
      </c>
    </row>
    <row r="196" ht="21" customHeight="1">
      <c r="A196" t="inlineStr">
        <is>
          <t>Auxis rochei</t>
        </is>
      </c>
      <c r="B196" t="n">
        <v>4.13</v>
      </c>
      <c r="C196" t="n">
        <v>1348.962883</v>
      </c>
      <c r="D196" s="10" t="inlineStr">
        <is>
          <t>Other large pelagic fish</t>
        </is>
      </c>
      <c r="E196" t="n">
        <v>100.341534</v>
      </c>
      <c r="F196" t="n">
        <v>721.5611730000001</v>
      </c>
      <c r="G196" t="n">
        <v>664.588831</v>
      </c>
      <c r="H196" t="n">
        <v>1922.667229</v>
      </c>
      <c r="I196" t="n">
        <v>706.388691</v>
      </c>
      <c r="J196" t="n">
        <v>729.176823</v>
      </c>
      <c r="K196" t="n">
        <v>389.360329</v>
      </c>
      <c r="L196" t="n">
        <v>1277.756768</v>
      </c>
      <c r="M196" t="n">
        <v>1277.756768</v>
      </c>
      <c r="N196" t="n">
        <v>1277.756768</v>
      </c>
      <c r="O196" t="n">
        <v>-480.629183</v>
      </c>
      <c r="P196" t="n">
        <v>-710.36627</v>
      </c>
      <c r="Q196" t="n">
        <v>1277.756768</v>
      </c>
      <c r="S196" t="n">
        <v>-480.629183</v>
      </c>
      <c r="U196" t="n">
        <v>482.977051</v>
      </c>
      <c r="V196" t="n">
        <v>498.989546</v>
      </c>
      <c r="W196" t="n">
        <v>10482.764702</v>
      </c>
      <c r="X196" t="n">
        <v>1534.363238</v>
      </c>
    </row>
    <row r="197" ht="21" customHeight="1">
      <c r="A197" t="inlineStr">
        <is>
          <t>Ruvettus pretiosus</t>
        </is>
      </c>
      <c r="B197" t="n">
        <v>4.18</v>
      </c>
      <c r="C197" t="n">
        <v>1513.561248</v>
      </c>
      <c r="D197" s="10" t="inlineStr">
        <is>
          <t>Unresolved</t>
        </is>
      </c>
    </row>
    <row r="198" ht="36" customHeight="1">
      <c r="A198" t="inlineStr">
        <is>
          <t>Marine finfishes not identified</t>
        </is>
      </c>
      <c r="D198" s="10" t="inlineStr">
        <is>
          <t>Small demersal fish | Medium demersal fish | Medium sciaenids</t>
        </is>
      </c>
      <c r="E198" t="n">
        <v>100.341534</v>
      </c>
      <c r="F198" t="n">
        <v>138.326515</v>
      </c>
      <c r="G198" t="n">
        <v>129.842543</v>
      </c>
      <c r="H198" t="n">
        <v>375.637884</v>
      </c>
      <c r="I198" t="n">
        <v>891.778171</v>
      </c>
      <c r="J198" t="n">
        <v>892.361268</v>
      </c>
      <c r="K198" t="n">
        <v>638.384396</v>
      </c>
      <c r="L198" t="n">
        <v>1402.227086</v>
      </c>
      <c r="M198" t="n">
        <v>1402.227086</v>
      </c>
      <c r="N198" t="n">
        <v>1402.227086</v>
      </c>
      <c r="O198" t="n">
        <v>-252.739042</v>
      </c>
      <c r="P198" t="n">
        <v>-627.209376</v>
      </c>
      <c r="Q198" t="n">
        <v>1402.227086</v>
      </c>
      <c r="S198" t="n">
        <v>-252.739042</v>
      </c>
      <c r="U198" t="n">
        <v>327.999372</v>
      </c>
      <c r="V198" t="n">
        <v>340.816723</v>
      </c>
      <c r="W198" t="n">
        <v>4864.146819</v>
      </c>
      <c r="X198" t="n">
        <v>1661.269592</v>
      </c>
    </row>
    <row r="199" ht="21" customHeight="1">
      <c r="A199" t="inlineStr">
        <is>
          <t>Fissurella picta</t>
        </is>
      </c>
      <c r="B199" t="n">
        <v>2</v>
      </c>
      <c r="C199" t="n">
        <v>10</v>
      </c>
      <c r="D199" s="10" t="inlineStr">
        <is>
          <t>Macrobenthos</t>
        </is>
      </c>
      <c r="E199" t="n">
        <v>100.341534</v>
      </c>
      <c r="F199" t="n">
        <v>10</v>
      </c>
      <c r="G199" t="n">
        <v>9.716343999999999</v>
      </c>
      <c r="H199" t="n">
        <v>7.967402</v>
      </c>
      <c r="I199" t="n">
        <v>8.646561</v>
      </c>
      <c r="J199" t="n">
        <v>8.646561</v>
      </c>
      <c r="K199" t="n">
        <v>6.833334</v>
      </c>
      <c r="L199" t="n">
        <v>0</v>
      </c>
      <c r="M199" t="n">
        <v>0</v>
      </c>
      <c r="N199" t="n">
        <v>0</v>
      </c>
      <c r="O199" t="n">
        <v>-52.690508</v>
      </c>
      <c r="P199" t="n">
        <v>-186.125074</v>
      </c>
      <c r="Q199" t="n">
        <v>-0</v>
      </c>
      <c r="S199" t="n">
        <v>-52.690508</v>
      </c>
      <c r="U199" t="n">
        <v>90.228787</v>
      </c>
      <c r="V199" t="n">
        <v>93.937016</v>
      </c>
      <c r="W199" t="n">
        <v>928.129669</v>
      </c>
      <c r="X199" t="n">
        <v>0</v>
      </c>
    </row>
    <row r="200" ht="21" customHeight="1">
      <c r="A200" t="inlineStr">
        <is>
          <t>Polydactylus approximans</t>
        </is>
      </c>
      <c r="B200" t="n">
        <v>3.59</v>
      </c>
      <c r="C200" t="n">
        <v>389.045145</v>
      </c>
      <c r="D200" s="10" t="inlineStr">
        <is>
          <t>Medium demersal fish</t>
        </is>
      </c>
      <c r="E200" t="n">
        <v>100.341534</v>
      </c>
      <c r="F200" t="n">
        <v>150.446864</v>
      </c>
      <c r="G200" t="n">
        <v>141.309763</v>
      </c>
      <c r="H200" t="n">
        <v>337.73726</v>
      </c>
      <c r="I200" t="n">
        <v>88.13505000000001</v>
      </c>
      <c r="J200" t="n">
        <v>88.674589</v>
      </c>
      <c r="K200" t="n">
        <v>72.72711099999999</v>
      </c>
      <c r="L200" t="n">
        <v>68.19949200000001</v>
      </c>
      <c r="M200" t="n">
        <v>68.19949200000001</v>
      </c>
      <c r="N200" t="n">
        <v>68.19949200000001</v>
      </c>
      <c r="O200" t="n">
        <v>-298.793821</v>
      </c>
      <c r="P200" t="n">
        <v>-775.135045</v>
      </c>
      <c r="Q200" t="n">
        <v>68.19949200000001</v>
      </c>
      <c r="S200" t="n">
        <v>-298.793821</v>
      </c>
      <c r="U200" t="n">
        <v>395.804253</v>
      </c>
      <c r="V200" t="n">
        <v>411.516374</v>
      </c>
      <c r="W200" t="n">
        <v>4936.646121</v>
      </c>
      <c r="X200" t="n">
        <v>76.95169799999999</v>
      </c>
    </row>
    <row r="201" ht="21" customHeight="1">
      <c r="A201" t="inlineStr">
        <is>
          <t>Hemigrapsus crenulatus</t>
        </is>
      </c>
      <c r="D201" s="10" t="inlineStr">
        <is>
          <t>Macrobenthos</t>
        </is>
      </c>
      <c r="E201" t="n">
        <v>100.341534</v>
      </c>
      <c r="F201" t="n">
        <v>10</v>
      </c>
      <c r="G201" t="n">
        <v>9.716343999999999</v>
      </c>
      <c r="H201" t="n">
        <v>7.967402</v>
      </c>
      <c r="I201" t="n">
        <v>8.646561</v>
      </c>
      <c r="J201" t="n">
        <v>8.646561</v>
      </c>
      <c r="K201" t="n">
        <v>6.833334</v>
      </c>
      <c r="L201" t="n">
        <v>0</v>
      </c>
      <c r="M201" t="n">
        <v>0</v>
      </c>
      <c r="N201" t="n">
        <v>0</v>
      </c>
      <c r="O201" t="n">
        <v>-52.690508</v>
      </c>
      <c r="P201" t="n">
        <v>-186.125074</v>
      </c>
      <c r="Q201" t="n">
        <v>-0</v>
      </c>
      <c r="S201" t="n">
        <v>-52.690508</v>
      </c>
      <c r="U201" t="n">
        <v>90.228787</v>
      </c>
      <c r="V201" t="n">
        <v>93.937016</v>
      </c>
      <c r="W201" t="n">
        <v>928.129669</v>
      </c>
      <c r="X201" t="n">
        <v>0</v>
      </c>
    </row>
    <row r="202" ht="21" customHeight="1">
      <c r="A202" t="inlineStr">
        <is>
          <t>Alopias</t>
        </is>
      </c>
      <c r="B202" t="n">
        <v>4.5</v>
      </c>
      <c r="C202" t="n">
        <v>3162.27766</v>
      </c>
      <c r="D202" s="10" t="inlineStr">
        <is>
          <t>Chondrichthyans</t>
        </is>
      </c>
      <c r="E202" t="n">
        <v>100.341534</v>
      </c>
      <c r="F202" t="n">
        <v>2800.516289</v>
      </c>
      <c r="G202" t="n">
        <v>2536.048955</v>
      </c>
      <c r="H202" t="n">
        <v>9811.545592</v>
      </c>
      <c r="I202" t="n">
        <v>3407.596957</v>
      </c>
      <c r="J202" t="n">
        <v>3611.409494</v>
      </c>
      <c r="K202" t="n">
        <v>2037.670189</v>
      </c>
      <c r="L202" t="n">
        <v>7571.338585</v>
      </c>
      <c r="M202" t="n">
        <v>7571.338585</v>
      </c>
      <c r="N202" t="n">
        <v>7571.338585</v>
      </c>
      <c r="O202" t="n">
        <v>-1529.398807</v>
      </c>
      <c r="P202" t="n">
        <v>-1805.569841</v>
      </c>
      <c r="Q202" t="n">
        <v>7571.338585</v>
      </c>
      <c r="S202" t="n">
        <v>-1529.398807</v>
      </c>
      <c r="U202" t="n">
        <v>1165.112786</v>
      </c>
      <c r="V202" t="n">
        <v>1204.974224</v>
      </c>
      <c r="W202" t="n">
        <v>32225.773579</v>
      </c>
      <c r="X202" t="n">
        <v>9364.462680000001</v>
      </c>
    </row>
    <row r="203" ht="21" customHeight="1">
      <c r="A203" t="inlineStr">
        <is>
          <t>Hexanchus griseus</t>
        </is>
      </c>
      <c r="B203" t="n">
        <v>4.48</v>
      </c>
      <c r="C203" t="n">
        <v>3019.95172</v>
      </c>
      <c r="D203" s="10" t="inlineStr">
        <is>
          <t>Benthic elasmobranchs</t>
        </is>
      </c>
      <c r="E203" t="n">
        <v>100.341534</v>
      </c>
      <c r="F203" t="n">
        <v>227.672107</v>
      </c>
      <c r="G203" t="n">
        <v>212.74056</v>
      </c>
      <c r="H203" t="n">
        <v>1440.71119</v>
      </c>
      <c r="I203" t="n">
        <v>5821.032484</v>
      </c>
      <c r="J203" t="n">
        <v>5832.493715</v>
      </c>
      <c r="K203" t="n">
        <v>3842.014077</v>
      </c>
      <c r="L203" t="n">
        <v>7895.724163</v>
      </c>
      <c r="M203" t="n">
        <v>7895.724163</v>
      </c>
      <c r="N203" t="n">
        <v>7895.724163</v>
      </c>
      <c r="O203" t="n">
        <v>-486.538743</v>
      </c>
      <c r="P203" t="n">
        <v>-1040.287329</v>
      </c>
      <c r="Q203" t="n">
        <v>7895.724163</v>
      </c>
      <c r="S203" t="n">
        <v>-486.538743</v>
      </c>
      <c r="U203" t="n">
        <v>552.923044</v>
      </c>
      <c r="V203" t="n">
        <v>574.301321</v>
      </c>
      <c r="W203" t="n">
        <v>8947.059363</v>
      </c>
      <c r="X203" t="n">
        <v>9306.463404</v>
      </c>
    </row>
    <row r="204" ht="21" customHeight="1">
      <c r="A204" t="inlineStr">
        <is>
          <t>Caranx</t>
        </is>
      </c>
      <c r="B204" t="n">
        <v>4.12</v>
      </c>
      <c r="C204" t="n">
        <v>1318.256739</v>
      </c>
      <c r="D204" s="10" t="inlineStr">
        <is>
          <t>Unresolved</t>
        </is>
      </c>
    </row>
    <row r="205" ht="21" customHeight="1">
      <c r="A205" t="inlineStr">
        <is>
          <t>Caranx lugubris</t>
        </is>
      </c>
      <c r="D205" s="10" t="inlineStr">
        <is>
          <t>Unresolved</t>
        </is>
      </c>
    </row>
    <row r="206" ht="21" customHeight="1">
      <c r="A206" t="inlineStr">
        <is>
          <t>Bothidae</t>
        </is>
      </c>
      <c r="D206" s="10" t="inlineStr">
        <is>
          <t>Flatfish</t>
        </is>
      </c>
      <c r="E206" t="n">
        <v>100.341534</v>
      </c>
      <c r="F206" t="n">
        <v>734.481858</v>
      </c>
      <c r="G206" t="n">
        <v>676.339308</v>
      </c>
      <c r="H206" t="n">
        <v>2029.750446</v>
      </c>
      <c r="I206" t="n">
        <v>329.939479</v>
      </c>
      <c r="J206" t="n">
        <v>329.939479</v>
      </c>
      <c r="K206" t="n">
        <v>328.441152</v>
      </c>
      <c r="L206" t="n">
        <v>310.666808</v>
      </c>
      <c r="M206" t="n">
        <v>310.666808</v>
      </c>
      <c r="N206" t="n">
        <v>310.666808</v>
      </c>
      <c r="O206" t="n">
        <v>-921.644531</v>
      </c>
      <c r="P206" t="n">
        <v>-1867.948168</v>
      </c>
      <c r="Q206" t="n">
        <v>310.666808</v>
      </c>
      <c r="S206" t="n">
        <v>-921.644531</v>
      </c>
      <c r="U206" t="n">
        <v>988.618759</v>
      </c>
      <c r="V206" t="n">
        <v>1026.949166</v>
      </c>
      <c r="W206" t="n">
        <v>19457.939662</v>
      </c>
      <c r="X206" t="n">
        <v>355.992575</v>
      </c>
    </row>
    <row r="207" ht="21" customHeight="1">
      <c r="A207" t="inlineStr">
        <is>
          <t>Monacanthidae</t>
        </is>
      </c>
      <c r="B207" t="n">
        <v>3</v>
      </c>
      <c r="C207" t="n">
        <v>100</v>
      </c>
      <c r="D207" s="10" t="inlineStr">
        <is>
          <t>Unresolved</t>
        </is>
      </c>
    </row>
    <row r="208" ht="36" customHeight="1">
      <c r="A208" t="inlineStr">
        <is>
          <t>Myliobatidae</t>
        </is>
      </c>
      <c r="D208" s="10" t="inlineStr">
        <is>
          <t>Benthic elasmobranchs | Chondrichthyans</t>
        </is>
      </c>
      <c r="E208" t="n">
        <v>100.341534</v>
      </c>
      <c r="F208" t="n">
        <v>1136.362086</v>
      </c>
      <c r="G208" t="n">
        <v>1033.298241</v>
      </c>
      <c r="H208" t="n">
        <v>4397.16436</v>
      </c>
      <c r="I208" t="n">
        <v>4968.643251</v>
      </c>
      <c r="J208" t="n">
        <v>5048.040078</v>
      </c>
      <c r="K208" t="n">
        <v>3204.746876</v>
      </c>
      <c r="L208" t="n">
        <v>7781.156042</v>
      </c>
      <c r="M208" t="n">
        <v>7781.156042</v>
      </c>
      <c r="N208" t="n">
        <v>7781.156042</v>
      </c>
      <c r="O208" t="n">
        <v>-854.861277</v>
      </c>
      <c r="P208" t="n">
        <v>-1310.573635</v>
      </c>
      <c r="Q208" t="n">
        <v>7781.156042</v>
      </c>
      <c r="S208" t="n">
        <v>-854.861277</v>
      </c>
      <c r="U208" t="n">
        <v>769.13928</v>
      </c>
      <c r="V208" t="n">
        <v>797.045532</v>
      </c>
      <c r="W208" t="n">
        <v>17168.752103</v>
      </c>
      <c r="X208" t="n">
        <v>9326.947878000001</v>
      </c>
    </row>
    <row r="209" ht="21" customHeight="1">
      <c r="A209" t="inlineStr">
        <is>
          <t>Auxis</t>
        </is>
      </c>
      <c r="B209" t="n">
        <v>4.24</v>
      </c>
      <c r="C209" t="n">
        <v>1737.800829</v>
      </c>
      <c r="D209" s="10" t="inlineStr">
        <is>
          <t>Other large pelagic fish</t>
        </is>
      </c>
      <c r="E209" t="n">
        <v>100.341534</v>
      </c>
      <c r="F209" t="n">
        <v>721.5611730000001</v>
      </c>
      <c r="G209" t="n">
        <v>664.588831</v>
      </c>
      <c r="H209" t="n">
        <v>1922.667229</v>
      </c>
      <c r="I209" t="n">
        <v>706.388691</v>
      </c>
      <c r="J209" t="n">
        <v>729.176823</v>
      </c>
      <c r="K209" t="n">
        <v>389.360329</v>
      </c>
      <c r="L209" t="n">
        <v>1277.756768</v>
      </c>
      <c r="M209" t="n">
        <v>1277.756768</v>
      </c>
      <c r="N209" t="n">
        <v>1277.756768</v>
      </c>
      <c r="O209" t="n">
        <v>-480.629183</v>
      </c>
      <c r="P209" t="n">
        <v>-710.36627</v>
      </c>
      <c r="Q209" t="n">
        <v>1277.756768</v>
      </c>
      <c r="S209" t="n">
        <v>-480.629183</v>
      </c>
      <c r="U209" t="n">
        <v>482.977051</v>
      </c>
      <c r="V209" t="n">
        <v>498.989546</v>
      </c>
      <c r="W209" t="n">
        <v>10482.764702</v>
      </c>
      <c r="X209" t="n">
        <v>1534.363238</v>
      </c>
    </row>
    <row r="210" ht="36" customHeight="1">
      <c r="A210" t="inlineStr">
        <is>
          <t>Actinopterygii</t>
        </is>
      </c>
      <c r="D210" s="10" t="inlineStr">
        <is>
          <t>Small demersal fish | Medium demersal fish | Medium sciaenids</t>
        </is>
      </c>
      <c r="E210" t="n">
        <v>100.341534</v>
      </c>
      <c r="F210" t="n">
        <v>138.326515</v>
      </c>
      <c r="G210" t="n">
        <v>129.842543</v>
      </c>
      <c r="H210" t="n">
        <v>375.637884</v>
      </c>
      <c r="I210" t="n">
        <v>891.778171</v>
      </c>
      <c r="J210" t="n">
        <v>892.361268</v>
      </c>
      <c r="K210" t="n">
        <v>638.384396</v>
      </c>
      <c r="L210" t="n">
        <v>1402.227086</v>
      </c>
      <c r="M210" t="n">
        <v>1402.227086</v>
      </c>
      <c r="N210" t="n">
        <v>1402.227086</v>
      </c>
      <c r="O210" t="n">
        <v>-252.739042</v>
      </c>
      <c r="P210" t="n">
        <v>-627.209376</v>
      </c>
      <c r="Q210" t="n">
        <v>1402.227086</v>
      </c>
      <c r="S210" t="n">
        <v>-252.739042</v>
      </c>
      <c r="U210" t="n">
        <v>327.999372</v>
      </c>
      <c r="V210" t="n">
        <v>340.816723</v>
      </c>
      <c r="W210" t="n">
        <v>4864.146819</v>
      </c>
      <c r="X210" t="n">
        <v>1661.269592</v>
      </c>
    </row>
    <row r="211" ht="21" customHeight="1">
      <c r="A211" t="inlineStr">
        <is>
          <t>Parapsettus panamensis</t>
        </is>
      </c>
      <c r="B211" t="n">
        <v>3.5</v>
      </c>
      <c r="C211" t="n">
        <v>316.227766</v>
      </c>
      <c r="D211" s="10" t="inlineStr">
        <is>
          <t>Unresolved</t>
        </is>
      </c>
    </row>
    <row r="212" ht="21" customHeight="1">
      <c r="A212" t="inlineStr">
        <is>
          <t>Deania calceus</t>
        </is>
      </c>
      <c r="D212" s="10" t="inlineStr">
        <is>
          <t>Benthic elasmobranchs</t>
        </is>
      </c>
      <c r="E212" t="n">
        <v>100.341534</v>
      </c>
      <c r="F212" t="n">
        <v>227.672107</v>
      </c>
      <c r="G212" t="n">
        <v>212.74056</v>
      </c>
      <c r="H212" t="n">
        <v>1440.71119</v>
      </c>
      <c r="I212" t="n">
        <v>5821.032484</v>
      </c>
      <c r="J212" t="n">
        <v>5832.493715</v>
      </c>
      <c r="K212" t="n">
        <v>3842.014077</v>
      </c>
      <c r="L212" t="n">
        <v>7895.724163</v>
      </c>
      <c r="M212" t="n">
        <v>7895.724163</v>
      </c>
      <c r="N212" t="n">
        <v>7895.724163</v>
      </c>
      <c r="O212" t="n">
        <v>-486.538743</v>
      </c>
      <c r="P212" t="n">
        <v>-1040.287329</v>
      </c>
      <c r="Q212" t="n">
        <v>7895.724163</v>
      </c>
      <c r="S212" t="n">
        <v>-486.538743</v>
      </c>
      <c r="U212" t="n">
        <v>552.923044</v>
      </c>
      <c r="V212" t="n">
        <v>574.301321</v>
      </c>
      <c r="W212" t="n">
        <v>8947.059363</v>
      </c>
      <c r="X212" t="n">
        <v>9306.463404</v>
      </c>
    </row>
    <row r="213" ht="21" customHeight="1">
      <c r="A213" t="inlineStr">
        <is>
          <t>Acanthocybium solandri</t>
        </is>
      </c>
      <c r="D213" s="10" t="inlineStr">
        <is>
          <t>Other large pelagic fish</t>
        </is>
      </c>
      <c r="E213" t="n">
        <v>100.341534</v>
      </c>
      <c r="F213" t="n">
        <v>721.5611730000001</v>
      </c>
      <c r="G213" t="n">
        <v>664.588831</v>
      </c>
      <c r="H213" t="n">
        <v>1922.667229</v>
      </c>
      <c r="I213" t="n">
        <v>706.388691</v>
      </c>
      <c r="J213" t="n">
        <v>729.176823</v>
      </c>
      <c r="K213" t="n">
        <v>389.360329</v>
      </c>
      <c r="L213" t="n">
        <v>1277.756768</v>
      </c>
      <c r="M213" t="n">
        <v>1277.756768</v>
      </c>
      <c r="N213" t="n">
        <v>1277.756768</v>
      </c>
      <c r="O213" t="n">
        <v>-480.629183</v>
      </c>
      <c r="P213" t="n">
        <v>-710.36627</v>
      </c>
      <c r="Q213" t="n">
        <v>1277.756768</v>
      </c>
      <c r="S213" t="n">
        <v>-480.629183</v>
      </c>
      <c r="U213" t="n">
        <v>482.977051</v>
      </c>
      <c r="V213" t="n">
        <v>498.989546</v>
      </c>
      <c r="W213" t="n">
        <v>10482.764702</v>
      </c>
      <c r="X213" t="n">
        <v>1534.363238</v>
      </c>
    </row>
    <row r="214" ht="21" customHeight="1">
      <c r="A214" t="inlineStr">
        <is>
          <t>Macrouridae</t>
        </is>
      </c>
      <c r="D214" s="10" t="inlineStr">
        <is>
          <t>Unresolved</t>
        </is>
      </c>
    </row>
    <row r="215" ht="21" customHeight="1">
      <c r="A215" t="inlineStr">
        <is>
          <t>Allothunnus fallai</t>
        </is>
      </c>
      <c r="B215" t="n">
        <v>3.7</v>
      </c>
      <c r="C215" t="n">
        <v>501.187234</v>
      </c>
      <c r="D215" s="10" t="inlineStr">
        <is>
          <t>Other large pelagic fish</t>
        </is>
      </c>
      <c r="E215" t="n">
        <v>100.341534</v>
      </c>
      <c r="F215" t="n">
        <v>721.5611730000001</v>
      </c>
      <c r="G215" t="n">
        <v>664.588831</v>
      </c>
      <c r="H215" t="n">
        <v>1922.667229</v>
      </c>
      <c r="I215" t="n">
        <v>706.388691</v>
      </c>
      <c r="J215" t="n">
        <v>729.176823</v>
      </c>
      <c r="K215" t="n">
        <v>389.360329</v>
      </c>
      <c r="L215" t="n">
        <v>1277.756768</v>
      </c>
      <c r="M215" t="n">
        <v>1277.756768</v>
      </c>
      <c r="N215" t="n">
        <v>1277.756768</v>
      </c>
      <c r="O215" t="n">
        <v>-480.629183</v>
      </c>
      <c r="P215" t="n">
        <v>-710.36627</v>
      </c>
      <c r="Q215" t="n">
        <v>1277.756768</v>
      </c>
      <c r="S215" t="n">
        <v>-480.629183</v>
      </c>
      <c r="U215" t="n">
        <v>482.977051</v>
      </c>
      <c r="V215" t="n">
        <v>498.989546</v>
      </c>
      <c r="W215" t="n">
        <v>10482.764702</v>
      </c>
      <c r="X215" t="n">
        <v>1534.363238</v>
      </c>
    </row>
    <row r="216" ht="21" customHeight="1">
      <c r="A216" t="inlineStr">
        <is>
          <t>Galaxias maculatus</t>
        </is>
      </c>
      <c r="B216" t="n">
        <v>3.16</v>
      </c>
      <c r="C216" t="n">
        <v>144.543977</v>
      </c>
      <c r="D216" s="10" t="inlineStr">
        <is>
          <t>Unresolved</t>
        </is>
      </c>
    </row>
    <row r="217" ht="21" customHeight="1">
      <c r="A217" t="inlineStr">
        <is>
          <t>Thunnus maccoyii</t>
        </is>
      </c>
      <c r="B217" t="n">
        <v>3.93</v>
      </c>
      <c r="C217" t="n">
        <v>851.1380380000001</v>
      </c>
      <c r="D217" s="10" t="inlineStr">
        <is>
          <t>Other large pelagic fish</t>
        </is>
      </c>
      <c r="E217" t="n">
        <v>100.341534</v>
      </c>
      <c r="F217" t="n">
        <v>721.5611730000001</v>
      </c>
      <c r="G217" t="n">
        <v>664.588831</v>
      </c>
      <c r="H217" t="n">
        <v>1922.667229</v>
      </c>
      <c r="I217" t="n">
        <v>706.388691</v>
      </c>
      <c r="J217" t="n">
        <v>729.176823</v>
      </c>
      <c r="K217" t="n">
        <v>389.360329</v>
      </c>
      <c r="L217" t="n">
        <v>1277.756768</v>
      </c>
      <c r="M217" t="n">
        <v>1277.756768</v>
      </c>
      <c r="N217" t="n">
        <v>1277.756768</v>
      </c>
      <c r="O217" t="n">
        <v>-480.629183</v>
      </c>
      <c r="P217" t="n">
        <v>-710.36627</v>
      </c>
      <c r="Q217" t="n">
        <v>1277.756768</v>
      </c>
      <c r="S217" t="n">
        <v>-480.629183</v>
      </c>
      <c r="U217" t="n">
        <v>482.977051</v>
      </c>
      <c r="V217" t="n">
        <v>498.989546</v>
      </c>
      <c r="W217" t="n">
        <v>10482.764702</v>
      </c>
      <c r="X217" t="n">
        <v>1534.363238</v>
      </c>
    </row>
    <row r="218" ht="21" customHeight="1">
      <c r="A218" t="inlineStr">
        <is>
          <t>Cetengraulis mysticetus</t>
        </is>
      </c>
      <c r="B218" t="n">
        <v>2.47</v>
      </c>
      <c r="C218" t="n">
        <v>29.512092</v>
      </c>
      <c r="D218" s="10" t="inlineStr">
        <is>
          <t>Other small pelagic fish</t>
        </is>
      </c>
      <c r="E218" t="n">
        <v>100.341534</v>
      </c>
      <c r="F218" t="n">
        <v>55.911353</v>
      </c>
      <c r="G218" t="n">
        <v>53.169346</v>
      </c>
      <c r="H218" t="n">
        <v>128.859826</v>
      </c>
      <c r="I218" t="n">
        <v>36.653357</v>
      </c>
      <c r="J218" t="n">
        <v>36.653357</v>
      </c>
      <c r="K218" t="n">
        <v>32.988021</v>
      </c>
      <c r="L218" t="n">
        <v>46.824515</v>
      </c>
      <c r="M218" t="n">
        <v>46.824515</v>
      </c>
      <c r="N218" t="n">
        <v>46.824515</v>
      </c>
      <c r="O218" t="n">
        <v>-41.144634</v>
      </c>
      <c r="P218" t="n">
        <v>-77.325115</v>
      </c>
      <c r="Q218" t="n">
        <v>46.824515</v>
      </c>
      <c r="S218" t="n">
        <v>-41.144634</v>
      </c>
      <c r="U218" t="n">
        <v>56.771937</v>
      </c>
      <c r="V218" t="n">
        <v>58.571306</v>
      </c>
      <c r="W218" t="n">
        <v>1241.732501</v>
      </c>
      <c r="X218" t="n">
        <v>52.045388</v>
      </c>
    </row>
    <row r="219" ht="21" customHeight="1">
      <c r="A219" t="inlineStr">
        <is>
          <t>Rhinoptera steindachneri</t>
        </is>
      </c>
      <c r="B219" t="n">
        <v>3.55</v>
      </c>
      <c r="C219" t="n">
        <v>354.813389</v>
      </c>
      <c r="D219" s="10" t="inlineStr">
        <is>
          <t>Benthic elasmobranchs</t>
        </is>
      </c>
      <c r="E219" t="n">
        <v>100.341534</v>
      </c>
      <c r="F219" t="n">
        <v>227.672107</v>
      </c>
      <c r="G219" t="n">
        <v>212.74056</v>
      </c>
      <c r="H219" t="n">
        <v>1440.71119</v>
      </c>
      <c r="I219" t="n">
        <v>5821.032484</v>
      </c>
      <c r="J219" t="n">
        <v>5832.493715</v>
      </c>
      <c r="K219" t="n">
        <v>3842.014077</v>
      </c>
      <c r="L219" t="n">
        <v>7895.724163</v>
      </c>
      <c r="M219" t="n">
        <v>7895.724163</v>
      </c>
      <c r="N219" t="n">
        <v>7895.724163</v>
      </c>
      <c r="O219" t="n">
        <v>-486.538743</v>
      </c>
      <c r="P219" t="n">
        <v>-1040.287329</v>
      </c>
      <c r="Q219" t="n">
        <v>7895.724163</v>
      </c>
      <c r="S219" t="n">
        <v>-486.538743</v>
      </c>
      <c r="U219" t="n">
        <v>552.923044</v>
      </c>
      <c r="V219" t="n">
        <v>574.301321</v>
      </c>
      <c r="W219" t="n">
        <v>8947.059363</v>
      </c>
      <c r="X219" t="n">
        <v>9306.463404</v>
      </c>
    </row>
    <row r="220" ht="21" customHeight="1">
      <c r="A220" t="inlineStr">
        <is>
          <t>Lepidocybium flavobrunneum</t>
        </is>
      </c>
      <c r="B220" t="n">
        <v>4.34</v>
      </c>
      <c r="C220" t="n">
        <v>2187.761624</v>
      </c>
      <c r="D220" s="10" t="inlineStr">
        <is>
          <t>Unresolved</t>
        </is>
      </c>
    </row>
    <row r="221" ht="21" customHeight="1">
      <c r="A221" t="inlineStr">
        <is>
          <t>Hippocampus</t>
        </is>
      </c>
      <c r="B221" t="n">
        <v>3.33</v>
      </c>
      <c r="C221" t="n">
        <v>213.796209</v>
      </c>
      <c r="D221" s="10" t="inlineStr">
        <is>
          <t>Unresolved</t>
        </is>
      </c>
    </row>
    <row r="222" ht="21" customHeight="1">
      <c r="A222" t="inlineStr">
        <is>
          <t>Caulolatilus princeps</t>
        </is>
      </c>
      <c r="B222" t="n">
        <v>3.7</v>
      </c>
      <c r="C222" t="n">
        <v>501.187234</v>
      </c>
      <c r="D222" s="10" t="inlineStr">
        <is>
          <t>Medium demersal fish</t>
        </is>
      </c>
      <c r="E222" t="n">
        <v>100.341534</v>
      </c>
      <c r="F222" t="n">
        <v>150.446864</v>
      </c>
      <c r="G222" t="n">
        <v>141.309763</v>
      </c>
      <c r="H222" t="n">
        <v>337.73726</v>
      </c>
      <c r="I222" t="n">
        <v>88.13505000000001</v>
      </c>
      <c r="J222" t="n">
        <v>88.674589</v>
      </c>
      <c r="K222" t="n">
        <v>72.72711099999999</v>
      </c>
      <c r="L222" t="n">
        <v>68.19949200000001</v>
      </c>
      <c r="M222" t="n">
        <v>68.19949200000001</v>
      </c>
      <c r="N222" t="n">
        <v>68.19949200000001</v>
      </c>
      <c r="O222" t="n">
        <v>-298.793821</v>
      </c>
      <c r="P222" t="n">
        <v>-775.135045</v>
      </c>
      <c r="Q222" t="n">
        <v>68.19949200000001</v>
      </c>
      <c r="S222" t="n">
        <v>-298.793821</v>
      </c>
      <c r="U222" t="n">
        <v>395.804253</v>
      </c>
      <c r="V222" t="n">
        <v>411.516374</v>
      </c>
      <c r="W222" t="n">
        <v>4936.646121</v>
      </c>
      <c r="X222" t="n">
        <v>76.95169799999999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T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1" t="inlineStr">
        <is>
          <t>Total PPR by method and year — every taxon summed, tonnes wet weight equivalent of primary production.</t>
        </is>
      </c>
    </row>
    <row r="2">
      <c r="A2" t="inlineStr">
        <is>
          <t>Internal sources: primary producers and detritus; excludes imports. The simple chain rows are unpartitioned references; model rows use this scope.</t>
        </is>
      </c>
    </row>
    <row r="3">
      <c r="A3" t="inlineStr">
        <is>
          <t>Methods are not alternatives to be averaged. They rest on different assumptions and the spread between them is the result.</t>
        </is>
      </c>
    </row>
    <row r="4">
      <c r="A4" t="inlineStr">
        <is>
          <t>The two grey rows aggregate the catch to a group before exponentiating, which understates the total: SPPR is convex in trophic level, so they measure the Jensen effect rather than the PPR.</t>
        </is>
      </c>
    </row>
    <row r="5">
      <c r="A5" s="4" t="inlineStr">
        <is>
          <t>method</t>
        </is>
      </c>
      <c r="B5" s="4" t="inlineStr">
        <is>
          <t>status</t>
        </is>
      </c>
      <c r="C5" s="4" t="n">
        <v>1950</v>
      </c>
      <c r="D5" s="4" t="n">
        <v>1951</v>
      </c>
      <c r="E5" s="4" t="n">
        <v>1952</v>
      </c>
      <c r="F5" s="4" t="n">
        <v>1953</v>
      </c>
      <c r="G5" s="4" t="n">
        <v>1954</v>
      </c>
      <c r="H5" s="4" t="n">
        <v>1955</v>
      </c>
      <c r="I5" s="4" t="n">
        <v>1956</v>
      </c>
      <c r="J5" s="4" t="n">
        <v>1957</v>
      </c>
      <c r="K5" s="4" t="n">
        <v>1958</v>
      </c>
      <c r="L5" s="4" t="n">
        <v>1959</v>
      </c>
      <c r="M5" s="4" t="n">
        <v>1960</v>
      </c>
      <c r="N5" s="4" t="n">
        <v>1961</v>
      </c>
      <c r="O5" s="4" t="n">
        <v>1962</v>
      </c>
      <c r="P5" s="4" t="n">
        <v>1963</v>
      </c>
      <c r="Q5" s="4" t="n">
        <v>1964</v>
      </c>
      <c r="R5" s="4" t="n">
        <v>1965</v>
      </c>
      <c r="S5" s="4" t="n">
        <v>1966</v>
      </c>
      <c r="T5" s="4" t="n">
        <v>1967</v>
      </c>
      <c r="U5" s="4" t="n">
        <v>1968</v>
      </c>
      <c r="V5" s="4" t="n">
        <v>1969</v>
      </c>
      <c r="W5" s="4" t="n">
        <v>1970</v>
      </c>
      <c r="X5" s="4" t="n">
        <v>1971</v>
      </c>
      <c r="Y5" s="4" t="n">
        <v>1972</v>
      </c>
      <c r="Z5" s="4" t="n">
        <v>1973</v>
      </c>
      <c r="AA5" s="4" t="n">
        <v>1974</v>
      </c>
      <c r="AB5" s="4" t="n">
        <v>1975</v>
      </c>
      <c r="AC5" s="4" t="n">
        <v>1976</v>
      </c>
      <c r="AD5" s="4" t="n">
        <v>1977</v>
      </c>
      <c r="AE5" s="4" t="n">
        <v>1978</v>
      </c>
      <c r="AF5" s="4" t="n">
        <v>1979</v>
      </c>
      <c r="AG5" s="4" t="n">
        <v>1980</v>
      </c>
      <c r="AH5" s="4" t="n">
        <v>1981</v>
      </c>
      <c r="AI5" s="4" t="n">
        <v>1982</v>
      </c>
      <c r="AJ5" s="4" t="n">
        <v>1983</v>
      </c>
      <c r="AK5" s="4" t="n">
        <v>1984</v>
      </c>
      <c r="AL5" s="4" t="n">
        <v>1985</v>
      </c>
      <c r="AM5" s="4" t="n">
        <v>1986</v>
      </c>
      <c r="AN5" s="4" t="n">
        <v>1987</v>
      </c>
      <c r="AO5" s="4" t="n">
        <v>1988</v>
      </c>
      <c r="AP5" s="4" t="n">
        <v>1989</v>
      </c>
      <c r="AQ5" s="4" t="n">
        <v>1990</v>
      </c>
      <c r="AR5" s="4" t="n">
        <v>1991</v>
      </c>
      <c r="AS5" s="4" t="n">
        <v>1992</v>
      </c>
      <c r="AT5" s="4" t="n">
        <v>1993</v>
      </c>
      <c r="AU5" s="4" t="n">
        <v>1994</v>
      </c>
      <c r="AV5" s="4" t="n">
        <v>1995</v>
      </c>
      <c r="AW5" s="4" t="n">
        <v>1996</v>
      </c>
      <c r="AX5" s="4" t="n">
        <v>1997</v>
      </c>
      <c r="AY5" s="4" t="n">
        <v>1998</v>
      </c>
      <c r="AZ5" s="4" t="n">
        <v>1999</v>
      </c>
      <c r="BA5" s="4" t="n">
        <v>2000</v>
      </c>
      <c r="BB5" s="4" t="n">
        <v>2001</v>
      </c>
      <c r="BC5" s="4" t="n">
        <v>2002</v>
      </c>
      <c r="BD5" s="4" t="n">
        <v>2003</v>
      </c>
      <c r="BE5" s="4" t="n">
        <v>2004</v>
      </c>
      <c r="BF5" s="4" t="n">
        <v>2005</v>
      </c>
      <c r="BG5" s="4" t="n">
        <v>2006</v>
      </c>
      <c r="BH5" s="4" t="n">
        <v>2007</v>
      </c>
      <c r="BI5" s="4" t="n">
        <v>2008</v>
      </c>
      <c r="BJ5" s="4" t="n">
        <v>2009</v>
      </c>
      <c r="BK5" s="4" t="n">
        <v>2010</v>
      </c>
      <c r="BL5" s="4" t="n">
        <v>2011</v>
      </c>
      <c r="BM5" s="4" t="n">
        <v>2012</v>
      </c>
      <c r="BN5" s="4" t="n">
        <v>2013</v>
      </c>
      <c r="BO5" s="4" t="n">
        <v>2014</v>
      </c>
      <c r="BP5" s="4" t="n">
        <v>2015</v>
      </c>
      <c r="BQ5" s="4" t="n">
        <v>2016</v>
      </c>
      <c r="BR5" s="4" t="n">
        <v>2017</v>
      </c>
      <c r="BS5" s="4" t="n">
        <v>2018</v>
      </c>
      <c r="BT5" s="4" t="n">
        <v>2019</v>
      </c>
    </row>
    <row r="6">
      <c r="A6" s="3" t="inlineStr">
        <is>
          <t>simple trophic chain, per taxon</t>
        </is>
      </c>
      <c r="B6" t="inlineStr">
        <is>
          <t>ok</t>
        </is>
      </c>
      <c r="C6" t="n">
        <v>266839351.154</v>
      </c>
      <c r="D6" t="n">
        <v>337327018.195</v>
      </c>
      <c r="E6" t="n">
        <v>394715516.606</v>
      </c>
      <c r="F6" t="n">
        <v>347383312.854</v>
      </c>
      <c r="G6" t="n">
        <v>371439130.843</v>
      </c>
      <c r="H6" t="n">
        <v>520784290.415</v>
      </c>
      <c r="I6" t="n">
        <v>522953529.215</v>
      </c>
      <c r="J6" t="n">
        <v>449059991.41</v>
      </c>
      <c r="K6" t="n">
        <v>497630831.618</v>
      </c>
      <c r="L6" t="n">
        <v>618245719.5700001</v>
      </c>
      <c r="M6" t="n">
        <v>787332609.071</v>
      </c>
      <c r="N6" t="n">
        <v>897591230.5319999</v>
      </c>
      <c r="O6" t="n">
        <v>994524162.401</v>
      </c>
      <c r="P6" t="n">
        <v>1153027995.963</v>
      </c>
      <c r="Q6" t="n">
        <v>1332003472.351</v>
      </c>
      <c r="R6" t="n">
        <v>1016114576.574</v>
      </c>
      <c r="S6" t="n">
        <v>1175417599.717</v>
      </c>
      <c r="T6" t="n">
        <v>1286937470.75</v>
      </c>
      <c r="U6" t="n">
        <v>1315604077.016</v>
      </c>
      <c r="V6" t="n">
        <v>1152010350.295</v>
      </c>
      <c r="W6" t="n">
        <v>1521656812.312</v>
      </c>
      <c r="X6" t="n">
        <v>1319944041.988</v>
      </c>
      <c r="Y6" t="n">
        <v>1002749136.39</v>
      </c>
      <c r="Z6" t="n">
        <v>1027725121.21</v>
      </c>
      <c r="AA6" t="n">
        <v>1038412019.225</v>
      </c>
      <c r="AB6" t="n">
        <v>858033259.778</v>
      </c>
      <c r="AC6" t="n">
        <v>910045731.906</v>
      </c>
      <c r="AD6" t="n">
        <v>1157229951.036</v>
      </c>
      <c r="AE6" t="n">
        <v>1937829566.399</v>
      </c>
      <c r="AF6" t="n">
        <v>1022221054.699</v>
      </c>
      <c r="AG6" t="n">
        <v>1288930819.21</v>
      </c>
      <c r="AH6" t="n">
        <v>1196015418.736</v>
      </c>
      <c r="AI6" t="n">
        <v>1395644133.123</v>
      </c>
      <c r="AJ6" t="n">
        <v>1191890863.022</v>
      </c>
      <c r="AK6" t="n">
        <v>1362117497.292</v>
      </c>
      <c r="AL6" t="n">
        <v>1205616788.422</v>
      </c>
      <c r="AM6" t="n">
        <v>1483103093.532</v>
      </c>
      <c r="AN6" t="n">
        <v>1584028271.69</v>
      </c>
      <c r="AO6" t="n">
        <v>2176549618.981</v>
      </c>
      <c r="AP6" t="n">
        <v>2376707976.783</v>
      </c>
      <c r="AQ6" t="n">
        <v>2490512890.815</v>
      </c>
      <c r="AR6" t="n">
        <v>2334033309.785</v>
      </c>
      <c r="AS6" t="n">
        <v>2358993010.766</v>
      </c>
      <c r="AT6" t="n">
        <v>2424357300.994</v>
      </c>
      <c r="AU6" t="n">
        <v>2999472447.885</v>
      </c>
      <c r="AV6" t="n">
        <v>2982847201.066</v>
      </c>
      <c r="AW6" t="n">
        <v>3101686944.979</v>
      </c>
      <c r="AX6" t="n">
        <v>2425608958.771</v>
      </c>
      <c r="AY6" t="n">
        <v>2065966513.457</v>
      </c>
      <c r="AZ6" t="n">
        <v>2148433461.206</v>
      </c>
      <c r="BA6" t="n">
        <v>2076648513.313</v>
      </c>
      <c r="BB6" t="n">
        <v>2565629350.073</v>
      </c>
      <c r="BC6" t="n">
        <v>1884712765.14</v>
      </c>
      <c r="BD6" t="n">
        <v>2308318980.21</v>
      </c>
      <c r="BE6" t="n">
        <v>2972908951.744</v>
      </c>
      <c r="BF6" t="n">
        <v>3123678254.528</v>
      </c>
      <c r="BG6" t="n">
        <v>3036015301.708</v>
      </c>
      <c r="BH6" t="n">
        <v>2661174913.494</v>
      </c>
      <c r="BI6" t="n">
        <v>3034654980.1</v>
      </c>
      <c r="BJ6" t="n">
        <v>2697094749.671</v>
      </c>
      <c r="BK6" t="n">
        <v>2244831354.694</v>
      </c>
      <c r="BL6" t="n">
        <v>2858418640.566</v>
      </c>
      <c r="BM6" t="n">
        <v>2639529744.06</v>
      </c>
      <c r="BN6" t="n">
        <v>2460501516.6</v>
      </c>
      <c r="BO6" t="n">
        <v>2847965658.858</v>
      </c>
      <c r="BP6" t="n">
        <v>2882795802.084</v>
      </c>
      <c r="BQ6" t="n">
        <v>2528659248.978</v>
      </c>
      <c r="BR6" t="n">
        <v>2393277692.362</v>
      </c>
      <c r="BS6" t="n">
        <v>2492262690.047</v>
      </c>
      <c r="BT6" t="n">
        <v>2612052521.28</v>
      </c>
    </row>
    <row r="7">
      <c r="A7" s="11" t="inlineStr">
        <is>
          <t>simple, aggregated to SAU functional group</t>
        </is>
      </c>
      <c r="B7" t="inlineStr">
        <is>
          <t>Jensen comparison, not a PPR estimate</t>
        </is>
      </c>
      <c r="C7" t="n">
        <v>209577447.726</v>
      </c>
      <c r="D7" t="n">
        <v>266937000.396</v>
      </c>
      <c r="E7" t="n">
        <v>313259060.906</v>
      </c>
      <c r="F7" t="n">
        <v>270578034.2</v>
      </c>
      <c r="G7" t="n">
        <v>287454312.582</v>
      </c>
      <c r="H7" t="n">
        <v>422888431.01</v>
      </c>
      <c r="I7" t="n">
        <v>409646795.21</v>
      </c>
      <c r="J7" t="n">
        <v>333532315.739</v>
      </c>
      <c r="K7" t="n">
        <v>371389689.679</v>
      </c>
      <c r="L7" t="n">
        <v>468296122.546</v>
      </c>
      <c r="M7" t="n">
        <v>607732594.8789999</v>
      </c>
      <c r="N7" t="n">
        <v>719628323.988</v>
      </c>
      <c r="O7" t="n">
        <v>819839609.818</v>
      </c>
      <c r="P7" t="n">
        <v>957274002.564</v>
      </c>
      <c r="Q7" t="n">
        <v>1108360893.198</v>
      </c>
      <c r="R7" t="n">
        <v>839182953.434</v>
      </c>
      <c r="S7" t="n">
        <v>951885563.431</v>
      </c>
      <c r="T7" t="n">
        <v>1084866714.06</v>
      </c>
      <c r="U7" t="n">
        <v>1134854601.167</v>
      </c>
      <c r="V7" t="n">
        <v>961028124.904</v>
      </c>
      <c r="W7" t="n">
        <v>1299639488.474</v>
      </c>
      <c r="X7" t="n">
        <v>1082946759.903</v>
      </c>
      <c r="Y7" t="n">
        <v>722407324.876</v>
      </c>
      <c r="Z7" t="n">
        <v>845740797.6109999</v>
      </c>
      <c r="AA7" t="n">
        <v>921153741.888</v>
      </c>
      <c r="AB7" t="n">
        <v>768783148.327</v>
      </c>
      <c r="AC7" t="n">
        <v>831347313.416</v>
      </c>
      <c r="AD7" t="n">
        <v>996532291.181</v>
      </c>
      <c r="AE7" t="n">
        <v>1749553574.694</v>
      </c>
      <c r="AF7" t="n">
        <v>890250065.37</v>
      </c>
      <c r="AG7" t="n">
        <v>1076709767.282</v>
      </c>
      <c r="AH7" t="n">
        <v>939673559.431</v>
      </c>
      <c r="AI7" t="n">
        <v>1073079641.197</v>
      </c>
      <c r="AJ7" t="n">
        <v>874886979.454</v>
      </c>
      <c r="AK7" t="n">
        <v>1020683563.809</v>
      </c>
      <c r="AL7" t="n">
        <v>987667420.6</v>
      </c>
      <c r="AM7" t="n">
        <v>1235617278.1</v>
      </c>
      <c r="AN7" t="n">
        <v>1290133447.785</v>
      </c>
      <c r="AO7" t="n">
        <v>1757072643.974</v>
      </c>
      <c r="AP7" t="n">
        <v>1932579130.153</v>
      </c>
      <c r="AQ7" t="n">
        <v>2012259533.353</v>
      </c>
      <c r="AR7" t="n">
        <v>1975234629.822</v>
      </c>
      <c r="AS7" t="n">
        <v>1938094687.417</v>
      </c>
      <c r="AT7" t="n">
        <v>2074252150.44</v>
      </c>
      <c r="AU7" t="n">
        <v>2653179846.141</v>
      </c>
      <c r="AV7" t="n">
        <v>2607693641.363</v>
      </c>
      <c r="AW7" t="n">
        <v>2755596955.845</v>
      </c>
      <c r="AX7" t="n">
        <v>2158113288.361</v>
      </c>
      <c r="AY7" t="n">
        <v>1724409701.274</v>
      </c>
      <c r="AZ7" t="n">
        <v>1887006794.806</v>
      </c>
      <c r="BA7" t="n">
        <v>1843101814.733</v>
      </c>
      <c r="BB7" t="n">
        <v>2286877249.69</v>
      </c>
      <c r="BC7" t="n">
        <v>1727528554.57</v>
      </c>
      <c r="BD7" t="n">
        <v>2072720821.657</v>
      </c>
      <c r="BE7" t="n">
        <v>2761009485.449</v>
      </c>
      <c r="BF7" t="n">
        <v>2929354136.857</v>
      </c>
      <c r="BG7" t="n">
        <v>2851223816.084</v>
      </c>
      <c r="BH7" t="n">
        <v>2448441677.91</v>
      </c>
      <c r="BI7" t="n">
        <v>2626341274.267</v>
      </c>
      <c r="BJ7" t="n">
        <v>2298167682.481</v>
      </c>
      <c r="BK7" t="n">
        <v>1781343308.092</v>
      </c>
      <c r="BL7" t="n">
        <v>2616254950.352</v>
      </c>
      <c r="BM7" t="n">
        <v>2374418133.846</v>
      </c>
      <c r="BN7" t="n">
        <v>2227842869.975</v>
      </c>
      <c r="BO7" t="n">
        <v>2556976762.787</v>
      </c>
      <c r="BP7" t="n">
        <v>2495052018.626</v>
      </c>
      <c r="BQ7" t="n">
        <v>2198499343.278</v>
      </c>
      <c r="BR7" t="n">
        <v>2048803101.987</v>
      </c>
      <c r="BS7" t="n">
        <v>2190958268.398</v>
      </c>
      <c r="BT7" t="n">
        <v>2239918373.408</v>
      </c>
    </row>
    <row r="8">
      <c r="A8" s="11" t="inlineStr">
        <is>
          <t>simple, aggregated to SAU commercial group</t>
        </is>
      </c>
      <c r="B8" t="inlineStr">
        <is>
          <t>Jensen comparison, not a PPR estimate</t>
        </is>
      </c>
      <c r="C8" t="n">
        <v>252602503.118</v>
      </c>
      <c r="D8" t="n">
        <v>322711838.484</v>
      </c>
      <c r="E8" t="n">
        <v>377501159.101</v>
      </c>
      <c r="F8" t="n">
        <v>331975392.852</v>
      </c>
      <c r="G8" t="n">
        <v>356108685.835</v>
      </c>
      <c r="H8" t="n">
        <v>499493692.505</v>
      </c>
      <c r="I8" t="n">
        <v>501712308.132</v>
      </c>
      <c r="J8" t="n">
        <v>421644156.353</v>
      </c>
      <c r="K8" t="n">
        <v>472023399.976</v>
      </c>
      <c r="L8" t="n">
        <v>594817117.6109999</v>
      </c>
      <c r="M8" t="n">
        <v>755772599.415</v>
      </c>
      <c r="N8" t="n">
        <v>875535225.295</v>
      </c>
      <c r="O8" t="n">
        <v>966910664.8559999</v>
      </c>
      <c r="P8" t="n">
        <v>1125199710.785</v>
      </c>
      <c r="Q8" t="n">
        <v>1293202984.063</v>
      </c>
      <c r="R8" t="n">
        <v>987053866.478</v>
      </c>
      <c r="S8" t="n">
        <v>1144786925.244</v>
      </c>
      <c r="T8" t="n">
        <v>1247119769.192</v>
      </c>
      <c r="U8" t="n">
        <v>1276601734.411</v>
      </c>
      <c r="V8" t="n">
        <v>1112696355.22</v>
      </c>
      <c r="W8" t="n">
        <v>1457575134.041</v>
      </c>
      <c r="X8" t="n">
        <v>1271626060.928</v>
      </c>
      <c r="Y8" t="n">
        <v>959666543.1440001</v>
      </c>
      <c r="Z8" t="n">
        <v>961006897.608</v>
      </c>
      <c r="AA8" t="n">
        <v>972918404.402</v>
      </c>
      <c r="AB8" t="n">
        <v>806668629.0190001</v>
      </c>
      <c r="AC8" t="n">
        <v>871493044.9809999</v>
      </c>
      <c r="AD8" t="n">
        <v>1100076379.779</v>
      </c>
      <c r="AE8" t="n">
        <v>1875015994.439</v>
      </c>
      <c r="AF8" t="n">
        <v>967057890.164</v>
      </c>
      <c r="AG8" t="n">
        <v>1211177589.81</v>
      </c>
      <c r="AH8" t="n">
        <v>1106048214.844</v>
      </c>
      <c r="AI8" t="n">
        <v>1300448491.016</v>
      </c>
      <c r="AJ8" t="n">
        <v>1109946009.215</v>
      </c>
      <c r="AK8" t="n">
        <v>1261570622.206</v>
      </c>
      <c r="AL8" t="n">
        <v>1128478497.719</v>
      </c>
      <c r="AM8" t="n">
        <v>1377156509.856</v>
      </c>
      <c r="AN8" t="n">
        <v>1475544302.607</v>
      </c>
      <c r="AO8" t="n">
        <v>1986517192.154</v>
      </c>
      <c r="AP8" t="n">
        <v>2168520275.168</v>
      </c>
      <c r="AQ8" t="n">
        <v>2306360848.96</v>
      </c>
      <c r="AR8" t="n">
        <v>2116032908.733</v>
      </c>
      <c r="AS8" t="n">
        <v>2092105482.54</v>
      </c>
      <c r="AT8" t="n">
        <v>2147523624.098</v>
      </c>
      <c r="AU8" t="n">
        <v>2692184488.655</v>
      </c>
      <c r="AV8" t="n">
        <v>2632456363.278</v>
      </c>
      <c r="AW8" t="n">
        <v>2793805473.574</v>
      </c>
      <c r="AX8" t="n">
        <v>2230688954.965</v>
      </c>
      <c r="AY8" t="n">
        <v>1738552966.911</v>
      </c>
      <c r="AZ8" t="n">
        <v>1847910641.861</v>
      </c>
      <c r="BA8" t="n">
        <v>1778597316.408</v>
      </c>
      <c r="BB8" t="n">
        <v>2151607512.379</v>
      </c>
      <c r="BC8" t="n">
        <v>1509103946.142</v>
      </c>
      <c r="BD8" t="n">
        <v>1850965116.235</v>
      </c>
      <c r="BE8" t="n">
        <v>2466111993.758</v>
      </c>
      <c r="BF8" t="n">
        <v>2570415720.946</v>
      </c>
      <c r="BG8" t="n">
        <v>2517274440.254</v>
      </c>
      <c r="BH8" t="n">
        <v>2153931494.097</v>
      </c>
      <c r="BI8" t="n">
        <v>2413721259.196</v>
      </c>
      <c r="BJ8" t="n">
        <v>2097000691.956</v>
      </c>
      <c r="BK8" t="n">
        <v>1633874922.426</v>
      </c>
      <c r="BL8" t="n">
        <v>2235889816.502</v>
      </c>
      <c r="BM8" t="n">
        <v>1983992464.509</v>
      </c>
      <c r="BN8" t="n">
        <v>1862843701.746</v>
      </c>
      <c r="BO8" t="n">
        <v>2148888629.629</v>
      </c>
      <c r="BP8" t="n">
        <v>2353457584.995</v>
      </c>
      <c r="BQ8" t="n">
        <v>2068785103.361</v>
      </c>
      <c r="BR8" t="n">
        <v>2018203688.023</v>
      </c>
      <c r="BS8" t="n">
        <v>2073867334.18</v>
      </c>
      <c r="BT8" t="n">
        <v>2058671338.976</v>
      </c>
    </row>
    <row r="9">
      <c r="A9" t="inlineStr">
        <is>
          <t>SPPR_1986</t>
        </is>
      </c>
      <c r="B9" t="inlineStr">
        <is>
          <t>ok</t>
        </is>
      </c>
      <c r="C9" t="n">
        <v>16115692.627</v>
      </c>
      <c r="D9" t="n">
        <v>19928565.26</v>
      </c>
      <c r="E9" t="n">
        <v>21588693.062</v>
      </c>
      <c r="F9" t="n">
        <v>22752478.556</v>
      </c>
      <c r="G9" t="n">
        <v>25654362.342</v>
      </c>
      <c r="H9" t="n">
        <v>31855065.569</v>
      </c>
      <c r="I9" t="n">
        <v>38287088.042</v>
      </c>
      <c r="J9" t="n">
        <v>57941900.425</v>
      </c>
      <c r="K9" t="n">
        <v>105402980.021</v>
      </c>
      <c r="L9" t="n">
        <v>245784429.889</v>
      </c>
      <c r="M9" t="n">
        <v>430721521.571</v>
      </c>
      <c r="N9" t="n">
        <v>654862255.484</v>
      </c>
      <c r="O9" t="n">
        <v>877073267.1720001</v>
      </c>
      <c r="P9" t="n">
        <v>962963269.274</v>
      </c>
      <c r="Q9" t="n">
        <v>1345690219.093</v>
      </c>
      <c r="R9" t="n">
        <v>966848447.112</v>
      </c>
      <c r="S9" t="n">
        <v>1228880654.909</v>
      </c>
      <c r="T9" t="n">
        <v>1386088672.421</v>
      </c>
      <c r="U9" t="n">
        <v>1473066121.583</v>
      </c>
      <c r="V9" t="n">
        <v>1256682006.792</v>
      </c>
      <c r="W9" t="n">
        <v>1786093392.951</v>
      </c>
      <c r="X9" t="n">
        <v>1495419728.193</v>
      </c>
      <c r="Y9" t="n">
        <v>629173834.516</v>
      </c>
      <c r="Z9" t="n">
        <v>320167711.492</v>
      </c>
      <c r="AA9" t="n">
        <v>690072100.6670001</v>
      </c>
      <c r="AB9" t="n">
        <v>569908887.4170001</v>
      </c>
      <c r="AC9" t="n">
        <v>702439976.494</v>
      </c>
      <c r="AD9" t="n">
        <v>543774472.112</v>
      </c>
      <c r="AE9" t="n">
        <v>774180369.9579999</v>
      </c>
      <c r="AF9" t="n">
        <v>680758930.89</v>
      </c>
      <c r="AG9" t="n">
        <v>599777566.5930001</v>
      </c>
      <c r="AH9" t="n">
        <v>680132640.376</v>
      </c>
      <c r="AI9" t="n">
        <v>994090314.369</v>
      </c>
      <c r="AJ9" t="n">
        <v>676371837.173</v>
      </c>
      <c r="AK9" t="n">
        <v>874678399.525</v>
      </c>
      <c r="AL9" t="n">
        <v>997693274.619</v>
      </c>
      <c r="AM9" t="n">
        <v>1272286615.535</v>
      </c>
      <c r="AN9" t="n">
        <v>1097529918.216</v>
      </c>
      <c r="AO9" t="n">
        <v>1296572616.666</v>
      </c>
      <c r="AP9" t="n">
        <v>1491571764.219</v>
      </c>
      <c r="AQ9" t="n">
        <v>1351556027.033</v>
      </c>
      <c r="AR9" t="n">
        <v>1402874869.454</v>
      </c>
      <c r="AS9" t="n">
        <v>1490585949.788</v>
      </c>
      <c r="AT9" t="n">
        <v>1587960118.12</v>
      </c>
      <c r="AU9" t="n">
        <v>2147038930.848</v>
      </c>
      <c r="AV9" t="n">
        <v>1686081315.126</v>
      </c>
      <c r="AW9" t="n">
        <v>1729711547.409</v>
      </c>
      <c r="AX9" t="n">
        <v>1423451573.092</v>
      </c>
      <c r="AY9" t="n">
        <v>751044201.029</v>
      </c>
      <c r="AZ9" t="n">
        <v>1452070507.694</v>
      </c>
      <c r="BA9" t="n">
        <v>1721164879.084</v>
      </c>
      <c r="BB9" t="n">
        <v>1324610927.69</v>
      </c>
      <c r="BC9" t="n">
        <v>1477212297.987</v>
      </c>
      <c r="BD9" t="n">
        <v>1123656266.765</v>
      </c>
      <c r="BE9" t="n">
        <v>1742634722.616</v>
      </c>
      <c r="BF9" t="n">
        <v>1645552883.489</v>
      </c>
      <c r="BG9" t="n">
        <v>1278145617.509</v>
      </c>
      <c r="BH9" t="n">
        <v>1255542243.864</v>
      </c>
      <c r="BI9" t="n">
        <v>1259256101.176</v>
      </c>
      <c r="BJ9" t="n">
        <v>1184348024.219</v>
      </c>
      <c r="BK9" t="n">
        <v>813287889.816</v>
      </c>
      <c r="BL9" t="n">
        <v>1427071020.46</v>
      </c>
      <c r="BM9" t="n">
        <v>886430253.2869999</v>
      </c>
      <c r="BN9" t="n">
        <v>914306664.049</v>
      </c>
      <c r="BO9" t="n">
        <v>707623187.668</v>
      </c>
      <c r="BP9" t="n">
        <v>727184604.66</v>
      </c>
      <c r="BQ9" t="n">
        <v>592442238.426</v>
      </c>
      <c r="BR9" t="n">
        <v>647888709.118</v>
      </c>
      <c r="BS9" t="n">
        <v>974693309.3890001</v>
      </c>
      <c r="BT9" t="n">
        <v>730727428.924</v>
      </c>
    </row>
    <row r="10">
      <c r="A10" t="inlineStr">
        <is>
          <t>SPPR_1995_TE0.1</t>
        </is>
      </c>
      <c r="B10" t="inlineStr">
        <is>
          <t>ok</t>
        </is>
      </c>
      <c r="C10" t="n">
        <v>44301837.474</v>
      </c>
      <c r="D10" t="n">
        <v>58096057.739</v>
      </c>
      <c r="E10" t="n">
        <v>62931928.116</v>
      </c>
      <c r="F10" t="n">
        <v>54523784.706</v>
      </c>
      <c r="G10" t="n">
        <v>65555937.462</v>
      </c>
      <c r="H10" t="n">
        <v>88718291.84199999</v>
      </c>
      <c r="I10" t="n">
        <v>99157639.833</v>
      </c>
      <c r="J10" t="n">
        <v>97873841.86499999</v>
      </c>
      <c r="K10" t="n">
        <v>141888218.038</v>
      </c>
      <c r="L10" t="n">
        <v>265438817.491</v>
      </c>
      <c r="M10" t="n">
        <v>427152189.518</v>
      </c>
      <c r="N10" t="n">
        <v>612260674.758</v>
      </c>
      <c r="O10" t="n">
        <v>784301605.8710001</v>
      </c>
      <c r="P10" t="n">
        <v>890471551.4859999</v>
      </c>
      <c r="Q10" t="n">
        <v>1209730004.309</v>
      </c>
      <c r="R10" t="n">
        <v>848359463.773</v>
      </c>
      <c r="S10" t="n">
        <v>1068277437.309</v>
      </c>
      <c r="T10" t="n">
        <v>1205348029.263</v>
      </c>
      <c r="U10" t="n">
        <v>1252304256.162</v>
      </c>
      <c r="V10" t="n">
        <v>1084215416.697</v>
      </c>
      <c r="W10" t="n">
        <v>1501281154.562</v>
      </c>
      <c r="X10" t="n">
        <v>1307635196.941</v>
      </c>
      <c r="Y10" t="n">
        <v>625572367.853</v>
      </c>
      <c r="Z10" t="n">
        <v>440760876.826</v>
      </c>
      <c r="AA10" t="n">
        <v>762982977.642</v>
      </c>
      <c r="AB10" t="n">
        <v>619416736.9220001</v>
      </c>
      <c r="AC10" t="n">
        <v>753549246.628</v>
      </c>
      <c r="AD10" t="n">
        <v>876307055.573</v>
      </c>
      <c r="AE10" t="n">
        <v>1279643346.537</v>
      </c>
      <c r="AF10" t="n">
        <v>906260106.842</v>
      </c>
      <c r="AG10" t="n">
        <v>846181582.005</v>
      </c>
      <c r="AH10" t="n">
        <v>949316535.544</v>
      </c>
      <c r="AI10" t="n">
        <v>1304874513.125</v>
      </c>
      <c r="AJ10" t="n">
        <v>1041741990.825</v>
      </c>
      <c r="AK10" t="n">
        <v>1301666944.664</v>
      </c>
      <c r="AL10" t="n">
        <v>1334781930.981</v>
      </c>
      <c r="AM10" t="n">
        <v>1485451878.406</v>
      </c>
      <c r="AN10" t="n">
        <v>1430523637.081</v>
      </c>
      <c r="AO10" t="n">
        <v>1733483909.923</v>
      </c>
      <c r="AP10" t="n">
        <v>1952672544.846</v>
      </c>
      <c r="AQ10" t="n">
        <v>1946997896.826</v>
      </c>
      <c r="AR10" t="n">
        <v>1993928050.698</v>
      </c>
      <c r="AS10" t="n">
        <v>1958024373.624</v>
      </c>
      <c r="AT10" t="n">
        <v>2035302769.058</v>
      </c>
      <c r="AU10" t="n">
        <v>2614606162.389</v>
      </c>
      <c r="AV10" t="n">
        <v>2293662424.183</v>
      </c>
      <c r="AW10" t="n">
        <v>2257101096.201</v>
      </c>
      <c r="AX10" t="n">
        <v>1944443666.581</v>
      </c>
      <c r="AY10" t="n">
        <v>1207756074.936</v>
      </c>
      <c r="AZ10" t="n">
        <v>1730117094.929</v>
      </c>
      <c r="BA10" t="n">
        <v>1867409500.997</v>
      </c>
      <c r="BB10" t="n">
        <v>1865600484.478</v>
      </c>
      <c r="BC10" t="n">
        <v>1709368175.179</v>
      </c>
      <c r="BD10" t="n">
        <v>1730565969.137</v>
      </c>
      <c r="BE10" t="n">
        <v>2364406738.609</v>
      </c>
      <c r="BF10" t="n">
        <v>2278756424.633</v>
      </c>
      <c r="BG10" t="n">
        <v>2085360377.601</v>
      </c>
      <c r="BH10" t="n">
        <v>1881016608.373</v>
      </c>
      <c r="BI10" t="n">
        <v>1954740461.127</v>
      </c>
      <c r="BJ10" t="n">
        <v>1742764543.399</v>
      </c>
      <c r="BK10" t="n">
        <v>1321484273.422</v>
      </c>
      <c r="BL10" t="n">
        <v>1940621220.254</v>
      </c>
      <c r="BM10" t="n">
        <v>1572179805.571</v>
      </c>
      <c r="BN10" t="n">
        <v>1506677784.415</v>
      </c>
      <c r="BO10" t="n">
        <v>1564201224.494</v>
      </c>
      <c r="BP10" t="n">
        <v>1490963693.513</v>
      </c>
      <c r="BQ10" t="n">
        <v>1297025257.016</v>
      </c>
      <c r="BR10" t="n">
        <v>1260356379.007</v>
      </c>
      <c r="BS10" t="n">
        <v>1531857338.836</v>
      </c>
      <c r="BT10" t="n">
        <v>1422786880.435</v>
      </c>
    </row>
    <row r="11">
      <c r="A11" t="inlineStr">
        <is>
          <t>SPPR_1995_TEmean</t>
        </is>
      </c>
      <c r="B11" t="inlineStr">
        <is>
          <t>ok</t>
        </is>
      </c>
      <c r="C11" t="n">
        <v>41000780.797</v>
      </c>
      <c r="D11" t="n">
        <v>53742695.34</v>
      </c>
      <c r="E11" t="n">
        <v>58226983.562</v>
      </c>
      <c r="F11" t="n">
        <v>50539524.287</v>
      </c>
      <c r="G11" t="n">
        <v>60737830.889</v>
      </c>
      <c r="H11" t="n">
        <v>82128552.294</v>
      </c>
      <c r="I11" t="n">
        <v>91845699.227</v>
      </c>
      <c r="J11" t="n">
        <v>91158211.169</v>
      </c>
      <c r="K11" t="n">
        <v>132637674.203</v>
      </c>
      <c r="L11" t="n">
        <v>249292866.772</v>
      </c>
      <c r="M11" t="n">
        <v>401986091.188</v>
      </c>
      <c r="N11" t="n">
        <v>577035847.821</v>
      </c>
      <c r="O11" t="n">
        <v>740083379.623</v>
      </c>
      <c r="P11" t="n">
        <v>839824602.494</v>
      </c>
      <c r="Q11" t="n">
        <v>1141826106.089</v>
      </c>
      <c r="R11" t="n">
        <v>800987061.921</v>
      </c>
      <c r="S11" t="n">
        <v>1008894555.931</v>
      </c>
      <c r="T11" t="n">
        <v>1138256497.305</v>
      </c>
      <c r="U11" t="n">
        <v>1183341261.851</v>
      </c>
      <c r="V11" t="n">
        <v>1024116452.198</v>
      </c>
      <c r="W11" t="n">
        <v>1418553676.614</v>
      </c>
      <c r="X11" t="n">
        <v>1234833416.411</v>
      </c>
      <c r="Y11" t="n">
        <v>588807996.053</v>
      </c>
      <c r="Z11" t="n">
        <v>412501161.093</v>
      </c>
      <c r="AA11" t="n">
        <v>717095087.962</v>
      </c>
      <c r="AB11" t="n">
        <v>582473405.6109999</v>
      </c>
      <c r="AC11" t="n">
        <v>708729691.776</v>
      </c>
      <c r="AD11" t="n">
        <v>820019884.5190001</v>
      </c>
      <c r="AE11" t="n">
        <v>1196768078.338</v>
      </c>
      <c r="AF11" t="n">
        <v>850441888.975</v>
      </c>
      <c r="AG11" t="n">
        <v>793241451.692</v>
      </c>
      <c r="AH11" t="n">
        <v>890402429.272</v>
      </c>
      <c r="AI11" t="n">
        <v>1225503261.402</v>
      </c>
      <c r="AJ11" t="n">
        <v>976286852.562</v>
      </c>
      <c r="AK11" t="n">
        <v>1220342256.603</v>
      </c>
      <c r="AL11" t="n">
        <v>1253433675.052</v>
      </c>
      <c r="AM11" t="n">
        <v>1397076782.995</v>
      </c>
      <c r="AN11" t="n">
        <v>1343349923.963</v>
      </c>
      <c r="AO11" t="n">
        <v>1627043718.186</v>
      </c>
      <c r="AP11" t="n">
        <v>1832999465.15</v>
      </c>
      <c r="AQ11" t="n">
        <v>1825175005.064</v>
      </c>
      <c r="AR11" t="n">
        <v>1869405384.712</v>
      </c>
      <c r="AS11" t="n">
        <v>1836926784.715</v>
      </c>
      <c r="AT11" t="n">
        <v>1909237205.666</v>
      </c>
      <c r="AU11" t="n">
        <v>2454787000.945</v>
      </c>
      <c r="AV11" t="n">
        <v>2150277376.472</v>
      </c>
      <c r="AW11" t="n">
        <v>2117522374.192</v>
      </c>
      <c r="AX11" t="n">
        <v>1822826899.31</v>
      </c>
      <c r="AY11" t="n">
        <v>1129183091.554</v>
      </c>
      <c r="AZ11" t="n">
        <v>1624687453.646</v>
      </c>
      <c r="BA11" t="n">
        <v>1755849866.992</v>
      </c>
      <c r="BB11" t="n">
        <v>1746726181.901</v>
      </c>
      <c r="BC11" t="n">
        <v>1604539575.088</v>
      </c>
      <c r="BD11" t="n">
        <v>1617323783.908</v>
      </c>
      <c r="BE11" t="n">
        <v>2213266388.001</v>
      </c>
      <c r="BF11" t="n">
        <v>2131635869.166</v>
      </c>
      <c r="BG11" t="n">
        <v>1946051757.168</v>
      </c>
      <c r="BH11" t="n">
        <v>1757731594.036</v>
      </c>
      <c r="BI11" t="n">
        <v>1824923750.482</v>
      </c>
      <c r="BJ11" t="n">
        <v>1628220641.461</v>
      </c>
      <c r="BK11" t="n">
        <v>1232189330.103</v>
      </c>
      <c r="BL11" t="n">
        <v>1814650750.044</v>
      </c>
      <c r="BM11" t="n">
        <v>1464251369.399</v>
      </c>
      <c r="BN11" t="n">
        <v>1404102991.543</v>
      </c>
      <c r="BO11" t="n">
        <v>1452567675.932</v>
      </c>
      <c r="BP11" t="n">
        <v>1384701218.132</v>
      </c>
      <c r="BQ11" t="n">
        <v>1204334266.947</v>
      </c>
      <c r="BR11" t="n">
        <v>1171585296.655</v>
      </c>
      <c r="BS11" t="n">
        <v>1428621832.484</v>
      </c>
      <c r="BT11" t="n">
        <v>1323106683.875</v>
      </c>
    </row>
    <row r="12">
      <c r="A12" t="inlineStr">
        <is>
          <t>Ulanowicz_globalTEmean</t>
        </is>
      </c>
      <c r="B12" t="inlineStr">
        <is>
          <t>ok</t>
        </is>
      </c>
      <c r="C12" t="n">
        <v>120001870.582</v>
      </c>
      <c r="D12" t="n">
        <v>155394287.268</v>
      </c>
      <c r="E12" t="n">
        <v>170067717.903</v>
      </c>
      <c r="F12" t="n">
        <v>145828393.782</v>
      </c>
      <c r="G12" t="n">
        <v>177190783.35</v>
      </c>
      <c r="H12" t="n">
        <v>235471292.478</v>
      </c>
      <c r="I12" t="n">
        <v>262833242.882</v>
      </c>
      <c r="J12" t="n">
        <v>250360924.51</v>
      </c>
      <c r="K12" t="n">
        <v>348885458.919</v>
      </c>
      <c r="L12" t="n">
        <v>623714269.974</v>
      </c>
      <c r="M12" t="n">
        <v>985861771.786</v>
      </c>
      <c r="N12" t="n">
        <v>1385256847.9</v>
      </c>
      <c r="O12" t="n">
        <v>1756564931.756</v>
      </c>
      <c r="P12" t="n">
        <v>2032871733.4</v>
      </c>
      <c r="Q12" t="n">
        <v>2747484679.786</v>
      </c>
      <c r="R12" t="n">
        <v>1894023427.779</v>
      </c>
      <c r="S12" t="n">
        <v>2382952645.775</v>
      </c>
      <c r="T12" t="n">
        <v>2705430211.695</v>
      </c>
      <c r="U12" t="n">
        <v>2798292374.636</v>
      </c>
      <c r="V12" t="n">
        <v>2421204377.366</v>
      </c>
      <c r="W12" t="n">
        <v>3363030274.487</v>
      </c>
      <c r="X12" t="n">
        <v>2957874063.092</v>
      </c>
      <c r="Y12" t="n">
        <v>1467493202.718</v>
      </c>
      <c r="Z12" t="n">
        <v>1210703236.44</v>
      </c>
      <c r="AA12" t="n">
        <v>1906334322.118</v>
      </c>
      <c r="AB12" t="n">
        <v>1603769852.477</v>
      </c>
      <c r="AC12" t="n">
        <v>1861179140.493</v>
      </c>
      <c r="AD12" t="n">
        <v>2402300138.609</v>
      </c>
      <c r="AE12" t="n">
        <v>3558693775.715</v>
      </c>
      <c r="AF12" t="n">
        <v>2187764968.73</v>
      </c>
      <c r="AG12" t="n">
        <v>2095398535.772</v>
      </c>
      <c r="AH12" t="n">
        <v>2467021657.727</v>
      </c>
      <c r="AI12" t="n">
        <v>3195278151.638</v>
      </c>
      <c r="AJ12" t="n">
        <v>2780923135.719</v>
      </c>
      <c r="AK12" t="n">
        <v>3274770419.915</v>
      </c>
      <c r="AL12" t="n">
        <v>3228576319.414</v>
      </c>
      <c r="AM12" t="n">
        <v>3602236979.837</v>
      </c>
      <c r="AN12" t="n">
        <v>3602376221.384</v>
      </c>
      <c r="AO12" t="n">
        <v>4471174679.603</v>
      </c>
      <c r="AP12" t="n">
        <v>5140980122.902</v>
      </c>
      <c r="AQ12" t="n">
        <v>5215400172.823</v>
      </c>
      <c r="AR12" t="n">
        <v>5211883450.571</v>
      </c>
      <c r="AS12" t="n">
        <v>5040575278.514</v>
      </c>
      <c r="AT12" t="n">
        <v>5320543327.051</v>
      </c>
      <c r="AU12" t="n">
        <v>6784526482.16</v>
      </c>
      <c r="AV12" t="n">
        <v>6374160815.583</v>
      </c>
      <c r="AW12" t="n">
        <v>6268359005.903</v>
      </c>
      <c r="AX12" t="n">
        <v>5452164991.038</v>
      </c>
      <c r="AY12" t="n">
        <v>3412978148.974</v>
      </c>
      <c r="AZ12" t="n">
        <v>4274142358.129</v>
      </c>
      <c r="BA12" t="n">
        <v>4581681073.083</v>
      </c>
      <c r="BB12" t="n">
        <v>5033983884.789</v>
      </c>
      <c r="BC12" t="n">
        <v>4212083541.851</v>
      </c>
      <c r="BD12" t="n">
        <v>4353882776.004</v>
      </c>
      <c r="BE12" t="n">
        <v>5741201734.598</v>
      </c>
      <c r="BF12" t="n">
        <v>5452933239.709</v>
      </c>
      <c r="BG12" t="n">
        <v>5082162565.43</v>
      </c>
      <c r="BH12" t="n">
        <v>4613745511.688</v>
      </c>
      <c r="BI12" t="n">
        <v>4558644397.627</v>
      </c>
      <c r="BJ12" t="n">
        <v>4114942336.231</v>
      </c>
      <c r="BK12" t="n">
        <v>3039103742.112</v>
      </c>
      <c r="BL12" t="n">
        <v>4480815522.817</v>
      </c>
      <c r="BM12" t="n">
        <v>3650021813.805</v>
      </c>
      <c r="BN12" t="n">
        <v>3511196454.729</v>
      </c>
      <c r="BO12" t="n">
        <v>3677104991.281</v>
      </c>
      <c r="BP12" t="n">
        <v>3418056161.1</v>
      </c>
      <c r="BQ12" t="n">
        <v>3098176219.179</v>
      </c>
      <c r="BR12" t="n">
        <v>3036722440.344</v>
      </c>
      <c r="BS12" t="n">
        <v>3590628422.073</v>
      </c>
      <c r="BT12" t="n">
        <v>3395247184.282</v>
      </c>
    </row>
    <row r="13">
      <c r="A13" t="inlineStr">
        <is>
          <t>Ulanowicz_TE</t>
        </is>
      </c>
      <c r="B13" t="inlineStr">
        <is>
          <t>ok</t>
        </is>
      </c>
      <c r="C13" t="n">
        <v>91819488.287</v>
      </c>
      <c r="D13" t="n">
        <v>95776676.538</v>
      </c>
      <c r="E13" t="n">
        <v>117772856.509</v>
      </c>
      <c r="F13" t="n">
        <v>104257385.251</v>
      </c>
      <c r="G13" t="n">
        <v>133523509.216</v>
      </c>
      <c r="H13" t="n">
        <v>137612839.825</v>
      </c>
      <c r="I13" t="n">
        <v>148653105.648</v>
      </c>
      <c r="J13" t="n">
        <v>155990412.5</v>
      </c>
      <c r="K13" t="n">
        <v>189745591.922</v>
      </c>
      <c r="L13" t="n">
        <v>266751551.038</v>
      </c>
      <c r="M13" t="n">
        <v>368687209.288</v>
      </c>
      <c r="N13" t="n">
        <v>427952533.417</v>
      </c>
      <c r="O13" t="n">
        <v>539981639.737</v>
      </c>
      <c r="P13" t="n">
        <v>1055727765.097</v>
      </c>
      <c r="Q13" t="n">
        <v>1459024801.721</v>
      </c>
      <c r="R13" t="n">
        <v>539113364.225</v>
      </c>
      <c r="S13" t="n">
        <v>696807282.78</v>
      </c>
      <c r="T13" t="n">
        <v>850266419.756</v>
      </c>
      <c r="U13" t="n">
        <v>854306736.556</v>
      </c>
      <c r="V13" t="n">
        <v>710681753.722</v>
      </c>
      <c r="W13" t="n">
        <v>1012501250.7</v>
      </c>
      <c r="X13" t="n">
        <v>871126757.885</v>
      </c>
      <c r="Y13" t="n">
        <v>553144209.7</v>
      </c>
      <c r="Z13" t="n">
        <v>1043060904.493</v>
      </c>
      <c r="AA13" t="n">
        <v>1013932582.455</v>
      </c>
      <c r="AB13" t="n">
        <v>904217286.479</v>
      </c>
      <c r="AC13" t="n">
        <v>1004656580.567</v>
      </c>
      <c r="AD13" t="n">
        <v>1781197265.141</v>
      </c>
      <c r="AE13" t="n">
        <v>2617617005.074</v>
      </c>
      <c r="AF13" t="n">
        <v>1334026892.336</v>
      </c>
      <c r="AG13" t="n">
        <v>1323487522.685</v>
      </c>
      <c r="AH13" t="n">
        <v>1519691223.535</v>
      </c>
      <c r="AI13" t="n">
        <v>1636803850.476</v>
      </c>
      <c r="AJ13" t="n">
        <v>1625099732.292</v>
      </c>
      <c r="AK13" t="n">
        <v>2027289410.898</v>
      </c>
      <c r="AL13" t="n">
        <v>1752166978.54</v>
      </c>
      <c r="AM13" t="n">
        <v>1775271399.211</v>
      </c>
      <c r="AN13" t="n">
        <v>1886229958.624</v>
      </c>
      <c r="AO13" t="n">
        <v>2379287395.572</v>
      </c>
      <c r="AP13" t="n">
        <v>2776185513.644</v>
      </c>
      <c r="AQ13" t="n">
        <v>3079573574.807</v>
      </c>
      <c r="AR13" t="n">
        <v>2810330216.386</v>
      </c>
      <c r="AS13" t="n">
        <v>2437187195.525</v>
      </c>
      <c r="AT13" t="n">
        <v>2623870827.786</v>
      </c>
      <c r="AU13" t="n">
        <v>3073911315.421</v>
      </c>
      <c r="AV13" t="n">
        <v>3437805512.302</v>
      </c>
      <c r="AW13" t="n">
        <v>3414943183.784</v>
      </c>
      <c r="AX13" t="n">
        <v>3241514401.534</v>
      </c>
      <c r="AY13" t="n">
        <v>2619372634.712</v>
      </c>
      <c r="AZ13" t="n">
        <v>2523722287.834</v>
      </c>
      <c r="BA13" t="n">
        <v>1996398389.959</v>
      </c>
      <c r="BB13" t="n">
        <v>2990501702.81</v>
      </c>
      <c r="BC13" t="n">
        <v>1683925254.243</v>
      </c>
      <c r="BD13" t="n">
        <v>2482006278.497</v>
      </c>
      <c r="BE13" t="n">
        <v>2781908302.091</v>
      </c>
      <c r="BF13" t="n">
        <v>2381913650.665</v>
      </c>
      <c r="BG13" t="n">
        <v>2507602712.06</v>
      </c>
      <c r="BH13" t="n">
        <v>2248520675.926</v>
      </c>
      <c r="BI13" t="n">
        <v>1913210024.516</v>
      </c>
      <c r="BJ13" t="n">
        <v>1849175416.86</v>
      </c>
      <c r="BK13" t="n">
        <v>1268075429.443</v>
      </c>
      <c r="BL13" t="n">
        <v>1773130762.018</v>
      </c>
      <c r="BM13" t="n">
        <v>1758340732.909</v>
      </c>
      <c r="BN13" t="n">
        <v>1955559129.982</v>
      </c>
      <c r="BO13" t="n">
        <v>2124804645.407</v>
      </c>
      <c r="BP13" t="n">
        <v>1890568665.578</v>
      </c>
      <c r="BQ13" t="n">
        <v>1779511742.641</v>
      </c>
      <c r="BR13" t="n">
        <v>7043705487.098</v>
      </c>
      <c r="BS13" t="n">
        <v>1651483737.208</v>
      </c>
      <c r="BT13" t="n">
        <v>2281475178.514</v>
      </c>
    </row>
    <row r="14">
      <c r="A14" t="inlineStr">
        <is>
          <t>EwE_TE_noEE</t>
        </is>
      </c>
      <c r="B14" t="inlineStr">
        <is>
          <t>ok</t>
        </is>
      </c>
      <c r="C14" t="n">
        <v>92937240.947</v>
      </c>
      <c r="D14" t="n">
        <v>97284753.315</v>
      </c>
      <c r="E14" t="n">
        <v>119379024.263</v>
      </c>
      <c r="F14" t="n">
        <v>105557202.993</v>
      </c>
      <c r="G14" t="n">
        <v>135127712.206</v>
      </c>
      <c r="H14" t="n">
        <v>139851734.466</v>
      </c>
      <c r="I14" t="n">
        <v>151119920.069</v>
      </c>
      <c r="J14" t="n">
        <v>157741120.534</v>
      </c>
      <c r="K14" t="n">
        <v>191711738.995</v>
      </c>
      <c r="L14" t="n">
        <v>269098123.31</v>
      </c>
      <c r="M14" t="n">
        <v>371497989.528</v>
      </c>
      <c r="N14" t="n">
        <v>430962915.364</v>
      </c>
      <c r="O14" t="n">
        <v>542759409.952</v>
      </c>
      <c r="P14" t="n">
        <v>1059012075.59</v>
      </c>
      <c r="Q14" t="n">
        <v>1462382985.497</v>
      </c>
      <c r="R14" t="n">
        <v>541634550.829</v>
      </c>
      <c r="S14" t="n">
        <v>699517459.6849999</v>
      </c>
      <c r="T14" t="n">
        <v>853422643.255</v>
      </c>
      <c r="U14" t="n">
        <v>856794316.142</v>
      </c>
      <c r="V14" t="n">
        <v>713222382.761</v>
      </c>
      <c r="W14" t="n">
        <v>1015096381.335</v>
      </c>
      <c r="X14" t="n">
        <v>873928077.6720001</v>
      </c>
      <c r="Y14" t="n">
        <v>556679835.784</v>
      </c>
      <c r="Z14" t="n">
        <v>1046893607.257</v>
      </c>
      <c r="AA14" t="n">
        <v>1016437287.902</v>
      </c>
      <c r="AB14" t="n">
        <v>906138105.416</v>
      </c>
      <c r="AC14" t="n">
        <v>1006837663.515</v>
      </c>
      <c r="AD14" t="n">
        <v>1783789071.565</v>
      </c>
      <c r="AE14" t="n">
        <v>2622869275.189</v>
      </c>
      <c r="AF14" t="n">
        <v>1336222826.894</v>
      </c>
      <c r="AG14" t="n">
        <v>1326587865.886</v>
      </c>
      <c r="AH14" t="n">
        <v>1521667579.805</v>
      </c>
      <c r="AI14" t="n">
        <v>1638544024.707</v>
      </c>
      <c r="AJ14" t="n">
        <v>1626784928.193</v>
      </c>
      <c r="AK14" t="n">
        <v>2029967313.53</v>
      </c>
      <c r="AL14" t="n">
        <v>1753565731.819</v>
      </c>
      <c r="AM14" t="n">
        <v>1777251723.018</v>
      </c>
      <c r="AN14" t="n">
        <v>1888397892.046</v>
      </c>
      <c r="AO14" t="n">
        <v>2382763127.371</v>
      </c>
      <c r="AP14" t="n">
        <v>2779953571.031</v>
      </c>
      <c r="AQ14" t="n">
        <v>3084088394.827</v>
      </c>
      <c r="AR14" t="n">
        <v>2816788852.63</v>
      </c>
      <c r="AS14" t="n">
        <v>2445747318.58</v>
      </c>
      <c r="AT14" t="n">
        <v>2634963282.971</v>
      </c>
      <c r="AU14" t="n">
        <v>3086725172.941</v>
      </c>
      <c r="AV14" t="n">
        <v>3447237504.846</v>
      </c>
      <c r="AW14" t="n">
        <v>3421437531.549</v>
      </c>
      <c r="AX14" t="n">
        <v>3247566137.152</v>
      </c>
      <c r="AY14" t="n">
        <v>2625448422.879</v>
      </c>
      <c r="AZ14" t="n">
        <v>2530342927.751</v>
      </c>
      <c r="BA14" t="n">
        <v>2006325353.058</v>
      </c>
      <c r="BB14" t="n">
        <v>3003592925.041</v>
      </c>
      <c r="BC14" t="n">
        <v>1698952932.48</v>
      </c>
      <c r="BD14" t="n">
        <v>2503109327.839</v>
      </c>
      <c r="BE14" t="n">
        <v>2810249912.503</v>
      </c>
      <c r="BF14" t="n">
        <v>2415316813.439</v>
      </c>
      <c r="BG14" t="n">
        <v>2543709064.631</v>
      </c>
      <c r="BH14" t="n">
        <v>2276780542.939</v>
      </c>
      <c r="BI14" t="n">
        <v>1949722653.195</v>
      </c>
      <c r="BJ14" t="n">
        <v>1878420014.405</v>
      </c>
      <c r="BK14" t="n">
        <v>1296388902.686</v>
      </c>
      <c r="BL14" t="n">
        <v>1807286771.806</v>
      </c>
      <c r="BM14" t="n">
        <v>1795261635.208</v>
      </c>
      <c r="BN14" t="n">
        <v>1990616072.818</v>
      </c>
      <c r="BO14" t="n">
        <v>2167367199.688</v>
      </c>
      <c r="BP14" t="n">
        <v>1934778864.689</v>
      </c>
      <c r="BQ14" t="n">
        <v>1814816162.923</v>
      </c>
      <c r="BR14" t="n">
        <v>7076234603.368</v>
      </c>
      <c r="BS14" t="n">
        <v>1684722289.676</v>
      </c>
      <c r="BT14" t="n">
        <v>2317585154.406</v>
      </c>
    </row>
    <row r="15">
      <c r="A15" t="inlineStr">
        <is>
          <t>EwE_TE_EE</t>
        </is>
      </c>
      <c r="B15" t="inlineStr">
        <is>
          <t>ok</t>
        </is>
      </c>
      <c r="C15" t="n">
        <v>55607359.929</v>
      </c>
      <c r="D15" t="n">
        <v>57215671.289</v>
      </c>
      <c r="E15" t="n">
        <v>69515123.79000001</v>
      </c>
      <c r="F15" t="n">
        <v>64475137.969</v>
      </c>
      <c r="G15" t="n">
        <v>81775348.993</v>
      </c>
      <c r="H15" t="n">
        <v>81404694.498</v>
      </c>
      <c r="I15" t="n">
        <v>88215980.11499999</v>
      </c>
      <c r="J15" t="n">
        <v>93908558.57099999</v>
      </c>
      <c r="K15" t="n">
        <v>116174625.479</v>
      </c>
      <c r="L15" t="n">
        <v>174526361.571</v>
      </c>
      <c r="M15" t="n">
        <v>246553123.903</v>
      </c>
      <c r="N15" t="n">
        <v>295930718.146</v>
      </c>
      <c r="O15" t="n">
        <v>381764925.558</v>
      </c>
      <c r="P15" t="n">
        <v>751744424.972</v>
      </c>
      <c r="Q15" t="n">
        <v>1051076243.37</v>
      </c>
      <c r="R15" t="n">
        <v>388623271.227</v>
      </c>
      <c r="S15" t="n">
        <v>498702900.1</v>
      </c>
      <c r="T15" t="n">
        <v>606964473.829</v>
      </c>
      <c r="U15" t="n">
        <v>618599795.1849999</v>
      </c>
      <c r="V15" t="n">
        <v>512520691.394</v>
      </c>
      <c r="W15" t="n">
        <v>711009403.8099999</v>
      </c>
      <c r="X15" t="n">
        <v>594592324.692</v>
      </c>
      <c r="Y15" t="n">
        <v>352312133.97</v>
      </c>
      <c r="Z15" t="n">
        <v>656092209.4630001</v>
      </c>
      <c r="AA15" t="n">
        <v>604957407.012</v>
      </c>
      <c r="AB15" t="n">
        <v>512180557.07</v>
      </c>
      <c r="AC15" t="n">
        <v>529229897.493</v>
      </c>
      <c r="AD15" t="n">
        <v>715553023.252</v>
      </c>
      <c r="AE15" t="n">
        <v>1161202664.455</v>
      </c>
      <c r="AF15" t="n">
        <v>624138113.105</v>
      </c>
      <c r="AG15" t="n">
        <v>685928451.658</v>
      </c>
      <c r="AH15" t="n">
        <v>655444093.375</v>
      </c>
      <c r="AI15" t="n">
        <v>709679794.956</v>
      </c>
      <c r="AJ15" t="n">
        <v>615092252.148</v>
      </c>
      <c r="AK15" t="n">
        <v>815749106.635</v>
      </c>
      <c r="AL15" t="n">
        <v>766668637.51</v>
      </c>
      <c r="AM15" t="n">
        <v>861867088.332</v>
      </c>
      <c r="AN15" t="n">
        <v>810860529.303</v>
      </c>
      <c r="AO15" t="n">
        <v>1032125362.544</v>
      </c>
      <c r="AP15" t="n">
        <v>1179202388.218</v>
      </c>
      <c r="AQ15" t="n">
        <v>1220524056.941</v>
      </c>
      <c r="AR15" t="n">
        <v>1073958946.441</v>
      </c>
      <c r="AS15" t="n">
        <v>992789130.415</v>
      </c>
      <c r="AT15" t="n">
        <v>1136456324.062</v>
      </c>
      <c r="AU15" t="n">
        <v>1356189202.891</v>
      </c>
      <c r="AV15" t="n">
        <v>1399074103.151</v>
      </c>
      <c r="AW15" t="n">
        <v>1433428165.254</v>
      </c>
      <c r="AX15" t="n">
        <v>1250030496.3</v>
      </c>
      <c r="AY15" t="n">
        <v>1046046471.754</v>
      </c>
      <c r="AZ15" t="n">
        <v>1003542632.323</v>
      </c>
      <c r="BA15" t="n">
        <v>1007350311.562</v>
      </c>
      <c r="BB15" t="n">
        <v>1170335007.992</v>
      </c>
      <c r="BC15" t="n">
        <v>847563234.992</v>
      </c>
      <c r="BD15" t="n">
        <v>887484573.527</v>
      </c>
      <c r="BE15" t="n">
        <v>1140973267.95</v>
      </c>
      <c r="BF15" t="n">
        <v>1131360926.152</v>
      </c>
      <c r="BG15" t="n">
        <v>1058984780.121</v>
      </c>
      <c r="BH15" t="n">
        <v>984099612.378</v>
      </c>
      <c r="BI15" t="n">
        <v>966782038.821</v>
      </c>
      <c r="BJ15" t="n">
        <v>921943298.751</v>
      </c>
      <c r="BK15" t="n">
        <v>711995208.909</v>
      </c>
      <c r="BL15" t="n">
        <v>1018729174.736</v>
      </c>
      <c r="BM15" t="n">
        <v>921331367.072</v>
      </c>
      <c r="BN15" t="n">
        <v>1109314190.841</v>
      </c>
      <c r="BO15" t="n">
        <v>1037314114.177</v>
      </c>
      <c r="BP15" t="n">
        <v>1114552753.451</v>
      </c>
      <c r="BQ15" t="n">
        <v>783767734.294</v>
      </c>
      <c r="BR15" t="n">
        <v>3649400545.986</v>
      </c>
      <c r="BS15" t="n">
        <v>930482210.594</v>
      </c>
      <c r="BT15" t="n">
        <v>1217493579.29</v>
      </c>
    </row>
    <row r="16">
      <c r="A16" t="inlineStr">
        <is>
          <t>SPPR_2015</t>
        </is>
      </c>
      <c r="B16" t="inlineStr">
        <is>
          <t>ok</t>
        </is>
      </c>
      <c r="C16" t="n">
        <v>147002279.263</v>
      </c>
      <c r="D16" t="n">
        <v>156813946.536</v>
      </c>
      <c r="E16" t="n">
        <v>189121163.877</v>
      </c>
      <c r="F16" t="n">
        <v>165266210.926</v>
      </c>
      <c r="G16" t="n">
        <v>210057829.686</v>
      </c>
      <c r="H16" t="n">
        <v>224170578.933</v>
      </c>
      <c r="I16" t="n">
        <v>241887048.477</v>
      </c>
      <c r="J16" t="n">
        <v>244040826.571</v>
      </c>
      <c r="K16" t="n">
        <v>295043201.407</v>
      </c>
      <c r="L16" t="n">
        <v>406568684.614</v>
      </c>
      <c r="M16" t="n">
        <v>549583110.658</v>
      </c>
      <c r="N16" t="n">
        <v>632786404.397</v>
      </c>
      <c r="O16" t="n">
        <v>786502567.028</v>
      </c>
      <c r="P16" t="n">
        <v>1597500186.114</v>
      </c>
      <c r="Q16" t="n">
        <v>2199330152.981</v>
      </c>
      <c r="R16" t="n">
        <v>774176169.738</v>
      </c>
      <c r="S16" t="n">
        <v>994240970.432</v>
      </c>
      <c r="T16" t="n">
        <v>1207767431.735</v>
      </c>
      <c r="U16" t="n">
        <v>1196116445.458</v>
      </c>
      <c r="V16" t="n">
        <v>1004327725.931</v>
      </c>
      <c r="W16" t="n">
        <v>1413141726.546</v>
      </c>
      <c r="X16" t="n">
        <v>1220955656.434</v>
      </c>
      <c r="Y16" t="n">
        <v>807976952.112</v>
      </c>
      <c r="Z16" t="n">
        <v>1532422814.176</v>
      </c>
      <c r="AA16" t="n">
        <v>1425789596.881</v>
      </c>
      <c r="AB16" t="n">
        <v>1270829871.807</v>
      </c>
      <c r="AC16" t="n">
        <v>1399977120.878</v>
      </c>
      <c r="AD16" t="n">
        <v>2457439671.598</v>
      </c>
      <c r="AE16" t="n">
        <v>3633433153.567</v>
      </c>
      <c r="AF16" t="n">
        <v>1841682683.768</v>
      </c>
      <c r="AG16" t="n">
        <v>1848699600.737</v>
      </c>
      <c r="AH16" t="n">
        <v>2081423925.296</v>
      </c>
      <c r="AI16" t="n">
        <v>2223038880.165</v>
      </c>
      <c r="AJ16" t="n">
        <v>2208318331.208</v>
      </c>
      <c r="AK16" t="n">
        <v>2766841649.474</v>
      </c>
      <c r="AL16" t="n">
        <v>2395158092.838</v>
      </c>
      <c r="AM16" t="n">
        <v>2438633443.424</v>
      </c>
      <c r="AN16" t="n">
        <v>2568347972.909</v>
      </c>
      <c r="AO16" t="n">
        <v>3250494851.526</v>
      </c>
      <c r="AP16" t="n">
        <v>3796415965.269</v>
      </c>
      <c r="AQ16" t="n">
        <v>4222855522.242</v>
      </c>
      <c r="AR16" t="n">
        <v>3867897074.267</v>
      </c>
      <c r="AS16" t="n">
        <v>3391972594.251</v>
      </c>
      <c r="AT16" t="n">
        <v>3700743250.276</v>
      </c>
      <c r="AU16" t="n">
        <v>4315034445.929</v>
      </c>
      <c r="AV16" t="n">
        <v>4768295588.498</v>
      </c>
      <c r="AW16" t="n">
        <v>4699129170.898</v>
      </c>
      <c r="AX16" t="n">
        <v>4459936066.096</v>
      </c>
      <c r="AY16" t="n">
        <v>3694229901.354</v>
      </c>
      <c r="AZ16" t="n">
        <v>3535263489.297</v>
      </c>
      <c r="BA16" t="n">
        <v>2857630670.112</v>
      </c>
      <c r="BB16" t="n">
        <v>4237740969</v>
      </c>
      <c r="BC16" t="n">
        <v>2497141996.373</v>
      </c>
      <c r="BD16" t="n">
        <v>3646589805.935</v>
      </c>
      <c r="BE16" t="n">
        <v>4160045250.12</v>
      </c>
      <c r="BF16" t="n">
        <v>3722705957.744</v>
      </c>
      <c r="BG16" t="n">
        <v>3918106080.292</v>
      </c>
      <c r="BH16" t="n">
        <v>3462772049.183</v>
      </c>
      <c r="BI16" t="n">
        <v>3137341990.453</v>
      </c>
      <c r="BJ16" t="n">
        <v>2947272901.372</v>
      </c>
      <c r="BK16" t="n">
        <v>2154540865.141</v>
      </c>
      <c r="BL16" t="n">
        <v>2916029215.274</v>
      </c>
      <c r="BM16" t="n">
        <v>2932543973.213</v>
      </c>
      <c r="BN16" t="n">
        <v>3179253916.364</v>
      </c>
      <c r="BO16" t="n">
        <v>3514589932.72</v>
      </c>
      <c r="BP16" t="n">
        <v>3210154162.191</v>
      </c>
      <c r="BQ16" t="n">
        <v>2943721105.806</v>
      </c>
      <c r="BR16" t="n">
        <v>9883350527.462999</v>
      </c>
      <c r="BS16" t="n">
        <v>2721307945.879</v>
      </c>
      <c r="BT16" t="n">
        <v>3620482013.164</v>
      </c>
    </row>
    <row r="17">
      <c r="A17" t="inlineStr">
        <is>
          <t>new_TE_noEEfix</t>
        </is>
      </c>
      <c r="B17" t="inlineStr">
        <is>
          <t>ok</t>
        </is>
      </c>
      <c r="C17" t="n">
        <v>147002279.263</v>
      </c>
      <c r="D17" t="n">
        <v>156813946.536</v>
      </c>
      <c r="E17" t="n">
        <v>189121163.877</v>
      </c>
      <c r="F17" t="n">
        <v>165266210.926</v>
      </c>
      <c r="G17" t="n">
        <v>210057829.686</v>
      </c>
      <c r="H17" t="n">
        <v>224170578.933</v>
      </c>
      <c r="I17" t="n">
        <v>241887048.477</v>
      </c>
      <c r="J17" t="n">
        <v>244040826.571</v>
      </c>
      <c r="K17" t="n">
        <v>295043201.407</v>
      </c>
      <c r="L17" t="n">
        <v>406568684.614</v>
      </c>
      <c r="M17" t="n">
        <v>549583110.658</v>
      </c>
      <c r="N17" t="n">
        <v>632786404.397</v>
      </c>
      <c r="O17" t="n">
        <v>786502567.028</v>
      </c>
      <c r="P17" t="n">
        <v>1597500186.114</v>
      </c>
      <c r="Q17" t="n">
        <v>2199330152.981</v>
      </c>
      <c r="R17" t="n">
        <v>774176169.738</v>
      </c>
      <c r="S17" t="n">
        <v>994240970.432</v>
      </c>
      <c r="T17" t="n">
        <v>1207767431.735</v>
      </c>
      <c r="U17" t="n">
        <v>1196116445.458</v>
      </c>
      <c r="V17" t="n">
        <v>1004327725.931</v>
      </c>
      <c r="W17" t="n">
        <v>1413141726.546</v>
      </c>
      <c r="X17" t="n">
        <v>1220955656.434</v>
      </c>
      <c r="Y17" t="n">
        <v>807976952.112</v>
      </c>
      <c r="Z17" t="n">
        <v>1532422814.176</v>
      </c>
      <c r="AA17" t="n">
        <v>1425789596.881</v>
      </c>
      <c r="AB17" t="n">
        <v>1270829871.807</v>
      </c>
      <c r="AC17" t="n">
        <v>1399977120.878</v>
      </c>
      <c r="AD17" t="n">
        <v>2457439671.598</v>
      </c>
      <c r="AE17" t="n">
        <v>3633433153.567</v>
      </c>
      <c r="AF17" t="n">
        <v>1841682683.768</v>
      </c>
      <c r="AG17" t="n">
        <v>1848699600.737</v>
      </c>
      <c r="AH17" t="n">
        <v>2081423925.296</v>
      </c>
      <c r="AI17" t="n">
        <v>2223038880.165</v>
      </c>
      <c r="AJ17" t="n">
        <v>2208318331.208</v>
      </c>
      <c r="AK17" t="n">
        <v>2766841649.474</v>
      </c>
      <c r="AL17" t="n">
        <v>2395158092.838</v>
      </c>
      <c r="AM17" t="n">
        <v>2438633443.424</v>
      </c>
      <c r="AN17" t="n">
        <v>2568347972.909</v>
      </c>
      <c r="AO17" t="n">
        <v>3250494851.526</v>
      </c>
      <c r="AP17" t="n">
        <v>3796415965.269</v>
      </c>
      <c r="AQ17" t="n">
        <v>4222855522.242</v>
      </c>
      <c r="AR17" t="n">
        <v>3867897074.267</v>
      </c>
      <c r="AS17" t="n">
        <v>3391972594.251</v>
      </c>
      <c r="AT17" t="n">
        <v>3700743250.276</v>
      </c>
      <c r="AU17" t="n">
        <v>4315034445.929</v>
      </c>
      <c r="AV17" t="n">
        <v>4768295588.498</v>
      </c>
      <c r="AW17" t="n">
        <v>4699129170.898</v>
      </c>
      <c r="AX17" t="n">
        <v>4459936066.096</v>
      </c>
      <c r="AY17" t="n">
        <v>3694229901.354</v>
      </c>
      <c r="AZ17" t="n">
        <v>3535263489.297</v>
      </c>
      <c r="BA17" t="n">
        <v>2857630670.112</v>
      </c>
      <c r="BB17" t="n">
        <v>4237740969</v>
      </c>
      <c r="BC17" t="n">
        <v>2497141996.373</v>
      </c>
      <c r="BD17" t="n">
        <v>3646589805.935</v>
      </c>
      <c r="BE17" t="n">
        <v>4160045250.12</v>
      </c>
      <c r="BF17" t="n">
        <v>3722705957.744</v>
      </c>
      <c r="BG17" t="n">
        <v>3918106080.292</v>
      </c>
      <c r="BH17" t="n">
        <v>3462772049.183</v>
      </c>
      <c r="BI17" t="n">
        <v>3137341990.453</v>
      </c>
      <c r="BJ17" t="n">
        <v>2947272901.372</v>
      </c>
      <c r="BK17" t="n">
        <v>2154540865.141</v>
      </c>
      <c r="BL17" t="n">
        <v>2916029215.273</v>
      </c>
      <c r="BM17" t="n">
        <v>2932543973.211</v>
      </c>
      <c r="BN17" t="n">
        <v>3179253916.358</v>
      </c>
      <c r="BO17" t="n">
        <v>3514589932.717</v>
      </c>
      <c r="BP17" t="n">
        <v>3210154162.183</v>
      </c>
      <c r="BQ17" t="n">
        <v>2943721105.801</v>
      </c>
      <c r="BR17" t="n">
        <v>9883350527.391001</v>
      </c>
      <c r="BS17" t="n">
        <v>2721307945.876</v>
      </c>
      <c r="BT17" t="n">
        <v>3620482013.155</v>
      </c>
    </row>
    <row r="18">
      <c r="A18" s="12" t="inlineStr">
        <is>
          <t>new_TE_EEfix</t>
        </is>
      </c>
      <c r="B18" s="9" t="inlineStr">
        <is>
          <t>FAILED diagnostic for this SPPR_new configuration</t>
        </is>
      </c>
      <c r="C18" t="n">
        <v>147002279.263</v>
      </c>
      <c r="D18" t="n">
        <v>156813946.536</v>
      </c>
      <c r="E18" t="n">
        <v>189121163.877</v>
      </c>
      <c r="F18" t="n">
        <v>165266210.926</v>
      </c>
      <c r="G18" t="n">
        <v>210057829.686</v>
      </c>
      <c r="H18" t="n">
        <v>224170578.933</v>
      </c>
      <c r="I18" t="n">
        <v>241887048.477</v>
      </c>
      <c r="J18" t="n">
        <v>244040826.571</v>
      </c>
      <c r="K18" t="n">
        <v>295043201.407</v>
      </c>
      <c r="L18" t="n">
        <v>406568684.614</v>
      </c>
      <c r="M18" t="n">
        <v>549583110.658</v>
      </c>
      <c r="N18" t="n">
        <v>632786404.397</v>
      </c>
      <c r="O18" t="n">
        <v>786502567.028</v>
      </c>
      <c r="P18" t="n">
        <v>1597500186.114</v>
      </c>
      <c r="Q18" t="n">
        <v>2199330152.981</v>
      </c>
      <c r="R18" t="n">
        <v>774176169.738</v>
      </c>
      <c r="S18" t="n">
        <v>994240970.432</v>
      </c>
      <c r="T18" t="n">
        <v>1207767431.735</v>
      </c>
      <c r="U18" t="n">
        <v>1196116445.458</v>
      </c>
      <c r="V18" t="n">
        <v>1004327725.931</v>
      </c>
      <c r="W18" t="n">
        <v>1413141726.546</v>
      </c>
      <c r="X18" t="n">
        <v>1220955656.434</v>
      </c>
      <c r="Y18" t="n">
        <v>807976952.112</v>
      </c>
      <c r="Z18" t="n">
        <v>1532422814.176</v>
      </c>
      <c r="AA18" t="n">
        <v>1425789596.881</v>
      </c>
      <c r="AB18" t="n">
        <v>1270829871.807</v>
      </c>
      <c r="AC18" t="n">
        <v>1399977120.878</v>
      </c>
      <c r="AD18" t="n">
        <v>2457439671.598</v>
      </c>
      <c r="AE18" t="n">
        <v>3633433153.567</v>
      </c>
      <c r="AF18" t="n">
        <v>1841682683.768</v>
      </c>
      <c r="AG18" t="n">
        <v>1848699600.737</v>
      </c>
      <c r="AH18" t="n">
        <v>2081423925.296</v>
      </c>
      <c r="AI18" t="n">
        <v>2223038880.165</v>
      </c>
      <c r="AJ18" t="n">
        <v>2208318331.208</v>
      </c>
      <c r="AK18" t="n">
        <v>2766841649.474</v>
      </c>
      <c r="AL18" t="n">
        <v>2395158092.838</v>
      </c>
      <c r="AM18" t="n">
        <v>2438633443.424</v>
      </c>
      <c r="AN18" t="n">
        <v>2568347972.909</v>
      </c>
      <c r="AO18" t="n">
        <v>3250494851.526</v>
      </c>
      <c r="AP18" t="n">
        <v>3796415965.269</v>
      </c>
      <c r="AQ18" t="n">
        <v>4222855522.242</v>
      </c>
      <c r="AR18" t="n">
        <v>3867897074.267</v>
      </c>
      <c r="AS18" t="n">
        <v>3391972594.251</v>
      </c>
      <c r="AT18" t="n">
        <v>3700743250.276</v>
      </c>
      <c r="AU18" t="n">
        <v>4315034445.929</v>
      </c>
      <c r="AV18" t="n">
        <v>4768295588.498</v>
      </c>
      <c r="AW18" t="n">
        <v>4699129170.898</v>
      </c>
      <c r="AX18" t="n">
        <v>4459936066.096</v>
      </c>
      <c r="AY18" t="n">
        <v>3694229901.354</v>
      </c>
      <c r="AZ18" t="n">
        <v>3535263489.297</v>
      </c>
      <c r="BA18" t="n">
        <v>2857630670.112</v>
      </c>
      <c r="BB18" t="n">
        <v>4237740969</v>
      </c>
      <c r="BC18" t="n">
        <v>2497141996.373</v>
      </c>
      <c r="BD18" t="n">
        <v>3646589805.935</v>
      </c>
      <c r="BE18" t="n">
        <v>4160045250.12</v>
      </c>
      <c r="BF18" t="n">
        <v>3722705957.744</v>
      </c>
      <c r="BG18" t="n">
        <v>3918106080.292</v>
      </c>
      <c r="BH18" t="n">
        <v>3462772049.183</v>
      </c>
      <c r="BI18" t="n">
        <v>3137341990.453</v>
      </c>
      <c r="BJ18" t="n">
        <v>2947272901.372</v>
      </c>
      <c r="BK18" t="n">
        <v>2154540865.141</v>
      </c>
      <c r="BL18" t="n">
        <v>2916029215.273</v>
      </c>
      <c r="BM18" t="n">
        <v>2932543973.211</v>
      </c>
      <c r="BN18" t="n">
        <v>3179253916.358</v>
      </c>
      <c r="BO18" t="n">
        <v>3514589932.717</v>
      </c>
      <c r="BP18" t="n">
        <v>3210154162.183</v>
      </c>
      <c r="BQ18" t="n">
        <v>2943721105.801</v>
      </c>
      <c r="BR18" t="n">
        <v>9883350527.391001</v>
      </c>
      <c r="BS18" t="n">
        <v>2721307945.876</v>
      </c>
      <c r="BT18" t="n">
        <v>3620482013.155</v>
      </c>
    </row>
    <row r="19">
      <c r="A19" s="12" t="inlineStr">
        <is>
          <t>new_GE</t>
        </is>
      </c>
      <c r="B19" s="9" t="inlineStr">
        <is>
          <t>FAILED diagnostic for this SPPR_new configuration</t>
        </is>
      </c>
      <c r="C19" t="n">
        <v>-36282284.549</v>
      </c>
      <c r="D19" t="n">
        <v>-45079335.933</v>
      </c>
      <c r="E19" t="n">
        <v>-49776800.895</v>
      </c>
      <c r="F19" t="n">
        <v>-43678700.622</v>
      </c>
      <c r="G19" t="n">
        <v>-52346099.379</v>
      </c>
      <c r="H19" t="n">
        <v>-66832337.247</v>
      </c>
      <c r="I19" t="n">
        <v>-74534249.199</v>
      </c>
      <c r="J19" t="n">
        <v>-74999273.611</v>
      </c>
      <c r="K19" t="n">
        <v>-102447746.783</v>
      </c>
      <c r="L19" t="n">
        <v>-176086295.001</v>
      </c>
      <c r="M19" t="n">
        <v>-275419047.68</v>
      </c>
      <c r="N19" t="n">
        <v>-382707280.89</v>
      </c>
      <c r="O19" t="n">
        <v>-493021309.551</v>
      </c>
      <c r="P19" t="n">
        <v>-650614200.944</v>
      </c>
      <c r="Q19" t="n">
        <v>-890228245.37</v>
      </c>
      <c r="R19" t="n">
        <v>-518821250.544</v>
      </c>
      <c r="S19" t="n">
        <v>-657597500.357</v>
      </c>
      <c r="T19" t="n">
        <v>-747032623.8099999</v>
      </c>
      <c r="U19" t="n">
        <v>-769867152.892</v>
      </c>
      <c r="V19" t="n">
        <v>-664966797.664</v>
      </c>
      <c r="W19" t="n">
        <v>-948089479.303</v>
      </c>
      <c r="X19" t="n">
        <v>-807576121.4529999</v>
      </c>
      <c r="Y19" t="n">
        <v>-406959509.759</v>
      </c>
      <c r="Z19" t="n">
        <v>-361509738.783</v>
      </c>
      <c r="AA19" t="n">
        <v>-546955718.466</v>
      </c>
      <c r="AB19" t="n">
        <v>-448518756.791</v>
      </c>
      <c r="AC19" t="n">
        <v>-525480394.578</v>
      </c>
      <c r="AD19" t="n">
        <v>-689143908.776</v>
      </c>
      <c r="AE19" t="n">
        <v>-981038700.9859999</v>
      </c>
      <c r="AF19" t="n">
        <v>-641739856.567</v>
      </c>
      <c r="AG19" t="n">
        <v>-603501213.09</v>
      </c>
      <c r="AH19" t="n">
        <v>-700045042.329</v>
      </c>
      <c r="AI19" t="n">
        <v>-911828232.3200001</v>
      </c>
      <c r="AJ19" t="n">
        <v>-786459089.517</v>
      </c>
      <c r="AK19" t="n">
        <v>-953209618.648</v>
      </c>
      <c r="AL19" t="n">
        <v>-942333627.748</v>
      </c>
      <c r="AM19" t="n">
        <v>-1028413365.374</v>
      </c>
      <c r="AN19" t="n">
        <v>-1017584198.307</v>
      </c>
      <c r="AO19" t="n">
        <v>-1236077775.151</v>
      </c>
      <c r="AP19" t="n">
        <v>-1419059460.986</v>
      </c>
      <c r="AQ19" t="n">
        <v>-1445033004.227</v>
      </c>
      <c r="AR19" t="n">
        <v>-1430874718.494</v>
      </c>
      <c r="AS19" t="n">
        <v>-1370355991.331</v>
      </c>
      <c r="AT19" t="n">
        <v>-1419630806.152</v>
      </c>
      <c r="AU19" t="n">
        <v>-1785446262.125</v>
      </c>
      <c r="AV19" t="n">
        <v>-1678408742.742</v>
      </c>
      <c r="AW19" t="n">
        <v>-1652940006.193</v>
      </c>
      <c r="AX19" t="n">
        <v>-1453588351.453</v>
      </c>
      <c r="AY19" t="n">
        <v>-1000285529.566</v>
      </c>
      <c r="AZ19" t="n">
        <v>-1220443786.495</v>
      </c>
      <c r="BA19" t="n">
        <v>-1235140205.013</v>
      </c>
      <c r="BB19" t="n">
        <v>-1353078903.406</v>
      </c>
      <c r="BC19" t="n">
        <v>-1107324789.922</v>
      </c>
      <c r="BD19" t="n">
        <v>-1176653225.878</v>
      </c>
      <c r="BE19" t="n">
        <v>-1530089108.799</v>
      </c>
      <c r="BF19" t="n">
        <v>-1436827972.013</v>
      </c>
      <c r="BG19" t="n">
        <v>-1333059918.787</v>
      </c>
      <c r="BH19" t="n">
        <v>-1223386888.398</v>
      </c>
      <c r="BI19" t="n">
        <v>-1191259420.288</v>
      </c>
      <c r="BJ19" t="n">
        <v>-1095912072.631</v>
      </c>
      <c r="BK19" t="n">
        <v>-788126580.751</v>
      </c>
      <c r="BL19" t="n">
        <v>-1172212744.221</v>
      </c>
      <c r="BM19" t="n">
        <v>-941858076.138</v>
      </c>
      <c r="BN19" t="n">
        <v>-901397940.967</v>
      </c>
      <c r="BO19" t="n">
        <v>-949306304.766</v>
      </c>
      <c r="BP19" t="n">
        <v>-841222202.368</v>
      </c>
      <c r="BQ19" t="n">
        <v>-784858116.771</v>
      </c>
      <c r="BR19" t="n">
        <v>-764046980.564</v>
      </c>
      <c r="BS19" t="n">
        <v>-906209024.171</v>
      </c>
      <c r="BT19" t="n">
        <v>-868851056.0650001</v>
      </c>
    </row>
    <row r="20">
      <c r="A20" s="12" t="inlineStr">
        <is>
          <t>new_WithEgestion</t>
        </is>
      </c>
      <c r="B20" s="9" t="inlineStr">
        <is>
          <t>FAILED diagnostic for this SPPR_new configuration</t>
        </is>
      </c>
      <c r="C20" t="n">
        <v>-65042411.569</v>
      </c>
      <c r="D20" t="n">
        <v>-78186872.309</v>
      </c>
      <c r="E20" t="n">
        <v>-86899908.04099999</v>
      </c>
      <c r="F20" t="n">
        <v>-78548727.19599999</v>
      </c>
      <c r="G20" t="n">
        <v>-92923464.965</v>
      </c>
      <c r="H20" t="n">
        <v>-114314276.311</v>
      </c>
      <c r="I20" t="n">
        <v>-128279531.36</v>
      </c>
      <c r="J20" t="n">
        <v>-137341294.252</v>
      </c>
      <c r="K20" t="n">
        <v>-189155340.169</v>
      </c>
      <c r="L20" t="n">
        <v>-327925200.685</v>
      </c>
      <c r="M20" t="n">
        <v>-517326644.289</v>
      </c>
      <c r="N20" t="n">
        <v>-722488311.617</v>
      </c>
      <c r="O20" t="n">
        <v>-947520779.262</v>
      </c>
      <c r="P20" t="n">
        <v>-1326748209.447</v>
      </c>
      <c r="Q20" t="n">
        <v>-1834010524.998</v>
      </c>
      <c r="R20" t="n">
        <v>-988179603.102</v>
      </c>
      <c r="S20" t="n">
        <v>-1258995377.273</v>
      </c>
      <c r="T20" t="n">
        <v>-1432461299.324</v>
      </c>
      <c r="U20" t="n">
        <v>-1481492023.687</v>
      </c>
      <c r="V20" t="n">
        <v>-1273260156.289</v>
      </c>
      <c r="W20" t="n">
        <v>-1852038322.523</v>
      </c>
      <c r="X20" t="n">
        <v>-1531850876.288</v>
      </c>
      <c r="Y20" t="n">
        <v>-758037868.979</v>
      </c>
      <c r="Z20" t="n">
        <v>-676637286.228</v>
      </c>
      <c r="AA20" t="n">
        <v>-1009756209.278</v>
      </c>
      <c r="AB20" t="n">
        <v>-819558716.174</v>
      </c>
      <c r="AC20" t="n">
        <v>-960534178.27</v>
      </c>
      <c r="AD20" t="n">
        <v>-1168094400.802</v>
      </c>
      <c r="AE20" t="n">
        <v>-1631324728.029</v>
      </c>
      <c r="AF20" t="n">
        <v>-1134154954.466</v>
      </c>
      <c r="AG20" t="n">
        <v>-1055547870.816</v>
      </c>
      <c r="AH20" t="n">
        <v>-1201123923.266</v>
      </c>
      <c r="AI20" t="n">
        <v>-1575164311.259</v>
      </c>
      <c r="AJ20" t="n">
        <v>-1318810254.165</v>
      </c>
      <c r="AK20" t="n">
        <v>-1629610298.867</v>
      </c>
      <c r="AL20" t="n">
        <v>-1641157052.972</v>
      </c>
      <c r="AM20" t="n">
        <v>-1831920682.867</v>
      </c>
      <c r="AN20" t="n">
        <v>-1756338070.199</v>
      </c>
      <c r="AO20" t="n">
        <v>-2101734593.81</v>
      </c>
      <c r="AP20" t="n">
        <v>-2425231476.21</v>
      </c>
      <c r="AQ20" t="n">
        <v>-2429269454.147</v>
      </c>
      <c r="AR20" t="n">
        <v>-2395295969.561</v>
      </c>
      <c r="AS20" t="n">
        <v>-2330808044.071</v>
      </c>
      <c r="AT20" t="n">
        <v>-2415248396.211</v>
      </c>
      <c r="AU20" t="n">
        <v>-3040174038.123</v>
      </c>
      <c r="AV20" t="n">
        <v>-2790944604.323</v>
      </c>
      <c r="AW20" t="n">
        <v>-2765005938.612</v>
      </c>
      <c r="AX20" t="n">
        <v>-2419288042.363</v>
      </c>
      <c r="AY20" t="n">
        <v>-1738150206.919</v>
      </c>
      <c r="AZ20" t="n">
        <v>-2189745794.245</v>
      </c>
      <c r="BA20" t="n">
        <v>-2210388583.211</v>
      </c>
      <c r="BB20" t="n">
        <v>-2278185522.824</v>
      </c>
      <c r="BC20" t="n">
        <v>-1942691509.034</v>
      </c>
      <c r="BD20" t="n">
        <v>-1971381696.165</v>
      </c>
      <c r="BE20" t="n">
        <v>-2610535361.128</v>
      </c>
      <c r="BF20" t="n">
        <v>-2462713460.692</v>
      </c>
      <c r="BG20" t="n">
        <v>-2213271837.735</v>
      </c>
      <c r="BH20" t="n">
        <v>-2073278943.518</v>
      </c>
      <c r="BI20" t="n">
        <v>-2022972436.896</v>
      </c>
      <c r="BJ20" t="n">
        <v>-1889521563.425</v>
      </c>
      <c r="BK20" t="n">
        <v>-1357937186.543</v>
      </c>
      <c r="BL20" t="n">
        <v>-2041572387.123</v>
      </c>
      <c r="BM20" t="n">
        <v>-1578894583.58</v>
      </c>
      <c r="BN20" t="n">
        <v>-1535365384.466</v>
      </c>
      <c r="BO20" t="n">
        <v>-1557802040.942</v>
      </c>
      <c r="BP20" t="n">
        <v>-1369001517.995</v>
      </c>
      <c r="BQ20" t="n">
        <v>-1279340598.01</v>
      </c>
      <c r="BR20" t="n">
        <v>-1251250016.121</v>
      </c>
      <c r="BS20" t="n">
        <v>-1520023874.713</v>
      </c>
      <c r="BT20" t="n">
        <v>-1437276952.237</v>
      </c>
    </row>
    <row r="21">
      <c r="A21" s="12" t="inlineStr">
        <is>
          <t>sym_TE_asPP</t>
        </is>
      </c>
      <c r="B21" s="9" t="inlineStr">
        <is>
          <t>DIVERGED - negative SPPR in a source-model group</t>
        </is>
      </c>
      <c r="C21" t="n">
        <v>147002279.263</v>
      </c>
      <c r="D21" t="n">
        <v>156813946.536</v>
      </c>
      <c r="E21" t="n">
        <v>189121163.877</v>
      </c>
      <c r="F21" t="n">
        <v>165266210.926</v>
      </c>
      <c r="G21" t="n">
        <v>210057829.686</v>
      </c>
      <c r="H21" t="n">
        <v>224170578.933</v>
      </c>
      <c r="I21" t="n">
        <v>241887048.477</v>
      </c>
      <c r="J21" t="n">
        <v>244040826.571</v>
      </c>
      <c r="K21" t="n">
        <v>295043201.407</v>
      </c>
      <c r="L21" t="n">
        <v>406568684.614</v>
      </c>
      <c r="M21" t="n">
        <v>549583110.658</v>
      </c>
      <c r="N21" t="n">
        <v>632786404.397</v>
      </c>
      <c r="O21" t="n">
        <v>786502567.028</v>
      </c>
      <c r="P21" t="n">
        <v>1597500186.114</v>
      </c>
      <c r="Q21" t="n">
        <v>2199330152.981</v>
      </c>
      <c r="R21" t="n">
        <v>774176169.738</v>
      </c>
      <c r="S21" t="n">
        <v>994240970.432</v>
      </c>
      <c r="T21" t="n">
        <v>1207767431.735</v>
      </c>
      <c r="U21" t="n">
        <v>1196116445.458</v>
      </c>
      <c r="V21" t="n">
        <v>1004327725.931</v>
      </c>
      <c r="W21" t="n">
        <v>1413141726.546</v>
      </c>
      <c r="X21" t="n">
        <v>1220955656.434</v>
      </c>
      <c r="Y21" t="n">
        <v>807976952.112</v>
      </c>
      <c r="Z21" t="n">
        <v>1532422814.176</v>
      </c>
      <c r="AA21" t="n">
        <v>1425789596.881</v>
      </c>
      <c r="AB21" t="n">
        <v>1270829871.807</v>
      </c>
      <c r="AC21" t="n">
        <v>1399977120.878</v>
      </c>
      <c r="AD21" t="n">
        <v>2457439671.598</v>
      </c>
      <c r="AE21" t="n">
        <v>3633433153.567</v>
      </c>
      <c r="AF21" t="n">
        <v>1841682683.768</v>
      </c>
      <c r="AG21" t="n">
        <v>1848699600.737</v>
      </c>
      <c r="AH21" t="n">
        <v>2081423925.296</v>
      </c>
      <c r="AI21" t="n">
        <v>2223038880.165</v>
      </c>
      <c r="AJ21" t="n">
        <v>2208318331.208</v>
      </c>
      <c r="AK21" t="n">
        <v>2766841649.474</v>
      </c>
      <c r="AL21" t="n">
        <v>2395158092.838</v>
      </c>
      <c r="AM21" t="n">
        <v>2438633443.424</v>
      </c>
      <c r="AN21" t="n">
        <v>2568347972.909</v>
      </c>
      <c r="AO21" t="n">
        <v>3250494851.526</v>
      </c>
      <c r="AP21" t="n">
        <v>3796415965.269</v>
      </c>
      <c r="AQ21" t="n">
        <v>4222855522.242</v>
      </c>
      <c r="AR21" t="n">
        <v>3867897074.267</v>
      </c>
      <c r="AS21" t="n">
        <v>3391972594.251</v>
      </c>
      <c r="AT21" t="n">
        <v>3700743250.276</v>
      </c>
      <c r="AU21" t="n">
        <v>4315034445.929</v>
      </c>
      <c r="AV21" t="n">
        <v>4768295588.498</v>
      </c>
      <c r="AW21" t="n">
        <v>4699129170.898</v>
      </c>
      <c r="AX21" t="n">
        <v>4459936066.096</v>
      </c>
      <c r="AY21" t="n">
        <v>3694229901.354</v>
      </c>
      <c r="AZ21" t="n">
        <v>3535263489.297</v>
      </c>
      <c r="BA21" t="n">
        <v>2857630670.112</v>
      </c>
      <c r="BB21" t="n">
        <v>4237740969</v>
      </c>
      <c r="BC21" t="n">
        <v>2497141996.373</v>
      </c>
      <c r="BD21" t="n">
        <v>3646589805.935</v>
      </c>
      <c r="BE21" t="n">
        <v>4160045250.12</v>
      </c>
      <c r="BF21" t="n">
        <v>3722705957.744</v>
      </c>
      <c r="BG21" t="n">
        <v>3918106080.292</v>
      </c>
      <c r="BH21" t="n">
        <v>3462772049.183</v>
      </c>
      <c r="BI21" t="n">
        <v>3137341990.453</v>
      </c>
      <c r="BJ21" t="n">
        <v>2947272901.372</v>
      </c>
      <c r="BK21" t="n">
        <v>2154540865.141</v>
      </c>
      <c r="BL21" t="n">
        <v>2916029215.273</v>
      </c>
      <c r="BM21" t="n">
        <v>2932543973.211</v>
      </c>
      <c r="BN21" t="n">
        <v>3179253916.358</v>
      </c>
      <c r="BO21" t="n">
        <v>3514589932.717</v>
      </c>
      <c r="BP21" t="n">
        <v>3210154162.183</v>
      </c>
      <c r="BQ21" t="n">
        <v>2943721105.801</v>
      </c>
      <c r="BR21" t="n">
        <v>9883350527.391001</v>
      </c>
      <c r="BS21" t="n">
        <v>2721307945.876</v>
      </c>
      <c r="BT21" t="n">
        <v>3620482013.155</v>
      </c>
    </row>
    <row r="22">
      <c r="A22" s="12" t="inlineStr">
        <is>
          <t>sym_TE_asDC</t>
        </is>
      </c>
      <c r="B22" s="9" t="inlineStr">
        <is>
          <t>did not resolve for any mapped group</t>
        </is>
      </c>
    </row>
    <row r="23">
      <c r="A23" s="12" t="inlineStr">
        <is>
          <t>sym_GE_asPP</t>
        </is>
      </c>
      <c r="B23" s="9" t="inlineStr">
        <is>
          <t>DIVERGED - negative SPPR in a source-model group</t>
        </is>
      </c>
      <c r="C23" t="n">
        <v>-36282284.549</v>
      </c>
      <c r="D23" t="n">
        <v>-45079335.933</v>
      </c>
      <c r="E23" t="n">
        <v>-49776800.895</v>
      </c>
      <c r="F23" t="n">
        <v>-43678700.622</v>
      </c>
      <c r="G23" t="n">
        <v>-52346099.379</v>
      </c>
      <c r="H23" t="n">
        <v>-66832337.247</v>
      </c>
      <c r="I23" t="n">
        <v>-74534249.199</v>
      </c>
      <c r="J23" t="n">
        <v>-74999273.611</v>
      </c>
      <c r="K23" t="n">
        <v>-102447746.783</v>
      </c>
      <c r="L23" t="n">
        <v>-176086295.001</v>
      </c>
      <c r="M23" t="n">
        <v>-275419047.68</v>
      </c>
      <c r="N23" t="n">
        <v>-382707280.89</v>
      </c>
      <c r="O23" t="n">
        <v>-493021309.551</v>
      </c>
      <c r="P23" t="n">
        <v>-650614200.944</v>
      </c>
      <c r="Q23" t="n">
        <v>-890228245.37</v>
      </c>
      <c r="R23" t="n">
        <v>-518821250.544</v>
      </c>
      <c r="S23" t="n">
        <v>-657597500.357</v>
      </c>
      <c r="T23" t="n">
        <v>-747032623.8099999</v>
      </c>
      <c r="U23" t="n">
        <v>-769867152.892</v>
      </c>
      <c r="V23" t="n">
        <v>-664966797.664</v>
      </c>
      <c r="W23" t="n">
        <v>-948089479.303</v>
      </c>
      <c r="X23" t="n">
        <v>-807576121.4529999</v>
      </c>
      <c r="Y23" t="n">
        <v>-406959509.759</v>
      </c>
      <c r="Z23" t="n">
        <v>-361509738.783</v>
      </c>
      <c r="AA23" t="n">
        <v>-546955718.466</v>
      </c>
      <c r="AB23" t="n">
        <v>-448518756.791</v>
      </c>
      <c r="AC23" t="n">
        <v>-525480394.578</v>
      </c>
      <c r="AD23" t="n">
        <v>-689143908.776</v>
      </c>
      <c r="AE23" t="n">
        <v>-981038700.9859999</v>
      </c>
      <c r="AF23" t="n">
        <v>-641739856.567</v>
      </c>
      <c r="AG23" t="n">
        <v>-603501213.09</v>
      </c>
      <c r="AH23" t="n">
        <v>-700045042.329</v>
      </c>
      <c r="AI23" t="n">
        <v>-911828232.3200001</v>
      </c>
      <c r="AJ23" t="n">
        <v>-786459089.517</v>
      </c>
      <c r="AK23" t="n">
        <v>-953209618.648</v>
      </c>
      <c r="AL23" t="n">
        <v>-942333627.748</v>
      </c>
      <c r="AM23" t="n">
        <v>-1028413365.374</v>
      </c>
      <c r="AN23" t="n">
        <v>-1017584198.307</v>
      </c>
      <c r="AO23" t="n">
        <v>-1236077775.151</v>
      </c>
      <c r="AP23" t="n">
        <v>-1419059460.986</v>
      </c>
      <c r="AQ23" t="n">
        <v>-1445033004.227</v>
      </c>
      <c r="AR23" t="n">
        <v>-1430874718.494</v>
      </c>
      <c r="AS23" t="n">
        <v>-1370355991.331</v>
      </c>
      <c r="AT23" t="n">
        <v>-1419630806.152</v>
      </c>
      <c r="AU23" t="n">
        <v>-1785446262.125</v>
      </c>
      <c r="AV23" t="n">
        <v>-1678408742.742</v>
      </c>
      <c r="AW23" t="n">
        <v>-1652940006.193</v>
      </c>
      <c r="AX23" t="n">
        <v>-1453588351.453</v>
      </c>
      <c r="AY23" t="n">
        <v>-1000285529.566</v>
      </c>
      <c r="AZ23" t="n">
        <v>-1220443786.495</v>
      </c>
      <c r="BA23" t="n">
        <v>-1235140205.013</v>
      </c>
      <c r="BB23" t="n">
        <v>-1353078903.406</v>
      </c>
      <c r="BC23" t="n">
        <v>-1107324789.922</v>
      </c>
      <c r="BD23" t="n">
        <v>-1176653225.878</v>
      </c>
      <c r="BE23" t="n">
        <v>-1530089108.799</v>
      </c>
      <c r="BF23" t="n">
        <v>-1436827972.013</v>
      </c>
      <c r="BG23" t="n">
        <v>-1333059918.787</v>
      </c>
      <c r="BH23" t="n">
        <v>-1223386888.398</v>
      </c>
      <c r="BI23" t="n">
        <v>-1191259420.288</v>
      </c>
      <c r="BJ23" t="n">
        <v>-1095912072.631</v>
      </c>
      <c r="BK23" t="n">
        <v>-788126580.751</v>
      </c>
      <c r="BL23" t="n">
        <v>-1172212744.221</v>
      </c>
      <c r="BM23" t="n">
        <v>-941858076.138</v>
      </c>
      <c r="BN23" t="n">
        <v>-901397940.967</v>
      </c>
      <c r="BO23" t="n">
        <v>-949306304.766</v>
      </c>
      <c r="BP23" t="n">
        <v>-841222202.368</v>
      </c>
      <c r="BQ23" t="n">
        <v>-784858116.771</v>
      </c>
      <c r="BR23" t="n">
        <v>-764046980.564</v>
      </c>
      <c r="BS23" t="n">
        <v>-906209024.171</v>
      </c>
      <c r="BT23" t="n">
        <v>-868851056.0650001</v>
      </c>
    </row>
    <row r="24">
      <c r="A24" s="12" t="inlineStr">
        <is>
          <t>sym_GE_asDC</t>
        </is>
      </c>
      <c r="B24" s="9" t="inlineStr">
        <is>
          <t>did not resolve for any mapped group</t>
        </is>
      </c>
    </row>
    <row r="25">
      <c r="A25" t="inlineStr">
        <is>
          <t>sym_WithEgestion_asPP</t>
        </is>
      </c>
      <c r="B25" t="inlineStr">
        <is>
          <t>ok</t>
        </is>
      </c>
      <c r="C25" t="n">
        <v>40298284.282</v>
      </c>
      <c r="D25" t="n">
        <v>49368886.595</v>
      </c>
      <c r="E25" t="n">
        <v>54538925.879</v>
      </c>
      <c r="F25" t="n">
        <v>48790560.469</v>
      </c>
      <c r="G25" t="n">
        <v>57979214.9</v>
      </c>
      <c r="H25" t="n">
        <v>72812864.73800001</v>
      </c>
      <c r="I25" t="n">
        <v>81619767.358</v>
      </c>
      <c r="J25" t="n">
        <v>86086969.55</v>
      </c>
      <c r="K25" t="n">
        <v>120472686.739</v>
      </c>
      <c r="L25" t="n">
        <v>213256255.642</v>
      </c>
      <c r="M25" t="n">
        <v>338640727.248</v>
      </c>
      <c r="N25" t="n">
        <v>476507284.308</v>
      </c>
      <c r="O25" t="n">
        <v>621336942.749</v>
      </c>
      <c r="P25" t="n">
        <v>824350945.735</v>
      </c>
      <c r="Q25" t="n">
        <v>1135454573.653</v>
      </c>
      <c r="R25" t="n">
        <v>654731145.518</v>
      </c>
      <c r="S25" t="n">
        <v>831788014.924</v>
      </c>
      <c r="T25" t="n">
        <v>943505777.117</v>
      </c>
      <c r="U25" t="n">
        <v>977457510.749</v>
      </c>
      <c r="V25" t="n">
        <v>841541923.312</v>
      </c>
      <c r="W25" t="n">
        <v>1208060843.173</v>
      </c>
      <c r="X25" t="n">
        <v>1012709559.166</v>
      </c>
      <c r="Y25" t="n">
        <v>495351406.512</v>
      </c>
      <c r="Z25" t="n">
        <v>411433327.886</v>
      </c>
      <c r="AA25" t="n">
        <v>637789236.895</v>
      </c>
      <c r="AB25" t="n">
        <v>519316330.922</v>
      </c>
      <c r="AC25" t="n">
        <v>616694912.414</v>
      </c>
      <c r="AD25" t="n">
        <v>740245432.188</v>
      </c>
      <c r="AE25" t="n">
        <v>1040036893.096</v>
      </c>
      <c r="AF25" t="n">
        <v>726210914.526</v>
      </c>
      <c r="AG25" t="n">
        <v>672231467.5549999</v>
      </c>
      <c r="AH25" t="n">
        <v>768572390.829</v>
      </c>
      <c r="AI25" t="n">
        <v>1018022543.097</v>
      </c>
      <c r="AJ25" t="n">
        <v>842006602.199</v>
      </c>
      <c r="AK25" t="n">
        <v>1044172484.842</v>
      </c>
      <c r="AL25" t="n">
        <v>1054411093.145</v>
      </c>
      <c r="AM25" t="n">
        <v>1180255704.627</v>
      </c>
      <c r="AN25" t="n">
        <v>1131011654.116</v>
      </c>
      <c r="AO25" t="n">
        <v>1356990369.292</v>
      </c>
      <c r="AP25" t="n">
        <v>1559909555.921</v>
      </c>
      <c r="AQ25" t="n">
        <v>1561466700.935</v>
      </c>
      <c r="AR25" t="n">
        <v>1547264411.872</v>
      </c>
      <c r="AS25" t="n">
        <v>1507540581.783</v>
      </c>
      <c r="AT25" t="n">
        <v>1563337081.245</v>
      </c>
      <c r="AU25" t="n">
        <v>1978650538.524</v>
      </c>
      <c r="AV25" t="n">
        <v>1800565098.035</v>
      </c>
      <c r="AW25" t="n">
        <v>1787460346.146</v>
      </c>
      <c r="AX25" t="n">
        <v>1564095495.267</v>
      </c>
      <c r="AY25" t="n">
        <v>1088086105.166</v>
      </c>
      <c r="AZ25" t="n">
        <v>1409784273.555</v>
      </c>
      <c r="BA25" t="n">
        <v>1435285762.263</v>
      </c>
      <c r="BB25" t="n">
        <v>1468927394.227</v>
      </c>
      <c r="BC25" t="n">
        <v>1261544454.277</v>
      </c>
      <c r="BD25" t="n">
        <v>1274936714.801</v>
      </c>
      <c r="BE25" t="n">
        <v>1699566215.27</v>
      </c>
      <c r="BF25" t="n">
        <v>1595508319.628</v>
      </c>
      <c r="BG25" t="n">
        <v>1429497526.141</v>
      </c>
      <c r="BH25" t="n">
        <v>1334167728.87</v>
      </c>
      <c r="BI25" t="n">
        <v>1302111777.59</v>
      </c>
      <c r="BJ25" t="n">
        <v>1214101140.86</v>
      </c>
      <c r="BK25" t="n">
        <v>861855981.2920001</v>
      </c>
      <c r="BL25" t="n">
        <v>1315347082.458</v>
      </c>
      <c r="BM25" t="n">
        <v>1007288505.037</v>
      </c>
      <c r="BN25" t="n">
        <v>977459665.212</v>
      </c>
      <c r="BO25" t="n">
        <v>985772810.131</v>
      </c>
      <c r="BP25" t="n">
        <v>880165104.114</v>
      </c>
      <c r="BQ25" t="n">
        <v>816787717.488</v>
      </c>
      <c r="BR25" t="n">
        <v>805328110.141</v>
      </c>
      <c r="BS25" t="n">
        <v>985025565.5650001</v>
      </c>
      <c r="BT25" t="n">
        <v>916152965.9960001</v>
      </c>
    </row>
    <row r="26">
      <c r="A26" t="inlineStr">
        <is>
          <t>sym_WithEgestion_asDC</t>
        </is>
      </c>
      <c r="B26" t="inlineStr">
        <is>
          <t>ok</t>
        </is>
      </c>
      <c r="C26" t="n">
        <v>41711772.654</v>
      </c>
      <c r="D26" t="n">
        <v>51080460.466</v>
      </c>
      <c r="E26" t="n">
        <v>56436786.482</v>
      </c>
      <c r="F26" t="n">
        <v>50499230.495</v>
      </c>
      <c r="G26" t="n">
        <v>60004063.868</v>
      </c>
      <c r="H26" t="n">
        <v>75323779.598</v>
      </c>
      <c r="I26" t="n">
        <v>84436243.50399999</v>
      </c>
      <c r="J26" t="n">
        <v>89084978.596</v>
      </c>
      <c r="K26" t="n">
        <v>124627333.948</v>
      </c>
      <c r="L26" t="n">
        <v>220517906.693</v>
      </c>
      <c r="M26" t="n">
        <v>350126206.901</v>
      </c>
      <c r="N26" t="n">
        <v>492595541.422</v>
      </c>
      <c r="O26" t="n">
        <v>642388054.173</v>
      </c>
      <c r="P26" t="n">
        <v>853214777.37</v>
      </c>
      <c r="Q26" t="n">
        <v>1175299390.626</v>
      </c>
      <c r="R26" t="n">
        <v>676775885.567</v>
      </c>
      <c r="S26" t="n">
        <v>859842360.6289999</v>
      </c>
      <c r="T26" t="n">
        <v>975386756.976</v>
      </c>
      <c r="U26" t="n">
        <v>1010451946.164</v>
      </c>
      <c r="V26" t="n">
        <v>869918552.943</v>
      </c>
      <c r="W26" t="n">
        <v>1249121603.11</v>
      </c>
      <c r="X26" t="n">
        <v>1046852734.896</v>
      </c>
      <c r="Y26" t="n">
        <v>512169549.161</v>
      </c>
      <c r="Z26" t="n">
        <v>426033323.03</v>
      </c>
      <c r="AA26" t="n">
        <v>659896302.842</v>
      </c>
      <c r="AB26" t="n">
        <v>537281595.627</v>
      </c>
      <c r="AC26" t="n">
        <v>637858435.552</v>
      </c>
      <c r="AD26" t="n">
        <v>765851950.571</v>
      </c>
      <c r="AE26" t="n">
        <v>1075881795.609</v>
      </c>
      <c r="AF26" t="n">
        <v>751173687.4529999</v>
      </c>
      <c r="AG26" t="n">
        <v>695415188.6720001</v>
      </c>
      <c r="AH26" t="n">
        <v>795002173.95</v>
      </c>
      <c r="AI26" t="n">
        <v>1052818426.881</v>
      </c>
      <c r="AJ26" t="n">
        <v>871000900.274</v>
      </c>
      <c r="AK26" t="n">
        <v>1080049869.148</v>
      </c>
      <c r="AL26" t="n">
        <v>1090580777.935</v>
      </c>
      <c r="AM26" t="n">
        <v>1220673630.014</v>
      </c>
      <c r="AN26" t="n">
        <v>1169754665.313</v>
      </c>
      <c r="AO26" t="n">
        <v>1403400193.74</v>
      </c>
      <c r="AP26" t="n">
        <v>1613382917.816</v>
      </c>
      <c r="AQ26" t="n">
        <v>1615015174.931</v>
      </c>
      <c r="AR26" t="n">
        <v>1600166436.187</v>
      </c>
      <c r="AS26" t="n">
        <v>1559044228.121</v>
      </c>
      <c r="AT26" t="n">
        <v>1616722417.758</v>
      </c>
      <c r="AU26" t="n">
        <v>2045993918.652</v>
      </c>
      <c r="AV26" t="n">
        <v>1862174787.734</v>
      </c>
      <c r="AW26" t="n">
        <v>1848546116.393</v>
      </c>
      <c r="AX26" t="n">
        <v>1617545222.754</v>
      </c>
      <c r="AY26" t="n">
        <v>1126009212.398</v>
      </c>
      <c r="AZ26" t="n">
        <v>1458083385.989</v>
      </c>
      <c r="BA26" t="n">
        <v>1484203965.089</v>
      </c>
      <c r="BB26" t="n">
        <v>1519206826.787</v>
      </c>
      <c r="BC26" t="n">
        <v>1304539386.702</v>
      </c>
      <c r="BD26" t="n">
        <v>1318496410.817</v>
      </c>
      <c r="BE26" t="n">
        <v>1757399882.733</v>
      </c>
      <c r="BF26" t="n">
        <v>1649962249.121</v>
      </c>
      <c r="BG26" t="n">
        <v>1478376926.986</v>
      </c>
      <c r="BH26" t="n">
        <v>1379889486.252</v>
      </c>
      <c r="BI26" t="n">
        <v>1346728408.365</v>
      </c>
      <c r="BJ26" t="n">
        <v>1255746158.168</v>
      </c>
      <c r="BK26" t="n">
        <v>891641652.482</v>
      </c>
      <c r="BL26" t="n">
        <v>1360390857.958</v>
      </c>
      <c r="BM26" t="n">
        <v>1041990470.756</v>
      </c>
      <c r="BN26" t="n">
        <v>1011177275.702</v>
      </c>
      <c r="BO26" t="n">
        <v>1019903105.43</v>
      </c>
      <c r="BP26" t="n">
        <v>910344936.1720001</v>
      </c>
      <c r="BQ26" t="n">
        <v>844914041.813</v>
      </c>
      <c r="BR26" t="n">
        <v>832923705.0880001</v>
      </c>
      <c r="BS26" t="n">
        <v>1018638802.118</v>
      </c>
      <c r="BT26" t="n">
        <v>947731817.425</v>
      </c>
    </row>
    <row r="27">
      <c r="A27" t="inlineStr">
        <is>
          <t>MC_new_GE</t>
        </is>
      </c>
      <c r="B27" t="inlineStr">
        <is>
          <t>ok</t>
        </is>
      </c>
      <c r="C27" t="n">
        <v>775778393.936</v>
      </c>
      <c r="D27" t="n">
        <v>969965853.825</v>
      </c>
      <c r="E27" t="n">
        <v>1067068813.917</v>
      </c>
      <c r="F27" t="n">
        <v>931842062.607</v>
      </c>
      <c r="G27" t="n">
        <v>1118566511.864</v>
      </c>
      <c r="H27" t="n">
        <v>1440433979.964</v>
      </c>
      <c r="I27" t="n">
        <v>1604301274.618</v>
      </c>
      <c r="J27" t="n">
        <v>1613844753.838</v>
      </c>
      <c r="K27" t="n">
        <v>2244790793.287</v>
      </c>
      <c r="L27" t="n">
        <v>3931972961.728</v>
      </c>
      <c r="M27" t="n">
        <v>6189679813.453</v>
      </c>
      <c r="N27" t="n">
        <v>8670972495.737</v>
      </c>
      <c r="O27" t="n">
        <v>11155880107.103</v>
      </c>
      <c r="P27" t="n">
        <v>14253948893.949</v>
      </c>
      <c r="Q27" t="n">
        <v>19487932842.939</v>
      </c>
      <c r="R27" t="n">
        <v>11821459429.788</v>
      </c>
      <c r="S27" t="n">
        <v>14967359082.854</v>
      </c>
      <c r="T27" t="n">
        <v>16953300417.648</v>
      </c>
      <c r="U27" t="n">
        <v>17507000970.107</v>
      </c>
      <c r="V27" t="n">
        <v>15127881377.165</v>
      </c>
      <c r="W27" t="n">
        <v>21434773968.104</v>
      </c>
      <c r="X27" t="n">
        <v>18316681618.456</v>
      </c>
      <c r="Y27" t="n">
        <v>9100411284.524</v>
      </c>
      <c r="Z27" t="n">
        <v>7583345296.161</v>
      </c>
      <c r="AA27" t="n">
        <v>11870767686.08</v>
      </c>
      <c r="AB27" t="n">
        <v>9656001145.798</v>
      </c>
      <c r="AC27" t="n">
        <v>11425287345.761</v>
      </c>
      <c r="AD27" t="n">
        <v>14480624013.409</v>
      </c>
      <c r="AE27" t="n">
        <v>20594955413.171</v>
      </c>
      <c r="AF27" t="n">
        <v>13662095171.333</v>
      </c>
      <c r="AG27" t="n">
        <v>12738898466.209</v>
      </c>
      <c r="AH27" t="n">
        <v>14830234842.336</v>
      </c>
      <c r="AI27" t="n">
        <v>19457831811.06</v>
      </c>
      <c r="AJ27" t="n">
        <v>16520263867.897</v>
      </c>
      <c r="AK27" t="n">
        <v>20141472305.692</v>
      </c>
      <c r="AL27" t="n">
        <v>20047204034.484</v>
      </c>
      <c r="AM27" t="n">
        <v>22149907224.227</v>
      </c>
      <c r="AN27" t="n">
        <v>21691785000.95</v>
      </c>
      <c r="AO27" t="n">
        <v>26334004416.568</v>
      </c>
      <c r="AP27" t="n">
        <v>30239212191.113</v>
      </c>
      <c r="AQ27" t="n">
        <v>30649324739.569</v>
      </c>
      <c r="AR27" t="n">
        <v>30472028590.967</v>
      </c>
      <c r="AS27" t="n">
        <v>29420370775.58</v>
      </c>
      <c r="AT27" t="n">
        <v>30626534328.074</v>
      </c>
      <c r="AU27" t="n">
        <v>38704049560.028</v>
      </c>
      <c r="AV27" t="n">
        <v>35887698804.036</v>
      </c>
      <c r="AW27" t="n">
        <v>35383262265.025</v>
      </c>
      <c r="AX27" t="n">
        <v>31105999003.305</v>
      </c>
      <c r="AY27" t="n">
        <v>21198777178.393</v>
      </c>
      <c r="AZ27" t="n">
        <v>26554289235.592</v>
      </c>
      <c r="BA27" t="n">
        <v>27112136462.544</v>
      </c>
      <c r="BB27" t="n">
        <v>29102515659.653</v>
      </c>
      <c r="BC27" t="n">
        <v>24281165577.679</v>
      </c>
      <c r="BD27" t="n">
        <v>25460991757.45</v>
      </c>
      <c r="BE27" t="n">
        <v>33487062428.306</v>
      </c>
      <c r="BF27" t="n">
        <v>31442894460.537</v>
      </c>
      <c r="BG27" t="n">
        <v>28981928130.909</v>
      </c>
      <c r="BH27" t="n">
        <v>26526840569.68</v>
      </c>
      <c r="BI27" t="n">
        <v>25929789647.022</v>
      </c>
      <c r="BJ27" t="n">
        <v>23883256727.306</v>
      </c>
      <c r="BK27" t="n">
        <v>17027980780.005</v>
      </c>
      <c r="BL27" t="n">
        <v>25752315938.168</v>
      </c>
      <c r="BM27" t="n">
        <v>20389693775.876</v>
      </c>
      <c r="BN27" t="n">
        <v>19558308652.303</v>
      </c>
      <c r="BO27" t="n">
        <v>20378126970.408</v>
      </c>
      <c r="BP27" t="n">
        <v>18375265142.333</v>
      </c>
      <c r="BQ27" t="n">
        <v>16901801988.306</v>
      </c>
      <c r="BR27" t="n">
        <v>16634021201.804</v>
      </c>
      <c r="BS27" t="n">
        <v>19885845390.036</v>
      </c>
      <c r="BT27" t="n">
        <v>18798158880.764</v>
      </c>
    </row>
    <row r="28">
      <c r="A28" t="inlineStr">
        <is>
          <t>MC_new_TE_EEfix</t>
        </is>
      </c>
      <c r="B28" t="inlineStr">
        <is>
          <t>ok</t>
        </is>
      </c>
      <c r="C28" t="n">
        <v>174397748.905</v>
      </c>
      <c r="D28" t="n">
        <v>186401549.145</v>
      </c>
      <c r="E28" t="n">
        <v>224370132.865</v>
      </c>
      <c r="F28" t="n">
        <v>196084090.298</v>
      </c>
      <c r="G28" t="n">
        <v>249088986.479</v>
      </c>
      <c r="H28" t="n">
        <v>266345291.671</v>
      </c>
      <c r="I28" t="n">
        <v>287401250.907</v>
      </c>
      <c r="J28" t="n">
        <v>288234723.999</v>
      </c>
      <c r="K28" t="n">
        <v>347422166.715</v>
      </c>
      <c r="L28" t="n">
        <v>476516309.953</v>
      </c>
      <c r="M28" t="n">
        <v>641164997.163</v>
      </c>
      <c r="N28" t="n">
        <v>734576710.062</v>
      </c>
      <c r="O28" t="n">
        <v>910590041.592</v>
      </c>
      <c r="P28" t="n">
        <v>1871063965.56</v>
      </c>
      <c r="Q28" t="n">
        <v>2575005902.693</v>
      </c>
      <c r="R28" t="n">
        <v>893662150.365</v>
      </c>
      <c r="S28" t="n">
        <v>1146891776.255</v>
      </c>
      <c r="T28" t="n">
        <v>1394310865.222</v>
      </c>
      <c r="U28" t="n">
        <v>1377918745.535</v>
      </c>
      <c r="V28" t="n">
        <v>1156962994.325</v>
      </c>
      <c r="W28" t="n">
        <v>1625137199.834</v>
      </c>
      <c r="X28" t="n">
        <v>1402999539.329</v>
      </c>
      <c r="Y28" t="n">
        <v>939052627.535</v>
      </c>
      <c r="Z28" t="n">
        <v>1792237732.004</v>
      </c>
      <c r="AA28" t="n">
        <v>1650609952.039</v>
      </c>
      <c r="AB28" t="n">
        <v>1471776066.596</v>
      </c>
      <c r="AC28" t="n">
        <v>1613092415.184</v>
      </c>
      <c r="AD28" t="n">
        <v>2827585481.067</v>
      </c>
      <c r="AE28" t="n">
        <v>4185047941.749</v>
      </c>
      <c r="AF28" t="n">
        <v>2118879278.607</v>
      </c>
      <c r="AG28" t="n">
        <v>2134210556.409</v>
      </c>
      <c r="AH28" t="n">
        <v>2394979576.372</v>
      </c>
      <c r="AI28" t="n">
        <v>2553035573.52</v>
      </c>
      <c r="AJ28" t="n">
        <v>2538823576.272</v>
      </c>
      <c r="AK28" t="n">
        <v>3182528669.191</v>
      </c>
      <c r="AL28" t="n">
        <v>2753921274.549</v>
      </c>
      <c r="AM28" t="n">
        <v>2806928986.93</v>
      </c>
      <c r="AN28" t="n">
        <v>2952159727.528</v>
      </c>
      <c r="AO28" t="n">
        <v>3739258215.791</v>
      </c>
      <c r="AP28" t="n">
        <v>4366311536.925</v>
      </c>
      <c r="AQ28" t="n">
        <v>4852429951.593</v>
      </c>
      <c r="AR28" t="n">
        <v>4444457302.133</v>
      </c>
      <c r="AS28" t="n">
        <v>3907547206.191</v>
      </c>
      <c r="AT28" t="n">
        <v>4272850699.202</v>
      </c>
      <c r="AU28" t="n">
        <v>4974640689.811</v>
      </c>
      <c r="AV28" t="n">
        <v>5491275895.791</v>
      </c>
      <c r="AW28" t="n">
        <v>5403006975.376</v>
      </c>
      <c r="AX28" t="n">
        <v>5122358490.868</v>
      </c>
      <c r="AY28" t="n">
        <v>4265747289.431</v>
      </c>
      <c r="AZ28" t="n">
        <v>4062864595.952</v>
      </c>
      <c r="BA28" t="n">
        <v>3302667330.109</v>
      </c>
      <c r="BB28" t="n">
        <v>4888547055.092</v>
      </c>
      <c r="BC28" t="n">
        <v>2904024891.157</v>
      </c>
      <c r="BD28" t="n">
        <v>4224581180.885</v>
      </c>
      <c r="BE28" t="n">
        <v>4831210543.497</v>
      </c>
      <c r="BF28" t="n">
        <v>4359600552.594</v>
      </c>
      <c r="BG28" t="n">
        <v>4587450264.421</v>
      </c>
      <c r="BH28" t="n">
        <v>4047430216.056</v>
      </c>
      <c r="BI28" t="n">
        <v>3701991979.025</v>
      </c>
      <c r="BJ28" t="n">
        <v>3463607804.027</v>
      </c>
      <c r="BK28" t="n">
        <v>2559081332.211</v>
      </c>
      <c r="BL28" t="n">
        <v>3446476209.998</v>
      </c>
      <c r="BM28" t="n">
        <v>3474420297.877</v>
      </c>
      <c r="BN28" t="n">
        <v>3758510081.61</v>
      </c>
      <c r="BO28" t="n">
        <v>4156708323.679</v>
      </c>
      <c r="BP28" t="n">
        <v>3819338390.071</v>
      </c>
      <c r="BQ28" t="n">
        <v>3479127356.79</v>
      </c>
      <c r="BR28" t="n">
        <v>11456554997.075</v>
      </c>
      <c r="BS28" t="n">
        <v>3218160657.179</v>
      </c>
      <c r="BT28" t="n">
        <v>4267300925.912</v>
      </c>
    </row>
    <row r="30">
      <c r="A30" t="inlineStr">
        <is>
          <t>Catch tonnage on a named group: 665,696,783 of 677,999,683 (98.2 %). Unresolved taxa contribute nothing to the model rows and everything to the simple row, so the two are not directly comparable until coverage is 100 %.</t>
        </is>
      </c>
    </row>
    <row r="31">
      <c r="A31" s="12" t="inlineStr">
        <is>
          <t>7 of 20 methods are flagged above. A flagged row is a property of this model under that method, not of the mapping; see model_health in the SPPR workbook.</t>
        </is>
      </c>
    </row>
    <row r="32">
      <c r="A32" t="inlineStr">
        <is>
          <t>Coverage by year, %:</t>
        </is>
      </c>
    </row>
    <row r="33">
      <c r="A33" t="inlineStr">
        <is>
          <t>catch on a named group, %</t>
        </is>
      </c>
      <c r="B33" t="inlineStr"/>
      <c r="C33" t="n">
        <v>75.43000000000001</v>
      </c>
      <c r="D33" t="n">
        <v>76.05</v>
      </c>
      <c r="E33" t="n">
        <v>71.64</v>
      </c>
      <c r="F33" t="n">
        <v>73.04000000000001</v>
      </c>
      <c r="G33" t="n">
        <v>76.53</v>
      </c>
      <c r="H33" t="n">
        <v>72.8</v>
      </c>
      <c r="I33" t="n">
        <v>78.78</v>
      </c>
      <c r="J33" t="n">
        <v>85.31999999999999</v>
      </c>
      <c r="K33" t="n">
        <v>91.64</v>
      </c>
      <c r="L33" t="n">
        <v>96.43000000000001</v>
      </c>
      <c r="M33" t="n">
        <v>97.8</v>
      </c>
      <c r="N33" t="n">
        <v>98.67</v>
      </c>
      <c r="O33" t="n">
        <v>98.86</v>
      </c>
      <c r="P33" t="n">
        <v>98.75</v>
      </c>
      <c r="Q33" t="n">
        <v>99.25</v>
      </c>
      <c r="R33" t="n">
        <v>98.70999999999999</v>
      </c>
      <c r="S33" t="n">
        <v>99.05</v>
      </c>
      <c r="T33" t="n">
        <v>99.3</v>
      </c>
      <c r="U33" t="n">
        <v>98.98999999999999</v>
      </c>
      <c r="V33" t="n">
        <v>99.2</v>
      </c>
      <c r="W33" t="n">
        <v>99.20999999999999</v>
      </c>
      <c r="X33" t="n">
        <v>99.37</v>
      </c>
      <c r="Y33" t="n">
        <v>98.17</v>
      </c>
      <c r="Z33" t="n">
        <v>96.62</v>
      </c>
      <c r="AA33" t="n">
        <v>99.05</v>
      </c>
      <c r="AB33" t="n">
        <v>98.48</v>
      </c>
      <c r="AC33" t="n">
        <v>98.84</v>
      </c>
      <c r="AD33" t="n">
        <v>97.95999999999999</v>
      </c>
      <c r="AE33" t="n">
        <v>98.42</v>
      </c>
      <c r="AF33" t="n">
        <v>99.12</v>
      </c>
      <c r="AG33" t="n">
        <v>97.84999999999999</v>
      </c>
      <c r="AH33" t="n">
        <v>97.7</v>
      </c>
      <c r="AI33" t="n">
        <v>98.2</v>
      </c>
      <c r="AJ33" t="n">
        <v>97.72</v>
      </c>
      <c r="AK33" t="n">
        <v>98.34</v>
      </c>
      <c r="AL33" t="n">
        <v>99.08</v>
      </c>
      <c r="AM33" t="n">
        <v>98.45</v>
      </c>
      <c r="AN33" t="n">
        <v>97.48999999999999</v>
      </c>
      <c r="AO33" t="n">
        <v>96.78</v>
      </c>
      <c r="AP33" t="n">
        <v>97.13</v>
      </c>
      <c r="AQ33" t="n">
        <v>97.36</v>
      </c>
      <c r="AR33" t="n">
        <v>97.59</v>
      </c>
      <c r="AS33" t="n">
        <v>97.37</v>
      </c>
      <c r="AT33" t="n">
        <v>98.54000000000001</v>
      </c>
      <c r="AU33" t="n">
        <v>98.83</v>
      </c>
      <c r="AV33" t="n">
        <v>97.75</v>
      </c>
      <c r="AW33" t="n">
        <v>96.94</v>
      </c>
      <c r="AX33" t="n">
        <v>98.36</v>
      </c>
      <c r="AY33" t="n">
        <v>93.91</v>
      </c>
      <c r="AZ33" t="n">
        <v>96.94</v>
      </c>
      <c r="BA33" t="n">
        <v>98.76000000000001</v>
      </c>
      <c r="BB33" t="n">
        <v>97.33</v>
      </c>
      <c r="BC33" t="n">
        <v>99.48999999999999</v>
      </c>
      <c r="BD33" t="n">
        <v>97.73</v>
      </c>
      <c r="BE33" t="n">
        <v>98.70999999999999</v>
      </c>
      <c r="BF33" t="n">
        <v>98.66</v>
      </c>
      <c r="BG33" t="n">
        <v>98.45999999999999</v>
      </c>
      <c r="BH33" t="n">
        <v>98.53</v>
      </c>
      <c r="BI33" t="n">
        <v>98.51000000000001</v>
      </c>
      <c r="BJ33" t="n">
        <v>98.31</v>
      </c>
      <c r="BK33" t="n">
        <v>97.63</v>
      </c>
      <c r="BL33" t="n">
        <v>98.8</v>
      </c>
      <c r="BM33" t="n">
        <v>98.33</v>
      </c>
      <c r="BN33" t="n">
        <v>98.81999999999999</v>
      </c>
      <c r="BO33" t="n">
        <v>97.76000000000001</v>
      </c>
      <c r="BP33" t="n">
        <v>98.56999999999999</v>
      </c>
      <c r="BQ33" t="n">
        <v>98.38</v>
      </c>
      <c r="BR33" t="n">
        <v>98.77</v>
      </c>
      <c r="BS33" t="n">
        <v>99.14</v>
      </c>
      <c r="BT33" t="n">
        <v>98.54000000000001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22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40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</cols>
  <sheetData>
    <row r="1">
      <c r="A1" s="1" t="inlineStr">
        <is>
          <t>Specific PPR per taxon — LME_013, model 13_2_Northern_Humboldt_Current_(1995-1998)</t>
        </is>
      </c>
    </row>
    <row r="2">
      <c r="A2" t="inlineStr">
        <is>
          <t>sppr_simple is the trophic-chain estimate (1/TE)^(TL-1) at TE=0.1, applied to the taxon's own trophic level and needing no model.</t>
        </is>
      </c>
    </row>
    <row r="3">
      <c r="A3" t="inlineStr">
        <is>
          <t>Primary producers only; excludes detritus and imports. Blank means unavailable, not zero. sppr_simple is an unpartitioned reference.</t>
        </is>
      </c>
    </row>
    <row r="4" ht="42" customHeight="1">
      <c r="A4" s="13" t="inlineStr">
        <is>
          <t>taxon</t>
        </is>
      </c>
      <c r="B4" s="13" t="inlineStr">
        <is>
          <t>trophic_level</t>
        </is>
      </c>
      <c r="C4" s="13" t="inlineStr">
        <is>
          <t>sppr_simple</t>
        </is>
      </c>
      <c r="D4" s="13" t="inlineStr">
        <is>
          <t>Ecopath group</t>
        </is>
      </c>
      <c r="E4" s="13" t="inlineStr">
        <is>
          <t>SPPR_1986</t>
        </is>
      </c>
      <c r="F4" s="13" t="inlineStr">
        <is>
          <t>SPPR_1995_TE0.1</t>
        </is>
      </c>
      <c r="G4" s="13" t="inlineStr">
        <is>
          <t>SPPR_1995_TEmean</t>
        </is>
      </c>
      <c r="H4" s="13" t="inlineStr">
        <is>
          <t>Ulanowicz_globalTEmean</t>
        </is>
      </c>
      <c r="I4" s="13" t="inlineStr">
        <is>
          <t>Ulanowicz_TE</t>
        </is>
      </c>
      <c r="J4" s="13" t="inlineStr">
        <is>
          <t>EwE_TE_noEE</t>
        </is>
      </c>
      <c r="K4" s="13" t="inlineStr">
        <is>
          <t>EwE_TE_EE</t>
        </is>
      </c>
      <c r="L4" s="13" t="inlineStr">
        <is>
          <t>SPPR_2015</t>
        </is>
      </c>
      <c r="M4" s="13" t="inlineStr">
        <is>
          <t>new_TE_noEEfix</t>
        </is>
      </c>
      <c r="N4" s="13" t="inlineStr">
        <is>
          <t>new_TE_EEfix</t>
        </is>
      </c>
      <c r="O4" s="13" t="inlineStr">
        <is>
          <t>new_GE</t>
        </is>
      </c>
      <c r="P4" s="13" t="inlineStr">
        <is>
          <t>new_WithEgestion</t>
        </is>
      </c>
      <c r="Q4" s="13" t="inlineStr">
        <is>
          <t>sym_TE_asPP</t>
        </is>
      </c>
      <c r="R4" s="13" t="inlineStr">
        <is>
          <t>sym_TE_asDC</t>
        </is>
      </c>
      <c r="S4" s="13" t="inlineStr">
        <is>
          <t>sym_GE_asPP</t>
        </is>
      </c>
      <c r="T4" s="13" t="inlineStr">
        <is>
          <t>sym_GE_asDC</t>
        </is>
      </c>
      <c r="U4" s="13" t="inlineStr">
        <is>
          <t>sym_WithEgestion_asPP</t>
        </is>
      </c>
      <c r="V4" s="13" t="inlineStr">
        <is>
          <t>sym_WithEgestion_asDC</t>
        </is>
      </c>
      <c r="W4" s="13" t="inlineStr">
        <is>
          <t>MC_new_GE</t>
        </is>
      </c>
      <c r="X4" s="13" t="inlineStr">
        <is>
          <t>MC_new_TE_EEfix</t>
        </is>
      </c>
    </row>
    <row r="5" ht="21" customHeight="1">
      <c r="A5" t="inlineStr">
        <is>
          <t>Engraulis ringens</t>
        </is>
      </c>
      <c r="B5" t="n">
        <v>2.7</v>
      </c>
      <c r="C5" t="n">
        <v>50.118723</v>
      </c>
      <c r="D5" s="10" t="inlineStr">
        <is>
          <t>Anchovy</t>
        </is>
      </c>
      <c r="H5" t="n">
        <v>114.151186</v>
      </c>
      <c r="I5" t="n">
        <v>25.596669</v>
      </c>
      <c r="J5" t="n">
        <v>25.596669</v>
      </c>
      <c r="K5" t="n">
        <v>20.857379</v>
      </c>
      <c r="L5" t="n">
        <v>43.673175</v>
      </c>
      <c r="M5" t="n">
        <v>43.673175</v>
      </c>
      <c r="N5" t="n">
        <v>43.673175</v>
      </c>
      <c r="O5" t="n">
        <v>30.757067</v>
      </c>
      <c r="P5" t="n">
        <v>11.268314</v>
      </c>
      <c r="Q5" t="n">
        <v>43.673175</v>
      </c>
      <c r="S5" t="n">
        <v>30.757067</v>
      </c>
      <c r="U5" t="n">
        <v>11.268314</v>
      </c>
      <c r="V5" t="n">
        <v>11.268314</v>
      </c>
      <c r="W5" t="n">
        <v>23.332691</v>
      </c>
      <c r="X5" t="n">
        <v>49.223524</v>
      </c>
    </row>
    <row r="6" ht="21" customHeight="1">
      <c r="A6" t="inlineStr">
        <is>
          <t>Sardinops sagax</t>
        </is>
      </c>
      <c r="B6" t="n">
        <v>2.84</v>
      </c>
      <c r="C6" t="n">
        <v>69.183097</v>
      </c>
      <c r="D6" s="10" t="inlineStr">
        <is>
          <t>Sardine</t>
        </is>
      </c>
      <c r="H6" t="n">
        <v>125.946512</v>
      </c>
      <c r="I6" t="n">
        <v>28.276756</v>
      </c>
      <c r="J6" t="n">
        <v>28.276756</v>
      </c>
      <c r="K6" t="n">
        <v>27.428552</v>
      </c>
      <c r="L6" t="n">
        <v>48.153928</v>
      </c>
      <c r="M6" t="n">
        <v>48.153928</v>
      </c>
      <c r="N6" t="n">
        <v>48.153928</v>
      </c>
      <c r="O6" t="n">
        <v>40.144749</v>
      </c>
      <c r="P6" t="n">
        <v>13.958209</v>
      </c>
      <c r="Q6" t="n">
        <v>48.153928</v>
      </c>
      <c r="S6" t="n">
        <v>40.144749</v>
      </c>
      <c r="U6" t="n">
        <v>13.958209</v>
      </c>
      <c r="V6" t="n">
        <v>13.958209</v>
      </c>
      <c r="W6" t="n">
        <v>30.610644</v>
      </c>
      <c r="X6" t="n">
        <v>54.375213</v>
      </c>
    </row>
    <row r="7" ht="21" customHeight="1">
      <c r="A7" t="inlineStr">
        <is>
          <t>Trachurus murphyi</t>
        </is>
      </c>
      <c r="B7" t="n">
        <v>3.33</v>
      </c>
      <c r="C7" t="n">
        <v>213.796209</v>
      </c>
      <c r="D7" s="10" t="inlineStr">
        <is>
          <t>Horse mackerel</t>
        </is>
      </c>
      <c r="H7" t="n">
        <v>602.848737</v>
      </c>
      <c r="I7" t="n">
        <v>464.393998</v>
      </c>
      <c r="J7" t="n">
        <v>464.393998</v>
      </c>
      <c r="K7" t="n">
        <v>109.372721</v>
      </c>
      <c r="L7" t="n">
        <v>798.034002</v>
      </c>
      <c r="M7" t="n">
        <v>798.034002</v>
      </c>
      <c r="N7" t="n">
        <v>798.034002</v>
      </c>
      <c r="O7" t="n">
        <v>138.577236</v>
      </c>
      <c r="P7" t="n">
        <v>35.065606</v>
      </c>
      <c r="Q7" t="n">
        <v>798.034002</v>
      </c>
      <c r="S7" t="n">
        <v>138.577236</v>
      </c>
      <c r="U7" t="n">
        <v>35.065606</v>
      </c>
      <c r="V7" t="n">
        <v>35.065606</v>
      </c>
      <c r="W7" t="n">
        <v>98.542343</v>
      </c>
      <c r="X7" t="n">
        <v>912.496948</v>
      </c>
    </row>
    <row r="8" ht="21" customHeight="1">
      <c r="A8" t="inlineStr">
        <is>
          <t>Clupeidae</t>
        </is>
      </c>
      <c r="B8" t="n">
        <v>3.16</v>
      </c>
      <c r="C8" t="n">
        <v>144.543977</v>
      </c>
      <c r="D8" s="10" t="inlineStr">
        <is>
          <t>Sardine | Other small pelagic fish</t>
        </is>
      </c>
      <c r="H8" t="n">
        <v>124.726424</v>
      </c>
      <c r="I8" t="n">
        <v>28.342176</v>
      </c>
      <c r="J8" t="n">
        <v>28.342176</v>
      </c>
      <c r="K8" t="n">
        <v>27.418617</v>
      </c>
      <c r="L8" t="n">
        <v>48.107713</v>
      </c>
      <c r="M8" t="n">
        <v>48.107713</v>
      </c>
      <c r="N8" t="n">
        <v>48.107713</v>
      </c>
      <c r="O8" t="n">
        <v>40.018589</v>
      </c>
      <c r="P8" t="n">
        <v>13.924538</v>
      </c>
      <c r="Q8" t="n">
        <v>48.107713</v>
      </c>
      <c r="S8" t="n">
        <v>40.018589</v>
      </c>
      <c r="U8" t="n">
        <v>13.924538</v>
      </c>
      <c r="V8" t="n">
        <v>13.924538</v>
      </c>
      <c r="W8" t="n">
        <v>30.63498</v>
      </c>
      <c r="X8" t="n">
        <v>54.294221</v>
      </c>
    </row>
    <row r="9" ht="21" customHeight="1">
      <c r="A9" t="inlineStr">
        <is>
          <t>Dosidicus gigas</t>
        </is>
      </c>
      <c r="B9" t="n">
        <v>4.14</v>
      </c>
      <c r="C9" t="n">
        <v>1380.384265</v>
      </c>
      <c r="D9" s="10" t="inlineStr">
        <is>
          <t>Jumbo squid</t>
        </is>
      </c>
      <c r="H9" t="n">
        <v>841.354778</v>
      </c>
      <c r="I9" t="n">
        <v>175.260597</v>
      </c>
      <c r="J9" t="n">
        <v>201.106556</v>
      </c>
      <c r="K9" t="n">
        <v>160.880908</v>
      </c>
      <c r="L9" t="n">
        <v>830.0757149999999</v>
      </c>
      <c r="M9" t="n">
        <v>830.0757149999999</v>
      </c>
      <c r="N9" t="n">
        <v>830.0757149999999</v>
      </c>
      <c r="O9" t="n">
        <v>147.19901</v>
      </c>
      <c r="P9" t="n">
        <v>36.201062</v>
      </c>
      <c r="Q9" t="n">
        <v>830.0757149999999</v>
      </c>
      <c r="S9" t="n">
        <v>147.19901</v>
      </c>
      <c r="U9" t="n">
        <v>36.201062</v>
      </c>
      <c r="V9" t="n">
        <v>36.201062</v>
      </c>
      <c r="W9" t="n">
        <v>102.136985</v>
      </c>
      <c r="X9" t="n">
        <v>1052.784036</v>
      </c>
    </row>
    <row r="10" ht="21" customHeight="1">
      <c r="A10" t="inlineStr">
        <is>
          <t>Scomber japonicus</t>
        </is>
      </c>
      <c r="B10" t="n">
        <v>3.38</v>
      </c>
      <c r="C10" t="n">
        <v>239.883292</v>
      </c>
      <c r="D10" s="10" t="inlineStr">
        <is>
          <t>Chub mackerel</t>
        </is>
      </c>
      <c r="H10" t="n">
        <v>678.027978</v>
      </c>
      <c r="I10" t="n">
        <v>1141.964575</v>
      </c>
      <c r="J10" t="n">
        <v>1141.964575</v>
      </c>
      <c r="K10" t="n">
        <v>177.150054</v>
      </c>
      <c r="L10" t="n">
        <v>1947.662643</v>
      </c>
      <c r="M10" t="n">
        <v>1947.662643</v>
      </c>
      <c r="N10" t="n">
        <v>1947.662643</v>
      </c>
      <c r="O10" t="n">
        <v>220.518387</v>
      </c>
      <c r="P10" t="n">
        <v>64.49070399999999</v>
      </c>
      <c r="Q10" t="n">
        <v>1947.662643</v>
      </c>
      <c r="S10" t="n">
        <v>220.518387</v>
      </c>
      <c r="U10" t="n">
        <v>64.49070399999999</v>
      </c>
      <c r="V10" t="n">
        <v>64.49070399999999</v>
      </c>
      <c r="W10" t="n">
        <v>167.541277</v>
      </c>
      <c r="X10" t="n">
        <v>2202.672862</v>
      </c>
    </row>
    <row r="11" ht="36" customHeight="1">
      <c r="A11" t="inlineStr">
        <is>
          <t>Marine fishes not identified</t>
        </is>
      </c>
      <c r="B11" t="n">
        <v>3.28</v>
      </c>
      <c r="C11" t="n">
        <v>190.546072</v>
      </c>
      <c r="D11" s="10" t="inlineStr">
        <is>
          <t>Small demersal fish | Medium demersal fish | Medium sciaenids</t>
        </is>
      </c>
      <c r="H11" t="n">
        <v>228.031522</v>
      </c>
      <c r="I11" t="n">
        <v>656.2956339999999</v>
      </c>
      <c r="J11" t="n">
        <v>656.723935</v>
      </c>
      <c r="K11" t="n">
        <v>468.232816</v>
      </c>
      <c r="L11" t="n">
        <v>1402.227086</v>
      </c>
      <c r="M11" t="n">
        <v>1402.227086</v>
      </c>
      <c r="N11" t="n">
        <v>1402.227086</v>
      </c>
      <c r="O11" t="n">
        <v>48.143913</v>
      </c>
      <c r="P11" t="n">
        <v>16.126983</v>
      </c>
      <c r="Q11" t="n">
        <v>1402.227086</v>
      </c>
      <c r="S11" t="n">
        <v>48.143913</v>
      </c>
      <c r="U11" t="n">
        <v>16.126983</v>
      </c>
      <c r="V11" t="n">
        <v>16.126983</v>
      </c>
      <c r="W11" t="n">
        <v>38.633943</v>
      </c>
      <c r="X11" t="n">
        <v>1661.269592</v>
      </c>
    </row>
    <row r="12" ht="36" customHeight="1">
      <c r="A12" t="inlineStr">
        <is>
          <t>Merluccius peruanus</t>
        </is>
      </c>
      <c r="B12" t="n">
        <v>4.4</v>
      </c>
      <c r="C12" t="n">
        <v>2511.886432</v>
      </c>
      <c r="D12" s="10" t="inlineStr">
        <is>
          <t>Large hake | Medium hake | Small hake</t>
        </is>
      </c>
      <c r="H12" t="n">
        <v>1264.668645</v>
      </c>
      <c r="I12" t="n">
        <v>1277.510958</v>
      </c>
      <c r="J12" t="n">
        <v>1286.186862</v>
      </c>
      <c r="K12" t="n">
        <v>1031.805002</v>
      </c>
      <c r="L12" t="n">
        <v>2519.762848</v>
      </c>
      <c r="M12" t="n">
        <v>2519.762848</v>
      </c>
      <c r="N12" t="n">
        <v>2519.762848</v>
      </c>
      <c r="O12" t="n">
        <v>204.312434</v>
      </c>
      <c r="P12" t="n">
        <v>47.041946</v>
      </c>
      <c r="Q12" t="n">
        <v>2519.762848</v>
      </c>
      <c r="S12" t="n">
        <v>204.312434</v>
      </c>
      <c r="U12" t="n">
        <v>47.041946</v>
      </c>
      <c r="V12" t="n">
        <v>47.041946</v>
      </c>
      <c r="W12" t="n">
        <v>150.903607</v>
      </c>
      <c r="X12" t="n">
        <v>2954.189509</v>
      </c>
    </row>
    <row r="13" ht="21" customHeight="1">
      <c r="A13" t="inlineStr">
        <is>
          <t>Merluccius gayi</t>
        </is>
      </c>
      <c r="B13" t="n">
        <v>4.26</v>
      </c>
      <c r="C13" t="n">
        <v>1819.700859</v>
      </c>
      <c r="D13" s="10" t="inlineStr">
        <is>
          <t>Unresolved</t>
        </is>
      </c>
    </row>
    <row r="14" ht="21" customHeight="1">
      <c r="A14" t="inlineStr">
        <is>
          <t>Macruronus magellanicus</t>
        </is>
      </c>
      <c r="B14" t="n">
        <v>3.93</v>
      </c>
      <c r="C14" t="n">
        <v>851.1380380000001</v>
      </c>
      <c r="D14" s="10" t="inlineStr">
        <is>
          <t>Unresolved</t>
        </is>
      </c>
    </row>
    <row r="15" ht="21" customHeight="1">
      <c r="A15" t="inlineStr">
        <is>
          <t>Sarda chiliensis</t>
        </is>
      </c>
      <c r="B15" t="n">
        <v>4.49</v>
      </c>
      <c r="C15" t="n">
        <v>3090.295433</v>
      </c>
      <c r="D15" s="10" t="inlineStr">
        <is>
          <t>Other large pelagic fish</t>
        </is>
      </c>
      <c r="H15" t="n">
        <v>1271.53527</v>
      </c>
      <c r="I15" t="n">
        <v>553.811408</v>
      </c>
      <c r="J15" t="n">
        <v>570.628617</v>
      </c>
      <c r="K15" t="n">
        <v>304.699956</v>
      </c>
      <c r="L15" t="n">
        <v>1277.756768</v>
      </c>
      <c r="M15" t="n">
        <v>1277.756768</v>
      </c>
      <c r="N15" t="n">
        <v>1277.756768</v>
      </c>
      <c r="O15" t="n">
        <v>326.291005</v>
      </c>
      <c r="P15" t="n">
        <v>93.360283</v>
      </c>
      <c r="Q15" t="n">
        <v>1277.756768</v>
      </c>
      <c r="S15" t="n">
        <v>326.291005</v>
      </c>
      <c r="U15" t="n">
        <v>93.360283</v>
      </c>
      <c r="V15" t="n">
        <v>93.360283</v>
      </c>
      <c r="W15" t="n">
        <v>238.400924</v>
      </c>
      <c r="X15" t="n">
        <v>1534.363238</v>
      </c>
    </row>
    <row r="16" ht="21" customHeight="1">
      <c r="A16" t="inlineStr">
        <is>
          <t>Normanichthys crockeri</t>
        </is>
      </c>
      <c r="B16" t="n">
        <v>2.75</v>
      </c>
      <c r="C16" t="n">
        <v>56.234133</v>
      </c>
      <c r="D16" s="10" t="inlineStr">
        <is>
          <t>Other small pelagic fish</t>
        </is>
      </c>
      <c r="H16" t="n">
        <v>90.84944299999999</v>
      </c>
      <c r="I16" t="n">
        <v>30.158638</v>
      </c>
      <c r="J16" t="n">
        <v>30.158638</v>
      </c>
      <c r="K16" t="n">
        <v>27.142773</v>
      </c>
      <c r="L16" t="n">
        <v>46.824515</v>
      </c>
      <c r="M16" t="n">
        <v>46.824515</v>
      </c>
      <c r="N16" t="n">
        <v>46.824515</v>
      </c>
      <c r="O16" t="n">
        <v>36.515625</v>
      </c>
      <c r="P16" t="n">
        <v>12.989613</v>
      </c>
      <c r="Q16" t="n">
        <v>46.824515</v>
      </c>
      <c r="S16" t="n">
        <v>36.515625</v>
      </c>
      <c r="U16" t="n">
        <v>12.989613</v>
      </c>
      <c r="V16" t="n">
        <v>12.989613</v>
      </c>
      <c r="W16" t="n">
        <v>31.310692</v>
      </c>
      <c r="X16" t="n">
        <v>52.045388</v>
      </c>
    </row>
    <row r="17" ht="21" customHeight="1">
      <c r="A17" t="inlineStr">
        <is>
          <t>Loxechinus albus</t>
        </is>
      </c>
      <c r="B17" t="n">
        <v>2</v>
      </c>
      <c r="C17" t="n">
        <v>10</v>
      </c>
      <c r="D17" s="10" t="inlineStr">
        <is>
          <t>Macrobenthos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-0</v>
      </c>
      <c r="S17" t="n">
        <v>-0</v>
      </c>
      <c r="U17" t="n">
        <v>0</v>
      </c>
      <c r="V17" t="n">
        <v>-0</v>
      </c>
      <c r="W17" t="n">
        <v>0</v>
      </c>
      <c r="X17" t="n">
        <v>0</v>
      </c>
    </row>
    <row r="18" ht="21" customHeight="1">
      <c r="A18" t="inlineStr">
        <is>
          <t>Merluccius australis</t>
        </is>
      </c>
      <c r="B18" t="n">
        <v>4.45</v>
      </c>
      <c r="C18" t="n">
        <v>2818.382931</v>
      </c>
      <c r="D18" s="10" t="inlineStr">
        <is>
          <t>Unresolved</t>
        </is>
      </c>
    </row>
    <row r="19" ht="21" customHeight="1">
      <c r="A19" t="inlineStr">
        <is>
          <t>Ethmidium maculatum</t>
        </is>
      </c>
      <c r="B19" t="n">
        <v>2.07</v>
      </c>
      <c r="C19" t="n">
        <v>11.748976</v>
      </c>
      <c r="D19" s="10" t="inlineStr">
        <is>
          <t>Other small pelagic fish</t>
        </is>
      </c>
      <c r="H19" t="n">
        <v>90.84944299999999</v>
      </c>
      <c r="I19" t="n">
        <v>30.158638</v>
      </c>
      <c r="J19" t="n">
        <v>30.158638</v>
      </c>
      <c r="K19" t="n">
        <v>27.142773</v>
      </c>
      <c r="L19" t="n">
        <v>46.824515</v>
      </c>
      <c r="M19" t="n">
        <v>46.824515</v>
      </c>
      <c r="N19" t="n">
        <v>46.824515</v>
      </c>
      <c r="O19" t="n">
        <v>36.515625</v>
      </c>
      <c r="P19" t="n">
        <v>12.989613</v>
      </c>
      <c r="Q19" t="n">
        <v>46.824515</v>
      </c>
      <c r="S19" t="n">
        <v>36.515625</v>
      </c>
      <c r="U19" t="n">
        <v>12.989613</v>
      </c>
      <c r="V19" t="n">
        <v>12.989613</v>
      </c>
      <c r="W19" t="n">
        <v>31.310692</v>
      </c>
      <c r="X19" t="n">
        <v>52.045388</v>
      </c>
    </row>
    <row r="20" ht="21" customHeight="1">
      <c r="A20" t="inlineStr">
        <is>
          <t>Aulacomya atra</t>
        </is>
      </c>
      <c r="B20" t="n">
        <v>2</v>
      </c>
      <c r="C20" t="n">
        <v>10</v>
      </c>
      <c r="D20" s="10" t="inlineStr">
        <is>
          <t>Macrobenthos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-0</v>
      </c>
      <c r="S20" t="n">
        <v>-0</v>
      </c>
      <c r="U20" t="n">
        <v>0</v>
      </c>
      <c r="V20" t="n">
        <v>-0</v>
      </c>
      <c r="W20" t="n">
        <v>0</v>
      </c>
      <c r="X20" t="n">
        <v>0</v>
      </c>
    </row>
    <row r="21" ht="21" customHeight="1">
      <c r="A21" t="inlineStr">
        <is>
          <t>Anchoa nasus</t>
        </is>
      </c>
      <c r="B21" t="n">
        <v>3.4</v>
      </c>
      <c r="C21" t="n">
        <v>251.188643</v>
      </c>
      <c r="D21" s="10" t="inlineStr">
        <is>
          <t>Other small pelagic fish</t>
        </is>
      </c>
      <c r="H21" t="n">
        <v>90.84944299999999</v>
      </c>
      <c r="I21" t="n">
        <v>30.158638</v>
      </c>
      <c r="J21" t="n">
        <v>30.158638</v>
      </c>
      <c r="K21" t="n">
        <v>27.142773</v>
      </c>
      <c r="L21" t="n">
        <v>46.824515</v>
      </c>
      <c r="M21" t="n">
        <v>46.824515</v>
      </c>
      <c r="N21" t="n">
        <v>46.824515</v>
      </c>
      <c r="O21" t="n">
        <v>36.515625</v>
      </c>
      <c r="P21" t="n">
        <v>12.989613</v>
      </c>
      <c r="Q21" t="n">
        <v>46.824515</v>
      </c>
      <c r="S21" t="n">
        <v>36.515625</v>
      </c>
      <c r="U21" t="n">
        <v>12.989613</v>
      </c>
      <c r="V21" t="n">
        <v>12.989613</v>
      </c>
      <c r="W21" t="n">
        <v>31.310692</v>
      </c>
      <c r="X21" t="n">
        <v>52.045388</v>
      </c>
    </row>
    <row r="22" ht="21" customHeight="1">
      <c r="A22" t="inlineStr">
        <is>
          <t>Strangomera bentincki</t>
        </is>
      </c>
      <c r="B22" t="n">
        <v>2</v>
      </c>
      <c r="C22" t="n">
        <v>10</v>
      </c>
      <c r="D22" s="10" t="inlineStr">
        <is>
          <t>Other small pelagic fish</t>
        </is>
      </c>
      <c r="H22" t="n">
        <v>90.84944299999999</v>
      </c>
      <c r="I22" t="n">
        <v>30.158638</v>
      </c>
      <c r="J22" t="n">
        <v>30.158638</v>
      </c>
      <c r="K22" t="n">
        <v>27.142773</v>
      </c>
      <c r="L22" t="n">
        <v>46.824515</v>
      </c>
      <c r="M22" t="n">
        <v>46.824515</v>
      </c>
      <c r="N22" t="n">
        <v>46.824515</v>
      </c>
      <c r="O22" t="n">
        <v>36.515625</v>
      </c>
      <c r="P22" t="n">
        <v>12.989613</v>
      </c>
      <c r="Q22" t="n">
        <v>46.824515</v>
      </c>
      <c r="S22" t="n">
        <v>36.515625</v>
      </c>
      <c r="U22" t="n">
        <v>12.989613</v>
      </c>
      <c r="V22" t="n">
        <v>12.989613</v>
      </c>
      <c r="W22" t="n">
        <v>31.310692</v>
      </c>
      <c r="X22" t="n">
        <v>52.045388</v>
      </c>
    </row>
    <row r="23" ht="21" customHeight="1">
      <c r="A23" t="inlineStr">
        <is>
          <t>Coryphaena hippurus</t>
        </is>
      </c>
      <c r="B23" t="n">
        <v>4.37</v>
      </c>
      <c r="C23" t="n">
        <v>2344.228815</v>
      </c>
      <c r="D23" s="10" t="inlineStr">
        <is>
          <t>Other large pelagic fish</t>
        </is>
      </c>
      <c r="H23" t="n">
        <v>1271.53527</v>
      </c>
      <c r="I23" t="n">
        <v>553.811408</v>
      </c>
      <c r="J23" t="n">
        <v>570.628617</v>
      </c>
      <c r="K23" t="n">
        <v>304.699956</v>
      </c>
      <c r="L23" t="n">
        <v>1277.756768</v>
      </c>
      <c r="M23" t="n">
        <v>1277.756768</v>
      </c>
      <c r="N23" t="n">
        <v>1277.756768</v>
      </c>
      <c r="O23" t="n">
        <v>326.291005</v>
      </c>
      <c r="P23" t="n">
        <v>93.360283</v>
      </c>
      <c r="Q23" t="n">
        <v>1277.756768</v>
      </c>
      <c r="S23" t="n">
        <v>326.291005</v>
      </c>
      <c r="U23" t="n">
        <v>93.360283</v>
      </c>
      <c r="V23" t="n">
        <v>93.360283</v>
      </c>
      <c r="W23" t="n">
        <v>238.400924</v>
      </c>
      <c r="X23" t="n">
        <v>1534.363238</v>
      </c>
    </row>
    <row r="24" ht="21" customHeight="1">
      <c r="A24" t="inlineStr">
        <is>
          <t>Grimothea monodon</t>
        </is>
      </c>
      <c r="B24" t="n">
        <v>2.74</v>
      </c>
      <c r="C24" t="n">
        <v>54.954087</v>
      </c>
      <c r="D24" s="10" t="inlineStr">
        <is>
          <t>Macrobenthos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-0</v>
      </c>
      <c r="S24" t="n">
        <v>-0</v>
      </c>
      <c r="U24" t="n">
        <v>0</v>
      </c>
      <c r="V24" t="n">
        <v>-0</v>
      </c>
      <c r="W24" t="n">
        <v>0</v>
      </c>
      <c r="X24" t="n">
        <v>0</v>
      </c>
    </row>
    <row r="25" ht="21" customHeight="1">
      <c r="A25" t="inlineStr">
        <is>
          <t>Cervimunida johni</t>
        </is>
      </c>
      <c r="B25" t="n">
        <v>2.6</v>
      </c>
      <c r="C25" t="n">
        <v>39.810717</v>
      </c>
      <c r="D25" s="10" t="inlineStr">
        <is>
          <t>Macrobenthos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-0</v>
      </c>
      <c r="S25" t="n">
        <v>-0</v>
      </c>
      <c r="U25" t="n">
        <v>0</v>
      </c>
      <c r="V25" t="n">
        <v>-0</v>
      </c>
      <c r="W25" t="n">
        <v>0</v>
      </c>
      <c r="X25" t="n">
        <v>0</v>
      </c>
    </row>
    <row r="26" ht="21" customHeight="1">
      <c r="A26" t="inlineStr">
        <is>
          <t>Mugil cephalus</t>
        </is>
      </c>
      <c r="B26" t="n">
        <v>2.14</v>
      </c>
      <c r="C26" t="n">
        <v>13.803843</v>
      </c>
      <c r="D26" s="10" t="inlineStr">
        <is>
          <t>Medium demersal fish</t>
        </is>
      </c>
      <c r="H26" t="n">
        <v>193.727859</v>
      </c>
      <c r="I26" t="n">
        <v>35.839321</v>
      </c>
      <c r="J26" t="n">
        <v>36.233059</v>
      </c>
      <c r="K26" t="n">
        <v>29.716807</v>
      </c>
      <c r="L26" t="n">
        <v>68.19949200000001</v>
      </c>
      <c r="M26" t="n">
        <v>68.19949200000001</v>
      </c>
      <c r="N26" t="n">
        <v>68.19949200000001</v>
      </c>
      <c r="O26" t="n">
        <v>38.496304</v>
      </c>
      <c r="P26" t="n">
        <v>13.496178</v>
      </c>
      <c r="Q26" t="n">
        <v>68.19949200000001</v>
      </c>
      <c r="S26" t="n">
        <v>38.496304</v>
      </c>
      <c r="U26" t="n">
        <v>13.496178</v>
      </c>
      <c r="V26" t="n">
        <v>13.496178</v>
      </c>
      <c r="W26" t="n">
        <v>28.279976</v>
      </c>
      <c r="X26" t="n">
        <v>76.95169799999999</v>
      </c>
    </row>
    <row r="27" ht="21" customHeight="1">
      <c r="A27" t="inlineStr">
        <is>
          <t>Katsuwonus pelamis</t>
        </is>
      </c>
      <c r="B27" t="n">
        <v>4.43</v>
      </c>
      <c r="C27" t="n">
        <v>2691.534804</v>
      </c>
      <c r="D27" s="10" t="inlineStr">
        <is>
          <t>Other large pelagic fish</t>
        </is>
      </c>
      <c r="H27" t="n">
        <v>1271.53527</v>
      </c>
      <c r="I27" t="n">
        <v>553.811408</v>
      </c>
      <c r="J27" t="n">
        <v>570.628617</v>
      </c>
      <c r="K27" t="n">
        <v>304.699956</v>
      </c>
      <c r="L27" t="n">
        <v>1277.756768</v>
      </c>
      <c r="M27" t="n">
        <v>1277.756768</v>
      </c>
      <c r="N27" t="n">
        <v>1277.756768</v>
      </c>
      <c r="O27" t="n">
        <v>326.291005</v>
      </c>
      <c r="P27" t="n">
        <v>93.360283</v>
      </c>
      <c r="Q27" t="n">
        <v>1277.756768</v>
      </c>
      <c r="S27" t="n">
        <v>326.291005</v>
      </c>
      <c r="U27" t="n">
        <v>93.360283</v>
      </c>
      <c r="V27" t="n">
        <v>93.360283</v>
      </c>
      <c r="W27" t="n">
        <v>238.400924</v>
      </c>
      <c r="X27" t="n">
        <v>1534.363238</v>
      </c>
    </row>
    <row r="28" ht="21" customHeight="1">
      <c r="A28" t="inlineStr">
        <is>
          <t>Veneridae</t>
        </is>
      </c>
      <c r="D28" s="10" t="inlineStr">
        <is>
          <t>Macrobenthos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-0</v>
      </c>
      <c r="S28" t="n">
        <v>-0</v>
      </c>
      <c r="U28" t="n">
        <v>0</v>
      </c>
      <c r="V28" t="n">
        <v>-0</v>
      </c>
      <c r="W28" t="n">
        <v>0</v>
      </c>
      <c r="X28" t="n">
        <v>0</v>
      </c>
    </row>
    <row r="29" ht="21" customHeight="1">
      <c r="A29" t="inlineStr">
        <is>
          <t>Argopecten purpuratus</t>
        </is>
      </c>
      <c r="B29" t="n">
        <v>2</v>
      </c>
      <c r="C29" t="n">
        <v>10</v>
      </c>
      <c r="D29" s="10" t="inlineStr">
        <is>
          <t>Macrobenthos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-0</v>
      </c>
      <c r="S29" t="n">
        <v>-0</v>
      </c>
      <c r="U29" t="n">
        <v>0</v>
      </c>
      <c r="V29" t="n">
        <v>-0</v>
      </c>
      <c r="W29" t="n">
        <v>0</v>
      </c>
      <c r="X29" t="n">
        <v>0</v>
      </c>
    </row>
    <row r="30" ht="21" customHeight="1">
      <c r="A30" t="inlineStr">
        <is>
          <t>Doryteuthis gahi</t>
        </is>
      </c>
      <c r="B30" t="n">
        <v>3.2</v>
      </c>
      <c r="C30" t="n">
        <v>158.489319</v>
      </c>
      <c r="D30" s="10" t="inlineStr">
        <is>
          <t>Other cephalopods</t>
        </is>
      </c>
      <c r="H30" t="n">
        <v>150.480405</v>
      </c>
      <c r="I30" t="n">
        <v>6.99979</v>
      </c>
      <c r="J30" t="n">
        <v>6.99979</v>
      </c>
      <c r="K30" t="n">
        <v>6.6498</v>
      </c>
      <c r="L30" t="n">
        <v>13.582064</v>
      </c>
      <c r="M30" t="n">
        <v>13.582064</v>
      </c>
      <c r="N30" t="n">
        <v>13.582064</v>
      </c>
      <c r="O30" t="n">
        <v>10.929901</v>
      </c>
      <c r="P30" t="n">
        <v>4.936097</v>
      </c>
      <c r="Q30" t="n">
        <v>13.582064</v>
      </c>
      <c r="S30" t="n">
        <v>10.929901</v>
      </c>
      <c r="U30" t="n">
        <v>4.936097</v>
      </c>
      <c r="V30" t="n">
        <v>4.936097</v>
      </c>
      <c r="W30" t="n">
        <v>7.630091</v>
      </c>
      <c r="X30" t="n">
        <v>15.740459</v>
      </c>
    </row>
    <row r="31" ht="21" customHeight="1">
      <c r="A31" t="inlineStr">
        <is>
          <t>Odontesthes regia</t>
        </is>
      </c>
      <c r="B31" t="n">
        <v>4</v>
      </c>
      <c r="C31" t="n">
        <v>1000</v>
      </c>
      <c r="D31" s="10" t="inlineStr">
        <is>
          <t>Small demersal fish</t>
        </is>
      </c>
      <c r="H31" t="n">
        <v>59.943369</v>
      </c>
      <c r="I31" t="n">
        <v>19.036362</v>
      </c>
      <c r="J31" t="n">
        <v>19.036362</v>
      </c>
      <c r="K31" t="n">
        <v>13.904727</v>
      </c>
      <c r="L31" t="n">
        <v>27.460928</v>
      </c>
      <c r="M31" t="n">
        <v>27.460928</v>
      </c>
      <c r="N31" t="n">
        <v>27.460928</v>
      </c>
      <c r="O31" t="n">
        <v>17.749999</v>
      </c>
      <c r="P31" t="n">
        <v>8.774241999999999</v>
      </c>
      <c r="Q31" t="n">
        <v>27.460928</v>
      </c>
      <c r="S31" t="n">
        <v>17.749999</v>
      </c>
      <c r="U31" t="n">
        <v>8.774241999999999</v>
      </c>
      <c r="V31" t="n">
        <v>8.774241999999999</v>
      </c>
      <c r="W31" t="n">
        <v>15.209101</v>
      </c>
      <c r="X31" t="n">
        <v>30.241866</v>
      </c>
    </row>
    <row r="32" ht="21" customHeight="1">
      <c r="A32" t="inlineStr">
        <is>
          <t>Brama australis</t>
        </is>
      </c>
      <c r="B32" t="n">
        <v>4.2</v>
      </c>
      <c r="C32" t="n">
        <v>1584.893192</v>
      </c>
      <c r="D32" s="10" t="inlineStr">
        <is>
          <t>Unresolved</t>
        </is>
      </c>
    </row>
    <row r="33" ht="21" customHeight="1">
      <c r="A33" t="inlineStr">
        <is>
          <t>Seriolella</t>
        </is>
      </c>
      <c r="D33" s="10" t="inlineStr">
        <is>
          <t>Unresolved</t>
        </is>
      </c>
    </row>
    <row r="34" ht="21" customHeight="1">
      <c r="A34" t="inlineStr">
        <is>
          <t>Prionotus stephanophrys</t>
        </is>
      </c>
      <c r="B34" t="n">
        <v>3.5</v>
      </c>
      <c r="C34" t="n">
        <v>316.227766</v>
      </c>
      <c r="D34" s="10" t="inlineStr">
        <is>
          <t>Sea robin</t>
        </is>
      </c>
      <c r="H34" t="n">
        <v>225.073419</v>
      </c>
      <c r="I34" t="n">
        <v>61.767249</v>
      </c>
      <c r="J34" t="n">
        <v>61.767249</v>
      </c>
      <c r="K34" t="n">
        <v>28.322979</v>
      </c>
      <c r="L34" t="n">
        <v>106.874186</v>
      </c>
      <c r="M34" t="n">
        <v>106.874186</v>
      </c>
      <c r="N34" t="n">
        <v>106.874186</v>
      </c>
      <c r="O34" t="n">
        <v>40.042365</v>
      </c>
      <c r="P34" t="n">
        <v>14.804487</v>
      </c>
      <c r="Q34" t="n">
        <v>106.874186</v>
      </c>
      <c r="S34" t="n">
        <v>40.042365</v>
      </c>
      <c r="U34" t="n">
        <v>14.804487</v>
      </c>
      <c r="V34" t="n">
        <v>14.804487</v>
      </c>
      <c r="W34" t="n">
        <v>26.425355</v>
      </c>
      <c r="X34" t="n">
        <v>122.728363</v>
      </c>
    </row>
    <row r="35" ht="21" customHeight="1">
      <c r="A35" t="inlineStr">
        <is>
          <t>Bivalvia</t>
        </is>
      </c>
      <c r="B35" t="n">
        <v>2.23</v>
      </c>
      <c r="C35" t="n">
        <v>16.982437</v>
      </c>
      <c r="D35" s="10" t="inlineStr">
        <is>
          <t>Macrobenthos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-0</v>
      </c>
      <c r="S35" t="n">
        <v>-0</v>
      </c>
      <c r="U35" t="n">
        <v>0</v>
      </c>
      <c r="V35" t="n">
        <v>-0</v>
      </c>
      <c r="W35" t="n">
        <v>0</v>
      </c>
      <c r="X35" t="n">
        <v>0</v>
      </c>
    </row>
    <row r="36" ht="21" customHeight="1">
      <c r="A36" t="inlineStr">
        <is>
          <t>Mesodesma donacium</t>
        </is>
      </c>
      <c r="B36" t="n">
        <v>2</v>
      </c>
      <c r="C36" t="n">
        <v>10</v>
      </c>
      <c r="D36" s="10" t="inlineStr">
        <is>
          <t>Macrobenthos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-0</v>
      </c>
      <c r="S36" t="n">
        <v>-0</v>
      </c>
      <c r="U36" t="n">
        <v>0</v>
      </c>
      <c r="V36" t="n">
        <v>-0</v>
      </c>
      <c r="W36" t="n">
        <v>0</v>
      </c>
      <c r="X36" t="n">
        <v>0</v>
      </c>
    </row>
    <row r="37" ht="36" customHeight="1">
      <c r="A37" t="inlineStr">
        <is>
          <t>Sciaenidae</t>
        </is>
      </c>
      <c r="B37" t="n">
        <v>3.76</v>
      </c>
      <c r="C37" t="n">
        <v>575.439937</v>
      </c>
      <c r="D37" s="10" t="inlineStr">
        <is>
          <t>Small demersal fish | Medium sciaenids</t>
        </is>
      </c>
      <c r="H37" t="n">
        <v>261.925996</v>
      </c>
      <c r="I37" t="n">
        <v>1269.350894</v>
      </c>
      <c r="J37" t="n">
        <v>1269.813346</v>
      </c>
      <c r="K37" t="n">
        <v>901.518028</v>
      </c>
      <c r="L37" t="n">
        <v>2720.341859</v>
      </c>
      <c r="M37" t="n">
        <v>2720.341859</v>
      </c>
      <c r="N37" t="n">
        <v>2720.341859</v>
      </c>
      <c r="O37" t="n">
        <v>57.676442</v>
      </c>
      <c r="P37" t="n">
        <v>18.726406</v>
      </c>
      <c r="Q37" t="n">
        <v>2720.341859</v>
      </c>
      <c r="S37" t="n">
        <v>57.676442</v>
      </c>
      <c r="U37" t="n">
        <v>18.726406</v>
      </c>
      <c r="V37" t="n">
        <v>18.726406</v>
      </c>
      <c r="W37" t="n">
        <v>48.864403</v>
      </c>
      <c r="X37" t="n">
        <v>3226.689102</v>
      </c>
    </row>
    <row r="38" ht="21" customHeight="1">
      <c r="A38" t="inlineStr">
        <is>
          <t>Gastropoda</t>
        </is>
      </c>
      <c r="B38" t="n">
        <v>3.06</v>
      </c>
      <c r="C38" t="n">
        <v>114.815362</v>
      </c>
      <c r="D38" s="10" t="inlineStr">
        <is>
          <t>Macrobenthos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-0</v>
      </c>
      <c r="S38" t="n">
        <v>-0</v>
      </c>
      <c r="U38" t="n">
        <v>0</v>
      </c>
      <c r="V38" t="n">
        <v>-0</v>
      </c>
      <c r="W38" t="n">
        <v>0</v>
      </c>
      <c r="X38" t="n">
        <v>0</v>
      </c>
    </row>
    <row r="39" ht="21" customHeight="1">
      <c r="A39" t="inlineStr">
        <is>
          <t>Penaeidae</t>
        </is>
      </c>
      <c r="B39" t="n">
        <v>3.31</v>
      </c>
      <c r="C39" t="n">
        <v>204.173794</v>
      </c>
      <c r="D39" s="10" t="inlineStr">
        <is>
          <t>Macrobenthos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-0</v>
      </c>
      <c r="S39" t="n">
        <v>-0</v>
      </c>
      <c r="U39" t="n">
        <v>0</v>
      </c>
      <c r="V39" t="n">
        <v>-0</v>
      </c>
      <c r="W39" t="n">
        <v>0</v>
      </c>
      <c r="X39" t="n">
        <v>0</v>
      </c>
    </row>
    <row r="40" ht="21" customHeight="1">
      <c r="A40" t="inlineStr">
        <is>
          <t>Mustelus whitneyi</t>
        </is>
      </c>
      <c r="B40" t="n">
        <v>3.66</v>
      </c>
      <c r="C40" t="n">
        <v>457.08819</v>
      </c>
      <c r="D40" s="10" t="inlineStr">
        <is>
          <t>Benthic elasmobranchs</t>
        </is>
      </c>
      <c r="H40" t="n">
        <v>901.535002</v>
      </c>
      <c r="I40" t="n">
        <v>4353.901138</v>
      </c>
      <c r="J40" t="n">
        <v>4362.370626</v>
      </c>
      <c r="K40" t="n">
        <v>2873.606073</v>
      </c>
      <c r="L40" t="n">
        <v>7895.724163</v>
      </c>
      <c r="M40" t="n">
        <v>7895.724163</v>
      </c>
      <c r="N40" t="n">
        <v>7895.724163</v>
      </c>
      <c r="O40" t="n">
        <v>121.943936</v>
      </c>
      <c r="P40" t="n">
        <v>32.745809</v>
      </c>
      <c r="Q40" t="n">
        <v>7895.724163</v>
      </c>
      <c r="S40" t="n">
        <v>121.943936</v>
      </c>
      <c r="U40" t="n">
        <v>32.745809</v>
      </c>
      <c r="V40" t="n">
        <v>32.745809</v>
      </c>
      <c r="W40" t="n">
        <v>88.504266</v>
      </c>
      <c r="X40" t="n">
        <v>9306.463404</v>
      </c>
    </row>
    <row r="41" ht="21" customHeight="1">
      <c r="A41" t="inlineStr">
        <is>
          <t>Concholepas concholepas</t>
        </is>
      </c>
      <c r="B41" t="n">
        <v>3.18</v>
      </c>
      <c r="C41" t="n">
        <v>151.356125</v>
      </c>
      <c r="D41" s="10" t="inlineStr">
        <is>
          <t>Macrobenthos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-0</v>
      </c>
      <c r="S41" t="n">
        <v>-0</v>
      </c>
      <c r="U41" t="n">
        <v>0</v>
      </c>
      <c r="V41" t="n">
        <v>-0</v>
      </c>
      <c r="W41" t="n">
        <v>0</v>
      </c>
      <c r="X41" t="n">
        <v>0</v>
      </c>
    </row>
    <row r="42" ht="21" customHeight="1">
      <c r="A42" t="inlineStr">
        <is>
          <t>Mytilus chilensis</t>
        </is>
      </c>
      <c r="B42" t="n">
        <v>2</v>
      </c>
      <c r="C42" t="n">
        <v>10</v>
      </c>
      <c r="D42" s="10" t="inlineStr">
        <is>
          <t>Macrobenthos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-0</v>
      </c>
      <c r="S42" t="n">
        <v>-0</v>
      </c>
      <c r="U42" t="n">
        <v>0</v>
      </c>
      <c r="V42" t="n">
        <v>-0</v>
      </c>
      <c r="W42" t="n">
        <v>0</v>
      </c>
      <c r="X42" t="n">
        <v>0</v>
      </c>
    </row>
    <row r="43" ht="21" customHeight="1">
      <c r="A43" t="inlineStr">
        <is>
          <t>Thunnus albacares</t>
        </is>
      </c>
      <c r="B43" t="n">
        <v>4.41</v>
      </c>
      <c r="C43" t="n">
        <v>2570.395783</v>
      </c>
      <c r="D43" s="10" t="inlineStr">
        <is>
          <t>Other large pelagic fish</t>
        </is>
      </c>
      <c r="H43" t="n">
        <v>1271.53527</v>
      </c>
      <c r="I43" t="n">
        <v>553.811408</v>
      </c>
      <c r="J43" t="n">
        <v>570.628617</v>
      </c>
      <c r="K43" t="n">
        <v>304.699956</v>
      </c>
      <c r="L43" t="n">
        <v>1277.756768</v>
      </c>
      <c r="M43" t="n">
        <v>1277.756768</v>
      </c>
      <c r="N43" t="n">
        <v>1277.756768</v>
      </c>
      <c r="O43" t="n">
        <v>326.291005</v>
      </c>
      <c r="P43" t="n">
        <v>93.360283</v>
      </c>
      <c r="Q43" t="n">
        <v>1277.756768</v>
      </c>
      <c r="S43" t="n">
        <v>326.291005</v>
      </c>
      <c r="U43" t="n">
        <v>93.360283</v>
      </c>
      <c r="V43" t="n">
        <v>93.360283</v>
      </c>
      <c r="W43" t="n">
        <v>238.400924</v>
      </c>
      <c r="X43" t="n">
        <v>1534.363238</v>
      </c>
    </row>
    <row r="44" ht="21" customHeight="1">
      <c r="A44" t="inlineStr">
        <is>
          <t>Cynoscion analis</t>
        </is>
      </c>
      <c r="B44" t="n">
        <v>4.06</v>
      </c>
      <c r="C44" t="n">
        <v>1148.153621</v>
      </c>
      <c r="D44" s="10" t="inlineStr">
        <is>
          <t>Medium sciaenids</t>
        </is>
      </c>
      <c r="H44" t="n">
        <v>427.648082</v>
      </c>
      <c r="I44" t="n">
        <v>2295.205122</v>
      </c>
      <c r="J44" t="n">
        <v>2296.047005</v>
      </c>
      <c r="K44" t="n">
        <v>1629.784264</v>
      </c>
      <c r="L44" t="n">
        <v>4929.788538</v>
      </c>
      <c r="M44" t="n">
        <v>4929.788538</v>
      </c>
      <c r="N44" t="n">
        <v>4929.788538</v>
      </c>
      <c r="O44" t="n">
        <v>90.43516700000001</v>
      </c>
      <c r="P44" t="n">
        <v>26.891926</v>
      </c>
      <c r="Q44" t="n">
        <v>4929.788538</v>
      </c>
      <c r="S44" t="n">
        <v>90.43516700000001</v>
      </c>
      <c r="U44" t="n">
        <v>26.891926</v>
      </c>
      <c r="V44" t="n">
        <v>26.891926</v>
      </c>
      <c r="W44" t="n">
        <v>76.477801</v>
      </c>
      <c r="X44" t="n">
        <v>5849.300316</v>
      </c>
    </row>
    <row r="45" ht="21" customHeight="1">
      <c r="A45" t="inlineStr">
        <is>
          <t>Paralonchurus peruanus</t>
        </is>
      </c>
      <c r="B45" t="n">
        <v>2.17</v>
      </c>
      <c r="C45" t="n">
        <v>14.791084</v>
      </c>
      <c r="D45" s="10" t="inlineStr">
        <is>
          <t>Medium sciaenids</t>
        </is>
      </c>
      <c r="H45" t="n">
        <v>427.648082</v>
      </c>
      <c r="I45" t="n">
        <v>2295.205122</v>
      </c>
      <c r="J45" t="n">
        <v>2296.047005</v>
      </c>
      <c r="K45" t="n">
        <v>1629.784264</v>
      </c>
      <c r="L45" t="n">
        <v>4929.788538</v>
      </c>
      <c r="M45" t="n">
        <v>4929.788538</v>
      </c>
      <c r="N45" t="n">
        <v>4929.788538</v>
      </c>
      <c r="O45" t="n">
        <v>90.43516700000001</v>
      </c>
      <c r="P45" t="n">
        <v>26.891926</v>
      </c>
      <c r="Q45" t="n">
        <v>4929.788538</v>
      </c>
      <c r="S45" t="n">
        <v>90.43516700000001</v>
      </c>
      <c r="U45" t="n">
        <v>26.891926</v>
      </c>
      <c r="V45" t="n">
        <v>26.891926</v>
      </c>
      <c r="W45" t="n">
        <v>76.477801</v>
      </c>
      <c r="X45" t="n">
        <v>5849.300316</v>
      </c>
    </row>
    <row r="46" ht="21" customHeight="1">
      <c r="A46" t="inlineStr">
        <is>
          <t>Thyrsites atun</t>
        </is>
      </c>
      <c r="B46" t="n">
        <v>3.63</v>
      </c>
      <c r="C46" t="n">
        <v>426.579519</v>
      </c>
      <c r="D46" s="10" t="inlineStr">
        <is>
          <t>Unresolved</t>
        </is>
      </c>
    </row>
    <row r="47" ht="21" customHeight="1">
      <c r="A47" t="inlineStr">
        <is>
          <t>Heterocarpus reedi</t>
        </is>
      </c>
      <c r="B47" t="n">
        <v>2.3</v>
      </c>
      <c r="C47" t="n">
        <v>19.952623</v>
      </c>
      <c r="D47" s="10" t="inlineStr">
        <is>
          <t>Macrobenthos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-0</v>
      </c>
      <c r="S47" t="n">
        <v>-0</v>
      </c>
      <c r="U47" t="n">
        <v>0</v>
      </c>
      <c r="V47" t="n">
        <v>-0</v>
      </c>
      <c r="W47" t="n">
        <v>0</v>
      </c>
      <c r="X47" t="n">
        <v>0</v>
      </c>
    </row>
    <row r="48" ht="21" customHeight="1">
      <c r="A48" t="inlineStr">
        <is>
          <t>Paralabrax humeralis</t>
        </is>
      </c>
      <c r="B48" t="n">
        <v>4.12</v>
      </c>
      <c r="C48" t="n">
        <v>1318.256739</v>
      </c>
      <c r="D48" s="10" t="inlineStr">
        <is>
          <t>Medium demersal fish</t>
        </is>
      </c>
      <c r="H48" t="n">
        <v>193.727859</v>
      </c>
      <c r="I48" t="n">
        <v>35.839321</v>
      </c>
      <c r="J48" t="n">
        <v>36.233059</v>
      </c>
      <c r="K48" t="n">
        <v>29.716807</v>
      </c>
      <c r="L48" t="n">
        <v>68.19949200000001</v>
      </c>
      <c r="M48" t="n">
        <v>68.19949200000001</v>
      </c>
      <c r="N48" t="n">
        <v>68.19949200000001</v>
      </c>
      <c r="O48" t="n">
        <v>38.496304</v>
      </c>
      <c r="P48" t="n">
        <v>13.496178</v>
      </c>
      <c r="Q48" t="n">
        <v>68.19949200000001</v>
      </c>
      <c r="S48" t="n">
        <v>38.496304</v>
      </c>
      <c r="U48" t="n">
        <v>13.496178</v>
      </c>
      <c r="V48" t="n">
        <v>13.496178</v>
      </c>
      <c r="W48" t="n">
        <v>28.279976</v>
      </c>
      <c r="X48" t="n">
        <v>76.95169799999999</v>
      </c>
    </row>
    <row r="49" ht="21" customHeight="1">
      <c r="A49" t="inlineStr">
        <is>
          <t>Genypterus blacodes</t>
        </is>
      </c>
      <c r="B49" t="n">
        <v>4.22</v>
      </c>
      <c r="C49" t="n">
        <v>1659.586907</v>
      </c>
      <c r="D49" s="10" t="inlineStr">
        <is>
          <t>Unresolved</t>
        </is>
      </c>
    </row>
    <row r="50" ht="21" customHeight="1">
      <c r="A50" t="inlineStr">
        <is>
          <t>Malacostraca</t>
        </is>
      </c>
      <c r="B50" t="n">
        <v>3</v>
      </c>
      <c r="C50" t="n">
        <v>100</v>
      </c>
      <c r="D50" s="10" t="inlineStr">
        <is>
          <t>Macrobenthos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-0</v>
      </c>
      <c r="S50" t="n">
        <v>-0</v>
      </c>
      <c r="U50" t="n">
        <v>0</v>
      </c>
      <c r="V50" t="n">
        <v>-0</v>
      </c>
      <c r="W50" t="n">
        <v>0</v>
      </c>
      <c r="X50" t="n">
        <v>0</v>
      </c>
    </row>
    <row r="51" ht="36" customHeight="1">
      <c r="A51" t="inlineStr">
        <is>
          <t>Scombridae</t>
        </is>
      </c>
      <c r="B51" t="n">
        <v>4.26</v>
      </c>
      <c r="C51" t="n">
        <v>1819.700859</v>
      </c>
      <c r="D51" s="10" t="inlineStr">
        <is>
          <t>Chub mackerel | Other large pelagic fish</t>
        </is>
      </c>
      <c r="H51" t="n">
        <v>861.7939679999999</v>
      </c>
      <c r="I51" t="n">
        <v>959.856367</v>
      </c>
      <c r="J51" t="n">
        <v>965.063432</v>
      </c>
      <c r="K51" t="n">
        <v>216.642971</v>
      </c>
      <c r="L51" t="n">
        <v>1740.241574</v>
      </c>
      <c r="M51" t="n">
        <v>1740.241574</v>
      </c>
      <c r="N51" t="n">
        <v>1740.241574</v>
      </c>
      <c r="O51" t="n">
        <v>253.268464</v>
      </c>
      <c r="P51" t="n">
        <v>73.42951100000001</v>
      </c>
      <c r="Q51" t="n">
        <v>1740.241574</v>
      </c>
      <c r="S51" t="n">
        <v>253.268464</v>
      </c>
      <c r="U51" t="n">
        <v>73.42951100000001</v>
      </c>
      <c r="V51" t="n">
        <v>73.42951100000001</v>
      </c>
      <c r="W51" t="n">
        <v>189.48135</v>
      </c>
      <c r="X51" t="n">
        <v>1995.746036</v>
      </c>
    </row>
    <row r="52" ht="21" customHeight="1">
      <c r="A52" t="inlineStr">
        <is>
          <t>Cilus gilberti</t>
        </is>
      </c>
      <c r="B52" t="n">
        <v>3.67</v>
      </c>
      <c r="C52" t="n">
        <v>467.735141</v>
      </c>
      <c r="D52" s="10" t="inlineStr">
        <is>
          <t>Medium sciaenids</t>
        </is>
      </c>
      <c r="H52" t="n">
        <v>427.648082</v>
      </c>
      <c r="I52" t="n">
        <v>2295.205122</v>
      </c>
      <c r="J52" t="n">
        <v>2296.047005</v>
      </c>
      <c r="K52" t="n">
        <v>1629.784264</v>
      </c>
      <c r="L52" t="n">
        <v>4929.788538</v>
      </c>
      <c r="M52" t="n">
        <v>4929.788538</v>
      </c>
      <c r="N52" t="n">
        <v>4929.788538</v>
      </c>
      <c r="O52" t="n">
        <v>90.43516700000001</v>
      </c>
      <c r="P52" t="n">
        <v>26.891926</v>
      </c>
      <c r="Q52" t="n">
        <v>4929.788538</v>
      </c>
      <c r="S52" t="n">
        <v>90.43516700000001</v>
      </c>
      <c r="U52" t="n">
        <v>26.891926</v>
      </c>
      <c r="V52" t="n">
        <v>26.891926</v>
      </c>
      <c r="W52" t="n">
        <v>76.477801</v>
      </c>
      <c r="X52" t="n">
        <v>5849.300316</v>
      </c>
    </row>
    <row r="53" ht="21" customHeight="1">
      <c r="A53" t="inlineStr">
        <is>
          <t>Pleuronectiformes</t>
        </is>
      </c>
      <c r="B53" t="n">
        <v>3.57</v>
      </c>
      <c r="C53" t="n">
        <v>371.535229</v>
      </c>
      <c r="D53" s="10" t="inlineStr">
        <is>
          <t>Flatfish</t>
        </is>
      </c>
      <c r="H53" t="n">
        <v>1232.2037</v>
      </c>
      <c r="I53" t="n">
        <v>172.118208</v>
      </c>
      <c r="J53" t="n">
        <v>172.118208</v>
      </c>
      <c r="K53" t="n">
        <v>171.336582</v>
      </c>
      <c r="L53" t="n">
        <v>310.666808</v>
      </c>
      <c r="M53" t="n">
        <v>310.666808</v>
      </c>
      <c r="N53" t="n">
        <v>310.666808</v>
      </c>
      <c r="O53" t="n">
        <v>194.914667</v>
      </c>
      <c r="P53" t="n">
        <v>55.961493</v>
      </c>
      <c r="Q53" t="n">
        <v>310.666808</v>
      </c>
      <c r="S53" t="n">
        <v>194.914667</v>
      </c>
      <c r="U53" t="n">
        <v>55.961493</v>
      </c>
      <c r="V53" t="n">
        <v>55.961493</v>
      </c>
      <c r="W53" t="n">
        <v>167.629288</v>
      </c>
      <c r="X53" t="n">
        <v>355.992575</v>
      </c>
    </row>
    <row r="54" ht="21" customHeight="1">
      <c r="A54" t="inlineStr">
        <is>
          <t>Sprattus fuegensis</t>
        </is>
      </c>
      <c r="B54" t="n">
        <v>3.4</v>
      </c>
      <c r="C54" t="n">
        <v>251.188643</v>
      </c>
      <c r="D54" s="10" t="inlineStr">
        <is>
          <t>Other small pelagic fish</t>
        </is>
      </c>
      <c r="H54" t="n">
        <v>90.84944299999999</v>
      </c>
      <c r="I54" t="n">
        <v>30.158638</v>
      </c>
      <c r="J54" t="n">
        <v>30.158638</v>
      </c>
      <c r="K54" t="n">
        <v>27.142773</v>
      </c>
      <c r="L54" t="n">
        <v>46.824515</v>
      </c>
      <c r="M54" t="n">
        <v>46.824515</v>
      </c>
      <c r="N54" t="n">
        <v>46.824515</v>
      </c>
      <c r="O54" t="n">
        <v>36.515625</v>
      </c>
      <c r="P54" t="n">
        <v>12.989613</v>
      </c>
      <c r="Q54" t="n">
        <v>46.824515</v>
      </c>
      <c r="S54" t="n">
        <v>36.515625</v>
      </c>
      <c r="U54" t="n">
        <v>12.989613</v>
      </c>
      <c r="V54" t="n">
        <v>12.989613</v>
      </c>
      <c r="W54" t="n">
        <v>31.310692</v>
      </c>
      <c r="X54" t="n">
        <v>52.045388</v>
      </c>
    </row>
    <row r="55" ht="21" customHeight="1">
      <c r="A55" t="inlineStr">
        <is>
          <t>Prionace glauca</t>
        </is>
      </c>
      <c r="B55" t="n">
        <v>4.35</v>
      </c>
      <c r="C55" t="n">
        <v>2238.721139</v>
      </c>
      <c r="D55" s="10" t="inlineStr">
        <is>
          <t>Chondrichthyans</t>
        </is>
      </c>
      <c r="H55" t="n">
        <v>6361.615187</v>
      </c>
      <c r="I55" t="n">
        <v>2595.935459</v>
      </c>
      <c r="J55" t="n">
        <v>2746.864011</v>
      </c>
      <c r="K55" t="n">
        <v>1549.866588</v>
      </c>
      <c r="L55" t="n">
        <v>7571.338585</v>
      </c>
      <c r="M55" t="n">
        <v>7571.338585</v>
      </c>
      <c r="N55" t="n">
        <v>7571.338585</v>
      </c>
      <c r="O55" t="n">
        <v>897.313094</v>
      </c>
      <c r="P55" t="n">
        <v>195.202386</v>
      </c>
      <c r="Q55" t="n">
        <v>7571.338585</v>
      </c>
      <c r="S55" t="n">
        <v>897.313094</v>
      </c>
      <c r="U55" t="n">
        <v>195.202386</v>
      </c>
      <c r="V55" t="n">
        <v>195.202386</v>
      </c>
      <c r="W55" t="n">
        <v>628.5731939999999</v>
      </c>
      <c r="X55" t="n">
        <v>9364.462680000001</v>
      </c>
    </row>
    <row r="56" ht="21" customHeight="1">
      <c r="A56" t="inlineStr">
        <is>
          <t>Isacia conceptionis</t>
        </is>
      </c>
      <c r="B56" t="n">
        <v>2.91</v>
      </c>
      <c r="C56" t="n">
        <v>81.283052</v>
      </c>
      <c r="D56" s="10" t="inlineStr">
        <is>
          <t>Medium demersal fish</t>
        </is>
      </c>
      <c r="H56" t="n">
        <v>193.727859</v>
      </c>
      <c r="I56" t="n">
        <v>35.839321</v>
      </c>
      <c r="J56" t="n">
        <v>36.233059</v>
      </c>
      <c r="K56" t="n">
        <v>29.716807</v>
      </c>
      <c r="L56" t="n">
        <v>68.19949200000001</v>
      </c>
      <c r="M56" t="n">
        <v>68.19949200000001</v>
      </c>
      <c r="N56" t="n">
        <v>68.19949200000001</v>
      </c>
      <c r="O56" t="n">
        <v>38.496304</v>
      </c>
      <c r="P56" t="n">
        <v>13.496178</v>
      </c>
      <c r="Q56" t="n">
        <v>68.19949200000001</v>
      </c>
      <c r="S56" t="n">
        <v>38.496304</v>
      </c>
      <c r="U56" t="n">
        <v>13.496178</v>
      </c>
      <c r="V56" t="n">
        <v>13.496178</v>
      </c>
      <c r="W56" t="n">
        <v>28.279976</v>
      </c>
      <c r="X56" t="n">
        <v>76.95169799999999</v>
      </c>
    </row>
    <row r="57" ht="21" customHeight="1">
      <c r="A57" t="inlineStr">
        <is>
          <t>Genypterus maculatus</t>
        </is>
      </c>
      <c r="B57" t="n">
        <v>3.48</v>
      </c>
      <c r="C57" t="n">
        <v>301.995172</v>
      </c>
      <c r="D57" s="10" t="inlineStr">
        <is>
          <t>Unresolved</t>
        </is>
      </c>
    </row>
    <row r="58" ht="21" customHeight="1">
      <c r="A58" t="inlineStr">
        <is>
          <t>Batoidea</t>
        </is>
      </c>
      <c r="B58" t="n">
        <v>3.72</v>
      </c>
      <c r="C58" t="n">
        <v>524.80746</v>
      </c>
      <c r="D58" s="10" t="inlineStr">
        <is>
          <t>Benthic elasmobranchs</t>
        </is>
      </c>
      <c r="H58" t="n">
        <v>901.535002</v>
      </c>
      <c r="I58" t="n">
        <v>4353.901138</v>
      </c>
      <c r="J58" t="n">
        <v>4362.370626</v>
      </c>
      <c r="K58" t="n">
        <v>2873.606073</v>
      </c>
      <c r="L58" t="n">
        <v>7895.724163</v>
      </c>
      <c r="M58" t="n">
        <v>7895.724163</v>
      </c>
      <c r="N58" t="n">
        <v>7895.724163</v>
      </c>
      <c r="O58" t="n">
        <v>121.943936</v>
      </c>
      <c r="P58" t="n">
        <v>32.745809</v>
      </c>
      <c r="Q58" t="n">
        <v>7895.724163</v>
      </c>
      <c r="S58" t="n">
        <v>121.943936</v>
      </c>
      <c r="U58" t="n">
        <v>32.745809</v>
      </c>
      <c r="V58" t="n">
        <v>32.745809</v>
      </c>
      <c r="W58" t="n">
        <v>88.504266</v>
      </c>
      <c r="X58" t="n">
        <v>9306.463404</v>
      </c>
    </row>
    <row r="59" ht="21" customHeight="1">
      <c r="A59" t="inlineStr">
        <is>
          <t>Pyura chilensis</t>
        </is>
      </c>
      <c r="B59" t="n">
        <v>3</v>
      </c>
      <c r="C59" t="n">
        <v>100</v>
      </c>
      <c r="D59" s="10" t="inlineStr">
        <is>
          <t>Macrobenthos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-0</v>
      </c>
      <c r="S59" t="n">
        <v>-0</v>
      </c>
      <c r="U59" t="n">
        <v>0</v>
      </c>
      <c r="V59" t="n">
        <v>-0</v>
      </c>
      <c r="W59" t="n">
        <v>0</v>
      </c>
      <c r="X59" t="n">
        <v>0</v>
      </c>
    </row>
    <row r="60" ht="21" customHeight="1">
      <c r="A60" t="inlineStr">
        <is>
          <t>Dissostichus eleginoides</t>
        </is>
      </c>
      <c r="B60" t="n">
        <v>3.96</v>
      </c>
      <c r="C60" t="n">
        <v>912.010839</v>
      </c>
      <c r="D60" s="10" t="inlineStr">
        <is>
          <t>Unresolved</t>
        </is>
      </c>
    </row>
    <row r="61" ht="21" customHeight="1">
      <c r="A61" t="inlineStr">
        <is>
          <t>Semele solida</t>
        </is>
      </c>
      <c r="B61" t="n">
        <v>2</v>
      </c>
      <c r="C61" t="n">
        <v>10</v>
      </c>
      <c r="D61" s="10" t="inlineStr">
        <is>
          <t>Macrobenthos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-0</v>
      </c>
      <c r="S61" t="n">
        <v>-0</v>
      </c>
      <c r="U61" t="n">
        <v>0</v>
      </c>
      <c r="V61" t="n">
        <v>-0</v>
      </c>
      <c r="W61" t="n">
        <v>0</v>
      </c>
      <c r="X61" t="n">
        <v>0</v>
      </c>
    </row>
    <row r="62" ht="21" customHeight="1">
      <c r="A62" t="inlineStr">
        <is>
          <t>Ophichthus</t>
        </is>
      </c>
      <c r="B62" t="n">
        <v>4.05</v>
      </c>
      <c r="C62" t="n">
        <v>1122.018454</v>
      </c>
      <c r="D62" s="10" t="inlineStr">
        <is>
          <t>Unresolved</t>
        </is>
      </c>
    </row>
    <row r="63" ht="21" customHeight="1">
      <c r="A63" t="inlineStr">
        <is>
          <t>Xiphias gladius</t>
        </is>
      </c>
      <c r="B63" t="n">
        <v>4.53</v>
      </c>
      <c r="C63" t="n">
        <v>3388.441561</v>
      </c>
      <c r="D63" s="10" t="inlineStr">
        <is>
          <t>Unresolved</t>
        </is>
      </c>
    </row>
    <row r="64" ht="21" customHeight="1">
      <c r="A64" t="inlineStr">
        <is>
          <t>Tawera gayi</t>
        </is>
      </c>
      <c r="B64" t="n">
        <v>2</v>
      </c>
      <c r="C64" t="n">
        <v>10</v>
      </c>
      <c r="D64" s="10" t="inlineStr">
        <is>
          <t>Macrobenthos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-0</v>
      </c>
      <c r="S64" t="n">
        <v>-0</v>
      </c>
      <c r="U64" t="n">
        <v>0</v>
      </c>
      <c r="V64" t="n">
        <v>-0</v>
      </c>
      <c r="W64" t="n">
        <v>0</v>
      </c>
      <c r="X64" t="n">
        <v>0</v>
      </c>
    </row>
    <row r="65" ht="21" customHeight="1">
      <c r="A65" t="inlineStr">
        <is>
          <t>Paralomis granulosa</t>
        </is>
      </c>
      <c r="B65" t="n">
        <v>2.3</v>
      </c>
      <c r="C65" t="n">
        <v>19.952623</v>
      </c>
      <c r="D65" s="10" t="inlineStr">
        <is>
          <t>Macrobenthos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-0</v>
      </c>
      <c r="S65" t="n">
        <v>-0</v>
      </c>
      <c r="U65" t="n">
        <v>0</v>
      </c>
      <c r="V65" t="n">
        <v>-0</v>
      </c>
      <c r="W65" t="n">
        <v>0</v>
      </c>
      <c r="X65" t="n">
        <v>0</v>
      </c>
    </row>
    <row r="66" ht="21" customHeight="1">
      <c r="A66" t="inlineStr">
        <is>
          <t>Isurus oxyrinchus</t>
        </is>
      </c>
      <c r="B66" t="n">
        <v>4.5</v>
      </c>
      <c r="C66" t="n">
        <v>3162.27766</v>
      </c>
      <c r="D66" s="10" t="inlineStr">
        <is>
          <t>Chondrichthyans</t>
        </is>
      </c>
      <c r="H66" t="n">
        <v>6361.615187</v>
      </c>
      <c r="I66" t="n">
        <v>2595.935459</v>
      </c>
      <c r="J66" t="n">
        <v>2746.864011</v>
      </c>
      <c r="K66" t="n">
        <v>1549.866588</v>
      </c>
      <c r="L66" t="n">
        <v>7571.338585</v>
      </c>
      <c r="M66" t="n">
        <v>7571.338585</v>
      </c>
      <c r="N66" t="n">
        <v>7571.338585</v>
      </c>
      <c r="O66" t="n">
        <v>897.313094</v>
      </c>
      <c r="P66" t="n">
        <v>195.202386</v>
      </c>
      <c r="Q66" t="n">
        <v>7571.338585</v>
      </c>
      <c r="S66" t="n">
        <v>897.313094</v>
      </c>
      <c r="U66" t="n">
        <v>195.202386</v>
      </c>
      <c r="V66" t="n">
        <v>195.202386</v>
      </c>
      <c r="W66" t="n">
        <v>628.5731939999999</v>
      </c>
      <c r="X66" t="n">
        <v>9364.462680000001</v>
      </c>
    </row>
    <row r="67" ht="21" customHeight="1">
      <c r="A67" t="inlineStr">
        <is>
          <t>Lithodes</t>
        </is>
      </c>
      <c r="D67" s="10" t="inlineStr">
        <is>
          <t>Macrobenthos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-0</v>
      </c>
      <c r="S67" t="n">
        <v>-0</v>
      </c>
      <c r="U67" t="n">
        <v>0</v>
      </c>
      <c r="V67" t="n">
        <v>-0</v>
      </c>
      <c r="W67" t="n">
        <v>0</v>
      </c>
      <c r="X67" t="n">
        <v>0</v>
      </c>
    </row>
    <row r="68" ht="21" customHeight="1">
      <c r="A68" t="inlineStr">
        <is>
          <t>Caulolatilus</t>
        </is>
      </c>
      <c r="B68" t="n">
        <v>4.28</v>
      </c>
      <c r="C68" t="n">
        <v>1905.460718</v>
      </c>
      <c r="D68" s="10" t="inlineStr">
        <is>
          <t>Medium demersal fish</t>
        </is>
      </c>
      <c r="H68" t="n">
        <v>193.727859</v>
      </c>
      <c r="I68" t="n">
        <v>35.839321</v>
      </c>
      <c r="J68" t="n">
        <v>36.233059</v>
      </c>
      <c r="K68" t="n">
        <v>29.716807</v>
      </c>
      <c r="L68" t="n">
        <v>68.19949200000001</v>
      </c>
      <c r="M68" t="n">
        <v>68.19949200000001</v>
      </c>
      <c r="N68" t="n">
        <v>68.19949200000001</v>
      </c>
      <c r="O68" t="n">
        <v>38.496304</v>
      </c>
      <c r="P68" t="n">
        <v>13.496178</v>
      </c>
      <c r="Q68" t="n">
        <v>68.19949200000001</v>
      </c>
      <c r="S68" t="n">
        <v>38.496304</v>
      </c>
      <c r="U68" t="n">
        <v>13.496178</v>
      </c>
      <c r="V68" t="n">
        <v>13.496178</v>
      </c>
      <c r="W68" t="n">
        <v>28.279976</v>
      </c>
      <c r="X68" t="n">
        <v>76.95169799999999</v>
      </c>
    </row>
    <row r="69" ht="21" customHeight="1">
      <c r="A69" t="inlineStr">
        <is>
          <t>Salilota australis</t>
        </is>
      </c>
      <c r="D69" s="10" t="inlineStr">
        <is>
          <t>Unresolved</t>
        </is>
      </c>
    </row>
    <row r="70" ht="21" customHeight="1">
      <c r="A70" t="inlineStr">
        <is>
          <t>Pseudobatos planiceps</t>
        </is>
      </c>
      <c r="B70" t="n">
        <v>3.56</v>
      </c>
      <c r="C70" t="n">
        <v>363.078055</v>
      </c>
      <c r="D70" s="10" t="inlineStr">
        <is>
          <t>Benthic elasmobranchs</t>
        </is>
      </c>
      <c r="H70" t="n">
        <v>901.535002</v>
      </c>
      <c r="I70" t="n">
        <v>4353.901138</v>
      </c>
      <c r="J70" t="n">
        <v>4362.370626</v>
      </c>
      <c r="K70" t="n">
        <v>2873.606073</v>
      </c>
      <c r="L70" t="n">
        <v>7895.724163</v>
      </c>
      <c r="M70" t="n">
        <v>7895.724163</v>
      </c>
      <c r="N70" t="n">
        <v>7895.724163</v>
      </c>
      <c r="O70" t="n">
        <v>121.943936</v>
      </c>
      <c r="P70" t="n">
        <v>32.745809</v>
      </c>
      <c r="Q70" t="n">
        <v>7895.724163</v>
      </c>
      <c r="S70" t="n">
        <v>121.943936</v>
      </c>
      <c r="U70" t="n">
        <v>32.745809</v>
      </c>
      <c r="V70" t="n">
        <v>32.745809</v>
      </c>
      <c r="W70" t="n">
        <v>88.504266</v>
      </c>
      <c r="X70" t="n">
        <v>9306.463404</v>
      </c>
    </row>
    <row r="71" ht="36" customHeight="1">
      <c r="A71" t="inlineStr">
        <is>
          <t>Marine pelagic fishes not identified</t>
        </is>
      </c>
      <c r="B71" t="n">
        <v>3.35</v>
      </c>
      <c r="C71" t="n">
        <v>223.872114</v>
      </c>
      <c r="D71" s="10" t="inlineStr">
        <is>
          <t>Other small pelagic fish | Other large pelagic fish</t>
        </is>
      </c>
      <c r="H71" t="n">
        <v>655.014092</v>
      </c>
      <c r="I71" t="n">
        <v>280.37455</v>
      </c>
      <c r="J71" t="n">
        <v>288.410282</v>
      </c>
      <c r="K71" t="n">
        <v>159.767344</v>
      </c>
      <c r="L71" t="n">
        <v>634.9983089999999</v>
      </c>
      <c r="M71" t="n">
        <v>634.9983089999999</v>
      </c>
      <c r="N71" t="n">
        <v>634.9983089999999</v>
      </c>
      <c r="O71" t="n">
        <v>174.978391</v>
      </c>
      <c r="P71" t="n">
        <v>51.392963</v>
      </c>
      <c r="Q71" t="n">
        <v>634.9983089999999</v>
      </c>
      <c r="S71" t="n">
        <v>174.978391</v>
      </c>
      <c r="U71" t="n">
        <v>51.392963</v>
      </c>
      <c r="V71" t="n">
        <v>51.392963</v>
      </c>
      <c r="W71" t="n">
        <v>130.264186</v>
      </c>
      <c r="X71" t="n">
        <v>760.338239</v>
      </c>
    </row>
    <row r="72" ht="21" customHeight="1">
      <c r="A72" t="inlineStr">
        <is>
          <t>Coryphaena</t>
        </is>
      </c>
      <c r="B72" t="n">
        <v>4.49</v>
      </c>
      <c r="C72" t="n">
        <v>3090.295433</v>
      </c>
      <c r="D72" s="10" t="inlineStr">
        <is>
          <t>Other large pelagic fish</t>
        </is>
      </c>
      <c r="H72" t="n">
        <v>1271.53527</v>
      </c>
      <c r="I72" t="n">
        <v>553.811408</v>
      </c>
      <c r="J72" t="n">
        <v>570.628617</v>
      </c>
      <c r="K72" t="n">
        <v>304.699956</v>
      </c>
      <c r="L72" t="n">
        <v>1277.756768</v>
      </c>
      <c r="M72" t="n">
        <v>1277.756768</v>
      </c>
      <c r="N72" t="n">
        <v>1277.756768</v>
      </c>
      <c r="O72" t="n">
        <v>326.291005</v>
      </c>
      <c r="P72" t="n">
        <v>93.360283</v>
      </c>
      <c r="Q72" t="n">
        <v>1277.756768</v>
      </c>
      <c r="S72" t="n">
        <v>326.291005</v>
      </c>
      <c r="U72" t="n">
        <v>93.360283</v>
      </c>
      <c r="V72" t="n">
        <v>93.360283</v>
      </c>
      <c r="W72" t="n">
        <v>238.400924</v>
      </c>
      <c r="X72" t="n">
        <v>1534.363238</v>
      </c>
    </row>
    <row r="73" ht="21" customHeight="1">
      <c r="A73" t="inlineStr">
        <is>
          <t>Paralichthys microps</t>
        </is>
      </c>
      <c r="B73" t="n">
        <v>4.04</v>
      </c>
      <c r="C73" t="n">
        <v>1096.478196</v>
      </c>
      <c r="D73" s="10" t="inlineStr">
        <is>
          <t>Flatfish</t>
        </is>
      </c>
      <c r="H73" t="n">
        <v>1232.2037</v>
      </c>
      <c r="I73" t="n">
        <v>172.118208</v>
      </c>
      <c r="J73" t="n">
        <v>172.118208</v>
      </c>
      <c r="K73" t="n">
        <v>171.336582</v>
      </c>
      <c r="L73" t="n">
        <v>310.666808</v>
      </c>
      <c r="M73" t="n">
        <v>310.666808</v>
      </c>
      <c r="N73" t="n">
        <v>310.666808</v>
      </c>
      <c r="O73" t="n">
        <v>194.914667</v>
      </c>
      <c r="P73" t="n">
        <v>55.961493</v>
      </c>
      <c r="Q73" t="n">
        <v>310.666808</v>
      </c>
      <c r="S73" t="n">
        <v>194.914667</v>
      </c>
      <c r="U73" t="n">
        <v>55.961493</v>
      </c>
      <c r="V73" t="n">
        <v>55.961493</v>
      </c>
      <c r="W73" t="n">
        <v>167.629288</v>
      </c>
      <c r="X73" t="n">
        <v>355.992575</v>
      </c>
    </row>
    <row r="74" ht="21" customHeight="1">
      <c r="A74" t="inlineStr">
        <is>
          <t>Selene peruviana</t>
        </is>
      </c>
      <c r="B74" t="n">
        <v>4.26</v>
      </c>
      <c r="C74" t="n">
        <v>1819.700859</v>
      </c>
      <c r="D74" s="10" t="inlineStr">
        <is>
          <t>Other small pelagic fish</t>
        </is>
      </c>
      <c r="H74" t="n">
        <v>90.84944299999999</v>
      </c>
      <c r="I74" t="n">
        <v>30.158638</v>
      </c>
      <c r="J74" t="n">
        <v>30.158638</v>
      </c>
      <c r="K74" t="n">
        <v>27.142773</v>
      </c>
      <c r="L74" t="n">
        <v>46.824515</v>
      </c>
      <c r="M74" t="n">
        <v>46.824515</v>
      </c>
      <c r="N74" t="n">
        <v>46.824515</v>
      </c>
      <c r="O74" t="n">
        <v>36.515625</v>
      </c>
      <c r="P74" t="n">
        <v>12.989613</v>
      </c>
      <c r="Q74" t="n">
        <v>46.824515</v>
      </c>
      <c r="S74" t="n">
        <v>36.515625</v>
      </c>
      <c r="U74" t="n">
        <v>12.989613</v>
      </c>
      <c r="V74" t="n">
        <v>12.989613</v>
      </c>
      <c r="W74" t="n">
        <v>31.310692</v>
      </c>
      <c r="X74" t="n">
        <v>52.045388</v>
      </c>
    </row>
    <row r="75" ht="21" customHeight="1">
      <c r="A75" t="inlineStr">
        <is>
          <t>Lithodes santolla</t>
        </is>
      </c>
      <c r="B75" t="n">
        <v>2.5</v>
      </c>
      <c r="C75" t="n">
        <v>31.622777</v>
      </c>
      <c r="D75" s="10" t="inlineStr">
        <is>
          <t>Macrobenthos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-0</v>
      </c>
      <c r="S75" t="n">
        <v>-0</v>
      </c>
      <c r="U75" t="n">
        <v>0</v>
      </c>
      <c r="V75" t="n">
        <v>-0</v>
      </c>
      <c r="W75" t="n">
        <v>0</v>
      </c>
      <c r="X75" t="n">
        <v>0</v>
      </c>
    </row>
    <row r="76" ht="21" customHeight="1">
      <c r="A76" t="inlineStr">
        <is>
          <t>Scomberomorus sierra</t>
        </is>
      </c>
      <c r="B76" t="n">
        <v>4.49</v>
      </c>
      <c r="C76" t="n">
        <v>3090.295433</v>
      </c>
      <c r="D76" s="10" t="inlineStr">
        <is>
          <t>Other large pelagic fish</t>
        </is>
      </c>
      <c r="H76" t="n">
        <v>1271.53527</v>
      </c>
      <c r="I76" t="n">
        <v>553.811408</v>
      </c>
      <c r="J76" t="n">
        <v>570.628617</v>
      </c>
      <c r="K76" t="n">
        <v>304.699956</v>
      </c>
      <c r="L76" t="n">
        <v>1277.756768</v>
      </c>
      <c r="M76" t="n">
        <v>1277.756768</v>
      </c>
      <c r="N76" t="n">
        <v>1277.756768</v>
      </c>
      <c r="O76" t="n">
        <v>326.291005</v>
      </c>
      <c r="P76" t="n">
        <v>93.360283</v>
      </c>
      <c r="Q76" t="n">
        <v>1277.756768</v>
      </c>
      <c r="S76" t="n">
        <v>326.291005</v>
      </c>
      <c r="U76" t="n">
        <v>93.360283</v>
      </c>
      <c r="V76" t="n">
        <v>93.360283</v>
      </c>
      <c r="W76" t="n">
        <v>238.400924</v>
      </c>
      <c r="X76" t="n">
        <v>1534.363238</v>
      </c>
    </row>
    <row r="77" ht="21" customHeight="1">
      <c r="A77" t="inlineStr">
        <is>
          <t>Paralichthyidae</t>
        </is>
      </c>
      <c r="B77" t="n">
        <v>4.06</v>
      </c>
      <c r="C77" t="n">
        <v>1148.153621</v>
      </c>
      <c r="D77" s="10" t="inlineStr">
        <is>
          <t>Flatfish</t>
        </is>
      </c>
      <c r="H77" t="n">
        <v>1232.2037</v>
      </c>
      <c r="I77" t="n">
        <v>172.118208</v>
      </c>
      <c r="J77" t="n">
        <v>172.118208</v>
      </c>
      <c r="K77" t="n">
        <v>171.336582</v>
      </c>
      <c r="L77" t="n">
        <v>310.666808</v>
      </c>
      <c r="M77" t="n">
        <v>310.666808</v>
      </c>
      <c r="N77" t="n">
        <v>310.666808</v>
      </c>
      <c r="O77" t="n">
        <v>194.914667</v>
      </c>
      <c r="P77" t="n">
        <v>55.961493</v>
      </c>
      <c r="Q77" t="n">
        <v>310.666808</v>
      </c>
      <c r="S77" t="n">
        <v>194.914667</v>
      </c>
      <c r="U77" t="n">
        <v>55.961493</v>
      </c>
      <c r="V77" t="n">
        <v>55.961493</v>
      </c>
      <c r="W77" t="n">
        <v>167.629288</v>
      </c>
      <c r="X77" t="n">
        <v>355.992575</v>
      </c>
    </row>
    <row r="78" ht="21" customHeight="1">
      <c r="A78" t="inlineStr">
        <is>
          <t>Larimus pacificus</t>
        </is>
      </c>
      <c r="B78" t="n">
        <v>4.46</v>
      </c>
      <c r="C78" t="n">
        <v>2884.031503</v>
      </c>
      <c r="D78" s="10" t="inlineStr">
        <is>
          <t>Medium sciaenids</t>
        </is>
      </c>
      <c r="H78" t="n">
        <v>427.648082</v>
      </c>
      <c r="I78" t="n">
        <v>2295.205122</v>
      </c>
      <c r="J78" t="n">
        <v>2296.047005</v>
      </c>
      <c r="K78" t="n">
        <v>1629.784264</v>
      </c>
      <c r="L78" t="n">
        <v>4929.788538</v>
      </c>
      <c r="M78" t="n">
        <v>4929.788538</v>
      </c>
      <c r="N78" t="n">
        <v>4929.788538</v>
      </c>
      <c r="O78" t="n">
        <v>90.43516700000001</v>
      </c>
      <c r="P78" t="n">
        <v>26.891926</v>
      </c>
      <c r="Q78" t="n">
        <v>4929.788538</v>
      </c>
      <c r="S78" t="n">
        <v>90.43516700000001</v>
      </c>
      <c r="U78" t="n">
        <v>26.891926</v>
      </c>
      <c r="V78" t="n">
        <v>26.891926</v>
      </c>
      <c r="W78" t="n">
        <v>76.477801</v>
      </c>
      <c r="X78" t="n">
        <v>5849.300316</v>
      </c>
    </row>
    <row r="79" ht="21" customHeight="1">
      <c r="A79" t="inlineStr">
        <is>
          <t>Mulinia</t>
        </is>
      </c>
      <c r="B79" t="n">
        <v>2</v>
      </c>
      <c r="C79" t="n">
        <v>10</v>
      </c>
      <c r="D79" s="10" t="inlineStr">
        <is>
          <t>Macrobenthos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-0</v>
      </c>
      <c r="S79" t="n">
        <v>-0</v>
      </c>
      <c r="U79" t="n">
        <v>0</v>
      </c>
      <c r="V79" t="n">
        <v>-0</v>
      </c>
      <c r="W79" t="n">
        <v>0</v>
      </c>
      <c r="X79" t="n">
        <v>0</v>
      </c>
    </row>
    <row r="80" ht="21" customHeight="1">
      <c r="A80" t="inlineStr">
        <is>
          <t>Mollusca</t>
        </is>
      </c>
      <c r="B80" t="n">
        <v>2.1</v>
      </c>
      <c r="C80" t="n">
        <v>12.589254</v>
      </c>
      <c r="D80" s="10" t="inlineStr">
        <is>
          <t>Macrobenthos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-0</v>
      </c>
      <c r="S80" t="n">
        <v>-0</v>
      </c>
      <c r="U80" t="n">
        <v>0</v>
      </c>
      <c r="V80" t="n">
        <v>-0</v>
      </c>
      <c r="W80" t="n">
        <v>0</v>
      </c>
      <c r="X80" t="n">
        <v>0</v>
      </c>
    </row>
    <row r="81" ht="21" customHeight="1">
      <c r="A81" t="inlineStr">
        <is>
          <t>Seriolella caerulea</t>
        </is>
      </c>
      <c r="B81" t="n">
        <v>3.42</v>
      </c>
      <c r="C81" t="n">
        <v>263.026799</v>
      </c>
      <c r="D81" s="10" t="inlineStr">
        <is>
          <t>Unresolved</t>
        </is>
      </c>
    </row>
    <row r="82" ht="21" customHeight="1">
      <c r="A82" t="inlineStr">
        <is>
          <t>Sphyrna zygaena</t>
        </is>
      </c>
      <c r="B82" t="n">
        <v>4.94</v>
      </c>
      <c r="C82" t="n">
        <v>8709.635899999999</v>
      </c>
      <c r="D82" s="10" t="inlineStr">
        <is>
          <t>Chondrichthyans</t>
        </is>
      </c>
      <c r="H82" t="n">
        <v>6361.615187</v>
      </c>
      <c r="I82" t="n">
        <v>2595.935459</v>
      </c>
      <c r="J82" t="n">
        <v>2746.864011</v>
      </c>
      <c r="K82" t="n">
        <v>1549.866588</v>
      </c>
      <c r="L82" t="n">
        <v>7571.338585</v>
      </c>
      <c r="M82" t="n">
        <v>7571.338585</v>
      </c>
      <c r="N82" t="n">
        <v>7571.338585</v>
      </c>
      <c r="O82" t="n">
        <v>897.313094</v>
      </c>
      <c r="P82" t="n">
        <v>195.202386</v>
      </c>
      <c r="Q82" t="n">
        <v>7571.338585</v>
      </c>
      <c r="S82" t="n">
        <v>897.313094</v>
      </c>
      <c r="U82" t="n">
        <v>195.202386</v>
      </c>
      <c r="V82" t="n">
        <v>195.202386</v>
      </c>
      <c r="W82" t="n">
        <v>628.5731939999999</v>
      </c>
      <c r="X82" t="n">
        <v>9364.462680000001</v>
      </c>
    </row>
    <row r="83" ht="21" customHeight="1">
      <c r="A83" t="inlineStr">
        <is>
          <t>Leukoma thaca</t>
        </is>
      </c>
      <c r="B83" t="n">
        <v>2</v>
      </c>
      <c r="C83" t="n">
        <v>10</v>
      </c>
      <c r="D83" s="10" t="inlineStr">
        <is>
          <t>Macrobenthos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-0</v>
      </c>
      <c r="S83" t="n">
        <v>-0</v>
      </c>
      <c r="U83" t="n">
        <v>0</v>
      </c>
      <c r="V83" t="n">
        <v>-0</v>
      </c>
      <c r="W83" t="n">
        <v>0</v>
      </c>
      <c r="X83" t="n">
        <v>0</v>
      </c>
    </row>
    <row r="84" ht="21" customHeight="1">
      <c r="A84" t="inlineStr">
        <is>
          <t>Serranidae</t>
        </is>
      </c>
      <c r="B84" t="n">
        <v>3.98</v>
      </c>
      <c r="C84" t="n">
        <v>954.992586</v>
      </c>
      <c r="D84" s="10" t="inlineStr">
        <is>
          <t>Medium demersal fish</t>
        </is>
      </c>
      <c r="H84" t="n">
        <v>193.727859</v>
      </c>
      <c r="I84" t="n">
        <v>35.839321</v>
      </c>
      <c r="J84" t="n">
        <v>36.233059</v>
      </c>
      <c r="K84" t="n">
        <v>29.716807</v>
      </c>
      <c r="L84" t="n">
        <v>68.19949200000001</v>
      </c>
      <c r="M84" t="n">
        <v>68.19949200000001</v>
      </c>
      <c r="N84" t="n">
        <v>68.19949200000001</v>
      </c>
      <c r="O84" t="n">
        <v>38.496304</v>
      </c>
      <c r="P84" t="n">
        <v>13.496178</v>
      </c>
      <c r="Q84" t="n">
        <v>68.19949200000001</v>
      </c>
      <c r="S84" t="n">
        <v>38.496304</v>
      </c>
      <c r="U84" t="n">
        <v>13.496178</v>
      </c>
      <c r="V84" t="n">
        <v>13.496178</v>
      </c>
      <c r="W84" t="n">
        <v>28.279976</v>
      </c>
      <c r="X84" t="n">
        <v>76.95169799999999</v>
      </c>
    </row>
    <row r="85" ht="21" customHeight="1">
      <c r="A85" t="inlineStr">
        <is>
          <t>Beryx splendens</t>
        </is>
      </c>
      <c r="D85" s="10" t="inlineStr">
        <is>
          <t>Unresolved</t>
        </is>
      </c>
    </row>
    <row r="86" ht="21" customHeight="1">
      <c r="A86" t="inlineStr">
        <is>
          <t>Choromytilus chorus</t>
        </is>
      </c>
      <c r="B86" t="n">
        <v>2</v>
      </c>
      <c r="C86" t="n">
        <v>10</v>
      </c>
      <c r="D86" s="10" t="inlineStr">
        <is>
          <t>Macrobenthos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-0</v>
      </c>
      <c r="S86" t="n">
        <v>-0</v>
      </c>
      <c r="U86" t="n">
        <v>0</v>
      </c>
      <c r="V86" t="n">
        <v>-0</v>
      </c>
      <c r="W86" t="n">
        <v>0</v>
      </c>
      <c r="X86" t="n">
        <v>0</v>
      </c>
    </row>
    <row r="87" ht="21" customHeight="1">
      <c r="A87" t="inlineStr">
        <is>
          <t>Zearaja chilensis</t>
        </is>
      </c>
      <c r="B87" t="n">
        <v>4.46</v>
      </c>
      <c r="C87" t="n">
        <v>2884.031503</v>
      </c>
      <c r="D87" s="10" t="inlineStr">
        <is>
          <t>Benthic elasmobranchs</t>
        </is>
      </c>
      <c r="H87" t="n">
        <v>901.535002</v>
      </c>
      <c r="I87" t="n">
        <v>4353.901138</v>
      </c>
      <c r="J87" t="n">
        <v>4362.370626</v>
      </c>
      <c r="K87" t="n">
        <v>2873.606073</v>
      </c>
      <c r="L87" t="n">
        <v>7895.724163</v>
      </c>
      <c r="M87" t="n">
        <v>7895.724163</v>
      </c>
      <c r="N87" t="n">
        <v>7895.724163</v>
      </c>
      <c r="O87" t="n">
        <v>121.943936</v>
      </c>
      <c r="P87" t="n">
        <v>32.745809</v>
      </c>
      <c r="Q87" t="n">
        <v>7895.724163</v>
      </c>
      <c r="S87" t="n">
        <v>121.943936</v>
      </c>
      <c r="U87" t="n">
        <v>32.745809</v>
      </c>
      <c r="V87" t="n">
        <v>32.745809</v>
      </c>
      <c r="W87" t="n">
        <v>88.504266</v>
      </c>
      <c r="X87" t="n">
        <v>9306.463404</v>
      </c>
    </row>
    <row r="88" ht="21" customHeight="1">
      <c r="A88" t="inlineStr">
        <is>
          <t>Ameghinomya antiqua</t>
        </is>
      </c>
      <c r="B88" t="n">
        <v>2</v>
      </c>
      <c r="C88" t="n">
        <v>10</v>
      </c>
      <c r="D88" s="10" t="inlineStr">
        <is>
          <t>Macrobenthos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-0</v>
      </c>
      <c r="S88" t="n">
        <v>-0</v>
      </c>
      <c r="U88" t="n">
        <v>0</v>
      </c>
      <c r="V88" t="n">
        <v>-0</v>
      </c>
      <c r="W88" t="n">
        <v>0</v>
      </c>
      <c r="X88" t="n">
        <v>0</v>
      </c>
    </row>
    <row r="89" ht="21" customHeight="1">
      <c r="A89" t="inlineStr">
        <is>
          <t>Fissurella maxima</t>
        </is>
      </c>
      <c r="B89" t="n">
        <v>2</v>
      </c>
      <c r="C89" t="n">
        <v>10</v>
      </c>
      <c r="D89" s="10" t="inlineStr">
        <is>
          <t>Macrobenthos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-0</v>
      </c>
      <c r="S89" t="n">
        <v>-0</v>
      </c>
      <c r="U89" t="n">
        <v>0</v>
      </c>
      <c r="V89" t="n">
        <v>-0</v>
      </c>
      <c r="W89" t="n">
        <v>0</v>
      </c>
      <c r="X89" t="n">
        <v>0</v>
      </c>
    </row>
    <row r="90" ht="21" customHeight="1">
      <c r="A90" t="inlineStr">
        <is>
          <t>Tagelus dombeii</t>
        </is>
      </c>
      <c r="B90" t="n">
        <v>2</v>
      </c>
      <c r="C90" t="n">
        <v>10</v>
      </c>
      <c r="D90" s="10" t="inlineStr">
        <is>
          <t>Macrobenthos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-0</v>
      </c>
      <c r="S90" t="n">
        <v>-0</v>
      </c>
      <c r="U90" t="n">
        <v>0</v>
      </c>
      <c r="V90" t="n">
        <v>-0</v>
      </c>
      <c r="W90" t="n">
        <v>0</v>
      </c>
      <c r="X90" t="n">
        <v>0</v>
      </c>
    </row>
    <row r="91" ht="21" customHeight="1">
      <c r="A91" t="inlineStr">
        <is>
          <t>Stromateus stellatus</t>
        </is>
      </c>
      <c r="B91" t="n">
        <v>3.59</v>
      </c>
      <c r="C91" t="n">
        <v>389.045145</v>
      </c>
      <c r="D91" s="10" t="inlineStr">
        <is>
          <t>Butter fishes</t>
        </is>
      </c>
      <c r="H91" t="n">
        <v>156.458821</v>
      </c>
      <c r="I91" t="n">
        <v>183534.940911</v>
      </c>
      <c r="J91" t="n">
        <v>183534.940911</v>
      </c>
      <c r="K91" t="n">
        <v>98513.78320799999</v>
      </c>
      <c r="L91" t="n">
        <v>319777.862782</v>
      </c>
      <c r="M91" t="n">
        <v>319777.862779</v>
      </c>
      <c r="N91" t="n">
        <v>319777.862779</v>
      </c>
      <c r="O91" t="n">
        <v>13.287089</v>
      </c>
      <c r="P91" t="n">
        <v>4.775216</v>
      </c>
      <c r="Q91" t="n">
        <v>319777.862779</v>
      </c>
      <c r="S91" t="n">
        <v>13.287089</v>
      </c>
      <c r="U91" t="n">
        <v>4.775216</v>
      </c>
      <c r="V91" t="n">
        <v>4.775216</v>
      </c>
      <c r="W91" t="n">
        <v>12.26305</v>
      </c>
      <c r="X91" t="n">
        <v>368049.711782</v>
      </c>
    </row>
    <row r="92" ht="21" customHeight="1">
      <c r="A92" t="inlineStr">
        <is>
          <t>Taliepus dentatus</t>
        </is>
      </c>
      <c r="B92" t="n">
        <v>2</v>
      </c>
      <c r="C92" t="n">
        <v>10</v>
      </c>
      <c r="D92" s="10" t="inlineStr">
        <is>
          <t>Macrobenthos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-0</v>
      </c>
      <c r="S92" t="n">
        <v>-0</v>
      </c>
      <c r="U92" t="n">
        <v>0</v>
      </c>
      <c r="V92" t="n">
        <v>-0</v>
      </c>
      <c r="W92" t="n">
        <v>0</v>
      </c>
      <c r="X92" t="n">
        <v>0</v>
      </c>
    </row>
    <row r="93" ht="21" customHeight="1">
      <c r="A93" t="inlineStr">
        <is>
          <t>Seriolella punctata</t>
        </is>
      </c>
      <c r="B93" t="n">
        <v>3.4</v>
      </c>
      <c r="C93" t="n">
        <v>251.188643</v>
      </c>
      <c r="D93" s="10" t="inlineStr">
        <is>
          <t>Unresolved</t>
        </is>
      </c>
    </row>
    <row r="94" ht="21" customHeight="1">
      <c r="A94" t="inlineStr">
        <is>
          <t>Haemulidae</t>
        </is>
      </c>
      <c r="B94" t="n">
        <v>3.36</v>
      </c>
      <c r="C94" t="n">
        <v>229.086765</v>
      </c>
      <c r="D94" s="10" t="inlineStr">
        <is>
          <t>Medium demersal fish</t>
        </is>
      </c>
      <c r="H94" t="n">
        <v>193.727859</v>
      </c>
      <c r="I94" t="n">
        <v>35.839321</v>
      </c>
      <c r="J94" t="n">
        <v>36.233059</v>
      </c>
      <c r="K94" t="n">
        <v>29.716807</v>
      </c>
      <c r="L94" t="n">
        <v>68.19949200000001</v>
      </c>
      <c r="M94" t="n">
        <v>68.19949200000001</v>
      </c>
      <c r="N94" t="n">
        <v>68.19949200000001</v>
      </c>
      <c r="O94" t="n">
        <v>38.496304</v>
      </c>
      <c r="P94" t="n">
        <v>13.496178</v>
      </c>
      <c r="Q94" t="n">
        <v>68.19949200000001</v>
      </c>
      <c r="S94" t="n">
        <v>38.496304</v>
      </c>
      <c r="U94" t="n">
        <v>13.496178</v>
      </c>
      <c r="V94" t="n">
        <v>13.496178</v>
      </c>
      <c r="W94" t="n">
        <v>28.279976</v>
      </c>
      <c r="X94" t="n">
        <v>76.95169799999999</v>
      </c>
    </row>
    <row r="95" ht="21" customHeight="1">
      <c r="A95" t="inlineStr">
        <is>
          <t>Ensis macha</t>
        </is>
      </c>
      <c r="B95" t="n">
        <v>2</v>
      </c>
      <c r="C95" t="n">
        <v>10</v>
      </c>
      <c r="D95" s="10" t="inlineStr">
        <is>
          <t>Macrobenthos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-0</v>
      </c>
      <c r="S95" t="n">
        <v>-0</v>
      </c>
      <c r="U95" t="n">
        <v>0</v>
      </c>
      <c r="V95" t="n">
        <v>-0</v>
      </c>
      <c r="W95" t="n">
        <v>0</v>
      </c>
      <c r="X95" t="n">
        <v>0</v>
      </c>
    </row>
    <row r="96" ht="21" customHeight="1">
      <c r="A96" t="inlineStr">
        <is>
          <t>Odontocymbiola magellanica</t>
        </is>
      </c>
      <c r="B96" t="n">
        <v>3.22</v>
      </c>
      <c r="C96" t="n">
        <v>165.958691</v>
      </c>
      <c r="D96" s="10" t="inlineStr">
        <is>
          <t>Macrobenthos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-0</v>
      </c>
      <c r="S96" t="n">
        <v>-0</v>
      </c>
      <c r="U96" t="n">
        <v>0</v>
      </c>
      <c r="V96" t="n">
        <v>-0</v>
      </c>
      <c r="W96" t="n">
        <v>0</v>
      </c>
      <c r="X96" t="n">
        <v>0</v>
      </c>
    </row>
    <row r="97" ht="21" customHeight="1">
      <c r="A97" t="inlineStr">
        <is>
          <t>Thunnus obesus</t>
        </is>
      </c>
      <c r="B97" t="n">
        <v>4.49</v>
      </c>
      <c r="C97" t="n">
        <v>3090.295433</v>
      </c>
      <c r="D97" s="10" t="inlineStr">
        <is>
          <t>Other large pelagic fish</t>
        </is>
      </c>
      <c r="H97" t="n">
        <v>1271.53527</v>
      </c>
      <c r="I97" t="n">
        <v>553.811408</v>
      </c>
      <c r="J97" t="n">
        <v>570.628617</v>
      </c>
      <c r="K97" t="n">
        <v>304.699956</v>
      </c>
      <c r="L97" t="n">
        <v>1277.756768</v>
      </c>
      <c r="M97" t="n">
        <v>1277.756768</v>
      </c>
      <c r="N97" t="n">
        <v>1277.756768</v>
      </c>
      <c r="O97" t="n">
        <v>326.291005</v>
      </c>
      <c r="P97" t="n">
        <v>93.360283</v>
      </c>
      <c r="Q97" t="n">
        <v>1277.756768</v>
      </c>
      <c r="S97" t="n">
        <v>326.291005</v>
      </c>
      <c r="U97" t="n">
        <v>93.360283</v>
      </c>
      <c r="V97" t="n">
        <v>93.360283</v>
      </c>
      <c r="W97" t="n">
        <v>238.400924</v>
      </c>
      <c r="X97" t="n">
        <v>1534.363238</v>
      </c>
    </row>
    <row r="98" ht="21" customHeight="1">
      <c r="A98" t="inlineStr">
        <is>
          <t>Alopias vulpinus</t>
        </is>
      </c>
      <c r="B98" t="n">
        <v>4.5</v>
      </c>
      <c r="C98" t="n">
        <v>3162.27766</v>
      </c>
      <c r="D98" s="10" t="inlineStr">
        <is>
          <t>Chondrichthyans</t>
        </is>
      </c>
      <c r="H98" t="n">
        <v>6361.615187</v>
      </c>
      <c r="I98" t="n">
        <v>2595.935459</v>
      </c>
      <c r="J98" t="n">
        <v>2746.864011</v>
      </c>
      <c r="K98" t="n">
        <v>1549.866588</v>
      </c>
      <c r="L98" t="n">
        <v>7571.338585</v>
      </c>
      <c r="M98" t="n">
        <v>7571.338585</v>
      </c>
      <c r="N98" t="n">
        <v>7571.338585</v>
      </c>
      <c r="O98" t="n">
        <v>897.313094</v>
      </c>
      <c r="P98" t="n">
        <v>195.202386</v>
      </c>
      <c r="Q98" t="n">
        <v>7571.338585</v>
      </c>
      <c r="S98" t="n">
        <v>897.313094</v>
      </c>
      <c r="U98" t="n">
        <v>195.202386</v>
      </c>
      <c r="V98" t="n">
        <v>195.202386</v>
      </c>
      <c r="W98" t="n">
        <v>628.5731939999999</v>
      </c>
      <c r="X98" t="n">
        <v>9364.462680000001</v>
      </c>
    </row>
    <row r="99" ht="36" customHeight="1">
      <c r="A99" t="inlineStr">
        <is>
          <t>Elasmobranchii</t>
        </is>
      </c>
      <c r="B99" t="n">
        <v>4.05</v>
      </c>
      <c r="C99" t="n">
        <v>1122.018454</v>
      </c>
      <c r="D99" s="10" t="inlineStr">
        <is>
          <t>Benthic elasmobranchs | Chondrichthyans</t>
        </is>
      </c>
      <c r="H99" t="n">
        <v>2829.953437</v>
      </c>
      <c r="I99" t="n">
        <v>3733.014025</v>
      </c>
      <c r="J99" t="n">
        <v>3791.797918</v>
      </c>
      <c r="K99" t="n">
        <v>2406.081139</v>
      </c>
      <c r="L99" t="n">
        <v>7781.156042</v>
      </c>
      <c r="M99" t="n">
        <v>7781.156042</v>
      </c>
      <c r="N99" t="n">
        <v>7781.156042</v>
      </c>
      <c r="O99" t="n">
        <v>395.792694</v>
      </c>
      <c r="P99" t="n">
        <v>90.123036</v>
      </c>
      <c r="Q99" t="n">
        <v>7781.156042</v>
      </c>
      <c r="S99" t="n">
        <v>395.792694</v>
      </c>
      <c r="U99" t="n">
        <v>90.123036</v>
      </c>
      <c r="V99" t="n">
        <v>90.123036</v>
      </c>
      <c r="W99" t="n">
        <v>279.248512</v>
      </c>
      <c r="X99" t="n">
        <v>9326.947878000001</v>
      </c>
    </row>
    <row r="100" ht="21" customHeight="1">
      <c r="A100" t="inlineStr">
        <is>
          <t>Haliporoides diomedeae</t>
        </is>
      </c>
      <c r="B100" t="n">
        <v>2.6</v>
      </c>
      <c r="C100" t="n">
        <v>39.810717</v>
      </c>
      <c r="D100" s="10" t="inlineStr">
        <is>
          <t>Macrobenthos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-0</v>
      </c>
      <c r="S100" t="n">
        <v>-0</v>
      </c>
      <c r="U100" t="n">
        <v>0</v>
      </c>
      <c r="V100" t="n">
        <v>-0</v>
      </c>
      <c r="W100" t="n">
        <v>0</v>
      </c>
      <c r="X100" t="n">
        <v>0</v>
      </c>
    </row>
    <row r="101" ht="21" customHeight="1">
      <c r="A101" t="inlineStr">
        <is>
          <t>Chirodactylus variegatus</t>
        </is>
      </c>
      <c r="B101" t="n">
        <v>3.65</v>
      </c>
      <c r="C101" t="n">
        <v>446.683592</v>
      </c>
      <c r="D101" s="10" t="inlineStr">
        <is>
          <t>Medium demersal fish</t>
        </is>
      </c>
      <c r="H101" t="n">
        <v>193.727859</v>
      </c>
      <c r="I101" t="n">
        <v>35.839321</v>
      </c>
      <c r="J101" t="n">
        <v>36.233059</v>
      </c>
      <c r="K101" t="n">
        <v>29.716807</v>
      </c>
      <c r="L101" t="n">
        <v>68.19949200000001</v>
      </c>
      <c r="M101" t="n">
        <v>68.19949200000001</v>
      </c>
      <c r="N101" t="n">
        <v>68.19949200000001</v>
      </c>
      <c r="O101" t="n">
        <v>38.496304</v>
      </c>
      <c r="P101" t="n">
        <v>13.496178</v>
      </c>
      <c r="Q101" t="n">
        <v>68.19949200000001</v>
      </c>
      <c r="S101" t="n">
        <v>38.496304</v>
      </c>
      <c r="U101" t="n">
        <v>13.496178</v>
      </c>
      <c r="V101" t="n">
        <v>13.496178</v>
      </c>
      <c r="W101" t="n">
        <v>28.279976</v>
      </c>
      <c r="X101" t="n">
        <v>76.95169799999999</v>
      </c>
    </row>
    <row r="102" ht="21" customHeight="1">
      <c r="A102" t="inlineStr">
        <is>
          <t>Teuthida</t>
        </is>
      </c>
      <c r="D102" s="10" t="inlineStr">
        <is>
          <t>Jumbo squid | Other cephalopods</t>
        </is>
      </c>
      <c r="H102" t="n">
        <v>803.835909</v>
      </c>
      <c r="I102" t="n">
        <v>166.122966</v>
      </c>
      <c r="J102" t="n">
        <v>190.565325</v>
      </c>
      <c r="K102" t="n">
        <v>152.505178</v>
      </c>
      <c r="L102" t="n">
        <v>785.73492</v>
      </c>
      <c r="M102" t="n">
        <v>785.73492</v>
      </c>
      <c r="N102" t="n">
        <v>785.73492</v>
      </c>
      <c r="O102" t="n">
        <v>139.798731</v>
      </c>
      <c r="P102" t="n">
        <v>34.503176</v>
      </c>
      <c r="Q102" t="n">
        <v>785.73492</v>
      </c>
      <c r="S102" t="n">
        <v>139.798731</v>
      </c>
      <c r="U102" t="n">
        <v>34.503176</v>
      </c>
      <c r="V102" t="n">
        <v>34.503176</v>
      </c>
      <c r="W102" t="n">
        <v>97.00466</v>
      </c>
      <c r="X102" t="n">
        <v>996.465978</v>
      </c>
    </row>
    <row r="103" ht="21" customHeight="1">
      <c r="A103" t="inlineStr">
        <is>
          <t>Ostrea chilensis</t>
        </is>
      </c>
      <c r="B103" t="n">
        <v>2</v>
      </c>
      <c r="C103" t="n">
        <v>10</v>
      </c>
      <c r="D103" s="10" t="inlineStr">
        <is>
          <t>Macrobenthos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-0</v>
      </c>
      <c r="S103" t="n">
        <v>-0</v>
      </c>
      <c r="U103" t="n">
        <v>0</v>
      </c>
      <c r="V103" t="n">
        <v>-0</v>
      </c>
      <c r="W103" t="n">
        <v>0</v>
      </c>
      <c r="X103" t="n">
        <v>0</v>
      </c>
    </row>
    <row r="104" ht="21" customHeight="1">
      <c r="A104" t="inlineStr">
        <is>
          <t>Prolatilus jugularis</t>
        </is>
      </c>
      <c r="B104" t="n">
        <v>3.7</v>
      </c>
      <c r="C104" t="n">
        <v>501.187234</v>
      </c>
      <c r="D104" s="10" t="inlineStr">
        <is>
          <t>Medium demersal fish</t>
        </is>
      </c>
      <c r="H104" t="n">
        <v>193.727859</v>
      </c>
      <c r="I104" t="n">
        <v>35.839321</v>
      </c>
      <c r="J104" t="n">
        <v>36.233059</v>
      </c>
      <c r="K104" t="n">
        <v>29.716807</v>
      </c>
      <c r="L104" t="n">
        <v>68.19949200000001</v>
      </c>
      <c r="M104" t="n">
        <v>68.19949200000001</v>
      </c>
      <c r="N104" t="n">
        <v>68.19949200000001</v>
      </c>
      <c r="O104" t="n">
        <v>38.496304</v>
      </c>
      <c r="P104" t="n">
        <v>13.496178</v>
      </c>
      <c r="Q104" t="n">
        <v>68.19949200000001</v>
      </c>
      <c r="S104" t="n">
        <v>38.496304</v>
      </c>
      <c r="U104" t="n">
        <v>13.496178</v>
      </c>
      <c r="V104" t="n">
        <v>13.496178</v>
      </c>
      <c r="W104" t="n">
        <v>28.279976</v>
      </c>
      <c r="X104" t="n">
        <v>76.95169799999999</v>
      </c>
    </row>
    <row r="105" ht="21" customHeight="1">
      <c r="A105" t="inlineStr">
        <is>
          <t>Austromegabalanus psittacus</t>
        </is>
      </c>
      <c r="B105" t="n">
        <v>2</v>
      </c>
      <c r="C105" t="n">
        <v>10</v>
      </c>
      <c r="D105" s="10" t="inlineStr">
        <is>
          <t>Macrobenthos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-0</v>
      </c>
      <c r="S105" t="n">
        <v>-0</v>
      </c>
      <c r="U105" t="n">
        <v>0</v>
      </c>
      <c r="V105" t="n">
        <v>-0</v>
      </c>
      <c r="W105" t="n">
        <v>0</v>
      </c>
      <c r="X105" t="n">
        <v>0</v>
      </c>
    </row>
    <row r="106" ht="21" customHeight="1">
      <c r="A106" t="inlineStr">
        <is>
          <t>Decapoda</t>
        </is>
      </c>
      <c r="B106" t="n">
        <v>3.43</v>
      </c>
      <c r="C106" t="n">
        <v>269.15348</v>
      </c>
      <c r="D106" s="10" t="inlineStr">
        <is>
          <t>Macrobenthos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-0</v>
      </c>
      <c r="S106" t="n">
        <v>-0</v>
      </c>
      <c r="U106" t="n">
        <v>0</v>
      </c>
      <c r="V106" t="n">
        <v>-0</v>
      </c>
      <c r="W106" t="n">
        <v>0</v>
      </c>
      <c r="X106" t="n">
        <v>0</v>
      </c>
    </row>
    <row r="107" ht="21" customHeight="1">
      <c r="A107" t="inlineStr">
        <is>
          <t>Pseudograpsus setosus</t>
        </is>
      </c>
      <c r="B107" t="n">
        <v>3.37</v>
      </c>
      <c r="C107" t="n">
        <v>234.422882</v>
      </c>
      <c r="D107" s="10" t="inlineStr">
        <is>
          <t>Macrobenthos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-0</v>
      </c>
      <c r="S107" t="n">
        <v>-0</v>
      </c>
      <c r="U107" t="n">
        <v>0</v>
      </c>
      <c r="V107" t="n">
        <v>-0</v>
      </c>
      <c r="W107" t="n">
        <v>0</v>
      </c>
      <c r="X107" t="n">
        <v>0</v>
      </c>
    </row>
    <row r="108" ht="21" customHeight="1">
      <c r="A108" t="inlineStr">
        <is>
          <t>Chorus giganteus</t>
        </is>
      </c>
      <c r="B108" t="n">
        <v>3.23</v>
      </c>
      <c r="C108" t="n">
        <v>169.824365</v>
      </c>
      <c r="D108" s="10" t="inlineStr">
        <is>
          <t>Macrobenthos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-0</v>
      </c>
      <c r="S108" t="n">
        <v>-0</v>
      </c>
      <c r="U108" t="n">
        <v>0</v>
      </c>
      <c r="V108" t="n">
        <v>-0</v>
      </c>
      <c r="W108" t="n">
        <v>0</v>
      </c>
      <c r="X108" t="n">
        <v>0</v>
      </c>
    </row>
    <row r="109" ht="21" customHeight="1">
      <c r="A109" t="inlineStr">
        <is>
          <t>Stellifer minor</t>
        </is>
      </c>
      <c r="B109" t="n">
        <v>3.45</v>
      </c>
      <c r="C109" t="n">
        <v>281.838293</v>
      </c>
      <c r="D109" s="10" t="inlineStr">
        <is>
          <t>Medium sciaenids</t>
        </is>
      </c>
      <c r="H109" t="n">
        <v>427.648082</v>
      </c>
      <c r="I109" t="n">
        <v>2295.205122</v>
      </c>
      <c r="J109" t="n">
        <v>2296.047005</v>
      </c>
      <c r="K109" t="n">
        <v>1629.784264</v>
      </c>
      <c r="L109" t="n">
        <v>4929.788538</v>
      </c>
      <c r="M109" t="n">
        <v>4929.788538</v>
      </c>
      <c r="N109" t="n">
        <v>4929.788538</v>
      </c>
      <c r="O109" t="n">
        <v>90.43516700000001</v>
      </c>
      <c r="P109" t="n">
        <v>26.891926</v>
      </c>
      <c r="Q109" t="n">
        <v>4929.788538</v>
      </c>
      <c r="S109" t="n">
        <v>90.43516700000001</v>
      </c>
      <c r="U109" t="n">
        <v>26.891926</v>
      </c>
      <c r="V109" t="n">
        <v>26.891926</v>
      </c>
      <c r="W109" t="n">
        <v>76.477801</v>
      </c>
      <c r="X109" t="n">
        <v>5849.300316</v>
      </c>
    </row>
    <row r="110" ht="21" customHeight="1">
      <c r="A110" t="inlineStr">
        <is>
          <t>Cancer porteri</t>
        </is>
      </c>
      <c r="B110" t="n">
        <v>2.97</v>
      </c>
      <c r="C110" t="n">
        <v>93.32543</v>
      </c>
      <c r="D110" s="10" t="inlineStr">
        <is>
          <t>Macrobenthos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-0</v>
      </c>
      <c r="S110" t="n">
        <v>-0</v>
      </c>
      <c r="U110" t="n">
        <v>0</v>
      </c>
      <c r="V110" t="n">
        <v>-0</v>
      </c>
      <c r="W110" t="n">
        <v>0</v>
      </c>
      <c r="X110" t="n">
        <v>0</v>
      </c>
    </row>
    <row r="111" ht="21" customHeight="1">
      <c r="A111" t="inlineStr">
        <is>
          <t>Argobuccinum pustulosum</t>
        </is>
      </c>
      <c r="B111" t="n">
        <v>3</v>
      </c>
      <c r="C111" t="n">
        <v>100</v>
      </c>
      <c r="D111" s="10" t="inlineStr">
        <is>
          <t>Macrobenthos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-0</v>
      </c>
      <c r="S111" t="n">
        <v>-0</v>
      </c>
      <c r="U111" t="n">
        <v>0</v>
      </c>
      <c r="V111" t="n">
        <v>-0</v>
      </c>
      <c r="W111" t="n">
        <v>0</v>
      </c>
      <c r="X111" t="n">
        <v>0</v>
      </c>
    </row>
    <row r="112" ht="21" customHeight="1">
      <c r="A112" t="inlineStr">
        <is>
          <t>Gari solida</t>
        </is>
      </c>
      <c r="B112" t="n">
        <v>2</v>
      </c>
      <c r="C112" t="n">
        <v>10</v>
      </c>
      <c r="D112" s="10" t="inlineStr">
        <is>
          <t>Macrobenthos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-0</v>
      </c>
      <c r="S112" t="n">
        <v>-0</v>
      </c>
      <c r="U112" t="n">
        <v>0</v>
      </c>
      <c r="V112" t="n">
        <v>-0</v>
      </c>
      <c r="W112" t="n">
        <v>0</v>
      </c>
      <c r="X112" t="n">
        <v>0</v>
      </c>
    </row>
    <row r="113" ht="21" customHeight="1">
      <c r="A113" t="inlineStr">
        <is>
          <t>Homalaspis plana</t>
        </is>
      </c>
      <c r="B113" t="n">
        <v>3.59</v>
      </c>
      <c r="C113" t="n">
        <v>389.045145</v>
      </c>
      <c r="D113" s="10" t="inlineStr">
        <is>
          <t>Macrobenthos</t>
        </is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-0</v>
      </c>
      <c r="S113" t="n">
        <v>-0</v>
      </c>
      <c r="U113" t="n">
        <v>0</v>
      </c>
      <c r="V113" t="n">
        <v>-0</v>
      </c>
      <c r="W113" t="n">
        <v>0</v>
      </c>
      <c r="X113" t="n">
        <v>0</v>
      </c>
    </row>
    <row r="114" ht="36" customHeight="1">
      <c r="A114" t="inlineStr">
        <is>
          <t>Perciformes</t>
        </is>
      </c>
      <c r="B114" t="n">
        <v>3.53</v>
      </c>
      <c r="C114" t="n">
        <v>338.844156</v>
      </c>
      <c r="D114" s="10" t="inlineStr">
        <is>
          <t>Small demersal fish | Medium demersal fish | Medium sciaenids</t>
        </is>
      </c>
      <c r="H114" t="n">
        <v>228.031522</v>
      </c>
      <c r="I114" t="n">
        <v>656.2956339999999</v>
      </c>
      <c r="J114" t="n">
        <v>656.723935</v>
      </c>
      <c r="K114" t="n">
        <v>468.232816</v>
      </c>
      <c r="L114" t="n">
        <v>1402.227086</v>
      </c>
      <c r="M114" t="n">
        <v>1402.227086</v>
      </c>
      <c r="N114" t="n">
        <v>1402.227086</v>
      </c>
      <c r="O114" t="n">
        <v>48.143913</v>
      </c>
      <c r="P114" t="n">
        <v>16.126983</v>
      </c>
      <c r="Q114" t="n">
        <v>1402.227086</v>
      </c>
      <c r="S114" t="n">
        <v>48.143913</v>
      </c>
      <c r="U114" t="n">
        <v>16.126983</v>
      </c>
      <c r="V114" t="n">
        <v>16.126983</v>
      </c>
      <c r="W114" t="n">
        <v>38.633943</v>
      </c>
      <c r="X114" t="n">
        <v>1661.269592</v>
      </c>
    </row>
    <row r="115" ht="21" customHeight="1">
      <c r="A115" t="inlineStr">
        <is>
          <t>Gadiformes</t>
        </is>
      </c>
      <c r="D115" s="10" t="inlineStr">
        <is>
          <t>Unresolved</t>
        </is>
      </c>
    </row>
    <row r="116" ht="21" customHeight="1">
      <c r="A116" t="inlineStr">
        <is>
          <t>Seriolella violacea</t>
        </is>
      </c>
      <c r="B116" t="n">
        <v>3.53</v>
      </c>
      <c r="C116" t="n">
        <v>338.844156</v>
      </c>
      <c r="D116" s="10" t="inlineStr">
        <is>
          <t>Unresolved</t>
        </is>
      </c>
    </row>
    <row r="117" ht="21" customHeight="1">
      <c r="A117" t="inlineStr">
        <is>
          <t>Labrisomus philippii</t>
        </is>
      </c>
      <c r="B117" t="n">
        <v>3.7</v>
      </c>
      <c r="C117" t="n">
        <v>501.187234</v>
      </c>
      <c r="D117" s="10" t="inlineStr">
        <is>
          <t>Small demersal fish</t>
        </is>
      </c>
      <c r="H117" t="n">
        <v>59.943369</v>
      </c>
      <c r="I117" t="n">
        <v>19.036362</v>
      </c>
      <c r="J117" t="n">
        <v>19.036362</v>
      </c>
      <c r="K117" t="n">
        <v>13.904727</v>
      </c>
      <c r="L117" t="n">
        <v>27.460928</v>
      </c>
      <c r="M117" t="n">
        <v>27.460928</v>
      </c>
      <c r="N117" t="n">
        <v>27.460928</v>
      </c>
      <c r="O117" t="n">
        <v>17.749999</v>
      </c>
      <c r="P117" t="n">
        <v>8.774241999999999</v>
      </c>
      <c r="Q117" t="n">
        <v>27.460928</v>
      </c>
      <c r="S117" t="n">
        <v>17.749999</v>
      </c>
      <c r="U117" t="n">
        <v>8.774241999999999</v>
      </c>
      <c r="V117" t="n">
        <v>8.774241999999999</v>
      </c>
      <c r="W117" t="n">
        <v>15.209101</v>
      </c>
      <c r="X117" t="n">
        <v>30.241866</v>
      </c>
    </row>
    <row r="118" ht="21" customHeight="1">
      <c r="A118" t="inlineStr">
        <is>
          <t>Callorhinchus callorynchus</t>
        </is>
      </c>
      <c r="B118" t="n">
        <v>3.35</v>
      </c>
      <c r="C118" t="n">
        <v>223.872114</v>
      </c>
      <c r="D118" s="10" t="inlineStr">
        <is>
          <t>Benthic elasmobranchs</t>
        </is>
      </c>
      <c r="H118" t="n">
        <v>901.535002</v>
      </c>
      <c r="I118" t="n">
        <v>4353.901138</v>
      </c>
      <c r="J118" t="n">
        <v>4362.370626</v>
      </c>
      <c r="K118" t="n">
        <v>2873.606073</v>
      </c>
      <c r="L118" t="n">
        <v>7895.724163</v>
      </c>
      <c r="M118" t="n">
        <v>7895.724163</v>
      </c>
      <c r="N118" t="n">
        <v>7895.724163</v>
      </c>
      <c r="O118" t="n">
        <v>121.943936</v>
      </c>
      <c r="P118" t="n">
        <v>32.745809</v>
      </c>
      <c r="Q118" t="n">
        <v>7895.724163</v>
      </c>
      <c r="S118" t="n">
        <v>121.943936</v>
      </c>
      <c r="U118" t="n">
        <v>32.745809</v>
      </c>
      <c r="V118" t="n">
        <v>32.745809</v>
      </c>
      <c r="W118" t="n">
        <v>88.504266</v>
      </c>
      <c r="X118" t="n">
        <v>9306.463404</v>
      </c>
    </row>
    <row r="119" ht="21" customHeight="1">
      <c r="A119" t="inlineStr">
        <is>
          <t>Hoplostethus atlanticus</t>
        </is>
      </c>
      <c r="D119" s="10" t="inlineStr">
        <is>
          <t>Unresolved</t>
        </is>
      </c>
    </row>
    <row r="120" ht="21" customHeight="1">
      <c r="A120" t="inlineStr">
        <is>
          <t>Magallana gigas</t>
        </is>
      </c>
      <c r="D120" s="10" t="inlineStr">
        <is>
          <t>Macrobenthos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-0</v>
      </c>
      <c r="S120" t="n">
        <v>-0</v>
      </c>
      <c r="U120" t="n">
        <v>0</v>
      </c>
      <c r="V120" t="n">
        <v>-0</v>
      </c>
      <c r="W120" t="n">
        <v>0</v>
      </c>
      <c r="X120" t="n">
        <v>0</v>
      </c>
    </row>
    <row r="121" ht="21" customHeight="1">
      <c r="A121" t="inlineStr">
        <is>
          <t>Seriola lalandi</t>
        </is>
      </c>
      <c r="B121" t="n">
        <v>4.16</v>
      </c>
      <c r="C121" t="n">
        <v>1445.439771</v>
      </c>
      <c r="D121" s="10" t="inlineStr">
        <is>
          <t>Other large pelagic fish</t>
        </is>
      </c>
      <c r="H121" t="n">
        <v>1271.53527</v>
      </c>
      <c r="I121" t="n">
        <v>553.811408</v>
      </c>
      <c r="J121" t="n">
        <v>570.628617</v>
      </c>
      <c r="K121" t="n">
        <v>304.699956</v>
      </c>
      <c r="L121" t="n">
        <v>1277.756768</v>
      </c>
      <c r="M121" t="n">
        <v>1277.756768</v>
      </c>
      <c r="N121" t="n">
        <v>1277.756768</v>
      </c>
      <c r="O121" t="n">
        <v>326.291005</v>
      </c>
      <c r="P121" t="n">
        <v>93.360283</v>
      </c>
      <c r="Q121" t="n">
        <v>1277.756768</v>
      </c>
      <c r="S121" t="n">
        <v>326.291005</v>
      </c>
      <c r="U121" t="n">
        <v>93.360283</v>
      </c>
      <c r="V121" t="n">
        <v>93.360283</v>
      </c>
      <c r="W121" t="n">
        <v>238.400924</v>
      </c>
      <c r="X121" t="n">
        <v>1534.363238</v>
      </c>
    </row>
    <row r="122" ht="21" customHeight="1">
      <c r="A122" t="inlineStr">
        <is>
          <t>Graus nigra</t>
        </is>
      </c>
      <c r="B122" t="n">
        <v>3.35</v>
      </c>
      <c r="C122" t="n">
        <v>223.872114</v>
      </c>
      <c r="D122" s="10" t="inlineStr">
        <is>
          <t>Unresolved</t>
        </is>
      </c>
    </row>
    <row r="123" ht="21" customHeight="1">
      <c r="A123" t="inlineStr">
        <is>
          <t>Hippoglossina macrops</t>
        </is>
      </c>
      <c r="B123" t="n">
        <v>3.73</v>
      </c>
      <c r="C123" t="n">
        <v>537.031796</v>
      </c>
      <c r="D123" s="10" t="inlineStr">
        <is>
          <t>Flatfish</t>
        </is>
      </c>
      <c r="H123" t="n">
        <v>1232.2037</v>
      </c>
      <c r="I123" t="n">
        <v>172.118208</v>
      </c>
      <c r="J123" t="n">
        <v>172.118208</v>
      </c>
      <c r="K123" t="n">
        <v>171.336582</v>
      </c>
      <c r="L123" t="n">
        <v>310.666808</v>
      </c>
      <c r="M123" t="n">
        <v>310.666808</v>
      </c>
      <c r="N123" t="n">
        <v>310.666808</v>
      </c>
      <c r="O123" t="n">
        <v>194.914667</v>
      </c>
      <c r="P123" t="n">
        <v>55.961493</v>
      </c>
      <c r="Q123" t="n">
        <v>310.666808</v>
      </c>
      <c r="S123" t="n">
        <v>194.914667</v>
      </c>
      <c r="U123" t="n">
        <v>55.961493</v>
      </c>
      <c r="V123" t="n">
        <v>55.961493</v>
      </c>
      <c r="W123" t="n">
        <v>167.629288</v>
      </c>
      <c r="X123" t="n">
        <v>355.992575</v>
      </c>
    </row>
    <row r="124" ht="36" customHeight="1">
      <c r="A124" t="inlineStr">
        <is>
          <t>Scorpaeniformes</t>
        </is>
      </c>
      <c r="D124" s="10" t="inlineStr">
        <is>
          <t>Small demersal fish | Medium demersal fish | Medium sciaenids</t>
        </is>
      </c>
      <c r="H124" t="n">
        <v>228.031522</v>
      </c>
      <c r="I124" t="n">
        <v>656.2956339999999</v>
      </c>
      <c r="J124" t="n">
        <v>656.723935</v>
      </c>
      <c r="K124" t="n">
        <v>468.232816</v>
      </c>
      <c r="L124" t="n">
        <v>1402.227086</v>
      </c>
      <c r="M124" t="n">
        <v>1402.227086</v>
      </c>
      <c r="N124" t="n">
        <v>1402.227086</v>
      </c>
      <c r="O124" t="n">
        <v>48.143913</v>
      </c>
      <c r="P124" t="n">
        <v>16.126983</v>
      </c>
      <c r="Q124" t="n">
        <v>1402.227086</v>
      </c>
      <c r="S124" t="n">
        <v>48.143913</v>
      </c>
      <c r="U124" t="n">
        <v>16.126983</v>
      </c>
      <c r="V124" t="n">
        <v>16.126983</v>
      </c>
      <c r="W124" t="n">
        <v>38.633943</v>
      </c>
      <c r="X124" t="n">
        <v>1661.269592</v>
      </c>
    </row>
    <row r="125" ht="21" customHeight="1">
      <c r="A125" t="inlineStr">
        <is>
          <t>Seriola</t>
        </is>
      </c>
      <c r="B125" t="n">
        <v>4.39</v>
      </c>
      <c r="C125" t="n">
        <v>2454.708916</v>
      </c>
      <c r="D125" s="10" t="inlineStr">
        <is>
          <t>Other large pelagic fish</t>
        </is>
      </c>
      <c r="H125" t="n">
        <v>1271.53527</v>
      </c>
      <c r="I125" t="n">
        <v>553.811408</v>
      </c>
      <c r="J125" t="n">
        <v>570.628617</v>
      </c>
      <c r="K125" t="n">
        <v>304.699956</v>
      </c>
      <c r="L125" t="n">
        <v>1277.756768</v>
      </c>
      <c r="M125" t="n">
        <v>1277.756768</v>
      </c>
      <c r="N125" t="n">
        <v>1277.756768</v>
      </c>
      <c r="O125" t="n">
        <v>326.291005</v>
      </c>
      <c r="P125" t="n">
        <v>93.360283</v>
      </c>
      <c r="Q125" t="n">
        <v>1277.756768</v>
      </c>
      <c r="S125" t="n">
        <v>326.291005</v>
      </c>
      <c r="U125" t="n">
        <v>93.360283</v>
      </c>
      <c r="V125" t="n">
        <v>93.360283</v>
      </c>
      <c r="W125" t="n">
        <v>238.400924</v>
      </c>
      <c r="X125" t="n">
        <v>1534.363238</v>
      </c>
    </row>
    <row r="126" ht="21" customHeight="1">
      <c r="A126" t="inlineStr">
        <is>
          <t>Mulinia edulis</t>
        </is>
      </c>
      <c r="B126" t="n">
        <v>2.03</v>
      </c>
      <c r="C126" t="n">
        <v>10.715193</v>
      </c>
      <c r="D126" s="10" t="inlineStr">
        <is>
          <t>Macrobenthos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-0</v>
      </c>
      <c r="S126" t="n">
        <v>-0</v>
      </c>
      <c r="U126" t="n">
        <v>0</v>
      </c>
      <c r="V126" t="n">
        <v>-0</v>
      </c>
      <c r="W126" t="n">
        <v>0</v>
      </c>
      <c r="X126" t="n">
        <v>0</v>
      </c>
    </row>
    <row r="127" ht="21" customHeight="1">
      <c r="A127" t="inlineStr">
        <is>
          <t>Tegula atra</t>
        </is>
      </c>
      <c r="B127" t="n">
        <v>2</v>
      </c>
      <c r="C127" t="n">
        <v>10</v>
      </c>
      <c r="D127" s="10" t="inlineStr">
        <is>
          <t>Macrobenthos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-0</v>
      </c>
      <c r="S127" t="n">
        <v>-0</v>
      </c>
      <c r="U127" t="n">
        <v>0</v>
      </c>
      <c r="V127" t="n">
        <v>-0</v>
      </c>
      <c r="W127" t="n">
        <v>0</v>
      </c>
      <c r="X127" t="n">
        <v>0</v>
      </c>
    </row>
    <row r="128" ht="21" customHeight="1">
      <c r="A128" t="inlineStr">
        <is>
          <t>Fissurella latimarginata</t>
        </is>
      </c>
      <c r="B128" t="n">
        <v>2.19</v>
      </c>
      <c r="C128" t="n">
        <v>15.488166</v>
      </c>
      <c r="D128" s="10" t="inlineStr">
        <is>
          <t>Macrobenthos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-0</v>
      </c>
      <c r="S128" t="n">
        <v>-0</v>
      </c>
      <c r="U128" t="n">
        <v>0</v>
      </c>
      <c r="V128" t="n">
        <v>-0</v>
      </c>
      <c r="W128" t="n">
        <v>0</v>
      </c>
      <c r="X128" t="n">
        <v>0</v>
      </c>
    </row>
    <row r="129" ht="21" customHeight="1">
      <c r="A129" t="inlineStr">
        <is>
          <t>Athyonidium chilensis</t>
        </is>
      </c>
      <c r="B129" t="n">
        <v>2.86</v>
      </c>
      <c r="C129" t="n">
        <v>72.443596</v>
      </c>
      <c r="D129" s="10" t="inlineStr">
        <is>
          <t>Macrobenthos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-0</v>
      </c>
      <c r="S129" t="n">
        <v>-0</v>
      </c>
      <c r="U129" t="n">
        <v>0</v>
      </c>
      <c r="V129" t="n">
        <v>-0</v>
      </c>
      <c r="W129" t="n">
        <v>0</v>
      </c>
      <c r="X129" t="n">
        <v>0</v>
      </c>
    </row>
    <row r="130" ht="21" customHeight="1">
      <c r="A130" t="inlineStr">
        <is>
          <t>Paralichthys</t>
        </is>
      </c>
      <c r="B130" t="n">
        <v>4.14</v>
      </c>
      <c r="C130" t="n">
        <v>1380.384265</v>
      </c>
      <c r="D130" s="10" t="inlineStr">
        <is>
          <t>Flatfish</t>
        </is>
      </c>
      <c r="H130" t="n">
        <v>1232.2037</v>
      </c>
      <c r="I130" t="n">
        <v>172.118208</v>
      </c>
      <c r="J130" t="n">
        <v>172.118208</v>
      </c>
      <c r="K130" t="n">
        <v>171.336582</v>
      </c>
      <c r="L130" t="n">
        <v>310.666808</v>
      </c>
      <c r="M130" t="n">
        <v>310.666808</v>
      </c>
      <c r="N130" t="n">
        <v>310.666808</v>
      </c>
      <c r="O130" t="n">
        <v>194.914667</v>
      </c>
      <c r="P130" t="n">
        <v>55.961493</v>
      </c>
      <c r="Q130" t="n">
        <v>310.666808</v>
      </c>
      <c r="S130" t="n">
        <v>194.914667</v>
      </c>
      <c r="U130" t="n">
        <v>55.961493</v>
      </c>
      <c r="V130" t="n">
        <v>55.961493</v>
      </c>
      <c r="W130" t="n">
        <v>167.629288</v>
      </c>
      <c r="X130" t="n">
        <v>355.992575</v>
      </c>
    </row>
    <row r="131" ht="21" customHeight="1">
      <c r="A131" t="inlineStr">
        <is>
          <t>Fissurella cumingi</t>
        </is>
      </c>
      <c r="B131" t="n">
        <v>2</v>
      </c>
      <c r="C131" t="n">
        <v>10</v>
      </c>
      <c r="D131" s="10" t="inlineStr">
        <is>
          <t>Macrobenthos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-0</v>
      </c>
      <c r="S131" t="n">
        <v>-0</v>
      </c>
      <c r="U131" t="n">
        <v>0</v>
      </c>
      <c r="V131" t="n">
        <v>-0</v>
      </c>
      <c r="W131" t="n">
        <v>0</v>
      </c>
      <c r="X131" t="n">
        <v>0</v>
      </c>
    </row>
    <row r="132" ht="21" customHeight="1">
      <c r="A132" t="inlineStr">
        <is>
          <t>Penaeus californiensis</t>
        </is>
      </c>
      <c r="B132" t="n">
        <v>2.7</v>
      </c>
      <c r="C132" t="n">
        <v>50.118723</v>
      </c>
      <c r="D132" s="10" t="inlineStr">
        <is>
          <t>Macrobenthos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-0</v>
      </c>
      <c r="S132" t="n">
        <v>-0</v>
      </c>
      <c r="U132" t="n">
        <v>0</v>
      </c>
      <c r="V132" t="n">
        <v>-0</v>
      </c>
      <c r="W132" t="n">
        <v>0</v>
      </c>
      <c r="X132" t="n">
        <v>0</v>
      </c>
    </row>
    <row r="133" ht="21" customHeight="1">
      <c r="A133" t="inlineStr">
        <is>
          <t>Ovalipes trimaculatus</t>
        </is>
      </c>
      <c r="B133" t="n">
        <v>4.41</v>
      </c>
      <c r="C133" t="n">
        <v>2570.395783</v>
      </c>
      <c r="D133" s="10" t="inlineStr">
        <is>
          <t>Macrobenthos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-0</v>
      </c>
      <c r="S133" t="n">
        <v>-0</v>
      </c>
      <c r="U133" t="n">
        <v>0</v>
      </c>
      <c r="V133" t="n">
        <v>-0</v>
      </c>
      <c r="W133" t="n">
        <v>0</v>
      </c>
      <c r="X133" t="n">
        <v>0</v>
      </c>
    </row>
    <row r="134" ht="21" customHeight="1">
      <c r="A134" t="inlineStr">
        <is>
          <t>Galeorhinus galeus</t>
        </is>
      </c>
      <c r="B134" t="n">
        <v>4.34</v>
      </c>
      <c r="C134" t="n">
        <v>2187.761624</v>
      </c>
      <c r="D134" s="10" t="inlineStr">
        <is>
          <t>Benthic elasmobranchs</t>
        </is>
      </c>
      <c r="H134" t="n">
        <v>901.535002</v>
      </c>
      <c r="I134" t="n">
        <v>4353.901138</v>
      </c>
      <c r="J134" t="n">
        <v>4362.370626</v>
      </c>
      <c r="K134" t="n">
        <v>2873.606073</v>
      </c>
      <c r="L134" t="n">
        <v>7895.724163</v>
      </c>
      <c r="M134" t="n">
        <v>7895.724163</v>
      </c>
      <c r="N134" t="n">
        <v>7895.724163</v>
      </c>
      <c r="O134" t="n">
        <v>121.943936</v>
      </c>
      <c r="P134" t="n">
        <v>32.745809</v>
      </c>
      <c r="Q134" t="n">
        <v>7895.724163</v>
      </c>
      <c r="S134" t="n">
        <v>121.943936</v>
      </c>
      <c r="U134" t="n">
        <v>32.745809</v>
      </c>
      <c r="V134" t="n">
        <v>32.745809</v>
      </c>
      <c r="W134" t="n">
        <v>88.504266</v>
      </c>
      <c r="X134" t="n">
        <v>9306.463404</v>
      </c>
    </row>
    <row r="135" ht="21" customHeight="1">
      <c r="A135" t="inlineStr">
        <is>
          <t>Thunnus alalunga</t>
        </is>
      </c>
      <c r="B135" t="n">
        <v>4.3</v>
      </c>
      <c r="C135" t="n">
        <v>1995.262315</v>
      </c>
      <c r="D135" s="10" t="inlineStr">
        <is>
          <t>Other large pelagic fish</t>
        </is>
      </c>
      <c r="H135" t="n">
        <v>1271.53527</v>
      </c>
      <c r="I135" t="n">
        <v>553.811408</v>
      </c>
      <c r="J135" t="n">
        <v>570.628617</v>
      </c>
      <c r="K135" t="n">
        <v>304.699956</v>
      </c>
      <c r="L135" t="n">
        <v>1277.756768</v>
      </c>
      <c r="M135" t="n">
        <v>1277.756768</v>
      </c>
      <c r="N135" t="n">
        <v>1277.756768</v>
      </c>
      <c r="O135" t="n">
        <v>326.291005</v>
      </c>
      <c r="P135" t="n">
        <v>93.360283</v>
      </c>
      <c r="Q135" t="n">
        <v>1277.756768</v>
      </c>
      <c r="S135" t="n">
        <v>326.291005</v>
      </c>
      <c r="U135" t="n">
        <v>93.360283</v>
      </c>
      <c r="V135" t="n">
        <v>93.360283</v>
      </c>
      <c r="W135" t="n">
        <v>238.400924</v>
      </c>
      <c r="X135" t="n">
        <v>1534.363238</v>
      </c>
    </row>
    <row r="136" ht="51" customHeight="1">
      <c r="A136" t="inlineStr">
        <is>
          <t>Carangidae</t>
        </is>
      </c>
      <c r="B136" t="n">
        <v>4.05</v>
      </c>
      <c r="C136" t="n">
        <v>1122.018454</v>
      </c>
      <c r="D136" s="10" t="inlineStr">
        <is>
          <t>Other small pelagic fish | Horse mackerel | Other large pelagic fish | Butter fishes</t>
        </is>
      </c>
      <c r="H136" t="n">
        <v>432.575596</v>
      </c>
      <c r="I136" t="n">
        <v>277.684828</v>
      </c>
      <c r="J136" t="n">
        <v>279.173874</v>
      </c>
      <c r="K136" t="n">
        <v>89.81170299999999</v>
      </c>
      <c r="L136" t="n">
        <v>503.814246</v>
      </c>
      <c r="M136" t="n">
        <v>503.814246</v>
      </c>
      <c r="N136" t="n">
        <v>503.814246</v>
      </c>
      <c r="O136" t="n">
        <v>109.453449</v>
      </c>
      <c r="P136" t="n">
        <v>30.33262</v>
      </c>
      <c r="Q136" t="n">
        <v>503.814246</v>
      </c>
      <c r="S136" t="n">
        <v>109.453449</v>
      </c>
      <c r="U136" t="n">
        <v>30.33262</v>
      </c>
      <c r="V136" t="n">
        <v>30.33262</v>
      </c>
      <c r="W136" t="n">
        <v>80.792277</v>
      </c>
      <c r="X136" t="n">
        <v>581.900161</v>
      </c>
    </row>
    <row r="137" ht="21" customHeight="1">
      <c r="A137" t="inlineStr">
        <is>
          <t>Miscellaneous marine crustaceans</t>
        </is>
      </c>
      <c r="B137" t="n">
        <v>2.7</v>
      </c>
      <c r="C137" t="n">
        <v>50.118723</v>
      </c>
      <c r="D137" s="10" t="inlineStr">
        <is>
          <t>Macrobenthos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-0</v>
      </c>
      <c r="S137" t="n">
        <v>-0</v>
      </c>
      <c r="U137" t="n">
        <v>0</v>
      </c>
      <c r="V137" t="n">
        <v>-0</v>
      </c>
      <c r="W137" t="n">
        <v>0</v>
      </c>
      <c r="X137" t="n">
        <v>0</v>
      </c>
    </row>
    <row r="138" ht="21" customHeight="1">
      <c r="A138" t="inlineStr">
        <is>
          <t>Enteroctopus megalocyathus</t>
        </is>
      </c>
      <c r="B138" t="n">
        <v>3.68</v>
      </c>
      <c r="C138" t="n">
        <v>478.630092</v>
      </c>
      <c r="D138" s="10" t="inlineStr">
        <is>
          <t>Other cephalopods</t>
        </is>
      </c>
      <c r="H138" t="n">
        <v>150.480405</v>
      </c>
      <c r="I138" t="n">
        <v>6.99979</v>
      </c>
      <c r="J138" t="n">
        <v>6.99979</v>
      </c>
      <c r="K138" t="n">
        <v>6.6498</v>
      </c>
      <c r="L138" t="n">
        <v>13.582064</v>
      </c>
      <c r="M138" t="n">
        <v>13.582064</v>
      </c>
      <c r="N138" t="n">
        <v>13.582064</v>
      </c>
      <c r="O138" t="n">
        <v>10.929901</v>
      </c>
      <c r="P138" t="n">
        <v>4.936097</v>
      </c>
      <c r="Q138" t="n">
        <v>13.582064</v>
      </c>
      <c r="S138" t="n">
        <v>10.929901</v>
      </c>
      <c r="U138" t="n">
        <v>4.936097</v>
      </c>
      <c r="V138" t="n">
        <v>4.936097</v>
      </c>
      <c r="W138" t="n">
        <v>7.630091</v>
      </c>
      <c r="X138" t="n">
        <v>15.740459</v>
      </c>
    </row>
    <row r="139" ht="21" customHeight="1">
      <c r="A139" t="inlineStr">
        <is>
          <t>Istiophoridae</t>
        </is>
      </c>
      <c r="B139" t="n">
        <v>4.48</v>
      </c>
      <c r="C139" t="n">
        <v>3019.95172</v>
      </c>
      <c r="D139" s="10" t="inlineStr">
        <is>
          <t>Unresolved</t>
        </is>
      </c>
    </row>
    <row r="140" ht="21" customHeight="1">
      <c r="A140" t="inlineStr">
        <is>
          <t>Chrysaora plocamia</t>
        </is>
      </c>
      <c r="D140" s="10" t="inlineStr">
        <is>
          <t>Chrysaora plocamia</t>
        </is>
      </c>
      <c r="H140" t="n">
        <v>159.624645</v>
      </c>
      <c r="I140" t="n">
        <v>218944.119677</v>
      </c>
      <c r="J140" t="n">
        <v>218944.119677</v>
      </c>
      <c r="K140" t="n">
        <v>13.394574</v>
      </c>
      <c r="L140" t="n">
        <v>381475.8649</v>
      </c>
      <c r="M140" t="n">
        <v>381475.864896</v>
      </c>
      <c r="N140" t="n">
        <v>381475.864896</v>
      </c>
      <c r="O140" t="n">
        <v>19.705527</v>
      </c>
      <c r="P140" t="n">
        <v>6.022714</v>
      </c>
      <c r="Q140" t="n">
        <v>381475.864896</v>
      </c>
      <c r="S140" t="n">
        <v>19.705527</v>
      </c>
      <c r="U140" t="n">
        <v>6.022714</v>
      </c>
      <c r="V140" t="n">
        <v>6.022714</v>
      </c>
      <c r="W140" t="n">
        <v>16.755898</v>
      </c>
      <c r="X140" t="n">
        <v>432377.280529</v>
      </c>
    </row>
    <row r="141" ht="21" customHeight="1">
      <c r="A141" t="inlineStr">
        <is>
          <t>Pinguipes chilensis</t>
        </is>
      </c>
      <c r="B141" t="n">
        <v>3.53</v>
      </c>
      <c r="C141" t="n">
        <v>338.844156</v>
      </c>
      <c r="D141" s="10" t="inlineStr">
        <is>
          <t>Medium demersal fish</t>
        </is>
      </c>
      <c r="H141" t="n">
        <v>193.727859</v>
      </c>
      <c r="I141" t="n">
        <v>35.839321</v>
      </c>
      <c r="J141" t="n">
        <v>36.233059</v>
      </c>
      <c r="K141" t="n">
        <v>29.716807</v>
      </c>
      <c r="L141" t="n">
        <v>68.19949200000001</v>
      </c>
      <c r="M141" t="n">
        <v>68.19949200000001</v>
      </c>
      <c r="N141" t="n">
        <v>68.19949200000001</v>
      </c>
      <c r="O141" t="n">
        <v>38.496304</v>
      </c>
      <c r="P141" t="n">
        <v>13.496178</v>
      </c>
      <c r="Q141" t="n">
        <v>68.19949200000001</v>
      </c>
      <c r="S141" t="n">
        <v>38.496304</v>
      </c>
      <c r="U141" t="n">
        <v>13.496178</v>
      </c>
      <c r="V141" t="n">
        <v>13.496178</v>
      </c>
      <c r="W141" t="n">
        <v>28.279976</v>
      </c>
      <c r="X141" t="n">
        <v>76.95169799999999</v>
      </c>
    </row>
    <row r="142" ht="21" customHeight="1">
      <c r="A142" t="inlineStr">
        <is>
          <t>Rajiformes</t>
        </is>
      </c>
      <c r="B142" t="n">
        <v>3.61</v>
      </c>
      <c r="C142" t="n">
        <v>407.380278</v>
      </c>
      <c r="D142" s="10" t="inlineStr">
        <is>
          <t>Benthic elasmobranchs</t>
        </is>
      </c>
      <c r="H142" t="n">
        <v>901.535002</v>
      </c>
      <c r="I142" t="n">
        <v>4353.901138</v>
      </c>
      <c r="J142" t="n">
        <v>4362.370626</v>
      </c>
      <c r="K142" t="n">
        <v>2873.606073</v>
      </c>
      <c r="L142" t="n">
        <v>7895.724163</v>
      </c>
      <c r="M142" t="n">
        <v>7895.724163</v>
      </c>
      <c r="N142" t="n">
        <v>7895.724163</v>
      </c>
      <c r="O142" t="n">
        <v>121.943936</v>
      </c>
      <c r="P142" t="n">
        <v>32.745809</v>
      </c>
      <c r="Q142" t="n">
        <v>7895.724163</v>
      </c>
      <c r="S142" t="n">
        <v>121.943936</v>
      </c>
      <c r="U142" t="n">
        <v>32.745809</v>
      </c>
      <c r="V142" t="n">
        <v>32.745809</v>
      </c>
      <c r="W142" t="n">
        <v>88.504266</v>
      </c>
      <c r="X142" t="n">
        <v>9306.463404</v>
      </c>
    </row>
    <row r="143" ht="21" customHeight="1">
      <c r="A143" t="inlineStr">
        <is>
          <t>Xanthochorus cassidiformis</t>
        </is>
      </c>
      <c r="B143" t="n">
        <v>3.1</v>
      </c>
      <c r="C143" t="n">
        <v>125.892541</v>
      </c>
      <c r="D143" s="10" t="inlineStr">
        <is>
          <t>Macrobenthos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-0</v>
      </c>
      <c r="S143" t="n">
        <v>-0</v>
      </c>
      <c r="U143" t="n">
        <v>0</v>
      </c>
      <c r="V143" t="n">
        <v>-0</v>
      </c>
      <c r="W143" t="n">
        <v>0</v>
      </c>
      <c r="X143" t="n">
        <v>0</v>
      </c>
    </row>
    <row r="144" ht="21" customHeight="1">
      <c r="A144" t="inlineStr">
        <is>
          <t>Panulirus gracilis</t>
        </is>
      </c>
      <c r="B144" t="n">
        <v>2.6</v>
      </c>
      <c r="C144" t="n">
        <v>39.810717</v>
      </c>
      <c r="D144" s="10" t="inlineStr">
        <is>
          <t>Macrobenthos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-0</v>
      </c>
      <c r="S144" t="n">
        <v>-0</v>
      </c>
      <c r="U144" t="n">
        <v>0</v>
      </c>
      <c r="V144" t="n">
        <v>-0</v>
      </c>
      <c r="W144" t="n">
        <v>0</v>
      </c>
      <c r="X144" t="n">
        <v>0</v>
      </c>
    </row>
    <row r="145" ht="21" customHeight="1">
      <c r="A145" t="inlineStr">
        <is>
          <t>Mustelus</t>
        </is>
      </c>
      <c r="B145" t="n">
        <v>3.73</v>
      </c>
      <c r="C145" t="n">
        <v>537.031796</v>
      </c>
      <c r="D145" s="10" t="inlineStr">
        <is>
          <t>Benthic elasmobranchs</t>
        </is>
      </c>
      <c r="H145" t="n">
        <v>901.535002</v>
      </c>
      <c r="I145" t="n">
        <v>4353.901138</v>
      </c>
      <c r="J145" t="n">
        <v>4362.370626</v>
      </c>
      <c r="K145" t="n">
        <v>2873.606073</v>
      </c>
      <c r="L145" t="n">
        <v>7895.724163</v>
      </c>
      <c r="M145" t="n">
        <v>7895.724163</v>
      </c>
      <c r="N145" t="n">
        <v>7895.724163</v>
      </c>
      <c r="O145" t="n">
        <v>121.943936</v>
      </c>
      <c r="P145" t="n">
        <v>32.745809</v>
      </c>
      <c r="Q145" t="n">
        <v>7895.724163</v>
      </c>
      <c r="S145" t="n">
        <v>121.943936</v>
      </c>
      <c r="U145" t="n">
        <v>32.745809</v>
      </c>
      <c r="V145" t="n">
        <v>32.745809</v>
      </c>
      <c r="W145" t="n">
        <v>88.504266</v>
      </c>
      <c r="X145" t="n">
        <v>9306.463404</v>
      </c>
    </row>
    <row r="146" ht="21" customHeight="1">
      <c r="A146" t="inlineStr">
        <is>
          <t>Emmelichthys nitidus</t>
        </is>
      </c>
      <c r="D146" s="10" t="inlineStr">
        <is>
          <t>Unresolved</t>
        </is>
      </c>
    </row>
    <row r="147" ht="21" customHeight="1">
      <c r="A147" t="inlineStr">
        <is>
          <t>Tetrapturus</t>
        </is>
      </c>
      <c r="D147" s="10" t="inlineStr">
        <is>
          <t>Unresolved</t>
        </is>
      </c>
    </row>
    <row r="148" ht="21" customHeight="1">
      <c r="A148" t="inlineStr">
        <is>
          <t>Nemadactylus</t>
        </is>
      </c>
      <c r="D148" s="10" t="inlineStr">
        <is>
          <t>Medium demersal fish</t>
        </is>
      </c>
      <c r="H148" t="n">
        <v>193.727859</v>
      </c>
      <c r="I148" t="n">
        <v>35.839321</v>
      </c>
      <c r="J148" t="n">
        <v>36.233059</v>
      </c>
      <c r="K148" t="n">
        <v>29.716807</v>
      </c>
      <c r="L148" t="n">
        <v>68.19949200000001</v>
      </c>
      <c r="M148" t="n">
        <v>68.19949200000001</v>
      </c>
      <c r="N148" t="n">
        <v>68.19949200000001</v>
      </c>
      <c r="O148" t="n">
        <v>38.496304</v>
      </c>
      <c r="P148" t="n">
        <v>13.496178</v>
      </c>
      <c r="Q148" t="n">
        <v>68.19949200000001</v>
      </c>
      <c r="S148" t="n">
        <v>38.496304</v>
      </c>
      <c r="U148" t="n">
        <v>13.496178</v>
      </c>
      <c r="V148" t="n">
        <v>13.496178</v>
      </c>
      <c r="W148" t="n">
        <v>28.279976</v>
      </c>
      <c r="X148" t="n">
        <v>76.95169799999999</v>
      </c>
    </row>
    <row r="149" ht="21" customHeight="1">
      <c r="A149" t="inlineStr">
        <is>
          <t>Kajikia audax</t>
        </is>
      </c>
      <c r="B149" t="n">
        <v>4.58</v>
      </c>
      <c r="C149" t="n">
        <v>3801.893963</v>
      </c>
      <c r="D149" s="10" t="inlineStr">
        <is>
          <t>Unresolved</t>
        </is>
      </c>
    </row>
    <row r="150" ht="21" customHeight="1">
      <c r="A150" t="inlineStr">
        <is>
          <t>Genypterus</t>
        </is>
      </c>
      <c r="B150" t="n">
        <v>4.2</v>
      </c>
      <c r="C150" t="n">
        <v>1584.893192</v>
      </c>
      <c r="D150" s="10" t="inlineStr">
        <is>
          <t>Unresolved</t>
        </is>
      </c>
    </row>
    <row r="151" ht="21" customHeight="1">
      <c r="A151" t="inlineStr">
        <is>
          <t>Zygochlamys patagonica</t>
        </is>
      </c>
      <c r="D151" s="10" t="inlineStr">
        <is>
          <t>Macrobenthos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-0</v>
      </c>
      <c r="S151" t="n">
        <v>-0</v>
      </c>
      <c r="U151" t="n">
        <v>0</v>
      </c>
      <c r="V151" t="n">
        <v>-0</v>
      </c>
      <c r="W151" t="n">
        <v>0</v>
      </c>
      <c r="X151" t="n">
        <v>0</v>
      </c>
    </row>
    <row r="152" ht="21" customHeight="1">
      <c r="A152" t="inlineStr">
        <is>
          <t>Dipturus trachyderma</t>
        </is>
      </c>
      <c r="B152" t="n">
        <v>4.14</v>
      </c>
      <c r="C152" t="n">
        <v>1380.384265</v>
      </c>
      <c r="D152" s="10" t="inlineStr">
        <is>
          <t>Benthic elasmobranchs</t>
        </is>
      </c>
      <c r="H152" t="n">
        <v>901.535002</v>
      </c>
      <c r="I152" t="n">
        <v>4353.901138</v>
      </c>
      <c r="J152" t="n">
        <v>4362.370626</v>
      </c>
      <c r="K152" t="n">
        <v>2873.606073</v>
      </c>
      <c r="L152" t="n">
        <v>7895.724163</v>
      </c>
      <c r="M152" t="n">
        <v>7895.724163</v>
      </c>
      <c r="N152" t="n">
        <v>7895.724163</v>
      </c>
      <c r="O152" t="n">
        <v>121.943936</v>
      </c>
      <c r="P152" t="n">
        <v>32.745809</v>
      </c>
      <c r="Q152" t="n">
        <v>7895.724163</v>
      </c>
      <c r="S152" t="n">
        <v>121.943936</v>
      </c>
      <c r="U152" t="n">
        <v>32.745809</v>
      </c>
      <c r="V152" t="n">
        <v>32.745809</v>
      </c>
      <c r="W152" t="n">
        <v>88.504266</v>
      </c>
      <c r="X152" t="n">
        <v>9306.463404</v>
      </c>
    </row>
    <row r="153" ht="21" customHeight="1">
      <c r="A153" t="inlineStr">
        <is>
          <t>Istiophorus platypterus</t>
        </is>
      </c>
      <c r="B153" t="n">
        <v>4.5</v>
      </c>
      <c r="C153" t="n">
        <v>3162.27766</v>
      </c>
      <c r="D153" s="10" t="inlineStr">
        <is>
          <t>Unresolved</t>
        </is>
      </c>
    </row>
    <row r="154" ht="21" customHeight="1">
      <c r="A154" t="inlineStr">
        <is>
          <t>Squalus acanthias</t>
        </is>
      </c>
      <c r="D154" s="10" t="inlineStr">
        <is>
          <t>Benthic elasmobranchs</t>
        </is>
      </c>
      <c r="H154" t="n">
        <v>901.535002</v>
      </c>
      <c r="I154" t="n">
        <v>4353.901138</v>
      </c>
      <c r="J154" t="n">
        <v>4362.370626</v>
      </c>
      <c r="K154" t="n">
        <v>2873.606073</v>
      </c>
      <c r="L154" t="n">
        <v>7895.724163</v>
      </c>
      <c r="M154" t="n">
        <v>7895.724163</v>
      </c>
      <c r="N154" t="n">
        <v>7895.724163</v>
      </c>
      <c r="O154" t="n">
        <v>121.943936</v>
      </c>
      <c r="P154" t="n">
        <v>32.745809</v>
      </c>
      <c r="Q154" t="n">
        <v>7895.724163</v>
      </c>
      <c r="S154" t="n">
        <v>121.943936</v>
      </c>
      <c r="U154" t="n">
        <v>32.745809</v>
      </c>
      <c r="V154" t="n">
        <v>32.745809</v>
      </c>
      <c r="W154" t="n">
        <v>88.504266</v>
      </c>
      <c r="X154" t="n">
        <v>9306.463404</v>
      </c>
    </row>
    <row r="155" ht="21" customHeight="1">
      <c r="A155" t="inlineStr">
        <is>
          <t>Galatheidae</t>
        </is>
      </c>
      <c r="B155" t="n">
        <v>3.1</v>
      </c>
      <c r="C155" t="n">
        <v>125.892541</v>
      </c>
      <c r="D155" s="10" t="inlineStr">
        <is>
          <t>Macrobenthos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-0</v>
      </c>
      <c r="S155" t="n">
        <v>-0</v>
      </c>
      <c r="U155" t="n">
        <v>0</v>
      </c>
      <c r="V155" t="n">
        <v>-0</v>
      </c>
      <c r="W155" t="n">
        <v>0</v>
      </c>
      <c r="X155" t="n">
        <v>0</v>
      </c>
    </row>
    <row r="156" ht="21" customHeight="1">
      <c r="A156" t="inlineStr">
        <is>
          <t>Rhynchocinetes typus</t>
        </is>
      </c>
      <c r="B156" t="n">
        <v>2.88</v>
      </c>
      <c r="C156" t="n">
        <v>75.857758</v>
      </c>
      <c r="D156" s="10" t="inlineStr">
        <is>
          <t>Macrobenthos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-0</v>
      </c>
      <c r="S156" t="n">
        <v>-0</v>
      </c>
      <c r="U156" t="n">
        <v>0</v>
      </c>
      <c r="V156" t="n">
        <v>-0</v>
      </c>
      <c r="W156" t="n">
        <v>0</v>
      </c>
      <c r="X156" t="n">
        <v>0</v>
      </c>
    </row>
    <row r="157" ht="21" customHeight="1">
      <c r="A157" t="inlineStr">
        <is>
          <t>Lamna nasus</t>
        </is>
      </c>
      <c r="B157" t="n">
        <v>4.57</v>
      </c>
      <c r="C157" t="n">
        <v>3715.352291</v>
      </c>
      <c r="D157" s="10" t="inlineStr">
        <is>
          <t>Chondrichthyans</t>
        </is>
      </c>
      <c r="H157" t="n">
        <v>6361.615187</v>
      </c>
      <c r="I157" t="n">
        <v>2595.935459</v>
      </c>
      <c r="J157" t="n">
        <v>2746.864011</v>
      </c>
      <c r="K157" t="n">
        <v>1549.866588</v>
      </c>
      <c r="L157" t="n">
        <v>7571.338585</v>
      </c>
      <c r="M157" t="n">
        <v>7571.338585</v>
      </c>
      <c r="N157" t="n">
        <v>7571.338585</v>
      </c>
      <c r="O157" t="n">
        <v>897.313094</v>
      </c>
      <c r="P157" t="n">
        <v>195.202386</v>
      </c>
      <c r="Q157" t="n">
        <v>7571.338585</v>
      </c>
      <c r="S157" t="n">
        <v>897.313094</v>
      </c>
      <c r="U157" t="n">
        <v>195.202386</v>
      </c>
      <c r="V157" t="n">
        <v>195.202386</v>
      </c>
      <c r="W157" t="n">
        <v>628.5731939999999</v>
      </c>
      <c r="X157" t="n">
        <v>9364.462680000001</v>
      </c>
    </row>
    <row r="158" ht="21" customHeight="1">
      <c r="A158" t="inlineStr">
        <is>
          <t>Coelorinchus chilensis</t>
        </is>
      </c>
      <c r="D158" s="10" t="inlineStr">
        <is>
          <t>Unresolved</t>
        </is>
      </c>
    </row>
    <row r="159" ht="21" customHeight="1">
      <c r="A159" t="inlineStr">
        <is>
          <t>Cancer plebejus</t>
        </is>
      </c>
      <c r="B159" t="n">
        <v>2.97</v>
      </c>
      <c r="C159" t="n">
        <v>93.32543</v>
      </c>
      <c r="D159" s="10" t="inlineStr">
        <is>
          <t>Macrobenthos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-0</v>
      </c>
      <c r="S159" t="n">
        <v>-0</v>
      </c>
      <c r="U159" t="n">
        <v>0</v>
      </c>
      <c r="V159" t="n">
        <v>-0</v>
      </c>
      <c r="W159" t="n">
        <v>0</v>
      </c>
      <c r="X159" t="n">
        <v>0</v>
      </c>
    </row>
    <row r="160" ht="21" customHeight="1">
      <c r="A160" t="inlineStr">
        <is>
          <t>Fistularia corneta</t>
        </is>
      </c>
      <c r="B160" t="n">
        <v>4.5</v>
      </c>
      <c r="C160" t="n">
        <v>3162.27766</v>
      </c>
      <c r="D160" s="10" t="inlineStr">
        <is>
          <t>Unresolved</t>
        </is>
      </c>
    </row>
    <row r="161" ht="21" customHeight="1">
      <c r="A161" t="inlineStr">
        <is>
          <t>Trichiuridae</t>
        </is>
      </c>
      <c r="D161" s="10" t="inlineStr">
        <is>
          <t>Unresolved</t>
        </is>
      </c>
    </row>
    <row r="162" ht="21" customHeight="1">
      <c r="A162" t="inlineStr">
        <is>
          <t>Cynoglossidae</t>
        </is>
      </c>
      <c r="B162" t="n">
        <v>3.29</v>
      </c>
      <c r="C162" t="n">
        <v>194.98446</v>
      </c>
      <c r="D162" s="10" t="inlineStr">
        <is>
          <t>Flatfish</t>
        </is>
      </c>
      <c r="H162" t="n">
        <v>1232.2037</v>
      </c>
      <c r="I162" t="n">
        <v>172.118208</v>
      </c>
      <c r="J162" t="n">
        <v>172.118208</v>
      </c>
      <c r="K162" t="n">
        <v>171.336582</v>
      </c>
      <c r="L162" t="n">
        <v>310.666808</v>
      </c>
      <c r="M162" t="n">
        <v>310.666808</v>
      </c>
      <c r="N162" t="n">
        <v>310.666808</v>
      </c>
      <c r="O162" t="n">
        <v>194.914667</v>
      </c>
      <c r="P162" t="n">
        <v>55.961493</v>
      </c>
      <c r="Q162" t="n">
        <v>310.666808</v>
      </c>
      <c r="S162" t="n">
        <v>194.914667</v>
      </c>
      <c r="U162" t="n">
        <v>55.961493</v>
      </c>
      <c r="V162" t="n">
        <v>55.961493</v>
      </c>
      <c r="W162" t="n">
        <v>167.629288</v>
      </c>
      <c r="X162" t="n">
        <v>355.992575</v>
      </c>
    </row>
    <row r="163" ht="21" customHeight="1">
      <c r="A163" t="inlineStr">
        <is>
          <t>Lampris guttatus</t>
        </is>
      </c>
      <c r="B163" t="n">
        <v>4.22</v>
      </c>
      <c r="C163" t="n">
        <v>1659.586907</v>
      </c>
      <c r="D163" s="10" t="inlineStr">
        <is>
          <t>Unresolved</t>
        </is>
      </c>
    </row>
    <row r="164" ht="21" customHeight="1">
      <c r="A164" t="inlineStr">
        <is>
          <t>Epinephelus</t>
        </is>
      </c>
      <c r="B164" t="n">
        <v>3.84</v>
      </c>
      <c r="C164" t="n">
        <v>691.830971</v>
      </c>
      <c r="D164" s="10" t="inlineStr">
        <is>
          <t>Medium demersal fish</t>
        </is>
      </c>
      <c r="H164" t="n">
        <v>193.727859</v>
      </c>
      <c r="I164" t="n">
        <v>35.839321</v>
      </c>
      <c r="J164" t="n">
        <v>36.233059</v>
      </c>
      <c r="K164" t="n">
        <v>29.716807</v>
      </c>
      <c r="L164" t="n">
        <v>68.19949200000001</v>
      </c>
      <c r="M164" t="n">
        <v>68.19949200000001</v>
      </c>
      <c r="N164" t="n">
        <v>68.19949200000001</v>
      </c>
      <c r="O164" t="n">
        <v>38.496304</v>
      </c>
      <c r="P164" t="n">
        <v>13.496178</v>
      </c>
      <c r="Q164" t="n">
        <v>68.19949200000001</v>
      </c>
      <c r="S164" t="n">
        <v>38.496304</v>
      </c>
      <c r="U164" t="n">
        <v>13.496178</v>
      </c>
      <c r="V164" t="n">
        <v>13.496178</v>
      </c>
      <c r="W164" t="n">
        <v>28.279976</v>
      </c>
      <c r="X164" t="n">
        <v>76.95169799999999</v>
      </c>
    </row>
    <row r="165" ht="21" customHeight="1">
      <c r="A165" t="inlineStr">
        <is>
          <t>Isurus</t>
        </is>
      </c>
      <c r="B165" t="n">
        <v>4.5</v>
      </c>
      <c r="C165" t="n">
        <v>3162.27766</v>
      </c>
      <c r="D165" s="10" t="inlineStr">
        <is>
          <t>Chondrichthyans</t>
        </is>
      </c>
      <c r="H165" t="n">
        <v>6361.615187</v>
      </c>
      <c r="I165" t="n">
        <v>2595.935459</v>
      </c>
      <c r="J165" t="n">
        <v>2746.864011</v>
      </c>
      <c r="K165" t="n">
        <v>1549.866588</v>
      </c>
      <c r="L165" t="n">
        <v>7571.338585</v>
      </c>
      <c r="M165" t="n">
        <v>7571.338585</v>
      </c>
      <c r="N165" t="n">
        <v>7571.338585</v>
      </c>
      <c r="O165" t="n">
        <v>897.313094</v>
      </c>
      <c r="P165" t="n">
        <v>195.202386</v>
      </c>
      <c r="Q165" t="n">
        <v>7571.338585</v>
      </c>
      <c r="S165" t="n">
        <v>897.313094</v>
      </c>
      <c r="U165" t="n">
        <v>195.202386</v>
      </c>
      <c r="V165" t="n">
        <v>195.202386</v>
      </c>
      <c r="W165" t="n">
        <v>628.5731939999999</v>
      </c>
      <c r="X165" t="n">
        <v>9364.462680000001</v>
      </c>
    </row>
    <row r="166" ht="21" customHeight="1">
      <c r="A166" t="inlineStr">
        <is>
          <t>Rajidae</t>
        </is>
      </c>
      <c r="D166" s="10" t="inlineStr">
        <is>
          <t>Benthic elasmobranchs</t>
        </is>
      </c>
      <c r="H166" t="n">
        <v>901.535002</v>
      </c>
      <c r="I166" t="n">
        <v>4353.901138</v>
      </c>
      <c r="J166" t="n">
        <v>4362.370626</v>
      </c>
      <c r="K166" t="n">
        <v>2873.606073</v>
      </c>
      <c r="L166" t="n">
        <v>7895.724163</v>
      </c>
      <c r="M166" t="n">
        <v>7895.724163</v>
      </c>
      <c r="N166" t="n">
        <v>7895.724163</v>
      </c>
      <c r="O166" t="n">
        <v>121.943936</v>
      </c>
      <c r="P166" t="n">
        <v>32.745809</v>
      </c>
      <c r="Q166" t="n">
        <v>7895.724163</v>
      </c>
      <c r="S166" t="n">
        <v>121.943936</v>
      </c>
      <c r="U166" t="n">
        <v>32.745809</v>
      </c>
      <c r="V166" t="n">
        <v>32.745809</v>
      </c>
      <c r="W166" t="n">
        <v>88.504266</v>
      </c>
      <c r="X166" t="n">
        <v>9306.463404</v>
      </c>
    </row>
    <row r="167" ht="21" customHeight="1">
      <c r="A167" t="inlineStr">
        <is>
          <t>Aplodactylus punctatus</t>
        </is>
      </c>
      <c r="B167" t="n">
        <v>2.04</v>
      </c>
      <c r="C167" t="n">
        <v>10.964782</v>
      </c>
      <c r="D167" s="10" t="inlineStr">
        <is>
          <t>Unresolved</t>
        </is>
      </c>
    </row>
    <row r="168" ht="21" customHeight="1">
      <c r="A168" t="inlineStr">
        <is>
          <t>Euthynnus lineatus</t>
        </is>
      </c>
      <c r="B168" t="n">
        <v>3.83</v>
      </c>
      <c r="C168" t="n">
        <v>676.082975</v>
      </c>
      <c r="D168" s="10" t="inlineStr">
        <is>
          <t>Other large pelagic fish</t>
        </is>
      </c>
      <c r="H168" t="n">
        <v>1271.53527</v>
      </c>
      <c r="I168" t="n">
        <v>553.811408</v>
      </c>
      <c r="J168" t="n">
        <v>570.628617</v>
      </c>
      <c r="K168" t="n">
        <v>304.699956</v>
      </c>
      <c r="L168" t="n">
        <v>1277.756768</v>
      </c>
      <c r="M168" t="n">
        <v>1277.756768</v>
      </c>
      <c r="N168" t="n">
        <v>1277.756768</v>
      </c>
      <c r="O168" t="n">
        <v>326.291005</v>
      </c>
      <c r="P168" t="n">
        <v>93.360283</v>
      </c>
      <c r="Q168" t="n">
        <v>1277.756768</v>
      </c>
      <c r="S168" t="n">
        <v>326.291005</v>
      </c>
      <c r="U168" t="n">
        <v>93.360283</v>
      </c>
      <c r="V168" t="n">
        <v>93.360283</v>
      </c>
      <c r="W168" t="n">
        <v>238.400924</v>
      </c>
      <c r="X168" t="n">
        <v>1534.363238</v>
      </c>
    </row>
    <row r="169" ht="36" customHeight="1">
      <c r="A169" t="inlineStr">
        <is>
          <t>Chondrichthyes</t>
        </is>
      </c>
      <c r="B169" t="n">
        <v>4</v>
      </c>
      <c r="C169" t="n">
        <v>1000</v>
      </c>
      <c r="D169" s="10" t="inlineStr">
        <is>
          <t>Benthic elasmobranchs | Chondrichthyans</t>
        </is>
      </c>
      <c r="H169" t="n">
        <v>2829.953437</v>
      </c>
      <c r="I169" t="n">
        <v>3733.014025</v>
      </c>
      <c r="J169" t="n">
        <v>3791.797918</v>
      </c>
      <c r="K169" t="n">
        <v>2406.081139</v>
      </c>
      <c r="L169" t="n">
        <v>7781.156042</v>
      </c>
      <c r="M169" t="n">
        <v>7781.156042</v>
      </c>
      <c r="N169" t="n">
        <v>7781.156042</v>
      </c>
      <c r="O169" t="n">
        <v>395.792694</v>
      </c>
      <c r="P169" t="n">
        <v>90.123036</v>
      </c>
      <c r="Q169" t="n">
        <v>7781.156042</v>
      </c>
      <c r="S169" t="n">
        <v>395.792694</v>
      </c>
      <c r="U169" t="n">
        <v>90.123036</v>
      </c>
      <c r="V169" t="n">
        <v>90.123036</v>
      </c>
      <c r="W169" t="n">
        <v>279.248512</v>
      </c>
      <c r="X169" t="n">
        <v>9326.947878000001</v>
      </c>
    </row>
    <row r="170" ht="21" customHeight="1">
      <c r="A170" t="inlineStr">
        <is>
          <t>Thunnus orientalis</t>
        </is>
      </c>
      <c r="B170" t="n">
        <v>4.05</v>
      </c>
      <c r="C170" t="n">
        <v>1122.018454</v>
      </c>
      <c r="D170" s="10" t="inlineStr">
        <is>
          <t>Other large pelagic fish</t>
        </is>
      </c>
      <c r="H170" t="n">
        <v>1271.53527</v>
      </c>
      <c r="I170" t="n">
        <v>553.811408</v>
      </c>
      <c r="J170" t="n">
        <v>570.628617</v>
      </c>
      <c r="K170" t="n">
        <v>304.699956</v>
      </c>
      <c r="L170" t="n">
        <v>1277.756768</v>
      </c>
      <c r="M170" t="n">
        <v>1277.756768</v>
      </c>
      <c r="N170" t="n">
        <v>1277.756768</v>
      </c>
      <c r="O170" t="n">
        <v>326.291005</v>
      </c>
      <c r="P170" t="n">
        <v>93.360283</v>
      </c>
      <c r="Q170" t="n">
        <v>1277.756768</v>
      </c>
      <c r="S170" t="n">
        <v>326.291005</v>
      </c>
      <c r="U170" t="n">
        <v>93.360283</v>
      </c>
      <c r="V170" t="n">
        <v>93.360283</v>
      </c>
      <c r="W170" t="n">
        <v>238.400924</v>
      </c>
      <c r="X170" t="n">
        <v>1534.363238</v>
      </c>
    </row>
    <row r="171" ht="21" customHeight="1">
      <c r="A171" t="inlineStr">
        <is>
          <t>Carcharhinus falciformis</t>
        </is>
      </c>
      <c r="B171" t="n">
        <v>4.51</v>
      </c>
      <c r="C171" t="n">
        <v>3235.936569</v>
      </c>
      <c r="D171" s="10" t="inlineStr">
        <is>
          <t>Chondrichthyans</t>
        </is>
      </c>
      <c r="H171" t="n">
        <v>6361.615187</v>
      </c>
      <c r="I171" t="n">
        <v>2595.935459</v>
      </c>
      <c r="J171" t="n">
        <v>2746.864011</v>
      </c>
      <c r="K171" t="n">
        <v>1549.866588</v>
      </c>
      <c r="L171" t="n">
        <v>7571.338585</v>
      </c>
      <c r="M171" t="n">
        <v>7571.338585</v>
      </c>
      <c r="N171" t="n">
        <v>7571.338585</v>
      </c>
      <c r="O171" t="n">
        <v>897.313094</v>
      </c>
      <c r="P171" t="n">
        <v>195.202386</v>
      </c>
      <c r="Q171" t="n">
        <v>7571.338585</v>
      </c>
      <c r="S171" t="n">
        <v>897.313094</v>
      </c>
      <c r="U171" t="n">
        <v>195.202386</v>
      </c>
      <c r="V171" t="n">
        <v>195.202386</v>
      </c>
      <c r="W171" t="n">
        <v>628.5731939999999</v>
      </c>
      <c r="X171" t="n">
        <v>9364.462680000001</v>
      </c>
    </row>
    <row r="172" ht="21" customHeight="1">
      <c r="A172" t="inlineStr">
        <is>
          <t>Holothuriidae</t>
        </is>
      </c>
      <c r="B172" t="n">
        <v>2</v>
      </c>
      <c r="C172" t="n">
        <v>10</v>
      </c>
      <c r="D172" s="10" t="inlineStr">
        <is>
          <t>Macrobenthos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-0</v>
      </c>
      <c r="S172" t="n">
        <v>-0</v>
      </c>
      <c r="U172" t="n">
        <v>0</v>
      </c>
      <c r="V172" t="n">
        <v>-0</v>
      </c>
      <c r="W172" t="n">
        <v>0</v>
      </c>
      <c r="X172" t="n">
        <v>0</v>
      </c>
    </row>
    <row r="173" ht="21" customHeight="1">
      <c r="A173" t="inlineStr">
        <is>
          <t>Brama brama</t>
        </is>
      </c>
      <c r="B173" t="n">
        <v>4.08</v>
      </c>
      <c r="C173" t="n">
        <v>1202.264435</v>
      </c>
      <c r="D173" s="10" t="inlineStr">
        <is>
          <t>Unresolved</t>
        </is>
      </c>
    </row>
    <row r="174" ht="21" customHeight="1">
      <c r="A174" t="inlineStr">
        <is>
          <t>Mobula birostris</t>
        </is>
      </c>
      <c r="B174" t="n">
        <v>3.46</v>
      </c>
      <c r="C174" t="n">
        <v>288.40315</v>
      </c>
      <c r="D174" s="10" t="inlineStr">
        <is>
          <t>Chondrichthyans</t>
        </is>
      </c>
      <c r="H174" t="n">
        <v>6361.615187</v>
      </c>
      <c r="I174" t="n">
        <v>2595.935459</v>
      </c>
      <c r="J174" t="n">
        <v>2746.864011</v>
      </c>
      <c r="K174" t="n">
        <v>1549.866588</v>
      </c>
      <c r="L174" t="n">
        <v>7571.338585</v>
      </c>
      <c r="M174" t="n">
        <v>7571.338585</v>
      </c>
      <c r="N174" t="n">
        <v>7571.338585</v>
      </c>
      <c r="O174" t="n">
        <v>897.313094</v>
      </c>
      <c r="P174" t="n">
        <v>195.202386</v>
      </c>
      <c r="Q174" t="n">
        <v>7571.338585</v>
      </c>
      <c r="S174" t="n">
        <v>897.313094</v>
      </c>
      <c r="U174" t="n">
        <v>195.202386</v>
      </c>
      <c r="V174" t="n">
        <v>195.202386</v>
      </c>
      <c r="W174" t="n">
        <v>628.5731939999999</v>
      </c>
      <c r="X174" t="n">
        <v>9364.462680000001</v>
      </c>
    </row>
    <row r="175" ht="21" customHeight="1">
      <c r="A175" t="inlineStr">
        <is>
          <t>Malacanthidae</t>
        </is>
      </c>
      <c r="B175" t="n">
        <v>3.62</v>
      </c>
      <c r="C175" t="n">
        <v>416.869383</v>
      </c>
      <c r="D175" s="10" t="inlineStr">
        <is>
          <t>Medium demersal fish</t>
        </is>
      </c>
      <c r="H175" t="n">
        <v>193.727859</v>
      </c>
      <c r="I175" t="n">
        <v>35.839321</v>
      </c>
      <c r="J175" t="n">
        <v>36.233059</v>
      </c>
      <c r="K175" t="n">
        <v>29.716807</v>
      </c>
      <c r="L175" t="n">
        <v>68.19949200000001</v>
      </c>
      <c r="M175" t="n">
        <v>68.19949200000001</v>
      </c>
      <c r="N175" t="n">
        <v>68.19949200000001</v>
      </c>
      <c r="O175" t="n">
        <v>38.496304</v>
      </c>
      <c r="P175" t="n">
        <v>13.496178</v>
      </c>
      <c r="Q175" t="n">
        <v>68.19949200000001</v>
      </c>
      <c r="S175" t="n">
        <v>38.496304</v>
      </c>
      <c r="U175" t="n">
        <v>13.496178</v>
      </c>
      <c r="V175" t="n">
        <v>13.496178</v>
      </c>
      <c r="W175" t="n">
        <v>28.279976</v>
      </c>
      <c r="X175" t="n">
        <v>76.95169799999999</v>
      </c>
    </row>
    <row r="176" ht="36" customHeight="1">
      <c r="A176" t="inlineStr">
        <is>
          <t>Marine groundfishes not identified</t>
        </is>
      </c>
      <c r="D176" s="10" t="inlineStr">
        <is>
          <t>Small demersal fish | Medium demersal fish | Medium sciaenids</t>
        </is>
      </c>
      <c r="H176" t="n">
        <v>228.031522</v>
      </c>
      <c r="I176" t="n">
        <v>656.2956339999999</v>
      </c>
      <c r="J176" t="n">
        <v>656.723935</v>
      </c>
      <c r="K176" t="n">
        <v>468.232816</v>
      </c>
      <c r="L176" t="n">
        <v>1402.227086</v>
      </c>
      <c r="M176" t="n">
        <v>1402.227086</v>
      </c>
      <c r="N176" t="n">
        <v>1402.227086</v>
      </c>
      <c r="O176" t="n">
        <v>48.143913</v>
      </c>
      <c r="P176" t="n">
        <v>16.126983</v>
      </c>
      <c r="Q176" t="n">
        <v>1402.227086</v>
      </c>
      <c r="S176" t="n">
        <v>48.143913</v>
      </c>
      <c r="U176" t="n">
        <v>16.126983</v>
      </c>
      <c r="V176" t="n">
        <v>16.126983</v>
      </c>
      <c r="W176" t="n">
        <v>38.633943</v>
      </c>
      <c r="X176" t="n">
        <v>1661.269592</v>
      </c>
    </row>
    <row r="177" ht="21" customHeight="1">
      <c r="A177" t="inlineStr">
        <is>
          <t>Micromesistius australis</t>
        </is>
      </c>
      <c r="B177" t="n">
        <v>3.76</v>
      </c>
      <c r="C177" t="n">
        <v>575.439937</v>
      </c>
      <c r="D177" s="10" t="inlineStr">
        <is>
          <t>Unresolved</t>
        </is>
      </c>
    </row>
    <row r="178" ht="36" customHeight="1">
      <c r="A178" t="inlineStr">
        <is>
          <t>Scombroidei</t>
        </is>
      </c>
      <c r="D178" s="10" t="inlineStr">
        <is>
          <t>Chub mackerel | Other large pelagic fish</t>
        </is>
      </c>
      <c r="H178" t="n">
        <v>861.7939679999999</v>
      </c>
      <c r="I178" t="n">
        <v>959.856367</v>
      </c>
      <c r="J178" t="n">
        <v>965.063432</v>
      </c>
      <c r="K178" t="n">
        <v>216.642971</v>
      </c>
      <c r="L178" t="n">
        <v>1740.241574</v>
      </c>
      <c r="M178" t="n">
        <v>1740.241574</v>
      </c>
      <c r="N178" t="n">
        <v>1740.241574</v>
      </c>
      <c r="O178" t="n">
        <v>253.268464</v>
      </c>
      <c r="P178" t="n">
        <v>73.42951100000001</v>
      </c>
      <c r="Q178" t="n">
        <v>1740.241574</v>
      </c>
      <c r="S178" t="n">
        <v>253.268464</v>
      </c>
      <c r="U178" t="n">
        <v>73.42951100000001</v>
      </c>
      <c r="V178" t="n">
        <v>73.42951100000001</v>
      </c>
      <c r="W178" t="n">
        <v>189.48135</v>
      </c>
      <c r="X178" t="n">
        <v>1995.746036</v>
      </c>
    </row>
    <row r="179" ht="21" customHeight="1">
      <c r="A179" t="inlineStr">
        <is>
          <t>Mustelus mento</t>
        </is>
      </c>
      <c r="B179" t="n">
        <v>3.66</v>
      </c>
      <c r="C179" t="n">
        <v>457.08819</v>
      </c>
      <c r="D179" s="10" t="inlineStr">
        <is>
          <t>Benthic elasmobranchs</t>
        </is>
      </c>
      <c r="H179" t="n">
        <v>901.535002</v>
      </c>
      <c r="I179" t="n">
        <v>4353.901138</v>
      </c>
      <c r="J179" t="n">
        <v>4362.370626</v>
      </c>
      <c r="K179" t="n">
        <v>2873.606073</v>
      </c>
      <c r="L179" t="n">
        <v>7895.724163</v>
      </c>
      <c r="M179" t="n">
        <v>7895.724163</v>
      </c>
      <c r="N179" t="n">
        <v>7895.724163</v>
      </c>
      <c r="O179" t="n">
        <v>121.943936</v>
      </c>
      <c r="P179" t="n">
        <v>32.745809</v>
      </c>
      <c r="Q179" t="n">
        <v>7895.724163</v>
      </c>
      <c r="S179" t="n">
        <v>121.943936</v>
      </c>
      <c r="U179" t="n">
        <v>32.745809</v>
      </c>
      <c r="V179" t="n">
        <v>32.745809</v>
      </c>
      <c r="W179" t="n">
        <v>88.504266</v>
      </c>
      <c r="X179" t="n">
        <v>9306.463404</v>
      </c>
    </row>
    <row r="180" ht="21" customHeight="1">
      <c r="A180" t="inlineStr">
        <is>
          <t>Trichiurus lepturus</t>
        </is>
      </c>
      <c r="B180" t="n">
        <v>4.42</v>
      </c>
      <c r="C180" t="n">
        <v>2630.267992</v>
      </c>
      <c r="D180" s="10" t="inlineStr">
        <is>
          <t>Unresolved</t>
        </is>
      </c>
    </row>
    <row r="181" ht="36" customHeight="1">
      <c r="A181" t="inlineStr">
        <is>
          <t>Clupeiformes</t>
        </is>
      </c>
      <c r="D181" s="10" t="inlineStr">
        <is>
          <t>Sardine | Anchovy | Other small pelagic fish</t>
        </is>
      </c>
      <c r="H181" t="n">
        <v>115.850583</v>
      </c>
      <c r="I181" t="n">
        <v>26.066333</v>
      </c>
      <c r="J181" t="n">
        <v>26.066333</v>
      </c>
      <c r="K181" t="n">
        <v>21.967399</v>
      </c>
      <c r="L181" t="n">
        <v>44.42046</v>
      </c>
      <c r="M181" t="n">
        <v>44.42046</v>
      </c>
      <c r="N181" t="n">
        <v>44.42046</v>
      </c>
      <c r="O181" t="n">
        <v>32.315562</v>
      </c>
      <c r="P181" t="n">
        <v>11.71548</v>
      </c>
      <c r="Q181" t="n">
        <v>44.42046</v>
      </c>
      <c r="S181" t="n">
        <v>32.315562</v>
      </c>
      <c r="U181" t="n">
        <v>11.71548</v>
      </c>
      <c r="V181" t="n">
        <v>11.71548</v>
      </c>
      <c r="W181" t="n">
        <v>24.570717</v>
      </c>
      <c r="X181" t="n">
        <v>50.075915</v>
      </c>
    </row>
    <row r="182" ht="21" customHeight="1">
      <c r="A182" t="inlineStr">
        <is>
          <t>Taliepus marginatus</t>
        </is>
      </c>
      <c r="B182" t="n">
        <v>2.86</v>
      </c>
      <c r="C182" t="n">
        <v>72.443596</v>
      </c>
      <c r="D182" s="10" t="inlineStr">
        <is>
          <t>Macrobenthos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-0</v>
      </c>
      <c r="S182" t="n">
        <v>-0</v>
      </c>
      <c r="U182" t="n">
        <v>0</v>
      </c>
      <c r="V182" t="n">
        <v>-0</v>
      </c>
      <c r="W182" t="n">
        <v>0</v>
      </c>
      <c r="X182" t="n">
        <v>0</v>
      </c>
    </row>
    <row r="183" ht="21" customHeight="1">
      <c r="A183" t="inlineStr">
        <is>
          <t>Scorpaena histrio</t>
        </is>
      </c>
      <c r="B183" t="n">
        <v>3.7</v>
      </c>
      <c r="C183" t="n">
        <v>501.187234</v>
      </c>
      <c r="D183" s="10" t="inlineStr">
        <is>
          <t>Unresolved</t>
        </is>
      </c>
    </row>
    <row r="184" ht="21" customHeight="1">
      <c r="A184" t="inlineStr">
        <is>
          <t>Elagatis bipinnulata</t>
        </is>
      </c>
      <c r="D184" s="10" t="inlineStr">
        <is>
          <t>Other large pelagic fish</t>
        </is>
      </c>
      <c r="H184" t="n">
        <v>1271.53527</v>
      </c>
      <c r="I184" t="n">
        <v>553.811408</v>
      </c>
      <c r="J184" t="n">
        <v>570.628617</v>
      </c>
      <c r="K184" t="n">
        <v>304.699956</v>
      </c>
      <c r="L184" t="n">
        <v>1277.756768</v>
      </c>
      <c r="M184" t="n">
        <v>1277.756768</v>
      </c>
      <c r="N184" t="n">
        <v>1277.756768</v>
      </c>
      <c r="O184" t="n">
        <v>326.291005</v>
      </c>
      <c r="P184" t="n">
        <v>93.360283</v>
      </c>
      <c r="Q184" t="n">
        <v>1277.756768</v>
      </c>
      <c r="S184" t="n">
        <v>326.291005</v>
      </c>
      <c r="U184" t="n">
        <v>93.360283</v>
      </c>
      <c r="V184" t="n">
        <v>93.360283</v>
      </c>
      <c r="W184" t="n">
        <v>238.400924</v>
      </c>
      <c r="X184" t="n">
        <v>1534.363238</v>
      </c>
    </row>
    <row r="185" ht="21" customHeight="1">
      <c r="A185" t="inlineStr">
        <is>
          <t>Istiompax indica</t>
        </is>
      </c>
      <c r="B185" t="n">
        <v>4.5</v>
      </c>
      <c r="C185" t="n">
        <v>3162.27766</v>
      </c>
      <c r="D185" s="10" t="inlineStr">
        <is>
          <t>Unresolved</t>
        </is>
      </c>
    </row>
    <row r="186" ht="21" customHeight="1">
      <c r="A186" t="inlineStr">
        <is>
          <t>Paralabrax</t>
        </is>
      </c>
      <c r="B186" t="n">
        <v>4.14</v>
      </c>
      <c r="C186" t="n">
        <v>1380.384265</v>
      </c>
      <c r="D186" s="10" t="inlineStr">
        <is>
          <t>Medium demersal fish</t>
        </is>
      </c>
      <c r="H186" t="n">
        <v>193.727859</v>
      </c>
      <c r="I186" t="n">
        <v>35.839321</v>
      </c>
      <c r="J186" t="n">
        <v>36.233059</v>
      </c>
      <c r="K186" t="n">
        <v>29.716807</v>
      </c>
      <c r="L186" t="n">
        <v>68.19949200000001</v>
      </c>
      <c r="M186" t="n">
        <v>68.19949200000001</v>
      </c>
      <c r="N186" t="n">
        <v>68.19949200000001</v>
      </c>
      <c r="O186" t="n">
        <v>38.496304</v>
      </c>
      <c r="P186" t="n">
        <v>13.496178</v>
      </c>
      <c r="Q186" t="n">
        <v>68.19949200000001</v>
      </c>
      <c r="S186" t="n">
        <v>38.496304</v>
      </c>
      <c r="U186" t="n">
        <v>13.496178</v>
      </c>
      <c r="V186" t="n">
        <v>13.496178</v>
      </c>
      <c r="W186" t="n">
        <v>28.279976</v>
      </c>
      <c r="X186" t="n">
        <v>76.95169799999999</v>
      </c>
    </row>
    <row r="187" ht="21" customHeight="1">
      <c r="A187" t="inlineStr">
        <is>
          <t>Carcharhinus longimanus</t>
        </is>
      </c>
      <c r="B187" t="n">
        <v>4.16</v>
      </c>
      <c r="C187" t="n">
        <v>1445.439771</v>
      </c>
      <c r="D187" s="10" t="inlineStr">
        <is>
          <t>Chondrichthyans</t>
        </is>
      </c>
      <c r="H187" t="n">
        <v>6361.615187</v>
      </c>
      <c r="I187" t="n">
        <v>2595.935459</v>
      </c>
      <c r="J187" t="n">
        <v>2746.864011</v>
      </c>
      <c r="K187" t="n">
        <v>1549.866588</v>
      </c>
      <c r="L187" t="n">
        <v>7571.338585</v>
      </c>
      <c r="M187" t="n">
        <v>7571.338585</v>
      </c>
      <c r="N187" t="n">
        <v>7571.338585</v>
      </c>
      <c r="O187" t="n">
        <v>897.313094</v>
      </c>
      <c r="P187" t="n">
        <v>195.202386</v>
      </c>
      <c r="Q187" t="n">
        <v>7571.338585</v>
      </c>
      <c r="S187" t="n">
        <v>897.313094</v>
      </c>
      <c r="U187" t="n">
        <v>195.202386</v>
      </c>
      <c r="V187" t="n">
        <v>195.202386</v>
      </c>
      <c r="W187" t="n">
        <v>628.5731939999999</v>
      </c>
      <c r="X187" t="n">
        <v>9364.462680000001</v>
      </c>
    </row>
    <row r="188" ht="21" customHeight="1">
      <c r="A188" t="inlineStr">
        <is>
          <t>Diplectrum pacificum</t>
        </is>
      </c>
      <c r="B188" t="n">
        <v>3.99</v>
      </c>
      <c r="C188" t="n">
        <v>977.237221</v>
      </c>
      <c r="D188" s="10" t="inlineStr">
        <is>
          <t>Unresolved</t>
        </is>
      </c>
    </row>
    <row r="189" ht="21" customHeight="1">
      <c r="A189" t="inlineStr">
        <is>
          <t>Decapterus macrosoma</t>
        </is>
      </c>
      <c r="B189" t="n">
        <v>3.4</v>
      </c>
      <c r="C189" t="n">
        <v>251.188643</v>
      </c>
      <c r="D189" s="10" t="inlineStr">
        <is>
          <t>Other small pelagic fish</t>
        </is>
      </c>
      <c r="H189" t="n">
        <v>90.84944299999999</v>
      </c>
      <c r="I189" t="n">
        <v>30.158638</v>
      </c>
      <c r="J189" t="n">
        <v>30.158638</v>
      </c>
      <c r="K189" t="n">
        <v>27.142773</v>
      </c>
      <c r="L189" t="n">
        <v>46.824515</v>
      </c>
      <c r="M189" t="n">
        <v>46.824515</v>
      </c>
      <c r="N189" t="n">
        <v>46.824515</v>
      </c>
      <c r="O189" t="n">
        <v>36.515625</v>
      </c>
      <c r="P189" t="n">
        <v>12.989613</v>
      </c>
      <c r="Q189" t="n">
        <v>46.824515</v>
      </c>
      <c r="S189" t="n">
        <v>36.515625</v>
      </c>
      <c r="U189" t="n">
        <v>12.989613</v>
      </c>
      <c r="V189" t="n">
        <v>12.989613</v>
      </c>
      <c r="W189" t="n">
        <v>31.310692</v>
      </c>
      <c r="X189" t="n">
        <v>52.045388</v>
      </c>
    </row>
    <row r="190" ht="21" customHeight="1">
      <c r="A190" t="inlineStr">
        <is>
          <t>Heteropriacanthus cruentatus</t>
        </is>
      </c>
      <c r="D190" s="10" t="inlineStr">
        <is>
          <t>Unresolved</t>
        </is>
      </c>
    </row>
    <row r="191" ht="21" customHeight="1">
      <c r="A191" t="inlineStr">
        <is>
          <t>Paralomis</t>
        </is>
      </c>
      <c r="D191" s="10" t="inlineStr">
        <is>
          <t>Macrobenthos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-0</v>
      </c>
      <c r="S191" t="n">
        <v>-0</v>
      </c>
      <c r="U191" t="n">
        <v>0</v>
      </c>
      <c r="V191" t="n">
        <v>-0</v>
      </c>
      <c r="W191" t="n">
        <v>0</v>
      </c>
      <c r="X191" t="n">
        <v>0</v>
      </c>
    </row>
    <row r="192" ht="21" customHeight="1">
      <c r="A192" t="inlineStr">
        <is>
          <t>Diapterus peruvianus</t>
        </is>
      </c>
      <c r="B192" t="n">
        <v>3.66</v>
      </c>
      <c r="C192" t="n">
        <v>457.08819</v>
      </c>
      <c r="D192" s="10" t="inlineStr">
        <is>
          <t>Medium demersal fish</t>
        </is>
      </c>
      <c r="H192" t="n">
        <v>193.727859</v>
      </c>
      <c r="I192" t="n">
        <v>35.839321</v>
      </c>
      <c r="J192" t="n">
        <v>36.233059</v>
      </c>
      <c r="K192" t="n">
        <v>29.716807</v>
      </c>
      <c r="L192" t="n">
        <v>68.19949200000001</v>
      </c>
      <c r="M192" t="n">
        <v>68.19949200000001</v>
      </c>
      <c r="N192" t="n">
        <v>68.19949200000001</v>
      </c>
      <c r="O192" t="n">
        <v>38.496304</v>
      </c>
      <c r="P192" t="n">
        <v>13.496178</v>
      </c>
      <c r="Q192" t="n">
        <v>68.19949200000001</v>
      </c>
      <c r="S192" t="n">
        <v>38.496304</v>
      </c>
      <c r="U192" t="n">
        <v>13.496178</v>
      </c>
      <c r="V192" t="n">
        <v>13.496178</v>
      </c>
      <c r="W192" t="n">
        <v>28.279976</v>
      </c>
      <c r="X192" t="n">
        <v>76.95169799999999</v>
      </c>
    </row>
    <row r="193" ht="21" customHeight="1">
      <c r="A193" t="inlineStr">
        <is>
          <t>Seriola rivoliana</t>
        </is>
      </c>
      <c r="B193" t="n">
        <v>4.45</v>
      </c>
      <c r="C193" t="n">
        <v>2818.382931</v>
      </c>
      <c r="D193" s="10" t="inlineStr">
        <is>
          <t>Other large pelagic fish</t>
        </is>
      </c>
      <c r="H193" t="n">
        <v>1271.53527</v>
      </c>
      <c r="I193" t="n">
        <v>553.811408</v>
      </c>
      <c r="J193" t="n">
        <v>570.628617</v>
      </c>
      <c r="K193" t="n">
        <v>304.699956</v>
      </c>
      <c r="L193" t="n">
        <v>1277.756768</v>
      </c>
      <c r="M193" t="n">
        <v>1277.756768</v>
      </c>
      <c r="N193" t="n">
        <v>1277.756768</v>
      </c>
      <c r="O193" t="n">
        <v>326.291005</v>
      </c>
      <c r="P193" t="n">
        <v>93.360283</v>
      </c>
      <c r="Q193" t="n">
        <v>1277.756768</v>
      </c>
      <c r="S193" t="n">
        <v>326.291005</v>
      </c>
      <c r="U193" t="n">
        <v>93.360283</v>
      </c>
      <c r="V193" t="n">
        <v>93.360283</v>
      </c>
      <c r="W193" t="n">
        <v>238.400924</v>
      </c>
      <c r="X193" t="n">
        <v>1534.363238</v>
      </c>
    </row>
    <row r="194" ht="21" customHeight="1">
      <c r="A194" t="inlineStr">
        <is>
          <t>Sebastidae</t>
        </is>
      </c>
      <c r="B194" t="n">
        <v>3.74</v>
      </c>
      <c r="C194" t="n">
        <v>549.540874</v>
      </c>
      <c r="D194" s="10" t="inlineStr">
        <is>
          <t>Unresolved</t>
        </is>
      </c>
    </row>
    <row r="195" ht="21" customHeight="1">
      <c r="A195" t="inlineStr">
        <is>
          <t>Tetrapturus angustirostris</t>
        </is>
      </c>
      <c r="B195" t="n">
        <v>4.5</v>
      </c>
      <c r="C195" t="n">
        <v>3162.27766</v>
      </c>
      <c r="D195" s="10" t="inlineStr">
        <is>
          <t>Unresolved</t>
        </is>
      </c>
    </row>
    <row r="196" ht="21" customHeight="1">
      <c r="A196" t="inlineStr">
        <is>
          <t>Auxis rochei</t>
        </is>
      </c>
      <c r="B196" t="n">
        <v>4.13</v>
      </c>
      <c r="C196" t="n">
        <v>1348.962883</v>
      </c>
      <c r="D196" s="10" t="inlineStr">
        <is>
          <t>Other large pelagic fish</t>
        </is>
      </c>
      <c r="H196" t="n">
        <v>1271.53527</v>
      </c>
      <c r="I196" t="n">
        <v>553.811408</v>
      </c>
      <c r="J196" t="n">
        <v>570.628617</v>
      </c>
      <c r="K196" t="n">
        <v>304.699956</v>
      </c>
      <c r="L196" t="n">
        <v>1277.756768</v>
      </c>
      <c r="M196" t="n">
        <v>1277.756768</v>
      </c>
      <c r="N196" t="n">
        <v>1277.756768</v>
      </c>
      <c r="O196" t="n">
        <v>326.291005</v>
      </c>
      <c r="P196" t="n">
        <v>93.360283</v>
      </c>
      <c r="Q196" t="n">
        <v>1277.756768</v>
      </c>
      <c r="S196" t="n">
        <v>326.291005</v>
      </c>
      <c r="U196" t="n">
        <v>93.360283</v>
      </c>
      <c r="V196" t="n">
        <v>93.360283</v>
      </c>
      <c r="W196" t="n">
        <v>238.400924</v>
      </c>
      <c r="X196" t="n">
        <v>1534.363238</v>
      </c>
    </row>
    <row r="197" ht="21" customHeight="1">
      <c r="A197" t="inlineStr">
        <is>
          <t>Ruvettus pretiosus</t>
        </is>
      </c>
      <c r="B197" t="n">
        <v>4.18</v>
      </c>
      <c r="C197" t="n">
        <v>1513.561248</v>
      </c>
      <c r="D197" s="10" t="inlineStr">
        <is>
          <t>Unresolved</t>
        </is>
      </c>
    </row>
    <row r="198" ht="36" customHeight="1">
      <c r="A198" t="inlineStr">
        <is>
          <t>Marine finfishes not identified</t>
        </is>
      </c>
      <c r="D198" s="10" t="inlineStr">
        <is>
          <t>Small demersal fish | Medium demersal fish | Medium sciaenids</t>
        </is>
      </c>
      <c r="H198" t="n">
        <v>228.031522</v>
      </c>
      <c r="I198" t="n">
        <v>656.2956339999999</v>
      </c>
      <c r="J198" t="n">
        <v>656.723935</v>
      </c>
      <c r="K198" t="n">
        <v>468.232816</v>
      </c>
      <c r="L198" t="n">
        <v>1402.227086</v>
      </c>
      <c r="M198" t="n">
        <v>1402.227086</v>
      </c>
      <c r="N198" t="n">
        <v>1402.227086</v>
      </c>
      <c r="O198" t="n">
        <v>48.143913</v>
      </c>
      <c r="P198" t="n">
        <v>16.126983</v>
      </c>
      <c r="Q198" t="n">
        <v>1402.227086</v>
      </c>
      <c r="S198" t="n">
        <v>48.143913</v>
      </c>
      <c r="U198" t="n">
        <v>16.126983</v>
      </c>
      <c r="V198" t="n">
        <v>16.126983</v>
      </c>
      <c r="W198" t="n">
        <v>38.633943</v>
      </c>
      <c r="X198" t="n">
        <v>1661.269592</v>
      </c>
    </row>
    <row r="199" ht="21" customHeight="1">
      <c r="A199" t="inlineStr">
        <is>
          <t>Fissurella picta</t>
        </is>
      </c>
      <c r="B199" t="n">
        <v>2</v>
      </c>
      <c r="C199" t="n">
        <v>10</v>
      </c>
      <c r="D199" s="10" t="inlineStr">
        <is>
          <t>Macrobenthos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-0</v>
      </c>
      <c r="S199" t="n">
        <v>-0</v>
      </c>
      <c r="U199" t="n">
        <v>0</v>
      </c>
      <c r="V199" t="n">
        <v>-0</v>
      </c>
      <c r="W199" t="n">
        <v>0</v>
      </c>
      <c r="X199" t="n">
        <v>0</v>
      </c>
    </row>
    <row r="200" ht="21" customHeight="1">
      <c r="A200" t="inlineStr">
        <is>
          <t>Polydactylus approximans</t>
        </is>
      </c>
      <c r="B200" t="n">
        <v>3.59</v>
      </c>
      <c r="C200" t="n">
        <v>389.045145</v>
      </c>
      <c r="D200" s="10" t="inlineStr">
        <is>
          <t>Medium demersal fish</t>
        </is>
      </c>
      <c r="H200" t="n">
        <v>193.727859</v>
      </c>
      <c r="I200" t="n">
        <v>35.839321</v>
      </c>
      <c r="J200" t="n">
        <v>36.233059</v>
      </c>
      <c r="K200" t="n">
        <v>29.716807</v>
      </c>
      <c r="L200" t="n">
        <v>68.19949200000001</v>
      </c>
      <c r="M200" t="n">
        <v>68.19949200000001</v>
      </c>
      <c r="N200" t="n">
        <v>68.19949200000001</v>
      </c>
      <c r="O200" t="n">
        <v>38.496304</v>
      </c>
      <c r="P200" t="n">
        <v>13.496178</v>
      </c>
      <c r="Q200" t="n">
        <v>68.19949200000001</v>
      </c>
      <c r="S200" t="n">
        <v>38.496304</v>
      </c>
      <c r="U200" t="n">
        <v>13.496178</v>
      </c>
      <c r="V200" t="n">
        <v>13.496178</v>
      </c>
      <c r="W200" t="n">
        <v>28.279976</v>
      </c>
      <c r="X200" t="n">
        <v>76.95169799999999</v>
      </c>
    </row>
    <row r="201" ht="21" customHeight="1">
      <c r="A201" t="inlineStr">
        <is>
          <t>Hemigrapsus crenulatus</t>
        </is>
      </c>
      <c r="D201" s="10" t="inlineStr">
        <is>
          <t>Macrobenthos</t>
        </is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-0</v>
      </c>
      <c r="S201" t="n">
        <v>-0</v>
      </c>
      <c r="U201" t="n">
        <v>0</v>
      </c>
      <c r="V201" t="n">
        <v>-0</v>
      </c>
      <c r="W201" t="n">
        <v>0</v>
      </c>
      <c r="X201" t="n">
        <v>0</v>
      </c>
    </row>
    <row r="202" ht="21" customHeight="1">
      <c r="A202" t="inlineStr">
        <is>
          <t>Alopias</t>
        </is>
      </c>
      <c r="B202" t="n">
        <v>4.5</v>
      </c>
      <c r="C202" t="n">
        <v>3162.27766</v>
      </c>
      <c r="D202" s="10" t="inlineStr">
        <is>
          <t>Chondrichthyans</t>
        </is>
      </c>
      <c r="H202" t="n">
        <v>6361.615187</v>
      </c>
      <c r="I202" t="n">
        <v>2595.935459</v>
      </c>
      <c r="J202" t="n">
        <v>2746.864011</v>
      </c>
      <c r="K202" t="n">
        <v>1549.866588</v>
      </c>
      <c r="L202" t="n">
        <v>7571.338585</v>
      </c>
      <c r="M202" t="n">
        <v>7571.338585</v>
      </c>
      <c r="N202" t="n">
        <v>7571.338585</v>
      </c>
      <c r="O202" t="n">
        <v>897.313094</v>
      </c>
      <c r="P202" t="n">
        <v>195.202386</v>
      </c>
      <c r="Q202" t="n">
        <v>7571.338585</v>
      </c>
      <c r="S202" t="n">
        <v>897.313094</v>
      </c>
      <c r="U202" t="n">
        <v>195.202386</v>
      </c>
      <c r="V202" t="n">
        <v>195.202386</v>
      </c>
      <c r="W202" t="n">
        <v>628.5731939999999</v>
      </c>
      <c r="X202" t="n">
        <v>9364.462680000001</v>
      </c>
    </row>
    <row r="203" ht="21" customHeight="1">
      <c r="A203" t="inlineStr">
        <is>
          <t>Hexanchus griseus</t>
        </is>
      </c>
      <c r="B203" t="n">
        <v>4.48</v>
      </c>
      <c r="C203" t="n">
        <v>3019.95172</v>
      </c>
      <c r="D203" s="10" t="inlineStr">
        <is>
          <t>Benthic elasmobranchs</t>
        </is>
      </c>
      <c r="H203" t="n">
        <v>901.535002</v>
      </c>
      <c r="I203" t="n">
        <v>4353.901138</v>
      </c>
      <c r="J203" t="n">
        <v>4362.370626</v>
      </c>
      <c r="K203" t="n">
        <v>2873.606073</v>
      </c>
      <c r="L203" t="n">
        <v>7895.724163</v>
      </c>
      <c r="M203" t="n">
        <v>7895.724163</v>
      </c>
      <c r="N203" t="n">
        <v>7895.724163</v>
      </c>
      <c r="O203" t="n">
        <v>121.943936</v>
      </c>
      <c r="P203" t="n">
        <v>32.745809</v>
      </c>
      <c r="Q203" t="n">
        <v>7895.724163</v>
      </c>
      <c r="S203" t="n">
        <v>121.943936</v>
      </c>
      <c r="U203" t="n">
        <v>32.745809</v>
      </c>
      <c r="V203" t="n">
        <v>32.745809</v>
      </c>
      <c r="W203" t="n">
        <v>88.504266</v>
      </c>
      <c r="X203" t="n">
        <v>9306.463404</v>
      </c>
    </row>
    <row r="204" ht="21" customHeight="1">
      <c r="A204" t="inlineStr">
        <is>
          <t>Caranx</t>
        </is>
      </c>
      <c r="B204" t="n">
        <v>4.12</v>
      </c>
      <c r="C204" t="n">
        <v>1318.256739</v>
      </c>
      <c r="D204" s="10" t="inlineStr">
        <is>
          <t>Unresolved</t>
        </is>
      </c>
    </row>
    <row r="205" ht="21" customHeight="1">
      <c r="A205" t="inlineStr">
        <is>
          <t>Caranx lugubris</t>
        </is>
      </c>
      <c r="D205" s="10" t="inlineStr">
        <is>
          <t>Unresolved</t>
        </is>
      </c>
    </row>
    <row r="206" ht="21" customHeight="1">
      <c r="A206" t="inlineStr">
        <is>
          <t>Bothidae</t>
        </is>
      </c>
      <c r="D206" s="10" t="inlineStr">
        <is>
          <t>Flatfish</t>
        </is>
      </c>
      <c r="H206" t="n">
        <v>1232.2037</v>
      </c>
      <c r="I206" t="n">
        <v>172.118208</v>
      </c>
      <c r="J206" t="n">
        <v>172.118208</v>
      </c>
      <c r="K206" t="n">
        <v>171.336582</v>
      </c>
      <c r="L206" t="n">
        <v>310.666808</v>
      </c>
      <c r="M206" t="n">
        <v>310.666808</v>
      </c>
      <c r="N206" t="n">
        <v>310.666808</v>
      </c>
      <c r="O206" t="n">
        <v>194.914667</v>
      </c>
      <c r="P206" t="n">
        <v>55.961493</v>
      </c>
      <c r="Q206" t="n">
        <v>310.666808</v>
      </c>
      <c r="S206" t="n">
        <v>194.914667</v>
      </c>
      <c r="U206" t="n">
        <v>55.961493</v>
      </c>
      <c r="V206" t="n">
        <v>55.961493</v>
      </c>
      <c r="W206" t="n">
        <v>167.629288</v>
      </c>
      <c r="X206" t="n">
        <v>355.992575</v>
      </c>
    </row>
    <row r="207" ht="21" customHeight="1">
      <c r="A207" t="inlineStr">
        <is>
          <t>Monacanthidae</t>
        </is>
      </c>
      <c r="B207" t="n">
        <v>3</v>
      </c>
      <c r="C207" t="n">
        <v>100</v>
      </c>
      <c r="D207" s="10" t="inlineStr">
        <is>
          <t>Unresolved</t>
        </is>
      </c>
    </row>
    <row r="208" ht="36" customHeight="1">
      <c r="A208" t="inlineStr">
        <is>
          <t>Myliobatidae</t>
        </is>
      </c>
      <c r="D208" s="10" t="inlineStr">
        <is>
          <t>Benthic elasmobranchs | Chondrichthyans</t>
        </is>
      </c>
      <c r="H208" t="n">
        <v>2829.953437</v>
      </c>
      <c r="I208" t="n">
        <v>3733.014025</v>
      </c>
      <c r="J208" t="n">
        <v>3791.797918</v>
      </c>
      <c r="K208" t="n">
        <v>2406.081139</v>
      </c>
      <c r="L208" t="n">
        <v>7781.156042</v>
      </c>
      <c r="M208" t="n">
        <v>7781.156042</v>
      </c>
      <c r="N208" t="n">
        <v>7781.156042</v>
      </c>
      <c r="O208" t="n">
        <v>395.792694</v>
      </c>
      <c r="P208" t="n">
        <v>90.123036</v>
      </c>
      <c r="Q208" t="n">
        <v>7781.156042</v>
      </c>
      <c r="S208" t="n">
        <v>395.792694</v>
      </c>
      <c r="U208" t="n">
        <v>90.123036</v>
      </c>
      <c r="V208" t="n">
        <v>90.123036</v>
      </c>
      <c r="W208" t="n">
        <v>279.248512</v>
      </c>
      <c r="X208" t="n">
        <v>9326.947878000001</v>
      </c>
    </row>
    <row r="209" ht="21" customHeight="1">
      <c r="A209" t="inlineStr">
        <is>
          <t>Auxis</t>
        </is>
      </c>
      <c r="B209" t="n">
        <v>4.24</v>
      </c>
      <c r="C209" t="n">
        <v>1737.800829</v>
      </c>
      <c r="D209" s="10" t="inlineStr">
        <is>
          <t>Other large pelagic fish</t>
        </is>
      </c>
      <c r="H209" t="n">
        <v>1271.53527</v>
      </c>
      <c r="I209" t="n">
        <v>553.811408</v>
      </c>
      <c r="J209" t="n">
        <v>570.628617</v>
      </c>
      <c r="K209" t="n">
        <v>304.699956</v>
      </c>
      <c r="L209" t="n">
        <v>1277.756768</v>
      </c>
      <c r="M209" t="n">
        <v>1277.756768</v>
      </c>
      <c r="N209" t="n">
        <v>1277.756768</v>
      </c>
      <c r="O209" t="n">
        <v>326.291005</v>
      </c>
      <c r="P209" t="n">
        <v>93.360283</v>
      </c>
      <c r="Q209" t="n">
        <v>1277.756768</v>
      </c>
      <c r="S209" t="n">
        <v>326.291005</v>
      </c>
      <c r="U209" t="n">
        <v>93.360283</v>
      </c>
      <c r="V209" t="n">
        <v>93.360283</v>
      </c>
      <c r="W209" t="n">
        <v>238.400924</v>
      </c>
      <c r="X209" t="n">
        <v>1534.363238</v>
      </c>
    </row>
    <row r="210" ht="36" customHeight="1">
      <c r="A210" t="inlineStr">
        <is>
          <t>Actinopterygii</t>
        </is>
      </c>
      <c r="D210" s="10" t="inlineStr">
        <is>
          <t>Small demersal fish | Medium demersal fish | Medium sciaenids</t>
        </is>
      </c>
      <c r="H210" t="n">
        <v>228.031522</v>
      </c>
      <c r="I210" t="n">
        <v>656.2956339999999</v>
      </c>
      <c r="J210" t="n">
        <v>656.723935</v>
      </c>
      <c r="K210" t="n">
        <v>468.232816</v>
      </c>
      <c r="L210" t="n">
        <v>1402.227086</v>
      </c>
      <c r="M210" t="n">
        <v>1402.227086</v>
      </c>
      <c r="N210" t="n">
        <v>1402.227086</v>
      </c>
      <c r="O210" t="n">
        <v>48.143913</v>
      </c>
      <c r="P210" t="n">
        <v>16.126983</v>
      </c>
      <c r="Q210" t="n">
        <v>1402.227086</v>
      </c>
      <c r="S210" t="n">
        <v>48.143913</v>
      </c>
      <c r="U210" t="n">
        <v>16.126983</v>
      </c>
      <c r="V210" t="n">
        <v>16.126983</v>
      </c>
      <c r="W210" t="n">
        <v>38.633943</v>
      </c>
      <c r="X210" t="n">
        <v>1661.269592</v>
      </c>
    </row>
    <row r="211" ht="21" customHeight="1">
      <c r="A211" t="inlineStr">
        <is>
          <t>Parapsettus panamensis</t>
        </is>
      </c>
      <c r="B211" t="n">
        <v>3.5</v>
      </c>
      <c r="C211" t="n">
        <v>316.227766</v>
      </c>
      <c r="D211" s="10" t="inlineStr">
        <is>
          <t>Unresolved</t>
        </is>
      </c>
    </row>
    <row r="212" ht="21" customHeight="1">
      <c r="A212" t="inlineStr">
        <is>
          <t>Deania calceus</t>
        </is>
      </c>
      <c r="D212" s="10" t="inlineStr">
        <is>
          <t>Benthic elasmobranchs</t>
        </is>
      </c>
      <c r="H212" t="n">
        <v>901.535002</v>
      </c>
      <c r="I212" t="n">
        <v>4353.901138</v>
      </c>
      <c r="J212" t="n">
        <v>4362.370626</v>
      </c>
      <c r="K212" t="n">
        <v>2873.606073</v>
      </c>
      <c r="L212" t="n">
        <v>7895.724163</v>
      </c>
      <c r="M212" t="n">
        <v>7895.724163</v>
      </c>
      <c r="N212" t="n">
        <v>7895.724163</v>
      </c>
      <c r="O212" t="n">
        <v>121.943936</v>
      </c>
      <c r="P212" t="n">
        <v>32.745809</v>
      </c>
      <c r="Q212" t="n">
        <v>7895.724163</v>
      </c>
      <c r="S212" t="n">
        <v>121.943936</v>
      </c>
      <c r="U212" t="n">
        <v>32.745809</v>
      </c>
      <c r="V212" t="n">
        <v>32.745809</v>
      </c>
      <c r="W212" t="n">
        <v>88.504266</v>
      </c>
      <c r="X212" t="n">
        <v>9306.463404</v>
      </c>
    </row>
    <row r="213" ht="21" customHeight="1">
      <c r="A213" t="inlineStr">
        <is>
          <t>Acanthocybium solandri</t>
        </is>
      </c>
      <c r="D213" s="10" t="inlineStr">
        <is>
          <t>Other large pelagic fish</t>
        </is>
      </c>
      <c r="H213" t="n">
        <v>1271.53527</v>
      </c>
      <c r="I213" t="n">
        <v>553.811408</v>
      </c>
      <c r="J213" t="n">
        <v>570.628617</v>
      </c>
      <c r="K213" t="n">
        <v>304.699956</v>
      </c>
      <c r="L213" t="n">
        <v>1277.756768</v>
      </c>
      <c r="M213" t="n">
        <v>1277.756768</v>
      </c>
      <c r="N213" t="n">
        <v>1277.756768</v>
      </c>
      <c r="O213" t="n">
        <v>326.291005</v>
      </c>
      <c r="P213" t="n">
        <v>93.360283</v>
      </c>
      <c r="Q213" t="n">
        <v>1277.756768</v>
      </c>
      <c r="S213" t="n">
        <v>326.291005</v>
      </c>
      <c r="U213" t="n">
        <v>93.360283</v>
      </c>
      <c r="V213" t="n">
        <v>93.360283</v>
      </c>
      <c r="W213" t="n">
        <v>238.400924</v>
      </c>
      <c r="X213" t="n">
        <v>1534.363238</v>
      </c>
    </row>
    <row r="214" ht="21" customHeight="1">
      <c r="A214" t="inlineStr">
        <is>
          <t>Macrouridae</t>
        </is>
      </c>
      <c r="D214" s="10" t="inlineStr">
        <is>
          <t>Unresolved</t>
        </is>
      </c>
    </row>
    <row r="215" ht="21" customHeight="1">
      <c r="A215" t="inlineStr">
        <is>
          <t>Allothunnus fallai</t>
        </is>
      </c>
      <c r="B215" t="n">
        <v>3.7</v>
      </c>
      <c r="C215" t="n">
        <v>501.187234</v>
      </c>
      <c r="D215" s="10" t="inlineStr">
        <is>
          <t>Other large pelagic fish</t>
        </is>
      </c>
      <c r="H215" t="n">
        <v>1271.53527</v>
      </c>
      <c r="I215" t="n">
        <v>553.811408</v>
      </c>
      <c r="J215" t="n">
        <v>570.628617</v>
      </c>
      <c r="K215" t="n">
        <v>304.699956</v>
      </c>
      <c r="L215" t="n">
        <v>1277.756768</v>
      </c>
      <c r="M215" t="n">
        <v>1277.756768</v>
      </c>
      <c r="N215" t="n">
        <v>1277.756768</v>
      </c>
      <c r="O215" t="n">
        <v>326.291005</v>
      </c>
      <c r="P215" t="n">
        <v>93.360283</v>
      </c>
      <c r="Q215" t="n">
        <v>1277.756768</v>
      </c>
      <c r="S215" t="n">
        <v>326.291005</v>
      </c>
      <c r="U215" t="n">
        <v>93.360283</v>
      </c>
      <c r="V215" t="n">
        <v>93.360283</v>
      </c>
      <c r="W215" t="n">
        <v>238.400924</v>
      </c>
      <c r="X215" t="n">
        <v>1534.363238</v>
      </c>
    </row>
    <row r="216" ht="21" customHeight="1">
      <c r="A216" t="inlineStr">
        <is>
          <t>Galaxias maculatus</t>
        </is>
      </c>
      <c r="B216" t="n">
        <v>3.16</v>
      </c>
      <c r="C216" t="n">
        <v>144.543977</v>
      </c>
      <c r="D216" s="10" t="inlineStr">
        <is>
          <t>Unresolved</t>
        </is>
      </c>
    </row>
    <row r="217" ht="21" customHeight="1">
      <c r="A217" t="inlineStr">
        <is>
          <t>Thunnus maccoyii</t>
        </is>
      </c>
      <c r="B217" t="n">
        <v>3.93</v>
      </c>
      <c r="C217" t="n">
        <v>851.1380380000001</v>
      </c>
      <c r="D217" s="10" t="inlineStr">
        <is>
          <t>Other large pelagic fish</t>
        </is>
      </c>
      <c r="H217" t="n">
        <v>1271.53527</v>
      </c>
      <c r="I217" t="n">
        <v>553.811408</v>
      </c>
      <c r="J217" t="n">
        <v>570.628617</v>
      </c>
      <c r="K217" t="n">
        <v>304.699956</v>
      </c>
      <c r="L217" t="n">
        <v>1277.756768</v>
      </c>
      <c r="M217" t="n">
        <v>1277.756768</v>
      </c>
      <c r="N217" t="n">
        <v>1277.756768</v>
      </c>
      <c r="O217" t="n">
        <v>326.291005</v>
      </c>
      <c r="P217" t="n">
        <v>93.360283</v>
      </c>
      <c r="Q217" t="n">
        <v>1277.756768</v>
      </c>
      <c r="S217" t="n">
        <v>326.291005</v>
      </c>
      <c r="U217" t="n">
        <v>93.360283</v>
      </c>
      <c r="V217" t="n">
        <v>93.360283</v>
      </c>
      <c r="W217" t="n">
        <v>238.400924</v>
      </c>
      <c r="X217" t="n">
        <v>1534.363238</v>
      </c>
    </row>
    <row r="218" ht="21" customHeight="1">
      <c r="A218" t="inlineStr">
        <is>
          <t>Cetengraulis mysticetus</t>
        </is>
      </c>
      <c r="B218" t="n">
        <v>2.47</v>
      </c>
      <c r="C218" t="n">
        <v>29.512092</v>
      </c>
      <c r="D218" s="10" t="inlineStr">
        <is>
          <t>Other small pelagic fish</t>
        </is>
      </c>
      <c r="H218" t="n">
        <v>90.84944299999999</v>
      </c>
      <c r="I218" t="n">
        <v>30.158638</v>
      </c>
      <c r="J218" t="n">
        <v>30.158638</v>
      </c>
      <c r="K218" t="n">
        <v>27.142773</v>
      </c>
      <c r="L218" t="n">
        <v>46.824515</v>
      </c>
      <c r="M218" t="n">
        <v>46.824515</v>
      </c>
      <c r="N218" t="n">
        <v>46.824515</v>
      </c>
      <c r="O218" t="n">
        <v>36.515625</v>
      </c>
      <c r="P218" t="n">
        <v>12.989613</v>
      </c>
      <c r="Q218" t="n">
        <v>46.824515</v>
      </c>
      <c r="S218" t="n">
        <v>36.515625</v>
      </c>
      <c r="U218" t="n">
        <v>12.989613</v>
      </c>
      <c r="V218" t="n">
        <v>12.989613</v>
      </c>
      <c r="W218" t="n">
        <v>31.310692</v>
      </c>
      <c r="X218" t="n">
        <v>52.045388</v>
      </c>
    </row>
    <row r="219" ht="21" customHeight="1">
      <c r="A219" t="inlineStr">
        <is>
          <t>Rhinoptera steindachneri</t>
        </is>
      </c>
      <c r="B219" t="n">
        <v>3.55</v>
      </c>
      <c r="C219" t="n">
        <v>354.813389</v>
      </c>
      <c r="D219" s="10" t="inlineStr">
        <is>
          <t>Benthic elasmobranchs</t>
        </is>
      </c>
      <c r="H219" t="n">
        <v>901.535002</v>
      </c>
      <c r="I219" t="n">
        <v>4353.901138</v>
      </c>
      <c r="J219" t="n">
        <v>4362.370626</v>
      </c>
      <c r="K219" t="n">
        <v>2873.606073</v>
      </c>
      <c r="L219" t="n">
        <v>7895.724163</v>
      </c>
      <c r="M219" t="n">
        <v>7895.724163</v>
      </c>
      <c r="N219" t="n">
        <v>7895.724163</v>
      </c>
      <c r="O219" t="n">
        <v>121.943936</v>
      </c>
      <c r="P219" t="n">
        <v>32.745809</v>
      </c>
      <c r="Q219" t="n">
        <v>7895.724163</v>
      </c>
      <c r="S219" t="n">
        <v>121.943936</v>
      </c>
      <c r="U219" t="n">
        <v>32.745809</v>
      </c>
      <c r="V219" t="n">
        <v>32.745809</v>
      </c>
      <c r="W219" t="n">
        <v>88.504266</v>
      </c>
      <c r="X219" t="n">
        <v>9306.463404</v>
      </c>
    </row>
    <row r="220" ht="21" customHeight="1">
      <c r="A220" t="inlineStr">
        <is>
          <t>Lepidocybium flavobrunneum</t>
        </is>
      </c>
      <c r="B220" t="n">
        <v>4.34</v>
      </c>
      <c r="C220" t="n">
        <v>2187.761624</v>
      </c>
      <c r="D220" s="10" t="inlineStr">
        <is>
          <t>Unresolved</t>
        </is>
      </c>
    </row>
    <row r="221" ht="21" customHeight="1">
      <c r="A221" t="inlineStr">
        <is>
          <t>Hippocampus</t>
        </is>
      </c>
      <c r="B221" t="n">
        <v>3.33</v>
      </c>
      <c r="C221" t="n">
        <v>213.796209</v>
      </c>
      <c r="D221" s="10" t="inlineStr">
        <is>
          <t>Unresolved</t>
        </is>
      </c>
    </row>
    <row r="222" ht="21" customHeight="1">
      <c r="A222" t="inlineStr">
        <is>
          <t>Caulolatilus princeps</t>
        </is>
      </c>
      <c r="B222" t="n">
        <v>3.7</v>
      </c>
      <c r="C222" t="n">
        <v>501.187234</v>
      </c>
      <c r="D222" s="10" t="inlineStr">
        <is>
          <t>Medium demersal fish</t>
        </is>
      </c>
      <c r="H222" t="n">
        <v>193.727859</v>
      </c>
      <c r="I222" t="n">
        <v>35.839321</v>
      </c>
      <c r="J222" t="n">
        <v>36.233059</v>
      </c>
      <c r="K222" t="n">
        <v>29.716807</v>
      </c>
      <c r="L222" t="n">
        <v>68.19949200000001</v>
      </c>
      <c r="M222" t="n">
        <v>68.19949200000001</v>
      </c>
      <c r="N222" t="n">
        <v>68.19949200000001</v>
      </c>
      <c r="O222" t="n">
        <v>38.496304</v>
      </c>
      <c r="P222" t="n">
        <v>13.496178</v>
      </c>
      <c r="Q222" t="n">
        <v>68.19949200000001</v>
      </c>
      <c r="S222" t="n">
        <v>38.496304</v>
      </c>
      <c r="U222" t="n">
        <v>13.496178</v>
      </c>
      <c r="V222" t="n">
        <v>13.496178</v>
      </c>
      <c r="W222" t="n">
        <v>28.279976</v>
      </c>
      <c r="X222" t="n">
        <v>76.95169799999999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1" t="inlineStr">
        <is>
          <t>Total PPR by method and year — every taxon summed, tonnes wet weight equivalent of primary production.</t>
        </is>
      </c>
    </row>
    <row r="2">
      <c r="A2" t="inlineStr">
        <is>
          <t>Primary producers only; excludes detritus and imports. The simple chain rows are unpartitioned references; model rows use this scope.</t>
        </is>
      </c>
    </row>
    <row r="3">
      <c r="A3" t="inlineStr">
        <is>
          <t>Methods are not alternatives to be averaged. They rest on different assumptions and the spread between them is the result.</t>
        </is>
      </c>
    </row>
    <row r="4">
      <c r="A4" t="inlineStr">
        <is>
          <t>The two grey rows aggregate the catch to a group before exponentiating, which understates the total: SPPR is convex in trophic level, so they measure the Jensen effect rather than the PPR.</t>
        </is>
      </c>
    </row>
    <row r="5">
      <c r="A5" s="4" t="inlineStr">
        <is>
          <t>method</t>
        </is>
      </c>
      <c r="B5" s="4" t="inlineStr">
        <is>
          <t>status</t>
        </is>
      </c>
      <c r="C5" s="4" t="n">
        <v>1950</v>
      </c>
      <c r="D5" s="4" t="n">
        <v>1951</v>
      </c>
      <c r="E5" s="4" t="n">
        <v>1952</v>
      </c>
      <c r="F5" s="4" t="n">
        <v>1953</v>
      </c>
      <c r="G5" s="4" t="n">
        <v>1954</v>
      </c>
      <c r="H5" s="4" t="n">
        <v>1955</v>
      </c>
      <c r="I5" s="4" t="n">
        <v>1956</v>
      </c>
      <c r="J5" s="4" t="n">
        <v>1957</v>
      </c>
      <c r="K5" s="4" t="n">
        <v>1958</v>
      </c>
      <c r="L5" s="4" t="n">
        <v>1959</v>
      </c>
      <c r="M5" s="4" t="n">
        <v>1960</v>
      </c>
      <c r="N5" s="4" t="n">
        <v>1961</v>
      </c>
      <c r="O5" s="4" t="n">
        <v>1962</v>
      </c>
      <c r="P5" s="4" t="n">
        <v>1963</v>
      </c>
      <c r="Q5" s="4" t="n">
        <v>1964</v>
      </c>
      <c r="R5" s="4" t="n">
        <v>1965</v>
      </c>
      <c r="S5" s="4" t="n">
        <v>1966</v>
      </c>
      <c r="T5" s="4" t="n">
        <v>1967</v>
      </c>
      <c r="U5" s="4" t="n">
        <v>1968</v>
      </c>
      <c r="V5" s="4" t="n">
        <v>1969</v>
      </c>
      <c r="W5" s="4" t="n">
        <v>1970</v>
      </c>
      <c r="X5" s="4" t="n">
        <v>1971</v>
      </c>
      <c r="Y5" s="4" t="n">
        <v>1972</v>
      </c>
      <c r="Z5" s="4" t="n">
        <v>1973</v>
      </c>
      <c r="AA5" s="4" t="n">
        <v>1974</v>
      </c>
      <c r="AB5" s="4" t="n">
        <v>1975</v>
      </c>
      <c r="AC5" s="4" t="n">
        <v>1976</v>
      </c>
      <c r="AD5" s="4" t="n">
        <v>1977</v>
      </c>
      <c r="AE5" s="4" t="n">
        <v>1978</v>
      </c>
      <c r="AF5" s="4" t="n">
        <v>1979</v>
      </c>
      <c r="AG5" s="4" t="n">
        <v>1980</v>
      </c>
      <c r="AH5" s="4" t="n">
        <v>1981</v>
      </c>
      <c r="AI5" s="4" t="n">
        <v>1982</v>
      </c>
      <c r="AJ5" s="4" t="n">
        <v>1983</v>
      </c>
      <c r="AK5" s="4" t="n">
        <v>1984</v>
      </c>
      <c r="AL5" s="4" t="n">
        <v>1985</v>
      </c>
      <c r="AM5" s="4" t="n">
        <v>1986</v>
      </c>
      <c r="AN5" s="4" t="n">
        <v>1987</v>
      </c>
      <c r="AO5" s="4" t="n">
        <v>1988</v>
      </c>
      <c r="AP5" s="4" t="n">
        <v>1989</v>
      </c>
      <c r="AQ5" s="4" t="n">
        <v>1990</v>
      </c>
      <c r="AR5" s="4" t="n">
        <v>1991</v>
      </c>
      <c r="AS5" s="4" t="n">
        <v>1992</v>
      </c>
      <c r="AT5" s="4" t="n">
        <v>1993</v>
      </c>
      <c r="AU5" s="4" t="n">
        <v>1994</v>
      </c>
      <c r="AV5" s="4" t="n">
        <v>1995</v>
      </c>
      <c r="AW5" s="4" t="n">
        <v>1996</v>
      </c>
      <c r="AX5" s="4" t="n">
        <v>1997</v>
      </c>
      <c r="AY5" s="4" t="n">
        <v>1998</v>
      </c>
      <c r="AZ5" s="4" t="n">
        <v>1999</v>
      </c>
      <c r="BA5" s="4" t="n">
        <v>2000</v>
      </c>
      <c r="BB5" s="4" t="n">
        <v>2001</v>
      </c>
      <c r="BC5" s="4" t="n">
        <v>2002</v>
      </c>
      <c r="BD5" s="4" t="n">
        <v>2003</v>
      </c>
      <c r="BE5" s="4" t="n">
        <v>2004</v>
      </c>
      <c r="BF5" s="4" t="n">
        <v>2005</v>
      </c>
      <c r="BG5" s="4" t="n">
        <v>2006</v>
      </c>
      <c r="BH5" s="4" t="n">
        <v>2007</v>
      </c>
      <c r="BI5" s="4" t="n">
        <v>2008</v>
      </c>
      <c r="BJ5" s="4" t="n">
        <v>2009</v>
      </c>
      <c r="BK5" s="4" t="n">
        <v>2010</v>
      </c>
      <c r="BL5" s="4" t="n">
        <v>2011</v>
      </c>
      <c r="BM5" s="4" t="n">
        <v>2012</v>
      </c>
      <c r="BN5" s="4" t="n">
        <v>2013</v>
      </c>
      <c r="BO5" s="4" t="n">
        <v>2014</v>
      </c>
      <c r="BP5" s="4" t="n">
        <v>2015</v>
      </c>
      <c r="BQ5" s="4" t="n">
        <v>2016</v>
      </c>
      <c r="BR5" s="4" t="n">
        <v>2017</v>
      </c>
      <c r="BS5" s="4" t="n">
        <v>2018</v>
      </c>
      <c r="BT5" s="4" t="n">
        <v>2019</v>
      </c>
    </row>
    <row r="6">
      <c r="A6" s="3" t="inlineStr">
        <is>
          <t>simple trophic chain, per taxon</t>
        </is>
      </c>
      <c r="B6" t="inlineStr">
        <is>
          <t>ok</t>
        </is>
      </c>
      <c r="C6" t="n">
        <v>266839351.154</v>
      </c>
      <c r="D6" t="n">
        <v>337327018.195</v>
      </c>
      <c r="E6" t="n">
        <v>394715516.606</v>
      </c>
      <c r="F6" t="n">
        <v>347383312.854</v>
      </c>
      <c r="G6" t="n">
        <v>371439130.843</v>
      </c>
      <c r="H6" t="n">
        <v>520784290.415</v>
      </c>
      <c r="I6" t="n">
        <v>522953529.215</v>
      </c>
      <c r="J6" t="n">
        <v>449059991.41</v>
      </c>
      <c r="K6" t="n">
        <v>497630831.618</v>
      </c>
      <c r="L6" t="n">
        <v>618245719.5700001</v>
      </c>
      <c r="M6" t="n">
        <v>787332609.071</v>
      </c>
      <c r="N6" t="n">
        <v>897591230.5319999</v>
      </c>
      <c r="O6" t="n">
        <v>994524162.401</v>
      </c>
      <c r="P6" t="n">
        <v>1153027995.963</v>
      </c>
      <c r="Q6" t="n">
        <v>1332003472.351</v>
      </c>
      <c r="R6" t="n">
        <v>1016114576.574</v>
      </c>
      <c r="S6" t="n">
        <v>1175417599.717</v>
      </c>
      <c r="T6" t="n">
        <v>1286937470.75</v>
      </c>
      <c r="U6" t="n">
        <v>1315604077.016</v>
      </c>
      <c r="V6" t="n">
        <v>1152010350.295</v>
      </c>
      <c r="W6" t="n">
        <v>1521656812.312</v>
      </c>
      <c r="X6" t="n">
        <v>1319944041.988</v>
      </c>
      <c r="Y6" t="n">
        <v>1002749136.39</v>
      </c>
      <c r="Z6" t="n">
        <v>1027725121.21</v>
      </c>
      <c r="AA6" t="n">
        <v>1038412019.225</v>
      </c>
      <c r="AB6" t="n">
        <v>858033259.778</v>
      </c>
      <c r="AC6" t="n">
        <v>910045731.906</v>
      </c>
      <c r="AD6" t="n">
        <v>1157229951.036</v>
      </c>
      <c r="AE6" t="n">
        <v>1937829566.399</v>
      </c>
      <c r="AF6" t="n">
        <v>1022221054.699</v>
      </c>
      <c r="AG6" t="n">
        <v>1288930819.21</v>
      </c>
      <c r="AH6" t="n">
        <v>1196015418.736</v>
      </c>
      <c r="AI6" t="n">
        <v>1395644133.123</v>
      </c>
      <c r="AJ6" t="n">
        <v>1191890863.022</v>
      </c>
      <c r="AK6" t="n">
        <v>1362117497.292</v>
      </c>
      <c r="AL6" t="n">
        <v>1205616788.422</v>
      </c>
      <c r="AM6" t="n">
        <v>1483103093.532</v>
      </c>
      <c r="AN6" t="n">
        <v>1584028271.69</v>
      </c>
      <c r="AO6" t="n">
        <v>2176549618.981</v>
      </c>
      <c r="AP6" t="n">
        <v>2376707976.783</v>
      </c>
      <c r="AQ6" t="n">
        <v>2490512890.815</v>
      </c>
      <c r="AR6" t="n">
        <v>2334033309.785</v>
      </c>
      <c r="AS6" t="n">
        <v>2358993010.766</v>
      </c>
      <c r="AT6" t="n">
        <v>2424357300.994</v>
      </c>
      <c r="AU6" t="n">
        <v>2999472447.885</v>
      </c>
      <c r="AV6" t="n">
        <v>2982847201.066</v>
      </c>
      <c r="AW6" t="n">
        <v>3101686944.979</v>
      </c>
      <c r="AX6" t="n">
        <v>2425608958.771</v>
      </c>
      <c r="AY6" t="n">
        <v>2065966513.457</v>
      </c>
      <c r="AZ6" t="n">
        <v>2148433461.206</v>
      </c>
      <c r="BA6" t="n">
        <v>2076648513.313</v>
      </c>
      <c r="BB6" t="n">
        <v>2565629350.073</v>
      </c>
      <c r="BC6" t="n">
        <v>1884712765.14</v>
      </c>
      <c r="BD6" t="n">
        <v>2308318980.21</v>
      </c>
      <c r="BE6" t="n">
        <v>2972908951.744</v>
      </c>
      <c r="BF6" t="n">
        <v>3123678254.528</v>
      </c>
      <c r="BG6" t="n">
        <v>3036015301.708</v>
      </c>
      <c r="BH6" t="n">
        <v>2661174913.494</v>
      </c>
      <c r="BI6" t="n">
        <v>3034654980.1</v>
      </c>
      <c r="BJ6" t="n">
        <v>2697094749.671</v>
      </c>
      <c r="BK6" t="n">
        <v>2244831354.694</v>
      </c>
      <c r="BL6" t="n">
        <v>2858418640.566</v>
      </c>
      <c r="BM6" t="n">
        <v>2639529744.06</v>
      </c>
      <c r="BN6" t="n">
        <v>2460501516.6</v>
      </c>
      <c r="BO6" t="n">
        <v>2847965658.858</v>
      </c>
      <c r="BP6" t="n">
        <v>2882795802.084</v>
      </c>
      <c r="BQ6" t="n">
        <v>2528659248.978</v>
      </c>
      <c r="BR6" t="n">
        <v>2393277692.362</v>
      </c>
      <c r="BS6" t="n">
        <v>2492262690.047</v>
      </c>
      <c r="BT6" t="n">
        <v>2612052521.28</v>
      </c>
    </row>
    <row r="7">
      <c r="A7" s="11" t="inlineStr">
        <is>
          <t>simple, aggregated to SAU functional group</t>
        </is>
      </c>
      <c r="B7" t="inlineStr">
        <is>
          <t>Jensen comparison, not a PPR estimate</t>
        </is>
      </c>
      <c r="C7" t="n">
        <v>209577447.726</v>
      </c>
      <c r="D7" t="n">
        <v>266937000.396</v>
      </c>
      <c r="E7" t="n">
        <v>313259060.906</v>
      </c>
      <c r="F7" t="n">
        <v>270578034.2</v>
      </c>
      <c r="G7" t="n">
        <v>287454312.582</v>
      </c>
      <c r="H7" t="n">
        <v>422888431.01</v>
      </c>
      <c r="I7" t="n">
        <v>409646795.21</v>
      </c>
      <c r="J7" t="n">
        <v>333532315.739</v>
      </c>
      <c r="K7" t="n">
        <v>371389689.679</v>
      </c>
      <c r="L7" t="n">
        <v>468296122.546</v>
      </c>
      <c r="M7" t="n">
        <v>607732594.8789999</v>
      </c>
      <c r="N7" t="n">
        <v>719628323.988</v>
      </c>
      <c r="O7" t="n">
        <v>819839609.818</v>
      </c>
      <c r="P7" t="n">
        <v>957274002.564</v>
      </c>
      <c r="Q7" t="n">
        <v>1108360893.198</v>
      </c>
      <c r="R7" t="n">
        <v>839182953.434</v>
      </c>
      <c r="S7" t="n">
        <v>951885563.431</v>
      </c>
      <c r="T7" t="n">
        <v>1084866714.06</v>
      </c>
      <c r="U7" t="n">
        <v>1134854601.167</v>
      </c>
      <c r="V7" t="n">
        <v>961028124.904</v>
      </c>
      <c r="W7" t="n">
        <v>1299639488.474</v>
      </c>
      <c r="X7" t="n">
        <v>1082946759.903</v>
      </c>
      <c r="Y7" t="n">
        <v>722407324.876</v>
      </c>
      <c r="Z7" t="n">
        <v>845740797.6109999</v>
      </c>
      <c r="AA7" t="n">
        <v>921153741.888</v>
      </c>
      <c r="AB7" t="n">
        <v>768783148.327</v>
      </c>
      <c r="AC7" t="n">
        <v>831347313.416</v>
      </c>
      <c r="AD7" t="n">
        <v>996532291.181</v>
      </c>
      <c r="AE7" t="n">
        <v>1749553574.694</v>
      </c>
      <c r="AF7" t="n">
        <v>890250065.37</v>
      </c>
      <c r="AG7" t="n">
        <v>1076709767.282</v>
      </c>
      <c r="AH7" t="n">
        <v>939673559.431</v>
      </c>
      <c r="AI7" t="n">
        <v>1073079641.197</v>
      </c>
      <c r="AJ7" t="n">
        <v>874886979.454</v>
      </c>
      <c r="AK7" t="n">
        <v>1020683563.809</v>
      </c>
      <c r="AL7" t="n">
        <v>987667420.6</v>
      </c>
      <c r="AM7" t="n">
        <v>1235617278.1</v>
      </c>
      <c r="AN7" t="n">
        <v>1290133447.785</v>
      </c>
      <c r="AO7" t="n">
        <v>1757072643.974</v>
      </c>
      <c r="AP7" t="n">
        <v>1932579130.153</v>
      </c>
      <c r="AQ7" t="n">
        <v>2012259533.353</v>
      </c>
      <c r="AR7" t="n">
        <v>1975234629.822</v>
      </c>
      <c r="AS7" t="n">
        <v>1938094687.417</v>
      </c>
      <c r="AT7" t="n">
        <v>2074252150.44</v>
      </c>
      <c r="AU7" t="n">
        <v>2653179846.141</v>
      </c>
      <c r="AV7" t="n">
        <v>2607693641.363</v>
      </c>
      <c r="AW7" t="n">
        <v>2755596955.845</v>
      </c>
      <c r="AX7" t="n">
        <v>2158113288.361</v>
      </c>
      <c r="AY7" t="n">
        <v>1724409701.274</v>
      </c>
      <c r="AZ7" t="n">
        <v>1887006794.806</v>
      </c>
      <c r="BA7" t="n">
        <v>1843101814.733</v>
      </c>
      <c r="BB7" t="n">
        <v>2286877249.69</v>
      </c>
      <c r="BC7" t="n">
        <v>1727528554.57</v>
      </c>
      <c r="BD7" t="n">
        <v>2072720821.657</v>
      </c>
      <c r="BE7" t="n">
        <v>2761009485.449</v>
      </c>
      <c r="BF7" t="n">
        <v>2929354136.857</v>
      </c>
      <c r="BG7" t="n">
        <v>2851223816.084</v>
      </c>
      <c r="BH7" t="n">
        <v>2448441677.91</v>
      </c>
      <c r="BI7" t="n">
        <v>2626341274.267</v>
      </c>
      <c r="BJ7" t="n">
        <v>2298167682.481</v>
      </c>
      <c r="BK7" t="n">
        <v>1781343308.092</v>
      </c>
      <c r="BL7" t="n">
        <v>2616254950.352</v>
      </c>
      <c r="BM7" t="n">
        <v>2374418133.846</v>
      </c>
      <c r="BN7" t="n">
        <v>2227842869.975</v>
      </c>
      <c r="BO7" t="n">
        <v>2556976762.787</v>
      </c>
      <c r="BP7" t="n">
        <v>2495052018.626</v>
      </c>
      <c r="BQ7" t="n">
        <v>2198499343.278</v>
      </c>
      <c r="BR7" t="n">
        <v>2048803101.987</v>
      </c>
      <c r="BS7" t="n">
        <v>2190958268.398</v>
      </c>
      <c r="BT7" t="n">
        <v>2239918373.408</v>
      </c>
    </row>
    <row r="8">
      <c r="A8" s="11" t="inlineStr">
        <is>
          <t>simple, aggregated to SAU commercial group</t>
        </is>
      </c>
      <c r="B8" t="inlineStr">
        <is>
          <t>Jensen comparison, not a PPR estimate</t>
        </is>
      </c>
      <c r="C8" t="n">
        <v>252602503.118</v>
      </c>
      <c r="D8" t="n">
        <v>322711838.484</v>
      </c>
      <c r="E8" t="n">
        <v>377501159.101</v>
      </c>
      <c r="F8" t="n">
        <v>331975392.852</v>
      </c>
      <c r="G8" t="n">
        <v>356108685.835</v>
      </c>
      <c r="H8" t="n">
        <v>499493692.505</v>
      </c>
      <c r="I8" t="n">
        <v>501712308.132</v>
      </c>
      <c r="J8" t="n">
        <v>421644156.353</v>
      </c>
      <c r="K8" t="n">
        <v>472023399.976</v>
      </c>
      <c r="L8" t="n">
        <v>594817117.6109999</v>
      </c>
      <c r="M8" t="n">
        <v>755772599.415</v>
      </c>
      <c r="N8" t="n">
        <v>875535225.295</v>
      </c>
      <c r="O8" t="n">
        <v>966910664.8559999</v>
      </c>
      <c r="P8" t="n">
        <v>1125199710.785</v>
      </c>
      <c r="Q8" t="n">
        <v>1293202984.063</v>
      </c>
      <c r="R8" t="n">
        <v>987053866.478</v>
      </c>
      <c r="S8" t="n">
        <v>1144786925.244</v>
      </c>
      <c r="T8" t="n">
        <v>1247119769.192</v>
      </c>
      <c r="U8" t="n">
        <v>1276601734.411</v>
      </c>
      <c r="V8" t="n">
        <v>1112696355.22</v>
      </c>
      <c r="W8" t="n">
        <v>1457575134.041</v>
      </c>
      <c r="X8" t="n">
        <v>1271626060.928</v>
      </c>
      <c r="Y8" t="n">
        <v>959666543.1440001</v>
      </c>
      <c r="Z8" t="n">
        <v>961006897.608</v>
      </c>
      <c r="AA8" t="n">
        <v>972918404.402</v>
      </c>
      <c r="AB8" t="n">
        <v>806668629.0190001</v>
      </c>
      <c r="AC8" t="n">
        <v>871493044.9809999</v>
      </c>
      <c r="AD8" t="n">
        <v>1100076379.779</v>
      </c>
      <c r="AE8" t="n">
        <v>1875015994.439</v>
      </c>
      <c r="AF8" t="n">
        <v>967057890.164</v>
      </c>
      <c r="AG8" t="n">
        <v>1211177589.81</v>
      </c>
      <c r="AH8" t="n">
        <v>1106048214.844</v>
      </c>
      <c r="AI8" t="n">
        <v>1300448491.016</v>
      </c>
      <c r="AJ8" t="n">
        <v>1109946009.215</v>
      </c>
      <c r="AK8" t="n">
        <v>1261570622.206</v>
      </c>
      <c r="AL8" t="n">
        <v>1128478497.719</v>
      </c>
      <c r="AM8" t="n">
        <v>1377156509.856</v>
      </c>
      <c r="AN8" t="n">
        <v>1475544302.607</v>
      </c>
      <c r="AO8" t="n">
        <v>1986517192.154</v>
      </c>
      <c r="AP8" t="n">
        <v>2168520275.168</v>
      </c>
      <c r="AQ8" t="n">
        <v>2306360848.96</v>
      </c>
      <c r="AR8" t="n">
        <v>2116032908.733</v>
      </c>
      <c r="AS8" t="n">
        <v>2092105482.54</v>
      </c>
      <c r="AT8" t="n">
        <v>2147523624.098</v>
      </c>
      <c r="AU8" t="n">
        <v>2692184488.655</v>
      </c>
      <c r="AV8" t="n">
        <v>2632456363.278</v>
      </c>
      <c r="AW8" t="n">
        <v>2793805473.574</v>
      </c>
      <c r="AX8" t="n">
        <v>2230688954.965</v>
      </c>
      <c r="AY8" t="n">
        <v>1738552966.911</v>
      </c>
      <c r="AZ8" t="n">
        <v>1847910641.861</v>
      </c>
      <c r="BA8" t="n">
        <v>1778597316.408</v>
      </c>
      <c r="BB8" t="n">
        <v>2151607512.379</v>
      </c>
      <c r="BC8" t="n">
        <v>1509103946.142</v>
      </c>
      <c r="BD8" t="n">
        <v>1850965116.235</v>
      </c>
      <c r="BE8" t="n">
        <v>2466111993.758</v>
      </c>
      <c r="BF8" t="n">
        <v>2570415720.946</v>
      </c>
      <c r="BG8" t="n">
        <v>2517274440.254</v>
      </c>
      <c r="BH8" t="n">
        <v>2153931494.097</v>
      </c>
      <c r="BI8" t="n">
        <v>2413721259.196</v>
      </c>
      <c r="BJ8" t="n">
        <v>2097000691.956</v>
      </c>
      <c r="BK8" t="n">
        <v>1633874922.426</v>
      </c>
      <c r="BL8" t="n">
        <v>2235889816.502</v>
      </c>
      <c r="BM8" t="n">
        <v>1983992464.509</v>
      </c>
      <c r="BN8" t="n">
        <v>1862843701.746</v>
      </c>
      <c r="BO8" t="n">
        <v>2148888629.629</v>
      </c>
      <c r="BP8" t="n">
        <v>2353457584.995</v>
      </c>
      <c r="BQ8" t="n">
        <v>2068785103.361</v>
      </c>
      <c r="BR8" t="n">
        <v>2018203688.023</v>
      </c>
      <c r="BS8" t="n">
        <v>2073867334.18</v>
      </c>
      <c r="BT8" t="n">
        <v>2058671338.976</v>
      </c>
    </row>
    <row r="9">
      <c r="A9" s="12" t="inlineStr">
        <is>
          <t>SPPR_1986</t>
        </is>
      </c>
      <c r="B9" s="9" t="inlineStr">
        <is>
          <t>did not resolve for any mapped group</t>
        </is>
      </c>
    </row>
    <row r="10">
      <c r="A10" s="12" t="inlineStr">
        <is>
          <t>SPPR_1995_TE0.1</t>
        </is>
      </c>
      <c r="B10" s="9" t="inlineStr">
        <is>
          <t>did not resolve for any mapped group</t>
        </is>
      </c>
    </row>
    <row r="11">
      <c r="A11" s="12" t="inlineStr">
        <is>
          <t>SPPR_1995_TEmean</t>
        </is>
      </c>
      <c r="B11" s="9" t="inlineStr">
        <is>
          <t>did not resolve for any mapped group</t>
        </is>
      </c>
    </row>
    <row r="12">
      <c r="A12" t="inlineStr">
        <is>
          <t>Ulanowicz_globalTEmean</t>
        </is>
      </c>
      <c r="B12" t="inlineStr">
        <is>
          <t>ok</t>
        </is>
      </c>
      <c r="C12" t="n">
        <v>78686231.01899999</v>
      </c>
      <c r="D12" t="n">
        <v>102162923.415</v>
      </c>
      <c r="E12" t="n">
        <v>111654853.339</v>
      </c>
      <c r="F12" t="n">
        <v>95615492.366</v>
      </c>
      <c r="G12" t="n">
        <v>116218056.583</v>
      </c>
      <c r="H12" t="n">
        <v>154903549.359</v>
      </c>
      <c r="I12" t="n">
        <v>172818095.885</v>
      </c>
      <c r="J12" t="n">
        <v>164266585.476</v>
      </c>
      <c r="K12" t="n">
        <v>229482894.851</v>
      </c>
      <c r="L12" t="n">
        <v>411324761.166</v>
      </c>
      <c r="M12" t="n">
        <v>650590206.869</v>
      </c>
      <c r="N12" t="n">
        <v>915124781.224</v>
      </c>
      <c r="O12" t="n">
        <v>1159586593.087</v>
      </c>
      <c r="P12" t="n">
        <v>1331103430.801</v>
      </c>
      <c r="Q12" t="n">
        <v>1797852149.264</v>
      </c>
      <c r="R12" t="n">
        <v>1251882754.553</v>
      </c>
      <c r="S12" t="n">
        <v>1574723710.111</v>
      </c>
      <c r="T12" t="n">
        <v>1786834115.646</v>
      </c>
      <c r="U12" t="n">
        <v>1848483077.613</v>
      </c>
      <c r="V12" t="n">
        <v>1599905227.773</v>
      </c>
      <c r="W12" t="n">
        <v>2218907085.424</v>
      </c>
      <c r="X12" t="n">
        <v>1954583423.444</v>
      </c>
      <c r="Y12" t="n">
        <v>968215552.41</v>
      </c>
      <c r="Z12" t="n">
        <v>789325520.365</v>
      </c>
      <c r="AA12" t="n">
        <v>1249869044.779</v>
      </c>
      <c r="AB12" t="n">
        <v>1053432886.199</v>
      </c>
      <c r="AC12" t="n">
        <v>1225607748.945</v>
      </c>
      <c r="AD12" t="n">
        <v>1580948038.709</v>
      </c>
      <c r="AE12" t="n">
        <v>2340776260.006</v>
      </c>
      <c r="AF12" t="n">
        <v>1445246890.934</v>
      </c>
      <c r="AG12" t="n">
        <v>1382473494.743</v>
      </c>
      <c r="AH12" t="n">
        <v>1627502744.514</v>
      </c>
      <c r="AI12" t="n">
        <v>2114773330.999</v>
      </c>
      <c r="AJ12" t="n">
        <v>1835762038.037</v>
      </c>
      <c r="AK12" t="n">
        <v>2164997439.362</v>
      </c>
      <c r="AL12" t="n">
        <v>2137337776.087</v>
      </c>
      <c r="AM12" t="n">
        <v>2380195925.627</v>
      </c>
      <c r="AN12" t="n">
        <v>2380472806.474</v>
      </c>
      <c r="AO12" t="n">
        <v>2953188293.605</v>
      </c>
      <c r="AP12" t="n">
        <v>3390660202.556</v>
      </c>
      <c r="AQ12" t="n">
        <v>3439095794.57</v>
      </c>
      <c r="AR12" t="n">
        <v>3438059986.075</v>
      </c>
      <c r="AS12" t="n">
        <v>3322577717.257</v>
      </c>
      <c r="AT12" t="n">
        <v>3501827896.983</v>
      </c>
      <c r="AU12" t="n">
        <v>4466433626.416</v>
      </c>
      <c r="AV12" t="n">
        <v>4192744471.384</v>
      </c>
      <c r="AW12" t="n">
        <v>4125759729.143</v>
      </c>
      <c r="AX12" t="n">
        <v>3587549317.435</v>
      </c>
      <c r="AY12" t="n">
        <v>2240938699.993</v>
      </c>
      <c r="AZ12" t="n">
        <v>2811428941.662</v>
      </c>
      <c r="BA12" t="n">
        <v>3014430094.755</v>
      </c>
      <c r="BB12" t="n">
        <v>3306917698.114</v>
      </c>
      <c r="BC12" t="n">
        <v>2767488517.118</v>
      </c>
      <c r="BD12" t="n">
        <v>2854948319.078</v>
      </c>
      <c r="BE12" t="n">
        <v>3767832802.152</v>
      </c>
      <c r="BF12" t="n">
        <v>3573235756.915</v>
      </c>
      <c r="BG12" t="n">
        <v>3326304836.594</v>
      </c>
      <c r="BH12" t="n">
        <v>3020162933.221</v>
      </c>
      <c r="BI12" t="n">
        <v>2979958095.085</v>
      </c>
      <c r="BJ12" t="n">
        <v>2693245716.291</v>
      </c>
      <c r="BK12" t="n">
        <v>1980725605.935</v>
      </c>
      <c r="BL12" t="n">
        <v>2932693009.875</v>
      </c>
      <c r="BM12" t="n">
        <v>2378591226.897</v>
      </c>
      <c r="BN12" t="n">
        <v>2287459530.71</v>
      </c>
      <c r="BO12" t="n">
        <v>2390173149.731</v>
      </c>
      <c r="BP12" t="n">
        <v>2225861932.196</v>
      </c>
      <c r="BQ12" t="n">
        <v>2018219314.115</v>
      </c>
      <c r="BR12" t="n">
        <v>1982277794.383</v>
      </c>
      <c r="BS12" t="n">
        <v>2346829398.602</v>
      </c>
      <c r="BT12" t="n">
        <v>2212594065.092</v>
      </c>
    </row>
    <row r="13">
      <c r="A13" t="inlineStr">
        <is>
          <t>Ulanowicz_TE</t>
        </is>
      </c>
      <c r="B13" t="inlineStr">
        <is>
          <t>ok</t>
        </is>
      </c>
      <c r="C13" t="n">
        <v>69873860.603</v>
      </c>
      <c r="D13" t="n">
        <v>73228739.822</v>
      </c>
      <c r="E13" t="n">
        <v>89881378.492</v>
      </c>
      <c r="F13" t="n">
        <v>79229787.095</v>
      </c>
      <c r="G13" t="n">
        <v>101551092.871</v>
      </c>
      <c r="H13" t="n">
        <v>105367869.637</v>
      </c>
      <c r="I13" t="n">
        <v>113762332.023</v>
      </c>
      <c r="J13" t="n">
        <v>118792018.631</v>
      </c>
      <c r="K13" t="n">
        <v>145011827.708</v>
      </c>
      <c r="L13" t="n">
        <v>204687560.706</v>
      </c>
      <c r="M13" t="n">
        <v>283471344.779</v>
      </c>
      <c r="N13" t="n">
        <v>330684728.816</v>
      </c>
      <c r="O13" t="n">
        <v>415900040.815</v>
      </c>
      <c r="P13" t="n">
        <v>796297142.138</v>
      </c>
      <c r="Q13" t="n">
        <v>1098603282.795</v>
      </c>
      <c r="R13" t="n">
        <v>416918954.078</v>
      </c>
      <c r="S13" t="n">
        <v>538040985.6950001</v>
      </c>
      <c r="T13" t="n">
        <v>654832003.598</v>
      </c>
      <c r="U13" t="n">
        <v>657953130.4579999</v>
      </c>
      <c r="V13" t="n">
        <v>548553589.386</v>
      </c>
      <c r="W13" t="n">
        <v>777881150.5190001</v>
      </c>
      <c r="X13" t="n">
        <v>673264878.25</v>
      </c>
      <c r="Y13" t="n">
        <v>425225120.389</v>
      </c>
      <c r="Z13" t="n">
        <v>788802853.939</v>
      </c>
      <c r="AA13" t="n">
        <v>770717161.556</v>
      </c>
      <c r="AB13" t="n">
        <v>688677383.057</v>
      </c>
      <c r="AC13" t="n">
        <v>770142577.48</v>
      </c>
      <c r="AD13" t="n">
        <v>1367024395.323</v>
      </c>
      <c r="AE13" t="n">
        <v>2008488822.393</v>
      </c>
      <c r="AF13" t="n">
        <v>1023764044.952</v>
      </c>
      <c r="AG13" t="n">
        <v>1012685579.558</v>
      </c>
      <c r="AH13" t="n">
        <v>1165451840.036</v>
      </c>
      <c r="AI13" t="n">
        <v>1257598460.11</v>
      </c>
      <c r="AJ13" t="n">
        <v>1246489734.733</v>
      </c>
      <c r="AK13" t="n">
        <v>1556434184.619</v>
      </c>
      <c r="AL13" t="n">
        <v>1344711004.064</v>
      </c>
      <c r="AM13" t="n">
        <v>1360755162.64</v>
      </c>
      <c r="AN13" t="n">
        <v>1447603851.54</v>
      </c>
      <c r="AO13" t="n">
        <v>1826368999.688</v>
      </c>
      <c r="AP13" t="n">
        <v>2129946583.571</v>
      </c>
      <c r="AQ13" t="n">
        <v>2366841216.407</v>
      </c>
      <c r="AR13" t="n">
        <v>2162646014.459</v>
      </c>
      <c r="AS13" t="n">
        <v>1873814592.307</v>
      </c>
      <c r="AT13" t="n">
        <v>2016142490.796</v>
      </c>
      <c r="AU13" t="n">
        <v>2364300792.461</v>
      </c>
      <c r="AV13" t="n">
        <v>2640547495.439</v>
      </c>
      <c r="AW13" t="n">
        <v>2624002477.67</v>
      </c>
      <c r="AX13" t="n">
        <v>2495156124.385</v>
      </c>
      <c r="AY13" t="n">
        <v>2006398810.91</v>
      </c>
      <c r="AZ13" t="n">
        <v>1944259062.4</v>
      </c>
      <c r="BA13" t="n">
        <v>1533833574.279</v>
      </c>
      <c r="BB13" t="n">
        <v>2302031802.071</v>
      </c>
      <c r="BC13" t="n">
        <v>1293016153.44</v>
      </c>
      <c r="BD13" t="n">
        <v>1915308908.432</v>
      </c>
      <c r="BE13" t="n">
        <v>2146913787.272</v>
      </c>
      <c r="BF13" t="n">
        <v>1831135907.493</v>
      </c>
      <c r="BG13" t="n">
        <v>1929158256.184</v>
      </c>
      <c r="BH13" t="n">
        <v>1727488198.742</v>
      </c>
      <c r="BI13" t="n">
        <v>1466717265.818</v>
      </c>
      <c r="BJ13" t="n">
        <v>1418318767.336</v>
      </c>
      <c r="BK13" t="n">
        <v>966799177.298</v>
      </c>
      <c r="BL13" t="n">
        <v>1355888241.923</v>
      </c>
      <c r="BM13" t="n">
        <v>1343413714.593</v>
      </c>
      <c r="BN13" t="n">
        <v>1491121240.384</v>
      </c>
      <c r="BO13" t="n">
        <v>1625018676.503</v>
      </c>
      <c r="BP13" t="n">
        <v>1443516714.922</v>
      </c>
      <c r="BQ13" t="n">
        <v>1361278704.177</v>
      </c>
      <c r="BR13" t="n">
        <v>5379598957.468</v>
      </c>
      <c r="BS13" t="n">
        <v>1265115187.938</v>
      </c>
      <c r="BT13" t="n">
        <v>1742588115.012</v>
      </c>
    </row>
    <row r="14">
      <c r="A14" t="inlineStr">
        <is>
          <t>EwE_TE_noEE</t>
        </is>
      </c>
      <c r="B14" t="inlineStr">
        <is>
          <t>ok</t>
        </is>
      </c>
      <c r="C14" t="n">
        <v>70698770.38</v>
      </c>
      <c r="D14" t="n">
        <v>74341690.345</v>
      </c>
      <c r="E14" t="n">
        <v>91066788.06999999</v>
      </c>
      <c r="F14" t="n">
        <v>80189087.771</v>
      </c>
      <c r="G14" t="n">
        <v>102735043.719</v>
      </c>
      <c r="H14" t="n">
        <v>107020324.797</v>
      </c>
      <c r="I14" t="n">
        <v>115583083.5</v>
      </c>
      <c r="J14" t="n">
        <v>120084128.291</v>
      </c>
      <c r="K14" t="n">
        <v>146462929.367</v>
      </c>
      <c r="L14" t="n">
        <v>206419374.308</v>
      </c>
      <c r="M14" t="n">
        <v>285545751.705</v>
      </c>
      <c r="N14" t="n">
        <v>332906434.263</v>
      </c>
      <c r="O14" t="n">
        <v>417950086.521</v>
      </c>
      <c r="P14" t="n">
        <v>798719953.359</v>
      </c>
      <c r="Q14" t="n">
        <v>1101080230.147</v>
      </c>
      <c r="R14" t="n">
        <v>418780656.258</v>
      </c>
      <c r="S14" t="n">
        <v>540041684.1849999</v>
      </c>
      <c r="T14" t="n">
        <v>657172752.5599999</v>
      </c>
      <c r="U14" t="n">
        <v>659799652.097</v>
      </c>
      <c r="V14" t="n">
        <v>550437527.683</v>
      </c>
      <c r="W14" t="n">
        <v>779806449.946</v>
      </c>
      <c r="X14" t="n">
        <v>675347771.872</v>
      </c>
      <c r="Y14" t="n">
        <v>427841698.566</v>
      </c>
      <c r="Z14" t="n">
        <v>791705411.02</v>
      </c>
      <c r="AA14" t="n">
        <v>772626767.155</v>
      </c>
      <c r="AB14" t="n">
        <v>690142393.045</v>
      </c>
      <c r="AC14" t="n">
        <v>771804051.089</v>
      </c>
      <c r="AD14" t="n">
        <v>1368996747.001</v>
      </c>
      <c r="AE14" t="n">
        <v>2012533480.734</v>
      </c>
      <c r="AF14" t="n">
        <v>1025436758.574</v>
      </c>
      <c r="AG14" t="n">
        <v>1015062419.325</v>
      </c>
      <c r="AH14" t="n">
        <v>1166949494.875</v>
      </c>
      <c r="AI14" t="n">
        <v>1258898202.494</v>
      </c>
      <c r="AJ14" t="n">
        <v>1247737660.354</v>
      </c>
      <c r="AK14" t="n">
        <v>1558419979.209</v>
      </c>
      <c r="AL14" t="n">
        <v>1345754573.353</v>
      </c>
      <c r="AM14" t="n">
        <v>1362239922.174</v>
      </c>
      <c r="AN14" t="n">
        <v>1449223509.81</v>
      </c>
      <c r="AO14" t="n">
        <v>1828980215.817</v>
      </c>
      <c r="AP14" t="n">
        <v>2132779017.061</v>
      </c>
      <c r="AQ14" t="n">
        <v>2370245994.925</v>
      </c>
      <c r="AR14" t="n">
        <v>2167459890.768</v>
      </c>
      <c r="AS14" t="n">
        <v>1880159323.37</v>
      </c>
      <c r="AT14" t="n">
        <v>2024390845.67</v>
      </c>
      <c r="AU14" t="n">
        <v>2373846271.925</v>
      </c>
      <c r="AV14" t="n">
        <v>2647616965.237</v>
      </c>
      <c r="AW14" t="n">
        <v>2628929161.655</v>
      </c>
      <c r="AX14" t="n">
        <v>2499725626.19</v>
      </c>
      <c r="AY14" t="n">
        <v>2010935572.759</v>
      </c>
      <c r="AZ14" t="n">
        <v>1949175112.508</v>
      </c>
      <c r="BA14" t="n">
        <v>1541219803.394</v>
      </c>
      <c r="BB14" t="n">
        <v>2311779027.482</v>
      </c>
      <c r="BC14" t="n">
        <v>1304154198.284</v>
      </c>
      <c r="BD14" t="n">
        <v>1930915937.136</v>
      </c>
      <c r="BE14" t="n">
        <v>2167889669.741</v>
      </c>
      <c r="BF14" t="n">
        <v>1855848127.578</v>
      </c>
      <c r="BG14" t="n">
        <v>1955869248.799</v>
      </c>
      <c r="BH14" t="n">
        <v>1748397926.365</v>
      </c>
      <c r="BI14" t="n">
        <v>1493729083.391</v>
      </c>
      <c r="BJ14" t="n">
        <v>1439963879.507</v>
      </c>
      <c r="BK14" t="n">
        <v>987755887.303</v>
      </c>
      <c r="BL14" t="n">
        <v>1381162494.953</v>
      </c>
      <c r="BM14" t="n">
        <v>1370729592.183</v>
      </c>
      <c r="BN14" t="n">
        <v>1517070577.604</v>
      </c>
      <c r="BO14" t="n">
        <v>1656523140.08</v>
      </c>
      <c r="BP14" t="n">
        <v>1476233215.133</v>
      </c>
      <c r="BQ14" t="n">
        <v>1387419352.121</v>
      </c>
      <c r="BR14" t="n">
        <v>5403690892.143</v>
      </c>
      <c r="BS14" t="n">
        <v>1289730411.851</v>
      </c>
      <c r="BT14" t="n">
        <v>1769313108.095</v>
      </c>
    </row>
    <row r="15">
      <c r="A15" t="inlineStr">
        <is>
          <t>EwE_TE_EE</t>
        </is>
      </c>
      <c r="B15" t="inlineStr">
        <is>
          <t>ok</t>
        </is>
      </c>
      <c r="C15" t="n">
        <v>42055356.59</v>
      </c>
      <c r="D15" t="n">
        <v>43475834.897</v>
      </c>
      <c r="E15" t="n">
        <v>52710810.094</v>
      </c>
      <c r="F15" t="n">
        <v>48728717.554</v>
      </c>
      <c r="G15" t="n">
        <v>61869557.914</v>
      </c>
      <c r="H15" t="n">
        <v>61968072.323</v>
      </c>
      <c r="I15" t="n">
        <v>67111612.01199999</v>
      </c>
      <c r="J15" t="n">
        <v>71062645.042</v>
      </c>
      <c r="K15" t="n">
        <v>88328455.984</v>
      </c>
      <c r="L15" t="n">
        <v>133616727.898</v>
      </c>
      <c r="M15" t="n">
        <v>189288231.119</v>
      </c>
      <c r="N15" t="n">
        <v>228495130.736</v>
      </c>
      <c r="O15" t="n">
        <v>293839603.373</v>
      </c>
      <c r="P15" t="n">
        <v>565932110.766</v>
      </c>
      <c r="Q15" t="n">
        <v>790282471.392</v>
      </c>
      <c r="R15" t="n">
        <v>300650329.023</v>
      </c>
      <c r="S15" t="n">
        <v>385223952.792</v>
      </c>
      <c r="T15" t="n">
        <v>467569741.036</v>
      </c>
      <c r="U15" t="n">
        <v>476782128.1</v>
      </c>
      <c r="V15" t="n">
        <v>395773833.727</v>
      </c>
      <c r="W15" t="n">
        <v>546107400.1059999</v>
      </c>
      <c r="X15" t="n">
        <v>459759624.521</v>
      </c>
      <c r="Y15" t="n">
        <v>270466582.85</v>
      </c>
      <c r="Z15" t="n">
        <v>493660340.53</v>
      </c>
      <c r="AA15" t="n">
        <v>456921492.885</v>
      </c>
      <c r="AB15" t="n">
        <v>388521681.494</v>
      </c>
      <c r="AC15" t="n">
        <v>403547406.527</v>
      </c>
      <c r="AD15" t="n">
        <v>544201368.6900001</v>
      </c>
      <c r="AE15" t="n">
        <v>883923172.841</v>
      </c>
      <c r="AF15" t="n">
        <v>476071573.535</v>
      </c>
      <c r="AG15" t="n">
        <v>521915752.883</v>
      </c>
      <c r="AH15" t="n">
        <v>499830020.999</v>
      </c>
      <c r="AI15" t="n">
        <v>544139962.49</v>
      </c>
      <c r="AJ15" t="n">
        <v>469520922.051</v>
      </c>
      <c r="AK15" t="n">
        <v>622947282.1849999</v>
      </c>
      <c r="AL15" t="n">
        <v>586625861.799</v>
      </c>
      <c r="AM15" t="n">
        <v>659024914.647</v>
      </c>
      <c r="AN15" t="n">
        <v>620490128.831</v>
      </c>
      <c r="AO15" t="n">
        <v>790262492.7589999</v>
      </c>
      <c r="AP15" t="n">
        <v>901355044.891</v>
      </c>
      <c r="AQ15" t="n">
        <v>933243281.541</v>
      </c>
      <c r="AR15" t="n">
        <v>823456339.429</v>
      </c>
      <c r="AS15" t="n">
        <v>761105029.579</v>
      </c>
      <c r="AT15" t="n">
        <v>870210128.941</v>
      </c>
      <c r="AU15" t="n">
        <v>1041006985.178</v>
      </c>
      <c r="AV15" t="n">
        <v>1070180789.132</v>
      </c>
      <c r="AW15" t="n">
        <v>1097189711.256</v>
      </c>
      <c r="AX15" t="n">
        <v>957097659.875</v>
      </c>
      <c r="AY15" t="n">
        <v>792419617.2359999</v>
      </c>
      <c r="AZ15" t="n">
        <v>766922839.062</v>
      </c>
      <c r="BA15" t="n">
        <v>771406387.832</v>
      </c>
      <c r="BB15" t="n">
        <v>894490241.273</v>
      </c>
      <c r="BC15" t="n">
        <v>649017184.732</v>
      </c>
      <c r="BD15" t="n">
        <v>678778696.901</v>
      </c>
      <c r="BE15" t="n">
        <v>874684546.0880001</v>
      </c>
      <c r="BF15" t="n">
        <v>864255358.591</v>
      </c>
      <c r="BG15" t="n">
        <v>807909894.021</v>
      </c>
      <c r="BH15" t="n">
        <v>749908973.556</v>
      </c>
      <c r="BI15" t="n">
        <v>735707129.812</v>
      </c>
      <c r="BJ15" t="n">
        <v>701759583.276</v>
      </c>
      <c r="BK15" t="n">
        <v>538773641.018</v>
      </c>
      <c r="BL15" t="n">
        <v>775701345.962</v>
      </c>
      <c r="BM15" t="n">
        <v>698368788.494</v>
      </c>
      <c r="BN15" t="n">
        <v>841477442.425</v>
      </c>
      <c r="BO15" t="n">
        <v>784927823.096</v>
      </c>
      <c r="BP15" t="n">
        <v>847236765.857</v>
      </c>
      <c r="BQ15" t="n">
        <v>594353430.737</v>
      </c>
      <c r="BR15" t="n">
        <v>2783102745.709</v>
      </c>
      <c r="BS15" t="n">
        <v>709342502.724</v>
      </c>
      <c r="BT15" t="n">
        <v>924651035.651</v>
      </c>
    </row>
    <row r="16">
      <c r="A16" t="inlineStr">
        <is>
          <t>SPPR_2015</t>
        </is>
      </c>
      <c r="B16" t="inlineStr">
        <is>
          <t>ok</t>
        </is>
      </c>
      <c r="C16" t="n">
        <v>147002279.263</v>
      </c>
      <c r="D16" t="n">
        <v>156813946.536</v>
      </c>
      <c r="E16" t="n">
        <v>189121163.877</v>
      </c>
      <c r="F16" t="n">
        <v>165266210.926</v>
      </c>
      <c r="G16" t="n">
        <v>210057829.686</v>
      </c>
      <c r="H16" t="n">
        <v>224170578.933</v>
      </c>
      <c r="I16" t="n">
        <v>241887048.477</v>
      </c>
      <c r="J16" t="n">
        <v>244040826.571</v>
      </c>
      <c r="K16" t="n">
        <v>295043201.407</v>
      </c>
      <c r="L16" t="n">
        <v>406568684.614</v>
      </c>
      <c r="M16" t="n">
        <v>549583110.658</v>
      </c>
      <c r="N16" t="n">
        <v>632786404.397</v>
      </c>
      <c r="O16" t="n">
        <v>786502567.028</v>
      </c>
      <c r="P16" t="n">
        <v>1597500186.114</v>
      </c>
      <c r="Q16" t="n">
        <v>2199330152.981</v>
      </c>
      <c r="R16" t="n">
        <v>774176169.738</v>
      </c>
      <c r="S16" t="n">
        <v>994240970.432</v>
      </c>
      <c r="T16" t="n">
        <v>1207767431.735</v>
      </c>
      <c r="U16" t="n">
        <v>1196116445.458</v>
      </c>
      <c r="V16" t="n">
        <v>1004327725.931</v>
      </c>
      <c r="W16" t="n">
        <v>1413141726.546</v>
      </c>
      <c r="X16" t="n">
        <v>1220955656.434</v>
      </c>
      <c r="Y16" t="n">
        <v>807976952.112</v>
      </c>
      <c r="Z16" t="n">
        <v>1532422814.176</v>
      </c>
      <c r="AA16" t="n">
        <v>1425789596.881</v>
      </c>
      <c r="AB16" t="n">
        <v>1270829871.807</v>
      </c>
      <c r="AC16" t="n">
        <v>1399977120.878</v>
      </c>
      <c r="AD16" t="n">
        <v>2457439671.598</v>
      </c>
      <c r="AE16" t="n">
        <v>3633433153.567</v>
      </c>
      <c r="AF16" t="n">
        <v>1841682683.768</v>
      </c>
      <c r="AG16" t="n">
        <v>1848699600.737</v>
      </c>
      <c r="AH16" t="n">
        <v>2081423925.296</v>
      </c>
      <c r="AI16" t="n">
        <v>2223038880.165</v>
      </c>
      <c r="AJ16" t="n">
        <v>2208318331.208</v>
      </c>
      <c r="AK16" t="n">
        <v>2766841649.474</v>
      </c>
      <c r="AL16" t="n">
        <v>2395158092.838</v>
      </c>
      <c r="AM16" t="n">
        <v>2438633443.424</v>
      </c>
      <c r="AN16" t="n">
        <v>2568347972.909</v>
      </c>
      <c r="AO16" t="n">
        <v>3250494851.526</v>
      </c>
      <c r="AP16" t="n">
        <v>3796415965.269</v>
      </c>
      <c r="AQ16" t="n">
        <v>4222855522.242</v>
      </c>
      <c r="AR16" t="n">
        <v>3867897074.267</v>
      </c>
      <c r="AS16" t="n">
        <v>3391972594.251</v>
      </c>
      <c r="AT16" t="n">
        <v>3700743250.276</v>
      </c>
      <c r="AU16" t="n">
        <v>4315034445.929</v>
      </c>
      <c r="AV16" t="n">
        <v>4768295588.498</v>
      </c>
      <c r="AW16" t="n">
        <v>4699129170.898</v>
      </c>
      <c r="AX16" t="n">
        <v>4459936066.096</v>
      </c>
      <c r="AY16" t="n">
        <v>3694229901.354</v>
      </c>
      <c r="AZ16" t="n">
        <v>3535263489.297</v>
      </c>
      <c r="BA16" t="n">
        <v>2857630670.112</v>
      </c>
      <c r="BB16" t="n">
        <v>4237740969</v>
      </c>
      <c r="BC16" t="n">
        <v>2497141996.373</v>
      </c>
      <c r="BD16" t="n">
        <v>3646589805.935</v>
      </c>
      <c r="BE16" t="n">
        <v>4160045250.12</v>
      </c>
      <c r="BF16" t="n">
        <v>3722705957.744</v>
      </c>
      <c r="BG16" t="n">
        <v>3918106080.292</v>
      </c>
      <c r="BH16" t="n">
        <v>3462772049.183</v>
      </c>
      <c r="BI16" t="n">
        <v>3137341990.453</v>
      </c>
      <c r="BJ16" t="n">
        <v>2947272901.372</v>
      </c>
      <c r="BK16" t="n">
        <v>2154540865.141</v>
      </c>
      <c r="BL16" t="n">
        <v>2916029215.274</v>
      </c>
      <c r="BM16" t="n">
        <v>2932543973.213</v>
      </c>
      <c r="BN16" t="n">
        <v>3179253916.364</v>
      </c>
      <c r="BO16" t="n">
        <v>3514589932.72</v>
      </c>
      <c r="BP16" t="n">
        <v>3210154162.191</v>
      </c>
      <c r="BQ16" t="n">
        <v>2943721105.806</v>
      </c>
      <c r="BR16" t="n">
        <v>9883350527.462999</v>
      </c>
      <c r="BS16" t="n">
        <v>2721307945.879</v>
      </c>
      <c r="BT16" t="n">
        <v>3620482013.164</v>
      </c>
    </row>
    <row r="17">
      <c r="A17" t="inlineStr">
        <is>
          <t>new_TE_noEEfix</t>
        </is>
      </c>
      <c r="B17" t="inlineStr">
        <is>
          <t>ok</t>
        </is>
      </c>
      <c r="C17" t="n">
        <v>147002279.263</v>
      </c>
      <c r="D17" t="n">
        <v>156813946.536</v>
      </c>
      <c r="E17" t="n">
        <v>189121163.877</v>
      </c>
      <c r="F17" t="n">
        <v>165266210.926</v>
      </c>
      <c r="G17" t="n">
        <v>210057829.686</v>
      </c>
      <c r="H17" t="n">
        <v>224170578.933</v>
      </c>
      <c r="I17" t="n">
        <v>241887048.477</v>
      </c>
      <c r="J17" t="n">
        <v>244040826.571</v>
      </c>
      <c r="K17" t="n">
        <v>295043201.407</v>
      </c>
      <c r="L17" t="n">
        <v>406568684.614</v>
      </c>
      <c r="M17" t="n">
        <v>549583110.658</v>
      </c>
      <c r="N17" t="n">
        <v>632786404.397</v>
      </c>
      <c r="O17" t="n">
        <v>786502567.028</v>
      </c>
      <c r="P17" t="n">
        <v>1597500186.114</v>
      </c>
      <c r="Q17" t="n">
        <v>2199330152.981</v>
      </c>
      <c r="R17" t="n">
        <v>774176169.738</v>
      </c>
      <c r="S17" t="n">
        <v>994240970.432</v>
      </c>
      <c r="T17" t="n">
        <v>1207767431.735</v>
      </c>
      <c r="U17" t="n">
        <v>1196116445.458</v>
      </c>
      <c r="V17" t="n">
        <v>1004327725.931</v>
      </c>
      <c r="W17" t="n">
        <v>1413141726.546</v>
      </c>
      <c r="X17" t="n">
        <v>1220955656.434</v>
      </c>
      <c r="Y17" t="n">
        <v>807976952.112</v>
      </c>
      <c r="Z17" t="n">
        <v>1532422814.176</v>
      </c>
      <c r="AA17" t="n">
        <v>1425789596.881</v>
      </c>
      <c r="AB17" t="n">
        <v>1270829871.807</v>
      </c>
      <c r="AC17" t="n">
        <v>1399977120.878</v>
      </c>
      <c r="AD17" t="n">
        <v>2457439671.598</v>
      </c>
      <c r="AE17" t="n">
        <v>3633433153.567</v>
      </c>
      <c r="AF17" t="n">
        <v>1841682683.768</v>
      </c>
      <c r="AG17" t="n">
        <v>1848699600.737</v>
      </c>
      <c r="AH17" t="n">
        <v>2081423925.296</v>
      </c>
      <c r="AI17" t="n">
        <v>2223038880.165</v>
      </c>
      <c r="AJ17" t="n">
        <v>2208318331.208</v>
      </c>
      <c r="AK17" t="n">
        <v>2766841649.474</v>
      </c>
      <c r="AL17" t="n">
        <v>2395158092.838</v>
      </c>
      <c r="AM17" t="n">
        <v>2438633443.424</v>
      </c>
      <c r="AN17" t="n">
        <v>2568347972.909</v>
      </c>
      <c r="AO17" t="n">
        <v>3250494851.526</v>
      </c>
      <c r="AP17" t="n">
        <v>3796415965.269</v>
      </c>
      <c r="AQ17" t="n">
        <v>4222855522.242</v>
      </c>
      <c r="AR17" t="n">
        <v>3867897074.267</v>
      </c>
      <c r="AS17" t="n">
        <v>3391972594.251</v>
      </c>
      <c r="AT17" t="n">
        <v>3700743250.276</v>
      </c>
      <c r="AU17" t="n">
        <v>4315034445.929</v>
      </c>
      <c r="AV17" t="n">
        <v>4768295588.498</v>
      </c>
      <c r="AW17" t="n">
        <v>4699129170.898</v>
      </c>
      <c r="AX17" t="n">
        <v>4459936066.096</v>
      </c>
      <c r="AY17" t="n">
        <v>3694229901.354</v>
      </c>
      <c r="AZ17" t="n">
        <v>3535263489.297</v>
      </c>
      <c r="BA17" t="n">
        <v>2857630670.112</v>
      </c>
      <c r="BB17" t="n">
        <v>4237740969</v>
      </c>
      <c r="BC17" t="n">
        <v>2497141996.373</v>
      </c>
      <c r="BD17" t="n">
        <v>3646589805.935</v>
      </c>
      <c r="BE17" t="n">
        <v>4160045250.12</v>
      </c>
      <c r="BF17" t="n">
        <v>3722705957.744</v>
      </c>
      <c r="BG17" t="n">
        <v>3918106080.292</v>
      </c>
      <c r="BH17" t="n">
        <v>3462772049.183</v>
      </c>
      <c r="BI17" t="n">
        <v>3137341990.453</v>
      </c>
      <c r="BJ17" t="n">
        <v>2947272901.372</v>
      </c>
      <c r="BK17" t="n">
        <v>2154540865.141</v>
      </c>
      <c r="BL17" t="n">
        <v>2916029215.273</v>
      </c>
      <c r="BM17" t="n">
        <v>2932543973.211</v>
      </c>
      <c r="BN17" t="n">
        <v>3179253916.358</v>
      </c>
      <c r="BO17" t="n">
        <v>3514589932.717</v>
      </c>
      <c r="BP17" t="n">
        <v>3210154162.183</v>
      </c>
      <c r="BQ17" t="n">
        <v>2943721105.801</v>
      </c>
      <c r="BR17" t="n">
        <v>9883350527.391001</v>
      </c>
      <c r="BS17" t="n">
        <v>2721307945.876</v>
      </c>
      <c r="BT17" t="n">
        <v>3620482013.155</v>
      </c>
    </row>
    <row r="18">
      <c r="A18" s="12" t="inlineStr">
        <is>
          <t>new_TE_EEfix</t>
        </is>
      </c>
      <c r="B18" s="9" t="inlineStr">
        <is>
          <t>FAILED diagnostic for this SPPR_new configuration</t>
        </is>
      </c>
      <c r="C18" t="n">
        <v>147002279.263</v>
      </c>
      <c r="D18" t="n">
        <v>156813946.536</v>
      </c>
      <c r="E18" t="n">
        <v>189121163.877</v>
      </c>
      <c r="F18" t="n">
        <v>165266210.926</v>
      </c>
      <c r="G18" t="n">
        <v>210057829.686</v>
      </c>
      <c r="H18" t="n">
        <v>224170578.933</v>
      </c>
      <c r="I18" t="n">
        <v>241887048.477</v>
      </c>
      <c r="J18" t="n">
        <v>244040826.571</v>
      </c>
      <c r="K18" t="n">
        <v>295043201.407</v>
      </c>
      <c r="L18" t="n">
        <v>406568684.614</v>
      </c>
      <c r="M18" t="n">
        <v>549583110.658</v>
      </c>
      <c r="N18" t="n">
        <v>632786404.397</v>
      </c>
      <c r="O18" t="n">
        <v>786502567.028</v>
      </c>
      <c r="P18" t="n">
        <v>1597500186.114</v>
      </c>
      <c r="Q18" t="n">
        <v>2199330152.981</v>
      </c>
      <c r="R18" t="n">
        <v>774176169.738</v>
      </c>
      <c r="S18" t="n">
        <v>994240970.432</v>
      </c>
      <c r="T18" t="n">
        <v>1207767431.735</v>
      </c>
      <c r="U18" t="n">
        <v>1196116445.458</v>
      </c>
      <c r="V18" t="n">
        <v>1004327725.931</v>
      </c>
      <c r="W18" t="n">
        <v>1413141726.546</v>
      </c>
      <c r="X18" t="n">
        <v>1220955656.434</v>
      </c>
      <c r="Y18" t="n">
        <v>807976952.112</v>
      </c>
      <c r="Z18" t="n">
        <v>1532422814.176</v>
      </c>
      <c r="AA18" t="n">
        <v>1425789596.881</v>
      </c>
      <c r="AB18" t="n">
        <v>1270829871.807</v>
      </c>
      <c r="AC18" t="n">
        <v>1399977120.878</v>
      </c>
      <c r="AD18" t="n">
        <v>2457439671.598</v>
      </c>
      <c r="AE18" t="n">
        <v>3633433153.567</v>
      </c>
      <c r="AF18" t="n">
        <v>1841682683.768</v>
      </c>
      <c r="AG18" t="n">
        <v>1848699600.737</v>
      </c>
      <c r="AH18" t="n">
        <v>2081423925.296</v>
      </c>
      <c r="AI18" t="n">
        <v>2223038880.165</v>
      </c>
      <c r="AJ18" t="n">
        <v>2208318331.208</v>
      </c>
      <c r="AK18" t="n">
        <v>2766841649.474</v>
      </c>
      <c r="AL18" t="n">
        <v>2395158092.838</v>
      </c>
      <c r="AM18" t="n">
        <v>2438633443.424</v>
      </c>
      <c r="AN18" t="n">
        <v>2568347972.909</v>
      </c>
      <c r="AO18" t="n">
        <v>3250494851.526</v>
      </c>
      <c r="AP18" t="n">
        <v>3796415965.269</v>
      </c>
      <c r="AQ18" t="n">
        <v>4222855522.242</v>
      </c>
      <c r="AR18" t="n">
        <v>3867897074.267</v>
      </c>
      <c r="AS18" t="n">
        <v>3391972594.251</v>
      </c>
      <c r="AT18" t="n">
        <v>3700743250.276</v>
      </c>
      <c r="AU18" t="n">
        <v>4315034445.929</v>
      </c>
      <c r="AV18" t="n">
        <v>4768295588.498</v>
      </c>
      <c r="AW18" t="n">
        <v>4699129170.898</v>
      </c>
      <c r="AX18" t="n">
        <v>4459936066.096</v>
      </c>
      <c r="AY18" t="n">
        <v>3694229901.354</v>
      </c>
      <c r="AZ18" t="n">
        <v>3535263489.297</v>
      </c>
      <c r="BA18" t="n">
        <v>2857630670.112</v>
      </c>
      <c r="BB18" t="n">
        <v>4237740969</v>
      </c>
      <c r="BC18" t="n">
        <v>2497141996.373</v>
      </c>
      <c r="BD18" t="n">
        <v>3646589805.935</v>
      </c>
      <c r="BE18" t="n">
        <v>4160045250.12</v>
      </c>
      <c r="BF18" t="n">
        <v>3722705957.744</v>
      </c>
      <c r="BG18" t="n">
        <v>3918106080.292</v>
      </c>
      <c r="BH18" t="n">
        <v>3462772049.183</v>
      </c>
      <c r="BI18" t="n">
        <v>3137341990.453</v>
      </c>
      <c r="BJ18" t="n">
        <v>2947272901.372</v>
      </c>
      <c r="BK18" t="n">
        <v>2154540865.141</v>
      </c>
      <c r="BL18" t="n">
        <v>2916029215.273</v>
      </c>
      <c r="BM18" t="n">
        <v>2932543973.211</v>
      </c>
      <c r="BN18" t="n">
        <v>3179253916.358</v>
      </c>
      <c r="BO18" t="n">
        <v>3514589932.717</v>
      </c>
      <c r="BP18" t="n">
        <v>3210154162.183</v>
      </c>
      <c r="BQ18" t="n">
        <v>2943721105.801</v>
      </c>
      <c r="BR18" t="n">
        <v>9883350527.391001</v>
      </c>
      <c r="BS18" t="n">
        <v>2721307945.876</v>
      </c>
      <c r="BT18" t="n">
        <v>3620482013.155</v>
      </c>
    </row>
    <row r="19">
      <c r="A19" s="12" t="inlineStr">
        <is>
          <t>new_GE</t>
        </is>
      </c>
      <c r="B19" s="9" t="inlineStr">
        <is>
          <t>FAILED diagnostic for this SPPR_new configuration</t>
        </is>
      </c>
      <c r="C19" t="n">
        <v>19889792.061</v>
      </c>
      <c r="D19" t="n">
        <v>26065381.628</v>
      </c>
      <c r="E19" t="n">
        <v>28262189.223</v>
      </c>
      <c r="F19" t="n">
        <v>24041642.006</v>
      </c>
      <c r="G19" t="n">
        <v>29173694.214</v>
      </c>
      <c r="H19" t="n">
        <v>39430414.576</v>
      </c>
      <c r="I19" t="n">
        <v>43797820.44</v>
      </c>
      <c r="J19" t="n">
        <v>42023051.35</v>
      </c>
      <c r="K19" t="n">
        <v>59792523.54</v>
      </c>
      <c r="L19" t="n">
        <v>108058757.454</v>
      </c>
      <c r="M19" t="n">
        <v>171582579.201</v>
      </c>
      <c r="N19" t="n">
        <v>243066814.939</v>
      </c>
      <c r="O19" t="n">
        <v>308194180.391</v>
      </c>
      <c r="P19" t="n">
        <v>346581895.926</v>
      </c>
      <c r="Q19" t="n">
        <v>467762684.584</v>
      </c>
      <c r="R19" t="n">
        <v>332680200.38</v>
      </c>
      <c r="S19" t="n">
        <v>418891571.405</v>
      </c>
      <c r="T19" t="n">
        <v>472201083.498</v>
      </c>
      <c r="U19" t="n">
        <v>488526986.461</v>
      </c>
      <c r="V19" t="n">
        <v>423977719.201</v>
      </c>
      <c r="W19" t="n">
        <v>586440895.742</v>
      </c>
      <c r="X19" t="n">
        <v>515673713.862</v>
      </c>
      <c r="Y19" t="n">
        <v>252806933.517</v>
      </c>
      <c r="Z19" t="n">
        <v>183250552.182</v>
      </c>
      <c r="AA19" t="n">
        <v>307545640.677</v>
      </c>
      <c r="AB19" t="n">
        <v>257757593.937</v>
      </c>
      <c r="AC19" t="n">
        <v>313333736.575</v>
      </c>
      <c r="AD19" t="n">
        <v>401542970.895</v>
      </c>
      <c r="AE19" t="n">
        <v>577219867.839</v>
      </c>
      <c r="AF19" t="n">
        <v>382580060.557</v>
      </c>
      <c r="AG19" t="n">
        <v>354362692.476</v>
      </c>
      <c r="AH19" t="n">
        <v>416893638.199</v>
      </c>
      <c r="AI19" t="n">
        <v>557226370.979</v>
      </c>
      <c r="AJ19" t="n">
        <v>468337695.181</v>
      </c>
      <c r="AK19" t="n">
        <v>571667025.786</v>
      </c>
      <c r="AL19" t="n">
        <v>568856459.2539999</v>
      </c>
      <c r="AM19" t="n">
        <v>620928023.413</v>
      </c>
      <c r="AN19" t="n">
        <v>615821590.715</v>
      </c>
      <c r="AO19" t="n">
        <v>752056977.487</v>
      </c>
      <c r="AP19" t="n">
        <v>854275471.97</v>
      </c>
      <c r="AQ19" t="n">
        <v>869645900.159</v>
      </c>
      <c r="AR19" t="n">
        <v>871215654.16</v>
      </c>
      <c r="AS19" t="n">
        <v>834693793.617</v>
      </c>
      <c r="AT19" t="n">
        <v>863192740.802</v>
      </c>
      <c r="AU19" t="n">
        <v>1098153133.223</v>
      </c>
      <c r="AV19" t="n">
        <v>1014454229.519</v>
      </c>
      <c r="AW19" t="n">
        <v>1003582574.816</v>
      </c>
      <c r="AX19" t="n">
        <v>882767159.976</v>
      </c>
      <c r="AY19" t="n">
        <v>563997429.541</v>
      </c>
      <c r="AZ19" t="n">
        <v>731770943.554</v>
      </c>
      <c r="BA19" t="n">
        <v>752758881.077</v>
      </c>
      <c r="BB19" t="n">
        <v>814343647.156</v>
      </c>
      <c r="BC19" t="n">
        <v>674294965.033</v>
      </c>
      <c r="BD19" t="n">
        <v>710910955.566</v>
      </c>
      <c r="BE19" t="n">
        <v>936672532.383</v>
      </c>
      <c r="BF19" t="n">
        <v>866544880.263</v>
      </c>
      <c r="BG19" t="n">
        <v>799287665.0650001</v>
      </c>
      <c r="BH19" t="n">
        <v>727339685.2029999</v>
      </c>
      <c r="BI19" t="n">
        <v>705514509.9910001</v>
      </c>
      <c r="BJ19" t="n">
        <v>648587705.747</v>
      </c>
      <c r="BK19" t="n">
        <v>450541475.448</v>
      </c>
      <c r="BL19" t="n">
        <v>696635607.317</v>
      </c>
      <c r="BM19" t="n">
        <v>544153951.066</v>
      </c>
      <c r="BN19" t="n">
        <v>517217896.444</v>
      </c>
      <c r="BO19" t="n">
        <v>537858342.097</v>
      </c>
      <c r="BP19" t="n">
        <v>493458466.525</v>
      </c>
      <c r="BQ19" t="n">
        <v>454494264.208</v>
      </c>
      <c r="BR19" t="n">
        <v>452096234.086</v>
      </c>
      <c r="BS19" t="n">
        <v>543916030.418</v>
      </c>
      <c r="BT19" t="n">
        <v>501762255.669</v>
      </c>
    </row>
    <row r="20">
      <c r="A20" s="12" t="inlineStr">
        <is>
          <t>new_WithEgestion</t>
        </is>
      </c>
      <c r="B20" s="9" t="inlineStr">
        <is>
          <t>FAILED diagnostic for this SPPR_new configuration</t>
        </is>
      </c>
      <c r="C20" t="n">
        <v>5905219.892</v>
      </c>
      <c r="D20" t="n">
        <v>7722792.23</v>
      </c>
      <c r="E20" t="n">
        <v>8360094.072</v>
      </c>
      <c r="F20" t="n">
        <v>7215122.667</v>
      </c>
      <c r="G20" t="n">
        <v>8710496.460000001</v>
      </c>
      <c r="H20" t="n">
        <v>11717168.857</v>
      </c>
      <c r="I20" t="n">
        <v>13089140.18</v>
      </c>
      <c r="J20" t="n">
        <v>13139276.306</v>
      </c>
      <c r="K20" t="n">
        <v>19381622.688</v>
      </c>
      <c r="L20" t="n">
        <v>36565437.875</v>
      </c>
      <c r="M20" t="n">
        <v>59175526.221</v>
      </c>
      <c r="N20" t="n">
        <v>85047101.487</v>
      </c>
      <c r="O20" t="n">
        <v>109120370.316</v>
      </c>
      <c r="P20" t="n">
        <v>122034899.051</v>
      </c>
      <c r="Q20" t="n">
        <v>165948699.28</v>
      </c>
      <c r="R20" t="n">
        <v>118337560.887</v>
      </c>
      <c r="S20" t="n">
        <v>149168440.994</v>
      </c>
      <c r="T20" t="n">
        <v>167776372.399</v>
      </c>
      <c r="U20" t="n">
        <v>174635459.072</v>
      </c>
      <c r="V20" t="n">
        <v>151080524.247</v>
      </c>
      <c r="W20" t="n">
        <v>208968627.801</v>
      </c>
      <c r="X20" t="n">
        <v>181936305.279</v>
      </c>
      <c r="Y20" t="n">
        <v>86131612.458</v>
      </c>
      <c r="Z20" t="n">
        <v>56185577.078</v>
      </c>
      <c r="AA20" t="n">
        <v>99879112.324</v>
      </c>
      <c r="AB20" t="n">
        <v>82184699.68000001</v>
      </c>
      <c r="AC20" t="n">
        <v>101743115.877</v>
      </c>
      <c r="AD20" t="n">
        <v>117186444.245</v>
      </c>
      <c r="AE20" t="n">
        <v>167857070.136</v>
      </c>
      <c r="AF20" t="n">
        <v>118815582.985</v>
      </c>
      <c r="AG20" t="n">
        <v>108124102.832</v>
      </c>
      <c r="AH20" t="n">
        <v>125481695.363</v>
      </c>
      <c r="AI20" t="n">
        <v>171367508.663</v>
      </c>
      <c r="AJ20" t="n">
        <v>136516002.989</v>
      </c>
      <c r="AK20" t="n">
        <v>171202317.276</v>
      </c>
      <c r="AL20" t="n">
        <v>174328665.819</v>
      </c>
      <c r="AM20" t="n">
        <v>196804909.99</v>
      </c>
      <c r="AN20" t="n">
        <v>188314934.912</v>
      </c>
      <c r="AO20" t="n">
        <v>227744397.978</v>
      </c>
      <c r="AP20" t="n">
        <v>258793270.832</v>
      </c>
      <c r="AQ20" t="n">
        <v>258522772.66</v>
      </c>
      <c r="AR20" t="n">
        <v>260049934.354</v>
      </c>
      <c r="AS20" t="n">
        <v>254351515.624</v>
      </c>
      <c r="AT20" t="n">
        <v>264362649.177</v>
      </c>
      <c r="AU20" t="n">
        <v>340048368.179</v>
      </c>
      <c r="AV20" t="n">
        <v>301475315.01</v>
      </c>
      <c r="AW20" t="n">
        <v>301118601.047</v>
      </c>
      <c r="AX20" t="n">
        <v>263554283.369</v>
      </c>
      <c r="AY20" t="n">
        <v>165339308.105</v>
      </c>
      <c r="AZ20" t="n">
        <v>234568087.898</v>
      </c>
      <c r="BA20" t="n">
        <v>245005859.055</v>
      </c>
      <c r="BB20" t="n">
        <v>245525947.622</v>
      </c>
      <c r="BC20" t="n">
        <v>215389831.051</v>
      </c>
      <c r="BD20" t="n">
        <v>215040208.294</v>
      </c>
      <c r="BE20" t="n">
        <v>292354808.252</v>
      </c>
      <c r="BF20" t="n">
        <v>270532852.154</v>
      </c>
      <c r="BG20" t="n">
        <v>240161725.705</v>
      </c>
      <c r="BH20" t="n">
        <v>221663856.064</v>
      </c>
      <c r="BI20" t="n">
        <v>216497904.216</v>
      </c>
      <c r="BJ20" t="n">
        <v>200792700.811</v>
      </c>
      <c r="BK20" t="n">
        <v>137109685.806</v>
      </c>
      <c r="BL20" t="n">
        <v>219339917.042</v>
      </c>
      <c r="BM20" t="n">
        <v>162918703.902</v>
      </c>
      <c r="BN20" t="n">
        <v>157041243.13</v>
      </c>
      <c r="BO20" t="n">
        <v>155312907.585</v>
      </c>
      <c r="BP20" t="n">
        <v>145828064.078</v>
      </c>
      <c r="BQ20" t="n">
        <v>132416711.922</v>
      </c>
      <c r="BR20" t="n">
        <v>133870840.174</v>
      </c>
      <c r="BS20" t="n">
        <v>167146779.278</v>
      </c>
      <c r="BT20" t="n">
        <v>147774917.176</v>
      </c>
    </row>
    <row r="21">
      <c r="A21" s="12" t="inlineStr">
        <is>
          <t>sym_TE_asPP</t>
        </is>
      </c>
      <c r="B21" s="9" t="inlineStr">
        <is>
          <t>DIVERGED - negative SPPR in a source-model group</t>
        </is>
      </c>
      <c r="C21" t="n">
        <v>147002279.263</v>
      </c>
      <c r="D21" t="n">
        <v>156813946.536</v>
      </c>
      <c r="E21" t="n">
        <v>189121163.877</v>
      </c>
      <c r="F21" t="n">
        <v>165266210.926</v>
      </c>
      <c r="G21" t="n">
        <v>210057829.686</v>
      </c>
      <c r="H21" t="n">
        <v>224170578.933</v>
      </c>
      <c r="I21" t="n">
        <v>241887048.477</v>
      </c>
      <c r="J21" t="n">
        <v>244040826.571</v>
      </c>
      <c r="K21" t="n">
        <v>295043201.407</v>
      </c>
      <c r="L21" t="n">
        <v>406568684.614</v>
      </c>
      <c r="M21" t="n">
        <v>549583110.658</v>
      </c>
      <c r="N21" t="n">
        <v>632786404.397</v>
      </c>
      <c r="O21" t="n">
        <v>786502567.028</v>
      </c>
      <c r="P21" t="n">
        <v>1597500186.114</v>
      </c>
      <c r="Q21" t="n">
        <v>2199330152.981</v>
      </c>
      <c r="R21" t="n">
        <v>774176169.738</v>
      </c>
      <c r="S21" t="n">
        <v>994240970.432</v>
      </c>
      <c r="T21" t="n">
        <v>1207767431.735</v>
      </c>
      <c r="U21" t="n">
        <v>1196116445.458</v>
      </c>
      <c r="V21" t="n">
        <v>1004327725.931</v>
      </c>
      <c r="W21" t="n">
        <v>1413141726.546</v>
      </c>
      <c r="X21" t="n">
        <v>1220955656.434</v>
      </c>
      <c r="Y21" t="n">
        <v>807976952.112</v>
      </c>
      <c r="Z21" t="n">
        <v>1532422814.176</v>
      </c>
      <c r="AA21" t="n">
        <v>1425789596.881</v>
      </c>
      <c r="AB21" t="n">
        <v>1270829871.807</v>
      </c>
      <c r="AC21" t="n">
        <v>1399977120.878</v>
      </c>
      <c r="AD21" t="n">
        <v>2457439671.598</v>
      </c>
      <c r="AE21" t="n">
        <v>3633433153.567</v>
      </c>
      <c r="AF21" t="n">
        <v>1841682683.768</v>
      </c>
      <c r="AG21" t="n">
        <v>1848699600.737</v>
      </c>
      <c r="AH21" t="n">
        <v>2081423925.296</v>
      </c>
      <c r="AI21" t="n">
        <v>2223038880.165</v>
      </c>
      <c r="AJ21" t="n">
        <v>2208318331.208</v>
      </c>
      <c r="AK21" t="n">
        <v>2766841649.474</v>
      </c>
      <c r="AL21" t="n">
        <v>2395158092.838</v>
      </c>
      <c r="AM21" t="n">
        <v>2438633443.424</v>
      </c>
      <c r="AN21" t="n">
        <v>2568347972.909</v>
      </c>
      <c r="AO21" t="n">
        <v>3250494851.526</v>
      </c>
      <c r="AP21" t="n">
        <v>3796415965.269</v>
      </c>
      <c r="AQ21" t="n">
        <v>4222855522.242</v>
      </c>
      <c r="AR21" t="n">
        <v>3867897074.267</v>
      </c>
      <c r="AS21" t="n">
        <v>3391972594.251</v>
      </c>
      <c r="AT21" t="n">
        <v>3700743250.276</v>
      </c>
      <c r="AU21" t="n">
        <v>4315034445.929</v>
      </c>
      <c r="AV21" t="n">
        <v>4768295588.498</v>
      </c>
      <c r="AW21" t="n">
        <v>4699129170.898</v>
      </c>
      <c r="AX21" t="n">
        <v>4459936066.096</v>
      </c>
      <c r="AY21" t="n">
        <v>3694229901.354</v>
      </c>
      <c r="AZ21" t="n">
        <v>3535263489.297</v>
      </c>
      <c r="BA21" t="n">
        <v>2857630670.112</v>
      </c>
      <c r="BB21" t="n">
        <v>4237740969</v>
      </c>
      <c r="BC21" t="n">
        <v>2497141996.373</v>
      </c>
      <c r="BD21" t="n">
        <v>3646589805.935</v>
      </c>
      <c r="BE21" t="n">
        <v>4160045250.12</v>
      </c>
      <c r="BF21" t="n">
        <v>3722705957.744</v>
      </c>
      <c r="BG21" t="n">
        <v>3918106080.292</v>
      </c>
      <c r="BH21" t="n">
        <v>3462772049.183</v>
      </c>
      <c r="BI21" t="n">
        <v>3137341990.453</v>
      </c>
      <c r="BJ21" t="n">
        <v>2947272901.372</v>
      </c>
      <c r="BK21" t="n">
        <v>2154540865.141</v>
      </c>
      <c r="BL21" t="n">
        <v>2916029215.273</v>
      </c>
      <c r="BM21" t="n">
        <v>2932543973.211</v>
      </c>
      <c r="BN21" t="n">
        <v>3179253916.358</v>
      </c>
      <c r="BO21" t="n">
        <v>3514589932.717</v>
      </c>
      <c r="BP21" t="n">
        <v>3210154162.183</v>
      </c>
      <c r="BQ21" t="n">
        <v>2943721105.801</v>
      </c>
      <c r="BR21" t="n">
        <v>9883350527.391001</v>
      </c>
      <c r="BS21" t="n">
        <v>2721307945.876</v>
      </c>
      <c r="BT21" t="n">
        <v>3620482013.155</v>
      </c>
    </row>
    <row r="22">
      <c r="A22" s="12" t="inlineStr">
        <is>
          <t>sym_TE_asDC</t>
        </is>
      </c>
      <c r="B22" s="9" t="inlineStr">
        <is>
          <t>did not resolve for any mapped group</t>
        </is>
      </c>
    </row>
    <row r="23">
      <c r="A23" s="12" t="inlineStr">
        <is>
          <t>sym_GE_asPP</t>
        </is>
      </c>
      <c r="B23" s="9" t="inlineStr">
        <is>
          <t>DIVERGED - negative SPPR in a source-model group</t>
        </is>
      </c>
      <c r="C23" t="n">
        <v>19889792.061</v>
      </c>
      <c r="D23" t="n">
        <v>26065381.628</v>
      </c>
      <c r="E23" t="n">
        <v>28262189.223</v>
      </c>
      <c r="F23" t="n">
        <v>24041642.006</v>
      </c>
      <c r="G23" t="n">
        <v>29173694.214</v>
      </c>
      <c r="H23" t="n">
        <v>39430414.576</v>
      </c>
      <c r="I23" t="n">
        <v>43797820.44</v>
      </c>
      <c r="J23" t="n">
        <v>42023051.35</v>
      </c>
      <c r="K23" t="n">
        <v>59792523.54</v>
      </c>
      <c r="L23" t="n">
        <v>108058757.454</v>
      </c>
      <c r="M23" t="n">
        <v>171582579.201</v>
      </c>
      <c r="N23" t="n">
        <v>243066814.939</v>
      </c>
      <c r="O23" t="n">
        <v>308194180.391</v>
      </c>
      <c r="P23" t="n">
        <v>346581895.926</v>
      </c>
      <c r="Q23" t="n">
        <v>467762684.584</v>
      </c>
      <c r="R23" t="n">
        <v>332680200.38</v>
      </c>
      <c r="S23" t="n">
        <v>418891571.405</v>
      </c>
      <c r="T23" t="n">
        <v>472201083.498</v>
      </c>
      <c r="U23" t="n">
        <v>488526986.461</v>
      </c>
      <c r="V23" t="n">
        <v>423977719.201</v>
      </c>
      <c r="W23" t="n">
        <v>586440895.742</v>
      </c>
      <c r="X23" t="n">
        <v>515673713.862</v>
      </c>
      <c r="Y23" t="n">
        <v>252806933.517</v>
      </c>
      <c r="Z23" t="n">
        <v>183250552.182</v>
      </c>
      <c r="AA23" t="n">
        <v>307545640.677</v>
      </c>
      <c r="AB23" t="n">
        <v>257757593.937</v>
      </c>
      <c r="AC23" t="n">
        <v>313333736.575</v>
      </c>
      <c r="AD23" t="n">
        <v>401542970.895</v>
      </c>
      <c r="AE23" t="n">
        <v>577219867.839</v>
      </c>
      <c r="AF23" t="n">
        <v>382580060.557</v>
      </c>
      <c r="AG23" t="n">
        <v>354362692.476</v>
      </c>
      <c r="AH23" t="n">
        <v>416893638.199</v>
      </c>
      <c r="AI23" t="n">
        <v>557226370.979</v>
      </c>
      <c r="AJ23" t="n">
        <v>468337695.181</v>
      </c>
      <c r="AK23" t="n">
        <v>571667025.786</v>
      </c>
      <c r="AL23" t="n">
        <v>568856459.2539999</v>
      </c>
      <c r="AM23" t="n">
        <v>620928023.413</v>
      </c>
      <c r="AN23" t="n">
        <v>615821590.715</v>
      </c>
      <c r="AO23" t="n">
        <v>752056977.487</v>
      </c>
      <c r="AP23" t="n">
        <v>854275471.97</v>
      </c>
      <c r="AQ23" t="n">
        <v>869645900.159</v>
      </c>
      <c r="AR23" t="n">
        <v>871215654.16</v>
      </c>
      <c r="AS23" t="n">
        <v>834693793.617</v>
      </c>
      <c r="AT23" t="n">
        <v>863192740.802</v>
      </c>
      <c r="AU23" t="n">
        <v>1098153133.223</v>
      </c>
      <c r="AV23" t="n">
        <v>1014454229.519</v>
      </c>
      <c r="AW23" t="n">
        <v>1003582574.816</v>
      </c>
      <c r="AX23" t="n">
        <v>882767159.976</v>
      </c>
      <c r="AY23" t="n">
        <v>563997429.541</v>
      </c>
      <c r="AZ23" t="n">
        <v>731770943.554</v>
      </c>
      <c r="BA23" t="n">
        <v>752758881.077</v>
      </c>
      <c r="BB23" t="n">
        <v>814343647.156</v>
      </c>
      <c r="BC23" t="n">
        <v>674294965.033</v>
      </c>
      <c r="BD23" t="n">
        <v>710910955.566</v>
      </c>
      <c r="BE23" t="n">
        <v>936672532.383</v>
      </c>
      <c r="BF23" t="n">
        <v>866544880.263</v>
      </c>
      <c r="BG23" t="n">
        <v>799287665.0650001</v>
      </c>
      <c r="BH23" t="n">
        <v>727339685.2029999</v>
      </c>
      <c r="BI23" t="n">
        <v>705514509.9910001</v>
      </c>
      <c r="BJ23" t="n">
        <v>648587705.747</v>
      </c>
      <c r="BK23" t="n">
        <v>450541475.448</v>
      </c>
      <c r="BL23" t="n">
        <v>696635607.317</v>
      </c>
      <c r="BM23" t="n">
        <v>544153951.066</v>
      </c>
      <c r="BN23" t="n">
        <v>517217896.444</v>
      </c>
      <c r="BO23" t="n">
        <v>537858342.097</v>
      </c>
      <c r="BP23" t="n">
        <v>493458466.525</v>
      </c>
      <c r="BQ23" t="n">
        <v>454494264.208</v>
      </c>
      <c r="BR23" t="n">
        <v>452096234.086</v>
      </c>
      <c r="BS23" t="n">
        <v>543916030.418</v>
      </c>
      <c r="BT23" t="n">
        <v>501762255.669</v>
      </c>
    </row>
    <row r="24">
      <c r="A24" s="12" t="inlineStr">
        <is>
          <t>sym_GE_asDC</t>
        </is>
      </c>
      <c r="B24" s="9" t="inlineStr">
        <is>
          <t>did not resolve for any mapped group</t>
        </is>
      </c>
    </row>
    <row r="25">
      <c r="A25" t="inlineStr">
        <is>
          <t>sym_WithEgestion_asPP</t>
        </is>
      </c>
      <c r="B25" t="inlineStr">
        <is>
          <t>ok</t>
        </is>
      </c>
      <c r="C25" t="n">
        <v>5905219.892</v>
      </c>
      <c r="D25" t="n">
        <v>7722792.23</v>
      </c>
      <c r="E25" t="n">
        <v>8360094.072</v>
      </c>
      <c r="F25" t="n">
        <v>7215122.667</v>
      </c>
      <c r="G25" t="n">
        <v>8710496.460000001</v>
      </c>
      <c r="H25" t="n">
        <v>11717168.857</v>
      </c>
      <c r="I25" t="n">
        <v>13089140.18</v>
      </c>
      <c r="J25" t="n">
        <v>13139276.306</v>
      </c>
      <c r="K25" t="n">
        <v>19381622.688</v>
      </c>
      <c r="L25" t="n">
        <v>36565437.875</v>
      </c>
      <c r="M25" t="n">
        <v>59175526.221</v>
      </c>
      <c r="N25" t="n">
        <v>85047101.487</v>
      </c>
      <c r="O25" t="n">
        <v>109120370.316</v>
      </c>
      <c r="P25" t="n">
        <v>122034899.051</v>
      </c>
      <c r="Q25" t="n">
        <v>165948699.28</v>
      </c>
      <c r="R25" t="n">
        <v>118337560.887</v>
      </c>
      <c r="S25" t="n">
        <v>149168440.994</v>
      </c>
      <c r="T25" t="n">
        <v>167776372.399</v>
      </c>
      <c r="U25" t="n">
        <v>174635459.072</v>
      </c>
      <c r="V25" t="n">
        <v>151080524.247</v>
      </c>
      <c r="W25" t="n">
        <v>208968627.801</v>
      </c>
      <c r="X25" t="n">
        <v>181936305.279</v>
      </c>
      <c r="Y25" t="n">
        <v>86131612.458</v>
      </c>
      <c r="Z25" t="n">
        <v>56185577.078</v>
      </c>
      <c r="AA25" t="n">
        <v>99879112.324</v>
      </c>
      <c r="AB25" t="n">
        <v>82184699.68000001</v>
      </c>
      <c r="AC25" t="n">
        <v>101743115.877</v>
      </c>
      <c r="AD25" t="n">
        <v>117186444.245</v>
      </c>
      <c r="AE25" t="n">
        <v>167857070.136</v>
      </c>
      <c r="AF25" t="n">
        <v>118815582.985</v>
      </c>
      <c r="AG25" t="n">
        <v>108124102.832</v>
      </c>
      <c r="AH25" t="n">
        <v>125481695.363</v>
      </c>
      <c r="AI25" t="n">
        <v>171367508.663</v>
      </c>
      <c r="AJ25" t="n">
        <v>136516002.989</v>
      </c>
      <c r="AK25" t="n">
        <v>171202317.276</v>
      </c>
      <c r="AL25" t="n">
        <v>174328665.819</v>
      </c>
      <c r="AM25" t="n">
        <v>196804909.99</v>
      </c>
      <c r="AN25" t="n">
        <v>188314934.912</v>
      </c>
      <c r="AO25" t="n">
        <v>227744397.978</v>
      </c>
      <c r="AP25" t="n">
        <v>258793270.832</v>
      </c>
      <c r="AQ25" t="n">
        <v>258522772.66</v>
      </c>
      <c r="AR25" t="n">
        <v>260049934.354</v>
      </c>
      <c r="AS25" t="n">
        <v>254351515.624</v>
      </c>
      <c r="AT25" t="n">
        <v>264362649.177</v>
      </c>
      <c r="AU25" t="n">
        <v>340048368.179</v>
      </c>
      <c r="AV25" t="n">
        <v>301475315.01</v>
      </c>
      <c r="AW25" t="n">
        <v>301118601.047</v>
      </c>
      <c r="AX25" t="n">
        <v>263554283.369</v>
      </c>
      <c r="AY25" t="n">
        <v>165339308.105</v>
      </c>
      <c r="AZ25" t="n">
        <v>234568087.898</v>
      </c>
      <c r="BA25" t="n">
        <v>245005859.055</v>
      </c>
      <c r="BB25" t="n">
        <v>245525947.622</v>
      </c>
      <c r="BC25" t="n">
        <v>215389831.051</v>
      </c>
      <c r="BD25" t="n">
        <v>215040208.294</v>
      </c>
      <c r="BE25" t="n">
        <v>292354808.252</v>
      </c>
      <c r="BF25" t="n">
        <v>270532852.154</v>
      </c>
      <c r="BG25" t="n">
        <v>240161725.705</v>
      </c>
      <c r="BH25" t="n">
        <v>221663856.064</v>
      </c>
      <c r="BI25" t="n">
        <v>216497904.216</v>
      </c>
      <c r="BJ25" t="n">
        <v>200792700.811</v>
      </c>
      <c r="BK25" t="n">
        <v>137109685.806</v>
      </c>
      <c r="BL25" t="n">
        <v>219339917.042</v>
      </c>
      <c r="BM25" t="n">
        <v>162918703.902</v>
      </c>
      <c r="BN25" t="n">
        <v>157041243.13</v>
      </c>
      <c r="BO25" t="n">
        <v>155312907.585</v>
      </c>
      <c r="BP25" t="n">
        <v>145828064.078</v>
      </c>
      <c r="BQ25" t="n">
        <v>132416711.922</v>
      </c>
      <c r="BR25" t="n">
        <v>133870840.174</v>
      </c>
      <c r="BS25" t="n">
        <v>167146779.278</v>
      </c>
      <c r="BT25" t="n">
        <v>147774917.176</v>
      </c>
    </row>
    <row r="26">
      <c r="A26" s="12" t="inlineStr">
        <is>
          <t>sym_WithEgestion_asDC</t>
        </is>
      </c>
      <c r="B26" s="9" t="inlineStr">
        <is>
          <t>DIVERGED - negative SPPR in a source-model group</t>
        </is>
      </c>
      <c r="C26" t="n">
        <v>5905219.892</v>
      </c>
      <c r="D26" t="n">
        <v>7722792.23</v>
      </c>
      <c r="E26" t="n">
        <v>8360094.072</v>
      </c>
      <c r="F26" t="n">
        <v>7215122.667</v>
      </c>
      <c r="G26" t="n">
        <v>8710496.460000001</v>
      </c>
      <c r="H26" t="n">
        <v>11717168.857</v>
      </c>
      <c r="I26" t="n">
        <v>13089140.18</v>
      </c>
      <c r="J26" t="n">
        <v>13139276.306</v>
      </c>
      <c r="K26" t="n">
        <v>19381622.688</v>
      </c>
      <c r="L26" t="n">
        <v>36565437.875</v>
      </c>
      <c r="M26" t="n">
        <v>59175526.221</v>
      </c>
      <c r="N26" t="n">
        <v>85047101.487</v>
      </c>
      <c r="O26" t="n">
        <v>109120370.316</v>
      </c>
      <c r="P26" t="n">
        <v>122034899.051</v>
      </c>
      <c r="Q26" t="n">
        <v>165948699.28</v>
      </c>
      <c r="R26" t="n">
        <v>118337560.887</v>
      </c>
      <c r="S26" t="n">
        <v>149168440.994</v>
      </c>
      <c r="T26" t="n">
        <v>167776372.399</v>
      </c>
      <c r="U26" t="n">
        <v>174635459.072</v>
      </c>
      <c r="V26" t="n">
        <v>151080524.247</v>
      </c>
      <c r="W26" t="n">
        <v>208968627.801</v>
      </c>
      <c r="X26" t="n">
        <v>181936305.279</v>
      </c>
      <c r="Y26" t="n">
        <v>86131612.458</v>
      </c>
      <c r="Z26" t="n">
        <v>56185577.078</v>
      </c>
      <c r="AA26" t="n">
        <v>99879112.324</v>
      </c>
      <c r="AB26" t="n">
        <v>82184699.68000001</v>
      </c>
      <c r="AC26" t="n">
        <v>101743115.877</v>
      </c>
      <c r="AD26" t="n">
        <v>117186444.245</v>
      </c>
      <c r="AE26" t="n">
        <v>167857070.136</v>
      </c>
      <c r="AF26" t="n">
        <v>118815582.985</v>
      </c>
      <c r="AG26" t="n">
        <v>108124102.832</v>
      </c>
      <c r="AH26" t="n">
        <v>125481695.363</v>
      </c>
      <c r="AI26" t="n">
        <v>171367508.663</v>
      </c>
      <c r="AJ26" t="n">
        <v>136516002.989</v>
      </c>
      <c r="AK26" t="n">
        <v>171202317.276</v>
      </c>
      <c r="AL26" t="n">
        <v>174328665.819</v>
      </c>
      <c r="AM26" t="n">
        <v>196804909.99</v>
      </c>
      <c r="AN26" t="n">
        <v>188314934.912</v>
      </c>
      <c r="AO26" t="n">
        <v>227744397.978</v>
      </c>
      <c r="AP26" t="n">
        <v>258793270.832</v>
      </c>
      <c r="AQ26" t="n">
        <v>258522772.66</v>
      </c>
      <c r="AR26" t="n">
        <v>260049934.354</v>
      </c>
      <c r="AS26" t="n">
        <v>254351515.624</v>
      </c>
      <c r="AT26" t="n">
        <v>264362649.177</v>
      </c>
      <c r="AU26" t="n">
        <v>340048368.179</v>
      </c>
      <c r="AV26" t="n">
        <v>301475315.01</v>
      </c>
      <c r="AW26" t="n">
        <v>301118601.047</v>
      </c>
      <c r="AX26" t="n">
        <v>263554283.369</v>
      </c>
      <c r="AY26" t="n">
        <v>165339308.105</v>
      </c>
      <c r="AZ26" t="n">
        <v>234568087.898</v>
      </c>
      <c r="BA26" t="n">
        <v>245005859.055</v>
      </c>
      <c r="BB26" t="n">
        <v>245525947.622</v>
      </c>
      <c r="BC26" t="n">
        <v>215389831.051</v>
      </c>
      <c r="BD26" t="n">
        <v>215040208.294</v>
      </c>
      <c r="BE26" t="n">
        <v>292354808.252</v>
      </c>
      <c r="BF26" t="n">
        <v>270532852.154</v>
      </c>
      <c r="BG26" t="n">
        <v>240161725.705</v>
      </c>
      <c r="BH26" t="n">
        <v>221663856.064</v>
      </c>
      <c r="BI26" t="n">
        <v>216497904.216</v>
      </c>
      <c r="BJ26" t="n">
        <v>200792700.811</v>
      </c>
      <c r="BK26" t="n">
        <v>137109685.806</v>
      </c>
      <c r="BL26" t="n">
        <v>219339917.042</v>
      </c>
      <c r="BM26" t="n">
        <v>162918703.902</v>
      </c>
      <c r="BN26" t="n">
        <v>157041243.13</v>
      </c>
      <c r="BO26" t="n">
        <v>155312907.585</v>
      </c>
      <c r="BP26" t="n">
        <v>145828064.078</v>
      </c>
      <c r="BQ26" t="n">
        <v>132416711.922</v>
      </c>
      <c r="BR26" t="n">
        <v>133870840.174</v>
      </c>
      <c r="BS26" t="n">
        <v>167146779.278</v>
      </c>
      <c r="BT26" t="n">
        <v>147774917.176</v>
      </c>
    </row>
    <row r="27">
      <c r="A27" t="inlineStr">
        <is>
          <t>MC_new_GE</t>
        </is>
      </c>
      <c r="B27" t="inlineStr">
        <is>
          <t>ok</t>
        </is>
      </c>
      <c r="C27" t="n">
        <v>14804865.694</v>
      </c>
      <c r="D27" t="n">
        <v>19345245.344</v>
      </c>
      <c r="E27" t="n">
        <v>20976808.376</v>
      </c>
      <c r="F27" t="n">
        <v>17872829.942</v>
      </c>
      <c r="G27" t="n">
        <v>21668515.284</v>
      </c>
      <c r="H27" t="n">
        <v>29226415.257</v>
      </c>
      <c r="I27" t="n">
        <v>32455391.31</v>
      </c>
      <c r="J27" t="n">
        <v>31373857.928</v>
      </c>
      <c r="K27" t="n">
        <v>44866253.747</v>
      </c>
      <c r="L27" t="n">
        <v>81282534.233</v>
      </c>
      <c r="M27" t="n">
        <v>129276225.252</v>
      </c>
      <c r="N27" t="n">
        <v>183382214.451</v>
      </c>
      <c r="O27" t="n">
        <v>232978112.183</v>
      </c>
      <c r="P27" t="n">
        <v>263145308.548</v>
      </c>
      <c r="Q27" t="n">
        <v>355738804.068</v>
      </c>
      <c r="R27" t="n">
        <v>251475487.79</v>
      </c>
      <c r="S27" t="n">
        <v>316776756.134</v>
      </c>
      <c r="T27" t="n">
        <v>357144401.757</v>
      </c>
      <c r="U27" t="n">
        <v>369667700.416</v>
      </c>
      <c r="V27" t="n">
        <v>320712022.244</v>
      </c>
      <c r="W27" t="n">
        <v>443698557.42</v>
      </c>
      <c r="X27" t="n">
        <v>389356847.963</v>
      </c>
      <c r="Y27" t="n">
        <v>190120471.14</v>
      </c>
      <c r="Z27" t="n">
        <v>137708051.061</v>
      </c>
      <c r="AA27" t="n">
        <v>231687738.169</v>
      </c>
      <c r="AB27" t="n">
        <v>192251878.983</v>
      </c>
      <c r="AC27" t="n">
        <v>234957691.687</v>
      </c>
      <c r="AD27" t="n">
        <v>297182087.574</v>
      </c>
      <c r="AE27" t="n">
        <v>427878519.219</v>
      </c>
      <c r="AF27" t="n">
        <v>285781593.295</v>
      </c>
      <c r="AG27" t="n">
        <v>264511843.609</v>
      </c>
      <c r="AH27" t="n">
        <v>308590272.882</v>
      </c>
      <c r="AI27" t="n">
        <v>412900211.34</v>
      </c>
      <c r="AJ27" t="n">
        <v>343607709.657</v>
      </c>
      <c r="AK27" t="n">
        <v>422900553.964</v>
      </c>
      <c r="AL27" t="n">
        <v>421905721.896</v>
      </c>
      <c r="AM27" t="n">
        <v>461988022.547</v>
      </c>
      <c r="AN27" t="n">
        <v>455410490.55</v>
      </c>
      <c r="AO27" t="n">
        <v>555111078.081</v>
      </c>
      <c r="AP27" t="n">
        <v>630241770.687</v>
      </c>
      <c r="AQ27" t="n">
        <v>641378477.512</v>
      </c>
      <c r="AR27" t="n">
        <v>641633114.965</v>
      </c>
      <c r="AS27" t="n">
        <v>615288969.949</v>
      </c>
      <c r="AT27" t="n">
        <v>636869267.8200001</v>
      </c>
      <c r="AU27" t="n">
        <v>810381408.109</v>
      </c>
      <c r="AV27" t="n">
        <v>745258305.181</v>
      </c>
      <c r="AW27" t="n">
        <v>739100963.975</v>
      </c>
      <c r="AX27" t="n">
        <v>650892914.65</v>
      </c>
      <c r="AY27" t="n">
        <v>419743882.948</v>
      </c>
      <c r="AZ27" t="n">
        <v>546795213.925</v>
      </c>
      <c r="BA27" t="n">
        <v>561031647.0420001</v>
      </c>
      <c r="BB27" t="n">
        <v>602107758.054</v>
      </c>
      <c r="BC27" t="n">
        <v>499783855.17</v>
      </c>
      <c r="BD27" t="n">
        <v>525249130.058</v>
      </c>
      <c r="BE27" t="n">
        <v>694468970.878</v>
      </c>
      <c r="BF27" t="n">
        <v>640936580.569</v>
      </c>
      <c r="BG27" t="n">
        <v>589195060.199</v>
      </c>
      <c r="BH27" t="n">
        <v>536100734.28</v>
      </c>
      <c r="BI27" t="n">
        <v>519874010.113</v>
      </c>
      <c r="BJ27" t="n">
        <v>480297470.395</v>
      </c>
      <c r="BK27" t="n">
        <v>331585357.286</v>
      </c>
      <c r="BL27" t="n">
        <v>515840890.136</v>
      </c>
      <c r="BM27" t="n">
        <v>399298053.334</v>
      </c>
      <c r="BN27" t="n">
        <v>379961048.302</v>
      </c>
      <c r="BO27" t="n">
        <v>393672889.936</v>
      </c>
      <c r="BP27" t="n">
        <v>361939361.536</v>
      </c>
      <c r="BQ27" t="n">
        <v>333031001.078</v>
      </c>
      <c r="BR27" t="n">
        <v>333102224.106</v>
      </c>
      <c r="BS27" t="n">
        <v>401561172.996</v>
      </c>
      <c r="BT27" t="n">
        <v>368209372.683</v>
      </c>
    </row>
    <row r="28">
      <c r="A28" t="inlineStr">
        <is>
          <t>MC_new_TE_EEfix</t>
        </is>
      </c>
      <c r="B28" t="inlineStr">
        <is>
          <t>ok</t>
        </is>
      </c>
      <c r="C28" t="n">
        <v>174397748.905</v>
      </c>
      <c r="D28" t="n">
        <v>186401549.145</v>
      </c>
      <c r="E28" t="n">
        <v>224370132.865</v>
      </c>
      <c r="F28" t="n">
        <v>196084090.298</v>
      </c>
      <c r="G28" t="n">
        <v>249088986.479</v>
      </c>
      <c r="H28" t="n">
        <v>266345291.671</v>
      </c>
      <c r="I28" t="n">
        <v>287401250.907</v>
      </c>
      <c r="J28" t="n">
        <v>288234723.999</v>
      </c>
      <c r="K28" t="n">
        <v>347422166.715</v>
      </c>
      <c r="L28" t="n">
        <v>476516309.953</v>
      </c>
      <c r="M28" t="n">
        <v>641164997.163</v>
      </c>
      <c r="N28" t="n">
        <v>734576710.062</v>
      </c>
      <c r="O28" t="n">
        <v>910590041.592</v>
      </c>
      <c r="P28" t="n">
        <v>1871063965.56</v>
      </c>
      <c r="Q28" t="n">
        <v>2575005902.693</v>
      </c>
      <c r="R28" t="n">
        <v>893662150.365</v>
      </c>
      <c r="S28" t="n">
        <v>1146891776.255</v>
      </c>
      <c r="T28" t="n">
        <v>1394310865.222</v>
      </c>
      <c r="U28" t="n">
        <v>1377918745.535</v>
      </c>
      <c r="V28" t="n">
        <v>1156962994.325</v>
      </c>
      <c r="W28" t="n">
        <v>1625137199.834</v>
      </c>
      <c r="X28" t="n">
        <v>1402999539.329</v>
      </c>
      <c r="Y28" t="n">
        <v>939052627.535</v>
      </c>
      <c r="Z28" t="n">
        <v>1792237732.004</v>
      </c>
      <c r="AA28" t="n">
        <v>1650609952.039</v>
      </c>
      <c r="AB28" t="n">
        <v>1471776066.596</v>
      </c>
      <c r="AC28" t="n">
        <v>1613092415.184</v>
      </c>
      <c r="AD28" t="n">
        <v>2827585481.067</v>
      </c>
      <c r="AE28" t="n">
        <v>4185047941.749</v>
      </c>
      <c r="AF28" t="n">
        <v>2118879278.607</v>
      </c>
      <c r="AG28" t="n">
        <v>2134210556.409</v>
      </c>
      <c r="AH28" t="n">
        <v>2394979576.372</v>
      </c>
      <c r="AI28" t="n">
        <v>2553035573.52</v>
      </c>
      <c r="AJ28" t="n">
        <v>2538823576.272</v>
      </c>
      <c r="AK28" t="n">
        <v>3182528669.191</v>
      </c>
      <c r="AL28" t="n">
        <v>2753921274.549</v>
      </c>
      <c r="AM28" t="n">
        <v>2806928986.93</v>
      </c>
      <c r="AN28" t="n">
        <v>2952159727.528</v>
      </c>
      <c r="AO28" t="n">
        <v>3739258215.791</v>
      </c>
      <c r="AP28" t="n">
        <v>4366311536.925</v>
      </c>
      <c r="AQ28" t="n">
        <v>4852429951.593</v>
      </c>
      <c r="AR28" t="n">
        <v>4444457302.133</v>
      </c>
      <c r="AS28" t="n">
        <v>3907547206.191</v>
      </c>
      <c r="AT28" t="n">
        <v>4272850699.202</v>
      </c>
      <c r="AU28" t="n">
        <v>4974640689.811</v>
      </c>
      <c r="AV28" t="n">
        <v>5491275895.791</v>
      </c>
      <c r="AW28" t="n">
        <v>5403006975.376</v>
      </c>
      <c r="AX28" t="n">
        <v>5122358490.868</v>
      </c>
      <c r="AY28" t="n">
        <v>4265747289.431</v>
      </c>
      <c r="AZ28" t="n">
        <v>4062864595.952</v>
      </c>
      <c r="BA28" t="n">
        <v>3302667330.109</v>
      </c>
      <c r="BB28" t="n">
        <v>4888547055.092</v>
      </c>
      <c r="BC28" t="n">
        <v>2904024891.157</v>
      </c>
      <c r="BD28" t="n">
        <v>4224581180.885</v>
      </c>
      <c r="BE28" t="n">
        <v>4831210543.497</v>
      </c>
      <c r="BF28" t="n">
        <v>4359600552.594</v>
      </c>
      <c r="BG28" t="n">
        <v>4587450264.421</v>
      </c>
      <c r="BH28" t="n">
        <v>4047430216.056</v>
      </c>
      <c r="BI28" t="n">
        <v>3701991979.025</v>
      </c>
      <c r="BJ28" t="n">
        <v>3463607804.027</v>
      </c>
      <c r="BK28" t="n">
        <v>2559081332.211</v>
      </c>
      <c r="BL28" t="n">
        <v>3446476209.998</v>
      </c>
      <c r="BM28" t="n">
        <v>3474420297.877</v>
      </c>
      <c r="BN28" t="n">
        <v>3758510081.61</v>
      </c>
      <c r="BO28" t="n">
        <v>4156708323.679</v>
      </c>
      <c r="BP28" t="n">
        <v>3819338390.071</v>
      </c>
      <c r="BQ28" t="n">
        <v>3479127356.79</v>
      </c>
      <c r="BR28" t="n">
        <v>11456554997.075</v>
      </c>
      <c r="BS28" t="n">
        <v>3218160657.179</v>
      </c>
      <c r="BT28" t="n">
        <v>4267300925.912</v>
      </c>
    </row>
    <row r="30">
      <c r="A30" t="inlineStr">
        <is>
          <t>Catch tonnage on a named group: 665,696,783 of 677,999,683 (98.2 %). Unresolved taxa contribute nothing to the model rows and everything to the simple row, so the two are not directly comparable until coverage is 100 %.</t>
        </is>
      </c>
    </row>
    <row r="31">
      <c r="A31" s="12" t="inlineStr">
        <is>
          <t>11 of 20 methods are flagged above. A flagged row is a property of this model under that method, not of the mapping; see model_health in the SPPR workbook.</t>
        </is>
      </c>
    </row>
    <row r="32">
      <c r="A32" t="inlineStr">
        <is>
          <t>Coverage by year, %:</t>
        </is>
      </c>
    </row>
    <row r="33">
      <c r="A33" t="inlineStr">
        <is>
          <t>catch on a named group, %</t>
        </is>
      </c>
      <c r="B33" t="inlineStr"/>
      <c r="C33" t="n">
        <v>75.43000000000001</v>
      </c>
      <c r="D33" t="n">
        <v>76.05</v>
      </c>
      <c r="E33" t="n">
        <v>71.64</v>
      </c>
      <c r="F33" t="n">
        <v>73.04000000000001</v>
      </c>
      <c r="G33" t="n">
        <v>76.53</v>
      </c>
      <c r="H33" t="n">
        <v>72.8</v>
      </c>
      <c r="I33" t="n">
        <v>78.78</v>
      </c>
      <c r="J33" t="n">
        <v>85.31999999999999</v>
      </c>
      <c r="K33" t="n">
        <v>91.64</v>
      </c>
      <c r="L33" t="n">
        <v>96.43000000000001</v>
      </c>
      <c r="M33" t="n">
        <v>97.8</v>
      </c>
      <c r="N33" t="n">
        <v>98.67</v>
      </c>
      <c r="O33" t="n">
        <v>98.86</v>
      </c>
      <c r="P33" t="n">
        <v>98.75</v>
      </c>
      <c r="Q33" t="n">
        <v>99.25</v>
      </c>
      <c r="R33" t="n">
        <v>98.70999999999999</v>
      </c>
      <c r="S33" t="n">
        <v>99.05</v>
      </c>
      <c r="T33" t="n">
        <v>99.3</v>
      </c>
      <c r="U33" t="n">
        <v>98.98999999999999</v>
      </c>
      <c r="V33" t="n">
        <v>99.2</v>
      </c>
      <c r="W33" t="n">
        <v>99.20999999999999</v>
      </c>
      <c r="X33" t="n">
        <v>99.37</v>
      </c>
      <c r="Y33" t="n">
        <v>98.17</v>
      </c>
      <c r="Z33" t="n">
        <v>96.62</v>
      </c>
      <c r="AA33" t="n">
        <v>99.05</v>
      </c>
      <c r="AB33" t="n">
        <v>98.48</v>
      </c>
      <c r="AC33" t="n">
        <v>98.84</v>
      </c>
      <c r="AD33" t="n">
        <v>97.95999999999999</v>
      </c>
      <c r="AE33" t="n">
        <v>98.42</v>
      </c>
      <c r="AF33" t="n">
        <v>99.12</v>
      </c>
      <c r="AG33" t="n">
        <v>97.84999999999999</v>
      </c>
      <c r="AH33" t="n">
        <v>97.7</v>
      </c>
      <c r="AI33" t="n">
        <v>98.2</v>
      </c>
      <c r="AJ33" t="n">
        <v>97.72</v>
      </c>
      <c r="AK33" t="n">
        <v>98.34</v>
      </c>
      <c r="AL33" t="n">
        <v>99.08</v>
      </c>
      <c r="AM33" t="n">
        <v>98.45</v>
      </c>
      <c r="AN33" t="n">
        <v>97.48999999999999</v>
      </c>
      <c r="AO33" t="n">
        <v>96.78</v>
      </c>
      <c r="AP33" t="n">
        <v>97.13</v>
      </c>
      <c r="AQ33" t="n">
        <v>97.36</v>
      </c>
      <c r="AR33" t="n">
        <v>97.59</v>
      </c>
      <c r="AS33" t="n">
        <v>97.37</v>
      </c>
      <c r="AT33" t="n">
        <v>98.54000000000001</v>
      </c>
      <c r="AU33" t="n">
        <v>98.83</v>
      </c>
      <c r="AV33" t="n">
        <v>97.75</v>
      </c>
      <c r="AW33" t="n">
        <v>96.94</v>
      </c>
      <c r="AX33" t="n">
        <v>98.36</v>
      </c>
      <c r="AY33" t="n">
        <v>93.91</v>
      </c>
      <c r="AZ33" t="n">
        <v>96.94</v>
      </c>
      <c r="BA33" t="n">
        <v>98.76000000000001</v>
      </c>
      <c r="BB33" t="n">
        <v>97.33</v>
      </c>
      <c r="BC33" t="n">
        <v>99.48999999999999</v>
      </c>
      <c r="BD33" t="n">
        <v>97.73</v>
      </c>
      <c r="BE33" t="n">
        <v>98.70999999999999</v>
      </c>
      <c r="BF33" t="n">
        <v>98.66</v>
      </c>
      <c r="BG33" t="n">
        <v>98.45999999999999</v>
      </c>
      <c r="BH33" t="n">
        <v>98.53</v>
      </c>
      <c r="BI33" t="n">
        <v>98.51000000000001</v>
      </c>
      <c r="BJ33" t="n">
        <v>98.31</v>
      </c>
      <c r="BK33" t="n">
        <v>97.63</v>
      </c>
      <c r="BL33" t="n">
        <v>98.8</v>
      </c>
      <c r="BM33" t="n">
        <v>98.33</v>
      </c>
      <c r="BN33" t="n">
        <v>98.81999999999999</v>
      </c>
      <c r="BO33" t="n">
        <v>97.76000000000001</v>
      </c>
      <c r="BP33" t="n">
        <v>98.56999999999999</v>
      </c>
      <c r="BQ33" t="n">
        <v>98.38</v>
      </c>
      <c r="BR33" t="n">
        <v>98.77</v>
      </c>
      <c r="BS33" t="n">
        <v>99.14</v>
      </c>
      <c r="BT33" t="n">
        <v>98.54000000000001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1" t="inlineStr">
        <is>
          <t>Recycling diagnostics from diagnose_sppr()</t>
        </is>
      </c>
    </row>
    <row r="2" ht="32" customHeight="1">
      <c r="A2" s="14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13" t="inlineStr">
        <is>
          <t>model</t>
        </is>
      </c>
      <c r="B4" s="13" t="inlineStr">
        <is>
          <t>TE_option</t>
        </is>
      </c>
      <c r="C4" s="13" t="inlineStr">
        <is>
          <t>b</t>
        </is>
      </c>
      <c r="D4" s="13" t="inlineStr">
        <is>
          <t>rho living</t>
        </is>
      </c>
      <c r="E4" s="13" t="inlineStr">
        <is>
          <t>diagnostic status</t>
        </is>
      </c>
      <c r="F4" s="13" t="inlineStr">
        <is>
          <t>b converges</t>
        </is>
      </c>
      <c r="G4" s="13" t="inlineStr">
        <is>
          <t>living converges</t>
        </is>
      </c>
      <c r="H4" s="13" t="inlineStr">
        <is>
          <t>input balanced</t>
        </is>
      </c>
      <c r="I4" s="13" t="inlineStr">
        <is>
          <t>configuration</t>
        </is>
      </c>
    </row>
    <row r="5">
      <c r="A5" t="inlineStr">
        <is>
          <t>13_2_Northern_Humboldt_Current_(1995-1998)</t>
        </is>
      </c>
      <c r="B5" t="inlineStr">
        <is>
          <t>GE</t>
        </is>
      </c>
      <c r="C5" s="15" t="n">
        <v>1.59176568425259</v>
      </c>
      <c r="D5" s="15" t="n">
        <v>0.7</v>
      </c>
      <c r="E5" t="inlineStr">
        <is>
          <t>FAIL</t>
        </is>
      </c>
      <c r="F5" t="b">
        <v>0</v>
      </c>
      <c r="G5" t="b">
        <v>1</v>
      </c>
      <c r="H5" t="b">
        <v>1</v>
      </c>
      <c r="I5" t="inlineStr">
        <is>
          <t>{"TE_option": "GE", "det_collapse_mode": "never", "det_external_sppr": 0, "det_open_mode": "none", "det_theta": 1, "explicit_TE": false, "method": "multi_detritus", "model": "Northern_Humboldt_Current (1995-1998)", "would_pool": false}</t>
        </is>
      </c>
    </row>
    <row r="6">
      <c r="A6" t="inlineStr">
        <is>
          <t>13_2_Northern_Humboldt_Current_(1995-1998)</t>
        </is>
      </c>
      <c r="B6" t="inlineStr">
        <is>
          <t>TE</t>
        </is>
      </c>
      <c r="C6" s="15" t="n">
        <v>0</v>
      </c>
      <c r="D6" s="15" t="n">
        <v>0.7316477059387119</v>
      </c>
      <c r="E6" t="inlineStr">
        <is>
          <t>FAIL</t>
        </is>
      </c>
      <c r="F6" t="b">
        <v>1</v>
      </c>
      <c r="G6" t="b">
        <v>1</v>
      </c>
      <c r="H6" t="b">
        <v>1</v>
      </c>
      <c r="I6" t="inlineStr">
        <is>
          <t>{"TE_option": "TE", "det_collapse_mode": "never", "det_external_sppr": 0, "det_open_mode": "none", "det_theta": 1, "explicit_TE": false, "method": null, "model": "Northern_Humboldt_Current (1995-1998)", "would_pool": false}</t>
        </is>
      </c>
    </row>
    <row r="7">
      <c r="A7" t="inlineStr">
        <is>
          <t>13_2_Northern_Humboldt_Current_(1995-1998)</t>
        </is>
      </c>
      <c r="B7" t="inlineStr">
        <is>
          <t>With Egestion</t>
        </is>
      </c>
      <c r="C7" s="15" t="n">
        <v>1.109823001872164</v>
      </c>
      <c r="D7" s="15" t="n">
        <v>0.5599999999999999</v>
      </c>
      <c r="E7" t="inlineStr">
        <is>
          <t>FAIL</t>
        </is>
      </c>
      <c r="F7" t="b">
        <v>0</v>
      </c>
      <c r="G7" t="b">
        <v>1</v>
      </c>
      <c r="H7" t="b">
        <v>1</v>
      </c>
      <c r="I7" t="inlineStr">
        <is>
          <t>{"TE_option": "With Egestion", "det_collapse_mode": "never", "det_external_sppr": 0, "det_open_mode": "none", "det_theta": 1, "explicit_TE": false, "method": "multi_detritus", "model": "Northern_Humboldt_Current (1995-1998)", "would_pool": false}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225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0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>
      <c r="A1" s="1" t="inlineStr">
        <is>
          <t>PPR per taxon for one year — pick the year in the yellow cell.</t>
        </is>
      </c>
    </row>
    <row r="2">
      <c r="A2" t="inlineStr">
        <is>
          <t>PPR = that year's catch for the taxon x the taxon's SPPR under each method. Everything below recalculates when the year changes.</t>
        </is>
      </c>
    </row>
    <row r="4">
      <c r="A4" s="2" t="inlineStr">
        <is>
          <t>Year</t>
        </is>
      </c>
      <c r="B4" s="16" t="n">
        <v>2019</v>
      </c>
      <c r="C4" s="11" t="inlineStr">
        <is>
          <t>choose any year from 1950 to 2019</t>
        </is>
      </c>
    </row>
    <row r="6">
      <c r="A6" s="4" t="inlineStr">
        <is>
          <t>taxon</t>
        </is>
      </c>
      <c r="B6" s="4" t="inlineStr">
        <is>
          <t>Ecopath group</t>
        </is>
      </c>
      <c r="C6" s="4" t="inlineStr">
        <is>
          <t>catch tonnes</t>
        </is>
      </c>
      <c r="D6" s="4" t="inlineStr">
        <is>
          <t>SPPR_1986</t>
        </is>
      </c>
      <c r="E6" s="4" t="inlineStr">
        <is>
          <t>SPPR_1995_TE0.1</t>
        </is>
      </c>
      <c r="F6" s="4" t="inlineStr">
        <is>
          <t>SPPR_1995_TEmean</t>
        </is>
      </c>
      <c r="G6" s="4" t="inlineStr">
        <is>
          <t>Ulanowicz_globalTEmean</t>
        </is>
      </c>
      <c r="H6" s="4" t="inlineStr">
        <is>
          <t>Ulanowicz_TE</t>
        </is>
      </c>
      <c r="I6" s="4" t="inlineStr">
        <is>
          <t>EwE_TE_noEE</t>
        </is>
      </c>
      <c r="J6" s="4" t="inlineStr">
        <is>
          <t>EwE_TE_EE</t>
        </is>
      </c>
      <c r="K6" s="4" t="inlineStr">
        <is>
          <t>SPPR_2015</t>
        </is>
      </c>
      <c r="L6" s="4" t="inlineStr">
        <is>
          <t>new_TE_noEEfix</t>
        </is>
      </c>
      <c r="M6" s="4" t="inlineStr">
        <is>
          <t>new_TE_EEfix</t>
        </is>
      </c>
      <c r="N6" s="4" t="inlineStr">
        <is>
          <t>new_GE</t>
        </is>
      </c>
      <c r="O6" s="4" t="inlineStr">
        <is>
          <t>new_WithEgestion</t>
        </is>
      </c>
      <c r="P6" s="4" t="inlineStr">
        <is>
          <t>sym_TE_asPP</t>
        </is>
      </c>
      <c r="Q6" s="4" t="inlineStr">
        <is>
          <t>sym_TE_asDC</t>
        </is>
      </c>
      <c r="R6" s="4" t="inlineStr">
        <is>
          <t>sym_GE_asPP</t>
        </is>
      </c>
      <c r="S6" s="4" t="inlineStr">
        <is>
          <t>sym_GE_asDC</t>
        </is>
      </c>
      <c r="T6" s="4" t="inlineStr">
        <is>
          <t>sym_WithEgestion_asPP</t>
        </is>
      </c>
      <c r="U6" s="4" t="inlineStr">
        <is>
          <t>sym_WithEgestion_asDC</t>
        </is>
      </c>
      <c r="V6" s="4" t="inlineStr">
        <is>
          <t>MC_new_GE</t>
        </is>
      </c>
      <c r="W6" s="4" t="inlineStr">
        <is>
          <t>MC_new_TE_EEfix</t>
        </is>
      </c>
    </row>
    <row r="7">
      <c r="A7" s="2" t="inlineStr">
        <is>
          <t>ALL TAXA</t>
        </is>
      </c>
      <c r="C7" s="2">
        <f>SUM(C8:C225)</f>
        <v/>
      </c>
      <c r="D7" s="2">
        <f>IF(COUNT(D8:D225)=0,"",SUM(D8:D225))</f>
        <v/>
      </c>
      <c r="E7" s="2">
        <f>IF(COUNT(E8:E225)=0,"",SUM(E8:E225))</f>
        <v/>
      </c>
      <c r="F7" s="2">
        <f>IF(COUNT(F8:F225)=0,"",SUM(F8:F225))</f>
        <v/>
      </c>
      <c r="G7" s="2">
        <f>IF(COUNT(G8:G225)=0,"",SUM(G8:G225))</f>
        <v/>
      </c>
      <c r="H7" s="2">
        <f>IF(COUNT(H8:H225)=0,"",SUM(H8:H225))</f>
        <v/>
      </c>
      <c r="I7" s="2">
        <f>IF(COUNT(I8:I225)=0,"",SUM(I8:I225))</f>
        <v/>
      </c>
      <c r="J7" s="2">
        <f>IF(COUNT(J8:J225)=0,"",SUM(J8:J225))</f>
        <v/>
      </c>
      <c r="K7" s="2">
        <f>IF(COUNT(K8:K225)=0,"",SUM(K8:K225))</f>
        <v/>
      </c>
      <c r="L7" s="2">
        <f>IF(COUNT(L8:L225)=0,"",SUM(L8:L225))</f>
        <v/>
      </c>
      <c r="M7" s="2">
        <f>IF(COUNT(M8:M225)=0,"",SUM(M8:M225))</f>
        <v/>
      </c>
      <c r="N7" s="2">
        <f>IF(COUNT(N8:N225)=0,"",SUM(N8:N225))</f>
        <v/>
      </c>
      <c r="O7" s="2">
        <f>IF(COUNT(O8:O225)=0,"",SUM(O8:O225))</f>
        <v/>
      </c>
      <c r="P7" s="2">
        <f>IF(COUNT(P8:P225)=0,"",SUM(P8:P225))</f>
        <v/>
      </c>
      <c r="Q7" s="2">
        <f>IF(COUNT(Q8:Q225)=0,"",SUM(Q8:Q225))</f>
        <v/>
      </c>
      <c r="R7" s="2">
        <f>IF(COUNT(R8:R225)=0,"",SUM(R8:R225))</f>
        <v/>
      </c>
      <c r="S7" s="2">
        <f>IF(COUNT(S8:S225)=0,"",SUM(S8:S225))</f>
        <v/>
      </c>
      <c r="T7" s="2">
        <f>IF(COUNT(T8:T225)=0,"",SUM(T8:T225))</f>
        <v/>
      </c>
      <c r="U7" s="2">
        <f>IF(COUNT(U8:U225)=0,"",SUM(U8:U225))</f>
        <v/>
      </c>
      <c r="V7" s="2">
        <f>IF(COUNT(V8:V225)=0,"",SUM(V8:V225))</f>
        <v/>
      </c>
      <c r="W7" s="2">
        <f>IF(COUNT(W8:W225)=0,"",SUM(W8:W225))</f>
        <v/>
      </c>
    </row>
    <row r="8">
      <c r="A8" t="inlineStr">
        <is>
          <t>Engraulis ringens</t>
        </is>
      </c>
      <c r="B8">
        <f>IFERROR(INDEX(SPPR!$D:$D,MATCH($A8,SPPR!$A:$A,0)),"")</f>
        <v/>
      </c>
      <c r="C8">
        <f>IFERROR(INDEX(Catch!$E:$BV,MATCH($A8,Catch!$A:$A,0),MATCH($B$4,Catch!$E$1:$BV$1,0)),0)</f>
        <v/>
      </c>
      <c r="D8">
        <f>IFERROR(IF(ISNUMBER(INDEX(SPPR!$E:$X,MATCH($A8,SPPR!$A:$A,0),1)),$C8*INDEX(SPPR!$E:$X,MATCH($A8,SPPR!$A:$A,0),1),""),"")</f>
        <v/>
      </c>
      <c r="E8">
        <f>IFERROR(IF(ISNUMBER(INDEX(SPPR!$E:$X,MATCH($A8,SPPR!$A:$A,0),2)),$C8*INDEX(SPPR!$E:$X,MATCH($A8,SPPR!$A:$A,0),2),""),"")</f>
        <v/>
      </c>
      <c r="F8">
        <f>IFERROR(IF(ISNUMBER(INDEX(SPPR!$E:$X,MATCH($A8,SPPR!$A:$A,0),3)),$C8*INDEX(SPPR!$E:$X,MATCH($A8,SPPR!$A:$A,0),3),""),"")</f>
        <v/>
      </c>
      <c r="G8">
        <f>IFERROR(IF(ISNUMBER(INDEX(SPPR!$E:$X,MATCH($A8,SPPR!$A:$A,0),4)),$C8*INDEX(SPPR!$E:$X,MATCH($A8,SPPR!$A:$A,0),4),""),"")</f>
        <v/>
      </c>
      <c r="H8">
        <f>IFERROR(IF(ISNUMBER(INDEX(SPPR!$E:$X,MATCH($A8,SPPR!$A:$A,0),5)),$C8*INDEX(SPPR!$E:$X,MATCH($A8,SPPR!$A:$A,0),5),""),"")</f>
        <v/>
      </c>
      <c r="I8">
        <f>IFERROR(IF(ISNUMBER(INDEX(SPPR!$E:$X,MATCH($A8,SPPR!$A:$A,0),6)),$C8*INDEX(SPPR!$E:$X,MATCH($A8,SPPR!$A:$A,0),6),""),"")</f>
        <v/>
      </c>
      <c r="J8">
        <f>IFERROR(IF(ISNUMBER(INDEX(SPPR!$E:$X,MATCH($A8,SPPR!$A:$A,0),7)),$C8*INDEX(SPPR!$E:$X,MATCH($A8,SPPR!$A:$A,0),7),""),"")</f>
        <v/>
      </c>
      <c r="K8">
        <f>IFERROR(IF(ISNUMBER(INDEX(SPPR!$E:$X,MATCH($A8,SPPR!$A:$A,0),8)),$C8*INDEX(SPPR!$E:$X,MATCH($A8,SPPR!$A:$A,0),8),""),"")</f>
        <v/>
      </c>
      <c r="L8">
        <f>IFERROR(IF(ISNUMBER(INDEX(SPPR!$E:$X,MATCH($A8,SPPR!$A:$A,0),9)),$C8*INDEX(SPPR!$E:$X,MATCH($A8,SPPR!$A:$A,0),9),""),"")</f>
        <v/>
      </c>
      <c r="M8">
        <f>IFERROR(IF(ISNUMBER(INDEX(SPPR!$E:$X,MATCH($A8,SPPR!$A:$A,0),10)),$C8*INDEX(SPPR!$E:$X,MATCH($A8,SPPR!$A:$A,0),10),""),"")</f>
        <v/>
      </c>
      <c r="N8">
        <f>IFERROR(IF(ISNUMBER(INDEX(SPPR!$E:$X,MATCH($A8,SPPR!$A:$A,0),11)),$C8*INDEX(SPPR!$E:$X,MATCH($A8,SPPR!$A:$A,0),11),""),"")</f>
        <v/>
      </c>
      <c r="O8">
        <f>IFERROR(IF(ISNUMBER(INDEX(SPPR!$E:$X,MATCH($A8,SPPR!$A:$A,0),12)),$C8*INDEX(SPPR!$E:$X,MATCH($A8,SPPR!$A:$A,0),12),""),"")</f>
        <v/>
      </c>
      <c r="P8">
        <f>IFERROR(IF(ISNUMBER(INDEX(SPPR!$E:$X,MATCH($A8,SPPR!$A:$A,0),13)),$C8*INDEX(SPPR!$E:$X,MATCH($A8,SPPR!$A:$A,0),13),""),"")</f>
        <v/>
      </c>
      <c r="Q8">
        <f>IFERROR(IF(ISNUMBER(INDEX(SPPR!$E:$X,MATCH($A8,SPPR!$A:$A,0),14)),$C8*INDEX(SPPR!$E:$X,MATCH($A8,SPPR!$A:$A,0),14),""),"")</f>
        <v/>
      </c>
      <c r="R8">
        <f>IFERROR(IF(ISNUMBER(INDEX(SPPR!$E:$X,MATCH($A8,SPPR!$A:$A,0),15)),$C8*INDEX(SPPR!$E:$X,MATCH($A8,SPPR!$A:$A,0),15),""),"")</f>
        <v/>
      </c>
      <c r="S8">
        <f>IFERROR(IF(ISNUMBER(INDEX(SPPR!$E:$X,MATCH($A8,SPPR!$A:$A,0),16)),$C8*INDEX(SPPR!$E:$X,MATCH($A8,SPPR!$A:$A,0),16),""),"")</f>
        <v/>
      </c>
      <c r="T8">
        <f>IFERROR(IF(ISNUMBER(INDEX(SPPR!$E:$X,MATCH($A8,SPPR!$A:$A,0),17)),$C8*INDEX(SPPR!$E:$X,MATCH($A8,SPPR!$A:$A,0),17),""),"")</f>
        <v/>
      </c>
      <c r="U8">
        <f>IFERROR(IF(ISNUMBER(INDEX(SPPR!$E:$X,MATCH($A8,SPPR!$A:$A,0),18)),$C8*INDEX(SPPR!$E:$X,MATCH($A8,SPPR!$A:$A,0),18),""),"")</f>
        <v/>
      </c>
      <c r="V8">
        <f>IFERROR(IF(ISNUMBER(INDEX(SPPR!$E:$X,MATCH($A8,SPPR!$A:$A,0),19)),$C8*INDEX(SPPR!$E:$X,MATCH($A8,SPPR!$A:$A,0),19),""),"")</f>
        <v/>
      </c>
      <c r="W8">
        <f>IFERROR(IF(ISNUMBER(INDEX(SPPR!$E:$X,MATCH($A8,SPPR!$A:$A,0),20)),$C8*INDEX(SPPR!$E:$X,MATCH($A8,SPPR!$A:$A,0),20),""),"")</f>
        <v/>
      </c>
    </row>
    <row r="9">
      <c r="A9" t="inlineStr">
        <is>
          <t>Sardinops sagax</t>
        </is>
      </c>
      <c r="B9">
        <f>IFERROR(INDEX(SPPR!$D:$D,MATCH($A9,SPPR!$A:$A,0)),"")</f>
        <v/>
      </c>
      <c r="C9">
        <f>IFERROR(INDEX(Catch!$E:$BV,MATCH($A9,Catch!$A:$A,0),MATCH($B$4,Catch!$E$1:$BV$1,0)),0)</f>
        <v/>
      </c>
      <c r="D9">
        <f>IFERROR(IF(ISNUMBER(INDEX(SPPR!$E:$X,MATCH($A9,SPPR!$A:$A,0),1)),$C9*INDEX(SPPR!$E:$X,MATCH($A9,SPPR!$A:$A,0),1),""),"")</f>
        <v/>
      </c>
      <c r="E9">
        <f>IFERROR(IF(ISNUMBER(INDEX(SPPR!$E:$X,MATCH($A9,SPPR!$A:$A,0),2)),$C9*INDEX(SPPR!$E:$X,MATCH($A9,SPPR!$A:$A,0),2),""),"")</f>
        <v/>
      </c>
      <c r="F9">
        <f>IFERROR(IF(ISNUMBER(INDEX(SPPR!$E:$X,MATCH($A9,SPPR!$A:$A,0),3)),$C9*INDEX(SPPR!$E:$X,MATCH($A9,SPPR!$A:$A,0),3),""),"")</f>
        <v/>
      </c>
      <c r="G9">
        <f>IFERROR(IF(ISNUMBER(INDEX(SPPR!$E:$X,MATCH($A9,SPPR!$A:$A,0),4)),$C9*INDEX(SPPR!$E:$X,MATCH($A9,SPPR!$A:$A,0),4),""),"")</f>
        <v/>
      </c>
      <c r="H9">
        <f>IFERROR(IF(ISNUMBER(INDEX(SPPR!$E:$X,MATCH($A9,SPPR!$A:$A,0),5)),$C9*INDEX(SPPR!$E:$X,MATCH($A9,SPPR!$A:$A,0),5),""),"")</f>
        <v/>
      </c>
      <c r="I9">
        <f>IFERROR(IF(ISNUMBER(INDEX(SPPR!$E:$X,MATCH($A9,SPPR!$A:$A,0),6)),$C9*INDEX(SPPR!$E:$X,MATCH($A9,SPPR!$A:$A,0),6),""),"")</f>
        <v/>
      </c>
      <c r="J9">
        <f>IFERROR(IF(ISNUMBER(INDEX(SPPR!$E:$X,MATCH($A9,SPPR!$A:$A,0),7)),$C9*INDEX(SPPR!$E:$X,MATCH($A9,SPPR!$A:$A,0),7),""),"")</f>
        <v/>
      </c>
      <c r="K9">
        <f>IFERROR(IF(ISNUMBER(INDEX(SPPR!$E:$X,MATCH($A9,SPPR!$A:$A,0),8)),$C9*INDEX(SPPR!$E:$X,MATCH($A9,SPPR!$A:$A,0),8),""),"")</f>
        <v/>
      </c>
      <c r="L9">
        <f>IFERROR(IF(ISNUMBER(INDEX(SPPR!$E:$X,MATCH($A9,SPPR!$A:$A,0),9)),$C9*INDEX(SPPR!$E:$X,MATCH($A9,SPPR!$A:$A,0),9),""),"")</f>
        <v/>
      </c>
      <c r="M9">
        <f>IFERROR(IF(ISNUMBER(INDEX(SPPR!$E:$X,MATCH($A9,SPPR!$A:$A,0),10)),$C9*INDEX(SPPR!$E:$X,MATCH($A9,SPPR!$A:$A,0),10),""),"")</f>
        <v/>
      </c>
      <c r="N9">
        <f>IFERROR(IF(ISNUMBER(INDEX(SPPR!$E:$X,MATCH($A9,SPPR!$A:$A,0),11)),$C9*INDEX(SPPR!$E:$X,MATCH($A9,SPPR!$A:$A,0),11),""),"")</f>
        <v/>
      </c>
      <c r="O9">
        <f>IFERROR(IF(ISNUMBER(INDEX(SPPR!$E:$X,MATCH($A9,SPPR!$A:$A,0),12)),$C9*INDEX(SPPR!$E:$X,MATCH($A9,SPPR!$A:$A,0),12),""),"")</f>
        <v/>
      </c>
      <c r="P9">
        <f>IFERROR(IF(ISNUMBER(INDEX(SPPR!$E:$X,MATCH($A9,SPPR!$A:$A,0),13)),$C9*INDEX(SPPR!$E:$X,MATCH($A9,SPPR!$A:$A,0),13),""),"")</f>
        <v/>
      </c>
      <c r="Q9">
        <f>IFERROR(IF(ISNUMBER(INDEX(SPPR!$E:$X,MATCH($A9,SPPR!$A:$A,0),14)),$C9*INDEX(SPPR!$E:$X,MATCH($A9,SPPR!$A:$A,0),14),""),"")</f>
        <v/>
      </c>
      <c r="R9">
        <f>IFERROR(IF(ISNUMBER(INDEX(SPPR!$E:$X,MATCH($A9,SPPR!$A:$A,0),15)),$C9*INDEX(SPPR!$E:$X,MATCH($A9,SPPR!$A:$A,0),15),""),"")</f>
        <v/>
      </c>
      <c r="S9">
        <f>IFERROR(IF(ISNUMBER(INDEX(SPPR!$E:$X,MATCH($A9,SPPR!$A:$A,0),16)),$C9*INDEX(SPPR!$E:$X,MATCH($A9,SPPR!$A:$A,0),16),""),"")</f>
        <v/>
      </c>
      <c r="T9">
        <f>IFERROR(IF(ISNUMBER(INDEX(SPPR!$E:$X,MATCH($A9,SPPR!$A:$A,0),17)),$C9*INDEX(SPPR!$E:$X,MATCH($A9,SPPR!$A:$A,0),17),""),"")</f>
        <v/>
      </c>
      <c r="U9">
        <f>IFERROR(IF(ISNUMBER(INDEX(SPPR!$E:$X,MATCH($A9,SPPR!$A:$A,0),18)),$C9*INDEX(SPPR!$E:$X,MATCH($A9,SPPR!$A:$A,0),18),""),"")</f>
        <v/>
      </c>
      <c r="V9">
        <f>IFERROR(IF(ISNUMBER(INDEX(SPPR!$E:$X,MATCH($A9,SPPR!$A:$A,0),19)),$C9*INDEX(SPPR!$E:$X,MATCH($A9,SPPR!$A:$A,0),19),""),"")</f>
        <v/>
      </c>
      <c r="W9">
        <f>IFERROR(IF(ISNUMBER(INDEX(SPPR!$E:$X,MATCH($A9,SPPR!$A:$A,0),20)),$C9*INDEX(SPPR!$E:$X,MATCH($A9,SPPR!$A:$A,0),20),""),"")</f>
        <v/>
      </c>
    </row>
    <row r="10">
      <c r="A10" t="inlineStr">
        <is>
          <t>Trachurus murphyi</t>
        </is>
      </c>
      <c r="B10">
        <f>IFERROR(INDEX(SPPR!$D:$D,MATCH($A10,SPPR!$A:$A,0)),"")</f>
        <v/>
      </c>
      <c r="C10">
        <f>IFERROR(INDEX(Catch!$E:$BV,MATCH($A10,Catch!$A:$A,0),MATCH($B$4,Catch!$E$1:$BV$1,0)),0)</f>
        <v/>
      </c>
      <c r="D10">
        <f>IFERROR(IF(ISNUMBER(INDEX(SPPR!$E:$X,MATCH($A10,SPPR!$A:$A,0),1)),$C10*INDEX(SPPR!$E:$X,MATCH($A10,SPPR!$A:$A,0),1),""),"")</f>
        <v/>
      </c>
      <c r="E10">
        <f>IFERROR(IF(ISNUMBER(INDEX(SPPR!$E:$X,MATCH($A10,SPPR!$A:$A,0),2)),$C10*INDEX(SPPR!$E:$X,MATCH($A10,SPPR!$A:$A,0),2),""),"")</f>
        <v/>
      </c>
      <c r="F10">
        <f>IFERROR(IF(ISNUMBER(INDEX(SPPR!$E:$X,MATCH($A10,SPPR!$A:$A,0),3)),$C10*INDEX(SPPR!$E:$X,MATCH($A10,SPPR!$A:$A,0),3),""),"")</f>
        <v/>
      </c>
      <c r="G10">
        <f>IFERROR(IF(ISNUMBER(INDEX(SPPR!$E:$X,MATCH($A10,SPPR!$A:$A,0),4)),$C10*INDEX(SPPR!$E:$X,MATCH($A10,SPPR!$A:$A,0),4),""),"")</f>
        <v/>
      </c>
      <c r="H10">
        <f>IFERROR(IF(ISNUMBER(INDEX(SPPR!$E:$X,MATCH($A10,SPPR!$A:$A,0),5)),$C10*INDEX(SPPR!$E:$X,MATCH($A10,SPPR!$A:$A,0),5),""),"")</f>
        <v/>
      </c>
      <c r="I10">
        <f>IFERROR(IF(ISNUMBER(INDEX(SPPR!$E:$X,MATCH($A10,SPPR!$A:$A,0),6)),$C10*INDEX(SPPR!$E:$X,MATCH($A10,SPPR!$A:$A,0),6),""),"")</f>
        <v/>
      </c>
      <c r="J10">
        <f>IFERROR(IF(ISNUMBER(INDEX(SPPR!$E:$X,MATCH($A10,SPPR!$A:$A,0),7)),$C10*INDEX(SPPR!$E:$X,MATCH($A10,SPPR!$A:$A,0),7),""),"")</f>
        <v/>
      </c>
      <c r="K10">
        <f>IFERROR(IF(ISNUMBER(INDEX(SPPR!$E:$X,MATCH($A10,SPPR!$A:$A,0),8)),$C10*INDEX(SPPR!$E:$X,MATCH($A10,SPPR!$A:$A,0),8),""),"")</f>
        <v/>
      </c>
      <c r="L10">
        <f>IFERROR(IF(ISNUMBER(INDEX(SPPR!$E:$X,MATCH($A10,SPPR!$A:$A,0),9)),$C10*INDEX(SPPR!$E:$X,MATCH($A10,SPPR!$A:$A,0),9),""),"")</f>
        <v/>
      </c>
      <c r="M10">
        <f>IFERROR(IF(ISNUMBER(INDEX(SPPR!$E:$X,MATCH($A10,SPPR!$A:$A,0),10)),$C10*INDEX(SPPR!$E:$X,MATCH($A10,SPPR!$A:$A,0),10),""),"")</f>
        <v/>
      </c>
      <c r="N10">
        <f>IFERROR(IF(ISNUMBER(INDEX(SPPR!$E:$X,MATCH($A10,SPPR!$A:$A,0),11)),$C10*INDEX(SPPR!$E:$X,MATCH($A10,SPPR!$A:$A,0),11),""),"")</f>
        <v/>
      </c>
      <c r="O10">
        <f>IFERROR(IF(ISNUMBER(INDEX(SPPR!$E:$X,MATCH($A10,SPPR!$A:$A,0),12)),$C10*INDEX(SPPR!$E:$X,MATCH($A10,SPPR!$A:$A,0),12),""),"")</f>
        <v/>
      </c>
      <c r="P10">
        <f>IFERROR(IF(ISNUMBER(INDEX(SPPR!$E:$X,MATCH($A10,SPPR!$A:$A,0),13)),$C10*INDEX(SPPR!$E:$X,MATCH($A10,SPPR!$A:$A,0),13),""),"")</f>
        <v/>
      </c>
      <c r="Q10">
        <f>IFERROR(IF(ISNUMBER(INDEX(SPPR!$E:$X,MATCH($A10,SPPR!$A:$A,0),14)),$C10*INDEX(SPPR!$E:$X,MATCH($A10,SPPR!$A:$A,0),14),""),"")</f>
        <v/>
      </c>
      <c r="R10">
        <f>IFERROR(IF(ISNUMBER(INDEX(SPPR!$E:$X,MATCH($A10,SPPR!$A:$A,0),15)),$C10*INDEX(SPPR!$E:$X,MATCH($A10,SPPR!$A:$A,0),15),""),"")</f>
        <v/>
      </c>
      <c r="S10">
        <f>IFERROR(IF(ISNUMBER(INDEX(SPPR!$E:$X,MATCH($A10,SPPR!$A:$A,0),16)),$C10*INDEX(SPPR!$E:$X,MATCH($A10,SPPR!$A:$A,0),16),""),"")</f>
        <v/>
      </c>
      <c r="T10">
        <f>IFERROR(IF(ISNUMBER(INDEX(SPPR!$E:$X,MATCH($A10,SPPR!$A:$A,0),17)),$C10*INDEX(SPPR!$E:$X,MATCH($A10,SPPR!$A:$A,0),17),""),"")</f>
        <v/>
      </c>
      <c r="U10">
        <f>IFERROR(IF(ISNUMBER(INDEX(SPPR!$E:$X,MATCH($A10,SPPR!$A:$A,0),18)),$C10*INDEX(SPPR!$E:$X,MATCH($A10,SPPR!$A:$A,0),18),""),"")</f>
        <v/>
      </c>
      <c r="V10">
        <f>IFERROR(IF(ISNUMBER(INDEX(SPPR!$E:$X,MATCH($A10,SPPR!$A:$A,0),19)),$C10*INDEX(SPPR!$E:$X,MATCH($A10,SPPR!$A:$A,0),19),""),"")</f>
        <v/>
      </c>
      <c r="W10">
        <f>IFERROR(IF(ISNUMBER(INDEX(SPPR!$E:$X,MATCH($A10,SPPR!$A:$A,0),20)),$C10*INDEX(SPPR!$E:$X,MATCH($A10,SPPR!$A:$A,0),20),""),"")</f>
        <v/>
      </c>
    </row>
    <row r="11">
      <c r="A11" t="inlineStr">
        <is>
          <t>Clupeidae</t>
        </is>
      </c>
      <c r="B11">
        <f>IFERROR(INDEX(SPPR!$D:$D,MATCH($A11,SPPR!$A:$A,0)),"")</f>
        <v/>
      </c>
      <c r="C11">
        <f>IFERROR(INDEX(Catch!$E:$BV,MATCH($A11,Catch!$A:$A,0),MATCH($B$4,Catch!$E$1:$BV$1,0)),0)</f>
        <v/>
      </c>
      <c r="D11">
        <f>IFERROR(IF(ISNUMBER(INDEX(SPPR!$E:$X,MATCH($A11,SPPR!$A:$A,0),1)),$C11*INDEX(SPPR!$E:$X,MATCH($A11,SPPR!$A:$A,0),1),""),"")</f>
        <v/>
      </c>
      <c r="E11">
        <f>IFERROR(IF(ISNUMBER(INDEX(SPPR!$E:$X,MATCH($A11,SPPR!$A:$A,0),2)),$C11*INDEX(SPPR!$E:$X,MATCH($A11,SPPR!$A:$A,0),2),""),"")</f>
        <v/>
      </c>
      <c r="F11">
        <f>IFERROR(IF(ISNUMBER(INDEX(SPPR!$E:$X,MATCH($A11,SPPR!$A:$A,0),3)),$C11*INDEX(SPPR!$E:$X,MATCH($A11,SPPR!$A:$A,0),3),""),"")</f>
        <v/>
      </c>
      <c r="G11">
        <f>IFERROR(IF(ISNUMBER(INDEX(SPPR!$E:$X,MATCH($A11,SPPR!$A:$A,0),4)),$C11*INDEX(SPPR!$E:$X,MATCH($A11,SPPR!$A:$A,0),4),""),"")</f>
        <v/>
      </c>
      <c r="H11">
        <f>IFERROR(IF(ISNUMBER(INDEX(SPPR!$E:$X,MATCH($A11,SPPR!$A:$A,0),5)),$C11*INDEX(SPPR!$E:$X,MATCH($A11,SPPR!$A:$A,0),5),""),"")</f>
        <v/>
      </c>
      <c r="I11">
        <f>IFERROR(IF(ISNUMBER(INDEX(SPPR!$E:$X,MATCH($A11,SPPR!$A:$A,0),6)),$C11*INDEX(SPPR!$E:$X,MATCH($A11,SPPR!$A:$A,0),6),""),"")</f>
        <v/>
      </c>
      <c r="J11">
        <f>IFERROR(IF(ISNUMBER(INDEX(SPPR!$E:$X,MATCH($A11,SPPR!$A:$A,0),7)),$C11*INDEX(SPPR!$E:$X,MATCH($A11,SPPR!$A:$A,0),7),""),"")</f>
        <v/>
      </c>
      <c r="K11">
        <f>IFERROR(IF(ISNUMBER(INDEX(SPPR!$E:$X,MATCH($A11,SPPR!$A:$A,0),8)),$C11*INDEX(SPPR!$E:$X,MATCH($A11,SPPR!$A:$A,0),8),""),"")</f>
        <v/>
      </c>
      <c r="L11">
        <f>IFERROR(IF(ISNUMBER(INDEX(SPPR!$E:$X,MATCH($A11,SPPR!$A:$A,0),9)),$C11*INDEX(SPPR!$E:$X,MATCH($A11,SPPR!$A:$A,0),9),""),"")</f>
        <v/>
      </c>
      <c r="M11">
        <f>IFERROR(IF(ISNUMBER(INDEX(SPPR!$E:$X,MATCH($A11,SPPR!$A:$A,0),10)),$C11*INDEX(SPPR!$E:$X,MATCH($A11,SPPR!$A:$A,0),10),""),"")</f>
        <v/>
      </c>
      <c r="N11">
        <f>IFERROR(IF(ISNUMBER(INDEX(SPPR!$E:$X,MATCH($A11,SPPR!$A:$A,0),11)),$C11*INDEX(SPPR!$E:$X,MATCH($A11,SPPR!$A:$A,0),11),""),"")</f>
        <v/>
      </c>
      <c r="O11">
        <f>IFERROR(IF(ISNUMBER(INDEX(SPPR!$E:$X,MATCH($A11,SPPR!$A:$A,0),12)),$C11*INDEX(SPPR!$E:$X,MATCH($A11,SPPR!$A:$A,0),12),""),"")</f>
        <v/>
      </c>
      <c r="P11">
        <f>IFERROR(IF(ISNUMBER(INDEX(SPPR!$E:$X,MATCH($A11,SPPR!$A:$A,0),13)),$C11*INDEX(SPPR!$E:$X,MATCH($A11,SPPR!$A:$A,0),13),""),"")</f>
        <v/>
      </c>
      <c r="Q11">
        <f>IFERROR(IF(ISNUMBER(INDEX(SPPR!$E:$X,MATCH($A11,SPPR!$A:$A,0),14)),$C11*INDEX(SPPR!$E:$X,MATCH($A11,SPPR!$A:$A,0),14),""),"")</f>
        <v/>
      </c>
      <c r="R11">
        <f>IFERROR(IF(ISNUMBER(INDEX(SPPR!$E:$X,MATCH($A11,SPPR!$A:$A,0),15)),$C11*INDEX(SPPR!$E:$X,MATCH($A11,SPPR!$A:$A,0),15),""),"")</f>
        <v/>
      </c>
      <c r="S11">
        <f>IFERROR(IF(ISNUMBER(INDEX(SPPR!$E:$X,MATCH($A11,SPPR!$A:$A,0),16)),$C11*INDEX(SPPR!$E:$X,MATCH($A11,SPPR!$A:$A,0),16),""),"")</f>
        <v/>
      </c>
      <c r="T11">
        <f>IFERROR(IF(ISNUMBER(INDEX(SPPR!$E:$X,MATCH($A11,SPPR!$A:$A,0),17)),$C11*INDEX(SPPR!$E:$X,MATCH($A11,SPPR!$A:$A,0),17),""),"")</f>
        <v/>
      </c>
      <c r="U11">
        <f>IFERROR(IF(ISNUMBER(INDEX(SPPR!$E:$X,MATCH($A11,SPPR!$A:$A,0),18)),$C11*INDEX(SPPR!$E:$X,MATCH($A11,SPPR!$A:$A,0),18),""),"")</f>
        <v/>
      </c>
      <c r="V11">
        <f>IFERROR(IF(ISNUMBER(INDEX(SPPR!$E:$X,MATCH($A11,SPPR!$A:$A,0),19)),$C11*INDEX(SPPR!$E:$X,MATCH($A11,SPPR!$A:$A,0),19),""),"")</f>
        <v/>
      </c>
      <c r="W11">
        <f>IFERROR(IF(ISNUMBER(INDEX(SPPR!$E:$X,MATCH($A11,SPPR!$A:$A,0),20)),$C11*INDEX(SPPR!$E:$X,MATCH($A11,SPPR!$A:$A,0),20),""),"")</f>
        <v/>
      </c>
    </row>
    <row r="12">
      <c r="A12" t="inlineStr">
        <is>
          <t>Dosidicus gigas</t>
        </is>
      </c>
      <c r="B12">
        <f>IFERROR(INDEX(SPPR!$D:$D,MATCH($A12,SPPR!$A:$A,0)),"")</f>
        <v/>
      </c>
      <c r="C12">
        <f>IFERROR(INDEX(Catch!$E:$BV,MATCH($A12,Catch!$A:$A,0),MATCH($B$4,Catch!$E$1:$BV$1,0)),0)</f>
        <v/>
      </c>
      <c r="D12">
        <f>IFERROR(IF(ISNUMBER(INDEX(SPPR!$E:$X,MATCH($A12,SPPR!$A:$A,0),1)),$C12*INDEX(SPPR!$E:$X,MATCH($A12,SPPR!$A:$A,0),1),""),"")</f>
        <v/>
      </c>
      <c r="E12">
        <f>IFERROR(IF(ISNUMBER(INDEX(SPPR!$E:$X,MATCH($A12,SPPR!$A:$A,0),2)),$C12*INDEX(SPPR!$E:$X,MATCH($A12,SPPR!$A:$A,0),2),""),"")</f>
        <v/>
      </c>
      <c r="F12">
        <f>IFERROR(IF(ISNUMBER(INDEX(SPPR!$E:$X,MATCH($A12,SPPR!$A:$A,0),3)),$C12*INDEX(SPPR!$E:$X,MATCH($A12,SPPR!$A:$A,0),3),""),"")</f>
        <v/>
      </c>
      <c r="G12">
        <f>IFERROR(IF(ISNUMBER(INDEX(SPPR!$E:$X,MATCH($A12,SPPR!$A:$A,0),4)),$C12*INDEX(SPPR!$E:$X,MATCH($A12,SPPR!$A:$A,0),4),""),"")</f>
        <v/>
      </c>
      <c r="H12">
        <f>IFERROR(IF(ISNUMBER(INDEX(SPPR!$E:$X,MATCH($A12,SPPR!$A:$A,0),5)),$C12*INDEX(SPPR!$E:$X,MATCH($A12,SPPR!$A:$A,0),5),""),"")</f>
        <v/>
      </c>
      <c r="I12">
        <f>IFERROR(IF(ISNUMBER(INDEX(SPPR!$E:$X,MATCH($A12,SPPR!$A:$A,0),6)),$C12*INDEX(SPPR!$E:$X,MATCH($A12,SPPR!$A:$A,0),6),""),"")</f>
        <v/>
      </c>
      <c r="J12">
        <f>IFERROR(IF(ISNUMBER(INDEX(SPPR!$E:$X,MATCH($A12,SPPR!$A:$A,0),7)),$C12*INDEX(SPPR!$E:$X,MATCH($A12,SPPR!$A:$A,0),7),""),"")</f>
        <v/>
      </c>
      <c r="K12">
        <f>IFERROR(IF(ISNUMBER(INDEX(SPPR!$E:$X,MATCH($A12,SPPR!$A:$A,0),8)),$C12*INDEX(SPPR!$E:$X,MATCH($A12,SPPR!$A:$A,0),8),""),"")</f>
        <v/>
      </c>
      <c r="L12">
        <f>IFERROR(IF(ISNUMBER(INDEX(SPPR!$E:$X,MATCH($A12,SPPR!$A:$A,0),9)),$C12*INDEX(SPPR!$E:$X,MATCH($A12,SPPR!$A:$A,0),9),""),"")</f>
        <v/>
      </c>
      <c r="M12">
        <f>IFERROR(IF(ISNUMBER(INDEX(SPPR!$E:$X,MATCH($A12,SPPR!$A:$A,0),10)),$C12*INDEX(SPPR!$E:$X,MATCH($A12,SPPR!$A:$A,0),10),""),"")</f>
        <v/>
      </c>
      <c r="N12">
        <f>IFERROR(IF(ISNUMBER(INDEX(SPPR!$E:$X,MATCH($A12,SPPR!$A:$A,0),11)),$C12*INDEX(SPPR!$E:$X,MATCH($A12,SPPR!$A:$A,0),11),""),"")</f>
        <v/>
      </c>
      <c r="O12">
        <f>IFERROR(IF(ISNUMBER(INDEX(SPPR!$E:$X,MATCH($A12,SPPR!$A:$A,0),12)),$C12*INDEX(SPPR!$E:$X,MATCH($A12,SPPR!$A:$A,0),12),""),"")</f>
        <v/>
      </c>
      <c r="P12">
        <f>IFERROR(IF(ISNUMBER(INDEX(SPPR!$E:$X,MATCH($A12,SPPR!$A:$A,0),13)),$C12*INDEX(SPPR!$E:$X,MATCH($A12,SPPR!$A:$A,0),13),""),"")</f>
        <v/>
      </c>
      <c r="Q12">
        <f>IFERROR(IF(ISNUMBER(INDEX(SPPR!$E:$X,MATCH($A12,SPPR!$A:$A,0),14)),$C12*INDEX(SPPR!$E:$X,MATCH($A12,SPPR!$A:$A,0),14),""),"")</f>
        <v/>
      </c>
      <c r="R12">
        <f>IFERROR(IF(ISNUMBER(INDEX(SPPR!$E:$X,MATCH($A12,SPPR!$A:$A,0),15)),$C12*INDEX(SPPR!$E:$X,MATCH($A12,SPPR!$A:$A,0),15),""),"")</f>
        <v/>
      </c>
      <c r="S12">
        <f>IFERROR(IF(ISNUMBER(INDEX(SPPR!$E:$X,MATCH($A12,SPPR!$A:$A,0),16)),$C12*INDEX(SPPR!$E:$X,MATCH($A12,SPPR!$A:$A,0),16),""),"")</f>
        <v/>
      </c>
      <c r="T12">
        <f>IFERROR(IF(ISNUMBER(INDEX(SPPR!$E:$X,MATCH($A12,SPPR!$A:$A,0),17)),$C12*INDEX(SPPR!$E:$X,MATCH($A12,SPPR!$A:$A,0),17),""),"")</f>
        <v/>
      </c>
      <c r="U12">
        <f>IFERROR(IF(ISNUMBER(INDEX(SPPR!$E:$X,MATCH($A12,SPPR!$A:$A,0),18)),$C12*INDEX(SPPR!$E:$X,MATCH($A12,SPPR!$A:$A,0),18),""),"")</f>
        <v/>
      </c>
      <c r="V12">
        <f>IFERROR(IF(ISNUMBER(INDEX(SPPR!$E:$X,MATCH($A12,SPPR!$A:$A,0),19)),$C12*INDEX(SPPR!$E:$X,MATCH($A12,SPPR!$A:$A,0),19),""),"")</f>
        <v/>
      </c>
      <c r="W12">
        <f>IFERROR(IF(ISNUMBER(INDEX(SPPR!$E:$X,MATCH($A12,SPPR!$A:$A,0),20)),$C12*INDEX(SPPR!$E:$X,MATCH($A12,SPPR!$A:$A,0),20),""),"")</f>
        <v/>
      </c>
    </row>
    <row r="13">
      <c r="A13" t="inlineStr">
        <is>
          <t>Scomber japonicus</t>
        </is>
      </c>
      <c r="B13">
        <f>IFERROR(INDEX(SPPR!$D:$D,MATCH($A13,SPPR!$A:$A,0)),"")</f>
        <v/>
      </c>
      <c r="C13">
        <f>IFERROR(INDEX(Catch!$E:$BV,MATCH($A13,Catch!$A:$A,0),MATCH($B$4,Catch!$E$1:$BV$1,0)),0)</f>
        <v/>
      </c>
      <c r="D13">
        <f>IFERROR(IF(ISNUMBER(INDEX(SPPR!$E:$X,MATCH($A13,SPPR!$A:$A,0),1)),$C13*INDEX(SPPR!$E:$X,MATCH($A13,SPPR!$A:$A,0),1),""),"")</f>
        <v/>
      </c>
      <c r="E13">
        <f>IFERROR(IF(ISNUMBER(INDEX(SPPR!$E:$X,MATCH($A13,SPPR!$A:$A,0),2)),$C13*INDEX(SPPR!$E:$X,MATCH($A13,SPPR!$A:$A,0),2),""),"")</f>
        <v/>
      </c>
      <c r="F13">
        <f>IFERROR(IF(ISNUMBER(INDEX(SPPR!$E:$X,MATCH($A13,SPPR!$A:$A,0),3)),$C13*INDEX(SPPR!$E:$X,MATCH($A13,SPPR!$A:$A,0),3),""),"")</f>
        <v/>
      </c>
      <c r="G13">
        <f>IFERROR(IF(ISNUMBER(INDEX(SPPR!$E:$X,MATCH($A13,SPPR!$A:$A,0),4)),$C13*INDEX(SPPR!$E:$X,MATCH($A13,SPPR!$A:$A,0),4),""),"")</f>
        <v/>
      </c>
      <c r="H13">
        <f>IFERROR(IF(ISNUMBER(INDEX(SPPR!$E:$X,MATCH($A13,SPPR!$A:$A,0),5)),$C13*INDEX(SPPR!$E:$X,MATCH($A13,SPPR!$A:$A,0),5),""),"")</f>
        <v/>
      </c>
      <c r="I13">
        <f>IFERROR(IF(ISNUMBER(INDEX(SPPR!$E:$X,MATCH($A13,SPPR!$A:$A,0),6)),$C13*INDEX(SPPR!$E:$X,MATCH($A13,SPPR!$A:$A,0),6),""),"")</f>
        <v/>
      </c>
      <c r="J13">
        <f>IFERROR(IF(ISNUMBER(INDEX(SPPR!$E:$X,MATCH($A13,SPPR!$A:$A,0),7)),$C13*INDEX(SPPR!$E:$X,MATCH($A13,SPPR!$A:$A,0),7),""),"")</f>
        <v/>
      </c>
      <c r="K13">
        <f>IFERROR(IF(ISNUMBER(INDEX(SPPR!$E:$X,MATCH($A13,SPPR!$A:$A,0),8)),$C13*INDEX(SPPR!$E:$X,MATCH($A13,SPPR!$A:$A,0),8),""),"")</f>
        <v/>
      </c>
      <c r="L13">
        <f>IFERROR(IF(ISNUMBER(INDEX(SPPR!$E:$X,MATCH($A13,SPPR!$A:$A,0),9)),$C13*INDEX(SPPR!$E:$X,MATCH($A13,SPPR!$A:$A,0),9),""),"")</f>
        <v/>
      </c>
      <c r="M13">
        <f>IFERROR(IF(ISNUMBER(INDEX(SPPR!$E:$X,MATCH($A13,SPPR!$A:$A,0),10)),$C13*INDEX(SPPR!$E:$X,MATCH($A13,SPPR!$A:$A,0),10),""),"")</f>
        <v/>
      </c>
      <c r="N13">
        <f>IFERROR(IF(ISNUMBER(INDEX(SPPR!$E:$X,MATCH($A13,SPPR!$A:$A,0),11)),$C13*INDEX(SPPR!$E:$X,MATCH($A13,SPPR!$A:$A,0),11),""),"")</f>
        <v/>
      </c>
      <c r="O13">
        <f>IFERROR(IF(ISNUMBER(INDEX(SPPR!$E:$X,MATCH($A13,SPPR!$A:$A,0),12)),$C13*INDEX(SPPR!$E:$X,MATCH($A13,SPPR!$A:$A,0),12),""),"")</f>
        <v/>
      </c>
      <c r="P13">
        <f>IFERROR(IF(ISNUMBER(INDEX(SPPR!$E:$X,MATCH($A13,SPPR!$A:$A,0),13)),$C13*INDEX(SPPR!$E:$X,MATCH($A13,SPPR!$A:$A,0),13),""),"")</f>
        <v/>
      </c>
      <c r="Q13">
        <f>IFERROR(IF(ISNUMBER(INDEX(SPPR!$E:$X,MATCH($A13,SPPR!$A:$A,0),14)),$C13*INDEX(SPPR!$E:$X,MATCH($A13,SPPR!$A:$A,0),14),""),"")</f>
        <v/>
      </c>
      <c r="R13">
        <f>IFERROR(IF(ISNUMBER(INDEX(SPPR!$E:$X,MATCH($A13,SPPR!$A:$A,0),15)),$C13*INDEX(SPPR!$E:$X,MATCH($A13,SPPR!$A:$A,0),15),""),"")</f>
        <v/>
      </c>
      <c r="S13">
        <f>IFERROR(IF(ISNUMBER(INDEX(SPPR!$E:$X,MATCH($A13,SPPR!$A:$A,0),16)),$C13*INDEX(SPPR!$E:$X,MATCH($A13,SPPR!$A:$A,0),16),""),"")</f>
        <v/>
      </c>
      <c r="T13">
        <f>IFERROR(IF(ISNUMBER(INDEX(SPPR!$E:$X,MATCH($A13,SPPR!$A:$A,0),17)),$C13*INDEX(SPPR!$E:$X,MATCH($A13,SPPR!$A:$A,0),17),""),"")</f>
        <v/>
      </c>
      <c r="U13">
        <f>IFERROR(IF(ISNUMBER(INDEX(SPPR!$E:$X,MATCH($A13,SPPR!$A:$A,0),18)),$C13*INDEX(SPPR!$E:$X,MATCH($A13,SPPR!$A:$A,0),18),""),"")</f>
        <v/>
      </c>
      <c r="V13">
        <f>IFERROR(IF(ISNUMBER(INDEX(SPPR!$E:$X,MATCH($A13,SPPR!$A:$A,0),19)),$C13*INDEX(SPPR!$E:$X,MATCH($A13,SPPR!$A:$A,0),19),""),"")</f>
        <v/>
      </c>
      <c r="W13">
        <f>IFERROR(IF(ISNUMBER(INDEX(SPPR!$E:$X,MATCH($A13,SPPR!$A:$A,0),20)),$C13*INDEX(SPPR!$E:$X,MATCH($A13,SPPR!$A:$A,0),20),""),"")</f>
        <v/>
      </c>
    </row>
    <row r="14">
      <c r="A14" t="inlineStr">
        <is>
          <t>Marine fishes not identified</t>
        </is>
      </c>
      <c r="B14">
        <f>IFERROR(INDEX(SPPR!$D:$D,MATCH($A14,SPPR!$A:$A,0)),"")</f>
        <v/>
      </c>
      <c r="C14">
        <f>IFERROR(INDEX(Catch!$E:$BV,MATCH($A14,Catch!$A:$A,0),MATCH($B$4,Catch!$E$1:$BV$1,0)),0)</f>
        <v/>
      </c>
      <c r="D14">
        <f>IFERROR(IF(ISNUMBER(INDEX(SPPR!$E:$X,MATCH($A14,SPPR!$A:$A,0),1)),$C14*INDEX(SPPR!$E:$X,MATCH($A14,SPPR!$A:$A,0),1),""),"")</f>
        <v/>
      </c>
      <c r="E14">
        <f>IFERROR(IF(ISNUMBER(INDEX(SPPR!$E:$X,MATCH($A14,SPPR!$A:$A,0),2)),$C14*INDEX(SPPR!$E:$X,MATCH($A14,SPPR!$A:$A,0),2),""),"")</f>
        <v/>
      </c>
      <c r="F14">
        <f>IFERROR(IF(ISNUMBER(INDEX(SPPR!$E:$X,MATCH($A14,SPPR!$A:$A,0),3)),$C14*INDEX(SPPR!$E:$X,MATCH($A14,SPPR!$A:$A,0),3),""),"")</f>
        <v/>
      </c>
      <c r="G14">
        <f>IFERROR(IF(ISNUMBER(INDEX(SPPR!$E:$X,MATCH($A14,SPPR!$A:$A,0),4)),$C14*INDEX(SPPR!$E:$X,MATCH($A14,SPPR!$A:$A,0),4),""),"")</f>
        <v/>
      </c>
      <c r="H14">
        <f>IFERROR(IF(ISNUMBER(INDEX(SPPR!$E:$X,MATCH($A14,SPPR!$A:$A,0),5)),$C14*INDEX(SPPR!$E:$X,MATCH($A14,SPPR!$A:$A,0),5),""),"")</f>
        <v/>
      </c>
      <c r="I14">
        <f>IFERROR(IF(ISNUMBER(INDEX(SPPR!$E:$X,MATCH($A14,SPPR!$A:$A,0),6)),$C14*INDEX(SPPR!$E:$X,MATCH($A14,SPPR!$A:$A,0),6),""),"")</f>
        <v/>
      </c>
      <c r="J14">
        <f>IFERROR(IF(ISNUMBER(INDEX(SPPR!$E:$X,MATCH($A14,SPPR!$A:$A,0),7)),$C14*INDEX(SPPR!$E:$X,MATCH($A14,SPPR!$A:$A,0),7),""),"")</f>
        <v/>
      </c>
      <c r="K14">
        <f>IFERROR(IF(ISNUMBER(INDEX(SPPR!$E:$X,MATCH($A14,SPPR!$A:$A,0),8)),$C14*INDEX(SPPR!$E:$X,MATCH($A14,SPPR!$A:$A,0),8),""),"")</f>
        <v/>
      </c>
      <c r="L14">
        <f>IFERROR(IF(ISNUMBER(INDEX(SPPR!$E:$X,MATCH($A14,SPPR!$A:$A,0),9)),$C14*INDEX(SPPR!$E:$X,MATCH($A14,SPPR!$A:$A,0),9),""),"")</f>
        <v/>
      </c>
      <c r="M14">
        <f>IFERROR(IF(ISNUMBER(INDEX(SPPR!$E:$X,MATCH($A14,SPPR!$A:$A,0),10)),$C14*INDEX(SPPR!$E:$X,MATCH($A14,SPPR!$A:$A,0),10),""),"")</f>
        <v/>
      </c>
      <c r="N14">
        <f>IFERROR(IF(ISNUMBER(INDEX(SPPR!$E:$X,MATCH($A14,SPPR!$A:$A,0),11)),$C14*INDEX(SPPR!$E:$X,MATCH($A14,SPPR!$A:$A,0),11),""),"")</f>
        <v/>
      </c>
      <c r="O14">
        <f>IFERROR(IF(ISNUMBER(INDEX(SPPR!$E:$X,MATCH($A14,SPPR!$A:$A,0),12)),$C14*INDEX(SPPR!$E:$X,MATCH($A14,SPPR!$A:$A,0),12),""),"")</f>
        <v/>
      </c>
      <c r="P14">
        <f>IFERROR(IF(ISNUMBER(INDEX(SPPR!$E:$X,MATCH($A14,SPPR!$A:$A,0),13)),$C14*INDEX(SPPR!$E:$X,MATCH($A14,SPPR!$A:$A,0),13),""),"")</f>
        <v/>
      </c>
      <c r="Q14">
        <f>IFERROR(IF(ISNUMBER(INDEX(SPPR!$E:$X,MATCH($A14,SPPR!$A:$A,0),14)),$C14*INDEX(SPPR!$E:$X,MATCH($A14,SPPR!$A:$A,0),14),""),"")</f>
        <v/>
      </c>
      <c r="R14">
        <f>IFERROR(IF(ISNUMBER(INDEX(SPPR!$E:$X,MATCH($A14,SPPR!$A:$A,0),15)),$C14*INDEX(SPPR!$E:$X,MATCH($A14,SPPR!$A:$A,0),15),""),"")</f>
        <v/>
      </c>
      <c r="S14">
        <f>IFERROR(IF(ISNUMBER(INDEX(SPPR!$E:$X,MATCH($A14,SPPR!$A:$A,0),16)),$C14*INDEX(SPPR!$E:$X,MATCH($A14,SPPR!$A:$A,0),16),""),"")</f>
        <v/>
      </c>
      <c r="T14">
        <f>IFERROR(IF(ISNUMBER(INDEX(SPPR!$E:$X,MATCH($A14,SPPR!$A:$A,0),17)),$C14*INDEX(SPPR!$E:$X,MATCH($A14,SPPR!$A:$A,0),17),""),"")</f>
        <v/>
      </c>
      <c r="U14">
        <f>IFERROR(IF(ISNUMBER(INDEX(SPPR!$E:$X,MATCH($A14,SPPR!$A:$A,0),18)),$C14*INDEX(SPPR!$E:$X,MATCH($A14,SPPR!$A:$A,0),18),""),"")</f>
        <v/>
      </c>
      <c r="V14">
        <f>IFERROR(IF(ISNUMBER(INDEX(SPPR!$E:$X,MATCH($A14,SPPR!$A:$A,0),19)),$C14*INDEX(SPPR!$E:$X,MATCH($A14,SPPR!$A:$A,0),19),""),"")</f>
        <v/>
      </c>
      <c r="W14">
        <f>IFERROR(IF(ISNUMBER(INDEX(SPPR!$E:$X,MATCH($A14,SPPR!$A:$A,0),20)),$C14*INDEX(SPPR!$E:$X,MATCH($A14,SPPR!$A:$A,0),20),""),"")</f>
        <v/>
      </c>
    </row>
    <row r="15">
      <c r="A15" t="inlineStr">
        <is>
          <t>Merluccius peruanus</t>
        </is>
      </c>
      <c r="B15">
        <f>IFERROR(INDEX(SPPR!$D:$D,MATCH($A15,SPPR!$A:$A,0)),"")</f>
        <v/>
      </c>
      <c r="C15">
        <f>IFERROR(INDEX(Catch!$E:$BV,MATCH($A15,Catch!$A:$A,0),MATCH($B$4,Catch!$E$1:$BV$1,0)),0)</f>
        <v/>
      </c>
      <c r="D15">
        <f>IFERROR(IF(ISNUMBER(INDEX(SPPR!$E:$X,MATCH($A15,SPPR!$A:$A,0),1)),$C15*INDEX(SPPR!$E:$X,MATCH($A15,SPPR!$A:$A,0),1),""),"")</f>
        <v/>
      </c>
      <c r="E15">
        <f>IFERROR(IF(ISNUMBER(INDEX(SPPR!$E:$X,MATCH($A15,SPPR!$A:$A,0),2)),$C15*INDEX(SPPR!$E:$X,MATCH($A15,SPPR!$A:$A,0),2),""),"")</f>
        <v/>
      </c>
      <c r="F15">
        <f>IFERROR(IF(ISNUMBER(INDEX(SPPR!$E:$X,MATCH($A15,SPPR!$A:$A,0),3)),$C15*INDEX(SPPR!$E:$X,MATCH($A15,SPPR!$A:$A,0),3),""),"")</f>
        <v/>
      </c>
      <c r="G15">
        <f>IFERROR(IF(ISNUMBER(INDEX(SPPR!$E:$X,MATCH($A15,SPPR!$A:$A,0),4)),$C15*INDEX(SPPR!$E:$X,MATCH($A15,SPPR!$A:$A,0),4),""),"")</f>
        <v/>
      </c>
      <c r="H15">
        <f>IFERROR(IF(ISNUMBER(INDEX(SPPR!$E:$X,MATCH($A15,SPPR!$A:$A,0),5)),$C15*INDEX(SPPR!$E:$X,MATCH($A15,SPPR!$A:$A,0),5),""),"")</f>
        <v/>
      </c>
      <c r="I15">
        <f>IFERROR(IF(ISNUMBER(INDEX(SPPR!$E:$X,MATCH($A15,SPPR!$A:$A,0),6)),$C15*INDEX(SPPR!$E:$X,MATCH($A15,SPPR!$A:$A,0),6),""),"")</f>
        <v/>
      </c>
      <c r="J15">
        <f>IFERROR(IF(ISNUMBER(INDEX(SPPR!$E:$X,MATCH($A15,SPPR!$A:$A,0),7)),$C15*INDEX(SPPR!$E:$X,MATCH($A15,SPPR!$A:$A,0),7),""),"")</f>
        <v/>
      </c>
      <c r="K15">
        <f>IFERROR(IF(ISNUMBER(INDEX(SPPR!$E:$X,MATCH($A15,SPPR!$A:$A,0),8)),$C15*INDEX(SPPR!$E:$X,MATCH($A15,SPPR!$A:$A,0),8),""),"")</f>
        <v/>
      </c>
      <c r="L15">
        <f>IFERROR(IF(ISNUMBER(INDEX(SPPR!$E:$X,MATCH($A15,SPPR!$A:$A,0),9)),$C15*INDEX(SPPR!$E:$X,MATCH($A15,SPPR!$A:$A,0),9),""),"")</f>
        <v/>
      </c>
      <c r="M15">
        <f>IFERROR(IF(ISNUMBER(INDEX(SPPR!$E:$X,MATCH($A15,SPPR!$A:$A,0),10)),$C15*INDEX(SPPR!$E:$X,MATCH($A15,SPPR!$A:$A,0),10),""),"")</f>
        <v/>
      </c>
      <c r="N15">
        <f>IFERROR(IF(ISNUMBER(INDEX(SPPR!$E:$X,MATCH($A15,SPPR!$A:$A,0),11)),$C15*INDEX(SPPR!$E:$X,MATCH($A15,SPPR!$A:$A,0),11),""),"")</f>
        <v/>
      </c>
      <c r="O15">
        <f>IFERROR(IF(ISNUMBER(INDEX(SPPR!$E:$X,MATCH($A15,SPPR!$A:$A,0),12)),$C15*INDEX(SPPR!$E:$X,MATCH($A15,SPPR!$A:$A,0),12),""),"")</f>
        <v/>
      </c>
      <c r="P15">
        <f>IFERROR(IF(ISNUMBER(INDEX(SPPR!$E:$X,MATCH($A15,SPPR!$A:$A,0),13)),$C15*INDEX(SPPR!$E:$X,MATCH($A15,SPPR!$A:$A,0),13),""),"")</f>
        <v/>
      </c>
      <c r="Q15">
        <f>IFERROR(IF(ISNUMBER(INDEX(SPPR!$E:$X,MATCH($A15,SPPR!$A:$A,0),14)),$C15*INDEX(SPPR!$E:$X,MATCH($A15,SPPR!$A:$A,0),14),""),"")</f>
        <v/>
      </c>
      <c r="R15">
        <f>IFERROR(IF(ISNUMBER(INDEX(SPPR!$E:$X,MATCH($A15,SPPR!$A:$A,0),15)),$C15*INDEX(SPPR!$E:$X,MATCH($A15,SPPR!$A:$A,0),15),""),"")</f>
        <v/>
      </c>
      <c r="S15">
        <f>IFERROR(IF(ISNUMBER(INDEX(SPPR!$E:$X,MATCH($A15,SPPR!$A:$A,0),16)),$C15*INDEX(SPPR!$E:$X,MATCH($A15,SPPR!$A:$A,0),16),""),"")</f>
        <v/>
      </c>
      <c r="T15">
        <f>IFERROR(IF(ISNUMBER(INDEX(SPPR!$E:$X,MATCH($A15,SPPR!$A:$A,0),17)),$C15*INDEX(SPPR!$E:$X,MATCH($A15,SPPR!$A:$A,0),17),""),"")</f>
        <v/>
      </c>
      <c r="U15">
        <f>IFERROR(IF(ISNUMBER(INDEX(SPPR!$E:$X,MATCH($A15,SPPR!$A:$A,0),18)),$C15*INDEX(SPPR!$E:$X,MATCH($A15,SPPR!$A:$A,0),18),""),"")</f>
        <v/>
      </c>
      <c r="V15">
        <f>IFERROR(IF(ISNUMBER(INDEX(SPPR!$E:$X,MATCH($A15,SPPR!$A:$A,0),19)),$C15*INDEX(SPPR!$E:$X,MATCH($A15,SPPR!$A:$A,0),19),""),"")</f>
        <v/>
      </c>
      <c r="W15">
        <f>IFERROR(IF(ISNUMBER(INDEX(SPPR!$E:$X,MATCH($A15,SPPR!$A:$A,0),20)),$C15*INDEX(SPPR!$E:$X,MATCH($A15,SPPR!$A:$A,0),20),""),"")</f>
        <v/>
      </c>
    </row>
    <row r="16">
      <c r="A16" t="inlineStr">
        <is>
          <t>Merluccius gayi</t>
        </is>
      </c>
      <c r="B16">
        <f>IFERROR(INDEX(SPPR!$D:$D,MATCH($A16,SPPR!$A:$A,0)),"")</f>
        <v/>
      </c>
      <c r="C16">
        <f>IFERROR(INDEX(Catch!$E:$BV,MATCH($A16,Catch!$A:$A,0),MATCH($B$4,Catch!$E$1:$BV$1,0)),0)</f>
        <v/>
      </c>
      <c r="D16">
        <f>IFERROR(IF(ISNUMBER(INDEX(SPPR!$E:$X,MATCH($A16,SPPR!$A:$A,0),1)),$C16*INDEX(SPPR!$E:$X,MATCH($A16,SPPR!$A:$A,0),1),""),"")</f>
        <v/>
      </c>
      <c r="E16">
        <f>IFERROR(IF(ISNUMBER(INDEX(SPPR!$E:$X,MATCH($A16,SPPR!$A:$A,0),2)),$C16*INDEX(SPPR!$E:$X,MATCH($A16,SPPR!$A:$A,0),2),""),"")</f>
        <v/>
      </c>
      <c r="F16">
        <f>IFERROR(IF(ISNUMBER(INDEX(SPPR!$E:$X,MATCH($A16,SPPR!$A:$A,0),3)),$C16*INDEX(SPPR!$E:$X,MATCH($A16,SPPR!$A:$A,0),3),""),"")</f>
        <v/>
      </c>
      <c r="G16">
        <f>IFERROR(IF(ISNUMBER(INDEX(SPPR!$E:$X,MATCH($A16,SPPR!$A:$A,0),4)),$C16*INDEX(SPPR!$E:$X,MATCH($A16,SPPR!$A:$A,0),4),""),"")</f>
        <v/>
      </c>
      <c r="H16">
        <f>IFERROR(IF(ISNUMBER(INDEX(SPPR!$E:$X,MATCH($A16,SPPR!$A:$A,0),5)),$C16*INDEX(SPPR!$E:$X,MATCH($A16,SPPR!$A:$A,0),5),""),"")</f>
        <v/>
      </c>
      <c r="I16">
        <f>IFERROR(IF(ISNUMBER(INDEX(SPPR!$E:$X,MATCH($A16,SPPR!$A:$A,0),6)),$C16*INDEX(SPPR!$E:$X,MATCH($A16,SPPR!$A:$A,0),6),""),"")</f>
        <v/>
      </c>
      <c r="J16">
        <f>IFERROR(IF(ISNUMBER(INDEX(SPPR!$E:$X,MATCH($A16,SPPR!$A:$A,0),7)),$C16*INDEX(SPPR!$E:$X,MATCH($A16,SPPR!$A:$A,0),7),""),"")</f>
        <v/>
      </c>
      <c r="K16">
        <f>IFERROR(IF(ISNUMBER(INDEX(SPPR!$E:$X,MATCH($A16,SPPR!$A:$A,0),8)),$C16*INDEX(SPPR!$E:$X,MATCH($A16,SPPR!$A:$A,0),8),""),"")</f>
        <v/>
      </c>
      <c r="L16">
        <f>IFERROR(IF(ISNUMBER(INDEX(SPPR!$E:$X,MATCH($A16,SPPR!$A:$A,0),9)),$C16*INDEX(SPPR!$E:$X,MATCH($A16,SPPR!$A:$A,0),9),""),"")</f>
        <v/>
      </c>
      <c r="M16">
        <f>IFERROR(IF(ISNUMBER(INDEX(SPPR!$E:$X,MATCH($A16,SPPR!$A:$A,0),10)),$C16*INDEX(SPPR!$E:$X,MATCH($A16,SPPR!$A:$A,0),10),""),"")</f>
        <v/>
      </c>
      <c r="N16">
        <f>IFERROR(IF(ISNUMBER(INDEX(SPPR!$E:$X,MATCH($A16,SPPR!$A:$A,0),11)),$C16*INDEX(SPPR!$E:$X,MATCH($A16,SPPR!$A:$A,0),11),""),"")</f>
        <v/>
      </c>
      <c r="O16">
        <f>IFERROR(IF(ISNUMBER(INDEX(SPPR!$E:$X,MATCH($A16,SPPR!$A:$A,0),12)),$C16*INDEX(SPPR!$E:$X,MATCH($A16,SPPR!$A:$A,0),12),""),"")</f>
        <v/>
      </c>
      <c r="P16">
        <f>IFERROR(IF(ISNUMBER(INDEX(SPPR!$E:$X,MATCH($A16,SPPR!$A:$A,0),13)),$C16*INDEX(SPPR!$E:$X,MATCH($A16,SPPR!$A:$A,0),13),""),"")</f>
        <v/>
      </c>
      <c r="Q16">
        <f>IFERROR(IF(ISNUMBER(INDEX(SPPR!$E:$X,MATCH($A16,SPPR!$A:$A,0),14)),$C16*INDEX(SPPR!$E:$X,MATCH($A16,SPPR!$A:$A,0),14),""),"")</f>
        <v/>
      </c>
      <c r="R16">
        <f>IFERROR(IF(ISNUMBER(INDEX(SPPR!$E:$X,MATCH($A16,SPPR!$A:$A,0),15)),$C16*INDEX(SPPR!$E:$X,MATCH($A16,SPPR!$A:$A,0),15),""),"")</f>
        <v/>
      </c>
      <c r="S16">
        <f>IFERROR(IF(ISNUMBER(INDEX(SPPR!$E:$X,MATCH($A16,SPPR!$A:$A,0),16)),$C16*INDEX(SPPR!$E:$X,MATCH($A16,SPPR!$A:$A,0),16),""),"")</f>
        <v/>
      </c>
      <c r="T16">
        <f>IFERROR(IF(ISNUMBER(INDEX(SPPR!$E:$X,MATCH($A16,SPPR!$A:$A,0),17)),$C16*INDEX(SPPR!$E:$X,MATCH($A16,SPPR!$A:$A,0),17),""),"")</f>
        <v/>
      </c>
      <c r="U16">
        <f>IFERROR(IF(ISNUMBER(INDEX(SPPR!$E:$X,MATCH($A16,SPPR!$A:$A,0),18)),$C16*INDEX(SPPR!$E:$X,MATCH($A16,SPPR!$A:$A,0),18),""),"")</f>
        <v/>
      </c>
      <c r="V16">
        <f>IFERROR(IF(ISNUMBER(INDEX(SPPR!$E:$X,MATCH($A16,SPPR!$A:$A,0),19)),$C16*INDEX(SPPR!$E:$X,MATCH($A16,SPPR!$A:$A,0),19),""),"")</f>
        <v/>
      </c>
      <c r="W16">
        <f>IFERROR(IF(ISNUMBER(INDEX(SPPR!$E:$X,MATCH($A16,SPPR!$A:$A,0),20)),$C16*INDEX(SPPR!$E:$X,MATCH($A16,SPPR!$A:$A,0),20),""),"")</f>
        <v/>
      </c>
    </row>
    <row r="17">
      <c r="A17" t="inlineStr">
        <is>
          <t>Macruronus magellanicus</t>
        </is>
      </c>
      <c r="B17">
        <f>IFERROR(INDEX(SPPR!$D:$D,MATCH($A17,SPPR!$A:$A,0)),"")</f>
        <v/>
      </c>
      <c r="C17">
        <f>IFERROR(INDEX(Catch!$E:$BV,MATCH($A17,Catch!$A:$A,0),MATCH($B$4,Catch!$E$1:$BV$1,0)),0)</f>
        <v/>
      </c>
      <c r="D17">
        <f>IFERROR(IF(ISNUMBER(INDEX(SPPR!$E:$X,MATCH($A17,SPPR!$A:$A,0),1)),$C17*INDEX(SPPR!$E:$X,MATCH($A17,SPPR!$A:$A,0),1),""),"")</f>
        <v/>
      </c>
      <c r="E17">
        <f>IFERROR(IF(ISNUMBER(INDEX(SPPR!$E:$X,MATCH($A17,SPPR!$A:$A,0),2)),$C17*INDEX(SPPR!$E:$X,MATCH($A17,SPPR!$A:$A,0),2),""),"")</f>
        <v/>
      </c>
      <c r="F17">
        <f>IFERROR(IF(ISNUMBER(INDEX(SPPR!$E:$X,MATCH($A17,SPPR!$A:$A,0),3)),$C17*INDEX(SPPR!$E:$X,MATCH($A17,SPPR!$A:$A,0),3),""),"")</f>
        <v/>
      </c>
      <c r="G17">
        <f>IFERROR(IF(ISNUMBER(INDEX(SPPR!$E:$X,MATCH($A17,SPPR!$A:$A,0),4)),$C17*INDEX(SPPR!$E:$X,MATCH($A17,SPPR!$A:$A,0),4),""),"")</f>
        <v/>
      </c>
      <c r="H17">
        <f>IFERROR(IF(ISNUMBER(INDEX(SPPR!$E:$X,MATCH($A17,SPPR!$A:$A,0),5)),$C17*INDEX(SPPR!$E:$X,MATCH($A17,SPPR!$A:$A,0),5),""),"")</f>
        <v/>
      </c>
      <c r="I17">
        <f>IFERROR(IF(ISNUMBER(INDEX(SPPR!$E:$X,MATCH($A17,SPPR!$A:$A,0),6)),$C17*INDEX(SPPR!$E:$X,MATCH($A17,SPPR!$A:$A,0),6),""),"")</f>
        <v/>
      </c>
      <c r="J17">
        <f>IFERROR(IF(ISNUMBER(INDEX(SPPR!$E:$X,MATCH($A17,SPPR!$A:$A,0),7)),$C17*INDEX(SPPR!$E:$X,MATCH($A17,SPPR!$A:$A,0),7),""),"")</f>
        <v/>
      </c>
      <c r="K17">
        <f>IFERROR(IF(ISNUMBER(INDEX(SPPR!$E:$X,MATCH($A17,SPPR!$A:$A,0),8)),$C17*INDEX(SPPR!$E:$X,MATCH($A17,SPPR!$A:$A,0),8),""),"")</f>
        <v/>
      </c>
      <c r="L17">
        <f>IFERROR(IF(ISNUMBER(INDEX(SPPR!$E:$X,MATCH($A17,SPPR!$A:$A,0),9)),$C17*INDEX(SPPR!$E:$X,MATCH($A17,SPPR!$A:$A,0),9),""),"")</f>
        <v/>
      </c>
      <c r="M17">
        <f>IFERROR(IF(ISNUMBER(INDEX(SPPR!$E:$X,MATCH($A17,SPPR!$A:$A,0),10)),$C17*INDEX(SPPR!$E:$X,MATCH($A17,SPPR!$A:$A,0),10),""),"")</f>
        <v/>
      </c>
      <c r="N17">
        <f>IFERROR(IF(ISNUMBER(INDEX(SPPR!$E:$X,MATCH($A17,SPPR!$A:$A,0),11)),$C17*INDEX(SPPR!$E:$X,MATCH($A17,SPPR!$A:$A,0),11),""),"")</f>
        <v/>
      </c>
      <c r="O17">
        <f>IFERROR(IF(ISNUMBER(INDEX(SPPR!$E:$X,MATCH($A17,SPPR!$A:$A,0),12)),$C17*INDEX(SPPR!$E:$X,MATCH($A17,SPPR!$A:$A,0),12),""),"")</f>
        <v/>
      </c>
      <c r="P17">
        <f>IFERROR(IF(ISNUMBER(INDEX(SPPR!$E:$X,MATCH($A17,SPPR!$A:$A,0),13)),$C17*INDEX(SPPR!$E:$X,MATCH($A17,SPPR!$A:$A,0),13),""),"")</f>
        <v/>
      </c>
      <c r="Q17">
        <f>IFERROR(IF(ISNUMBER(INDEX(SPPR!$E:$X,MATCH($A17,SPPR!$A:$A,0),14)),$C17*INDEX(SPPR!$E:$X,MATCH($A17,SPPR!$A:$A,0),14),""),"")</f>
        <v/>
      </c>
      <c r="R17">
        <f>IFERROR(IF(ISNUMBER(INDEX(SPPR!$E:$X,MATCH($A17,SPPR!$A:$A,0),15)),$C17*INDEX(SPPR!$E:$X,MATCH($A17,SPPR!$A:$A,0),15),""),"")</f>
        <v/>
      </c>
      <c r="S17">
        <f>IFERROR(IF(ISNUMBER(INDEX(SPPR!$E:$X,MATCH($A17,SPPR!$A:$A,0),16)),$C17*INDEX(SPPR!$E:$X,MATCH($A17,SPPR!$A:$A,0),16),""),"")</f>
        <v/>
      </c>
      <c r="T17">
        <f>IFERROR(IF(ISNUMBER(INDEX(SPPR!$E:$X,MATCH($A17,SPPR!$A:$A,0),17)),$C17*INDEX(SPPR!$E:$X,MATCH($A17,SPPR!$A:$A,0),17),""),"")</f>
        <v/>
      </c>
      <c r="U17">
        <f>IFERROR(IF(ISNUMBER(INDEX(SPPR!$E:$X,MATCH($A17,SPPR!$A:$A,0),18)),$C17*INDEX(SPPR!$E:$X,MATCH($A17,SPPR!$A:$A,0),18),""),"")</f>
        <v/>
      </c>
      <c r="V17">
        <f>IFERROR(IF(ISNUMBER(INDEX(SPPR!$E:$X,MATCH($A17,SPPR!$A:$A,0),19)),$C17*INDEX(SPPR!$E:$X,MATCH($A17,SPPR!$A:$A,0),19),""),"")</f>
        <v/>
      </c>
      <c r="W17">
        <f>IFERROR(IF(ISNUMBER(INDEX(SPPR!$E:$X,MATCH($A17,SPPR!$A:$A,0),20)),$C17*INDEX(SPPR!$E:$X,MATCH($A17,SPPR!$A:$A,0),20),""),"")</f>
        <v/>
      </c>
    </row>
    <row r="18">
      <c r="A18" t="inlineStr">
        <is>
          <t>Sarda chiliensis</t>
        </is>
      </c>
      <c r="B18">
        <f>IFERROR(INDEX(SPPR!$D:$D,MATCH($A18,SPPR!$A:$A,0)),"")</f>
        <v/>
      </c>
      <c r="C18">
        <f>IFERROR(INDEX(Catch!$E:$BV,MATCH($A18,Catch!$A:$A,0),MATCH($B$4,Catch!$E$1:$BV$1,0)),0)</f>
        <v/>
      </c>
      <c r="D18">
        <f>IFERROR(IF(ISNUMBER(INDEX(SPPR!$E:$X,MATCH($A18,SPPR!$A:$A,0),1)),$C18*INDEX(SPPR!$E:$X,MATCH($A18,SPPR!$A:$A,0),1),""),"")</f>
        <v/>
      </c>
      <c r="E18">
        <f>IFERROR(IF(ISNUMBER(INDEX(SPPR!$E:$X,MATCH($A18,SPPR!$A:$A,0),2)),$C18*INDEX(SPPR!$E:$X,MATCH($A18,SPPR!$A:$A,0),2),""),"")</f>
        <v/>
      </c>
      <c r="F18">
        <f>IFERROR(IF(ISNUMBER(INDEX(SPPR!$E:$X,MATCH($A18,SPPR!$A:$A,0),3)),$C18*INDEX(SPPR!$E:$X,MATCH($A18,SPPR!$A:$A,0),3),""),"")</f>
        <v/>
      </c>
      <c r="G18">
        <f>IFERROR(IF(ISNUMBER(INDEX(SPPR!$E:$X,MATCH($A18,SPPR!$A:$A,0),4)),$C18*INDEX(SPPR!$E:$X,MATCH($A18,SPPR!$A:$A,0),4),""),"")</f>
        <v/>
      </c>
      <c r="H18">
        <f>IFERROR(IF(ISNUMBER(INDEX(SPPR!$E:$X,MATCH($A18,SPPR!$A:$A,0),5)),$C18*INDEX(SPPR!$E:$X,MATCH($A18,SPPR!$A:$A,0),5),""),"")</f>
        <v/>
      </c>
      <c r="I18">
        <f>IFERROR(IF(ISNUMBER(INDEX(SPPR!$E:$X,MATCH($A18,SPPR!$A:$A,0),6)),$C18*INDEX(SPPR!$E:$X,MATCH($A18,SPPR!$A:$A,0),6),""),"")</f>
        <v/>
      </c>
      <c r="J18">
        <f>IFERROR(IF(ISNUMBER(INDEX(SPPR!$E:$X,MATCH($A18,SPPR!$A:$A,0),7)),$C18*INDEX(SPPR!$E:$X,MATCH($A18,SPPR!$A:$A,0),7),""),"")</f>
        <v/>
      </c>
      <c r="K18">
        <f>IFERROR(IF(ISNUMBER(INDEX(SPPR!$E:$X,MATCH($A18,SPPR!$A:$A,0),8)),$C18*INDEX(SPPR!$E:$X,MATCH($A18,SPPR!$A:$A,0),8),""),"")</f>
        <v/>
      </c>
      <c r="L18">
        <f>IFERROR(IF(ISNUMBER(INDEX(SPPR!$E:$X,MATCH($A18,SPPR!$A:$A,0),9)),$C18*INDEX(SPPR!$E:$X,MATCH($A18,SPPR!$A:$A,0),9),""),"")</f>
        <v/>
      </c>
      <c r="M18">
        <f>IFERROR(IF(ISNUMBER(INDEX(SPPR!$E:$X,MATCH($A18,SPPR!$A:$A,0),10)),$C18*INDEX(SPPR!$E:$X,MATCH($A18,SPPR!$A:$A,0),10),""),"")</f>
        <v/>
      </c>
      <c r="N18">
        <f>IFERROR(IF(ISNUMBER(INDEX(SPPR!$E:$X,MATCH($A18,SPPR!$A:$A,0),11)),$C18*INDEX(SPPR!$E:$X,MATCH($A18,SPPR!$A:$A,0),11),""),"")</f>
        <v/>
      </c>
      <c r="O18">
        <f>IFERROR(IF(ISNUMBER(INDEX(SPPR!$E:$X,MATCH($A18,SPPR!$A:$A,0),12)),$C18*INDEX(SPPR!$E:$X,MATCH($A18,SPPR!$A:$A,0),12),""),"")</f>
        <v/>
      </c>
      <c r="P18">
        <f>IFERROR(IF(ISNUMBER(INDEX(SPPR!$E:$X,MATCH($A18,SPPR!$A:$A,0),13)),$C18*INDEX(SPPR!$E:$X,MATCH($A18,SPPR!$A:$A,0),13),""),"")</f>
        <v/>
      </c>
      <c r="Q18">
        <f>IFERROR(IF(ISNUMBER(INDEX(SPPR!$E:$X,MATCH($A18,SPPR!$A:$A,0),14)),$C18*INDEX(SPPR!$E:$X,MATCH($A18,SPPR!$A:$A,0),14),""),"")</f>
        <v/>
      </c>
      <c r="R18">
        <f>IFERROR(IF(ISNUMBER(INDEX(SPPR!$E:$X,MATCH($A18,SPPR!$A:$A,0),15)),$C18*INDEX(SPPR!$E:$X,MATCH($A18,SPPR!$A:$A,0),15),""),"")</f>
        <v/>
      </c>
      <c r="S18">
        <f>IFERROR(IF(ISNUMBER(INDEX(SPPR!$E:$X,MATCH($A18,SPPR!$A:$A,0),16)),$C18*INDEX(SPPR!$E:$X,MATCH($A18,SPPR!$A:$A,0),16),""),"")</f>
        <v/>
      </c>
      <c r="T18">
        <f>IFERROR(IF(ISNUMBER(INDEX(SPPR!$E:$X,MATCH($A18,SPPR!$A:$A,0),17)),$C18*INDEX(SPPR!$E:$X,MATCH($A18,SPPR!$A:$A,0),17),""),"")</f>
        <v/>
      </c>
      <c r="U18">
        <f>IFERROR(IF(ISNUMBER(INDEX(SPPR!$E:$X,MATCH($A18,SPPR!$A:$A,0),18)),$C18*INDEX(SPPR!$E:$X,MATCH($A18,SPPR!$A:$A,0),18),""),"")</f>
        <v/>
      </c>
      <c r="V18">
        <f>IFERROR(IF(ISNUMBER(INDEX(SPPR!$E:$X,MATCH($A18,SPPR!$A:$A,0),19)),$C18*INDEX(SPPR!$E:$X,MATCH($A18,SPPR!$A:$A,0),19),""),"")</f>
        <v/>
      </c>
      <c r="W18">
        <f>IFERROR(IF(ISNUMBER(INDEX(SPPR!$E:$X,MATCH($A18,SPPR!$A:$A,0),20)),$C18*INDEX(SPPR!$E:$X,MATCH($A18,SPPR!$A:$A,0),20),""),"")</f>
        <v/>
      </c>
    </row>
    <row r="19">
      <c r="A19" t="inlineStr">
        <is>
          <t>Normanichthys crockeri</t>
        </is>
      </c>
      <c r="B19">
        <f>IFERROR(INDEX(SPPR!$D:$D,MATCH($A19,SPPR!$A:$A,0)),"")</f>
        <v/>
      </c>
      <c r="C19">
        <f>IFERROR(INDEX(Catch!$E:$BV,MATCH($A19,Catch!$A:$A,0),MATCH($B$4,Catch!$E$1:$BV$1,0)),0)</f>
        <v/>
      </c>
      <c r="D19">
        <f>IFERROR(IF(ISNUMBER(INDEX(SPPR!$E:$X,MATCH($A19,SPPR!$A:$A,0),1)),$C19*INDEX(SPPR!$E:$X,MATCH($A19,SPPR!$A:$A,0),1),""),"")</f>
        <v/>
      </c>
      <c r="E19">
        <f>IFERROR(IF(ISNUMBER(INDEX(SPPR!$E:$X,MATCH($A19,SPPR!$A:$A,0),2)),$C19*INDEX(SPPR!$E:$X,MATCH($A19,SPPR!$A:$A,0),2),""),"")</f>
        <v/>
      </c>
      <c r="F19">
        <f>IFERROR(IF(ISNUMBER(INDEX(SPPR!$E:$X,MATCH($A19,SPPR!$A:$A,0),3)),$C19*INDEX(SPPR!$E:$X,MATCH($A19,SPPR!$A:$A,0),3),""),"")</f>
        <v/>
      </c>
      <c r="G19">
        <f>IFERROR(IF(ISNUMBER(INDEX(SPPR!$E:$X,MATCH($A19,SPPR!$A:$A,0),4)),$C19*INDEX(SPPR!$E:$X,MATCH($A19,SPPR!$A:$A,0),4),""),"")</f>
        <v/>
      </c>
      <c r="H19">
        <f>IFERROR(IF(ISNUMBER(INDEX(SPPR!$E:$X,MATCH($A19,SPPR!$A:$A,0),5)),$C19*INDEX(SPPR!$E:$X,MATCH($A19,SPPR!$A:$A,0),5),""),"")</f>
        <v/>
      </c>
      <c r="I19">
        <f>IFERROR(IF(ISNUMBER(INDEX(SPPR!$E:$X,MATCH($A19,SPPR!$A:$A,0),6)),$C19*INDEX(SPPR!$E:$X,MATCH($A19,SPPR!$A:$A,0),6),""),"")</f>
        <v/>
      </c>
      <c r="J19">
        <f>IFERROR(IF(ISNUMBER(INDEX(SPPR!$E:$X,MATCH($A19,SPPR!$A:$A,0),7)),$C19*INDEX(SPPR!$E:$X,MATCH($A19,SPPR!$A:$A,0),7),""),"")</f>
        <v/>
      </c>
      <c r="K19">
        <f>IFERROR(IF(ISNUMBER(INDEX(SPPR!$E:$X,MATCH($A19,SPPR!$A:$A,0),8)),$C19*INDEX(SPPR!$E:$X,MATCH($A19,SPPR!$A:$A,0),8),""),"")</f>
        <v/>
      </c>
      <c r="L19">
        <f>IFERROR(IF(ISNUMBER(INDEX(SPPR!$E:$X,MATCH($A19,SPPR!$A:$A,0),9)),$C19*INDEX(SPPR!$E:$X,MATCH($A19,SPPR!$A:$A,0),9),""),"")</f>
        <v/>
      </c>
      <c r="M19">
        <f>IFERROR(IF(ISNUMBER(INDEX(SPPR!$E:$X,MATCH($A19,SPPR!$A:$A,0),10)),$C19*INDEX(SPPR!$E:$X,MATCH($A19,SPPR!$A:$A,0),10),""),"")</f>
        <v/>
      </c>
      <c r="N19">
        <f>IFERROR(IF(ISNUMBER(INDEX(SPPR!$E:$X,MATCH($A19,SPPR!$A:$A,0),11)),$C19*INDEX(SPPR!$E:$X,MATCH($A19,SPPR!$A:$A,0),11),""),"")</f>
        <v/>
      </c>
      <c r="O19">
        <f>IFERROR(IF(ISNUMBER(INDEX(SPPR!$E:$X,MATCH($A19,SPPR!$A:$A,0),12)),$C19*INDEX(SPPR!$E:$X,MATCH($A19,SPPR!$A:$A,0),12),""),"")</f>
        <v/>
      </c>
      <c r="P19">
        <f>IFERROR(IF(ISNUMBER(INDEX(SPPR!$E:$X,MATCH($A19,SPPR!$A:$A,0),13)),$C19*INDEX(SPPR!$E:$X,MATCH($A19,SPPR!$A:$A,0),13),""),"")</f>
        <v/>
      </c>
      <c r="Q19">
        <f>IFERROR(IF(ISNUMBER(INDEX(SPPR!$E:$X,MATCH($A19,SPPR!$A:$A,0),14)),$C19*INDEX(SPPR!$E:$X,MATCH($A19,SPPR!$A:$A,0),14),""),"")</f>
        <v/>
      </c>
      <c r="R19">
        <f>IFERROR(IF(ISNUMBER(INDEX(SPPR!$E:$X,MATCH($A19,SPPR!$A:$A,0),15)),$C19*INDEX(SPPR!$E:$X,MATCH($A19,SPPR!$A:$A,0),15),""),"")</f>
        <v/>
      </c>
      <c r="S19">
        <f>IFERROR(IF(ISNUMBER(INDEX(SPPR!$E:$X,MATCH($A19,SPPR!$A:$A,0),16)),$C19*INDEX(SPPR!$E:$X,MATCH($A19,SPPR!$A:$A,0),16),""),"")</f>
        <v/>
      </c>
      <c r="T19">
        <f>IFERROR(IF(ISNUMBER(INDEX(SPPR!$E:$X,MATCH($A19,SPPR!$A:$A,0),17)),$C19*INDEX(SPPR!$E:$X,MATCH($A19,SPPR!$A:$A,0),17),""),"")</f>
        <v/>
      </c>
      <c r="U19">
        <f>IFERROR(IF(ISNUMBER(INDEX(SPPR!$E:$X,MATCH($A19,SPPR!$A:$A,0),18)),$C19*INDEX(SPPR!$E:$X,MATCH($A19,SPPR!$A:$A,0),18),""),"")</f>
        <v/>
      </c>
      <c r="V19">
        <f>IFERROR(IF(ISNUMBER(INDEX(SPPR!$E:$X,MATCH($A19,SPPR!$A:$A,0),19)),$C19*INDEX(SPPR!$E:$X,MATCH($A19,SPPR!$A:$A,0),19),""),"")</f>
        <v/>
      </c>
      <c r="W19">
        <f>IFERROR(IF(ISNUMBER(INDEX(SPPR!$E:$X,MATCH($A19,SPPR!$A:$A,0),20)),$C19*INDEX(SPPR!$E:$X,MATCH($A19,SPPR!$A:$A,0),20),""),"")</f>
        <v/>
      </c>
    </row>
    <row r="20">
      <c r="A20" t="inlineStr">
        <is>
          <t>Loxechinus albus</t>
        </is>
      </c>
      <c r="B20">
        <f>IFERROR(INDEX(SPPR!$D:$D,MATCH($A20,SPPR!$A:$A,0)),"")</f>
        <v/>
      </c>
      <c r="C20">
        <f>IFERROR(INDEX(Catch!$E:$BV,MATCH($A20,Catch!$A:$A,0),MATCH($B$4,Catch!$E$1:$BV$1,0)),0)</f>
        <v/>
      </c>
      <c r="D20">
        <f>IFERROR(IF(ISNUMBER(INDEX(SPPR!$E:$X,MATCH($A20,SPPR!$A:$A,0),1)),$C20*INDEX(SPPR!$E:$X,MATCH($A20,SPPR!$A:$A,0),1),""),"")</f>
        <v/>
      </c>
      <c r="E20">
        <f>IFERROR(IF(ISNUMBER(INDEX(SPPR!$E:$X,MATCH($A20,SPPR!$A:$A,0),2)),$C20*INDEX(SPPR!$E:$X,MATCH($A20,SPPR!$A:$A,0),2),""),"")</f>
        <v/>
      </c>
      <c r="F20">
        <f>IFERROR(IF(ISNUMBER(INDEX(SPPR!$E:$X,MATCH($A20,SPPR!$A:$A,0),3)),$C20*INDEX(SPPR!$E:$X,MATCH($A20,SPPR!$A:$A,0),3),""),"")</f>
        <v/>
      </c>
      <c r="G20">
        <f>IFERROR(IF(ISNUMBER(INDEX(SPPR!$E:$X,MATCH($A20,SPPR!$A:$A,0),4)),$C20*INDEX(SPPR!$E:$X,MATCH($A20,SPPR!$A:$A,0),4),""),"")</f>
        <v/>
      </c>
      <c r="H20">
        <f>IFERROR(IF(ISNUMBER(INDEX(SPPR!$E:$X,MATCH($A20,SPPR!$A:$A,0),5)),$C20*INDEX(SPPR!$E:$X,MATCH($A20,SPPR!$A:$A,0),5),""),"")</f>
        <v/>
      </c>
      <c r="I20">
        <f>IFERROR(IF(ISNUMBER(INDEX(SPPR!$E:$X,MATCH($A20,SPPR!$A:$A,0),6)),$C20*INDEX(SPPR!$E:$X,MATCH($A20,SPPR!$A:$A,0),6),""),"")</f>
        <v/>
      </c>
      <c r="J20">
        <f>IFERROR(IF(ISNUMBER(INDEX(SPPR!$E:$X,MATCH($A20,SPPR!$A:$A,0),7)),$C20*INDEX(SPPR!$E:$X,MATCH($A20,SPPR!$A:$A,0),7),""),"")</f>
        <v/>
      </c>
      <c r="K20">
        <f>IFERROR(IF(ISNUMBER(INDEX(SPPR!$E:$X,MATCH($A20,SPPR!$A:$A,0),8)),$C20*INDEX(SPPR!$E:$X,MATCH($A20,SPPR!$A:$A,0),8),""),"")</f>
        <v/>
      </c>
      <c r="L20">
        <f>IFERROR(IF(ISNUMBER(INDEX(SPPR!$E:$X,MATCH($A20,SPPR!$A:$A,0),9)),$C20*INDEX(SPPR!$E:$X,MATCH($A20,SPPR!$A:$A,0),9),""),"")</f>
        <v/>
      </c>
      <c r="M20">
        <f>IFERROR(IF(ISNUMBER(INDEX(SPPR!$E:$X,MATCH($A20,SPPR!$A:$A,0),10)),$C20*INDEX(SPPR!$E:$X,MATCH($A20,SPPR!$A:$A,0),10),""),"")</f>
        <v/>
      </c>
      <c r="N20">
        <f>IFERROR(IF(ISNUMBER(INDEX(SPPR!$E:$X,MATCH($A20,SPPR!$A:$A,0),11)),$C20*INDEX(SPPR!$E:$X,MATCH($A20,SPPR!$A:$A,0),11),""),"")</f>
        <v/>
      </c>
      <c r="O20">
        <f>IFERROR(IF(ISNUMBER(INDEX(SPPR!$E:$X,MATCH($A20,SPPR!$A:$A,0),12)),$C20*INDEX(SPPR!$E:$X,MATCH($A20,SPPR!$A:$A,0),12),""),"")</f>
        <v/>
      </c>
      <c r="P20">
        <f>IFERROR(IF(ISNUMBER(INDEX(SPPR!$E:$X,MATCH($A20,SPPR!$A:$A,0),13)),$C20*INDEX(SPPR!$E:$X,MATCH($A20,SPPR!$A:$A,0),13),""),"")</f>
        <v/>
      </c>
      <c r="Q20">
        <f>IFERROR(IF(ISNUMBER(INDEX(SPPR!$E:$X,MATCH($A20,SPPR!$A:$A,0),14)),$C20*INDEX(SPPR!$E:$X,MATCH($A20,SPPR!$A:$A,0),14),""),"")</f>
        <v/>
      </c>
      <c r="R20">
        <f>IFERROR(IF(ISNUMBER(INDEX(SPPR!$E:$X,MATCH($A20,SPPR!$A:$A,0),15)),$C20*INDEX(SPPR!$E:$X,MATCH($A20,SPPR!$A:$A,0),15),""),"")</f>
        <v/>
      </c>
      <c r="S20">
        <f>IFERROR(IF(ISNUMBER(INDEX(SPPR!$E:$X,MATCH($A20,SPPR!$A:$A,0),16)),$C20*INDEX(SPPR!$E:$X,MATCH($A20,SPPR!$A:$A,0),16),""),"")</f>
        <v/>
      </c>
      <c r="T20">
        <f>IFERROR(IF(ISNUMBER(INDEX(SPPR!$E:$X,MATCH($A20,SPPR!$A:$A,0),17)),$C20*INDEX(SPPR!$E:$X,MATCH($A20,SPPR!$A:$A,0),17),""),"")</f>
        <v/>
      </c>
      <c r="U20">
        <f>IFERROR(IF(ISNUMBER(INDEX(SPPR!$E:$X,MATCH($A20,SPPR!$A:$A,0),18)),$C20*INDEX(SPPR!$E:$X,MATCH($A20,SPPR!$A:$A,0),18),""),"")</f>
        <v/>
      </c>
      <c r="V20">
        <f>IFERROR(IF(ISNUMBER(INDEX(SPPR!$E:$X,MATCH($A20,SPPR!$A:$A,0),19)),$C20*INDEX(SPPR!$E:$X,MATCH($A20,SPPR!$A:$A,0),19),""),"")</f>
        <v/>
      </c>
      <c r="W20">
        <f>IFERROR(IF(ISNUMBER(INDEX(SPPR!$E:$X,MATCH($A20,SPPR!$A:$A,0),20)),$C20*INDEX(SPPR!$E:$X,MATCH($A20,SPPR!$A:$A,0),20),""),"")</f>
        <v/>
      </c>
    </row>
    <row r="21">
      <c r="A21" t="inlineStr">
        <is>
          <t>Merluccius australis</t>
        </is>
      </c>
      <c r="B21">
        <f>IFERROR(INDEX(SPPR!$D:$D,MATCH($A21,SPPR!$A:$A,0)),"")</f>
        <v/>
      </c>
      <c r="C21">
        <f>IFERROR(INDEX(Catch!$E:$BV,MATCH($A21,Catch!$A:$A,0),MATCH($B$4,Catch!$E$1:$BV$1,0)),0)</f>
        <v/>
      </c>
      <c r="D21">
        <f>IFERROR(IF(ISNUMBER(INDEX(SPPR!$E:$X,MATCH($A21,SPPR!$A:$A,0),1)),$C21*INDEX(SPPR!$E:$X,MATCH($A21,SPPR!$A:$A,0),1),""),"")</f>
        <v/>
      </c>
      <c r="E21">
        <f>IFERROR(IF(ISNUMBER(INDEX(SPPR!$E:$X,MATCH($A21,SPPR!$A:$A,0),2)),$C21*INDEX(SPPR!$E:$X,MATCH($A21,SPPR!$A:$A,0),2),""),"")</f>
        <v/>
      </c>
      <c r="F21">
        <f>IFERROR(IF(ISNUMBER(INDEX(SPPR!$E:$X,MATCH($A21,SPPR!$A:$A,0),3)),$C21*INDEX(SPPR!$E:$X,MATCH($A21,SPPR!$A:$A,0),3),""),"")</f>
        <v/>
      </c>
      <c r="G21">
        <f>IFERROR(IF(ISNUMBER(INDEX(SPPR!$E:$X,MATCH($A21,SPPR!$A:$A,0),4)),$C21*INDEX(SPPR!$E:$X,MATCH($A21,SPPR!$A:$A,0),4),""),"")</f>
        <v/>
      </c>
      <c r="H21">
        <f>IFERROR(IF(ISNUMBER(INDEX(SPPR!$E:$X,MATCH($A21,SPPR!$A:$A,0),5)),$C21*INDEX(SPPR!$E:$X,MATCH($A21,SPPR!$A:$A,0),5),""),"")</f>
        <v/>
      </c>
      <c r="I21">
        <f>IFERROR(IF(ISNUMBER(INDEX(SPPR!$E:$X,MATCH($A21,SPPR!$A:$A,0),6)),$C21*INDEX(SPPR!$E:$X,MATCH($A21,SPPR!$A:$A,0),6),""),"")</f>
        <v/>
      </c>
      <c r="J21">
        <f>IFERROR(IF(ISNUMBER(INDEX(SPPR!$E:$X,MATCH($A21,SPPR!$A:$A,0),7)),$C21*INDEX(SPPR!$E:$X,MATCH($A21,SPPR!$A:$A,0),7),""),"")</f>
        <v/>
      </c>
      <c r="K21">
        <f>IFERROR(IF(ISNUMBER(INDEX(SPPR!$E:$X,MATCH($A21,SPPR!$A:$A,0),8)),$C21*INDEX(SPPR!$E:$X,MATCH($A21,SPPR!$A:$A,0),8),""),"")</f>
        <v/>
      </c>
      <c r="L21">
        <f>IFERROR(IF(ISNUMBER(INDEX(SPPR!$E:$X,MATCH($A21,SPPR!$A:$A,0),9)),$C21*INDEX(SPPR!$E:$X,MATCH($A21,SPPR!$A:$A,0),9),""),"")</f>
        <v/>
      </c>
      <c r="M21">
        <f>IFERROR(IF(ISNUMBER(INDEX(SPPR!$E:$X,MATCH($A21,SPPR!$A:$A,0),10)),$C21*INDEX(SPPR!$E:$X,MATCH($A21,SPPR!$A:$A,0),10),""),"")</f>
        <v/>
      </c>
      <c r="N21">
        <f>IFERROR(IF(ISNUMBER(INDEX(SPPR!$E:$X,MATCH($A21,SPPR!$A:$A,0),11)),$C21*INDEX(SPPR!$E:$X,MATCH($A21,SPPR!$A:$A,0),11),""),"")</f>
        <v/>
      </c>
      <c r="O21">
        <f>IFERROR(IF(ISNUMBER(INDEX(SPPR!$E:$X,MATCH($A21,SPPR!$A:$A,0),12)),$C21*INDEX(SPPR!$E:$X,MATCH($A21,SPPR!$A:$A,0),12),""),"")</f>
        <v/>
      </c>
      <c r="P21">
        <f>IFERROR(IF(ISNUMBER(INDEX(SPPR!$E:$X,MATCH($A21,SPPR!$A:$A,0),13)),$C21*INDEX(SPPR!$E:$X,MATCH($A21,SPPR!$A:$A,0),13),""),"")</f>
        <v/>
      </c>
      <c r="Q21">
        <f>IFERROR(IF(ISNUMBER(INDEX(SPPR!$E:$X,MATCH($A21,SPPR!$A:$A,0),14)),$C21*INDEX(SPPR!$E:$X,MATCH($A21,SPPR!$A:$A,0),14),""),"")</f>
        <v/>
      </c>
      <c r="R21">
        <f>IFERROR(IF(ISNUMBER(INDEX(SPPR!$E:$X,MATCH($A21,SPPR!$A:$A,0),15)),$C21*INDEX(SPPR!$E:$X,MATCH($A21,SPPR!$A:$A,0),15),""),"")</f>
        <v/>
      </c>
      <c r="S21">
        <f>IFERROR(IF(ISNUMBER(INDEX(SPPR!$E:$X,MATCH($A21,SPPR!$A:$A,0),16)),$C21*INDEX(SPPR!$E:$X,MATCH($A21,SPPR!$A:$A,0),16),""),"")</f>
        <v/>
      </c>
      <c r="T21">
        <f>IFERROR(IF(ISNUMBER(INDEX(SPPR!$E:$X,MATCH($A21,SPPR!$A:$A,0),17)),$C21*INDEX(SPPR!$E:$X,MATCH($A21,SPPR!$A:$A,0),17),""),"")</f>
        <v/>
      </c>
      <c r="U21">
        <f>IFERROR(IF(ISNUMBER(INDEX(SPPR!$E:$X,MATCH($A21,SPPR!$A:$A,0),18)),$C21*INDEX(SPPR!$E:$X,MATCH($A21,SPPR!$A:$A,0),18),""),"")</f>
        <v/>
      </c>
      <c r="V21">
        <f>IFERROR(IF(ISNUMBER(INDEX(SPPR!$E:$X,MATCH($A21,SPPR!$A:$A,0),19)),$C21*INDEX(SPPR!$E:$X,MATCH($A21,SPPR!$A:$A,0),19),""),"")</f>
        <v/>
      </c>
      <c r="W21">
        <f>IFERROR(IF(ISNUMBER(INDEX(SPPR!$E:$X,MATCH($A21,SPPR!$A:$A,0),20)),$C21*INDEX(SPPR!$E:$X,MATCH($A21,SPPR!$A:$A,0),20),""),"")</f>
        <v/>
      </c>
    </row>
    <row r="22">
      <c r="A22" t="inlineStr">
        <is>
          <t>Ethmidium maculatum</t>
        </is>
      </c>
      <c r="B22">
        <f>IFERROR(INDEX(SPPR!$D:$D,MATCH($A22,SPPR!$A:$A,0)),"")</f>
        <v/>
      </c>
      <c r="C22">
        <f>IFERROR(INDEX(Catch!$E:$BV,MATCH($A22,Catch!$A:$A,0),MATCH($B$4,Catch!$E$1:$BV$1,0)),0)</f>
        <v/>
      </c>
      <c r="D22">
        <f>IFERROR(IF(ISNUMBER(INDEX(SPPR!$E:$X,MATCH($A22,SPPR!$A:$A,0),1)),$C22*INDEX(SPPR!$E:$X,MATCH($A22,SPPR!$A:$A,0),1),""),"")</f>
        <v/>
      </c>
      <c r="E22">
        <f>IFERROR(IF(ISNUMBER(INDEX(SPPR!$E:$X,MATCH($A22,SPPR!$A:$A,0),2)),$C22*INDEX(SPPR!$E:$X,MATCH($A22,SPPR!$A:$A,0),2),""),"")</f>
        <v/>
      </c>
      <c r="F22">
        <f>IFERROR(IF(ISNUMBER(INDEX(SPPR!$E:$X,MATCH($A22,SPPR!$A:$A,0),3)),$C22*INDEX(SPPR!$E:$X,MATCH($A22,SPPR!$A:$A,0),3),""),"")</f>
        <v/>
      </c>
      <c r="G22">
        <f>IFERROR(IF(ISNUMBER(INDEX(SPPR!$E:$X,MATCH($A22,SPPR!$A:$A,0),4)),$C22*INDEX(SPPR!$E:$X,MATCH($A22,SPPR!$A:$A,0),4),""),"")</f>
        <v/>
      </c>
      <c r="H22">
        <f>IFERROR(IF(ISNUMBER(INDEX(SPPR!$E:$X,MATCH($A22,SPPR!$A:$A,0),5)),$C22*INDEX(SPPR!$E:$X,MATCH($A22,SPPR!$A:$A,0),5),""),"")</f>
        <v/>
      </c>
      <c r="I22">
        <f>IFERROR(IF(ISNUMBER(INDEX(SPPR!$E:$X,MATCH($A22,SPPR!$A:$A,0),6)),$C22*INDEX(SPPR!$E:$X,MATCH($A22,SPPR!$A:$A,0),6),""),"")</f>
        <v/>
      </c>
      <c r="J22">
        <f>IFERROR(IF(ISNUMBER(INDEX(SPPR!$E:$X,MATCH($A22,SPPR!$A:$A,0),7)),$C22*INDEX(SPPR!$E:$X,MATCH($A22,SPPR!$A:$A,0),7),""),"")</f>
        <v/>
      </c>
      <c r="K22">
        <f>IFERROR(IF(ISNUMBER(INDEX(SPPR!$E:$X,MATCH($A22,SPPR!$A:$A,0),8)),$C22*INDEX(SPPR!$E:$X,MATCH($A22,SPPR!$A:$A,0),8),""),"")</f>
        <v/>
      </c>
      <c r="L22">
        <f>IFERROR(IF(ISNUMBER(INDEX(SPPR!$E:$X,MATCH($A22,SPPR!$A:$A,0),9)),$C22*INDEX(SPPR!$E:$X,MATCH($A22,SPPR!$A:$A,0),9),""),"")</f>
        <v/>
      </c>
      <c r="M22">
        <f>IFERROR(IF(ISNUMBER(INDEX(SPPR!$E:$X,MATCH($A22,SPPR!$A:$A,0),10)),$C22*INDEX(SPPR!$E:$X,MATCH($A22,SPPR!$A:$A,0),10),""),"")</f>
        <v/>
      </c>
      <c r="N22">
        <f>IFERROR(IF(ISNUMBER(INDEX(SPPR!$E:$X,MATCH($A22,SPPR!$A:$A,0),11)),$C22*INDEX(SPPR!$E:$X,MATCH($A22,SPPR!$A:$A,0),11),""),"")</f>
        <v/>
      </c>
      <c r="O22">
        <f>IFERROR(IF(ISNUMBER(INDEX(SPPR!$E:$X,MATCH($A22,SPPR!$A:$A,0),12)),$C22*INDEX(SPPR!$E:$X,MATCH($A22,SPPR!$A:$A,0),12),""),"")</f>
        <v/>
      </c>
      <c r="P22">
        <f>IFERROR(IF(ISNUMBER(INDEX(SPPR!$E:$X,MATCH($A22,SPPR!$A:$A,0),13)),$C22*INDEX(SPPR!$E:$X,MATCH($A22,SPPR!$A:$A,0),13),""),"")</f>
        <v/>
      </c>
      <c r="Q22">
        <f>IFERROR(IF(ISNUMBER(INDEX(SPPR!$E:$X,MATCH($A22,SPPR!$A:$A,0),14)),$C22*INDEX(SPPR!$E:$X,MATCH($A22,SPPR!$A:$A,0),14),""),"")</f>
        <v/>
      </c>
      <c r="R22">
        <f>IFERROR(IF(ISNUMBER(INDEX(SPPR!$E:$X,MATCH($A22,SPPR!$A:$A,0),15)),$C22*INDEX(SPPR!$E:$X,MATCH($A22,SPPR!$A:$A,0),15),""),"")</f>
        <v/>
      </c>
      <c r="S22">
        <f>IFERROR(IF(ISNUMBER(INDEX(SPPR!$E:$X,MATCH($A22,SPPR!$A:$A,0),16)),$C22*INDEX(SPPR!$E:$X,MATCH($A22,SPPR!$A:$A,0),16),""),"")</f>
        <v/>
      </c>
      <c r="T22">
        <f>IFERROR(IF(ISNUMBER(INDEX(SPPR!$E:$X,MATCH($A22,SPPR!$A:$A,0),17)),$C22*INDEX(SPPR!$E:$X,MATCH($A22,SPPR!$A:$A,0),17),""),"")</f>
        <v/>
      </c>
      <c r="U22">
        <f>IFERROR(IF(ISNUMBER(INDEX(SPPR!$E:$X,MATCH($A22,SPPR!$A:$A,0),18)),$C22*INDEX(SPPR!$E:$X,MATCH($A22,SPPR!$A:$A,0),18),""),"")</f>
        <v/>
      </c>
      <c r="V22">
        <f>IFERROR(IF(ISNUMBER(INDEX(SPPR!$E:$X,MATCH($A22,SPPR!$A:$A,0),19)),$C22*INDEX(SPPR!$E:$X,MATCH($A22,SPPR!$A:$A,0),19),""),"")</f>
        <v/>
      </c>
      <c r="W22">
        <f>IFERROR(IF(ISNUMBER(INDEX(SPPR!$E:$X,MATCH($A22,SPPR!$A:$A,0),20)),$C22*INDEX(SPPR!$E:$X,MATCH($A22,SPPR!$A:$A,0),20),""),"")</f>
        <v/>
      </c>
    </row>
    <row r="23">
      <c r="A23" t="inlineStr">
        <is>
          <t>Aulacomya atra</t>
        </is>
      </c>
      <c r="B23">
        <f>IFERROR(INDEX(SPPR!$D:$D,MATCH($A23,SPPR!$A:$A,0)),"")</f>
        <v/>
      </c>
      <c r="C23">
        <f>IFERROR(INDEX(Catch!$E:$BV,MATCH($A23,Catch!$A:$A,0),MATCH($B$4,Catch!$E$1:$BV$1,0)),0)</f>
        <v/>
      </c>
      <c r="D23">
        <f>IFERROR(IF(ISNUMBER(INDEX(SPPR!$E:$X,MATCH($A23,SPPR!$A:$A,0),1)),$C23*INDEX(SPPR!$E:$X,MATCH($A23,SPPR!$A:$A,0),1),""),"")</f>
        <v/>
      </c>
      <c r="E23">
        <f>IFERROR(IF(ISNUMBER(INDEX(SPPR!$E:$X,MATCH($A23,SPPR!$A:$A,0),2)),$C23*INDEX(SPPR!$E:$X,MATCH($A23,SPPR!$A:$A,0),2),""),"")</f>
        <v/>
      </c>
      <c r="F23">
        <f>IFERROR(IF(ISNUMBER(INDEX(SPPR!$E:$X,MATCH($A23,SPPR!$A:$A,0),3)),$C23*INDEX(SPPR!$E:$X,MATCH($A23,SPPR!$A:$A,0),3),""),"")</f>
        <v/>
      </c>
      <c r="G23">
        <f>IFERROR(IF(ISNUMBER(INDEX(SPPR!$E:$X,MATCH($A23,SPPR!$A:$A,0),4)),$C23*INDEX(SPPR!$E:$X,MATCH($A23,SPPR!$A:$A,0),4),""),"")</f>
        <v/>
      </c>
      <c r="H23">
        <f>IFERROR(IF(ISNUMBER(INDEX(SPPR!$E:$X,MATCH($A23,SPPR!$A:$A,0),5)),$C23*INDEX(SPPR!$E:$X,MATCH($A23,SPPR!$A:$A,0),5),""),"")</f>
        <v/>
      </c>
      <c r="I23">
        <f>IFERROR(IF(ISNUMBER(INDEX(SPPR!$E:$X,MATCH($A23,SPPR!$A:$A,0),6)),$C23*INDEX(SPPR!$E:$X,MATCH($A23,SPPR!$A:$A,0),6),""),"")</f>
        <v/>
      </c>
      <c r="J23">
        <f>IFERROR(IF(ISNUMBER(INDEX(SPPR!$E:$X,MATCH($A23,SPPR!$A:$A,0),7)),$C23*INDEX(SPPR!$E:$X,MATCH($A23,SPPR!$A:$A,0),7),""),"")</f>
        <v/>
      </c>
      <c r="K23">
        <f>IFERROR(IF(ISNUMBER(INDEX(SPPR!$E:$X,MATCH($A23,SPPR!$A:$A,0),8)),$C23*INDEX(SPPR!$E:$X,MATCH($A23,SPPR!$A:$A,0),8),""),"")</f>
        <v/>
      </c>
      <c r="L23">
        <f>IFERROR(IF(ISNUMBER(INDEX(SPPR!$E:$X,MATCH($A23,SPPR!$A:$A,0),9)),$C23*INDEX(SPPR!$E:$X,MATCH($A23,SPPR!$A:$A,0),9),""),"")</f>
        <v/>
      </c>
      <c r="M23">
        <f>IFERROR(IF(ISNUMBER(INDEX(SPPR!$E:$X,MATCH($A23,SPPR!$A:$A,0),10)),$C23*INDEX(SPPR!$E:$X,MATCH($A23,SPPR!$A:$A,0),10),""),"")</f>
        <v/>
      </c>
      <c r="N23">
        <f>IFERROR(IF(ISNUMBER(INDEX(SPPR!$E:$X,MATCH($A23,SPPR!$A:$A,0),11)),$C23*INDEX(SPPR!$E:$X,MATCH($A23,SPPR!$A:$A,0),11),""),"")</f>
        <v/>
      </c>
      <c r="O23">
        <f>IFERROR(IF(ISNUMBER(INDEX(SPPR!$E:$X,MATCH($A23,SPPR!$A:$A,0),12)),$C23*INDEX(SPPR!$E:$X,MATCH($A23,SPPR!$A:$A,0),12),""),"")</f>
        <v/>
      </c>
      <c r="P23">
        <f>IFERROR(IF(ISNUMBER(INDEX(SPPR!$E:$X,MATCH($A23,SPPR!$A:$A,0),13)),$C23*INDEX(SPPR!$E:$X,MATCH($A23,SPPR!$A:$A,0),13),""),"")</f>
        <v/>
      </c>
      <c r="Q23">
        <f>IFERROR(IF(ISNUMBER(INDEX(SPPR!$E:$X,MATCH($A23,SPPR!$A:$A,0),14)),$C23*INDEX(SPPR!$E:$X,MATCH($A23,SPPR!$A:$A,0),14),""),"")</f>
        <v/>
      </c>
      <c r="R23">
        <f>IFERROR(IF(ISNUMBER(INDEX(SPPR!$E:$X,MATCH($A23,SPPR!$A:$A,0),15)),$C23*INDEX(SPPR!$E:$X,MATCH($A23,SPPR!$A:$A,0),15),""),"")</f>
        <v/>
      </c>
      <c r="S23">
        <f>IFERROR(IF(ISNUMBER(INDEX(SPPR!$E:$X,MATCH($A23,SPPR!$A:$A,0),16)),$C23*INDEX(SPPR!$E:$X,MATCH($A23,SPPR!$A:$A,0),16),""),"")</f>
        <v/>
      </c>
      <c r="T23">
        <f>IFERROR(IF(ISNUMBER(INDEX(SPPR!$E:$X,MATCH($A23,SPPR!$A:$A,0),17)),$C23*INDEX(SPPR!$E:$X,MATCH($A23,SPPR!$A:$A,0),17),""),"")</f>
        <v/>
      </c>
      <c r="U23">
        <f>IFERROR(IF(ISNUMBER(INDEX(SPPR!$E:$X,MATCH($A23,SPPR!$A:$A,0),18)),$C23*INDEX(SPPR!$E:$X,MATCH($A23,SPPR!$A:$A,0),18),""),"")</f>
        <v/>
      </c>
      <c r="V23">
        <f>IFERROR(IF(ISNUMBER(INDEX(SPPR!$E:$X,MATCH($A23,SPPR!$A:$A,0),19)),$C23*INDEX(SPPR!$E:$X,MATCH($A23,SPPR!$A:$A,0),19),""),"")</f>
        <v/>
      </c>
      <c r="W23">
        <f>IFERROR(IF(ISNUMBER(INDEX(SPPR!$E:$X,MATCH($A23,SPPR!$A:$A,0),20)),$C23*INDEX(SPPR!$E:$X,MATCH($A23,SPPR!$A:$A,0),20),""),"")</f>
        <v/>
      </c>
    </row>
    <row r="24">
      <c r="A24" t="inlineStr">
        <is>
          <t>Anchoa nasus</t>
        </is>
      </c>
      <c r="B24">
        <f>IFERROR(INDEX(SPPR!$D:$D,MATCH($A24,SPPR!$A:$A,0)),"")</f>
        <v/>
      </c>
      <c r="C24">
        <f>IFERROR(INDEX(Catch!$E:$BV,MATCH($A24,Catch!$A:$A,0),MATCH($B$4,Catch!$E$1:$BV$1,0)),0)</f>
        <v/>
      </c>
      <c r="D24">
        <f>IFERROR(IF(ISNUMBER(INDEX(SPPR!$E:$X,MATCH($A24,SPPR!$A:$A,0),1)),$C24*INDEX(SPPR!$E:$X,MATCH($A24,SPPR!$A:$A,0),1),""),"")</f>
        <v/>
      </c>
      <c r="E24">
        <f>IFERROR(IF(ISNUMBER(INDEX(SPPR!$E:$X,MATCH($A24,SPPR!$A:$A,0),2)),$C24*INDEX(SPPR!$E:$X,MATCH($A24,SPPR!$A:$A,0),2),""),"")</f>
        <v/>
      </c>
      <c r="F24">
        <f>IFERROR(IF(ISNUMBER(INDEX(SPPR!$E:$X,MATCH($A24,SPPR!$A:$A,0),3)),$C24*INDEX(SPPR!$E:$X,MATCH($A24,SPPR!$A:$A,0),3),""),"")</f>
        <v/>
      </c>
      <c r="G24">
        <f>IFERROR(IF(ISNUMBER(INDEX(SPPR!$E:$X,MATCH($A24,SPPR!$A:$A,0),4)),$C24*INDEX(SPPR!$E:$X,MATCH($A24,SPPR!$A:$A,0),4),""),"")</f>
        <v/>
      </c>
      <c r="H24">
        <f>IFERROR(IF(ISNUMBER(INDEX(SPPR!$E:$X,MATCH($A24,SPPR!$A:$A,0),5)),$C24*INDEX(SPPR!$E:$X,MATCH($A24,SPPR!$A:$A,0),5),""),"")</f>
        <v/>
      </c>
      <c r="I24">
        <f>IFERROR(IF(ISNUMBER(INDEX(SPPR!$E:$X,MATCH($A24,SPPR!$A:$A,0),6)),$C24*INDEX(SPPR!$E:$X,MATCH($A24,SPPR!$A:$A,0),6),""),"")</f>
        <v/>
      </c>
      <c r="J24">
        <f>IFERROR(IF(ISNUMBER(INDEX(SPPR!$E:$X,MATCH($A24,SPPR!$A:$A,0),7)),$C24*INDEX(SPPR!$E:$X,MATCH($A24,SPPR!$A:$A,0),7),""),"")</f>
        <v/>
      </c>
      <c r="K24">
        <f>IFERROR(IF(ISNUMBER(INDEX(SPPR!$E:$X,MATCH($A24,SPPR!$A:$A,0),8)),$C24*INDEX(SPPR!$E:$X,MATCH($A24,SPPR!$A:$A,0),8),""),"")</f>
        <v/>
      </c>
      <c r="L24">
        <f>IFERROR(IF(ISNUMBER(INDEX(SPPR!$E:$X,MATCH($A24,SPPR!$A:$A,0),9)),$C24*INDEX(SPPR!$E:$X,MATCH($A24,SPPR!$A:$A,0),9),""),"")</f>
        <v/>
      </c>
      <c r="M24">
        <f>IFERROR(IF(ISNUMBER(INDEX(SPPR!$E:$X,MATCH($A24,SPPR!$A:$A,0),10)),$C24*INDEX(SPPR!$E:$X,MATCH($A24,SPPR!$A:$A,0),10),""),"")</f>
        <v/>
      </c>
      <c r="N24">
        <f>IFERROR(IF(ISNUMBER(INDEX(SPPR!$E:$X,MATCH($A24,SPPR!$A:$A,0),11)),$C24*INDEX(SPPR!$E:$X,MATCH($A24,SPPR!$A:$A,0),11),""),"")</f>
        <v/>
      </c>
      <c r="O24">
        <f>IFERROR(IF(ISNUMBER(INDEX(SPPR!$E:$X,MATCH($A24,SPPR!$A:$A,0),12)),$C24*INDEX(SPPR!$E:$X,MATCH($A24,SPPR!$A:$A,0),12),""),"")</f>
        <v/>
      </c>
      <c r="P24">
        <f>IFERROR(IF(ISNUMBER(INDEX(SPPR!$E:$X,MATCH($A24,SPPR!$A:$A,0),13)),$C24*INDEX(SPPR!$E:$X,MATCH($A24,SPPR!$A:$A,0),13),""),"")</f>
        <v/>
      </c>
      <c r="Q24">
        <f>IFERROR(IF(ISNUMBER(INDEX(SPPR!$E:$X,MATCH($A24,SPPR!$A:$A,0),14)),$C24*INDEX(SPPR!$E:$X,MATCH($A24,SPPR!$A:$A,0),14),""),"")</f>
        <v/>
      </c>
      <c r="R24">
        <f>IFERROR(IF(ISNUMBER(INDEX(SPPR!$E:$X,MATCH($A24,SPPR!$A:$A,0),15)),$C24*INDEX(SPPR!$E:$X,MATCH($A24,SPPR!$A:$A,0),15),""),"")</f>
        <v/>
      </c>
      <c r="S24">
        <f>IFERROR(IF(ISNUMBER(INDEX(SPPR!$E:$X,MATCH($A24,SPPR!$A:$A,0),16)),$C24*INDEX(SPPR!$E:$X,MATCH($A24,SPPR!$A:$A,0),16),""),"")</f>
        <v/>
      </c>
      <c r="T24">
        <f>IFERROR(IF(ISNUMBER(INDEX(SPPR!$E:$X,MATCH($A24,SPPR!$A:$A,0),17)),$C24*INDEX(SPPR!$E:$X,MATCH($A24,SPPR!$A:$A,0),17),""),"")</f>
        <v/>
      </c>
      <c r="U24">
        <f>IFERROR(IF(ISNUMBER(INDEX(SPPR!$E:$X,MATCH($A24,SPPR!$A:$A,0),18)),$C24*INDEX(SPPR!$E:$X,MATCH($A24,SPPR!$A:$A,0),18),""),"")</f>
        <v/>
      </c>
      <c r="V24">
        <f>IFERROR(IF(ISNUMBER(INDEX(SPPR!$E:$X,MATCH($A24,SPPR!$A:$A,0),19)),$C24*INDEX(SPPR!$E:$X,MATCH($A24,SPPR!$A:$A,0),19),""),"")</f>
        <v/>
      </c>
      <c r="W24">
        <f>IFERROR(IF(ISNUMBER(INDEX(SPPR!$E:$X,MATCH($A24,SPPR!$A:$A,0),20)),$C24*INDEX(SPPR!$E:$X,MATCH($A24,SPPR!$A:$A,0),20),""),"")</f>
        <v/>
      </c>
    </row>
    <row r="25">
      <c r="A25" t="inlineStr">
        <is>
          <t>Strangomera bentincki</t>
        </is>
      </c>
      <c r="B25">
        <f>IFERROR(INDEX(SPPR!$D:$D,MATCH($A25,SPPR!$A:$A,0)),"")</f>
        <v/>
      </c>
      <c r="C25">
        <f>IFERROR(INDEX(Catch!$E:$BV,MATCH($A25,Catch!$A:$A,0),MATCH($B$4,Catch!$E$1:$BV$1,0)),0)</f>
        <v/>
      </c>
      <c r="D25">
        <f>IFERROR(IF(ISNUMBER(INDEX(SPPR!$E:$X,MATCH($A25,SPPR!$A:$A,0),1)),$C25*INDEX(SPPR!$E:$X,MATCH($A25,SPPR!$A:$A,0),1),""),"")</f>
        <v/>
      </c>
      <c r="E25">
        <f>IFERROR(IF(ISNUMBER(INDEX(SPPR!$E:$X,MATCH($A25,SPPR!$A:$A,0),2)),$C25*INDEX(SPPR!$E:$X,MATCH($A25,SPPR!$A:$A,0),2),""),"")</f>
        <v/>
      </c>
      <c r="F25">
        <f>IFERROR(IF(ISNUMBER(INDEX(SPPR!$E:$X,MATCH($A25,SPPR!$A:$A,0),3)),$C25*INDEX(SPPR!$E:$X,MATCH($A25,SPPR!$A:$A,0),3),""),"")</f>
        <v/>
      </c>
      <c r="G25">
        <f>IFERROR(IF(ISNUMBER(INDEX(SPPR!$E:$X,MATCH($A25,SPPR!$A:$A,0),4)),$C25*INDEX(SPPR!$E:$X,MATCH($A25,SPPR!$A:$A,0),4),""),"")</f>
        <v/>
      </c>
      <c r="H25">
        <f>IFERROR(IF(ISNUMBER(INDEX(SPPR!$E:$X,MATCH($A25,SPPR!$A:$A,0),5)),$C25*INDEX(SPPR!$E:$X,MATCH($A25,SPPR!$A:$A,0),5),""),"")</f>
        <v/>
      </c>
      <c r="I25">
        <f>IFERROR(IF(ISNUMBER(INDEX(SPPR!$E:$X,MATCH($A25,SPPR!$A:$A,0),6)),$C25*INDEX(SPPR!$E:$X,MATCH($A25,SPPR!$A:$A,0),6),""),"")</f>
        <v/>
      </c>
      <c r="J25">
        <f>IFERROR(IF(ISNUMBER(INDEX(SPPR!$E:$X,MATCH($A25,SPPR!$A:$A,0),7)),$C25*INDEX(SPPR!$E:$X,MATCH($A25,SPPR!$A:$A,0),7),""),"")</f>
        <v/>
      </c>
      <c r="K25">
        <f>IFERROR(IF(ISNUMBER(INDEX(SPPR!$E:$X,MATCH($A25,SPPR!$A:$A,0),8)),$C25*INDEX(SPPR!$E:$X,MATCH($A25,SPPR!$A:$A,0),8),""),"")</f>
        <v/>
      </c>
      <c r="L25">
        <f>IFERROR(IF(ISNUMBER(INDEX(SPPR!$E:$X,MATCH($A25,SPPR!$A:$A,0),9)),$C25*INDEX(SPPR!$E:$X,MATCH($A25,SPPR!$A:$A,0),9),""),"")</f>
        <v/>
      </c>
      <c r="M25">
        <f>IFERROR(IF(ISNUMBER(INDEX(SPPR!$E:$X,MATCH($A25,SPPR!$A:$A,0),10)),$C25*INDEX(SPPR!$E:$X,MATCH($A25,SPPR!$A:$A,0),10),""),"")</f>
        <v/>
      </c>
      <c r="N25">
        <f>IFERROR(IF(ISNUMBER(INDEX(SPPR!$E:$X,MATCH($A25,SPPR!$A:$A,0),11)),$C25*INDEX(SPPR!$E:$X,MATCH($A25,SPPR!$A:$A,0),11),""),"")</f>
        <v/>
      </c>
      <c r="O25">
        <f>IFERROR(IF(ISNUMBER(INDEX(SPPR!$E:$X,MATCH($A25,SPPR!$A:$A,0),12)),$C25*INDEX(SPPR!$E:$X,MATCH($A25,SPPR!$A:$A,0),12),""),"")</f>
        <v/>
      </c>
      <c r="P25">
        <f>IFERROR(IF(ISNUMBER(INDEX(SPPR!$E:$X,MATCH($A25,SPPR!$A:$A,0),13)),$C25*INDEX(SPPR!$E:$X,MATCH($A25,SPPR!$A:$A,0),13),""),"")</f>
        <v/>
      </c>
      <c r="Q25">
        <f>IFERROR(IF(ISNUMBER(INDEX(SPPR!$E:$X,MATCH($A25,SPPR!$A:$A,0),14)),$C25*INDEX(SPPR!$E:$X,MATCH($A25,SPPR!$A:$A,0),14),""),"")</f>
        <v/>
      </c>
      <c r="R25">
        <f>IFERROR(IF(ISNUMBER(INDEX(SPPR!$E:$X,MATCH($A25,SPPR!$A:$A,0),15)),$C25*INDEX(SPPR!$E:$X,MATCH($A25,SPPR!$A:$A,0),15),""),"")</f>
        <v/>
      </c>
      <c r="S25">
        <f>IFERROR(IF(ISNUMBER(INDEX(SPPR!$E:$X,MATCH($A25,SPPR!$A:$A,0),16)),$C25*INDEX(SPPR!$E:$X,MATCH($A25,SPPR!$A:$A,0),16),""),"")</f>
        <v/>
      </c>
      <c r="T25">
        <f>IFERROR(IF(ISNUMBER(INDEX(SPPR!$E:$X,MATCH($A25,SPPR!$A:$A,0),17)),$C25*INDEX(SPPR!$E:$X,MATCH($A25,SPPR!$A:$A,0),17),""),"")</f>
        <v/>
      </c>
      <c r="U25">
        <f>IFERROR(IF(ISNUMBER(INDEX(SPPR!$E:$X,MATCH($A25,SPPR!$A:$A,0),18)),$C25*INDEX(SPPR!$E:$X,MATCH($A25,SPPR!$A:$A,0),18),""),"")</f>
        <v/>
      </c>
      <c r="V25">
        <f>IFERROR(IF(ISNUMBER(INDEX(SPPR!$E:$X,MATCH($A25,SPPR!$A:$A,0),19)),$C25*INDEX(SPPR!$E:$X,MATCH($A25,SPPR!$A:$A,0),19),""),"")</f>
        <v/>
      </c>
      <c r="W25">
        <f>IFERROR(IF(ISNUMBER(INDEX(SPPR!$E:$X,MATCH($A25,SPPR!$A:$A,0),20)),$C25*INDEX(SPPR!$E:$X,MATCH($A25,SPPR!$A:$A,0),20),""),"")</f>
        <v/>
      </c>
    </row>
    <row r="26">
      <c r="A26" t="inlineStr">
        <is>
          <t>Coryphaena hippurus</t>
        </is>
      </c>
      <c r="B26">
        <f>IFERROR(INDEX(SPPR!$D:$D,MATCH($A26,SPPR!$A:$A,0)),"")</f>
        <v/>
      </c>
      <c r="C26">
        <f>IFERROR(INDEX(Catch!$E:$BV,MATCH($A26,Catch!$A:$A,0),MATCH($B$4,Catch!$E$1:$BV$1,0)),0)</f>
        <v/>
      </c>
      <c r="D26">
        <f>IFERROR(IF(ISNUMBER(INDEX(SPPR!$E:$X,MATCH($A26,SPPR!$A:$A,0),1)),$C26*INDEX(SPPR!$E:$X,MATCH($A26,SPPR!$A:$A,0),1),""),"")</f>
        <v/>
      </c>
      <c r="E26">
        <f>IFERROR(IF(ISNUMBER(INDEX(SPPR!$E:$X,MATCH($A26,SPPR!$A:$A,0),2)),$C26*INDEX(SPPR!$E:$X,MATCH($A26,SPPR!$A:$A,0),2),""),"")</f>
        <v/>
      </c>
      <c r="F26">
        <f>IFERROR(IF(ISNUMBER(INDEX(SPPR!$E:$X,MATCH($A26,SPPR!$A:$A,0),3)),$C26*INDEX(SPPR!$E:$X,MATCH($A26,SPPR!$A:$A,0),3),""),"")</f>
        <v/>
      </c>
      <c r="G26">
        <f>IFERROR(IF(ISNUMBER(INDEX(SPPR!$E:$X,MATCH($A26,SPPR!$A:$A,0),4)),$C26*INDEX(SPPR!$E:$X,MATCH($A26,SPPR!$A:$A,0),4),""),"")</f>
        <v/>
      </c>
      <c r="H26">
        <f>IFERROR(IF(ISNUMBER(INDEX(SPPR!$E:$X,MATCH($A26,SPPR!$A:$A,0),5)),$C26*INDEX(SPPR!$E:$X,MATCH($A26,SPPR!$A:$A,0),5),""),"")</f>
        <v/>
      </c>
      <c r="I26">
        <f>IFERROR(IF(ISNUMBER(INDEX(SPPR!$E:$X,MATCH($A26,SPPR!$A:$A,0),6)),$C26*INDEX(SPPR!$E:$X,MATCH($A26,SPPR!$A:$A,0),6),""),"")</f>
        <v/>
      </c>
      <c r="J26">
        <f>IFERROR(IF(ISNUMBER(INDEX(SPPR!$E:$X,MATCH($A26,SPPR!$A:$A,0),7)),$C26*INDEX(SPPR!$E:$X,MATCH($A26,SPPR!$A:$A,0),7),""),"")</f>
        <v/>
      </c>
      <c r="K26">
        <f>IFERROR(IF(ISNUMBER(INDEX(SPPR!$E:$X,MATCH($A26,SPPR!$A:$A,0),8)),$C26*INDEX(SPPR!$E:$X,MATCH($A26,SPPR!$A:$A,0),8),""),"")</f>
        <v/>
      </c>
      <c r="L26">
        <f>IFERROR(IF(ISNUMBER(INDEX(SPPR!$E:$X,MATCH($A26,SPPR!$A:$A,0),9)),$C26*INDEX(SPPR!$E:$X,MATCH($A26,SPPR!$A:$A,0),9),""),"")</f>
        <v/>
      </c>
      <c r="M26">
        <f>IFERROR(IF(ISNUMBER(INDEX(SPPR!$E:$X,MATCH($A26,SPPR!$A:$A,0),10)),$C26*INDEX(SPPR!$E:$X,MATCH($A26,SPPR!$A:$A,0),10),""),"")</f>
        <v/>
      </c>
      <c r="N26">
        <f>IFERROR(IF(ISNUMBER(INDEX(SPPR!$E:$X,MATCH($A26,SPPR!$A:$A,0),11)),$C26*INDEX(SPPR!$E:$X,MATCH($A26,SPPR!$A:$A,0),11),""),"")</f>
        <v/>
      </c>
      <c r="O26">
        <f>IFERROR(IF(ISNUMBER(INDEX(SPPR!$E:$X,MATCH($A26,SPPR!$A:$A,0),12)),$C26*INDEX(SPPR!$E:$X,MATCH($A26,SPPR!$A:$A,0),12),""),"")</f>
        <v/>
      </c>
      <c r="P26">
        <f>IFERROR(IF(ISNUMBER(INDEX(SPPR!$E:$X,MATCH($A26,SPPR!$A:$A,0),13)),$C26*INDEX(SPPR!$E:$X,MATCH($A26,SPPR!$A:$A,0),13),""),"")</f>
        <v/>
      </c>
      <c r="Q26">
        <f>IFERROR(IF(ISNUMBER(INDEX(SPPR!$E:$X,MATCH($A26,SPPR!$A:$A,0),14)),$C26*INDEX(SPPR!$E:$X,MATCH($A26,SPPR!$A:$A,0),14),""),"")</f>
        <v/>
      </c>
      <c r="R26">
        <f>IFERROR(IF(ISNUMBER(INDEX(SPPR!$E:$X,MATCH($A26,SPPR!$A:$A,0),15)),$C26*INDEX(SPPR!$E:$X,MATCH($A26,SPPR!$A:$A,0),15),""),"")</f>
        <v/>
      </c>
      <c r="S26">
        <f>IFERROR(IF(ISNUMBER(INDEX(SPPR!$E:$X,MATCH($A26,SPPR!$A:$A,0),16)),$C26*INDEX(SPPR!$E:$X,MATCH($A26,SPPR!$A:$A,0),16),""),"")</f>
        <v/>
      </c>
      <c r="T26">
        <f>IFERROR(IF(ISNUMBER(INDEX(SPPR!$E:$X,MATCH($A26,SPPR!$A:$A,0),17)),$C26*INDEX(SPPR!$E:$X,MATCH($A26,SPPR!$A:$A,0),17),""),"")</f>
        <v/>
      </c>
      <c r="U26">
        <f>IFERROR(IF(ISNUMBER(INDEX(SPPR!$E:$X,MATCH($A26,SPPR!$A:$A,0),18)),$C26*INDEX(SPPR!$E:$X,MATCH($A26,SPPR!$A:$A,0),18),""),"")</f>
        <v/>
      </c>
      <c r="V26">
        <f>IFERROR(IF(ISNUMBER(INDEX(SPPR!$E:$X,MATCH($A26,SPPR!$A:$A,0),19)),$C26*INDEX(SPPR!$E:$X,MATCH($A26,SPPR!$A:$A,0),19),""),"")</f>
        <v/>
      </c>
      <c r="W26">
        <f>IFERROR(IF(ISNUMBER(INDEX(SPPR!$E:$X,MATCH($A26,SPPR!$A:$A,0),20)),$C26*INDEX(SPPR!$E:$X,MATCH($A26,SPPR!$A:$A,0),20),""),"")</f>
        <v/>
      </c>
    </row>
    <row r="27">
      <c r="A27" t="inlineStr">
        <is>
          <t>Grimothea monodon</t>
        </is>
      </c>
      <c r="B27">
        <f>IFERROR(INDEX(SPPR!$D:$D,MATCH($A27,SPPR!$A:$A,0)),"")</f>
        <v/>
      </c>
      <c r="C27">
        <f>IFERROR(INDEX(Catch!$E:$BV,MATCH($A27,Catch!$A:$A,0),MATCH($B$4,Catch!$E$1:$BV$1,0)),0)</f>
        <v/>
      </c>
      <c r="D27">
        <f>IFERROR(IF(ISNUMBER(INDEX(SPPR!$E:$X,MATCH($A27,SPPR!$A:$A,0),1)),$C27*INDEX(SPPR!$E:$X,MATCH($A27,SPPR!$A:$A,0),1),""),"")</f>
        <v/>
      </c>
      <c r="E27">
        <f>IFERROR(IF(ISNUMBER(INDEX(SPPR!$E:$X,MATCH($A27,SPPR!$A:$A,0),2)),$C27*INDEX(SPPR!$E:$X,MATCH($A27,SPPR!$A:$A,0),2),""),"")</f>
        <v/>
      </c>
      <c r="F27">
        <f>IFERROR(IF(ISNUMBER(INDEX(SPPR!$E:$X,MATCH($A27,SPPR!$A:$A,0),3)),$C27*INDEX(SPPR!$E:$X,MATCH($A27,SPPR!$A:$A,0),3),""),"")</f>
        <v/>
      </c>
      <c r="G27">
        <f>IFERROR(IF(ISNUMBER(INDEX(SPPR!$E:$X,MATCH($A27,SPPR!$A:$A,0),4)),$C27*INDEX(SPPR!$E:$X,MATCH($A27,SPPR!$A:$A,0),4),""),"")</f>
        <v/>
      </c>
      <c r="H27">
        <f>IFERROR(IF(ISNUMBER(INDEX(SPPR!$E:$X,MATCH($A27,SPPR!$A:$A,0),5)),$C27*INDEX(SPPR!$E:$X,MATCH($A27,SPPR!$A:$A,0),5),""),"")</f>
        <v/>
      </c>
      <c r="I27">
        <f>IFERROR(IF(ISNUMBER(INDEX(SPPR!$E:$X,MATCH($A27,SPPR!$A:$A,0),6)),$C27*INDEX(SPPR!$E:$X,MATCH($A27,SPPR!$A:$A,0),6),""),"")</f>
        <v/>
      </c>
      <c r="J27">
        <f>IFERROR(IF(ISNUMBER(INDEX(SPPR!$E:$X,MATCH($A27,SPPR!$A:$A,0),7)),$C27*INDEX(SPPR!$E:$X,MATCH($A27,SPPR!$A:$A,0),7),""),"")</f>
        <v/>
      </c>
      <c r="K27">
        <f>IFERROR(IF(ISNUMBER(INDEX(SPPR!$E:$X,MATCH($A27,SPPR!$A:$A,0),8)),$C27*INDEX(SPPR!$E:$X,MATCH($A27,SPPR!$A:$A,0),8),""),"")</f>
        <v/>
      </c>
      <c r="L27">
        <f>IFERROR(IF(ISNUMBER(INDEX(SPPR!$E:$X,MATCH($A27,SPPR!$A:$A,0),9)),$C27*INDEX(SPPR!$E:$X,MATCH($A27,SPPR!$A:$A,0),9),""),"")</f>
        <v/>
      </c>
      <c r="M27">
        <f>IFERROR(IF(ISNUMBER(INDEX(SPPR!$E:$X,MATCH($A27,SPPR!$A:$A,0),10)),$C27*INDEX(SPPR!$E:$X,MATCH($A27,SPPR!$A:$A,0),10),""),"")</f>
        <v/>
      </c>
      <c r="N27">
        <f>IFERROR(IF(ISNUMBER(INDEX(SPPR!$E:$X,MATCH($A27,SPPR!$A:$A,0),11)),$C27*INDEX(SPPR!$E:$X,MATCH($A27,SPPR!$A:$A,0),11),""),"")</f>
        <v/>
      </c>
      <c r="O27">
        <f>IFERROR(IF(ISNUMBER(INDEX(SPPR!$E:$X,MATCH($A27,SPPR!$A:$A,0),12)),$C27*INDEX(SPPR!$E:$X,MATCH($A27,SPPR!$A:$A,0),12),""),"")</f>
        <v/>
      </c>
      <c r="P27">
        <f>IFERROR(IF(ISNUMBER(INDEX(SPPR!$E:$X,MATCH($A27,SPPR!$A:$A,0),13)),$C27*INDEX(SPPR!$E:$X,MATCH($A27,SPPR!$A:$A,0),13),""),"")</f>
        <v/>
      </c>
      <c r="Q27">
        <f>IFERROR(IF(ISNUMBER(INDEX(SPPR!$E:$X,MATCH($A27,SPPR!$A:$A,0),14)),$C27*INDEX(SPPR!$E:$X,MATCH($A27,SPPR!$A:$A,0),14),""),"")</f>
        <v/>
      </c>
      <c r="R27">
        <f>IFERROR(IF(ISNUMBER(INDEX(SPPR!$E:$X,MATCH($A27,SPPR!$A:$A,0),15)),$C27*INDEX(SPPR!$E:$X,MATCH($A27,SPPR!$A:$A,0),15),""),"")</f>
        <v/>
      </c>
      <c r="S27">
        <f>IFERROR(IF(ISNUMBER(INDEX(SPPR!$E:$X,MATCH($A27,SPPR!$A:$A,0),16)),$C27*INDEX(SPPR!$E:$X,MATCH($A27,SPPR!$A:$A,0),16),""),"")</f>
        <v/>
      </c>
      <c r="T27">
        <f>IFERROR(IF(ISNUMBER(INDEX(SPPR!$E:$X,MATCH($A27,SPPR!$A:$A,0),17)),$C27*INDEX(SPPR!$E:$X,MATCH($A27,SPPR!$A:$A,0),17),""),"")</f>
        <v/>
      </c>
      <c r="U27">
        <f>IFERROR(IF(ISNUMBER(INDEX(SPPR!$E:$X,MATCH($A27,SPPR!$A:$A,0),18)),$C27*INDEX(SPPR!$E:$X,MATCH($A27,SPPR!$A:$A,0),18),""),"")</f>
        <v/>
      </c>
      <c r="V27">
        <f>IFERROR(IF(ISNUMBER(INDEX(SPPR!$E:$X,MATCH($A27,SPPR!$A:$A,0),19)),$C27*INDEX(SPPR!$E:$X,MATCH($A27,SPPR!$A:$A,0),19),""),"")</f>
        <v/>
      </c>
      <c r="W27">
        <f>IFERROR(IF(ISNUMBER(INDEX(SPPR!$E:$X,MATCH($A27,SPPR!$A:$A,0),20)),$C27*INDEX(SPPR!$E:$X,MATCH($A27,SPPR!$A:$A,0),20),""),"")</f>
        <v/>
      </c>
    </row>
    <row r="28">
      <c r="A28" t="inlineStr">
        <is>
          <t>Cervimunida johni</t>
        </is>
      </c>
      <c r="B28">
        <f>IFERROR(INDEX(SPPR!$D:$D,MATCH($A28,SPPR!$A:$A,0)),"")</f>
        <v/>
      </c>
      <c r="C28">
        <f>IFERROR(INDEX(Catch!$E:$BV,MATCH($A28,Catch!$A:$A,0),MATCH($B$4,Catch!$E$1:$BV$1,0)),0)</f>
        <v/>
      </c>
      <c r="D28">
        <f>IFERROR(IF(ISNUMBER(INDEX(SPPR!$E:$X,MATCH($A28,SPPR!$A:$A,0),1)),$C28*INDEX(SPPR!$E:$X,MATCH($A28,SPPR!$A:$A,0),1),""),"")</f>
        <v/>
      </c>
      <c r="E28">
        <f>IFERROR(IF(ISNUMBER(INDEX(SPPR!$E:$X,MATCH($A28,SPPR!$A:$A,0),2)),$C28*INDEX(SPPR!$E:$X,MATCH($A28,SPPR!$A:$A,0),2),""),"")</f>
        <v/>
      </c>
      <c r="F28">
        <f>IFERROR(IF(ISNUMBER(INDEX(SPPR!$E:$X,MATCH($A28,SPPR!$A:$A,0),3)),$C28*INDEX(SPPR!$E:$X,MATCH($A28,SPPR!$A:$A,0),3),""),"")</f>
        <v/>
      </c>
      <c r="G28">
        <f>IFERROR(IF(ISNUMBER(INDEX(SPPR!$E:$X,MATCH($A28,SPPR!$A:$A,0),4)),$C28*INDEX(SPPR!$E:$X,MATCH($A28,SPPR!$A:$A,0),4),""),"")</f>
        <v/>
      </c>
      <c r="H28">
        <f>IFERROR(IF(ISNUMBER(INDEX(SPPR!$E:$X,MATCH($A28,SPPR!$A:$A,0),5)),$C28*INDEX(SPPR!$E:$X,MATCH($A28,SPPR!$A:$A,0),5),""),"")</f>
        <v/>
      </c>
      <c r="I28">
        <f>IFERROR(IF(ISNUMBER(INDEX(SPPR!$E:$X,MATCH($A28,SPPR!$A:$A,0),6)),$C28*INDEX(SPPR!$E:$X,MATCH($A28,SPPR!$A:$A,0),6),""),"")</f>
        <v/>
      </c>
      <c r="J28">
        <f>IFERROR(IF(ISNUMBER(INDEX(SPPR!$E:$X,MATCH($A28,SPPR!$A:$A,0),7)),$C28*INDEX(SPPR!$E:$X,MATCH($A28,SPPR!$A:$A,0),7),""),"")</f>
        <v/>
      </c>
      <c r="K28">
        <f>IFERROR(IF(ISNUMBER(INDEX(SPPR!$E:$X,MATCH($A28,SPPR!$A:$A,0),8)),$C28*INDEX(SPPR!$E:$X,MATCH($A28,SPPR!$A:$A,0),8),""),"")</f>
        <v/>
      </c>
      <c r="L28">
        <f>IFERROR(IF(ISNUMBER(INDEX(SPPR!$E:$X,MATCH($A28,SPPR!$A:$A,0),9)),$C28*INDEX(SPPR!$E:$X,MATCH($A28,SPPR!$A:$A,0),9),""),"")</f>
        <v/>
      </c>
      <c r="M28">
        <f>IFERROR(IF(ISNUMBER(INDEX(SPPR!$E:$X,MATCH($A28,SPPR!$A:$A,0),10)),$C28*INDEX(SPPR!$E:$X,MATCH($A28,SPPR!$A:$A,0),10),""),"")</f>
        <v/>
      </c>
      <c r="N28">
        <f>IFERROR(IF(ISNUMBER(INDEX(SPPR!$E:$X,MATCH($A28,SPPR!$A:$A,0),11)),$C28*INDEX(SPPR!$E:$X,MATCH($A28,SPPR!$A:$A,0),11),""),"")</f>
        <v/>
      </c>
      <c r="O28">
        <f>IFERROR(IF(ISNUMBER(INDEX(SPPR!$E:$X,MATCH($A28,SPPR!$A:$A,0),12)),$C28*INDEX(SPPR!$E:$X,MATCH($A28,SPPR!$A:$A,0),12),""),"")</f>
        <v/>
      </c>
      <c r="P28">
        <f>IFERROR(IF(ISNUMBER(INDEX(SPPR!$E:$X,MATCH($A28,SPPR!$A:$A,0),13)),$C28*INDEX(SPPR!$E:$X,MATCH($A28,SPPR!$A:$A,0),13),""),"")</f>
        <v/>
      </c>
      <c r="Q28">
        <f>IFERROR(IF(ISNUMBER(INDEX(SPPR!$E:$X,MATCH($A28,SPPR!$A:$A,0),14)),$C28*INDEX(SPPR!$E:$X,MATCH($A28,SPPR!$A:$A,0),14),""),"")</f>
        <v/>
      </c>
      <c r="R28">
        <f>IFERROR(IF(ISNUMBER(INDEX(SPPR!$E:$X,MATCH($A28,SPPR!$A:$A,0),15)),$C28*INDEX(SPPR!$E:$X,MATCH($A28,SPPR!$A:$A,0),15),""),"")</f>
        <v/>
      </c>
      <c r="S28">
        <f>IFERROR(IF(ISNUMBER(INDEX(SPPR!$E:$X,MATCH($A28,SPPR!$A:$A,0),16)),$C28*INDEX(SPPR!$E:$X,MATCH($A28,SPPR!$A:$A,0),16),""),"")</f>
        <v/>
      </c>
      <c r="T28">
        <f>IFERROR(IF(ISNUMBER(INDEX(SPPR!$E:$X,MATCH($A28,SPPR!$A:$A,0),17)),$C28*INDEX(SPPR!$E:$X,MATCH($A28,SPPR!$A:$A,0),17),""),"")</f>
        <v/>
      </c>
      <c r="U28">
        <f>IFERROR(IF(ISNUMBER(INDEX(SPPR!$E:$X,MATCH($A28,SPPR!$A:$A,0),18)),$C28*INDEX(SPPR!$E:$X,MATCH($A28,SPPR!$A:$A,0),18),""),"")</f>
        <v/>
      </c>
      <c r="V28">
        <f>IFERROR(IF(ISNUMBER(INDEX(SPPR!$E:$X,MATCH($A28,SPPR!$A:$A,0),19)),$C28*INDEX(SPPR!$E:$X,MATCH($A28,SPPR!$A:$A,0),19),""),"")</f>
        <v/>
      </c>
      <c r="W28">
        <f>IFERROR(IF(ISNUMBER(INDEX(SPPR!$E:$X,MATCH($A28,SPPR!$A:$A,0),20)),$C28*INDEX(SPPR!$E:$X,MATCH($A28,SPPR!$A:$A,0),20),""),"")</f>
        <v/>
      </c>
    </row>
    <row r="29">
      <c r="A29" t="inlineStr">
        <is>
          <t>Mugil cephalus</t>
        </is>
      </c>
      <c r="B29">
        <f>IFERROR(INDEX(SPPR!$D:$D,MATCH($A29,SPPR!$A:$A,0)),"")</f>
        <v/>
      </c>
      <c r="C29">
        <f>IFERROR(INDEX(Catch!$E:$BV,MATCH($A29,Catch!$A:$A,0),MATCH($B$4,Catch!$E$1:$BV$1,0)),0)</f>
        <v/>
      </c>
      <c r="D29">
        <f>IFERROR(IF(ISNUMBER(INDEX(SPPR!$E:$X,MATCH($A29,SPPR!$A:$A,0),1)),$C29*INDEX(SPPR!$E:$X,MATCH($A29,SPPR!$A:$A,0),1),""),"")</f>
        <v/>
      </c>
      <c r="E29">
        <f>IFERROR(IF(ISNUMBER(INDEX(SPPR!$E:$X,MATCH($A29,SPPR!$A:$A,0),2)),$C29*INDEX(SPPR!$E:$X,MATCH($A29,SPPR!$A:$A,0),2),""),"")</f>
        <v/>
      </c>
      <c r="F29">
        <f>IFERROR(IF(ISNUMBER(INDEX(SPPR!$E:$X,MATCH($A29,SPPR!$A:$A,0),3)),$C29*INDEX(SPPR!$E:$X,MATCH($A29,SPPR!$A:$A,0),3),""),"")</f>
        <v/>
      </c>
      <c r="G29">
        <f>IFERROR(IF(ISNUMBER(INDEX(SPPR!$E:$X,MATCH($A29,SPPR!$A:$A,0),4)),$C29*INDEX(SPPR!$E:$X,MATCH($A29,SPPR!$A:$A,0),4),""),"")</f>
        <v/>
      </c>
      <c r="H29">
        <f>IFERROR(IF(ISNUMBER(INDEX(SPPR!$E:$X,MATCH($A29,SPPR!$A:$A,0),5)),$C29*INDEX(SPPR!$E:$X,MATCH($A29,SPPR!$A:$A,0),5),""),"")</f>
        <v/>
      </c>
      <c r="I29">
        <f>IFERROR(IF(ISNUMBER(INDEX(SPPR!$E:$X,MATCH($A29,SPPR!$A:$A,0),6)),$C29*INDEX(SPPR!$E:$X,MATCH($A29,SPPR!$A:$A,0),6),""),"")</f>
        <v/>
      </c>
      <c r="J29">
        <f>IFERROR(IF(ISNUMBER(INDEX(SPPR!$E:$X,MATCH($A29,SPPR!$A:$A,0),7)),$C29*INDEX(SPPR!$E:$X,MATCH($A29,SPPR!$A:$A,0),7),""),"")</f>
        <v/>
      </c>
      <c r="K29">
        <f>IFERROR(IF(ISNUMBER(INDEX(SPPR!$E:$X,MATCH($A29,SPPR!$A:$A,0),8)),$C29*INDEX(SPPR!$E:$X,MATCH($A29,SPPR!$A:$A,0),8),""),"")</f>
        <v/>
      </c>
      <c r="L29">
        <f>IFERROR(IF(ISNUMBER(INDEX(SPPR!$E:$X,MATCH($A29,SPPR!$A:$A,0),9)),$C29*INDEX(SPPR!$E:$X,MATCH($A29,SPPR!$A:$A,0),9),""),"")</f>
        <v/>
      </c>
      <c r="M29">
        <f>IFERROR(IF(ISNUMBER(INDEX(SPPR!$E:$X,MATCH($A29,SPPR!$A:$A,0),10)),$C29*INDEX(SPPR!$E:$X,MATCH($A29,SPPR!$A:$A,0),10),""),"")</f>
        <v/>
      </c>
      <c r="N29">
        <f>IFERROR(IF(ISNUMBER(INDEX(SPPR!$E:$X,MATCH($A29,SPPR!$A:$A,0),11)),$C29*INDEX(SPPR!$E:$X,MATCH($A29,SPPR!$A:$A,0),11),""),"")</f>
        <v/>
      </c>
      <c r="O29">
        <f>IFERROR(IF(ISNUMBER(INDEX(SPPR!$E:$X,MATCH($A29,SPPR!$A:$A,0),12)),$C29*INDEX(SPPR!$E:$X,MATCH($A29,SPPR!$A:$A,0),12),""),"")</f>
        <v/>
      </c>
      <c r="P29">
        <f>IFERROR(IF(ISNUMBER(INDEX(SPPR!$E:$X,MATCH($A29,SPPR!$A:$A,0),13)),$C29*INDEX(SPPR!$E:$X,MATCH($A29,SPPR!$A:$A,0),13),""),"")</f>
        <v/>
      </c>
      <c r="Q29">
        <f>IFERROR(IF(ISNUMBER(INDEX(SPPR!$E:$X,MATCH($A29,SPPR!$A:$A,0),14)),$C29*INDEX(SPPR!$E:$X,MATCH($A29,SPPR!$A:$A,0),14),""),"")</f>
        <v/>
      </c>
      <c r="R29">
        <f>IFERROR(IF(ISNUMBER(INDEX(SPPR!$E:$X,MATCH($A29,SPPR!$A:$A,0),15)),$C29*INDEX(SPPR!$E:$X,MATCH($A29,SPPR!$A:$A,0),15),""),"")</f>
        <v/>
      </c>
      <c r="S29">
        <f>IFERROR(IF(ISNUMBER(INDEX(SPPR!$E:$X,MATCH($A29,SPPR!$A:$A,0),16)),$C29*INDEX(SPPR!$E:$X,MATCH($A29,SPPR!$A:$A,0),16),""),"")</f>
        <v/>
      </c>
      <c r="T29">
        <f>IFERROR(IF(ISNUMBER(INDEX(SPPR!$E:$X,MATCH($A29,SPPR!$A:$A,0),17)),$C29*INDEX(SPPR!$E:$X,MATCH($A29,SPPR!$A:$A,0),17),""),"")</f>
        <v/>
      </c>
      <c r="U29">
        <f>IFERROR(IF(ISNUMBER(INDEX(SPPR!$E:$X,MATCH($A29,SPPR!$A:$A,0),18)),$C29*INDEX(SPPR!$E:$X,MATCH($A29,SPPR!$A:$A,0),18),""),"")</f>
        <v/>
      </c>
      <c r="V29">
        <f>IFERROR(IF(ISNUMBER(INDEX(SPPR!$E:$X,MATCH($A29,SPPR!$A:$A,0),19)),$C29*INDEX(SPPR!$E:$X,MATCH($A29,SPPR!$A:$A,0),19),""),"")</f>
        <v/>
      </c>
      <c r="W29">
        <f>IFERROR(IF(ISNUMBER(INDEX(SPPR!$E:$X,MATCH($A29,SPPR!$A:$A,0),20)),$C29*INDEX(SPPR!$E:$X,MATCH($A29,SPPR!$A:$A,0),20),""),"")</f>
        <v/>
      </c>
    </row>
    <row r="30">
      <c r="A30" t="inlineStr">
        <is>
          <t>Katsuwonus pelamis</t>
        </is>
      </c>
      <c r="B30">
        <f>IFERROR(INDEX(SPPR!$D:$D,MATCH($A30,SPPR!$A:$A,0)),"")</f>
        <v/>
      </c>
      <c r="C30">
        <f>IFERROR(INDEX(Catch!$E:$BV,MATCH($A30,Catch!$A:$A,0),MATCH($B$4,Catch!$E$1:$BV$1,0)),0)</f>
        <v/>
      </c>
      <c r="D30">
        <f>IFERROR(IF(ISNUMBER(INDEX(SPPR!$E:$X,MATCH($A30,SPPR!$A:$A,0),1)),$C30*INDEX(SPPR!$E:$X,MATCH($A30,SPPR!$A:$A,0),1),""),"")</f>
        <v/>
      </c>
      <c r="E30">
        <f>IFERROR(IF(ISNUMBER(INDEX(SPPR!$E:$X,MATCH($A30,SPPR!$A:$A,0),2)),$C30*INDEX(SPPR!$E:$X,MATCH($A30,SPPR!$A:$A,0),2),""),"")</f>
        <v/>
      </c>
      <c r="F30">
        <f>IFERROR(IF(ISNUMBER(INDEX(SPPR!$E:$X,MATCH($A30,SPPR!$A:$A,0),3)),$C30*INDEX(SPPR!$E:$X,MATCH($A30,SPPR!$A:$A,0),3),""),"")</f>
        <v/>
      </c>
      <c r="G30">
        <f>IFERROR(IF(ISNUMBER(INDEX(SPPR!$E:$X,MATCH($A30,SPPR!$A:$A,0),4)),$C30*INDEX(SPPR!$E:$X,MATCH($A30,SPPR!$A:$A,0),4),""),"")</f>
        <v/>
      </c>
      <c r="H30">
        <f>IFERROR(IF(ISNUMBER(INDEX(SPPR!$E:$X,MATCH($A30,SPPR!$A:$A,0),5)),$C30*INDEX(SPPR!$E:$X,MATCH($A30,SPPR!$A:$A,0),5),""),"")</f>
        <v/>
      </c>
      <c r="I30">
        <f>IFERROR(IF(ISNUMBER(INDEX(SPPR!$E:$X,MATCH($A30,SPPR!$A:$A,0),6)),$C30*INDEX(SPPR!$E:$X,MATCH($A30,SPPR!$A:$A,0),6),""),"")</f>
        <v/>
      </c>
      <c r="J30">
        <f>IFERROR(IF(ISNUMBER(INDEX(SPPR!$E:$X,MATCH($A30,SPPR!$A:$A,0),7)),$C30*INDEX(SPPR!$E:$X,MATCH($A30,SPPR!$A:$A,0),7),""),"")</f>
        <v/>
      </c>
      <c r="K30">
        <f>IFERROR(IF(ISNUMBER(INDEX(SPPR!$E:$X,MATCH($A30,SPPR!$A:$A,0),8)),$C30*INDEX(SPPR!$E:$X,MATCH($A30,SPPR!$A:$A,0),8),""),"")</f>
        <v/>
      </c>
      <c r="L30">
        <f>IFERROR(IF(ISNUMBER(INDEX(SPPR!$E:$X,MATCH($A30,SPPR!$A:$A,0),9)),$C30*INDEX(SPPR!$E:$X,MATCH($A30,SPPR!$A:$A,0),9),""),"")</f>
        <v/>
      </c>
      <c r="M30">
        <f>IFERROR(IF(ISNUMBER(INDEX(SPPR!$E:$X,MATCH($A30,SPPR!$A:$A,0),10)),$C30*INDEX(SPPR!$E:$X,MATCH($A30,SPPR!$A:$A,0),10),""),"")</f>
        <v/>
      </c>
      <c r="N30">
        <f>IFERROR(IF(ISNUMBER(INDEX(SPPR!$E:$X,MATCH($A30,SPPR!$A:$A,0),11)),$C30*INDEX(SPPR!$E:$X,MATCH($A30,SPPR!$A:$A,0),11),""),"")</f>
        <v/>
      </c>
      <c r="O30">
        <f>IFERROR(IF(ISNUMBER(INDEX(SPPR!$E:$X,MATCH($A30,SPPR!$A:$A,0),12)),$C30*INDEX(SPPR!$E:$X,MATCH($A30,SPPR!$A:$A,0),12),""),"")</f>
        <v/>
      </c>
      <c r="P30">
        <f>IFERROR(IF(ISNUMBER(INDEX(SPPR!$E:$X,MATCH($A30,SPPR!$A:$A,0),13)),$C30*INDEX(SPPR!$E:$X,MATCH($A30,SPPR!$A:$A,0),13),""),"")</f>
        <v/>
      </c>
      <c r="Q30">
        <f>IFERROR(IF(ISNUMBER(INDEX(SPPR!$E:$X,MATCH($A30,SPPR!$A:$A,0),14)),$C30*INDEX(SPPR!$E:$X,MATCH($A30,SPPR!$A:$A,0),14),""),"")</f>
        <v/>
      </c>
      <c r="R30">
        <f>IFERROR(IF(ISNUMBER(INDEX(SPPR!$E:$X,MATCH($A30,SPPR!$A:$A,0),15)),$C30*INDEX(SPPR!$E:$X,MATCH($A30,SPPR!$A:$A,0),15),""),"")</f>
        <v/>
      </c>
      <c r="S30">
        <f>IFERROR(IF(ISNUMBER(INDEX(SPPR!$E:$X,MATCH($A30,SPPR!$A:$A,0),16)),$C30*INDEX(SPPR!$E:$X,MATCH($A30,SPPR!$A:$A,0),16),""),"")</f>
        <v/>
      </c>
      <c r="T30">
        <f>IFERROR(IF(ISNUMBER(INDEX(SPPR!$E:$X,MATCH($A30,SPPR!$A:$A,0),17)),$C30*INDEX(SPPR!$E:$X,MATCH($A30,SPPR!$A:$A,0),17),""),"")</f>
        <v/>
      </c>
      <c r="U30">
        <f>IFERROR(IF(ISNUMBER(INDEX(SPPR!$E:$X,MATCH($A30,SPPR!$A:$A,0),18)),$C30*INDEX(SPPR!$E:$X,MATCH($A30,SPPR!$A:$A,0),18),""),"")</f>
        <v/>
      </c>
      <c r="V30">
        <f>IFERROR(IF(ISNUMBER(INDEX(SPPR!$E:$X,MATCH($A30,SPPR!$A:$A,0),19)),$C30*INDEX(SPPR!$E:$X,MATCH($A30,SPPR!$A:$A,0),19),""),"")</f>
        <v/>
      </c>
      <c r="W30">
        <f>IFERROR(IF(ISNUMBER(INDEX(SPPR!$E:$X,MATCH($A30,SPPR!$A:$A,0),20)),$C30*INDEX(SPPR!$E:$X,MATCH($A30,SPPR!$A:$A,0),20),""),"")</f>
        <v/>
      </c>
    </row>
    <row r="31">
      <c r="A31" t="inlineStr">
        <is>
          <t>Veneridae</t>
        </is>
      </c>
      <c r="B31">
        <f>IFERROR(INDEX(SPPR!$D:$D,MATCH($A31,SPPR!$A:$A,0)),"")</f>
        <v/>
      </c>
      <c r="C31">
        <f>IFERROR(INDEX(Catch!$E:$BV,MATCH($A31,Catch!$A:$A,0),MATCH($B$4,Catch!$E$1:$BV$1,0)),0)</f>
        <v/>
      </c>
      <c r="D31">
        <f>IFERROR(IF(ISNUMBER(INDEX(SPPR!$E:$X,MATCH($A31,SPPR!$A:$A,0),1)),$C31*INDEX(SPPR!$E:$X,MATCH($A31,SPPR!$A:$A,0),1),""),"")</f>
        <v/>
      </c>
      <c r="E31">
        <f>IFERROR(IF(ISNUMBER(INDEX(SPPR!$E:$X,MATCH($A31,SPPR!$A:$A,0),2)),$C31*INDEX(SPPR!$E:$X,MATCH($A31,SPPR!$A:$A,0),2),""),"")</f>
        <v/>
      </c>
      <c r="F31">
        <f>IFERROR(IF(ISNUMBER(INDEX(SPPR!$E:$X,MATCH($A31,SPPR!$A:$A,0),3)),$C31*INDEX(SPPR!$E:$X,MATCH($A31,SPPR!$A:$A,0),3),""),"")</f>
        <v/>
      </c>
      <c r="G31">
        <f>IFERROR(IF(ISNUMBER(INDEX(SPPR!$E:$X,MATCH($A31,SPPR!$A:$A,0),4)),$C31*INDEX(SPPR!$E:$X,MATCH($A31,SPPR!$A:$A,0),4),""),"")</f>
        <v/>
      </c>
      <c r="H31">
        <f>IFERROR(IF(ISNUMBER(INDEX(SPPR!$E:$X,MATCH($A31,SPPR!$A:$A,0),5)),$C31*INDEX(SPPR!$E:$X,MATCH($A31,SPPR!$A:$A,0),5),""),"")</f>
        <v/>
      </c>
      <c r="I31">
        <f>IFERROR(IF(ISNUMBER(INDEX(SPPR!$E:$X,MATCH($A31,SPPR!$A:$A,0),6)),$C31*INDEX(SPPR!$E:$X,MATCH($A31,SPPR!$A:$A,0),6),""),"")</f>
        <v/>
      </c>
      <c r="J31">
        <f>IFERROR(IF(ISNUMBER(INDEX(SPPR!$E:$X,MATCH($A31,SPPR!$A:$A,0),7)),$C31*INDEX(SPPR!$E:$X,MATCH($A31,SPPR!$A:$A,0),7),""),"")</f>
        <v/>
      </c>
      <c r="K31">
        <f>IFERROR(IF(ISNUMBER(INDEX(SPPR!$E:$X,MATCH($A31,SPPR!$A:$A,0),8)),$C31*INDEX(SPPR!$E:$X,MATCH($A31,SPPR!$A:$A,0),8),""),"")</f>
        <v/>
      </c>
      <c r="L31">
        <f>IFERROR(IF(ISNUMBER(INDEX(SPPR!$E:$X,MATCH($A31,SPPR!$A:$A,0),9)),$C31*INDEX(SPPR!$E:$X,MATCH($A31,SPPR!$A:$A,0),9),""),"")</f>
        <v/>
      </c>
      <c r="M31">
        <f>IFERROR(IF(ISNUMBER(INDEX(SPPR!$E:$X,MATCH($A31,SPPR!$A:$A,0),10)),$C31*INDEX(SPPR!$E:$X,MATCH($A31,SPPR!$A:$A,0),10),""),"")</f>
        <v/>
      </c>
      <c r="N31">
        <f>IFERROR(IF(ISNUMBER(INDEX(SPPR!$E:$X,MATCH($A31,SPPR!$A:$A,0),11)),$C31*INDEX(SPPR!$E:$X,MATCH($A31,SPPR!$A:$A,0),11),""),"")</f>
        <v/>
      </c>
      <c r="O31">
        <f>IFERROR(IF(ISNUMBER(INDEX(SPPR!$E:$X,MATCH($A31,SPPR!$A:$A,0),12)),$C31*INDEX(SPPR!$E:$X,MATCH($A31,SPPR!$A:$A,0),12),""),"")</f>
        <v/>
      </c>
      <c r="P31">
        <f>IFERROR(IF(ISNUMBER(INDEX(SPPR!$E:$X,MATCH($A31,SPPR!$A:$A,0),13)),$C31*INDEX(SPPR!$E:$X,MATCH($A31,SPPR!$A:$A,0),13),""),"")</f>
        <v/>
      </c>
      <c r="Q31">
        <f>IFERROR(IF(ISNUMBER(INDEX(SPPR!$E:$X,MATCH($A31,SPPR!$A:$A,0),14)),$C31*INDEX(SPPR!$E:$X,MATCH($A31,SPPR!$A:$A,0),14),""),"")</f>
        <v/>
      </c>
      <c r="R31">
        <f>IFERROR(IF(ISNUMBER(INDEX(SPPR!$E:$X,MATCH($A31,SPPR!$A:$A,0),15)),$C31*INDEX(SPPR!$E:$X,MATCH($A31,SPPR!$A:$A,0),15),""),"")</f>
        <v/>
      </c>
      <c r="S31">
        <f>IFERROR(IF(ISNUMBER(INDEX(SPPR!$E:$X,MATCH($A31,SPPR!$A:$A,0),16)),$C31*INDEX(SPPR!$E:$X,MATCH($A31,SPPR!$A:$A,0),16),""),"")</f>
        <v/>
      </c>
      <c r="T31">
        <f>IFERROR(IF(ISNUMBER(INDEX(SPPR!$E:$X,MATCH($A31,SPPR!$A:$A,0),17)),$C31*INDEX(SPPR!$E:$X,MATCH($A31,SPPR!$A:$A,0),17),""),"")</f>
        <v/>
      </c>
      <c r="U31">
        <f>IFERROR(IF(ISNUMBER(INDEX(SPPR!$E:$X,MATCH($A31,SPPR!$A:$A,0),18)),$C31*INDEX(SPPR!$E:$X,MATCH($A31,SPPR!$A:$A,0),18),""),"")</f>
        <v/>
      </c>
      <c r="V31">
        <f>IFERROR(IF(ISNUMBER(INDEX(SPPR!$E:$X,MATCH($A31,SPPR!$A:$A,0),19)),$C31*INDEX(SPPR!$E:$X,MATCH($A31,SPPR!$A:$A,0),19),""),"")</f>
        <v/>
      </c>
      <c r="W31">
        <f>IFERROR(IF(ISNUMBER(INDEX(SPPR!$E:$X,MATCH($A31,SPPR!$A:$A,0),20)),$C31*INDEX(SPPR!$E:$X,MATCH($A31,SPPR!$A:$A,0),20),""),"")</f>
        <v/>
      </c>
    </row>
    <row r="32">
      <c r="A32" t="inlineStr">
        <is>
          <t>Argopecten purpuratus</t>
        </is>
      </c>
      <c r="B32">
        <f>IFERROR(INDEX(SPPR!$D:$D,MATCH($A32,SPPR!$A:$A,0)),"")</f>
        <v/>
      </c>
      <c r="C32">
        <f>IFERROR(INDEX(Catch!$E:$BV,MATCH($A32,Catch!$A:$A,0),MATCH($B$4,Catch!$E$1:$BV$1,0)),0)</f>
        <v/>
      </c>
      <c r="D32">
        <f>IFERROR(IF(ISNUMBER(INDEX(SPPR!$E:$X,MATCH($A32,SPPR!$A:$A,0),1)),$C32*INDEX(SPPR!$E:$X,MATCH($A32,SPPR!$A:$A,0),1),""),"")</f>
        <v/>
      </c>
      <c r="E32">
        <f>IFERROR(IF(ISNUMBER(INDEX(SPPR!$E:$X,MATCH($A32,SPPR!$A:$A,0),2)),$C32*INDEX(SPPR!$E:$X,MATCH($A32,SPPR!$A:$A,0),2),""),"")</f>
        <v/>
      </c>
      <c r="F32">
        <f>IFERROR(IF(ISNUMBER(INDEX(SPPR!$E:$X,MATCH($A32,SPPR!$A:$A,0),3)),$C32*INDEX(SPPR!$E:$X,MATCH($A32,SPPR!$A:$A,0),3),""),"")</f>
        <v/>
      </c>
      <c r="G32">
        <f>IFERROR(IF(ISNUMBER(INDEX(SPPR!$E:$X,MATCH($A32,SPPR!$A:$A,0),4)),$C32*INDEX(SPPR!$E:$X,MATCH($A32,SPPR!$A:$A,0),4),""),"")</f>
        <v/>
      </c>
      <c r="H32">
        <f>IFERROR(IF(ISNUMBER(INDEX(SPPR!$E:$X,MATCH($A32,SPPR!$A:$A,0),5)),$C32*INDEX(SPPR!$E:$X,MATCH($A32,SPPR!$A:$A,0),5),""),"")</f>
        <v/>
      </c>
      <c r="I32">
        <f>IFERROR(IF(ISNUMBER(INDEX(SPPR!$E:$X,MATCH($A32,SPPR!$A:$A,0),6)),$C32*INDEX(SPPR!$E:$X,MATCH($A32,SPPR!$A:$A,0),6),""),"")</f>
        <v/>
      </c>
      <c r="J32">
        <f>IFERROR(IF(ISNUMBER(INDEX(SPPR!$E:$X,MATCH($A32,SPPR!$A:$A,0),7)),$C32*INDEX(SPPR!$E:$X,MATCH($A32,SPPR!$A:$A,0),7),""),"")</f>
        <v/>
      </c>
      <c r="K32">
        <f>IFERROR(IF(ISNUMBER(INDEX(SPPR!$E:$X,MATCH($A32,SPPR!$A:$A,0),8)),$C32*INDEX(SPPR!$E:$X,MATCH($A32,SPPR!$A:$A,0),8),""),"")</f>
        <v/>
      </c>
      <c r="L32">
        <f>IFERROR(IF(ISNUMBER(INDEX(SPPR!$E:$X,MATCH($A32,SPPR!$A:$A,0),9)),$C32*INDEX(SPPR!$E:$X,MATCH($A32,SPPR!$A:$A,0),9),""),"")</f>
        <v/>
      </c>
      <c r="M32">
        <f>IFERROR(IF(ISNUMBER(INDEX(SPPR!$E:$X,MATCH($A32,SPPR!$A:$A,0),10)),$C32*INDEX(SPPR!$E:$X,MATCH($A32,SPPR!$A:$A,0),10),""),"")</f>
        <v/>
      </c>
      <c r="N32">
        <f>IFERROR(IF(ISNUMBER(INDEX(SPPR!$E:$X,MATCH($A32,SPPR!$A:$A,0),11)),$C32*INDEX(SPPR!$E:$X,MATCH($A32,SPPR!$A:$A,0),11),""),"")</f>
        <v/>
      </c>
      <c r="O32">
        <f>IFERROR(IF(ISNUMBER(INDEX(SPPR!$E:$X,MATCH($A32,SPPR!$A:$A,0),12)),$C32*INDEX(SPPR!$E:$X,MATCH($A32,SPPR!$A:$A,0),12),""),"")</f>
        <v/>
      </c>
      <c r="P32">
        <f>IFERROR(IF(ISNUMBER(INDEX(SPPR!$E:$X,MATCH($A32,SPPR!$A:$A,0),13)),$C32*INDEX(SPPR!$E:$X,MATCH($A32,SPPR!$A:$A,0),13),""),"")</f>
        <v/>
      </c>
      <c r="Q32">
        <f>IFERROR(IF(ISNUMBER(INDEX(SPPR!$E:$X,MATCH($A32,SPPR!$A:$A,0),14)),$C32*INDEX(SPPR!$E:$X,MATCH($A32,SPPR!$A:$A,0),14),""),"")</f>
        <v/>
      </c>
      <c r="R32">
        <f>IFERROR(IF(ISNUMBER(INDEX(SPPR!$E:$X,MATCH($A32,SPPR!$A:$A,0),15)),$C32*INDEX(SPPR!$E:$X,MATCH($A32,SPPR!$A:$A,0),15),""),"")</f>
        <v/>
      </c>
      <c r="S32">
        <f>IFERROR(IF(ISNUMBER(INDEX(SPPR!$E:$X,MATCH($A32,SPPR!$A:$A,0),16)),$C32*INDEX(SPPR!$E:$X,MATCH($A32,SPPR!$A:$A,0),16),""),"")</f>
        <v/>
      </c>
      <c r="T32">
        <f>IFERROR(IF(ISNUMBER(INDEX(SPPR!$E:$X,MATCH($A32,SPPR!$A:$A,0),17)),$C32*INDEX(SPPR!$E:$X,MATCH($A32,SPPR!$A:$A,0),17),""),"")</f>
        <v/>
      </c>
      <c r="U32">
        <f>IFERROR(IF(ISNUMBER(INDEX(SPPR!$E:$X,MATCH($A32,SPPR!$A:$A,0),18)),$C32*INDEX(SPPR!$E:$X,MATCH($A32,SPPR!$A:$A,0),18),""),"")</f>
        <v/>
      </c>
      <c r="V32">
        <f>IFERROR(IF(ISNUMBER(INDEX(SPPR!$E:$X,MATCH($A32,SPPR!$A:$A,0),19)),$C32*INDEX(SPPR!$E:$X,MATCH($A32,SPPR!$A:$A,0),19),""),"")</f>
        <v/>
      </c>
      <c r="W32">
        <f>IFERROR(IF(ISNUMBER(INDEX(SPPR!$E:$X,MATCH($A32,SPPR!$A:$A,0),20)),$C32*INDEX(SPPR!$E:$X,MATCH($A32,SPPR!$A:$A,0),20),""),"")</f>
        <v/>
      </c>
    </row>
    <row r="33">
      <c r="A33" t="inlineStr">
        <is>
          <t>Doryteuthis gahi</t>
        </is>
      </c>
      <c r="B33">
        <f>IFERROR(INDEX(SPPR!$D:$D,MATCH($A33,SPPR!$A:$A,0)),"")</f>
        <v/>
      </c>
      <c r="C33">
        <f>IFERROR(INDEX(Catch!$E:$BV,MATCH($A33,Catch!$A:$A,0),MATCH($B$4,Catch!$E$1:$BV$1,0)),0)</f>
        <v/>
      </c>
      <c r="D33">
        <f>IFERROR(IF(ISNUMBER(INDEX(SPPR!$E:$X,MATCH($A33,SPPR!$A:$A,0),1)),$C33*INDEX(SPPR!$E:$X,MATCH($A33,SPPR!$A:$A,0),1),""),"")</f>
        <v/>
      </c>
      <c r="E33">
        <f>IFERROR(IF(ISNUMBER(INDEX(SPPR!$E:$X,MATCH($A33,SPPR!$A:$A,0),2)),$C33*INDEX(SPPR!$E:$X,MATCH($A33,SPPR!$A:$A,0),2),""),"")</f>
        <v/>
      </c>
      <c r="F33">
        <f>IFERROR(IF(ISNUMBER(INDEX(SPPR!$E:$X,MATCH($A33,SPPR!$A:$A,0),3)),$C33*INDEX(SPPR!$E:$X,MATCH($A33,SPPR!$A:$A,0),3),""),"")</f>
        <v/>
      </c>
      <c r="G33">
        <f>IFERROR(IF(ISNUMBER(INDEX(SPPR!$E:$X,MATCH($A33,SPPR!$A:$A,0),4)),$C33*INDEX(SPPR!$E:$X,MATCH($A33,SPPR!$A:$A,0),4),""),"")</f>
        <v/>
      </c>
      <c r="H33">
        <f>IFERROR(IF(ISNUMBER(INDEX(SPPR!$E:$X,MATCH($A33,SPPR!$A:$A,0),5)),$C33*INDEX(SPPR!$E:$X,MATCH($A33,SPPR!$A:$A,0),5),""),"")</f>
        <v/>
      </c>
      <c r="I33">
        <f>IFERROR(IF(ISNUMBER(INDEX(SPPR!$E:$X,MATCH($A33,SPPR!$A:$A,0),6)),$C33*INDEX(SPPR!$E:$X,MATCH($A33,SPPR!$A:$A,0),6),""),"")</f>
        <v/>
      </c>
      <c r="J33">
        <f>IFERROR(IF(ISNUMBER(INDEX(SPPR!$E:$X,MATCH($A33,SPPR!$A:$A,0),7)),$C33*INDEX(SPPR!$E:$X,MATCH($A33,SPPR!$A:$A,0),7),""),"")</f>
        <v/>
      </c>
      <c r="K33">
        <f>IFERROR(IF(ISNUMBER(INDEX(SPPR!$E:$X,MATCH($A33,SPPR!$A:$A,0),8)),$C33*INDEX(SPPR!$E:$X,MATCH($A33,SPPR!$A:$A,0),8),""),"")</f>
        <v/>
      </c>
      <c r="L33">
        <f>IFERROR(IF(ISNUMBER(INDEX(SPPR!$E:$X,MATCH($A33,SPPR!$A:$A,0),9)),$C33*INDEX(SPPR!$E:$X,MATCH($A33,SPPR!$A:$A,0),9),""),"")</f>
        <v/>
      </c>
      <c r="M33">
        <f>IFERROR(IF(ISNUMBER(INDEX(SPPR!$E:$X,MATCH($A33,SPPR!$A:$A,0),10)),$C33*INDEX(SPPR!$E:$X,MATCH($A33,SPPR!$A:$A,0),10),""),"")</f>
        <v/>
      </c>
      <c r="N33">
        <f>IFERROR(IF(ISNUMBER(INDEX(SPPR!$E:$X,MATCH($A33,SPPR!$A:$A,0),11)),$C33*INDEX(SPPR!$E:$X,MATCH($A33,SPPR!$A:$A,0),11),""),"")</f>
        <v/>
      </c>
      <c r="O33">
        <f>IFERROR(IF(ISNUMBER(INDEX(SPPR!$E:$X,MATCH($A33,SPPR!$A:$A,0),12)),$C33*INDEX(SPPR!$E:$X,MATCH($A33,SPPR!$A:$A,0),12),""),"")</f>
        <v/>
      </c>
      <c r="P33">
        <f>IFERROR(IF(ISNUMBER(INDEX(SPPR!$E:$X,MATCH($A33,SPPR!$A:$A,0),13)),$C33*INDEX(SPPR!$E:$X,MATCH($A33,SPPR!$A:$A,0),13),""),"")</f>
        <v/>
      </c>
      <c r="Q33">
        <f>IFERROR(IF(ISNUMBER(INDEX(SPPR!$E:$X,MATCH($A33,SPPR!$A:$A,0),14)),$C33*INDEX(SPPR!$E:$X,MATCH($A33,SPPR!$A:$A,0),14),""),"")</f>
        <v/>
      </c>
      <c r="R33">
        <f>IFERROR(IF(ISNUMBER(INDEX(SPPR!$E:$X,MATCH($A33,SPPR!$A:$A,0),15)),$C33*INDEX(SPPR!$E:$X,MATCH($A33,SPPR!$A:$A,0),15),""),"")</f>
        <v/>
      </c>
      <c r="S33">
        <f>IFERROR(IF(ISNUMBER(INDEX(SPPR!$E:$X,MATCH($A33,SPPR!$A:$A,0),16)),$C33*INDEX(SPPR!$E:$X,MATCH($A33,SPPR!$A:$A,0),16),""),"")</f>
        <v/>
      </c>
      <c r="T33">
        <f>IFERROR(IF(ISNUMBER(INDEX(SPPR!$E:$X,MATCH($A33,SPPR!$A:$A,0),17)),$C33*INDEX(SPPR!$E:$X,MATCH($A33,SPPR!$A:$A,0),17),""),"")</f>
        <v/>
      </c>
      <c r="U33">
        <f>IFERROR(IF(ISNUMBER(INDEX(SPPR!$E:$X,MATCH($A33,SPPR!$A:$A,0),18)),$C33*INDEX(SPPR!$E:$X,MATCH($A33,SPPR!$A:$A,0),18),""),"")</f>
        <v/>
      </c>
      <c r="V33">
        <f>IFERROR(IF(ISNUMBER(INDEX(SPPR!$E:$X,MATCH($A33,SPPR!$A:$A,0),19)),$C33*INDEX(SPPR!$E:$X,MATCH($A33,SPPR!$A:$A,0),19),""),"")</f>
        <v/>
      </c>
      <c r="W33">
        <f>IFERROR(IF(ISNUMBER(INDEX(SPPR!$E:$X,MATCH($A33,SPPR!$A:$A,0),20)),$C33*INDEX(SPPR!$E:$X,MATCH($A33,SPPR!$A:$A,0),20),""),"")</f>
        <v/>
      </c>
    </row>
    <row r="34">
      <c r="A34" t="inlineStr">
        <is>
          <t>Odontesthes regia</t>
        </is>
      </c>
      <c r="B34">
        <f>IFERROR(INDEX(SPPR!$D:$D,MATCH($A34,SPPR!$A:$A,0)),"")</f>
        <v/>
      </c>
      <c r="C34">
        <f>IFERROR(INDEX(Catch!$E:$BV,MATCH($A34,Catch!$A:$A,0),MATCH($B$4,Catch!$E$1:$BV$1,0)),0)</f>
        <v/>
      </c>
      <c r="D34">
        <f>IFERROR(IF(ISNUMBER(INDEX(SPPR!$E:$X,MATCH($A34,SPPR!$A:$A,0),1)),$C34*INDEX(SPPR!$E:$X,MATCH($A34,SPPR!$A:$A,0),1),""),"")</f>
        <v/>
      </c>
      <c r="E34">
        <f>IFERROR(IF(ISNUMBER(INDEX(SPPR!$E:$X,MATCH($A34,SPPR!$A:$A,0),2)),$C34*INDEX(SPPR!$E:$X,MATCH($A34,SPPR!$A:$A,0),2),""),"")</f>
        <v/>
      </c>
      <c r="F34">
        <f>IFERROR(IF(ISNUMBER(INDEX(SPPR!$E:$X,MATCH($A34,SPPR!$A:$A,0),3)),$C34*INDEX(SPPR!$E:$X,MATCH($A34,SPPR!$A:$A,0),3),""),"")</f>
        <v/>
      </c>
      <c r="G34">
        <f>IFERROR(IF(ISNUMBER(INDEX(SPPR!$E:$X,MATCH($A34,SPPR!$A:$A,0),4)),$C34*INDEX(SPPR!$E:$X,MATCH($A34,SPPR!$A:$A,0),4),""),"")</f>
        <v/>
      </c>
      <c r="H34">
        <f>IFERROR(IF(ISNUMBER(INDEX(SPPR!$E:$X,MATCH($A34,SPPR!$A:$A,0),5)),$C34*INDEX(SPPR!$E:$X,MATCH($A34,SPPR!$A:$A,0),5),""),"")</f>
        <v/>
      </c>
      <c r="I34">
        <f>IFERROR(IF(ISNUMBER(INDEX(SPPR!$E:$X,MATCH($A34,SPPR!$A:$A,0),6)),$C34*INDEX(SPPR!$E:$X,MATCH($A34,SPPR!$A:$A,0),6),""),"")</f>
        <v/>
      </c>
      <c r="J34">
        <f>IFERROR(IF(ISNUMBER(INDEX(SPPR!$E:$X,MATCH($A34,SPPR!$A:$A,0),7)),$C34*INDEX(SPPR!$E:$X,MATCH($A34,SPPR!$A:$A,0),7),""),"")</f>
        <v/>
      </c>
      <c r="K34">
        <f>IFERROR(IF(ISNUMBER(INDEX(SPPR!$E:$X,MATCH($A34,SPPR!$A:$A,0),8)),$C34*INDEX(SPPR!$E:$X,MATCH($A34,SPPR!$A:$A,0),8),""),"")</f>
        <v/>
      </c>
      <c r="L34">
        <f>IFERROR(IF(ISNUMBER(INDEX(SPPR!$E:$X,MATCH($A34,SPPR!$A:$A,0),9)),$C34*INDEX(SPPR!$E:$X,MATCH($A34,SPPR!$A:$A,0),9),""),"")</f>
        <v/>
      </c>
      <c r="M34">
        <f>IFERROR(IF(ISNUMBER(INDEX(SPPR!$E:$X,MATCH($A34,SPPR!$A:$A,0),10)),$C34*INDEX(SPPR!$E:$X,MATCH($A34,SPPR!$A:$A,0),10),""),"")</f>
        <v/>
      </c>
      <c r="N34">
        <f>IFERROR(IF(ISNUMBER(INDEX(SPPR!$E:$X,MATCH($A34,SPPR!$A:$A,0),11)),$C34*INDEX(SPPR!$E:$X,MATCH($A34,SPPR!$A:$A,0),11),""),"")</f>
        <v/>
      </c>
      <c r="O34">
        <f>IFERROR(IF(ISNUMBER(INDEX(SPPR!$E:$X,MATCH($A34,SPPR!$A:$A,0),12)),$C34*INDEX(SPPR!$E:$X,MATCH($A34,SPPR!$A:$A,0),12),""),"")</f>
        <v/>
      </c>
      <c r="P34">
        <f>IFERROR(IF(ISNUMBER(INDEX(SPPR!$E:$X,MATCH($A34,SPPR!$A:$A,0),13)),$C34*INDEX(SPPR!$E:$X,MATCH($A34,SPPR!$A:$A,0),13),""),"")</f>
        <v/>
      </c>
      <c r="Q34">
        <f>IFERROR(IF(ISNUMBER(INDEX(SPPR!$E:$X,MATCH($A34,SPPR!$A:$A,0),14)),$C34*INDEX(SPPR!$E:$X,MATCH($A34,SPPR!$A:$A,0),14),""),"")</f>
        <v/>
      </c>
      <c r="R34">
        <f>IFERROR(IF(ISNUMBER(INDEX(SPPR!$E:$X,MATCH($A34,SPPR!$A:$A,0),15)),$C34*INDEX(SPPR!$E:$X,MATCH($A34,SPPR!$A:$A,0),15),""),"")</f>
        <v/>
      </c>
      <c r="S34">
        <f>IFERROR(IF(ISNUMBER(INDEX(SPPR!$E:$X,MATCH($A34,SPPR!$A:$A,0),16)),$C34*INDEX(SPPR!$E:$X,MATCH($A34,SPPR!$A:$A,0),16),""),"")</f>
        <v/>
      </c>
      <c r="T34">
        <f>IFERROR(IF(ISNUMBER(INDEX(SPPR!$E:$X,MATCH($A34,SPPR!$A:$A,0),17)),$C34*INDEX(SPPR!$E:$X,MATCH($A34,SPPR!$A:$A,0),17),""),"")</f>
        <v/>
      </c>
      <c r="U34">
        <f>IFERROR(IF(ISNUMBER(INDEX(SPPR!$E:$X,MATCH($A34,SPPR!$A:$A,0),18)),$C34*INDEX(SPPR!$E:$X,MATCH($A34,SPPR!$A:$A,0),18),""),"")</f>
        <v/>
      </c>
      <c r="V34">
        <f>IFERROR(IF(ISNUMBER(INDEX(SPPR!$E:$X,MATCH($A34,SPPR!$A:$A,0),19)),$C34*INDEX(SPPR!$E:$X,MATCH($A34,SPPR!$A:$A,0),19),""),"")</f>
        <v/>
      </c>
      <c r="W34">
        <f>IFERROR(IF(ISNUMBER(INDEX(SPPR!$E:$X,MATCH($A34,SPPR!$A:$A,0),20)),$C34*INDEX(SPPR!$E:$X,MATCH($A34,SPPR!$A:$A,0),20),""),"")</f>
        <v/>
      </c>
    </row>
    <row r="35">
      <c r="A35" t="inlineStr">
        <is>
          <t>Brama australis</t>
        </is>
      </c>
      <c r="B35">
        <f>IFERROR(INDEX(SPPR!$D:$D,MATCH($A35,SPPR!$A:$A,0)),"")</f>
        <v/>
      </c>
      <c r="C35">
        <f>IFERROR(INDEX(Catch!$E:$BV,MATCH($A35,Catch!$A:$A,0),MATCH($B$4,Catch!$E$1:$BV$1,0)),0)</f>
        <v/>
      </c>
      <c r="D35">
        <f>IFERROR(IF(ISNUMBER(INDEX(SPPR!$E:$X,MATCH($A35,SPPR!$A:$A,0),1)),$C35*INDEX(SPPR!$E:$X,MATCH($A35,SPPR!$A:$A,0),1),""),"")</f>
        <v/>
      </c>
      <c r="E35">
        <f>IFERROR(IF(ISNUMBER(INDEX(SPPR!$E:$X,MATCH($A35,SPPR!$A:$A,0),2)),$C35*INDEX(SPPR!$E:$X,MATCH($A35,SPPR!$A:$A,0),2),""),"")</f>
        <v/>
      </c>
      <c r="F35">
        <f>IFERROR(IF(ISNUMBER(INDEX(SPPR!$E:$X,MATCH($A35,SPPR!$A:$A,0),3)),$C35*INDEX(SPPR!$E:$X,MATCH($A35,SPPR!$A:$A,0),3),""),"")</f>
        <v/>
      </c>
      <c r="G35">
        <f>IFERROR(IF(ISNUMBER(INDEX(SPPR!$E:$X,MATCH($A35,SPPR!$A:$A,0),4)),$C35*INDEX(SPPR!$E:$X,MATCH($A35,SPPR!$A:$A,0),4),""),"")</f>
        <v/>
      </c>
      <c r="H35">
        <f>IFERROR(IF(ISNUMBER(INDEX(SPPR!$E:$X,MATCH($A35,SPPR!$A:$A,0),5)),$C35*INDEX(SPPR!$E:$X,MATCH($A35,SPPR!$A:$A,0),5),""),"")</f>
        <v/>
      </c>
      <c r="I35">
        <f>IFERROR(IF(ISNUMBER(INDEX(SPPR!$E:$X,MATCH($A35,SPPR!$A:$A,0),6)),$C35*INDEX(SPPR!$E:$X,MATCH($A35,SPPR!$A:$A,0),6),""),"")</f>
        <v/>
      </c>
      <c r="J35">
        <f>IFERROR(IF(ISNUMBER(INDEX(SPPR!$E:$X,MATCH($A35,SPPR!$A:$A,0),7)),$C35*INDEX(SPPR!$E:$X,MATCH($A35,SPPR!$A:$A,0),7),""),"")</f>
        <v/>
      </c>
      <c r="K35">
        <f>IFERROR(IF(ISNUMBER(INDEX(SPPR!$E:$X,MATCH($A35,SPPR!$A:$A,0),8)),$C35*INDEX(SPPR!$E:$X,MATCH($A35,SPPR!$A:$A,0),8),""),"")</f>
        <v/>
      </c>
      <c r="L35">
        <f>IFERROR(IF(ISNUMBER(INDEX(SPPR!$E:$X,MATCH($A35,SPPR!$A:$A,0),9)),$C35*INDEX(SPPR!$E:$X,MATCH($A35,SPPR!$A:$A,0),9),""),"")</f>
        <v/>
      </c>
      <c r="M35">
        <f>IFERROR(IF(ISNUMBER(INDEX(SPPR!$E:$X,MATCH($A35,SPPR!$A:$A,0),10)),$C35*INDEX(SPPR!$E:$X,MATCH($A35,SPPR!$A:$A,0),10),""),"")</f>
        <v/>
      </c>
      <c r="N35">
        <f>IFERROR(IF(ISNUMBER(INDEX(SPPR!$E:$X,MATCH($A35,SPPR!$A:$A,0),11)),$C35*INDEX(SPPR!$E:$X,MATCH($A35,SPPR!$A:$A,0),11),""),"")</f>
        <v/>
      </c>
      <c r="O35">
        <f>IFERROR(IF(ISNUMBER(INDEX(SPPR!$E:$X,MATCH($A35,SPPR!$A:$A,0),12)),$C35*INDEX(SPPR!$E:$X,MATCH($A35,SPPR!$A:$A,0),12),""),"")</f>
        <v/>
      </c>
      <c r="P35">
        <f>IFERROR(IF(ISNUMBER(INDEX(SPPR!$E:$X,MATCH($A35,SPPR!$A:$A,0),13)),$C35*INDEX(SPPR!$E:$X,MATCH($A35,SPPR!$A:$A,0),13),""),"")</f>
        <v/>
      </c>
      <c r="Q35">
        <f>IFERROR(IF(ISNUMBER(INDEX(SPPR!$E:$X,MATCH($A35,SPPR!$A:$A,0),14)),$C35*INDEX(SPPR!$E:$X,MATCH($A35,SPPR!$A:$A,0),14),""),"")</f>
        <v/>
      </c>
      <c r="R35">
        <f>IFERROR(IF(ISNUMBER(INDEX(SPPR!$E:$X,MATCH($A35,SPPR!$A:$A,0),15)),$C35*INDEX(SPPR!$E:$X,MATCH($A35,SPPR!$A:$A,0),15),""),"")</f>
        <v/>
      </c>
      <c r="S35">
        <f>IFERROR(IF(ISNUMBER(INDEX(SPPR!$E:$X,MATCH($A35,SPPR!$A:$A,0),16)),$C35*INDEX(SPPR!$E:$X,MATCH($A35,SPPR!$A:$A,0),16),""),"")</f>
        <v/>
      </c>
      <c r="T35">
        <f>IFERROR(IF(ISNUMBER(INDEX(SPPR!$E:$X,MATCH($A35,SPPR!$A:$A,0),17)),$C35*INDEX(SPPR!$E:$X,MATCH($A35,SPPR!$A:$A,0),17),""),"")</f>
        <v/>
      </c>
      <c r="U35">
        <f>IFERROR(IF(ISNUMBER(INDEX(SPPR!$E:$X,MATCH($A35,SPPR!$A:$A,0),18)),$C35*INDEX(SPPR!$E:$X,MATCH($A35,SPPR!$A:$A,0),18),""),"")</f>
        <v/>
      </c>
      <c r="V35">
        <f>IFERROR(IF(ISNUMBER(INDEX(SPPR!$E:$X,MATCH($A35,SPPR!$A:$A,0),19)),$C35*INDEX(SPPR!$E:$X,MATCH($A35,SPPR!$A:$A,0),19),""),"")</f>
        <v/>
      </c>
      <c r="W35">
        <f>IFERROR(IF(ISNUMBER(INDEX(SPPR!$E:$X,MATCH($A35,SPPR!$A:$A,0),20)),$C35*INDEX(SPPR!$E:$X,MATCH($A35,SPPR!$A:$A,0),20),""),"")</f>
        <v/>
      </c>
    </row>
    <row r="36">
      <c r="A36" t="inlineStr">
        <is>
          <t>Seriolella</t>
        </is>
      </c>
      <c r="B36">
        <f>IFERROR(INDEX(SPPR!$D:$D,MATCH($A36,SPPR!$A:$A,0)),"")</f>
        <v/>
      </c>
      <c r="C36">
        <f>IFERROR(INDEX(Catch!$E:$BV,MATCH($A36,Catch!$A:$A,0),MATCH($B$4,Catch!$E$1:$BV$1,0)),0)</f>
        <v/>
      </c>
      <c r="D36">
        <f>IFERROR(IF(ISNUMBER(INDEX(SPPR!$E:$X,MATCH($A36,SPPR!$A:$A,0),1)),$C36*INDEX(SPPR!$E:$X,MATCH($A36,SPPR!$A:$A,0),1),""),"")</f>
        <v/>
      </c>
      <c r="E36">
        <f>IFERROR(IF(ISNUMBER(INDEX(SPPR!$E:$X,MATCH($A36,SPPR!$A:$A,0),2)),$C36*INDEX(SPPR!$E:$X,MATCH($A36,SPPR!$A:$A,0),2),""),"")</f>
        <v/>
      </c>
      <c r="F36">
        <f>IFERROR(IF(ISNUMBER(INDEX(SPPR!$E:$X,MATCH($A36,SPPR!$A:$A,0),3)),$C36*INDEX(SPPR!$E:$X,MATCH($A36,SPPR!$A:$A,0),3),""),"")</f>
        <v/>
      </c>
      <c r="G36">
        <f>IFERROR(IF(ISNUMBER(INDEX(SPPR!$E:$X,MATCH($A36,SPPR!$A:$A,0),4)),$C36*INDEX(SPPR!$E:$X,MATCH($A36,SPPR!$A:$A,0),4),""),"")</f>
        <v/>
      </c>
      <c r="H36">
        <f>IFERROR(IF(ISNUMBER(INDEX(SPPR!$E:$X,MATCH($A36,SPPR!$A:$A,0),5)),$C36*INDEX(SPPR!$E:$X,MATCH($A36,SPPR!$A:$A,0),5),""),"")</f>
        <v/>
      </c>
      <c r="I36">
        <f>IFERROR(IF(ISNUMBER(INDEX(SPPR!$E:$X,MATCH($A36,SPPR!$A:$A,0),6)),$C36*INDEX(SPPR!$E:$X,MATCH($A36,SPPR!$A:$A,0),6),""),"")</f>
        <v/>
      </c>
      <c r="J36">
        <f>IFERROR(IF(ISNUMBER(INDEX(SPPR!$E:$X,MATCH($A36,SPPR!$A:$A,0),7)),$C36*INDEX(SPPR!$E:$X,MATCH($A36,SPPR!$A:$A,0),7),""),"")</f>
        <v/>
      </c>
      <c r="K36">
        <f>IFERROR(IF(ISNUMBER(INDEX(SPPR!$E:$X,MATCH($A36,SPPR!$A:$A,0),8)),$C36*INDEX(SPPR!$E:$X,MATCH($A36,SPPR!$A:$A,0),8),""),"")</f>
        <v/>
      </c>
      <c r="L36">
        <f>IFERROR(IF(ISNUMBER(INDEX(SPPR!$E:$X,MATCH($A36,SPPR!$A:$A,0),9)),$C36*INDEX(SPPR!$E:$X,MATCH($A36,SPPR!$A:$A,0),9),""),"")</f>
        <v/>
      </c>
      <c r="M36">
        <f>IFERROR(IF(ISNUMBER(INDEX(SPPR!$E:$X,MATCH($A36,SPPR!$A:$A,0),10)),$C36*INDEX(SPPR!$E:$X,MATCH($A36,SPPR!$A:$A,0),10),""),"")</f>
        <v/>
      </c>
      <c r="N36">
        <f>IFERROR(IF(ISNUMBER(INDEX(SPPR!$E:$X,MATCH($A36,SPPR!$A:$A,0),11)),$C36*INDEX(SPPR!$E:$X,MATCH($A36,SPPR!$A:$A,0),11),""),"")</f>
        <v/>
      </c>
      <c r="O36">
        <f>IFERROR(IF(ISNUMBER(INDEX(SPPR!$E:$X,MATCH($A36,SPPR!$A:$A,0),12)),$C36*INDEX(SPPR!$E:$X,MATCH($A36,SPPR!$A:$A,0),12),""),"")</f>
        <v/>
      </c>
      <c r="P36">
        <f>IFERROR(IF(ISNUMBER(INDEX(SPPR!$E:$X,MATCH($A36,SPPR!$A:$A,0),13)),$C36*INDEX(SPPR!$E:$X,MATCH($A36,SPPR!$A:$A,0),13),""),"")</f>
        <v/>
      </c>
      <c r="Q36">
        <f>IFERROR(IF(ISNUMBER(INDEX(SPPR!$E:$X,MATCH($A36,SPPR!$A:$A,0),14)),$C36*INDEX(SPPR!$E:$X,MATCH($A36,SPPR!$A:$A,0),14),""),"")</f>
        <v/>
      </c>
      <c r="R36">
        <f>IFERROR(IF(ISNUMBER(INDEX(SPPR!$E:$X,MATCH($A36,SPPR!$A:$A,0),15)),$C36*INDEX(SPPR!$E:$X,MATCH($A36,SPPR!$A:$A,0),15),""),"")</f>
        <v/>
      </c>
      <c r="S36">
        <f>IFERROR(IF(ISNUMBER(INDEX(SPPR!$E:$X,MATCH($A36,SPPR!$A:$A,0),16)),$C36*INDEX(SPPR!$E:$X,MATCH($A36,SPPR!$A:$A,0),16),""),"")</f>
        <v/>
      </c>
      <c r="T36">
        <f>IFERROR(IF(ISNUMBER(INDEX(SPPR!$E:$X,MATCH($A36,SPPR!$A:$A,0),17)),$C36*INDEX(SPPR!$E:$X,MATCH($A36,SPPR!$A:$A,0),17),""),"")</f>
        <v/>
      </c>
      <c r="U36">
        <f>IFERROR(IF(ISNUMBER(INDEX(SPPR!$E:$X,MATCH($A36,SPPR!$A:$A,0),18)),$C36*INDEX(SPPR!$E:$X,MATCH($A36,SPPR!$A:$A,0),18),""),"")</f>
        <v/>
      </c>
      <c r="V36">
        <f>IFERROR(IF(ISNUMBER(INDEX(SPPR!$E:$X,MATCH($A36,SPPR!$A:$A,0),19)),$C36*INDEX(SPPR!$E:$X,MATCH($A36,SPPR!$A:$A,0),19),""),"")</f>
        <v/>
      </c>
      <c r="W36">
        <f>IFERROR(IF(ISNUMBER(INDEX(SPPR!$E:$X,MATCH($A36,SPPR!$A:$A,0),20)),$C36*INDEX(SPPR!$E:$X,MATCH($A36,SPPR!$A:$A,0),20),""),"")</f>
        <v/>
      </c>
    </row>
    <row r="37">
      <c r="A37" t="inlineStr">
        <is>
          <t>Prionotus stephanophrys</t>
        </is>
      </c>
      <c r="B37">
        <f>IFERROR(INDEX(SPPR!$D:$D,MATCH($A37,SPPR!$A:$A,0)),"")</f>
        <v/>
      </c>
      <c r="C37">
        <f>IFERROR(INDEX(Catch!$E:$BV,MATCH($A37,Catch!$A:$A,0),MATCH($B$4,Catch!$E$1:$BV$1,0)),0)</f>
        <v/>
      </c>
      <c r="D37">
        <f>IFERROR(IF(ISNUMBER(INDEX(SPPR!$E:$X,MATCH($A37,SPPR!$A:$A,0),1)),$C37*INDEX(SPPR!$E:$X,MATCH($A37,SPPR!$A:$A,0),1),""),"")</f>
        <v/>
      </c>
      <c r="E37">
        <f>IFERROR(IF(ISNUMBER(INDEX(SPPR!$E:$X,MATCH($A37,SPPR!$A:$A,0),2)),$C37*INDEX(SPPR!$E:$X,MATCH($A37,SPPR!$A:$A,0),2),""),"")</f>
        <v/>
      </c>
      <c r="F37">
        <f>IFERROR(IF(ISNUMBER(INDEX(SPPR!$E:$X,MATCH($A37,SPPR!$A:$A,0),3)),$C37*INDEX(SPPR!$E:$X,MATCH($A37,SPPR!$A:$A,0),3),""),"")</f>
        <v/>
      </c>
      <c r="G37">
        <f>IFERROR(IF(ISNUMBER(INDEX(SPPR!$E:$X,MATCH($A37,SPPR!$A:$A,0),4)),$C37*INDEX(SPPR!$E:$X,MATCH($A37,SPPR!$A:$A,0),4),""),"")</f>
        <v/>
      </c>
      <c r="H37">
        <f>IFERROR(IF(ISNUMBER(INDEX(SPPR!$E:$X,MATCH($A37,SPPR!$A:$A,0),5)),$C37*INDEX(SPPR!$E:$X,MATCH($A37,SPPR!$A:$A,0),5),""),"")</f>
        <v/>
      </c>
      <c r="I37">
        <f>IFERROR(IF(ISNUMBER(INDEX(SPPR!$E:$X,MATCH($A37,SPPR!$A:$A,0),6)),$C37*INDEX(SPPR!$E:$X,MATCH($A37,SPPR!$A:$A,0),6),""),"")</f>
        <v/>
      </c>
      <c r="J37">
        <f>IFERROR(IF(ISNUMBER(INDEX(SPPR!$E:$X,MATCH($A37,SPPR!$A:$A,0),7)),$C37*INDEX(SPPR!$E:$X,MATCH($A37,SPPR!$A:$A,0),7),""),"")</f>
        <v/>
      </c>
      <c r="K37">
        <f>IFERROR(IF(ISNUMBER(INDEX(SPPR!$E:$X,MATCH($A37,SPPR!$A:$A,0),8)),$C37*INDEX(SPPR!$E:$X,MATCH($A37,SPPR!$A:$A,0),8),""),"")</f>
        <v/>
      </c>
      <c r="L37">
        <f>IFERROR(IF(ISNUMBER(INDEX(SPPR!$E:$X,MATCH($A37,SPPR!$A:$A,0),9)),$C37*INDEX(SPPR!$E:$X,MATCH($A37,SPPR!$A:$A,0),9),""),"")</f>
        <v/>
      </c>
      <c r="M37">
        <f>IFERROR(IF(ISNUMBER(INDEX(SPPR!$E:$X,MATCH($A37,SPPR!$A:$A,0),10)),$C37*INDEX(SPPR!$E:$X,MATCH($A37,SPPR!$A:$A,0),10),""),"")</f>
        <v/>
      </c>
      <c r="N37">
        <f>IFERROR(IF(ISNUMBER(INDEX(SPPR!$E:$X,MATCH($A37,SPPR!$A:$A,0),11)),$C37*INDEX(SPPR!$E:$X,MATCH($A37,SPPR!$A:$A,0),11),""),"")</f>
        <v/>
      </c>
      <c r="O37">
        <f>IFERROR(IF(ISNUMBER(INDEX(SPPR!$E:$X,MATCH($A37,SPPR!$A:$A,0),12)),$C37*INDEX(SPPR!$E:$X,MATCH($A37,SPPR!$A:$A,0),12),""),"")</f>
        <v/>
      </c>
      <c r="P37">
        <f>IFERROR(IF(ISNUMBER(INDEX(SPPR!$E:$X,MATCH($A37,SPPR!$A:$A,0),13)),$C37*INDEX(SPPR!$E:$X,MATCH($A37,SPPR!$A:$A,0),13),""),"")</f>
        <v/>
      </c>
      <c r="Q37">
        <f>IFERROR(IF(ISNUMBER(INDEX(SPPR!$E:$X,MATCH($A37,SPPR!$A:$A,0),14)),$C37*INDEX(SPPR!$E:$X,MATCH($A37,SPPR!$A:$A,0),14),""),"")</f>
        <v/>
      </c>
      <c r="R37">
        <f>IFERROR(IF(ISNUMBER(INDEX(SPPR!$E:$X,MATCH($A37,SPPR!$A:$A,0),15)),$C37*INDEX(SPPR!$E:$X,MATCH($A37,SPPR!$A:$A,0),15),""),"")</f>
        <v/>
      </c>
      <c r="S37">
        <f>IFERROR(IF(ISNUMBER(INDEX(SPPR!$E:$X,MATCH($A37,SPPR!$A:$A,0),16)),$C37*INDEX(SPPR!$E:$X,MATCH($A37,SPPR!$A:$A,0),16),""),"")</f>
        <v/>
      </c>
      <c r="T37">
        <f>IFERROR(IF(ISNUMBER(INDEX(SPPR!$E:$X,MATCH($A37,SPPR!$A:$A,0),17)),$C37*INDEX(SPPR!$E:$X,MATCH($A37,SPPR!$A:$A,0),17),""),"")</f>
        <v/>
      </c>
      <c r="U37">
        <f>IFERROR(IF(ISNUMBER(INDEX(SPPR!$E:$X,MATCH($A37,SPPR!$A:$A,0),18)),$C37*INDEX(SPPR!$E:$X,MATCH($A37,SPPR!$A:$A,0),18),""),"")</f>
        <v/>
      </c>
      <c r="V37">
        <f>IFERROR(IF(ISNUMBER(INDEX(SPPR!$E:$X,MATCH($A37,SPPR!$A:$A,0),19)),$C37*INDEX(SPPR!$E:$X,MATCH($A37,SPPR!$A:$A,0),19),""),"")</f>
        <v/>
      </c>
      <c r="W37">
        <f>IFERROR(IF(ISNUMBER(INDEX(SPPR!$E:$X,MATCH($A37,SPPR!$A:$A,0),20)),$C37*INDEX(SPPR!$E:$X,MATCH($A37,SPPR!$A:$A,0),20),""),"")</f>
        <v/>
      </c>
    </row>
    <row r="38">
      <c r="A38" t="inlineStr">
        <is>
          <t>Bivalvia</t>
        </is>
      </c>
      <c r="B38">
        <f>IFERROR(INDEX(SPPR!$D:$D,MATCH($A38,SPPR!$A:$A,0)),"")</f>
        <v/>
      </c>
      <c r="C38">
        <f>IFERROR(INDEX(Catch!$E:$BV,MATCH($A38,Catch!$A:$A,0),MATCH($B$4,Catch!$E$1:$BV$1,0)),0)</f>
        <v/>
      </c>
      <c r="D38">
        <f>IFERROR(IF(ISNUMBER(INDEX(SPPR!$E:$X,MATCH($A38,SPPR!$A:$A,0),1)),$C38*INDEX(SPPR!$E:$X,MATCH($A38,SPPR!$A:$A,0),1),""),"")</f>
        <v/>
      </c>
      <c r="E38">
        <f>IFERROR(IF(ISNUMBER(INDEX(SPPR!$E:$X,MATCH($A38,SPPR!$A:$A,0),2)),$C38*INDEX(SPPR!$E:$X,MATCH($A38,SPPR!$A:$A,0),2),""),"")</f>
        <v/>
      </c>
      <c r="F38">
        <f>IFERROR(IF(ISNUMBER(INDEX(SPPR!$E:$X,MATCH($A38,SPPR!$A:$A,0),3)),$C38*INDEX(SPPR!$E:$X,MATCH($A38,SPPR!$A:$A,0),3),""),"")</f>
        <v/>
      </c>
      <c r="G38">
        <f>IFERROR(IF(ISNUMBER(INDEX(SPPR!$E:$X,MATCH($A38,SPPR!$A:$A,0),4)),$C38*INDEX(SPPR!$E:$X,MATCH($A38,SPPR!$A:$A,0),4),""),"")</f>
        <v/>
      </c>
      <c r="H38">
        <f>IFERROR(IF(ISNUMBER(INDEX(SPPR!$E:$X,MATCH($A38,SPPR!$A:$A,0),5)),$C38*INDEX(SPPR!$E:$X,MATCH($A38,SPPR!$A:$A,0),5),""),"")</f>
        <v/>
      </c>
      <c r="I38">
        <f>IFERROR(IF(ISNUMBER(INDEX(SPPR!$E:$X,MATCH($A38,SPPR!$A:$A,0),6)),$C38*INDEX(SPPR!$E:$X,MATCH($A38,SPPR!$A:$A,0),6),""),"")</f>
        <v/>
      </c>
      <c r="J38">
        <f>IFERROR(IF(ISNUMBER(INDEX(SPPR!$E:$X,MATCH($A38,SPPR!$A:$A,0),7)),$C38*INDEX(SPPR!$E:$X,MATCH($A38,SPPR!$A:$A,0),7),""),"")</f>
        <v/>
      </c>
      <c r="K38">
        <f>IFERROR(IF(ISNUMBER(INDEX(SPPR!$E:$X,MATCH($A38,SPPR!$A:$A,0),8)),$C38*INDEX(SPPR!$E:$X,MATCH($A38,SPPR!$A:$A,0),8),""),"")</f>
        <v/>
      </c>
      <c r="L38">
        <f>IFERROR(IF(ISNUMBER(INDEX(SPPR!$E:$X,MATCH($A38,SPPR!$A:$A,0),9)),$C38*INDEX(SPPR!$E:$X,MATCH($A38,SPPR!$A:$A,0),9),""),"")</f>
        <v/>
      </c>
      <c r="M38">
        <f>IFERROR(IF(ISNUMBER(INDEX(SPPR!$E:$X,MATCH($A38,SPPR!$A:$A,0),10)),$C38*INDEX(SPPR!$E:$X,MATCH($A38,SPPR!$A:$A,0),10),""),"")</f>
        <v/>
      </c>
      <c r="N38">
        <f>IFERROR(IF(ISNUMBER(INDEX(SPPR!$E:$X,MATCH($A38,SPPR!$A:$A,0),11)),$C38*INDEX(SPPR!$E:$X,MATCH($A38,SPPR!$A:$A,0),11),""),"")</f>
        <v/>
      </c>
      <c r="O38">
        <f>IFERROR(IF(ISNUMBER(INDEX(SPPR!$E:$X,MATCH($A38,SPPR!$A:$A,0),12)),$C38*INDEX(SPPR!$E:$X,MATCH($A38,SPPR!$A:$A,0),12),""),"")</f>
        <v/>
      </c>
      <c r="P38">
        <f>IFERROR(IF(ISNUMBER(INDEX(SPPR!$E:$X,MATCH($A38,SPPR!$A:$A,0),13)),$C38*INDEX(SPPR!$E:$X,MATCH($A38,SPPR!$A:$A,0),13),""),"")</f>
        <v/>
      </c>
      <c r="Q38">
        <f>IFERROR(IF(ISNUMBER(INDEX(SPPR!$E:$X,MATCH($A38,SPPR!$A:$A,0),14)),$C38*INDEX(SPPR!$E:$X,MATCH($A38,SPPR!$A:$A,0),14),""),"")</f>
        <v/>
      </c>
      <c r="R38">
        <f>IFERROR(IF(ISNUMBER(INDEX(SPPR!$E:$X,MATCH($A38,SPPR!$A:$A,0),15)),$C38*INDEX(SPPR!$E:$X,MATCH($A38,SPPR!$A:$A,0),15),""),"")</f>
        <v/>
      </c>
      <c r="S38">
        <f>IFERROR(IF(ISNUMBER(INDEX(SPPR!$E:$X,MATCH($A38,SPPR!$A:$A,0),16)),$C38*INDEX(SPPR!$E:$X,MATCH($A38,SPPR!$A:$A,0),16),""),"")</f>
        <v/>
      </c>
      <c r="T38">
        <f>IFERROR(IF(ISNUMBER(INDEX(SPPR!$E:$X,MATCH($A38,SPPR!$A:$A,0),17)),$C38*INDEX(SPPR!$E:$X,MATCH($A38,SPPR!$A:$A,0),17),""),"")</f>
        <v/>
      </c>
      <c r="U38">
        <f>IFERROR(IF(ISNUMBER(INDEX(SPPR!$E:$X,MATCH($A38,SPPR!$A:$A,0),18)),$C38*INDEX(SPPR!$E:$X,MATCH($A38,SPPR!$A:$A,0),18),""),"")</f>
        <v/>
      </c>
      <c r="V38">
        <f>IFERROR(IF(ISNUMBER(INDEX(SPPR!$E:$X,MATCH($A38,SPPR!$A:$A,0),19)),$C38*INDEX(SPPR!$E:$X,MATCH($A38,SPPR!$A:$A,0),19),""),"")</f>
        <v/>
      </c>
      <c r="W38">
        <f>IFERROR(IF(ISNUMBER(INDEX(SPPR!$E:$X,MATCH($A38,SPPR!$A:$A,0),20)),$C38*INDEX(SPPR!$E:$X,MATCH($A38,SPPR!$A:$A,0),20),""),"")</f>
        <v/>
      </c>
    </row>
    <row r="39">
      <c r="A39" t="inlineStr">
        <is>
          <t>Mesodesma donacium</t>
        </is>
      </c>
      <c r="B39">
        <f>IFERROR(INDEX(SPPR!$D:$D,MATCH($A39,SPPR!$A:$A,0)),"")</f>
        <v/>
      </c>
      <c r="C39">
        <f>IFERROR(INDEX(Catch!$E:$BV,MATCH($A39,Catch!$A:$A,0),MATCH($B$4,Catch!$E$1:$BV$1,0)),0)</f>
        <v/>
      </c>
      <c r="D39">
        <f>IFERROR(IF(ISNUMBER(INDEX(SPPR!$E:$X,MATCH($A39,SPPR!$A:$A,0),1)),$C39*INDEX(SPPR!$E:$X,MATCH($A39,SPPR!$A:$A,0),1),""),"")</f>
        <v/>
      </c>
      <c r="E39">
        <f>IFERROR(IF(ISNUMBER(INDEX(SPPR!$E:$X,MATCH($A39,SPPR!$A:$A,0),2)),$C39*INDEX(SPPR!$E:$X,MATCH($A39,SPPR!$A:$A,0),2),""),"")</f>
        <v/>
      </c>
      <c r="F39">
        <f>IFERROR(IF(ISNUMBER(INDEX(SPPR!$E:$X,MATCH($A39,SPPR!$A:$A,0),3)),$C39*INDEX(SPPR!$E:$X,MATCH($A39,SPPR!$A:$A,0),3),""),"")</f>
        <v/>
      </c>
      <c r="G39">
        <f>IFERROR(IF(ISNUMBER(INDEX(SPPR!$E:$X,MATCH($A39,SPPR!$A:$A,0),4)),$C39*INDEX(SPPR!$E:$X,MATCH($A39,SPPR!$A:$A,0),4),""),"")</f>
        <v/>
      </c>
      <c r="H39">
        <f>IFERROR(IF(ISNUMBER(INDEX(SPPR!$E:$X,MATCH($A39,SPPR!$A:$A,0),5)),$C39*INDEX(SPPR!$E:$X,MATCH($A39,SPPR!$A:$A,0),5),""),"")</f>
        <v/>
      </c>
      <c r="I39">
        <f>IFERROR(IF(ISNUMBER(INDEX(SPPR!$E:$X,MATCH($A39,SPPR!$A:$A,0),6)),$C39*INDEX(SPPR!$E:$X,MATCH($A39,SPPR!$A:$A,0),6),""),"")</f>
        <v/>
      </c>
      <c r="J39">
        <f>IFERROR(IF(ISNUMBER(INDEX(SPPR!$E:$X,MATCH($A39,SPPR!$A:$A,0),7)),$C39*INDEX(SPPR!$E:$X,MATCH($A39,SPPR!$A:$A,0),7),""),"")</f>
        <v/>
      </c>
      <c r="K39">
        <f>IFERROR(IF(ISNUMBER(INDEX(SPPR!$E:$X,MATCH($A39,SPPR!$A:$A,0),8)),$C39*INDEX(SPPR!$E:$X,MATCH($A39,SPPR!$A:$A,0),8),""),"")</f>
        <v/>
      </c>
      <c r="L39">
        <f>IFERROR(IF(ISNUMBER(INDEX(SPPR!$E:$X,MATCH($A39,SPPR!$A:$A,0),9)),$C39*INDEX(SPPR!$E:$X,MATCH($A39,SPPR!$A:$A,0),9),""),"")</f>
        <v/>
      </c>
      <c r="M39">
        <f>IFERROR(IF(ISNUMBER(INDEX(SPPR!$E:$X,MATCH($A39,SPPR!$A:$A,0),10)),$C39*INDEX(SPPR!$E:$X,MATCH($A39,SPPR!$A:$A,0),10),""),"")</f>
        <v/>
      </c>
      <c r="N39">
        <f>IFERROR(IF(ISNUMBER(INDEX(SPPR!$E:$X,MATCH($A39,SPPR!$A:$A,0),11)),$C39*INDEX(SPPR!$E:$X,MATCH($A39,SPPR!$A:$A,0),11),""),"")</f>
        <v/>
      </c>
      <c r="O39">
        <f>IFERROR(IF(ISNUMBER(INDEX(SPPR!$E:$X,MATCH($A39,SPPR!$A:$A,0),12)),$C39*INDEX(SPPR!$E:$X,MATCH($A39,SPPR!$A:$A,0),12),""),"")</f>
        <v/>
      </c>
      <c r="P39">
        <f>IFERROR(IF(ISNUMBER(INDEX(SPPR!$E:$X,MATCH($A39,SPPR!$A:$A,0),13)),$C39*INDEX(SPPR!$E:$X,MATCH($A39,SPPR!$A:$A,0),13),""),"")</f>
        <v/>
      </c>
      <c r="Q39">
        <f>IFERROR(IF(ISNUMBER(INDEX(SPPR!$E:$X,MATCH($A39,SPPR!$A:$A,0),14)),$C39*INDEX(SPPR!$E:$X,MATCH($A39,SPPR!$A:$A,0),14),""),"")</f>
        <v/>
      </c>
      <c r="R39">
        <f>IFERROR(IF(ISNUMBER(INDEX(SPPR!$E:$X,MATCH($A39,SPPR!$A:$A,0),15)),$C39*INDEX(SPPR!$E:$X,MATCH($A39,SPPR!$A:$A,0),15),""),"")</f>
        <v/>
      </c>
      <c r="S39">
        <f>IFERROR(IF(ISNUMBER(INDEX(SPPR!$E:$X,MATCH($A39,SPPR!$A:$A,0),16)),$C39*INDEX(SPPR!$E:$X,MATCH($A39,SPPR!$A:$A,0),16),""),"")</f>
        <v/>
      </c>
      <c r="T39">
        <f>IFERROR(IF(ISNUMBER(INDEX(SPPR!$E:$X,MATCH($A39,SPPR!$A:$A,0),17)),$C39*INDEX(SPPR!$E:$X,MATCH($A39,SPPR!$A:$A,0),17),""),"")</f>
        <v/>
      </c>
      <c r="U39">
        <f>IFERROR(IF(ISNUMBER(INDEX(SPPR!$E:$X,MATCH($A39,SPPR!$A:$A,0),18)),$C39*INDEX(SPPR!$E:$X,MATCH($A39,SPPR!$A:$A,0),18),""),"")</f>
        <v/>
      </c>
      <c r="V39">
        <f>IFERROR(IF(ISNUMBER(INDEX(SPPR!$E:$X,MATCH($A39,SPPR!$A:$A,0),19)),$C39*INDEX(SPPR!$E:$X,MATCH($A39,SPPR!$A:$A,0),19),""),"")</f>
        <v/>
      </c>
      <c r="W39">
        <f>IFERROR(IF(ISNUMBER(INDEX(SPPR!$E:$X,MATCH($A39,SPPR!$A:$A,0),20)),$C39*INDEX(SPPR!$E:$X,MATCH($A39,SPPR!$A:$A,0),20),""),"")</f>
        <v/>
      </c>
    </row>
    <row r="40">
      <c r="A40" t="inlineStr">
        <is>
          <t>Sciaenidae</t>
        </is>
      </c>
      <c r="B40">
        <f>IFERROR(INDEX(SPPR!$D:$D,MATCH($A40,SPPR!$A:$A,0)),"")</f>
        <v/>
      </c>
      <c r="C40">
        <f>IFERROR(INDEX(Catch!$E:$BV,MATCH($A40,Catch!$A:$A,0),MATCH($B$4,Catch!$E$1:$BV$1,0)),0)</f>
        <v/>
      </c>
      <c r="D40">
        <f>IFERROR(IF(ISNUMBER(INDEX(SPPR!$E:$X,MATCH($A40,SPPR!$A:$A,0),1)),$C40*INDEX(SPPR!$E:$X,MATCH($A40,SPPR!$A:$A,0),1),""),"")</f>
        <v/>
      </c>
      <c r="E40">
        <f>IFERROR(IF(ISNUMBER(INDEX(SPPR!$E:$X,MATCH($A40,SPPR!$A:$A,0),2)),$C40*INDEX(SPPR!$E:$X,MATCH($A40,SPPR!$A:$A,0),2),""),"")</f>
        <v/>
      </c>
      <c r="F40">
        <f>IFERROR(IF(ISNUMBER(INDEX(SPPR!$E:$X,MATCH($A40,SPPR!$A:$A,0),3)),$C40*INDEX(SPPR!$E:$X,MATCH($A40,SPPR!$A:$A,0),3),""),"")</f>
        <v/>
      </c>
      <c r="G40">
        <f>IFERROR(IF(ISNUMBER(INDEX(SPPR!$E:$X,MATCH($A40,SPPR!$A:$A,0),4)),$C40*INDEX(SPPR!$E:$X,MATCH($A40,SPPR!$A:$A,0),4),""),"")</f>
        <v/>
      </c>
      <c r="H40">
        <f>IFERROR(IF(ISNUMBER(INDEX(SPPR!$E:$X,MATCH($A40,SPPR!$A:$A,0),5)),$C40*INDEX(SPPR!$E:$X,MATCH($A40,SPPR!$A:$A,0),5),""),"")</f>
        <v/>
      </c>
      <c r="I40">
        <f>IFERROR(IF(ISNUMBER(INDEX(SPPR!$E:$X,MATCH($A40,SPPR!$A:$A,0),6)),$C40*INDEX(SPPR!$E:$X,MATCH($A40,SPPR!$A:$A,0),6),""),"")</f>
        <v/>
      </c>
      <c r="J40">
        <f>IFERROR(IF(ISNUMBER(INDEX(SPPR!$E:$X,MATCH($A40,SPPR!$A:$A,0),7)),$C40*INDEX(SPPR!$E:$X,MATCH($A40,SPPR!$A:$A,0),7),""),"")</f>
        <v/>
      </c>
      <c r="K40">
        <f>IFERROR(IF(ISNUMBER(INDEX(SPPR!$E:$X,MATCH($A40,SPPR!$A:$A,0),8)),$C40*INDEX(SPPR!$E:$X,MATCH($A40,SPPR!$A:$A,0),8),""),"")</f>
        <v/>
      </c>
      <c r="L40">
        <f>IFERROR(IF(ISNUMBER(INDEX(SPPR!$E:$X,MATCH($A40,SPPR!$A:$A,0),9)),$C40*INDEX(SPPR!$E:$X,MATCH($A40,SPPR!$A:$A,0),9),""),"")</f>
        <v/>
      </c>
      <c r="M40">
        <f>IFERROR(IF(ISNUMBER(INDEX(SPPR!$E:$X,MATCH($A40,SPPR!$A:$A,0),10)),$C40*INDEX(SPPR!$E:$X,MATCH($A40,SPPR!$A:$A,0),10),""),"")</f>
        <v/>
      </c>
      <c r="N40">
        <f>IFERROR(IF(ISNUMBER(INDEX(SPPR!$E:$X,MATCH($A40,SPPR!$A:$A,0),11)),$C40*INDEX(SPPR!$E:$X,MATCH($A40,SPPR!$A:$A,0),11),""),"")</f>
        <v/>
      </c>
      <c r="O40">
        <f>IFERROR(IF(ISNUMBER(INDEX(SPPR!$E:$X,MATCH($A40,SPPR!$A:$A,0),12)),$C40*INDEX(SPPR!$E:$X,MATCH($A40,SPPR!$A:$A,0),12),""),"")</f>
        <v/>
      </c>
      <c r="P40">
        <f>IFERROR(IF(ISNUMBER(INDEX(SPPR!$E:$X,MATCH($A40,SPPR!$A:$A,0),13)),$C40*INDEX(SPPR!$E:$X,MATCH($A40,SPPR!$A:$A,0),13),""),"")</f>
        <v/>
      </c>
      <c r="Q40">
        <f>IFERROR(IF(ISNUMBER(INDEX(SPPR!$E:$X,MATCH($A40,SPPR!$A:$A,0),14)),$C40*INDEX(SPPR!$E:$X,MATCH($A40,SPPR!$A:$A,0),14),""),"")</f>
        <v/>
      </c>
      <c r="R40">
        <f>IFERROR(IF(ISNUMBER(INDEX(SPPR!$E:$X,MATCH($A40,SPPR!$A:$A,0),15)),$C40*INDEX(SPPR!$E:$X,MATCH($A40,SPPR!$A:$A,0),15),""),"")</f>
        <v/>
      </c>
      <c r="S40">
        <f>IFERROR(IF(ISNUMBER(INDEX(SPPR!$E:$X,MATCH($A40,SPPR!$A:$A,0),16)),$C40*INDEX(SPPR!$E:$X,MATCH($A40,SPPR!$A:$A,0),16),""),"")</f>
        <v/>
      </c>
      <c r="T40">
        <f>IFERROR(IF(ISNUMBER(INDEX(SPPR!$E:$X,MATCH($A40,SPPR!$A:$A,0),17)),$C40*INDEX(SPPR!$E:$X,MATCH($A40,SPPR!$A:$A,0),17),""),"")</f>
        <v/>
      </c>
      <c r="U40">
        <f>IFERROR(IF(ISNUMBER(INDEX(SPPR!$E:$X,MATCH($A40,SPPR!$A:$A,0),18)),$C40*INDEX(SPPR!$E:$X,MATCH($A40,SPPR!$A:$A,0),18),""),"")</f>
        <v/>
      </c>
      <c r="V40">
        <f>IFERROR(IF(ISNUMBER(INDEX(SPPR!$E:$X,MATCH($A40,SPPR!$A:$A,0),19)),$C40*INDEX(SPPR!$E:$X,MATCH($A40,SPPR!$A:$A,0),19),""),"")</f>
        <v/>
      </c>
      <c r="W40">
        <f>IFERROR(IF(ISNUMBER(INDEX(SPPR!$E:$X,MATCH($A40,SPPR!$A:$A,0),20)),$C40*INDEX(SPPR!$E:$X,MATCH($A40,SPPR!$A:$A,0),20),""),"")</f>
        <v/>
      </c>
    </row>
    <row r="41">
      <c r="A41" t="inlineStr">
        <is>
          <t>Gastropoda</t>
        </is>
      </c>
      <c r="B41">
        <f>IFERROR(INDEX(SPPR!$D:$D,MATCH($A41,SPPR!$A:$A,0)),"")</f>
        <v/>
      </c>
      <c r="C41">
        <f>IFERROR(INDEX(Catch!$E:$BV,MATCH($A41,Catch!$A:$A,0),MATCH($B$4,Catch!$E$1:$BV$1,0)),0)</f>
        <v/>
      </c>
      <c r="D41">
        <f>IFERROR(IF(ISNUMBER(INDEX(SPPR!$E:$X,MATCH($A41,SPPR!$A:$A,0),1)),$C41*INDEX(SPPR!$E:$X,MATCH($A41,SPPR!$A:$A,0),1),""),"")</f>
        <v/>
      </c>
      <c r="E41">
        <f>IFERROR(IF(ISNUMBER(INDEX(SPPR!$E:$X,MATCH($A41,SPPR!$A:$A,0),2)),$C41*INDEX(SPPR!$E:$X,MATCH($A41,SPPR!$A:$A,0),2),""),"")</f>
        <v/>
      </c>
      <c r="F41">
        <f>IFERROR(IF(ISNUMBER(INDEX(SPPR!$E:$X,MATCH($A41,SPPR!$A:$A,0),3)),$C41*INDEX(SPPR!$E:$X,MATCH($A41,SPPR!$A:$A,0),3),""),"")</f>
        <v/>
      </c>
      <c r="G41">
        <f>IFERROR(IF(ISNUMBER(INDEX(SPPR!$E:$X,MATCH($A41,SPPR!$A:$A,0),4)),$C41*INDEX(SPPR!$E:$X,MATCH($A41,SPPR!$A:$A,0),4),""),"")</f>
        <v/>
      </c>
      <c r="H41">
        <f>IFERROR(IF(ISNUMBER(INDEX(SPPR!$E:$X,MATCH($A41,SPPR!$A:$A,0),5)),$C41*INDEX(SPPR!$E:$X,MATCH($A41,SPPR!$A:$A,0),5),""),"")</f>
        <v/>
      </c>
      <c r="I41">
        <f>IFERROR(IF(ISNUMBER(INDEX(SPPR!$E:$X,MATCH($A41,SPPR!$A:$A,0),6)),$C41*INDEX(SPPR!$E:$X,MATCH($A41,SPPR!$A:$A,0),6),""),"")</f>
        <v/>
      </c>
      <c r="J41">
        <f>IFERROR(IF(ISNUMBER(INDEX(SPPR!$E:$X,MATCH($A41,SPPR!$A:$A,0),7)),$C41*INDEX(SPPR!$E:$X,MATCH($A41,SPPR!$A:$A,0),7),""),"")</f>
        <v/>
      </c>
      <c r="K41">
        <f>IFERROR(IF(ISNUMBER(INDEX(SPPR!$E:$X,MATCH($A41,SPPR!$A:$A,0),8)),$C41*INDEX(SPPR!$E:$X,MATCH($A41,SPPR!$A:$A,0),8),""),"")</f>
        <v/>
      </c>
      <c r="L41">
        <f>IFERROR(IF(ISNUMBER(INDEX(SPPR!$E:$X,MATCH($A41,SPPR!$A:$A,0),9)),$C41*INDEX(SPPR!$E:$X,MATCH($A41,SPPR!$A:$A,0),9),""),"")</f>
        <v/>
      </c>
      <c r="M41">
        <f>IFERROR(IF(ISNUMBER(INDEX(SPPR!$E:$X,MATCH($A41,SPPR!$A:$A,0),10)),$C41*INDEX(SPPR!$E:$X,MATCH($A41,SPPR!$A:$A,0),10),""),"")</f>
        <v/>
      </c>
      <c r="N41">
        <f>IFERROR(IF(ISNUMBER(INDEX(SPPR!$E:$X,MATCH($A41,SPPR!$A:$A,0),11)),$C41*INDEX(SPPR!$E:$X,MATCH($A41,SPPR!$A:$A,0),11),""),"")</f>
        <v/>
      </c>
      <c r="O41">
        <f>IFERROR(IF(ISNUMBER(INDEX(SPPR!$E:$X,MATCH($A41,SPPR!$A:$A,0),12)),$C41*INDEX(SPPR!$E:$X,MATCH($A41,SPPR!$A:$A,0),12),""),"")</f>
        <v/>
      </c>
      <c r="P41">
        <f>IFERROR(IF(ISNUMBER(INDEX(SPPR!$E:$X,MATCH($A41,SPPR!$A:$A,0),13)),$C41*INDEX(SPPR!$E:$X,MATCH($A41,SPPR!$A:$A,0),13),""),"")</f>
        <v/>
      </c>
      <c r="Q41">
        <f>IFERROR(IF(ISNUMBER(INDEX(SPPR!$E:$X,MATCH($A41,SPPR!$A:$A,0),14)),$C41*INDEX(SPPR!$E:$X,MATCH($A41,SPPR!$A:$A,0),14),""),"")</f>
        <v/>
      </c>
      <c r="R41">
        <f>IFERROR(IF(ISNUMBER(INDEX(SPPR!$E:$X,MATCH($A41,SPPR!$A:$A,0),15)),$C41*INDEX(SPPR!$E:$X,MATCH($A41,SPPR!$A:$A,0),15),""),"")</f>
        <v/>
      </c>
      <c r="S41">
        <f>IFERROR(IF(ISNUMBER(INDEX(SPPR!$E:$X,MATCH($A41,SPPR!$A:$A,0),16)),$C41*INDEX(SPPR!$E:$X,MATCH($A41,SPPR!$A:$A,0),16),""),"")</f>
        <v/>
      </c>
      <c r="T41">
        <f>IFERROR(IF(ISNUMBER(INDEX(SPPR!$E:$X,MATCH($A41,SPPR!$A:$A,0),17)),$C41*INDEX(SPPR!$E:$X,MATCH($A41,SPPR!$A:$A,0),17),""),"")</f>
        <v/>
      </c>
      <c r="U41">
        <f>IFERROR(IF(ISNUMBER(INDEX(SPPR!$E:$X,MATCH($A41,SPPR!$A:$A,0),18)),$C41*INDEX(SPPR!$E:$X,MATCH($A41,SPPR!$A:$A,0),18),""),"")</f>
        <v/>
      </c>
      <c r="V41">
        <f>IFERROR(IF(ISNUMBER(INDEX(SPPR!$E:$X,MATCH($A41,SPPR!$A:$A,0),19)),$C41*INDEX(SPPR!$E:$X,MATCH($A41,SPPR!$A:$A,0),19),""),"")</f>
        <v/>
      </c>
      <c r="W41">
        <f>IFERROR(IF(ISNUMBER(INDEX(SPPR!$E:$X,MATCH($A41,SPPR!$A:$A,0),20)),$C41*INDEX(SPPR!$E:$X,MATCH($A41,SPPR!$A:$A,0),20),""),"")</f>
        <v/>
      </c>
    </row>
    <row r="42">
      <c r="A42" t="inlineStr">
        <is>
          <t>Penaeidae</t>
        </is>
      </c>
      <c r="B42">
        <f>IFERROR(INDEX(SPPR!$D:$D,MATCH($A42,SPPR!$A:$A,0)),"")</f>
        <v/>
      </c>
      <c r="C42">
        <f>IFERROR(INDEX(Catch!$E:$BV,MATCH($A42,Catch!$A:$A,0),MATCH($B$4,Catch!$E$1:$BV$1,0)),0)</f>
        <v/>
      </c>
      <c r="D42">
        <f>IFERROR(IF(ISNUMBER(INDEX(SPPR!$E:$X,MATCH($A42,SPPR!$A:$A,0),1)),$C42*INDEX(SPPR!$E:$X,MATCH($A42,SPPR!$A:$A,0),1),""),"")</f>
        <v/>
      </c>
      <c r="E42">
        <f>IFERROR(IF(ISNUMBER(INDEX(SPPR!$E:$X,MATCH($A42,SPPR!$A:$A,0),2)),$C42*INDEX(SPPR!$E:$X,MATCH($A42,SPPR!$A:$A,0),2),""),"")</f>
        <v/>
      </c>
      <c r="F42">
        <f>IFERROR(IF(ISNUMBER(INDEX(SPPR!$E:$X,MATCH($A42,SPPR!$A:$A,0),3)),$C42*INDEX(SPPR!$E:$X,MATCH($A42,SPPR!$A:$A,0),3),""),"")</f>
        <v/>
      </c>
      <c r="G42">
        <f>IFERROR(IF(ISNUMBER(INDEX(SPPR!$E:$X,MATCH($A42,SPPR!$A:$A,0),4)),$C42*INDEX(SPPR!$E:$X,MATCH($A42,SPPR!$A:$A,0),4),""),"")</f>
        <v/>
      </c>
      <c r="H42">
        <f>IFERROR(IF(ISNUMBER(INDEX(SPPR!$E:$X,MATCH($A42,SPPR!$A:$A,0),5)),$C42*INDEX(SPPR!$E:$X,MATCH($A42,SPPR!$A:$A,0),5),""),"")</f>
        <v/>
      </c>
      <c r="I42">
        <f>IFERROR(IF(ISNUMBER(INDEX(SPPR!$E:$X,MATCH($A42,SPPR!$A:$A,0),6)),$C42*INDEX(SPPR!$E:$X,MATCH($A42,SPPR!$A:$A,0),6),""),"")</f>
        <v/>
      </c>
      <c r="J42">
        <f>IFERROR(IF(ISNUMBER(INDEX(SPPR!$E:$X,MATCH($A42,SPPR!$A:$A,0),7)),$C42*INDEX(SPPR!$E:$X,MATCH($A42,SPPR!$A:$A,0),7),""),"")</f>
        <v/>
      </c>
      <c r="K42">
        <f>IFERROR(IF(ISNUMBER(INDEX(SPPR!$E:$X,MATCH($A42,SPPR!$A:$A,0),8)),$C42*INDEX(SPPR!$E:$X,MATCH($A42,SPPR!$A:$A,0),8),""),"")</f>
        <v/>
      </c>
      <c r="L42">
        <f>IFERROR(IF(ISNUMBER(INDEX(SPPR!$E:$X,MATCH($A42,SPPR!$A:$A,0),9)),$C42*INDEX(SPPR!$E:$X,MATCH($A42,SPPR!$A:$A,0),9),""),"")</f>
        <v/>
      </c>
      <c r="M42">
        <f>IFERROR(IF(ISNUMBER(INDEX(SPPR!$E:$X,MATCH($A42,SPPR!$A:$A,0),10)),$C42*INDEX(SPPR!$E:$X,MATCH($A42,SPPR!$A:$A,0),10),""),"")</f>
        <v/>
      </c>
      <c r="N42">
        <f>IFERROR(IF(ISNUMBER(INDEX(SPPR!$E:$X,MATCH($A42,SPPR!$A:$A,0),11)),$C42*INDEX(SPPR!$E:$X,MATCH($A42,SPPR!$A:$A,0),11),""),"")</f>
        <v/>
      </c>
      <c r="O42">
        <f>IFERROR(IF(ISNUMBER(INDEX(SPPR!$E:$X,MATCH($A42,SPPR!$A:$A,0),12)),$C42*INDEX(SPPR!$E:$X,MATCH($A42,SPPR!$A:$A,0),12),""),"")</f>
        <v/>
      </c>
      <c r="P42">
        <f>IFERROR(IF(ISNUMBER(INDEX(SPPR!$E:$X,MATCH($A42,SPPR!$A:$A,0),13)),$C42*INDEX(SPPR!$E:$X,MATCH($A42,SPPR!$A:$A,0),13),""),"")</f>
        <v/>
      </c>
      <c r="Q42">
        <f>IFERROR(IF(ISNUMBER(INDEX(SPPR!$E:$X,MATCH($A42,SPPR!$A:$A,0),14)),$C42*INDEX(SPPR!$E:$X,MATCH($A42,SPPR!$A:$A,0),14),""),"")</f>
        <v/>
      </c>
      <c r="R42">
        <f>IFERROR(IF(ISNUMBER(INDEX(SPPR!$E:$X,MATCH($A42,SPPR!$A:$A,0),15)),$C42*INDEX(SPPR!$E:$X,MATCH($A42,SPPR!$A:$A,0),15),""),"")</f>
        <v/>
      </c>
      <c r="S42">
        <f>IFERROR(IF(ISNUMBER(INDEX(SPPR!$E:$X,MATCH($A42,SPPR!$A:$A,0),16)),$C42*INDEX(SPPR!$E:$X,MATCH($A42,SPPR!$A:$A,0),16),""),"")</f>
        <v/>
      </c>
      <c r="T42">
        <f>IFERROR(IF(ISNUMBER(INDEX(SPPR!$E:$X,MATCH($A42,SPPR!$A:$A,0),17)),$C42*INDEX(SPPR!$E:$X,MATCH($A42,SPPR!$A:$A,0),17),""),"")</f>
        <v/>
      </c>
      <c r="U42">
        <f>IFERROR(IF(ISNUMBER(INDEX(SPPR!$E:$X,MATCH($A42,SPPR!$A:$A,0),18)),$C42*INDEX(SPPR!$E:$X,MATCH($A42,SPPR!$A:$A,0),18),""),"")</f>
        <v/>
      </c>
      <c r="V42">
        <f>IFERROR(IF(ISNUMBER(INDEX(SPPR!$E:$X,MATCH($A42,SPPR!$A:$A,0),19)),$C42*INDEX(SPPR!$E:$X,MATCH($A42,SPPR!$A:$A,0),19),""),"")</f>
        <v/>
      </c>
      <c r="W42">
        <f>IFERROR(IF(ISNUMBER(INDEX(SPPR!$E:$X,MATCH($A42,SPPR!$A:$A,0),20)),$C42*INDEX(SPPR!$E:$X,MATCH($A42,SPPR!$A:$A,0),20),""),"")</f>
        <v/>
      </c>
    </row>
    <row r="43">
      <c r="A43" t="inlineStr">
        <is>
          <t>Mustelus whitneyi</t>
        </is>
      </c>
      <c r="B43">
        <f>IFERROR(INDEX(SPPR!$D:$D,MATCH($A43,SPPR!$A:$A,0)),"")</f>
        <v/>
      </c>
      <c r="C43">
        <f>IFERROR(INDEX(Catch!$E:$BV,MATCH($A43,Catch!$A:$A,0),MATCH($B$4,Catch!$E$1:$BV$1,0)),0)</f>
        <v/>
      </c>
      <c r="D43">
        <f>IFERROR(IF(ISNUMBER(INDEX(SPPR!$E:$X,MATCH($A43,SPPR!$A:$A,0),1)),$C43*INDEX(SPPR!$E:$X,MATCH($A43,SPPR!$A:$A,0),1),""),"")</f>
        <v/>
      </c>
      <c r="E43">
        <f>IFERROR(IF(ISNUMBER(INDEX(SPPR!$E:$X,MATCH($A43,SPPR!$A:$A,0),2)),$C43*INDEX(SPPR!$E:$X,MATCH($A43,SPPR!$A:$A,0),2),""),"")</f>
        <v/>
      </c>
      <c r="F43">
        <f>IFERROR(IF(ISNUMBER(INDEX(SPPR!$E:$X,MATCH($A43,SPPR!$A:$A,0),3)),$C43*INDEX(SPPR!$E:$X,MATCH($A43,SPPR!$A:$A,0),3),""),"")</f>
        <v/>
      </c>
      <c r="G43">
        <f>IFERROR(IF(ISNUMBER(INDEX(SPPR!$E:$X,MATCH($A43,SPPR!$A:$A,0),4)),$C43*INDEX(SPPR!$E:$X,MATCH($A43,SPPR!$A:$A,0),4),""),"")</f>
        <v/>
      </c>
      <c r="H43">
        <f>IFERROR(IF(ISNUMBER(INDEX(SPPR!$E:$X,MATCH($A43,SPPR!$A:$A,0),5)),$C43*INDEX(SPPR!$E:$X,MATCH($A43,SPPR!$A:$A,0),5),""),"")</f>
        <v/>
      </c>
      <c r="I43">
        <f>IFERROR(IF(ISNUMBER(INDEX(SPPR!$E:$X,MATCH($A43,SPPR!$A:$A,0),6)),$C43*INDEX(SPPR!$E:$X,MATCH($A43,SPPR!$A:$A,0),6),""),"")</f>
        <v/>
      </c>
      <c r="J43">
        <f>IFERROR(IF(ISNUMBER(INDEX(SPPR!$E:$X,MATCH($A43,SPPR!$A:$A,0),7)),$C43*INDEX(SPPR!$E:$X,MATCH($A43,SPPR!$A:$A,0),7),""),"")</f>
        <v/>
      </c>
      <c r="K43">
        <f>IFERROR(IF(ISNUMBER(INDEX(SPPR!$E:$X,MATCH($A43,SPPR!$A:$A,0),8)),$C43*INDEX(SPPR!$E:$X,MATCH($A43,SPPR!$A:$A,0),8),""),"")</f>
        <v/>
      </c>
      <c r="L43">
        <f>IFERROR(IF(ISNUMBER(INDEX(SPPR!$E:$X,MATCH($A43,SPPR!$A:$A,0),9)),$C43*INDEX(SPPR!$E:$X,MATCH($A43,SPPR!$A:$A,0),9),""),"")</f>
        <v/>
      </c>
      <c r="M43">
        <f>IFERROR(IF(ISNUMBER(INDEX(SPPR!$E:$X,MATCH($A43,SPPR!$A:$A,0),10)),$C43*INDEX(SPPR!$E:$X,MATCH($A43,SPPR!$A:$A,0),10),""),"")</f>
        <v/>
      </c>
      <c r="N43">
        <f>IFERROR(IF(ISNUMBER(INDEX(SPPR!$E:$X,MATCH($A43,SPPR!$A:$A,0),11)),$C43*INDEX(SPPR!$E:$X,MATCH($A43,SPPR!$A:$A,0),11),""),"")</f>
        <v/>
      </c>
      <c r="O43">
        <f>IFERROR(IF(ISNUMBER(INDEX(SPPR!$E:$X,MATCH($A43,SPPR!$A:$A,0),12)),$C43*INDEX(SPPR!$E:$X,MATCH($A43,SPPR!$A:$A,0),12),""),"")</f>
        <v/>
      </c>
      <c r="P43">
        <f>IFERROR(IF(ISNUMBER(INDEX(SPPR!$E:$X,MATCH($A43,SPPR!$A:$A,0),13)),$C43*INDEX(SPPR!$E:$X,MATCH($A43,SPPR!$A:$A,0),13),""),"")</f>
        <v/>
      </c>
      <c r="Q43">
        <f>IFERROR(IF(ISNUMBER(INDEX(SPPR!$E:$X,MATCH($A43,SPPR!$A:$A,0),14)),$C43*INDEX(SPPR!$E:$X,MATCH($A43,SPPR!$A:$A,0),14),""),"")</f>
        <v/>
      </c>
      <c r="R43">
        <f>IFERROR(IF(ISNUMBER(INDEX(SPPR!$E:$X,MATCH($A43,SPPR!$A:$A,0),15)),$C43*INDEX(SPPR!$E:$X,MATCH($A43,SPPR!$A:$A,0),15),""),"")</f>
        <v/>
      </c>
      <c r="S43">
        <f>IFERROR(IF(ISNUMBER(INDEX(SPPR!$E:$X,MATCH($A43,SPPR!$A:$A,0),16)),$C43*INDEX(SPPR!$E:$X,MATCH($A43,SPPR!$A:$A,0),16),""),"")</f>
        <v/>
      </c>
      <c r="T43">
        <f>IFERROR(IF(ISNUMBER(INDEX(SPPR!$E:$X,MATCH($A43,SPPR!$A:$A,0),17)),$C43*INDEX(SPPR!$E:$X,MATCH($A43,SPPR!$A:$A,0),17),""),"")</f>
        <v/>
      </c>
      <c r="U43">
        <f>IFERROR(IF(ISNUMBER(INDEX(SPPR!$E:$X,MATCH($A43,SPPR!$A:$A,0),18)),$C43*INDEX(SPPR!$E:$X,MATCH($A43,SPPR!$A:$A,0),18),""),"")</f>
        <v/>
      </c>
      <c r="V43">
        <f>IFERROR(IF(ISNUMBER(INDEX(SPPR!$E:$X,MATCH($A43,SPPR!$A:$A,0),19)),$C43*INDEX(SPPR!$E:$X,MATCH($A43,SPPR!$A:$A,0),19),""),"")</f>
        <v/>
      </c>
      <c r="W43">
        <f>IFERROR(IF(ISNUMBER(INDEX(SPPR!$E:$X,MATCH($A43,SPPR!$A:$A,0),20)),$C43*INDEX(SPPR!$E:$X,MATCH($A43,SPPR!$A:$A,0),20),""),"")</f>
        <v/>
      </c>
    </row>
    <row r="44">
      <c r="A44" t="inlineStr">
        <is>
          <t>Concholepas concholepas</t>
        </is>
      </c>
      <c r="B44">
        <f>IFERROR(INDEX(SPPR!$D:$D,MATCH($A44,SPPR!$A:$A,0)),"")</f>
        <v/>
      </c>
      <c r="C44">
        <f>IFERROR(INDEX(Catch!$E:$BV,MATCH($A44,Catch!$A:$A,0),MATCH($B$4,Catch!$E$1:$BV$1,0)),0)</f>
        <v/>
      </c>
      <c r="D44">
        <f>IFERROR(IF(ISNUMBER(INDEX(SPPR!$E:$X,MATCH($A44,SPPR!$A:$A,0),1)),$C44*INDEX(SPPR!$E:$X,MATCH($A44,SPPR!$A:$A,0),1),""),"")</f>
        <v/>
      </c>
      <c r="E44">
        <f>IFERROR(IF(ISNUMBER(INDEX(SPPR!$E:$X,MATCH($A44,SPPR!$A:$A,0),2)),$C44*INDEX(SPPR!$E:$X,MATCH($A44,SPPR!$A:$A,0),2),""),"")</f>
        <v/>
      </c>
      <c r="F44">
        <f>IFERROR(IF(ISNUMBER(INDEX(SPPR!$E:$X,MATCH($A44,SPPR!$A:$A,0),3)),$C44*INDEX(SPPR!$E:$X,MATCH($A44,SPPR!$A:$A,0),3),""),"")</f>
        <v/>
      </c>
      <c r="G44">
        <f>IFERROR(IF(ISNUMBER(INDEX(SPPR!$E:$X,MATCH($A44,SPPR!$A:$A,0),4)),$C44*INDEX(SPPR!$E:$X,MATCH($A44,SPPR!$A:$A,0),4),""),"")</f>
        <v/>
      </c>
      <c r="H44">
        <f>IFERROR(IF(ISNUMBER(INDEX(SPPR!$E:$X,MATCH($A44,SPPR!$A:$A,0),5)),$C44*INDEX(SPPR!$E:$X,MATCH($A44,SPPR!$A:$A,0),5),""),"")</f>
        <v/>
      </c>
      <c r="I44">
        <f>IFERROR(IF(ISNUMBER(INDEX(SPPR!$E:$X,MATCH($A44,SPPR!$A:$A,0),6)),$C44*INDEX(SPPR!$E:$X,MATCH($A44,SPPR!$A:$A,0),6),""),"")</f>
        <v/>
      </c>
      <c r="J44">
        <f>IFERROR(IF(ISNUMBER(INDEX(SPPR!$E:$X,MATCH($A44,SPPR!$A:$A,0),7)),$C44*INDEX(SPPR!$E:$X,MATCH($A44,SPPR!$A:$A,0),7),""),"")</f>
        <v/>
      </c>
      <c r="K44">
        <f>IFERROR(IF(ISNUMBER(INDEX(SPPR!$E:$X,MATCH($A44,SPPR!$A:$A,0),8)),$C44*INDEX(SPPR!$E:$X,MATCH($A44,SPPR!$A:$A,0),8),""),"")</f>
        <v/>
      </c>
      <c r="L44">
        <f>IFERROR(IF(ISNUMBER(INDEX(SPPR!$E:$X,MATCH($A44,SPPR!$A:$A,0),9)),$C44*INDEX(SPPR!$E:$X,MATCH($A44,SPPR!$A:$A,0),9),""),"")</f>
        <v/>
      </c>
      <c r="M44">
        <f>IFERROR(IF(ISNUMBER(INDEX(SPPR!$E:$X,MATCH($A44,SPPR!$A:$A,0),10)),$C44*INDEX(SPPR!$E:$X,MATCH($A44,SPPR!$A:$A,0),10),""),"")</f>
        <v/>
      </c>
      <c r="N44">
        <f>IFERROR(IF(ISNUMBER(INDEX(SPPR!$E:$X,MATCH($A44,SPPR!$A:$A,0),11)),$C44*INDEX(SPPR!$E:$X,MATCH($A44,SPPR!$A:$A,0),11),""),"")</f>
        <v/>
      </c>
      <c r="O44">
        <f>IFERROR(IF(ISNUMBER(INDEX(SPPR!$E:$X,MATCH($A44,SPPR!$A:$A,0),12)),$C44*INDEX(SPPR!$E:$X,MATCH($A44,SPPR!$A:$A,0),12),""),"")</f>
        <v/>
      </c>
      <c r="P44">
        <f>IFERROR(IF(ISNUMBER(INDEX(SPPR!$E:$X,MATCH($A44,SPPR!$A:$A,0),13)),$C44*INDEX(SPPR!$E:$X,MATCH($A44,SPPR!$A:$A,0),13),""),"")</f>
        <v/>
      </c>
      <c r="Q44">
        <f>IFERROR(IF(ISNUMBER(INDEX(SPPR!$E:$X,MATCH($A44,SPPR!$A:$A,0),14)),$C44*INDEX(SPPR!$E:$X,MATCH($A44,SPPR!$A:$A,0),14),""),"")</f>
        <v/>
      </c>
      <c r="R44">
        <f>IFERROR(IF(ISNUMBER(INDEX(SPPR!$E:$X,MATCH($A44,SPPR!$A:$A,0),15)),$C44*INDEX(SPPR!$E:$X,MATCH($A44,SPPR!$A:$A,0),15),""),"")</f>
        <v/>
      </c>
      <c r="S44">
        <f>IFERROR(IF(ISNUMBER(INDEX(SPPR!$E:$X,MATCH($A44,SPPR!$A:$A,0),16)),$C44*INDEX(SPPR!$E:$X,MATCH($A44,SPPR!$A:$A,0),16),""),"")</f>
        <v/>
      </c>
      <c r="T44">
        <f>IFERROR(IF(ISNUMBER(INDEX(SPPR!$E:$X,MATCH($A44,SPPR!$A:$A,0),17)),$C44*INDEX(SPPR!$E:$X,MATCH($A44,SPPR!$A:$A,0),17),""),"")</f>
        <v/>
      </c>
      <c r="U44">
        <f>IFERROR(IF(ISNUMBER(INDEX(SPPR!$E:$X,MATCH($A44,SPPR!$A:$A,0),18)),$C44*INDEX(SPPR!$E:$X,MATCH($A44,SPPR!$A:$A,0),18),""),"")</f>
        <v/>
      </c>
      <c r="V44">
        <f>IFERROR(IF(ISNUMBER(INDEX(SPPR!$E:$X,MATCH($A44,SPPR!$A:$A,0),19)),$C44*INDEX(SPPR!$E:$X,MATCH($A44,SPPR!$A:$A,0),19),""),"")</f>
        <v/>
      </c>
      <c r="W44">
        <f>IFERROR(IF(ISNUMBER(INDEX(SPPR!$E:$X,MATCH($A44,SPPR!$A:$A,0),20)),$C44*INDEX(SPPR!$E:$X,MATCH($A44,SPPR!$A:$A,0),20),""),"")</f>
        <v/>
      </c>
    </row>
    <row r="45">
      <c r="A45" t="inlineStr">
        <is>
          <t>Mytilus chilensis</t>
        </is>
      </c>
      <c r="B45">
        <f>IFERROR(INDEX(SPPR!$D:$D,MATCH($A45,SPPR!$A:$A,0)),"")</f>
        <v/>
      </c>
      <c r="C45">
        <f>IFERROR(INDEX(Catch!$E:$BV,MATCH($A45,Catch!$A:$A,0),MATCH($B$4,Catch!$E$1:$BV$1,0)),0)</f>
        <v/>
      </c>
      <c r="D45">
        <f>IFERROR(IF(ISNUMBER(INDEX(SPPR!$E:$X,MATCH($A45,SPPR!$A:$A,0),1)),$C45*INDEX(SPPR!$E:$X,MATCH($A45,SPPR!$A:$A,0),1),""),"")</f>
        <v/>
      </c>
      <c r="E45">
        <f>IFERROR(IF(ISNUMBER(INDEX(SPPR!$E:$X,MATCH($A45,SPPR!$A:$A,0),2)),$C45*INDEX(SPPR!$E:$X,MATCH($A45,SPPR!$A:$A,0),2),""),"")</f>
        <v/>
      </c>
      <c r="F45">
        <f>IFERROR(IF(ISNUMBER(INDEX(SPPR!$E:$X,MATCH($A45,SPPR!$A:$A,0),3)),$C45*INDEX(SPPR!$E:$X,MATCH($A45,SPPR!$A:$A,0),3),""),"")</f>
        <v/>
      </c>
      <c r="G45">
        <f>IFERROR(IF(ISNUMBER(INDEX(SPPR!$E:$X,MATCH($A45,SPPR!$A:$A,0),4)),$C45*INDEX(SPPR!$E:$X,MATCH($A45,SPPR!$A:$A,0),4),""),"")</f>
        <v/>
      </c>
      <c r="H45">
        <f>IFERROR(IF(ISNUMBER(INDEX(SPPR!$E:$X,MATCH($A45,SPPR!$A:$A,0),5)),$C45*INDEX(SPPR!$E:$X,MATCH($A45,SPPR!$A:$A,0),5),""),"")</f>
        <v/>
      </c>
      <c r="I45">
        <f>IFERROR(IF(ISNUMBER(INDEX(SPPR!$E:$X,MATCH($A45,SPPR!$A:$A,0),6)),$C45*INDEX(SPPR!$E:$X,MATCH($A45,SPPR!$A:$A,0),6),""),"")</f>
        <v/>
      </c>
      <c r="J45">
        <f>IFERROR(IF(ISNUMBER(INDEX(SPPR!$E:$X,MATCH($A45,SPPR!$A:$A,0),7)),$C45*INDEX(SPPR!$E:$X,MATCH($A45,SPPR!$A:$A,0),7),""),"")</f>
        <v/>
      </c>
      <c r="K45">
        <f>IFERROR(IF(ISNUMBER(INDEX(SPPR!$E:$X,MATCH($A45,SPPR!$A:$A,0),8)),$C45*INDEX(SPPR!$E:$X,MATCH($A45,SPPR!$A:$A,0),8),""),"")</f>
        <v/>
      </c>
      <c r="L45">
        <f>IFERROR(IF(ISNUMBER(INDEX(SPPR!$E:$X,MATCH($A45,SPPR!$A:$A,0),9)),$C45*INDEX(SPPR!$E:$X,MATCH($A45,SPPR!$A:$A,0),9),""),"")</f>
        <v/>
      </c>
      <c r="M45">
        <f>IFERROR(IF(ISNUMBER(INDEX(SPPR!$E:$X,MATCH($A45,SPPR!$A:$A,0),10)),$C45*INDEX(SPPR!$E:$X,MATCH($A45,SPPR!$A:$A,0),10),""),"")</f>
        <v/>
      </c>
      <c r="N45">
        <f>IFERROR(IF(ISNUMBER(INDEX(SPPR!$E:$X,MATCH($A45,SPPR!$A:$A,0),11)),$C45*INDEX(SPPR!$E:$X,MATCH($A45,SPPR!$A:$A,0),11),""),"")</f>
        <v/>
      </c>
      <c r="O45">
        <f>IFERROR(IF(ISNUMBER(INDEX(SPPR!$E:$X,MATCH($A45,SPPR!$A:$A,0),12)),$C45*INDEX(SPPR!$E:$X,MATCH($A45,SPPR!$A:$A,0),12),""),"")</f>
        <v/>
      </c>
      <c r="P45">
        <f>IFERROR(IF(ISNUMBER(INDEX(SPPR!$E:$X,MATCH($A45,SPPR!$A:$A,0),13)),$C45*INDEX(SPPR!$E:$X,MATCH($A45,SPPR!$A:$A,0),13),""),"")</f>
        <v/>
      </c>
      <c r="Q45">
        <f>IFERROR(IF(ISNUMBER(INDEX(SPPR!$E:$X,MATCH($A45,SPPR!$A:$A,0),14)),$C45*INDEX(SPPR!$E:$X,MATCH($A45,SPPR!$A:$A,0),14),""),"")</f>
        <v/>
      </c>
      <c r="R45">
        <f>IFERROR(IF(ISNUMBER(INDEX(SPPR!$E:$X,MATCH($A45,SPPR!$A:$A,0),15)),$C45*INDEX(SPPR!$E:$X,MATCH($A45,SPPR!$A:$A,0),15),""),"")</f>
        <v/>
      </c>
      <c r="S45">
        <f>IFERROR(IF(ISNUMBER(INDEX(SPPR!$E:$X,MATCH($A45,SPPR!$A:$A,0),16)),$C45*INDEX(SPPR!$E:$X,MATCH($A45,SPPR!$A:$A,0),16),""),"")</f>
        <v/>
      </c>
      <c r="T45">
        <f>IFERROR(IF(ISNUMBER(INDEX(SPPR!$E:$X,MATCH($A45,SPPR!$A:$A,0),17)),$C45*INDEX(SPPR!$E:$X,MATCH($A45,SPPR!$A:$A,0),17),""),"")</f>
        <v/>
      </c>
      <c r="U45">
        <f>IFERROR(IF(ISNUMBER(INDEX(SPPR!$E:$X,MATCH($A45,SPPR!$A:$A,0),18)),$C45*INDEX(SPPR!$E:$X,MATCH($A45,SPPR!$A:$A,0),18),""),"")</f>
        <v/>
      </c>
      <c r="V45">
        <f>IFERROR(IF(ISNUMBER(INDEX(SPPR!$E:$X,MATCH($A45,SPPR!$A:$A,0),19)),$C45*INDEX(SPPR!$E:$X,MATCH($A45,SPPR!$A:$A,0),19),""),"")</f>
        <v/>
      </c>
      <c r="W45">
        <f>IFERROR(IF(ISNUMBER(INDEX(SPPR!$E:$X,MATCH($A45,SPPR!$A:$A,0),20)),$C45*INDEX(SPPR!$E:$X,MATCH($A45,SPPR!$A:$A,0),20),""),"")</f>
        <v/>
      </c>
    </row>
    <row r="46">
      <c r="A46" t="inlineStr">
        <is>
          <t>Thunnus albacares</t>
        </is>
      </c>
      <c r="B46">
        <f>IFERROR(INDEX(SPPR!$D:$D,MATCH($A46,SPPR!$A:$A,0)),"")</f>
        <v/>
      </c>
      <c r="C46">
        <f>IFERROR(INDEX(Catch!$E:$BV,MATCH($A46,Catch!$A:$A,0),MATCH($B$4,Catch!$E$1:$BV$1,0)),0)</f>
        <v/>
      </c>
      <c r="D46">
        <f>IFERROR(IF(ISNUMBER(INDEX(SPPR!$E:$X,MATCH($A46,SPPR!$A:$A,0),1)),$C46*INDEX(SPPR!$E:$X,MATCH($A46,SPPR!$A:$A,0),1),""),"")</f>
        <v/>
      </c>
      <c r="E46">
        <f>IFERROR(IF(ISNUMBER(INDEX(SPPR!$E:$X,MATCH($A46,SPPR!$A:$A,0),2)),$C46*INDEX(SPPR!$E:$X,MATCH($A46,SPPR!$A:$A,0),2),""),"")</f>
        <v/>
      </c>
      <c r="F46">
        <f>IFERROR(IF(ISNUMBER(INDEX(SPPR!$E:$X,MATCH($A46,SPPR!$A:$A,0),3)),$C46*INDEX(SPPR!$E:$X,MATCH($A46,SPPR!$A:$A,0),3),""),"")</f>
        <v/>
      </c>
      <c r="G46">
        <f>IFERROR(IF(ISNUMBER(INDEX(SPPR!$E:$X,MATCH($A46,SPPR!$A:$A,0),4)),$C46*INDEX(SPPR!$E:$X,MATCH($A46,SPPR!$A:$A,0),4),""),"")</f>
        <v/>
      </c>
      <c r="H46">
        <f>IFERROR(IF(ISNUMBER(INDEX(SPPR!$E:$X,MATCH($A46,SPPR!$A:$A,0),5)),$C46*INDEX(SPPR!$E:$X,MATCH($A46,SPPR!$A:$A,0),5),""),"")</f>
        <v/>
      </c>
      <c r="I46">
        <f>IFERROR(IF(ISNUMBER(INDEX(SPPR!$E:$X,MATCH($A46,SPPR!$A:$A,0),6)),$C46*INDEX(SPPR!$E:$X,MATCH($A46,SPPR!$A:$A,0),6),""),"")</f>
        <v/>
      </c>
      <c r="J46">
        <f>IFERROR(IF(ISNUMBER(INDEX(SPPR!$E:$X,MATCH($A46,SPPR!$A:$A,0),7)),$C46*INDEX(SPPR!$E:$X,MATCH($A46,SPPR!$A:$A,0),7),""),"")</f>
        <v/>
      </c>
      <c r="K46">
        <f>IFERROR(IF(ISNUMBER(INDEX(SPPR!$E:$X,MATCH($A46,SPPR!$A:$A,0),8)),$C46*INDEX(SPPR!$E:$X,MATCH($A46,SPPR!$A:$A,0),8),""),"")</f>
        <v/>
      </c>
      <c r="L46">
        <f>IFERROR(IF(ISNUMBER(INDEX(SPPR!$E:$X,MATCH($A46,SPPR!$A:$A,0),9)),$C46*INDEX(SPPR!$E:$X,MATCH($A46,SPPR!$A:$A,0),9),""),"")</f>
        <v/>
      </c>
      <c r="M46">
        <f>IFERROR(IF(ISNUMBER(INDEX(SPPR!$E:$X,MATCH($A46,SPPR!$A:$A,0),10)),$C46*INDEX(SPPR!$E:$X,MATCH($A46,SPPR!$A:$A,0),10),""),"")</f>
        <v/>
      </c>
      <c r="N46">
        <f>IFERROR(IF(ISNUMBER(INDEX(SPPR!$E:$X,MATCH($A46,SPPR!$A:$A,0),11)),$C46*INDEX(SPPR!$E:$X,MATCH($A46,SPPR!$A:$A,0),11),""),"")</f>
        <v/>
      </c>
      <c r="O46">
        <f>IFERROR(IF(ISNUMBER(INDEX(SPPR!$E:$X,MATCH($A46,SPPR!$A:$A,0),12)),$C46*INDEX(SPPR!$E:$X,MATCH($A46,SPPR!$A:$A,0),12),""),"")</f>
        <v/>
      </c>
      <c r="P46">
        <f>IFERROR(IF(ISNUMBER(INDEX(SPPR!$E:$X,MATCH($A46,SPPR!$A:$A,0),13)),$C46*INDEX(SPPR!$E:$X,MATCH($A46,SPPR!$A:$A,0),13),""),"")</f>
        <v/>
      </c>
      <c r="Q46">
        <f>IFERROR(IF(ISNUMBER(INDEX(SPPR!$E:$X,MATCH($A46,SPPR!$A:$A,0),14)),$C46*INDEX(SPPR!$E:$X,MATCH($A46,SPPR!$A:$A,0),14),""),"")</f>
        <v/>
      </c>
      <c r="R46">
        <f>IFERROR(IF(ISNUMBER(INDEX(SPPR!$E:$X,MATCH($A46,SPPR!$A:$A,0),15)),$C46*INDEX(SPPR!$E:$X,MATCH($A46,SPPR!$A:$A,0),15),""),"")</f>
        <v/>
      </c>
      <c r="S46">
        <f>IFERROR(IF(ISNUMBER(INDEX(SPPR!$E:$X,MATCH($A46,SPPR!$A:$A,0),16)),$C46*INDEX(SPPR!$E:$X,MATCH($A46,SPPR!$A:$A,0),16),""),"")</f>
        <v/>
      </c>
      <c r="T46">
        <f>IFERROR(IF(ISNUMBER(INDEX(SPPR!$E:$X,MATCH($A46,SPPR!$A:$A,0),17)),$C46*INDEX(SPPR!$E:$X,MATCH($A46,SPPR!$A:$A,0),17),""),"")</f>
        <v/>
      </c>
      <c r="U46">
        <f>IFERROR(IF(ISNUMBER(INDEX(SPPR!$E:$X,MATCH($A46,SPPR!$A:$A,0),18)),$C46*INDEX(SPPR!$E:$X,MATCH($A46,SPPR!$A:$A,0),18),""),"")</f>
        <v/>
      </c>
      <c r="V46">
        <f>IFERROR(IF(ISNUMBER(INDEX(SPPR!$E:$X,MATCH($A46,SPPR!$A:$A,0),19)),$C46*INDEX(SPPR!$E:$X,MATCH($A46,SPPR!$A:$A,0),19),""),"")</f>
        <v/>
      </c>
      <c r="W46">
        <f>IFERROR(IF(ISNUMBER(INDEX(SPPR!$E:$X,MATCH($A46,SPPR!$A:$A,0),20)),$C46*INDEX(SPPR!$E:$X,MATCH($A46,SPPR!$A:$A,0),20),""),"")</f>
        <v/>
      </c>
    </row>
    <row r="47">
      <c r="A47" t="inlineStr">
        <is>
          <t>Cynoscion analis</t>
        </is>
      </c>
      <c r="B47">
        <f>IFERROR(INDEX(SPPR!$D:$D,MATCH($A47,SPPR!$A:$A,0)),"")</f>
        <v/>
      </c>
      <c r="C47">
        <f>IFERROR(INDEX(Catch!$E:$BV,MATCH($A47,Catch!$A:$A,0),MATCH($B$4,Catch!$E$1:$BV$1,0)),0)</f>
        <v/>
      </c>
      <c r="D47">
        <f>IFERROR(IF(ISNUMBER(INDEX(SPPR!$E:$X,MATCH($A47,SPPR!$A:$A,0),1)),$C47*INDEX(SPPR!$E:$X,MATCH($A47,SPPR!$A:$A,0),1),""),"")</f>
        <v/>
      </c>
      <c r="E47">
        <f>IFERROR(IF(ISNUMBER(INDEX(SPPR!$E:$X,MATCH($A47,SPPR!$A:$A,0),2)),$C47*INDEX(SPPR!$E:$X,MATCH($A47,SPPR!$A:$A,0),2),""),"")</f>
        <v/>
      </c>
      <c r="F47">
        <f>IFERROR(IF(ISNUMBER(INDEX(SPPR!$E:$X,MATCH($A47,SPPR!$A:$A,0),3)),$C47*INDEX(SPPR!$E:$X,MATCH($A47,SPPR!$A:$A,0),3),""),"")</f>
        <v/>
      </c>
      <c r="G47">
        <f>IFERROR(IF(ISNUMBER(INDEX(SPPR!$E:$X,MATCH($A47,SPPR!$A:$A,0),4)),$C47*INDEX(SPPR!$E:$X,MATCH($A47,SPPR!$A:$A,0),4),""),"")</f>
        <v/>
      </c>
      <c r="H47">
        <f>IFERROR(IF(ISNUMBER(INDEX(SPPR!$E:$X,MATCH($A47,SPPR!$A:$A,0),5)),$C47*INDEX(SPPR!$E:$X,MATCH($A47,SPPR!$A:$A,0),5),""),"")</f>
        <v/>
      </c>
      <c r="I47">
        <f>IFERROR(IF(ISNUMBER(INDEX(SPPR!$E:$X,MATCH($A47,SPPR!$A:$A,0),6)),$C47*INDEX(SPPR!$E:$X,MATCH($A47,SPPR!$A:$A,0),6),""),"")</f>
        <v/>
      </c>
      <c r="J47">
        <f>IFERROR(IF(ISNUMBER(INDEX(SPPR!$E:$X,MATCH($A47,SPPR!$A:$A,0),7)),$C47*INDEX(SPPR!$E:$X,MATCH($A47,SPPR!$A:$A,0),7),""),"")</f>
        <v/>
      </c>
      <c r="K47">
        <f>IFERROR(IF(ISNUMBER(INDEX(SPPR!$E:$X,MATCH($A47,SPPR!$A:$A,0),8)),$C47*INDEX(SPPR!$E:$X,MATCH($A47,SPPR!$A:$A,0),8),""),"")</f>
        <v/>
      </c>
      <c r="L47">
        <f>IFERROR(IF(ISNUMBER(INDEX(SPPR!$E:$X,MATCH($A47,SPPR!$A:$A,0),9)),$C47*INDEX(SPPR!$E:$X,MATCH($A47,SPPR!$A:$A,0),9),""),"")</f>
        <v/>
      </c>
      <c r="M47">
        <f>IFERROR(IF(ISNUMBER(INDEX(SPPR!$E:$X,MATCH($A47,SPPR!$A:$A,0),10)),$C47*INDEX(SPPR!$E:$X,MATCH($A47,SPPR!$A:$A,0),10),""),"")</f>
        <v/>
      </c>
      <c r="N47">
        <f>IFERROR(IF(ISNUMBER(INDEX(SPPR!$E:$X,MATCH($A47,SPPR!$A:$A,0),11)),$C47*INDEX(SPPR!$E:$X,MATCH($A47,SPPR!$A:$A,0),11),""),"")</f>
        <v/>
      </c>
      <c r="O47">
        <f>IFERROR(IF(ISNUMBER(INDEX(SPPR!$E:$X,MATCH($A47,SPPR!$A:$A,0),12)),$C47*INDEX(SPPR!$E:$X,MATCH($A47,SPPR!$A:$A,0),12),""),"")</f>
        <v/>
      </c>
      <c r="P47">
        <f>IFERROR(IF(ISNUMBER(INDEX(SPPR!$E:$X,MATCH($A47,SPPR!$A:$A,0),13)),$C47*INDEX(SPPR!$E:$X,MATCH($A47,SPPR!$A:$A,0),13),""),"")</f>
        <v/>
      </c>
      <c r="Q47">
        <f>IFERROR(IF(ISNUMBER(INDEX(SPPR!$E:$X,MATCH($A47,SPPR!$A:$A,0),14)),$C47*INDEX(SPPR!$E:$X,MATCH($A47,SPPR!$A:$A,0),14),""),"")</f>
        <v/>
      </c>
      <c r="R47">
        <f>IFERROR(IF(ISNUMBER(INDEX(SPPR!$E:$X,MATCH($A47,SPPR!$A:$A,0),15)),$C47*INDEX(SPPR!$E:$X,MATCH($A47,SPPR!$A:$A,0),15),""),"")</f>
        <v/>
      </c>
      <c r="S47">
        <f>IFERROR(IF(ISNUMBER(INDEX(SPPR!$E:$X,MATCH($A47,SPPR!$A:$A,0),16)),$C47*INDEX(SPPR!$E:$X,MATCH($A47,SPPR!$A:$A,0),16),""),"")</f>
        <v/>
      </c>
      <c r="T47">
        <f>IFERROR(IF(ISNUMBER(INDEX(SPPR!$E:$X,MATCH($A47,SPPR!$A:$A,0),17)),$C47*INDEX(SPPR!$E:$X,MATCH($A47,SPPR!$A:$A,0),17),""),"")</f>
        <v/>
      </c>
      <c r="U47">
        <f>IFERROR(IF(ISNUMBER(INDEX(SPPR!$E:$X,MATCH($A47,SPPR!$A:$A,0),18)),$C47*INDEX(SPPR!$E:$X,MATCH($A47,SPPR!$A:$A,0),18),""),"")</f>
        <v/>
      </c>
      <c r="V47">
        <f>IFERROR(IF(ISNUMBER(INDEX(SPPR!$E:$X,MATCH($A47,SPPR!$A:$A,0),19)),$C47*INDEX(SPPR!$E:$X,MATCH($A47,SPPR!$A:$A,0),19),""),"")</f>
        <v/>
      </c>
      <c r="W47">
        <f>IFERROR(IF(ISNUMBER(INDEX(SPPR!$E:$X,MATCH($A47,SPPR!$A:$A,0),20)),$C47*INDEX(SPPR!$E:$X,MATCH($A47,SPPR!$A:$A,0),20),""),"")</f>
        <v/>
      </c>
    </row>
    <row r="48">
      <c r="A48" t="inlineStr">
        <is>
          <t>Paralonchurus peruanus</t>
        </is>
      </c>
      <c r="B48">
        <f>IFERROR(INDEX(SPPR!$D:$D,MATCH($A48,SPPR!$A:$A,0)),"")</f>
        <v/>
      </c>
      <c r="C48">
        <f>IFERROR(INDEX(Catch!$E:$BV,MATCH($A48,Catch!$A:$A,0),MATCH($B$4,Catch!$E$1:$BV$1,0)),0)</f>
        <v/>
      </c>
      <c r="D48">
        <f>IFERROR(IF(ISNUMBER(INDEX(SPPR!$E:$X,MATCH($A48,SPPR!$A:$A,0),1)),$C48*INDEX(SPPR!$E:$X,MATCH($A48,SPPR!$A:$A,0),1),""),"")</f>
        <v/>
      </c>
      <c r="E48">
        <f>IFERROR(IF(ISNUMBER(INDEX(SPPR!$E:$X,MATCH($A48,SPPR!$A:$A,0),2)),$C48*INDEX(SPPR!$E:$X,MATCH($A48,SPPR!$A:$A,0),2),""),"")</f>
        <v/>
      </c>
      <c r="F48">
        <f>IFERROR(IF(ISNUMBER(INDEX(SPPR!$E:$X,MATCH($A48,SPPR!$A:$A,0),3)),$C48*INDEX(SPPR!$E:$X,MATCH($A48,SPPR!$A:$A,0),3),""),"")</f>
        <v/>
      </c>
      <c r="G48">
        <f>IFERROR(IF(ISNUMBER(INDEX(SPPR!$E:$X,MATCH($A48,SPPR!$A:$A,0),4)),$C48*INDEX(SPPR!$E:$X,MATCH($A48,SPPR!$A:$A,0),4),""),"")</f>
        <v/>
      </c>
      <c r="H48">
        <f>IFERROR(IF(ISNUMBER(INDEX(SPPR!$E:$X,MATCH($A48,SPPR!$A:$A,0),5)),$C48*INDEX(SPPR!$E:$X,MATCH($A48,SPPR!$A:$A,0),5),""),"")</f>
        <v/>
      </c>
      <c r="I48">
        <f>IFERROR(IF(ISNUMBER(INDEX(SPPR!$E:$X,MATCH($A48,SPPR!$A:$A,0),6)),$C48*INDEX(SPPR!$E:$X,MATCH($A48,SPPR!$A:$A,0),6),""),"")</f>
        <v/>
      </c>
      <c r="J48">
        <f>IFERROR(IF(ISNUMBER(INDEX(SPPR!$E:$X,MATCH($A48,SPPR!$A:$A,0),7)),$C48*INDEX(SPPR!$E:$X,MATCH($A48,SPPR!$A:$A,0),7),""),"")</f>
        <v/>
      </c>
      <c r="K48">
        <f>IFERROR(IF(ISNUMBER(INDEX(SPPR!$E:$X,MATCH($A48,SPPR!$A:$A,0),8)),$C48*INDEX(SPPR!$E:$X,MATCH($A48,SPPR!$A:$A,0),8),""),"")</f>
        <v/>
      </c>
      <c r="L48">
        <f>IFERROR(IF(ISNUMBER(INDEX(SPPR!$E:$X,MATCH($A48,SPPR!$A:$A,0),9)),$C48*INDEX(SPPR!$E:$X,MATCH($A48,SPPR!$A:$A,0),9),""),"")</f>
        <v/>
      </c>
      <c r="M48">
        <f>IFERROR(IF(ISNUMBER(INDEX(SPPR!$E:$X,MATCH($A48,SPPR!$A:$A,0),10)),$C48*INDEX(SPPR!$E:$X,MATCH($A48,SPPR!$A:$A,0),10),""),"")</f>
        <v/>
      </c>
      <c r="N48">
        <f>IFERROR(IF(ISNUMBER(INDEX(SPPR!$E:$X,MATCH($A48,SPPR!$A:$A,0),11)),$C48*INDEX(SPPR!$E:$X,MATCH($A48,SPPR!$A:$A,0),11),""),"")</f>
        <v/>
      </c>
      <c r="O48">
        <f>IFERROR(IF(ISNUMBER(INDEX(SPPR!$E:$X,MATCH($A48,SPPR!$A:$A,0),12)),$C48*INDEX(SPPR!$E:$X,MATCH($A48,SPPR!$A:$A,0),12),""),"")</f>
        <v/>
      </c>
      <c r="P48">
        <f>IFERROR(IF(ISNUMBER(INDEX(SPPR!$E:$X,MATCH($A48,SPPR!$A:$A,0),13)),$C48*INDEX(SPPR!$E:$X,MATCH($A48,SPPR!$A:$A,0),13),""),"")</f>
        <v/>
      </c>
      <c r="Q48">
        <f>IFERROR(IF(ISNUMBER(INDEX(SPPR!$E:$X,MATCH($A48,SPPR!$A:$A,0),14)),$C48*INDEX(SPPR!$E:$X,MATCH($A48,SPPR!$A:$A,0),14),""),"")</f>
        <v/>
      </c>
      <c r="R48">
        <f>IFERROR(IF(ISNUMBER(INDEX(SPPR!$E:$X,MATCH($A48,SPPR!$A:$A,0),15)),$C48*INDEX(SPPR!$E:$X,MATCH($A48,SPPR!$A:$A,0),15),""),"")</f>
        <v/>
      </c>
      <c r="S48">
        <f>IFERROR(IF(ISNUMBER(INDEX(SPPR!$E:$X,MATCH($A48,SPPR!$A:$A,0),16)),$C48*INDEX(SPPR!$E:$X,MATCH($A48,SPPR!$A:$A,0),16),""),"")</f>
        <v/>
      </c>
      <c r="T48">
        <f>IFERROR(IF(ISNUMBER(INDEX(SPPR!$E:$X,MATCH($A48,SPPR!$A:$A,0),17)),$C48*INDEX(SPPR!$E:$X,MATCH($A48,SPPR!$A:$A,0),17),""),"")</f>
        <v/>
      </c>
      <c r="U48">
        <f>IFERROR(IF(ISNUMBER(INDEX(SPPR!$E:$X,MATCH($A48,SPPR!$A:$A,0),18)),$C48*INDEX(SPPR!$E:$X,MATCH($A48,SPPR!$A:$A,0),18),""),"")</f>
        <v/>
      </c>
      <c r="V48">
        <f>IFERROR(IF(ISNUMBER(INDEX(SPPR!$E:$X,MATCH($A48,SPPR!$A:$A,0),19)),$C48*INDEX(SPPR!$E:$X,MATCH($A48,SPPR!$A:$A,0),19),""),"")</f>
        <v/>
      </c>
      <c r="W48">
        <f>IFERROR(IF(ISNUMBER(INDEX(SPPR!$E:$X,MATCH($A48,SPPR!$A:$A,0),20)),$C48*INDEX(SPPR!$E:$X,MATCH($A48,SPPR!$A:$A,0),20),""),"")</f>
        <v/>
      </c>
    </row>
    <row r="49">
      <c r="A49" t="inlineStr">
        <is>
          <t>Thyrsites atun</t>
        </is>
      </c>
      <c r="B49">
        <f>IFERROR(INDEX(SPPR!$D:$D,MATCH($A49,SPPR!$A:$A,0)),"")</f>
        <v/>
      </c>
      <c r="C49">
        <f>IFERROR(INDEX(Catch!$E:$BV,MATCH($A49,Catch!$A:$A,0),MATCH($B$4,Catch!$E$1:$BV$1,0)),0)</f>
        <v/>
      </c>
      <c r="D49">
        <f>IFERROR(IF(ISNUMBER(INDEX(SPPR!$E:$X,MATCH($A49,SPPR!$A:$A,0),1)),$C49*INDEX(SPPR!$E:$X,MATCH($A49,SPPR!$A:$A,0),1),""),"")</f>
        <v/>
      </c>
      <c r="E49">
        <f>IFERROR(IF(ISNUMBER(INDEX(SPPR!$E:$X,MATCH($A49,SPPR!$A:$A,0),2)),$C49*INDEX(SPPR!$E:$X,MATCH($A49,SPPR!$A:$A,0),2),""),"")</f>
        <v/>
      </c>
      <c r="F49">
        <f>IFERROR(IF(ISNUMBER(INDEX(SPPR!$E:$X,MATCH($A49,SPPR!$A:$A,0),3)),$C49*INDEX(SPPR!$E:$X,MATCH($A49,SPPR!$A:$A,0),3),""),"")</f>
        <v/>
      </c>
      <c r="G49">
        <f>IFERROR(IF(ISNUMBER(INDEX(SPPR!$E:$X,MATCH($A49,SPPR!$A:$A,0),4)),$C49*INDEX(SPPR!$E:$X,MATCH($A49,SPPR!$A:$A,0),4),""),"")</f>
        <v/>
      </c>
      <c r="H49">
        <f>IFERROR(IF(ISNUMBER(INDEX(SPPR!$E:$X,MATCH($A49,SPPR!$A:$A,0),5)),$C49*INDEX(SPPR!$E:$X,MATCH($A49,SPPR!$A:$A,0),5),""),"")</f>
        <v/>
      </c>
      <c r="I49">
        <f>IFERROR(IF(ISNUMBER(INDEX(SPPR!$E:$X,MATCH($A49,SPPR!$A:$A,0),6)),$C49*INDEX(SPPR!$E:$X,MATCH($A49,SPPR!$A:$A,0),6),""),"")</f>
        <v/>
      </c>
      <c r="J49">
        <f>IFERROR(IF(ISNUMBER(INDEX(SPPR!$E:$X,MATCH($A49,SPPR!$A:$A,0),7)),$C49*INDEX(SPPR!$E:$X,MATCH($A49,SPPR!$A:$A,0),7),""),"")</f>
        <v/>
      </c>
      <c r="K49">
        <f>IFERROR(IF(ISNUMBER(INDEX(SPPR!$E:$X,MATCH($A49,SPPR!$A:$A,0),8)),$C49*INDEX(SPPR!$E:$X,MATCH($A49,SPPR!$A:$A,0),8),""),"")</f>
        <v/>
      </c>
      <c r="L49">
        <f>IFERROR(IF(ISNUMBER(INDEX(SPPR!$E:$X,MATCH($A49,SPPR!$A:$A,0),9)),$C49*INDEX(SPPR!$E:$X,MATCH($A49,SPPR!$A:$A,0),9),""),"")</f>
        <v/>
      </c>
      <c r="M49">
        <f>IFERROR(IF(ISNUMBER(INDEX(SPPR!$E:$X,MATCH($A49,SPPR!$A:$A,0),10)),$C49*INDEX(SPPR!$E:$X,MATCH($A49,SPPR!$A:$A,0),10),""),"")</f>
        <v/>
      </c>
      <c r="N49">
        <f>IFERROR(IF(ISNUMBER(INDEX(SPPR!$E:$X,MATCH($A49,SPPR!$A:$A,0),11)),$C49*INDEX(SPPR!$E:$X,MATCH($A49,SPPR!$A:$A,0),11),""),"")</f>
        <v/>
      </c>
      <c r="O49">
        <f>IFERROR(IF(ISNUMBER(INDEX(SPPR!$E:$X,MATCH($A49,SPPR!$A:$A,0),12)),$C49*INDEX(SPPR!$E:$X,MATCH($A49,SPPR!$A:$A,0),12),""),"")</f>
        <v/>
      </c>
      <c r="P49">
        <f>IFERROR(IF(ISNUMBER(INDEX(SPPR!$E:$X,MATCH($A49,SPPR!$A:$A,0),13)),$C49*INDEX(SPPR!$E:$X,MATCH($A49,SPPR!$A:$A,0),13),""),"")</f>
        <v/>
      </c>
      <c r="Q49">
        <f>IFERROR(IF(ISNUMBER(INDEX(SPPR!$E:$X,MATCH($A49,SPPR!$A:$A,0),14)),$C49*INDEX(SPPR!$E:$X,MATCH($A49,SPPR!$A:$A,0),14),""),"")</f>
        <v/>
      </c>
      <c r="R49">
        <f>IFERROR(IF(ISNUMBER(INDEX(SPPR!$E:$X,MATCH($A49,SPPR!$A:$A,0),15)),$C49*INDEX(SPPR!$E:$X,MATCH($A49,SPPR!$A:$A,0),15),""),"")</f>
        <v/>
      </c>
      <c r="S49">
        <f>IFERROR(IF(ISNUMBER(INDEX(SPPR!$E:$X,MATCH($A49,SPPR!$A:$A,0),16)),$C49*INDEX(SPPR!$E:$X,MATCH($A49,SPPR!$A:$A,0),16),""),"")</f>
        <v/>
      </c>
      <c r="T49">
        <f>IFERROR(IF(ISNUMBER(INDEX(SPPR!$E:$X,MATCH($A49,SPPR!$A:$A,0),17)),$C49*INDEX(SPPR!$E:$X,MATCH($A49,SPPR!$A:$A,0),17),""),"")</f>
        <v/>
      </c>
      <c r="U49">
        <f>IFERROR(IF(ISNUMBER(INDEX(SPPR!$E:$X,MATCH($A49,SPPR!$A:$A,0),18)),$C49*INDEX(SPPR!$E:$X,MATCH($A49,SPPR!$A:$A,0),18),""),"")</f>
        <v/>
      </c>
      <c r="V49">
        <f>IFERROR(IF(ISNUMBER(INDEX(SPPR!$E:$X,MATCH($A49,SPPR!$A:$A,0),19)),$C49*INDEX(SPPR!$E:$X,MATCH($A49,SPPR!$A:$A,0),19),""),"")</f>
        <v/>
      </c>
      <c r="W49">
        <f>IFERROR(IF(ISNUMBER(INDEX(SPPR!$E:$X,MATCH($A49,SPPR!$A:$A,0),20)),$C49*INDEX(SPPR!$E:$X,MATCH($A49,SPPR!$A:$A,0),20),""),"")</f>
        <v/>
      </c>
    </row>
    <row r="50">
      <c r="A50" t="inlineStr">
        <is>
          <t>Heterocarpus reedi</t>
        </is>
      </c>
      <c r="B50">
        <f>IFERROR(INDEX(SPPR!$D:$D,MATCH($A50,SPPR!$A:$A,0)),"")</f>
        <v/>
      </c>
      <c r="C50">
        <f>IFERROR(INDEX(Catch!$E:$BV,MATCH($A50,Catch!$A:$A,0),MATCH($B$4,Catch!$E$1:$BV$1,0)),0)</f>
        <v/>
      </c>
      <c r="D50">
        <f>IFERROR(IF(ISNUMBER(INDEX(SPPR!$E:$X,MATCH($A50,SPPR!$A:$A,0),1)),$C50*INDEX(SPPR!$E:$X,MATCH($A50,SPPR!$A:$A,0),1),""),"")</f>
        <v/>
      </c>
      <c r="E50">
        <f>IFERROR(IF(ISNUMBER(INDEX(SPPR!$E:$X,MATCH($A50,SPPR!$A:$A,0),2)),$C50*INDEX(SPPR!$E:$X,MATCH($A50,SPPR!$A:$A,0),2),""),"")</f>
        <v/>
      </c>
      <c r="F50">
        <f>IFERROR(IF(ISNUMBER(INDEX(SPPR!$E:$X,MATCH($A50,SPPR!$A:$A,0),3)),$C50*INDEX(SPPR!$E:$X,MATCH($A50,SPPR!$A:$A,0),3),""),"")</f>
        <v/>
      </c>
      <c r="G50">
        <f>IFERROR(IF(ISNUMBER(INDEX(SPPR!$E:$X,MATCH($A50,SPPR!$A:$A,0),4)),$C50*INDEX(SPPR!$E:$X,MATCH($A50,SPPR!$A:$A,0),4),""),"")</f>
        <v/>
      </c>
      <c r="H50">
        <f>IFERROR(IF(ISNUMBER(INDEX(SPPR!$E:$X,MATCH($A50,SPPR!$A:$A,0),5)),$C50*INDEX(SPPR!$E:$X,MATCH($A50,SPPR!$A:$A,0),5),""),"")</f>
        <v/>
      </c>
      <c r="I50">
        <f>IFERROR(IF(ISNUMBER(INDEX(SPPR!$E:$X,MATCH($A50,SPPR!$A:$A,0),6)),$C50*INDEX(SPPR!$E:$X,MATCH($A50,SPPR!$A:$A,0),6),""),"")</f>
        <v/>
      </c>
      <c r="J50">
        <f>IFERROR(IF(ISNUMBER(INDEX(SPPR!$E:$X,MATCH($A50,SPPR!$A:$A,0),7)),$C50*INDEX(SPPR!$E:$X,MATCH($A50,SPPR!$A:$A,0),7),""),"")</f>
        <v/>
      </c>
      <c r="K50">
        <f>IFERROR(IF(ISNUMBER(INDEX(SPPR!$E:$X,MATCH($A50,SPPR!$A:$A,0),8)),$C50*INDEX(SPPR!$E:$X,MATCH($A50,SPPR!$A:$A,0),8),""),"")</f>
        <v/>
      </c>
      <c r="L50">
        <f>IFERROR(IF(ISNUMBER(INDEX(SPPR!$E:$X,MATCH($A50,SPPR!$A:$A,0),9)),$C50*INDEX(SPPR!$E:$X,MATCH($A50,SPPR!$A:$A,0),9),""),"")</f>
        <v/>
      </c>
      <c r="M50">
        <f>IFERROR(IF(ISNUMBER(INDEX(SPPR!$E:$X,MATCH($A50,SPPR!$A:$A,0),10)),$C50*INDEX(SPPR!$E:$X,MATCH($A50,SPPR!$A:$A,0),10),""),"")</f>
        <v/>
      </c>
      <c r="N50">
        <f>IFERROR(IF(ISNUMBER(INDEX(SPPR!$E:$X,MATCH($A50,SPPR!$A:$A,0),11)),$C50*INDEX(SPPR!$E:$X,MATCH($A50,SPPR!$A:$A,0),11),""),"")</f>
        <v/>
      </c>
      <c r="O50">
        <f>IFERROR(IF(ISNUMBER(INDEX(SPPR!$E:$X,MATCH($A50,SPPR!$A:$A,0),12)),$C50*INDEX(SPPR!$E:$X,MATCH($A50,SPPR!$A:$A,0),12),""),"")</f>
        <v/>
      </c>
      <c r="P50">
        <f>IFERROR(IF(ISNUMBER(INDEX(SPPR!$E:$X,MATCH($A50,SPPR!$A:$A,0),13)),$C50*INDEX(SPPR!$E:$X,MATCH($A50,SPPR!$A:$A,0),13),""),"")</f>
        <v/>
      </c>
      <c r="Q50">
        <f>IFERROR(IF(ISNUMBER(INDEX(SPPR!$E:$X,MATCH($A50,SPPR!$A:$A,0),14)),$C50*INDEX(SPPR!$E:$X,MATCH($A50,SPPR!$A:$A,0),14),""),"")</f>
        <v/>
      </c>
      <c r="R50">
        <f>IFERROR(IF(ISNUMBER(INDEX(SPPR!$E:$X,MATCH($A50,SPPR!$A:$A,0),15)),$C50*INDEX(SPPR!$E:$X,MATCH($A50,SPPR!$A:$A,0),15),""),"")</f>
        <v/>
      </c>
      <c r="S50">
        <f>IFERROR(IF(ISNUMBER(INDEX(SPPR!$E:$X,MATCH($A50,SPPR!$A:$A,0),16)),$C50*INDEX(SPPR!$E:$X,MATCH($A50,SPPR!$A:$A,0),16),""),"")</f>
        <v/>
      </c>
      <c r="T50">
        <f>IFERROR(IF(ISNUMBER(INDEX(SPPR!$E:$X,MATCH($A50,SPPR!$A:$A,0),17)),$C50*INDEX(SPPR!$E:$X,MATCH($A50,SPPR!$A:$A,0),17),""),"")</f>
        <v/>
      </c>
      <c r="U50">
        <f>IFERROR(IF(ISNUMBER(INDEX(SPPR!$E:$X,MATCH($A50,SPPR!$A:$A,0),18)),$C50*INDEX(SPPR!$E:$X,MATCH($A50,SPPR!$A:$A,0),18),""),"")</f>
        <v/>
      </c>
      <c r="V50">
        <f>IFERROR(IF(ISNUMBER(INDEX(SPPR!$E:$X,MATCH($A50,SPPR!$A:$A,0),19)),$C50*INDEX(SPPR!$E:$X,MATCH($A50,SPPR!$A:$A,0),19),""),"")</f>
        <v/>
      </c>
      <c r="W50">
        <f>IFERROR(IF(ISNUMBER(INDEX(SPPR!$E:$X,MATCH($A50,SPPR!$A:$A,0),20)),$C50*INDEX(SPPR!$E:$X,MATCH($A50,SPPR!$A:$A,0),20),""),"")</f>
        <v/>
      </c>
    </row>
    <row r="51">
      <c r="A51" t="inlineStr">
        <is>
          <t>Paralabrax humeralis</t>
        </is>
      </c>
      <c r="B51">
        <f>IFERROR(INDEX(SPPR!$D:$D,MATCH($A51,SPPR!$A:$A,0)),"")</f>
        <v/>
      </c>
      <c r="C51">
        <f>IFERROR(INDEX(Catch!$E:$BV,MATCH($A51,Catch!$A:$A,0),MATCH($B$4,Catch!$E$1:$BV$1,0)),0)</f>
        <v/>
      </c>
      <c r="D51">
        <f>IFERROR(IF(ISNUMBER(INDEX(SPPR!$E:$X,MATCH($A51,SPPR!$A:$A,0),1)),$C51*INDEX(SPPR!$E:$X,MATCH($A51,SPPR!$A:$A,0),1),""),"")</f>
        <v/>
      </c>
      <c r="E51">
        <f>IFERROR(IF(ISNUMBER(INDEX(SPPR!$E:$X,MATCH($A51,SPPR!$A:$A,0),2)),$C51*INDEX(SPPR!$E:$X,MATCH($A51,SPPR!$A:$A,0),2),""),"")</f>
        <v/>
      </c>
      <c r="F51">
        <f>IFERROR(IF(ISNUMBER(INDEX(SPPR!$E:$X,MATCH($A51,SPPR!$A:$A,0),3)),$C51*INDEX(SPPR!$E:$X,MATCH($A51,SPPR!$A:$A,0),3),""),"")</f>
        <v/>
      </c>
      <c r="G51">
        <f>IFERROR(IF(ISNUMBER(INDEX(SPPR!$E:$X,MATCH($A51,SPPR!$A:$A,0),4)),$C51*INDEX(SPPR!$E:$X,MATCH($A51,SPPR!$A:$A,0),4),""),"")</f>
        <v/>
      </c>
      <c r="H51">
        <f>IFERROR(IF(ISNUMBER(INDEX(SPPR!$E:$X,MATCH($A51,SPPR!$A:$A,0),5)),$C51*INDEX(SPPR!$E:$X,MATCH($A51,SPPR!$A:$A,0),5),""),"")</f>
        <v/>
      </c>
      <c r="I51">
        <f>IFERROR(IF(ISNUMBER(INDEX(SPPR!$E:$X,MATCH($A51,SPPR!$A:$A,0),6)),$C51*INDEX(SPPR!$E:$X,MATCH($A51,SPPR!$A:$A,0),6),""),"")</f>
        <v/>
      </c>
      <c r="J51">
        <f>IFERROR(IF(ISNUMBER(INDEX(SPPR!$E:$X,MATCH($A51,SPPR!$A:$A,0),7)),$C51*INDEX(SPPR!$E:$X,MATCH($A51,SPPR!$A:$A,0),7),""),"")</f>
        <v/>
      </c>
      <c r="K51">
        <f>IFERROR(IF(ISNUMBER(INDEX(SPPR!$E:$X,MATCH($A51,SPPR!$A:$A,0),8)),$C51*INDEX(SPPR!$E:$X,MATCH($A51,SPPR!$A:$A,0),8),""),"")</f>
        <v/>
      </c>
      <c r="L51">
        <f>IFERROR(IF(ISNUMBER(INDEX(SPPR!$E:$X,MATCH($A51,SPPR!$A:$A,0),9)),$C51*INDEX(SPPR!$E:$X,MATCH($A51,SPPR!$A:$A,0),9),""),"")</f>
        <v/>
      </c>
      <c r="M51">
        <f>IFERROR(IF(ISNUMBER(INDEX(SPPR!$E:$X,MATCH($A51,SPPR!$A:$A,0),10)),$C51*INDEX(SPPR!$E:$X,MATCH($A51,SPPR!$A:$A,0),10),""),"")</f>
        <v/>
      </c>
      <c r="N51">
        <f>IFERROR(IF(ISNUMBER(INDEX(SPPR!$E:$X,MATCH($A51,SPPR!$A:$A,0),11)),$C51*INDEX(SPPR!$E:$X,MATCH($A51,SPPR!$A:$A,0),11),""),"")</f>
        <v/>
      </c>
      <c r="O51">
        <f>IFERROR(IF(ISNUMBER(INDEX(SPPR!$E:$X,MATCH($A51,SPPR!$A:$A,0),12)),$C51*INDEX(SPPR!$E:$X,MATCH($A51,SPPR!$A:$A,0),12),""),"")</f>
        <v/>
      </c>
      <c r="P51">
        <f>IFERROR(IF(ISNUMBER(INDEX(SPPR!$E:$X,MATCH($A51,SPPR!$A:$A,0),13)),$C51*INDEX(SPPR!$E:$X,MATCH($A51,SPPR!$A:$A,0),13),""),"")</f>
        <v/>
      </c>
      <c r="Q51">
        <f>IFERROR(IF(ISNUMBER(INDEX(SPPR!$E:$X,MATCH($A51,SPPR!$A:$A,0),14)),$C51*INDEX(SPPR!$E:$X,MATCH($A51,SPPR!$A:$A,0),14),""),"")</f>
        <v/>
      </c>
      <c r="R51">
        <f>IFERROR(IF(ISNUMBER(INDEX(SPPR!$E:$X,MATCH($A51,SPPR!$A:$A,0),15)),$C51*INDEX(SPPR!$E:$X,MATCH($A51,SPPR!$A:$A,0),15),""),"")</f>
        <v/>
      </c>
      <c r="S51">
        <f>IFERROR(IF(ISNUMBER(INDEX(SPPR!$E:$X,MATCH($A51,SPPR!$A:$A,0),16)),$C51*INDEX(SPPR!$E:$X,MATCH($A51,SPPR!$A:$A,0),16),""),"")</f>
        <v/>
      </c>
      <c r="T51">
        <f>IFERROR(IF(ISNUMBER(INDEX(SPPR!$E:$X,MATCH($A51,SPPR!$A:$A,0),17)),$C51*INDEX(SPPR!$E:$X,MATCH($A51,SPPR!$A:$A,0),17),""),"")</f>
        <v/>
      </c>
      <c r="U51">
        <f>IFERROR(IF(ISNUMBER(INDEX(SPPR!$E:$X,MATCH($A51,SPPR!$A:$A,0),18)),$C51*INDEX(SPPR!$E:$X,MATCH($A51,SPPR!$A:$A,0),18),""),"")</f>
        <v/>
      </c>
      <c r="V51">
        <f>IFERROR(IF(ISNUMBER(INDEX(SPPR!$E:$X,MATCH($A51,SPPR!$A:$A,0),19)),$C51*INDEX(SPPR!$E:$X,MATCH($A51,SPPR!$A:$A,0),19),""),"")</f>
        <v/>
      </c>
      <c r="W51">
        <f>IFERROR(IF(ISNUMBER(INDEX(SPPR!$E:$X,MATCH($A51,SPPR!$A:$A,0),20)),$C51*INDEX(SPPR!$E:$X,MATCH($A51,SPPR!$A:$A,0),20),""),"")</f>
        <v/>
      </c>
    </row>
    <row r="52">
      <c r="A52" t="inlineStr">
        <is>
          <t>Genypterus blacodes</t>
        </is>
      </c>
      <c r="B52">
        <f>IFERROR(INDEX(SPPR!$D:$D,MATCH($A52,SPPR!$A:$A,0)),"")</f>
        <v/>
      </c>
      <c r="C52">
        <f>IFERROR(INDEX(Catch!$E:$BV,MATCH($A52,Catch!$A:$A,0),MATCH($B$4,Catch!$E$1:$BV$1,0)),0)</f>
        <v/>
      </c>
      <c r="D52">
        <f>IFERROR(IF(ISNUMBER(INDEX(SPPR!$E:$X,MATCH($A52,SPPR!$A:$A,0),1)),$C52*INDEX(SPPR!$E:$X,MATCH($A52,SPPR!$A:$A,0),1),""),"")</f>
        <v/>
      </c>
      <c r="E52">
        <f>IFERROR(IF(ISNUMBER(INDEX(SPPR!$E:$X,MATCH($A52,SPPR!$A:$A,0),2)),$C52*INDEX(SPPR!$E:$X,MATCH($A52,SPPR!$A:$A,0),2),""),"")</f>
        <v/>
      </c>
      <c r="F52">
        <f>IFERROR(IF(ISNUMBER(INDEX(SPPR!$E:$X,MATCH($A52,SPPR!$A:$A,0),3)),$C52*INDEX(SPPR!$E:$X,MATCH($A52,SPPR!$A:$A,0),3),""),"")</f>
        <v/>
      </c>
      <c r="G52">
        <f>IFERROR(IF(ISNUMBER(INDEX(SPPR!$E:$X,MATCH($A52,SPPR!$A:$A,0),4)),$C52*INDEX(SPPR!$E:$X,MATCH($A52,SPPR!$A:$A,0),4),""),"")</f>
        <v/>
      </c>
      <c r="H52">
        <f>IFERROR(IF(ISNUMBER(INDEX(SPPR!$E:$X,MATCH($A52,SPPR!$A:$A,0),5)),$C52*INDEX(SPPR!$E:$X,MATCH($A52,SPPR!$A:$A,0),5),""),"")</f>
        <v/>
      </c>
      <c r="I52">
        <f>IFERROR(IF(ISNUMBER(INDEX(SPPR!$E:$X,MATCH($A52,SPPR!$A:$A,0),6)),$C52*INDEX(SPPR!$E:$X,MATCH($A52,SPPR!$A:$A,0),6),""),"")</f>
        <v/>
      </c>
      <c r="J52">
        <f>IFERROR(IF(ISNUMBER(INDEX(SPPR!$E:$X,MATCH($A52,SPPR!$A:$A,0),7)),$C52*INDEX(SPPR!$E:$X,MATCH($A52,SPPR!$A:$A,0),7),""),"")</f>
        <v/>
      </c>
      <c r="K52">
        <f>IFERROR(IF(ISNUMBER(INDEX(SPPR!$E:$X,MATCH($A52,SPPR!$A:$A,0),8)),$C52*INDEX(SPPR!$E:$X,MATCH($A52,SPPR!$A:$A,0),8),""),"")</f>
        <v/>
      </c>
      <c r="L52">
        <f>IFERROR(IF(ISNUMBER(INDEX(SPPR!$E:$X,MATCH($A52,SPPR!$A:$A,0),9)),$C52*INDEX(SPPR!$E:$X,MATCH($A52,SPPR!$A:$A,0),9),""),"")</f>
        <v/>
      </c>
      <c r="M52">
        <f>IFERROR(IF(ISNUMBER(INDEX(SPPR!$E:$X,MATCH($A52,SPPR!$A:$A,0),10)),$C52*INDEX(SPPR!$E:$X,MATCH($A52,SPPR!$A:$A,0),10),""),"")</f>
        <v/>
      </c>
      <c r="N52">
        <f>IFERROR(IF(ISNUMBER(INDEX(SPPR!$E:$X,MATCH($A52,SPPR!$A:$A,0),11)),$C52*INDEX(SPPR!$E:$X,MATCH($A52,SPPR!$A:$A,0),11),""),"")</f>
        <v/>
      </c>
      <c r="O52">
        <f>IFERROR(IF(ISNUMBER(INDEX(SPPR!$E:$X,MATCH($A52,SPPR!$A:$A,0),12)),$C52*INDEX(SPPR!$E:$X,MATCH($A52,SPPR!$A:$A,0),12),""),"")</f>
        <v/>
      </c>
      <c r="P52">
        <f>IFERROR(IF(ISNUMBER(INDEX(SPPR!$E:$X,MATCH($A52,SPPR!$A:$A,0),13)),$C52*INDEX(SPPR!$E:$X,MATCH($A52,SPPR!$A:$A,0),13),""),"")</f>
        <v/>
      </c>
      <c r="Q52">
        <f>IFERROR(IF(ISNUMBER(INDEX(SPPR!$E:$X,MATCH($A52,SPPR!$A:$A,0),14)),$C52*INDEX(SPPR!$E:$X,MATCH($A52,SPPR!$A:$A,0),14),""),"")</f>
        <v/>
      </c>
      <c r="R52">
        <f>IFERROR(IF(ISNUMBER(INDEX(SPPR!$E:$X,MATCH($A52,SPPR!$A:$A,0),15)),$C52*INDEX(SPPR!$E:$X,MATCH($A52,SPPR!$A:$A,0),15),""),"")</f>
        <v/>
      </c>
      <c r="S52">
        <f>IFERROR(IF(ISNUMBER(INDEX(SPPR!$E:$X,MATCH($A52,SPPR!$A:$A,0),16)),$C52*INDEX(SPPR!$E:$X,MATCH($A52,SPPR!$A:$A,0),16),""),"")</f>
        <v/>
      </c>
      <c r="T52">
        <f>IFERROR(IF(ISNUMBER(INDEX(SPPR!$E:$X,MATCH($A52,SPPR!$A:$A,0),17)),$C52*INDEX(SPPR!$E:$X,MATCH($A52,SPPR!$A:$A,0),17),""),"")</f>
        <v/>
      </c>
      <c r="U52">
        <f>IFERROR(IF(ISNUMBER(INDEX(SPPR!$E:$X,MATCH($A52,SPPR!$A:$A,0),18)),$C52*INDEX(SPPR!$E:$X,MATCH($A52,SPPR!$A:$A,0),18),""),"")</f>
        <v/>
      </c>
      <c r="V52">
        <f>IFERROR(IF(ISNUMBER(INDEX(SPPR!$E:$X,MATCH($A52,SPPR!$A:$A,0),19)),$C52*INDEX(SPPR!$E:$X,MATCH($A52,SPPR!$A:$A,0),19),""),"")</f>
        <v/>
      </c>
      <c r="W52">
        <f>IFERROR(IF(ISNUMBER(INDEX(SPPR!$E:$X,MATCH($A52,SPPR!$A:$A,0),20)),$C52*INDEX(SPPR!$E:$X,MATCH($A52,SPPR!$A:$A,0),20),""),"")</f>
        <v/>
      </c>
    </row>
    <row r="53">
      <c r="A53" t="inlineStr">
        <is>
          <t>Malacostraca</t>
        </is>
      </c>
      <c r="B53">
        <f>IFERROR(INDEX(SPPR!$D:$D,MATCH($A53,SPPR!$A:$A,0)),"")</f>
        <v/>
      </c>
      <c r="C53">
        <f>IFERROR(INDEX(Catch!$E:$BV,MATCH($A53,Catch!$A:$A,0),MATCH($B$4,Catch!$E$1:$BV$1,0)),0)</f>
        <v/>
      </c>
      <c r="D53">
        <f>IFERROR(IF(ISNUMBER(INDEX(SPPR!$E:$X,MATCH($A53,SPPR!$A:$A,0),1)),$C53*INDEX(SPPR!$E:$X,MATCH($A53,SPPR!$A:$A,0),1),""),"")</f>
        <v/>
      </c>
      <c r="E53">
        <f>IFERROR(IF(ISNUMBER(INDEX(SPPR!$E:$X,MATCH($A53,SPPR!$A:$A,0),2)),$C53*INDEX(SPPR!$E:$X,MATCH($A53,SPPR!$A:$A,0),2),""),"")</f>
        <v/>
      </c>
      <c r="F53">
        <f>IFERROR(IF(ISNUMBER(INDEX(SPPR!$E:$X,MATCH($A53,SPPR!$A:$A,0),3)),$C53*INDEX(SPPR!$E:$X,MATCH($A53,SPPR!$A:$A,0),3),""),"")</f>
        <v/>
      </c>
      <c r="G53">
        <f>IFERROR(IF(ISNUMBER(INDEX(SPPR!$E:$X,MATCH($A53,SPPR!$A:$A,0),4)),$C53*INDEX(SPPR!$E:$X,MATCH($A53,SPPR!$A:$A,0),4),""),"")</f>
        <v/>
      </c>
      <c r="H53">
        <f>IFERROR(IF(ISNUMBER(INDEX(SPPR!$E:$X,MATCH($A53,SPPR!$A:$A,0),5)),$C53*INDEX(SPPR!$E:$X,MATCH($A53,SPPR!$A:$A,0),5),""),"")</f>
        <v/>
      </c>
      <c r="I53">
        <f>IFERROR(IF(ISNUMBER(INDEX(SPPR!$E:$X,MATCH($A53,SPPR!$A:$A,0),6)),$C53*INDEX(SPPR!$E:$X,MATCH($A53,SPPR!$A:$A,0),6),""),"")</f>
        <v/>
      </c>
      <c r="J53">
        <f>IFERROR(IF(ISNUMBER(INDEX(SPPR!$E:$X,MATCH($A53,SPPR!$A:$A,0),7)),$C53*INDEX(SPPR!$E:$X,MATCH($A53,SPPR!$A:$A,0),7),""),"")</f>
        <v/>
      </c>
      <c r="K53">
        <f>IFERROR(IF(ISNUMBER(INDEX(SPPR!$E:$X,MATCH($A53,SPPR!$A:$A,0),8)),$C53*INDEX(SPPR!$E:$X,MATCH($A53,SPPR!$A:$A,0),8),""),"")</f>
        <v/>
      </c>
      <c r="L53">
        <f>IFERROR(IF(ISNUMBER(INDEX(SPPR!$E:$X,MATCH($A53,SPPR!$A:$A,0),9)),$C53*INDEX(SPPR!$E:$X,MATCH($A53,SPPR!$A:$A,0),9),""),"")</f>
        <v/>
      </c>
      <c r="M53">
        <f>IFERROR(IF(ISNUMBER(INDEX(SPPR!$E:$X,MATCH($A53,SPPR!$A:$A,0),10)),$C53*INDEX(SPPR!$E:$X,MATCH($A53,SPPR!$A:$A,0),10),""),"")</f>
        <v/>
      </c>
      <c r="N53">
        <f>IFERROR(IF(ISNUMBER(INDEX(SPPR!$E:$X,MATCH($A53,SPPR!$A:$A,0),11)),$C53*INDEX(SPPR!$E:$X,MATCH($A53,SPPR!$A:$A,0),11),""),"")</f>
        <v/>
      </c>
      <c r="O53">
        <f>IFERROR(IF(ISNUMBER(INDEX(SPPR!$E:$X,MATCH($A53,SPPR!$A:$A,0),12)),$C53*INDEX(SPPR!$E:$X,MATCH($A53,SPPR!$A:$A,0),12),""),"")</f>
        <v/>
      </c>
      <c r="P53">
        <f>IFERROR(IF(ISNUMBER(INDEX(SPPR!$E:$X,MATCH($A53,SPPR!$A:$A,0),13)),$C53*INDEX(SPPR!$E:$X,MATCH($A53,SPPR!$A:$A,0),13),""),"")</f>
        <v/>
      </c>
      <c r="Q53">
        <f>IFERROR(IF(ISNUMBER(INDEX(SPPR!$E:$X,MATCH($A53,SPPR!$A:$A,0),14)),$C53*INDEX(SPPR!$E:$X,MATCH($A53,SPPR!$A:$A,0),14),""),"")</f>
        <v/>
      </c>
      <c r="R53">
        <f>IFERROR(IF(ISNUMBER(INDEX(SPPR!$E:$X,MATCH($A53,SPPR!$A:$A,0),15)),$C53*INDEX(SPPR!$E:$X,MATCH($A53,SPPR!$A:$A,0),15),""),"")</f>
        <v/>
      </c>
      <c r="S53">
        <f>IFERROR(IF(ISNUMBER(INDEX(SPPR!$E:$X,MATCH($A53,SPPR!$A:$A,0),16)),$C53*INDEX(SPPR!$E:$X,MATCH($A53,SPPR!$A:$A,0),16),""),"")</f>
        <v/>
      </c>
      <c r="T53">
        <f>IFERROR(IF(ISNUMBER(INDEX(SPPR!$E:$X,MATCH($A53,SPPR!$A:$A,0),17)),$C53*INDEX(SPPR!$E:$X,MATCH($A53,SPPR!$A:$A,0),17),""),"")</f>
        <v/>
      </c>
      <c r="U53">
        <f>IFERROR(IF(ISNUMBER(INDEX(SPPR!$E:$X,MATCH($A53,SPPR!$A:$A,0),18)),$C53*INDEX(SPPR!$E:$X,MATCH($A53,SPPR!$A:$A,0),18),""),"")</f>
        <v/>
      </c>
      <c r="V53">
        <f>IFERROR(IF(ISNUMBER(INDEX(SPPR!$E:$X,MATCH($A53,SPPR!$A:$A,0),19)),$C53*INDEX(SPPR!$E:$X,MATCH($A53,SPPR!$A:$A,0),19),""),"")</f>
        <v/>
      </c>
      <c r="W53">
        <f>IFERROR(IF(ISNUMBER(INDEX(SPPR!$E:$X,MATCH($A53,SPPR!$A:$A,0),20)),$C53*INDEX(SPPR!$E:$X,MATCH($A53,SPPR!$A:$A,0),20),""),"")</f>
        <v/>
      </c>
    </row>
    <row r="54">
      <c r="A54" t="inlineStr">
        <is>
          <t>Scombridae</t>
        </is>
      </c>
      <c r="B54">
        <f>IFERROR(INDEX(SPPR!$D:$D,MATCH($A54,SPPR!$A:$A,0)),"")</f>
        <v/>
      </c>
      <c r="C54">
        <f>IFERROR(INDEX(Catch!$E:$BV,MATCH($A54,Catch!$A:$A,0),MATCH($B$4,Catch!$E$1:$BV$1,0)),0)</f>
        <v/>
      </c>
      <c r="D54">
        <f>IFERROR(IF(ISNUMBER(INDEX(SPPR!$E:$X,MATCH($A54,SPPR!$A:$A,0),1)),$C54*INDEX(SPPR!$E:$X,MATCH($A54,SPPR!$A:$A,0),1),""),"")</f>
        <v/>
      </c>
      <c r="E54">
        <f>IFERROR(IF(ISNUMBER(INDEX(SPPR!$E:$X,MATCH($A54,SPPR!$A:$A,0),2)),$C54*INDEX(SPPR!$E:$X,MATCH($A54,SPPR!$A:$A,0),2),""),"")</f>
        <v/>
      </c>
      <c r="F54">
        <f>IFERROR(IF(ISNUMBER(INDEX(SPPR!$E:$X,MATCH($A54,SPPR!$A:$A,0),3)),$C54*INDEX(SPPR!$E:$X,MATCH($A54,SPPR!$A:$A,0),3),""),"")</f>
        <v/>
      </c>
      <c r="G54">
        <f>IFERROR(IF(ISNUMBER(INDEX(SPPR!$E:$X,MATCH($A54,SPPR!$A:$A,0),4)),$C54*INDEX(SPPR!$E:$X,MATCH($A54,SPPR!$A:$A,0),4),""),"")</f>
        <v/>
      </c>
      <c r="H54">
        <f>IFERROR(IF(ISNUMBER(INDEX(SPPR!$E:$X,MATCH($A54,SPPR!$A:$A,0),5)),$C54*INDEX(SPPR!$E:$X,MATCH($A54,SPPR!$A:$A,0),5),""),"")</f>
        <v/>
      </c>
      <c r="I54">
        <f>IFERROR(IF(ISNUMBER(INDEX(SPPR!$E:$X,MATCH($A54,SPPR!$A:$A,0),6)),$C54*INDEX(SPPR!$E:$X,MATCH($A54,SPPR!$A:$A,0),6),""),"")</f>
        <v/>
      </c>
      <c r="J54">
        <f>IFERROR(IF(ISNUMBER(INDEX(SPPR!$E:$X,MATCH($A54,SPPR!$A:$A,0),7)),$C54*INDEX(SPPR!$E:$X,MATCH($A54,SPPR!$A:$A,0),7),""),"")</f>
        <v/>
      </c>
      <c r="K54">
        <f>IFERROR(IF(ISNUMBER(INDEX(SPPR!$E:$X,MATCH($A54,SPPR!$A:$A,0),8)),$C54*INDEX(SPPR!$E:$X,MATCH($A54,SPPR!$A:$A,0),8),""),"")</f>
        <v/>
      </c>
      <c r="L54">
        <f>IFERROR(IF(ISNUMBER(INDEX(SPPR!$E:$X,MATCH($A54,SPPR!$A:$A,0),9)),$C54*INDEX(SPPR!$E:$X,MATCH($A54,SPPR!$A:$A,0),9),""),"")</f>
        <v/>
      </c>
      <c r="M54">
        <f>IFERROR(IF(ISNUMBER(INDEX(SPPR!$E:$X,MATCH($A54,SPPR!$A:$A,0),10)),$C54*INDEX(SPPR!$E:$X,MATCH($A54,SPPR!$A:$A,0),10),""),"")</f>
        <v/>
      </c>
      <c r="N54">
        <f>IFERROR(IF(ISNUMBER(INDEX(SPPR!$E:$X,MATCH($A54,SPPR!$A:$A,0),11)),$C54*INDEX(SPPR!$E:$X,MATCH($A54,SPPR!$A:$A,0),11),""),"")</f>
        <v/>
      </c>
      <c r="O54">
        <f>IFERROR(IF(ISNUMBER(INDEX(SPPR!$E:$X,MATCH($A54,SPPR!$A:$A,0),12)),$C54*INDEX(SPPR!$E:$X,MATCH($A54,SPPR!$A:$A,0),12),""),"")</f>
        <v/>
      </c>
      <c r="P54">
        <f>IFERROR(IF(ISNUMBER(INDEX(SPPR!$E:$X,MATCH($A54,SPPR!$A:$A,0),13)),$C54*INDEX(SPPR!$E:$X,MATCH($A54,SPPR!$A:$A,0),13),""),"")</f>
        <v/>
      </c>
      <c r="Q54">
        <f>IFERROR(IF(ISNUMBER(INDEX(SPPR!$E:$X,MATCH($A54,SPPR!$A:$A,0),14)),$C54*INDEX(SPPR!$E:$X,MATCH($A54,SPPR!$A:$A,0),14),""),"")</f>
        <v/>
      </c>
      <c r="R54">
        <f>IFERROR(IF(ISNUMBER(INDEX(SPPR!$E:$X,MATCH($A54,SPPR!$A:$A,0),15)),$C54*INDEX(SPPR!$E:$X,MATCH($A54,SPPR!$A:$A,0),15),""),"")</f>
        <v/>
      </c>
      <c r="S54">
        <f>IFERROR(IF(ISNUMBER(INDEX(SPPR!$E:$X,MATCH($A54,SPPR!$A:$A,0),16)),$C54*INDEX(SPPR!$E:$X,MATCH($A54,SPPR!$A:$A,0),16),""),"")</f>
        <v/>
      </c>
      <c r="T54">
        <f>IFERROR(IF(ISNUMBER(INDEX(SPPR!$E:$X,MATCH($A54,SPPR!$A:$A,0),17)),$C54*INDEX(SPPR!$E:$X,MATCH($A54,SPPR!$A:$A,0),17),""),"")</f>
        <v/>
      </c>
      <c r="U54">
        <f>IFERROR(IF(ISNUMBER(INDEX(SPPR!$E:$X,MATCH($A54,SPPR!$A:$A,0),18)),$C54*INDEX(SPPR!$E:$X,MATCH($A54,SPPR!$A:$A,0),18),""),"")</f>
        <v/>
      </c>
      <c r="V54">
        <f>IFERROR(IF(ISNUMBER(INDEX(SPPR!$E:$X,MATCH($A54,SPPR!$A:$A,0),19)),$C54*INDEX(SPPR!$E:$X,MATCH($A54,SPPR!$A:$A,0),19),""),"")</f>
        <v/>
      </c>
      <c r="W54">
        <f>IFERROR(IF(ISNUMBER(INDEX(SPPR!$E:$X,MATCH($A54,SPPR!$A:$A,0),20)),$C54*INDEX(SPPR!$E:$X,MATCH($A54,SPPR!$A:$A,0),20),""),"")</f>
        <v/>
      </c>
    </row>
    <row r="55">
      <c r="A55" t="inlineStr">
        <is>
          <t>Cilus gilberti</t>
        </is>
      </c>
      <c r="B55">
        <f>IFERROR(INDEX(SPPR!$D:$D,MATCH($A55,SPPR!$A:$A,0)),"")</f>
        <v/>
      </c>
      <c r="C55">
        <f>IFERROR(INDEX(Catch!$E:$BV,MATCH($A55,Catch!$A:$A,0),MATCH($B$4,Catch!$E$1:$BV$1,0)),0)</f>
        <v/>
      </c>
      <c r="D55">
        <f>IFERROR(IF(ISNUMBER(INDEX(SPPR!$E:$X,MATCH($A55,SPPR!$A:$A,0),1)),$C55*INDEX(SPPR!$E:$X,MATCH($A55,SPPR!$A:$A,0),1),""),"")</f>
        <v/>
      </c>
      <c r="E55">
        <f>IFERROR(IF(ISNUMBER(INDEX(SPPR!$E:$X,MATCH($A55,SPPR!$A:$A,0),2)),$C55*INDEX(SPPR!$E:$X,MATCH($A55,SPPR!$A:$A,0),2),""),"")</f>
        <v/>
      </c>
      <c r="F55">
        <f>IFERROR(IF(ISNUMBER(INDEX(SPPR!$E:$X,MATCH($A55,SPPR!$A:$A,0),3)),$C55*INDEX(SPPR!$E:$X,MATCH($A55,SPPR!$A:$A,0),3),""),"")</f>
        <v/>
      </c>
      <c r="G55">
        <f>IFERROR(IF(ISNUMBER(INDEX(SPPR!$E:$X,MATCH($A55,SPPR!$A:$A,0),4)),$C55*INDEX(SPPR!$E:$X,MATCH($A55,SPPR!$A:$A,0),4),""),"")</f>
        <v/>
      </c>
      <c r="H55">
        <f>IFERROR(IF(ISNUMBER(INDEX(SPPR!$E:$X,MATCH($A55,SPPR!$A:$A,0),5)),$C55*INDEX(SPPR!$E:$X,MATCH($A55,SPPR!$A:$A,0),5),""),"")</f>
        <v/>
      </c>
      <c r="I55">
        <f>IFERROR(IF(ISNUMBER(INDEX(SPPR!$E:$X,MATCH($A55,SPPR!$A:$A,0),6)),$C55*INDEX(SPPR!$E:$X,MATCH($A55,SPPR!$A:$A,0),6),""),"")</f>
        <v/>
      </c>
      <c r="J55">
        <f>IFERROR(IF(ISNUMBER(INDEX(SPPR!$E:$X,MATCH($A55,SPPR!$A:$A,0),7)),$C55*INDEX(SPPR!$E:$X,MATCH($A55,SPPR!$A:$A,0),7),""),"")</f>
        <v/>
      </c>
      <c r="K55">
        <f>IFERROR(IF(ISNUMBER(INDEX(SPPR!$E:$X,MATCH($A55,SPPR!$A:$A,0),8)),$C55*INDEX(SPPR!$E:$X,MATCH($A55,SPPR!$A:$A,0),8),""),"")</f>
        <v/>
      </c>
      <c r="L55">
        <f>IFERROR(IF(ISNUMBER(INDEX(SPPR!$E:$X,MATCH($A55,SPPR!$A:$A,0),9)),$C55*INDEX(SPPR!$E:$X,MATCH($A55,SPPR!$A:$A,0),9),""),"")</f>
        <v/>
      </c>
      <c r="M55">
        <f>IFERROR(IF(ISNUMBER(INDEX(SPPR!$E:$X,MATCH($A55,SPPR!$A:$A,0),10)),$C55*INDEX(SPPR!$E:$X,MATCH($A55,SPPR!$A:$A,0),10),""),"")</f>
        <v/>
      </c>
      <c r="N55">
        <f>IFERROR(IF(ISNUMBER(INDEX(SPPR!$E:$X,MATCH($A55,SPPR!$A:$A,0),11)),$C55*INDEX(SPPR!$E:$X,MATCH($A55,SPPR!$A:$A,0),11),""),"")</f>
        <v/>
      </c>
      <c r="O55">
        <f>IFERROR(IF(ISNUMBER(INDEX(SPPR!$E:$X,MATCH($A55,SPPR!$A:$A,0),12)),$C55*INDEX(SPPR!$E:$X,MATCH($A55,SPPR!$A:$A,0),12),""),"")</f>
        <v/>
      </c>
      <c r="P55">
        <f>IFERROR(IF(ISNUMBER(INDEX(SPPR!$E:$X,MATCH($A55,SPPR!$A:$A,0),13)),$C55*INDEX(SPPR!$E:$X,MATCH($A55,SPPR!$A:$A,0),13),""),"")</f>
        <v/>
      </c>
      <c r="Q55">
        <f>IFERROR(IF(ISNUMBER(INDEX(SPPR!$E:$X,MATCH($A55,SPPR!$A:$A,0),14)),$C55*INDEX(SPPR!$E:$X,MATCH($A55,SPPR!$A:$A,0),14),""),"")</f>
        <v/>
      </c>
      <c r="R55">
        <f>IFERROR(IF(ISNUMBER(INDEX(SPPR!$E:$X,MATCH($A55,SPPR!$A:$A,0),15)),$C55*INDEX(SPPR!$E:$X,MATCH($A55,SPPR!$A:$A,0),15),""),"")</f>
        <v/>
      </c>
      <c r="S55">
        <f>IFERROR(IF(ISNUMBER(INDEX(SPPR!$E:$X,MATCH($A55,SPPR!$A:$A,0),16)),$C55*INDEX(SPPR!$E:$X,MATCH($A55,SPPR!$A:$A,0),16),""),"")</f>
        <v/>
      </c>
      <c r="T55">
        <f>IFERROR(IF(ISNUMBER(INDEX(SPPR!$E:$X,MATCH($A55,SPPR!$A:$A,0),17)),$C55*INDEX(SPPR!$E:$X,MATCH($A55,SPPR!$A:$A,0),17),""),"")</f>
        <v/>
      </c>
      <c r="U55">
        <f>IFERROR(IF(ISNUMBER(INDEX(SPPR!$E:$X,MATCH($A55,SPPR!$A:$A,0),18)),$C55*INDEX(SPPR!$E:$X,MATCH($A55,SPPR!$A:$A,0),18),""),"")</f>
        <v/>
      </c>
      <c r="V55">
        <f>IFERROR(IF(ISNUMBER(INDEX(SPPR!$E:$X,MATCH($A55,SPPR!$A:$A,0),19)),$C55*INDEX(SPPR!$E:$X,MATCH($A55,SPPR!$A:$A,0),19),""),"")</f>
        <v/>
      </c>
      <c r="W55">
        <f>IFERROR(IF(ISNUMBER(INDEX(SPPR!$E:$X,MATCH($A55,SPPR!$A:$A,0),20)),$C55*INDEX(SPPR!$E:$X,MATCH($A55,SPPR!$A:$A,0),20),""),"")</f>
        <v/>
      </c>
    </row>
    <row r="56">
      <c r="A56" t="inlineStr">
        <is>
          <t>Pleuronectiformes</t>
        </is>
      </c>
      <c r="B56">
        <f>IFERROR(INDEX(SPPR!$D:$D,MATCH($A56,SPPR!$A:$A,0)),"")</f>
        <v/>
      </c>
      <c r="C56">
        <f>IFERROR(INDEX(Catch!$E:$BV,MATCH($A56,Catch!$A:$A,0),MATCH($B$4,Catch!$E$1:$BV$1,0)),0)</f>
        <v/>
      </c>
      <c r="D56">
        <f>IFERROR(IF(ISNUMBER(INDEX(SPPR!$E:$X,MATCH($A56,SPPR!$A:$A,0),1)),$C56*INDEX(SPPR!$E:$X,MATCH($A56,SPPR!$A:$A,0),1),""),"")</f>
        <v/>
      </c>
      <c r="E56">
        <f>IFERROR(IF(ISNUMBER(INDEX(SPPR!$E:$X,MATCH($A56,SPPR!$A:$A,0),2)),$C56*INDEX(SPPR!$E:$X,MATCH($A56,SPPR!$A:$A,0),2),""),"")</f>
        <v/>
      </c>
      <c r="F56">
        <f>IFERROR(IF(ISNUMBER(INDEX(SPPR!$E:$X,MATCH($A56,SPPR!$A:$A,0),3)),$C56*INDEX(SPPR!$E:$X,MATCH($A56,SPPR!$A:$A,0),3),""),"")</f>
        <v/>
      </c>
      <c r="G56">
        <f>IFERROR(IF(ISNUMBER(INDEX(SPPR!$E:$X,MATCH($A56,SPPR!$A:$A,0),4)),$C56*INDEX(SPPR!$E:$X,MATCH($A56,SPPR!$A:$A,0),4),""),"")</f>
        <v/>
      </c>
      <c r="H56">
        <f>IFERROR(IF(ISNUMBER(INDEX(SPPR!$E:$X,MATCH($A56,SPPR!$A:$A,0),5)),$C56*INDEX(SPPR!$E:$X,MATCH($A56,SPPR!$A:$A,0),5),""),"")</f>
        <v/>
      </c>
      <c r="I56">
        <f>IFERROR(IF(ISNUMBER(INDEX(SPPR!$E:$X,MATCH($A56,SPPR!$A:$A,0),6)),$C56*INDEX(SPPR!$E:$X,MATCH($A56,SPPR!$A:$A,0),6),""),"")</f>
        <v/>
      </c>
      <c r="J56">
        <f>IFERROR(IF(ISNUMBER(INDEX(SPPR!$E:$X,MATCH($A56,SPPR!$A:$A,0),7)),$C56*INDEX(SPPR!$E:$X,MATCH($A56,SPPR!$A:$A,0),7),""),"")</f>
        <v/>
      </c>
      <c r="K56">
        <f>IFERROR(IF(ISNUMBER(INDEX(SPPR!$E:$X,MATCH($A56,SPPR!$A:$A,0),8)),$C56*INDEX(SPPR!$E:$X,MATCH($A56,SPPR!$A:$A,0),8),""),"")</f>
        <v/>
      </c>
      <c r="L56">
        <f>IFERROR(IF(ISNUMBER(INDEX(SPPR!$E:$X,MATCH($A56,SPPR!$A:$A,0),9)),$C56*INDEX(SPPR!$E:$X,MATCH($A56,SPPR!$A:$A,0),9),""),"")</f>
        <v/>
      </c>
      <c r="M56">
        <f>IFERROR(IF(ISNUMBER(INDEX(SPPR!$E:$X,MATCH($A56,SPPR!$A:$A,0),10)),$C56*INDEX(SPPR!$E:$X,MATCH($A56,SPPR!$A:$A,0),10),""),"")</f>
        <v/>
      </c>
      <c r="N56">
        <f>IFERROR(IF(ISNUMBER(INDEX(SPPR!$E:$X,MATCH($A56,SPPR!$A:$A,0),11)),$C56*INDEX(SPPR!$E:$X,MATCH($A56,SPPR!$A:$A,0),11),""),"")</f>
        <v/>
      </c>
      <c r="O56">
        <f>IFERROR(IF(ISNUMBER(INDEX(SPPR!$E:$X,MATCH($A56,SPPR!$A:$A,0),12)),$C56*INDEX(SPPR!$E:$X,MATCH($A56,SPPR!$A:$A,0),12),""),"")</f>
        <v/>
      </c>
      <c r="P56">
        <f>IFERROR(IF(ISNUMBER(INDEX(SPPR!$E:$X,MATCH($A56,SPPR!$A:$A,0),13)),$C56*INDEX(SPPR!$E:$X,MATCH($A56,SPPR!$A:$A,0),13),""),"")</f>
        <v/>
      </c>
      <c r="Q56">
        <f>IFERROR(IF(ISNUMBER(INDEX(SPPR!$E:$X,MATCH($A56,SPPR!$A:$A,0),14)),$C56*INDEX(SPPR!$E:$X,MATCH($A56,SPPR!$A:$A,0),14),""),"")</f>
        <v/>
      </c>
      <c r="R56">
        <f>IFERROR(IF(ISNUMBER(INDEX(SPPR!$E:$X,MATCH($A56,SPPR!$A:$A,0),15)),$C56*INDEX(SPPR!$E:$X,MATCH($A56,SPPR!$A:$A,0),15),""),"")</f>
        <v/>
      </c>
      <c r="S56">
        <f>IFERROR(IF(ISNUMBER(INDEX(SPPR!$E:$X,MATCH($A56,SPPR!$A:$A,0),16)),$C56*INDEX(SPPR!$E:$X,MATCH($A56,SPPR!$A:$A,0),16),""),"")</f>
        <v/>
      </c>
      <c r="T56">
        <f>IFERROR(IF(ISNUMBER(INDEX(SPPR!$E:$X,MATCH($A56,SPPR!$A:$A,0),17)),$C56*INDEX(SPPR!$E:$X,MATCH($A56,SPPR!$A:$A,0),17),""),"")</f>
        <v/>
      </c>
      <c r="U56">
        <f>IFERROR(IF(ISNUMBER(INDEX(SPPR!$E:$X,MATCH($A56,SPPR!$A:$A,0),18)),$C56*INDEX(SPPR!$E:$X,MATCH($A56,SPPR!$A:$A,0),18),""),"")</f>
        <v/>
      </c>
      <c r="V56">
        <f>IFERROR(IF(ISNUMBER(INDEX(SPPR!$E:$X,MATCH($A56,SPPR!$A:$A,0),19)),$C56*INDEX(SPPR!$E:$X,MATCH($A56,SPPR!$A:$A,0),19),""),"")</f>
        <v/>
      </c>
      <c r="W56">
        <f>IFERROR(IF(ISNUMBER(INDEX(SPPR!$E:$X,MATCH($A56,SPPR!$A:$A,0),20)),$C56*INDEX(SPPR!$E:$X,MATCH($A56,SPPR!$A:$A,0),20),""),"")</f>
        <v/>
      </c>
    </row>
    <row r="57">
      <c r="A57" t="inlineStr">
        <is>
          <t>Sprattus fuegensis</t>
        </is>
      </c>
      <c r="B57">
        <f>IFERROR(INDEX(SPPR!$D:$D,MATCH($A57,SPPR!$A:$A,0)),"")</f>
        <v/>
      </c>
      <c r="C57">
        <f>IFERROR(INDEX(Catch!$E:$BV,MATCH($A57,Catch!$A:$A,0),MATCH($B$4,Catch!$E$1:$BV$1,0)),0)</f>
        <v/>
      </c>
      <c r="D57">
        <f>IFERROR(IF(ISNUMBER(INDEX(SPPR!$E:$X,MATCH($A57,SPPR!$A:$A,0),1)),$C57*INDEX(SPPR!$E:$X,MATCH($A57,SPPR!$A:$A,0),1),""),"")</f>
        <v/>
      </c>
      <c r="E57">
        <f>IFERROR(IF(ISNUMBER(INDEX(SPPR!$E:$X,MATCH($A57,SPPR!$A:$A,0),2)),$C57*INDEX(SPPR!$E:$X,MATCH($A57,SPPR!$A:$A,0),2),""),"")</f>
        <v/>
      </c>
      <c r="F57">
        <f>IFERROR(IF(ISNUMBER(INDEX(SPPR!$E:$X,MATCH($A57,SPPR!$A:$A,0),3)),$C57*INDEX(SPPR!$E:$X,MATCH($A57,SPPR!$A:$A,0),3),""),"")</f>
        <v/>
      </c>
      <c r="G57">
        <f>IFERROR(IF(ISNUMBER(INDEX(SPPR!$E:$X,MATCH($A57,SPPR!$A:$A,0),4)),$C57*INDEX(SPPR!$E:$X,MATCH($A57,SPPR!$A:$A,0),4),""),"")</f>
        <v/>
      </c>
      <c r="H57">
        <f>IFERROR(IF(ISNUMBER(INDEX(SPPR!$E:$X,MATCH($A57,SPPR!$A:$A,0),5)),$C57*INDEX(SPPR!$E:$X,MATCH($A57,SPPR!$A:$A,0),5),""),"")</f>
        <v/>
      </c>
      <c r="I57">
        <f>IFERROR(IF(ISNUMBER(INDEX(SPPR!$E:$X,MATCH($A57,SPPR!$A:$A,0),6)),$C57*INDEX(SPPR!$E:$X,MATCH($A57,SPPR!$A:$A,0),6),""),"")</f>
        <v/>
      </c>
      <c r="J57">
        <f>IFERROR(IF(ISNUMBER(INDEX(SPPR!$E:$X,MATCH($A57,SPPR!$A:$A,0),7)),$C57*INDEX(SPPR!$E:$X,MATCH($A57,SPPR!$A:$A,0),7),""),"")</f>
        <v/>
      </c>
      <c r="K57">
        <f>IFERROR(IF(ISNUMBER(INDEX(SPPR!$E:$X,MATCH($A57,SPPR!$A:$A,0),8)),$C57*INDEX(SPPR!$E:$X,MATCH($A57,SPPR!$A:$A,0),8),""),"")</f>
        <v/>
      </c>
      <c r="L57">
        <f>IFERROR(IF(ISNUMBER(INDEX(SPPR!$E:$X,MATCH($A57,SPPR!$A:$A,0),9)),$C57*INDEX(SPPR!$E:$X,MATCH($A57,SPPR!$A:$A,0),9),""),"")</f>
        <v/>
      </c>
      <c r="M57">
        <f>IFERROR(IF(ISNUMBER(INDEX(SPPR!$E:$X,MATCH($A57,SPPR!$A:$A,0),10)),$C57*INDEX(SPPR!$E:$X,MATCH($A57,SPPR!$A:$A,0),10),""),"")</f>
        <v/>
      </c>
      <c r="N57">
        <f>IFERROR(IF(ISNUMBER(INDEX(SPPR!$E:$X,MATCH($A57,SPPR!$A:$A,0),11)),$C57*INDEX(SPPR!$E:$X,MATCH($A57,SPPR!$A:$A,0),11),""),"")</f>
        <v/>
      </c>
      <c r="O57">
        <f>IFERROR(IF(ISNUMBER(INDEX(SPPR!$E:$X,MATCH($A57,SPPR!$A:$A,0),12)),$C57*INDEX(SPPR!$E:$X,MATCH($A57,SPPR!$A:$A,0),12),""),"")</f>
        <v/>
      </c>
      <c r="P57">
        <f>IFERROR(IF(ISNUMBER(INDEX(SPPR!$E:$X,MATCH($A57,SPPR!$A:$A,0),13)),$C57*INDEX(SPPR!$E:$X,MATCH($A57,SPPR!$A:$A,0),13),""),"")</f>
        <v/>
      </c>
      <c r="Q57">
        <f>IFERROR(IF(ISNUMBER(INDEX(SPPR!$E:$X,MATCH($A57,SPPR!$A:$A,0),14)),$C57*INDEX(SPPR!$E:$X,MATCH($A57,SPPR!$A:$A,0),14),""),"")</f>
        <v/>
      </c>
      <c r="R57">
        <f>IFERROR(IF(ISNUMBER(INDEX(SPPR!$E:$X,MATCH($A57,SPPR!$A:$A,0),15)),$C57*INDEX(SPPR!$E:$X,MATCH($A57,SPPR!$A:$A,0),15),""),"")</f>
        <v/>
      </c>
      <c r="S57">
        <f>IFERROR(IF(ISNUMBER(INDEX(SPPR!$E:$X,MATCH($A57,SPPR!$A:$A,0),16)),$C57*INDEX(SPPR!$E:$X,MATCH($A57,SPPR!$A:$A,0),16),""),"")</f>
        <v/>
      </c>
      <c r="T57">
        <f>IFERROR(IF(ISNUMBER(INDEX(SPPR!$E:$X,MATCH($A57,SPPR!$A:$A,0),17)),$C57*INDEX(SPPR!$E:$X,MATCH($A57,SPPR!$A:$A,0),17),""),"")</f>
        <v/>
      </c>
      <c r="U57">
        <f>IFERROR(IF(ISNUMBER(INDEX(SPPR!$E:$X,MATCH($A57,SPPR!$A:$A,0),18)),$C57*INDEX(SPPR!$E:$X,MATCH($A57,SPPR!$A:$A,0),18),""),"")</f>
        <v/>
      </c>
      <c r="V57">
        <f>IFERROR(IF(ISNUMBER(INDEX(SPPR!$E:$X,MATCH($A57,SPPR!$A:$A,0),19)),$C57*INDEX(SPPR!$E:$X,MATCH($A57,SPPR!$A:$A,0),19),""),"")</f>
        <v/>
      </c>
      <c r="W57">
        <f>IFERROR(IF(ISNUMBER(INDEX(SPPR!$E:$X,MATCH($A57,SPPR!$A:$A,0),20)),$C57*INDEX(SPPR!$E:$X,MATCH($A57,SPPR!$A:$A,0),20),""),"")</f>
        <v/>
      </c>
    </row>
    <row r="58">
      <c r="A58" t="inlineStr">
        <is>
          <t>Prionace glauca</t>
        </is>
      </c>
      <c r="B58">
        <f>IFERROR(INDEX(SPPR!$D:$D,MATCH($A58,SPPR!$A:$A,0)),"")</f>
        <v/>
      </c>
      <c r="C58">
        <f>IFERROR(INDEX(Catch!$E:$BV,MATCH($A58,Catch!$A:$A,0),MATCH($B$4,Catch!$E$1:$BV$1,0)),0)</f>
        <v/>
      </c>
      <c r="D58">
        <f>IFERROR(IF(ISNUMBER(INDEX(SPPR!$E:$X,MATCH($A58,SPPR!$A:$A,0),1)),$C58*INDEX(SPPR!$E:$X,MATCH($A58,SPPR!$A:$A,0),1),""),"")</f>
        <v/>
      </c>
      <c r="E58">
        <f>IFERROR(IF(ISNUMBER(INDEX(SPPR!$E:$X,MATCH($A58,SPPR!$A:$A,0),2)),$C58*INDEX(SPPR!$E:$X,MATCH($A58,SPPR!$A:$A,0),2),""),"")</f>
        <v/>
      </c>
      <c r="F58">
        <f>IFERROR(IF(ISNUMBER(INDEX(SPPR!$E:$X,MATCH($A58,SPPR!$A:$A,0),3)),$C58*INDEX(SPPR!$E:$X,MATCH($A58,SPPR!$A:$A,0),3),""),"")</f>
        <v/>
      </c>
      <c r="G58">
        <f>IFERROR(IF(ISNUMBER(INDEX(SPPR!$E:$X,MATCH($A58,SPPR!$A:$A,0),4)),$C58*INDEX(SPPR!$E:$X,MATCH($A58,SPPR!$A:$A,0),4),""),"")</f>
        <v/>
      </c>
      <c r="H58">
        <f>IFERROR(IF(ISNUMBER(INDEX(SPPR!$E:$X,MATCH($A58,SPPR!$A:$A,0),5)),$C58*INDEX(SPPR!$E:$X,MATCH($A58,SPPR!$A:$A,0),5),""),"")</f>
        <v/>
      </c>
      <c r="I58">
        <f>IFERROR(IF(ISNUMBER(INDEX(SPPR!$E:$X,MATCH($A58,SPPR!$A:$A,0),6)),$C58*INDEX(SPPR!$E:$X,MATCH($A58,SPPR!$A:$A,0),6),""),"")</f>
        <v/>
      </c>
      <c r="J58">
        <f>IFERROR(IF(ISNUMBER(INDEX(SPPR!$E:$X,MATCH($A58,SPPR!$A:$A,0),7)),$C58*INDEX(SPPR!$E:$X,MATCH($A58,SPPR!$A:$A,0),7),""),"")</f>
        <v/>
      </c>
      <c r="K58">
        <f>IFERROR(IF(ISNUMBER(INDEX(SPPR!$E:$X,MATCH($A58,SPPR!$A:$A,0),8)),$C58*INDEX(SPPR!$E:$X,MATCH($A58,SPPR!$A:$A,0),8),""),"")</f>
        <v/>
      </c>
      <c r="L58">
        <f>IFERROR(IF(ISNUMBER(INDEX(SPPR!$E:$X,MATCH($A58,SPPR!$A:$A,0),9)),$C58*INDEX(SPPR!$E:$X,MATCH($A58,SPPR!$A:$A,0),9),""),"")</f>
        <v/>
      </c>
      <c r="M58">
        <f>IFERROR(IF(ISNUMBER(INDEX(SPPR!$E:$X,MATCH($A58,SPPR!$A:$A,0),10)),$C58*INDEX(SPPR!$E:$X,MATCH($A58,SPPR!$A:$A,0),10),""),"")</f>
        <v/>
      </c>
      <c r="N58">
        <f>IFERROR(IF(ISNUMBER(INDEX(SPPR!$E:$X,MATCH($A58,SPPR!$A:$A,0),11)),$C58*INDEX(SPPR!$E:$X,MATCH($A58,SPPR!$A:$A,0),11),""),"")</f>
        <v/>
      </c>
      <c r="O58">
        <f>IFERROR(IF(ISNUMBER(INDEX(SPPR!$E:$X,MATCH($A58,SPPR!$A:$A,0),12)),$C58*INDEX(SPPR!$E:$X,MATCH($A58,SPPR!$A:$A,0),12),""),"")</f>
        <v/>
      </c>
      <c r="P58">
        <f>IFERROR(IF(ISNUMBER(INDEX(SPPR!$E:$X,MATCH($A58,SPPR!$A:$A,0),13)),$C58*INDEX(SPPR!$E:$X,MATCH($A58,SPPR!$A:$A,0),13),""),"")</f>
        <v/>
      </c>
      <c r="Q58">
        <f>IFERROR(IF(ISNUMBER(INDEX(SPPR!$E:$X,MATCH($A58,SPPR!$A:$A,0),14)),$C58*INDEX(SPPR!$E:$X,MATCH($A58,SPPR!$A:$A,0),14),""),"")</f>
        <v/>
      </c>
      <c r="R58">
        <f>IFERROR(IF(ISNUMBER(INDEX(SPPR!$E:$X,MATCH($A58,SPPR!$A:$A,0),15)),$C58*INDEX(SPPR!$E:$X,MATCH($A58,SPPR!$A:$A,0),15),""),"")</f>
        <v/>
      </c>
      <c r="S58">
        <f>IFERROR(IF(ISNUMBER(INDEX(SPPR!$E:$X,MATCH($A58,SPPR!$A:$A,0),16)),$C58*INDEX(SPPR!$E:$X,MATCH($A58,SPPR!$A:$A,0),16),""),"")</f>
        <v/>
      </c>
      <c r="T58">
        <f>IFERROR(IF(ISNUMBER(INDEX(SPPR!$E:$X,MATCH($A58,SPPR!$A:$A,0),17)),$C58*INDEX(SPPR!$E:$X,MATCH($A58,SPPR!$A:$A,0),17),""),"")</f>
        <v/>
      </c>
      <c r="U58">
        <f>IFERROR(IF(ISNUMBER(INDEX(SPPR!$E:$X,MATCH($A58,SPPR!$A:$A,0),18)),$C58*INDEX(SPPR!$E:$X,MATCH($A58,SPPR!$A:$A,0),18),""),"")</f>
        <v/>
      </c>
      <c r="V58">
        <f>IFERROR(IF(ISNUMBER(INDEX(SPPR!$E:$X,MATCH($A58,SPPR!$A:$A,0),19)),$C58*INDEX(SPPR!$E:$X,MATCH($A58,SPPR!$A:$A,0),19),""),"")</f>
        <v/>
      </c>
      <c r="W58">
        <f>IFERROR(IF(ISNUMBER(INDEX(SPPR!$E:$X,MATCH($A58,SPPR!$A:$A,0),20)),$C58*INDEX(SPPR!$E:$X,MATCH($A58,SPPR!$A:$A,0),20),""),"")</f>
        <v/>
      </c>
    </row>
    <row r="59">
      <c r="A59" t="inlineStr">
        <is>
          <t>Isacia conceptionis</t>
        </is>
      </c>
      <c r="B59">
        <f>IFERROR(INDEX(SPPR!$D:$D,MATCH($A59,SPPR!$A:$A,0)),"")</f>
        <v/>
      </c>
      <c r="C59">
        <f>IFERROR(INDEX(Catch!$E:$BV,MATCH($A59,Catch!$A:$A,0),MATCH($B$4,Catch!$E$1:$BV$1,0)),0)</f>
        <v/>
      </c>
      <c r="D59">
        <f>IFERROR(IF(ISNUMBER(INDEX(SPPR!$E:$X,MATCH($A59,SPPR!$A:$A,0),1)),$C59*INDEX(SPPR!$E:$X,MATCH($A59,SPPR!$A:$A,0),1),""),"")</f>
        <v/>
      </c>
      <c r="E59">
        <f>IFERROR(IF(ISNUMBER(INDEX(SPPR!$E:$X,MATCH($A59,SPPR!$A:$A,0),2)),$C59*INDEX(SPPR!$E:$X,MATCH($A59,SPPR!$A:$A,0),2),""),"")</f>
        <v/>
      </c>
      <c r="F59">
        <f>IFERROR(IF(ISNUMBER(INDEX(SPPR!$E:$X,MATCH($A59,SPPR!$A:$A,0),3)),$C59*INDEX(SPPR!$E:$X,MATCH($A59,SPPR!$A:$A,0),3),""),"")</f>
        <v/>
      </c>
      <c r="G59">
        <f>IFERROR(IF(ISNUMBER(INDEX(SPPR!$E:$X,MATCH($A59,SPPR!$A:$A,0),4)),$C59*INDEX(SPPR!$E:$X,MATCH($A59,SPPR!$A:$A,0),4),""),"")</f>
        <v/>
      </c>
      <c r="H59">
        <f>IFERROR(IF(ISNUMBER(INDEX(SPPR!$E:$X,MATCH($A59,SPPR!$A:$A,0),5)),$C59*INDEX(SPPR!$E:$X,MATCH($A59,SPPR!$A:$A,0),5),""),"")</f>
        <v/>
      </c>
      <c r="I59">
        <f>IFERROR(IF(ISNUMBER(INDEX(SPPR!$E:$X,MATCH($A59,SPPR!$A:$A,0),6)),$C59*INDEX(SPPR!$E:$X,MATCH($A59,SPPR!$A:$A,0),6),""),"")</f>
        <v/>
      </c>
      <c r="J59">
        <f>IFERROR(IF(ISNUMBER(INDEX(SPPR!$E:$X,MATCH($A59,SPPR!$A:$A,0),7)),$C59*INDEX(SPPR!$E:$X,MATCH($A59,SPPR!$A:$A,0),7),""),"")</f>
        <v/>
      </c>
      <c r="K59">
        <f>IFERROR(IF(ISNUMBER(INDEX(SPPR!$E:$X,MATCH($A59,SPPR!$A:$A,0),8)),$C59*INDEX(SPPR!$E:$X,MATCH($A59,SPPR!$A:$A,0),8),""),"")</f>
        <v/>
      </c>
      <c r="L59">
        <f>IFERROR(IF(ISNUMBER(INDEX(SPPR!$E:$X,MATCH($A59,SPPR!$A:$A,0),9)),$C59*INDEX(SPPR!$E:$X,MATCH($A59,SPPR!$A:$A,0),9),""),"")</f>
        <v/>
      </c>
      <c r="M59">
        <f>IFERROR(IF(ISNUMBER(INDEX(SPPR!$E:$X,MATCH($A59,SPPR!$A:$A,0),10)),$C59*INDEX(SPPR!$E:$X,MATCH($A59,SPPR!$A:$A,0),10),""),"")</f>
        <v/>
      </c>
      <c r="N59">
        <f>IFERROR(IF(ISNUMBER(INDEX(SPPR!$E:$X,MATCH($A59,SPPR!$A:$A,0),11)),$C59*INDEX(SPPR!$E:$X,MATCH($A59,SPPR!$A:$A,0),11),""),"")</f>
        <v/>
      </c>
      <c r="O59">
        <f>IFERROR(IF(ISNUMBER(INDEX(SPPR!$E:$X,MATCH($A59,SPPR!$A:$A,0),12)),$C59*INDEX(SPPR!$E:$X,MATCH($A59,SPPR!$A:$A,0),12),""),"")</f>
        <v/>
      </c>
      <c r="P59">
        <f>IFERROR(IF(ISNUMBER(INDEX(SPPR!$E:$X,MATCH($A59,SPPR!$A:$A,0),13)),$C59*INDEX(SPPR!$E:$X,MATCH($A59,SPPR!$A:$A,0),13),""),"")</f>
        <v/>
      </c>
      <c r="Q59">
        <f>IFERROR(IF(ISNUMBER(INDEX(SPPR!$E:$X,MATCH($A59,SPPR!$A:$A,0),14)),$C59*INDEX(SPPR!$E:$X,MATCH($A59,SPPR!$A:$A,0),14),""),"")</f>
        <v/>
      </c>
      <c r="R59">
        <f>IFERROR(IF(ISNUMBER(INDEX(SPPR!$E:$X,MATCH($A59,SPPR!$A:$A,0),15)),$C59*INDEX(SPPR!$E:$X,MATCH($A59,SPPR!$A:$A,0),15),""),"")</f>
        <v/>
      </c>
      <c r="S59">
        <f>IFERROR(IF(ISNUMBER(INDEX(SPPR!$E:$X,MATCH($A59,SPPR!$A:$A,0),16)),$C59*INDEX(SPPR!$E:$X,MATCH($A59,SPPR!$A:$A,0),16),""),"")</f>
        <v/>
      </c>
      <c r="T59">
        <f>IFERROR(IF(ISNUMBER(INDEX(SPPR!$E:$X,MATCH($A59,SPPR!$A:$A,0),17)),$C59*INDEX(SPPR!$E:$X,MATCH($A59,SPPR!$A:$A,0),17),""),"")</f>
        <v/>
      </c>
      <c r="U59">
        <f>IFERROR(IF(ISNUMBER(INDEX(SPPR!$E:$X,MATCH($A59,SPPR!$A:$A,0),18)),$C59*INDEX(SPPR!$E:$X,MATCH($A59,SPPR!$A:$A,0),18),""),"")</f>
        <v/>
      </c>
      <c r="V59">
        <f>IFERROR(IF(ISNUMBER(INDEX(SPPR!$E:$X,MATCH($A59,SPPR!$A:$A,0),19)),$C59*INDEX(SPPR!$E:$X,MATCH($A59,SPPR!$A:$A,0),19),""),"")</f>
        <v/>
      </c>
      <c r="W59">
        <f>IFERROR(IF(ISNUMBER(INDEX(SPPR!$E:$X,MATCH($A59,SPPR!$A:$A,0),20)),$C59*INDEX(SPPR!$E:$X,MATCH($A59,SPPR!$A:$A,0),20),""),"")</f>
        <v/>
      </c>
    </row>
    <row r="60">
      <c r="A60" t="inlineStr">
        <is>
          <t>Genypterus maculatus</t>
        </is>
      </c>
      <c r="B60">
        <f>IFERROR(INDEX(SPPR!$D:$D,MATCH($A60,SPPR!$A:$A,0)),"")</f>
        <v/>
      </c>
      <c r="C60">
        <f>IFERROR(INDEX(Catch!$E:$BV,MATCH($A60,Catch!$A:$A,0),MATCH($B$4,Catch!$E$1:$BV$1,0)),0)</f>
        <v/>
      </c>
      <c r="D60">
        <f>IFERROR(IF(ISNUMBER(INDEX(SPPR!$E:$X,MATCH($A60,SPPR!$A:$A,0),1)),$C60*INDEX(SPPR!$E:$X,MATCH($A60,SPPR!$A:$A,0),1),""),"")</f>
        <v/>
      </c>
      <c r="E60">
        <f>IFERROR(IF(ISNUMBER(INDEX(SPPR!$E:$X,MATCH($A60,SPPR!$A:$A,0),2)),$C60*INDEX(SPPR!$E:$X,MATCH($A60,SPPR!$A:$A,0),2),""),"")</f>
        <v/>
      </c>
      <c r="F60">
        <f>IFERROR(IF(ISNUMBER(INDEX(SPPR!$E:$X,MATCH($A60,SPPR!$A:$A,0),3)),$C60*INDEX(SPPR!$E:$X,MATCH($A60,SPPR!$A:$A,0),3),""),"")</f>
        <v/>
      </c>
      <c r="G60">
        <f>IFERROR(IF(ISNUMBER(INDEX(SPPR!$E:$X,MATCH($A60,SPPR!$A:$A,0),4)),$C60*INDEX(SPPR!$E:$X,MATCH($A60,SPPR!$A:$A,0),4),""),"")</f>
        <v/>
      </c>
      <c r="H60">
        <f>IFERROR(IF(ISNUMBER(INDEX(SPPR!$E:$X,MATCH($A60,SPPR!$A:$A,0),5)),$C60*INDEX(SPPR!$E:$X,MATCH($A60,SPPR!$A:$A,0),5),""),"")</f>
        <v/>
      </c>
      <c r="I60">
        <f>IFERROR(IF(ISNUMBER(INDEX(SPPR!$E:$X,MATCH($A60,SPPR!$A:$A,0),6)),$C60*INDEX(SPPR!$E:$X,MATCH($A60,SPPR!$A:$A,0),6),""),"")</f>
        <v/>
      </c>
      <c r="J60">
        <f>IFERROR(IF(ISNUMBER(INDEX(SPPR!$E:$X,MATCH($A60,SPPR!$A:$A,0),7)),$C60*INDEX(SPPR!$E:$X,MATCH($A60,SPPR!$A:$A,0),7),""),"")</f>
        <v/>
      </c>
      <c r="K60">
        <f>IFERROR(IF(ISNUMBER(INDEX(SPPR!$E:$X,MATCH($A60,SPPR!$A:$A,0),8)),$C60*INDEX(SPPR!$E:$X,MATCH($A60,SPPR!$A:$A,0),8),""),"")</f>
        <v/>
      </c>
      <c r="L60">
        <f>IFERROR(IF(ISNUMBER(INDEX(SPPR!$E:$X,MATCH($A60,SPPR!$A:$A,0),9)),$C60*INDEX(SPPR!$E:$X,MATCH($A60,SPPR!$A:$A,0),9),""),"")</f>
        <v/>
      </c>
      <c r="M60">
        <f>IFERROR(IF(ISNUMBER(INDEX(SPPR!$E:$X,MATCH($A60,SPPR!$A:$A,0),10)),$C60*INDEX(SPPR!$E:$X,MATCH($A60,SPPR!$A:$A,0),10),""),"")</f>
        <v/>
      </c>
      <c r="N60">
        <f>IFERROR(IF(ISNUMBER(INDEX(SPPR!$E:$X,MATCH($A60,SPPR!$A:$A,0),11)),$C60*INDEX(SPPR!$E:$X,MATCH($A60,SPPR!$A:$A,0),11),""),"")</f>
        <v/>
      </c>
      <c r="O60">
        <f>IFERROR(IF(ISNUMBER(INDEX(SPPR!$E:$X,MATCH($A60,SPPR!$A:$A,0),12)),$C60*INDEX(SPPR!$E:$X,MATCH($A60,SPPR!$A:$A,0),12),""),"")</f>
        <v/>
      </c>
      <c r="P60">
        <f>IFERROR(IF(ISNUMBER(INDEX(SPPR!$E:$X,MATCH($A60,SPPR!$A:$A,0),13)),$C60*INDEX(SPPR!$E:$X,MATCH($A60,SPPR!$A:$A,0),13),""),"")</f>
        <v/>
      </c>
      <c r="Q60">
        <f>IFERROR(IF(ISNUMBER(INDEX(SPPR!$E:$X,MATCH($A60,SPPR!$A:$A,0),14)),$C60*INDEX(SPPR!$E:$X,MATCH($A60,SPPR!$A:$A,0),14),""),"")</f>
        <v/>
      </c>
      <c r="R60">
        <f>IFERROR(IF(ISNUMBER(INDEX(SPPR!$E:$X,MATCH($A60,SPPR!$A:$A,0),15)),$C60*INDEX(SPPR!$E:$X,MATCH($A60,SPPR!$A:$A,0),15),""),"")</f>
        <v/>
      </c>
      <c r="S60">
        <f>IFERROR(IF(ISNUMBER(INDEX(SPPR!$E:$X,MATCH($A60,SPPR!$A:$A,0),16)),$C60*INDEX(SPPR!$E:$X,MATCH($A60,SPPR!$A:$A,0),16),""),"")</f>
        <v/>
      </c>
      <c r="T60">
        <f>IFERROR(IF(ISNUMBER(INDEX(SPPR!$E:$X,MATCH($A60,SPPR!$A:$A,0),17)),$C60*INDEX(SPPR!$E:$X,MATCH($A60,SPPR!$A:$A,0),17),""),"")</f>
        <v/>
      </c>
      <c r="U60">
        <f>IFERROR(IF(ISNUMBER(INDEX(SPPR!$E:$X,MATCH($A60,SPPR!$A:$A,0),18)),$C60*INDEX(SPPR!$E:$X,MATCH($A60,SPPR!$A:$A,0),18),""),"")</f>
        <v/>
      </c>
      <c r="V60">
        <f>IFERROR(IF(ISNUMBER(INDEX(SPPR!$E:$X,MATCH($A60,SPPR!$A:$A,0),19)),$C60*INDEX(SPPR!$E:$X,MATCH($A60,SPPR!$A:$A,0),19),""),"")</f>
        <v/>
      </c>
      <c r="W60">
        <f>IFERROR(IF(ISNUMBER(INDEX(SPPR!$E:$X,MATCH($A60,SPPR!$A:$A,0),20)),$C60*INDEX(SPPR!$E:$X,MATCH($A60,SPPR!$A:$A,0),20),""),"")</f>
        <v/>
      </c>
    </row>
    <row r="61">
      <c r="A61" t="inlineStr">
        <is>
          <t>Batoidea</t>
        </is>
      </c>
      <c r="B61">
        <f>IFERROR(INDEX(SPPR!$D:$D,MATCH($A61,SPPR!$A:$A,0)),"")</f>
        <v/>
      </c>
      <c r="C61">
        <f>IFERROR(INDEX(Catch!$E:$BV,MATCH($A61,Catch!$A:$A,0),MATCH($B$4,Catch!$E$1:$BV$1,0)),0)</f>
        <v/>
      </c>
      <c r="D61">
        <f>IFERROR(IF(ISNUMBER(INDEX(SPPR!$E:$X,MATCH($A61,SPPR!$A:$A,0),1)),$C61*INDEX(SPPR!$E:$X,MATCH($A61,SPPR!$A:$A,0),1),""),"")</f>
        <v/>
      </c>
      <c r="E61">
        <f>IFERROR(IF(ISNUMBER(INDEX(SPPR!$E:$X,MATCH($A61,SPPR!$A:$A,0),2)),$C61*INDEX(SPPR!$E:$X,MATCH($A61,SPPR!$A:$A,0),2),""),"")</f>
        <v/>
      </c>
      <c r="F61">
        <f>IFERROR(IF(ISNUMBER(INDEX(SPPR!$E:$X,MATCH($A61,SPPR!$A:$A,0),3)),$C61*INDEX(SPPR!$E:$X,MATCH($A61,SPPR!$A:$A,0),3),""),"")</f>
        <v/>
      </c>
      <c r="G61">
        <f>IFERROR(IF(ISNUMBER(INDEX(SPPR!$E:$X,MATCH($A61,SPPR!$A:$A,0),4)),$C61*INDEX(SPPR!$E:$X,MATCH($A61,SPPR!$A:$A,0),4),""),"")</f>
        <v/>
      </c>
      <c r="H61">
        <f>IFERROR(IF(ISNUMBER(INDEX(SPPR!$E:$X,MATCH($A61,SPPR!$A:$A,0),5)),$C61*INDEX(SPPR!$E:$X,MATCH($A61,SPPR!$A:$A,0),5),""),"")</f>
        <v/>
      </c>
      <c r="I61">
        <f>IFERROR(IF(ISNUMBER(INDEX(SPPR!$E:$X,MATCH($A61,SPPR!$A:$A,0),6)),$C61*INDEX(SPPR!$E:$X,MATCH($A61,SPPR!$A:$A,0),6),""),"")</f>
        <v/>
      </c>
      <c r="J61">
        <f>IFERROR(IF(ISNUMBER(INDEX(SPPR!$E:$X,MATCH($A61,SPPR!$A:$A,0),7)),$C61*INDEX(SPPR!$E:$X,MATCH($A61,SPPR!$A:$A,0),7),""),"")</f>
        <v/>
      </c>
      <c r="K61">
        <f>IFERROR(IF(ISNUMBER(INDEX(SPPR!$E:$X,MATCH($A61,SPPR!$A:$A,0),8)),$C61*INDEX(SPPR!$E:$X,MATCH($A61,SPPR!$A:$A,0),8),""),"")</f>
        <v/>
      </c>
      <c r="L61">
        <f>IFERROR(IF(ISNUMBER(INDEX(SPPR!$E:$X,MATCH($A61,SPPR!$A:$A,0),9)),$C61*INDEX(SPPR!$E:$X,MATCH($A61,SPPR!$A:$A,0),9),""),"")</f>
        <v/>
      </c>
      <c r="M61">
        <f>IFERROR(IF(ISNUMBER(INDEX(SPPR!$E:$X,MATCH($A61,SPPR!$A:$A,0),10)),$C61*INDEX(SPPR!$E:$X,MATCH($A61,SPPR!$A:$A,0),10),""),"")</f>
        <v/>
      </c>
      <c r="N61">
        <f>IFERROR(IF(ISNUMBER(INDEX(SPPR!$E:$X,MATCH($A61,SPPR!$A:$A,0),11)),$C61*INDEX(SPPR!$E:$X,MATCH($A61,SPPR!$A:$A,0),11),""),"")</f>
        <v/>
      </c>
      <c r="O61">
        <f>IFERROR(IF(ISNUMBER(INDEX(SPPR!$E:$X,MATCH($A61,SPPR!$A:$A,0),12)),$C61*INDEX(SPPR!$E:$X,MATCH($A61,SPPR!$A:$A,0),12),""),"")</f>
        <v/>
      </c>
      <c r="P61">
        <f>IFERROR(IF(ISNUMBER(INDEX(SPPR!$E:$X,MATCH($A61,SPPR!$A:$A,0),13)),$C61*INDEX(SPPR!$E:$X,MATCH($A61,SPPR!$A:$A,0),13),""),"")</f>
        <v/>
      </c>
      <c r="Q61">
        <f>IFERROR(IF(ISNUMBER(INDEX(SPPR!$E:$X,MATCH($A61,SPPR!$A:$A,0),14)),$C61*INDEX(SPPR!$E:$X,MATCH($A61,SPPR!$A:$A,0),14),""),"")</f>
        <v/>
      </c>
      <c r="R61">
        <f>IFERROR(IF(ISNUMBER(INDEX(SPPR!$E:$X,MATCH($A61,SPPR!$A:$A,0),15)),$C61*INDEX(SPPR!$E:$X,MATCH($A61,SPPR!$A:$A,0),15),""),"")</f>
        <v/>
      </c>
      <c r="S61">
        <f>IFERROR(IF(ISNUMBER(INDEX(SPPR!$E:$X,MATCH($A61,SPPR!$A:$A,0),16)),$C61*INDEX(SPPR!$E:$X,MATCH($A61,SPPR!$A:$A,0),16),""),"")</f>
        <v/>
      </c>
      <c r="T61">
        <f>IFERROR(IF(ISNUMBER(INDEX(SPPR!$E:$X,MATCH($A61,SPPR!$A:$A,0),17)),$C61*INDEX(SPPR!$E:$X,MATCH($A61,SPPR!$A:$A,0),17),""),"")</f>
        <v/>
      </c>
      <c r="U61">
        <f>IFERROR(IF(ISNUMBER(INDEX(SPPR!$E:$X,MATCH($A61,SPPR!$A:$A,0),18)),$C61*INDEX(SPPR!$E:$X,MATCH($A61,SPPR!$A:$A,0),18),""),"")</f>
        <v/>
      </c>
      <c r="V61">
        <f>IFERROR(IF(ISNUMBER(INDEX(SPPR!$E:$X,MATCH($A61,SPPR!$A:$A,0),19)),$C61*INDEX(SPPR!$E:$X,MATCH($A61,SPPR!$A:$A,0),19),""),"")</f>
        <v/>
      </c>
      <c r="W61">
        <f>IFERROR(IF(ISNUMBER(INDEX(SPPR!$E:$X,MATCH($A61,SPPR!$A:$A,0),20)),$C61*INDEX(SPPR!$E:$X,MATCH($A61,SPPR!$A:$A,0),20),""),"")</f>
        <v/>
      </c>
    </row>
    <row r="62">
      <c r="A62" t="inlineStr">
        <is>
          <t>Pyura chilensis</t>
        </is>
      </c>
      <c r="B62">
        <f>IFERROR(INDEX(SPPR!$D:$D,MATCH($A62,SPPR!$A:$A,0)),"")</f>
        <v/>
      </c>
      <c r="C62">
        <f>IFERROR(INDEX(Catch!$E:$BV,MATCH($A62,Catch!$A:$A,0),MATCH($B$4,Catch!$E$1:$BV$1,0)),0)</f>
        <v/>
      </c>
      <c r="D62">
        <f>IFERROR(IF(ISNUMBER(INDEX(SPPR!$E:$X,MATCH($A62,SPPR!$A:$A,0),1)),$C62*INDEX(SPPR!$E:$X,MATCH($A62,SPPR!$A:$A,0),1),""),"")</f>
        <v/>
      </c>
      <c r="E62">
        <f>IFERROR(IF(ISNUMBER(INDEX(SPPR!$E:$X,MATCH($A62,SPPR!$A:$A,0),2)),$C62*INDEX(SPPR!$E:$X,MATCH($A62,SPPR!$A:$A,0),2),""),"")</f>
        <v/>
      </c>
      <c r="F62">
        <f>IFERROR(IF(ISNUMBER(INDEX(SPPR!$E:$X,MATCH($A62,SPPR!$A:$A,0),3)),$C62*INDEX(SPPR!$E:$X,MATCH($A62,SPPR!$A:$A,0),3),""),"")</f>
        <v/>
      </c>
      <c r="G62">
        <f>IFERROR(IF(ISNUMBER(INDEX(SPPR!$E:$X,MATCH($A62,SPPR!$A:$A,0),4)),$C62*INDEX(SPPR!$E:$X,MATCH($A62,SPPR!$A:$A,0),4),""),"")</f>
        <v/>
      </c>
      <c r="H62">
        <f>IFERROR(IF(ISNUMBER(INDEX(SPPR!$E:$X,MATCH($A62,SPPR!$A:$A,0),5)),$C62*INDEX(SPPR!$E:$X,MATCH($A62,SPPR!$A:$A,0),5),""),"")</f>
        <v/>
      </c>
      <c r="I62">
        <f>IFERROR(IF(ISNUMBER(INDEX(SPPR!$E:$X,MATCH($A62,SPPR!$A:$A,0),6)),$C62*INDEX(SPPR!$E:$X,MATCH($A62,SPPR!$A:$A,0),6),""),"")</f>
        <v/>
      </c>
      <c r="J62">
        <f>IFERROR(IF(ISNUMBER(INDEX(SPPR!$E:$X,MATCH($A62,SPPR!$A:$A,0),7)),$C62*INDEX(SPPR!$E:$X,MATCH($A62,SPPR!$A:$A,0),7),""),"")</f>
        <v/>
      </c>
      <c r="K62">
        <f>IFERROR(IF(ISNUMBER(INDEX(SPPR!$E:$X,MATCH($A62,SPPR!$A:$A,0),8)),$C62*INDEX(SPPR!$E:$X,MATCH($A62,SPPR!$A:$A,0),8),""),"")</f>
        <v/>
      </c>
      <c r="L62">
        <f>IFERROR(IF(ISNUMBER(INDEX(SPPR!$E:$X,MATCH($A62,SPPR!$A:$A,0),9)),$C62*INDEX(SPPR!$E:$X,MATCH($A62,SPPR!$A:$A,0),9),""),"")</f>
        <v/>
      </c>
      <c r="M62">
        <f>IFERROR(IF(ISNUMBER(INDEX(SPPR!$E:$X,MATCH($A62,SPPR!$A:$A,0),10)),$C62*INDEX(SPPR!$E:$X,MATCH($A62,SPPR!$A:$A,0),10),""),"")</f>
        <v/>
      </c>
      <c r="N62">
        <f>IFERROR(IF(ISNUMBER(INDEX(SPPR!$E:$X,MATCH($A62,SPPR!$A:$A,0),11)),$C62*INDEX(SPPR!$E:$X,MATCH($A62,SPPR!$A:$A,0),11),""),"")</f>
        <v/>
      </c>
      <c r="O62">
        <f>IFERROR(IF(ISNUMBER(INDEX(SPPR!$E:$X,MATCH($A62,SPPR!$A:$A,0),12)),$C62*INDEX(SPPR!$E:$X,MATCH($A62,SPPR!$A:$A,0),12),""),"")</f>
        <v/>
      </c>
      <c r="P62">
        <f>IFERROR(IF(ISNUMBER(INDEX(SPPR!$E:$X,MATCH($A62,SPPR!$A:$A,0),13)),$C62*INDEX(SPPR!$E:$X,MATCH($A62,SPPR!$A:$A,0),13),""),"")</f>
        <v/>
      </c>
      <c r="Q62">
        <f>IFERROR(IF(ISNUMBER(INDEX(SPPR!$E:$X,MATCH($A62,SPPR!$A:$A,0),14)),$C62*INDEX(SPPR!$E:$X,MATCH($A62,SPPR!$A:$A,0),14),""),"")</f>
        <v/>
      </c>
      <c r="R62">
        <f>IFERROR(IF(ISNUMBER(INDEX(SPPR!$E:$X,MATCH($A62,SPPR!$A:$A,0),15)),$C62*INDEX(SPPR!$E:$X,MATCH($A62,SPPR!$A:$A,0),15),""),"")</f>
        <v/>
      </c>
      <c r="S62">
        <f>IFERROR(IF(ISNUMBER(INDEX(SPPR!$E:$X,MATCH($A62,SPPR!$A:$A,0),16)),$C62*INDEX(SPPR!$E:$X,MATCH($A62,SPPR!$A:$A,0),16),""),"")</f>
        <v/>
      </c>
      <c r="T62">
        <f>IFERROR(IF(ISNUMBER(INDEX(SPPR!$E:$X,MATCH($A62,SPPR!$A:$A,0),17)),$C62*INDEX(SPPR!$E:$X,MATCH($A62,SPPR!$A:$A,0),17),""),"")</f>
        <v/>
      </c>
      <c r="U62">
        <f>IFERROR(IF(ISNUMBER(INDEX(SPPR!$E:$X,MATCH($A62,SPPR!$A:$A,0),18)),$C62*INDEX(SPPR!$E:$X,MATCH($A62,SPPR!$A:$A,0),18),""),"")</f>
        <v/>
      </c>
      <c r="V62">
        <f>IFERROR(IF(ISNUMBER(INDEX(SPPR!$E:$X,MATCH($A62,SPPR!$A:$A,0),19)),$C62*INDEX(SPPR!$E:$X,MATCH($A62,SPPR!$A:$A,0),19),""),"")</f>
        <v/>
      </c>
      <c r="W62">
        <f>IFERROR(IF(ISNUMBER(INDEX(SPPR!$E:$X,MATCH($A62,SPPR!$A:$A,0),20)),$C62*INDEX(SPPR!$E:$X,MATCH($A62,SPPR!$A:$A,0),20),""),"")</f>
        <v/>
      </c>
    </row>
    <row r="63">
      <c r="A63" t="inlineStr">
        <is>
          <t>Dissostichus eleginoides</t>
        </is>
      </c>
      <c r="B63">
        <f>IFERROR(INDEX(SPPR!$D:$D,MATCH($A63,SPPR!$A:$A,0)),"")</f>
        <v/>
      </c>
      <c r="C63">
        <f>IFERROR(INDEX(Catch!$E:$BV,MATCH($A63,Catch!$A:$A,0),MATCH($B$4,Catch!$E$1:$BV$1,0)),0)</f>
        <v/>
      </c>
      <c r="D63">
        <f>IFERROR(IF(ISNUMBER(INDEX(SPPR!$E:$X,MATCH($A63,SPPR!$A:$A,0),1)),$C63*INDEX(SPPR!$E:$X,MATCH($A63,SPPR!$A:$A,0),1),""),"")</f>
        <v/>
      </c>
      <c r="E63">
        <f>IFERROR(IF(ISNUMBER(INDEX(SPPR!$E:$X,MATCH($A63,SPPR!$A:$A,0),2)),$C63*INDEX(SPPR!$E:$X,MATCH($A63,SPPR!$A:$A,0),2),""),"")</f>
        <v/>
      </c>
      <c r="F63">
        <f>IFERROR(IF(ISNUMBER(INDEX(SPPR!$E:$X,MATCH($A63,SPPR!$A:$A,0),3)),$C63*INDEX(SPPR!$E:$X,MATCH($A63,SPPR!$A:$A,0),3),""),"")</f>
        <v/>
      </c>
      <c r="G63">
        <f>IFERROR(IF(ISNUMBER(INDEX(SPPR!$E:$X,MATCH($A63,SPPR!$A:$A,0),4)),$C63*INDEX(SPPR!$E:$X,MATCH($A63,SPPR!$A:$A,0),4),""),"")</f>
        <v/>
      </c>
      <c r="H63">
        <f>IFERROR(IF(ISNUMBER(INDEX(SPPR!$E:$X,MATCH($A63,SPPR!$A:$A,0),5)),$C63*INDEX(SPPR!$E:$X,MATCH($A63,SPPR!$A:$A,0),5),""),"")</f>
        <v/>
      </c>
      <c r="I63">
        <f>IFERROR(IF(ISNUMBER(INDEX(SPPR!$E:$X,MATCH($A63,SPPR!$A:$A,0),6)),$C63*INDEX(SPPR!$E:$X,MATCH($A63,SPPR!$A:$A,0),6),""),"")</f>
        <v/>
      </c>
      <c r="J63">
        <f>IFERROR(IF(ISNUMBER(INDEX(SPPR!$E:$X,MATCH($A63,SPPR!$A:$A,0),7)),$C63*INDEX(SPPR!$E:$X,MATCH($A63,SPPR!$A:$A,0),7),""),"")</f>
        <v/>
      </c>
      <c r="K63">
        <f>IFERROR(IF(ISNUMBER(INDEX(SPPR!$E:$X,MATCH($A63,SPPR!$A:$A,0),8)),$C63*INDEX(SPPR!$E:$X,MATCH($A63,SPPR!$A:$A,0),8),""),"")</f>
        <v/>
      </c>
      <c r="L63">
        <f>IFERROR(IF(ISNUMBER(INDEX(SPPR!$E:$X,MATCH($A63,SPPR!$A:$A,0),9)),$C63*INDEX(SPPR!$E:$X,MATCH($A63,SPPR!$A:$A,0),9),""),"")</f>
        <v/>
      </c>
      <c r="M63">
        <f>IFERROR(IF(ISNUMBER(INDEX(SPPR!$E:$X,MATCH($A63,SPPR!$A:$A,0),10)),$C63*INDEX(SPPR!$E:$X,MATCH($A63,SPPR!$A:$A,0),10),""),"")</f>
        <v/>
      </c>
      <c r="N63">
        <f>IFERROR(IF(ISNUMBER(INDEX(SPPR!$E:$X,MATCH($A63,SPPR!$A:$A,0),11)),$C63*INDEX(SPPR!$E:$X,MATCH($A63,SPPR!$A:$A,0),11),""),"")</f>
        <v/>
      </c>
      <c r="O63">
        <f>IFERROR(IF(ISNUMBER(INDEX(SPPR!$E:$X,MATCH($A63,SPPR!$A:$A,0),12)),$C63*INDEX(SPPR!$E:$X,MATCH($A63,SPPR!$A:$A,0),12),""),"")</f>
        <v/>
      </c>
      <c r="P63">
        <f>IFERROR(IF(ISNUMBER(INDEX(SPPR!$E:$X,MATCH($A63,SPPR!$A:$A,0),13)),$C63*INDEX(SPPR!$E:$X,MATCH($A63,SPPR!$A:$A,0),13),""),"")</f>
        <v/>
      </c>
      <c r="Q63">
        <f>IFERROR(IF(ISNUMBER(INDEX(SPPR!$E:$X,MATCH($A63,SPPR!$A:$A,0),14)),$C63*INDEX(SPPR!$E:$X,MATCH($A63,SPPR!$A:$A,0),14),""),"")</f>
        <v/>
      </c>
      <c r="R63">
        <f>IFERROR(IF(ISNUMBER(INDEX(SPPR!$E:$X,MATCH($A63,SPPR!$A:$A,0),15)),$C63*INDEX(SPPR!$E:$X,MATCH($A63,SPPR!$A:$A,0),15),""),"")</f>
        <v/>
      </c>
      <c r="S63">
        <f>IFERROR(IF(ISNUMBER(INDEX(SPPR!$E:$X,MATCH($A63,SPPR!$A:$A,0),16)),$C63*INDEX(SPPR!$E:$X,MATCH($A63,SPPR!$A:$A,0),16),""),"")</f>
        <v/>
      </c>
      <c r="T63">
        <f>IFERROR(IF(ISNUMBER(INDEX(SPPR!$E:$X,MATCH($A63,SPPR!$A:$A,0),17)),$C63*INDEX(SPPR!$E:$X,MATCH($A63,SPPR!$A:$A,0),17),""),"")</f>
        <v/>
      </c>
      <c r="U63">
        <f>IFERROR(IF(ISNUMBER(INDEX(SPPR!$E:$X,MATCH($A63,SPPR!$A:$A,0),18)),$C63*INDEX(SPPR!$E:$X,MATCH($A63,SPPR!$A:$A,0),18),""),"")</f>
        <v/>
      </c>
      <c r="V63">
        <f>IFERROR(IF(ISNUMBER(INDEX(SPPR!$E:$X,MATCH($A63,SPPR!$A:$A,0),19)),$C63*INDEX(SPPR!$E:$X,MATCH($A63,SPPR!$A:$A,0),19),""),"")</f>
        <v/>
      </c>
      <c r="W63">
        <f>IFERROR(IF(ISNUMBER(INDEX(SPPR!$E:$X,MATCH($A63,SPPR!$A:$A,0),20)),$C63*INDEX(SPPR!$E:$X,MATCH($A63,SPPR!$A:$A,0),20),""),"")</f>
        <v/>
      </c>
    </row>
    <row r="64">
      <c r="A64" t="inlineStr">
        <is>
          <t>Semele solida</t>
        </is>
      </c>
      <c r="B64">
        <f>IFERROR(INDEX(SPPR!$D:$D,MATCH($A64,SPPR!$A:$A,0)),"")</f>
        <v/>
      </c>
      <c r="C64">
        <f>IFERROR(INDEX(Catch!$E:$BV,MATCH($A64,Catch!$A:$A,0),MATCH($B$4,Catch!$E$1:$BV$1,0)),0)</f>
        <v/>
      </c>
      <c r="D64">
        <f>IFERROR(IF(ISNUMBER(INDEX(SPPR!$E:$X,MATCH($A64,SPPR!$A:$A,0),1)),$C64*INDEX(SPPR!$E:$X,MATCH($A64,SPPR!$A:$A,0),1),""),"")</f>
        <v/>
      </c>
      <c r="E64">
        <f>IFERROR(IF(ISNUMBER(INDEX(SPPR!$E:$X,MATCH($A64,SPPR!$A:$A,0),2)),$C64*INDEX(SPPR!$E:$X,MATCH($A64,SPPR!$A:$A,0),2),""),"")</f>
        <v/>
      </c>
      <c r="F64">
        <f>IFERROR(IF(ISNUMBER(INDEX(SPPR!$E:$X,MATCH($A64,SPPR!$A:$A,0),3)),$C64*INDEX(SPPR!$E:$X,MATCH($A64,SPPR!$A:$A,0),3),""),"")</f>
        <v/>
      </c>
      <c r="G64">
        <f>IFERROR(IF(ISNUMBER(INDEX(SPPR!$E:$X,MATCH($A64,SPPR!$A:$A,0),4)),$C64*INDEX(SPPR!$E:$X,MATCH($A64,SPPR!$A:$A,0),4),""),"")</f>
        <v/>
      </c>
      <c r="H64">
        <f>IFERROR(IF(ISNUMBER(INDEX(SPPR!$E:$X,MATCH($A64,SPPR!$A:$A,0),5)),$C64*INDEX(SPPR!$E:$X,MATCH($A64,SPPR!$A:$A,0),5),""),"")</f>
        <v/>
      </c>
      <c r="I64">
        <f>IFERROR(IF(ISNUMBER(INDEX(SPPR!$E:$X,MATCH($A64,SPPR!$A:$A,0),6)),$C64*INDEX(SPPR!$E:$X,MATCH($A64,SPPR!$A:$A,0),6),""),"")</f>
        <v/>
      </c>
      <c r="J64">
        <f>IFERROR(IF(ISNUMBER(INDEX(SPPR!$E:$X,MATCH($A64,SPPR!$A:$A,0),7)),$C64*INDEX(SPPR!$E:$X,MATCH($A64,SPPR!$A:$A,0),7),""),"")</f>
        <v/>
      </c>
      <c r="K64">
        <f>IFERROR(IF(ISNUMBER(INDEX(SPPR!$E:$X,MATCH($A64,SPPR!$A:$A,0),8)),$C64*INDEX(SPPR!$E:$X,MATCH($A64,SPPR!$A:$A,0),8),""),"")</f>
        <v/>
      </c>
      <c r="L64">
        <f>IFERROR(IF(ISNUMBER(INDEX(SPPR!$E:$X,MATCH($A64,SPPR!$A:$A,0),9)),$C64*INDEX(SPPR!$E:$X,MATCH($A64,SPPR!$A:$A,0),9),""),"")</f>
        <v/>
      </c>
      <c r="M64">
        <f>IFERROR(IF(ISNUMBER(INDEX(SPPR!$E:$X,MATCH($A64,SPPR!$A:$A,0),10)),$C64*INDEX(SPPR!$E:$X,MATCH($A64,SPPR!$A:$A,0),10),""),"")</f>
        <v/>
      </c>
      <c r="N64">
        <f>IFERROR(IF(ISNUMBER(INDEX(SPPR!$E:$X,MATCH($A64,SPPR!$A:$A,0),11)),$C64*INDEX(SPPR!$E:$X,MATCH($A64,SPPR!$A:$A,0),11),""),"")</f>
        <v/>
      </c>
      <c r="O64">
        <f>IFERROR(IF(ISNUMBER(INDEX(SPPR!$E:$X,MATCH($A64,SPPR!$A:$A,0),12)),$C64*INDEX(SPPR!$E:$X,MATCH($A64,SPPR!$A:$A,0),12),""),"")</f>
        <v/>
      </c>
      <c r="P64">
        <f>IFERROR(IF(ISNUMBER(INDEX(SPPR!$E:$X,MATCH($A64,SPPR!$A:$A,0),13)),$C64*INDEX(SPPR!$E:$X,MATCH($A64,SPPR!$A:$A,0),13),""),"")</f>
        <v/>
      </c>
      <c r="Q64">
        <f>IFERROR(IF(ISNUMBER(INDEX(SPPR!$E:$X,MATCH($A64,SPPR!$A:$A,0),14)),$C64*INDEX(SPPR!$E:$X,MATCH($A64,SPPR!$A:$A,0),14),""),"")</f>
        <v/>
      </c>
      <c r="R64">
        <f>IFERROR(IF(ISNUMBER(INDEX(SPPR!$E:$X,MATCH($A64,SPPR!$A:$A,0),15)),$C64*INDEX(SPPR!$E:$X,MATCH($A64,SPPR!$A:$A,0),15),""),"")</f>
        <v/>
      </c>
      <c r="S64">
        <f>IFERROR(IF(ISNUMBER(INDEX(SPPR!$E:$X,MATCH($A64,SPPR!$A:$A,0),16)),$C64*INDEX(SPPR!$E:$X,MATCH($A64,SPPR!$A:$A,0),16),""),"")</f>
        <v/>
      </c>
      <c r="T64">
        <f>IFERROR(IF(ISNUMBER(INDEX(SPPR!$E:$X,MATCH($A64,SPPR!$A:$A,0),17)),$C64*INDEX(SPPR!$E:$X,MATCH($A64,SPPR!$A:$A,0),17),""),"")</f>
        <v/>
      </c>
      <c r="U64">
        <f>IFERROR(IF(ISNUMBER(INDEX(SPPR!$E:$X,MATCH($A64,SPPR!$A:$A,0),18)),$C64*INDEX(SPPR!$E:$X,MATCH($A64,SPPR!$A:$A,0),18),""),"")</f>
        <v/>
      </c>
      <c r="V64">
        <f>IFERROR(IF(ISNUMBER(INDEX(SPPR!$E:$X,MATCH($A64,SPPR!$A:$A,0),19)),$C64*INDEX(SPPR!$E:$X,MATCH($A64,SPPR!$A:$A,0),19),""),"")</f>
        <v/>
      </c>
      <c r="W64">
        <f>IFERROR(IF(ISNUMBER(INDEX(SPPR!$E:$X,MATCH($A64,SPPR!$A:$A,0),20)),$C64*INDEX(SPPR!$E:$X,MATCH($A64,SPPR!$A:$A,0),20),""),"")</f>
        <v/>
      </c>
    </row>
    <row r="65">
      <c r="A65" t="inlineStr">
        <is>
          <t>Ophichthus</t>
        </is>
      </c>
      <c r="B65">
        <f>IFERROR(INDEX(SPPR!$D:$D,MATCH($A65,SPPR!$A:$A,0)),"")</f>
        <v/>
      </c>
      <c r="C65">
        <f>IFERROR(INDEX(Catch!$E:$BV,MATCH($A65,Catch!$A:$A,0),MATCH($B$4,Catch!$E$1:$BV$1,0)),0)</f>
        <v/>
      </c>
      <c r="D65">
        <f>IFERROR(IF(ISNUMBER(INDEX(SPPR!$E:$X,MATCH($A65,SPPR!$A:$A,0),1)),$C65*INDEX(SPPR!$E:$X,MATCH($A65,SPPR!$A:$A,0),1),""),"")</f>
        <v/>
      </c>
      <c r="E65">
        <f>IFERROR(IF(ISNUMBER(INDEX(SPPR!$E:$X,MATCH($A65,SPPR!$A:$A,0),2)),$C65*INDEX(SPPR!$E:$X,MATCH($A65,SPPR!$A:$A,0),2),""),"")</f>
        <v/>
      </c>
      <c r="F65">
        <f>IFERROR(IF(ISNUMBER(INDEX(SPPR!$E:$X,MATCH($A65,SPPR!$A:$A,0),3)),$C65*INDEX(SPPR!$E:$X,MATCH($A65,SPPR!$A:$A,0),3),""),"")</f>
        <v/>
      </c>
      <c r="G65">
        <f>IFERROR(IF(ISNUMBER(INDEX(SPPR!$E:$X,MATCH($A65,SPPR!$A:$A,0),4)),$C65*INDEX(SPPR!$E:$X,MATCH($A65,SPPR!$A:$A,0),4),""),"")</f>
        <v/>
      </c>
      <c r="H65">
        <f>IFERROR(IF(ISNUMBER(INDEX(SPPR!$E:$X,MATCH($A65,SPPR!$A:$A,0),5)),$C65*INDEX(SPPR!$E:$X,MATCH($A65,SPPR!$A:$A,0),5),""),"")</f>
        <v/>
      </c>
      <c r="I65">
        <f>IFERROR(IF(ISNUMBER(INDEX(SPPR!$E:$X,MATCH($A65,SPPR!$A:$A,0),6)),$C65*INDEX(SPPR!$E:$X,MATCH($A65,SPPR!$A:$A,0),6),""),"")</f>
        <v/>
      </c>
      <c r="J65">
        <f>IFERROR(IF(ISNUMBER(INDEX(SPPR!$E:$X,MATCH($A65,SPPR!$A:$A,0),7)),$C65*INDEX(SPPR!$E:$X,MATCH($A65,SPPR!$A:$A,0),7),""),"")</f>
        <v/>
      </c>
      <c r="K65">
        <f>IFERROR(IF(ISNUMBER(INDEX(SPPR!$E:$X,MATCH($A65,SPPR!$A:$A,0),8)),$C65*INDEX(SPPR!$E:$X,MATCH($A65,SPPR!$A:$A,0),8),""),"")</f>
        <v/>
      </c>
      <c r="L65">
        <f>IFERROR(IF(ISNUMBER(INDEX(SPPR!$E:$X,MATCH($A65,SPPR!$A:$A,0),9)),$C65*INDEX(SPPR!$E:$X,MATCH($A65,SPPR!$A:$A,0),9),""),"")</f>
        <v/>
      </c>
      <c r="M65">
        <f>IFERROR(IF(ISNUMBER(INDEX(SPPR!$E:$X,MATCH($A65,SPPR!$A:$A,0),10)),$C65*INDEX(SPPR!$E:$X,MATCH($A65,SPPR!$A:$A,0),10),""),"")</f>
        <v/>
      </c>
      <c r="N65">
        <f>IFERROR(IF(ISNUMBER(INDEX(SPPR!$E:$X,MATCH($A65,SPPR!$A:$A,0),11)),$C65*INDEX(SPPR!$E:$X,MATCH($A65,SPPR!$A:$A,0),11),""),"")</f>
        <v/>
      </c>
      <c r="O65">
        <f>IFERROR(IF(ISNUMBER(INDEX(SPPR!$E:$X,MATCH($A65,SPPR!$A:$A,0),12)),$C65*INDEX(SPPR!$E:$X,MATCH($A65,SPPR!$A:$A,0),12),""),"")</f>
        <v/>
      </c>
      <c r="P65">
        <f>IFERROR(IF(ISNUMBER(INDEX(SPPR!$E:$X,MATCH($A65,SPPR!$A:$A,0),13)),$C65*INDEX(SPPR!$E:$X,MATCH($A65,SPPR!$A:$A,0),13),""),"")</f>
        <v/>
      </c>
      <c r="Q65">
        <f>IFERROR(IF(ISNUMBER(INDEX(SPPR!$E:$X,MATCH($A65,SPPR!$A:$A,0),14)),$C65*INDEX(SPPR!$E:$X,MATCH($A65,SPPR!$A:$A,0),14),""),"")</f>
        <v/>
      </c>
      <c r="R65">
        <f>IFERROR(IF(ISNUMBER(INDEX(SPPR!$E:$X,MATCH($A65,SPPR!$A:$A,0),15)),$C65*INDEX(SPPR!$E:$X,MATCH($A65,SPPR!$A:$A,0),15),""),"")</f>
        <v/>
      </c>
      <c r="S65">
        <f>IFERROR(IF(ISNUMBER(INDEX(SPPR!$E:$X,MATCH($A65,SPPR!$A:$A,0),16)),$C65*INDEX(SPPR!$E:$X,MATCH($A65,SPPR!$A:$A,0),16),""),"")</f>
        <v/>
      </c>
      <c r="T65">
        <f>IFERROR(IF(ISNUMBER(INDEX(SPPR!$E:$X,MATCH($A65,SPPR!$A:$A,0),17)),$C65*INDEX(SPPR!$E:$X,MATCH($A65,SPPR!$A:$A,0),17),""),"")</f>
        <v/>
      </c>
      <c r="U65">
        <f>IFERROR(IF(ISNUMBER(INDEX(SPPR!$E:$X,MATCH($A65,SPPR!$A:$A,0),18)),$C65*INDEX(SPPR!$E:$X,MATCH($A65,SPPR!$A:$A,0),18),""),"")</f>
        <v/>
      </c>
      <c r="V65">
        <f>IFERROR(IF(ISNUMBER(INDEX(SPPR!$E:$X,MATCH($A65,SPPR!$A:$A,0),19)),$C65*INDEX(SPPR!$E:$X,MATCH($A65,SPPR!$A:$A,0),19),""),"")</f>
        <v/>
      </c>
      <c r="W65">
        <f>IFERROR(IF(ISNUMBER(INDEX(SPPR!$E:$X,MATCH($A65,SPPR!$A:$A,0),20)),$C65*INDEX(SPPR!$E:$X,MATCH($A65,SPPR!$A:$A,0),20),""),"")</f>
        <v/>
      </c>
    </row>
    <row r="66">
      <c r="A66" t="inlineStr">
        <is>
          <t>Xiphias gladius</t>
        </is>
      </c>
      <c r="B66">
        <f>IFERROR(INDEX(SPPR!$D:$D,MATCH($A66,SPPR!$A:$A,0)),"")</f>
        <v/>
      </c>
      <c r="C66">
        <f>IFERROR(INDEX(Catch!$E:$BV,MATCH($A66,Catch!$A:$A,0),MATCH($B$4,Catch!$E$1:$BV$1,0)),0)</f>
        <v/>
      </c>
      <c r="D66">
        <f>IFERROR(IF(ISNUMBER(INDEX(SPPR!$E:$X,MATCH($A66,SPPR!$A:$A,0),1)),$C66*INDEX(SPPR!$E:$X,MATCH($A66,SPPR!$A:$A,0),1),""),"")</f>
        <v/>
      </c>
      <c r="E66">
        <f>IFERROR(IF(ISNUMBER(INDEX(SPPR!$E:$X,MATCH($A66,SPPR!$A:$A,0),2)),$C66*INDEX(SPPR!$E:$X,MATCH($A66,SPPR!$A:$A,0),2),""),"")</f>
        <v/>
      </c>
      <c r="F66">
        <f>IFERROR(IF(ISNUMBER(INDEX(SPPR!$E:$X,MATCH($A66,SPPR!$A:$A,0),3)),$C66*INDEX(SPPR!$E:$X,MATCH($A66,SPPR!$A:$A,0),3),""),"")</f>
        <v/>
      </c>
      <c r="G66">
        <f>IFERROR(IF(ISNUMBER(INDEX(SPPR!$E:$X,MATCH($A66,SPPR!$A:$A,0),4)),$C66*INDEX(SPPR!$E:$X,MATCH($A66,SPPR!$A:$A,0),4),""),"")</f>
        <v/>
      </c>
      <c r="H66">
        <f>IFERROR(IF(ISNUMBER(INDEX(SPPR!$E:$X,MATCH($A66,SPPR!$A:$A,0),5)),$C66*INDEX(SPPR!$E:$X,MATCH($A66,SPPR!$A:$A,0),5),""),"")</f>
        <v/>
      </c>
      <c r="I66">
        <f>IFERROR(IF(ISNUMBER(INDEX(SPPR!$E:$X,MATCH($A66,SPPR!$A:$A,0),6)),$C66*INDEX(SPPR!$E:$X,MATCH($A66,SPPR!$A:$A,0),6),""),"")</f>
        <v/>
      </c>
      <c r="J66">
        <f>IFERROR(IF(ISNUMBER(INDEX(SPPR!$E:$X,MATCH($A66,SPPR!$A:$A,0),7)),$C66*INDEX(SPPR!$E:$X,MATCH($A66,SPPR!$A:$A,0),7),""),"")</f>
        <v/>
      </c>
      <c r="K66">
        <f>IFERROR(IF(ISNUMBER(INDEX(SPPR!$E:$X,MATCH($A66,SPPR!$A:$A,0),8)),$C66*INDEX(SPPR!$E:$X,MATCH($A66,SPPR!$A:$A,0),8),""),"")</f>
        <v/>
      </c>
      <c r="L66">
        <f>IFERROR(IF(ISNUMBER(INDEX(SPPR!$E:$X,MATCH($A66,SPPR!$A:$A,0),9)),$C66*INDEX(SPPR!$E:$X,MATCH($A66,SPPR!$A:$A,0),9),""),"")</f>
        <v/>
      </c>
      <c r="M66">
        <f>IFERROR(IF(ISNUMBER(INDEX(SPPR!$E:$X,MATCH($A66,SPPR!$A:$A,0),10)),$C66*INDEX(SPPR!$E:$X,MATCH($A66,SPPR!$A:$A,0),10),""),"")</f>
        <v/>
      </c>
      <c r="N66">
        <f>IFERROR(IF(ISNUMBER(INDEX(SPPR!$E:$X,MATCH($A66,SPPR!$A:$A,0),11)),$C66*INDEX(SPPR!$E:$X,MATCH($A66,SPPR!$A:$A,0),11),""),"")</f>
        <v/>
      </c>
      <c r="O66">
        <f>IFERROR(IF(ISNUMBER(INDEX(SPPR!$E:$X,MATCH($A66,SPPR!$A:$A,0),12)),$C66*INDEX(SPPR!$E:$X,MATCH($A66,SPPR!$A:$A,0),12),""),"")</f>
        <v/>
      </c>
      <c r="P66">
        <f>IFERROR(IF(ISNUMBER(INDEX(SPPR!$E:$X,MATCH($A66,SPPR!$A:$A,0),13)),$C66*INDEX(SPPR!$E:$X,MATCH($A66,SPPR!$A:$A,0),13),""),"")</f>
        <v/>
      </c>
      <c r="Q66">
        <f>IFERROR(IF(ISNUMBER(INDEX(SPPR!$E:$X,MATCH($A66,SPPR!$A:$A,0),14)),$C66*INDEX(SPPR!$E:$X,MATCH($A66,SPPR!$A:$A,0),14),""),"")</f>
        <v/>
      </c>
      <c r="R66">
        <f>IFERROR(IF(ISNUMBER(INDEX(SPPR!$E:$X,MATCH($A66,SPPR!$A:$A,0),15)),$C66*INDEX(SPPR!$E:$X,MATCH($A66,SPPR!$A:$A,0),15),""),"")</f>
        <v/>
      </c>
      <c r="S66">
        <f>IFERROR(IF(ISNUMBER(INDEX(SPPR!$E:$X,MATCH($A66,SPPR!$A:$A,0),16)),$C66*INDEX(SPPR!$E:$X,MATCH($A66,SPPR!$A:$A,0),16),""),"")</f>
        <v/>
      </c>
      <c r="T66">
        <f>IFERROR(IF(ISNUMBER(INDEX(SPPR!$E:$X,MATCH($A66,SPPR!$A:$A,0),17)),$C66*INDEX(SPPR!$E:$X,MATCH($A66,SPPR!$A:$A,0),17),""),"")</f>
        <v/>
      </c>
      <c r="U66">
        <f>IFERROR(IF(ISNUMBER(INDEX(SPPR!$E:$X,MATCH($A66,SPPR!$A:$A,0),18)),$C66*INDEX(SPPR!$E:$X,MATCH($A66,SPPR!$A:$A,0),18),""),"")</f>
        <v/>
      </c>
      <c r="V66">
        <f>IFERROR(IF(ISNUMBER(INDEX(SPPR!$E:$X,MATCH($A66,SPPR!$A:$A,0),19)),$C66*INDEX(SPPR!$E:$X,MATCH($A66,SPPR!$A:$A,0),19),""),"")</f>
        <v/>
      </c>
      <c r="W66">
        <f>IFERROR(IF(ISNUMBER(INDEX(SPPR!$E:$X,MATCH($A66,SPPR!$A:$A,0),20)),$C66*INDEX(SPPR!$E:$X,MATCH($A66,SPPR!$A:$A,0),20),""),"")</f>
        <v/>
      </c>
    </row>
    <row r="67">
      <c r="A67" t="inlineStr">
        <is>
          <t>Tawera gayi</t>
        </is>
      </c>
      <c r="B67">
        <f>IFERROR(INDEX(SPPR!$D:$D,MATCH($A67,SPPR!$A:$A,0)),"")</f>
        <v/>
      </c>
      <c r="C67">
        <f>IFERROR(INDEX(Catch!$E:$BV,MATCH($A67,Catch!$A:$A,0),MATCH($B$4,Catch!$E$1:$BV$1,0)),0)</f>
        <v/>
      </c>
      <c r="D67">
        <f>IFERROR(IF(ISNUMBER(INDEX(SPPR!$E:$X,MATCH($A67,SPPR!$A:$A,0),1)),$C67*INDEX(SPPR!$E:$X,MATCH($A67,SPPR!$A:$A,0),1),""),"")</f>
        <v/>
      </c>
      <c r="E67">
        <f>IFERROR(IF(ISNUMBER(INDEX(SPPR!$E:$X,MATCH($A67,SPPR!$A:$A,0),2)),$C67*INDEX(SPPR!$E:$X,MATCH($A67,SPPR!$A:$A,0),2),""),"")</f>
        <v/>
      </c>
      <c r="F67">
        <f>IFERROR(IF(ISNUMBER(INDEX(SPPR!$E:$X,MATCH($A67,SPPR!$A:$A,0),3)),$C67*INDEX(SPPR!$E:$X,MATCH($A67,SPPR!$A:$A,0),3),""),"")</f>
        <v/>
      </c>
      <c r="G67">
        <f>IFERROR(IF(ISNUMBER(INDEX(SPPR!$E:$X,MATCH($A67,SPPR!$A:$A,0),4)),$C67*INDEX(SPPR!$E:$X,MATCH($A67,SPPR!$A:$A,0),4),""),"")</f>
        <v/>
      </c>
      <c r="H67">
        <f>IFERROR(IF(ISNUMBER(INDEX(SPPR!$E:$X,MATCH($A67,SPPR!$A:$A,0),5)),$C67*INDEX(SPPR!$E:$X,MATCH($A67,SPPR!$A:$A,0),5),""),"")</f>
        <v/>
      </c>
      <c r="I67">
        <f>IFERROR(IF(ISNUMBER(INDEX(SPPR!$E:$X,MATCH($A67,SPPR!$A:$A,0),6)),$C67*INDEX(SPPR!$E:$X,MATCH($A67,SPPR!$A:$A,0),6),""),"")</f>
        <v/>
      </c>
      <c r="J67">
        <f>IFERROR(IF(ISNUMBER(INDEX(SPPR!$E:$X,MATCH($A67,SPPR!$A:$A,0),7)),$C67*INDEX(SPPR!$E:$X,MATCH($A67,SPPR!$A:$A,0),7),""),"")</f>
        <v/>
      </c>
      <c r="K67">
        <f>IFERROR(IF(ISNUMBER(INDEX(SPPR!$E:$X,MATCH($A67,SPPR!$A:$A,0),8)),$C67*INDEX(SPPR!$E:$X,MATCH($A67,SPPR!$A:$A,0),8),""),"")</f>
        <v/>
      </c>
      <c r="L67">
        <f>IFERROR(IF(ISNUMBER(INDEX(SPPR!$E:$X,MATCH($A67,SPPR!$A:$A,0),9)),$C67*INDEX(SPPR!$E:$X,MATCH($A67,SPPR!$A:$A,0),9),""),"")</f>
        <v/>
      </c>
      <c r="M67">
        <f>IFERROR(IF(ISNUMBER(INDEX(SPPR!$E:$X,MATCH($A67,SPPR!$A:$A,0),10)),$C67*INDEX(SPPR!$E:$X,MATCH($A67,SPPR!$A:$A,0),10),""),"")</f>
        <v/>
      </c>
      <c r="N67">
        <f>IFERROR(IF(ISNUMBER(INDEX(SPPR!$E:$X,MATCH($A67,SPPR!$A:$A,0),11)),$C67*INDEX(SPPR!$E:$X,MATCH($A67,SPPR!$A:$A,0),11),""),"")</f>
        <v/>
      </c>
      <c r="O67">
        <f>IFERROR(IF(ISNUMBER(INDEX(SPPR!$E:$X,MATCH($A67,SPPR!$A:$A,0),12)),$C67*INDEX(SPPR!$E:$X,MATCH($A67,SPPR!$A:$A,0),12),""),"")</f>
        <v/>
      </c>
      <c r="P67">
        <f>IFERROR(IF(ISNUMBER(INDEX(SPPR!$E:$X,MATCH($A67,SPPR!$A:$A,0),13)),$C67*INDEX(SPPR!$E:$X,MATCH($A67,SPPR!$A:$A,0),13),""),"")</f>
        <v/>
      </c>
      <c r="Q67">
        <f>IFERROR(IF(ISNUMBER(INDEX(SPPR!$E:$X,MATCH($A67,SPPR!$A:$A,0),14)),$C67*INDEX(SPPR!$E:$X,MATCH($A67,SPPR!$A:$A,0),14),""),"")</f>
        <v/>
      </c>
      <c r="R67">
        <f>IFERROR(IF(ISNUMBER(INDEX(SPPR!$E:$X,MATCH($A67,SPPR!$A:$A,0),15)),$C67*INDEX(SPPR!$E:$X,MATCH($A67,SPPR!$A:$A,0),15),""),"")</f>
        <v/>
      </c>
      <c r="S67">
        <f>IFERROR(IF(ISNUMBER(INDEX(SPPR!$E:$X,MATCH($A67,SPPR!$A:$A,0),16)),$C67*INDEX(SPPR!$E:$X,MATCH($A67,SPPR!$A:$A,0),16),""),"")</f>
        <v/>
      </c>
      <c r="T67">
        <f>IFERROR(IF(ISNUMBER(INDEX(SPPR!$E:$X,MATCH($A67,SPPR!$A:$A,0),17)),$C67*INDEX(SPPR!$E:$X,MATCH($A67,SPPR!$A:$A,0),17),""),"")</f>
        <v/>
      </c>
      <c r="U67">
        <f>IFERROR(IF(ISNUMBER(INDEX(SPPR!$E:$X,MATCH($A67,SPPR!$A:$A,0),18)),$C67*INDEX(SPPR!$E:$X,MATCH($A67,SPPR!$A:$A,0),18),""),"")</f>
        <v/>
      </c>
      <c r="V67">
        <f>IFERROR(IF(ISNUMBER(INDEX(SPPR!$E:$X,MATCH($A67,SPPR!$A:$A,0),19)),$C67*INDEX(SPPR!$E:$X,MATCH($A67,SPPR!$A:$A,0),19),""),"")</f>
        <v/>
      </c>
      <c r="W67">
        <f>IFERROR(IF(ISNUMBER(INDEX(SPPR!$E:$X,MATCH($A67,SPPR!$A:$A,0),20)),$C67*INDEX(SPPR!$E:$X,MATCH($A67,SPPR!$A:$A,0),20),""),"")</f>
        <v/>
      </c>
    </row>
    <row r="68">
      <c r="A68" t="inlineStr">
        <is>
          <t>Paralomis granulosa</t>
        </is>
      </c>
      <c r="B68">
        <f>IFERROR(INDEX(SPPR!$D:$D,MATCH($A68,SPPR!$A:$A,0)),"")</f>
        <v/>
      </c>
      <c r="C68">
        <f>IFERROR(INDEX(Catch!$E:$BV,MATCH($A68,Catch!$A:$A,0),MATCH($B$4,Catch!$E$1:$BV$1,0)),0)</f>
        <v/>
      </c>
      <c r="D68">
        <f>IFERROR(IF(ISNUMBER(INDEX(SPPR!$E:$X,MATCH($A68,SPPR!$A:$A,0),1)),$C68*INDEX(SPPR!$E:$X,MATCH($A68,SPPR!$A:$A,0),1),""),"")</f>
        <v/>
      </c>
      <c r="E68">
        <f>IFERROR(IF(ISNUMBER(INDEX(SPPR!$E:$X,MATCH($A68,SPPR!$A:$A,0),2)),$C68*INDEX(SPPR!$E:$X,MATCH($A68,SPPR!$A:$A,0),2),""),"")</f>
        <v/>
      </c>
      <c r="F68">
        <f>IFERROR(IF(ISNUMBER(INDEX(SPPR!$E:$X,MATCH($A68,SPPR!$A:$A,0),3)),$C68*INDEX(SPPR!$E:$X,MATCH($A68,SPPR!$A:$A,0),3),""),"")</f>
        <v/>
      </c>
      <c r="G68">
        <f>IFERROR(IF(ISNUMBER(INDEX(SPPR!$E:$X,MATCH($A68,SPPR!$A:$A,0),4)),$C68*INDEX(SPPR!$E:$X,MATCH($A68,SPPR!$A:$A,0),4),""),"")</f>
        <v/>
      </c>
      <c r="H68">
        <f>IFERROR(IF(ISNUMBER(INDEX(SPPR!$E:$X,MATCH($A68,SPPR!$A:$A,0),5)),$C68*INDEX(SPPR!$E:$X,MATCH($A68,SPPR!$A:$A,0),5),""),"")</f>
        <v/>
      </c>
      <c r="I68">
        <f>IFERROR(IF(ISNUMBER(INDEX(SPPR!$E:$X,MATCH($A68,SPPR!$A:$A,0),6)),$C68*INDEX(SPPR!$E:$X,MATCH($A68,SPPR!$A:$A,0),6),""),"")</f>
        <v/>
      </c>
      <c r="J68">
        <f>IFERROR(IF(ISNUMBER(INDEX(SPPR!$E:$X,MATCH($A68,SPPR!$A:$A,0),7)),$C68*INDEX(SPPR!$E:$X,MATCH($A68,SPPR!$A:$A,0),7),""),"")</f>
        <v/>
      </c>
      <c r="K68">
        <f>IFERROR(IF(ISNUMBER(INDEX(SPPR!$E:$X,MATCH($A68,SPPR!$A:$A,0),8)),$C68*INDEX(SPPR!$E:$X,MATCH($A68,SPPR!$A:$A,0),8),""),"")</f>
        <v/>
      </c>
      <c r="L68">
        <f>IFERROR(IF(ISNUMBER(INDEX(SPPR!$E:$X,MATCH($A68,SPPR!$A:$A,0),9)),$C68*INDEX(SPPR!$E:$X,MATCH($A68,SPPR!$A:$A,0),9),""),"")</f>
        <v/>
      </c>
      <c r="M68">
        <f>IFERROR(IF(ISNUMBER(INDEX(SPPR!$E:$X,MATCH($A68,SPPR!$A:$A,0),10)),$C68*INDEX(SPPR!$E:$X,MATCH($A68,SPPR!$A:$A,0),10),""),"")</f>
        <v/>
      </c>
      <c r="N68">
        <f>IFERROR(IF(ISNUMBER(INDEX(SPPR!$E:$X,MATCH($A68,SPPR!$A:$A,0),11)),$C68*INDEX(SPPR!$E:$X,MATCH($A68,SPPR!$A:$A,0),11),""),"")</f>
        <v/>
      </c>
      <c r="O68">
        <f>IFERROR(IF(ISNUMBER(INDEX(SPPR!$E:$X,MATCH($A68,SPPR!$A:$A,0),12)),$C68*INDEX(SPPR!$E:$X,MATCH($A68,SPPR!$A:$A,0),12),""),"")</f>
        <v/>
      </c>
      <c r="P68">
        <f>IFERROR(IF(ISNUMBER(INDEX(SPPR!$E:$X,MATCH($A68,SPPR!$A:$A,0),13)),$C68*INDEX(SPPR!$E:$X,MATCH($A68,SPPR!$A:$A,0),13),""),"")</f>
        <v/>
      </c>
      <c r="Q68">
        <f>IFERROR(IF(ISNUMBER(INDEX(SPPR!$E:$X,MATCH($A68,SPPR!$A:$A,0),14)),$C68*INDEX(SPPR!$E:$X,MATCH($A68,SPPR!$A:$A,0),14),""),"")</f>
        <v/>
      </c>
      <c r="R68">
        <f>IFERROR(IF(ISNUMBER(INDEX(SPPR!$E:$X,MATCH($A68,SPPR!$A:$A,0),15)),$C68*INDEX(SPPR!$E:$X,MATCH($A68,SPPR!$A:$A,0),15),""),"")</f>
        <v/>
      </c>
      <c r="S68">
        <f>IFERROR(IF(ISNUMBER(INDEX(SPPR!$E:$X,MATCH($A68,SPPR!$A:$A,0),16)),$C68*INDEX(SPPR!$E:$X,MATCH($A68,SPPR!$A:$A,0),16),""),"")</f>
        <v/>
      </c>
      <c r="T68">
        <f>IFERROR(IF(ISNUMBER(INDEX(SPPR!$E:$X,MATCH($A68,SPPR!$A:$A,0),17)),$C68*INDEX(SPPR!$E:$X,MATCH($A68,SPPR!$A:$A,0),17),""),"")</f>
        <v/>
      </c>
      <c r="U68">
        <f>IFERROR(IF(ISNUMBER(INDEX(SPPR!$E:$X,MATCH($A68,SPPR!$A:$A,0),18)),$C68*INDEX(SPPR!$E:$X,MATCH($A68,SPPR!$A:$A,0),18),""),"")</f>
        <v/>
      </c>
      <c r="V68">
        <f>IFERROR(IF(ISNUMBER(INDEX(SPPR!$E:$X,MATCH($A68,SPPR!$A:$A,0),19)),$C68*INDEX(SPPR!$E:$X,MATCH($A68,SPPR!$A:$A,0),19),""),"")</f>
        <v/>
      </c>
      <c r="W68">
        <f>IFERROR(IF(ISNUMBER(INDEX(SPPR!$E:$X,MATCH($A68,SPPR!$A:$A,0),20)),$C68*INDEX(SPPR!$E:$X,MATCH($A68,SPPR!$A:$A,0),20),""),"")</f>
        <v/>
      </c>
    </row>
    <row r="69">
      <c r="A69" t="inlineStr">
        <is>
          <t>Isurus oxyrinchus</t>
        </is>
      </c>
      <c r="B69">
        <f>IFERROR(INDEX(SPPR!$D:$D,MATCH($A69,SPPR!$A:$A,0)),"")</f>
        <v/>
      </c>
      <c r="C69">
        <f>IFERROR(INDEX(Catch!$E:$BV,MATCH($A69,Catch!$A:$A,0),MATCH($B$4,Catch!$E$1:$BV$1,0)),0)</f>
        <v/>
      </c>
      <c r="D69">
        <f>IFERROR(IF(ISNUMBER(INDEX(SPPR!$E:$X,MATCH($A69,SPPR!$A:$A,0),1)),$C69*INDEX(SPPR!$E:$X,MATCH($A69,SPPR!$A:$A,0),1),""),"")</f>
        <v/>
      </c>
      <c r="E69">
        <f>IFERROR(IF(ISNUMBER(INDEX(SPPR!$E:$X,MATCH($A69,SPPR!$A:$A,0),2)),$C69*INDEX(SPPR!$E:$X,MATCH($A69,SPPR!$A:$A,0),2),""),"")</f>
        <v/>
      </c>
      <c r="F69">
        <f>IFERROR(IF(ISNUMBER(INDEX(SPPR!$E:$X,MATCH($A69,SPPR!$A:$A,0),3)),$C69*INDEX(SPPR!$E:$X,MATCH($A69,SPPR!$A:$A,0),3),""),"")</f>
        <v/>
      </c>
      <c r="G69">
        <f>IFERROR(IF(ISNUMBER(INDEX(SPPR!$E:$X,MATCH($A69,SPPR!$A:$A,0),4)),$C69*INDEX(SPPR!$E:$X,MATCH($A69,SPPR!$A:$A,0),4),""),"")</f>
        <v/>
      </c>
      <c r="H69">
        <f>IFERROR(IF(ISNUMBER(INDEX(SPPR!$E:$X,MATCH($A69,SPPR!$A:$A,0),5)),$C69*INDEX(SPPR!$E:$X,MATCH($A69,SPPR!$A:$A,0),5),""),"")</f>
        <v/>
      </c>
      <c r="I69">
        <f>IFERROR(IF(ISNUMBER(INDEX(SPPR!$E:$X,MATCH($A69,SPPR!$A:$A,0),6)),$C69*INDEX(SPPR!$E:$X,MATCH($A69,SPPR!$A:$A,0),6),""),"")</f>
        <v/>
      </c>
      <c r="J69">
        <f>IFERROR(IF(ISNUMBER(INDEX(SPPR!$E:$X,MATCH($A69,SPPR!$A:$A,0),7)),$C69*INDEX(SPPR!$E:$X,MATCH($A69,SPPR!$A:$A,0),7),""),"")</f>
        <v/>
      </c>
      <c r="K69">
        <f>IFERROR(IF(ISNUMBER(INDEX(SPPR!$E:$X,MATCH($A69,SPPR!$A:$A,0),8)),$C69*INDEX(SPPR!$E:$X,MATCH($A69,SPPR!$A:$A,0),8),""),"")</f>
        <v/>
      </c>
      <c r="L69">
        <f>IFERROR(IF(ISNUMBER(INDEX(SPPR!$E:$X,MATCH($A69,SPPR!$A:$A,0),9)),$C69*INDEX(SPPR!$E:$X,MATCH($A69,SPPR!$A:$A,0),9),""),"")</f>
        <v/>
      </c>
      <c r="M69">
        <f>IFERROR(IF(ISNUMBER(INDEX(SPPR!$E:$X,MATCH($A69,SPPR!$A:$A,0),10)),$C69*INDEX(SPPR!$E:$X,MATCH($A69,SPPR!$A:$A,0),10),""),"")</f>
        <v/>
      </c>
      <c r="N69">
        <f>IFERROR(IF(ISNUMBER(INDEX(SPPR!$E:$X,MATCH($A69,SPPR!$A:$A,0),11)),$C69*INDEX(SPPR!$E:$X,MATCH($A69,SPPR!$A:$A,0),11),""),"")</f>
        <v/>
      </c>
      <c r="O69">
        <f>IFERROR(IF(ISNUMBER(INDEX(SPPR!$E:$X,MATCH($A69,SPPR!$A:$A,0),12)),$C69*INDEX(SPPR!$E:$X,MATCH($A69,SPPR!$A:$A,0),12),""),"")</f>
        <v/>
      </c>
      <c r="P69">
        <f>IFERROR(IF(ISNUMBER(INDEX(SPPR!$E:$X,MATCH($A69,SPPR!$A:$A,0),13)),$C69*INDEX(SPPR!$E:$X,MATCH($A69,SPPR!$A:$A,0),13),""),"")</f>
        <v/>
      </c>
      <c r="Q69">
        <f>IFERROR(IF(ISNUMBER(INDEX(SPPR!$E:$X,MATCH($A69,SPPR!$A:$A,0),14)),$C69*INDEX(SPPR!$E:$X,MATCH($A69,SPPR!$A:$A,0),14),""),"")</f>
        <v/>
      </c>
      <c r="R69">
        <f>IFERROR(IF(ISNUMBER(INDEX(SPPR!$E:$X,MATCH($A69,SPPR!$A:$A,0),15)),$C69*INDEX(SPPR!$E:$X,MATCH($A69,SPPR!$A:$A,0),15),""),"")</f>
        <v/>
      </c>
      <c r="S69">
        <f>IFERROR(IF(ISNUMBER(INDEX(SPPR!$E:$X,MATCH($A69,SPPR!$A:$A,0),16)),$C69*INDEX(SPPR!$E:$X,MATCH($A69,SPPR!$A:$A,0),16),""),"")</f>
        <v/>
      </c>
      <c r="T69">
        <f>IFERROR(IF(ISNUMBER(INDEX(SPPR!$E:$X,MATCH($A69,SPPR!$A:$A,0),17)),$C69*INDEX(SPPR!$E:$X,MATCH($A69,SPPR!$A:$A,0),17),""),"")</f>
        <v/>
      </c>
      <c r="U69">
        <f>IFERROR(IF(ISNUMBER(INDEX(SPPR!$E:$X,MATCH($A69,SPPR!$A:$A,0),18)),$C69*INDEX(SPPR!$E:$X,MATCH($A69,SPPR!$A:$A,0),18),""),"")</f>
        <v/>
      </c>
      <c r="V69">
        <f>IFERROR(IF(ISNUMBER(INDEX(SPPR!$E:$X,MATCH($A69,SPPR!$A:$A,0),19)),$C69*INDEX(SPPR!$E:$X,MATCH($A69,SPPR!$A:$A,0),19),""),"")</f>
        <v/>
      </c>
      <c r="W69">
        <f>IFERROR(IF(ISNUMBER(INDEX(SPPR!$E:$X,MATCH($A69,SPPR!$A:$A,0),20)),$C69*INDEX(SPPR!$E:$X,MATCH($A69,SPPR!$A:$A,0),20),""),"")</f>
        <v/>
      </c>
    </row>
    <row r="70">
      <c r="A70" t="inlineStr">
        <is>
          <t>Lithodes</t>
        </is>
      </c>
      <c r="B70">
        <f>IFERROR(INDEX(SPPR!$D:$D,MATCH($A70,SPPR!$A:$A,0)),"")</f>
        <v/>
      </c>
      <c r="C70">
        <f>IFERROR(INDEX(Catch!$E:$BV,MATCH($A70,Catch!$A:$A,0),MATCH($B$4,Catch!$E$1:$BV$1,0)),0)</f>
        <v/>
      </c>
      <c r="D70">
        <f>IFERROR(IF(ISNUMBER(INDEX(SPPR!$E:$X,MATCH($A70,SPPR!$A:$A,0),1)),$C70*INDEX(SPPR!$E:$X,MATCH($A70,SPPR!$A:$A,0),1),""),"")</f>
        <v/>
      </c>
      <c r="E70">
        <f>IFERROR(IF(ISNUMBER(INDEX(SPPR!$E:$X,MATCH($A70,SPPR!$A:$A,0),2)),$C70*INDEX(SPPR!$E:$X,MATCH($A70,SPPR!$A:$A,0),2),""),"")</f>
        <v/>
      </c>
      <c r="F70">
        <f>IFERROR(IF(ISNUMBER(INDEX(SPPR!$E:$X,MATCH($A70,SPPR!$A:$A,0),3)),$C70*INDEX(SPPR!$E:$X,MATCH($A70,SPPR!$A:$A,0),3),""),"")</f>
        <v/>
      </c>
      <c r="G70">
        <f>IFERROR(IF(ISNUMBER(INDEX(SPPR!$E:$X,MATCH($A70,SPPR!$A:$A,0),4)),$C70*INDEX(SPPR!$E:$X,MATCH($A70,SPPR!$A:$A,0),4),""),"")</f>
        <v/>
      </c>
      <c r="H70">
        <f>IFERROR(IF(ISNUMBER(INDEX(SPPR!$E:$X,MATCH($A70,SPPR!$A:$A,0),5)),$C70*INDEX(SPPR!$E:$X,MATCH($A70,SPPR!$A:$A,0),5),""),"")</f>
        <v/>
      </c>
      <c r="I70">
        <f>IFERROR(IF(ISNUMBER(INDEX(SPPR!$E:$X,MATCH($A70,SPPR!$A:$A,0),6)),$C70*INDEX(SPPR!$E:$X,MATCH($A70,SPPR!$A:$A,0),6),""),"")</f>
        <v/>
      </c>
      <c r="J70">
        <f>IFERROR(IF(ISNUMBER(INDEX(SPPR!$E:$X,MATCH($A70,SPPR!$A:$A,0),7)),$C70*INDEX(SPPR!$E:$X,MATCH($A70,SPPR!$A:$A,0),7),""),"")</f>
        <v/>
      </c>
      <c r="K70">
        <f>IFERROR(IF(ISNUMBER(INDEX(SPPR!$E:$X,MATCH($A70,SPPR!$A:$A,0),8)),$C70*INDEX(SPPR!$E:$X,MATCH($A70,SPPR!$A:$A,0),8),""),"")</f>
        <v/>
      </c>
      <c r="L70">
        <f>IFERROR(IF(ISNUMBER(INDEX(SPPR!$E:$X,MATCH($A70,SPPR!$A:$A,0),9)),$C70*INDEX(SPPR!$E:$X,MATCH($A70,SPPR!$A:$A,0),9),""),"")</f>
        <v/>
      </c>
      <c r="M70">
        <f>IFERROR(IF(ISNUMBER(INDEX(SPPR!$E:$X,MATCH($A70,SPPR!$A:$A,0),10)),$C70*INDEX(SPPR!$E:$X,MATCH($A70,SPPR!$A:$A,0),10),""),"")</f>
        <v/>
      </c>
      <c r="N70">
        <f>IFERROR(IF(ISNUMBER(INDEX(SPPR!$E:$X,MATCH($A70,SPPR!$A:$A,0),11)),$C70*INDEX(SPPR!$E:$X,MATCH($A70,SPPR!$A:$A,0),11),""),"")</f>
        <v/>
      </c>
      <c r="O70">
        <f>IFERROR(IF(ISNUMBER(INDEX(SPPR!$E:$X,MATCH($A70,SPPR!$A:$A,0),12)),$C70*INDEX(SPPR!$E:$X,MATCH($A70,SPPR!$A:$A,0),12),""),"")</f>
        <v/>
      </c>
      <c r="P70">
        <f>IFERROR(IF(ISNUMBER(INDEX(SPPR!$E:$X,MATCH($A70,SPPR!$A:$A,0),13)),$C70*INDEX(SPPR!$E:$X,MATCH($A70,SPPR!$A:$A,0),13),""),"")</f>
        <v/>
      </c>
      <c r="Q70">
        <f>IFERROR(IF(ISNUMBER(INDEX(SPPR!$E:$X,MATCH($A70,SPPR!$A:$A,0),14)),$C70*INDEX(SPPR!$E:$X,MATCH($A70,SPPR!$A:$A,0),14),""),"")</f>
        <v/>
      </c>
      <c r="R70">
        <f>IFERROR(IF(ISNUMBER(INDEX(SPPR!$E:$X,MATCH($A70,SPPR!$A:$A,0),15)),$C70*INDEX(SPPR!$E:$X,MATCH($A70,SPPR!$A:$A,0),15),""),"")</f>
        <v/>
      </c>
      <c r="S70">
        <f>IFERROR(IF(ISNUMBER(INDEX(SPPR!$E:$X,MATCH($A70,SPPR!$A:$A,0),16)),$C70*INDEX(SPPR!$E:$X,MATCH($A70,SPPR!$A:$A,0),16),""),"")</f>
        <v/>
      </c>
      <c r="T70">
        <f>IFERROR(IF(ISNUMBER(INDEX(SPPR!$E:$X,MATCH($A70,SPPR!$A:$A,0),17)),$C70*INDEX(SPPR!$E:$X,MATCH($A70,SPPR!$A:$A,0),17),""),"")</f>
        <v/>
      </c>
      <c r="U70">
        <f>IFERROR(IF(ISNUMBER(INDEX(SPPR!$E:$X,MATCH($A70,SPPR!$A:$A,0),18)),$C70*INDEX(SPPR!$E:$X,MATCH($A70,SPPR!$A:$A,0),18),""),"")</f>
        <v/>
      </c>
      <c r="V70">
        <f>IFERROR(IF(ISNUMBER(INDEX(SPPR!$E:$X,MATCH($A70,SPPR!$A:$A,0),19)),$C70*INDEX(SPPR!$E:$X,MATCH($A70,SPPR!$A:$A,0),19),""),"")</f>
        <v/>
      </c>
      <c r="W70">
        <f>IFERROR(IF(ISNUMBER(INDEX(SPPR!$E:$X,MATCH($A70,SPPR!$A:$A,0),20)),$C70*INDEX(SPPR!$E:$X,MATCH($A70,SPPR!$A:$A,0),20),""),"")</f>
        <v/>
      </c>
    </row>
    <row r="71">
      <c r="A71" t="inlineStr">
        <is>
          <t>Caulolatilus</t>
        </is>
      </c>
      <c r="B71">
        <f>IFERROR(INDEX(SPPR!$D:$D,MATCH($A71,SPPR!$A:$A,0)),"")</f>
        <v/>
      </c>
      <c r="C71">
        <f>IFERROR(INDEX(Catch!$E:$BV,MATCH($A71,Catch!$A:$A,0),MATCH($B$4,Catch!$E$1:$BV$1,0)),0)</f>
        <v/>
      </c>
      <c r="D71">
        <f>IFERROR(IF(ISNUMBER(INDEX(SPPR!$E:$X,MATCH($A71,SPPR!$A:$A,0),1)),$C71*INDEX(SPPR!$E:$X,MATCH($A71,SPPR!$A:$A,0),1),""),"")</f>
        <v/>
      </c>
      <c r="E71">
        <f>IFERROR(IF(ISNUMBER(INDEX(SPPR!$E:$X,MATCH($A71,SPPR!$A:$A,0),2)),$C71*INDEX(SPPR!$E:$X,MATCH($A71,SPPR!$A:$A,0),2),""),"")</f>
        <v/>
      </c>
      <c r="F71">
        <f>IFERROR(IF(ISNUMBER(INDEX(SPPR!$E:$X,MATCH($A71,SPPR!$A:$A,0),3)),$C71*INDEX(SPPR!$E:$X,MATCH($A71,SPPR!$A:$A,0),3),""),"")</f>
        <v/>
      </c>
      <c r="G71">
        <f>IFERROR(IF(ISNUMBER(INDEX(SPPR!$E:$X,MATCH($A71,SPPR!$A:$A,0),4)),$C71*INDEX(SPPR!$E:$X,MATCH($A71,SPPR!$A:$A,0),4),""),"")</f>
        <v/>
      </c>
      <c r="H71">
        <f>IFERROR(IF(ISNUMBER(INDEX(SPPR!$E:$X,MATCH($A71,SPPR!$A:$A,0),5)),$C71*INDEX(SPPR!$E:$X,MATCH($A71,SPPR!$A:$A,0),5),""),"")</f>
        <v/>
      </c>
      <c r="I71">
        <f>IFERROR(IF(ISNUMBER(INDEX(SPPR!$E:$X,MATCH($A71,SPPR!$A:$A,0),6)),$C71*INDEX(SPPR!$E:$X,MATCH($A71,SPPR!$A:$A,0),6),""),"")</f>
        <v/>
      </c>
      <c r="J71">
        <f>IFERROR(IF(ISNUMBER(INDEX(SPPR!$E:$X,MATCH($A71,SPPR!$A:$A,0),7)),$C71*INDEX(SPPR!$E:$X,MATCH($A71,SPPR!$A:$A,0),7),""),"")</f>
        <v/>
      </c>
      <c r="K71">
        <f>IFERROR(IF(ISNUMBER(INDEX(SPPR!$E:$X,MATCH($A71,SPPR!$A:$A,0),8)),$C71*INDEX(SPPR!$E:$X,MATCH($A71,SPPR!$A:$A,0),8),""),"")</f>
        <v/>
      </c>
      <c r="L71">
        <f>IFERROR(IF(ISNUMBER(INDEX(SPPR!$E:$X,MATCH($A71,SPPR!$A:$A,0),9)),$C71*INDEX(SPPR!$E:$X,MATCH($A71,SPPR!$A:$A,0),9),""),"")</f>
        <v/>
      </c>
      <c r="M71">
        <f>IFERROR(IF(ISNUMBER(INDEX(SPPR!$E:$X,MATCH($A71,SPPR!$A:$A,0),10)),$C71*INDEX(SPPR!$E:$X,MATCH($A71,SPPR!$A:$A,0),10),""),"")</f>
        <v/>
      </c>
      <c r="N71">
        <f>IFERROR(IF(ISNUMBER(INDEX(SPPR!$E:$X,MATCH($A71,SPPR!$A:$A,0),11)),$C71*INDEX(SPPR!$E:$X,MATCH($A71,SPPR!$A:$A,0),11),""),"")</f>
        <v/>
      </c>
      <c r="O71">
        <f>IFERROR(IF(ISNUMBER(INDEX(SPPR!$E:$X,MATCH($A71,SPPR!$A:$A,0),12)),$C71*INDEX(SPPR!$E:$X,MATCH($A71,SPPR!$A:$A,0),12),""),"")</f>
        <v/>
      </c>
      <c r="P71">
        <f>IFERROR(IF(ISNUMBER(INDEX(SPPR!$E:$X,MATCH($A71,SPPR!$A:$A,0),13)),$C71*INDEX(SPPR!$E:$X,MATCH($A71,SPPR!$A:$A,0),13),""),"")</f>
        <v/>
      </c>
      <c r="Q71">
        <f>IFERROR(IF(ISNUMBER(INDEX(SPPR!$E:$X,MATCH($A71,SPPR!$A:$A,0),14)),$C71*INDEX(SPPR!$E:$X,MATCH($A71,SPPR!$A:$A,0),14),""),"")</f>
        <v/>
      </c>
      <c r="R71">
        <f>IFERROR(IF(ISNUMBER(INDEX(SPPR!$E:$X,MATCH($A71,SPPR!$A:$A,0),15)),$C71*INDEX(SPPR!$E:$X,MATCH($A71,SPPR!$A:$A,0),15),""),"")</f>
        <v/>
      </c>
      <c r="S71">
        <f>IFERROR(IF(ISNUMBER(INDEX(SPPR!$E:$X,MATCH($A71,SPPR!$A:$A,0),16)),$C71*INDEX(SPPR!$E:$X,MATCH($A71,SPPR!$A:$A,0),16),""),"")</f>
        <v/>
      </c>
      <c r="T71">
        <f>IFERROR(IF(ISNUMBER(INDEX(SPPR!$E:$X,MATCH($A71,SPPR!$A:$A,0),17)),$C71*INDEX(SPPR!$E:$X,MATCH($A71,SPPR!$A:$A,0),17),""),"")</f>
        <v/>
      </c>
      <c r="U71">
        <f>IFERROR(IF(ISNUMBER(INDEX(SPPR!$E:$X,MATCH($A71,SPPR!$A:$A,0),18)),$C71*INDEX(SPPR!$E:$X,MATCH($A71,SPPR!$A:$A,0),18),""),"")</f>
        <v/>
      </c>
      <c r="V71">
        <f>IFERROR(IF(ISNUMBER(INDEX(SPPR!$E:$X,MATCH($A71,SPPR!$A:$A,0),19)),$C71*INDEX(SPPR!$E:$X,MATCH($A71,SPPR!$A:$A,0),19),""),"")</f>
        <v/>
      </c>
      <c r="W71">
        <f>IFERROR(IF(ISNUMBER(INDEX(SPPR!$E:$X,MATCH($A71,SPPR!$A:$A,0),20)),$C71*INDEX(SPPR!$E:$X,MATCH($A71,SPPR!$A:$A,0),20),""),"")</f>
        <v/>
      </c>
    </row>
    <row r="72">
      <c r="A72" t="inlineStr">
        <is>
          <t>Salilota australis</t>
        </is>
      </c>
      <c r="B72">
        <f>IFERROR(INDEX(SPPR!$D:$D,MATCH($A72,SPPR!$A:$A,0)),"")</f>
        <v/>
      </c>
      <c r="C72">
        <f>IFERROR(INDEX(Catch!$E:$BV,MATCH($A72,Catch!$A:$A,0),MATCH($B$4,Catch!$E$1:$BV$1,0)),0)</f>
        <v/>
      </c>
      <c r="D72">
        <f>IFERROR(IF(ISNUMBER(INDEX(SPPR!$E:$X,MATCH($A72,SPPR!$A:$A,0),1)),$C72*INDEX(SPPR!$E:$X,MATCH($A72,SPPR!$A:$A,0),1),""),"")</f>
        <v/>
      </c>
      <c r="E72">
        <f>IFERROR(IF(ISNUMBER(INDEX(SPPR!$E:$X,MATCH($A72,SPPR!$A:$A,0),2)),$C72*INDEX(SPPR!$E:$X,MATCH($A72,SPPR!$A:$A,0),2),""),"")</f>
        <v/>
      </c>
      <c r="F72">
        <f>IFERROR(IF(ISNUMBER(INDEX(SPPR!$E:$X,MATCH($A72,SPPR!$A:$A,0),3)),$C72*INDEX(SPPR!$E:$X,MATCH($A72,SPPR!$A:$A,0),3),""),"")</f>
        <v/>
      </c>
      <c r="G72">
        <f>IFERROR(IF(ISNUMBER(INDEX(SPPR!$E:$X,MATCH($A72,SPPR!$A:$A,0),4)),$C72*INDEX(SPPR!$E:$X,MATCH($A72,SPPR!$A:$A,0),4),""),"")</f>
        <v/>
      </c>
      <c r="H72">
        <f>IFERROR(IF(ISNUMBER(INDEX(SPPR!$E:$X,MATCH($A72,SPPR!$A:$A,0),5)),$C72*INDEX(SPPR!$E:$X,MATCH($A72,SPPR!$A:$A,0),5),""),"")</f>
        <v/>
      </c>
      <c r="I72">
        <f>IFERROR(IF(ISNUMBER(INDEX(SPPR!$E:$X,MATCH($A72,SPPR!$A:$A,0),6)),$C72*INDEX(SPPR!$E:$X,MATCH($A72,SPPR!$A:$A,0),6),""),"")</f>
        <v/>
      </c>
      <c r="J72">
        <f>IFERROR(IF(ISNUMBER(INDEX(SPPR!$E:$X,MATCH($A72,SPPR!$A:$A,0),7)),$C72*INDEX(SPPR!$E:$X,MATCH($A72,SPPR!$A:$A,0),7),""),"")</f>
        <v/>
      </c>
      <c r="K72">
        <f>IFERROR(IF(ISNUMBER(INDEX(SPPR!$E:$X,MATCH($A72,SPPR!$A:$A,0),8)),$C72*INDEX(SPPR!$E:$X,MATCH($A72,SPPR!$A:$A,0),8),""),"")</f>
        <v/>
      </c>
      <c r="L72">
        <f>IFERROR(IF(ISNUMBER(INDEX(SPPR!$E:$X,MATCH($A72,SPPR!$A:$A,0),9)),$C72*INDEX(SPPR!$E:$X,MATCH($A72,SPPR!$A:$A,0),9),""),"")</f>
        <v/>
      </c>
      <c r="M72">
        <f>IFERROR(IF(ISNUMBER(INDEX(SPPR!$E:$X,MATCH($A72,SPPR!$A:$A,0),10)),$C72*INDEX(SPPR!$E:$X,MATCH($A72,SPPR!$A:$A,0),10),""),"")</f>
        <v/>
      </c>
      <c r="N72">
        <f>IFERROR(IF(ISNUMBER(INDEX(SPPR!$E:$X,MATCH($A72,SPPR!$A:$A,0),11)),$C72*INDEX(SPPR!$E:$X,MATCH($A72,SPPR!$A:$A,0),11),""),"")</f>
        <v/>
      </c>
      <c r="O72">
        <f>IFERROR(IF(ISNUMBER(INDEX(SPPR!$E:$X,MATCH($A72,SPPR!$A:$A,0),12)),$C72*INDEX(SPPR!$E:$X,MATCH($A72,SPPR!$A:$A,0),12),""),"")</f>
        <v/>
      </c>
      <c r="P72">
        <f>IFERROR(IF(ISNUMBER(INDEX(SPPR!$E:$X,MATCH($A72,SPPR!$A:$A,0),13)),$C72*INDEX(SPPR!$E:$X,MATCH($A72,SPPR!$A:$A,0),13),""),"")</f>
        <v/>
      </c>
      <c r="Q72">
        <f>IFERROR(IF(ISNUMBER(INDEX(SPPR!$E:$X,MATCH($A72,SPPR!$A:$A,0),14)),$C72*INDEX(SPPR!$E:$X,MATCH($A72,SPPR!$A:$A,0),14),""),"")</f>
        <v/>
      </c>
      <c r="R72">
        <f>IFERROR(IF(ISNUMBER(INDEX(SPPR!$E:$X,MATCH($A72,SPPR!$A:$A,0),15)),$C72*INDEX(SPPR!$E:$X,MATCH($A72,SPPR!$A:$A,0),15),""),"")</f>
        <v/>
      </c>
      <c r="S72">
        <f>IFERROR(IF(ISNUMBER(INDEX(SPPR!$E:$X,MATCH($A72,SPPR!$A:$A,0),16)),$C72*INDEX(SPPR!$E:$X,MATCH($A72,SPPR!$A:$A,0),16),""),"")</f>
        <v/>
      </c>
      <c r="T72">
        <f>IFERROR(IF(ISNUMBER(INDEX(SPPR!$E:$X,MATCH($A72,SPPR!$A:$A,0),17)),$C72*INDEX(SPPR!$E:$X,MATCH($A72,SPPR!$A:$A,0),17),""),"")</f>
        <v/>
      </c>
      <c r="U72">
        <f>IFERROR(IF(ISNUMBER(INDEX(SPPR!$E:$X,MATCH($A72,SPPR!$A:$A,0),18)),$C72*INDEX(SPPR!$E:$X,MATCH($A72,SPPR!$A:$A,0),18),""),"")</f>
        <v/>
      </c>
      <c r="V72">
        <f>IFERROR(IF(ISNUMBER(INDEX(SPPR!$E:$X,MATCH($A72,SPPR!$A:$A,0),19)),$C72*INDEX(SPPR!$E:$X,MATCH($A72,SPPR!$A:$A,0),19),""),"")</f>
        <v/>
      </c>
      <c r="W72">
        <f>IFERROR(IF(ISNUMBER(INDEX(SPPR!$E:$X,MATCH($A72,SPPR!$A:$A,0),20)),$C72*INDEX(SPPR!$E:$X,MATCH($A72,SPPR!$A:$A,0),20),""),"")</f>
        <v/>
      </c>
    </row>
    <row r="73">
      <c r="A73" t="inlineStr">
        <is>
          <t>Pseudobatos planiceps</t>
        </is>
      </c>
      <c r="B73">
        <f>IFERROR(INDEX(SPPR!$D:$D,MATCH($A73,SPPR!$A:$A,0)),"")</f>
        <v/>
      </c>
      <c r="C73">
        <f>IFERROR(INDEX(Catch!$E:$BV,MATCH($A73,Catch!$A:$A,0),MATCH($B$4,Catch!$E$1:$BV$1,0)),0)</f>
        <v/>
      </c>
      <c r="D73">
        <f>IFERROR(IF(ISNUMBER(INDEX(SPPR!$E:$X,MATCH($A73,SPPR!$A:$A,0),1)),$C73*INDEX(SPPR!$E:$X,MATCH($A73,SPPR!$A:$A,0),1),""),"")</f>
        <v/>
      </c>
      <c r="E73">
        <f>IFERROR(IF(ISNUMBER(INDEX(SPPR!$E:$X,MATCH($A73,SPPR!$A:$A,0),2)),$C73*INDEX(SPPR!$E:$X,MATCH($A73,SPPR!$A:$A,0),2),""),"")</f>
        <v/>
      </c>
      <c r="F73">
        <f>IFERROR(IF(ISNUMBER(INDEX(SPPR!$E:$X,MATCH($A73,SPPR!$A:$A,0),3)),$C73*INDEX(SPPR!$E:$X,MATCH($A73,SPPR!$A:$A,0),3),""),"")</f>
        <v/>
      </c>
      <c r="G73">
        <f>IFERROR(IF(ISNUMBER(INDEX(SPPR!$E:$X,MATCH($A73,SPPR!$A:$A,0),4)),$C73*INDEX(SPPR!$E:$X,MATCH($A73,SPPR!$A:$A,0),4),""),"")</f>
        <v/>
      </c>
      <c r="H73">
        <f>IFERROR(IF(ISNUMBER(INDEX(SPPR!$E:$X,MATCH($A73,SPPR!$A:$A,0),5)),$C73*INDEX(SPPR!$E:$X,MATCH($A73,SPPR!$A:$A,0),5),""),"")</f>
        <v/>
      </c>
      <c r="I73">
        <f>IFERROR(IF(ISNUMBER(INDEX(SPPR!$E:$X,MATCH($A73,SPPR!$A:$A,0),6)),$C73*INDEX(SPPR!$E:$X,MATCH($A73,SPPR!$A:$A,0),6),""),"")</f>
        <v/>
      </c>
      <c r="J73">
        <f>IFERROR(IF(ISNUMBER(INDEX(SPPR!$E:$X,MATCH($A73,SPPR!$A:$A,0),7)),$C73*INDEX(SPPR!$E:$X,MATCH($A73,SPPR!$A:$A,0),7),""),"")</f>
        <v/>
      </c>
      <c r="K73">
        <f>IFERROR(IF(ISNUMBER(INDEX(SPPR!$E:$X,MATCH($A73,SPPR!$A:$A,0),8)),$C73*INDEX(SPPR!$E:$X,MATCH($A73,SPPR!$A:$A,0),8),""),"")</f>
        <v/>
      </c>
      <c r="L73">
        <f>IFERROR(IF(ISNUMBER(INDEX(SPPR!$E:$X,MATCH($A73,SPPR!$A:$A,0),9)),$C73*INDEX(SPPR!$E:$X,MATCH($A73,SPPR!$A:$A,0),9),""),"")</f>
        <v/>
      </c>
      <c r="M73">
        <f>IFERROR(IF(ISNUMBER(INDEX(SPPR!$E:$X,MATCH($A73,SPPR!$A:$A,0),10)),$C73*INDEX(SPPR!$E:$X,MATCH($A73,SPPR!$A:$A,0),10),""),"")</f>
        <v/>
      </c>
      <c r="N73">
        <f>IFERROR(IF(ISNUMBER(INDEX(SPPR!$E:$X,MATCH($A73,SPPR!$A:$A,0),11)),$C73*INDEX(SPPR!$E:$X,MATCH($A73,SPPR!$A:$A,0),11),""),"")</f>
        <v/>
      </c>
      <c r="O73">
        <f>IFERROR(IF(ISNUMBER(INDEX(SPPR!$E:$X,MATCH($A73,SPPR!$A:$A,0),12)),$C73*INDEX(SPPR!$E:$X,MATCH($A73,SPPR!$A:$A,0),12),""),"")</f>
        <v/>
      </c>
      <c r="P73">
        <f>IFERROR(IF(ISNUMBER(INDEX(SPPR!$E:$X,MATCH($A73,SPPR!$A:$A,0),13)),$C73*INDEX(SPPR!$E:$X,MATCH($A73,SPPR!$A:$A,0),13),""),"")</f>
        <v/>
      </c>
      <c r="Q73">
        <f>IFERROR(IF(ISNUMBER(INDEX(SPPR!$E:$X,MATCH($A73,SPPR!$A:$A,0),14)),$C73*INDEX(SPPR!$E:$X,MATCH($A73,SPPR!$A:$A,0),14),""),"")</f>
        <v/>
      </c>
      <c r="R73">
        <f>IFERROR(IF(ISNUMBER(INDEX(SPPR!$E:$X,MATCH($A73,SPPR!$A:$A,0),15)),$C73*INDEX(SPPR!$E:$X,MATCH($A73,SPPR!$A:$A,0),15),""),"")</f>
        <v/>
      </c>
      <c r="S73">
        <f>IFERROR(IF(ISNUMBER(INDEX(SPPR!$E:$X,MATCH($A73,SPPR!$A:$A,0),16)),$C73*INDEX(SPPR!$E:$X,MATCH($A73,SPPR!$A:$A,0),16),""),"")</f>
        <v/>
      </c>
      <c r="T73">
        <f>IFERROR(IF(ISNUMBER(INDEX(SPPR!$E:$X,MATCH($A73,SPPR!$A:$A,0),17)),$C73*INDEX(SPPR!$E:$X,MATCH($A73,SPPR!$A:$A,0),17),""),"")</f>
        <v/>
      </c>
      <c r="U73">
        <f>IFERROR(IF(ISNUMBER(INDEX(SPPR!$E:$X,MATCH($A73,SPPR!$A:$A,0),18)),$C73*INDEX(SPPR!$E:$X,MATCH($A73,SPPR!$A:$A,0),18),""),"")</f>
        <v/>
      </c>
      <c r="V73">
        <f>IFERROR(IF(ISNUMBER(INDEX(SPPR!$E:$X,MATCH($A73,SPPR!$A:$A,0),19)),$C73*INDEX(SPPR!$E:$X,MATCH($A73,SPPR!$A:$A,0),19),""),"")</f>
        <v/>
      </c>
      <c r="W73">
        <f>IFERROR(IF(ISNUMBER(INDEX(SPPR!$E:$X,MATCH($A73,SPPR!$A:$A,0),20)),$C73*INDEX(SPPR!$E:$X,MATCH($A73,SPPR!$A:$A,0),20),""),"")</f>
        <v/>
      </c>
    </row>
    <row r="74">
      <c r="A74" t="inlineStr">
        <is>
          <t>Marine pelagic fishes not identified</t>
        </is>
      </c>
      <c r="B74">
        <f>IFERROR(INDEX(SPPR!$D:$D,MATCH($A74,SPPR!$A:$A,0)),"")</f>
        <v/>
      </c>
      <c r="C74">
        <f>IFERROR(INDEX(Catch!$E:$BV,MATCH($A74,Catch!$A:$A,0),MATCH($B$4,Catch!$E$1:$BV$1,0)),0)</f>
        <v/>
      </c>
      <c r="D74">
        <f>IFERROR(IF(ISNUMBER(INDEX(SPPR!$E:$X,MATCH($A74,SPPR!$A:$A,0),1)),$C74*INDEX(SPPR!$E:$X,MATCH($A74,SPPR!$A:$A,0),1),""),"")</f>
        <v/>
      </c>
      <c r="E74">
        <f>IFERROR(IF(ISNUMBER(INDEX(SPPR!$E:$X,MATCH($A74,SPPR!$A:$A,0),2)),$C74*INDEX(SPPR!$E:$X,MATCH($A74,SPPR!$A:$A,0),2),""),"")</f>
        <v/>
      </c>
      <c r="F74">
        <f>IFERROR(IF(ISNUMBER(INDEX(SPPR!$E:$X,MATCH($A74,SPPR!$A:$A,0),3)),$C74*INDEX(SPPR!$E:$X,MATCH($A74,SPPR!$A:$A,0),3),""),"")</f>
        <v/>
      </c>
      <c r="G74">
        <f>IFERROR(IF(ISNUMBER(INDEX(SPPR!$E:$X,MATCH($A74,SPPR!$A:$A,0),4)),$C74*INDEX(SPPR!$E:$X,MATCH($A74,SPPR!$A:$A,0),4),""),"")</f>
        <v/>
      </c>
      <c r="H74">
        <f>IFERROR(IF(ISNUMBER(INDEX(SPPR!$E:$X,MATCH($A74,SPPR!$A:$A,0),5)),$C74*INDEX(SPPR!$E:$X,MATCH($A74,SPPR!$A:$A,0),5),""),"")</f>
        <v/>
      </c>
      <c r="I74">
        <f>IFERROR(IF(ISNUMBER(INDEX(SPPR!$E:$X,MATCH($A74,SPPR!$A:$A,0),6)),$C74*INDEX(SPPR!$E:$X,MATCH($A74,SPPR!$A:$A,0),6),""),"")</f>
        <v/>
      </c>
      <c r="J74">
        <f>IFERROR(IF(ISNUMBER(INDEX(SPPR!$E:$X,MATCH($A74,SPPR!$A:$A,0),7)),$C74*INDEX(SPPR!$E:$X,MATCH($A74,SPPR!$A:$A,0),7),""),"")</f>
        <v/>
      </c>
      <c r="K74">
        <f>IFERROR(IF(ISNUMBER(INDEX(SPPR!$E:$X,MATCH($A74,SPPR!$A:$A,0),8)),$C74*INDEX(SPPR!$E:$X,MATCH($A74,SPPR!$A:$A,0),8),""),"")</f>
        <v/>
      </c>
      <c r="L74">
        <f>IFERROR(IF(ISNUMBER(INDEX(SPPR!$E:$X,MATCH($A74,SPPR!$A:$A,0),9)),$C74*INDEX(SPPR!$E:$X,MATCH($A74,SPPR!$A:$A,0),9),""),"")</f>
        <v/>
      </c>
      <c r="M74">
        <f>IFERROR(IF(ISNUMBER(INDEX(SPPR!$E:$X,MATCH($A74,SPPR!$A:$A,0),10)),$C74*INDEX(SPPR!$E:$X,MATCH($A74,SPPR!$A:$A,0),10),""),"")</f>
        <v/>
      </c>
      <c r="N74">
        <f>IFERROR(IF(ISNUMBER(INDEX(SPPR!$E:$X,MATCH($A74,SPPR!$A:$A,0),11)),$C74*INDEX(SPPR!$E:$X,MATCH($A74,SPPR!$A:$A,0),11),""),"")</f>
        <v/>
      </c>
      <c r="O74">
        <f>IFERROR(IF(ISNUMBER(INDEX(SPPR!$E:$X,MATCH($A74,SPPR!$A:$A,0),12)),$C74*INDEX(SPPR!$E:$X,MATCH($A74,SPPR!$A:$A,0),12),""),"")</f>
        <v/>
      </c>
      <c r="P74">
        <f>IFERROR(IF(ISNUMBER(INDEX(SPPR!$E:$X,MATCH($A74,SPPR!$A:$A,0),13)),$C74*INDEX(SPPR!$E:$X,MATCH($A74,SPPR!$A:$A,0),13),""),"")</f>
        <v/>
      </c>
      <c r="Q74">
        <f>IFERROR(IF(ISNUMBER(INDEX(SPPR!$E:$X,MATCH($A74,SPPR!$A:$A,0),14)),$C74*INDEX(SPPR!$E:$X,MATCH($A74,SPPR!$A:$A,0),14),""),"")</f>
        <v/>
      </c>
      <c r="R74">
        <f>IFERROR(IF(ISNUMBER(INDEX(SPPR!$E:$X,MATCH($A74,SPPR!$A:$A,0),15)),$C74*INDEX(SPPR!$E:$X,MATCH($A74,SPPR!$A:$A,0),15),""),"")</f>
        <v/>
      </c>
      <c r="S74">
        <f>IFERROR(IF(ISNUMBER(INDEX(SPPR!$E:$X,MATCH($A74,SPPR!$A:$A,0),16)),$C74*INDEX(SPPR!$E:$X,MATCH($A74,SPPR!$A:$A,0),16),""),"")</f>
        <v/>
      </c>
      <c r="T74">
        <f>IFERROR(IF(ISNUMBER(INDEX(SPPR!$E:$X,MATCH($A74,SPPR!$A:$A,0),17)),$C74*INDEX(SPPR!$E:$X,MATCH($A74,SPPR!$A:$A,0),17),""),"")</f>
        <v/>
      </c>
      <c r="U74">
        <f>IFERROR(IF(ISNUMBER(INDEX(SPPR!$E:$X,MATCH($A74,SPPR!$A:$A,0),18)),$C74*INDEX(SPPR!$E:$X,MATCH($A74,SPPR!$A:$A,0),18),""),"")</f>
        <v/>
      </c>
      <c r="V74">
        <f>IFERROR(IF(ISNUMBER(INDEX(SPPR!$E:$X,MATCH($A74,SPPR!$A:$A,0),19)),$C74*INDEX(SPPR!$E:$X,MATCH($A74,SPPR!$A:$A,0),19),""),"")</f>
        <v/>
      </c>
      <c r="W74">
        <f>IFERROR(IF(ISNUMBER(INDEX(SPPR!$E:$X,MATCH($A74,SPPR!$A:$A,0),20)),$C74*INDEX(SPPR!$E:$X,MATCH($A74,SPPR!$A:$A,0),20),""),"")</f>
        <v/>
      </c>
    </row>
    <row r="75">
      <c r="A75" t="inlineStr">
        <is>
          <t>Coryphaena</t>
        </is>
      </c>
      <c r="B75">
        <f>IFERROR(INDEX(SPPR!$D:$D,MATCH($A75,SPPR!$A:$A,0)),"")</f>
        <v/>
      </c>
      <c r="C75">
        <f>IFERROR(INDEX(Catch!$E:$BV,MATCH($A75,Catch!$A:$A,0),MATCH($B$4,Catch!$E$1:$BV$1,0)),0)</f>
        <v/>
      </c>
      <c r="D75">
        <f>IFERROR(IF(ISNUMBER(INDEX(SPPR!$E:$X,MATCH($A75,SPPR!$A:$A,0),1)),$C75*INDEX(SPPR!$E:$X,MATCH($A75,SPPR!$A:$A,0),1),""),"")</f>
        <v/>
      </c>
      <c r="E75">
        <f>IFERROR(IF(ISNUMBER(INDEX(SPPR!$E:$X,MATCH($A75,SPPR!$A:$A,0),2)),$C75*INDEX(SPPR!$E:$X,MATCH($A75,SPPR!$A:$A,0),2),""),"")</f>
        <v/>
      </c>
      <c r="F75">
        <f>IFERROR(IF(ISNUMBER(INDEX(SPPR!$E:$X,MATCH($A75,SPPR!$A:$A,0),3)),$C75*INDEX(SPPR!$E:$X,MATCH($A75,SPPR!$A:$A,0),3),""),"")</f>
        <v/>
      </c>
      <c r="G75">
        <f>IFERROR(IF(ISNUMBER(INDEX(SPPR!$E:$X,MATCH($A75,SPPR!$A:$A,0),4)),$C75*INDEX(SPPR!$E:$X,MATCH($A75,SPPR!$A:$A,0),4),""),"")</f>
        <v/>
      </c>
      <c r="H75">
        <f>IFERROR(IF(ISNUMBER(INDEX(SPPR!$E:$X,MATCH($A75,SPPR!$A:$A,0),5)),$C75*INDEX(SPPR!$E:$X,MATCH($A75,SPPR!$A:$A,0),5),""),"")</f>
        <v/>
      </c>
      <c r="I75">
        <f>IFERROR(IF(ISNUMBER(INDEX(SPPR!$E:$X,MATCH($A75,SPPR!$A:$A,0),6)),$C75*INDEX(SPPR!$E:$X,MATCH($A75,SPPR!$A:$A,0),6),""),"")</f>
        <v/>
      </c>
      <c r="J75">
        <f>IFERROR(IF(ISNUMBER(INDEX(SPPR!$E:$X,MATCH($A75,SPPR!$A:$A,0),7)),$C75*INDEX(SPPR!$E:$X,MATCH($A75,SPPR!$A:$A,0),7),""),"")</f>
        <v/>
      </c>
      <c r="K75">
        <f>IFERROR(IF(ISNUMBER(INDEX(SPPR!$E:$X,MATCH($A75,SPPR!$A:$A,0),8)),$C75*INDEX(SPPR!$E:$X,MATCH($A75,SPPR!$A:$A,0),8),""),"")</f>
        <v/>
      </c>
      <c r="L75">
        <f>IFERROR(IF(ISNUMBER(INDEX(SPPR!$E:$X,MATCH($A75,SPPR!$A:$A,0),9)),$C75*INDEX(SPPR!$E:$X,MATCH($A75,SPPR!$A:$A,0),9),""),"")</f>
        <v/>
      </c>
      <c r="M75">
        <f>IFERROR(IF(ISNUMBER(INDEX(SPPR!$E:$X,MATCH($A75,SPPR!$A:$A,0),10)),$C75*INDEX(SPPR!$E:$X,MATCH($A75,SPPR!$A:$A,0),10),""),"")</f>
        <v/>
      </c>
      <c r="N75">
        <f>IFERROR(IF(ISNUMBER(INDEX(SPPR!$E:$X,MATCH($A75,SPPR!$A:$A,0),11)),$C75*INDEX(SPPR!$E:$X,MATCH($A75,SPPR!$A:$A,0),11),""),"")</f>
        <v/>
      </c>
      <c r="O75">
        <f>IFERROR(IF(ISNUMBER(INDEX(SPPR!$E:$X,MATCH($A75,SPPR!$A:$A,0),12)),$C75*INDEX(SPPR!$E:$X,MATCH($A75,SPPR!$A:$A,0),12),""),"")</f>
        <v/>
      </c>
      <c r="P75">
        <f>IFERROR(IF(ISNUMBER(INDEX(SPPR!$E:$X,MATCH($A75,SPPR!$A:$A,0),13)),$C75*INDEX(SPPR!$E:$X,MATCH($A75,SPPR!$A:$A,0),13),""),"")</f>
        <v/>
      </c>
      <c r="Q75">
        <f>IFERROR(IF(ISNUMBER(INDEX(SPPR!$E:$X,MATCH($A75,SPPR!$A:$A,0),14)),$C75*INDEX(SPPR!$E:$X,MATCH($A75,SPPR!$A:$A,0),14),""),"")</f>
        <v/>
      </c>
      <c r="R75">
        <f>IFERROR(IF(ISNUMBER(INDEX(SPPR!$E:$X,MATCH($A75,SPPR!$A:$A,0),15)),$C75*INDEX(SPPR!$E:$X,MATCH($A75,SPPR!$A:$A,0),15),""),"")</f>
        <v/>
      </c>
      <c r="S75">
        <f>IFERROR(IF(ISNUMBER(INDEX(SPPR!$E:$X,MATCH($A75,SPPR!$A:$A,0),16)),$C75*INDEX(SPPR!$E:$X,MATCH($A75,SPPR!$A:$A,0),16),""),"")</f>
        <v/>
      </c>
      <c r="T75">
        <f>IFERROR(IF(ISNUMBER(INDEX(SPPR!$E:$X,MATCH($A75,SPPR!$A:$A,0),17)),$C75*INDEX(SPPR!$E:$X,MATCH($A75,SPPR!$A:$A,0),17),""),"")</f>
        <v/>
      </c>
      <c r="U75">
        <f>IFERROR(IF(ISNUMBER(INDEX(SPPR!$E:$X,MATCH($A75,SPPR!$A:$A,0),18)),$C75*INDEX(SPPR!$E:$X,MATCH($A75,SPPR!$A:$A,0),18),""),"")</f>
        <v/>
      </c>
      <c r="V75">
        <f>IFERROR(IF(ISNUMBER(INDEX(SPPR!$E:$X,MATCH($A75,SPPR!$A:$A,0),19)),$C75*INDEX(SPPR!$E:$X,MATCH($A75,SPPR!$A:$A,0),19),""),"")</f>
        <v/>
      </c>
      <c r="W75">
        <f>IFERROR(IF(ISNUMBER(INDEX(SPPR!$E:$X,MATCH($A75,SPPR!$A:$A,0),20)),$C75*INDEX(SPPR!$E:$X,MATCH($A75,SPPR!$A:$A,0),20),""),"")</f>
        <v/>
      </c>
    </row>
    <row r="76">
      <c r="A76" t="inlineStr">
        <is>
          <t>Paralichthys microps</t>
        </is>
      </c>
      <c r="B76">
        <f>IFERROR(INDEX(SPPR!$D:$D,MATCH($A76,SPPR!$A:$A,0)),"")</f>
        <v/>
      </c>
      <c r="C76">
        <f>IFERROR(INDEX(Catch!$E:$BV,MATCH($A76,Catch!$A:$A,0),MATCH($B$4,Catch!$E$1:$BV$1,0)),0)</f>
        <v/>
      </c>
      <c r="D76">
        <f>IFERROR(IF(ISNUMBER(INDEX(SPPR!$E:$X,MATCH($A76,SPPR!$A:$A,0),1)),$C76*INDEX(SPPR!$E:$X,MATCH($A76,SPPR!$A:$A,0),1),""),"")</f>
        <v/>
      </c>
      <c r="E76">
        <f>IFERROR(IF(ISNUMBER(INDEX(SPPR!$E:$X,MATCH($A76,SPPR!$A:$A,0),2)),$C76*INDEX(SPPR!$E:$X,MATCH($A76,SPPR!$A:$A,0),2),""),"")</f>
        <v/>
      </c>
      <c r="F76">
        <f>IFERROR(IF(ISNUMBER(INDEX(SPPR!$E:$X,MATCH($A76,SPPR!$A:$A,0),3)),$C76*INDEX(SPPR!$E:$X,MATCH($A76,SPPR!$A:$A,0),3),""),"")</f>
        <v/>
      </c>
      <c r="G76">
        <f>IFERROR(IF(ISNUMBER(INDEX(SPPR!$E:$X,MATCH($A76,SPPR!$A:$A,0),4)),$C76*INDEX(SPPR!$E:$X,MATCH($A76,SPPR!$A:$A,0),4),""),"")</f>
        <v/>
      </c>
      <c r="H76">
        <f>IFERROR(IF(ISNUMBER(INDEX(SPPR!$E:$X,MATCH($A76,SPPR!$A:$A,0),5)),$C76*INDEX(SPPR!$E:$X,MATCH($A76,SPPR!$A:$A,0),5),""),"")</f>
        <v/>
      </c>
      <c r="I76">
        <f>IFERROR(IF(ISNUMBER(INDEX(SPPR!$E:$X,MATCH($A76,SPPR!$A:$A,0),6)),$C76*INDEX(SPPR!$E:$X,MATCH($A76,SPPR!$A:$A,0),6),""),"")</f>
        <v/>
      </c>
      <c r="J76">
        <f>IFERROR(IF(ISNUMBER(INDEX(SPPR!$E:$X,MATCH($A76,SPPR!$A:$A,0),7)),$C76*INDEX(SPPR!$E:$X,MATCH($A76,SPPR!$A:$A,0),7),""),"")</f>
        <v/>
      </c>
      <c r="K76">
        <f>IFERROR(IF(ISNUMBER(INDEX(SPPR!$E:$X,MATCH($A76,SPPR!$A:$A,0),8)),$C76*INDEX(SPPR!$E:$X,MATCH($A76,SPPR!$A:$A,0),8),""),"")</f>
        <v/>
      </c>
      <c r="L76">
        <f>IFERROR(IF(ISNUMBER(INDEX(SPPR!$E:$X,MATCH($A76,SPPR!$A:$A,0),9)),$C76*INDEX(SPPR!$E:$X,MATCH($A76,SPPR!$A:$A,0),9),""),"")</f>
        <v/>
      </c>
      <c r="M76">
        <f>IFERROR(IF(ISNUMBER(INDEX(SPPR!$E:$X,MATCH($A76,SPPR!$A:$A,0),10)),$C76*INDEX(SPPR!$E:$X,MATCH($A76,SPPR!$A:$A,0),10),""),"")</f>
        <v/>
      </c>
      <c r="N76">
        <f>IFERROR(IF(ISNUMBER(INDEX(SPPR!$E:$X,MATCH($A76,SPPR!$A:$A,0),11)),$C76*INDEX(SPPR!$E:$X,MATCH($A76,SPPR!$A:$A,0),11),""),"")</f>
        <v/>
      </c>
      <c r="O76">
        <f>IFERROR(IF(ISNUMBER(INDEX(SPPR!$E:$X,MATCH($A76,SPPR!$A:$A,0),12)),$C76*INDEX(SPPR!$E:$X,MATCH($A76,SPPR!$A:$A,0),12),""),"")</f>
        <v/>
      </c>
      <c r="P76">
        <f>IFERROR(IF(ISNUMBER(INDEX(SPPR!$E:$X,MATCH($A76,SPPR!$A:$A,0),13)),$C76*INDEX(SPPR!$E:$X,MATCH($A76,SPPR!$A:$A,0),13),""),"")</f>
        <v/>
      </c>
      <c r="Q76">
        <f>IFERROR(IF(ISNUMBER(INDEX(SPPR!$E:$X,MATCH($A76,SPPR!$A:$A,0),14)),$C76*INDEX(SPPR!$E:$X,MATCH($A76,SPPR!$A:$A,0),14),""),"")</f>
        <v/>
      </c>
      <c r="R76">
        <f>IFERROR(IF(ISNUMBER(INDEX(SPPR!$E:$X,MATCH($A76,SPPR!$A:$A,0),15)),$C76*INDEX(SPPR!$E:$X,MATCH($A76,SPPR!$A:$A,0),15),""),"")</f>
        <v/>
      </c>
      <c r="S76">
        <f>IFERROR(IF(ISNUMBER(INDEX(SPPR!$E:$X,MATCH($A76,SPPR!$A:$A,0),16)),$C76*INDEX(SPPR!$E:$X,MATCH($A76,SPPR!$A:$A,0),16),""),"")</f>
        <v/>
      </c>
      <c r="T76">
        <f>IFERROR(IF(ISNUMBER(INDEX(SPPR!$E:$X,MATCH($A76,SPPR!$A:$A,0),17)),$C76*INDEX(SPPR!$E:$X,MATCH($A76,SPPR!$A:$A,0),17),""),"")</f>
        <v/>
      </c>
      <c r="U76">
        <f>IFERROR(IF(ISNUMBER(INDEX(SPPR!$E:$X,MATCH($A76,SPPR!$A:$A,0),18)),$C76*INDEX(SPPR!$E:$X,MATCH($A76,SPPR!$A:$A,0),18),""),"")</f>
        <v/>
      </c>
      <c r="V76">
        <f>IFERROR(IF(ISNUMBER(INDEX(SPPR!$E:$X,MATCH($A76,SPPR!$A:$A,0),19)),$C76*INDEX(SPPR!$E:$X,MATCH($A76,SPPR!$A:$A,0),19),""),"")</f>
        <v/>
      </c>
      <c r="W76">
        <f>IFERROR(IF(ISNUMBER(INDEX(SPPR!$E:$X,MATCH($A76,SPPR!$A:$A,0),20)),$C76*INDEX(SPPR!$E:$X,MATCH($A76,SPPR!$A:$A,0),20),""),"")</f>
        <v/>
      </c>
    </row>
    <row r="77">
      <c r="A77" t="inlineStr">
        <is>
          <t>Selene peruviana</t>
        </is>
      </c>
      <c r="B77">
        <f>IFERROR(INDEX(SPPR!$D:$D,MATCH($A77,SPPR!$A:$A,0)),"")</f>
        <v/>
      </c>
      <c r="C77">
        <f>IFERROR(INDEX(Catch!$E:$BV,MATCH($A77,Catch!$A:$A,0),MATCH($B$4,Catch!$E$1:$BV$1,0)),0)</f>
        <v/>
      </c>
      <c r="D77">
        <f>IFERROR(IF(ISNUMBER(INDEX(SPPR!$E:$X,MATCH($A77,SPPR!$A:$A,0),1)),$C77*INDEX(SPPR!$E:$X,MATCH($A77,SPPR!$A:$A,0),1),""),"")</f>
        <v/>
      </c>
      <c r="E77">
        <f>IFERROR(IF(ISNUMBER(INDEX(SPPR!$E:$X,MATCH($A77,SPPR!$A:$A,0),2)),$C77*INDEX(SPPR!$E:$X,MATCH($A77,SPPR!$A:$A,0),2),""),"")</f>
        <v/>
      </c>
      <c r="F77">
        <f>IFERROR(IF(ISNUMBER(INDEX(SPPR!$E:$X,MATCH($A77,SPPR!$A:$A,0),3)),$C77*INDEX(SPPR!$E:$X,MATCH($A77,SPPR!$A:$A,0),3),""),"")</f>
        <v/>
      </c>
      <c r="G77">
        <f>IFERROR(IF(ISNUMBER(INDEX(SPPR!$E:$X,MATCH($A77,SPPR!$A:$A,0),4)),$C77*INDEX(SPPR!$E:$X,MATCH($A77,SPPR!$A:$A,0),4),""),"")</f>
        <v/>
      </c>
      <c r="H77">
        <f>IFERROR(IF(ISNUMBER(INDEX(SPPR!$E:$X,MATCH($A77,SPPR!$A:$A,0),5)),$C77*INDEX(SPPR!$E:$X,MATCH($A77,SPPR!$A:$A,0),5),""),"")</f>
        <v/>
      </c>
      <c r="I77">
        <f>IFERROR(IF(ISNUMBER(INDEX(SPPR!$E:$X,MATCH($A77,SPPR!$A:$A,0),6)),$C77*INDEX(SPPR!$E:$X,MATCH($A77,SPPR!$A:$A,0),6),""),"")</f>
        <v/>
      </c>
      <c r="J77">
        <f>IFERROR(IF(ISNUMBER(INDEX(SPPR!$E:$X,MATCH($A77,SPPR!$A:$A,0),7)),$C77*INDEX(SPPR!$E:$X,MATCH($A77,SPPR!$A:$A,0),7),""),"")</f>
        <v/>
      </c>
      <c r="K77">
        <f>IFERROR(IF(ISNUMBER(INDEX(SPPR!$E:$X,MATCH($A77,SPPR!$A:$A,0),8)),$C77*INDEX(SPPR!$E:$X,MATCH($A77,SPPR!$A:$A,0),8),""),"")</f>
        <v/>
      </c>
      <c r="L77">
        <f>IFERROR(IF(ISNUMBER(INDEX(SPPR!$E:$X,MATCH($A77,SPPR!$A:$A,0),9)),$C77*INDEX(SPPR!$E:$X,MATCH($A77,SPPR!$A:$A,0),9),""),"")</f>
        <v/>
      </c>
      <c r="M77">
        <f>IFERROR(IF(ISNUMBER(INDEX(SPPR!$E:$X,MATCH($A77,SPPR!$A:$A,0),10)),$C77*INDEX(SPPR!$E:$X,MATCH($A77,SPPR!$A:$A,0),10),""),"")</f>
        <v/>
      </c>
      <c r="N77">
        <f>IFERROR(IF(ISNUMBER(INDEX(SPPR!$E:$X,MATCH($A77,SPPR!$A:$A,0),11)),$C77*INDEX(SPPR!$E:$X,MATCH($A77,SPPR!$A:$A,0),11),""),"")</f>
        <v/>
      </c>
      <c r="O77">
        <f>IFERROR(IF(ISNUMBER(INDEX(SPPR!$E:$X,MATCH($A77,SPPR!$A:$A,0),12)),$C77*INDEX(SPPR!$E:$X,MATCH($A77,SPPR!$A:$A,0),12),""),"")</f>
        <v/>
      </c>
      <c r="P77">
        <f>IFERROR(IF(ISNUMBER(INDEX(SPPR!$E:$X,MATCH($A77,SPPR!$A:$A,0),13)),$C77*INDEX(SPPR!$E:$X,MATCH($A77,SPPR!$A:$A,0),13),""),"")</f>
        <v/>
      </c>
      <c r="Q77">
        <f>IFERROR(IF(ISNUMBER(INDEX(SPPR!$E:$X,MATCH($A77,SPPR!$A:$A,0),14)),$C77*INDEX(SPPR!$E:$X,MATCH($A77,SPPR!$A:$A,0),14),""),"")</f>
        <v/>
      </c>
      <c r="R77">
        <f>IFERROR(IF(ISNUMBER(INDEX(SPPR!$E:$X,MATCH($A77,SPPR!$A:$A,0),15)),$C77*INDEX(SPPR!$E:$X,MATCH($A77,SPPR!$A:$A,0),15),""),"")</f>
        <v/>
      </c>
      <c r="S77">
        <f>IFERROR(IF(ISNUMBER(INDEX(SPPR!$E:$X,MATCH($A77,SPPR!$A:$A,0),16)),$C77*INDEX(SPPR!$E:$X,MATCH($A77,SPPR!$A:$A,0),16),""),"")</f>
        <v/>
      </c>
      <c r="T77">
        <f>IFERROR(IF(ISNUMBER(INDEX(SPPR!$E:$X,MATCH($A77,SPPR!$A:$A,0),17)),$C77*INDEX(SPPR!$E:$X,MATCH($A77,SPPR!$A:$A,0),17),""),"")</f>
        <v/>
      </c>
      <c r="U77">
        <f>IFERROR(IF(ISNUMBER(INDEX(SPPR!$E:$X,MATCH($A77,SPPR!$A:$A,0),18)),$C77*INDEX(SPPR!$E:$X,MATCH($A77,SPPR!$A:$A,0),18),""),"")</f>
        <v/>
      </c>
      <c r="V77">
        <f>IFERROR(IF(ISNUMBER(INDEX(SPPR!$E:$X,MATCH($A77,SPPR!$A:$A,0),19)),$C77*INDEX(SPPR!$E:$X,MATCH($A77,SPPR!$A:$A,0),19),""),"")</f>
        <v/>
      </c>
      <c r="W77">
        <f>IFERROR(IF(ISNUMBER(INDEX(SPPR!$E:$X,MATCH($A77,SPPR!$A:$A,0),20)),$C77*INDEX(SPPR!$E:$X,MATCH($A77,SPPR!$A:$A,0),20),""),"")</f>
        <v/>
      </c>
    </row>
    <row r="78">
      <c r="A78" t="inlineStr">
        <is>
          <t>Lithodes santolla</t>
        </is>
      </c>
      <c r="B78">
        <f>IFERROR(INDEX(SPPR!$D:$D,MATCH($A78,SPPR!$A:$A,0)),"")</f>
        <v/>
      </c>
      <c r="C78">
        <f>IFERROR(INDEX(Catch!$E:$BV,MATCH($A78,Catch!$A:$A,0),MATCH($B$4,Catch!$E$1:$BV$1,0)),0)</f>
        <v/>
      </c>
      <c r="D78">
        <f>IFERROR(IF(ISNUMBER(INDEX(SPPR!$E:$X,MATCH($A78,SPPR!$A:$A,0),1)),$C78*INDEX(SPPR!$E:$X,MATCH($A78,SPPR!$A:$A,0),1),""),"")</f>
        <v/>
      </c>
      <c r="E78">
        <f>IFERROR(IF(ISNUMBER(INDEX(SPPR!$E:$X,MATCH($A78,SPPR!$A:$A,0),2)),$C78*INDEX(SPPR!$E:$X,MATCH($A78,SPPR!$A:$A,0),2),""),"")</f>
        <v/>
      </c>
      <c r="F78">
        <f>IFERROR(IF(ISNUMBER(INDEX(SPPR!$E:$X,MATCH($A78,SPPR!$A:$A,0),3)),$C78*INDEX(SPPR!$E:$X,MATCH($A78,SPPR!$A:$A,0),3),""),"")</f>
        <v/>
      </c>
      <c r="G78">
        <f>IFERROR(IF(ISNUMBER(INDEX(SPPR!$E:$X,MATCH($A78,SPPR!$A:$A,0),4)),$C78*INDEX(SPPR!$E:$X,MATCH($A78,SPPR!$A:$A,0),4),""),"")</f>
        <v/>
      </c>
      <c r="H78">
        <f>IFERROR(IF(ISNUMBER(INDEX(SPPR!$E:$X,MATCH($A78,SPPR!$A:$A,0),5)),$C78*INDEX(SPPR!$E:$X,MATCH($A78,SPPR!$A:$A,0),5),""),"")</f>
        <v/>
      </c>
      <c r="I78">
        <f>IFERROR(IF(ISNUMBER(INDEX(SPPR!$E:$X,MATCH($A78,SPPR!$A:$A,0),6)),$C78*INDEX(SPPR!$E:$X,MATCH($A78,SPPR!$A:$A,0),6),""),"")</f>
        <v/>
      </c>
      <c r="J78">
        <f>IFERROR(IF(ISNUMBER(INDEX(SPPR!$E:$X,MATCH($A78,SPPR!$A:$A,0),7)),$C78*INDEX(SPPR!$E:$X,MATCH($A78,SPPR!$A:$A,0),7),""),"")</f>
        <v/>
      </c>
      <c r="K78">
        <f>IFERROR(IF(ISNUMBER(INDEX(SPPR!$E:$X,MATCH($A78,SPPR!$A:$A,0),8)),$C78*INDEX(SPPR!$E:$X,MATCH($A78,SPPR!$A:$A,0),8),""),"")</f>
        <v/>
      </c>
      <c r="L78">
        <f>IFERROR(IF(ISNUMBER(INDEX(SPPR!$E:$X,MATCH($A78,SPPR!$A:$A,0),9)),$C78*INDEX(SPPR!$E:$X,MATCH($A78,SPPR!$A:$A,0),9),""),"")</f>
        <v/>
      </c>
      <c r="M78">
        <f>IFERROR(IF(ISNUMBER(INDEX(SPPR!$E:$X,MATCH($A78,SPPR!$A:$A,0),10)),$C78*INDEX(SPPR!$E:$X,MATCH($A78,SPPR!$A:$A,0),10),""),"")</f>
        <v/>
      </c>
      <c r="N78">
        <f>IFERROR(IF(ISNUMBER(INDEX(SPPR!$E:$X,MATCH($A78,SPPR!$A:$A,0),11)),$C78*INDEX(SPPR!$E:$X,MATCH($A78,SPPR!$A:$A,0),11),""),"")</f>
        <v/>
      </c>
      <c r="O78">
        <f>IFERROR(IF(ISNUMBER(INDEX(SPPR!$E:$X,MATCH($A78,SPPR!$A:$A,0),12)),$C78*INDEX(SPPR!$E:$X,MATCH($A78,SPPR!$A:$A,0),12),""),"")</f>
        <v/>
      </c>
      <c r="P78">
        <f>IFERROR(IF(ISNUMBER(INDEX(SPPR!$E:$X,MATCH($A78,SPPR!$A:$A,0),13)),$C78*INDEX(SPPR!$E:$X,MATCH($A78,SPPR!$A:$A,0),13),""),"")</f>
        <v/>
      </c>
      <c r="Q78">
        <f>IFERROR(IF(ISNUMBER(INDEX(SPPR!$E:$X,MATCH($A78,SPPR!$A:$A,0),14)),$C78*INDEX(SPPR!$E:$X,MATCH($A78,SPPR!$A:$A,0),14),""),"")</f>
        <v/>
      </c>
      <c r="R78">
        <f>IFERROR(IF(ISNUMBER(INDEX(SPPR!$E:$X,MATCH($A78,SPPR!$A:$A,0),15)),$C78*INDEX(SPPR!$E:$X,MATCH($A78,SPPR!$A:$A,0),15),""),"")</f>
        <v/>
      </c>
      <c r="S78">
        <f>IFERROR(IF(ISNUMBER(INDEX(SPPR!$E:$X,MATCH($A78,SPPR!$A:$A,0),16)),$C78*INDEX(SPPR!$E:$X,MATCH($A78,SPPR!$A:$A,0),16),""),"")</f>
        <v/>
      </c>
      <c r="T78">
        <f>IFERROR(IF(ISNUMBER(INDEX(SPPR!$E:$X,MATCH($A78,SPPR!$A:$A,0),17)),$C78*INDEX(SPPR!$E:$X,MATCH($A78,SPPR!$A:$A,0),17),""),"")</f>
        <v/>
      </c>
      <c r="U78">
        <f>IFERROR(IF(ISNUMBER(INDEX(SPPR!$E:$X,MATCH($A78,SPPR!$A:$A,0),18)),$C78*INDEX(SPPR!$E:$X,MATCH($A78,SPPR!$A:$A,0),18),""),"")</f>
        <v/>
      </c>
      <c r="V78">
        <f>IFERROR(IF(ISNUMBER(INDEX(SPPR!$E:$X,MATCH($A78,SPPR!$A:$A,0),19)),$C78*INDEX(SPPR!$E:$X,MATCH($A78,SPPR!$A:$A,0),19),""),"")</f>
        <v/>
      </c>
      <c r="W78">
        <f>IFERROR(IF(ISNUMBER(INDEX(SPPR!$E:$X,MATCH($A78,SPPR!$A:$A,0),20)),$C78*INDEX(SPPR!$E:$X,MATCH($A78,SPPR!$A:$A,0),20),""),"")</f>
        <v/>
      </c>
    </row>
    <row r="79">
      <c r="A79" t="inlineStr">
        <is>
          <t>Scomberomorus sierra</t>
        </is>
      </c>
      <c r="B79">
        <f>IFERROR(INDEX(SPPR!$D:$D,MATCH($A79,SPPR!$A:$A,0)),"")</f>
        <v/>
      </c>
      <c r="C79">
        <f>IFERROR(INDEX(Catch!$E:$BV,MATCH($A79,Catch!$A:$A,0),MATCH($B$4,Catch!$E$1:$BV$1,0)),0)</f>
        <v/>
      </c>
      <c r="D79">
        <f>IFERROR(IF(ISNUMBER(INDEX(SPPR!$E:$X,MATCH($A79,SPPR!$A:$A,0),1)),$C79*INDEX(SPPR!$E:$X,MATCH($A79,SPPR!$A:$A,0),1),""),"")</f>
        <v/>
      </c>
      <c r="E79">
        <f>IFERROR(IF(ISNUMBER(INDEX(SPPR!$E:$X,MATCH($A79,SPPR!$A:$A,0),2)),$C79*INDEX(SPPR!$E:$X,MATCH($A79,SPPR!$A:$A,0),2),""),"")</f>
        <v/>
      </c>
      <c r="F79">
        <f>IFERROR(IF(ISNUMBER(INDEX(SPPR!$E:$X,MATCH($A79,SPPR!$A:$A,0),3)),$C79*INDEX(SPPR!$E:$X,MATCH($A79,SPPR!$A:$A,0),3),""),"")</f>
        <v/>
      </c>
      <c r="G79">
        <f>IFERROR(IF(ISNUMBER(INDEX(SPPR!$E:$X,MATCH($A79,SPPR!$A:$A,0),4)),$C79*INDEX(SPPR!$E:$X,MATCH($A79,SPPR!$A:$A,0),4),""),"")</f>
        <v/>
      </c>
      <c r="H79">
        <f>IFERROR(IF(ISNUMBER(INDEX(SPPR!$E:$X,MATCH($A79,SPPR!$A:$A,0),5)),$C79*INDEX(SPPR!$E:$X,MATCH($A79,SPPR!$A:$A,0),5),""),"")</f>
        <v/>
      </c>
      <c r="I79">
        <f>IFERROR(IF(ISNUMBER(INDEX(SPPR!$E:$X,MATCH($A79,SPPR!$A:$A,0),6)),$C79*INDEX(SPPR!$E:$X,MATCH($A79,SPPR!$A:$A,0),6),""),"")</f>
        <v/>
      </c>
      <c r="J79">
        <f>IFERROR(IF(ISNUMBER(INDEX(SPPR!$E:$X,MATCH($A79,SPPR!$A:$A,0),7)),$C79*INDEX(SPPR!$E:$X,MATCH($A79,SPPR!$A:$A,0),7),""),"")</f>
        <v/>
      </c>
      <c r="K79">
        <f>IFERROR(IF(ISNUMBER(INDEX(SPPR!$E:$X,MATCH($A79,SPPR!$A:$A,0),8)),$C79*INDEX(SPPR!$E:$X,MATCH($A79,SPPR!$A:$A,0),8),""),"")</f>
        <v/>
      </c>
      <c r="L79">
        <f>IFERROR(IF(ISNUMBER(INDEX(SPPR!$E:$X,MATCH($A79,SPPR!$A:$A,0),9)),$C79*INDEX(SPPR!$E:$X,MATCH($A79,SPPR!$A:$A,0),9),""),"")</f>
        <v/>
      </c>
      <c r="M79">
        <f>IFERROR(IF(ISNUMBER(INDEX(SPPR!$E:$X,MATCH($A79,SPPR!$A:$A,0),10)),$C79*INDEX(SPPR!$E:$X,MATCH($A79,SPPR!$A:$A,0),10),""),"")</f>
        <v/>
      </c>
      <c r="N79">
        <f>IFERROR(IF(ISNUMBER(INDEX(SPPR!$E:$X,MATCH($A79,SPPR!$A:$A,0),11)),$C79*INDEX(SPPR!$E:$X,MATCH($A79,SPPR!$A:$A,0),11),""),"")</f>
        <v/>
      </c>
      <c r="O79">
        <f>IFERROR(IF(ISNUMBER(INDEX(SPPR!$E:$X,MATCH($A79,SPPR!$A:$A,0),12)),$C79*INDEX(SPPR!$E:$X,MATCH($A79,SPPR!$A:$A,0),12),""),"")</f>
        <v/>
      </c>
      <c r="P79">
        <f>IFERROR(IF(ISNUMBER(INDEX(SPPR!$E:$X,MATCH($A79,SPPR!$A:$A,0),13)),$C79*INDEX(SPPR!$E:$X,MATCH($A79,SPPR!$A:$A,0),13),""),"")</f>
        <v/>
      </c>
      <c r="Q79">
        <f>IFERROR(IF(ISNUMBER(INDEX(SPPR!$E:$X,MATCH($A79,SPPR!$A:$A,0),14)),$C79*INDEX(SPPR!$E:$X,MATCH($A79,SPPR!$A:$A,0),14),""),"")</f>
        <v/>
      </c>
      <c r="R79">
        <f>IFERROR(IF(ISNUMBER(INDEX(SPPR!$E:$X,MATCH($A79,SPPR!$A:$A,0),15)),$C79*INDEX(SPPR!$E:$X,MATCH($A79,SPPR!$A:$A,0),15),""),"")</f>
        <v/>
      </c>
      <c r="S79">
        <f>IFERROR(IF(ISNUMBER(INDEX(SPPR!$E:$X,MATCH($A79,SPPR!$A:$A,0),16)),$C79*INDEX(SPPR!$E:$X,MATCH($A79,SPPR!$A:$A,0),16),""),"")</f>
        <v/>
      </c>
      <c r="T79">
        <f>IFERROR(IF(ISNUMBER(INDEX(SPPR!$E:$X,MATCH($A79,SPPR!$A:$A,0),17)),$C79*INDEX(SPPR!$E:$X,MATCH($A79,SPPR!$A:$A,0),17),""),"")</f>
        <v/>
      </c>
      <c r="U79">
        <f>IFERROR(IF(ISNUMBER(INDEX(SPPR!$E:$X,MATCH($A79,SPPR!$A:$A,0),18)),$C79*INDEX(SPPR!$E:$X,MATCH($A79,SPPR!$A:$A,0),18),""),"")</f>
        <v/>
      </c>
      <c r="V79">
        <f>IFERROR(IF(ISNUMBER(INDEX(SPPR!$E:$X,MATCH($A79,SPPR!$A:$A,0),19)),$C79*INDEX(SPPR!$E:$X,MATCH($A79,SPPR!$A:$A,0),19),""),"")</f>
        <v/>
      </c>
      <c r="W79">
        <f>IFERROR(IF(ISNUMBER(INDEX(SPPR!$E:$X,MATCH($A79,SPPR!$A:$A,0),20)),$C79*INDEX(SPPR!$E:$X,MATCH($A79,SPPR!$A:$A,0),20),""),"")</f>
        <v/>
      </c>
    </row>
    <row r="80">
      <c r="A80" t="inlineStr">
        <is>
          <t>Paralichthyidae</t>
        </is>
      </c>
      <c r="B80">
        <f>IFERROR(INDEX(SPPR!$D:$D,MATCH($A80,SPPR!$A:$A,0)),"")</f>
        <v/>
      </c>
      <c r="C80">
        <f>IFERROR(INDEX(Catch!$E:$BV,MATCH($A80,Catch!$A:$A,0),MATCH($B$4,Catch!$E$1:$BV$1,0)),0)</f>
        <v/>
      </c>
      <c r="D80">
        <f>IFERROR(IF(ISNUMBER(INDEX(SPPR!$E:$X,MATCH($A80,SPPR!$A:$A,0),1)),$C80*INDEX(SPPR!$E:$X,MATCH($A80,SPPR!$A:$A,0),1),""),"")</f>
        <v/>
      </c>
      <c r="E80">
        <f>IFERROR(IF(ISNUMBER(INDEX(SPPR!$E:$X,MATCH($A80,SPPR!$A:$A,0),2)),$C80*INDEX(SPPR!$E:$X,MATCH($A80,SPPR!$A:$A,0),2),""),"")</f>
        <v/>
      </c>
      <c r="F80">
        <f>IFERROR(IF(ISNUMBER(INDEX(SPPR!$E:$X,MATCH($A80,SPPR!$A:$A,0),3)),$C80*INDEX(SPPR!$E:$X,MATCH($A80,SPPR!$A:$A,0),3),""),"")</f>
        <v/>
      </c>
      <c r="G80">
        <f>IFERROR(IF(ISNUMBER(INDEX(SPPR!$E:$X,MATCH($A80,SPPR!$A:$A,0),4)),$C80*INDEX(SPPR!$E:$X,MATCH($A80,SPPR!$A:$A,0),4),""),"")</f>
        <v/>
      </c>
      <c r="H80">
        <f>IFERROR(IF(ISNUMBER(INDEX(SPPR!$E:$X,MATCH($A80,SPPR!$A:$A,0),5)),$C80*INDEX(SPPR!$E:$X,MATCH($A80,SPPR!$A:$A,0),5),""),"")</f>
        <v/>
      </c>
      <c r="I80">
        <f>IFERROR(IF(ISNUMBER(INDEX(SPPR!$E:$X,MATCH($A80,SPPR!$A:$A,0),6)),$C80*INDEX(SPPR!$E:$X,MATCH($A80,SPPR!$A:$A,0),6),""),"")</f>
        <v/>
      </c>
      <c r="J80">
        <f>IFERROR(IF(ISNUMBER(INDEX(SPPR!$E:$X,MATCH($A80,SPPR!$A:$A,0),7)),$C80*INDEX(SPPR!$E:$X,MATCH($A80,SPPR!$A:$A,0),7),""),"")</f>
        <v/>
      </c>
      <c r="K80">
        <f>IFERROR(IF(ISNUMBER(INDEX(SPPR!$E:$X,MATCH($A80,SPPR!$A:$A,0),8)),$C80*INDEX(SPPR!$E:$X,MATCH($A80,SPPR!$A:$A,0),8),""),"")</f>
        <v/>
      </c>
      <c r="L80">
        <f>IFERROR(IF(ISNUMBER(INDEX(SPPR!$E:$X,MATCH($A80,SPPR!$A:$A,0),9)),$C80*INDEX(SPPR!$E:$X,MATCH($A80,SPPR!$A:$A,0),9),""),"")</f>
        <v/>
      </c>
      <c r="M80">
        <f>IFERROR(IF(ISNUMBER(INDEX(SPPR!$E:$X,MATCH($A80,SPPR!$A:$A,0),10)),$C80*INDEX(SPPR!$E:$X,MATCH($A80,SPPR!$A:$A,0),10),""),"")</f>
        <v/>
      </c>
      <c r="N80">
        <f>IFERROR(IF(ISNUMBER(INDEX(SPPR!$E:$X,MATCH($A80,SPPR!$A:$A,0),11)),$C80*INDEX(SPPR!$E:$X,MATCH($A80,SPPR!$A:$A,0),11),""),"")</f>
        <v/>
      </c>
      <c r="O80">
        <f>IFERROR(IF(ISNUMBER(INDEX(SPPR!$E:$X,MATCH($A80,SPPR!$A:$A,0),12)),$C80*INDEX(SPPR!$E:$X,MATCH($A80,SPPR!$A:$A,0),12),""),"")</f>
        <v/>
      </c>
      <c r="P80">
        <f>IFERROR(IF(ISNUMBER(INDEX(SPPR!$E:$X,MATCH($A80,SPPR!$A:$A,0),13)),$C80*INDEX(SPPR!$E:$X,MATCH($A80,SPPR!$A:$A,0),13),""),"")</f>
        <v/>
      </c>
      <c r="Q80">
        <f>IFERROR(IF(ISNUMBER(INDEX(SPPR!$E:$X,MATCH($A80,SPPR!$A:$A,0),14)),$C80*INDEX(SPPR!$E:$X,MATCH($A80,SPPR!$A:$A,0),14),""),"")</f>
        <v/>
      </c>
      <c r="R80">
        <f>IFERROR(IF(ISNUMBER(INDEX(SPPR!$E:$X,MATCH($A80,SPPR!$A:$A,0),15)),$C80*INDEX(SPPR!$E:$X,MATCH($A80,SPPR!$A:$A,0),15),""),"")</f>
        <v/>
      </c>
      <c r="S80">
        <f>IFERROR(IF(ISNUMBER(INDEX(SPPR!$E:$X,MATCH($A80,SPPR!$A:$A,0),16)),$C80*INDEX(SPPR!$E:$X,MATCH($A80,SPPR!$A:$A,0),16),""),"")</f>
        <v/>
      </c>
      <c r="T80">
        <f>IFERROR(IF(ISNUMBER(INDEX(SPPR!$E:$X,MATCH($A80,SPPR!$A:$A,0),17)),$C80*INDEX(SPPR!$E:$X,MATCH($A80,SPPR!$A:$A,0),17),""),"")</f>
        <v/>
      </c>
      <c r="U80">
        <f>IFERROR(IF(ISNUMBER(INDEX(SPPR!$E:$X,MATCH($A80,SPPR!$A:$A,0),18)),$C80*INDEX(SPPR!$E:$X,MATCH($A80,SPPR!$A:$A,0),18),""),"")</f>
        <v/>
      </c>
      <c r="V80">
        <f>IFERROR(IF(ISNUMBER(INDEX(SPPR!$E:$X,MATCH($A80,SPPR!$A:$A,0),19)),$C80*INDEX(SPPR!$E:$X,MATCH($A80,SPPR!$A:$A,0),19),""),"")</f>
        <v/>
      </c>
      <c r="W80">
        <f>IFERROR(IF(ISNUMBER(INDEX(SPPR!$E:$X,MATCH($A80,SPPR!$A:$A,0),20)),$C80*INDEX(SPPR!$E:$X,MATCH($A80,SPPR!$A:$A,0),20),""),"")</f>
        <v/>
      </c>
    </row>
    <row r="81">
      <c r="A81" t="inlineStr">
        <is>
          <t>Larimus pacificus</t>
        </is>
      </c>
      <c r="B81">
        <f>IFERROR(INDEX(SPPR!$D:$D,MATCH($A81,SPPR!$A:$A,0)),"")</f>
        <v/>
      </c>
      <c r="C81">
        <f>IFERROR(INDEX(Catch!$E:$BV,MATCH($A81,Catch!$A:$A,0),MATCH($B$4,Catch!$E$1:$BV$1,0)),0)</f>
        <v/>
      </c>
      <c r="D81">
        <f>IFERROR(IF(ISNUMBER(INDEX(SPPR!$E:$X,MATCH($A81,SPPR!$A:$A,0),1)),$C81*INDEX(SPPR!$E:$X,MATCH($A81,SPPR!$A:$A,0),1),""),"")</f>
        <v/>
      </c>
      <c r="E81">
        <f>IFERROR(IF(ISNUMBER(INDEX(SPPR!$E:$X,MATCH($A81,SPPR!$A:$A,0),2)),$C81*INDEX(SPPR!$E:$X,MATCH($A81,SPPR!$A:$A,0),2),""),"")</f>
        <v/>
      </c>
      <c r="F81">
        <f>IFERROR(IF(ISNUMBER(INDEX(SPPR!$E:$X,MATCH($A81,SPPR!$A:$A,0),3)),$C81*INDEX(SPPR!$E:$X,MATCH($A81,SPPR!$A:$A,0),3),""),"")</f>
        <v/>
      </c>
      <c r="G81">
        <f>IFERROR(IF(ISNUMBER(INDEX(SPPR!$E:$X,MATCH($A81,SPPR!$A:$A,0),4)),$C81*INDEX(SPPR!$E:$X,MATCH($A81,SPPR!$A:$A,0),4),""),"")</f>
        <v/>
      </c>
      <c r="H81">
        <f>IFERROR(IF(ISNUMBER(INDEX(SPPR!$E:$X,MATCH($A81,SPPR!$A:$A,0),5)),$C81*INDEX(SPPR!$E:$X,MATCH($A81,SPPR!$A:$A,0),5),""),"")</f>
        <v/>
      </c>
      <c r="I81">
        <f>IFERROR(IF(ISNUMBER(INDEX(SPPR!$E:$X,MATCH($A81,SPPR!$A:$A,0),6)),$C81*INDEX(SPPR!$E:$X,MATCH($A81,SPPR!$A:$A,0),6),""),"")</f>
        <v/>
      </c>
      <c r="J81">
        <f>IFERROR(IF(ISNUMBER(INDEX(SPPR!$E:$X,MATCH($A81,SPPR!$A:$A,0),7)),$C81*INDEX(SPPR!$E:$X,MATCH($A81,SPPR!$A:$A,0),7),""),"")</f>
        <v/>
      </c>
      <c r="K81">
        <f>IFERROR(IF(ISNUMBER(INDEX(SPPR!$E:$X,MATCH($A81,SPPR!$A:$A,0),8)),$C81*INDEX(SPPR!$E:$X,MATCH($A81,SPPR!$A:$A,0),8),""),"")</f>
        <v/>
      </c>
      <c r="L81">
        <f>IFERROR(IF(ISNUMBER(INDEX(SPPR!$E:$X,MATCH($A81,SPPR!$A:$A,0),9)),$C81*INDEX(SPPR!$E:$X,MATCH($A81,SPPR!$A:$A,0),9),""),"")</f>
        <v/>
      </c>
      <c r="M81">
        <f>IFERROR(IF(ISNUMBER(INDEX(SPPR!$E:$X,MATCH($A81,SPPR!$A:$A,0),10)),$C81*INDEX(SPPR!$E:$X,MATCH($A81,SPPR!$A:$A,0),10),""),"")</f>
        <v/>
      </c>
      <c r="N81">
        <f>IFERROR(IF(ISNUMBER(INDEX(SPPR!$E:$X,MATCH($A81,SPPR!$A:$A,0),11)),$C81*INDEX(SPPR!$E:$X,MATCH($A81,SPPR!$A:$A,0),11),""),"")</f>
        <v/>
      </c>
      <c r="O81">
        <f>IFERROR(IF(ISNUMBER(INDEX(SPPR!$E:$X,MATCH($A81,SPPR!$A:$A,0),12)),$C81*INDEX(SPPR!$E:$X,MATCH($A81,SPPR!$A:$A,0),12),""),"")</f>
        <v/>
      </c>
      <c r="P81">
        <f>IFERROR(IF(ISNUMBER(INDEX(SPPR!$E:$X,MATCH($A81,SPPR!$A:$A,0),13)),$C81*INDEX(SPPR!$E:$X,MATCH($A81,SPPR!$A:$A,0),13),""),"")</f>
        <v/>
      </c>
      <c r="Q81">
        <f>IFERROR(IF(ISNUMBER(INDEX(SPPR!$E:$X,MATCH($A81,SPPR!$A:$A,0),14)),$C81*INDEX(SPPR!$E:$X,MATCH($A81,SPPR!$A:$A,0),14),""),"")</f>
        <v/>
      </c>
      <c r="R81">
        <f>IFERROR(IF(ISNUMBER(INDEX(SPPR!$E:$X,MATCH($A81,SPPR!$A:$A,0),15)),$C81*INDEX(SPPR!$E:$X,MATCH($A81,SPPR!$A:$A,0),15),""),"")</f>
        <v/>
      </c>
      <c r="S81">
        <f>IFERROR(IF(ISNUMBER(INDEX(SPPR!$E:$X,MATCH($A81,SPPR!$A:$A,0),16)),$C81*INDEX(SPPR!$E:$X,MATCH($A81,SPPR!$A:$A,0),16),""),"")</f>
        <v/>
      </c>
      <c r="T81">
        <f>IFERROR(IF(ISNUMBER(INDEX(SPPR!$E:$X,MATCH($A81,SPPR!$A:$A,0),17)),$C81*INDEX(SPPR!$E:$X,MATCH($A81,SPPR!$A:$A,0),17),""),"")</f>
        <v/>
      </c>
      <c r="U81">
        <f>IFERROR(IF(ISNUMBER(INDEX(SPPR!$E:$X,MATCH($A81,SPPR!$A:$A,0),18)),$C81*INDEX(SPPR!$E:$X,MATCH($A81,SPPR!$A:$A,0),18),""),"")</f>
        <v/>
      </c>
      <c r="V81">
        <f>IFERROR(IF(ISNUMBER(INDEX(SPPR!$E:$X,MATCH($A81,SPPR!$A:$A,0),19)),$C81*INDEX(SPPR!$E:$X,MATCH($A81,SPPR!$A:$A,0),19),""),"")</f>
        <v/>
      </c>
      <c r="W81">
        <f>IFERROR(IF(ISNUMBER(INDEX(SPPR!$E:$X,MATCH($A81,SPPR!$A:$A,0),20)),$C81*INDEX(SPPR!$E:$X,MATCH($A81,SPPR!$A:$A,0),20),""),"")</f>
        <v/>
      </c>
    </row>
    <row r="82">
      <c r="A82" t="inlineStr">
        <is>
          <t>Mulinia</t>
        </is>
      </c>
      <c r="B82">
        <f>IFERROR(INDEX(SPPR!$D:$D,MATCH($A82,SPPR!$A:$A,0)),"")</f>
        <v/>
      </c>
      <c r="C82">
        <f>IFERROR(INDEX(Catch!$E:$BV,MATCH($A82,Catch!$A:$A,0),MATCH($B$4,Catch!$E$1:$BV$1,0)),0)</f>
        <v/>
      </c>
      <c r="D82">
        <f>IFERROR(IF(ISNUMBER(INDEX(SPPR!$E:$X,MATCH($A82,SPPR!$A:$A,0),1)),$C82*INDEX(SPPR!$E:$X,MATCH($A82,SPPR!$A:$A,0),1),""),"")</f>
        <v/>
      </c>
      <c r="E82">
        <f>IFERROR(IF(ISNUMBER(INDEX(SPPR!$E:$X,MATCH($A82,SPPR!$A:$A,0),2)),$C82*INDEX(SPPR!$E:$X,MATCH($A82,SPPR!$A:$A,0),2),""),"")</f>
        <v/>
      </c>
      <c r="F82">
        <f>IFERROR(IF(ISNUMBER(INDEX(SPPR!$E:$X,MATCH($A82,SPPR!$A:$A,0),3)),$C82*INDEX(SPPR!$E:$X,MATCH($A82,SPPR!$A:$A,0),3),""),"")</f>
        <v/>
      </c>
      <c r="G82">
        <f>IFERROR(IF(ISNUMBER(INDEX(SPPR!$E:$X,MATCH($A82,SPPR!$A:$A,0),4)),$C82*INDEX(SPPR!$E:$X,MATCH($A82,SPPR!$A:$A,0),4),""),"")</f>
        <v/>
      </c>
      <c r="H82">
        <f>IFERROR(IF(ISNUMBER(INDEX(SPPR!$E:$X,MATCH($A82,SPPR!$A:$A,0),5)),$C82*INDEX(SPPR!$E:$X,MATCH($A82,SPPR!$A:$A,0),5),""),"")</f>
        <v/>
      </c>
      <c r="I82">
        <f>IFERROR(IF(ISNUMBER(INDEX(SPPR!$E:$X,MATCH($A82,SPPR!$A:$A,0),6)),$C82*INDEX(SPPR!$E:$X,MATCH($A82,SPPR!$A:$A,0),6),""),"")</f>
        <v/>
      </c>
      <c r="J82">
        <f>IFERROR(IF(ISNUMBER(INDEX(SPPR!$E:$X,MATCH($A82,SPPR!$A:$A,0),7)),$C82*INDEX(SPPR!$E:$X,MATCH($A82,SPPR!$A:$A,0),7),""),"")</f>
        <v/>
      </c>
      <c r="K82">
        <f>IFERROR(IF(ISNUMBER(INDEX(SPPR!$E:$X,MATCH($A82,SPPR!$A:$A,0),8)),$C82*INDEX(SPPR!$E:$X,MATCH($A82,SPPR!$A:$A,0),8),""),"")</f>
        <v/>
      </c>
      <c r="L82">
        <f>IFERROR(IF(ISNUMBER(INDEX(SPPR!$E:$X,MATCH($A82,SPPR!$A:$A,0),9)),$C82*INDEX(SPPR!$E:$X,MATCH($A82,SPPR!$A:$A,0),9),""),"")</f>
        <v/>
      </c>
      <c r="M82">
        <f>IFERROR(IF(ISNUMBER(INDEX(SPPR!$E:$X,MATCH($A82,SPPR!$A:$A,0),10)),$C82*INDEX(SPPR!$E:$X,MATCH($A82,SPPR!$A:$A,0),10),""),"")</f>
        <v/>
      </c>
      <c r="N82">
        <f>IFERROR(IF(ISNUMBER(INDEX(SPPR!$E:$X,MATCH($A82,SPPR!$A:$A,0),11)),$C82*INDEX(SPPR!$E:$X,MATCH($A82,SPPR!$A:$A,0),11),""),"")</f>
        <v/>
      </c>
      <c r="O82">
        <f>IFERROR(IF(ISNUMBER(INDEX(SPPR!$E:$X,MATCH($A82,SPPR!$A:$A,0),12)),$C82*INDEX(SPPR!$E:$X,MATCH($A82,SPPR!$A:$A,0),12),""),"")</f>
        <v/>
      </c>
      <c r="P82">
        <f>IFERROR(IF(ISNUMBER(INDEX(SPPR!$E:$X,MATCH($A82,SPPR!$A:$A,0),13)),$C82*INDEX(SPPR!$E:$X,MATCH($A82,SPPR!$A:$A,0),13),""),"")</f>
        <v/>
      </c>
      <c r="Q82">
        <f>IFERROR(IF(ISNUMBER(INDEX(SPPR!$E:$X,MATCH($A82,SPPR!$A:$A,0),14)),$C82*INDEX(SPPR!$E:$X,MATCH($A82,SPPR!$A:$A,0),14),""),"")</f>
        <v/>
      </c>
      <c r="R82">
        <f>IFERROR(IF(ISNUMBER(INDEX(SPPR!$E:$X,MATCH($A82,SPPR!$A:$A,0),15)),$C82*INDEX(SPPR!$E:$X,MATCH($A82,SPPR!$A:$A,0),15),""),"")</f>
        <v/>
      </c>
      <c r="S82">
        <f>IFERROR(IF(ISNUMBER(INDEX(SPPR!$E:$X,MATCH($A82,SPPR!$A:$A,0),16)),$C82*INDEX(SPPR!$E:$X,MATCH($A82,SPPR!$A:$A,0),16),""),"")</f>
        <v/>
      </c>
      <c r="T82">
        <f>IFERROR(IF(ISNUMBER(INDEX(SPPR!$E:$X,MATCH($A82,SPPR!$A:$A,0),17)),$C82*INDEX(SPPR!$E:$X,MATCH($A82,SPPR!$A:$A,0),17),""),"")</f>
        <v/>
      </c>
      <c r="U82">
        <f>IFERROR(IF(ISNUMBER(INDEX(SPPR!$E:$X,MATCH($A82,SPPR!$A:$A,0),18)),$C82*INDEX(SPPR!$E:$X,MATCH($A82,SPPR!$A:$A,0),18),""),"")</f>
        <v/>
      </c>
      <c r="V82">
        <f>IFERROR(IF(ISNUMBER(INDEX(SPPR!$E:$X,MATCH($A82,SPPR!$A:$A,0),19)),$C82*INDEX(SPPR!$E:$X,MATCH($A82,SPPR!$A:$A,0),19),""),"")</f>
        <v/>
      </c>
      <c r="W82">
        <f>IFERROR(IF(ISNUMBER(INDEX(SPPR!$E:$X,MATCH($A82,SPPR!$A:$A,0),20)),$C82*INDEX(SPPR!$E:$X,MATCH($A82,SPPR!$A:$A,0),20),""),"")</f>
        <v/>
      </c>
    </row>
    <row r="83">
      <c r="A83" t="inlineStr">
        <is>
          <t>Mollusca</t>
        </is>
      </c>
      <c r="B83">
        <f>IFERROR(INDEX(SPPR!$D:$D,MATCH($A83,SPPR!$A:$A,0)),"")</f>
        <v/>
      </c>
      <c r="C83">
        <f>IFERROR(INDEX(Catch!$E:$BV,MATCH($A83,Catch!$A:$A,0),MATCH($B$4,Catch!$E$1:$BV$1,0)),0)</f>
        <v/>
      </c>
      <c r="D83">
        <f>IFERROR(IF(ISNUMBER(INDEX(SPPR!$E:$X,MATCH($A83,SPPR!$A:$A,0),1)),$C83*INDEX(SPPR!$E:$X,MATCH($A83,SPPR!$A:$A,0),1),""),"")</f>
        <v/>
      </c>
      <c r="E83">
        <f>IFERROR(IF(ISNUMBER(INDEX(SPPR!$E:$X,MATCH($A83,SPPR!$A:$A,0),2)),$C83*INDEX(SPPR!$E:$X,MATCH($A83,SPPR!$A:$A,0),2),""),"")</f>
        <v/>
      </c>
      <c r="F83">
        <f>IFERROR(IF(ISNUMBER(INDEX(SPPR!$E:$X,MATCH($A83,SPPR!$A:$A,0),3)),$C83*INDEX(SPPR!$E:$X,MATCH($A83,SPPR!$A:$A,0),3),""),"")</f>
        <v/>
      </c>
      <c r="G83">
        <f>IFERROR(IF(ISNUMBER(INDEX(SPPR!$E:$X,MATCH($A83,SPPR!$A:$A,0),4)),$C83*INDEX(SPPR!$E:$X,MATCH($A83,SPPR!$A:$A,0),4),""),"")</f>
        <v/>
      </c>
      <c r="H83">
        <f>IFERROR(IF(ISNUMBER(INDEX(SPPR!$E:$X,MATCH($A83,SPPR!$A:$A,0),5)),$C83*INDEX(SPPR!$E:$X,MATCH($A83,SPPR!$A:$A,0),5),""),"")</f>
        <v/>
      </c>
      <c r="I83">
        <f>IFERROR(IF(ISNUMBER(INDEX(SPPR!$E:$X,MATCH($A83,SPPR!$A:$A,0),6)),$C83*INDEX(SPPR!$E:$X,MATCH($A83,SPPR!$A:$A,0),6),""),"")</f>
        <v/>
      </c>
      <c r="J83">
        <f>IFERROR(IF(ISNUMBER(INDEX(SPPR!$E:$X,MATCH($A83,SPPR!$A:$A,0),7)),$C83*INDEX(SPPR!$E:$X,MATCH($A83,SPPR!$A:$A,0),7),""),"")</f>
        <v/>
      </c>
      <c r="K83">
        <f>IFERROR(IF(ISNUMBER(INDEX(SPPR!$E:$X,MATCH($A83,SPPR!$A:$A,0),8)),$C83*INDEX(SPPR!$E:$X,MATCH($A83,SPPR!$A:$A,0),8),""),"")</f>
        <v/>
      </c>
      <c r="L83">
        <f>IFERROR(IF(ISNUMBER(INDEX(SPPR!$E:$X,MATCH($A83,SPPR!$A:$A,0),9)),$C83*INDEX(SPPR!$E:$X,MATCH($A83,SPPR!$A:$A,0),9),""),"")</f>
        <v/>
      </c>
      <c r="M83">
        <f>IFERROR(IF(ISNUMBER(INDEX(SPPR!$E:$X,MATCH($A83,SPPR!$A:$A,0),10)),$C83*INDEX(SPPR!$E:$X,MATCH($A83,SPPR!$A:$A,0),10),""),"")</f>
        <v/>
      </c>
      <c r="N83">
        <f>IFERROR(IF(ISNUMBER(INDEX(SPPR!$E:$X,MATCH($A83,SPPR!$A:$A,0),11)),$C83*INDEX(SPPR!$E:$X,MATCH($A83,SPPR!$A:$A,0),11),""),"")</f>
        <v/>
      </c>
      <c r="O83">
        <f>IFERROR(IF(ISNUMBER(INDEX(SPPR!$E:$X,MATCH($A83,SPPR!$A:$A,0),12)),$C83*INDEX(SPPR!$E:$X,MATCH($A83,SPPR!$A:$A,0),12),""),"")</f>
        <v/>
      </c>
      <c r="P83">
        <f>IFERROR(IF(ISNUMBER(INDEX(SPPR!$E:$X,MATCH($A83,SPPR!$A:$A,0),13)),$C83*INDEX(SPPR!$E:$X,MATCH($A83,SPPR!$A:$A,0),13),""),"")</f>
        <v/>
      </c>
      <c r="Q83">
        <f>IFERROR(IF(ISNUMBER(INDEX(SPPR!$E:$X,MATCH($A83,SPPR!$A:$A,0),14)),$C83*INDEX(SPPR!$E:$X,MATCH($A83,SPPR!$A:$A,0),14),""),"")</f>
        <v/>
      </c>
      <c r="R83">
        <f>IFERROR(IF(ISNUMBER(INDEX(SPPR!$E:$X,MATCH($A83,SPPR!$A:$A,0),15)),$C83*INDEX(SPPR!$E:$X,MATCH($A83,SPPR!$A:$A,0),15),""),"")</f>
        <v/>
      </c>
      <c r="S83">
        <f>IFERROR(IF(ISNUMBER(INDEX(SPPR!$E:$X,MATCH($A83,SPPR!$A:$A,0),16)),$C83*INDEX(SPPR!$E:$X,MATCH($A83,SPPR!$A:$A,0),16),""),"")</f>
        <v/>
      </c>
      <c r="T83">
        <f>IFERROR(IF(ISNUMBER(INDEX(SPPR!$E:$X,MATCH($A83,SPPR!$A:$A,0),17)),$C83*INDEX(SPPR!$E:$X,MATCH($A83,SPPR!$A:$A,0),17),""),"")</f>
        <v/>
      </c>
      <c r="U83">
        <f>IFERROR(IF(ISNUMBER(INDEX(SPPR!$E:$X,MATCH($A83,SPPR!$A:$A,0),18)),$C83*INDEX(SPPR!$E:$X,MATCH($A83,SPPR!$A:$A,0),18),""),"")</f>
        <v/>
      </c>
      <c r="V83">
        <f>IFERROR(IF(ISNUMBER(INDEX(SPPR!$E:$X,MATCH($A83,SPPR!$A:$A,0),19)),$C83*INDEX(SPPR!$E:$X,MATCH($A83,SPPR!$A:$A,0),19),""),"")</f>
        <v/>
      </c>
      <c r="W83">
        <f>IFERROR(IF(ISNUMBER(INDEX(SPPR!$E:$X,MATCH($A83,SPPR!$A:$A,0),20)),$C83*INDEX(SPPR!$E:$X,MATCH($A83,SPPR!$A:$A,0),20),""),"")</f>
        <v/>
      </c>
    </row>
    <row r="84">
      <c r="A84" t="inlineStr">
        <is>
          <t>Seriolella caerulea</t>
        </is>
      </c>
      <c r="B84">
        <f>IFERROR(INDEX(SPPR!$D:$D,MATCH($A84,SPPR!$A:$A,0)),"")</f>
        <v/>
      </c>
      <c r="C84">
        <f>IFERROR(INDEX(Catch!$E:$BV,MATCH($A84,Catch!$A:$A,0),MATCH($B$4,Catch!$E$1:$BV$1,0)),0)</f>
        <v/>
      </c>
      <c r="D84">
        <f>IFERROR(IF(ISNUMBER(INDEX(SPPR!$E:$X,MATCH($A84,SPPR!$A:$A,0),1)),$C84*INDEX(SPPR!$E:$X,MATCH($A84,SPPR!$A:$A,0),1),""),"")</f>
        <v/>
      </c>
      <c r="E84">
        <f>IFERROR(IF(ISNUMBER(INDEX(SPPR!$E:$X,MATCH($A84,SPPR!$A:$A,0),2)),$C84*INDEX(SPPR!$E:$X,MATCH($A84,SPPR!$A:$A,0),2),""),"")</f>
        <v/>
      </c>
      <c r="F84">
        <f>IFERROR(IF(ISNUMBER(INDEX(SPPR!$E:$X,MATCH($A84,SPPR!$A:$A,0),3)),$C84*INDEX(SPPR!$E:$X,MATCH($A84,SPPR!$A:$A,0),3),""),"")</f>
        <v/>
      </c>
      <c r="G84">
        <f>IFERROR(IF(ISNUMBER(INDEX(SPPR!$E:$X,MATCH($A84,SPPR!$A:$A,0),4)),$C84*INDEX(SPPR!$E:$X,MATCH($A84,SPPR!$A:$A,0),4),""),"")</f>
        <v/>
      </c>
      <c r="H84">
        <f>IFERROR(IF(ISNUMBER(INDEX(SPPR!$E:$X,MATCH($A84,SPPR!$A:$A,0),5)),$C84*INDEX(SPPR!$E:$X,MATCH($A84,SPPR!$A:$A,0),5),""),"")</f>
        <v/>
      </c>
      <c r="I84">
        <f>IFERROR(IF(ISNUMBER(INDEX(SPPR!$E:$X,MATCH($A84,SPPR!$A:$A,0),6)),$C84*INDEX(SPPR!$E:$X,MATCH($A84,SPPR!$A:$A,0),6),""),"")</f>
        <v/>
      </c>
      <c r="J84">
        <f>IFERROR(IF(ISNUMBER(INDEX(SPPR!$E:$X,MATCH($A84,SPPR!$A:$A,0),7)),$C84*INDEX(SPPR!$E:$X,MATCH($A84,SPPR!$A:$A,0),7),""),"")</f>
        <v/>
      </c>
      <c r="K84">
        <f>IFERROR(IF(ISNUMBER(INDEX(SPPR!$E:$X,MATCH($A84,SPPR!$A:$A,0),8)),$C84*INDEX(SPPR!$E:$X,MATCH($A84,SPPR!$A:$A,0),8),""),"")</f>
        <v/>
      </c>
      <c r="L84">
        <f>IFERROR(IF(ISNUMBER(INDEX(SPPR!$E:$X,MATCH($A84,SPPR!$A:$A,0),9)),$C84*INDEX(SPPR!$E:$X,MATCH($A84,SPPR!$A:$A,0),9),""),"")</f>
        <v/>
      </c>
      <c r="M84">
        <f>IFERROR(IF(ISNUMBER(INDEX(SPPR!$E:$X,MATCH($A84,SPPR!$A:$A,0),10)),$C84*INDEX(SPPR!$E:$X,MATCH($A84,SPPR!$A:$A,0),10),""),"")</f>
        <v/>
      </c>
      <c r="N84">
        <f>IFERROR(IF(ISNUMBER(INDEX(SPPR!$E:$X,MATCH($A84,SPPR!$A:$A,0),11)),$C84*INDEX(SPPR!$E:$X,MATCH($A84,SPPR!$A:$A,0),11),""),"")</f>
        <v/>
      </c>
      <c r="O84">
        <f>IFERROR(IF(ISNUMBER(INDEX(SPPR!$E:$X,MATCH($A84,SPPR!$A:$A,0),12)),$C84*INDEX(SPPR!$E:$X,MATCH($A84,SPPR!$A:$A,0),12),""),"")</f>
        <v/>
      </c>
      <c r="P84">
        <f>IFERROR(IF(ISNUMBER(INDEX(SPPR!$E:$X,MATCH($A84,SPPR!$A:$A,0),13)),$C84*INDEX(SPPR!$E:$X,MATCH($A84,SPPR!$A:$A,0),13),""),"")</f>
        <v/>
      </c>
      <c r="Q84">
        <f>IFERROR(IF(ISNUMBER(INDEX(SPPR!$E:$X,MATCH($A84,SPPR!$A:$A,0),14)),$C84*INDEX(SPPR!$E:$X,MATCH($A84,SPPR!$A:$A,0),14),""),"")</f>
        <v/>
      </c>
      <c r="R84">
        <f>IFERROR(IF(ISNUMBER(INDEX(SPPR!$E:$X,MATCH($A84,SPPR!$A:$A,0),15)),$C84*INDEX(SPPR!$E:$X,MATCH($A84,SPPR!$A:$A,0),15),""),"")</f>
        <v/>
      </c>
      <c r="S84">
        <f>IFERROR(IF(ISNUMBER(INDEX(SPPR!$E:$X,MATCH($A84,SPPR!$A:$A,0),16)),$C84*INDEX(SPPR!$E:$X,MATCH($A84,SPPR!$A:$A,0),16),""),"")</f>
        <v/>
      </c>
      <c r="T84">
        <f>IFERROR(IF(ISNUMBER(INDEX(SPPR!$E:$X,MATCH($A84,SPPR!$A:$A,0),17)),$C84*INDEX(SPPR!$E:$X,MATCH($A84,SPPR!$A:$A,0),17),""),"")</f>
        <v/>
      </c>
      <c r="U84">
        <f>IFERROR(IF(ISNUMBER(INDEX(SPPR!$E:$X,MATCH($A84,SPPR!$A:$A,0),18)),$C84*INDEX(SPPR!$E:$X,MATCH($A84,SPPR!$A:$A,0),18),""),"")</f>
        <v/>
      </c>
      <c r="V84">
        <f>IFERROR(IF(ISNUMBER(INDEX(SPPR!$E:$X,MATCH($A84,SPPR!$A:$A,0),19)),$C84*INDEX(SPPR!$E:$X,MATCH($A84,SPPR!$A:$A,0),19),""),"")</f>
        <v/>
      </c>
      <c r="W84">
        <f>IFERROR(IF(ISNUMBER(INDEX(SPPR!$E:$X,MATCH($A84,SPPR!$A:$A,0),20)),$C84*INDEX(SPPR!$E:$X,MATCH($A84,SPPR!$A:$A,0),20),""),"")</f>
        <v/>
      </c>
    </row>
    <row r="85">
      <c r="A85" t="inlineStr">
        <is>
          <t>Sphyrna zygaena</t>
        </is>
      </c>
      <c r="B85">
        <f>IFERROR(INDEX(SPPR!$D:$D,MATCH($A85,SPPR!$A:$A,0)),"")</f>
        <v/>
      </c>
      <c r="C85">
        <f>IFERROR(INDEX(Catch!$E:$BV,MATCH($A85,Catch!$A:$A,0),MATCH($B$4,Catch!$E$1:$BV$1,0)),0)</f>
        <v/>
      </c>
      <c r="D85">
        <f>IFERROR(IF(ISNUMBER(INDEX(SPPR!$E:$X,MATCH($A85,SPPR!$A:$A,0),1)),$C85*INDEX(SPPR!$E:$X,MATCH($A85,SPPR!$A:$A,0),1),""),"")</f>
        <v/>
      </c>
      <c r="E85">
        <f>IFERROR(IF(ISNUMBER(INDEX(SPPR!$E:$X,MATCH($A85,SPPR!$A:$A,0),2)),$C85*INDEX(SPPR!$E:$X,MATCH($A85,SPPR!$A:$A,0),2),""),"")</f>
        <v/>
      </c>
      <c r="F85">
        <f>IFERROR(IF(ISNUMBER(INDEX(SPPR!$E:$X,MATCH($A85,SPPR!$A:$A,0),3)),$C85*INDEX(SPPR!$E:$X,MATCH($A85,SPPR!$A:$A,0),3),""),"")</f>
        <v/>
      </c>
      <c r="G85">
        <f>IFERROR(IF(ISNUMBER(INDEX(SPPR!$E:$X,MATCH($A85,SPPR!$A:$A,0),4)),$C85*INDEX(SPPR!$E:$X,MATCH($A85,SPPR!$A:$A,0),4),""),"")</f>
        <v/>
      </c>
      <c r="H85">
        <f>IFERROR(IF(ISNUMBER(INDEX(SPPR!$E:$X,MATCH($A85,SPPR!$A:$A,0),5)),$C85*INDEX(SPPR!$E:$X,MATCH($A85,SPPR!$A:$A,0),5),""),"")</f>
        <v/>
      </c>
      <c r="I85">
        <f>IFERROR(IF(ISNUMBER(INDEX(SPPR!$E:$X,MATCH($A85,SPPR!$A:$A,0),6)),$C85*INDEX(SPPR!$E:$X,MATCH($A85,SPPR!$A:$A,0),6),""),"")</f>
        <v/>
      </c>
      <c r="J85">
        <f>IFERROR(IF(ISNUMBER(INDEX(SPPR!$E:$X,MATCH($A85,SPPR!$A:$A,0),7)),$C85*INDEX(SPPR!$E:$X,MATCH($A85,SPPR!$A:$A,0),7),""),"")</f>
        <v/>
      </c>
      <c r="K85">
        <f>IFERROR(IF(ISNUMBER(INDEX(SPPR!$E:$X,MATCH($A85,SPPR!$A:$A,0),8)),$C85*INDEX(SPPR!$E:$X,MATCH($A85,SPPR!$A:$A,0),8),""),"")</f>
        <v/>
      </c>
      <c r="L85">
        <f>IFERROR(IF(ISNUMBER(INDEX(SPPR!$E:$X,MATCH($A85,SPPR!$A:$A,0),9)),$C85*INDEX(SPPR!$E:$X,MATCH($A85,SPPR!$A:$A,0),9),""),"")</f>
        <v/>
      </c>
      <c r="M85">
        <f>IFERROR(IF(ISNUMBER(INDEX(SPPR!$E:$X,MATCH($A85,SPPR!$A:$A,0),10)),$C85*INDEX(SPPR!$E:$X,MATCH($A85,SPPR!$A:$A,0),10),""),"")</f>
        <v/>
      </c>
      <c r="N85">
        <f>IFERROR(IF(ISNUMBER(INDEX(SPPR!$E:$X,MATCH($A85,SPPR!$A:$A,0),11)),$C85*INDEX(SPPR!$E:$X,MATCH($A85,SPPR!$A:$A,0),11),""),"")</f>
        <v/>
      </c>
      <c r="O85">
        <f>IFERROR(IF(ISNUMBER(INDEX(SPPR!$E:$X,MATCH($A85,SPPR!$A:$A,0),12)),$C85*INDEX(SPPR!$E:$X,MATCH($A85,SPPR!$A:$A,0),12),""),"")</f>
        <v/>
      </c>
      <c r="P85">
        <f>IFERROR(IF(ISNUMBER(INDEX(SPPR!$E:$X,MATCH($A85,SPPR!$A:$A,0),13)),$C85*INDEX(SPPR!$E:$X,MATCH($A85,SPPR!$A:$A,0),13),""),"")</f>
        <v/>
      </c>
      <c r="Q85">
        <f>IFERROR(IF(ISNUMBER(INDEX(SPPR!$E:$X,MATCH($A85,SPPR!$A:$A,0),14)),$C85*INDEX(SPPR!$E:$X,MATCH($A85,SPPR!$A:$A,0),14),""),"")</f>
        <v/>
      </c>
      <c r="R85">
        <f>IFERROR(IF(ISNUMBER(INDEX(SPPR!$E:$X,MATCH($A85,SPPR!$A:$A,0),15)),$C85*INDEX(SPPR!$E:$X,MATCH($A85,SPPR!$A:$A,0),15),""),"")</f>
        <v/>
      </c>
      <c r="S85">
        <f>IFERROR(IF(ISNUMBER(INDEX(SPPR!$E:$X,MATCH($A85,SPPR!$A:$A,0),16)),$C85*INDEX(SPPR!$E:$X,MATCH($A85,SPPR!$A:$A,0),16),""),"")</f>
        <v/>
      </c>
      <c r="T85">
        <f>IFERROR(IF(ISNUMBER(INDEX(SPPR!$E:$X,MATCH($A85,SPPR!$A:$A,0),17)),$C85*INDEX(SPPR!$E:$X,MATCH($A85,SPPR!$A:$A,0),17),""),"")</f>
        <v/>
      </c>
      <c r="U85">
        <f>IFERROR(IF(ISNUMBER(INDEX(SPPR!$E:$X,MATCH($A85,SPPR!$A:$A,0),18)),$C85*INDEX(SPPR!$E:$X,MATCH($A85,SPPR!$A:$A,0),18),""),"")</f>
        <v/>
      </c>
      <c r="V85">
        <f>IFERROR(IF(ISNUMBER(INDEX(SPPR!$E:$X,MATCH($A85,SPPR!$A:$A,0),19)),$C85*INDEX(SPPR!$E:$X,MATCH($A85,SPPR!$A:$A,0),19),""),"")</f>
        <v/>
      </c>
      <c r="W85">
        <f>IFERROR(IF(ISNUMBER(INDEX(SPPR!$E:$X,MATCH($A85,SPPR!$A:$A,0),20)),$C85*INDEX(SPPR!$E:$X,MATCH($A85,SPPR!$A:$A,0),20),""),"")</f>
        <v/>
      </c>
    </row>
    <row r="86">
      <c r="A86" t="inlineStr">
        <is>
          <t>Leukoma thaca</t>
        </is>
      </c>
      <c r="B86">
        <f>IFERROR(INDEX(SPPR!$D:$D,MATCH($A86,SPPR!$A:$A,0)),"")</f>
        <v/>
      </c>
      <c r="C86">
        <f>IFERROR(INDEX(Catch!$E:$BV,MATCH($A86,Catch!$A:$A,0),MATCH($B$4,Catch!$E$1:$BV$1,0)),0)</f>
        <v/>
      </c>
      <c r="D86">
        <f>IFERROR(IF(ISNUMBER(INDEX(SPPR!$E:$X,MATCH($A86,SPPR!$A:$A,0),1)),$C86*INDEX(SPPR!$E:$X,MATCH($A86,SPPR!$A:$A,0),1),""),"")</f>
        <v/>
      </c>
      <c r="E86">
        <f>IFERROR(IF(ISNUMBER(INDEX(SPPR!$E:$X,MATCH($A86,SPPR!$A:$A,0),2)),$C86*INDEX(SPPR!$E:$X,MATCH($A86,SPPR!$A:$A,0),2),""),"")</f>
        <v/>
      </c>
      <c r="F86">
        <f>IFERROR(IF(ISNUMBER(INDEX(SPPR!$E:$X,MATCH($A86,SPPR!$A:$A,0),3)),$C86*INDEX(SPPR!$E:$X,MATCH($A86,SPPR!$A:$A,0),3),""),"")</f>
        <v/>
      </c>
      <c r="G86">
        <f>IFERROR(IF(ISNUMBER(INDEX(SPPR!$E:$X,MATCH($A86,SPPR!$A:$A,0),4)),$C86*INDEX(SPPR!$E:$X,MATCH($A86,SPPR!$A:$A,0),4),""),"")</f>
        <v/>
      </c>
      <c r="H86">
        <f>IFERROR(IF(ISNUMBER(INDEX(SPPR!$E:$X,MATCH($A86,SPPR!$A:$A,0),5)),$C86*INDEX(SPPR!$E:$X,MATCH($A86,SPPR!$A:$A,0),5),""),"")</f>
        <v/>
      </c>
      <c r="I86">
        <f>IFERROR(IF(ISNUMBER(INDEX(SPPR!$E:$X,MATCH($A86,SPPR!$A:$A,0),6)),$C86*INDEX(SPPR!$E:$X,MATCH($A86,SPPR!$A:$A,0),6),""),"")</f>
        <v/>
      </c>
      <c r="J86">
        <f>IFERROR(IF(ISNUMBER(INDEX(SPPR!$E:$X,MATCH($A86,SPPR!$A:$A,0),7)),$C86*INDEX(SPPR!$E:$X,MATCH($A86,SPPR!$A:$A,0),7),""),"")</f>
        <v/>
      </c>
      <c r="K86">
        <f>IFERROR(IF(ISNUMBER(INDEX(SPPR!$E:$X,MATCH($A86,SPPR!$A:$A,0),8)),$C86*INDEX(SPPR!$E:$X,MATCH($A86,SPPR!$A:$A,0),8),""),"")</f>
        <v/>
      </c>
      <c r="L86">
        <f>IFERROR(IF(ISNUMBER(INDEX(SPPR!$E:$X,MATCH($A86,SPPR!$A:$A,0),9)),$C86*INDEX(SPPR!$E:$X,MATCH($A86,SPPR!$A:$A,0),9),""),"")</f>
        <v/>
      </c>
      <c r="M86">
        <f>IFERROR(IF(ISNUMBER(INDEX(SPPR!$E:$X,MATCH($A86,SPPR!$A:$A,0),10)),$C86*INDEX(SPPR!$E:$X,MATCH($A86,SPPR!$A:$A,0),10),""),"")</f>
        <v/>
      </c>
      <c r="N86">
        <f>IFERROR(IF(ISNUMBER(INDEX(SPPR!$E:$X,MATCH($A86,SPPR!$A:$A,0),11)),$C86*INDEX(SPPR!$E:$X,MATCH($A86,SPPR!$A:$A,0),11),""),"")</f>
        <v/>
      </c>
      <c r="O86">
        <f>IFERROR(IF(ISNUMBER(INDEX(SPPR!$E:$X,MATCH($A86,SPPR!$A:$A,0),12)),$C86*INDEX(SPPR!$E:$X,MATCH($A86,SPPR!$A:$A,0),12),""),"")</f>
        <v/>
      </c>
      <c r="P86">
        <f>IFERROR(IF(ISNUMBER(INDEX(SPPR!$E:$X,MATCH($A86,SPPR!$A:$A,0),13)),$C86*INDEX(SPPR!$E:$X,MATCH($A86,SPPR!$A:$A,0),13),""),"")</f>
        <v/>
      </c>
      <c r="Q86">
        <f>IFERROR(IF(ISNUMBER(INDEX(SPPR!$E:$X,MATCH($A86,SPPR!$A:$A,0),14)),$C86*INDEX(SPPR!$E:$X,MATCH($A86,SPPR!$A:$A,0),14),""),"")</f>
        <v/>
      </c>
      <c r="R86">
        <f>IFERROR(IF(ISNUMBER(INDEX(SPPR!$E:$X,MATCH($A86,SPPR!$A:$A,0),15)),$C86*INDEX(SPPR!$E:$X,MATCH($A86,SPPR!$A:$A,0),15),""),"")</f>
        <v/>
      </c>
      <c r="S86">
        <f>IFERROR(IF(ISNUMBER(INDEX(SPPR!$E:$X,MATCH($A86,SPPR!$A:$A,0),16)),$C86*INDEX(SPPR!$E:$X,MATCH($A86,SPPR!$A:$A,0),16),""),"")</f>
        <v/>
      </c>
      <c r="T86">
        <f>IFERROR(IF(ISNUMBER(INDEX(SPPR!$E:$X,MATCH($A86,SPPR!$A:$A,0),17)),$C86*INDEX(SPPR!$E:$X,MATCH($A86,SPPR!$A:$A,0),17),""),"")</f>
        <v/>
      </c>
      <c r="U86">
        <f>IFERROR(IF(ISNUMBER(INDEX(SPPR!$E:$X,MATCH($A86,SPPR!$A:$A,0),18)),$C86*INDEX(SPPR!$E:$X,MATCH($A86,SPPR!$A:$A,0),18),""),"")</f>
        <v/>
      </c>
      <c r="V86">
        <f>IFERROR(IF(ISNUMBER(INDEX(SPPR!$E:$X,MATCH($A86,SPPR!$A:$A,0),19)),$C86*INDEX(SPPR!$E:$X,MATCH($A86,SPPR!$A:$A,0),19),""),"")</f>
        <v/>
      </c>
      <c r="W86">
        <f>IFERROR(IF(ISNUMBER(INDEX(SPPR!$E:$X,MATCH($A86,SPPR!$A:$A,0),20)),$C86*INDEX(SPPR!$E:$X,MATCH($A86,SPPR!$A:$A,0),20),""),"")</f>
        <v/>
      </c>
    </row>
    <row r="87">
      <c r="A87" t="inlineStr">
        <is>
          <t>Serranidae</t>
        </is>
      </c>
      <c r="B87">
        <f>IFERROR(INDEX(SPPR!$D:$D,MATCH($A87,SPPR!$A:$A,0)),"")</f>
        <v/>
      </c>
      <c r="C87">
        <f>IFERROR(INDEX(Catch!$E:$BV,MATCH($A87,Catch!$A:$A,0),MATCH($B$4,Catch!$E$1:$BV$1,0)),0)</f>
        <v/>
      </c>
      <c r="D87">
        <f>IFERROR(IF(ISNUMBER(INDEX(SPPR!$E:$X,MATCH($A87,SPPR!$A:$A,0),1)),$C87*INDEX(SPPR!$E:$X,MATCH($A87,SPPR!$A:$A,0),1),""),"")</f>
        <v/>
      </c>
      <c r="E87">
        <f>IFERROR(IF(ISNUMBER(INDEX(SPPR!$E:$X,MATCH($A87,SPPR!$A:$A,0),2)),$C87*INDEX(SPPR!$E:$X,MATCH($A87,SPPR!$A:$A,0),2),""),"")</f>
        <v/>
      </c>
      <c r="F87">
        <f>IFERROR(IF(ISNUMBER(INDEX(SPPR!$E:$X,MATCH($A87,SPPR!$A:$A,0),3)),$C87*INDEX(SPPR!$E:$X,MATCH($A87,SPPR!$A:$A,0),3),""),"")</f>
        <v/>
      </c>
      <c r="G87">
        <f>IFERROR(IF(ISNUMBER(INDEX(SPPR!$E:$X,MATCH($A87,SPPR!$A:$A,0),4)),$C87*INDEX(SPPR!$E:$X,MATCH($A87,SPPR!$A:$A,0),4),""),"")</f>
        <v/>
      </c>
      <c r="H87">
        <f>IFERROR(IF(ISNUMBER(INDEX(SPPR!$E:$X,MATCH($A87,SPPR!$A:$A,0),5)),$C87*INDEX(SPPR!$E:$X,MATCH($A87,SPPR!$A:$A,0),5),""),"")</f>
        <v/>
      </c>
      <c r="I87">
        <f>IFERROR(IF(ISNUMBER(INDEX(SPPR!$E:$X,MATCH($A87,SPPR!$A:$A,0),6)),$C87*INDEX(SPPR!$E:$X,MATCH($A87,SPPR!$A:$A,0),6),""),"")</f>
        <v/>
      </c>
      <c r="J87">
        <f>IFERROR(IF(ISNUMBER(INDEX(SPPR!$E:$X,MATCH($A87,SPPR!$A:$A,0),7)),$C87*INDEX(SPPR!$E:$X,MATCH($A87,SPPR!$A:$A,0),7),""),"")</f>
        <v/>
      </c>
      <c r="K87">
        <f>IFERROR(IF(ISNUMBER(INDEX(SPPR!$E:$X,MATCH($A87,SPPR!$A:$A,0),8)),$C87*INDEX(SPPR!$E:$X,MATCH($A87,SPPR!$A:$A,0),8),""),"")</f>
        <v/>
      </c>
      <c r="L87">
        <f>IFERROR(IF(ISNUMBER(INDEX(SPPR!$E:$X,MATCH($A87,SPPR!$A:$A,0),9)),$C87*INDEX(SPPR!$E:$X,MATCH($A87,SPPR!$A:$A,0),9),""),"")</f>
        <v/>
      </c>
      <c r="M87">
        <f>IFERROR(IF(ISNUMBER(INDEX(SPPR!$E:$X,MATCH($A87,SPPR!$A:$A,0),10)),$C87*INDEX(SPPR!$E:$X,MATCH($A87,SPPR!$A:$A,0),10),""),"")</f>
        <v/>
      </c>
      <c r="N87">
        <f>IFERROR(IF(ISNUMBER(INDEX(SPPR!$E:$X,MATCH($A87,SPPR!$A:$A,0),11)),$C87*INDEX(SPPR!$E:$X,MATCH($A87,SPPR!$A:$A,0),11),""),"")</f>
        <v/>
      </c>
      <c r="O87">
        <f>IFERROR(IF(ISNUMBER(INDEX(SPPR!$E:$X,MATCH($A87,SPPR!$A:$A,0),12)),$C87*INDEX(SPPR!$E:$X,MATCH($A87,SPPR!$A:$A,0),12),""),"")</f>
        <v/>
      </c>
      <c r="P87">
        <f>IFERROR(IF(ISNUMBER(INDEX(SPPR!$E:$X,MATCH($A87,SPPR!$A:$A,0),13)),$C87*INDEX(SPPR!$E:$X,MATCH($A87,SPPR!$A:$A,0),13),""),"")</f>
        <v/>
      </c>
      <c r="Q87">
        <f>IFERROR(IF(ISNUMBER(INDEX(SPPR!$E:$X,MATCH($A87,SPPR!$A:$A,0),14)),$C87*INDEX(SPPR!$E:$X,MATCH($A87,SPPR!$A:$A,0),14),""),"")</f>
        <v/>
      </c>
      <c r="R87">
        <f>IFERROR(IF(ISNUMBER(INDEX(SPPR!$E:$X,MATCH($A87,SPPR!$A:$A,0),15)),$C87*INDEX(SPPR!$E:$X,MATCH($A87,SPPR!$A:$A,0),15),""),"")</f>
        <v/>
      </c>
      <c r="S87">
        <f>IFERROR(IF(ISNUMBER(INDEX(SPPR!$E:$X,MATCH($A87,SPPR!$A:$A,0),16)),$C87*INDEX(SPPR!$E:$X,MATCH($A87,SPPR!$A:$A,0),16),""),"")</f>
        <v/>
      </c>
      <c r="T87">
        <f>IFERROR(IF(ISNUMBER(INDEX(SPPR!$E:$X,MATCH($A87,SPPR!$A:$A,0),17)),$C87*INDEX(SPPR!$E:$X,MATCH($A87,SPPR!$A:$A,0),17),""),"")</f>
        <v/>
      </c>
      <c r="U87">
        <f>IFERROR(IF(ISNUMBER(INDEX(SPPR!$E:$X,MATCH($A87,SPPR!$A:$A,0),18)),$C87*INDEX(SPPR!$E:$X,MATCH($A87,SPPR!$A:$A,0),18),""),"")</f>
        <v/>
      </c>
      <c r="V87">
        <f>IFERROR(IF(ISNUMBER(INDEX(SPPR!$E:$X,MATCH($A87,SPPR!$A:$A,0),19)),$C87*INDEX(SPPR!$E:$X,MATCH($A87,SPPR!$A:$A,0),19),""),"")</f>
        <v/>
      </c>
      <c r="W87">
        <f>IFERROR(IF(ISNUMBER(INDEX(SPPR!$E:$X,MATCH($A87,SPPR!$A:$A,0),20)),$C87*INDEX(SPPR!$E:$X,MATCH($A87,SPPR!$A:$A,0),20),""),"")</f>
        <v/>
      </c>
    </row>
    <row r="88">
      <c r="A88" t="inlineStr">
        <is>
          <t>Beryx splendens</t>
        </is>
      </c>
      <c r="B88">
        <f>IFERROR(INDEX(SPPR!$D:$D,MATCH($A88,SPPR!$A:$A,0)),"")</f>
        <v/>
      </c>
      <c r="C88">
        <f>IFERROR(INDEX(Catch!$E:$BV,MATCH($A88,Catch!$A:$A,0),MATCH($B$4,Catch!$E$1:$BV$1,0)),0)</f>
        <v/>
      </c>
      <c r="D88">
        <f>IFERROR(IF(ISNUMBER(INDEX(SPPR!$E:$X,MATCH($A88,SPPR!$A:$A,0),1)),$C88*INDEX(SPPR!$E:$X,MATCH($A88,SPPR!$A:$A,0),1),""),"")</f>
        <v/>
      </c>
      <c r="E88">
        <f>IFERROR(IF(ISNUMBER(INDEX(SPPR!$E:$X,MATCH($A88,SPPR!$A:$A,0),2)),$C88*INDEX(SPPR!$E:$X,MATCH($A88,SPPR!$A:$A,0),2),""),"")</f>
        <v/>
      </c>
      <c r="F88">
        <f>IFERROR(IF(ISNUMBER(INDEX(SPPR!$E:$X,MATCH($A88,SPPR!$A:$A,0),3)),$C88*INDEX(SPPR!$E:$X,MATCH($A88,SPPR!$A:$A,0),3),""),"")</f>
        <v/>
      </c>
      <c r="G88">
        <f>IFERROR(IF(ISNUMBER(INDEX(SPPR!$E:$X,MATCH($A88,SPPR!$A:$A,0),4)),$C88*INDEX(SPPR!$E:$X,MATCH($A88,SPPR!$A:$A,0),4),""),"")</f>
        <v/>
      </c>
      <c r="H88">
        <f>IFERROR(IF(ISNUMBER(INDEX(SPPR!$E:$X,MATCH($A88,SPPR!$A:$A,0),5)),$C88*INDEX(SPPR!$E:$X,MATCH($A88,SPPR!$A:$A,0),5),""),"")</f>
        <v/>
      </c>
      <c r="I88">
        <f>IFERROR(IF(ISNUMBER(INDEX(SPPR!$E:$X,MATCH($A88,SPPR!$A:$A,0),6)),$C88*INDEX(SPPR!$E:$X,MATCH($A88,SPPR!$A:$A,0),6),""),"")</f>
        <v/>
      </c>
      <c r="J88">
        <f>IFERROR(IF(ISNUMBER(INDEX(SPPR!$E:$X,MATCH($A88,SPPR!$A:$A,0),7)),$C88*INDEX(SPPR!$E:$X,MATCH($A88,SPPR!$A:$A,0),7),""),"")</f>
        <v/>
      </c>
      <c r="K88">
        <f>IFERROR(IF(ISNUMBER(INDEX(SPPR!$E:$X,MATCH($A88,SPPR!$A:$A,0),8)),$C88*INDEX(SPPR!$E:$X,MATCH($A88,SPPR!$A:$A,0),8),""),"")</f>
        <v/>
      </c>
      <c r="L88">
        <f>IFERROR(IF(ISNUMBER(INDEX(SPPR!$E:$X,MATCH($A88,SPPR!$A:$A,0),9)),$C88*INDEX(SPPR!$E:$X,MATCH($A88,SPPR!$A:$A,0),9),""),"")</f>
        <v/>
      </c>
      <c r="M88">
        <f>IFERROR(IF(ISNUMBER(INDEX(SPPR!$E:$X,MATCH($A88,SPPR!$A:$A,0),10)),$C88*INDEX(SPPR!$E:$X,MATCH($A88,SPPR!$A:$A,0),10),""),"")</f>
        <v/>
      </c>
      <c r="N88">
        <f>IFERROR(IF(ISNUMBER(INDEX(SPPR!$E:$X,MATCH($A88,SPPR!$A:$A,0),11)),$C88*INDEX(SPPR!$E:$X,MATCH($A88,SPPR!$A:$A,0),11),""),"")</f>
        <v/>
      </c>
      <c r="O88">
        <f>IFERROR(IF(ISNUMBER(INDEX(SPPR!$E:$X,MATCH($A88,SPPR!$A:$A,0),12)),$C88*INDEX(SPPR!$E:$X,MATCH($A88,SPPR!$A:$A,0),12),""),"")</f>
        <v/>
      </c>
      <c r="P88">
        <f>IFERROR(IF(ISNUMBER(INDEX(SPPR!$E:$X,MATCH($A88,SPPR!$A:$A,0),13)),$C88*INDEX(SPPR!$E:$X,MATCH($A88,SPPR!$A:$A,0),13),""),"")</f>
        <v/>
      </c>
      <c r="Q88">
        <f>IFERROR(IF(ISNUMBER(INDEX(SPPR!$E:$X,MATCH($A88,SPPR!$A:$A,0),14)),$C88*INDEX(SPPR!$E:$X,MATCH($A88,SPPR!$A:$A,0),14),""),"")</f>
        <v/>
      </c>
      <c r="R88">
        <f>IFERROR(IF(ISNUMBER(INDEX(SPPR!$E:$X,MATCH($A88,SPPR!$A:$A,0),15)),$C88*INDEX(SPPR!$E:$X,MATCH($A88,SPPR!$A:$A,0),15),""),"")</f>
        <v/>
      </c>
      <c r="S88">
        <f>IFERROR(IF(ISNUMBER(INDEX(SPPR!$E:$X,MATCH($A88,SPPR!$A:$A,0),16)),$C88*INDEX(SPPR!$E:$X,MATCH($A88,SPPR!$A:$A,0),16),""),"")</f>
        <v/>
      </c>
      <c r="T88">
        <f>IFERROR(IF(ISNUMBER(INDEX(SPPR!$E:$X,MATCH($A88,SPPR!$A:$A,0),17)),$C88*INDEX(SPPR!$E:$X,MATCH($A88,SPPR!$A:$A,0),17),""),"")</f>
        <v/>
      </c>
      <c r="U88">
        <f>IFERROR(IF(ISNUMBER(INDEX(SPPR!$E:$X,MATCH($A88,SPPR!$A:$A,0),18)),$C88*INDEX(SPPR!$E:$X,MATCH($A88,SPPR!$A:$A,0),18),""),"")</f>
        <v/>
      </c>
      <c r="V88">
        <f>IFERROR(IF(ISNUMBER(INDEX(SPPR!$E:$X,MATCH($A88,SPPR!$A:$A,0),19)),$C88*INDEX(SPPR!$E:$X,MATCH($A88,SPPR!$A:$A,0),19),""),"")</f>
        <v/>
      </c>
      <c r="W88">
        <f>IFERROR(IF(ISNUMBER(INDEX(SPPR!$E:$X,MATCH($A88,SPPR!$A:$A,0),20)),$C88*INDEX(SPPR!$E:$X,MATCH($A88,SPPR!$A:$A,0),20),""),"")</f>
        <v/>
      </c>
    </row>
    <row r="89">
      <c r="A89" t="inlineStr">
        <is>
          <t>Choromytilus chorus</t>
        </is>
      </c>
      <c r="B89">
        <f>IFERROR(INDEX(SPPR!$D:$D,MATCH($A89,SPPR!$A:$A,0)),"")</f>
        <v/>
      </c>
      <c r="C89">
        <f>IFERROR(INDEX(Catch!$E:$BV,MATCH($A89,Catch!$A:$A,0),MATCH($B$4,Catch!$E$1:$BV$1,0)),0)</f>
        <v/>
      </c>
      <c r="D89">
        <f>IFERROR(IF(ISNUMBER(INDEX(SPPR!$E:$X,MATCH($A89,SPPR!$A:$A,0),1)),$C89*INDEX(SPPR!$E:$X,MATCH($A89,SPPR!$A:$A,0),1),""),"")</f>
        <v/>
      </c>
      <c r="E89">
        <f>IFERROR(IF(ISNUMBER(INDEX(SPPR!$E:$X,MATCH($A89,SPPR!$A:$A,0),2)),$C89*INDEX(SPPR!$E:$X,MATCH($A89,SPPR!$A:$A,0),2),""),"")</f>
        <v/>
      </c>
      <c r="F89">
        <f>IFERROR(IF(ISNUMBER(INDEX(SPPR!$E:$X,MATCH($A89,SPPR!$A:$A,0),3)),$C89*INDEX(SPPR!$E:$X,MATCH($A89,SPPR!$A:$A,0),3),""),"")</f>
        <v/>
      </c>
      <c r="G89">
        <f>IFERROR(IF(ISNUMBER(INDEX(SPPR!$E:$X,MATCH($A89,SPPR!$A:$A,0),4)),$C89*INDEX(SPPR!$E:$X,MATCH($A89,SPPR!$A:$A,0),4),""),"")</f>
        <v/>
      </c>
      <c r="H89">
        <f>IFERROR(IF(ISNUMBER(INDEX(SPPR!$E:$X,MATCH($A89,SPPR!$A:$A,0),5)),$C89*INDEX(SPPR!$E:$X,MATCH($A89,SPPR!$A:$A,0),5),""),"")</f>
        <v/>
      </c>
      <c r="I89">
        <f>IFERROR(IF(ISNUMBER(INDEX(SPPR!$E:$X,MATCH($A89,SPPR!$A:$A,0),6)),$C89*INDEX(SPPR!$E:$X,MATCH($A89,SPPR!$A:$A,0),6),""),"")</f>
        <v/>
      </c>
      <c r="J89">
        <f>IFERROR(IF(ISNUMBER(INDEX(SPPR!$E:$X,MATCH($A89,SPPR!$A:$A,0),7)),$C89*INDEX(SPPR!$E:$X,MATCH($A89,SPPR!$A:$A,0),7),""),"")</f>
        <v/>
      </c>
      <c r="K89">
        <f>IFERROR(IF(ISNUMBER(INDEX(SPPR!$E:$X,MATCH($A89,SPPR!$A:$A,0),8)),$C89*INDEX(SPPR!$E:$X,MATCH($A89,SPPR!$A:$A,0),8),""),"")</f>
        <v/>
      </c>
      <c r="L89">
        <f>IFERROR(IF(ISNUMBER(INDEX(SPPR!$E:$X,MATCH($A89,SPPR!$A:$A,0),9)),$C89*INDEX(SPPR!$E:$X,MATCH($A89,SPPR!$A:$A,0),9),""),"")</f>
        <v/>
      </c>
      <c r="M89">
        <f>IFERROR(IF(ISNUMBER(INDEX(SPPR!$E:$X,MATCH($A89,SPPR!$A:$A,0),10)),$C89*INDEX(SPPR!$E:$X,MATCH($A89,SPPR!$A:$A,0),10),""),"")</f>
        <v/>
      </c>
      <c r="N89">
        <f>IFERROR(IF(ISNUMBER(INDEX(SPPR!$E:$X,MATCH($A89,SPPR!$A:$A,0),11)),$C89*INDEX(SPPR!$E:$X,MATCH($A89,SPPR!$A:$A,0),11),""),"")</f>
        <v/>
      </c>
      <c r="O89">
        <f>IFERROR(IF(ISNUMBER(INDEX(SPPR!$E:$X,MATCH($A89,SPPR!$A:$A,0),12)),$C89*INDEX(SPPR!$E:$X,MATCH($A89,SPPR!$A:$A,0),12),""),"")</f>
        <v/>
      </c>
      <c r="P89">
        <f>IFERROR(IF(ISNUMBER(INDEX(SPPR!$E:$X,MATCH($A89,SPPR!$A:$A,0),13)),$C89*INDEX(SPPR!$E:$X,MATCH($A89,SPPR!$A:$A,0),13),""),"")</f>
        <v/>
      </c>
      <c r="Q89">
        <f>IFERROR(IF(ISNUMBER(INDEX(SPPR!$E:$X,MATCH($A89,SPPR!$A:$A,0),14)),$C89*INDEX(SPPR!$E:$X,MATCH($A89,SPPR!$A:$A,0),14),""),"")</f>
        <v/>
      </c>
      <c r="R89">
        <f>IFERROR(IF(ISNUMBER(INDEX(SPPR!$E:$X,MATCH($A89,SPPR!$A:$A,0),15)),$C89*INDEX(SPPR!$E:$X,MATCH($A89,SPPR!$A:$A,0),15),""),"")</f>
        <v/>
      </c>
      <c r="S89">
        <f>IFERROR(IF(ISNUMBER(INDEX(SPPR!$E:$X,MATCH($A89,SPPR!$A:$A,0),16)),$C89*INDEX(SPPR!$E:$X,MATCH($A89,SPPR!$A:$A,0),16),""),"")</f>
        <v/>
      </c>
      <c r="T89">
        <f>IFERROR(IF(ISNUMBER(INDEX(SPPR!$E:$X,MATCH($A89,SPPR!$A:$A,0),17)),$C89*INDEX(SPPR!$E:$X,MATCH($A89,SPPR!$A:$A,0),17),""),"")</f>
        <v/>
      </c>
      <c r="U89">
        <f>IFERROR(IF(ISNUMBER(INDEX(SPPR!$E:$X,MATCH($A89,SPPR!$A:$A,0),18)),$C89*INDEX(SPPR!$E:$X,MATCH($A89,SPPR!$A:$A,0),18),""),"")</f>
        <v/>
      </c>
      <c r="V89">
        <f>IFERROR(IF(ISNUMBER(INDEX(SPPR!$E:$X,MATCH($A89,SPPR!$A:$A,0),19)),$C89*INDEX(SPPR!$E:$X,MATCH($A89,SPPR!$A:$A,0),19),""),"")</f>
        <v/>
      </c>
      <c r="W89">
        <f>IFERROR(IF(ISNUMBER(INDEX(SPPR!$E:$X,MATCH($A89,SPPR!$A:$A,0),20)),$C89*INDEX(SPPR!$E:$X,MATCH($A89,SPPR!$A:$A,0),20),""),"")</f>
        <v/>
      </c>
    </row>
    <row r="90">
      <c r="A90" t="inlineStr">
        <is>
          <t>Zearaja chilensis</t>
        </is>
      </c>
      <c r="B90">
        <f>IFERROR(INDEX(SPPR!$D:$D,MATCH($A90,SPPR!$A:$A,0)),"")</f>
        <v/>
      </c>
      <c r="C90">
        <f>IFERROR(INDEX(Catch!$E:$BV,MATCH($A90,Catch!$A:$A,0),MATCH($B$4,Catch!$E$1:$BV$1,0)),0)</f>
        <v/>
      </c>
      <c r="D90">
        <f>IFERROR(IF(ISNUMBER(INDEX(SPPR!$E:$X,MATCH($A90,SPPR!$A:$A,0),1)),$C90*INDEX(SPPR!$E:$X,MATCH($A90,SPPR!$A:$A,0),1),""),"")</f>
        <v/>
      </c>
      <c r="E90">
        <f>IFERROR(IF(ISNUMBER(INDEX(SPPR!$E:$X,MATCH($A90,SPPR!$A:$A,0),2)),$C90*INDEX(SPPR!$E:$X,MATCH($A90,SPPR!$A:$A,0),2),""),"")</f>
        <v/>
      </c>
      <c r="F90">
        <f>IFERROR(IF(ISNUMBER(INDEX(SPPR!$E:$X,MATCH($A90,SPPR!$A:$A,0),3)),$C90*INDEX(SPPR!$E:$X,MATCH($A90,SPPR!$A:$A,0),3),""),"")</f>
        <v/>
      </c>
      <c r="G90">
        <f>IFERROR(IF(ISNUMBER(INDEX(SPPR!$E:$X,MATCH($A90,SPPR!$A:$A,0),4)),$C90*INDEX(SPPR!$E:$X,MATCH($A90,SPPR!$A:$A,0),4),""),"")</f>
        <v/>
      </c>
      <c r="H90">
        <f>IFERROR(IF(ISNUMBER(INDEX(SPPR!$E:$X,MATCH($A90,SPPR!$A:$A,0),5)),$C90*INDEX(SPPR!$E:$X,MATCH($A90,SPPR!$A:$A,0),5),""),"")</f>
        <v/>
      </c>
      <c r="I90">
        <f>IFERROR(IF(ISNUMBER(INDEX(SPPR!$E:$X,MATCH($A90,SPPR!$A:$A,0),6)),$C90*INDEX(SPPR!$E:$X,MATCH($A90,SPPR!$A:$A,0),6),""),"")</f>
        <v/>
      </c>
      <c r="J90">
        <f>IFERROR(IF(ISNUMBER(INDEX(SPPR!$E:$X,MATCH($A90,SPPR!$A:$A,0),7)),$C90*INDEX(SPPR!$E:$X,MATCH($A90,SPPR!$A:$A,0),7),""),"")</f>
        <v/>
      </c>
      <c r="K90">
        <f>IFERROR(IF(ISNUMBER(INDEX(SPPR!$E:$X,MATCH($A90,SPPR!$A:$A,0),8)),$C90*INDEX(SPPR!$E:$X,MATCH($A90,SPPR!$A:$A,0),8),""),"")</f>
        <v/>
      </c>
      <c r="L90">
        <f>IFERROR(IF(ISNUMBER(INDEX(SPPR!$E:$X,MATCH($A90,SPPR!$A:$A,0),9)),$C90*INDEX(SPPR!$E:$X,MATCH($A90,SPPR!$A:$A,0),9),""),"")</f>
        <v/>
      </c>
      <c r="M90">
        <f>IFERROR(IF(ISNUMBER(INDEX(SPPR!$E:$X,MATCH($A90,SPPR!$A:$A,0),10)),$C90*INDEX(SPPR!$E:$X,MATCH($A90,SPPR!$A:$A,0),10),""),"")</f>
        <v/>
      </c>
      <c r="N90">
        <f>IFERROR(IF(ISNUMBER(INDEX(SPPR!$E:$X,MATCH($A90,SPPR!$A:$A,0),11)),$C90*INDEX(SPPR!$E:$X,MATCH($A90,SPPR!$A:$A,0),11),""),"")</f>
        <v/>
      </c>
      <c r="O90">
        <f>IFERROR(IF(ISNUMBER(INDEX(SPPR!$E:$X,MATCH($A90,SPPR!$A:$A,0),12)),$C90*INDEX(SPPR!$E:$X,MATCH($A90,SPPR!$A:$A,0),12),""),"")</f>
        <v/>
      </c>
      <c r="P90">
        <f>IFERROR(IF(ISNUMBER(INDEX(SPPR!$E:$X,MATCH($A90,SPPR!$A:$A,0),13)),$C90*INDEX(SPPR!$E:$X,MATCH($A90,SPPR!$A:$A,0),13),""),"")</f>
        <v/>
      </c>
      <c r="Q90">
        <f>IFERROR(IF(ISNUMBER(INDEX(SPPR!$E:$X,MATCH($A90,SPPR!$A:$A,0),14)),$C90*INDEX(SPPR!$E:$X,MATCH($A90,SPPR!$A:$A,0),14),""),"")</f>
        <v/>
      </c>
      <c r="R90">
        <f>IFERROR(IF(ISNUMBER(INDEX(SPPR!$E:$X,MATCH($A90,SPPR!$A:$A,0),15)),$C90*INDEX(SPPR!$E:$X,MATCH($A90,SPPR!$A:$A,0),15),""),"")</f>
        <v/>
      </c>
      <c r="S90">
        <f>IFERROR(IF(ISNUMBER(INDEX(SPPR!$E:$X,MATCH($A90,SPPR!$A:$A,0),16)),$C90*INDEX(SPPR!$E:$X,MATCH($A90,SPPR!$A:$A,0),16),""),"")</f>
        <v/>
      </c>
      <c r="T90">
        <f>IFERROR(IF(ISNUMBER(INDEX(SPPR!$E:$X,MATCH($A90,SPPR!$A:$A,0),17)),$C90*INDEX(SPPR!$E:$X,MATCH($A90,SPPR!$A:$A,0),17),""),"")</f>
        <v/>
      </c>
      <c r="U90">
        <f>IFERROR(IF(ISNUMBER(INDEX(SPPR!$E:$X,MATCH($A90,SPPR!$A:$A,0),18)),$C90*INDEX(SPPR!$E:$X,MATCH($A90,SPPR!$A:$A,0),18),""),"")</f>
        <v/>
      </c>
      <c r="V90">
        <f>IFERROR(IF(ISNUMBER(INDEX(SPPR!$E:$X,MATCH($A90,SPPR!$A:$A,0),19)),$C90*INDEX(SPPR!$E:$X,MATCH($A90,SPPR!$A:$A,0),19),""),"")</f>
        <v/>
      </c>
      <c r="W90">
        <f>IFERROR(IF(ISNUMBER(INDEX(SPPR!$E:$X,MATCH($A90,SPPR!$A:$A,0),20)),$C90*INDEX(SPPR!$E:$X,MATCH($A90,SPPR!$A:$A,0),20),""),"")</f>
        <v/>
      </c>
    </row>
    <row r="91">
      <c r="A91" t="inlineStr">
        <is>
          <t>Ameghinomya antiqua</t>
        </is>
      </c>
      <c r="B91">
        <f>IFERROR(INDEX(SPPR!$D:$D,MATCH($A91,SPPR!$A:$A,0)),"")</f>
        <v/>
      </c>
      <c r="C91">
        <f>IFERROR(INDEX(Catch!$E:$BV,MATCH($A91,Catch!$A:$A,0),MATCH($B$4,Catch!$E$1:$BV$1,0)),0)</f>
        <v/>
      </c>
      <c r="D91">
        <f>IFERROR(IF(ISNUMBER(INDEX(SPPR!$E:$X,MATCH($A91,SPPR!$A:$A,0),1)),$C91*INDEX(SPPR!$E:$X,MATCH($A91,SPPR!$A:$A,0),1),""),"")</f>
        <v/>
      </c>
      <c r="E91">
        <f>IFERROR(IF(ISNUMBER(INDEX(SPPR!$E:$X,MATCH($A91,SPPR!$A:$A,0),2)),$C91*INDEX(SPPR!$E:$X,MATCH($A91,SPPR!$A:$A,0),2),""),"")</f>
        <v/>
      </c>
      <c r="F91">
        <f>IFERROR(IF(ISNUMBER(INDEX(SPPR!$E:$X,MATCH($A91,SPPR!$A:$A,0),3)),$C91*INDEX(SPPR!$E:$X,MATCH($A91,SPPR!$A:$A,0),3),""),"")</f>
        <v/>
      </c>
      <c r="G91">
        <f>IFERROR(IF(ISNUMBER(INDEX(SPPR!$E:$X,MATCH($A91,SPPR!$A:$A,0),4)),$C91*INDEX(SPPR!$E:$X,MATCH($A91,SPPR!$A:$A,0),4),""),"")</f>
        <v/>
      </c>
      <c r="H91">
        <f>IFERROR(IF(ISNUMBER(INDEX(SPPR!$E:$X,MATCH($A91,SPPR!$A:$A,0),5)),$C91*INDEX(SPPR!$E:$X,MATCH($A91,SPPR!$A:$A,0),5),""),"")</f>
        <v/>
      </c>
      <c r="I91">
        <f>IFERROR(IF(ISNUMBER(INDEX(SPPR!$E:$X,MATCH($A91,SPPR!$A:$A,0),6)),$C91*INDEX(SPPR!$E:$X,MATCH($A91,SPPR!$A:$A,0),6),""),"")</f>
        <v/>
      </c>
      <c r="J91">
        <f>IFERROR(IF(ISNUMBER(INDEX(SPPR!$E:$X,MATCH($A91,SPPR!$A:$A,0),7)),$C91*INDEX(SPPR!$E:$X,MATCH($A91,SPPR!$A:$A,0),7),""),"")</f>
        <v/>
      </c>
      <c r="K91">
        <f>IFERROR(IF(ISNUMBER(INDEX(SPPR!$E:$X,MATCH($A91,SPPR!$A:$A,0),8)),$C91*INDEX(SPPR!$E:$X,MATCH($A91,SPPR!$A:$A,0),8),""),"")</f>
        <v/>
      </c>
      <c r="L91">
        <f>IFERROR(IF(ISNUMBER(INDEX(SPPR!$E:$X,MATCH($A91,SPPR!$A:$A,0),9)),$C91*INDEX(SPPR!$E:$X,MATCH($A91,SPPR!$A:$A,0),9),""),"")</f>
        <v/>
      </c>
      <c r="M91">
        <f>IFERROR(IF(ISNUMBER(INDEX(SPPR!$E:$X,MATCH($A91,SPPR!$A:$A,0),10)),$C91*INDEX(SPPR!$E:$X,MATCH($A91,SPPR!$A:$A,0),10),""),"")</f>
        <v/>
      </c>
      <c r="N91">
        <f>IFERROR(IF(ISNUMBER(INDEX(SPPR!$E:$X,MATCH($A91,SPPR!$A:$A,0),11)),$C91*INDEX(SPPR!$E:$X,MATCH($A91,SPPR!$A:$A,0),11),""),"")</f>
        <v/>
      </c>
      <c r="O91">
        <f>IFERROR(IF(ISNUMBER(INDEX(SPPR!$E:$X,MATCH($A91,SPPR!$A:$A,0),12)),$C91*INDEX(SPPR!$E:$X,MATCH($A91,SPPR!$A:$A,0),12),""),"")</f>
        <v/>
      </c>
      <c r="P91">
        <f>IFERROR(IF(ISNUMBER(INDEX(SPPR!$E:$X,MATCH($A91,SPPR!$A:$A,0),13)),$C91*INDEX(SPPR!$E:$X,MATCH($A91,SPPR!$A:$A,0),13),""),"")</f>
        <v/>
      </c>
      <c r="Q91">
        <f>IFERROR(IF(ISNUMBER(INDEX(SPPR!$E:$X,MATCH($A91,SPPR!$A:$A,0),14)),$C91*INDEX(SPPR!$E:$X,MATCH($A91,SPPR!$A:$A,0),14),""),"")</f>
        <v/>
      </c>
      <c r="R91">
        <f>IFERROR(IF(ISNUMBER(INDEX(SPPR!$E:$X,MATCH($A91,SPPR!$A:$A,0),15)),$C91*INDEX(SPPR!$E:$X,MATCH($A91,SPPR!$A:$A,0),15),""),"")</f>
        <v/>
      </c>
      <c r="S91">
        <f>IFERROR(IF(ISNUMBER(INDEX(SPPR!$E:$X,MATCH($A91,SPPR!$A:$A,0),16)),$C91*INDEX(SPPR!$E:$X,MATCH($A91,SPPR!$A:$A,0),16),""),"")</f>
        <v/>
      </c>
      <c r="T91">
        <f>IFERROR(IF(ISNUMBER(INDEX(SPPR!$E:$X,MATCH($A91,SPPR!$A:$A,0),17)),$C91*INDEX(SPPR!$E:$X,MATCH($A91,SPPR!$A:$A,0),17),""),"")</f>
        <v/>
      </c>
      <c r="U91">
        <f>IFERROR(IF(ISNUMBER(INDEX(SPPR!$E:$X,MATCH($A91,SPPR!$A:$A,0),18)),$C91*INDEX(SPPR!$E:$X,MATCH($A91,SPPR!$A:$A,0),18),""),"")</f>
        <v/>
      </c>
      <c r="V91">
        <f>IFERROR(IF(ISNUMBER(INDEX(SPPR!$E:$X,MATCH($A91,SPPR!$A:$A,0),19)),$C91*INDEX(SPPR!$E:$X,MATCH($A91,SPPR!$A:$A,0),19),""),"")</f>
        <v/>
      </c>
      <c r="W91">
        <f>IFERROR(IF(ISNUMBER(INDEX(SPPR!$E:$X,MATCH($A91,SPPR!$A:$A,0),20)),$C91*INDEX(SPPR!$E:$X,MATCH($A91,SPPR!$A:$A,0),20),""),"")</f>
        <v/>
      </c>
    </row>
    <row r="92">
      <c r="A92" t="inlineStr">
        <is>
          <t>Fissurella maxima</t>
        </is>
      </c>
      <c r="B92">
        <f>IFERROR(INDEX(SPPR!$D:$D,MATCH($A92,SPPR!$A:$A,0)),"")</f>
        <v/>
      </c>
      <c r="C92">
        <f>IFERROR(INDEX(Catch!$E:$BV,MATCH($A92,Catch!$A:$A,0),MATCH($B$4,Catch!$E$1:$BV$1,0)),0)</f>
        <v/>
      </c>
      <c r="D92">
        <f>IFERROR(IF(ISNUMBER(INDEX(SPPR!$E:$X,MATCH($A92,SPPR!$A:$A,0),1)),$C92*INDEX(SPPR!$E:$X,MATCH($A92,SPPR!$A:$A,0),1),""),"")</f>
        <v/>
      </c>
      <c r="E92">
        <f>IFERROR(IF(ISNUMBER(INDEX(SPPR!$E:$X,MATCH($A92,SPPR!$A:$A,0),2)),$C92*INDEX(SPPR!$E:$X,MATCH($A92,SPPR!$A:$A,0),2),""),"")</f>
        <v/>
      </c>
      <c r="F92">
        <f>IFERROR(IF(ISNUMBER(INDEX(SPPR!$E:$X,MATCH($A92,SPPR!$A:$A,0),3)),$C92*INDEX(SPPR!$E:$X,MATCH($A92,SPPR!$A:$A,0),3),""),"")</f>
        <v/>
      </c>
      <c r="G92">
        <f>IFERROR(IF(ISNUMBER(INDEX(SPPR!$E:$X,MATCH($A92,SPPR!$A:$A,0),4)),$C92*INDEX(SPPR!$E:$X,MATCH($A92,SPPR!$A:$A,0),4),""),"")</f>
        <v/>
      </c>
      <c r="H92">
        <f>IFERROR(IF(ISNUMBER(INDEX(SPPR!$E:$X,MATCH($A92,SPPR!$A:$A,0),5)),$C92*INDEX(SPPR!$E:$X,MATCH($A92,SPPR!$A:$A,0),5),""),"")</f>
        <v/>
      </c>
      <c r="I92">
        <f>IFERROR(IF(ISNUMBER(INDEX(SPPR!$E:$X,MATCH($A92,SPPR!$A:$A,0),6)),$C92*INDEX(SPPR!$E:$X,MATCH($A92,SPPR!$A:$A,0),6),""),"")</f>
        <v/>
      </c>
      <c r="J92">
        <f>IFERROR(IF(ISNUMBER(INDEX(SPPR!$E:$X,MATCH($A92,SPPR!$A:$A,0),7)),$C92*INDEX(SPPR!$E:$X,MATCH($A92,SPPR!$A:$A,0),7),""),"")</f>
        <v/>
      </c>
      <c r="K92">
        <f>IFERROR(IF(ISNUMBER(INDEX(SPPR!$E:$X,MATCH($A92,SPPR!$A:$A,0),8)),$C92*INDEX(SPPR!$E:$X,MATCH($A92,SPPR!$A:$A,0),8),""),"")</f>
        <v/>
      </c>
      <c r="L92">
        <f>IFERROR(IF(ISNUMBER(INDEX(SPPR!$E:$X,MATCH($A92,SPPR!$A:$A,0),9)),$C92*INDEX(SPPR!$E:$X,MATCH($A92,SPPR!$A:$A,0),9),""),"")</f>
        <v/>
      </c>
      <c r="M92">
        <f>IFERROR(IF(ISNUMBER(INDEX(SPPR!$E:$X,MATCH($A92,SPPR!$A:$A,0),10)),$C92*INDEX(SPPR!$E:$X,MATCH($A92,SPPR!$A:$A,0),10),""),"")</f>
        <v/>
      </c>
      <c r="N92">
        <f>IFERROR(IF(ISNUMBER(INDEX(SPPR!$E:$X,MATCH($A92,SPPR!$A:$A,0),11)),$C92*INDEX(SPPR!$E:$X,MATCH($A92,SPPR!$A:$A,0),11),""),"")</f>
        <v/>
      </c>
      <c r="O92">
        <f>IFERROR(IF(ISNUMBER(INDEX(SPPR!$E:$X,MATCH($A92,SPPR!$A:$A,0),12)),$C92*INDEX(SPPR!$E:$X,MATCH($A92,SPPR!$A:$A,0),12),""),"")</f>
        <v/>
      </c>
      <c r="P92">
        <f>IFERROR(IF(ISNUMBER(INDEX(SPPR!$E:$X,MATCH($A92,SPPR!$A:$A,0),13)),$C92*INDEX(SPPR!$E:$X,MATCH($A92,SPPR!$A:$A,0),13),""),"")</f>
        <v/>
      </c>
      <c r="Q92">
        <f>IFERROR(IF(ISNUMBER(INDEX(SPPR!$E:$X,MATCH($A92,SPPR!$A:$A,0),14)),$C92*INDEX(SPPR!$E:$X,MATCH($A92,SPPR!$A:$A,0),14),""),"")</f>
        <v/>
      </c>
      <c r="R92">
        <f>IFERROR(IF(ISNUMBER(INDEX(SPPR!$E:$X,MATCH($A92,SPPR!$A:$A,0),15)),$C92*INDEX(SPPR!$E:$X,MATCH($A92,SPPR!$A:$A,0),15),""),"")</f>
        <v/>
      </c>
      <c r="S92">
        <f>IFERROR(IF(ISNUMBER(INDEX(SPPR!$E:$X,MATCH($A92,SPPR!$A:$A,0),16)),$C92*INDEX(SPPR!$E:$X,MATCH($A92,SPPR!$A:$A,0),16),""),"")</f>
        <v/>
      </c>
      <c r="T92">
        <f>IFERROR(IF(ISNUMBER(INDEX(SPPR!$E:$X,MATCH($A92,SPPR!$A:$A,0),17)),$C92*INDEX(SPPR!$E:$X,MATCH($A92,SPPR!$A:$A,0),17),""),"")</f>
        <v/>
      </c>
      <c r="U92">
        <f>IFERROR(IF(ISNUMBER(INDEX(SPPR!$E:$X,MATCH($A92,SPPR!$A:$A,0),18)),$C92*INDEX(SPPR!$E:$X,MATCH($A92,SPPR!$A:$A,0),18),""),"")</f>
        <v/>
      </c>
      <c r="V92">
        <f>IFERROR(IF(ISNUMBER(INDEX(SPPR!$E:$X,MATCH($A92,SPPR!$A:$A,0),19)),$C92*INDEX(SPPR!$E:$X,MATCH($A92,SPPR!$A:$A,0),19),""),"")</f>
        <v/>
      </c>
      <c r="W92">
        <f>IFERROR(IF(ISNUMBER(INDEX(SPPR!$E:$X,MATCH($A92,SPPR!$A:$A,0),20)),$C92*INDEX(SPPR!$E:$X,MATCH($A92,SPPR!$A:$A,0),20),""),"")</f>
        <v/>
      </c>
    </row>
    <row r="93">
      <c r="A93" t="inlineStr">
        <is>
          <t>Tagelus dombeii</t>
        </is>
      </c>
      <c r="B93">
        <f>IFERROR(INDEX(SPPR!$D:$D,MATCH($A93,SPPR!$A:$A,0)),"")</f>
        <v/>
      </c>
      <c r="C93">
        <f>IFERROR(INDEX(Catch!$E:$BV,MATCH($A93,Catch!$A:$A,0),MATCH($B$4,Catch!$E$1:$BV$1,0)),0)</f>
        <v/>
      </c>
      <c r="D93">
        <f>IFERROR(IF(ISNUMBER(INDEX(SPPR!$E:$X,MATCH($A93,SPPR!$A:$A,0),1)),$C93*INDEX(SPPR!$E:$X,MATCH($A93,SPPR!$A:$A,0),1),""),"")</f>
        <v/>
      </c>
      <c r="E93">
        <f>IFERROR(IF(ISNUMBER(INDEX(SPPR!$E:$X,MATCH($A93,SPPR!$A:$A,0),2)),$C93*INDEX(SPPR!$E:$X,MATCH($A93,SPPR!$A:$A,0),2),""),"")</f>
        <v/>
      </c>
      <c r="F93">
        <f>IFERROR(IF(ISNUMBER(INDEX(SPPR!$E:$X,MATCH($A93,SPPR!$A:$A,0),3)),$C93*INDEX(SPPR!$E:$X,MATCH($A93,SPPR!$A:$A,0),3),""),"")</f>
        <v/>
      </c>
      <c r="G93">
        <f>IFERROR(IF(ISNUMBER(INDEX(SPPR!$E:$X,MATCH($A93,SPPR!$A:$A,0),4)),$C93*INDEX(SPPR!$E:$X,MATCH($A93,SPPR!$A:$A,0),4),""),"")</f>
        <v/>
      </c>
      <c r="H93">
        <f>IFERROR(IF(ISNUMBER(INDEX(SPPR!$E:$X,MATCH($A93,SPPR!$A:$A,0),5)),$C93*INDEX(SPPR!$E:$X,MATCH($A93,SPPR!$A:$A,0),5),""),"")</f>
        <v/>
      </c>
      <c r="I93">
        <f>IFERROR(IF(ISNUMBER(INDEX(SPPR!$E:$X,MATCH($A93,SPPR!$A:$A,0),6)),$C93*INDEX(SPPR!$E:$X,MATCH($A93,SPPR!$A:$A,0),6),""),"")</f>
        <v/>
      </c>
      <c r="J93">
        <f>IFERROR(IF(ISNUMBER(INDEX(SPPR!$E:$X,MATCH($A93,SPPR!$A:$A,0),7)),$C93*INDEX(SPPR!$E:$X,MATCH($A93,SPPR!$A:$A,0),7),""),"")</f>
        <v/>
      </c>
      <c r="K93">
        <f>IFERROR(IF(ISNUMBER(INDEX(SPPR!$E:$X,MATCH($A93,SPPR!$A:$A,0),8)),$C93*INDEX(SPPR!$E:$X,MATCH($A93,SPPR!$A:$A,0),8),""),"")</f>
        <v/>
      </c>
      <c r="L93">
        <f>IFERROR(IF(ISNUMBER(INDEX(SPPR!$E:$X,MATCH($A93,SPPR!$A:$A,0),9)),$C93*INDEX(SPPR!$E:$X,MATCH($A93,SPPR!$A:$A,0),9),""),"")</f>
        <v/>
      </c>
      <c r="M93">
        <f>IFERROR(IF(ISNUMBER(INDEX(SPPR!$E:$X,MATCH($A93,SPPR!$A:$A,0),10)),$C93*INDEX(SPPR!$E:$X,MATCH($A93,SPPR!$A:$A,0),10),""),"")</f>
        <v/>
      </c>
      <c r="N93">
        <f>IFERROR(IF(ISNUMBER(INDEX(SPPR!$E:$X,MATCH($A93,SPPR!$A:$A,0),11)),$C93*INDEX(SPPR!$E:$X,MATCH($A93,SPPR!$A:$A,0),11),""),"")</f>
        <v/>
      </c>
      <c r="O93">
        <f>IFERROR(IF(ISNUMBER(INDEX(SPPR!$E:$X,MATCH($A93,SPPR!$A:$A,0),12)),$C93*INDEX(SPPR!$E:$X,MATCH($A93,SPPR!$A:$A,0),12),""),"")</f>
        <v/>
      </c>
      <c r="P93">
        <f>IFERROR(IF(ISNUMBER(INDEX(SPPR!$E:$X,MATCH($A93,SPPR!$A:$A,0),13)),$C93*INDEX(SPPR!$E:$X,MATCH($A93,SPPR!$A:$A,0),13),""),"")</f>
        <v/>
      </c>
      <c r="Q93">
        <f>IFERROR(IF(ISNUMBER(INDEX(SPPR!$E:$X,MATCH($A93,SPPR!$A:$A,0),14)),$C93*INDEX(SPPR!$E:$X,MATCH($A93,SPPR!$A:$A,0),14),""),"")</f>
        <v/>
      </c>
      <c r="R93">
        <f>IFERROR(IF(ISNUMBER(INDEX(SPPR!$E:$X,MATCH($A93,SPPR!$A:$A,0),15)),$C93*INDEX(SPPR!$E:$X,MATCH($A93,SPPR!$A:$A,0),15),""),"")</f>
        <v/>
      </c>
      <c r="S93">
        <f>IFERROR(IF(ISNUMBER(INDEX(SPPR!$E:$X,MATCH($A93,SPPR!$A:$A,0),16)),$C93*INDEX(SPPR!$E:$X,MATCH($A93,SPPR!$A:$A,0),16),""),"")</f>
        <v/>
      </c>
      <c r="T93">
        <f>IFERROR(IF(ISNUMBER(INDEX(SPPR!$E:$X,MATCH($A93,SPPR!$A:$A,0),17)),$C93*INDEX(SPPR!$E:$X,MATCH($A93,SPPR!$A:$A,0),17),""),"")</f>
        <v/>
      </c>
      <c r="U93">
        <f>IFERROR(IF(ISNUMBER(INDEX(SPPR!$E:$X,MATCH($A93,SPPR!$A:$A,0),18)),$C93*INDEX(SPPR!$E:$X,MATCH($A93,SPPR!$A:$A,0),18),""),"")</f>
        <v/>
      </c>
      <c r="V93">
        <f>IFERROR(IF(ISNUMBER(INDEX(SPPR!$E:$X,MATCH($A93,SPPR!$A:$A,0),19)),$C93*INDEX(SPPR!$E:$X,MATCH($A93,SPPR!$A:$A,0),19),""),"")</f>
        <v/>
      </c>
      <c r="W93">
        <f>IFERROR(IF(ISNUMBER(INDEX(SPPR!$E:$X,MATCH($A93,SPPR!$A:$A,0),20)),$C93*INDEX(SPPR!$E:$X,MATCH($A93,SPPR!$A:$A,0),20),""),"")</f>
        <v/>
      </c>
    </row>
    <row r="94">
      <c r="A94" t="inlineStr">
        <is>
          <t>Stromateus stellatus</t>
        </is>
      </c>
      <c r="B94">
        <f>IFERROR(INDEX(SPPR!$D:$D,MATCH($A94,SPPR!$A:$A,0)),"")</f>
        <v/>
      </c>
      <c r="C94">
        <f>IFERROR(INDEX(Catch!$E:$BV,MATCH($A94,Catch!$A:$A,0),MATCH($B$4,Catch!$E$1:$BV$1,0)),0)</f>
        <v/>
      </c>
      <c r="D94">
        <f>IFERROR(IF(ISNUMBER(INDEX(SPPR!$E:$X,MATCH($A94,SPPR!$A:$A,0),1)),$C94*INDEX(SPPR!$E:$X,MATCH($A94,SPPR!$A:$A,0),1),""),"")</f>
        <v/>
      </c>
      <c r="E94">
        <f>IFERROR(IF(ISNUMBER(INDEX(SPPR!$E:$X,MATCH($A94,SPPR!$A:$A,0),2)),$C94*INDEX(SPPR!$E:$X,MATCH($A94,SPPR!$A:$A,0),2),""),"")</f>
        <v/>
      </c>
      <c r="F94">
        <f>IFERROR(IF(ISNUMBER(INDEX(SPPR!$E:$X,MATCH($A94,SPPR!$A:$A,0),3)),$C94*INDEX(SPPR!$E:$X,MATCH($A94,SPPR!$A:$A,0),3),""),"")</f>
        <v/>
      </c>
      <c r="G94">
        <f>IFERROR(IF(ISNUMBER(INDEX(SPPR!$E:$X,MATCH($A94,SPPR!$A:$A,0),4)),$C94*INDEX(SPPR!$E:$X,MATCH($A94,SPPR!$A:$A,0),4),""),"")</f>
        <v/>
      </c>
      <c r="H94">
        <f>IFERROR(IF(ISNUMBER(INDEX(SPPR!$E:$X,MATCH($A94,SPPR!$A:$A,0),5)),$C94*INDEX(SPPR!$E:$X,MATCH($A94,SPPR!$A:$A,0),5),""),"")</f>
        <v/>
      </c>
      <c r="I94">
        <f>IFERROR(IF(ISNUMBER(INDEX(SPPR!$E:$X,MATCH($A94,SPPR!$A:$A,0),6)),$C94*INDEX(SPPR!$E:$X,MATCH($A94,SPPR!$A:$A,0),6),""),"")</f>
        <v/>
      </c>
      <c r="J94">
        <f>IFERROR(IF(ISNUMBER(INDEX(SPPR!$E:$X,MATCH($A94,SPPR!$A:$A,0),7)),$C94*INDEX(SPPR!$E:$X,MATCH($A94,SPPR!$A:$A,0),7),""),"")</f>
        <v/>
      </c>
      <c r="K94">
        <f>IFERROR(IF(ISNUMBER(INDEX(SPPR!$E:$X,MATCH($A94,SPPR!$A:$A,0),8)),$C94*INDEX(SPPR!$E:$X,MATCH($A94,SPPR!$A:$A,0),8),""),"")</f>
        <v/>
      </c>
      <c r="L94">
        <f>IFERROR(IF(ISNUMBER(INDEX(SPPR!$E:$X,MATCH($A94,SPPR!$A:$A,0),9)),$C94*INDEX(SPPR!$E:$X,MATCH($A94,SPPR!$A:$A,0),9),""),"")</f>
        <v/>
      </c>
      <c r="M94">
        <f>IFERROR(IF(ISNUMBER(INDEX(SPPR!$E:$X,MATCH($A94,SPPR!$A:$A,0),10)),$C94*INDEX(SPPR!$E:$X,MATCH($A94,SPPR!$A:$A,0),10),""),"")</f>
        <v/>
      </c>
      <c r="N94">
        <f>IFERROR(IF(ISNUMBER(INDEX(SPPR!$E:$X,MATCH($A94,SPPR!$A:$A,0),11)),$C94*INDEX(SPPR!$E:$X,MATCH($A94,SPPR!$A:$A,0),11),""),"")</f>
        <v/>
      </c>
      <c r="O94">
        <f>IFERROR(IF(ISNUMBER(INDEX(SPPR!$E:$X,MATCH($A94,SPPR!$A:$A,0),12)),$C94*INDEX(SPPR!$E:$X,MATCH($A94,SPPR!$A:$A,0),12),""),"")</f>
        <v/>
      </c>
      <c r="P94">
        <f>IFERROR(IF(ISNUMBER(INDEX(SPPR!$E:$X,MATCH($A94,SPPR!$A:$A,0),13)),$C94*INDEX(SPPR!$E:$X,MATCH($A94,SPPR!$A:$A,0),13),""),"")</f>
        <v/>
      </c>
      <c r="Q94">
        <f>IFERROR(IF(ISNUMBER(INDEX(SPPR!$E:$X,MATCH($A94,SPPR!$A:$A,0),14)),$C94*INDEX(SPPR!$E:$X,MATCH($A94,SPPR!$A:$A,0),14),""),"")</f>
        <v/>
      </c>
      <c r="R94">
        <f>IFERROR(IF(ISNUMBER(INDEX(SPPR!$E:$X,MATCH($A94,SPPR!$A:$A,0),15)),$C94*INDEX(SPPR!$E:$X,MATCH($A94,SPPR!$A:$A,0),15),""),"")</f>
        <v/>
      </c>
      <c r="S94">
        <f>IFERROR(IF(ISNUMBER(INDEX(SPPR!$E:$X,MATCH($A94,SPPR!$A:$A,0),16)),$C94*INDEX(SPPR!$E:$X,MATCH($A94,SPPR!$A:$A,0),16),""),"")</f>
        <v/>
      </c>
      <c r="T94">
        <f>IFERROR(IF(ISNUMBER(INDEX(SPPR!$E:$X,MATCH($A94,SPPR!$A:$A,0),17)),$C94*INDEX(SPPR!$E:$X,MATCH($A94,SPPR!$A:$A,0),17),""),"")</f>
        <v/>
      </c>
      <c r="U94">
        <f>IFERROR(IF(ISNUMBER(INDEX(SPPR!$E:$X,MATCH($A94,SPPR!$A:$A,0),18)),$C94*INDEX(SPPR!$E:$X,MATCH($A94,SPPR!$A:$A,0),18),""),"")</f>
        <v/>
      </c>
      <c r="V94">
        <f>IFERROR(IF(ISNUMBER(INDEX(SPPR!$E:$X,MATCH($A94,SPPR!$A:$A,0),19)),$C94*INDEX(SPPR!$E:$X,MATCH($A94,SPPR!$A:$A,0),19),""),"")</f>
        <v/>
      </c>
      <c r="W94">
        <f>IFERROR(IF(ISNUMBER(INDEX(SPPR!$E:$X,MATCH($A94,SPPR!$A:$A,0),20)),$C94*INDEX(SPPR!$E:$X,MATCH($A94,SPPR!$A:$A,0),20),""),"")</f>
        <v/>
      </c>
    </row>
    <row r="95">
      <c r="A95" t="inlineStr">
        <is>
          <t>Taliepus dentatus</t>
        </is>
      </c>
      <c r="B95">
        <f>IFERROR(INDEX(SPPR!$D:$D,MATCH($A95,SPPR!$A:$A,0)),"")</f>
        <v/>
      </c>
      <c r="C95">
        <f>IFERROR(INDEX(Catch!$E:$BV,MATCH($A95,Catch!$A:$A,0),MATCH($B$4,Catch!$E$1:$BV$1,0)),0)</f>
        <v/>
      </c>
      <c r="D95">
        <f>IFERROR(IF(ISNUMBER(INDEX(SPPR!$E:$X,MATCH($A95,SPPR!$A:$A,0),1)),$C95*INDEX(SPPR!$E:$X,MATCH($A95,SPPR!$A:$A,0),1),""),"")</f>
        <v/>
      </c>
      <c r="E95">
        <f>IFERROR(IF(ISNUMBER(INDEX(SPPR!$E:$X,MATCH($A95,SPPR!$A:$A,0),2)),$C95*INDEX(SPPR!$E:$X,MATCH($A95,SPPR!$A:$A,0),2),""),"")</f>
        <v/>
      </c>
      <c r="F95">
        <f>IFERROR(IF(ISNUMBER(INDEX(SPPR!$E:$X,MATCH($A95,SPPR!$A:$A,0),3)),$C95*INDEX(SPPR!$E:$X,MATCH($A95,SPPR!$A:$A,0),3),""),"")</f>
        <v/>
      </c>
      <c r="G95">
        <f>IFERROR(IF(ISNUMBER(INDEX(SPPR!$E:$X,MATCH($A95,SPPR!$A:$A,0),4)),$C95*INDEX(SPPR!$E:$X,MATCH($A95,SPPR!$A:$A,0),4),""),"")</f>
        <v/>
      </c>
      <c r="H95">
        <f>IFERROR(IF(ISNUMBER(INDEX(SPPR!$E:$X,MATCH($A95,SPPR!$A:$A,0),5)),$C95*INDEX(SPPR!$E:$X,MATCH($A95,SPPR!$A:$A,0),5),""),"")</f>
        <v/>
      </c>
      <c r="I95">
        <f>IFERROR(IF(ISNUMBER(INDEX(SPPR!$E:$X,MATCH($A95,SPPR!$A:$A,0),6)),$C95*INDEX(SPPR!$E:$X,MATCH($A95,SPPR!$A:$A,0),6),""),"")</f>
        <v/>
      </c>
      <c r="J95">
        <f>IFERROR(IF(ISNUMBER(INDEX(SPPR!$E:$X,MATCH($A95,SPPR!$A:$A,0),7)),$C95*INDEX(SPPR!$E:$X,MATCH($A95,SPPR!$A:$A,0),7),""),"")</f>
        <v/>
      </c>
      <c r="K95">
        <f>IFERROR(IF(ISNUMBER(INDEX(SPPR!$E:$X,MATCH($A95,SPPR!$A:$A,0),8)),$C95*INDEX(SPPR!$E:$X,MATCH($A95,SPPR!$A:$A,0),8),""),"")</f>
        <v/>
      </c>
      <c r="L95">
        <f>IFERROR(IF(ISNUMBER(INDEX(SPPR!$E:$X,MATCH($A95,SPPR!$A:$A,0),9)),$C95*INDEX(SPPR!$E:$X,MATCH($A95,SPPR!$A:$A,0),9),""),"")</f>
        <v/>
      </c>
      <c r="M95">
        <f>IFERROR(IF(ISNUMBER(INDEX(SPPR!$E:$X,MATCH($A95,SPPR!$A:$A,0),10)),$C95*INDEX(SPPR!$E:$X,MATCH($A95,SPPR!$A:$A,0),10),""),"")</f>
        <v/>
      </c>
      <c r="N95">
        <f>IFERROR(IF(ISNUMBER(INDEX(SPPR!$E:$X,MATCH($A95,SPPR!$A:$A,0),11)),$C95*INDEX(SPPR!$E:$X,MATCH($A95,SPPR!$A:$A,0),11),""),"")</f>
        <v/>
      </c>
      <c r="O95">
        <f>IFERROR(IF(ISNUMBER(INDEX(SPPR!$E:$X,MATCH($A95,SPPR!$A:$A,0),12)),$C95*INDEX(SPPR!$E:$X,MATCH($A95,SPPR!$A:$A,0),12),""),"")</f>
        <v/>
      </c>
      <c r="P95">
        <f>IFERROR(IF(ISNUMBER(INDEX(SPPR!$E:$X,MATCH($A95,SPPR!$A:$A,0),13)),$C95*INDEX(SPPR!$E:$X,MATCH($A95,SPPR!$A:$A,0),13),""),"")</f>
        <v/>
      </c>
      <c r="Q95">
        <f>IFERROR(IF(ISNUMBER(INDEX(SPPR!$E:$X,MATCH($A95,SPPR!$A:$A,0),14)),$C95*INDEX(SPPR!$E:$X,MATCH($A95,SPPR!$A:$A,0),14),""),"")</f>
        <v/>
      </c>
      <c r="R95">
        <f>IFERROR(IF(ISNUMBER(INDEX(SPPR!$E:$X,MATCH($A95,SPPR!$A:$A,0),15)),$C95*INDEX(SPPR!$E:$X,MATCH($A95,SPPR!$A:$A,0),15),""),"")</f>
        <v/>
      </c>
      <c r="S95">
        <f>IFERROR(IF(ISNUMBER(INDEX(SPPR!$E:$X,MATCH($A95,SPPR!$A:$A,0),16)),$C95*INDEX(SPPR!$E:$X,MATCH($A95,SPPR!$A:$A,0),16),""),"")</f>
        <v/>
      </c>
      <c r="T95">
        <f>IFERROR(IF(ISNUMBER(INDEX(SPPR!$E:$X,MATCH($A95,SPPR!$A:$A,0),17)),$C95*INDEX(SPPR!$E:$X,MATCH($A95,SPPR!$A:$A,0),17),""),"")</f>
        <v/>
      </c>
      <c r="U95">
        <f>IFERROR(IF(ISNUMBER(INDEX(SPPR!$E:$X,MATCH($A95,SPPR!$A:$A,0),18)),$C95*INDEX(SPPR!$E:$X,MATCH($A95,SPPR!$A:$A,0),18),""),"")</f>
        <v/>
      </c>
      <c r="V95">
        <f>IFERROR(IF(ISNUMBER(INDEX(SPPR!$E:$X,MATCH($A95,SPPR!$A:$A,0),19)),$C95*INDEX(SPPR!$E:$X,MATCH($A95,SPPR!$A:$A,0),19),""),"")</f>
        <v/>
      </c>
      <c r="W95">
        <f>IFERROR(IF(ISNUMBER(INDEX(SPPR!$E:$X,MATCH($A95,SPPR!$A:$A,0),20)),$C95*INDEX(SPPR!$E:$X,MATCH($A95,SPPR!$A:$A,0),20),""),"")</f>
        <v/>
      </c>
    </row>
    <row r="96">
      <c r="A96" t="inlineStr">
        <is>
          <t>Seriolella punctata</t>
        </is>
      </c>
      <c r="B96">
        <f>IFERROR(INDEX(SPPR!$D:$D,MATCH($A96,SPPR!$A:$A,0)),"")</f>
        <v/>
      </c>
      <c r="C96">
        <f>IFERROR(INDEX(Catch!$E:$BV,MATCH($A96,Catch!$A:$A,0),MATCH($B$4,Catch!$E$1:$BV$1,0)),0)</f>
        <v/>
      </c>
      <c r="D96">
        <f>IFERROR(IF(ISNUMBER(INDEX(SPPR!$E:$X,MATCH($A96,SPPR!$A:$A,0),1)),$C96*INDEX(SPPR!$E:$X,MATCH($A96,SPPR!$A:$A,0),1),""),"")</f>
        <v/>
      </c>
      <c r="E96">
        <f>IFERROR(IF(ISNUMBER(INDEX(SPPR!$E:$X,MATCH($A96,SPPR!$A:$A,0),2)),$C96*INDEX(SPPR!$E:$X,MATCH($A96,SPPR!$A:$A,0),2),""),"")</f>
        <v/>
      </c>
      <c r="F96">
        <f>IFERROR(IF(ISNUMBER(INDEX(SPPR!$E:$X,MATCH($A96,SPPR!$A:$A,0),3)),$C96*INDEX(SPPR!$E:$X,MATCH($A96,SPPR!$A:$A,0),3),""),"")</f>
        <v/>
      </c>
      <c r="G96">
        <f>IFERROR(IF(ISNUMBER(INDEX(SPPR!$E:$X,MATCH($A96,SPPR!$A:$A,0),4)),$C96*INDEX(SPPR!$E:$X,MATCH($A96,SPPR!$A:$A,0),4),""),"")</f>
        <v/>
      </c>
      <c r="H96">
        <f>IFERROR(IF(ISNUMBER(INDEX(SPPR!$E:$X,MATCH($A96,SPPR!$A:$A,0),5)),$C96*INDEX(SPPR!$E:$X,MATCH($A96,SPPR!$A:$A,0),5),""),"")</f>
        <v/>
      </c>
      <c r="I96">
        <f>IFERROR(IF(ISNUMBER(INDEX(SPPR!$E:$X,MATCH($A96,SPPR!$A:$A,0),6)),$C96*INDEX(SPPR!$E:$X,MATCH($A96,SPPR!$A:$A,0),6),""),"")</f>
        <v/>
      </c>
      <c r="J96">
        <f>IFERROR(IF(ISNUMBER(INDEX(SPPR!$E:$X,MATCH($A96,SPPR!$A:$A,0),7)),$C96*INDEX(SPPR!$E:$X,MATCH($A96,SPPR!$A:$A,0),7),""),"")</f>
        <v/>
      </c>
      <c r="K96">
        <f>IFERROR(IF(ISNUMBER(INDEX(SPPR!$E:$X,MATCH($A96,SPPR!$A:$A,0),8)),$C96*INDEX(SPPR!$E:$X,MATCH($A96,SPPR!$A:$A,0),8),""),"")</f>
        <v/>
      </c>
      <c r="L96">
        <f>IFERROR(IF(ISNUMBER(INDEX(SPPR!$E:$X,MATCH($A96,SPPR!$A:$A,0),9)),$C96*INDEX(SPPR!$E:$X,MATCH($A96,SPPR!$A:$A,0),9),""),"")</f>
        <v/>
      </c>
      <c r="M96">
        <f>IFERROR(IF(ISNUMBER(INDEX(SPPR!$E:$X,MATCH($A96,SPPR!$A:$A,0),10)),$C96*INDEX(SPPR!$E:$X,MATCH($A96,SPPR!$A:$A,0),10),""),"")</f>
        <v/>
      </c>
      <c r="N96">
        <f>IFERROR(IF(ISNUMBER(INDEX(SPPR!$E:$X,MATCH($A96,SPPR!$A:$A,0),11)),$C96*INDEX(SPPR!$E:$X,MATCH($A96,SPPR!$A:$A,0),11),""),"")</f>
        <v/>
      </c>
      <c r="O96">
        <f>IFERROR(IF(ISNUMBER(INDEX(SPPR!$E:$X,MATCH($A96,SPPR!$A:$A,0),12)),$C96*INDEX(SPPR!$E:$X,MATCH($A96,SPPR!$A:$A,0),12),""),"")</f>
        <v/>
      </c>
      <c r="P96">
        <f>IFERROR(IF(ISNUMBER(INDEX(SPPR!$E:$X,MATCH($A96,SPPR!$A:$A,0),13)),$C96*INDEX(SPPR!$E:$X,MATCH($A96,SPPR!$A:$A,0),13),""),"")</f>
        <v/>
      </c>
      <c r="Q96">
        <f>IFERROR(IF(ISNUMBER(INDEX(SPPR!$E:$X,MATCH($A96,SPPR!$A:$A,0),14)),$C96*INDEX(SPPR!$E:$X,MATCH($A96,SPPR!$A:$A,0),14),""),"")</f>
        <v/>
      </c>
      <c r="R96">
        <f>IFERROR(IF(ISNUMBER(INDEX(SPPR!$E:$X,MATCH($A96,SPPR!$A:$A,0),15)),$C96*INDEX(SPPR!$E:$X,MATCH($A96,SPPR!$A:$A,0),15),""),"")</f>
        <v/>
      </c>
      <c r="S96">
        <f>IFERROR(IF(ISNUMBER(INDEX(SPPR!$E:$X,MATCH($A96,SPPR!$A:$A,0),16)),$C96*INDEX(SPPR!$E:$X,MATCH($A96,SPPR!$A:$A,0),16),""),"")</f>
        <v/>
      </c>
      <c r="T96">
        <f>IFERROR(IF(ISNUMBER(INDEX(SPPR!$E:$X,MATCH($A96,SPPR!$A:$A,0),17)),$C96*INDEX(SPPR!$E:$X,MATCH($A96,SPPR!$A:$A,0),17),""),"")</f>
        <v/>
      </c>
      <c r="U96">
        <f>IFERROR(IF(ISNUMBER(INDEX(SPPR!$E:$X,MATCH($A96,SPPR!$A:$A,0),18)),$C96*INDEX(SPPR!$E:$X,MATCH($A96,SPPR!$A:$A,0),18),""),"")</f>
        <v/>
      </c>
      <c r="V96">
        <f>IFERROR(IF(ISNUMBER(INDEX(SPPR!$E:$X,MATCH($A96,SPPR!$A:$A,0),19)),$C96*INDEX(SPPR!$E:$X,MATCH($A96,SPPR!$A:$A,0),19),""),"")</f>
        <v/>
      </c>
      <c r="W96">
        <f>IFERROR(IF(ISNUMBER(INDEX(SPPR!$E:$X,MATCH($A96,SPPR!$A:$A,0),20)),$C96*INDEX(SPPR!$E:$X,MATCH($A96,SPPR!$A:$A,0),20),""),"")</f>
        <v/>
      </c>
    </row>
    <row r="97">
      <c r="A97" t="inlineStr">
        <is>
          <t>Haemulidae</t>
        </is>
      </c>
      <c r="B97">
        <f>IFERROR(INDEX(SPPR!$D:$D,MATCH($A97,SPPR!$A:$A,0)),"")</f>
        <v/>
      </c>
      <c r="C97">
        <f>IFERROR(INDEX(Catch!$E:$BV,MATCH($A97,Catch!$A:$A,0),MATCH($B$4,Catch!$E$1:$BV$1,0)),0)</f>
        <v/>
      </c>
      <c r="D97">
        <f>IFERROR(IF(ISNUMBER(INDEX(SPPR!$E:$X,MATCH($A97,SPPR!$A:$A,0),1)),$C97*INDEX(SPPR!$E:$X,MATCH($A97,SPPR!$A:$A,0),1),""),"")</f>
        <v/>
      </c>
      <c r="E97">
        <f>IFERROR(IF(ISNUMBER(INDEX(SPPR!$E:$X,MATCH($A97,SPPR!$A:$A,0),2)),$C97*INDEX(SPPR!$E:$X,MATCH($A97,SPPR!$A:$A,0),2),""),"")</f>
        <v/>
      </c>
      <c r="F97">
        <f>IFERROR(IF(ISNUMBER(INDEX(SPPR!$E:$X,MATCH($A97,SPPR!$A:$A,0),3)),$C97*INDEX(SPPR!$E:$X,MATCH($A97,SPPR!$A:$A,0),3),""),"")</f>
        <v/>
      </c>
      <c r="G97">
        <f>IFERROR(IF(ISNUMBER(INDEX(SPPR!$E:$X,MATCH($A97,SPPR!$A:$A,0),4)),$C97*INDEX(SPPR!$E:$X,MATCH($A97,SPPR!$A:$A,0),4),""),"")</f>
        <v/>
      </c>
      <c r="H97">
        <f>IFERROR(IF(ISNUMBER(INDEX(SPPR!$E:$X,MATCH($A97,SPPR!$A:$A,0),5)),$C97*INDEX(SPPR!$E:$X,MATCH($A97,SPPR!$A:$A,0),5),""),"")</f>
        <v/>
      </c>
      <c r="I97">
        <f>IFERROR(IF(ISNUMBER(INDEX(SPPR!$E:$X,MATCH($A97,SPPR!$A:$A,0),6)),$C97*INDEX(SPPR!$E:$X,MATCH($A97,SPPR!$A:$A,0),6),""),"")</f>
        <v/>
      </c>
      <c r="J97">
        <f>IFERROR(IF(ISNUMBER(INDEX(SPPR!$E:$X,MATCH($A97,SPPR!$A:$A,0),7)),$C97*INDEX(SPPR!$E:$X,MATCH($A97,SPPR!$A:$A,0),7),""),"")</f>
        <v/>
      </c>
      <c r="K97">
        <f>IFERROR(IF(ISNUMBER(INDEX(SPPR!$E:$X,MATCH($A97,SPPR!$A:$A,0),8)),$C97*INDEX(SPPR!$E:$X,MATCH($A97,SPPR!$A:$A,0),8),""),"")</f>
        <v/>
      </c>
      <c r="L97">
        <f>IFERROR(IF(ISNUMBER(INDEX(SPPR!$E:$X,MATCH($A97,SPPR!$A:$A,0),9)),$C97*INDEX(SPPR!$E:$X,MATCH($A97,SPPR!$A:$A,0),9),""),"")</f>
        <v/>
      </c>
      <c r="M97">
        <f>IFERROR(IF(ISNUMBER(INDEX(SPPR!$E:$X,MATCH($A97,SPPR!$A:$A,0),10)),$C97*INDEX(SPPR!$E:$X,MATCH($A97,SPPR!$A:$A,0),10),""),"")</f>
        <v/>
      </c>
      <c r="N97">
        <f>IFERROR(IF(ISNUMBER(INDEX(SPPR!$E:$X,MATCH($A97,SPPR!$A:$A,0),11)),$C97*INDEX(SPPR!$E:$X,MATCH($A97,SPPR!$A:$A,0),11),""),"")</f>
        <v/>
      </c>
      <c r="O97">
        <f>IFERROR(IF(ISNUMBER(INDEX(SPPR!$E:$X,MATCH($A97,SPPR!$A:$A,0),12)),$C97*INDEX(SPPR!$E:$X,MATCH($A97,SPPR!$A:$A,0),12),""),"")</f>
        <v/>
      </c>
      <c r="P97">
        <f>IFERROR(IF(ISNUMBER(INDEX(SPPR!$E:$X,MATCH($A97,SPPR!$A:$A,0),13)),$C97*INDEX(SPPR!$E:$X,MATCH($A97,SPPR!$A:$A,0),13),""),"")</f>
        <v/>
      </c>
      <c r="Q97">
        <f>IFERROR(IF(ISNUMBER(INDEX(SPPR!$E:$X,MATCH($A97,SPPR!$A:$A,0),14)),$C97*INDEX(SPPR!$E:$X,MATCH($A97,SPPR!$A:$A,0),14),""),"")</f>
        <v/>
      </c>
      <c r="R97">
        <f>IFERROR(IF(ISNUMBER(INDEX(SPPR!$E:$X,MATCH($A97,SPPR!$A:$A,0),15)),$C97*INDEX(SPPR!$E:$X,MATCH($A97,SPPR!$A:$A,0),15),""),"")</f>
        <v/>
      </c>
      <c r="S97">
        <f>IFERROR(IF(ISNUMBER(INDEX(SPPR!$E:$X,MATCH($A97,SPPR!$A:$A,0),16)),$C97*INDEX(SPPR!$E:$X,MATCH($A97,SPPR!$A:$A,0),16),""),"")</f>
        <v/>
      </c>
      <c r="T97">
        <f>IFERROR(IF(ISNUMBER(INDEX(SPPR!$E:$X,MATCH($A97,SPPR!$A:$A,0),17)),$C97*INDEX(SPPR!$E:$X,MATCH($A97,SPPR!$A:$A,0),17),""),"")</f>
        <v/>
      </c>
      <c r="U97">
        <f>IFERROR(IF(ISNUMBER(INDEX(SPPR!$E:$X,MATCH($A97,SPPR!$A:$A,0),18)),$C97*INDEX(SPPR!$E:$X,MATCH($A97,SPPR!$A:$A,0),18),""),"")</f>
        <v/>
      </c>
      <c r="V97">
        <f>IFERROR(IF(ISNUMBER(INDEX(SPPR!$E:$X,MATCH($A97,SPPR!$A:$A,0),19)),$C97*INDEX(SPPR!$E:$X,MATCH($A97,SPPR!$A:$A,0),19),""),"")</f>
        <v/>
      </c>
      <c r="W97">
        <f>IFERROR(IF(ISNUMBER(INDEX(SPPR!$E:$X,MATCH($A97,SPPR!$A:$A,0),20)),$C97*INDEX(SPPR!$E:$X,MATCH($A97,SPPR!$A:$A,0),20),""),"")</f>
        <v/>
      </c>
    </row>
    <row r="98">
      <c r="A98" t="inlineStr">
        <is>
          <t>Ensis macha</t>
        </is>
      </c>
      <c r="B98">
        <f>IFERROR(INDEX(SPPR!$D:$D,MATCH($A98,SPPR!$A:$A,0)),"")</f>
        <v/>
      </c>
      <c r="C98">
        <f>IFERROR(INDEX(Catch!$E:$BV,MATCH($A98,Catch!$A:$A,0),MATCH($B$4,Catch!$E$1:$BV$1,0)),0)</f>
        <v/>
      </c>
      <c r="D98">
        <f>IFERROR(IF(ISNUMBER(INDEX(SPPR!$E:$X,MATCH($A98,SPPR!$A:$A,0),1)),$C98*INDEX(SPPR!$E:$X,MATCH($A98,SPPR!$A:$A,0),1),""),"")</f>
        <v/>
      </c>
      <c r="E98">
        <f>IFERROR(IF(ISNUMBER(INDEX(SPPR!$E:$X,MATCH($A98,SPPR!$A:$A,0),2)),$C98*INDEX(SPPR!$E:$X,MATCH($A98,SPPR!$A:$A,0),2),""),"")</f>
        <v/>
      </c>
      <c r="F98">
        <f>IFERROR(IF(ISNUMBER(INDEX(SPPR!$E:$X,MATCH($A98,SPPR!$A:$A,0),3)),$C98*INDEX(SPPR!$E:$X,MATCH($A98,SPPR!$A:$A,0),3),""),"")</f>
        <v/>
      </c>
      <c r="G98">
        <f>IFERROR(IF(ISNUMBER(INDEX(SPPR!$E:$X,MATCH($A98,SPPR!$A:$A,0),4)),$C98*INDEX(SPPR!$E:$X,MATCH($A98,SPPR!$A:$A,0),4),""),"")</f>
        <v/>
      </c>
      <c r="H98">
        <f>IFERROR(IF(ISNUMBER(INDEX(SPPR!$E:$X,MATCH($A98,SPPR!$A:$A,0),5)),$C98*INDEX(SPPR!$E:$X,MATCH($A98,SPPR!$A:$A,0),5),""),"")</f>
        <v/>
      </c>
      <c r="I98">
        <f>IFERROR(IF(ISNUMBER(INDEX(SPPR!$E:$X,MATCH($A98,SPPR!$A:$A,0),6)),$C98*INDEX(SPPR!$E:$X,MATCH($A98,SPPR!$A:$A,0),6),""),"")</f>
        <v/>
      </c>
      <c r="J98">
        <f>IFERROR(IF(ISNUMBER(INDEX(SPPR!$E:$X,MATCH($A98,SPPR!$A:$A,0),7)),$C98*INDEX(SPPR!$E:$X,MATCH($A98,SPPR!$A:$A,0),7),""),"")</f>
        <v/>
      </c>
      <c r="K98">
        <f>IFERROR(IF(ISNUMBER(INDEX(SPPR!$E:$X,MATCH($A98,SPPR!$A:$A,0),8)),$C98*INDEX(SPPR!$E:$X,MATCH($A98,SPPR!$A:$A,0),8),""),"")</f>
        <v/>
      </c>
      <c r="L98">
        <f>IFERROR(IF(ISNUMBER(INDEX(SPPR!$E:$X,MATCH($A98,SPPR!$A:$A,0),9)),$C98*INDEX(SPPR!$E:$X,MATCH($A98,SPPR!$A:$A,0),9),""),"")</f>
        <v/>
      </c>
      <c r="M98">
        <f>IFERROR(IF(ISNUMBER(INDEX(SPPR!$E:$X,MATCH($A98,SPPR!$A:$A,0),10)),$C98*INDEX(SPPR!$E:$X,MATCH($A98,SPPR!$A:$A,0),10),""),"")</f>
        <v/>
      </c>
      <c r="N98">
        <f>IFERROR(IF(ISNUMBER(INDEX(SPPR!$E:$X,MATCH($A98,SPPR!$A:$A,0),11)),$C98*INDEX(SPPR!$E:$X,MATCH($A98,SPPR!$A:$A,0),11),""),"")</f>
        <v/>
      </c>
      <c r="O98">
        <f>IFERROR(IF(ISNUMBER(INDEX(SPPR!$E:$X,MATCH($A98,SPPR!$A:$A,0),12)),$C98*INDEX(SPPR!$E:$X,MATCH($A98,SPPR!$A:$A,0),12),""),"")</f>
        <v/>
      </c>
      <c r="P98">
        <f>IFERROR(IF(ISNUMBER(INDEX(SPPR!$E:$X,MATCH($A98,SPPR!$A:$A,0),13)),$C98*INDEX(SPPR!$E:$X,MATCH($A98,SPPR!$A:$A,0),13),""),"")</f>
        <v/>
      </c>
      <c r="Q98">
        <f>IFERROR(IF(ISNUMBER(INDEX(SPPR!$E:$X,MATCH($A98,SPPR!$A:$A,0),14)),$C98*INDEX(SPPR!$E:$X,MATCH($A98,SPPR!$A:$A,0),14),""),"")</f>
        <v/>
      </c>
      <c r="R98">
        <f>IFERROR(IF(ISNUMBER(INDEX(SPPR!$E:$X,MATCH($A98,SPPR!$A:$A,0),15)),$C98*INDEX(SPPR!$E:$X,MATCH($A98,SPPR!$A:$A,0),15),""),"")</f>
        <v/>
      </c>
      <c r="S98">
        <f>IFERROR(IF(ISNUMBER(INDEX(SPPR!$E:$X,MATCH($A98,SPPR!$A:$A,0),16)),$C98*INDEX(SPPR!$E:$X,MATCH($A98,SPPR!$A:$A,0),16),""),"")</f>
        <v/>
      </c>
      <c r="T98">
        <f>IFERROR(IF(ISNUMBER(INDEX(SPPR!$E:$X,MATCH($A98,SPPR!$A:$A,0),17)),$C98*INDEX(SPPR!$E:$X,MATCH($A98,SPPR!$A:$A,0),17),""),"")</f>
        <v/>
      </c>
      <c r="U98">
        <f>IFERROR(IF(ISNUMBER(INDEX(SPPR!$E:$X,MATCH($A98,SPPR!$A:$A,0),18)),$C98*INDEX(SPPR!$E:$X,MATCH($A98,SPPR!$A:$A,0),18),""),"")</f>
        <v/>
      </c>
      <c r="V98">
        <f>IFERROR(IF(ISNUMBER(INDEX(SPPR!$E:$X,MATCH($A98,SPPR!$A:$A,0),19)),$C98*INDEX(SPPR!$E:$X,MATCH($A98,SPPR!$A:$A,0),19),""),"")</f>
        <v/>
      </c>
      <c r="W98">
        <f>IFERROR(IF(ISNUMBER(INDEX(SPPR!$E:$X,MATCH($A98,SPPR!$A:$A,0),20)),$C98*INDEX(SPPR!$E:$X,MATCH($A98,SPPR!$A:$A,0),20),""),"")</f>
        <v/>
      </c>
    </row>
    <row r="99">
      <c r="A99" t="inlineStr">
        <is>
          <t>Odontocymbiola magellanica</t>
        </is>
      </c>
      <c r="B99">
        <f>IFERROR(INDEX(SPPR!$D:$D,MATCH($A99,SPPR!$A:$A,0)),"")</f>
        <v/>
      </c>
      <c r="C99">
        <f>IFERROR(INDEX(Catch!$E:$BV,MATCH($A99,Catch!$A:$A,0),MATCH($B$4,Catch!$E$1:$BV$1,0)),0)</f>
        <v/>
      </c>
      <c r="D99">
        <f>IFERROR(IF(ISNUMBER(INDEX(SPPR!$E:$X,MATCH($A99,SPPR!$A:$A,0),1)),$C99*INDEX(SPPR!$E:$X,MATCH($A99,SPPR!$A:$A,0),1),""),"")</f>
        <v/>
      </c>
      <c r="E99">
        <f>IFERROR(IF(ISNUMBER(INDEX(SPPR!$E:$X,MATCH($A99,SPPR!$A:$A,0),2)),$C99*INDEX(SPPR!$E:$X,MATCH($A99,SPPR!$A:$A,0),2),""),"")</f>
        <v/>
      </c>
      <c r="F99">
        <f>IFERROR(IF(ISNUMBER(INDEX(SPPR!$E:$X,MATCH($A99,SPPR!$A:$A,0),3)),$C99*INDEX(SPPR!$E:$X,MATCH($A99,SPPR!$A:$A,0),3),""),"")</f>
        <v/>
      </c>
      <c r="G99">
        <f>IFERROR(IF(ISNUMBER(INDEX(SPPR!$E:$X,MATCH($A99,SPPR!$A:$A,0),4)),$C99*INDEX(SPPR!$E:$X,MATCH($A99,SPPR!$A:$A,0),4),""),"")</f>
        <v/>
      </c>
      <c r="H99">
        <f>IFERROR(IF(ISNUMBER(INDEX(SPPR!$E:$X,MATCH($A99,SPPR!$A:$A,0),5)),$C99*INDEX(SPPR!$E:$X,MATCH($A99,SPPR!$A:$A,0),5),""),"")</f>
        <v/>
      </c>
      <c r="I99">
        <f>IFERROR(IF(ISNUMBER(INDEX(SPPR!$E:$X,MATCH($A99,SPPR!$A:$A,0),6)),$C99*INDEX(SPPR!$E:$X,MATCH($A99,SPPR!$A:$A,0),6),""),"")</f>
        <v/>
      </c>
      <c r="J99">
        <f>IFERROR(IF(ISNUMBER(INDEX(SPPR!$E:$X,MATCH($A99,SPPR!$A:$A,0),7)),$C99*INDEX(SPPR!$E:$X,MATCH($A99,SPPR!$A:$A,0),7),""),"")</f>
        <v/>
      </c>
      <c r="K99">
        <f>IFERROR(IF(ISNUMBER(INDEX(SPPR!$E:$X,MATCH($A99,SPPR!$A:$A,0),8)),$C99*INDEX(SPPR!$E:$X,MATCH($A99,SPPR!$A:$A,0),8),""),"")</f>
        <v/>
      </c>
      <c r="L99">
        <f>IFERROR(IF(ISNUMBER(INDEX(SPPR!$E:$X,MATCH($A99,SPPR!$A:$A,0),9)),$C99*INDEX(SPPR!$E:$X,MATCH($A99,SPPR!$A:$A,0),9),""),"")</f>
        <v/>
      </c>
      <c r="M99">
        <f>IFERROR(IF(ISNUMBER(INDEX(SPPR!$E:$X,MATCH($A99,SPPR!$A:$A,0),10)),$C99*INDEX(SPPR!$E:$X,MATCH($A99,SPPR!$A:$A,0),10),""),"")</f>
        <v/>
      </c>
      <c r="N99">
        <f>IFERROR(IF(ISNUMBER(INDEX(SPPR!$E:$X,MATCH($A99,SPPR!$A:$A,0),11)),$C99*INDEX(SPPR!$E:$X,MATCH($A99,SPPR!$A:$A,0),11),""),"")</f>
        <v/>
      </c>
      <c r="O99">
        <f>IFERROR(IF(ISNUMBER(INDEX(SPPR!$E:$X,MATCH($A99,SPPR!$A:$A,0),12)),$C99*INDEX(SPPR!$E:$X,MATCH($A99,SPPR!$A:$A,0),12),""),"")</f>
        <v/>
      </c>
      <c r="P99">
        <f>IFERROR(IF(ISNUMBER(INDEX(SPPR!$E:$X,MATCH($A99,SPPR!$A:$A,0),13)),$C99*INDEX(SPPR!$E:$X,MATCH($A99,SPPR!$A:$A,0),13),""),"")</f>
        <v/>
      </c>
      <c r="Q99">
        <f>IFERROR(IF(ISNUMBER(INDEX(SPPR!$E:$X,MATCH($A99,SPPR!$A:$A,0),14)),$C99*INDEX(SPPR!$E:$X,MATCH($A99,SPPR!$A:$A,0),14),""),"")</f>
        <v/>
      </c>
      <c r="R99">
        <f>IFERROR(IF(ISNUMBER(INDEX(SPPR!$E:$X,MATCH($A99,SPPR!$A:$A,0),15)),$C99*INDEX(SPPR!$E:$X,MATCH($A99,SPPR!$A:$A,0),15),""),"")</f>
        <v/>
      </c>
      <c r="S99">
        <f>IFERROR(IF(ISNUMBER(INDEX(SPPR!$E:$X,MATCH($A99,SPPR!$A:$A,0),16)),$C99*INDEX(SPPR!$E:$X,MATCH($A99,SPPR!$A:$A,0),16),""),"")</f>
        <v/>
      </c>
      <c r="T99">
        <f>IFERROR(IF(ISNUMBER(INDEX(SPPR!$E:$X,MATCH($A99,SPPR!$A:$A,0),17)),$C99*INDEX(SPPR!$E:$X,MATCH($A99,SPPR!$A:$A,0),17),""),"")</f>
        <v/>
      </c>
      <c r="U99">
        <f>IFERROR(IF(ISNUMBER(INDEX(SPPR!$E:$X,MATCH($A99,SPPR!$A:$A,0),18)),$C99*INDEX(SPPR!$E:$X,MATCH($A99,SPPR!$A:$A,0),18),""),"")</f>
        <v/>
      </c>
      <c r="V99">
        <f>IFERROR(IF(ISNUMBER(INDEX(SPPR!$E:$X,MATCH($A99,SPPR!$A:$A,0),19)),$C99*INDEX(SPPR!$E:$X,MATCH($A99,SPPR!$A:$A,0),19),""),"")</f>
        <v/>
      </c>
      <c r="W99">
        <f>IFERROR(IF(ISNUMBER(INDEX(SPPR!$E:$X,MATCH($A99,SPPR!$A:$A,0),20)),$C99*INDEX(SPPR!$E:$X,MATCH($A99,SPPR!$A:$A,0),20),""),"")</f>
        <v/>
      </c>
    </row>
    <row r="100">
      <c r="A100" t="inlineStr">
        <is>
          <t>Thunnus obesus</t>
        </is>
      </c>
      <c r="B100">
        <f>IFERROR(INDEX(SPPR!$D:$D,MATCH($A100,SPPR!$A:$A,0)),"")</f>
        <v/>
      </c>
      <c r="C100">
        <f>IFERROR(INDEX(Catch!$E:$BV,MATCH($A100,Catch!$A:$A,0),MATCH($B$4,Catch!$E$1:$BV$1,0)),0)</f>
        <v/>
      </c>
      <c r="D100">
        <f>IFERROR(IF(ISNUMBER(INDEX(SPPR!$E:$X,MATCH($A100,SPPR!$A:$A,0),1)),$C100*INDEX(SPPR!$E:$X,MATCH($A100,SPPR!$A:$A,0),1),""),"")</f>
        <v/>
      </c>
      <c r="E100">
        <f>IFERROR(IF(ISNUMBER(INDEX(SPPR!$E:$X,MATCH($A100,SPPR!$A:$A,0),2)),$C100*INDEX(SPPR!$E:$X,MATCH($A100,SPPR!$A:$A,0),2),""),"")</f>
        <v/>
      </c>
      <c r="F100">
        <f>IFERROR(IF(ISNUMBER(INDEX(SPPR!$E:$X,MATCH($A100,SPPR!$A:$A,0),3)),$C100*INDEX(SPPR!$E:$X,MATCH($A100,SPPR!$A:$A,0),3),""),"")</f>
        <v/>
      </c>
      <c r="G100">
        <f>IFERROR(IF(ISNUMBER(INDEX(SPPR!$E:$X,MATCH($A100,SPPR!$A:$A,0),4)),$C100*INDEX(SPPR!$E:$X,MATCH($A100,SPPR!$A:$A,0),4),""),"")</f>
        <v/>
      </c>
      <c r="H100">
        <f>IFERROR(IF(ISNUMBER(INDEX(SPPR!$E:$X,MATCH($A100,SPPR!$A:$A,0),5)),$C100*INDEX(SPPR!$E:$X,MATCH($A100,SPPR!$A:$A,0),5),""),"")</f>
        <v/>
      </c>
      <c r="I100">
        <f>IFERROR(IF(ISNUMBER(INDEX(SPPR!$E:$X,MATCH($A100,SPPR!$A:$A,0),6)),$C100*INDEX(SPPR!$E:$X,MATCH($A100,SPPR!$A:$A,0),6),""),"")</f>
        <v/>
      </c>
      <c r="J100">
        <f>IFERROR(IF(ISNUMBER(INDEX(SPPR!$E:$X,MATCH($A100,SPPR!$A:$A,0),7)),$C100*INDEX(SPPR!$E:$X,MATCH($A100,SPPR!$A:$A,0),7),""),"")</f>
        <v/>
      </c>
      <c r="K100">
        <f>IFERROR(IF(ISNUMBER(INDEX(SPPR!$E:$X,MATCH($A100,SPPR!$A:$A,0),8)),$C100*INDEX(SPPR!$E:$X,MATCH($A100,SPPR!$A:$A,0),8),""),"")</f>
        <v/>
      </c>
      <c r="L100">
        <f>IFERROR(IF(ISNUMBER(INDEX(SPPR!$E:$X,MATCH($A100,SPPR!$A:$A,0),9)),$C100*INDEX(SPPR!$E:$X,MATCH($A100,SPPR!$A:$A,0),9),""),"")</f>
        <v/>
      </c>
      <c r="M100">
        <f>IFERROR(IF(ISNUMBER(INDEX(SPPR!$E:$X,MATCH($A100,SPPR!$A:$A,0),10)),$C100*INDEX(SPPR!$E:$X,MATCH($A100,SPPR!$A:$A,0),10),""),"")</f>
        <v/>
      </c>
      <c r="N100">
        <f>IFERROR(IF(ISNUMBER(INDEX(SPPR!$E:$X,MATCH($A100,SPPR!$A:$A,0),11)),$C100*INDEX(SPPR!$E:$X,MATCH($A100,SPPR!$A:$A,0),11),""),"")</f>
        <v/>
      </c>
      <c r="O100">
        <f>IFERROR(IF(ISNUMBER(INDEX(SPPR!$E:$X,MATCH($A100,SPPR!$A:$A,0),12)),$C100*INDEX(SPPR!$E:$X,MATCH($A100,SPPR!$A:$A,0),12),""),"")</f>
        <v/>
      </c>
      <c r="P100">
        <f>IFERROR(IF(ISNUMBER(INDEX(SPPR!$E:$X,MATCH($A100,SPPR!$A:$A,0),13)),$C100*INDEX(SPPR!$E:$X,MATCH($A100,SPPR!$A:$A,0),13),""),"")</f>
        <v/>
      </c>
      <c r="Q100">
        <f>IFERROR(IF(ISNUMBER(INDEX(SPPR!$E:$X,MATCH($A100,SPPR!$A:$A,0),14)),$C100*INDEX(SPPR!$E:$X,MATCH($A100,SPPR!$A:$A,0),14),""),"")</f>
        <v/>
      </c>
      <c r="R100">
        <f>IFERROR(IF(ISNUMBER(INDEX(SPPR!$E:$X,MATCH($A100,SPPR!$A:$A,0),15)),$C100*INDEX(SPPR!$E:$X,MATCH($A100,SPPR!$A:$A,0),15),""),"")</f>
        <v/>
      </c>
      <c r="S100">
        <f>IFERROR(IF(ISNUMBER(INDEX(SPPR!$E:$X,MATCH($A100,SPPR!$A:$A,0),16)),$C100*INDEX(SPPR!$E:$X,MATCH($A100,SPPR!$A:$A,0),16),""),"")</f>
        <v/>
      </c>
      <c r="T100">
        <f>IFERROR(IF(ISNUMBER(INDEX(SPPR!$E:$X,MATCH($A100,SPPR!$A:$A,0),17)),$C100*INDEX(SPPR!$E:$X,MATCH($A100,SPPR!$A:$A,0),17),""),"")</f>
        <v/>
      </c>
      <c r="U100">
        <f>IFERROR(IF(ISNUMBER(INDEX(SPPR!$E:$X,MATCH($A100,SPPR!$A:$A,0),18)),$C100*INDEX(SPPR!$E:$X,MATCH($A100,SPPR!$A:$A,0),18),""),"")</f>
        <v/>
      </c>
      <c r="V100">
        <f>IFERROR(IF(ISNUMBER(INDEX(SPPR!$E:$X,MATCH($A100,SPPR!$A:$A,0),19)),$C100*INDEX(SPPR!$E:$X,MATCH($A100,SPPR!$A:$A,0),19),""),"")</f>
        <v/>
      </c>
      <c r="W100">
        <f>IFERROR(IF(ISNUMBER(INDEX(SPPR!$E:$X,MATCH($A100,SPPR!$A:$A,0),20)),$C100*INDEX(SPPR!$E:$X,MATCH($A100,SPPR!$A:$A,0),20),""),"")</f>
        <v/>
      </c>
    </row>
    <row r="101">
      <c r="A101" t="inlineStr">
        <is>
          <t>Alopias vulpinus</t>
        </is>
      </c>
      <c r="B101">
        <f>IFERROR(INDEX(SPPR!$D:$D,MATCH($A101,SPPR!$A:$A,0)),"")</f>
        <v/>
      </c>
      <c r="C101">
        <f>IFERROR(INDEX(Catch!$E:$BV,MATCH($A101,Catch!$A:$A,0),MATCH($B$4,Catch!$E$1:$BV$1,0)),0)</f>
        <v/>
      </c>
      <c r="D101">
        <f>IFERROR(IF(ISNUMBER(INDEX(SPPR!$E:$X,MATCH($A101,SPPR!$A:$A,0),1)),$C101*INDEX(SPPR!$E:$X,MATCH($A101,SPPR!$A:$A,0),1),""),"")</f>
        <v/>
      </c>
      <c r="E101">
        <f>IFERROR(IF(ISNUMBER(INDEX(SPPR!$E:$X,MATCH($A101,SPPR!$A:$A,0),2)),$C101*INDEX(SPPR!$E:$X,MATCH($A101,SPPR!$A:$A,0),2),""),"")</f>
        <v/>
      </c>
      <c r="F101">
        <f>IFERROR(IF(ISNUMBER(INDEX(SPPR!$E:$X,MATCH($A101,SPPR!$A:$A,0),3)),$C101*INDEX(SPPR!$E:$X,MATCH($A101,SPPR!$A:$A,0),3),""),"")</f>
        <v/>
      </c>
      <c r="G101">
        <f>IFERROR(IF(ISNUMBER(INDEX(SPPR!$E:$X,MATCH($A101,SPPR!$A:$A,0),4)),$C101*INDEX(SPPR!$E:$X,MATCH($A101,SPPR!$A:$A,0),4),""),"")</f>
        <v/>
      </c>
      <c r="H101">
        <f>IFERROR(IF(ISNUMBER(INDEX(SPPR!$E:$X,MATCH($A101,SPPR!$A:$A,0),5)),$C101*INDEX(SPPR!$E:$X,MATCH($A101,SPPR!$A:$A,0),5),""),"")</f>
        <v/>
      </c>
      <c r="I101">
        <f>IFERROR(IF(ISNUMBER(INDEX(SPPR!$E:$X,MATCH($A101,SPPR!$A:$A,0),6)),$C101*INDEX(SPPR!$E:$X,MATCH($A101,SPPR!$A:$A,0),6),""),"")</f>
        <v/>
      </c>
      <c r="J101">
        <f>IFERROR(IF(ISNUMBER(INDEX(SPPR!$E:$X,MATCH($A101,SPPR!$A:$A,0),7)),$C101*INDEX(SPPR!$E:$X,MATCH($A101,SPPR!$A:$A,0),7),""),"")</f>
        <v/>
      </c>
      <c r="K101">
        <f>IFERROR(IF(ISNUMBER(INDEX(SPPR!$E:$X,MATCH($A101,SPPR!$A:$A,0),8)),$C101*INDEX(SPPR!$E:$X,MATCH($A101,SPPR!$A:$A,0),8),""),"")</f>
        <v/>
      </c>
      <c r="L101">
        <f>IFERROR(IF(ISNUMBER(INDEX(SPPR!$E:$X,MATCH($A101,SPPR!$A:$A,0),9)),$C101*INDEX(SPPR!$E:$X,MATCH($A101,SPPR!$A:$A,0),9),""),"")</f>
        <v/>
      </c>
      <c r="M101">
        <f>IFERROR(IF(ISNUMBER(INDEX(SPPR!$E:$X,MATCH($A101,SPPR!$A:$A,0),10)),$C101*INDEX(SPPR!$E:$X,MATCH($A101,SPPR!$A:$A,0),10),""),"")</f>
        <v/>
      </c>
      <c r="N101">
        <f>IFERROR(IF(ISNUMBER(INDEX(SPPR!$E:$X,MATCH($A101,SPPR!$A:$A,0),11)),$C101*INDEX(SPPR!$E:$X,MATCH($A101,SPPR!$A:$A,0),11),""),"")</f>
        <v/>
      </c>
      <c r="O101">
        <f>IFERROR(IF(ISNUMBER(INDEX(SPPR!$E:$X,MATCH($A101,SPPR!$A:$A,0),12)),$C101*INDEX(SPPR!$E:$X,MATCH($A101,SPPR!$A:$A,0),12),""),"")</f>
        <v/>
      </c>
      <c r="P101">
        <f>IFERROR(IF(ISNUMBER(INDEX(SPPR!$E:$X,MATCH($A101,SPPR!$A:$A,0),13)),$C101*INDEX(SPPR!$E:$X,MATCH($A101,SPPR!$A:$A,0),13),""),"")</f>
        <v/>
      </c>
      <c r="Q101">
        <f>IFERROR(IF(ISNUMBER(INDEX(SPPR!$E:$X,MATCH($A101,SPPR!$A:$A,0),14)),$C101*INDEX(SPPR!$E:$X,MATCH($A101,SPPR!$A:$A,0),14),""),"")</f>
        <v/>
      </c>
      <c r="R101">
        <f>IFERROR(IF(ISNUMBER(INDEX(SPPR!$E:$X,MATCH($A101,SPPR!$A:$A,0),15)),$C101*INDEX(SPPR!$E:$X,MATCH($A101,SPPR!$A:$A,0),15),""),"")</f>
        <v/>
      </c>
      <c r="S101">
        <f>IFERROR(IF(ISNUMBER(INDEX(SPPR!$E:$X,MATCH($A101,SPPR!$A:$A,0),16)),$C101*INDEX(SPPR!$E:$X,MATCH($A101,SPPR!$A:$A,0),16),""),"")</f>
        <v/>
      </c>
      <c r="T101">
        <f>IFERROR(IF(ISNUMBER(INDEX(SPPR!$E:$X,MATCH($A101,SPPR!$A:$A,0),17)),$C101*INDEX(SPPR!$E:$X,MATCH($A101,SPPR!$A:$A,0),17),""),"")</f>
        <v/>
      </c>
      <c r="U101">
        <f>IFERROR(IF(ISNUMBER(INDEX(SPPR!$E:$X,MATCH($A101,SPPR!$A:$A,0),18)),$C101*INDEX(SPPR!$E:$X,MATCH($A101,SPPR!$A:$A,0),18),""),"")</f>
        <v/>
      </c>
      <c r="V101">
        <f>IFERROR(IF(ISNUMBER(INDEX(SPPR!$E:$X,MATCH($A101,SPPR!$A:$A,0),19)),$C101*INDEX(SPPR!$E:$X,MATCH($A101,SPPR!$A:$A,0),19),""),"")</f>
        <v/>
      </c>
      <c r="W101">
        <f>IFERROR(IF(ISNUMBER(INDEX(SPPR!$E:$X,MATCH($A101,SPPR!$A:$A,0),20)),$C101*INDEX(SPPR!$E:$X,MATCH($A101,SPPR!$A:$A,0),20),""),"")</f>
        <v/>
      </c>
    </row>
    <row r="102">
      <c r="A102" t="inlineStr">
        <is>
          <t>Elasmobranchii</t>
        </is>
      </c>
      <c r="B102">
        <f>IFERROR(INDEX(SPPR!$D:$D,MATCH($A102,SPPR!$A:$A,0)),"")</f>
        <v/>
      </c>
      <c r="C102">
        <f>IFERROR(INDEX(Catch!$E:$BV,MATCH($A102,Catch!$A:$A,0),MATCH($B$4,Catch!$E$1:$BV$1,0)),0)</f>
        <v/>
      </c>
      <c r="D102">
        <f>IFERROR(IF(ISNUMBER(INDEX(SPPR!$E:$X,MATCH($A102,SPPR!$A:$A,0),1)),$C102*INDEX(SPPR!$E:$X,MATCH($A102,SPPR!$A:$A,0),1),""),"")</f>
        <v/>
      </c>
      <c r="E102">
        <f>IFERROR(IF(ISNUMBER(INDEX(SPPR!$E:$X,MATCH($A102,SPPR!$A:$A,0),2)),$C102*INDEX(SPPR!$E:$X,MATCH($A102,SPPR!$A:$A,0),2),""),"")</f>
        <v/>
      </c>
      <c r="F102">
        <f>IFERROR(IF(ISNUMBER(INDEX(SPPR!$E:$X,MATCH($A102,SPPR!$A:$A,0),3)),$C102*INDEX(SPPR!$E:$X,MATCH($A102,SPPR!$A:$A,0),3),""),"")</f>
        <v/>
      </c>
      <c r="G102">
        <f>IFERROR(IF(ISNUMBER(INDEX(SPPR!$E:$X,MATCH($A102,SPPR!$A:$A,0),4)),$C102*INDEX(SPPR!$E:$X,MATCH($A102,SPPR!$A:$A,0),4),""),"")</f>
        <v/>
      </c>
      <c r="H102">
        <f>IFERROR(IF(ISNUMBER(INDEX(SPPR!$E:$X,MATCH($A102,SPPR!$A:$A,0),5)),$C102*INDEX(SPPR!$E:$X,MATCH($A102,SPPR!$A:$A,0),5),""),"")</f>
        <v/>
      </c>
      <c r="I102">
        <f>IFERROR(IF(ISNUMBER(INDEX(SPPR!$E:$X,MATCH($A102,SPPR!$A:$A,0),6)),$C102*INDEX(SPPR!$E:$X,MATCH($A102,SPPR!$A:$A,0),6),""),"")</f>
        <v/>
      </c>
      <c r="J102">
        <f>IFERROR(IF(ISNUMBER(INDEX(SPPR!$E:$X,MATCH($A102,SPPR!$A:$A,0),7)),$C102*INDEX(SPPR!$E:$X,MATCH($A102,SPPR!$A:$A,0),7),""),"")</f>
        <v/>
      </c>
      <c r="K102">
        <f>IFERROR(IF(ISNUMBER(INDEX(SPPR!$E:$X,MATCH($A102,SPPR!$A:$A,0),8)),$C102*INDEX(SPPR!$E:$X,MATCH($A102,SPPR!$A:$A,0),8),""),"")</f>
        <v/>
      </c>
      <c r="L102">
        <f>IFERROR(IF(ISNUMBER(INDEX(SPPR!$E:$X,MATCH($A102,SPPR!$A:$A,0),9)),$C102*INDEX(SPPR!$E:$X,MATCH($A102,SPPR!$A:$A,0),9),""),"")</f>
        <v/>
      </c>
      <c r="M102">
        <f>IFERROR(IF(ISNUMBER(INDEX(SPPR!$E:$X,MATCH($A102,SPPR!$A:$A,0),10)),$C102*INDEX(SPPR!$E:$X,MATCH($A102,SPPR!$A:$A,0),10),""),"")</f>
        <v/>
      </c>
      <c r="N102">
        <f>IFERROR(IF(ISNUMBER(INDEX(SPPR!$E:$X,MATCH($A102,SPPR!$A:$A,0),11)),$C102*INDEX(SPPR!$E:$X,MATCH($A102,SPPR!$A:$A,0),11),""),"")</f>
        <v/>
      </c>
      <c r="O102">
        <f>IFERROR(IF(ISNUMBER(INDEX(SPPR!$E:$X,MATCH($A102,SPPR!$A:$A,0),12)),$C102*INDEX(SPPR!$E:$X,MATCH($A102,SPPR!$A:$A,0),12),""),"")</f>
        <v/>
      </c>
      <c r="P102">
        <f>IFERROR(IF(ISNUMBER(INDEX(SPPR!$E:$X,MATCH($A102,SPPR!$A:$A,0),13)),$C102*INDEX(SPPR!$E:$X,MATCH($A102,SPPR!$A:$A,0),13),""),"")</f>
        <v/>
      </c>
      <c r="Q102">
        <f>IFERROR(IF(ISNUMBER(INDEX(SPPR!$E:$X,MATCH($A102,SPPR!$A:$A,0),14)),$C102*INDEX(SPPR!$E:$X,MATCH($A102,SPPR!$A:$A,0),14),""),"")</f>
        <v/>
      </c>
      <c r="R102">
        <f>IFERROR(IF(ISNUMBER(INDEX(SPPR!$E:$X,MATCH($A102,SPPR!$A:$A,0),15)),$C102*INDEX(SPPR!$E:$X,MATCH($A102,SPPR!$A:$A,0),15),""),"")</f>
        <v/>
      </c>
      <c r="S102">
        <f>IFERROR(IF(ISNUMBER(INDEX(SPPR!$E:$X,MATCH($A102,SPPR!$A:$A,0),16)),$C102*INDEX(SPPR!$E:$X,MATCH($A102,SPPR!$A:$A,0),16),""),"")</f>
        <v/>
      </c>
      <c r="T102">
        <f>IFERROR(IF(ISNUMBER(INDEX(SPPR!$E:$X,MATCH($A102,SPPR!$A:$A,0),17)),$C102*INDEX(SPPR!$E:$X,MATCH($A102,SPPR!$A:$A,0),17),""),"")</f>
        <v/>
      </c>
      <c r="U102">
        <f>IFERROR(IF(ISNUMBER(INDEX(SPPR!$E:$X,MATCH($A102,SPPR!$A:$A,0),18)),$C102*INDEX(SPPR!$E:$X,MATCH($A102,SPPR!$A:$A,0),18),""),"")</f>
        <v/>
      </c>
      <c r="V102">
        <f>IFERROR(IF(ISNUMBER(INDEX(SPPR!$E:$X,MATCH($A102,SPPR!$A:$A,0),19)),$C102*INDEX(SPPR!$E:$X,MATCH($A102,SPPR!$A:$A,0),19),""),"")</f>
        <v/>
      </c>
      <c r="W102">
        <f>IFERROR(IF(ISNUMBER(INDEX(SPPR!$E:$X,MATCH($A102,SPPR!$A:$A,0),20)),$C102*INDEX(SPPR!$E:$X,MATCH($A102,SPPR!$A:$A,0),20),""),"")</f>
        <v/>
      </c>
    </row>
    <row r="103">
      <c r="A103" t="inlineStr">
        <is>
          <t>Haliporoides diomedeae</t>
        </is>
      </c>
      <c r="B103">
        <f>IFERROR(INDEX(SPPR!$D:$D,MATCH($A103,SPPR!$A:$A,0)),"")</f>
        <v/>
      </c>
      <c r="C103">
        <f>IFERROR(INDEX(Catch!$E:$BV,MATCH($A103,Catch!$A:$A,0),MATCH($B$4,Catch!$E$1:$BV$1,0)),0)</f>
        <v/>
      </c>
      <c r="D103">
        <f>IFERROR(IF(ISNUMBER(INDEX(SPPR!$E:$X,MATCH($A103,SPPR!$A:$A,0),1)),$C103*INDEX(SPPR!$E:$X,MATCH($A103,SPPR!$A:$A,0),1),""),"")</f>
        <v/>
      </c>
      <c r="E103">
        <f>IFERROR(IF(ISNUMBER(INDEX(SPPR!$E:$X,MATCH($A103,SPPR!$A:$A,0),2)),$C103*INDEX(SPPR!$E:$X,MATCH($A103,SPPR!$A:$A,0),2),""),"")</f>
        <v/>
      </c>
      <c r="F103">
        <f>IFERROR(IF(ISNUMBER(INDEX(SPPR!$E:$X,MATCH($A103,SPPR!$A:$A,0),3)),$C103*INDEX(SPPR!$E:$X,MATCH($A103,SPPR!$A:$A,0),3),""),"")</f>
        <v/>
      </c>
      <c r="G103">
        <f>IFERROR(IF(ISNUMBER(INDEX(SPPR!$E:$X,MATCH($A103,SPPR!$A:$A,0),4)),$C103*INDEX(SPPR!$E:$X,MATCH($A103,SPPR!$A:$A,0),4),""),"")</f>
        <v/>
      </c>
      <c r="H103">
        <f>IFERROR(IF(ISNUMBER(INDEX(SPPR!$E:$X,MATCH($A103,SPPR!$A:$A,0),5)),$C103*INDEX(SPPR!$E:$X,MATCH($A103,SPPR!$A:$A,0),5),""),"")</f>
        <v/>
      </c>
      <c r="I103">
        <f>IFERROR(IF(ISNUMBER(INDEX(SPPR!$E:$X,MATCH($A103,SPPR!$A:$A,0),6)),$C103*INDEX(SPPR!$E:$X,MATCH($A103,SPPR!$A:$A,0),6),""),"")</f>
        <v/>
      </c>
      <c r="J103">
        <f>IFERROR(IF(ISNUMBER(INDEX(SPPR!$E:$X,MATCH($A103,SPPR!$A:$A,0),7)),$C103*INDEX(SPPR!$E:$X,MATCH($A103,SPPR!$A:$A,0),7),""),"")</f>
        <v/>
      </c>
      <c r="K103">
        <f>IFERROR(IF(ISNUMBER(INDEX(SPPR!$E:$X,MATCH($A103,SPPR!$A:$A,0),8)),$C103*INDEX(SPPR!$E:$X,MATCH($A103,SPPR!$A:$A,0),8),""),"")</f>
        <v/>
      </c>
      <c r="L103">
        <f>IFERROR(IF(ISNUMBER(INDEX(SPPR!$E:$X,MATCH($A103,SPPR!$A:$A,0),9)),$C103*INDEX(SPPR!$E:$X,MATCH($A103,SPPR!$A:$A,0),9),""),"")</f>
        <v/>
      </c>
      <c r="M103">
        <f>IFERROR(IF(ISNUMBER(INDEX(SPPR!$E:$X,MATCH($A103,SPPR!$A:$A,0),10)),$C103*INDEX(SPPR!$E:$X,MATCH($A103,SPPR!$A:$A,0),10),""),"")</f>
        <v/>
      </c>
      <c r="N103">
        <f>IFERROR(IF(ISNUMBER(INDEX(SPPR!$E:$X,MATCH($A103,SPPR!$A:$A,0),11)),$C103*INDEX(SPPR!$E:$X,MATCH($A103,SPPR!$A:$A,0),11),""),"")</f>
        <v/>
      </c>
      <c r="O103">
        <f>IFERROR(IF(ISNUMBER(INDEX(SPPR!$E:$X,MATCH($A103,SPPR!$A:$A,0),12)),$C103*INDEX(SPPR!$E:$X,MATCH($A103,SPPR!$A:$A,0),12),""),"")</f>
        <v/>
      </c>
      <c r="P103">
        <f>IFERROR(IF(ISNUMBER(INDEX(SPPR!$E:$X,MATCH($A103,SPPR!$A:$A,0),13)),$C103*INDEX(SPPR!$E:$X,MATCH($A103,SPPR!$A:$A,0),13),""),"")</f>
        <v/>
      </c>
      <c r="Q103">
        <f>IFERROR(IF(ISNUMBER(INDEX(SPPR!$E:$X,MATCH($A103,SPPR!$A:$A,0),14)),$C103*INDEX(SPPR!$E:$X,MATCH($A103,SPPR!$A:$A,0),14),""),"")</f>
        <v/>
      </c>
      <c r="R103">
        <f>IFERROR(IF(ISNUMBER(INDEX(SPPR!$E:$X,MATCH($A103,SPPR!$A:$A,0),15)),$C103*INDEX(SPPR!$E:$X,MATCH($A103,SPPR!$A:$A,0),15),""),"")</f>
        <v/>
      </c>
      <c r="S103">
        <f>IFERROR(IF(ISNUMBER(INDEX(SPPR!$E:$X,MATCH($A103,SPPR!$A:$A,0),16)),$C103*INDEX(SPPR!$E:$X,MATCH($A103,SPPR!$A:$A,0),16),""),"")</f>
        <v/>
      </c>
      <c r="T103">
        <f>IFERROR(IF(ISNUMBER(INDEX(SPPR!$E:$X,MATCH($A103,SPPR!$A:$A,0),17)),$C103*INDEX(SPPR!$E:$X,MATCH($A103,SPPR!$A:$A,0),17),""),"")</f>
        <v/>
      </c>
      <c r="U103">
        <f>IFERROR(IF(ISNUMBER(INDEX(SPPR!$E:$X,MATCH($A103,SPPR!$A:$A,0),18)),$C103*INDEX(SPPR!$E:$X,MATCH($A103,SPPR!$A:$A,0),18),""),"")</f>
        <v/>
      </c>
      <c r="V103">
        <f>IFERROR(IF(ISNUMBER(INDEX(SPPR!$E:$X,MATCH($A103,SPPR!$A:$A,0),19)),$C103*INDEX(SPPR!$E:$X,MATCH($A103,SPPR!$A:$A,0),19),""),"")</f>
        <v/>
      </c>
      <c r="W103">
        <f>IFERROR(IF(ISNUMBER(INDEX(SPPR!$E:$X,MATCH($A103,SPPR!$A:$A,0),20)),$C103*INDEX(SPPR!$E:$X,MATCH($A103,SPPR!$A:$A,0),20),""),"")</f>
        <v/>
      </c>
    </row>
    <row r="104">
      <c r="A104" t="inlineStr">
        <is>
          <t>Chirodactylus variegatus</t>
        </is>
      </c>
      <c r="B104">
        <f>IFERROR(INDEX(SPPR!$D:$D,MATCH($A104,SPPR!$A:$A,0)),"")</f>
        <v/>
      </c>
      <c r="C104">
        <f>IFERROR(INDEX(Catch!$E:$BV,MATCH($A104,Catch!$A:$A,0),MATCH($B$4,Catch!$E$1:$BV$1,0)),0)</f>
        <v/>
      </c>
      <c r="D104">
        <f>IFERROR(IF(ISNUMBER(INDEX(SPPR!$E:$X,MATCH($A104,SPPR!$A:$A,0),1)),$C104*INDEX(SPPR!$E:$X,MATCH($A104,SPPR!$A:$A,0),1),""),"")</f>
        <v/>
      </c>
      <c r="E104">
        <f>IFERROR(IF(ISNUMBER(INDEX(SPPR!$E:$X,MATCH($A104,SPPR!$A:$A,0),2)),$C104*INDEX(SPPR!$E:$X,MATCH($A104,SPPR!$A:$A,0),2),""),"")</f>
        <v/>
      </c>
      <c r="F104">
        <f>IFERROR(IF(ISNUMBER(INDEX(SPPR!$E:$X,MATCH($A104,SPPR!$A:$A,0),3)),$C104*INDEX(SPPR!$E:$X,MATCH($A104,SPPR!$A:$A,0),3),""),"")</f>
        <v/>
      </c>
      <c r="G104">
        <f>IFERROR(IF(ISNUMBER(INDEX(SPPR!$E:$X,MATCH($A104,SPPR!$A:$A,0),4)),$C104*INDEX(SPPR!$E:$X,MATCH($A104,SPPR!$A:$A,0),4),""),"")</f>
        <v/>
      </c>
      <c r="H104">
        <f>IFERROR(IF(ISNUMBER(INDEX(SPPR!$E:$X,MATCH($A104,SPPR!$A:$A,0),5)),$C104*INDEX(SPPR!$E:$X,MATCH($A104,SPPR!$A:$A,0),5),""),"")</f>
        <v/>
      </c>
      <c r="I104">
        <f>IFERROR(IF(ISNUMBER(INDEX(SPPR!$E:$X,MATCH($A104,SPPR!$A:$A,0),6)),$C104*INDEX(SPPR!$E:$X,MATCH($A104,SPPR!$A:$A,0),6),""),"")</f>
        <v/>
      </c>
      <c r="J104">
        <f>IFERROR(IF(ISNUMBER(INDEX(SPPR!$E:$X,MATCH($A104,SPPR!$A:$A,0),7)),$C104*INDEX(SPPR!$E:$X,MATCH($A104,SPPR!$A:$A,0),7),""),"")</f>
        <v/>
      </c>
      <c r="K104">
        <f>IFERROR(IF(ISNUMBER(INDEX(SPPR!$E:$X,MATCH($A104,SPPR!$A:$A,0),8)),$C104*INDEX(SPPR!$E:$X,MATCH($A104,SPPR!$A:$A,0),8),""),"")</f>
        <v/>
      </c>
      <c r="L104">
        <f>IFERROR(IF(ISNUMBER(INDEX(SPPR!$E:$X,MATCH($A104,SPPR!$A:$A,0),9)),$C104*INDEX(SPPR!$E:$X,MATCH($A104,SPPR!$A:$A,0),9),""),"")</f>
        <v/>
      </c>
      <c r="M104">
        <f>IFERROR(IF(ISNUMBER(INDEX(SPPR!$E:$X,MATCH($A104,SPPR!$A:$A,0),10)),$C104*INDEX(SPPR!$E:$X,MATCH($A104,SPPR!$A:$A,0),10),""),"")</f>
        <v/>
      </c>
      <c r="N104">
        <f>IFERROR(IF(ISNUMBER(INDEX(SPPR!$E:$X,MATCH($A104,SPPR!$A:$A,0),11)),$C104*INDEX(SPPR!$E:$X,MATCH($A104,SPPR!$A:$A,0),11),""),"")</f>
        <v/>
      </c>
      <c r="O104">
        <f>IFERROR(IF(ISNUMBER(INDEX(SPPR!$E:$X,MATCH($A104,SPPR!$A:$A,0),12)),$C104*INDEX(SPPR!$E:$X,MATCH($A104,SPPR!$A:$A,0),12),""),"")</f>
        <v/>
      </c>
      <c r="P104">
        <f>IFERROR(IF(ISNUMBER(INDEX(SPPR!$E:$X,MATCH($A104,SPPR!$A:$A,0),13)),$C104*INDEX(SPPR!$E:$X,MATCH($A104,SPPR!$A:$A,0),13),""),"")</f>
        <v/>
      </c>
      <c r="Q104">
        <f>IFERROR(IF(ISNUMBER(INDEX(SPPR!$E:$X,MATCH($A104,SPPR!$A:$A,0),14)),$C104*INDEX(SPPR!$E:$X,MATCH($A104,SPPR!$A:$A,0),14),""),"")</f>
        <v/>
      </c>
      <c r="R104">
        <f>IFERROR(IF(ISNUMBER(INDEX(SPPR!$E:$X,MATCH($A104,SPPR!$A:$A,0),15)),$C104*INDEX(SPPR!$E:$X,MATCH($A104,SPPR!$A:$A,0),15),""),"")</f>
        <v/>
      </c>
      <c r="S104">
        <f>IFERROR(IF(ISNUMBER(INDEX(SPPR!$E:$X,MATCH($A104,SPPR!$A:$A,0),16)),$C104*INDEX(SPPR!$E:$X,MATCH($A104,SPPR!$A:$A,0),16),""),"")</f>
        <v/>
      </c>
      <c r="T104">
        <f>IFERROR(IF(ISNUMBER(INDEX(SPPR!$E:$X,MATCH($A104,SPPR!$A:$A,0),17)),$C104*INDEX(SPPR!$E:$X,MATCH($A104,SPPR!$A:$A,0),17),""),"")</f>
        <v/>
      </c>
      <c r="U104">
        <f>IFERROR(IF(ISNUMBER(INDEX(SPPR!$E:$X,MATCH($A104,SPPR!$A:$A,0),18)),$C104*INDEX(SPPR!$E:$X,MATCH($A104,SPPR!$A:$A,0),18),""),"")</f>
        <v/>
      </c>
      <c r="V104">
        <f>IFERROR(IF(ISNUMBER(INDEX(SPPR!$E:$X,MATCH($A104,SPPR!$A:$A,0),19)),$C104*INDEX(SPPR!$E:$X,MATCH($A104,SPPR!$A:$A,0),19),""),"")</f>
        <v/>
      </c>
      <c r="W104">
        <f>IFERROR(IF(ISNUMBER(INDEX(SPPR!$E:$X,MATCH($A104,SPPR!$A:$A,0),20)),$C104*INDEX(SPPR!$E:$X,MATCH($A104,SPPR!$A:$A,0),20),""),"")</f>
        <v/>
      </c>
    </row>
    <row r="105">
      <c r="A105" t="inlineStr">
        <is>
          <t>Teuthida</t>
        </is>
      </c>
      <c r="B105">
        <f>IFERROR(INDEX(SPPR!$D:$D,MATCH($A105,SPPR!$A:$A,0)),"")</f>
        <v/>
      </c>
      <c r="C105">
        <f>IFERROR(INDEX(Catch!$E:$BV,MATCH($A105,Catch!$A:$A,0),MATCH($B$4,Catch!$E$1:$BV$1,0)),0)</f>
        <v/>
      </c>
      <c r="D105">
        <f>IFERROR(IF(ISNUMBER(INDEX(SPPR!$E:$X,MATCH($A105,SPPR!$A:$A,0),1)),$C105*INDEX(SPPR!$E:$X,MATCH($A105,SPPR!$A:$A,0),1),""),"")</f>
        <v/>
      </c>
      <c r="E105">
        <f>IFERROR(IF(ISNUMBER(INDEX(SPPR!$E:$X,MATCH($A105,SPPR!$A:$A,0),2)),$C105*INDEX(SPPR!$E:$X,MATCH($A105,SPPR!$A:$A,0),2),""),"")</f>
        <v/>
      </c>
      <c r="F105">
        <f>IFERROR(IF(ISNUMBER(INDEX(SPPR!$E:$X,MATCH($A105,SPPR!$A:$A,0),3)),$C105*INDEX(SPPR!$E:$X,MATCH($A105,SPPR!$A:$A,0),3),""),"")</f>
        <v/>
      </c>
      <c r="G105">
        <f>IFERROR(IF(ISNUMBER(INDEX(SPPR!$E:$X,MATCH($A105,SPPR!$A:$A,0),4)),$C105*INDEX(SPPR!$E:$X,MATCH($A105,SPPR!$A:$A,0),4),""),"")</f>
        <v/>
      </c>
      <c r="H105">
        <f>IFERROR(IF(ISNUMBER(INDEX(SPPR!$E:$X,MATCH($A105,SPPR!$A:$A,0),5)),$C105*INDEX(SPPR!$E:$X,MATCH($A105,SPPR!$A:$A,0),5),""),"")</f>
        <v/>
      </c>
      <c r="I105">
        <f>IFERROR(IF(ISNUMBER(INDEX(SPPR!$E:$X,MATCH($A105,SPPR!$A:$A,0),6)),$C105*INDEX(SPPR!$E:$X,MATCH($A105,SPPR!$A:$A,0),6),""),"")</f>
        <v/>
      </c>
      <c r="J105">
        <f>IFERROR(IF(ISNUMBER(INDEX(SPPR!$E:$X,MATCH($A105,SPPR!$A:$A,0),7)),$C105*INDEX(SPPR!$E:$X,MATCH($A105,SPPR!$A:$A,0),7),""),"")</f>
        <v/>
      </c>
      <c r="K105">
        <f>IFERROR(IF(ISNUMBER(INDEX(SPPR!$E:$X,MATCH($A105,SPPR!$A:$A,0),8)),$C105*INDEX(SPPR!$E:$X,MATCH($A105,SPPR!$A:$A,0),8),""),"")</f>
        <v/>
      </c>
      <c r="L105">
        <f>IFERROR(IF(ISNUMBER(INDEX(SPPR!$E:$X,MATCH($A105,SPPR!$A:$A,0),9)),$C105*INDEX(SPPR!$E:$X,MATCH($A105,SPPR!$A:$A,0),9),""),"")</f>
        <v/>
      </c>
      <c r="M105">
        <f>IFERROR(IF(ISNUMBER(INDEX(SPPR!$E:$X,MATCH($A105,SPPR!$A:$A,0),10)),$C105*INDEX(SPPR!$E:$X,MATCH($A105,SPPR!$A:$A,0),10),""),"")</f>
        <v/>
      </c>
      <c r="N105">
        <f>IFERROR(IF(ISNUMBER(INDEX(SPPR!$E:$X,MATCH($A105,SPPR!$A:$A,0),11)),$C105*INDEX(SPPR!$E:$X,MATCH($A105,SPPR!$A:$A,0),11),""),"")</f>
        <v/>
      </c>
      <c r="O105">
        <f>IFERROR(IF(ISNUMBER(INDEX(SPPR!$E:$X,MATCH($A105,SPPR!$A:$A,0),12)),$C105*INDEX(SPPR!$E:$X,MATCH($A105,SPPR!$A:$A,0),12),""),"")</f>
        <v/>
      </c>
      <c r="P105">
        <f>IFERROR(IF(ISNUMBER(INDEX(SPPR!$E:$X,MATCH($A105,SPPR!$A:$A,0),13)),$C105*INDEX(SPPR!$E:$X,MATCH($A105,SPPR!$A:$A,0),13),""),"")</f>
        <v/>
      </c>
      <c r="Q105">
        <f>IFERROR(IF(ISNUMBER(INDEX(SPPR!$E:$X,MATCH($A105,SPPR!$A:$A,0),14)),$C105*INDEX(SPPR!$E:$X,MATCH($A105,SPPR!$A:$A,0),14),""),"")</f>
        <v/>
      </c>
      <c r="R105">
        <f>IFERROR(IF(ISNUMBER(INDEX(SPPR!$E:$X,MATCH($A105,SPPR!$A:$A,0),15)),$C105*INDEX(SPPR!$E:$X,MATCH($A105,SPPR!$A:$A,0),15),""),"")</f>
        <v/>
      </c>
      <c r="S105">
        <f>IFERROR(IF(ISNUMBER(INDEX(SPPR!$E:$X,MATCH($A105,SPPR!$A:$A,0),16)),$C105*INDEX(SPPR!$E:$X,MATCH($A105,SPPR!$A:$A,0),16),""),"")</f>
        <v/>
      </c>
      <c r="T105">
        <f>IFERROR(IF(ISNUMBER(INDEX(SPPR!$E:$X,MATCH($A105,SPPR!$A:$A,0),17)),$C105*INDEX(SPPR!$E:$X,MATCH($A105,SPPR!$A:$A,0),17),""),"")</f>
        <v/>
      </c>
      <c r="U105">
        <f>IFERROR(IF(ISNUMBER(INDEX(SPPR!$E:$X,MATCH($A105,SPPR!$A:$A,0),18)),$C105*INDEX(SPPR!$E:$X,MATCH($A105,SPPR!$A:$A,0),18),""),"")</f>
        <v/>
      </c>
      <c r="V105">
        <f>IFERROR(IF(ISNUMBER(INDEX(SPPR!$E:$X,MATCH($A105,SPPR!$A:$A,0),19)),$C105*INDEX(SPPR!$E:$X,MATCH($A105,SPPR!$A:$A,0),19),""),"")</f>
        <v/>
      </c>
      <c r="W105">
        <f>IFERROR(IF(ISNUMBER(INDEX(SPPR!$E:$X,MATCH($A105,SPPR!$A:$A,0),20)),$C105*INDEX(SPPR!$E:$X,MATCH($A105,SPPR!$A:$A,0),20),""),"")</f>
        <v/>
      </c>
    </row>
    <row r="106">
      <c r="A106" t="inlineStr">
        <is>
          <t>Ostrea chilensis</t>
        </is>
      </c>
      <c r="B106">
        <f>IFERROR(INDEX(SPPR!$D:$D,MATCH($A106,SPPR!$A:$A,0)),"")</f>
        <v/>
      </c>
      <c r="C106">
        <f>IFERROR(INDEX(Catch!$E:$BV,MATCH($A106,Catch!$A:$A,0),MATCH($B$4,Catch!$E$1:$BV$1,0)),0)</f>
        <v/>
      </c>
      <c r="D106">
        <f>IFERROR(IF(ISNUMBER(INDEX(SPPR!$E:$X,MATCH($A106,SPPR!$A:$A,0),1)),$C106*INDEX(SPPR!$E:$X,MATCH($A106,SPPR!$A:$A,0),1),""),"")</f>
        <v/>
      </c>
      <c r="E106">
        <f>IFERROR(IF(ISNUMBER(INDEX(SPPR!$E:$X,MATCH($A106,SPPR!$A:$A,0),2)),$C106*INDEX(SPPR!$E:$X,MATCH($A106,SPPR!$A:$A,0),2),""),"")</f>
        <v/>
      </c>
      <c r="F106">
        <f>IFERROR(IF(ISNUMBER(INDEX(SPPR!$E:$X,MATCH($A106,SPPR!$A:$A,0),3)),$C106*INDEX(SPPR!$E:$X,MATCH($A106,SPPR!$A:$A,0),3),""),"")</f>
        <v/>
      </c>
      <c r="G106">
        <f>IFERROR(IF(ISNUMBER(INDEX(SPPR!$E:$X,MATCH($A106,SPPR!$A:$A,0),4)),$C106*INDEX(SPPR!$E:$X,MATCH($A106,SPPR!$A:$A,0),4),""),"")</f>
        <v/>
      </c>
      <c r="H106">
        <f>IFERROR(IF(ISNUMBER(INDEX(SPPR!$E:$X,MATCH($A106,SPPR!$A:$A,0),5)),$C106*INDEX(SPPR!$E:$X,MATCH($A106,SPPR!$A:$A,0),5),""),"")</f>
        <v/>
      </c>
      <c r="I106">
        <f>IFERROR(IF(ISNUMBER(INDEX(SPPR!$E:$X,MATCH($A106,SPPR!$A:$A,0),6)),$C106*INDEX(SPPR!$E:$X,MATCH($A106,SPPR!$A:$A,0),6),""),"")</f>
        <v/>
      </c>
      <c r="J106">
        <f>IFERROR(IF(ISNUMBER(INDEX(SPPR!$E:$X,MATCH($A106,SPPR!$A:$A,0),7)),$C106*INDEX(SPPR!$E:$X,MATCH($A106,SPPR!$A:$A,0),7),""),"")</f>
        <v/>
      </c>
      <c r="K106">
        <f>IFERROR(IF(ISNUMBER(INDEX(SPPR!$E:$X,MATCH($A106,SPPR!$A:$A,0),8)),$C106*INDEX(SPPR!$E:$X,MATCH($A106,SPPR!$A:$A,0),8),""),"")</f>
        <v/>
      </c>
      <c r="L106">
        <f>IFERROR(IF(ISNUMBER(INDEX(SPPR!$E:$X,MATCH($A106,SPPR!$A:$A,0),9)),$C106*INDEX(SPPR!$E:$X,MATCH($A106,SPPR!$A:$A,0),9),""),"")</f>
        <v/>
      </c>
      <c r="M106">
        <f>IFERROR(IF(ISNUMBER(INDEX(SPPR!$E:$X,MATCH($A106,SPPR!$A:$A,0),10)),$C106*INDEX(SPPR!$E:$X,MATCH($A106,SPPR!$A:$A,0),10),""),"")</f>
        <v/>
      </c>
      <c r="N106">
        <f>IFERROR(IF(ISNUMBER(INDEX(SPPR!$E:$X,MATCH($A106,SPPR!$A:$A,0),11)),$C106*INDEX(SPPR!$E:$X,MATCH($A106,SPPR!$A:$A,0),11),""),"")</f>
        <v/>
      </c>
      <c r="O106">
        <f>IFERROR(IF(ISNUMBER(INDEX(SPPR!$E:$X,MATCH($A106,SPPR!$A:$A,0),12)),$C106*INDEX(SPPR!$E:$X,MATCH($A106,SPPR!$A:$A,0),12),""),"")</f>
        <v/>
      </c>
      <c r="P106">
        <f>IFERROR(IF(ISNUMBER(INDEX(SPPR!$E:$X,MATCH($A106,SPPR!$A:$A,0),13)),$C106*INDEX(SPPR!$E:$X,MATCH($A106,SPPR!$A:$A,0),13),""),"")</f>
        <v/>
      </c>
      <c r="Q106">
        <f>IFERROR(IF(ISNUMBER(INDEX(SPPR!$E:$X,MATCH($A106,SPPR!$A:$A,0),14)),$C106*INDEX(SPPR!$E:$X,MATCH($A106,SPPR!$A:$A,0),14),""),"")</f>
        <v/>
      </c>
      <c r="R106">
        <f>IFERROR(IF(ISNUMBER(INDEX(SPPR!$E:$X,MATCH($A106,SPPR!$A:$A,0),15)),$C106*INDEX(SPPR!$E:$X,MATCH($A106,SPPR!$A:$A,0),15),""),"")</f>
        <v/>
      </c>
      <c r="S106">
        <f>IFERROR(IF(ISNUMBER(INDEX(SPPR!$E:$X,MATCH($A106,SPPR!$A:$A,0),16)),$C106*INDEX(SPPR!$E:$X,MATCH($A106,SPPR!$A:$A,0),16),""),"")</f>
        <v/>
      </c>
      <c r="T106">
        <f>IFERROR(IF(ISNUMBER(INDEX(SPPR!$E:$X,MATCH($A106,SPPR!$A:$A,0),17)),$C106*INDEX(SPPR!$E:$X,MATCH($A106,SPPR!$A:$A,0),17),""),"")</f>
        <v/>
      </c>
      <c r="U106">
        <f>IFERROR(IF(ISNUMBER(INDEX(SPPR!$E:$X,MATCH($A106,SPPR!$A:$A,0),18)),$C106*INDEX(SPPR!$E:$X,MATCH($A106,SPPR!$A:$A,0),18),""),"")</f>
        <v/>
      </c>
      <c r="V106">
        <f>IFERROR(IF(ISNUMBER(INDEX(SPPR!$E:$X,MATCH($A106,SPPR!$A:$A,0),19)),$C106*INDEX(SPPR!$E:$X,MATCH($A106,SPPR!$A:$A,0),19),""),"")</f>
        <v/>
      </c>
      <c r="W106">
        <f>IFERROR(IF(ISNUMBER(INDEX(SPPR!$E:$X,MATCH($A106,SPPR!$A:$A,0),20)),$C106*INDEX(SPPR!$E:$X,MATCH($A106,SPPR!$A:$A,0),20),""),"")</f>
        <v/>
      </c>
    </row>
    <row r="107">
      <c r="A107" t="inlineStr">
        <is>
          <t>Prolatilus jugularis</t>
        </is>
      </c>
      <c r="B107">
        <f>IFERROR(INDEX(SPPR!$D:$D,MATCH($A107,SPPR!$A:$A,0)),"")</f>
        <v/>
      </c>
      <c r="C107">
        <f>IFERROR(INDEX(Catch!$E:$BV,MATCH($A107,Catch!$A:$A,0),MATCH($B$4,Catch!$E$1:$BV$1,0)),0)</f>
        <v/>
      </c>
      <c r="D107">
        <f>IFERROR(IF(ISNUMBER(INDEX(SPPR!$E:$X,MATCH($A107,SPPR!$A:$A,0),1)),$C107*INDEX(SPPR!$E:$X,MATCH($A107,SPPR!$A:$A,0),1),""),"")</f>
        <v/>
      </c>
      <c r="E107">
        <f>IFERROR(IF(ISNUMBER(INDEX(SPPR!$E:$X,MATCH($A107,SPPR!$A:$A,0),2)),$C107*INDEX(SPPR!$E:$X,MATCH($A107,SPPR!$A:$A,0),2),""),"")</f>
        <v/>
      </c>
      <c r="F107">
        <f>IFERROR(IF(ISNUMBER(INDEX(SPPR!$E:$X,MATCH($A107,SPPR!$A:$A,0),3)),$C107*INDEX(SPPR!$E:$X,MATCH($A107,SPPR!$A:$A,0),3),""),"")</f>
        <v/>
      </c>
      <c r="G107">
        <f>IFERROR(IF(ISNUMBER(INDEX(SPPR!$E:$X,MATCH($A107,SPPR!$A:$A,0),4)),$C107*INDEX(SPPR!$E:$X,MATCH($A107,SPPR!$A:$A,0),4),""),"")</f>
        <v/>
      </c>
      <c r="H107">
        <f>IFERROR(IF(ISNUMBER(INDEX(SPPR!$E:$X,MATCH($A107,SPPR!$A:$A,0),5)),$C107*INDEX(SPPR!$E:$X,MATCH($A107,SPPR!$A:$A,0),5),""),"")</f>
        <v/>
      </c>
      <c r="I107">
        <f>IFERROR(IF(ISNUMBER(INDEX(SPPR!$E:$X,MATCH($A107,SPPR!$A:$A,0),6)),$C107*INDEX(SPPR!$E:$X,MATCH($A107,SPPR!$A:$A,0),6),""),"")</f>
        <v/>
      </c>
      <c r="J107">
        <f>IFERROR(IF(ISNUMBER(INDEX(SPPR!$E:$X,MATCH($A107,SPPR!$A:$A,0),7)),$C107*INDEX(SPPR!$E:$X,MATCH($A107,SPPR!$A:$A,0),7),""),"")</f>
        <v/>
      </c>
      <c r="K107">
        <f>IFERROR(IF(ISNUMBER(INDEX(SPPR!$E:$X,MATCH($A107,SPPR!$A:$A,0),8)),$C107*INDEX(SPPR!$E:$X,MATCH($A107,SPPR!$A:$A,0),8),""),"")</f>
        <v/>
      </c>
      <c r="L107">
        <f>IFERROR(IF(ISNUMBER(INDEX(SPPR!$E:$X,MATCH($A107,SPPR!$A:$A,0),9)),$C107*INDEX(SPPR!$E:$X,MATCH($A107,SPPR!$A:$A,0),9),""),"")</f>
        <v/>
      </c>
      <c r="M107">
        <f>IFERROR(IF(ISNUMBER(INDEX(SPPR!$E:$X,MATCH($A107,SPPR!$A:$A,0),10)),$C107*INDEX(SPPR!$E:$X,MATCH($A107,SPPR!$A:$A,0),10),""),"")</f>
        <v/>
      </c>
      <c r="N107">
        <f>IFERROR(IF(ISNUMBER(INDEX(SPPR!$E:$X,MATCH($A107,SPPR!$A:$A,0),11)),$C107*INDEX(SPPR!$E:$X,MATCH($A107,SPPR!$A:$A,0),11),""),"")</f>
        <v/>
      </c>
      <c r="O107">
        <f>IFERROR(IF(ISNUMBER(INDEX(SPPR!$E:$X,MATCH($A107,SPPR!$A:$A,0),12)),$C107*INDEX(SPPR!$E:$X,MATCH($A107,SPPR!$A:$A,0),12),""),"")</f>
        <v/>
      </c>
      <c r="P107">
        <f>IFERROR(IF(ISNUMBER(INDEX(SPPR!$E:$X,MATCH($A107,SPPR!$A:$A,0),13)),$C107*INDEX(SPPR!$E:$X,MATCH($A107,SPPR!$A:$A,0),13),""),"")</f>
        <v/>
      </c>
      <c r="Q107">
        <f>IFERROR(IF(ISNUMBER(INDEX(SPPR!$E:$X,MATCH($A107,SPPR!$A:$A,0),14)),$C107*INDEX(SPPR!$E:$X,MATCH($A107,SPPR!$A:$A,0),14),""),"")</f>
        <v/>
      </c>
      <c r="R107">
        <f>IFERROR(IF(ISNUMBER(INDEX(SPPR!$E:$X,MATCH($A107,SPPR!$A:$A,0),15)),$C107*INDEX(SPPR!$E:$X,MATCH($A107,SPPR!$A:$A,0),15),""),"")</f>
        <v/>
      </c>
      <c r="S107">
        <f>IFERROR(IF(ISNUMBER(INDEX(SPPR!$E:$X,MATCH($A107,SPPR!$A:$A,0),16)),$C107*INDEX(SPPR!$E:$X,MATCH($A107,SPPR!$A:$A,0),16),""),"")</f>
        <v/>
      </c>
      <c r="T107">
        <f>IFERROR(IF(ISNUMBER(INDEX(SPPR!$E:$X,MATCH($A107,SPPR!$A:$A,0),17)),$C107*INDEX(SPPR!$E:$X,MATCH($A107,SPPR!$A:$A,0),17),""),"")</f>
        <v/>
      </c>
      <c r="U107">
        <f>IFERROR(IF(ISNUMBER(INDEX(SPPR!$E:$X,MATCH($A107,SPPR!$A:$A,0),18)),$C107*INDEX(SPPR!$E:$X,MATCH($A107,SPPR!$A:$A,0),18),""),"")</f>
        <v/>
      </c>
      <c r="V107">
        <f>IFERROR(IF(ISNUMBER(INDEX(SPPR!$E:$X,MATCH($A107,SPPR!$A:$A,0),19)),$C107*INDEX(SPPR!$E:$X,MATCH($A107,SPPR!$A:$A,0),19),""),"")</f>
        <v/>
      </c>
      <c r="W107">
        <f>IFERROR(IF(ISNUMBER(INDEX(SPPR!$E:$X,MATCH($A107,SPPR!$A:$A,0),20)),$C107*INDEX(SPPR!$E:$X,MATCH($A107,SPPR!$A:$A,0),20),""),"")</f>
        <v/>
      </c>
    </row>
    <row r="108">
      <c r="A108" t="inlineStr">
        <is>
          <t>Austromegabalanus psittacus</t>
        </is>
      </c>
      <c r="B108">
        <f>IFERROR(INDEX(SPPR!$D:$D,MATCH($A108,SPPR!$A:$A,0)),"")</f>
        <v/>
      </c>
      <c r="C108">
        <f>IFERROR(INDEX(Catch!$E:$BV,MATCH($A108,Catch!$A:$A,0),MATCH($B$4,Catch!$E$1:$BV$1,0)),0)</f>
        <v/>
      </c>
      <c r="D108">
        <f>IFERROR(IF(ISNUMBER(INDEX(SPPR!$E:$X,MATCH($A108,SPPR!$A:$A,0),1)),$C108*INDEX(SPPR!$E:$X,MATCH($A108,SPPR!$A:$A,0),1),""),"")</f>
        <v/>
      </c>
      <c r="E108">
        <f>IFERROR(IF(ISNUMBER(INDEX(SPPR!$E:$X,MATCH($A108,SPPR!$A:$A,0),2)),$C108*INDEX(SPPR!$E:$X,MATCH($A108,SPPR!$A:$A,0),2),""),"")</f>
        <v/>
      </c>
      <c r="F108">
        <f>IFERROR(IF(ISNUMBER(INDEX(SPPR!$E:$X,MATCH($A108,SPPR!$A:$A,0),3)),$C108*INDEX(SPPR!$E:$X,MATCH($A108,SPPR!$A:$A,0),3),""),"")</f>
        <v/>
      </c>
      <c r="G108">
        <f>IFERROR(IF(ISNUMBER(INDEX(SPPR!$E:$X,MATCH($A108,SPPR!$A:$A,0),4)),$C108*INDEX(SPPR!$E:$X,MATCH($A108,SPPR!$A:$A,0),4),""),"")</f>
        <v/>
      </c>
      <c r="H108">
        <f>IFERROR(IF(ISNUMBER(INDEX(SPPR!$E:$X,MATCH($A108,SPPR!$A:$A,0),5)),$C108*INDEX(SPPR!$E:$X,MATCH($A108,SPPR!$A:$A,0),5),""),"")</f>
        <v/>
      </c>
      <c r="I108">
        <f>IFERROR(IF(ISNUMBER(INDEX(SPPR!$E:$X,MATCH($A108,SPPR!$A:$A,0),6)),$C108*INDEX(SPPR!$E:$X,MATCH($A108,SPPR!$A:$A,0),6),""),"")</f>
        <v/>
      </c>
      <c r="J108">
        <f>IFERROR(IF(ISNUMBER(INDEX(SPPR!$E:$X,MATCH($A108,SPPR!$A:$A,0),7)),$C108*INDEX(SPPR!$E:$X,MATCH($A108,SPPR!$A:$A,0),7),""),"")</f>
        <v/>
      </c>
      <c r="K108">
        <f>IFERROR(IF(ISNUMBER(INDEX(SPPR!$E:$X,MATCH($A108,SPPR!$A:$A,0),8)),$C108*INDEX(SPPR!$E:$X,MATCH($A108,SPPR!$A:$A,0),8),""),"")</f>
        <v/>
      </c>
      <c r="L108">
        <f>IFERROR(IF(ISNUMBER(INDEX(SPPR!$E:$X,MATCH($A108,SPPR!$A:$A,0),9)),$C108*INDEX(SPPR!$E:$X,MATCH($A108,SPPR!$A:$A,0),9),""),"")</f>
        <v/>
      </c>
      <c r="M108">
        <f>IFERROR(IF(ISNUMBER(INDEX(SPPR!$E:$X,MATCH($A108,SPPR!$A:$A,0),10)),$C108*INDEX(SPPR!$E:$X,MATCH($A108,SPPR!$A:$A,0),10),""),"")</f>
        <v/>
      </c>
      <c r="N108">
        <f>IFERROR(IF(ISNUMBER(INDEX(SPPR!$E:$X,MATCH($A108,SPPR!$A:$A,0),11)),$C108*INDEX(SPPR!$E:$X,MATCH($A108,SPPR!$A:$A,0),11),""),"")</f>
        <v/>
      </c>
      <c r="O108">
        <f>IFERROR(IF(ISNUMBER(INDEX(SPPR!$E:$X,MATCH($A108,SPPR!$A:$A,0),12)),$C108*INDEX(SPPR!$E:$X,MATCH($A108,SPPR!$A:$A,0),12),""),"")</f>
        <v/>
      </c>
      <c r="P108">
        <f>IFERROR(IF(ISNUMBER(INDEX(SPPR!$E:$X,MATCH($A108,SPPR!$A:$A,0),13)),$C108*INDEX(SPPR!$E:$X,MATCH($A108,SPPR!$A:$A,0),13),""),"")</f>
        <v/>
      </c>
      <c r="Q108">
        <f>IFERROR(IF(ISNUMBER(INDEX(SPPR!$E:$X,MATCH($A108,SPPR!$A:$A,0),14)),$C108*INDEX(SPPR!$E:$X,MATCH($A108,SPPR!$A:$A,0),14),""),"")</f>
        <v/>
      </c>
      <c r="R108">
        <f>IFERROR(IF(ISNUMBER(INDEX(SPPR!$E:$X,MATCH($A108,SPPR!$A:$A,0),15)),$C108*INDEX(SPPR!$E:$X,MATCH($A108,SPPR!$A:$A,0),15),""),"")</f>
        <v/>
      </c>
      <c r="S108">
        <f>IFERROR(IF(ISNUMBER(INDEX(SPPR!$E:$X,MATCH($A108,SPPR!$A:$A,0),16)),$C108*INDEX(SPPR!$E:$X,MATCH($A108,SPPR!$A:$A,0),16),""),"")</f>
        <v/>
      </c>
      <c r="T108">
        <f>IFERROR(IF(ISNUMBER(INDEX(SPPR!$E:$X,MATCH($A108,SPPR!$A:$A,0),17)),$C108*INDEX(SPPR!$E:$X,MATCH($A108,SPPR!$A:$A,0),17),""),"")</f>
        <v/>
      </c>
      <c r="U108">
        <f>IFERROR(IF(ISNUMBER(INDEX(SPPR!$E:$X,MATCH($A108,SPPR!$A:$A,0),18)),$C108*INDEX(SPPR!$E:$X,MATCH($A108,SPPR!$A:$A,0),18),""),"")</f>
        <v/>
      </c>
      <c r="V108">
        <f>IFERROR(IF(ISNUMBER(INDEX(SPPR!$E:$X,MATCH($A108,SPPR!$A:$A,0),19)),$C108*INDEX(SPPR!$E:$X,MATCH($A108,SPPR!$A:$A,0),19),""),"")</f>
        <v/>
      </c>
      <c r="W108">
        <f>IFERROR(IF(ISNUMBER(INDEX(SPPR!$E:$X,MATCH($A108,SPPR!$A:$A,0),20)),$C108*INDEX(SPPR!$E:$X,MATCH($A108,SPPR!$A:$A,0),20),""),"")</f>
        <v/>
      </c>
    </row>
    <row r="109">
      <c r="A109" t="inlineStr">
        <is>
          <t>Decapoda</t>
        </is>
      </c>
      <c r="B109">
        <f>IFERROR(INDEX(SPPR!$D:$D,MATCH($A109,SPPR!$A:$A,0)),"")</f>
        <v/>
      </c>
      <c r="C109">
        <f>IFERROR(INDEX(Catch!$E:$BV,MATCH($A109,Catch!$A:$A,0),MATCH($B$4,Catch!$E$1:$BV$1,0)),0)</f>
        <v/>
      </c>
      <c r="D109">
        <f>IFERROR(IF(ISNUMBER(INDEX(SPPR!$E:$X,MATCH($A109,SPPR!$A:$A,0),1)),$C109*INDEX(SPPR!$E:$X,MATCH($A109,SPPR!$A:$A,0),1),""),"")</f>
        <v/>
      </c>
      <c r="E109">
        <f>IFERROR(IF(ISNUMBER(INDEX(SPPR!$E:$X,MATCH($A109,SPPR!$A:$A,0),2)),$C109*INDEX(SPPR!$E:$X,MATCH($A109,SPPR!$A:$A,0),2),""),"")</f>
        <v/>
      </c>
      <c r="F109">
        <f>IFERROR(IF(ISNUMBER(INDEX(SPPR!$E:$X,MATCH($A109,SPPR!$A:$A,0),3)),$C109*INDEX(SPPR!$E:$X,MATCH($A109,SPPR!$A:$A,0),3),""),"")</f>
        <v/>
      </c>
      <c r="G109">
        <f>IFERROR(IF(ISNUMBER(INDEX(SPPR!$E:$X,MATCH($A109,SPPR!$A:$A,0),4)),$C109*INDEX(SPPR!$E:$X,MATCH($A109,SPPR!$A:$A,0),4),""),"")</f>
        <v/>
      </c>
      <c r="H109">
        <f>IFERROR(IF(ISNUMBER(INDEX(SPPR!$E:$X,MATCH($A109,SPPR!$A:$A,0),5)),$C109*INDEX(SPPR!$E:$X,MATCH($A109,SPPR!$A:$A,0),5),""),"")</f>
        <v/>
      </c>
      <c r="I109">
        <f>IFERROR(IF(ISNUMBER(INDEX(SPPR!$E:$X,MATCH($A109,SPPR!$A:$A,0),6)),$C109*INDEX(SPPR!$E:$X,MATCH($A109,SPPR!$A:$A,0),6),""),"")</f>
        <v/>
      </c>
      <c r="J109">
        <f>IFERROR(IF(ISNUMBER(INDEX(SPPR!$E:$X,MATCH($A109,SPPR!$A:$A,0),7)),$C109*INDEX(SPPR!$E:$X,MATCH($A109,SPPR!$A:$A,0),7),""),"")</f>
        <v/>
      </c>
      <c r="K109">
        <f>IFERROR(IF(ISNUMBER(INDEX(SPPR!$E:$X,MATCH($A109,SPPR!$A:$A,0),8)),$C109*INDEX(SPPR!$E:$X,MATCH($A109,SPPR!$A:$A,0),8),""),"")</f>
        <v/>
      </c>
      <c r="L109">
        <f>IFERROR(IF(ISNUMBER(INDEX(SPPR!$E:$X,MATCH($A109,SPPR!$A:$A,0),9)),$C109*INDEX(SPPR!$E:$X,MATCH($A109,SPPR!$A:$A,0),9),""),"")</f>
        <v/>
      </c>
      <c r="M109">
        <f>IFERROR(IF(ISNUMBER(INDEX(SPPR!$E:$X,MATCH($A109,SPPR!$A:$A,0),10)),$C109*INDEX(SPPR!$E:$X,MATCH($A109,SPPR!$A:$A,0),10),""),"")</f>
        <v/>
      </c>
      <c r="N109">
        <f>IFERROR(IF(ISNUMBER(INDEX(SPPR!$E:$X,MATCH($A109,SPPR!$A:$A,0),11)),$C109*INDEX(SPPR!$E:$X,MATCH($A109,SPPR!$A:$A,0),11),""),"")</f>
        <v/>
      </c>
      <c r="O109">
        <f>IFERROR(IF(ISNUMBER(INDEX(SPPR!$E:$X,MATCH($A109,SPPR!$A:$A,0),12)),$C109*INDEX(SPPR!$E:$X,MATCH($A109,SPPR!$A:$A,0),12),""),"")</f>
        <v/>
      </c>
      <c r="P109">
        <f>IFERROR(IF(ISNUMBER(INDEX(SPPR!$E:$X,MATCH($A109,SPPR!$A:$A,0),13)),$C109*INDEX(SPPR!$E:$X,MATCH($A109,SPPR!$A:$A,0),13),""),"")</f>
        <v/>
      </c>
      <c r="Q109">
        <f>IFERROR(IF(ISNUMBER(INDEX(SPPR!$E:$X,MATCH($A109,SPPR!$A:$A,0),14)),$C109*INDEX(SPPR!$E:$X,MATCH($A109,SPPR!$A:$A,0),14),""),"")</f>
        <v/>
      </c>
      <c r="R109">
        <f>IFERROR(IF(ISNUMBER(INDEX(SPPR!$E:$X,MATCH($A109,SPPR!$A:$A,0),15)),$C109*INDEX(SPPR!$E:$X,MATCH($A109,SPPR!$A:$A,0),15),""),"")</f>
        <v/>
      </c>
      <c r="S109">
        <f>IFERROR(IF(ISNUMBER(INDEX(SPPR!$E:$X,MATCH($A109,SPPR!$A:$A,0),16)),$C109*INDEX(SPPR!$E:$X,MATCH($A109,SPPR!$A:$A,0),16),""),"")</f>
        <v/>
      </c>
      <c r="T109">
        <f>IFERROR(IF(ISNUMBER(INDEX(SPPR!$E:$X,MATCH($A109,SPPR!$A:$A,0),17)),$C109*INDEX(SPPR!$E:$X,MATCH($A109,SPPR!$A:$A,0),17),""),"")</f>
        <v/>
      </c>
      <c r="U109">
        <f>IFERROR(IF(ISNUMBER(INDEX(SPPR!$E:$X,MATCH($A109,SPPR!$A:$A,0),18)),$C109*INDEX(SPPR!$E:$X,MATCH($A109,SPPR!$A:$A,0),18),""),"")</f>
        <v/>
      </c>
      <c r="V109">
        <f>IFERROR(IF(ISNUMBER(INDEX(SPPR!$E:$X,MATCH($A109,SPPR!$A:$A,0),19)),$C109*INDEX(SPPR!$E:$X,MATCH($A109,SPPR!$A:$A,0),19),""),"")</f>
        <v/>
      </c>
      <c r="W109">
        <f>IFERROR(IF(ISNUMBER(INDEX(SPPR!$E:$X,MATCH($A109,SPPR!$A:$A,0),20)),$C109*INDEX(SPPR!$E:$X,MATCH($A109,SPPR!$A:$A,0),20),""),"")</f>
        <v/>
      </c>
    </row>
    <row r="110">
      <c r="A110" t="inlineStr">
        <is>
          <t>Pseudograpsus setosus</t>
        </is>
      </c>
      <c r="B110">
        <f>IFERROR(INDEX(SPPR!$D:$D,MATCH($A110,SPPR!$A:$A,0)),"")</f>
        <v/>
      </c>
      <c r="C110">
        <f>IFERROR(INDEX(Catch!$E:$BV,MATCH($A110,Catch!$A:$A,0),MATCH($B$4,Catch!$E$1:$BV$1,0)),0)</f>
        <v/>
      </c>
      <c r="D110">
        <f>IFERROR(IF(ISNUMBER(INDEX(SPPR!$E:$X,MATCH($A110,SPPR!$A:$A,0),1)),$C110*INDEX(SPPR!$E:$X,MATCH($A110,SPPR!$A:$A,0),1),""),"")</f>
        <v/>
      </c>
      <c r="E110">
        <f>IFERROR(IF(ISNUMBER(INDEX(SPPR!$E:$X,MATCH($A110,SPPR!$A:$A,0),2)),$C110*INDEX(SPPR!$E:$X,MATCH($A110,SPPR!$A:$A,0),2),""),"")</f>
        <v/>
      </c>
      <c r="F110">
        <f>IFERROR(IF(ISNUMBER(INDEX(SPPR!$E:$X,MATCH($A110,SPPR!$A:$A,0),3)),$C110*INDEX(SPPR!$E:$X,MATCH($A110,SPPR!$A:$A,0),3),""),"")</f>
        <v/>
      </c>
      <c r="G110">
        <f>IFERROR(IF(ISNUMBER(INDEX(SPPR!$E:$X,MATCH($A110,SPPR!$A:$A,0),4)),$C110*INDEX(SPPR!$E:$X,MATCH($A110,SPPR!$A:$A,0),4),""),"")</f>
        <v/>
      </c>
      <c r="H110">
        <f>IFERROR(IF(ISNUMBER(INDEX(SPPR!$E:$X,MATCH($A110,SPPR!$A:$A,0),5)),$C110*INDEX(SPPR!$E:$X,MATCH($A110,SPPR!$A:$A,0),5),""),"")</f>
        <v/>
      </c>
      <c r="I110">
        <f>IFERROR(IF(ISNUMBER(INDEX(SPPR!$E:$X,MATCH($A110,SPPR!$A:$A,0),6)),$C110*INDEX(SPPR!$E:$X,MATCH($A110,SPPR!$A:$A,0),6),""),"")</f>
        <v/>
      </c>
      <c r="J110">
        <f>IFERROR(IF(ISNUMBER(INDEX(SPPR!$E:$X,MATCH($A110,SPPR!$A:$A,0),7)),$C110*INDEX(SPPR!$E:$X,MATCH($A110,SPPR!$A:$A,0),7),""),"")</f>
        <v/>
      </c>
      <c r="K110">
        <f>IFERROR(IF(ISNUMBER(INDEX(SPPR!$E:$X,MATCH($A110,SPPR!$A:$A,0),8)),$C110*INDEX(SPPR!$E:$X,MATCH($A110,SPPR!$A:$A,0),8),""),"")</f>
        <v/>
      </c>
      <c r="L110">
        <f>IFERROR(IF(ISNUMBER(INDEX(SPPR!$E:$X,MATCH($A110,SPPR!$A:$A,0),9)),$C110*INDEX(SPPR!$E:$X,MATCH($A110,SPPR!$A:$A,0),9),""),"")</f>
        <v/>
      </c>
      <c r="M110">
        <f>IFERROR(IF(ISNUMBER(INDEX(SPPR!$E:$X,MATCH($A110,SPPR!$A:$A,0),10)),$C110*INDEX(SPPR!$E:$X,MATCH($A110,SPPR!$A:$A,0),10),""),"")</f>
        <v/>
      </c>
      <c r="N110">
        <f>IFERROR(IF(ISNUMBER(INDEX(SPPR!$E:$X,MATCH($A110,SPPR!$A:$A,0),11)),$C110*INDEX(SPPR!$E:$X,MATCH($A110,SPPR!$A:$A,0),11),""),"")</f>
        <v/>
      </c>
      <c r="O110">
        <f>IFERROR(IF(ISNUMBER(INDEX(SPPR!$E:$X,MATCH($A110,SPPR!$A:$A,0),12)),$C110*INDEX(SPPR!$E:$X,MATCH($A110,SPPR!$A:$A,0),12),""),"")</f>
        <v/>
      </c>
      <c r="P110">
        <f>IFERROR(IF(ISNUMBER(INDEX(SPPR!$E:$X,MATCH($A110,SPPR!$A:$A,0),13)),$C110*INDEX(SPPR!$E:$X,MATCH($A110,SPPR!$A:$A,0),13),""),"")</f>
        <v/>
      </c>
      <c r="Q110">
        <f>IFERROR(IF(ISNUMBER(INDEX(SPPR!$E:$X,MATCH($A110,SPPR!$A:$A,0),14)),$C110*INDEX(SPPR!$E:$X,MATCH($A110,SPPR!$A:$A,0),14),""),"")</f>
        <v/>
      </c>
      <c r="R110">
        <f>IFERROR(IF(ISNUMBER(INDEX(SPPR!$E:$X,MATCH($A110,SPPR!$A:$A,0),15)),$C110*INDEX(SPPR!$E:$X,MATCH($A110,SPPR!$A:$A,0),15),""),"")</f>
        <v/>
      </c>
      <c r="S110">
        <f>IFERROR(IF(ISNUMBER(INDEX(SPPR!$E:$X,MATCH($A110,SPPR!$A:$A,0),16)),$C110*INDEX(SPPR!$E:$X,MATCH($A110,SPPR!$A:$A,0),16),""),"")</f>
        <v/>
      </c>
      <c r="T110">
        <f>IFERROR(IF(ISNUMBER(INDEX(SPPR!$E:$X,MATCH($A110,SPPR!$A:$A,0),17)),$C110*INDEX(SPPR!$E:$X,MATCH($A110,SPPR!$A:$A,0),17),""),"")</f>
        <v/>
      </c>
      <c r="U110">
        <f>IFERROR(IF(ISNUMBER(INDEX(SPPR!$E:$X,MATCH($A110,SPPR!$A:$A,0),18)),$C110*INDEX(SPPR!$E:$X,MATCH($A110,SPPR!$A:$A,0),18),""),"")</f>
        <v/>
      </c>
      <c r="V110">
        <f>IFERROR(IF(ISNUMBER(INDEX(SPPR!$E:$X,MATCH($A110,SPPR!$A:$A,0),19)),$C110*INDEX(SPPR!$E:$X,MATCH($A110,SPPR!$A:$A,0),19),""),"")</f>
        <v/>
      </c>
      <c r="W110">
        <f>IFERROR(IF(ISNUMBER(INDEX(SPPR!$E:$X,MATCH($A110,SPPR!$A:$A,0),20)),$C110*INDEX(SPPR!$E:$X,MATCH($A110,SPPR!$A:$A,0),20),""),"")</f>
        <v/>
      </c>
    </row>
    <row r="111">
      <c r="A111" t="inlineStr">
        <is>
          <t>Chorus giganteus</t>
        </is>
      </c>
      <c r="B111">
        <f>IFERROR(INDEX(SPPR!$D:$D,MATCH($A111,SPPR!$A:$A,0)),"")</f>
        <v/>
      </c>
      <c r="C111">
        <f>IFERROR(INDEX(Catch!$E:$BV,MATCH($A111,Catch!$A:$A,0),MATCH($B$4,Catch!$E$1:$BV$1,0)),0)</f>
        <v/>
      </c>
      <c r="D111">
        <f>IFERROR(IF(ISNUMBER(INDEX(SPPR!$E:$X,MATCH($A111,SPPR!$A:$A,0),1)),$C111*INDEX(SPPR!$E:$X,MATCH($A111,SPPR!$A:$A,0),1),""),"")</f>
        <v/>
      </c>
      <c r="E111">
        <f>IFERROR(IF(ISNUMBER(INDEX(SPPR!$E:$X,MATCH($A111,SPPR!$A:$A,0),2)),$C111*INDEX(SPPR!$E:$X,MATCH($A111,SPPR!$A:$A,0),2),""),"")</f>
        <v/>
      </c>
      <c r="F111">
        <f>IFERROR(IF(ISNUMBER(INDEX(SPPR!$E:$X,MATCH($A111,SPPR!$A:$A,0),3)),$C111*INDEX(SPPR!$E:$X,MATCH($A111,SPPR!$A:$A,0),3),""),"")</f>
        <v/>
      </c>
      <c r="G111">
        <f>IFERROR(IF(ISNUMBER(INDEX(SPPR!$E:$X,MATCH($A111,SPPR!$A:$A,0),4)),$C111*INDEX(SPPR!$E:$X,MATCH($A111,SPPR!$A:$A,0),4),""),"")</f>
        <v/>
      </c>
      <c r="H111">
        <f>IFERROR(IF(ISNUMBER(INDEX(SPPR!$E:$X,MATCH($A111,SPPR!$A:$A,0),5)),$C111*INDEX(SPPR!$E:$X,MATCH($A111,SPPR!$A:$A,0),5),""),"")</f>
        <v/>
      </c>
      <c r="I111">
        <f>IFERROR(IF(ISNUMBER(INDEX(SPPR!$E:$X,MATCH($A111,SPPR!$A:$A,0),6)),$C111*INDEX(SPPR!$E:$X,MATCH($A111,SPPR!$A:$A,0),6),""),"")</f>
        <v/>
      </c>
      <c r="J111">
        <f>IFERROR(IF(ISNUMBER(INDEX(SPPR!$E:$X,MATCH($A111,SPPR!$A:$A,0),7)),$C111*INDEX(SPPR!$E:$X,MATCH($A111,SPPR!$A:$A,0),7),""),"")</f>
        <v/>
      </c>
      <c r="K111">
        <f>IFERROR(IF(ISNUMBER(INDEX(SPPR!$E:$X,MATCH($A111,SPPR!$A:$A,0),8)),$C111*INDEX(SPPR!$E:$X,MATCH($A111,SPPR!$A:$A,0),8),""),"")</f>
        <v/>
      </c>
      <c r="L111">
        <f>IFERROR(IF(ISNUMBER(INDEX(SPPR!$E:$X,MATCH($A111,SPPR!$A:$A,0),9)),$C111*INDEX(SPPR!$E:$X,MATCH($A111,SPPR!$A:$A,0),9),""),"")</f>
        <v/>
      </c>
      <c r="M111">
        <f>IFERROR(IF(ISNUMBER(INDEX(SPPR!$E:$X,MATCH($A111,SPPR!$A:$A,0),10)),$C111*INDEX(SPPR!$E:$X,MATCH($A111,SPPR!$A:$A,0),10),""),"")</f>
        <v/>
      </c>
      <c r="N111">
        <f>IFERROR(IF(ISNUMBER(INDEX(SPPR!$E:$X,MATCH($A111,SPPR!$A:$A,0),11)),$C111*INDEX(SPPR!$E:$X,MATCH($A111,SPPR!$A:$A,0),11),""),"")</f>
        <v/>
      </c>
      <c r="O111">
        <f>IFERROR(IF(ISNUMBER(INDEX(SPPR!$E:$X,MATCH($A111,SPPR!$A:$A,0),12)),$C111*INDEX(SPPR!$E:$X,MATCH($A111,SPPR!$A:$A,0),12),""),"")</f>
        <v/>
      </c>
      <c r="P111">
        <f>IFERROR(IF(ISNUMBER(INDEX(SPPR!$E:$X,MATCH($A111,SPPR!$A:$A,0),13)),$C111*INDEX(SPPR!$E:$X,MATCH($A111,SPPR!$A:$A,0),13),""),"")</f>
        <v/>
      </c>
      <c r="Q111">
        <f>IFERROR(IF(ISNUMBER(INDEX(SPPR!$E:$X,MATCH($A111,SPPR!$A:$A,0),14)),$C111*INDEX(SPPR!$E:$X,MATCH($A111,SPPR!$A:$A,0),14),""),"")</f>
        <v/>
      </c>
      <c r="R111">
        <f>IFERROR(IF(ISNUMBER(INDEX(SPPR!$E:$X,MATCH($A111,SPPR!$A:$A,0),15)),$C111*INDEX(SPPR!$E:$X,MATCH($A111,SPPR!$A:$A,0),15),""),"")</f>
        <v/>
      </c>
      <c r="S111">
        <f>IFERROR(IF(ISNUMBER(INDEX(SPPR!$E:$X,MATCH($A111,SPPR!$A:$A,0),16)),$C111*INDEX(SPPR!$E:$X,MATCH($A111,SPPR!$A:$A,0),16),""),"")</f>
        <v/>
      </c>
      <c r="T111">
        <f>IFERROR(IF(ISNUMBER(INDEX(SPPR!$E:$X,MATCH($A111,SPPR!$A:$A,0),17)),$C111*INDEX(SPPR!$E:$X,MATCH($A111,SPPR!$A:$A,0),17),""),"")</f>
        <v/>
      </c>
      <c r="U111">
        <f>IFERROR(IF(ISNUMBER(INDEX(SPPR!$E:$X,MATCH($A111,SPPR!$A:$A,0),18)),$C111*INDEX(SPPR!$E:$X,MATCH($A111,SPPR!$A:$A,0),18),""),"")</f>
        <v/>
      </c>
      <c r="V111">
        <f>IFERROR(IF(ISNUMBER(INDEX(SPPR!$E:$X,MATCH($A111,SPPR!$A:$A,0),19)),$C111*INDEX(SPPR!$E:$X,MATCH($A111,SPPR!$A:$A,0),19),""),"")</f>
        <v/>
      </c>
      <c r="W111">
        <f>IFERROR(IF(ISNUMBER(INDEX(SPPR!$E:$X,MATCH($A111,SPPR!$A:$A,0),20)),$C111*INDEX(SPPR!$E:$X,MATCH($A111,SPPR!$A:$A,0),20),""),"")</f>
        <v/>
      </c>
    </row>
    <row r="112">
      <c r="A112" t="inlineStr">
        <is>
          <t>Stellifer minor</t>
        </is>
      </c>
      <c r="B112">
        <f>IFERROR(INDEX(SPPR!$D:$D,MATCH($A112,SPPR!$A:$A,0)),"")</f>
        <v/>
      </c>
      <c r="C112">
        <f>IFERROR(INDEX(Catch!$E:$BV,MATCH($A112,Catch!$A:$A,0),MATCH($B$4,Catch!$E$1:$BV$1,0)),0)</f>
        <v/>
      </c>
      <c r="D112">
        <f>IFERROR(IF(ISNUMBER(INDEX(SPPR!$E:$X,MATCH($A112,SPPR!$A:$A,0),1)),$C112*INDEX(SPPR!$E:$X,MATCH($A112,SPPR!$A:$A,0),1),""),"")</f>
        <v/>
      </c>
      <c r="E112">
        <f>IFERROR(IF(ISNUMBER(INDEX(SPPR!$E:$X,MATCH($A112,SPPR!$A:$A,0),2)),$C112*INDEX(SPPR!$E:$X,MATCH($A112,SPPR!$A:$A,0),2),""),"")</f>
        <v/>
      </c>
      <c r="F112">
        <f>IFERROR(IF(ISNUMBER(INDEX(SPPR!$E:$X,MATCH($A112,SPPR!$A:$A,0),3)),$C112*INDEX(SPPR!$E:$X,MATCH($A112,SPPR!$A:$A,0),3),""),"")</f>
        <v/>
      </c>
      <c r="G112">
        <f>IFERROR(IF(ISNUMBER(INDEX(SPPR!$E:$X,MATCH($A112,SPPR!$A:$A,0),4)),$C112*INDEX(SPPR!$E:$X,MATCH($A112,SPPR!$A:$A,0),4),""),"")</f>
        <v/>
      </c>
      <c r="H112">
        <f>IFERROR(IF(ISNUMBER(INDEX(SPPR!$E:$X,MATCH($A112,SPPR!$A:$A,0),5)),$C112*INDEX(SPPR!$E:$X,MATCH($A112,SPPR!$A:$A,0),5),""),"")</f>
        <v/>
      </c>
      <c r="I112">
        <f>IFERROR(IF(ISNUMBER(INDEX(SPPR!$E:$X,MATCH($A112,SPPR!$A:$A,0),6)),$C112*INDEX(SPPR!$E:$X,MATCH($A112,SPPR!$A:$A,0),6),""),"")</f>
        <v/>
      </c>
      <c r="J112">
        <f>IFERROR(IF(ISNUMBER(INDEX(SPPR!$E:$X,MATCH($A112,SPPR!$A:$A,0),7)),$C112*INDEX(SPPR!$E:$X,MATCH($A112,SPPR!$A:$A,0),7),""),"")</f>
        <v/>
      </c>
      <c r="K112">
        <f>IFERROR(IF(ISNUMBER(INDEX(SPPR!$E:$X,MATCH($A112,SPPR!$A:$A,0),8)),$C112*INDEX(SPPR!$E:$X,MATCH($A112,SPPR!$A:$A,0),8),""),"")</f>
        <v/>
      </c>
      <c r="L112">
        <f>IFERROR(IF(ISNUMBER(INDEX(SPPR!$E:$X,MATCH($A112,SPPR!$A:$A,0),9)),$C112*INDEX(SPPR!$E:$X,MATCH($A112,SPPR!$A:$A,0),9),""),"")</f>
        <v/>
      </c>
      <c r="M112">
        <f>IFERROR(IF(ISNUMBER(INDEX(SPPR!$E:$X,MATCH($A112,SPPR!$A:$A,0),10)),$C112*INDEX(SPPR!$E:$X,MATCH($A112,SPPR!$A:$A,0),10),""),"")</f>
        <v/>
      </c>
      <c r="N112">
        <f>IFERROR(IF(ISNUMBER(INDEX(SPPR!$E:$X,MATCH($A112,SPPR!$A:$A,0),11)),$C112*INDEX(SPPR!$E:$X,MATCH($A112,SPPR!$A:$A,0),11),""),"")</f>
        <v/>
      </c>
      <c r="O112">
        <f>IFERROR(IF(ISNUMBER(INDEX(SPPR!$E:$X,MATCH($A112,SPPR!$A:$A,0),12)),$C112*INDEX(SPPR!$E:$X,MATCH($A112,SPPR!$A:$A,0),12),""),"")</f>
        <v/>
      </c>
      <c r="P112">
        <f>IFERROR(IF(ISNUMBER(INDEX(SPPR!$E:$X,MATCH($A112,SPPR!$A:$A,0),13)),$C112*INDEX(SPPR!$E:$X,MATCH($A112,SPPR!$A:$A,0),13),""),"")</f>
        <v/>
      </c>
      <c r="Q112">
        <f>IFERROR(IF(ISNUMBER(INDEX(SPPR!$E:$X,MATCH($A112,SPPR!$A:$A,0),14)),$C112*INDEX(SPPR!$E:$X,MATCH($A112,SPPR!$A:$A,0),14),""),"")</f>
        <v/>
      </c>
      <c r="R112">
        <f>IFERROR(IF(ISNUMBER(INDEX(SPPR!$E:$X,MATCH($A112,SPPR!$A:$A,0),15)),$C112*INDEX(SPPR!$E:$X,MATCH($A112,SPPR!$A:$A,0),15),""),"")</f>
        <v/>
      </c>
      <c r="S112">
        <f>IFERROR(IF(ISNUMBER(INDEX(SPPR!$E:$X,MATCH($A112,SPPR!$A:$A,0),16)),$C112*INDEX(SPPR!$E:$X,MATCH($A112,SPPR!$A:$A,0),16),""),"")</f>
        <v/>
      </c>
      <c r="T112">
        <f>IFERROR(IF(ISNUMBER(INDEX(SPPR!$E:$X,MATCH($A112,SPPR!$A:$A,0),17)),$C112*INDEX(SPPR!$E:$X,MATCH($A112,SPPR!$A:$A,0),17),""),"")</f>
        <v/>
      </c>
      <c r="U112">
        <f>IFERROR(IF(ISNUMBER(INDEX(SPPR!$E:$X,MATCH($A112,SPPR!$A:$A,0),18)),$C112*INDEX(SPPR!$E:$X,MATCH($A112,SPPR!$A:$A,0),18),""),"")</f>
        <v/>
      </c>
      <c r="V112">
        <f>IFERROR(IF(ISNUMBER(INDEX(SPPR!$E:$X,MATCH($A112,SPPR!$A:$A,0),19)),$C112*INDEX(SPPR!$E:$X,MATCH($A112,SPPR!$A:$A,0),19),""),"")</f>
        <v/>
      </c>
      <c r="W112">
        <f>IFERROR(IF(ISNUMBER(INDEX(SPPR!$E:$X,MATCH($A112,SPPR!$A:$A,0),20)),$C112*INDEX(SPPR!$E:$X,MATCH($A112,SPPR!$A:$A,0),20),""),"")</f>
        <v/>
      </c>
    </row>
    <row r="113">
      <c r="A113" t="inlineStr">
        <is>
          <t>Cancer porteri</t>
        </is>
      </c>
      <c r="B113">
        <f>IFERROR(INDEX(SPPR!$D:$D,MATCH($A113,SPPR!$A:$A,0)),"")</f>
        <v/>
      </c>
      <c r="C113">
        <f>IFERROR(INDEX(Catch!$E:$BV,MATCH($A113,Catch!$A:$A,0),MATCH($B$4,Catch!$E$1:$BV$1,0)),0)</f>
        <v/>
      </c>
      <c r="D113">
        <f>IFERROR(IF(ISNUMBER(INDEX(SPPR!$E:$X,MATCH($A113,SPPR!$A:$A,0),1)),$C113*INDEX(SPPR!$E:$X,MATCH($A113,SPPR!$A:$A,0),1),""),"")</f>
        <v/>
      </c>
      <c r="E113">
        <f>IFERROR(IF(ISNUMBER(INDEX(SPPR!$E:$X,MATCH($A113,SPPR!$A:$A,0),2)),$C113*INDEX(SPPR!$E:$X,MATCH($A113,SPPR!$A:$A,0),2),""),"")</f>
        <v/>
      </c>
      <c r="F113">
        <f>IFERROR(IF(ISNUMBER(INDEX(SPPR!$E:$X,MATCH($A113,SPPR!$A:$A,0),3)),$C113*INDEX(SPPR!$E:$X,MATCH($A113,SPPR!$A:$A,0),3),""),"")</f>
        <v/>
      </c>
      <c r="G113">
        <f>IFERROR(IF(ISNUMBER(INDEX(SPPR!$E:$X,MATCH($A113,SPPR!$A:$A,0),4)),$C113*INDEX(SPPR!$E:$X,MATCH($A113,SPPR!$A:$A,0),4),""),"")</f>
        <v/>
      </c>
      <c r="H113">
        <f>IFERROR(IF(ISNUMBER(INDEX(SPPR!$E:$X,MATCH($A113,SPPR!$A:$A,0),5)),$C113*INDEX(SPPR!$E:$X,MATCH($A113,SPPR!$A:$A,0),5),""),"")</f>
        <v/>
      </c>
      <c r="I113">
        <f>IFERROR(IF(ISNUMBER(INDEX(SPPR!$E:$X,MATCH($A113,SPPR!$A:$A,0),6)),$C113*INDEX(SPPR!$E:$X,MATCH($A113,SPPR!$A:$A,0),6),""),"")</f>
        <v/>
      </c>
      <c r="J113">
        <f>IFERROR(IF(ISNUMBER(INDEX(SPPR!$E:$X,MATCH($A113,SPPR!$A:$A,0),7)),$C113*INDEX(SPPR!$E:$X,MATCH($A113,SPPR!$A:$A,0),7),""),"")</f>
        <v/>
      </c>
      <c r="K113">
        <f>IFERROR(IF(ISNUMBER(INDEX(SPPR!$E:$X,MATCH($A113,SPPR!$A:$A,0),8)),$C113*INDEX(SPPR!$E:$X,MATCH($A113,SPPR!$A:$A,0),8),""),"")</f>
        <v/>
      </c>
      <c r="L113">
        <f>IFERROR(IF(ISNUMBER(INDEX(SPPR!$E:$X,MATCH($A113,SPPR!$A:$A,0),9)),$C113*INDEX(SPPR!$E:$X,MATCH($A113,SPPR!$A:$A,0),9),""),"")</f>
        <v/>
      </c>
      <c r="M113">
        <f>IFERROR(IF(ISNUMBER(INDEX(SPPR!$E:$X,MATCH($A113,SPPR!$A:$A,0),10)),$C113*INDEX(SPPR!$E:$X,MATCH($A113,SPPR!$A:$A,0),10),""),"")</f>
        <v/>
      </c>
      <c r="N113">
        <f>IFERROR(IF(ISNUMBER(INDEX(SPPR!$E:$X,MATCH($A113,SPPR!$A:$A,0),11)),$C113*INDEX(SPPR!$E:$X,MATCH($A113,SPPR!$A:$A,0),11),""),"")</f>
        <v/>
      </c>
      <c r="O113">
        <f>IFERROR(IF(ISNUMBER(INDEX(SPPR!$E:$X,MATCH($A113,SPPR!$A:$A,0),12)),$C113*INDEX(SPPR!$E:$X,MATCH($A113,SPPR!$A:$A,0),12),""),"")</f>
        <v/>
      </c>
      <c r="P113">
        <f>IFERROR(IF(ISNUMBER(INDEX(SPPR!$E:$X,MATCH($A113,SPPR!$A:$A,0),13)),$C113*INDEX(SPPR!$E:$X,MATCH($A113,SPPR!$A:$A,0),13),""),"")</f>
        <v/>
      </c>
      <c r="Q113">
        <f>IFERROR(IF(ISNUMBER(INDEX(SPPR!$E:$X,MATCH($A113,SPPR!$A:$A,0),14)),$C113*INDEX(SPPR!$E:$X,MATCH($A113,SPPR!$A:$A,0),14),""),"")</f>
        <v/>
      </c>
      <c r="R113">
        <f>IFERROR(IF(ISNUMBER(INDEX(SPPR!$E:$X,MATCH($A113,SPPR!$A:$A,0),15)),$C113*INDEX(SPPR!$E:$X,MATCH($A113,SPPR!$A:$A,0),15),""),"")</f>
        <v/>
      </c>
      <c r="S113">
        <f>IFERROR(IF(ISNUMBER(INDEX(SPPR!$E:$X,MATCH($A113,SPPR!$A:$A,0),16)),$C113*INDEX(SPPR!$E:$X,MATCH($A113,SPPR!$A:$A,0),16),""),"")</f>
        <v/>
      </c>
      <c r="T113">
        <f>IFERROR(IF(ISNUMBER(INDEX(SPPR!$E:$X,MATCH($A113,SPPR!$A:$A,0),17)),$C113*INDEX(SPPR!$E:$X,MATCH($A113,SPPR!$A:$A,0),17),""),"")</f>
        <v/>
      </c>
      <c r="U113">
        <f>IFERROR(IF(ISNUMBER(INDEX(SPPR!$E:$X,MATCH($A113,SPPR!$A:$A,0),18)),$C113*INDEX(SPPR!$E:$X,MATCH($A113,SPPR!$A:$A,0),18),""),"")</f>
        <v/>
      </c>
      <c r="V113">
        <f>IFERROR(IF(ISNUMBER(INDEX(SPPR!$E:$X,MATCH($A113,SPPR!$A:$A,0),19)),$C113*INDEX(SPPR!$E:$X,MATCH($A113,SPPR!$A:$A,0),19),""),"")</f>
        <v/>
      </c>
      <c r="W113">
        <f>IFERROR(IF(ISNUMBER(INDEX(SPPR!$E:$X,MATCH($A113,SPPR!$A:$A,0),20)),$C113*INDEX(SPPR!$E:$X,MATCH($A113,SPPR!$A:$A,0),20),""),"")</f>
        <v/>
      </c>
    </row>
    <row r="114">
      <c r="A114" t="inlineStr">
        <is>
          <t>Argobuccinum pustulosum</t>
        </is>
      </c>
      <c r="B114">
        <f>IFERROR(INDEX(SPPR!$D:$D,MATCH($A114,SPPR!$A:$A,0)),"")</f>
        <v/>
      </c>
      <c r="C114">
        <f>IFERROR(INDEX(Catch!$E:$BV,MATCH($A114,Catch!$A:$A,0),MATCH($B$4,Catch!$E$1:$BV$1,0)),0)</f>
        <v/>
      </c>
      <c r="D114">
        <f>IFERROR(IF(ISNUMBER(INDEX(SPPR!$E:$X,MATCH($A114,SPPR!$A:$A,0),1)),$C114*INDEX(SPPR!$E:$X,MATCH($A114,SPPR!$A:$A,0),1),""),"")</f>
        <v/>
      </c>
      <c r="E114">
        <f>IFERROR(IF(ISNUMBER(INDEX(SPPR!$E:$X,MATCH($A114,SPPR!$A:$A,0),2)),$C114*INDEX(SPPR!$E:$X,MATCH($A114,SPPR!$A:$A,0),2),""),"")</f>
        <v/>
      </c>
      <c r="F114">
        <f>IFERROR(IF(ISNUMBER(INDEX(SPPR!$E:$X,MATCH($A114,SPPR!$A:$A,0),3)),$C114*INDEX(SPPR!$E:$X,MATCH($A114,SPPR!$A:$A,0),3),""),"")</f>
        <v/>
      </c>
      <c r="G114">
        <f>IFERROR(IF(ISNUMBER(INDEX(SPPR!$E:$X,MATCH($A114,SPPR!$A:$A,0),4)),$C114*INDEX(SPPR!$E:$X,MATCH($A114,SPPR!$A:$A,0),4),""),"")</f>
        <v/>
      </c>
      <c r="H114">
        <f>IFERROR(IF(ISNUMBER(INDEX(SPPR!$E:$X,MATCH($A114,SPPR!$A:$A,0),5)),$C114*INDEX(SPPR!$E:$X,MATCH($A114,SPPR!$A:$A,0),5),""),"")</f>
        <v/>
      </c>
      <c r="I114">
        <f>IFERROR(IF(ISNUMBER(INDEX(SPPR!$E:$X,MATCH($A114,SPPR!$A:$A,0),6)),$C114*INDEX(SPPR!$E:$X,MATCH($A114,SPPR!$A:$A,0),6),""),"")</f>
        <v/>
      </c>
      <c r="J114">
        <f>IFERROR(IF(ISNUMBER(INDEX(SPPR!$E:$X,MATCH($A114,SPPR!$A:$A,0),7)),$C114*INDEX(SPPR!$E:$X,MATCH($A114,SPPR!$A:$A,0),7),""),"")</f>
        <v/>
      </c>
      <c r="K114">
        <f>IFERROR(IF(ISNUMBER(INDEX(SPPR!$E:$X,MATCH($A114,SPPR!$A:$A,0),8)),$C114*INDEX(SPPR!$E:$X,MATCH($A114,SPPR!$A:$A,0),8),""),"")</f>
        <v/>
      </c>
      <c r="L114">
        <f>IFERROR(IF(ISNUMBER(INDEX(SPPR!$E:$X,MATCH($A114,SPPR!$A:$A,0),9)),$C114*INDEX(SPPR!$E:$X,MATCH($A114,SPPR!$A:$A,0),9),""),"")</f>
        <v/>
      </c>
      <c r="M114">
        <f>IFERROR(IF(ISNUMBER(INDEX(SPPR!$E:$X,MATCH($A114,SPPR!$A:$A,0),10)),$C114*INDEX(SPPR!$E:$X,MATCH($A114,SPPR!$A:$A,0),10),""),"")</f>
        <v/>
      </c>
      <c r="N114">
        <f>IFERROR(IF(ISNUMBER(INDEX(SPPR!$E:$X,MATCH($A114,SPPR!$A:$A,0),11)),$C114*INDEX(SPPR!$E:$X,MATCH($A114,SPPR!$A:$A,0),11),""),"")</f>
        <v/>
      </c>
      <c r="O114">
        <f>IFERROR(IF(ISNUMBER(INDEX(SPPR!$E:$X,MATCH($A114,SPPR!$A:$A,0),12)),$C114*INDEX(SPPR!$E:$X,MATCH($A114,SPPR!$A:$A,0),12),""),"")</f>
        <v/>
      </c>
      <c r="P114">
        <f>IFERROR(IF(ISNUMBER(INDEX(SPPR!$E:$X,MATCH($A114,SPPR!$A:$A,0),13)),$C114*INDEX(SPPR!$E:$X,MATCH($A114,SPPR!$A:$A,0),13),""),"")</f>
        <v/>
      </c>
      <c r="Q114">
        <f>IFERROR(IF(ISNUMBER(INDEX(SPPR!$E:$X,MATCH($A114,SPPR!$A:$A,0),14)),$C114*INDEX(SPPR!$E:$X,MATCH($A114,SPPR!$A:$A,0),14),""),"")</f>
        <v/>
      </c>
      <c r="R114">
        <f>IFERROR(IF(ISNUMBER(INDEX(SPPR!$E:$X,MATCH($A114,SPPR!$A:$A,0),15)),$C114*INDEX(SPPR!$E:$X,MATCH($A114,SPPR!$A:$A,0),15),""),"")</f>
        <v/>
      </c>
      <c r="S114">
        <f>IFERROR(IF(ISNUMBER(INDEX(SPPR!$E:$X,MATCH($A114,SPPR!$A:$A,0),16)),$C114*INDEX(SPPR!$E:$X,MATCH($A114,SPPR!$A:$A,0),16),""),"")</f>
        <v/>
      </c>
      <c r="T114">
        <f>IFERROR(IF(ISNUMBER(INDEX(SPPR!$E:$X,MATCH($A114,SPPR!$A:$A,0),17)),$C114*INDEX(SPPR!$E:$X,MATCH($A114,SPPR!$A:$A,0),17),""),"")</f>
        <v/>
      </c>
      <c r="U114">
        <f>IFERROR(IF(ISNUMBER(INDEX(SPPR!$E:$X,MATCH($A114,SPPR!$A:$A,0),18)),$C114*INDEX(SPPR!$E:$X,MATCH($A114,SPPR!$A:$A,0),18),""),"")</f>
        <v/>
      </c>
      <c r="V114">
        <f>IFERROR(IF(ISNUMBER(INDEX(SPPR!$E:$X,MATCH($A114,SPPR!$A:$A,0),19)),$C114*INDEX(SPPR!$E:$X,MATCH($A114,SPPR!$A:$A,0),19),""),"")</f>
        <v/>
      </c>
      <c r="W114">
        <f>IFERROR(IF(ISNUMBER(INDEX(SPPR!$E:$X,MATCH($A114,SPPR!$A:$A,0),20)),$C114*INDEX(SPPR!$E:$X,MATCH($A114,SPPR!$A:$A,0),20),""),"")</f>
        <v/>
      </c>
    </row>
    <row r="115">
      <c r="A115" t="inlineStr">
        <is>
          <t>Gari solida</t>
        </is>
      </c>
      <c r="B115">
        <f>IFERROR(INDEX(SPPR!$D:$D,MATCH($A115,SPPR!$A:$A,0)),"")</f>
        <v/>
      </c>
      <c r="C115">
        <f>IFERROR(INDEX(Catch!$E:$BV,MATCH($A115,Catch!$A:$A,0),MATCH($B$4,Catch!$E$1:$BV$1,0)),0)</f>
        <v/>
      </c>
      <c r="D115">
        <f>IFERROR(IF(ISNUMBER(INDEX(SPPR!$E:$X,MATCH($A115,SPPR!$A:$A,0),1)),$C115*INDEX(SPPR!$E:$X,MATCH($A115,SPPR!$A:$A,0),1),""),"")</f>
        <v/>
      </c>
      <c r="E115">
        <f>IFERROR(IF(ISNUMBER(INDEX(SPPR!$E:$X,MATCH($A115,SPPR!$A:$A,0),2)),$C115*INDEX(SPPR!$E:$X,MATCH($A115,SPPR!$A:$A,0),2),""),"")</f>
        <v/>
      </c>
      <c r="F115">
        <f>IFERROR(IF(ISNUMBER(INDEX(SPPR!$E:$X,MATCH($A115,SPPR!$A:$A,0),3)),$C115*INDEX(SPPR!$E:$X,MATCH($A115,SPPR!$A:$A,0),3),""),"")</f>
        <v/>
      </c>
      <c r="G115">
        <f>IFERROR(IF(ISNUMBER(INDEX(SPPR!$E:$X,MATCH($A115,SPPR!$A:$A,0),4)),$C115*INDEX(SPPR!$E:$X,MATCH($A115,SPPR!$A:$A,0),4),""),"")</f>
        <v/>
      </c>
      <c r="H115">
        <f>IFERROR(IF(ISNUMBER(INDEX(SPPR!$E:$X,MATCH($A115,SPPR!$A:$A,0),5)),$C115*INDEX(SPPR!$E:$X,MATCH($A115,SPPR!$A:$A,0),5),""),"")</f>
        <v/>
      </c>
      <c r="I115">
        <f>IFERROR(IF(ISNUMBER(INDEX(SPPR!$E:$X,MATCH($A115,SPPR!$A:$A,0),6)),$C115*INDEX(SPPR!$E:$X,MATCH($A115,SPPR!$A:$A,0),6),""),"")</f>
        <v/>
      </c>
      <c r="J115">
        <f>IFERROR(IF(ISNUMBER(INDEX(SPPR!$E:$X,MATCH($A115,SPPR!$A:$A,0),7)),$C115*INDEX(SPPR!$E:$X,MATCH($A115,SPPR!$A:$A,0),7),""),"")</f>
        <v/>
      </c>
      <c r="K115">
        <f>IFERROR(IF(ISNUMBER(INDEX(SPPR!$E:$X,MATCH($A115,SPPR!$A:$A,0),8)),$C115*INDEX(SPPR!$E:$X,MATCH($A115,SPPR!$A:$A,0),8),""),"")</f>
        <v/>
      </c>
      <c r="L115">
        <f>IFERROR(IF(ISNUMBER(INDEX(SPPR!$E:$X,MATCH($A115,SPPR!$A:$A,0),9)),$C115*INDEX(SPPR!$E:$X,MATCH($A115,SPPR!$A:$A,0),9),""),"")</f>
        <v/>
      </c>
      <c r="M115">
        <f>IFERROR(IF(ISNUMBER(INDEX(SPPR!$E:$X,MATCH($A115,SPPR!$A:$A,0),10)),$C115*INDEX(SPPR!$E:$X,MATCH($A115,SPPR!$A:$A,0),10),""),"")</f>
        <v/>
      </c>
      <c r="N115">
        <f>IFERROR(IF(ISNUMBER(INDEX(SPPR!$E:$X,MATCH($A115,SPPR!$A:$A,0),11)),$C115*INDEX(SPPR!$E:$X,MATCH($A115,SPPR!$A:$A,0),11),""),"")</f>
        <v/>
      </c>
      <c r="O115">
        <f>IFERROR(IF(ISNUMBER(INDEX(SPPR!$E:$X,MATCH($A115,SPPR!$A:$A,0),12)),$C115*INDEX(SPPR!$E:$X,MATCH($A115,SPPR!$A:$A,0),12),""),"")</f>
        <v/>
      </c>
      <c r="P115">
        <f>IFERROR(IF(ISNUMBER(INDEX(SPPR!$E:$X,MATCH($A115,SPPR!$A:$A,0),13)),$C115*INDEX(SPPR!$E:$X,MATCH($A115,SPPR!$A:$A,0),13),""),"")</f>
        <v/>
      </c>
      <c r="Q115">
        <f>IFERROR(IF(ISNUMBER(INDEX(SPPR!$E:$X,MATCH($A115,SPPR!$A:$A,0),14)),$C115*INDEX(SPPR!$E:$X,MATCH($A115,SPPR!$A:$A,0),14),""),"")</f>
        <v/>
      </c>
      <c r="R115">
        <f>IFERROR(IF(ISNUMBER(INDEX(SPPR!$E:$X,MATCH($A115,SPPR!$A:$A,0),15)),$C115*INDEX(SPPR!$E:$X,MATCH($A115,SPPR!$A:$A,0),15),""),"")</f>
        <v/>
      </c>
      <c r="S115">
        <f>IFERROR(IF(ISNUMBER(INDEX(SPPR!$E:$X,MATCH($A115,SPPR!$A:$A,0),16)),$C115*INDEX(SPPR!$E:$X,MATCH($A115,SPPR!$A:$A,0),16),""),"")</f>
        <v/>
      </c>
      <c r="T115">
        <f>IFERROR(IF(ISNUMBER(INDEX(SPPR!$E:$X,MATCH($A115,SPPR!$A:$A,0),17)),$C115*INDEX(SPPR!$E:$X,MATCH($A115,SPPR!$A:$A,0),17),""),"")</f>
        <v/>
      </c>
      <c r="U115">
        <f>IFERROR(IF(ISNUMBER(INDEX(SPPR!$E:$X,MATCH($A115,SPPR!$A:$A,0),18)),$C115*INDEX(SPPR!$E:$X,MATCH($A115,SPPR!$A:$A,0),18),""),"")</f>
        <v/>
      </c>
      <c r="V115">
        <f>IFERROR(IF(ISNUMBER(INDEX(SPPR!$E:$X,MATCH($A115,SPPR!$A:$A,0),19)),$C115*INDEX(SPPR!$E:$X,MATCH($A115,SPPR!$A:$A,0),19),""),"")</f>
        <v/>
      </c>
      <c r="W115">
        <f>IFERROR(IF(ISNUMBER(INDEX(SPPR!$E:$X,MATCH($A115,SPPR!$A:$A,0),20)),$C115*INDEX(SPPR!$E:$X,MATCH($A115,SPPR!$A:$A,0),20),""),"")</f>
        <v/>
      </c>
    </row>
    <row r="116">
      <c r="A116" t="inlineStr">
        <is>
          <t>Homalaspis plana</t>
        </is>
      </c>
      <c r="B116">
        <f>IFERROR(INDEX(SPPR!$D:$D,MATCH($A116,SPPR!$A:$A,0)),"")</f>
        <v/>
      </c>
      <c r="C116">
        <f>IFERROR(INDEX(Catch!$E:$BV,MATCH($A116,Catch!$A:$A,0),MATCH($B$4,Catch!$E$1:$BV$1,0)),0)</f>
        <v/>
      </c>
      <c r="D116">
        <f>IFERROR(IF(ISNUMBER(INDEX(SPPR!$E:$X,MATCH($A116,SPPR!$A:$A,0),1)),$C116*INDEX(SPPR!$E:$X,MATCH($A116,SPPR!$A:$A,0),1),""),"")</f>
        <v/>
      </c>
      <c r="E116">
        <f>IFERROR(IF(ISNUMBER(INDEX(SPPR!$E:$X,MATCH($A116,SPPR!$A:$A,0),2)),$C116*INDEX(SPPR!$E:$X,MATCH($A116,SPPR!$A:$A,0),2),""),"")</f>
        <v/>
      </c>
      <c r="F116">
        <f>IFERROR(IF(ISNUMBER(INDEX(SPPR!$E:$X,MATCH($A116,SPPR!$A:$A,0),3)),$C116*INDEX(SPPR!$E:$X,MATCH($A116,SPPR!$A:$A,0),3),""),"")</f>
        <v/>
      </c>
      <c r="G116">
        <f>IFERROR(IF(ISNUMBER(INDEX(SPPR!$E:$X,MATCH($A116,SPPR!$A:$A,0),4)),$C116*INDEX(SPPR!$E:$X,MATCH($A116,SPPR!$A:$A,0),4),""),"")</f>
        <v/>
      </c>
      <c r="H116">
        <f>IFERROR(IF(ISNUMBER(INDEX(SPPR!$E:$X,MATCH($A116,SPPR!$A:$A,0),5)),$C116*INDEX(SPPR!$E:$X,MATCH($A116,SPPR!$A:$A,0),5),""),"")</f>
        <v/>
      </c>
      <c r="I116">
        <f>IFERROR(IF(ISNUMBER(INDEX(SPPR!$E:$X,MATCH($A116,SPPR!$A:$A,0),6)),$C116*INDEX(SPPR!$E:$X,MATCH($A116,SPPR!$A:$A,0),6),""),"")</f>
        <v/>
      </c>
      <c r="J116">
        <f>IFERROR(IF(ISNUMBER(INDEX(SPPR!$E:$X,MATCH($A116,SPPR!$A:$A,0),7)),$C116*INDEX(SPPR!$E:$X,MATCH($A116,SPPR!$A:$A,0),7),""),"")</f>
        <v/>
      </c>
      <c r="K116">
        <f>IFERROR(IF(ISNUMBER(INDEX(SPPR!$E:$X,MATCH($A116,SPPR!$A:$A,0),8)),$C116*INDEX(SPPR!$E:$X,MATCH($A116,SPPR!$A:$A,0),8),""),"")</f>
        <v/>
      </c>
      <c r="L116">
        <f>IFERROR(IF(ISNUMBER(INDEX(SPPR!$E:$X,MATCH($A116,SPPR!$A:$A,0),9)),$C116*INDEX(SPPR!$E:$X,MATCH($A116,SPPR!$A:$A,0),9),""),"")</f>
        <v/>
      </c>
      <c r="M116">
        <f>IFERROR(IF(ISNUMBER(INDEX(SPPR!$E:$X,MATCH($A116,SPPR!$A:$A,0),10)),$C116*INDEX(SPPR!$E:$X,MATCH($A116,SPPR!$A:$A,0),10),""),"")</f>
        <v/>
      </c>
      <c r="N116">
        <f>IFERROR(IF(ISNUMBER(INDEX(SPPR!$E:$X,MATCH($A116,SPPR!$A:$A,0),11)),$C116*INDEX(SPPR!$E:$X,MATCH($A116,SPPR!$A:$A,0),11),""),"")</f>
        <v/>
      </c>
      <c r="O116">
        <f>IFERROR(IF(ISNUMBER(INDEX(SPPR!$E:$X,MATCH($A116,SPPR!$A:$A,0),12)),$C116*INDEX(SPPR!$E:$X,MATCH($A116,SPPR!$A:$A,0),12),""),"")</f>
        <v/>
      </c>
      <c r="P116">
        <f>IFERROR(IF(ISNUMBER(INDEX(SPPR!$E:$X,MATCH($A116,SPPR!$A:$A,0),13)),$C116*INDEX(SPPR!$E:$X,MATCH($A116,SPPR!$A:$A,0),13),""),"")</f>
        <v/>
      </c>
      <c r="Q116">
        <f>IFERROR(IF(ISNUMBER(INDEX(SPPR!$E:$X,MATCH($A116,SPPR!$A:$A,0),14)),$C116*INDEX(SPPR!$E:$X,MATCH($A116,SPPR!$A:$A,0),14),""),"")</f>
        <v/>
      </c>
      <c r="R116">
        <f>IFERROR(IF(ISNUMBER(INDEX(SPPR!$E:$X,MATCH($A116,SPPR!$A:$A,0),15)),$C116*INDEX(SPPR!$E:$X,MATCH($A116,SPPR!$A:$A,0),15),""),"")</f>
        <v/>
      </c>
      <c r="S116">
        <f>IFERROR(IF(ISNUMBER(INDEX(SPPR!$E:$X,MATCH($A116,SPPR!$A:$A,0),16)),$C116*INDEX(SPPR!$E:$X,MATCH($A116,SPPR!$A:$A,0),16),""),"")</f>
        <v/>
      </c>
      <c r="T116">
        <f>IFERROR(IF(ISNUMBER(INDEX(SPPR!$E:$X,MATCH($A116,SPPR!$A:$A,0),17)),$C116*INDEX(SPPR!$E:$X,MATCH($A116,SPPR!$A:$A,0),17),""),"")</f>
        <v/>
      </c>
      <c r="U116">
        <f>IFERROR(IF(ISNUMBER(INDEX(SPPR!$E:$X,MATCH($A116,SPPR!$A:$A,0),18)),$C116*INDEX(SPPR!$E:$X,MATCH($A116,SPPR!$A:$A,0),18),""),"")</f>
        <v/>
      </c>
      <c r="V116">
        <f>IFERROR(IF(ISNUMBER(INDEX(SPPR!$E:$X,MATCH($A116,SPPR!$A:$A,0),19)),$C116*INDEX(SPPR!$E:$X,MATCH($A116,SPPR!$A:$A,0),19),""),"")</f>
        <v/>
      </c>
      <c r="W116">
        <f>IFERROR(IF(ISNUMBER(INDEX(SPPR!$E:$X,MATCH($A116,SPPR!$A:$A,0),20)),$C116*INDEX(SPPR!$E:$X,MATCH($A116,SPPR!$A:$A,0),20),""),"")</f>
        <v/>
      </c>
    </row>
    <row r="117">
      <c r="A117" t="inlineStr">
        <is>
          <t>Perciformes</t>
        </is>
      </c>
      <c r="B117">
        <f>IFERROR(INDEX(SPPR!$D:$D,MATCH($A117,SPPR!$A:$A,0)),"")</f>
        <v/>
      </c>
      <c r="C117">
        <f>IFERROR(INDEX(Catch!$E:$BV,MATCH($A117,Catch!$A:$A,0),MATCH($B$4,Catch!$E$1:$BV$1,0)),0)</f>
        <v/>
      </c>
      <c r="D117">
        <f>IFERROR(IF(ISNUMBER(INDEX(SPPR!$E:$X,MATCH($A117,SPPR!$A:$A,0),1)),$C117*INDEX(SPPR!$E:$X,MATCH($A117,SPPR!$A:$A,0),1),""),"")</f>
        <v/>
      </c>
      <c r="E117">
        <f>IFERROR(IF(ISNUMBER(INDEX(SPPR!$E:$X,MATCH($A117,SPPR!$A:$A,0),2)),$C117*INDEX(SPPR!$E:$X,MATCH($A117,SPPR!$A:$A,0),2),""),"")</f>
        <v/>
      </c>
      <c r="F117">
        <f>IFERROR(IF(ISNUMBER(INDEX(SPPR!$E:$X,MATCH($A117,SPPR!$A:$A,0),3)),$C117*INDEX(SPPR!$E:$X,MATCH($A117,SPPR!$A:$A,0),3),""),"")</f>
        <v/>
      </c>
      <c r="G117">
        <f>IFERROR(IF(ISNUMBER(INDEX(SPPR!$E:$X,MATCH($A117,SPPR!$A:$A,0),4)),$C117*INDEX(SPPR!$E:$X,MATCH($A117,SPPR!$A:$A,0),4),""),"")</f>
        <v/>
      </c>
      <c r="H117">
        <f>IFERROR(IF(ISNUMBER(INDEX(SPPR!$E:$X,MATCH($A117,SPPR!$A:$A,0),5)),$C117*INDEX(SPPR!$E:$X,MATCH($A117,SPPR!$A:$A,0),5),""),"")</f>
        <v/>
      </c>
      <c r="I117">
        <f>IFERROR(IF(ISNUMBER(INDEX(SPPR!$E:$X,MATCH($A117,SPPR!$A:$A,0),6)),$C117*INDEX(SPPR!$E:$X,MATCH($A117,SPPR!$A:$A,0),6),""),"")</f>
        <v/>
      </c>
      <c r="J117">
        <f>IFERROR(IF(ISNUMBER(INDEX(SPPR!$E:$X,MATCH($A117,SPPR!$A:$A,0),7)),$C117*INDEX(SPPR!$E:$X,MATCH($A117,SPPR!$A:$A,0),7),""),"")</f>
        <v/>
      </c>
      <c r="K117">
        <f>IFERROR(IF(ISNUMBER(INDEX(SPPR!$E:$X,MATCH($A117,SPPR!$A:$A,0),8)),$C117*INDEX(SPPR!$E:$X,MATCH($A117,SPPR!$A:$A,0),8),""),"")</f>
        <v/>
      </c>
      <c r="L117">
        <f>IFERROR(IF(ISNUMBER(INDEX(SPPR!$E:$X,MATCH($A117,SPPR!$A:$A,0),9)),$C117*INDEX(SPPR!$E:$X,MATCH($A117,SPPR!$A:$A,0),9),""),"")</f>
        <v/>
      </c>
      <c r="M117">
        <f>IFERROR(IF(ISNUMBER(INDEX(SPPR!$E:$X,MATCH($A117,SPPR!$A:$A,0),10)),$C117*INDEX(SPPR!$E:$X,MATCH($A117,SPPR!$A:$A,0),10),""),"")</f>
        <v/>
      </c>
      <c r="N117">
        <f>IFERROR(IF(ISNUMBER(INDEX(SPPR!$E:$X,MATCH($A117,SPPR!$A:$A,0),11)),$C117*INDEX(SPPR!$E:$X,MATCH($A117,SPPR!$A:$A,0),11),""),"")</f>
        <v/>
      </c>
      <c r="O117">
        <f>IFERROR(IF(ISNUMBER(INDEX(SPPR!$E:$X,MATCH($A117,SPPR!$A:$A,0),12)),$C117*INDEX(SPPR!$E:$X,MATCH($A117,SPPR!$A:$A,0),12),""),"")</f>
        <v/>
      </c>
      <c r="P117">
        <f>IFERROR(IF(ISNUMBER(INDEX(SPPR!$E:$X,MATCH($A117,SPPR!$A:$A,0),13)),$C117*INDEX(SPPR!$E:$X,MATCH($A117,SPPR!$A:$A,0),13),""),"")</f>
        <v/>
      </c>
      <c r="Q117">
        <f>IFERROR(IF(ISNUMBER(INDEX(SPPR!$E:$X,MATCH($A117,SPPR!$A:$A,0),14)),$C117*INDEX(SPPR!$E:$X,MATCH($A117,SPPR!$A:$A,0),14),""),"")</f>
        <v/>
      </c>
      <c r="R117">
        <f>IFERROR(IF(ISNUMBER(INDEX(SPPR!$E:$X,MATCH($A117,SPPR!$A:$A,0),15)),$C117*INDEX(SPPR!$E:$X,MATCH($A117,SPPR!$A:$A,0),15),""),"")</f>
        <v/>
      </c>
      <c r="S117">
        <f>IFERROR(IF(ISNUMBER(INDEX(SPPR!$E:$X,MATCH($A117,SPPR!$A:$A,0),16)),$C117*INDEX(SPPR!$E:$X,MATCH($A117,SPPR!$A:$A,0),16),""),"")</f>
        <v/>
      </c>
      <c r="T117">
        <f>IFERROR(IF(ISNUMBER(INDEX(SPPR!$E:$X,MATCH($A117,SPPR!$A:$A,0),17)),$C117*INDEX(SPPR!$E:$X,MATCH($A117,SPPR!$A:$A,0),17),""),"")</f>
        <v/>
      </c>
      <c r="U117">
        <f>IFERROR(IF(ISNUMBER(INDEX(SPPR!$E:$X,MATCH($A117,SPPR!$A:$A,0),18)),$C117*INDEX(SPPR!$E:$X,MATCH($A117,SPPR!$A:$A,0),18),""),"")</f>
        <v/>
      </c>
      <c r="V117">
        <f>IFERROR(IF(ISNUMBER(INDEX(SPPR!$E:$X,MATCH($A117,SPPR!$A:$A,0),19)),$C117*INDEX(SPPR!$E:$X,MATCH($A117,SPPR!$A:$A,0),19),""),"")</f>
        <v/>
      </c>
      <c r="W117">
        <f>IFERROR(IF(ISNUMBER(INDEX(SPPR!$E:$X,MATCH($A117,SPPR!$A:$A,0),20)),$C117*INDEX(SPPR!$E:$X,MATCH($A117,SPPR!$A:$A,0),20),""),"")</f>
        <v/>
      </c>
    </row>
    <row r="118">
      <c r="A118" t="inlineStr">
        <is>
          <t>Gadiformes</t>
        </is>
      </c>
      <c r="B118">
        <f>IFERROR(INDEX(SPPR!$D:$D,MATCH($A118,SPPR!$A:$A,0)),"")</f>
        <v/>
      </c>
      <c r="C118">
        <f>IFERROR(INDEX(Catch!$E:$BV,MATCH($A118,Catch!$A:$A,0),MATCH($B$4,Catch!$E$1:$BV$1,0)),0)</f>
        <v/>
      </c>
      <c r="D118">
        <f>IFERROR(IF(ISNUMBER(INDEX(SPPR!$E:$X,MATCH($A118,SPPR!$A:$A,0),1)),$C118*INDEX(SPPR!$E:$X,MATCH($A118,SPPR!$A:$A,0),1),""),"")</f>
        <v/>
      </c>
      <c r="E118">
        <f>IFERROR(IF(ISNUMBER(INDEX(SPPR!$E:$X,MATCH($A118,SPPR!$A:$A,0),2)),$C118*INDEX(SPPR!$E:$X,MATCH($A118,SPPR!$A:$A,0),2),""),"")</f>
        <v/>
      </c>
      <c r="F118">
        <f>IFERROR(IF(ISNUMBER(INDEX(SPPR!$E:$X,MATCH($A118,SPPR!$A:$A,0),3)),$C118*INDEX(SPPR!$E:$X,MATCH($A118,SPPR!$A:$A,0),3),""),"")</f>
        <v/>
      </c>
      <c r="G118">
        <f>IFERROR(IF(ISNUMBER(INDEX(SPPR!$E:$X,MATCH($A118,SPPR!$A:$A,0),4)),$C118*INDEX(SPPR!$E:$X,MATCH($A118,SPPR!$A:$A,0),4),""),"")</f>
        <v/>
      </c>
      <c r="H118">
        <f>IFERROR(IF(ISNUMBER(INDEX(SPPR!$E:$X,MATCH($A118,SPPR!$A:$A,0),5)),$C118*INDEX(SPPR!$E:$X,MATCH($A118,SPPR!$A:$A,0),5),""),"")</f>
        <v/>
      </c>
      <c r="I118">
        <f>IFERROR(IF(ISNUMBER(INDEX(SPPR!$E:$X,MATCH($A118,SPPR!$A:$A,0),6)),$C118*INDEX(SPPR!$E:$X,MATCH($A118,SPPR!$A:$A,0),6),""),"")</f>
        <v/>
      </c>
      <c r="J118">
        <f>IFERROR(IF(ISNUMBER(INDEX(SPPR!$E:$X,MATCH($A118,SPPR!$A:$A,0),7)),$C118*INDEX(SPPR!$E:$X,MATCH($A118,SPPR!$A:$A,0),7),""),"")</f>
        <v/>
      </c>
      <c r="K118">
        <f>IFERROR(IF(ISNUMBER(INDEX(SPPR!$E:$X,MATCH($A118,SPPR!$A:$A,0),8)),$C118*INDEX(SPPR!$E:$X,MATCH($A118,SPPR!$A:$A,0),8),""),"")</f>
        <v/>
      </c>
      <c r="L118">
        <f>IFERROR(IF(ISNUMBER(INDEX(SPPR!$E:$X,MATCH($A118,SPPR!$A:$A,0),9)),$C118*INDEX(SPPR!$E:$X,MATCH($A118,SPPR!$A:$A,0),9),""),"")</f>
        <v/>
      </c>
      <c r="M118">
        <f>IFERROR(IF(ISNUMBER(INDEX(SPPR!$E:$X,MATCH($A118,SPPR!$A:$A,0),10)),$C118*INDEX(SPPR!$E:$X,MATCH($A118,SPPR!$A:$A,0),10),""),"")</f>
        <v/>
      </c>
      <c r="N118">
        <f>IFERROR(IF(ISNUMBER(INDEX(SPPR!$E:$X,MATCH($A118,SPPR!$A:$A,0),11)),$C118*INDEX(SPPR!$E:$X,MATCH($A118,SPPR!$A:$A,0),11),""),"")</f>
        <v/>
      </c>
      <c r="O118">
        <f>IFERROR(IF(ISNUMBER(INDEX(SPPR!$E:$X,MATCH($A118,SPPR!$A:$A,0),12)),$C118*INDEX(SPPR!$E:$X,MATCH($A118,SPPR!$A:$A,0),12),""),"")</f>
        <v/>
      </c>
      <c r="P118">
        <f>IFERROR(IF(ISNUMBER(INDEX(SPPR!$E:$X,MATCH($A118,SPPR!$A:$A,0),13)),$C118*INDEX(SPPR!$E:$X,MATCH($A118,SPPR!$A:$A,0),13),""),"")</f>
        <v/>
      </c>
      <c r="Q118">
        <f>IFERROR(IF(ISNUMBER(INDEX(SPPR!$E:$X,MATCH($A118,SPPR!$A:$A,0),14)),$C118*INDEX(SPPR!$E:$X,MATCH($A118,SPPR!$A:$A,0),14),""),"")</f>
        <v/>
      </c>
      <c r="R118">
        <f>IFERROR(IF(ISNUMBER(INDEX(SPPR!$E:$X,MATCH($A118,SPPR!$A:$A,0),15)),$C118*INDEX(SPPR!$E:$X,MATCH($A118,SPPR!$A:$A,0),15),""),"")</f>
        <v/>
      </c>
      <c r="S118">
        <f>IFERROR(IF(ISNUMBER(INDEX(SPPR!$E:$X,MATCH($A118,SPPR!$A:$A,0),16)),$C118*INDEX(SPPR!$E:$X,MATCH($A118,SPPR!$A:$A,0),16),""),"")</f>
        <v/>
      </c>
      <c r="T118">
        <f>IFERROR(IF(ISNUMBER(INDEX(SPPR!$E:$X,MATCH($A118,SPPR!$A:$A,0),17)),$C118*INDEX(SPPR!$E:$X,MATCH($A118,SPPR!$A:$A,0),17),""),"")</f>
        <v/>
      </c>
      <c r="U118">
        <f>IFERROR(IF(ISNUMBER(INDEX(SPPR!$E:$X,MATCH($A118,SPPR!$A:$A,0),18)),$C118*INDEX(SPPR!$E:$X,MATCH($A118,SPPR!$A:$A,0),18),""),"")</f>
        <v/>
      </c>
      <c r="V118">
        <f>IFERROR(IF(ISNUMBER(INDEX(SPPR!$E:$X,MATCH($A118,SPPR!$A:$A,0),19)),$C118*INDEX(SPPR!$E:$X,MATCH($A118,SPPR!$A:$A,0),19),""),"")</f>
        <v/>
      </c>
      <c r="W118">
        <f>IFERROR(IF(ISNUMBER(INDEX(SPPR!$E:$X,MATCH($A118,SPPR!$A:$A,0),20)),$C118*INDEX(SPPR!$E:$X,MATCH($A118,SPPR!$A:$A,0),20),""),"")</f>
        <v/>
      </c>
    </row>
    <row r="119">
      <c r="A119" t="inlineStr">
        <is>
          <t>Seriolella violacea</t>
        </is>
      </c>
      <c r="B119">
        <f>IFERROR(INDEX(SPPR!$D:$D,MATCH($A119,SPPR!$A:$A,0)),"")</f>
        <v/>
      </c>
      <c r="C119">
        <f>IFERROR(INDEX(Catch!$E:$BV,MATCH($A119,Catch!$A:$A,0),MATCH($B$4,Catch!$E$1:$BV$1,0)),0)</f>
        <v/>
      </c>
      <c r="D119">
        <f>IFERROR(IF(ISNUMBER(INDEX(SPPR!$E:$X,MATCH($A119,SPPR!$A:$A,0),1)),$C119*INDEX(SPPR!$E:$X,MATCH($A119,SPPR!$A:$A,0),1),""),"")</f>
        <v/>
      </c>
      <c r="E119">
        <f>IFERROR(IF(ISNUMBER(INDEX(SPPR!$E:$X,MATCH($A119,SPPR!$A:$A,0),2)),$C119*INDEX(SPPR!$E:$X,MATCH($A119,SPPR!$A:$A,0),2),""),"")</f>
        <v/>
      </c>
      <c r="F119">
        <f>IFERROR(IF(ISNUMBER(INDEX(SPPR!$E:$X,MATCH($A119,SPPR!$A:$A,0),3)),$C119*INDEX(SPPR!$E:$X,MATCH($A119,SPPR!$A:$A,0),3),""),"")</f>
        <v/>
      </c>
      <c r="G119">
        <f>IFERROR(IF(ISNUMBER(INDEX(SPPR!$E:$X,MATCH($A119,SPPR!$A:$A,0),4)),$C119*INDEX(SPPR!$E:$X,MATCH($A119,SPPR!$A:$A,0),4),""),"")</f>
        <v/>
      </c>
      <c r="H119">
        <f>IFERROR(IF(ISNUMBER(INDEX(SPPR!$E:$X,MATCH($A119,SPPR!$A:$A,0),5)),$C119*INDEX(SPPR!$E:$X,MATCH($A119,SPPR!$A:$A,0),5),""),"")</f>
        <v/>
      </c>
      <c r="I119">
        <f>IFERROR(IF(ISNUMBER(INDEX(SPPR!$E:$X,MATCH($A119,SPPR!$A:$A,0),6)),$C119*INDEX(SPPR!$E:$X,MATCH($A119,SPPR!$A:$A,0),6),""),"")</f>
        <v/>
      </c>
      <c r="J119">
        <f>IFERROR(IF(ISNUMBER(INDEX(SPPR!$E:$X,MATCH($A119,SPPR!$A:$A,0),7)),$C119*INDEX(SPPR!$E:$X,MATCH($A119,SPPR!$A:$A,0),7),""),"")</f>
        <v/>
      </c>
      <c r="K119">
        <f>IFERROR(IF(ISNUMBER(INDEX(SPPR!$E:$X,MATCH($A119,SPPR!$A:$A,0),8)),$C119*INDEX(SPPR!$E:$X,MATCH($A119,SPPR!$A:$A,0),8),""),"")</f>
        <v/>
      </c>
      <c r="L119">
        <f>IFERROR(IF(ISNUMBER(INDEX(SPPR!$E:$X,MATCH($A119,SPPR!$A:$A,0),9)),$C119*INDEX(SPPR!$E:$X,MATCH($A119,SPPR!$A:$A,0),9),""),"")</f>
        <v/>
      </c>
      <c r="M119">
        <f>IFERROR(IF(ISNUMBER(INDEX(SPPR!$E:$X,MATCH($A119,SPPR!$A:$A,0),10)),$C119*INDEX(SPPR!$E:$X,MATCH($A119,SPPR!$A:$A,0),10),""),"")</f>
        <v/>
      </c>
      <c r="N119">
        <f>IFERROR(IF(ISNUMBER(INDEX(SPPR!$E:$X,MATCH($A119,SPPR!$A:$A,0),11)),$C119*INDEX(SPPR!$E:$X,MATCH($A119,SPPR!$A:$A,0),11),""),"")</f>
        <v/>
      </c>
      <c r="O119">
        <f>IFERROR(IF(ISNUMBER(INDEX(SPPR!$E:$X,MATCH($A119,SPPR!$A:$A,0),12)),$C119*INDEX(SPPR!$E:$X,MATCH($A119,SPPR!$A:$A,0),12),""),"")</f>
        <v/>
      </c>
      <c r="P119">
        <f>IFERROR(IF(ISNUMBER(INDEX(SPPR!$E:$X,MATCH($A119,SPPR!$A:$A,0),13)),$C119*INDEX(SPPR!$E:$X,MATCH($A119,SPPR!$A:$A,0),13),""),"")</f>
        <v/>
      </c>
      <c r="Q119">
        <f>IFERROR(IF(ISNUMBER(INDEX(SPPR!$E:$X,MATCH($A119,SPPR!$A:$A,0),14)),$C119*INDEX(SPPR!$E:$X,MATCH($A119,SPPR!$A:$A,0),14),""),"")</f>
        <v/>
      </c>
      <c r="R119">
        <f>IFERROR(IF(ISNUMBER(INDEX(SPPR!$E:$X,MATCH($A119,SPPR!$A:$A,0),15)),$C119*INDEX(SPPR!$E:$X,MATCH($A119,SPPR!$A:$A,0),15),""),"")</f>
        <v/>
      </c>
      <c r="S119">
        <f>IFERROR(IF(ISNUMBER(INDEX(SPPR!$E:$X,MATCH($A119,SPPR!$A:$A,0),16)),$C119*INDEX(SPPR!$E:$X,MATCH($A119,SPPR!$A:$A,0),16),""),"")</f>
        <v/>
      </c>
      <c r="T119">
        <f>IFERROR(IF(ISNUMBER(INDEX(SPPR!$E:$X,MATCH($A119,SPPR!$A:$A,0),17)),$C119*INDEX(SPPR!$E:$X,MATCH($A119,SPPR!$A:$A,0),17),""),"")</f>
        <v/>
      </c>
      <c r="U119">
        <f>IFERROR(IF(ISNUMBER(INDEX(SPPR!$E:$X,MATCH($A119,SPPR!$A:$A,0),18)),$C119*INDEX(SPPR!$E:$X,MATCH($A119,SPPR!$A:$A,0),18),""),"")</f>
        <v/>
      </c>
      <c r="V119">
        <f>IFERROR(IF(ISNUMBER(INDEX(SPPR!$E:$X,MATCH($A119,SPPR!$A:$A,0),19)),$C119*INDEX(SPPR!$E:$X,MATCH($A119,SPPR!$A:$A,0),19),""),"")</f>
        <v/>
      </c>
      <c r="W119">
        <f>IFERROR(IF(ISNUMBER(INDEX(SPPR!$E:$X,MATCH($A119,SPPR!$A:$A,0),20)),$C119*INDEX(SPPR!$E:$X,MATCH($A119,SPPR!$A:$A,0),20),""),"")</f>
        <v/>
      </c>
    </row>
    <row r="120">
      <c r="A120" t="inlineStr">
        <is>
          <t>Labrisomus philippii</t>
        </is>
      </c>
      <c r="B120">
        <f>IFERROR(INDEX(SPPR!$D:$D,MATCH($A120,SPPR!$A:$A,0)),"")</f>
        <v/>
      </c>
      <c r="C120">
        <f>IFERROR(INDEX(Catch!$E:$BV,MATCH($A120,Catch!$A:$A,0),MATCH($B$4,Catch!$E$1:$BV$1,0)),0)</f>
        <v/>
      </c>
      <c r="D120">
        <f>IFERROR(IF(ISNUMBER(INDEX(SPPR!$E:$X,MATCH($A120,SPPR!$A:$A,0),1)),$C120*INDEX(SPPR!$E:$X,MATCH($A120,SPPR!$A:$A,0),1),""),"")</f>
        <v/>
      </c>
      <c r="E120">
        <f>IFERROR(IF(ISNUMBER(INDEX(SPPR!$E:$X,MATCH($A120,SPPR!$A:$A,0),2)),$C120*INDEX(SPPR!$E:$X,MATCH($A120,SPPR!$A:$A,0),2),""),"")</f>
        <v/>
      </c>
      <c r="F120">
        <f>IFERROR(IF(ISNUMBER(INDEX(SPPR!$E:$X,MATCH($A120,SPPR!$A:$A,0),3)),$C120*INDEX(SPPR!$E:$X,MATCH($A120,SPPR!$A:$A,0),3),""),"")</f>
        <v/>
      </c>
      <c r="G120">
        <f>IFERROR(IF(ISNUMBER(INDEX(SPPR!$E:$X,MATCH($A120,SPPR!$A:$A,0),4)),$C120*INDEX(SPPR!$E:$X,MATCH($A120,SPPR!$A:$A,0),4),""),"")</f>
        <v/>
      </c>
      <c r="H120">
        <f>IFERROR(IF(ISNUMBER(INDEX(SPPR!$E:$X,MATCH($A120,SPPR!$A:$A,0),5)),$C120*INDEX(SPPR!$E:$X,MATCH($A120,SPPR!$A:$A,0),5),""),"")</f>
        <v/>
      </c>
      <c r="I120">
        <f>IFERROR(IF(ISNUMBER(INDEX(SPPR!$E:$X,MATCH($A120,SPPR!$A:$A,0),6)),$C120*INDEX(SPPR!$E:$X,MATCH($A120,SPPR!$A:$A,0),6),""),"")</f>
        <v/>
      </c>
      <c r="J120">
        <f>IFERROR(IF(ISNUMBER(INDEX(SPPR!$E:$X,MATCH($A120,SPPR!$A:$A,0),7)),$C120*INDEX(SPPR!$E:$X,MATCH($A120,SPPR!$A:$A,0),7),""),"")</f>
        <v/>
      </c>
      <c r="K120">
        <f>IFERROR(IF(ISNUMBER(INDEX(SPPR!$E:$X,MATCH($A120,SPPR!$A:$A,0),8)),$C120*INDEX(SPPR!$E:$X,MATCH($A120,SPPR!$A:$A,0),8),""),"")</f>
        <v/>
      </c>
      <c r="L120">
        <f>IFERROR(IF(ISNUMBER(INDEX(SPPR!$E:$X,MATCH($A120,SPPR!$A:$A,0),9)),$C120*INDEX(SPPR!$E:$X,MATCH($A120,SPPR!$A:$A,0),9),""),"")</f>
        <v/>
      </c>
      <c r="M120">
        <f>IFERROR(IF(ISNUMBER(INDEX(SPPR!$E:$X,MATCH($A120,SPPR!$A:$A,0),10)),$C120*INDEX(SPPR!$E:$X,MATCH($A120,SPPR!$A:$A,0),10),""),"")</f>
        <v/>
      </c>
      <c r="N120">
        <f>IFERROR(IF(ISNUMBER(INDEX(SPPR!$E:$X,MATCH($A120,SPPR!$A:$A,0),11)),$C120*INDEX(SPPR!$E:$X,MATCH($A120,SPPR!$A:$A,0),11),""),"")</f>
        <v/>
      </c>
      <c r="O120">
        <f>IFERROR(IF(ISNUMBER(INDEX(SPPR!$E:$X,MATCH($A120,SPPR!$A:$A,0),12)),$C120*INDEX(SPPR!$E:$X,MATCH($A120,SPPR!$A:$A,0),12),""),"")</f>
        <v/>
      </c>
      <c r="P120">
        <f>IFERROR(IF(ISNUMBER(INDEX(SPPR!$E:$X,MATCH($A120,SPPR!$A:$A,0),13)),$C120*INDEX(SPPR!$E:$X,MATCH($A120,SPPR!$A:$A,0),13),""),"")</f>
        <v/>
      </c>
      <c r="Q120">
        <f>IFERROR(IF(ISNUMBER(INDEX(SPPR!$E:$X,MATCH($A120,SPPR!$A:$A,0),14)),$C120*INDEX(SPPR!$E:$X,MATCH($A120,SPPR!$A:$A,0),14),""),"")</f>
        <v/>
      </c>
      <c r="R120">
        <f>IFERROR(IF(ISNUMBER(INDEX(SPPR!$E:$X,MATCH($A120,SPPR!$A:$A,0),15)),$C120*INDEX(SPPR!$E:$X,MATCH($A120,SPPR!$A:$A,0),15),""),"")</f>
        <v/>
      </c>
      <c r="S120">
        <f>IFERROR(IF(ISNUMBER(INDEX(SPPR!$E:$X,MATCH($A120,SPPR!$A:$A,0),16)),$C120*INDEX(SPPR!$E:$X,MATCH($A120,SPPR!$A:$A,0),16),""),"")</f>
        <v/>
      </c>
      <c r="T120">
        <f>IFERROR(IF(ISNUMBER(INDEX(SPPR!$E:$X,MATCH($A120,SPPR!$A:$A,0),17)),$C120*INDEX(SPPR!$E:$X,MATCH($A120,SPPR!$A:$A,0),17),""),"")</f>
        <v/>
      </c>
      <c r="U120">
        <f>IFERROR(IF(ISNUMBER(INDEX(SPPR!$E:$X,MATCH($A120,SPPR!$A:$A,0),18)),$C120*INDEX(SPPR!$E:$X,MATCH($A120,SPPR!$A:$A,0),18),""),"")</f>
        <v/>
      </c>
      <c r="V120">
        <f>IFERROR(IF(ISNUMBER(INDEX(SPPR!$E:$X,MATCH($A120,SPPR!$A:$A,0),19)),$C120*INDEX(SPPR!$E:$X,MATCH($A120,SPPR!$A:$A,0),19),""),"")</f>
        <v/>
      </c>
      <c r="W120">
        <f>IFERROR(IF(ISNUMBER(INDEX(SPPR!$E:$X,MATCH($A120,SPPR!$A:$A,0),20)),$C120*INDEX(SPPR!$E:$X,MATCH($A120,SPPR!$A:$A,0),20),""),"")</f>
        <v/>
      </c>
    </row>
    <row r="121">
      <c r="A121" t="inlineStr">
        <is>
          <t>Callorhinchus callorynchus</t>
        </is>
      </c>
      <c r="B121">
        <f>IFERROR(INDEX(SPPR!$D:$D,MATCH($A121,SPPR!$A:$A,0)),"")</f>
        <v/>
      </c>
      <c r="C121">
        <f>IFERROR(INDEX(Catch!$E:$BV,MATCH($A121,Catch!$A:$A,0),MATCH($B$4,Catch!$E$1:$BV$1,0)),0)</f>
        <v/>
      </c>
      <c r="D121">
        <f>IFERROR(IF(ISNUMBER(INDEX(SPPR!$E:$X,MATCH($A121,SPPR!$A:$A,0),1)),$C121*INDEX(SPPR!$E:$X,MATCH($A121,SPPR!$A:$A,0),1),""),"")</f>
        <v/>
      </c>
      <c r="E121">
        <f>IFERROR(IF(ISNUMBER(INDEX(SPPR!$E:$X,MATCH($A121,SPPR!$A:$A,0),2)),$C121*INDEX(SPPR!$E:$X,MATCH($A121,SPPR!$A:$A,0),2),""),"")</f>
        <v/>
      </c>
      <c r="F121">
        <f>IFERROR(IF(ISNUMBER(INDEX(SPPR!$E:$X,MATCH($A121,SPPR!$A:$A,0),3)),$C121*INDEX(SPPR!$E:$X,MATCH($A121,SPPR!$A:$A,0),3),""),"")</f>
        <v/>
      </c>
      <c r="G121">
        <f>IFERROR(IF(ISNUMBER(INDEX(SPPR!$E:$X,MATCH($A121,SPPR!$A:$A,0),4)),$C121*INDEX(SPPR!$E:$X,MATCH($A121,SPPR!$A:$A,0),4),""),"")</f>
        <v/>
      </c>
      <c r="H121">
        <f>IFERROR(IF(ISNUMBER(INDEX(SPPR!$E:$X,MATCH($A121,SPPR!$A:$A,0),5)),$C121*INDEX(SPPR!$E:$X,MATCH($A121,SPPR!$A:$A,0),5),""),"")</f>
        <v/>
      </c>
      <c r="I121">
        <f>IFERROR(IF(ISNUMBER(INDEX(SPPR!$E:$X,MATCH($A121,SPPR!$A:$A,0),6)),$C121*INDEX(SPPR!$E:$X,MATCH($A121,SPPR!$A:$A,0),6),""),"")</f>
        <v/>
      </c>
      <c r="J121">
        <f>IFERROR(IF(ISNUMBER(INDEX(SPPR!$E:$X,MATCH($A121,SPPR!$A:$A,0),7)),$C121*INDEX(SPPR!$E:$X,MATCH($A121,SPPR!$A:$A,0),7),""),"")</f>
        <v/>
      </c>
      <c r="K121">
        <f>IFERROR(IF(ISNUMBER(INDEX(SPPR!$E:$X,MATCH($A121,SPPR!$A:$A,0),8)),$C121*INDEX(SPPR!$E:$X,MATCH($A121,SPPR!$A:$A,0),8),""),"")</f>
        <v/>
      </c>
      <c r="L121">
        <f>IFERROR(IF(ISNUMBER(INDEX(SPPR!$E:$X,MATCH($A121,SPPR!$A:$A,0),9)),$C121*INDEX(SPPR!$E:$X,MATCH($A121,SPPR!$A:$A,0),9),""),"")</f>
        <v/>
      </c>
      <c r="M121">
        <f>IFERROR(IF(ISNUMBER(INDEX(SPPR!$E:$X,MATCH($A121,SPPR!$A:$A,0),10)),$C121*INDEX(SPPR!$E:$X,MATCH($A121,SPPR!$A:$A,0),10),""),"")</f>
        <v/>
      </c>
      <c r="N121">
        <f>IFERROR(IF(ISNUMBER(INDEX(SPPR!$E:$X,MATCH($A121,SPPR!$A:$A,0),11)),$C121*INDEX(SPPR!$E:$X,MATCH($A121,SPPR!$A:$A,0),11),""),"")</f>
        <v/>
      </c>
      <c r="O121">
        <f>IFERROR(IF(ISNUMBER(INDEX(SPPR!$E:$X,MATCH($A121,SPPR!$A:$A,0),12)),$C121*INDEX(SPPR!$E:$X,MATCH($A121,SPPR!$A:$A,0),12),""),"")</f>
        <v/>
      </c>
      <c r="P121">
        <f>IFERROR(IF(ISNUMBER(INDEX(SPPR!$E:$X,MATCH($A121,SPPR!$A:$A,0),13)),$C121*INDEX(SPPR!$E:$X,MATCH($A121,SPPR!$A:$A,0),13),""),"")</f>
        <v/>
      </c>
      <c r="Q121">
        <f>IFERROR(IF(ISNUMBER(INDEX(SPPR!$E:$X,MATCH($A121,SPPR!$A:$A,0),14)),$C121*INDEX(SPPR!$E:$X,MATCH($A121,SPPR!$A:$A,0),14),""),"")</f>
        <v/>
      </c>
      <c r="R121">
        <f>IFERROR(IF(ISNUMBER(INDEX(SPPR!$E:$X,MATCH($A121,SPPR!$A:$A,0),15)),$C121*INDEX(SPPR!$E:$X,MATCH($A121,SPPR!$A:$A,0),15),""),"")</f>
        <v/>
      </c>
      <c r="S121">
        <f>IFERROR(IF(ISNUMBER(INDEX(SPPR!$E:$X,MATCH($A121,SPPR!$A:$A,0),16)),$C121*INDEX(SPPR!$E:$X,MATCH($A121,SPPR!$A:$A,0),16),""),"")</f>
        <v/>
      </c>
      <c r="T121">
        <f>IFERROR(IF(ISNUMBER(INDEX(SPPR!$E:$X,MATCH($A121,SPPR!$A:$A,0),17)),$C121*INDEX(SPPR!$E:$X,MATCH($A121,SPPR!$A:$A,0),17),""),"")</f>
        <v/>
      </c>
      <c r="U121">
        <f>IFERROR(IF(ISNUMBER(INDEX(SPPR!$E:$X,MATCH($A121,SPPR!$A:$A,0),18)),$C121*INDEX(SPPR!$E:$X,MATCH($A121,SPPR!$A:$A,0),18),""),"")</f>
        <v/>
      </c>
      <c r="V121">
        <f>IFERROR(IF(ISNUMBER(INDEX(SPPR!$E:$X,MATCH($A121,SPPR!$A:$A,0),19)),$C121*INDEX(SPPR!$E:$X,MATCH($A121,SPPR!$A:$A,0),19),""),"")</f>
        <v/>
      </c>
      <c r="W121">
        <f>IFERROR(IF(ISNUMBER(INDEX(SPPR!$E:$X,MATCH($A121,SPPR!$A:$A,0),20)),$C121*INDEX(SPPR!$E:$X,MATCH($A121,SPPR!$A:$A,0),20),""),"")</f>
        <v/>
      </c>
    </row>
    <row r="122">
      <c r="A122" t="inlineStr">
        <is>
          <t>Hoplostethus atlanticus</t>
        </is>
      </c>
      <c r="B122">
        <f>IFERROR(INDEX(SPPR!$D:$D,MATCH($A122,SPPR!$A:$A,0)),"")</f>
        <v/>
      </c>
      <c r="C122">
        <f>IFERROR(INDEX(Catch!$E:$BV,MATCH($A122,Catch!$A:$A,0),MATCH($B$4,Catch!$E$1:$BV$1,0)),0)</f>
        <v/>
      </c>
      <c r="D122">
        <f>IFERROR(IF(ISNUMBER(INDEX(SPPR!$E:$X,MATCH($A122,SPPR!$A:$A,0),1)),$C122*INDEX(SPPR!$E:$X,MATCH($A122,SPPR!$A:$A,0),1),""),"")</f>
        <v/>
      </c>
      <c r="E122">
        <f>IFERROR(IF(ISNUMBER(INDEX(SPPR!$E:$X,MATCH($A122,SPPR!$A:$A,0),2)),$C122*INDEX(SPPR!$E:$X,MATCH($A122,SPPR!$A:$A,0),2),""),"")</f>
        <v/>
      </c>
      <c r="F122">
        <f>IFERROR(IF(ISNUMBER(INDEX(SPPR!$E:$X,MATCH($A122,SPPR!$A:$A,0),3)),$C122*INDEX(SPPR!$E:$X,MATCH($A122,SPPR!$A:$A,0),3),""),"")</f>
        <v/>
      </c>
      <c r="G122">
        <f>IFERROR(IF(ISNUMBER(INDEX(SPPR!$E:$X,MATCH($A122,SPPR!$A:$A,0),4)),$C122*INDEX(SPPR!$E:$X,MATCH($A122,SPPR!$A:$A,0),4),""),"")</f>
        <v/>
      </c>
      <c r="H122">
        <f>IFERROR(IF(ISNUMBER(INDEX(SPPR!$E:$X,MATCH($A122,SPPR!$A:$A,0),5)),$C122*INDEX(SPPR!$E:$X,MATCH($A122,SPPR!$A:$A,0),5),""),"")</f>
        <v/>
      </c>
      <c r="I122">
        <f>IFERROR(IF(ISNUMBER(INDEX(SPPR!$E:$X,MATCH($A122,SPPR!$A:$A,0),6)),$C122*INDEX(SPPR!$E:$X,MATCH($A122,SPPR!$A:$A,0),6),""),"")</f>
        <v/>
      </c>
      <c r="J122">
        <f>IFERROR(IF(ISNUMBER(INDEX(SPPR!$E:$X,MATCH($A122,SPPR!$A:$A,0),7)),$C122*INDEX(SPPR!$E:$X,MATCH($A122,SPPR!$A:$A,0),7),""),"")</f>
        <v/>
      </c>
      <c r="K122">
        <f>IFERROR(IF(ISNUMBER(INDEX(SPPR!$E:$X,MATCH($A122,SPPR!$A:$A,0),8)),$C122*INDEX(SPPR!$E:$X,MATCH($A122,SPPR!$A:$A,0),8),""),"")</f>
        <v/>
      </c>
      <c r="L122">
        <f>IFERROR(IF(ISNUMBER(INDEX(SPPR!$E:$X,MATCH($A122,SPPR!$A:$A,0),9)),$C122*INDEX(SPPR!$E:$X,MATCH($A122,SPPR!$A:$A,0),9),""),"")</f>
        <v/>
      </c>
      <c r="M122">
        <f>IFERROR(IF(ISNUMBER(INDEX(SPPR!$E:$X,MATCH($A122,SPPR!$A:$A,0),10)),$C122*INDEX(SPPR!$E:$X,MATCH($A122,SPPR!$A:$A,0),10),""),"")</f>
        <v/>
      </c>
      <c r="N122">
        <f>IFERROR(IF(ISNUMBER(INDEX(SPPR!$E:$X,MATCH($A122,SPPR!$A:$A,0),11)),$C122*INDEX(SPPR!$E:$X,MATCH($A122,SPPR!$A:$A,0),11),""),"")</f>
        <v/>
      </c>
      <c r="O122">
        <f>IFERROR(IF(ISNUMBER(INDEX(SPPR!$E:$X,MATCH($A122,SPPR!$A:$A,0),12)),$C122*INDEX(SPPR!$E:$X,MATCH($A122,SPPR!$A:$A,0),12),""),"")</f>
        <v/>
      </c>
      <c r="P122">
        <f>IFERROR(IF(ISNUMBER(INDEX(SPPR!$E:$X,MATCH($A122,SPPR!$A:$A,0),13)),$C122*INDEX(SPPR!$E:$X,MATCH($A122,SPPR!$A:$A,0),13),""),"")</f>
        <v/>
      </c>
      <c r="Q122">
        <f>IFERROR(IF(ISNUMBER(INDEX(SPPR!$E:$X,MATCH($A122,SPPR!$A:$A,0),14)),$C122*INDEX(SPPR!$E:$X,MATCH($A122,SPPR!$A:$A,0),14),""),"")</f>
        <v/>
      </c>
      <c r="R122">
        <f>IFERROR(IF(ISNUMBER(INDEX(SPPR!$E:$X,MATCH($A122,SPPR!$A:$A,0),15)),$C122*INDEX(SPPR!$E:$X,MATCH($A122,SPPR!$A:$A,0),15),""),"")</f>
        <v/>
      </c>
      <c r="S122">
        <f>IFERROR(IF(ISNUMBER(INDEX(SPPR!$E:$X,MATCH($A122,SPPR!$A:$A,0),16)),$C122*INDEX(SPPR!$E:$X,MATCH($A122,SPPR!$A:$A,0),16),""),"")</f>
        <v/>
      </c>
      <c r="T122">
        <f>IFERROR(IF(ISNUMBER(INDEX(SPPR!$E:$X,MATCH($A122,SPPR!$A:$A,0),17)),$C122*INDEX(SPPR!$E:$X,MATCH($A122,SPPR!$A:$A,0),17),""),"")</f>
        <v/>
      </c>
      <c r="U122">
        <f>IFERROR(IF(ISNUMBER(INDEX(SPPR!$E:$X,MATCH($A122,SPPR!$A:$A,0),18)),$C122*INDEX(SPPR!$E:$X,MATCH($A122,SPPR!$A:$A,0),18),""),"")</f>
        <v/>
      </c>
      <c r="V122">
        <f>IFERROR(IF(ISNUMBER(INDEX(SPPR!$E:$X,MATCH($A122,SPPR!$A:$A,0),19)),$C122*INDEX(SPPR!$E:$X,MATCH($A122,SPPR!$A:$A,0),19),""),"")</f>
        <v/>
      </c>
      <c r="W122">
        <f>IFERROR(IF(ISNUMBER(INDEX(SPPR!$E:$X,MATCH($A122,SPPR!$A:$A,0),20)),$C122*INDEX(SPPR!$E:$X,MATCH($A122,SPPR!$A:$A,0),20),""),"")</f>
        <v/>
      </c>
    </row>
    <row r="123">
      <c r="A123" t="inlineStr">
        <is>
          <t>Magallana gigas</t>
        </is>
      </c>
      <c r="B123">
        <f>IFERROR(INDEX(SPPR!$D:$D,MATCH($A123,SPPR!$A:$A,0)),"")</f>
        <v/>
      </c>
      <c r="C123">
        <f>IFERROR(INDEX(Catch!$E:$BV,MATCH($A123,Catch!$A:$A,0),MATCH($B$4,Catch!$E$1:$BV$1,0)),0)</f>
        <v/>
      </c>
      <c r="D123">
        <f>IFERROR(IF(ISNUMBER(INDEX(SPPR!$E:$X,MATCH($A123,SPPR!$A:$A,0),1)),$C123*INDEX(SPPR!$E:$X,MATCH($A123,SPPR!$A:$A,0),1),""),"")</f>
        <v/>
      </c>
      <c r="E123">
        <f>IFERROR(IF(ISNUMBER(INDEX(SPPR!$E:$X,MATCH($A123,SPPR!$A:$A,0),2)),$C123*INDEX(SPPR!$E:$X,MATCH($A123,SPPR!$A:$A,0),2),""),"")</f>
        <v/>
      </c>
      <c r="F123">
        <f>IFERROR(IF(ISNUMBER(INDEX(SPPR!$E:$X,MATCH($A123,SPPR!$A:$A,0),3)),$C123*INDEX(SPPR!$E:$X,MATCH($A123,SPPR!$A:$A,0),3),""),"")</f>
        <v/>
      </c>
      <c r="G123">
        <f>IFERROR(IF(ISNUMBER(INDEX(SPPR!$E:$X,MATCH($A123,SPPR!$A:$A,0),4)),$C123*INDEX(SPPR!$E:$X,MATCH($A123,SPPR!$A:$A,0),4),""),"")</f>
        <v/>
      </c>
      <c r="H123">
        <f>IFERROR(IF(ISNUMBER(INDEX(SPPR!$E:$X,MATCH($A123,SPPR!$A:$A,0),5)),$C123*INDEX(SPPR!$E:$X,MATCH($A123,SPPR!$A:$A,0),5),""),"")</f>
        <v/>
      </c>
      <c r="I123">
        <f>IFERROR(IF(ISNUMBER(INDEX(SPPR!$E:$X,MATCH($A123,SPPR!$A:$A,0),6)),$C123*INDEX(SPPR!$E:$X,MATCH($A123,SPPR!$A:$A,0),6),""),"")</f>
        <v/>
      </c>
      <c r="J123">
        <f>IFERROR(IF(ISNUMBER(INDEX(SPPR!$E:$X,MATCH($A123,SPPR!$A:$A,0),7)),$C123*INDEX(SPPR!$E:$X,MATCH($A123,SPPR!$A:$A,0),7),""),"")</f>
        <v/>
      </c>
      <c r="K123">
        <f>IFERROR(IF(ISNUMBER(INDEX(SPPR!$E:$X,MATCH($A123,SPPR!$A:$A,0),8)),$C123*INDEX(SPPR!$E:$X,MATCH($A123,SPPR!$A:$A,0),8),""),"")</f>
        <v/>
      </c>
      <c r="L123">
        <f>IFERROR(IF(ISNUMBER(INDEX(SPPR!$E:$X,MATCH($A123,SPPR!$A:$A,0),9)),$C123*INDEX(SPPR!$E:$X,MATCH($A123,SPPR!$A:$A,0),9),""),"")</f>
        <v/>
      </c>
      <c r="M123">
        <f>IFERROR(IF(ISNUMBER(INDEX(SPPR!$E:$X,MATCH($A123,SPPR!$A:$A,0),10)),$C123*INDEX(SPPR!$E:$X,MATCH($A123,SPPR!$A:$A,0),10),""),"")</f>
        <v/>
      </c>
      <c r="N123">
        <f>IFERROR(IF(ISNUMBER(INDEX(SPPR!$E:$X,MATCH($A123,SPPR!$A:$A,0),11)),$C123*INDEX(SPPR!$E:$X,MATCH($A123,SPPR!$A:$A,0),11),""),"")</f>
        <v/>
      </c>
      <c r="O123">
        <f>IFERROR(IF(ISNUMBER(INDEX(SPPR!$E:$X,MATCH($A123,SPPR!$A:$A,0),12)),$C123*INDEX(SPPR!$E:$X,MATCH($A123,SPPR!$A:$A,0),12),""),"")</f>
        <v/>
      </c>
      <c r="P123">
        <f>IFERROR(IF(ISNUMBER(INDEX(SPPR!$E:$X,MATCH($A123,SPPR!$A:$A,0),13)),$C123*INDEX(SPPR!$E:$X,MATCH($A123,SPPR!$A:$A,0),13),""),"")</f>
        <v/>
      </c>
      <c r="Q123">
        <f>IFERROR(IF(ISNUMBER(INDEX(SPPR!$E:$X,MATCH($A123,SPPR!$A:$A,0),14)),$C123*INDEX(SPPR!$E:$X,MATCH($A123,SPPR!$A:$A,0),14),""),"")</f>
        <v/>
      </c>
      <c r="R123">
        <f>IFERROR(IF(ISNUMBER(INDEX(SPPR!$E:$X,MATCH($A123,SPPR!$A:$A,0),15)),$C123*INDEX(SPPR!$E:$X,MATCH($A123,SPPR!$A:$A,0),15),""),"")</f>
        <v/>
      </c>
      <c r="S123">
        <f>IFERROR(IF(ISNUMBER(INDEX(SPPR!$E:$X,MATCH($A123,SPPR!$A:$A,0),16)),$C123*INDEX(SPPR!$E:$X,MATCH($A123,SPPR!$A:$A,0),16),""),"")</f>
        <v/>
      </c>
      <c r="T123">
        <f>IFERROR(IF(ISNUMBER(INDEX(SPPR!$E:$X,MATCH($A123,SPPR!$A:$A,0),17)),$C123*INDEX(SPPR!$E:$X,MATCH($A123,SPPR!$A:$A,0),17),""),"")</f>
        <v/>
      </c>
      <c r="U123">
        <f>IFERROR(IF(ISNUMBER(INDEX(SPPR!$E:$X,MATCH($A123,SPPR!$A:$A,0),18)),$C123*INDEX(SPPR!$E:$X,MATCH($A123,SPPR!$A:$A,0),18),""),"")</f>
        <v/>
      </c>
      <c r="V123">
        <f>IFERROR(IF(ISNUMBER(INDEX(SPPR!$E:$X,MATCH($A123,SPPR!$A:$A,0),19)),$C123*INDEX(SPPR!$E:$X,MATCH($A123,SPPR!$A:$A,0),19),""),"")</f>
        <v/>
      </c>
      <c r="W123">
        <f>IFERROR(IF(ISNUMBER(INDEX(SPPR!$E:$X,MATCH($A123,SPPR!$A:$A,0),20)),$C123*INDEX(SPPR!$E:$X,MATCH($A123,SPPR!$A:$A,0),20),""),"")</f>
        <v/>
      </c>
    </row>
    <row r="124">
      <c r="A124" t="inlineStr">
        <is>
          <t>Seriola lalandi</t>
        </is>
      </c>
      <c r="B124">
        <f>IFERROR(INDEX(SPPR!$D:$D,MATCH($A124,SPPR!$A:$A,0)),"")</f>
        <v/>
      </c>
      <c r="C124">
        <f>IFERROR(INDEX(Catch!$E:$BV,MATCH($A124,Catch!$A:$A,0),MATCH($B$4,Catch!$E$1:$BV$1,0)),0)</f>
        <v/>
      </c>
      <c r="D124">
        <f>IFERROR(IF(ISNUMBER(INDEX(SPPR!$E:$X,MATCH($A124,SPPR!$A:$A,0),1)),$C124*INDEX(SPPR!$E:$X,MATCH($A124,SPPR!$A:$A,0),1),""),"")</f>
        <v/>
      </c>
      <c r="E124">
        <f>IFERROR(IF(ISNUMBER(INDEX(SPPR!$E:$X,MATCH($A124,SPPR!$A:$A,0),2)),$C124*INDEX(SPPR!$E:$X,MATCH($A124,SPPR!$A:$A,0),2),""),"")</f>
        <v/>
      </c>
      <c r="F124">
        <f>IFERROR(IF(ISNUMBER(INDEX(SPPR!$E:$X,MATCH($A124,SPPR!$A:$A,0),3)),$C124*INDEX(SPPR!$E:$X,MATCH($A124,SPPR!$A:$A,0),3),""),"")</f>
        <v/>
      </c>
      <c r="G124">
        <f>IFERROR(IF(ISNUMBER(INDEX(SPPR!$E:$X,MATCH($A124,SPPR!$A:$A,0),4)),$C124*INDEX(SPPR!$E:$X,MATCH($A124,SPPR!$A:$A,0),4),""),"")</f>
        <v/>
      </c>
      <c r="H124">
        <f>IFERROR(IF(ISNUMBER(INDEX(SPPR!$E:$X,MATCH($A124,SPPR!$A:$A,0),5)),$C124*INDEX(SPPR!$E:$X,MATCH($A124,SPPR!$A:$A,0),5),""),"")</f>
        <v/>
      </c>
      <c r="I124">
        <f>IFERROR(IF(ISNUMBER(INDEX(SPPR!$E:$X,MATCH($A124,SPPR!$A:$A,0),6)),$C124*INDEX(SPPR!$E:$X,MATCH($A124,SPPR!$A:$A,0),6),""),"")</f>
        <v/>
      </c>
      <c r="J124">
        <f>IFERROR(IF(ISNUMBER(INDEX(SPPR!$E:$X,MATCH($A124,SPPR!$A:$A,0),7)),$C124*INDEX(SPPR!$E:$X,MATCH($A124,SPPR!$A:$A,0),7),""),"")</f>
        <v/>
      </c>
      <c r="K124">
        <f>IFERROR(IF(ISNUMBER(INDEX(SPPR!$E:$X,MATCH($A124,SPPR!$A:$A,0),8)),$C124*INDEX(SPPR!$E:$X,MATCH($A124,SPPR!$A:$A,0),8),""),"")</f>
        <v/>
      </c>
      <c r="L124">
        <f>IFERROR(IF(ISNUMBER(INDEX(SPPR!$E:$X,MATCH($A124,SPPR!$A:$A,0),9)),$C124*INDEX(SPPR!$E:$X,MATCH($A124,SPPR!$A:$A,0),9),""),"")</f>
        <v/>
      </c>
      <c r="M124">
        <f>IFERROR(IF(ISNUMBER(INDEX(SPPR!$E:$X,MATCH($A124,SPPR!$A:$A,0),10)),$C124*INDEX(SPPR!$E:$X,MATCH($A124,SPPR!$A:$A,0),10),""),"")</f>
        <v/>
      </c>
      <c r="N124">
        <f>IFERROR(IF(ISNUMBER(INDEX(SPPR!$E:$X,MATCH($A124,SPPR!$A:$A,0),11)),$C124*INDEX(SPPR!$E:$X,MATCH($A124,SPPR!$A:$A,0),11),""),"")</f>
        <v/>
      </c>
      <c r="O124">
        <f>IFERROR(IF(ISNUMBER(INDEX(SPPR!$E:$X,MATCH($A124,SPPR!$A:$A,0),12)),$C124*INDEX(SPPR!$E:$X,MATCH($A124,SPPR!$A:$A,0),12),""),"")</f>
        <v/>
      </c>
      <c r="P124">
        <f>IFERROR(IF(ISNUMBER(INDEX(SPPR!$E:$X,MATCH($A124,SPPR!$A:$A,0),13)),$C124*INDEX(SPPR!$E:$X,MATCH($A124,SPPR!$A:$A,0),13),""),"")</f>
        <v/>
      </c>
      <c r="Q124">
        <f>IFERROR(IF(ISNUMBER(INDEX(SPPR!$E:$X,MATCH($A124,SPPR!$A:$A,0),14)),$C124*INDEX(SPPR!$E:$X,MATCH($A124,SPPR!$A:$A,0),14),""),"")</f>
        <v/>
      </c>
      <c r="R124">
        <f>IFERROR(IF(ISNUMBER(INDEX(SPPR!$E:$X,MATCH($A124,SPPR!$A:$A,0),15)),$C124*INDEX(SPPR!$E:$X,MATCH($A124,SPPR!$A:$A,0),15),""),"")</f>
        <v/>
      </c>
      <c r="S124">
        <f>IFERROR(IF(ISNUMBER(INDEX(SPPR!$E:$X,MATCH($A124,SPPR!$A:$A,0),16)),$C124*INDEX(SPPR!$E:$X,MATCH($A124,SPPR!$A:$A,0),16),""),"")</f>
        <v/>
      </c>
      <c r="T124">
        <f>IFERROR(IF(ISNUMBER(INDEX(SPPR!$E:$X,MATCH($A124,SPPR!$A:$A,0),17)),$C124*INDEX(SPPR!$E:$X,MATCH($A124,SPPR!$A:$A,0),17),""),"")</f>
        <v/>
      </c>
      <c r="U124">
        <f>IFERROR(IF(ISNUMBER(INDEX(SPPR!$E:$X,MATCH($A124,SPPR!$A:$A,0),18)),$C124*INDEX(SPPR!$E:$X,MATCH($A124,SPPR!$A:$A,0),18),""),"")</f>
        <v/>
      </c>
      <c r="V124">
        <f>IFERROR(IF(ISNUMBER(INDEX(SPPR!$E:$X,MATCH($A124,SPPR!$A:$A,0),19)),$C124*INDEX(SPPR!$E:$X,MATCH($A124,SPPR!$A:$A,0),19),""),"")</f>
        <v/>
      </c>
      <c r="W124">
        <f>IFERROR(IF(ISNUMBER(INDEX(SPPR!$E:$X,MATCH($A124,SPPR!$A:$A,0),20)),$C124*INDEX(SPPR!$E:$X,MATCH($A124,SPPR!$A:$A,0),20),""),"")</f>
        <v/>
      </c>
    </row>
    <row r="125">
      <c r="A125" t="inlineStr">
        <is>
          <t>Graus nigra</t>
        </is>
      </c>
      <c r="B125">
        <f>IFERROR(INDEX(SPPR!$D:$D,MATCH($A125,SPPR!$A:$A,0)),"")</f>
        <v/>
      </c>
      <c r="C125">
        <f>IFERROR(INDEX(Catch!$E:$BV,MATCH($A125,Catch!$A:$A,0),MATCH($B$4,Catch!$E$1:$BV$1,0)),0)</f>
        <v/>
      </c>
      <c r="D125">
        <f>IFERROR(IF(ISNUMBER(INDEX(SPPR!$E:$X,MATCH($A125,SPPR!$A:$A,0),1)),$C125*INDEX(SPPR!$E:$X,MATCH($A125,SPPR!$A:$A,0),1),""),"")</f>
        <v/>
      </c>
      <c r="E125">
        <f>IFERROR(IF(ISNUMBER(INDEX(SPPR!$E:$X,MATCH($A125,SPPR!$A:$A,0),2)),$C125*INDEX(SPPR!$E:$X,MATCH($A125,SPPR!$A:$A,0),2),""),"")</f>
        <v/>
      </c>
      <c r="F125">
        <f>IFERROR(IF(ISNUMBER(INDEX(SPPR!$E:$X,MATCH($A125,SPPR!$A:$A,0),3)),$C125*INDEX(SPPR!$E:$X,MATCH($A125,SPPR!$A:$A,0),3),""),"")</f>
        <v/>
      </c>
      <c r="G125">
        <f>IFERROR(IF(ISNUMBER(INDEX(SPPR!$E:$X,MATCH($A125,SPPR!$A:$A,0),4)),$C125*INDEX(SPPR!$E:$X,MATCH($A125,SPPR!$A:$A,0),4),""),"")</f>
        <v/>
      </c>
      <c r="H125">
        <f>IFERROR(IF(ISNUMBER(INDEX(SPPR!$E:$X,MATCH($A125,SPPR!$A:$A,0),5)),$C125*INDEX(SPPR!$E:$X,MATCH($A125,SPPR!$A:$A,0),5),""),"")</f>
        <v/>
      </c>
      <c r="I125">
        <f>IFERROR(IF(ISNUMBER(INDEX(SPPR!$E:$X,MATCH($A125,SPPR!$A:$A,0),6)),$C125*INDEX(SPPR!$E:$X,MATCH($A125,SPPR!$A:$A,0),6),""),"")</f>
        <v/>
      </c>
      <c r="J125">
        <f>IFERROR(IF(ISNUMBER(INDEX(SPPR!$E:$X,MATCH($A125,SPPR!$A:$A,0),7)),$C125*INDEX(SPPR!$E:$X,MATCH($A125,SPPR!$A:$A,0),7),""),"")</f>
        <v/>
      </c>
      <c r="K125">
        <f>IFERROR(IF(ISNUMBER(INDEX(SPPR!$E:$X,MATCH($A125,SPPR!$A:$A,0),8)),$C125*INDEX(SPPR!$E:$X,MATCH($A125,SPPR!$A:$A,0),8),""),"")</f>
        <v/>
      </c>
      <c r="L125">
        <f>IFERROR(IF(ISNUMBER(INDEX(SPPR!$E:$X,MATCH($A125,SPPR!$A:$A,0),9)),$C125*INDEX(SPPR!$E:$X,MATCH($A125,SPPR!$A:$A,0),9),""),"")</f>
        <v/>
      </c>
      <c r="M125">
        <f>IFERROR(IF(ISNUMBER(INDEX(SPPR!$E:$X,MATCH($A125,SPPR!$A:$A,0),10)),$C125*INDEX(SPPR!$E:$X,MATCH($A125,SPPR!$A:$A,0),10),""),"")</f>
        <v/>
      </c>
      <c r="N125">
        <f>IFERROR(IF(ISNUMBER(INDEX(SPPR!$E:$X,MATCH($A125,SPPR!$A:$A,0),11)),$C125*INDEX(SPPR!$E:$X,MATCH($A125,SPPR!$A:$A,0),11),""),"")</f>
        <v/>
      </c>
      <c r="O125">
        <f>IFERROR(IF(ISNUMBER(INDEX(SPPR!$E:$X,MATCH($A125,SPPR!$A:$A,0),12)),$C125*INDEX(SPPR!$E:$X,MATCH($A125,SPPR!$A:$A,0),12),""),"")</f>
        <v/>
      </c>
      <c r="P125">
        <f>IFERROR(IF(ISNUMBER(INDEX(SPPR!$E:$X,MATCH($A125,SPPR!$A:$A,0),13)),$C125*INDEX(SPPR!$E:$X,MATCH($A125,SPPR!$A:$A,0),13),""),"")</f>
        <v/>
      </c>
      <c r="Q125">
        <f>IFERROR(IF(ISNUMBER(INDEX(SPPR!$E:$X,MATCH($A125,SPPR!$A:$A,0),14)),$C125*INDEX(SPPR!$E:$X,MATCH($A125,SPPR!$A:$A,0),14),""),"")</f>
        <v/>
      </c>
      <c r="R125">
        <f>IFERROR(IF(ISNUMBER(INDEX(SPPR!$E:$X,MATCH($A125,SPPR!$A:$A,0),15)),$C125*INDEX(SPPR!$E:$X,MATCH($A125,SPPR!$A:$A,0),15),""),"")</f>
        <v/>
      </c>
      <c r="S125">
        <f>IFERROR(IF(ISNUMBER(INDEX(SPPR!$E:$X,MATCH($A125,SPPR!$A:$A,0),16)),$C125*INDEX(SPPR!$E:$X,MATCH($A125,SPPR!$A:$A,0),16),""),"")</f>
        <v/>
      </c>
      <c r="T125">
        <f>IFERROR(IF(ISNUMBER(INDEX(SPPR!$E:$X,MATCH($A125,SPPR!$A:$A,0),17)),$C125*INDEX(SPPR!$E:$X,MATCH($A125,SPPR!$A:$A,0),17),""),"")</f>
        <v/>
      </c>
      <c r="U125">
        <f>IFERROR(IF(ISNUMBER(INDEX(SPPR!$E:$X,MATCH($A125,SPPR!$A:$A,0),18)),$C125*INDEX(SPPR!$E:$X,MATCH($A125,SPPR!$A:$A,0),18),""),"")</f>
        <v/>
      </c>
      <c r="V125">
        <f>IFERROR(IF(ISNUMBER(INDEX(SPPR!$E:$X,MATCH($A125,SPPR!$A:$A,0),19)),$C125*INDEX(SPPR!$E:$X,MATCH($A125,SPPR!$A:$A,0),19),""),"")</f>
        <v/>
      </c>
      <c r="W125">
        <f>IFERROR(IF(ISNUMBER(INDEX(SPPR!$E:$X,MATCH($A125,SPPR!$A:$A,0),20)),$C125*INDEX(SPPR!$E:$X,MATCH($A125,SPPR!$A:$A,0),20),""),"")</f>
        <v/>
      </c>
    </row>
    <row r="126">
      <c r="A126" t="inlineStr">
        <is>
          <t>Hippoglossina macrops</t>
        </is>
      </c>
      <c r="B126">
        <f>IFERROR(INDEX(SPPR!$D:$D,MATCH($A126,SPPR!$A:$A,0)),"")</f>
        <v/>
      </c>
      <c r="C126">
        <f>IFERROR(INDEX(Catch!$E:$BV,MATCH($A126,Catch!$A:$A,0),MATCH($B$4,Catch!$E$1:$BV$1,0)),0)</f>
        <v/>
      </c>
      <c r="D126">
        <f>IFERROR(IF(ISNUMBER(INDEX(SPPR!$E:$X,MATCH($A126,SPPR!$A:$A,0),1)),$C126*INDEX(SPPR!$E:$X,MATCH($A126,SPPR!$A:$A,0),1),""),"")</f>
        <v/>
      </c>
      <c r="E126">
        <f>IFERROR(IF(ISNUMBER(INDEX(SPPR!$E:$X,MATCH($A126,SPPR!$A:$A,0),2)),$C126*INDEX(SPPR!$E:$X,MATCH($A126,SPPR!$A:$A,0),2),""),"")</f>
        <v/>
      </c>
      <c r="F126">
        <f>IFERROR(IF(ISNUMBER(INDEX(SPPR!$E:$X,MATCH($A126,SPPR!$A:$A,0),3)),$C126*INDEX(SPPR!$E:$X,MATCH($A126,SPPR!$A:$A,0),3),""),"")</f>
        <v/>
      </c>
      <c r="G126">
        <f>IFERROR(IF(ISNUMBER(INDEX(SPPR!$E:$X,MATCH($A126,SPPR!$A:$A,0),4)),$C126*INDEX(SPPR!$E:$X,MATCH($A126,SPPR!$A:$A,0),4),""),"")</f>
        <v/>
      </c>
      <c r="H126">
        <f>IFERROR(IF(ISNUMBER(INDEX(SPPR!$E:$X,MATCH($A126,SPPR!$A:$A,0),5)),$C126*INDEX(SPPR!$E:$X,MATCH($A126,SPPR!$A:$A,0),5),""),"")</f>
        <v/>
      </c>
      <c r="I126">
        <f>IFERROR(IF(ISNUMBER(INDEX(SPPR!$E:$X,MATCH($A126,SPPR!$A:$A,0),6)),$C126*INDEX(SPPR!$E:$X,MATCH($A126,SPPR!$A:$A,0),6),""),"")</f>
        <v/>
      </c>
      <c r="J126">
        <f>IFERROR(IF(ISNUMBER(INDEX(SPPR!$E:$X,MATCH($A126,SPPR!$A:$A,0),7)),$C126*INDEX(SPPR!$E:$X,MATCH($A126,SPPR!$A:$A,0),7),""),"")</f>
        <v/>
      </c>
      <c r="K126">
        <f>IFERROR(IF(ISNUMBER(INDEX(SPPR!$E:$X,MATCH($A126,SPPR!$A:$A,0),8)),$C126*INDEX(SPPR!$E:$X,MATCH($A126,SPPR!$A:$A,0),8),""),"")</f>
        <v/>
      </c>
      <c r="L126">
        <f>IFERROR(IF(ISNUMBER(INDEX(SPPR!$E:$X,MATCH($A126,SPPR!$A:$A,0),9)),$C126*INDEX(SPPR!$E:$X,MATCH($A126,SPPR!$A:$A,0),9),""),"")</f>
        <v/>
      </c>
      <c r="M126">
        <f>IFERROR(IF(ISNUMBER(INDEX(SPPR!$E:$X,MATCH($A126,SPPR!$A:$A,0),10)),$C126*INDEX(SPPR!$E:$X,MATCH($A126,SPPR!$A:$A,0),10),""),"")</f>
        <v/>
      </c>
      <c r="N126">
        <f>IFERROR(IF(ISNUMBER(INDEX(SPPR!$E:$X,MATCH($A126,SPPR!$A:$A,0),11)),$C126*INDEX(SPPR!$E:$X,MATCH($A126,SPPR!$A:$A,0),11),""),"")</f>
        <v/>
      </c>
      <c r="O126">
        <f>IFERROR(IF(ISNUMBER(INDEX(SPPR!$E:$X,MATCH($A126,SPPR!$A:$A,0),12)),$C126*INDEX(SPPR!$E:$X,MATCH($A126,SPPR!$A:$A,0),12),""),"")</f>
        <v/>
      </c>
      <c r="P126">
        <f>IFERROR(IF(ISNUMBER(INDEX(SPPR!$E:$X,MATCH($A126,SPPR!$A:$A,0),13)),$C126*INDEX(SPPR!$E:$X,MATCH($A126,SPPR!$A:$A,0),13),""),"")</f>
        <v/>
      </c>
      <c r="Q126">
        <f>IFERROR(IF(ISNUMBER(INDEX(SPPR!$E:$X,MATCH($A126,SPPR!$A:$A,0),14)),$C126*INDEX(SPPR!$E:$X,MATCH($A126,SPPR!$A:$A,0),14),""),"")</f>
        <v/>
      </c>
      <c r="R126">
        <f>IFERROR(IF(ISNUMBER(INDEX(SPPR!$E:$X,MATCH($A126,SPPR!$A:$A,0),15)),$C126*INDEX(SPPR!$E:$X,MATCH($A126,SPPR!$A:$A,0),15),""),"")</f>
        <v/>
      </c>
      <c r="S126">
        <f>IFERROR(IF(ISNUMBER(INDEX(SPPR!$E:$X,MATCH($A126,SPPR!$A:$A,0),16)),$C126*INDEX(SPPR!$E:$X,MATCH($A126,SPPR!$A:$A,0),16),""),"")</f>
        <v/>
      </c>
      <c r="T126">
        <f>IFERROR(IF(ISNUMBER(INDEX(SPPR!$E:$X,MATCH($A126,SPPR!$A:$A,0),17)),$C126*INDEX(SPPR!$E:$X,MATCH($A126,SPPR!$A:$A,0),17),""),"")</f>
        <v/>
      </c>
      <c r="U126">
        <f>IFERROR(IF(ISNUMBER(INDEX(SPPR!$E:$X,MATCH($A126,SPPR!$A:$A,0),18)),$C126*INDEX(SPPR!$E:$X,MATCH($A126,SPPR!$A:$A,0),18),""),"")</f>
        <v/>
      </c>
      <c r="V126">
        <f>IFERROR(IF(ISNUMBER(INDEX(SPPR!$E:$X,MATCH($A126,SPPR!$A:$A,0),19)),$C126*INDEX(SPPR!$E:$X,MATCH($A126,SPPR!$A:$A,0),19),""),"")</f>
        <v/>
      </c>
      <c r="W126">
        <f>IFERROR(IF(ISNUMBER(INDEX(SPPR!$E:$X,MATCH($A126,SPPR!$A:$A,0),20)),$C126*INDEX(SPPR!$E:$X,MATCH($A126,SPPR!$A:$A,0),20),""),"")</f>
        <v/>
      </c>
    </row>
    <row r="127">
      <c r="A127" t="inlineStr">
        <is>
          <t>Scorpaeniformes</t>
        </is>
      </c>
      <c r="B127">
        <f>IFERROR(INDEX(SPPR!$D:$D,MATCH($A127,SPPR!$A:$A,0)),"")</f>
        <v/>
      </c>
      <c r="C127">
        <f>IFERROR(INDEX(Catch!$E:$BV,MATCH($A127,Catch!$A:$A,0),MATCH($B$4,Catch!$E$1:$BV$1,0)),0)</f>
        <v/>
      </c>
      <c r="D127">
        <f>IFERROR(IF(ISNUMBER(INDEX(SPPR!$E:$X,MATCH($A127,SPPR!$A:$A,0),1)),$C127*INDEX(SPPR!$E:$X,MATCH($A127,SPPR!$A:$A,0),1),""),"")</f>
        <v/>
      </c>
      <c r="E127">
        <f>IFERROR(IF(ISNUMBER(INDEX(SPPR!$E:$X,MATCH($A127,SPPR!$A:$A,0),2)),$C127*INDEX(SPPR!$E:$X,MATCH($A127,SPPR!$A:$A,0),2),""),"")</f>
        <v/>
      </c>
      <c r="F127">
        <f>IFERROR(IF(ISNUMBER(INDEX(SPPR!$E:$X,MATCH($A127,SPPR!$A:$A,0),3)),$C127*INDEX(SPPR!$E:$X,MATCH($A127,SPPR!$A:$A,0),3),""),"")</f>
        <v/>
      </c>
      <c r="G127">
        <f>IFERROR(IF(ISNUMBER(INDEX(SPPR!$E:$X,MATCH($A127,SPPR!$A:$A,0),4)),$C127*INDEX(SPPR!$E:$X,MATCH($A127,SPPR!$A:$A,0),4),""),"")</f>
        <v/>
      </c>
      <c r="H127">
        <f>IFERROR(IF(ISNUMBER(INDEX(SPPR!$E:$X,MATCH($A127,SPPR!$A:$A,0),5)),$C127*INDEX(SPPR!$E:$X,MATCH($A127,SPPR!$A:$A,0),5),""),"")</f>
        <v/>
      </c>
      <c r="I127">
        <f>IFERROR(IF(ISNUMBER(INDEX(SPPR!$E:$X,MATCH($A127,SPPR!$A:$A,0),6)),$C127*INDEX(SPPR!$E:$X,MATCH($A127,SPPR!$A:$A,0),6),""),"")</f>
        <v/>
      </c>
      <c r="J127">
        <f>IFERROR(IF(ISNUMBER(INDEX(SPPR!$E:$X,MATCH($A127,SPPR!$A:$A,0),7)),$C127*INDEX(SPPR!$E:$X,MATCH($A127,SPPR!$A:$A,0),7),""),"")</f>
        <v/>
      </c>
      <c r="K127">
        <f>IFERROR(IF(ISNUMBER(INDEX(SPPR!$E:$X,MATCH($A127,SPPR!$A:$A,0),8)),$C127*INDEX(SPPR!$E:$X,MATCH($A127,SPPR!$A:$A,0),8),""),"")</f>
        <v/>
      </c>
      <c r="L127">
        <f>IFERROR(IF(ISNUMBER(INDEX(SPPR!$E:$X,MATCH($A127,SPPR!$A:$A,0),9)),$C127*INDEX(SPPR!$E:$X,MATCH($A127,SPPR!$A:$A,0),9),""),"")</f>
        <v/>
      </c>
      <c r="M127">
        <f>IFERROR(IF(ISNUMBER(INDEX(SPPR!$E:$X,MATCH($A127,SPPR!$A:$A,0),10)),$C127*INDEX(SPPR!$E:$X,MATCH($A127,SPPR!$A:$A,0),10),""),"")</f>
        <v/>
      </c>
      <c r="N127">
        <f>IFERROR(IF(ISNUMBER(INDEX(SPPR!$E:$X,MATCH($A127,SPPR!$A:$A,0),11)),$C127*INDEX(SPPR!$E:$X,MATCH($A127,SPPR!$A:$A,0),11),""),"")</f>
        <v/>
      </c>
      <c r="O127">
        <f>IFERROR(IF(ISNUMBER(INDEX(SPPR!$E:$X,MATCH($A127,SPPR!$A:$A,0),12)),$C127*INDEX(SPPR!$E:$X,MATCH($A127,SPPR!$A:$A,0),12),""),"")</f>
        <v/>
      </c>
      <c r="P127">
        <f>IFERROR(IF(ISNUMBER(INDEX(SPPR!$E:$X,MATCH($A127,SPPR!$A:$A,0),13)),$C127*INDEX(SPPR!$E:$X,MATCH($A127,SPPR!$A:$A,0),13),""),"")</f>
        <v/>
      </c>
      <c r="Q127">
        <f>IFERROR(IF(ISNUMBER(INDEX(SPPR!$E:$X,MATCH($A127,SPPR!$A:$A,0),14)),$C127*INDEX(SPPR!$E:$X,MATCH($A127,SPPR!$A:$A,0),14),""),"")</f>
        <v/>
      </c>
      <c r="R127">
        <f>IFERROR(IF(ISNUMBER(INDEX(SPPR!$E:$X,MATCH($A127,SPPR!$A:$A,0),15)),$C127*INDEX(SPPR!$E:$X,MATCH($A127,SPPR!$A:$A,0),15),""),"")</f>
        <v/>
      </c>
      <c r="S127">
        <f>IFERROR(IF(ISNUMBER(INDEX(SPPR!$E:$X,MATCH($A127,SPPR!$A:$A,0),16)),$C127*INDEX(SPPR!$E:$X,MATCH($A127,SPPR!$A:$A,0),16),""),"")</f>
        <v/>
      </c>
      <c r="T127">
        <f>IFERROR(IF(ISNUMBER(INDEX(SPPR!$E:$X,MATCH($A127,SPPR!$A:$A,0),17)),$C127*INDEX(SPPR!$E:$X,MATCH($A127,SPPR!$A:$A,0),17),""),"")</f>
        <v/>
      </c>
      <c r="U127">
        <f>IFERROR(IF(ISNUMBER(INDEX(SPPR!$E:$X,MATCH($A127,SPPR!$A:$A,0),18)),$C127*INDEX(SPPR!$E:$X,MATCH($A127,SPPR!$A:$A,0),18),""),"")</f>
        <v/>
      </c>
      <c r="V127">
        <f>IFERROR(IF(ISNUMBER(INDEX(SPPR!$E:$X,MATCH($A127,SPPR!$A:$A,0),19)),$C127*INDEX(SPPR!$E:$X,MATCH($A127,SPPR!$A:$A,0),19),""),"")</f>
        <v/>
      </c>
      <c r="W127">
        <f>IFERROR(IF(ISNUMBER(INDEX(SPPR!$E:$X,MATCH($A127,SPPR!$A:$A,0),20)),$C127*INDEX(SPPR!$E:$X,MATCH($A127,SPPR!$A:$A,0),20),""),"")</f>
        <v/>
      </c>
    </row>
    <row r="128">
      <c r="A128" t="inlineStr">
        <is>
          <t>Seriola</t>
        </is>
      </c>
      <c r="B128">
        <f>IFERROR(INDEX(SPPR!$D:$D,MATCH($A128,SPPR!$A:$A,0)),"")</f>
        <v/>
      </c>
      <c r="C128">
        <f>IFERROR(INDEX(Catch!$E:$BV,MATCH($A128,Catch!$A:$A,0),MATCH($B$4,Catch!$E$1:$BV$1,0)),0)</f>
        <v/>
      </c>
      <c r="D128">
        <f>IFERROR(IF(ISNUMBER(INDEX(SPPR!$E:$X,MATCH($A128,SPPR!$A:$A,0),1)),$C128*INDEX(SPPR!$E:$X,MATCH($A128,SPPR!$A:$A,0),1),""),"")</f>
        <v/>
      </c>
      <c r="E128">
        <f>IFERROR(IF(ISNUMBER(INDEX(SPPR!$E:$X,MATCH($A128,SPPR!$A:$A,0),2)),$C128*INDEX(SPPR!$E:$X,MATCH($A128,SPPR!$A:$A,0),2),""),"")</f>
        <v/>
      </c>
      <c r="F128">
        <f>IFERROR(IF(ISNUMBER(INDEX(SPPR!$E:$X,MATCH($A128,SPPR!$A:$A,0),3)),$C128*INDEX(SPPR!$E:$X,MATCH($A128,SPPR!$A:$A,0),3),""),"")</f>
        <v/>
      </c>
      <c r="G128">
        <f>IFERROR(IF(ISNUMBER(INDEX(SPPR!$E:$X,MATCH($A128,SPPR!$A:$A,0),4)),$C128*INDEX(SPPR!$E:$X,MATCH($A128,SPPR!$A:$A,0),4),""),"")</f>
        <v/>
      </c>
      <c r="H128">
        <f>IFERROR(IF(ISNUMBER(INDEX(SPPR!$E:$X,MATCH($A128,SPPR!$A:$A,0),5)),$C128*INDEX(SPPR!$E:$X,MATCH($A128,SPPR!$A:$A,0),5),""),"")</f>
        <v/>
      </c>
      <c r="I128">
        <f>IFERROR(IF(ISNUMBER(INDEX(SPPR!$E:$X,MATCH($A128,SPPR!$A:$A,0),6)),$C128*INDEX(SPPR!$E:$X,MATCH($A128,SPPR!$A:$A,0),6),""),"")</f>
        <v/>
      </c>
      <c r="J128">
        <f>IFERROR(IF(ISNUMBER(INDEX(SPPR!$E:$X,MATCH($A128,SPPR!$A:$A,0),7)),$C128*INDEX(SPPR!$E:$X,MATCH($A128,SPPR!$A:$A,0),7),""),"")</f>
        <v/>
      </c>
      <c r="K128">
        <f>IFERROR(IF(ISNUMBER(INDEX(SPPR!$E:$X,MATCH($A128,SPPR!$A:$A,0),8)),$C128*INDEX(SPPR!$E:$X,MATCH($A128,SPPR!$A:$A,0),8),""),"")</f>
        <v/>
      </c>
      <c r="L128">
        <f>IFERROR(IF(ISNUMBER(INDEX(SPPR!$E:$X,MATCH($A128,SPPR!$A:$A,0),9)),$C128*INDEX(SPPR!$E:$X,MATCH($A128,SPPR!$A:$A,0),9),""),"")</f>
        <v/>
      </c>
      <c r="M128">
        <f>IFERROR(IF(ISNUMBER(INDEX(SPPR!$E:$X,MATCH($A128,SPPR!$A:$A,0),10)),$C128*INDEX(SPPR!$E:$X,MATCH($A128,SPPR!$A:$A,0),10),""),"")</f>
        <v/>
      </c>
      <c r="N128">
        <f>IFERROR(IF(ISNUMBER(INDEX(SPPR!$E:$X,MATCH($A128,SPPR!$A:$A,0),11)),$C128*INDEX(SPPR!$E:$X,MATCH($A128,SPPR!$A:$A,0),11),""),"")</f>
        <v/>
      </c>
      <c r="O128">
        <f>IFERROR(IF(ISNUMBER(INDEX(SPPR!$E:$X,MATCH($A128,SPPR!$A:$A,0),12)),$C128*INDEX(SPPR!$E:$X,MATCH($A128,SPPR!$A:$A,0),12),""),"")</f>
        <v/>
      </c>
      <c r="P128">
        <f>IFERROR(IF(ISNUMBER(INDEX(SPPR!$E:$X,MATCH($A128,SPPR!$A:$A,0),13)),$C128*INDEX(SPPR!$E:$X,MATCH($A128,SPPR!$A:$A,0),13),""),"")</f>
        <v/>
      </c>
      <c r="Q128">
        <f>IFERROR(IF(ISNUMBER(INDEX(SPPR!$E:$X,MATCH($A128,SPPR!$A:$A,0),14)),$C128*INDEX(SPPR!$E:$X,MATCH($A128,SPPR!$A:$A,0),14),""),"")</f>
        <v/>
      </c>
      <c r="R128">
        <f>IFERROR(IF(ISNUMBER(INDEX(SPPR!$E:$X,MATCH($A128,SPPR!$A:$A,0),15)),$C128*INDEX(SPPR!$E:$X,MATCH($A128,SPPR!$A:$A,0),15),""),"")</f>
        <v/>
      </c>
      <c r="S128">
        <f>IFERROR(IF(ISNUMBER(INDEX(SPPR!$E:$X,MATCH($A128,SPPR!$A:$A,0),16)),$C128*INDEX(SPPR!$E:$X,MATCH($A128,SPPR!$A:$A,0),16),""),"")</f>
        <v/>
      </c>
      <c r="T128">
        <f>IFERROR(IF(ISNUMBER(INDEX(SPPR!$E:$X,MATCH($A128,SPPR!$A:$A,0),17)),$C128*INDEX(SPPR!$E:$X,MATCH($A128,SPPR!$A:$A,0),17),""),"")</f>
        <v/>
      </c>
      <c r="U128">
        <f>IFERROR(IF(ISNUMBER(INDEX(SPPR!$E:$X,MATCH($A128,SPPR!$A:$A,0),18)),$C128*INDEX(SPPR!$E:$X,MATCH($A128,SPPR!$A:$A,0),18),""),"")</f>
        <v/>
      </c>
      <c r="V128">
        <f>IFERROR(IF(ISNUMBER(INDEX(SPPR!$E:$X,MATCH($A128,SPPR!$A:$A,0),19)),$C128*INDEX(SPPR!$E:$X,MATCH($A128,SPPR!$A:$A,0),19),""),"")</f>
        <v/>
      </c>
      <c r="W128">
        <f>IFERROR(IF(ISNUMBER(INDEX(SPPR!$E:$X,MATCH($A128,SPPR!$A:$A,0),20)),$C128*INDEX(SPPR!$E:$X,MATCH($A128,SPPR!$A:$A,0),20),""),"")</f>
        <v/>
      </c>
    </row>
    <row r="129">
      <c r="A129" t="inlineStr">
        <is>
          <t>Mulinia edulis</t>
        </is>
      </c>
      <c r="B129">
        <f>IFERROR(INDEX(SPPR!$D:$D,MATCH($A129,SPPR!$A:$A,0)),"")</f>
        <v/>
      </c>
      <c r="C129">
        <f>IFERROR(INDEX(Catch!$E:$BV,MATCH($A129,Catch!$A:$A,0),MATCH($B$4,Catch!$E$1:$BV$1,0)),0)</f>
        <v/>
      </c>
      <c r="D129">
        <f>IFERROR(IF(ISNUMBER(INDEX(SPPR!$E:$X,MATCH($A129,SPPR!$A:$A,0),1)),$C129*INDEX(SPPR!$E:$X,MATCH($A129,SPPR!$A:$A,0),1),""),"")</f>
        <v/>
      </c>
      <c r="E129">
        <f>IFERROR(IF(ISNUMBER(INDEX(SPPR!$E:$X,MATCH($A129,SPPR!$A:$A,0),2)),$C129*INDEX(SPPR!$E:$X,MATCH($A129,SPPR!$A:$A,0),2),""),"")</f>
        <v/>
      </c>
      <c r="F129">
        <f>IFERROR(IF(ISNUMBER(INDEX(SPPR!$E:$X,MATCH($A129,SPPR!$A:$A,0),3)),$C129*INDEX(SPPR!$E:$X,MATCH($A129,SPPR!$A:$A,0),3),""),"")</f>
        <v/>
      </c>
      <c r="G129">
        <f>IFERROR(IF(ISNUMBER(INDEX(SPPR!$E:$X,MATCH($A129,SPPR!$A:$A,0),4)),$C129*INDEX(SPPR!$E:$X,MATCH($A129,SPPR!$A:$A,0),4),""),"")</f>
        <v/>
      </c>
      <c r="H129">
        <f>IFERROR(IF(ISNUMBER(INDEX(SPPR!$E:$X,MATCH($A129,SPPR!$A:$A,0),5)),$C129*INDEX(SPPR!$E:$X,MATCH($A129,SPPR!$A:$A,0),5),""),"")</f>
        <v/>
      </c>
      <c r="I129">
        <f>IFERROR(IF(ISNUMBER(INDEX(SPPR!$E:$X,MATCH($A129,SPPR!$A:$A,0),6)),$C129*INDEX(SPPR!$E:$X,MATCH($A129,SPPR!$A:$A,0),6),""),"")</f>
        <v/>
      </c>
      <c r="J129">
        <f>IFERROR(IF(ISNUMBER(INDEX(SPPR!$E:$X,MATCH($A129,SPPR!$A:$A,0),7)),$C129*INDEX(SPPR!$E:$X,MATCH($A129,SPPR!$A:$A,0),7),""),"")</f>
        <v/>
      </c>
      <c r="K129">
        <f>IFERROR(IF(ISNUMBER(INDEX(SPPR!$E:$X,MATCH($A129,SPPR!$A:$A,0),8)),$C129*INDEX(SPPR!$E:$X,MATCH($A129,SPPR!$A:$A,0),8),""),"")</f>
        <v/>
      </c>
      <c r="L129">
        <f>IFERROR(IF(ISNUMBER(INDEX(SPPR!$E:$X,MATCH($A129,SPPR!$A:$A,0),9)),$C129*INDEX(SPPR!$E:$X,MATCH($A129,SPPR!$A:$A,0),9),""),"")</f>
        <v/>
      </c>
      <c r="M129">
        <f>IFERROR(IF(ISNUMBER(INDEX(SPPR!$E:$X,MATCH($A129,SPPR!$A:$A,0),10)),$C129*INDEX(SPPR!$E:$X,MATCH($A129,SPPR!$A:$A,0),10),""),"")</f>
        <v/>
      </c>
      <c r="N129">
        <f>IFERROR(IF(ISNUMBER(INDEX(SPPR!$E:$X,MATCH($A129,SPPR!$A:$A,0),11)),$C129*INDEX(SPPR!$E:$X,MATCH($A129,SPPR!$A:$A,0),11),""),"")</f>
        <v/>
      </c>
      <c r="O129">
        <f>IFERROR(IF(ISNUMBER(INDEX(SPPR!$E:$X,MATCH($A129,SPPR!$A:$A,0),12)),$C129*INDEX(SPPR!$E:$X,MATCH($A129,SPPR!$A:$A,0),12),""),"")</f>
        <v/>
      </c>
      <c r="P129">
        <f>IFERROR(IF(ISNUMBER(INDEX(SPPR!$E:$X,MATCH($A129,SPPR!$A:$A,0),13)),$C129*INDEX(SPPR!$E:$X,MATCH($A129,SPPR!$A:$A,0),13),""),"")</f>
        <v/>
      </c>
      <c r="Q129">
        <f>IFERROR(IF(ISNUMBER(INDEX(SPPR!$E:$X,MATCH($A129,SPPR!$A:$A,0),14)),$C129*INDEX(SPPR!$E:$X,MATCH($A129,SPPR!$A:$A,0),14),""),"")</f>
        <v/>
      </c>
      <c r="R129">
        <f>IFERROR(IF(ISNUMBER(INDEX(SPPR!$E:$X,MATCH($A129,SPPR!$A:$A,0),15)),$C129*INDEX(SPPR!$E:$X,MATCH($A129,SPPR!$A:$A,0),15),""),"")</f>
        <v/>
      </c>
      <c r="S129">
        <f>IFERROR(IF(ISNUMBER(INDEX(SPPR!$E:$X,MATCH($A129,SPPR!$A:$A,0),16)),$C129*INDEX(SPPR!$E:$X,MATCH($A129,SPPR!$A:$A,0),16),""),"")</f>
        <v/>
      </c>
      <c r="T129">
        <f>IFERROR(IF(ISNUMBER(INDEX(SPPR!$E:$X,MATCH($A129,SPPR!$A:$A,0),17)),$C129*INDEX(SPPR!$E:$X,MATCH($A129,SPPR!$A:$A,0),17),""),"")</f>
        <v/>
      </c>
      <c r="U129">
        <f>IFERROR(IF(ISNUMBER(INDEX(SPPR!$E:$X,MATCH($A129,SPPR!$A:$A,0),18)),$C129*INDEX(SPPR!$E:$X,MATCH($A129,SPPR!$A:$A,0),18),""),"")</f>
        <v/>
      </c>
      <c r="V129">
        <f>IFERROR(IF(ISNUMBER(INDEX(SPPR!$E:$X,MATCH($A129,SPPR!$A:$A,0),19)),$C129*INDEX(SPPR!$E:$X,MATCH($A129,SPPR!$A:$A,0),19),""),"")</f>
        <v/>
      </c>
      <c r="W129">
        <f>IFERROR(IF(ISNUMBER(INDEX(SPPR!$E:$X,MATCH($A129,SPPR!$A:$A,0),20)),$C129*INDEX(SPPR!$E:$X,MATCH($A129,SPPR!$A:$A,0),20),""),"")</f>
        <v/>
      </c>
    </row>
    <row r="130">
      <c r="A130" t="inlineStr">
        <is>
          <t>Tegula atra</t>
        </is>
      </c>
      <c r="B130">
        <f>IFERROR(INDEX(SPPR!$D:$D,MATCH($A130,SPPR!$A:$A,0)),"")</f>
        <v/>
      </c>
      <c r="C130">
        <f>IFERROR(INDEX(Catch!$E:$BV,MATCH($A130,Catch!$A:$A,0),MATCH($B$4,Catch!$E$1:$BV$1,0)),0)</f>
        <v/>
      </c>
      <c r="D130">
        <f>IFERROR(IF(ISNUMBER(INDEX(SPPR!$E:$X,MATCH($A130,SPPR!$A:$A,0),1)),$C130*INDEX(SPPR!$E:$X,MATCH($A130,SPPR!$A:$A,0),1),""),"")</f>
        <v/>
      </c>
      <c r="E130">
        <f>IFERROR(IF(ISNUMBER(INDEX(SPPR!$E:$X,MATCH($A130,SPPR!$A:$A,0),2)),$C130*INDEX(SPPR!$E:$X,MATCH($A130,SPPR!$A:$A,0),2),""),"")</f>
        <v/>
      </c>
      <c r="F130">
        <f>IFERROR(IF(ISNUMBER(INDEX(SPPR!$E:$X,MATCH($A130,SPPR!$A:$A,0),3)),$C130*INDEX(SPPR!$E:$X,MATCH($A130,SPPR!$A:$A,0),3),""),"")</f>
        <v/>
      </c>
      <c r="G130">
        <f>IFERROR(IF(ISNUMBER(INDEX(SPPR!$E:$X,MATCH($A130,SPPR!$A:$A,0),4)),$C130*INDEX(SPPR!$E:$X,MATCH($A130,SPPR!$A:$A,0),4),""),"")</f>
        <v/>
      </c>
      <c r="H130">
        <f>IFERROR(IF(ISNUMBER(INDEX(SPPR!$E:$X,MATCH($A130,SPPR!$A:$A,0),5)),$C130*INDEX(SPPR!$E:$X,MATCH($A130,SPPR!$A:$A,0),5),""),"")</f>
        <v/>
      </c>
      <c r="I130">
        <f>IFERROR(IF(ISNUMBER(INDEX(SPPR!$E:$X,MATCH($A130,SPPR!$A:$A,0),6)),$C130*INDEX(SPPR!$E:$X,MATCH($A130,SPPR!$A:$A,0),6),""),"")</f>
        <v/>
      </c>
      <c r="J130">
        <f>IFERROR(IF(ISNUMBER(INDEX(SPPR!$E:$X,MATCH($A130,SPPR!$A:$A,0),7)),$C130*INDEX(SPPR!$E:$X,MATCH($A130,SPPR!$A:$A,0),7),""),"")</f>
        <v/>
      </c>
      <c r="K130">
        <f>IFERROR(IF(ISNUMBER(INDEX(SPPR!$E:$X,MATCH($A130,SPPR!$A:$A,0),8)),$C130*INDEX(SPPR!$E:$X,MATCH($A130,SPPR!$A:$A,0),8),""),"")</f>
        <v/>
      </c>
      <c r="L130">
        <f>IFERROR(IF(ISNUMBER(INDEX(SPPR!$E:$X,MATCH($A130,SPPR!$A:$A,0),9)),$C130*INDEX(SPPR!$E:$X,MATCH($A130,SPPR!$A:$A,0),9),""),"")</f>
        <v/>
      </c>
      <c r="M130">
        <f>IFERROR(IF(ISNUMBER(INDEX(SPPR!$E:$X,MATCH($A130,SPPR!$A:$A,0),10)),$C130*INDEX(SPPR!$E:$X,MATCH($A130,SPPR!$A:$A,0),10),""),"")</f>
        <v/>
      </c>
      <c r="N130">
        <f>IFERROR(IF(ISNUMBER(INDEX(SPPR!$E:$X,MATCH($A130,SPPR!$A:$A,0),11)),$C130*INDEX(SPPR!$E:$X,MATCH($A130,SPPR!$A:$A,0),11),""),"")</f>
        <v/>
      </c>
      <c r="O130">
        <f>IFERROR(IF(ISNUMBER(INDEX(SPPR!$E:$X,MATCH($A130,SPPR!$A:$A,0),12)),$C130*INDEX(SPPR!$E:$X,MATCH($A130,SPPR!$A:$A,0),12),""),"")</f>
        <v/>
      </c>
      <c r="P130">
        <f>IFERROR(IF(ISNUMBER(INDEX(SPPR!$E:$X,MATCH($A130,SPPR!$A:$A,0),13)),$C130*INDEX(SPPR!$E:$X,MATCH($A130,SPPR!$A:$A,0),13),""),"")</f>
        <v/>
      </c>
      <c r="Q130">
        <f>IFERROR(IF(ISNUMBER(INDEX(SPPR!$E:$X,MATCH($A130,SPPR!$A:$A,0),14)),$C130*INDEX(SPPR!$E:$X,MATCH($A130,SPPR!$A:$A,0),14),""),"")</f>
        <v/>
      </c>
      <c r="R130">
        <f>IFERROR(IF(ISNUMBER(INDEX(SPPR!$E:$X,MATCH($A130,SPPR!$A:$A,0),15)),$C130*INDEX(SPPR!$E:$X,MATCH($A130,SPPR!$A:$A,0),15),""),"")</f>
        <v/>
      </c>
      <c r="S130">
        <f>IFERROR(IF(ISNUMBER(INDEX(SPPR!$E:$X,MATCH($A130,SPPR!$A:$A,0),16)),$C130*INDEX(SPPR!$E:$X,MATCH($A130,SPPR!$A:$A,0),16),""),"")</f>
        <v/>
      </c>
      <c r="T130">
        <f>IFERROR(IF(ISNUMBER(INDEX(SPPR!$E:$X,MATCH($A130,SPPR!$A:$A,0),17)),$C130*INDEX(SPPR!$E:$X,MATCH($A130,SPPR!$A:$A,0),17),""),"")</f>
        <v/>
      </c>
      <c r="U130">
        <f>IFERROR(IF(ISNUMBER(INDEX(SPPR!$E:$X,MATCH($A130,SPPR!$A:$A,0),18)),$C130*INDEX(SPPR!$E:$X,MATCH($A130,SPPR!$A:$A,0),18),""),"")</f>
        <v/>
      </c>
      <c r="V130">
        <f>IFERROR(IF(ISNUMBER(INDEX(SPPR!$E:$X,MATCH($A130,SPPR!$A:$A,0),19)),$C130*INDEX(SPPR!$E:$X,MATCH($A130,SPPR!$A:$A,0),19),""),"")</f>
        <v/>
      </c>
      <c r="W130">
        <f>IFERROR(IF(ISNUMBER(INDEX(SPPR!$E:$X,MATCH($A130,SPPR!$A:$A,0),20)),$C130*INDEX(SPPR!$E:$X,MATCH($A130,SPPR!$A:$A,0),20),""),"")</f>
        <v/>
      </c>
    </row>
    <row r="131">
      <c r="A131" t="inlineStr">
        <is>
          <t>Fissurella latimarginata</t>
        </is>
      </c>
      <c r="B131">
        <f>IFERROR(INDEX(SPPR!$D:$D,MATCH($A131,SPPR!$A:$A,0)),"")</f>
        <v/>
      </c>
      <c r="C131">
        <f>IFERROR(INDEX(Catch!$E:$BV,MATCH($A131,Catch!$A:$A,0),MATCH($B$4,Catch!$E$1:$BV$1,0)),0)</f>
        <v/>
      </c>
      <c r="D131">
        <f>IFERROR(IF(ISNUMBER(INDEX(SPPR!$E:$X,MATCH($A131,SPPR!$A:$A,0),1)),$C131*INDEX(SPPR!$E:$X,MATCH($A131,SPPR!$A:$A,0),1),""),"")</f>
        <v/>
      </c>
      <c r="E131">
        <f>IFERROR(IF(ISNUMBER(INDEX(SPPR!$E:$X,MATCH($A131,SPPR!$A:$A,0),2)),$C131*INDEX(SPPR!$E:$X,MATCH($A131,SPPR!$A:$A,0),2),""),"")</f>
        <v/>
      </c>
      <c r="F131">
        <f>IFERROR(IF(ISNUMBER(INDEX(SPPR!$E:$X,MATCH($A131,SPPR!$A:$A,0),3)),$C131*INDEX(SPPR!$E:$X,MATCH($A131,SPPR!$A:$A,0),3),""),"")</f>
        <v/>
      </c>
      <c r="G131">
        <f>IFERROR(IF(ISNUMBER(INDEX(SPPR!$E:$X,MATCH($A131,SPPR!$A:$A,0),4)),$C131*INDEX(SPPR!$E:$X,MATCH($A131,SPPR!$A:$A,0),4),""),"")</f>
        <v/>
      </c>
      <c r="H131">
        <f>IFERROR(IF(ISNUMBER(INDEX(SPPR!$E:$X,MATCH($A131,SPPR!$A:$A,0),5)),$C131*INDEX(SPPR!$E:$X,MATCH($A131,SPPR!$A:$A,0),5),""),"")</f>
        <v/>
      </c>
      <c r="I131">
        <f>IFERROR(IF(ISNUMBER(INDEX(SPPR!$E:$X,MATCH($A131,SPPR!$A:$A,0),6)),$C131*INDEX(SPPR!$E:$X,MATCH($A131,SPPR!$A:$A,0),6),""),"")</f>
        <v/>
      </c>
      <c r="J131">
        <f>IFERROR(IF(ISNUMBER(INDEX(SPPR!$E:$X,MATCH($A131,SPPR!$A:$A,0),7)),$C131*INDEX(SPPR!$E:$X,MATCH($A131,SPPR!$A:$A,0),7),""),"")</f>
        <v/>
      </c>
      <c r="K131">
        <f>IFERROR(IF(ISNUMBER(INDEX(SPPR!$E:$X,MATCH($A131,SPPR!$A:$A,0),8)),$C131*INDEX(SPPR!$E:$X,MATCH($A131,SPPR!$A:$A,0),8),""),"")</f>
        <v/>
      </c>
      <c r="L131">
        <f>IFERROR(IF(ISNUMBER(INDEX(SPPR!$E:$X,MATCH($A131,SPPR!$A:$A,0),9)),$C131*INDEX(SPPR!$E:$X,MATCH($A131,SPPR!$A:$A,0),9),""),"")</f>
        <v/>
      </c>
      <c r="M131">
        <f>IFERROR(IF(ISNUMBER(INDEX(SPPR!$E:$X,MATCH($A131,SPPR!$A:$A,0),10)),$C131*INDEX(SPPR!$E:$X,MATCH($A131,SPPR!$A:$A,0),10),""),"")</f>
        <v/>
      </c>
      <c r="N131">
        <f>IFERROR(IF(ISNUMBER(INDEX(SPPR!$E:$X,MATCH($A131,SPPR!$A:$A,0),11)),$C131*INDEX(SPPR!$E:$X,MATCH($A131,SPPR!$A:$A,0),11),""),"")</f>
        <v/>
      </c>
      <c r="O131">
        <f>IFERROR(IF(ISNUMBER(INDEX(SPPR!$E:$X,MATCH($A131,SPPR!$A:$A,0),12)),$C131*INDEX(SPPR!$E:$X,MATCH($A131,SPPR!$A:$A,0),12),""),"")</f>
        <v/>
      </c>
      <c r="P131">
        <f>IFERROR(IF(ISNUMBER(INDEX(SPPR!$E:$X,MATCH($A131,SPPR!$A:$A,0),13)),$C131*INDEX(SPPR!$E:$X,MATCH($A131,SPPR!$A:$A,0),13),""),"")</f>
        <v/>
      </c>
      <c r="Q131">
        <f>IFERROR(IF(ISNUMBER(INDEX(SPPR!$E:$X,MATCH($A131,SPPR!$A:$A,0),14)),$C131*INDEX(SPPR!$E:$X,MATCH($A131,SPPR!$A:$A,0),14),""),"")</f>
        <v/>
      </c>
      <c r="R131">
        <f>IFERROR(IF(ISNUMBER(INDEX(SPPR!$E:$X,MATCH($A131,SPPR!$A:$A,0),15)),$C131*INDEX(SPPR!$E:$X,MATCH($A131,SPPR!$A:$A,0),15),""),"")</f>
        <v/>
      </c>
      <c r="S131">
        <f>IFERROR(IF(ISNUMBER(INDEX(SPPR!$E:$X,MATCH($A131,SPPR!$A:$A,0),16)),$C131*INDEX(SPPR!$E:$X,MATCH($A131,SPPR!$A:$A,0),16),""),"")</f>
        <v/>
      </c>
      <c r="T131">
        <f>IFERROR(IF(ISNUMBER(INDEX(SPPR!$E:$X,MATCH($A131,SPPR!$A:$A,0),17)),$C131*INDEX(SPPR!$E:$X,MATCH($A131,SPPR!$A:$A,0),17),""),"")</f>
        <v/>
      </c>
      <c r="U131">
        <f>IFERROR(IF(ISNUMBER(INDEX(SPPR!$E:$X,MATCH($A131,SPPR!$A:$A,0),18)),$C131*INDEX(SPPR!$E:$X,MATCH($A131,SPPR!$A:$A,0),18),""),"")</f>
        <v/>
      </c>
      <c r="V131">
        <f>IFERROR(IF(ISNUMBER(INDEX(SPPR!$E:$X,MATCH($A131,SPPR!$A:$A,0),19)),$C131*INDEX(SPPR!$E:$X,MATCH($A131,SPPR!$A:$A,0),19),""),"")</f>
        <v/>
      </c>
      <c r="W131">
        <f>IFERROR(IF(ISNUMBER(INDEX(SPPR!$E:$X,MATCH($A131,SPPR!$A:$A,0),20)),$C131*INDEX(SPPR!$E:$X,MATCH($A131,SPPR!$A:$A,0),20),""),"")</f>
        <v/>
      </c>
    </row>
    <row r="132">
      <c r="A132" t="inlineStr">
        <is>
          <t>Athyonidium chilensis</t>
        </is>
      </c>
      <c r="B132">
        <f>IFERROR(INDEX(SPPR!$D:$D,MATCH($A132,SPPR!$A:$A,0)),"")</f>
        <v/>
      </c>
      <c r="C132">
        <f>IFERROR(INDEX(Catch!$E:$BV,MATCH($A132,Catch!$A:$A,0),MATCH($B$4,Catch!$E$1:$BV$1,0)),0)</f>
        <v/>
      </c>
      <c r="D132">
        <f>IFERROR(IF(ISNUMBER(INDEX(SPPR!$E:$X,MATCH($A132,SPPR!$A:$A,0),1)),$C132*INDEX(SPPR!$E:$X,MATCH($A132,SPPR!$A:$A,0),1),""),"")</f>
        <v/>
      </c>
      <c r="E132">
        <f>IFERROR(IF(ISNUMBER(INDEX(SPPR!$E:$X,MATCH($A132,SPPR!$A:$A,0),2)),$C132*INDEX(SPPR!$E:$X,MATCH($A132,SPPR!$A:$A,0),2),""),"")</f>
        <v/>
      </c>
      <c r="F132">
        <f>IFERROR(IF(ISNUMBER(INDEX(SPPR!$E:$X,MATCH($A132,SPPR!$A:$A,0),3)),$C132*INDEX(SPPR!$E:$X,MATCH($A132,SPPR!$A:$A,0),3),""),"")</f>
        <v/>
      </c>
      <c r="G132">
        <f>IFERROR(IF(ISNUMBER(INDEX(SPPR!$E:$X,MATCH($A132,SPPR!$A:$A,0),4)),$C132*INDEX(SPPR!$E:$X,MATCH($A132,SPPR!$A:$A,0),4),""),"")</f>
        <v/>
      </c>
      <c r="H132">
        <f>IFERROR(IF(ISNUMBER(INDEX(SPPR!$E:$X,MATCH($A132,SPPR!$A:$A,0),5)),$C132*INDEX(SPPR!$E:$X,MATCH($A132,SPPR!$A:$A,0),5),""),"")</f>
        <v/>
      </c>
      <c r="I132">
        <f>IFERROR(IF(ISNUMBER(INDEX(SPPR!$E:$X,MATCH($A132,SPPR!$A:$A,0),6)),$C132*INDEX(SPPR!$E:$X,MATCH($A132,SPPR!$A:$A,0),6),""),"")</f>
        <v/>
      </c>
      <c r="J132">
        <f>IFERROR(IF(ISNUMBER(INDEX(SPPR!$E:$X,MATCH($A132,SPPR!$A:$A,0),7)),$C132*INDEX(SPPR!$E:$X,MATCH($A132,SPPR!$A:$A,0),7),""),"")</f>
        <v/>
      </c>
      <c r="K132">
        <f>IFERROR(IF(ISNUMBER(INDEX(SPPR!$E:$X,MATCH($A132,SPPR!$A:$A,0),8)),$C132*INDEX(SPPR!$E:$X,MATCH($A132,SPPR!$A:$A,0),8),""),"")</f>
        <v/>
      </c>
      <c r="L132">
        <f>IFERROR(IF(ISNUMBER(INDEX(SPPR!$E:$X,MATCH($A132,SPPR!$A:$A,0),9)),$C132*INDEX(SPPR!$E:$X,MATCH($A132,SPPR!$A:$A,0),9),""),"")</f>
        <v/>
      </c>
      <c r="M132">
        <f>IFERROR(IF(ISNUMBER(INDEX(SPPR!$E:$X,MATCH($A132,SPPR!$A:$A,0),10)),$C132*INDEX(SPPR!$E:$X,MATCH($A132,SPPR!$A:$A,0),10),""),"")</f>
        <v/>
      </c>
      <c r="N132">
        <f>IFERROR(IF(ISNUMBER(INDEX(SPPR!$E:$X,MATCH($A132,SPPR!$A:$A,0),11)),$C132*INDEX(SPPR!$E:$X,MATCH($A132,SPPR!$A:$A,0),11),""),"")</f>
        <v/>
      </c>
      <c r="O132">
        <f>IFERROR(IF(ISNUMBER(INDEX(SPPR!$E:$X,MATCH($A132,SPPR!$A:$A,0),12)),$C132*INDEX(SPPR!$E:$X,MATCH($A132,SPPR!$A:$A,0),12),""),"")</f>
        <v/>
      </c>
      <c r="P132">
        <f>IFERROR(IF(ISNUMBER(INDEX(SPPR!$E:$X,MATCH($A132,SPPR!$A:$A,0),13)),$C132*INDEX(SPPR!$E:$X,MATCH($A132,SPPR!$A:$A,0),13),""),"")</f>
        <v/>
      </c>
      <c r="Q132">
        <f>IFERROR(IF(ISNUMBER(INDEX(SPPR!$E:$X,MATCH($A132,SPPR!$A:$A,0),14)),$C132*INDEX(SPPR!$E:$X,MATCH($A132,SPPR!$A:$A,0),14),""),"")</f>
        <v/>
      </c>
      <c r="R132">
        <f>IFERROR(IF(ISNUMBER(INDEX(SPPR!$E:$X,MATCH($A132,SPPR!$A:$A,0),15)),$C132*INDEX(SPPR!$E:$X,MATCH($A132,SPPR!$A:$A,0),15),""),"")</f>
        <v/>
      </c>
      <c r="S132">
        <f>IFERROR(IF(ISNUMBER(INDEX(SPPR!$E:$X,MATCH($A132,SPPR!$A:$A,0),16)),$C132*INDEX(SPPR!$E:$X,MATCH($A132,SPPR!$A:$A,0),16),""),"")</f>
        <v/>
      </c>
      <c r="T132">
        <f>IFERROR(IF(ISNUMBER(INDEX(SPPR!$E:$X,MATCH($A132,SPPR!$A:$A,0),17)),$C132*INDEX(SPPR!$E:$X,MATCH($A132,SPPR!$A:$A,0),17),""),"")</f>
        <v/>
      </c>
      <c r="U132">
        <f>IFERROR(IF(ISNUMBER(INDEX(SPPR!$E:$X,MATCH($A132,SPPR!$A:$A,0),18)),$C132*INDEX(SPPR!$E:$X,MATCH($A132,SPPR!$A:$A,0),18),""),"")</f>
        <v/>
      </c>
      <c r="V132">
        <f>IFERROR(IF(ISNUMBER(INDEX(SPPR!$E:$X,MATCH($A132,SPPR!$A:$A,0),19)),$C132*INDEX(SPPR!$E:$X,MATCH($A132,SPPR!$A:$A,0),19),""),"")</f>
        <v/>
      </c>
      <c r="W132">
        <f>IFERROR(IF(ISNUMBER(INDEX(SPPR!$E:$X,MATCH($A132,SPPR!$A:$A,0),20)),$C132*INDEX(SPPR!$E:$X,MATCH($A132,SPPR!$A:$A,0),20),""),"")</f>
        <v/>
      </c>
    </row>
    <row r="133">
      <c r="A133" t="inlineStr">
        <is>
          <t>Paralichthys</t>
        </is>
      </c>
      <c r="B133">
        <f>IFERROR(INDEX(SPPR!$D:$D,MATCH($A133,SPPR!$A:$A,0)),"")</f>
        <v/>
      </c>
      <c r="C133">
        <f>IFERROR(INDEX(Catch!$E:$BV,MATCH($A133,Catch!$A:$A,0),MATCH($B$4,Catch!$E$1:$BV$1,0)),0)</f>
        <v/>
      </c>
      <c r="D133">
        <f>IFERROR(IF(ISNUMBER(INDEX(SPPR!$E:$X,MATCH($A133,SPPR!$A:$A,0),1)),$C133*INDEX(SPPR!$E:$X,MATCH($A133,SPPR!$A:$A,0),1),""),"")</f>
        <v/>
      </c>
      <c r="E133">
        <f>IFERROR(IF(ISNUMBER(INDEX(SPPR!$E:$X,MATCH($A133,SPPR!$A:$A,0),2)),$C133*INDEX(SPPR!$E:$X,MATCH($A133,SPPR!$A:$A,0),2),""),"")</f>
        <v/>
      </c>
      <c r="F133">
        <f>IFERROR(IF(ISNUMBER(INDEX(SPPR!$E:$X,MATCH($A133,SPPR!$A:$A,0),3)),$C133*INDEX(SPPR!$E:$X,MATCH($A133,SPPR!$A:$A,0),3),""),"")</f>
        <v/>
      </c>
      <c r="G133">
        <f>IFERROR(IF(ISNUMBER(INDEX(SPPR!$E:$X,MATCH($A133,SPPR!$A:$A,0),4)),$C133*INDEX(SPPR!$E:$X,MATCH($A133,SPPR!$A:$A,0),4),""),"")</f>
        <v/>
      </c>
      <c r="H133">
        <f>IFERROR(IF(ISNUMBER(INDEX(SPPR!$E:$X,MATCH($A133,SPPR!$A:$A,0),5)),$C133*INDEX(SPPR!$E:$X,MATCH($A133,SPPR!$A:$A,0),5),""),"")</f>
        <v/>
      </c>
      <c r="I133">
        <f>IFERROR(IF(ISNUMBER(INDEX(SPPR!$E:$X,MATCH($A133,SPPR!$A:$A,0),6)),$C133*INDEX(SPPR!$E:$X,MATCH($A133,SPPR!$A:$A,0),6),""),"")</f>
        <v/>
      </c>
      <c r="J133">
        <f>IFERROR(IF(ISNUMBER(INDEX(SPPR!$E:$X,MATCH($A133,SPPR!$A:$A,0),7)),$C133*INDEX(SPPR!$E:$X,MATCH($A133,SPPR!$A:$A,0),7),""),"")</f>
        <v/>
      </c>
      <c r="K133">
        <f>IFERROR(IF(ISNUMBER(INDEX(SPPR!$E:$X,MATCH($A133,SPPR!$A:$A,0),8)),$C133*INDEX(SPPR!$E:$X,MATCH($A133,SPPR!$A:$A,0),8),""),"")</f>
        <v/>
      </c>
      <c r="L133">
        <f>IFERROR(IF(ISNUMBER(INDEX(SPPR!$E:$X,MATCH($A133,SPPR!$A:$A,0),9)),$C133*INDEX(SPPR!$E:$X,MATCH($A133,SPPR!$A:$A,0),9),""),"")</f>
        <v/>
      </c>
      <c r="M133">
        <f>IFERROR(IF(ISNUMBER(INDEX(SPPR!$E:$X,MATCH($A133,SPPR!$A:$A,0),10)),$C133*INDEX(SPPR!$E:$X,MATCH($A133,SPPR!$A:$A,0),10),""),"")</f>
        <v/>
      </c>
      <c r="N133">
        <f>IFERROR(IF(ISNUMBER(INDEX(SPPR!$E:$X,MATCH($A133,SPPR!$A:$A,0),11)),$C133*INDEX(SPPR!$E:$X,MATCH($A133,SPPR!$A:$A,0),11),""),"")</f>
        <v/>
      </c>
      <c r="O133">
        <f>IFERROR(IF(ISNUMBER(INDEX(SPPR!$E:$X,MATCH($A133,SPPR!$A:$A,0),12)),$C133*INDEX(SPPR!$E:$X,MATCH($A133,SPPR!$A:$A,0),12),""),"")</f>
        <v/>
      </c>
      <c r="P133">
        <f>IFERROR(IF(ISNUMBER(INDEX(SPPR!$E:$X,MATCH($A133,SPPR!$A:$A,0),13)),$C133*INDEX(SPPR!$E:$X,MATCH($A133,SPPR!$A:$A,0),13),""),"")</f>
        <v/>
      </c>
      <c r="Q133">
        <f>IFERROR(IF(ISNUMBER(INDEX(SPPR!$E:$X,MATCH($A133,SPPR!$A:$A,0),14)),$C133*INDEX(SPPR!$E:$X,MATCH($A133,SPPR!$A:$A,0),14),""),"")</f>
        <v/>
      </c>
      <c r="R133">
        <f>IFERROR(IF(ISNUMBER(INDEX(SPPR!$E:$X,MATCH($A133,SPPR!$A:$A,0),15)),$C133*INDEX(SPPR!$E:$X,MATCH($A133,SPPR!$A:$A,0),15),""),"")</f>
        <v/>
      </c>
      <c r="S133">
        <f>IFERROR(IF(ISNUMBER(INDEX(SPPR!$E:$X,MATCH($A133,SPPR!$A:$A,0),16)),$C133*INDEX(SPPR!$E:$X,MATCH($A133,SPPR!$A:$A,0),16),""),"")</f>
        <v/>
      </c>
      <c r="T133">
        <f>IFERROR(IF(ISNUMBER(INDEX(SPPR!$E:$X,MATCH($A133,SPPR!$A:$A,0),17)),$C133*INDEX(SPPR!$E:$X,MATCH($A133,SPPR!$A:$A,0),17),""),"")</f>
        <v/>
      </c>
      <c r="U133">
        <f>IFERROR(IF(ISNUMBER(INDEX(SPPR!$E:$X,MATCH($A133,SPPR!$A:$A,0),18)),$C133*INDEX(SPPR!$E:$X,MATCH($A133,SPPR!$A:$A,0),18),""),"")</f>
        <v/>
      </c>
      <c r="V133">
        <f>IFERROR(IF(ISNUMBER(INDEX(SPPR!$E:$X,MATCH($A133,SPPR!$A:$A,0),19)),$C133*INDEX(SPPR!$E:$X,MATCH($A133,SPPR!$A:$A,0),19),""),"")</f>
        <v/>
      </c>
      <c r="W133">
        <f>IFERROR(IF(ISNUMBER(INDEX(SPPR!$E:$X,MATCH($A133,SPPR!$A:$A,0),20)),$C133*INDEX(SPPR!$E:$X,MATCH($A133,SPPR!$A:$A,0),20),""),"")</f>
        <v/>
      </c>
    </row>
    <row r="134">
      <c r="A134" t="inlineStr">
        <is>
          <t>Fissurella cumingi</t>
        </is>
      </c>
      <c r="B134">
        <f>IFERROR(INDEX(SPPR!$D:$D,MATCH($A134,SPPR!$A:$A,0)),"")</f>
        <v/>
      </c>
      <c r="C134">
        <f>IFERROR(INDEX(Catch!$E:$BV,MATCH($A134,Catch!$A:$A,0),MATCH($B$4,Catch!$E$1:$BV$1,0)),0)</f>
        <v/>
      </c>
      <c r="D134">
        <f>IFERROR(IF(ISNUMBER(INDEX(SPPR!$E:$X,MATCH($A134,SPPR!$A:$A,0),1)),$C134*INDEX(SPPR!$E:$X,MATCH($A134,SPPR!$A:$A,0),1),""),"")</f>
        <v/>
      </c>
      <c r="E134">
        <f>IFERROR(IF(ISNUMBER(INDEX(SPPR!$E:$X,MATCH($A134,SPPR!$A:$A,0),2)),$C134*INDEX(SPPR!$E:$X,MATCH($A134,SPPR!$A:$A,0),2),""),"")</f>
        <v/>
      </c>
      <c r="F134">
        <f>IFERROR(IF(ISNUMBER(INDEX(SPPR!$E:$X,MATCH($A134,SPPR!$A:$A,0),3)),$C134*INDEX(SPPR!$E:$X,MATCH($A134,SPPR!$A:$A,0),3),""),"")</f>
        <v/>
      </c>
      <c r="G134">
        <f>IFERROR(IF(ISNUMBER(INDEX(SPPR!$E:$X,MATCH($A134,SPPR!$A:$A,0),4)),$C134*INDEX(SPPR!$E:$X,MATCH($A134,SPPR!$A:$A,0),4),""),"")</f>
        <v/>
      </c>
      <c r="H134">
        <f>IFERROR(IF(ISNUMBER(INDEX(SPPR!$E:$X,MATCH($A134,SPPR!$A:$A,0),5)),$C134*INDEX(SPPR!$E:$X,MATCH($A134,SPPR!$A:$A,0),5),""),"")</f>
        <v/>
      </c>
      <c r="I134">
        <f>IFERROR(IF(ISNUMBER(INDEX(SPPR!$E:$X,MATCH($A134,SPPR!$A:$A,0),6)),$C134*INDEX(SPPR!$E:$X,MATCH($A134,SPPR!$A:$A,0),6),""),"")</f>
        <v/>
      </c>
      <c r="J134">
        <f>IFERROR(IF(ISNUMBER(INDEX(SPPR!$E:$X,MATCH($A134,SPPR!$A:$A,0),7)),$C134*INDEX(SPPR!$E:$X,MATCH($A134,SPPR!$A:$A,0),7),""),"")</f>
        <v/>
      </c>
      <c r="K134">
        <f>IFERROR(IF(ISNUMBER(INDEX(SPPR!$E:$X,MATCH($A134,SPPR!$A:$A,0),8)),$C134*INDEX(SPPR!$E:$X,MATCH($A134,SPPR!$A:$A,0),8),""),"")</f>
        <v/>
      </c>
      <c r="L134">
        <f>IFERROR(IF(ISNUMBER(INDEX(SPPR!$E:$X,MATCH($A134,SPPR!$A:$A,0),9)),$C134*INDEX(SPPR!$E:$X,MATCH($A134,SPPR!$A:$A,0),9),""),"")</f>
        <v/>
      </c>
      <c r="M134">
        <f>IFERROR(IF(ISNUMBER(INDEX(SPPR!$E:$X,MATCH($A134,SPPR!$A:$A,0),10)),$C134*INDEX(SPPR!$E:$X,MATCH($A134,SPPR!$A:$A,0),10),""),"")</f>
        <v/>
      </c>
      <c r="N134">
        <f>IFERROR(IF(ISNUMBER(INDEX(SPPR!$E:$X,MATCH($A134,SPPR!$A:$A,0),11)),$C134*INDEX(SPPR!$E:$X,MATCH($A134,SPPR!$A:$A,0),11),""),"")</f>
        <v/>
      </c>
      <c r="O134">
        <f>IFERROR(IF(ISNUMBER(INDEX(SPPR!$E:$X,MATCH($A134,SPPR!$A:$A,0),12)),$C134*INDEX(SPPR!$E:$X,MATCH($A134,SPPR!$A:$A,0),12),""),"")</f>
        <v/>
      </c>
      <c r="P134">
        <f>IFERROR(IF(ISNUMBER(INDEX(SPPR!$E:$X,MATCH($A134,SPPR!$A:$A,0),13)),$C134*INDEX(SPPR!$E:$X,MATCH($A134,SPPR!$A:$A,0),13),""),"")</f>
        <v/>
      </c>
      <c r="Q134">
        <f>IFERROR(IF(ISNUMBER(INDEX(SPPR!$E:$X,MATCH($A134,SPPR!$A:$A,0),14)),$C134*INDEX(SPPR!$E:$X,MATCH($A134,SPPR!$A:$A,0),14),""),"")</f>
        <v/>
      </c>
      <c r="R134">
        <f>IFERROR(IF(ISNUMBER(INDEX(SPPR!$E:$X,MATCH($A134,SPPR!$A:$A,0),15)),$C134*INDEX(SPPR!$E:$X,MATCH($A134,SPPR!$A:$A,0),15),""),"")</f>
        <v/>
      </c>
      <c r="S134">
        <f>IFERROR(IF(ISNUMBER(INDEX(SPPR!$E:$X,MATCH($A134,SPPR!$A:$A,0),16)),$C134*INDEX(SPPR!$E:$X,MATCH($A134,SPPR!$A:$A,0),16),""),"")</f>
        <v/>
      </c>
      <c r="T134">
        <f>IFERROR(IF(ISNUMBER(INDEX(SPPR!$E:$X,MATCH($A134,SPPR!$A:$A,0),17)),$C134*INDEX(SPPR!$E:$X,MATCH($A134,SPPR!$A:$A,0),17),""),"")</f>
        <v/>
      </c>
      <c r="U134">
        <f>IFERROR(IF(ISNUMBER(INDEX(SPPR!$E:$X,MATCH($A134,SPPR!$A:$A,0),18)),$C134*INDEX(SPPR!$E:$X,MATCH($A134,SPPR!$A:$A,0),18),""),"")</f>
        <v/>
      </c>
      <c r="V134">
        <f>IFERROR(IF(ISNUMBER(INDEX(SPPR!$E:$X,MATCH($A134,SPPR!$A:$A,0),19)),$C134*INDEX(SPPR!$E:$X,MATCH($A134,SPPR!$A:$A,0),19),""),"")</f>
        <v/>
      </c>
      <c r="W134">
        <f>IFERROR(IF(ISNUMBER(INDEX(SPPR!$E:$X,MATCH($A134,SPPR!$A:$A,0),20)),$C134*INDEX(SPPR!$E:$X,MATCH($A134,SPPR!$A:$A,0),20),""),"")</f>
        <v/>
      </c>
    </row>
    <row r="135">
      <c r="A135" t="inlineStr">
        <is>
          <t>Penaeus californiensis</t>
        </is>
      </c>
      <c r="B135">
        <f>IFERROR(INDEX(SPPR!$D:$D,MATCH($A135,SPPR!$A:$A,0)),"")</f>
        <v/>
      </c>
      <c r="C135">
        <f>IFERROR(INDEX(Catch!$E:$BV,MATCH($A135,Catch!$A:$A,0),MATCH($B$4,Catch!$E$1:$BV$1,0)),0)</f>
        <v/>
      </c>
      <c r="D135">
        <f>IFERROR(IF(ISNUMBER(INDEX(SPPR!$E:$X,MATCH($A135,SPPR!$A:$A,0),1)),$C135*INDEX(SPPR!$E:$X,MATCH($A135,SPPR!$A:$A,0),1),""),"")</f>
        <v/>
      </c>
      <c r="E135">
        <f>IFERROR(IF(ISNUMBER(INDEX(SPPR!$E:$X,MATCH($A135,SPPR!$A:$A,0),2)),$C135*INDEX(SPPR!$E:$X,MATCH($A135,SPPR!$A:$A,0),2),""),"")</f>
        <v/>
      </c>
      <c r="F135">
        <f>IFERROR(IF(ISNUMBER(INDEX(SPPR!$E:$X,MATCH($A135,SPPR!$A:$A,0),3)),$C135*INDEX(SPPR!$E:$X,MATCH($A135,SPPR!$A:$A,0),3),""),"")</f>
        <v/>
      </c>
      <c r="G135">
        <f>IFERROR(IF(ISNUMBER(INDEX(SPPR!$E:$X,MATCH($A135,SPPR!$A:$A,0),4)),$C135*INDEX(SPPR!$E:$X,MATCH($A135,SPPR!$A:$A,0),4),""),"")</f>
        <v/>
      </c>
      <c r="H135">
        <f>IFERROR(IF(ISNUMBER(INDEX(SPPR!$E:$X,MATCH($A135,SPPR!$A:$A,0),5)),$C135*INDEX(SPPR!$E:$X,MATCH($A135,SPPR!$A:$A,0),5),""),"")</f>
        <v/>
      </c>
      <c r="I135">
        <f>IFERROR(IF(ISNUMBER(INDEX(SPPR!$E:$X,MATCH($A135,SPPR!$A:$A,0),6)),$C135*INDEX(SPPR!$E:$X,MATCH($A135,SPPR!$A:$A,0),6),""),"")</f>
        <v/>
      </c>
      <c r="J135">
        <f>IFERROR(IF(ISNUMBER(INDEX(SPPR!$E:$X,MATCH($A135,SPPR!$A:$A,0),7)),$C135*INDEX(SPPR!$E:$X,MATCH($A135,SPPR!$A:$A,0),7),""),"")</f>
        <v/>
      </c>
      <c r="K135">
        <f>IFERROR(IF(ISNUMBER(INDEX(SPPR!$E:$X,MATCH($A135,SPPR!$A:$A,0),8)),$C135*INDEX(SPPR!$E:$X,MATCH($A135,SPPR!$A:$A,0),8),""),"")</f>
        <v/>
      </c>
      <c r="L135">
        <f>IFERROR(IF(ISNUMBER(INDEX(SPPR!$E:$X,MATCH($A135,SPPR!$A:$A,0),9)),$C135*INDEX(SPPR!$E:$X,MATCH($A135,SPPR!$A:$A,0),9),""),"")</f>
        <v/>
      </c>
      <c r="M135">
        <f>IFERROR(IF(ISNUMBER(INDEX(SPPR!$E:$X,MATCH($A135,SPPR!$A:$A,0),10)),$C135*INDEX(SPPR!$E:$X,MATCH($A135,SPPR!$A:$A,0),10),""),"")</f>
        <v/>
      </c>
      <c r="N135">
        <f>IFERROR(IF(ISNUMBER(INDEX(SPPR!$E:$X,MATCH($A135,SPPR!$A:$A,0),11)),$C135*INDEX(SPPR!$E:$X,MATCH($A135,SPPR!$A:$A,0),11),""),"")</f>
        <v/>
      </c>
      <c r="O135">
        <f>IFERROR(IF(ISNUMBER(INDEX(SPPR!$E:$X,MATCH($A135,SPPR!$A:$A,0),12)),$C135*INDEX(SPPR!$E:$X,MATCH($A135,SPPR!$A:$A,0),12),""),"")</f>
        <v/>
      </c>
      <c r="P135">
        <f>IFERROR(IF(ISNUMBER(INDEX(SPPR!$E:$X,MATCH($A135,SPPR!$A:$A,0),13)),$C135*INDEX(SPPR!$E:$X,MATCH($A135,SPPR!$A:$A,0),13),""),"")</f>
        <v/>
      </c>
      <c r="Q135">
        <f>IFERROR(IF(ISNUMBER(INDEX(SPPR!$E:$X,MATCH($A135,SPPR!$A:$A,0),14)),$C135*INDEX(SPPR!$E:$X,MATCH($A135,SPPR!$A:$A,0),14),""),"")</f>
        <v/>
      </c>
      <c r="R135">
        <f>IFERROR(IF(ISNUMBER(INDEX(SPPR!$E:$X,MATCH($A135,SPPR!$A:$A,0),15)),$C135*INDEX(SPPR!$E:$X,MATCH($A135,SPPR!$A:$A,0),15),""),"")</f>
        <v/>
      </c>
      <c r="S135">
        <f>IFERROR(IF(ISNUMBER(INDEX(SPPR!$E:$X,MATCH($A135,SPPR!$A:$A,0),16)),$C135*INDEX(SPPR!$E:$X,MATCH($A135,SPPR!$A:$A,0),16),""),"")</f>
        <v/>
      </c>
      <c r="T135">
        <f>IFERROR(IF(ISNUMBER(INDEX(SPPR!$E:$X,MATCH($A135,SPPR!$A:$A,0),17)),$C135*INDEX(SPPR!$E:$X,MATCH($A135,SPPR!$A:$A,0),17),""),"")</f>
        <v/>
      </c>
      <c r="U135">
        <f>IFERROR(IF(ISNUMBER(INDEX(SPPR!$E:$X,MATCH($A135,SPPR!$A:$A,0),18)),$C135*INDEX(SPPR!$E:$X,MATCH($A135,SPPR!$A:$A,0),18),""),"")</f>
        <v/>
      </c>
      <c r="V135">
        <f>IFERROR(IF(ISNUMBER(INDEX(SPPR!$E:$X,MATCH($A135,SPPR!$A:$A,0),19)),$C135*INDEX(SPPR!$E:$X,MATCH($A135,SPPR!$A:$A,0),19),""),"")</f>
        <v/>
      </c>
      <c r="W135">
        <f>IFERROR(IF(ISNUMBER(INDEX(SPPR!$E:$X,MATCH($A135,SPPR!$A:$A,0),20)),$C135*INDEX(SPPR!$E:$X,MATCH($A135,SPPR!$A:$A,0),20),""),"")</f>
        <v/>
      </c>
    </row>
    <row r="136">
      <c r="A136" t="inlineStr">
        <is>
          <t>Ovalipes trimaculatus</t>
        </is>
      </c>
      <c r="B136">
        <f>IFERROR(INDEX(SPPR!$D:$D,MATCH($A136,SPPR!$A:$A,0)),"")</f>
        <v/>
      </c>
      <c r="C136">
        <f>IFERROR(INDEX(Catch!$E:$BV,MATCH($A136,Catch!$A:$A,0),MATCH($B$4,Catch!$E$1:$BV$1,0)),0)</f>
        <v/>
      </c>
      <c r="D136">
        <f>IFERROR(IF(ISNUMBER(INDEX(SPPR!$E:$X,MATCH($A136,SPPR!$A:$A,0),1)),$C136*INDEX(SPPR!$E:$X,MATCH($A136,SPPR!$A:$A,0),1),""),"")</f>
        <v/>
      </c>
      <c r="E136">
        <f>IFERROR(IF(ISNUMBER(INDEX(SPPR!$E:$X,MATCH($A136,SPPR!$A:$A,0),2)),$C136*INDEX(SPPR!$E:$X,MATCH($A136,SPPR!$A:$A,0),2),""),"")</f>
        <v/>
      </c>
      <c r="F136">
        <f>IFERROR(IF(ISNUMBER(INDEX(SPPR!$E:$X,MATCH($A136,SPPR!$A:$A,0),3)),$C136*INDEX(SPPR!$E:$X,MATCH($A136,SPPR!$A:$A,0),3),""),"")</f>
        <v/>
      </c>
      <c r="G136">
        <f>IFERROR(IF(ISNUMBER(INDEX(SPPR!$E:$X,MATCH($A136,SPPR!$A:$A,0),4)),$C136*INDEX(SPPR!$E:$X,MATCH($A136,SPPR!$A:$A,0),4),""),"")</f>
        <v/>
      </c>
      <c r="H136">
        <f>IFERROR(IF(ISNUMBER(INDEX(SPPR!$E:$X,MATCH($A136,SPPR!$A:$A,0),5)),$C136*INDEX(SPPR!$E:$X,MATCH($A136,SPPR!$A:$A,0),5),""),"")</f>
        <v/>
      </c>
      <c r="I136">
        <f>IFERROR(IF(ISNUMBER(INDEX(SPPR!$E:$X,MATCH($A136,SPPR!$A:$A,0),6)),$C136*INDEX(SPPR!$E:$X,MATCH($A136,SPPR!$A:$A,0),6),""),"")</f>
        <v/>
      </c>
      <c r="J136">
        <f>IFERROR(IF(ISNUMBER(INDEX(SPPR!$E:$X,MATCH($A136,SPPR!$A:$A,0),7)),$C136*INDEX(SPPR!$E:$X,MATCH($A136,SPPR!$A:$A,0),7),""),"")</f>
        <v/>
      </c>
      <c r="K136">
        <f>IFERROR(IF(ISNUMBER(INDEX(SPPR!$E:$X,MATCH($A136,SPPR!$A:$A,0),8)),$C136*INDEX(SPPR!$E:$X,MATCH($A136,SPPR!$A:$A,0),8),""),"")</f>
        <v/>
      </c>
      <c r="L136">
        <f>IFERROR(IF(ISNUMBER(INDEX(SPPR!$E:$X,MATCH($A136,SPPR!$A:$A,0),9)),$C136*INDEX(SPPR!$E:$X,MATCH($A136,SPPR!$A:$A,0),9),""),"")</f>
        <v/>
      </c>
      <c r="M136">
        <f>IFERROR(IF(ISNUMBER(INDEX(SPPR!$E:$X,MATCH($A136,SPPR!$A:$A,0),10)),$C136*INDEX(SPPR!$E:$X,MATCH($A136,SPPR!$A:$A,0),10),""),"")</f>
        <v/>
      </c>
      <c r="N136">
        <f>IFERROR(IF(ISNUMBER(INDEX(SPPR!$E:$X,MATCH($A136,SPPR!$A:$A,0),11)),$C136*INDEX(SPPR!$E:$X,MATCH($A136,SPPR!$A:$A,0),11),""),"")</f>
        <v/>
      </c>
      <c r="O136">
        <f>IFERROR(IF(ISNUMBER(INDEX(SPPR!$E:$X,MATCH($A136,SPPR!$A:$A,0),12)),$C136*INDEX(SPPR!$E:$X,MATCH($A136,SPPR!$A:$A,0),12),""),"")</f>
        <v/>
      </c>
      <c r="P136">
        <f>IFERROR(IF(ISNUMBER(INDEX(SPPR!$E:$X,MATCH($A136,SPPR!$A:$A,0),13)),$C136*INDEX(SPPR!$E:$X,MATCH($A136,SPPR!$A:$A,0),13),""),"")</f>
        <v/>
      </c>
      <c r="Q136">
        <f>IFERROR(IF(ISNUMBER(INDEX(SPPR!$E:$X,MATCH($A136,SPPR!$A:$A,0),14)),$C136*INDEX(SPPR!$E:$X,MATCH($A136,SPPR!$A:$A,0),14),""),"")</f>
        <v/>
      </c>
      <c r="R136">
        <f>IFERROR(IF(ISNUMBER(INDEX(SPPR!$E:$X,MATCH($A136,SPPR!$A:$A,0),15)),$C136*INDEX(SPPR!$E:$X,MATCH($A136,SPPR!$A:$A,0),15),""),"")</f>
        <v/>
      </c>
      <c r="S136">
        <f>IFERROR(IF(ISNUMBER(INDEX(SPPR!$E:$X,MATCH($A136,SPPR!$A:$A,0),16)),$C136*INDEX(SPPR!$E:$X,MATCH($A136,SPPR!$A:$A,0),16),""),"")</f>
        <v/>
      </c>
      <c r="T136">
        <f>IFERROR(IF(ISNUMBER(INDEX(SPPR!$E:$X,MATCH($A136,SPPR!$A:$A,0),17)),$C136*INDEX(SPPR!$E:$X,MATCH($A136,SPPR!$A:$A,0),17),""),"")</f>
        <v/>
      </c>
      <c r="U136">
        <f>IFERROR(IF(ISNUMBER(INDEX(SPPR!$E:$X,MATCH($A136,SPPR!$A:$A,0),18)),$C136*INDEX(SPPR!$E:$X,MATCH($A136,SPPR!$A:$A,0),18),""),"")</f>
        <v/>
      </c>
      <c r="V136">
        <f>IFERROR(IF(ISNUMBER(INDEX(SPPR!$E:$X,MATCH($A136,SPPR!$A:$A,0),19)),$C136*INDEX(SPPR!$E:$X,MATCH($A136,SPPR!$A:$A,0),19),""),"")</f>
        <v/>
      </c>
      <c r="W136">
        <f>IFERROR(IF(ISNUMBER(INDEX(SPPR!$E:$X,MATCH($A136,SPPR!$A:$A,0),20)),$C136*INDEX(SPPR!$E:$X,MATCH($A136,SPPR!$A:$A,0),20),""),"")</f>
        <v/>
      </c>
    </row>
    <row r="137">
      <c r="A137" t="inlineStr">
        <is>
          <t>Galeorhinus galeus</t>
        </is>
      </c>
      <c r="B137">
        <f>IFERROR(INDEX(SPPR!$D:$D,MATCH($A137,SPPR!$A:$A,0)),"")</f>
        <v/>
      </c>
      <c r="C137">
        <f>IFERROR(INDEX(Catch!$E:$BV,MATCH($A137,Catch!$A:$A,0),MATCH($B$4,Catch!$E$1:$BV$1,0)),0)</f>
        <v/>
      </c>
      <c r="D137">
        <f>IFERROR(IF(ISNUMBER(INDEX(SPPR!$E:$X,MATCH($A137,SPPR!$A:$A,0),1)),$C137*INDEX(SPPR!$E:$X,MATCH($A137,SPPR!$A:$A,0),1),""),"")</f>
        <v/>
      </c>
      <c r="E137">
        <f>IFERROR(IF(ISNUMBER(INDEX(SPPR!$E:$X,MATCH($A137,SPPR!$A:$A,0),2)),$C137*INDEX(SPPR!$E:$X,MATCH($A137,SPPR!$A:$A,0),2),""),"")</f>
        <v/>
      </c>
      <c r="F137">
        <f>IFERROR(IF(ISNUMBER(INDEX(SPPR!$E:$X,MATCH($A137,SPPR!$A:$A,0),3)),$C137*INDEX(SPPR!$E:$X,MATCH($A137,SPPR!$A:$A,0),3),""),"")</f>
        <v/>
      </c>
      <c r="G137">
        <f>IFERROR(IF(ISNUMBER(INDEX(SPPR!$E:$X,MATCH($A137,SPPR!$A:$A,0),4)),$C137*INDEX(SPPR!$E:$X,MATCH($A137,SPPR!$A:$A,0),4),""),"")</f>
        <v/>
      </c>
      <c r="H137">
        <f>IFERROR(IF(ISNUMBER(INDEX(SPPR!$E:$X,MATCH($A137,SPPR!$A:$A,0),5)),$C137*INDEX(SPPR!$E:$X,MATCH($A137,SPPR!$A:$A,0),5),""),"")</f>
        <v/>
      </c>
      <c r="I137">
        <f>IFERROR(IF(ISNUMBER(INDEX(SPPR!$E:$X,MATCH($A137,SPPR!$A:$A,0),6)),$C137*INDEX(SPPR!$E:$X,MATCH($A137,SPPR!$A:$A,0),6),""),"")</f>
        <v/>
      </c>
      <c r="J137">
        <f>IFERROR(IF(ISNUMBER(INDEX(SPPR!$E:$X,MATCH($A137,SPPR!$A:$A,0),7)),$C137*INDEX(SPPR!$E:$X,MATCH($A137,SPPR!$A:$A,0),7),""),"")</f>
        <v/>
      </c>
      <c r="K137">
        <f>IFERROR(IF(ISNUMBER(INDEX(SPPR!$E:$X,MATCH($A137,SPPR!$A:$A,0),8)),$C137*INDEX(SPPR!$E:$X,MATCH($A137,SPPR!$A:$A,0),8),""),"")</f>
        <v/>
      </c>
      <c r="L137">
        <f>IFERROR(IF(ISNUMBER(INDEX(SPPR!$E:$X,MATCH($A137,SPPR!$A:$A,0),9)),$C137*INDEX(SPPR!$E:$X,MATCH($A137,SPPR!$A:$A,0),9),""),"")</f>
        <v/>
      </c>
      <c r="M137">
        <f>IFERROR(IF(ISNUMBER(INDEX(SPPR!$E:$X,MATCH($A137,SPPR!$A:$A,0),10)),$C137*INDEX(SPPR!$E:$X,MATCH($A137,SPPR!$A:$A,0),10),""),"")</f>
        <v/>
      </c>
      <c r="N137">
        <f>IFERROR(IF(ISNUMBER(INDEX(SPPR!$E:$X,MATCH($A137,SPPR!$A:$A,0),11)),$C137*INDEX(SPPR!$E:$X,MATCH($A137,SPPR!$A:$A,0),11),""),"")</f>
        <v/>
      </c>
      <c r="O137">
        <f>IFERROR(IF(ISNUMBER(INDEX(SPPR!$E:$X,MATCH($A137,SPPR!$A:$A,0),12)),$C137*INDEX(SPPR!$E:$X,MATCH($A137,SPPR!$A:$A,0),12),""),"")</f>
        <v/>
      </c>
      <c r="P137">
        <f>IFERROR(IF(ISNUMBER(INDEX(SPPR!$E:$X,MATCH($A137,SPPR!$A:$A,0),13)),$C137*INDEX(SPPR!$E:$X,MATCH($A137,SPPR!$A:$A,0),13),""),"")</f>
        <v/>
      </c>
      <c r="Q137">
        <f>IFERROR(IF(ISNUMBER(INDEX(SPPR!$E:$X,MATCH($A137,SPPR!$A:$A,0),14)),$C137*INDEX(SPPR!$E:$X,MATCH($A137,SPPR!$A:$A,0),14),""),"")</f>
        <v/>
      </c>
      <c r="R137">
        <f>IFERROR(IF(ISNUMBER(INDEX(SPPR!$E:$X,MATCH($A137,SPPR!$A:$A,0),15)),$C137*INDEX(SPPR!$E:$X,MATCH($A137,SPPR!$A:$A,0),15),""),"")</f>
        <v/>
      </c>
      <c r="S137">
        <f>IFERROR(IF(ISNUMBER(INDEX(SPPR!$E:$X,MATCH($A137,SPPR!$A:$A,0),16)),$C137*INDEX(SPPR!$E:$X,MATCH($A137,SPPR!$A:$A,0),16),""),"")</f>
        <v/>
      </c>
      <c r="T137">
        <f>IFERROR(IF(ISNUMBER(INDEX(SPPR!$E:$X,MATCH($A137,SPPR!$A:$A,0),17)),$C137*INDEX(SPPR!$E:$X,MATCH($A137,SPPR!$A:$A,0),17),""),"")</f>
        <v/>
      </c>
      <c r="U137">
        <f>IFERROR(IF(ISNUMBER(INDEX(SPPR!$E:$X,MATCH($A137,SPPR!$A:$A,0),18)),$C137*INDEX(SPPR!$E:$X,MATCH($A137,SPPR!$A:$A,0),18),""),"")</f>
        <v/>
      </c>
      <c r="V137">
        <f>IFERROR(IF(ISNUMBER(INDEX(SPPR!$E:$X,MATCH($A137,SPPR!$A:$A,0),19)),$C137*INDEX(SPPR!$E:$X,MATCH($A137,SPPR!$A:$A,0),19),""),"")</f>
        <v/>
      </c>
      <c r="W137">
        <f>IFERROR(IF(ISNUMBER(INDEX(SPPR!$E:$X,MATCH($A137,SPPR!$A:$A,0),20)),$C137*INDEX(SPPR!$E:$X,MATCH($A137,SPPR!$A:$A,0),20),""),"")</f>
        <v/>
      </c>
    </row>
    <row r="138">
      <c r="A138" t="inlineStr">
        <is>
          <t>Thunnus alalunga</t>
        </is>
      </c>
      <c r="B138">
        <f>IFERROR(INDEX(SPPR!$D:$D,MATCH($A138,SPPR!$A:$A,0)),"")</f>
        <v/>
      </c>
      <c r="C138">
        <f>IFERROR(INDEX(Catch!$E:$BV,MATCH($A138,Catch!$A:$A,0),MATCH($B$4,Catch!$E$1:$BV$1,0)),0)</f>
        <v/>
      </c>
      <c r="D138">
        <f>IFERROR(IF(ISNUMBER(INDEX(SPPR!$E:$X,MATCH($A138,SPPR!$A:$A,0),1)),$C138*INDEX(SPPR!$E:$X,MATCH($A138,SPPR!$A:$A,0),1),""),"")</f>
        <v/>
      </c>
      <c r="E138">
        <f>IFERROR(IF(ISNUMBER(INDEX(SPPR!$E:$X,MATCH($A138,SPPR!$A:$A,0),2)),$C138*INDEX(SPPR!$E:$X,MATCH($A138,SPPR!$A:$A,0),2),""),"")</f>
        <v/>
      </c>
      <c r="F138">
        <f>IFERROR(IF(ISNUMBER(INDEX(SPPR!$E:$X,MATCH($A138,SPPR!$A:$A,0),3)),$C138*INDEX(SPPR!$E:$X,MATCH($A138,SPPR!$A:$A,0),3),""),"")</f>
        <v/>
      </c>
      <c r="G138">
        <f>IFERROR(IF(ISNUMBER(INDEX(SPPR!$E:$X,MATCH($A138,SPPR!$A:$A,0),4)),$C138*INDEX(SPPR!$E:$X,MATCH($A138,SPPR!$A:$A,0),4),""),"")</f>
        <v/>
      </c>
      <c r="H138">
        <f>IFERROR(IF(ISNUMBER(INDEX(SPPR!$E:$X,MATCH($A138,SPPR!$A:$A,0),5)),$C138*INDEX(SPPR!$E:$X,MATCH($A138,SPPR!$A:$A,0),5),""),"")</f>
        <v/>
      </c>
      <c r="I138">
        <f>IFERROR(IF(ISNUMBER(INDEX(SPPR!$E:$X,MATCH($A138,SPPR!$A:$A,0),6)),$C138*INDEX(SPPR!$E:$X,MATCH($A138,SPPR!$A:$A,0),6),""),"")</f>
        <v/>
      </c>
      <c r="J138">
        <f>IFERROR(IF(ISNUMBER(INDEX(SPPR!$E:$X,MATCH($A138,SPPR!$A:$A,0),7)),$C138*INDEX(SPPR!$E:$X,MATCH($A138,SPPR!$A:$A,0),7),""),"")</f>
        <v/>
      </c>
      <c r="K138">
        <f>IFERROR(IF(ISNUMBER(INDEX(SPPR!$E:$X,MATCH($A138,SPPR!$A:$A,0),8)),$C138*INDEX(SPPR!$E:$X,MATCH($A138,SPPR!$A:$A,0),8),""),"")</f>
        <v/>
      </c>
      <c r="L138">
        <f>IFERROR(IF(ISNUMBER(INDEX(SPPR!$E:$X,MATCH($A138,SPPR!$A:$A,0),9)),$C138*INDEX(SPPR!$E:$X,MATCH($A138,SPPR!$A:$A,0),9),""),"")</f>
        <v/>
      </c>
      <c r="M138">
        <f>IFERROR(IF(ISNUMBER(INDEX(SPPR!$E:$X,MATCH($A138,SPPR!$A:$A,0),10)),$C138*INDEX(SPPR!$E:$X,MATCH($A138,SPPR!$A:$A,0),10),""),"")</f>
        <v/>
      </c>
      <c r="N138">
        <f>IFERROR(IF(ISNUMBER(INDEX(SPPR!$E:$X,MATCH($A138,SPPR!$A:$A,0),11)),$C138*INDEX(SPPR!$E:$X,MATCH($A138,SPPR!$A:$A,0),11),""),"")</f>
        <v/>
      </c>
      <c r="O138">
        <f>IFERROR(IF(ISNUMBER(INDEX(SPPR!$E:$X,MATCH($A138,SPPR!$A:$A,0),12)),$C138*INDEX(SPPR!$E:$X,MATCH($A138,SPPR!$A:$A,0),12),""),"")</f>
        <v/>
      </c>
      <c r="P138">
        <f>IFERROR(IF(ISNUMBER(INDEX(SPPR!$E:$X,MATCH($A138,SPPR!$A:$A,0),13)),$C138*INDEX(SPPR!$E:$X,MATCH($A138,SPPR!$A:$A,0),13),""),"")</f>
        <v/>
      </c>
      <c r="Q138">
        <f>IFERROR(IF(ISNUMBER(INDEX(SPPR!$E:$X,MATCH($A138,SPPR!$A:$A,0),14)),$C138*INDEX(SPPR!$E:$X,MATCH($A138,SPPR!$A:$A,0),14),""),"")</f>
        <v/>
      </c>
      <c r="R138">
        <f>IFERROR(IF(ISNUMBER(INDEX(SPPR!$E:$X,MATCH($A138,SPPR!$A:$A,0),15)),$C138*INDEX(SPPR!$E:$X,MATCH($A138,SPPR!$A:$A,0),15),""),"")</f>
        <v/>
      </c>
      <c r="S138">
        <f>IFERROR(IF(ISNUMBER(INDEX(SPPR!$E:$X,MATCH($A138,SPPR!$A:$A,0),16)),$C138*INDEX(SPPR!$E:$X,MATCH($A138,SPPR!$A:$A,0),16),""),"")</f>
        <v/>
      </c>
      <c r="T138">
        <f>IFERROR(IF(ISNUMBER(INDEX(SPPR!$E:$X,MATCH($A138,SPPR!$A:$A,0),17)),$C138*INDEX(SPPR!$E:$X,MATCH($A138,SPPR!$A:$A,0),17),""),"")</f>
        <v/>
      </c>
      <c r="U138">
        <f>IFERROR(IF(ISNUMBER(INDEX(SPPR!$E:$X,MATCH($A138,SPPR!$A:$A,0),18)),$C138*INDEX(SPPR!$E:$X,MATCH($A138,SPPR!$A:$A,0),18),""),"")</f>
        <v/>
      </c>
      <c r="V138">
        <f>IFERROR(IF(ISNUMBER(INDEX(SPPR!$E:$X,MATCH($A138,SPPR!$A:$A,0),19)),$C138*INDEX(SPPR!$E:$X,MATCH($A138,SPPR!$A:$A,0),19),""),"")</f>
        <v/>
      </c>
      <c r="W138">
        <f>IFERROR(IF(ISNUMBER(INDEX(SPPR!$E:$X,MATCH($A138,SPPR!$A:$A,0),20)),$C138*INDEX(SPPR!$E:$X,MATCH($A138,SPPR!$A:$A,0),20),""),"")</f>
        <v/>
      </c>
    </row>
    <row r="139">
      <c r="A139" t="inlineStr">
        <is>
          <t>Carangidae</t>
        </is>
      </c>
      <c r="B139">
        <f>IFERROR(INDEX(SPPR!$D:$D,MATCH($A139,SPPR!$A:$A,0)),"")</f>
        <v/>
      </c>
      <c r="C139">
        <f>IFERROR(INDEX(Catch!$E:$BV,MATCH($A139,Catch!$A:$A,0),MATCH($B$4,Catch!$E$1:$BV$1,0)),0)</f>
        <v/>
      </c>
      <c r="D139">
        <f>IFERROR(IF(ISNUMBER(INDEX(SPPR!$E:$X,MATCH($A139,SPPR!$A:$A,0),1)),$C139*INDEX(SPPR!$E:$X,MATCH($A139,SPPR!$A:$A,0),1),""),"")</f>
        <v/>
      </c>
      <c r="E139">
        <f>IFERROR(IF(ISNUMBER(INDEX(SPPR!$E:$X,MATCH($A139,SPPR!$A:$A,0),2)),$C139*INDEX(SPPR!$E:$X,MATCH($A139,SPPR!$A:$A,0),2),""),"")</f>
        <v/>
      </c>
      <c r="F139">
        <f>IFERROR(IF(ISNUMBER(INDEX(SPPR!$E:$X,MATCH($A139,SPPR!$A:$A,0),3)),$C139*INDEX(SPPR!$E:$X,MATCH($A139,SPPR!$A:$A,0),3),""),"")</f>
        <v/>
      </c>
      <c r="G139">
        <f>IFERROR(IF(ISNUMBER(INDEX(SPPR!$E:$X,MATCH($A139,SPPR!$A:$A,0),4)),$C139*INDEX(SPPR!$E:$X,MATCH($A139,SPPR!$A:$A,0),4),""),"")</f>
        <v/>
      </c>
      <c r="H139">
        <f>IFERROR(IF(ISNUMBER(INDEX(SPPR!$E:$X,MATCH($A139,SPPR!$A:$A,0),5)),$C139*INDEX(SPPR!$E:$X,MATCH($A139,SPPR!$A:$A,0),5),""),"")</f>
        <v/>
      </c>
      <c r="I139">
        <f>IFERROR(IF(ISNUMBER(INDEX(SPPR!$E:$X,MATCH($A139,SPPR!$A:$A,0),6)),$C139*INDEX(SPPR!$E:$X,MATCH($A139,SPPR!$A:$A,0),6),""),"")</f>
        <v/>
      </c>
      <c r="J139">
        <f>IFERROR(IF(ISNUMBER(INDEX(SPPR!$E:$X,MATCH($A139,SPPR!$A:$A,0),7)),$C139*INDEX(SPPR!$E:$X,MATCH($A139,SPPR!$A:$A,0),7),""),"")</f>
        <v/>
      </c>
      <c r="K139">
        <f>IFERROR(IF(ISNUMBER(INDEX(SPPR!$E:$X,MATCH($A139,SPPR!$A:$A,0),8)),$C139*INDEX(SPPR!$E:$X,MATCH($A139,SPPR!$A:$A,0),8),""),"")</f>
        <v/>
      </c>
      <c r="L139">
        <f>IFERROR(IF(ISNUMBER(INDEX(SPPR!$E:$X,MATCH($A139,SPPR!$A:$A,0),9)),$C139*INDEX(SPPR!$E:$X,MATCH($A139,SPPR!$A:$A,0),9),""),"")</f>
        <v/>
      </c>
      <c r="M139">
        <f>IFERROR(IF(ISNUMBER(INDEX(SPPR!$E:$X,MATCH($A139,SPPR!$A:$A,0),10)),$C139*INDEX(SPPR!$E:$X,MATCH($A139,SPPR!$A:$A,0),10),""),"")</f>
        <v/>
      </c>
      <c r="N139">
        <f>IFERROR(IF(ISNUMBER(INDEX(SPPR!$E:$X,MATCH($A139,SPPR!$A:$A,0),11)),$C139*INDEX(SPPR!$E:$X,MATCH($A139,SPPR!$A:$A,0),11),""),"")</f>
        <v/>
      </c>
      <c r="O139">
        <f>IFERROR(IF(ISNUMBER(INDEX(SPPR!$E:$X,MATCH($A139,SPPR!$A:$A,0),12)),$C139*INDEX(SPPR!$E:$X,MATCH($A139,SPPR!$A:$A,0),12),""),"")</f>
        <v/>
      </c>
      <c r="P139">
        <f>IFERROR(IF(ISNUMBER(INDEX(SPPR!$E:$X,MATCH($A139,SPPR!$A:$A,0),13)),$C139*INDEX(SPPR!$E:$X,MATCH($A139,SPPR!$A:$A,0),13),""),"")</f>
        <v/>
      </c>
      <c r="Q139">
        <f>IFERROR(IF(ISNUMBER(INDEX(SPPR!$E:$X,MATCH($A139,SPPR!$A:$A,0),14)),$C139*INDEX(SPPR!$E:$X,MATCH($A139,SPPR!$A:$A,0),14),""),"")</f>
        <v/>
      </c>
      <c r="R139">
        <f>IFERROR(IF(ISNUMBER(INDEX(SPPR!$E:$X,MATCH($A139,SPPR!$A:$A,0),15)),$C139*INDEX(SPPR!$E:$X,MATCH($A139,SPPR!$A:$A,0),15),""),"")</f>
        <v/>
      </c>
      <c r="S139">
        <f>IFERROR(IF(ISNUMBER(INDEX(SPPR!$E:$X,MATCH($A139,SPPR!$A:$A,0),16)),$C139*INDEX(SPPR!$E:$X,MATCH($A139,SPPR!$A:$A,0),16),""),"")</f>
        <v/>
      </c>
      <c r="T139">
        <f>IFERROR(IF(ISNUMBER(INDEX(SPPR!$E:$X,MATCH($A139,SPPR!$A:$A,0),17)),$C139*INDEX(SPPR!$E:$X,MATCH($A139,SPPR!$A:$A,0),17),""),"")</f>
        <v/>
      </c>
      <c r="U139">
        <f>IFERROR(IF(ISNUMBER(INDEX(SPPR!$E:$X,MATCH($A139,SPPR!$A:$A,0),18)),$C139*INDEX(SPPR!$E:$X,MATCH($A139,SPPR!$A:$A,0),18),""),"")</f>
        <v/>
      </c>
      <c r="V139">
        <f>IFERROR(IF(ISNUMBER(INDEX(SPPR!$E:$X,MATCH($A139,SPPR!$A:$A,0),19)),$C139*INDEX(SPPR!$E:$X,MATCH($A139,SPPR!$A:$A,0),19),""),"")</f>
        <v/>
      </c>
      <c r="W139">
        <f>IFERROR(IF(ISNUMBER(INDEX(SPPR!$E:$X,MATCH($A139,SPPR!$A:$A,0),20)),$C139*INDEX(SPPR!$E:$X,MATCH($A139,SPPR!$A:$A,0),20),""),"")</f>
        <v/>
      </c>
    </row>
    <row r="140">
      <c r="A140" t="inlineStr">
        <is>
          <t>Miscellaneous marine crustaceans</t>
        </is>
      </c>
      <c r="B140">
        <f>IFERROR(INDEX(SPPR!$D:$D,MATCH($A140,SPPR!$A:$A,0)),"")</f>
        <v/>
      </c>
      <c r="C140">
        <f>IFERROR(INDEX(Catch!$E:$BV,MATCH($A140,Catch!$A:$A,0),MATCH($B$4,Catch!$E$1:$BV$1,0)),0)</f>
        <v/>
      </c>
      <c r="D140">
        <f>IFERROR(IF(ISNUMBER(INDEX(SPPR!$E:$X,MATCH($A140,SPPR!$A:$A,0),1)),$C140*INDEX(SPPR!$E:$X,MATCH($A140,SPPR!$A:$A,0),1),""),"")</f>
        <v/>
      </c>
      <c r="E140">
        <f>IFERROR(IF(ISNUMBER(INDEX(SPPR!$E:$X,MATCH($A140,SPPR!$A:$A,0),2)),$C140*INDEX(SPPR!$E:$X,MATCH($A140,SPPR!$A:$A,0),2),""),"")</f>
        <v/>
      </c>
      <c r="F140">
        <f>IFERROR(IF(ISNUMBER(INDEX(SPPR!$E:$X,MATCH($A140,SPPR!$A:$A,0),3)),$C140*INDEX(SPPR!$E:$X,MATCH($A140,SPPR!$A:$A,0),3),""),"")</f>
        <v/>
      </c>
      <c r="G140">
        <f>IFERROR(IF(ISNUMBER(INDEX(SPPR!$E:$X,MATCH($A140,SPPR!$A:$A,0),4)),$C140*INDEX(SPPR!$E:$X,MATCH($A140,SPPR!$A:$A,0),4),""),"")</f>
        <v/>
      </c>
      <c r="H140">
        <f>IFERROR(IF(ISNUMBER(INDEX(SPPR!$E:$X,MATCH($A140,SPPR!$A:$A,0),5)),$C140*INDEX(SPPR!$E:$X,MATCH($A140,SPPR!$A:$A,0),5),""),"")</f>
        <v/>
      </c>
      <c r="I140">
        <f>IFERROR(IF(ISNUMBER(INDEX(SPPR!$E:$X,MATCH($A140,SPPR!$A:$A,0),6)),$C140*INDEX(SPPR!$E:$X,MATCH($A140,SPPR!$A:$A,0),6),""),"")</f>
        <v/>
      </c>
      <c r="J140">
        <f>IFERROR(IF(ISNUMBER(INDEX(SPPR!$E:$X,MATCH($A140,SPPR!$A:$A,0),7)),$C140*INDEX(SPPR!$E:$X,MATCH($A140,SPPR!$A:$A,0),7),""),"")</f>
        <v/>
      </c>
      <c r="K140">
        <f>IFERROR(IF(ISNUMBER(INDEX(SPPR!$E:$X,MATCH($A140,SPPR!$A:$A,0),8)),$C140*INDEX(SPPR!$E:$X,MATCH($A140,SPPR!$A:$A,0),8),""),"")</f>
        <v/>
      </c>
      <c r="L140">
        <f>IFERROR(IF(ISNUMBER(INDEX(SPPR!$E:$X,MATCH($A140,SPPR!$A:$A,0),9)),$C140*INDEX(SPPR!$E:$X,MATCH($A140,SPPR!$A:$A,0),9),""),"")</f>
        <v/>
      </c>
      <c r="M140">
        <f>IFERROR(IF(ISNUMBER(INDEX(SPPR!$E:$X,MATCH($A140,SPPR!$A:$A,0),10)),$C140*INDEX(SPPR!$E:$X,MATCH($A140,SPPR!$A:$A,0),10),""),"")</f>
        <v/>
      </c>
      <c r="N140">
        <f>IFERROR(IF(ISNUMBER(INDEX(SPPR!$E:$X,MATCH($A140,SPPR!$A:$A,0),11)),$C140*INDEX(SPPR!$E:$X,MATCH($A140,SPPR!$A:$A,0),11),""),"")</f>
        <v/>
      </c>
      <c r="O140">
        <f>IFERROR(IF(ISNUMBER(INDEX(SPPR!$E:$X,MATCH($A140,SPPR!$A:$A,0),12)),$C140*INDEX(SPPR!$E:$X,MATCH($A140,SPPR!$A:$A,0),12),""),"")</f>
        <v/>
      </c>
      <c r="P140">
        <f>IFERROR(IF(ISNUMBER(INDEX(SPPR!$E:$X,MATCH($A140,SPPR!$A:$A,0),13)),$C140*INDEX(SPPR!$E:$X,MATCH($A140,SPPR!$A:$A,0),13),""),"")</f>
        <v/>
      </c>
      <c r="Q140">
        <f>IFERROR(IF(ISNUMBER(INDEX(SPPR!$E:$X,MATCH($A140,SPPR!$A:$A,0),14)),$C140*INDEX(SPPR!$E:$X,MATCH($A140,SPPR!$A:$A,0),14),""),"")</f>
        <v/>
      </c>
      <c r="R140">
        <f>IFERROR(IF(ISNUMBER(INDEX(SPPR!$E:$X,MATCH($A140,SPPR!$A:$A,0),15)),$C140*INDEX(SPPR!$E:$X,MATCH($A140,SPPR!$A:$A,0),15),""),"")</f>
        <v/>
      </c>
      <c r="S140">
        <f>IFERROR(IF(ISNUMBER(INDEX(SPPR!$E:$X,MATCH($A140,SPPR!$A:$A,0),16)),$C140*INDEX(SPPR!$E:$X,MATCH($A140,SPPR!$A:$A,0),16),""),"")</f>
        <v/>
      </c>
      <c r="T140">
        <f>IFERROR(IF(ISNUMBER(INDEX(SPPR!$E:$X,MATCH($A140,SPPR!$A:$A,0),17)),$C140*INDEX(SPPR!$E:$X,MATCH($A140,SPPR!$A:$A,0),17),""),"")</f>
        <v/>
      </c>
      <c r="U140">
        <f>IFERROR(IF(ISNUMBER(INDEX(SPPR!$E:$X,MATCH($A140,SPPR!$A:$A,0),18)),$C140*INDEX(SPPR!$E:$X,MATCH($A140,SPPR!$A:$A,0),18),""),"")</f>
        <v/>
      </c>
      <c r="V140">
        <f>IFERROR(IF(ISNUMBER(INDEX(SPPR!$E:$X,MATCH($A140,SPPR!$A:$A,0),19)),$C140*INDEX(SPPR!$E:$X,MATCH($A140,SPPR!$A:$A,0),19),""),"")</f>
        <v/>
      </c>
      <c r="W140">
        <f>IFERROR(IF(ISNUMBER(INDEX(SPPR!$E:$X,MATCH($A140,SPPR!$A:$A,0),20)),$C140*INDEX(SPPR!$E:$X,MATCH($A140,SPPR!$A:$A,0),20),""),"")</f>
        <v/>
      </c>
    </row>
    <row r="141">
      <c r="A141" t="inlineStr">
        <is>
          <t>Enteroctopus megalocyathus</t>
        </is>
      </c>
      <c r="B141">
        <f>IFERROR(INDEX(SPPR!$D:$D,MATCH($A141,SPPR!$A:$A,0)),"")</f>
        <v/>
      </c>
      <c r="C141">
        <f>IFERROR(INDEX(Catch!$E:$BV,MATCH($A141,Catch!$A:$A,0),MATCH($B$4,Catch!$E$1:$BV$1,0)),0)</f>
        <v/>
      </c>
      <c r="D141">
        <f>IFERROR(IF(ISNUMBER(INDEX(SPPR!$E:$X,MATCH($A141,SPPR!$A:$A,0),1)),$C141*INDEX(SPPR!$E:$X,MATCH($A141,SPPR!$A:$A,0),1),""),"")</f>
        <v/>
      </c>
      <c r="E141">
        <f>IFERROR(IF(ISNUMBER(INDEX(SPPR!$E:$X,MATCH($A141,SPPR!$A:$A,0),2)),$C141*INDEX(SPPR!$E:$X,MATCH($A141,SPPR!$A:$A,0),2),""),"")</f>
        <v/>
      </c>
      <c r="F141">
        <f>IFERROR(IF(ISNUMBER(INDEX(SPPR!$E:$X,MATCH($A141,SPPR!$A:$A,0),3)),$C141*INDEX(SPPR!$E:$X,MATCH($A141,SPPR!$A:$A,0),3),""),"")</f>
        <v/>
      </c>
      <c r="G141">
        <f>IFERROR(IF(ISNUMBER(INDEX(SPPR!$E:$X,MATCH($A141,SPPR!$A:$A,0),4)),$C141*INDEX(SPPR!$E:$X,MATCH($A141,SPPR!$A:$A,0),4),""),"")</f>
        <v/>
      </c>
      <c r="H141">
        <f>IFERROR(IF(ISNUMBER(INDEX(SPPR!$E:$X,MATCH($A141,SPPR!$A:$A,0),5)),$C141*INDEX(SPPR!$E:$X,MATCH($A141,SPPR!$A:$A,0),5),""),"")</f>
        <v/>
      </c>
      <c r="I141">
        <f>IFERROR(IF(ISNUMBER(INDEX(SPPR!$E:$X,MATCH($A141,SPPR!$A:$A,0),6)),$C141*INDEX(SPPR!$E:$X,MATCH($A141,SPPR!$A:$A,0),6),""),"")</f>
        <v/>
      </c>
      <c r="J141">
        <f>IFERROR(IF(ISNUMBER(INDEX(SPPR!$E:$X,MATCH($A141,SPPR!$A:$A,0),7)),$C141*INDEX(SPPR!$E:$X,MATCH($A141,SPPR!$A:$A,0),7),""),"")</f>
        <v/>
      </c>
      <c r="K141">
        <f>IFERROR(IF(ISNUMBER(INDEX(SPPR!$E:$X,MATCH($A141,SPPR!$A:$A,0),8)),$C141*INDEX(SPPR!$E:$X,MATCH($A141,SPPR!$A:$A,0),8),""),"")</f>
        <v/>
      </c>
      <c r="L141">
        <f>IFERROR(IF(ISNUMBER(INDEX(SPPR!$E:$X,MATCH($A141,SPPR!$A:$A,0),9)),$C141*INDEX(SPPR!$E:$X,MATCH($A141,SPPR!$A:$A,0),9),""),"")</f>
        <v/>
      </c>
      <c r="M141">
        <f>IFERROR(IF(ISNUMBER(INDEX(SPPR!$E:$X,MATCH($A141,SPPR!$A:$A,0),10)),$C141*INDEX(SPPR!$E:$X,MATCH($A141,SPPR!$A:$A,0),10),""),"")</f>
        <v/>
      </c>
      <c r="N141">
        <f>IFERROR(IF(ISNUMBER(INDEX(SPPR!$E:$X,MATCH($A141,SPPR!$A:$A,0),11)),$C141*INDEX(SPPR!$E:$X,MATCH($A141,SPPR!$A:$A,0),11),""),"")</f>
        <v/>
      </c>
      <c r="O141">
        <f>IFERROR(IF(ISNUMBER(INDEX(SPPR!$E:$X,MATCH($A141,SPPR!$A:$A,0),12)),$C141*INDEX(SPPR!$E:$X,MATCH($A141,SPPR!$A:$A,0),12),""),"")</f>
        <v/>
      </c>
      <c r="P141">
        <f>IFERROR(IF(ISNUMBER(INDEX(SPPR!$E:$X,MATCH($A141,SPPR!$A:$A,0),13)),$C141*INDEX(SPPR!$E:$X,MATCH($A141,SPPR!$A:$A,0),13),""),"")</f>
        <v/>
      </c>
      <c r="Q141">
        <f>IFERROR(IF(ISNUMBER(INDEX(SPPR!$E:$X,MATCH($A141,SPPR!$A:$A,0),14)),$C141*INDEX(SPPR!$E:$X,MATCH($A141,SPPR!$A:$A,0),14),""),"")</f>
        <v/>
      </c>
      <c r="R141">
        <f>IFERROR(IF(ISNUMBER(INDEX(SPPR!$E:$X,MATCH($A141,SPPR!$A:$A,0),15)),$C141*INDEX(SPPR!$E:$X,MATCH($A141,SPPR!$A:$A,0),15),""),"")</f>
        <v/>
      </c>
      <c r="S141">
        <f>IFERROR(IF(ISNUMBER(INDEX(SPPR!$E:$X,MATCH($A141,SPPR!$A:$A,0),16)),$C141*INDEX(SPPR!$E:$X,MATCH($A141,SPPR!$A:$A,0),16),""),"")</f>
        <v/>
      </c>
      <c r="T141">
        <f>IFERROR(IF(ISNUMBER(INDEX(SPPR!$E:$X,MATCH($A141,SPPR!$A:$A,0),17)),$C141*INDEX(SPPR!$E:$X,MATCH($A141,SPPR!$A:$A,0),17),""),"")</f>
        <v/>
      </c>
      <c r="U141">
        <f>IFERROR(IF(ISNUMBER(INDEX(SPPR!$E:$X,MATCH($A141,SPPR!$A:$A,0),18)),$C141*INDEX(SPPR!$E:$X,MATCH($A141,SPPR!$A:$A,0),18),""),"")</f>
        <v/>
      </c>
      <c r="V141">
        <f>IFERROR(IF(ISNUMBER(INDEX(SPPR!$E:$X,MATCH($A141,SPPR!$A:$A,0),19)),$C141*INDEX(SPPR!$E:$X,MATCH($A141,SPPR!$A:$A,0),19),""),"")</f>
        <v/>
      </c>
      <c r="W141">
        <f>IFERROR(IF(ISNUMBER(INDEX(SPPR!$E:$X,MATCH($A141,SPPR!$A:$A,0),20)),$C141*INDEX(SPPR!$E:$X,MATCH($A141,SPPR!$A:$A,0),20),""),"")</f>
        <v/>
      </c>
    </row>
    <row r="142">
      <c r="A142" t="inlineStr">
        <is>
          <t>Istiophoridae</t>
        </is>
      </c>
      <c r="B142">
        <f>IFERROR(INDEX(SPPR!$D:$D,MATCH($A142,SPPR!$A:$A,0)),"")</f>
        <v/>
      </c>
      <c r="C142">
        <f>IFERROR(INDEX(Catch!$E:$BV,MATCH($A142,Catch!$A:$A,0),MATCH($B$4,Catch!$E$1:$BV$1,0)),0)</f>
        <v/>
      </c>
      <c r="D142">
        <f>IFERROR(IF(ISNUMBER(INDEX(SPPR!$E:$X,MATCH($A142,SPPR!$A:$A,0),1)),$C142*INDEX(SPPR!$E:$X,MATCH($A142,SPPR!$A:$A,0),1),""),"")</f>
        <v/>
      </c>
      <c r="E142">
        <f>IFERROR(IF(ISNUMBER(INDEX(SPPR!$E:$X,MATCH($A142,SPPR!$A:$A,0),2)),$C142*INDEX(SPPR!$E:$X,MATCH($A142,SPPR!$A:$A,0),2),""),"")</f>
        <v/>
      </c>
      <c r="F142">
        <f>IFERROR(IF(ISNUMBER(INDEX(SPPR!$E:$X,MATCH($A142,SPPR!$A:$A,0),3)),$C142*INDEX(SPPR!$E:$X,MATCH($A142,SPPR!$A:$A,0),3),""),"")</f>
        <v/>
      </c>
      <c r="G142">
        <f>IFERROR(IF(ISNUMBER(INDEX(SPPR!$E:$X,MATCH($A142,SPPR!$A:$A,0),4)),$C142*INDEX(SPPR!$E:$X,MATCH($A142,SPPR!$A:$A,0),4),""),"")</f>
        <v/>
      </c>
      <c r="H142">
        <f>IFERROR(IF(ISNUMBER(INDEX(SPPR!$E:$X,MATCH($A142,SPPR!$A:$A,0),5)),$C142*INDEX(SPPR!$E:$X,MATCH($A142,SPPR!$A:$A,0),5),""),"")</f>
        <v/>
      </c>
      <c r="I142">
        <f>IFERROR(IF(ISNUMBER(INDEX(SPPR!$E:$X,MATCH($A142,SPPR!$A:$A,0),6)),$C142*INDEX(SPPR!$E:$X,MATCH($A142,SPPR!$A:$A,0),6),""),"")</f>
        <v/>
      </c>
      <c r="J142">
        <f>IFERROR(IF(ISNUMBER(INDEX(SPPR!$E:$X,MATCH($A142,SPPR!$A:$A,0),7)),$C142*INDEX(SPPR!$E:$X,MATCH($A142,SPPR!$A:$A,0),7),""),"")</f>
        <v/>
      </c>
      <c r="K142">
        <f>IFERROR(IF(ISNUMBER(INDEX(SPPR!$E:$X,MATCH($A142,SPPR!$A:$A,0),8)),$C142*INDEX(SPPR!$E:$X,MATCH($A142,SPPR!$A:$A,0),8),""),"")</f>
        <v/>
      </c>
      <c r="L142">
        <f>IFERROR(IF(ISNUMBER(INDEX(SPPR!$E:$X,MATCH($A142,SPPR!$A:$A,0),9)),$C142*INDEX(SPPR!$E:$X,MATCH($A142,SPPR!$A:$A,0),9),""),"")</f>
        <v/>
      </c>
      <c r="M142">
        <f>IFERROR(IF(ISNUMBER(INDEX(SPPR!$E:$X,MATCH($A142,SPPR!$A:$A,0),10)),$C142*INDEX(SPPR!$E:$X,MATCH($A142,SPPR!$A:$A,0),10),""),"")</f>
        <v/>
      </c>
      <c r="N142">
        <f>IFERROR(IF(ISNUMBER(INDEX(SPPR!$E:$X,MATCH($A142,SPPR!$A:$A,0),11)),$C142*INDEX(SPPR!$E:$X,MATCH($A142,SPPR!$A:$A,0),11),""),"")</f>
        <v/>
      </c>
      <c r="O142">
        <f>IFERROR(IF(ISNUMBER(INDEX(SPPR!$E:$X,MATCH($A142,SPPR!$A:$A,0),12)),$C142*INDEX(SPPR!$E:$X,MATCH($A142,SPPR!$A:$A,0),12),""),"")</f>
        <v/>
      </c>
      <c r="P142">
        <f>IFERROR(IF(ISNUMBER(INDEX(SPPR!$E:$X,MATCH($A142,SPPR!$A:$A,0),13)),$C142*INDEX(SPPR!$E:$X,MATCH($A142,SPPR!$A:$A,0),13),""),"")</f>
        <v/>
      </c>
      <c r="Q142">
        <f>IFERROR(IF(ISNUMBER(INDEX(SPPR!$E:$X,MATCH($A142,SPPR!$A:$A,0),14)),$C142*INDEX(SPPR!$E:$X,MATCH($A142,SPPR!$A:$A,0),14),""),"")</f>
        <v/>
      </c>
      <c r="R142">
        <f>IFERROR(IF(ISNUMBER(INDEX(SPPR!$E:$X,MATCH($A142,SPPR!$A:$A,0),15)),$C142*INDEX(SPPR!$E:$X,MATCH($A142,SPPR!$A:$A,0),15),""),"")</f>
        <v/>
      </c>
      <c r="S142">
        <f>IFERROR(IF(ISNUMBER(INDEX(SPPR!$E:$X,MATCH($A142,SPPR!$A:$A,0),16)),$C142*INDEX(SPPR!$E:$X,MATCH($A142,SPPR!$A:$A,0),16),""),"")</f>
        <v/>
      </c>
      <c r="T142">
        <f>IFERROR(IF(ISNUMBER(INDEX(SPPR!$E:$X,MATCH($A142,SPPR!$A:$A,0),17)),$C142*INDEX(SPPR!$E:$X,MATCH($A142,SPPR!$A:$A,0),17),""),"")</f>
        <v/>
      </c>
      <c r="U142">
        <f>IFERROR(IF(ISNUMBER(INDEX(SPPR!$E:$X,MATCH($A142,SPPR!$A:$A,0),18)),$C142*INDEX(SPPR!$E:$X,MATCH($A142,SPPR!$A:$A,0),18),""),"")</f>
        <v/>
      </c>
      <c r="V142">
        <f>IFERROR(IF(ISNUMBER(INDEX(SPPR!$E:$X,MATCH($A142,SPPR!$A:$A,0),19)),$C142*INDEX(SPPR!$E:$X,MATCH($A142,SPPR!$A:$A,0),19),""),"")</f>
        <v/>
      </c>
      <c r="W142">
        <f>IFERROR(IF(ISNUMBER(INDEX(SPPR!$E:$X,MATCH($A142,SPPR!$A:$A,0),20)),$C142*INDEX(SPPR!$E:$X,MATCH($A142,SPPR!$A:$A,0),20),""),"")</f>
        <v/>
      </c>
    </row>
    <row r="143">
      <c r="A143" t="inlineStr">
        <is>
          <t>Chrysaora plocamia</t>
        </is>
      </c>
      <c r="B143">
        <f>IFERROR(INDEX(SPPR!$D:$D,MATCH($A143,SPPR!$A:$A,0)),"")</f>
        <v/>
      </c>
      <c r="C143">
        <f>IFERROR(INDEX(Catch!$E:$BV,MATCH($A143,Catch!$A:$A,0),MATCH($B$4,Catch!$E$1:$BV$1,0)),0)</f>
        <v/>
      </c>
      <c r="D143">
        <f>IFERROR(IF(ISNUMBER(INDEX(SPPR!$E:$X,MATCH($A143,SPPR!$A:$A,0),1)),$C143*INDEX(SPPR!$E:$X,MATCH($A143,SPPR!$A:$A,0),1),""),"")</f>
        <v/>
      </c>
      <c r="E143">
        <f>IFERROR(IF(ISNUMBER(INDEX(SPPR!$E:$X,MATCH($A143,SPPR!$A:$A,0),2)),$C143*INDEX(SPPR!$E:$X,MATCH($A143,SPPR!$A:$A,0),2),""),"")</f>
        <v/>
      </c>
      <c r="F143">
        <f>IFERROR(IF(ISNUMBER(INDEX(SPPR!$E:$X,MATCH($A143,SPPR!$A:$A,0),3)),$C143*INDEX(SPPR!$E:$X,MATCH($A143,SPPR!$A:$A,0),3),""),"")</f>
        <v/>
      </c>
      <c r="G143">
        <f>IFERROR(IF(ISNUMBER(INDEX(SPPR!$E:$X,MATCH($A143,SPPR!$A:$A,0),4)),$C143*INDEX(SPPR!$E:$X,MATCH($A143,SPPR!$A:$A,0),4),""),"")</f>
        <v/>
      </c>
      <c r="H143">
        <f>IFERROR(IF(ISNUMBER(INDEX(SPPR!$E:$X,MATCH($A143,SPPR!$A:$A,0),5)),$C143*INDEX(SPPR!$E:$X,MATCH($A143,SPPR!$A:$A,0),5),""),"")</f>
        <v/>
      </c>
      <c r="I143">
        <f>IFERROR(IF(ISNUMBER(INDEX(SPPR!$E:$X,MATCH($A143,SPPR!$A:$A,0),6)),$C143*INDEX(SPPR!$E:$X,MATCH($A143,SPPR!$A:$A,0),6),""),"")</f>
        <v/>
      </c>
      <c r="J143">
        <f>IFERROR(IF(ISNUMBER(INDEX(SPPR!$E:$X,MATCH($A143,SPPR!$A:$A,0),7)),$C143*INDEX(SPPR!$E:$X,MATCH($A143,SPPR!$A:$A,0),7),""),"")</f>
        <v/>
      </c>
      <c r="K143">
        <f>IFERROR(IF(ISNUMBER(INDEX(SPPR!$E:$X,MATCH($A143,SPPR!$A:$A,0),8)),$C143*INDEX(SPPR!$E:$X,MATCH($A143,SPPR!$A:$A,0),8),""),"")</f>
        <v/>
      </c>
      <c r="L143">
        <f>IFERROR(IF(ISNUMBER(INDEX(SPPR!$E:$X,MATCH($A143,SPPR!$A:$A,0),9)),$C143*INDEX(SPPR!$E:$X,MATCH($A143,SPPR!$A:$A,0),9),""),"")</f>
        <v/>
      </c>
      <c r="M143">
        <f>IFERROR(IF(ISNUMBER(INDEX(SPPR!$E:$X,MATCH($A143,SPPR!$A:$A,0),10)),$C143*INDEX(SPPR!$E:$X,MATCH($A143,SPPR!$A:$A,0),10),""),"")</f>
        <v/>
      </c>
      <c r="N143">
        <f>IFERROR(IF(ISNUMBER(INDEX(SPPR!$E:$X,MATCH($A143,SPPR!$A:$A,0),11)),$C143*INDEX(SPPR!$E:$X,MATCH($A143,SPPR!$A:$A,0),11),""),"")</f>
        <v/>
      </c>
      <c r="O143">
        <f>IFERROR(IF(ISNUMBER(INDEX(SPPR!$E:$X,MATCH($A143,SPPR!$A:$A,0),12)),$C143*INDEX(SPPR!$E:$X,MATCH($A143,SPPR!$A:$A,0),12),""),"")</f>
        <v/>
      </c>
      <c r="P143">
        <f>IFERROR(IF(ISNUMBER(INDEX(SPPR!$E:$X,MATCH($A143,SPPR!$A:$A,0),13)),$C143*INDEX(SPPR!$E:$X,MATCH($A143,SPPR!$A:$A,0),13),""),"")</f>
        <v/>
      </c>
      <c r="Q143">
        <f>IFERROR(IF(ISNUMBER(INDEX(SPPR!$E:$X,MATCH($A143,SPPR!$A:$A,0),14)),$C143*INDEX(SPPR!$E:$X,MATCH($A143,SPPR!$A:$A,0),14),""),"")</f>
        <v/>
      </c>
      <c r="R143">
        <f>IFERROR(IF(ISNUMBER(INDEX(SPPR!$E:$X,MATCH($A143,SPPR!$A:$A,0),15)),$C143*INDEX(SPPR!$E:$X,MATCH($A143,SPPR!$A:$A,0),15),""),"")</f>
        <v/>
      </c>
      <c r="S143">
        <f>IFERROR(IF(ISNUMBER(INDEX(SPPR!$E:$X,MATCH($A143,SPPR!$A:$A,0),16)),$C143*INDEX(SPPR!$E:$X,MATCH($A143,SPPR!$A:$A,0),16),""),"")</f>
        <v/>
      </c>
      <c r="T143">
        <f>IFERROR(IF(ISNUMBER(INDEX(SPPR!$E:$X,MATCH($A143,SPPR!$A:$A,0),17)),$C143*INDEX(SPPR!$E:$X,MATCH($A143,SPPR!$A:$A,0),17),""),"")</f>
        <v/>
      </c>
      <c r="U143">
        <f>IFERROR(IF(ISNUMBER(INDEX(SPPR!$E:$X,MATCH($A143,SPPR!$A:$A,0),18)),$C143*INDEX(SPPR!$E:$X,MATCH($A143,SPPR!$A:$A,0),18),""),"")</f>
        <v/>
      </c>
      <c r="V143">
        <f>IFERROR(IF(ISNUMBER(INDEX(SPPR!$E:$X,MATCH($A143,SPPR!$A:$A,0),19)),$C143*INDEX(SPPR!$E:$X,MATCH($A143,SPPR!$A:$A,0),19),""),"")</f>
        <v/>
      </c>
      <c r="W143">
        <f>IFERROR(IF(ISNUMBER(INDEX(SPPR!$E:$X,MATCH($A143,SPPR!$A:$A,0),20)),$C143*INDEX(SPPR!$E:$X,MATCH($A143,SPPR!$A:$A,0),20),""),"")</f>
        <v/>
      </c>
    </row>
    <row r="144">
      <c r="A144" t="inlineStr">
        <is>
          <t>Pinguipes chilensis</t>
        </is>
      </c>
      <c r="B144">
        <f>IFERROR(INDEX(SPPR!$D:$D,MATCH($A144,SPPR!$A:$A,0)),"")</f>
        <v/>
      </c>
      <c r="C144">
        <f>IFERROR(INDEX(Catch!$E:$BV,MATCH($A144,Catch!$A:$A,0),MATCH($B$4,Catch!$E$1:$BV$1,0)),0)</f>
        <v/>
      </c>
      <c r="D144">
        <f>IFERROR(IF(ISNUMBER(INDEX(SPPR!$E:$X,MATCH($A144,SPPR!$A:$A,0),1)),$C144*INDEX(SPPR!$E:$X,MATCH($A144,SPPR!$A:$A,0),1),""),"")</f>
        <v/>
      </c>
      <c r="E144">
        <f>IFERROR(IF(ISNUMBER(INDEX(SPPR!$E:$X,MATCH($A144,SPPR!$A:$A,0),2)),$C144*INDEX(SPPR!$E:$X,MATCH($A144,SPPR!$A:$A,0),2),""),"")</f>
        <v/>
      </c>
      <c r="F144">
        <f>IFERROR(IF(ISNUMBER(INDEX(SPPR!$E:$X,MATCH($A144,SPPR!$A:$A,0),3)),$C144*INDEX(SPPR!$E:$X,MATCH($A144,SPPR!$A:$A,0),3),""),"")</f>
        <v/>
      </c>
      <c r="G144">
        <f>IFERROR(IF(ISNUMBER(INDEX(SPPR!$E:$X,MATCH($A144,SPPR!$A:$A,0),4)),$C144*INDEX(SPPR!$E:$X,MATCH($A144,SPPR!$A:$A,0),4),""),"")</f>
        <v/>
      </c>
      <c r="H144">
        <f>IFERROR(IF(ISNUMBER(INDEX(SPPR!$E:$X,MATCH($A144,SPPR!$A:$A,0),5)),$C144*INDEX(SPPR!$E:$X,MATCH($A144,SPPR!$A:$A,0),5),""),"")</f>
        <v/>
      </c>
      <c r="I144">
        <f>IFERROR(IF(ISNUMBER(INDEX(SPPR!$E:$X,MATCH($A144,SPPR!$A:$A,0),6)),$C144*INDEX(SPPR!$E:$X,MATCH($A144,SPPR!$A:$A,0),6),""),"")</f>
        <v/>
      </c>
      <c r="J144">
        <f>IFERROR(IF(ISNUMBER(INDEX(SPPR!$E:$X,MATCH($A144,SPPR!$A:$A,0),7)),$C144*INDEX(SPPR!$E:$X,MATCH($A144,SPPR!$A:$A,0),7),""),"")</f>
        <v/>
      </c>
      <c r="K144">
        <f>IFERROR(IF(ISNUMBER(INDEX(SPPR!$E:$X,MATCH($A144,SPPR!$A:$A,0),8)),$C144*INDEX(SPPR!$E:$X,MATCH($A144,SPPR!$A:$A,0),8),""),"")</f>
        <v/>
      </c>
      <c r="L144">
        <f>IFERROR(IF(ISNUMBER(INDEX(SPPR!$E:$X,MATCH($A144,SPPR!$A:$A,0),9)),$C144*INDEX(SPPR!$E:$X,MATCH($A144,SPPR!$A:$A,0),9),""),"")</f>
        <v/>
      </c>
      <c r="M144">
        <f>IFERROR(IF(ISNUMBER(INDEX(SPPR!$E:$X,MATCH($A144,SPPR!$A:$A,0),10)),$C144*INDEX(SPPR!$E:$X,MATCH($A144,SPPR!$A:$A,0),10),""),"")</f>
        <v/>
      </c>
      <c r="N144">
        <f>IFERROR(IF(ISNUMBER(INDEX(SPPR!$E:$X,MATCH($A144,SPPR!$A:$A,0),11)),$C144*INDEX(SPPR!$E:$X,MATCH($A144,SPPR!$A:$A,0),11),""),"")</f>
        <v/>
      </c>
      <c r="O144">
        <f>IFERROR(IF(ISNUMBER(INDEX(SPPR!$E:$X,MATCH($A144,SPPR!$A:$A,0),12)),$C144*INDEX(SPPR!$E:$X,MATCH($A144,SPPR!$A:$A,0),12),""),"")</f>
        <v/>
      </c>
      <c r="P144">
        <f>IFERROR(IF(ISNUMBER(INDEX(SPPR!$E:$X,MATCH($A144,SPPR!$A:$A,0),13)),$C144*INDEX(SPPR!$E:$X,MATCH($A144,SPPR!$A:$A,0),13),""),"")</f>
        <v/>
      </c>
      <c r="Q144">
        <f>IFERROR(IF(ISNUMBER(INDEX(SPPR!$E:$X,MATCH($A144,SPPR!$A:$A,0),14)),$C144*INDEX(SPPR!$E:$X,MATCH($A144,SPPR!$A:$A,0),14),""),"")</f>
        <v/>
      </c>
      <c r="R144">
        <f>IFERROR(IF(ISNUMBER(INDEX(SPPR!$E:$X,MATCH($A144,SPPR!$A:$A,0),15)),$C144*INDEX(SPPR!$E:$X,MATCH($A144,SPPR!$A:$A,0),15),""),"")</f>
        <v/>
      </c>
      <c r="S144">
        <f>IFERROR(IF(ISNUMBER(INDEX(SPPR!$E:$X,MATCH($A144,SPPR!$A:$A,0),16)),$C144*INDEX(SPPR!$E:$X,MATCH($A144,SPPR!$A:$A,0),16),""),"")</f>
        <v/>
      </c>
      <c r="T144">
        <f>IFERROR(IF(ISNUMBER(INDEX(SPPR!$E:$X,MATCH($A144,SPPR!$A:$A,0),17)),$C144*INDEX(SPPR!$E:$X,MATCH($A144,SPPR!$A:$A,0),17),""),"")</f>
        <v/>
      </c>
      <c r="U144">
        <f>IFERROR(IF(ISNUMBER(INDEX(SPPR!$E:$X,MATCH($A144,SPPR!$A:$A,0),18)),$C144*INDEX(SPPR!$E:$X,MATCH($A144,SPPR!$A:$A,0),18),""),"")</f>
        <v/>
      </c>
      <c r="V144">
        <f>IFERROR(IF(ISNUMBER(INDEX(SPPR!$E:$X,MATCH($A144,SPPR!$A:$A,0),19)),$C144*INDEX(SPPR!$E:$X,MATCH($A144,SPPR!$A:$A,0),19),""),"")</f>
        <v/>
      </c>
      <c r="W144">
        <f>IFERROR(IF(ISNUMBER(INDEX(SPPR!$E:$X,MATCH($A144,SPPR!$A:$A,0),20)),$C144*INDEX(SPPR!$E:$X,MATCH($A144,SPPR!$A:$A,0),20),""),"")</f>
        <v/>
      </c>
    </row>
    <row r="145">
      <c r="A145" t="inlineStr">
        <is>
          <t>Rajiformes</t>
        </is>
      </c>
      <c r="B145">
        <f>IFERROR(INDEX(SPPR!$D:$D,MATCH($A145,SPPR!$A:$A,0)),"")</f>
        <v/>
      </c>
      <c r="C145">
        <f>IFERROR(INDEX(Catch!$E:$BV,MATCH($A145,Catch!$A:$A,0),MATCH($B$4,Catch!$E$1:$BV$1,0)),0)</f>
        <v/>
      </c>
      <c r="D145">
        <f>IFERROR(IF(ISNUMBER(INDEX(SPPR!$E:$X,MATCH($A145,SPPR!$A:$A,0),1)),$C145*INDEX(SPPR!$E:$X,MATCH($A145,SPPR!$A:$A,0),1),""),"")</f>
        <v/>
      </c>
      <c r="E145">
        <f>IFERROR(IF(ISNUMBER(INDEX(SPPR!$E:$X,MATCH($A145,SPPR!$A:$A,0),2)),$C145*INDEX(SPPR!$E:$X,MATCH($A145,SPPR!$A:$A,0),2),""),"")</f>
        <v/>
      </c>
      <c r="F145">
        <f>IFERROR(IF(ISNUMBER(INDEX(SPPR!$E:$X,MATCH($A145,SPPR!$A:$A,0),3)),$C145*INDEX(SPPR!$E:$X,MATCH($A145,SPPR!$A:$A,0),3),""),"")</f>
        <v/>
      </c>
      <c r="G145">
        <f>IFERROR(IF(ISNUMBER(INDEX(SPPR!$E:$X,MATCH($A145,SPPR!$A:$A,0),4)),$C145*INDEX(SPPR!$E:$X,MATCH($A145,SPPR!$A:$A,0),4),""),"")</f>
        <v/>
      </c>
      <c r="H145">
        <f>IFERROR(IF(ISNUMBER(INDEX(SPPR!$E:$X,MATCH($A145,SPPR!$A:$A,0),5)),$C145*INDEX(SPPR!$E:$X,MATCH($A145,SPPR!$A:$A,0),5),""),"")</f>
        <v/>
      </c>
      <c r="I145">
        <f>IFERROR(IF(ISNUMBER(INDEX(SPPR!$E:$X,MATCH($A145,SPPR!$A:$A,0),6)),$C145*INDEX(SPPR!$E:$X,MATCH($A145,SPPR!$A:$A,0),6),""),"")</f>
        <v/>
      </c>
      <c r="J145">
        <f>IFERROR(IF(ISNUMBER(INDEX(SPPR!$E:$X,MATCH($A145,SPPR!$A:$A,0),7)),$C145*INDEX(SPPR!$E:$X,MATCH($A145,SPPR!$A:$A,0),7),""),"")</f>
        <v/>
      </c>
      <c r="K145">
        <f>IFERROR(IF(ISNUMBER(INDEX(SPPR!$E:$X,MATCH($A145,SPPR!$A:$A,0),8)),$C145*INDEX(SPPR!$E:$X,MATCH($A145,SPPR!$A:$A,0),8),""),"")</f>
        <v/>
      </c>
      <c r="L145">
        <f>IFERROR(IF(ISNUMBER(INDEX(SPPR!$E:$X,MATCH($A145,SPPR!$A:$A,0),9)),$C145*INDEX(SPPR!$E:$X,MATCH($A145,SPPR!$A:$A,0),9),""),"")</f>
        <v/>
      </c>
      <c r="M145">
        <f>IFERROR(IF(ISNUMBER(INDEX(SPPR!$E:$X,MATCH($A145,SPPR!$A:$A,0),10)),$C145*INDEX(SPPR!$E:$X,MATCH($A145,SPPR!$A:$A,0),10),""),"")</f>
        <v/>
      </c>
      <c r="N145">
        <f>IFERROR(IF(ISNUMBER(INDEX(SPPR!$E:$X,MATCH($A145,SPPR!$A:$A,0),11)),$C145*INDEX(SPPR!$E:$X,MATCH($A145,SPPR!$A:$A,0),11),""),"")</f>
        <v/>
      </c>
      <c r="O145">
        <f>IFERROR(IF(ISNUMBER(INDEX(SPPR!$E:$X,MATCH($A145,SPPR!$A:$A,0),12)),$C145*INDEX(SPPR!$E:$X,MATCH($A145,SPPR!$A:$A,0),12),""),"")</f>
        <v/>
      </c>
      <c r="P145">
        <f>IFERROR(IF(ISNUMBER(INDEX(SPPR!$E:$X,MATCH($A145,SPPR!$A:$A,0),13)),$C145*INDEX(SPPR!$E:$X,MATCH($A145,SPPR!$A:$A,0),13),""),"")</f>
        <v/>
      </c>
      <c r="Q145">
        <f>IFERROR(IF(ISNUMBER(INDEX(SPPR!$E:$X,MATCH($A145,SPPR!$A:$A,0),14)),$C145*INDEX(SPPR!$E:$X,MATCH($A145,SPPR!$A:$A,0),14),""),"")</f>
        <v/>
      </c>
      <c r="R145">
        <f>IFERROR(IF(ISNUMBER(INDEX(SPPR!$E:$X,MATCH($A145,SPPR!$A:$A,0),15)),$C145*INDEX(SPPR!$E:$X,MATCH($A145,SPPR!$A:$A,0),15),""),"")</f>
        <v/>
      </c>
      <c r="S145">
        <f>IFERROR(IF(ISNUMBER(INDEX(SPPR!$E:$X,MATCH($A145,SPPR!$A:$A,0),16)),$C145*INDEX(SPPR!$E:$X,MATCH($A145,SPPR!$A:$A,0),16),""),"")</f>
        <v/>
      </c>
      <c r="T145">
        <f>IFERROR(IF(ISNUMBER(INDEX(SPPR!$E:$X,MATCH($A145,SPPR!$A:$A,0),17)),$C145*INDEX(SPPR!$E:$X,MATCH($A145,SPPR!$A:$A,0),17),""),"")</f>
        <v/>
      </c>
      <c r="U145">
        <f>IFERROR(IF(ISNUMBER(INDEX(SPPR!$E:$X,MATCH($A145,SPPR!$A:$A,0),18)),$C145*INDEX(SPPR!$E:$X,MATCH($A145,SPPR!$A:$A,0),18),""),"")</f>
        <v/>
      </c>
      <c r="V145">
        <f>IFERROR(IF(ISNUMBER(INDEX(SPPR!$E:$X,MATCH($A145,SPPR!$A:$A,0),19)),$C145*INDEX(SPPR!$E:$X,MATCH($A145,SPPR!$A:$A,0),19),""),"")</f>
        <v/>
      </c>
      <c r="W145">
        <f>IFERROR(IF(ISNUMBER(INDEX(SPPR!$E:$X,MATCH($A145,SPPR!$A:$A,0),20)),$C145*INDEX(SPPR!$E:$X,MATCH($A145,SPPR!$A:$A,0),20),""),"")</f>
        <v/>
      </c>
    </row>
    <row r="146">
      <c r="A146" t="inlineStr">
        <is>
          <t>Xanthochorus cassidiformis</t>
        </is>
      </c>
      <c r="B146">
        <f>IFERROR(INDEX(SPPR!$D:$D,MATCH($A146,SPPR!$A:$A,0)),"")</f>
        <v/>
      </c>
      <c r="C146">
        <f>IFERROR(INDEX(Catch!$E:$BV,MATCH($A146,Catch!$A:$A,0),MATCH($B$4,Catch!$E$1:$BV$1,0)),0)</f>
        <v/>
      </c>
      <c r="D146">
        <f>IFERROR(IF(ISNUMBER(INDEX(SPPR!$E:$X,MATCH($A146,SPPR!$A:$A,0),1)),$C146*INDEX(SPPR!$E:$X,MATCH($A146,SPPR!$A:$A,0),1),""),"")</f>
        <v/>
      </c>
      <c r="E146">
        <f>IFERROR(IF(ISNUMBER(INDEX(SPPR!$E:$X,MATCH($A146,SPPR!$A:$A,0),2)),$C146*INDEX(SPPR!$E:$X,MATCH($A146,SPPR!$A:$A,0),2),""),"")</f>
        <v/>
      </c>
      <c r="F146">
        <f>IFERROR(IF(ISNUMBER(INDEX(SPPR!$E:$X,MATCH($A146,SPPR!$A:$A,0),3)),$C146*INDEX(SPPR!$E:$X,MATCH($A146,SPPR!$A:$A,0),3),""),"")</f>
        <v/>
      </c>
      <c r="G146">
        <f>IFERROR(IF(ISNUMBER(INDEX(SPPR!$E:$X,MATCH($A146,SPPR!$A:$A,0),4)),$C146*INDEX(SPPR!$E:$X,MATCH($A146,SPPR!$A:$A,0),4),""),"")</f>
        <v/>
      </c>
      <c r="H146">
        <f>IFERROR(IF(ISNUMBER(INDEX(SPPR!$E:$X,MATCH($A146,SPPR!$A:$A,0),5)),$C146*INDEX(SPPR!$E:$X,MATCH($A146,SPPR!$A:$A,0),5),""),"")</f>
        <v/>
      </c>
      <c r="I146">
        <f>IFERROR(IF(ISNUMBER(INDEX(SPPR!$E:$X,MATCH($A146,SPPR!$A:$A,0),6)),$C146*INDEX(SPPR!$E:$X,MATCH($A146,SPPR!$A:$A,0),6),""),"")</f>
        <v/>
      </c>
      <c r="J146">
        <f>IFERROR(IF(ISNUMBER(INDEX(SPPR!$E:$X,MATCH($A146,SPPR!$A:$A,0),7)),$C146*INDEX(SPPR!$E:$X,MATCH($A146,SPPR!$A:$A,0),7),""),"")</f>
        <v/>
      </c>
      <c r="K146">
        <f>IFERROR(IF(ISNUMBER(INDEX(SPPR!$E:$X,MATCH($A146,SPPR!$A:$A,0),8)),$C146*INDEX(SPPR!$E:$X,MATCH($A146,SPPR!$A:$A,0),8),""),"")</f>
        <v/>
      </c>
      <c r="L146">
        <f>IFERROR(IF(ISNUMBER(INDEX(SPPR!$E:$X,MATCH($A146,SPPR!$A:$A,0),9)),$C146*INDEX(SPPR!$E:$X,MATCH($A146,SPPR!$A:$A,0),9),""),"")</f>
        <v/>
      </c>
      <c r="M146">
        <f>IFERROR(IF(ISNUMBER(INDEX(SPPR!$E:$X,MATCH($A146,SPPR!$A:$A,0),10)),$C146*INDEX(SPPR!$E:$X,MATCH($A146,SPPR!$A:$A,0),10),""),"")</f>
        <v/>
      </c>
      <c r="N146">
        <f>IFERROR(IF(ISNUMBER(INDEX(SPPR!$E:$X,MATCH($A146,SPPR!$A:$A,0),11)),$C146*INDEX(SPPR!$E:$X,MATCH($A146,SPPR!$A:$A,0),11),""),"")</f>
        <v/>
      </c>
      <c r="O146">
        <f>IFERROR(IF(ISNUMBER(INDEX(SPPR!$E:$X,MATCH($A146,SPPR!$A:$A,0),12)),$C146*INDEX(SPPR!$E:$X,MATCH($A146,SPPR!$A:$A,0),12),""),"")</f>
        <v/>
      </c>
      <c r="P146">
        <f>IFERROR(IF(ISNUMBER(INDEX(SPPR!$E:$X,MATCH($A146,SPPR!$A:$A,0),13)),$C146*INDEX(SPPR!$E:$X,MATCH($A146,SPPR!$A:$A,0),13),""),"")</f>
        <v/>
      </c>
      <c r="Q146">
        <f>IFERROR(IF(ISNUMBER(INDEX(SPPR!$E:$X,MATCH($A146,SPPR!$A:$A,0),14)),$C146*INDEX(SPPR!$E:$X,MATCH($A146,SPPR!$A:$A,0),14),""),"")</f>
        <v/>
      </c>
      <c r="R146">
        <f>IFERROR(IF(ISNUMBER(INDEX(SPPR!$E:$X,MATCH($A146,SPPR!$A:$A,0),15)),$C146*INDEX(SPPR!$E:$X,MATCH($A146,SPPR!$A:$A,0),15),""),"")</f>
        <v/>
      </c>
      <c r="S146">
        <f>IFERROR(IF(ISNUMBER(INDEX(SPPR!$E:$X,MATCH($A146,SPPR!$A:$A,0),16)),$C146*INDEX(SPPR!$E:$X,MATCH($A146,SPPR!$A:$A,0),16),""),"")</f>
        <v/>
      </c>
      <c r="T146">
        <f>IFERROR(IF(ISNUMBER(INDEX(SPPR!$E:$X,MATCH($A146,SPPR!$A:$A,0),17)),$C146*INDEX(SPPR!$E:$X,MATCH($A146,SPPR!$A:$A,0),17),""),"")</f>
        <v/>
      </c>
      <c r="U146">
        <f>IFERROR(IF(ISNUMBER(INDEX(SPPR!$E:$X,MATCH($A146,SPPR!$A:$A,0),18)),$C146*INDEX(SPPR!$E:$X,MATCH($A146,SPPR!$A:$A,0),18),""),"")</f>
        <v/>
      </c>
      <c r="V146">
        <f>IFERROR(IF(ISNUMBER(INDEX(SPPR!$E:$X,MATCH($A146,SPPR!$A:$A,0),19)),$C146*INDEX(SPPR!$E:$X,MATCH($A146,SPPR!$A:$A,0),19),""),"")</f>
        <v/>
      </c>
      <c r="W146">
        <f>IFERROR(IF(ISNUMBER(INDEX(SPPR!$E:$X,MATCH($A146,SPPR!$A:$A,0),20)),$C146*INDEX(SPPR!$E:$X,MATCH($A146,SPPR!$A:$A,0),20),""),"")</f>
        <v/>
      </c>
    </row>
    <row r="147">
      <c r="A147" t="inlineStr">
        <is>
          <t>Panulirus gracilis</t>
        </is>
      </c>
      <c r="B147">
        <f>IFERROR(INDEX(SPPR!$D:$D,MATCH($A147,SPPR!$A:$A,0)),"")</f>
        <v/>
      </c>
      <c r="C147">
        <f>IFERROR(INDEX(Catch!$E:$BV,MATCH($A147,Catch!$A:$A,0),MATCH($B$4,Catch!$E$1:$BV$1,0)),0)</f>
        <v/>
      </c>
      <c r="D147">
        <f>IFERROR(IF(ISNUMBER(INDEX(SPPR!$E:$X,MATCH($A147,SPPR!$A:$A,0),1)),$C147*INDEX(SPPR!$E:$X,MATCH($A147,SPPR!$A:$A,0),1),""),"")</f>
        <v/>
      </c>
      <c r="E147">
        <f>IFERROR(IF(ISNUMBER(INDEX(SPPR!$E:$X,MATCH($A147,SPPR!$A:$A,0),2)),$C147*INDEX(SPPR!$E:$X,MATCH($A147,SPPR!$A:$A,0),2),""),"")</f>
        <v/>
      </c>
      <c r="F147">
        <f>IFERROR(IF(ISNUMBER(INDEX(SPPR!$E:$X,MATCH($A147,SPPR!$A:$A,0),3)),$C147*INDEX(SPPR!$E:$X,MATCH($A147,SPPR!$A:$A,0),3),""),"")</f>
        <v/>
      </c>
      <c r="G147">
        <f>IFERROR(IF(ISNUMBER(INDEX(SPPR!$E:$X,MATCH($A147,SPPR!$A:$A,0),4)),$C147*INDEX(SPPR!$E:$X,MATCH($A147,SPPR!$A:$A,0),4),""),"")</f>
        <v/>
      </c>
      <c r="H147">
        <f>IFERROR(IF(ISNUMBER(INDEX(SPPR!$E:$X,MATCH($A147,SPPR!$A:$A,0),5)),$C147*INDEX(SPPR!$E:$X,MATCH($A147,SPPR!$A:$A,0),5),""),"")</f>
        <v/>
      </c>
      <c r="I147">
        <f>IFERROR(IF(ISNUMBER(INDEX(SPPR!$E:$X,MATCH($A147,SPPR!$A:$A,0),6)),$C147*INDEX(SPPR!$E:$X,MATCH($A147,SPPR!$A:$A,0),6),""),"")</f>
        <v/>
      </c>
      <c r="J147">
        <f>IFERROR(IF(ISNUMBER(INDEX(SPPR!$E:$X,MATCH($A147,SPPR!$A:$A,0),7)),$C147*INDEX(SPPR!$E:$X,MATCH($A147,SPPR!$A:$A,0),7),""),"")</f>
        <v/>
      </c>
      <c r="K147">
        <f>IFERROR(IF(ISNUMBER(INDEX(SPPR!$E:$X,MATCH($A147,SPPR!$A:$A,0),8)),$C147*INDEX(SPPR!$E:$X,MATCH($A147,SPPR!$A:$A,0),8),""),"")</f>
        <v/>
      </c>
      <c r="L147">
        <f>IFERROR(IF(ISNUMBER(INDEX(SPPR!$E:$X,MATCH($A147,SPPR!$A:$A,0),9)),$C147*INDEX(SPPR!$E:$X,MATCH($A147,SPPR!$A:$A,0),9),""),"")</f>
        <v/>
      </c>
      <c r="M147">
        <f>IFERROR(IF(ISNUMBER(INDEX(SPPR!$E:$X,MATCH($A147,SPPR!$A:$A,0),10)),$C147*INDEX(SPPR!$E:$X,MATCH($A147,SPPR!$A:$A,0),10),""),"")</f>
        <v/>
      </c>
      <c r="N147">
        <f>IFERROR(IF(ISNUMBER(INDEX(SPPR!$E:$X,MATCH($A147,SPPR!$A:$A,0),11)),$C147*INDEX(SPPR!$E:$X,MATCH($A147,SPPR!$A:$A,0),11),""),"")</f>
        <v/>
      </c>
      <c r="O147">
        <f>IFERROR(IF(ISNUMBER(INDEX(SPPR!$E:$X,MATCH($A147,SPPR!$A:$A,0),12)),$C147*INDEX(SPPR!$E:$X,MATCH($A147,SPPR!$A:$A,0),12),""),"")</f>
        <v/>
      </c>
      <c r="P147">
        <f>IFERROR(IF(ISNUMBER(INDEX(SPPR!$E:$X,MATCH($A147,SPPR!$A:$A,0),13)),$C147*INDEX(SPPR!$E:$X,MATCH($A147,SPPR!$A:$A,0),13),""),"")</f>
        <v/>
      </c>
      <c r="Q147">
        <f>IFERROR(IF(ISNUMBER(INDEX(SPPR!$E:$X,MATCH($A147,SPPR!$A:$A,0),14)),$C147*INDEX(SPPR!$E:$X,MATCH($A147,SPPR!$A:$A,0),14),""),"")</f>
        <v/>
      </c>
      <c r="R147">
        <f>IFERROR(IF(ISNUMBER(INDEX(SPPR!$E:$X,MATCH($A147,SPPR!$A:$A,0),15)),$C147*INDEX(SPPR!$E:$X,MATCH($A147,SPPR!$A:$A,0),15),""),"")</f>
        <v/>
      </c>
      <c r="S147">
        <f>IFERROR(IF(ISNUMBER(INDEX(SPPR!$E:$X,MATCH($A147,SPPR!$A:$A,0),16)),$C147*INDEX(SPPR!$E:$X,MATCH($A147,SPPR!$A:$A,0),16),""),"")</f>
        <v/>
      </c>
      <c r="T147">
        <f>IFERROR(IF(ISNUMBER(INDEX(SPPR!$E:$X,MATCH($A147,SPPR!$A:$A,0),17)),$C147*INDEX(SPPR!$E:$X,MATCH($A147,SPPR!$A:$A,0),17),""),"")</f>
        <v/>
      </c>
      <c r="U147">
        <f>IFERROR(IF(ISNUMBER(INDEX(SPPR!$E:$X,MATCH($A147,SPPR!$A:$A,0),18)),$C147*INDEX(SPPR!$E:$X,MATCH($A147,SPPR!$A:$A,0),18),""),"")</f>
        <v/>
      </c>
      <c r="V147">
        <f>IFERROR(IF(ISNUMBER(INDEX(SPPR!$E:$X,MATCH($A147,SPPR!$A:$A,0),19)),$C147*INDEX(SPPR!$E:$X,MATCH($A147,SPPR!$A:$A,0),19),""),"")</f>
        <v/>
      </c>
      <c r="W147">
        <f>IFERROR(IF(ISNUMBER(INDEX(SPPR!$E:$X,MATCH($A147,SPPR!$A:$A,0),20)),$C147*INDEX(SPPR!$E:$X,MATCH($A147,SPPR!$A:$A,0),20),""),"")</f>
        <v/>
      </c>
    </row>
    <row r="148">
      <c r="A148" t="inlineStr">
        <is>
          <t>Mustelus</t>
        </is>
      </c>
      <c r="B148">
        <f>IFERROR(INDEX(SPPR!$D:$D,MATCH($A148,SPPR!$A:$A,0)),"")</f>
        <v/>
      </c>
      <c r="C148">
        <f>IFERROR(INDEX(Catch!$E:$BV,MATCH($A148,Catch!$A:$A,0),MATCH($B$4,Catch!$E$1:$BV$1,0)),0)</f>
        <v/>
      </c>
      <c r="D148">
        <f>IFERROR(IF(ISNUMBER(INDEX(SPPR!$E:$X,MATCH($A148,SPPR!$A:$A,0),1)),$C148*INDEX(SPPR!$E:$X,MATCH($A148,SPPR!$A:$A,0),1),""),"")</f>
        <v/>
      </c>
      <c r="E148">
        <f>IFERROR(IF(ISNUMBER(INDEX(SPPR!$E:$X,MATCH($A148,SPPR!$A:$A,0),2)),$C148*INDEX(SPPR!$E:$X,MATCH($A148,SPPR!$A:$A,0),2),""),"")</f>
        <v/>
      </c>
      <c r="F148">
        <f>IFERROR(IF(ISNUMBER(INDEX(SPPR!$E:$X,MATCH($A148,SPPR!$A:$A,0),3)),$C148*INDEX(SPPR!$E:$X,MATCH($A148,SPPR!$A:$A,0),3),""),"")</f>
        <v/>
      </c>
      <c r="G148">
        <f>IFERROR(IF(ISNUMBER(INDEX(SPPR!$E:$X,MATCH($A148,SPPR!$A:$A,0),4)),$C148*INDEX(SPPR!$E:$X,MATCH($A148,SPPR!$A:$A,0),4),""),"")</f>
        <v/>
      </c>
      <c r="H148">
        <f>IFERROR(IF(ISNUMBER(INDEX(SPPR!$E:$X,MATCH($A148,SPPR!$A:$A,0),5)),$C148*INDEX(SPPR!$E:$X,MATCH($A148,SPPR!$A:$A,0),5),""),"")</f>
        <v/>
      </c>
      <c r="I148">
        <f>IFERROR(IF(ISNUMBER(INDEX(SPPR!$E:$X,MATCH($A148,SPPR!$A:$A,0),6)),$C148*INDEX(SPPR!$E:$X,MATCH($A148,SPPR!$A:$A,0),6),""),"")</f>
        <v/>
      </c>
      <c r="J148">
        <f>IFERROR(IF(ISNUMBER(INDEX(SPPR!$E:$X,MATCH($A148,SPPR!$A:$A,0),7)),$C148*INDEX(SPPR!$E:$X,MATCH($A148,SPPR!$A:$A,0),7),""),"")</f>
        <v/>
      </c>
      <c r="K148">
        <f>IFERROR(IF(ISNUMBER(INDEX(SPPR!$E:$X,MATCH($A148,SPPR!$A:$A,0),8)),$C148*INDEX(SPPR!$E:$X,MATCH($A148,SPPR!$A:$A,0),8),""),"")</f>
        <v/>
      </c>
      <c r="L148">
        <f>IFERROR(IF(ISNUMBER(INDEX(SPPR!$E:$X,MATCH($A148,SPPR!$A:$A,0),9)),$C148*INDEX(SPPR!$E:$X,MATCH($A148,SPPR!$A:$A,0),9),""),"")</f>
        <v/>
      </c>
      <c r="M148">
        <f>IFERROR(IF(ISNUMBER(INDEX(SPPR!$E:$X,MATCH($A148,SPPR!$A:$A,0),10)),$C148*INDEX(SPPR!$E:$X,MATCH($A148,SPPR!$A:$A,0),10),""),"")</f>
        <v/>
      </c>
      <c r="N148">
        <f>IFERROR(IF(ISNUMBER(INDEX(SPPR!$E:$X,MATCH($A148,SPPR!$A:$A,0),11)),$C148*INDEX(SPPR!$E:$X,MATCH($A148,SPPR!$A:$A,0),11),""),"")</f>
        <v/>
      </c>
      <c r="O148">
        <f>IFERROR(IF(ISNUMBER(INDEX(SPPR!$E:$X,MATCH($A148,SPPR!$A:$A,0),12)),$C148*INDEX(SPPR!$E:$X,MATCH($A148,SPPR!$A:$A,0),12),""),"")</f>
        <v/>
      </c>
      <c r="P148">
        <f>IFERROR(IF(ISNUMBER(INDEX(SPPR!$E:$X,MATCH($A148,SPPR!$A:$A,0),13)),$C148*INDEX(SPPR!$E:$X,MATCH($A148,SPPR!$A:$A,0),13),""),"")</f>
        <v/>
      </c>
      <c r="Q148">
        <f>IFERROR(IF(ISNUMBER(INDEX(SPPR!$E:$X,MATCH($A148,SPPR!$A:$A,0),14)),$C148*INDEX(SPPR!$E:$X,MATCH($A148,SPPR!$A:$A,0),14),""),"")</f>
        <v/>
      </c>
      <c r="R148">
        <f>IFERROR(IF(ISNUMBER(INDEX(SPPR!$E:$X,MATCH($A148,SPPR!$A:$A,0),15)),$C148*INDEX(SPPR!$E:$X,MATCH($A148,SPPR!$A:$A,0),15),""),"")</f>
        <v/>
      </c>
      <c r="S148">
        <f>IFERROR(IF(ISNUMBER(INDEX(SPPR!$E:$X,MATCH($A148,SPPR!$A:$A,0),16)),$C148*INDEX(SPPR!$E:$X,MATCH($A148,SPPR!$A:$A,0),16),""),"")</f>
        <v/>
      </c>
      <c r="T148">
        <f>IFERROR(IF(ISNUMBER(INDEX(SPPR!$E:$X,MATCH($A148,SPPR!$A:$A,0),17)),$C148*INDEX(SPPR!$E:$X,MATCH($A148,SPPR!$A:$A,0),17),""),"")</f>
        <v/>
      </c>
      <c r="U148">
        <f>IFERROR(IF(ISNUMBER(INDEX(SPPR!$E:$X,MATCH($A148,SPPR!$A:$A,0),18)),$C148*INDEX(SPPR!$E:$X,MATCH($A148,SPPR!$A:$A,0),18),""),"")</f>
        <v/>
      </c>
      <c r="V148">
        <f>IFERROR(IF(ISNUMBER(INDEX(SPPR!$E:$X,MATCH($A148,SPPR!$A:$A,0),19)),$C148*INDEX(SPPR!$E:$X,MATCH($A148,SPPR!$A:$A,0),19),""),"")</f>
        <v/>
      </c>
      <c r="W148">
        <f>IFERROR(IF(ISNUMBER(INDEX(SPPR!$E:$X,MATCH($A148,SPPR!$A:$A,0),20)),$C148*INDEX(SPPR!$E:$X,MATCH($A148,SPPR!$A:$A,0),20),""),"")</f>
        <v/>
      </c>
    </row>
    <row r="149">
      <c r="A149" t="inlineStr">
        <is>
          <t>Emmelichthys nitidus</t>
        </is>
      </c>
      <c r="B149">
        <f>IFERROR(INDEX(SPPR!$D:$D,MATCH($A149,SPPR!$A:$A,0)),"")</f>
        <v/>
      </c>
      <c r="C149">
        <f>IFERROR(INDEX(Catch!$E:$BV,MATCH($A149,Catch!$A:$A,0),MATCH($B$4,Catch!$E$1:$BV$1,0)),0)</f>
        <v/>
      </c>
      <c r="D149">
        <f>IFERROR(IF(ISNUMBER(INDEX(SPPR!$E:$X,MATCH($A149,SPPR!$A:$A,0),1)),$C149*INDEX(SPPR!$E:$X,MATCH($A149,SPPR!$A:$A,0),1),""),"")</f>
        <v/>
      </c>
      <c r="E149">
        <f>IFERROR(IF(ISNUMBER(INDEX(SPPR!$E:$X,MATCH($A149,SPPR!$A:$A,0),2)),$C149*INDEX(SPPR!$E:$X,MATCH($A149,SPPR!$A:$A,0),2),""),"")</f>
        <v/>
      </c>
      <c r="F149">
        <f>IFERROR(IF(ISNUMBER(INDEX(SPPR!$E:$X,MATCH($A149,SPPR!$A:$A,0),3)),$C149*INDEX(SPPR!$E:$X,MATCH($A149,SPPR!$A:$A,0),3),""),"")</f>
        <v/>
      </c>
      <c r="G149">
        <f>IFERROR(IF(ISNUMBER(INDEX(SPPR!$E:$X,MATCH($A149,SPPR!$A:$A,0),4)),$C149*INDEX(SPPR!$E:$X,MATCH($A149,SPPR!$A:$A,0),4),""),"")</f>
        <v/>
      </c>
      <c r="H149">
        <f>IFERROR(IF(ISNUMBER(INDEX(SPPR!$E:$X,MATCH($A149,SPPR!$A:$A,0),5)),$C149*INDEX(SPPR!$E:$X,MATCH($A149,SPPR!$A:$A,0),5),""),"")</f>
        <v/>
      </c>
      <c r="I149">
        <f>IFERROR(IF(ISNUMBER(INDEX(SPPR!$E:$X,MATCH($A149,SPPR!$A:$A,0),6)),$C149*INDEX(SPPR!$E:$X,MATCH($A149,SPPR!$A:$A,0),6),""),"")</f>
        <v/>
      </c>
      <c r="J149">
        <f>IFERROR(IF(ISNUMBER(INDEX(SPPR!$E:$X,MATCH($A149,SPPR!$A:$A,0),7)),$C149*INDEX(SPPR!$E:$X,MATCH($A149,SPPR!$A:$A,0),7),""),"")</f>
        <v/>
      </c>
      <c r="K149">
        <f>IFERROR(IF(ISNUMBER(INDEX(SPPR!$E:$X,MATCH($A149,SPPR!$A:$A,0),8)),$C149*INDEX(SPPR!$E:$X,MATCH($A149,SPPR!$A:$A,0),8),""),"")</f>
        <v/>
      </c>
      <c r="L149">
        <f>IFERROR(IF(ISNUMBER(INDEX(SPPR!$E:$X,MATCH($A149,SPPR!$A:$A,0),9)),$C149*INDEX(SPPR!$E:$X,MATCH($A149,SPPR!$A:$A,0),9),""),"")</f>
        <v/>
      </c>
      <c r="M149">
        <f>IFERROR(IF(ISNUMBER(INDEX(SPPR!$E:$X,MATCH($A149,SPPR!$A:$A,0),10)),$C149*INDEX(SPPR!$E:$X,MATCH($A149,SPPR!$A:$A,0),10),""),"")</f>
        <v/>
      </c>
      <c r="N149">
        <f>IFERROR(IF(ISNUMBER(INDEX(SPPR!$E:$X,MATCH($A149,SPPR!$A:$A,0),11)),$C149*INDEX(SPPR!$E:$X,MATCH($A149,SPPR!$A:$A,0),11),""),"")</f>
        <v/>
      </c>
      <c r="O149">
        <f>IFERROR(IF(ISNUMBER(INDEX(SPPR!$E:$X,MATCH($A149,SPPR!$A:$A,0),12)),$C149*INDEX(SPPR!$E:$X,MATCH($A149,SPPR!$A:$A,0),12),""),"")</f>
        <v/>
      </c>
      <c r="P149">
        <f>IFERROR(IF(ISNUMBER(INDEX(SPPR!$E:$X,MATCH($A149,SPPR!$A:$A,0),13)),$C149*INDEX(SPPR!$E:$X,MATCH($A149,SPPR!$A:$A,0),13),""),"")</f>
        <v/>
      </c>
      <c r="Q149">
        <f>IFERROR(IF(ISNUMBER(INDEX(SPPR!$E:$X,MATCH($A149,SPPR!$A:$A,0),14)),$C149*INDEX(SPPR!$E:$X,MATCH($A149,SPPR!$A:$A,0),14),""),"")</f>
        <v/>
      </c>
      <c r="R149">
        <f>IFERROR(IF(ISNUMBER(INDEX(SPPR!$E:$X,MATCH($A149,SPPR!$A:$A,0),15)),$C149*INDEX(SPPR!$E:$X,MATCH($A149,SPPR!$A:$A,0),15),""),"")</f>
        <v/>
      </c>
      <c r="S149">
        <f>IFERROR(IF(ISNUMBER(INDEX(SPPR!$E:$X,MATCH($A149,SPPR!$A:$A,0),16)),$C149*INDEX(SPPR!$E:$X,MATCH($A149,SPPR!$A:$A,0),16),""),"")</f>
        <v/>
      </c>
      <c r="T149">
        <f>IFERROR(IF(ISNUMBER(INDEX(SPPR!$E:$X,MATCH($A149,SPPR!$A:$A,0),17)),$C149*INDEX(SPPR!$E:$X,MATCH($A149,SPPR!$A:$A,0),17),""),"")</f>
        <v/>
      </c>
      <c r="U149">
        <f>IFERROR(IF(ISNUMBER(INDEX(SPPR!$E:$X,MATCH($A149,SPPR!$A:$A,0),18)),$C149*INDEX(SPPR!$E:$X,MATCH($A149,SPPR!$A:$A,0),18),""),"")</f>
        <v/>
      </c>
      <c r="V149">
        <f>IFERROR(IF(ISNUMBER(INDEX(SPPR!$E:$X,MATCH($A149,SPPR!$A:$A,0),19)),$C149*INDEX(SPPR!$E:$X,MATCH($A149,SPPR!$A:$A,0),19),""),"")</f>
        <v/>
      </c>
      <c r="W149">
        <f>IFERROR(IF(ISNUMBER(INDEX(SPPR!$E:$X,MATCH($A149,SPPR!$A:$A,0),20)),$C149*INDEX(SPPR!$E:$X,MATCH($A149,SPPR!$A:$A,0),20),""),"")</f>
        <v/>
      </c>
    </row>
    <row r="150">
      <c r="A150" t="inlineStr">
        <is>
          <t>Tetrapturus</t>
        </is>
      </c>
      <c r="B150">
        <f>IFERROR(INDEX(SPPR!$D:$D,MATCH($A150,SPPR!$A:$A,0)),"")</f>
        <v/>
      </c>
      <c r="C150">
        <f>IFERROR(INDEX(Catch!$E:$BV,MATCH($A150,Catch!$A:$A,0),MATCH($B$4,Catch!$E$1:$BV$1,0)),0)</f>
        <v/>
      </c>
      <c r="D150">
        <f>IFERROR(IF(ISNUMBER(INDEX(SPPR!$E:$X,MATCH($A150,SPPR!$A:$A,0),1)),$C150*INDEX(SPPR!$E:$X,MATCH($A150,SPPR!$A:$A,0),1),""),"")</f>
        <v/>
      </c>
      <c r="E150">
        <f>IFERROR(IF(ISNUMBER(INDEX(SPPR!$E:$X,MATCH($A150,SPPR!$A:$A,0),2)),$C150*INDEX(SPPR!$E:$X,MATCH($A150,SPPR!$A:$A,0),2),""),"")</f>
        <v/>
      </c>
      <c r="F150">
        <f>IFERROR(IF(ISNUMBER(INDEX(SPPR!$E:$X,MATCH($A150,SPPR!$A:$A,0),3)),$C150*INDEX(SPPR!$E:$X,MATCH($A150,SPPR!$A:$A,0),3),""),"")</f>
        <v/>
      </c>
      <c r="G150">
        <f>IFERROR(IF(ISNUMBER(INDEX(SPPR!$E:$X,MATCH($A150,SPPR!$A:$A,0),4)),$C150*INDEX(SPPR!$E:$X,MATCH($A150,SPPR!$A:$A,0),4),""),"")</f>
        <v/>
      </c>
      <c r="H150">
        <f>IFERROR(IF(ISNUMBER(INDEX(SPPR!$E:$X,MATCH($A150,SPPR!$A:$A,0),5)),$C150*INDEX(SPPR!$E:$X,MATCH($A150,SPPR!$A:$A,0),5),""),"")</f>
        <v/>
      </c>
      <c r="I150">
        <f>IFERROR(IF(ISNUMBER(INDEX(SPPR!$E:$X,MATCH($A150,SPPR!$A:$A,0),6)),$C150*INDEX(SPPR!$E:$X,MATCH($A150,SPPR!$A:$A,0),6),""),"")</f>
        <v/>
      </c>
      <c r="J150">
        <f>IFERROR(IF(ISNUMBER(INDEX(SPPR!$E:$X,MATCH($A150,SPPR!$A:$A,0),7)),$C150*INDEX(SPPR!$E:$X,MATCH($A150,SPPR!$A:$A,0),7),""),"")</f>
        <v/>
      </c>
      <c r="K150">
        <f>IFERROR(IF(ISNUMBER(INDEX(SPPR!$E:$X,MATCH($A150,SPPR!$A:$A,0),8)),$C150*INDEX(SPPR!$E:$X,MATCH($A150,SPPR!$A:$A,0),8),""),"")</f>
        <v/>
      </c>
      <c r="L150">
        <f>IFERROR(IF(ISNUMBER(INDEX(SPPR!$E:$X,MATCH($A150,SPPR!$A:$A,0),9)),$C150*INDEX(SPPR!$E:$X,MATCH($A150,SPPR!$A:$A,0),9),""),"")</f>
        <v/>
      </c>
      <c r="M150">
        <f>IFERROR(IF(ISNUMBER(INDEX(SPPR!$E:$X,MATCH($A150,SPPR!$A:$A,0),10)),$C150*INDEX(SPPR!$E:$X,MATCH($A150,SPPR!$A:$A,0),10),""),"")</f>
        <v/>
      </c>
      <c r="N150">
        <f>IFERROR(IF(ISNUMBER(INDEX(SPPR!$E:$X,MATCH($A150,SPPR!$A:$A,0),11)),$C150*INDEX(SPPR!$E:$X,MATCH($A150,SPPR!$A:$A,0),11),""),"")</f>
        <v/>
      </c>
      <c r="O150">
        <f>IFERROR(IF(ISNUMBER(INDEX(SPPR!$E:$X,MATCH($A150,SPPR!$A:$A,0),12)),$C150*INDEX(SPPR!$E:$X,MATCH($A150,SPPR!$A:$A,0),12),""),"")</f>
        <v/>
      </c>
      <c r="P150">
        <f>IFERROR(IF(ISNUMBER(INDEX(SPPR!$E:$X,MATCH($A150,SPPR!$A:$A,0),13)),$C150*INDEX(SPPR!$E:$X,MATCH($A150,SPPR!$A:$A,0),13),""),"")</f>
        <v/>
      </c>
      <c r="Q150">
        <f>IFERROR(IF(ISNUMBER(INDEX(SPPR!$E:$X,MATCH($A150,SPPR!$A:$A,0),14)),$C150*INDEX(SPPR!$E:$X,MATCH($A150,SPPR!$A:$A,0),14),""),"")</f>
        <v/>
      </c>
      <c r="R150">
        <f>IFERROR(IF(ISNUMBER(INDEX(SPPR!$E:$X,MATCH($A150,SPPR!$A:$A,0),15)),$C150*INDEX(SPPR!$E:$X,MATCH($A150,SPPR!$A:$A,0),15),""),"")</f>
        <v/>
      </c>
      <c r="S150">
        <f>IFERROR(IF(ISNUMBER(INDEX(SPPR!$E:$X,MATCH($A150,SPPR!$A:$A,0),16)),$C150*INDEX(SPPR!$E:$X,MATCH($A150,SPPR!$A:$A,0),16),""),"")</f>
        <v/>
      </c>
      <c r="T150">
        <f>IFERROR(IF(ISNUMBER(INDEX(SPPR!$E:$X,MATCH($A150,SPPR!$A:$A,0),17)),$C150*INDEX(SPPR!$E:$X,MATCH($A150,SPPR!$A:$A,0),17),""),"")</f>
        <v/>
      </c>
      <c r="U150">
        <f>IFERROR(IF(ISNUMBER(INDEX(SPPR!$E:$X,MATCH($A150,SPPR!$A:$A,0),18)),$C150*INDEX(SPPR!$E:$X,MATCH($A150,SPPR!$A:$A,0),18),""),"")</f>
        <v/>
      </c>
      <c r="V150">
        <f>IFERROR(IF(ISNUMBER(INDEX(SPPR!$E:$X,MATCH($A150,SPPR!$A:$A,0),19)),$C150*INDEX(SPPR!$E:$X,MATCH($A150,SPPR!$A:$A,0),19),""),"")</f>
        <v/>
      </c>
      <c r="W150">
        <f>IFERROR(IF(ISNUMBER(INDEX(SPPR!$E:$X,MATCH($A150,SPPR!$A:$A,0),20)),$C150*INDEX(SPPR!$E:$X,MATCH($A150,SPPR!$A:$A,0),20),""),"")</f>
        <v/>
      </c>
    </row>
    <row r="151">
      <c r="A151" t="inlineStr">
        <is>
          <t>Nemadactylus</t>
        </is>
      </c>
      <c r="B151">
        <f>IFERROR(INDEX(SPPR!$D:$D,MATCH($A151,SPPR!$A:$A,0)),"")</f>
        <v/>
      </c>
      <c r="C151">
        <f>IFERROR(INDEX(Catch!$E:$BV,MATCH($A151,Catch!$A:$A,0),MATCH($B$4,Catch!$E$1:$BV$1,0)),0)</f>
        <v/>
      </c>
      <c r="D151">
        <f>IFERROR(IF(ISNUMBER(INDEX(SPPR!$E:$X,MATCH($A151,SPPR!$A:$A,0),1)),$C151*INDEX(SPPR!$E:$X,MATCH($A151,SPPR!$A:$A,0),1),""),"")</f>
        <v/>
      </c>
      <c r="E151">
        <f>IFERROR(IF(ISNUMBER(INDEX(SPPR!$E:$X,MATCH($A151,SPPR!$A:$A,0),2)),$C151*INDEX(SPPR!$E:$X,MATCH($A151,SPPR!$A:$A,0),2),""),"")</f>
        <v/>
      </c>
      <c r="F151">
        <f>IFERROR(IF(ISNUMBER(INDEX(SPPR!$E:$X,MATCH($A151,SPPR!$A:$A,0),3)),$C151*INDEX(SPPR!$E:$X,MATCH($A151,SPPR!$A:$A,0),3),""),"")</f>
        <v/>
      </c>
      <c r="G151">
        <f>IFERROR(IF(ISNUMBER(INDEX(SPPR!$E:$X,MATCH($A151,SPPR!$A:$A,0),4)),$C151*INDEX(SPPR!$E:$X,MATCH($A151,SPPR!$A:$A,0),4),""),"")</f>
        <v/>
      </c>
      <c r="H151">
        <f>IFERROR(IF(ISNUMBER(INDEX(SPPR!$E:$X,MATCH($A151,SPPR!$A:$A,0),5)),$C151*INDEX(SPPR!$E:$X,MATCH($A151,SPPR!$A:$A,0),5),""),"")</f>
        <v/>
      </c>
      <c r="I151">
        <f>IFERROR(IF(ISNUMBER(INDEX(SPPR!$E:$X,MATCH($A151,SPPR!$A:$A,0),6)),$C151*INDEX(SPPR!$E:$X,MATCH($A151,SPPR!$A:$A,0),6),""),"")</f>
        <v/>
      </c>
      <c r="J151">
        <f>IFERROR(IF(ISNUMBER(INDEX(SPPR!$E:$X,MATCH($A151,SPPR!$A:$A,0),7)),$C151*INDEX(SPPR!$E:$X,MATCH($A151,SPPR!$A:$A,0),7),""),"")</f>
        <v/>
      </c>
      <c r="K151">
        <f>IFERROR(IF(ISNUMBER(INDEX(SPPR!$E:$X,MATCH($A151,SPPR!$A:$A,0),8)),$C151*INDEX(SPPR!$E:$X,MATCH($A151,SPPR!$A:$A,0),8),""),"")</f>
        <v/>
      </c>
      <c r="L151">
        <f>IFERROR(IF(ISNUMBER(INDEX(SPPR!$E:$X,MATCH($A151,SPPR!$A:$A,0),9)),$C151*INDEX(SPPR!$E:$X,MATCH($A151,SPPR!$A:$A,0),9),""),"")</f>
        <v/>
      </c>
      <c r="M151">
        <f>IFERROR(IF(ISNUMBER(INDEX(SPPR!$E:$X,MATCH($A151,SPPR!$A:$A,0),10)),$C151*INDEX(SPPR!$E:$X,MATCH($A151,SPPR!$A:$A,0),10),""),"")</f>
        <v/>
      </c>
      <c r="N151">
        <f>IFERROR(IF(ISNUMBER(INDEX(SPPR!$E:$X,MATCH($A151,SPPR!$A:$A,0),11)),$C151*INDEX(SPPR!$E:$X,MATCH($A151,SPPR!$A:$A,0),11),""),"")</f>
        <v/>
      </c>
      <c r="O151">
        <f>IFERROR(IF(ISNUMBER(INDEX(SPPR!$E:$X,MATCH($A151,SPPR!$A:$A,0),12)),$C151*INDEX(SPPR!$E:$X,MATCH($A151,SPPR!$A:$A,0),12),""),"")</f>
        <v/>
      </c>
      <c r="P151">
        <f>IFERROR(IF(ISNUMBER(INDEX(SPPR!$E:$X,MATCH($A151,SPPR!$A:$A,0),13)),$C151*INDEX(SPPR!$E:$X,MATCH($A151,SPPR!$A:$A,0),13),""),"")</f>
        <v/>
      </c>
      <c r="Q151">
        <f>IFERROR(IF(ISNUMBER(INDEX(SPPR!$E:$X,MATCH($A151,SPPR!$A:$A,0),14)),$C151*INDEX(SPPR!$E:$X,MATCH($A151,SPPR!$A:$A,0),14),""),"")</f>
        <v/>
      </c>
      <c r="R151">
        <f>IFERROR(IF(ISNUMBER(INDEX(SPPR!$E:$X,MATCH($A151,SPPR!$A:$A,0),15)),$C151*INDEX(SPPR!$E:$X,MATCH($A151,SPPR!$A:$A,0),15),""),"")</f>
        <v/>
      </c>
      <c r="S151">
        <f>IFERROR(IF(ISNUMBER(INDEX(SPPR!$E:$X,MATCH($A151,SPPR!$A:$A,0),16)),$C151*INDEX(SPPR!$E:$X,MATCH($A151,SPPR!$A:$A,0),16),""),"")</f>
        <v/>
      </c>
      <c r="T151">
        <f>IFERROR(IF(ISNUMBER(INDEX(SPPR!$E:$X,MATCH($A151,SPPR!$A:$A,0),17)),$C151*INDEX(SPPR!$E:$X,MATCH($A151,SPPR!$A:$A,0),17),""),"")</f>
        <v/>
      </c>
      <c r="U151">
        <f>IFERROR(IF(ISNUMBER(INDEX(SPPR!$E:$X,MATCH($A151,SPPR!$A:$A,0),18)),$C151*INDEX(SPPR!$E:$X,MATCH($A151,SPPR!$A:$A,0),18),""),"")</f>
        <v/>
      </c>
      <c r="V151">
        <f>IFERROR(IF(ISNUMBER(INDEX(SPPR!$E:$X,MATCH($A151,SPPR!$A:$A,0),19)),$C151*INDEX(SPPR!$E:$X,MATCH($A151,SPPR!$A:$A,0),19),""),"")</f>
        <v/>
      </c>
      <c r="W151">
        <f>IFERROR(IF(ISNUMBER(INDEX(SPPR!$E:$X,MATCH($A151,SPPR!$A:$A,0),20)),$C151*INDEX(SPPR!$E:$X,MATCH($A151,SPPR!$A:$A,0),20),""),"")</f>
        <v/>
      </c>
    </row>
    <row r="152">
      <c r="A152" t="inlineStr">
        <is>
          <t>Kajikia audax</t>
        </is>
      </c>
      <c r="B152">
        <f>IFERROR(INDEX(SPPR!$D:$D,MATCH($A152,SPPR!$A:$A,0)),"")</f>
        <v/>
      </c>
      <c r="C152">
        <f>IFERROR(INDEX(Catch!$E:$BV,MATCH($A152,Catch!$A:$A,0),MATCH($B$4,Catch!$E$1:$BV$1,0)),0)</f>
        <v/>
      </c>
      <c r="D152">
        <f>IFERROR(IF(ISNUMBER(INDEX(SPPR!$E:$X,MATCH($A152,SPPR!$A:$A,0),1)),$C152*INDEX(SPPR!$E:$X,MATCH($A152,SPPR!$A:$A,0),1),""),"")</f>
        <v/>
      </c>
      <c r="E152">
        <f>IFERROR(IF(ISNUMBER(INDEX(SPPR!$E:$X,MATCH($A152,SPPR!$A:$A,0),2)),$C152*INDEX(SPPR!$E:$X,MATCH($A152,SPPR!$A:$A,0),2),""),"")</f>
        <v/>
      </c>
      <c r="F152">
        <f>IFERROR(IF(ISNUMBER(INDEX(SPPR!$E:$X,MATCH($A152,SPPR!$A:$A,0),3)),$C152*INDEX(SPPR!$E:$X,MATCH($A152,SPPR!$A:$A,0),3),""),"")</f>
        <v/>
      </c>
      <c r="G152">
        <f>IFERROR(IF(ISNUMBER(INDEX(SPPR!$E:$X,MATCH($A152,SPPR!$A:$A,0),4)),$C152*INDEX(SPPR!$E:$X,MATCH($A152,SPPR!$A:$A,0),4),""),"")</f>
        <v/>
      </c>
      <c r="H152">
        <f>IFERROR(IF(ISNUMBER(INDEX(SPPR!$E:$X,MATCH($A152,SPPR!$A:$A,0),5)),$C152*INDEX(SPPR!$E:$X,MATCH($A152,SPPR!$A:$A,0),5),""),"")</f>
        <v/>
      </c>
      <c r="I152">
        <f>IFERROR(IF(ISNUMBER(INDEX(SPPR!$E:$X,MATCH($A152,SPPR!$A:$A,0),6)),$C152*INDEX(SPPR!$E:$X,MATCH($A152,SPPR!$A:$A,0),6),""),"")</f>
        <v/>
      </c>
      <c r="J152">
        <f>IFERROR(IF(ISNUMBER(INDEX(SPPR!$E:$X,MATCH($A152,SPPR!$A:$A,0),7)),$C152*INDEX(SPPR!$E:$X,MATCH($A152,SPPR!$A:$A,0),7),""),"")</f>
        <v/>
      </c>
      <c r="K152">
        <f>IFERROR(IF(ISNUMBER(INDEX(SPPR!$E:$X,MATCH($A152,SPPR!$A:$A,0),8)),$C152*INDEX(SPPR!$E:$X,MATCH($A152,SPPR!$A:$A,0),8),""),"")</f>
        <v/>
      </c>
      <c r="L152">
        <f>IFERROR(IF(ISNUMBER(INDEX(SPPR!$E:$X,MATCH($A152,SPPR!$A:$A,0),9)),$C152*INDEX(SPPR!$E:$X,MATCH($A152,SPPR!$A:$A,0),9),""),"")</f>
        <v/>
      </c>
      <c r="M152">
        <f>IFERROR(IF(ISNUMBER(INDEX(SPPR!$E:$X,MATCH($A152,SPPR!$A:$A,0),10)),$C152*INDEX(SPPR!$E:$X,MATCH($A152,SPPR!$A:$A,0),10),""),"")</f>
        <v/>
      </c>
      <c r="N152">
        <f>IFERROR(IF(ISNUMBER(INDEX(SPPR!$E:$X,MATCH($A152,SPPR!$A:$A,0),11)),$C152*INDEX(SPPR!$E:$X,MATCH($A152,SPPR!$A:$A,0),11),""),"")</f>
        <v/>
      </c>
      <c r="O152">
        <f>IFERROR(IF(ISNUMBER(INDEX(SPPR!$E:$X,MATCH($A152,SPPR!$A:$A,0),12)),$C152*INDEX(SPPR!$E:$X,MATCH($A152,SPPR!$A:$A,0),12),""),"")</f>
        <v/>
      </c>
      <c r="P152">
        <f>IFERROR(IF(ISNUMBER(INDEX(SPPR!$E:$X,MATCH($A152,SPPR!$A:$A,0),13)),$C152*INDEX(SPPR!$E:$X,MATCH($A152,SPPR!$A:$A,0),13),""),"")</f>
        <v/>
      </c>
      <c r="Q152">
        <f>IFERROR(IF(ISNUMBER(INDEX(SPPR!$E:$X,MATCH($A152,SPPR!$A:$A,0),14)),$C152*INDEX(SPPR!$E:$X,MATCH($A152,SPPR!$A:$A,0),14),""),"")</f>
        <v/>
      </c>
      <c r="R152">
        <f>IFERROR(IF(ISNUMBER(INDEX(SPPR!$E:$X,MATCH($A152,SPPR!$A:$A,0),15)),$C152*INDEX(SPPR!$E:$X,MATCH($A152,SPPR!$A:$A,0),15),""),"")</f>
        <v/>
      </c>
      <c r="S152">
        <f>IFERROR(IF(ISNUMBER(INDEX(SPPR!$E:$X,MATCH($A152,SPPR!$A:$A,0),16)),$C152*INDEX(SPPR!$E:$X,MATCH($A152,SPPR!$A:$A,0),16),""),"")</f>
        <v/>
      </c>
      <c r="T152">
        <f>IFERROR(IF(ISNUMBER(INDEX(SPPR!$E:$X,MATCH($A152,SPPR!$A:$A,0),17)),$C152*INDEX(SPPR!$E:$X,MATCH($A152,SPPR!$A:$A,0),17),""),"")</f>
        <v/>
      </c>
      <c r="U152">
        <f>IFERROR(IF(ISNUMBER(INDEX(SPPR!$E:$X,MATCH($A152,SPPR!$A:$A,0),18)),$C152*INDEX(SPPR!$E:$X,MATCH($A152,SPPR!$A:$A,0),18),""),"")</f>
        <v/>
      </c>
      <c r="V152">
        <f>IFERROR(IF(ISNUMBER(INDEX(SPPR!$E:$X,MATCH($A152,SPPR!$A:$A,0),19)),$C152*INDEX(SPPR!$E:$X,MATCH($A152,SPPR!$A:$A,0),19),""),"")</f>
        <v/>
      </c>
      <c r="W152">
        <f>IFERROR(IF(ISNUMBER(INDEX(SPPR!$E:$X,MATCH($A152,SPPR!$A:$A,0),20)),$C152*INDEX(SPPR!$E:$X,MATCH($A152,SPPR!$A:$A,0),20),""),"")</f>
        <v/>
      </c>
    </row>
    <row r="153">
      <c r="A153" t="inlineStr">
        <is>
          <t>Genypterus</t>
        </is>
      </c>
      <c r="B153">
        <f>IFERROR(INDEX(SPPR!$D:$D,MATCH($A153,SPPR!$A:$A,0)),"")</f>
        <v/>
      </c>
      <c r="C153">
        <f>IFERROR(INDEX(Catch!$E:$BV,MATCH($A153,Catch!$A:$A,0),MATCH($B$4,Catch!$E$1:$BV$1,0)),0)</f>
        <v/>
      </c>
      <c r="D153">
        <f>IFERROR(IF(ISNUMBER(INDEX(SPPR!$E:$X,MATCH($A153,SPPR!$A:$A,0),1)),$C153*INDEX(SPPR!$E:$X,MATCH($A153,SPPR!$A:$A,0),1),""),"")</f>
        <v/>
      </c>
      <c r="E153">
        <f>IFERROR(IF(ISNUMBER(INDEX(SPPR!$E:$X,MATCH($A153,SPPR!$A:$A,0),2)),$C153*INDEX(SPPR!$E:$X,MATCH($A153,SPPR!$A:$A,0),2),""),"")</f>
        <v/>
      </c>
      <c r="F153">
        <f>IFERROR(IF(ISNUMBER(INDEX(SPPR!$E:$X,MATCH($A153,SPPR!$A:$A,0),3)),$C153*INDEX(SPPR!$E:$X,MATCH($A153,SPPR!$A:$A,0),3),""),"")</f>
        <v/>
      </c>
      <c r="G153">
        <f>IFERROR(IF(ISNUMBER(INDEX(SPPR!$E:$X,MATCH($A153,SPPR!$A:$A,0),4)),$C153*INDEX(SPPR!$E:$X,MATCH($A153,SPPR!$A:$A,0),4),""),"")</f>
        <v/>
      </c>
      <c r="H153">
        <f>IFERROR(IF(ISNUMBER(INDEX(SPPR!$E:$X,MATCH($A153,SPPR!$A:$A,0),5)),$C153*INDEX(SPPR!$E:$X,MATCH($A153,SPPR!$A:$A,0),5),""),"")</f>
        <v/>
      </c>
      <c r="I153">
        <f>IFERROR(IF(ISNUMBER(INDEX(SPPR!$E:$X,MATCH($A153,SPPR!$A:$A,0),6)),$C153*INDEX(SPPR!$E:$X,MATCH($A153,SPPR!$A:$A,0),6),""),"")</f>
        <v/>
      </c>
      <c r="J153">
        <f>IFERROR(IF(ISNUMBER(INDEX(SPPR!$E:$X,MATCH($A153,SPPR!$A:$A,0),7)),$C153*INDEX(SPPR!$E:$X,MATCH($A153,SPPR!$A:$A,0),7),""),"")</f>
        <v/>
      </c>
      <c r="K153">
        <f>IFERROR(IF(ISNUMBER(INDEX(SPPR!$E:$X,MATCH($A153,SPPR!$A:$A,0),8)),$C153*INDEX(SPPR!$E:$X,MATCH($A153,SPPR!$A:$A,0),8),""),"")</f>
        <v/>
      </c>
      <c r="L153">
        <f>IFERROR(IF(ISNUMBER(INDEX(SPPR!$E:$X,MATCH($A153,SPPR!$A:$A,0),9)),$C153*INDEX(SPPR!$E:$X,MATCH($A153,SPPR!$A:$A,0),9),""),"")</f>
        <v/>
      </c>
      <c r="M153">
        <f>IFERROR(IF(ISNUMBER(INDEX(SPPR!$E:$X,MATCH($A153,SPPR!$A:$A,0),10)),$C153*INDEX(SPPR!$E:$X,MATCH($A153,SPPR!$A:$A,0),10),""),"")</f>
        <v/>
      </c>
      <c r="N153">
        <f>IFERROR(IF(ISNUMBER(INDEX(SPPR!$E:$X,MATCH($A153,SPPR!$A:$A,0),11)),$C153*INDEX(SPPR!$E:$X,MATCH($A153,SPPR!$A:$A,0),11),""),"")</f>
        <v/>
      </c>
      <c r="O153">
        <f>IFERROR(IF(ISNUMBER(INDEX(SPPR!$E:$X,MATCH($A153,SPPR!$A:$A,0),12)),$C153*INDEX(SPPR!$E:$X,MATCH($A153,SPPR!$A:$A,0),12),""),"")</f>
        <v/>
      </c>
      <c r="P153">
        <f>IFERROR(IF(ISNUMBER(INDEX(SPPR!$E:$X,MATCH($A153,SPPR!$A:$A,0),13)),$C153*INDEX(SPPR!$E:$X,MATCH($A153,SPPR!$A:$A,0),13),""),"")</f>
        <v/>
      </c>
      <c r="Q153">
        <f>IFERROR(IF(ISNUMBER(INDEX(SPPR!$E:$X,MATCH($A153,SPPR!$A:$A,0),14)),$C153*INDEX(SPPR!$E:$X,MATCH($A153,SPPR!$A:$A,0),14),""),"")</f>
        <v/>
      </c>
      <c r="R153">
        <f>IFERROR(IF(ISNUMBER(INDEX(SPPR!$E:$X,MATCH($A153,SPPR!$A:$A,0),15)),$C153*INDEX(SPPR!$E:$X,MATCH($A153,SPPR!$A:$A,0),15),""),"")</f>
        <v/>
      </c>
      <c r="S153">
        <f>IFERROR(IF(ISNUMBER(INDEX(SPPR!$E:$X,MATCH($A153,SPPR!$A:$A,0),16)),$C153*INDEX(SPPR!$E:$X,MATCH($A153,SPPR!$A:$A,0),16),""),"")</f>
        <v/>
      </c>
      <c r="T153">
        <f>IFERROR(IF(ISNUMBER(INDEX(SPPR!$E:$X,MATCH($A153,SPPR!$A:$A,0),17)),$C153*INDEX(SPPR!$E:$X,MATCH($A153,SPPR!$A:$A,0),17),""),"")</f>
        <v/>
      </c>
      <c r="U153">
        <f>IFERROR(IF(ISNUMBER(INDEX(SPPR!$E:$X,MATCH($A153,SPPR!$A:$A,0),18)),$C153*INDEX(SPPR!$E:$X,MATCH($A153,SPPR!$A:$A,0),18),""),"")</f>
        <v/>
      </c>
      <c r="V153">
        <f>IFERROR(IF(ISNUMBER(INDEX(SPPR!$E:$X,MATCH($A153,SPPR!$A:$A,0),19)),$C153*INDEX(SPPR!$E:$X,MATCH($A153,SPPR!$A:$A,0),19),""),"")</f>
        <v/>
      </c>
      <c r="W153">
        <f>IFERROR(IF(ISNUMBER(INDEX(SPPR!$E:$X,MATCH($A153,SPPR!$A:$A,0),20)),$C153*INDEX(SPPR!$E:$X,MATCH($A153,SPPR!$A:$A,0),20),""),"")</f>
        <v/>
      </c>
    </row>
    <row r="154">
      <c r="A154" t="inlineStr">
        <is>
          <t>Zygochlamys patagonica</t>
        </is>
      </c>
      <c r="B154">
        <f>IFERROR(INDEX(SPPR!$D:$D,MATCH($A154,SPPR!$A:$A,0)),"")</f>
        <v/>
      </c>
      <c r="C154">
        <f>IFERROR(INDEX(Catch!$E:$BV,MATCH($A154,Catch!$A:$A,0),MATCH($B$4,Catch!$E$1:$BV$1,0)),0)</f>
        <v/>
      </c>
      <c r="D154">
        <f>IFERROR(IF(ISNUMBER(INDEX(SPPR!$E:$X,MATCH($A154,SPPR!$A:$A,0),1)),$C154*INDEX(SPPR!$E:$X,MATCH($A154,SPPR!$A:$A,0),1),""),"")</f>
        <v/>
      </c>
      <c r="E154">
        <f>IFERROR(IF(ISNUMBER(INDEX(SPPR!$E:$X,MATCH($A154,SPPR!$A:$A,0),2)),$C154*INDEX(SPPR!$E:$X,MATCH($A154,SPPR!$A:$A,0),2),""),"")</f>
        <v/>
      </c>
      <c r="F154">
        <f>IFERROR(IF(ISNUMBER(INDEX(SPPR!$E:$X,MATCH($A154,SPPR!$A:$A,0),3)),$C154*INDEX(SPPR!$E:$X,MATCH($A154,SPPR!$A:$A,0),3),""),"")</f>
        <v/>
      </c>
      <c r="G154">
        <f>IFERROR(IF(ISNUMBER(INDEX(SPPR!$E:$X,MATCH($A154,SPPR!$A:$A,0),4)),$C154*INDEX(SPPR!$E:$X,MATCH($A154,SPPR!$A:$A,0),4),""),"")</f>
        <v/>
      </c>
      <c r="H154">
        <f>IFERROR(IF(ISNUMBER(INDEX(SPPR!$E:$X,MATCH($A154,SPPR!$A:$A,0),5)),$C154*INDEX(SPPR!$E:$X,MATCH($A154,SPPR!$A:$A,0),5),""),"")</f>
        <v/>
      </c>
      <c r="I154">
        <f>IFERROR(IF(ISNUMBER(INDEX(SPPR!$E:$X,MATCH($A154,SPPR!$A:$A,0),6)),$C154*INDEX(SPPR!$E:$X,MATCH($A154,SPPR!$A:$A,0),6),""),"")</f>
        <v/>
      </c>
      <c r="J154">
        <f>IFERROR(IF(ISNUMBER(INDEX(SPPR!$E:$X,MATCH($A154,SPPR!$A:$A,0),7)),$C154*INDEX(SPPR!$E:$X,MATCH($A154,SPPR!$A:$A,0),7),""),"")</f>
        <v/>
      </c>
      <c r="K154">
        <f>IFERROR(IF(ISNUMBER(INDEX(SPPR!$E:$X,MATCH($A154,SPPR!$A:$A,0),8)),$C154*INDEX(SPPR!$E:$X,MATCH($A154,SPPR!$A:$A,0),8),""),"")</f>
        <v/>
      </c>
      <c r="L154">
        <f>IFERROR(IF(ISNUMBER(INDEX(SPPR!$E:$X,MATCH($A154,SPPR!$A:$A,0),9)),$C154*INDEX(SPPR!$E:$X,MATCH($A154,SPPR!$A:$A,0),9),""),"")</f>
        <v/>
      </c>
      <c r="M154">
        <f>IFERROR(IF(ISNUMBER(INDEX(SPPR!$E:$X,MATCH($A154,SPPR!$A:$A,0),10)),$C154*INDEX(SPPR!$E:$X,MATCH($A154,SPPR!$A:$A,0),10),""),"")</f>
        <v/>
      </c>
      <c r="N154">
        <f>IFERROR(IF(ISNUMBER(INDEX(SPPR!$E:$X,MATCH($A154,SPPR!$A:$A,0),11)),$C154*INDEX(SPPR!$E:$X,MATCH($A154,SPPR!$A:$A,0),11),""),"")</f>
        <v/>
      </c>
      <c r="O154">
        <f>IFERROR(IF(ISNUMBER(INDEX(SPPR!$E:$X,MATCH($A154,SPPR!$A:$A,0),12)),$C154*INDEX(SPPR!$E:$X,MATCH($A154,SPPR!$A:$A,0),12),""),"")</f>
        <v/>
      </c>
      <c r="P154">
        <f>IFERROR(IF(ISNUMBER(INDEX(SPPR!$E:$X,MATCH($A154,SPPR!$A:$A,0),13)),$C154*INDEX(SPPR!$E:$X,MATCH($A154,SPPR!$A:$A,0),13),""),"")</f>
        <v/>
      </c>
      <c r="Q154">
        <f>IFERROR(IF(ISNUMBER(INDEX(SPPR!$E:$X,MATCH($A154,SPPR!$A:$A,0),14)),$C154*INDEX(SPPR!$E:$X,MATCH($A154,SPPR!$A:$A,0),14),""),"")</f>
        <v/>
      </c>
      <c r="R154">
        <f>IFERROR(IF(ISNUMBER(INDEX(SPPR!$E:$X,MATCH($A154,SPPR!$A:$A,0),15)),$C154*INDEX(SPPR!$E:$X,MATCH($A154,SPPR!$A:$A,0),15),""),"")</f>
        <v/>
      </c>
      <c r="S154">
        <f>IFERROR(IF(ISNUMBER(INDEX(SPPR!$E:$X,MATCH($A154,SPPR!$A:$A,0),16)),$C154*INDEX(SPPR!$E:$X,MATCH($A154,SPPR!$A:$A,0),16),""),"")</f>
        <v/>
      </c>
      <c r="T154">
        <f>IFERROR(IF(ISNUMBER(INDEX(SPPR!$E:$X,MATCH($A154,SPPR!$A:$A,0),17)),$C154*INDEX(SPPR!$E:$X,MATCH($A154,SPPR!$A:$A,0),17),""),"")</f>
        <v/>
      </c>
      <c r="U154">
        <f>IFERROR(IF(ISNUMBER(INDEX(SPPR!$E:$X,MATCH($A154,SPPR!$A:$A,0),18)),$C154*INDEX(SPPR!$E:$X,MATCH($A154,SPPR!$A:$A,0),18),""),"")</f>
        <v/>
      </c>
      <c r="V154">
        <f>IFERROR(IF(ISNUMBER(INDEX(SPPR!$E:$X,MATCH($A154,SPPR!$A:$A,0),19)),$C154*INDEX(SPPR!$E:$X,MATCH($A154,SPPR!$A:$A,0),19),""),"")</f>
        <v/>
      </c>
      <c r="W154">
        <f>IFERROR(IF(ISNUMBER(INDEX(SPPR!$E:$X,MATCH($A154,SPPR!$A:$A,0),20)),$C154*INDEX(SPPR!$E:$X,MATCH($A154,SPPR!$A:$A,0),20),""),"")</f>
        <v/>
      </c>
    </row>
    <row r="155">
      <c r="A155" t="inlineStr">
        <is>
          <t>Dipturus trachyderma</t>
        </is>
      </c>
      <c r="B155">
        <f>IFERROR(INDEX(SPPR!$D:$D,MATCH($A155,SPPR!$A:$A,0)),"")</f>
        <v/>
      </c>
      <c r="C155">
        <f>IFERROR(INDEX(Catch!$E:$BV,MATCH($A155,Catch!$A:$A,0),MATCH($B$4,Catch!$E$1:$BV$1,0)),0)</f>
        <v/>
      </c>
      <c r="D155">
        <f>IFERROR(IF(ISNUMBER(INDEX(SPPR!$E:$X,MATCH($A155,SPPR!$A:$A,0),1)),$C155*INDEX(SPPR!$E:$X,MATCH($A155,SPPR!$A:$A,0),1),""),"")</f>
        <v/>
      </c>
      <c r="E155">
        <f>IFERROR(IF(ISNUMBER(INDEX(SPPR!$E:$X,MATCH($A155,SPPR!$A:$A,0),2)),$C155*INDEX(SPPR!$E:$X,MATCH($A155,SPPR!$A:$A,0),2),""),"")</f>
        <v/>
      </c>
      <c r="F155">
        <f>IFERROR(IF(ISNUMBER(INDEX(SPPR!$E:$X,MATCH($A155,SPPR!$A:$A,0),3)),$C155*INDEX(SPPR!$E:$X,MATCH($A155,SPPR!$A:$A,0),3),""),"")</f>
        <v/>
      </c>
      <c r="G155">
        <f>IFERROR(IF(ISNUMBER(INDEX(SPPR!$E:$X,MATCH($A155,SPPR!$A:$A,0),4)),$C155*INDEX(SPPR!$E:$X,MATCH($A155,SPPR!$A:$A,0),4),""),"")</f>
        <v/>
      </c>
      <c r="H155">
        <f>IFERROR(IF(ISNUMBER(INDEX(SPPR!$E:$X,MATCH($A155,SPPR!$A:$A,0),5)),$C155*INDEX(SPPR!$E:$X,MATCH($A155,SPPR!$A:$A,0),5),""),"")</f>
        <v/>
      </c>
      <c r="I155">
        <f>IFERROR(IF(ISNUMBER(INDEX(SPPR!$E:$X,MATCH($A155,SPPR!$A:$A,0),6)),$C155*INDEX(SPPR!$E:$X,MATCH($A155,SPPR!$A:$A,0),6),""),"")</f>
        <v/>
      </c>
      <c r="J155">
        <f>IFERROR(IF(ISNUMBER(INDEX(SPPR!$E:$X,MATCH($A155,SPPR!$A:$A,0),7)),$C155*INDEX(SPPR!$E:$X,MATCH($A155,SPPR!$A:$A,0),7),""),"")</f>
        <v/>
      </c>
      <c r="K155">
        <f>IFERROR(IF(ISNUMBER(INDEX(SPPR!$E:$X,MATCH($A155,SPPR!$A:$A,0),8)),$C155*INDEX(SPPR!$E:$X,MATCH($A155,SPPR!$A:$A,0),8),""),"")</f>
        <v/>
      </c>
      <c r="L155">
        <f>IFERROR(IF(ISNUMBER(INDEX(SPPR!$E:$X,MATCH($A155,SPPR!$A:$A,0),9)),$C155*INDEX(SPPR!$E:$X,MATCH($A155,SPPR!$A:$A,0),9),""),"")</f>
        <v/>
      </c>
      <c r="M155">
        <f>IFERROR(IF(ISNUMBER(INDEX(SPPR!$E:$X,MATCH($A155,SPPR!$A:$A,0),10)),$C155*INDEX(SPPR!$E:$X,MATCH($A155,SPPR!$A:$A,0),10),""),"")</f>
        <v/>
      </c>
      <c r="N155">
        <f>IFERROR(IF(ISNUMBER(INDEX(SPPR!$E:$X,MATCH($A155,SPPR!$A:$A,0),11)),$C155*INDEX(SPPR!$E:$X,MATCH($A155,SPPR!$A:$A,0),11),""),"")</f>
        <v/>
      </c>
      <c r="O155">
        <f>IFERROR(IF(ISNUMBER(INDEX(SPPR!$E:$X,MATCH($A155,SPPR!$A:$A,0),12)),$C155*INDEX(SPPR!$E:$X,MATCH($A155,SPPR!$A:$A,0),12),""),"")</f>
        <v/>
      </c>
      <c r="P155">
        <f>IFERROR(IF(ISNUMBER(INDEX(SPPR!$E:$X,MATCH($A155,SPPR!$A:$A,0),13)),$C155*INDEX(SPPR!$E:$X,MATCH($A155,SPPR!$A:$A,0),13),""),"")</f>
        <v/>
      </c>
      <c r="Q155">
        <f>IFERROR(IF(ISNUMBER(INDEX(SPPR!$E:$X,MATCH($A155,SPPR!$A:$A,0),14)),$C155*INDEX(SPPR!$E:$X,MATCH($A155,SPPR!$A:$A,0),14),""),"")</f>
        <v/>
      </c>
      <c r="R155">
        <f>IFERROR(IF(ISNUMBER(INDEX(SPPR!$E:$X,MATCH($A155,SPPR!$A:$A,0),15)),$C155*INDEX(SPPR!$E:$X,MATCH($A155,SPPR!$A:$A,0),15),""),"")</f>
        <v/>
      </c>
      <c r="S155">
        <f>IFERROR(IF(ISNUMBER(INDEX(SPPR!$E:$X,MATCH($A155,SPPR!$A:$A,0),16)),$C155*INDEX(SPPR!$E:$X,MATCH($A155,SPPR!$A:$A,0),16),""),"")</f>
        <v/>
      </c>
      <c r="T155">
        <f>IFERROR(IF(ISNUMBER(INDEX(SPPR!$E:$X,MATCH($A155,SPPR!$A:$A,0),17)),$C155*INDEX(SPPR!$E:$X,MATCH($A155,SPPR!$A:$A,0),17),""),"")</f>
        <v/>
      </c>
      <c r="U155">
        <f>IFERROR(IF(ISNUMBER(INDEX(SPPR!$E:$X,MATCH($A155,SPPR!$A:$A,0),18)),$C155*INDEX(SPPR!$E:$X,MATCH($A155,SPPR!$A:$A,0),18),""),"")</f>
        <v/>
      </c>
      <c r="V155">
        <f>IFERROR(IF(ISNUMBER(INDEX(SPPR!$E:$X,MATCH($A155,SPPR!$A:$A,0),19)),$C155*INDEX(SPPR!$E:$X,MATCH($A155,SPPR!$A:$A,0),19),""),"")</f>
        <v/>
      </c>
      <c r="W155">
        <f>IFERROR(IF(ISNUMBER(INDEX(SPPR!$E:$X,MATCH($A155,SPPR!$A:$A,0),20)),$C155*INDEX(SPPR!$E:$X,MATCH($A155,SPPR!$A:$A,0),20),""),"")</f>
        <v/>
      </c>
    </row>
    <row r="156">
      <c r="A156" t="inlineStr">
        <is>
          <t>Istiophorus platypterus</t>
        </is>
      </c>
      <c r="B156">
        <f>IFERROR(INDEX(SPPR!$D:$D,MATCH($A156,SPPR!$A:$A,0)),"")</f>
        <v/>
      </c>
      <c r="C156">
        <f>IFERROR(INDEX(Catch!$E:$BV,MATCH($A156,Catch!$A:$A,0),MATCH($B$4,Catch!$E$1:$BV$1,0)),0)</f>
        <v/>
      </c>
      <c r="D156">
        <f>IFERROR(IF(ISNUMBER(INDEX(SPPR!$E:$X,MATCH($A156,SPPR!$A:$A,0),1)),$C156*INDEX(SPPR!$E:$X,MATCH($A156,SPPR!$A:$A,0),1),""),"")</f>
        <v/>
      </c>
      <c r="E156">
        <f>IFERROR(IF(ISNUMBER(INDEX(SPPR!$E:$X,MATCH($A156,SPPR!$A:$A,0),2)),$C156*INDEX(SPPR!$E:$X,MATCH($A156,SPPR!$A:$A,0),2),""),"")</f>
        <v/>
      </c>
      <c r="F156">
        <f>IFERROR(IF(ISNUMBER(INDEX(SPPR!$E:$X,MATCH($A156,SPPR!$A:$A,0),3)),$C156*INDEX(SPPR!$E:$X,MATCH($A156,SPPR!$A:$A,0),3),""),"")</f>
        <v/>
      </c>
      <c r="G156">
        <f>IFERROR(IF(ISNUMBER(INDEX(SPPR!$E:$X,MATCH($A156,SPPR!$A:$A,0),4)),$C156*INDEX(SPPR!$E:$X,MATCH($A156,SPPR!$A:$A,0),4),""),"")</f>
        <v/>
      </c>
      <c r="H156">
        <f>IFERROR(IF(ISNUMBER(INDEX(SPPR!$E:$X,MATCH($A156,SPPR!$A:$A,0),5)),$C156*INDEX(SPPR!$E:$X,MATCH($A156,SPPR!$A:$A,0),5),""),"")</f>
        <v/>
      </c>
      <c r="I156">
        <f>IFERROR(IF(ISNUMBER(INDEX(SPPR!$E:$X,MATCH($A156,SPPR!$A:$A,0),6)),$C156*INDEX(SPPR!$E:$X,MATCH($A156,SPPR!$A:$A,0),6),""),"")</f>
        <v/>
      </c>
      <c r="J156">
        <f>IFERROR(IF(ISNUMBER(INDEX(SPPR!$E:$X,MATCH($A156,SPPR!$A:$A,0),7)),$C156*INDEX(SPPR!$E:$X,MATCH($A156,SPPR!$A:$A,0),7),""),"")</f>
        <v/>
      </c>
      <c r="K156">
        <f>IFERROR(IF(ISNUMBER(INDEX(SPPR!$E:$X,MATCH($A156,SPPR!$A:$A,0),8)),$C156*INDEX(SPPR!$E:$X,MATCH($A156,SPPR!$A:$A,0),8),""),"")</f>
        <v/>
      </c>
      <c r="L156">
        <f>IFERROR(IF(ISNUMBER(INDEX(SPPR!$E:$X,MATCH($A156,SPPR!$A:$A,0),9)),$C156*INDEX(SPPR!$E:$X,MATCH($A156,SPPR!$A:$A,0),9),""),"")</f>
        <v/>
      </c>
      <c r="M156">
        <f>IFERROR(IF(ISNUMBER(INDEX(SPPR!$E:$X,MATCH($A156,SPPR!$A:$A,0),10)),$C156*INDEX(SPPR!$E:$X,MATCH($A156,SPPR!$A:$A,0),10),""),"")</f>
        <v/>
      </c>
      <c r="N156">
        <f>IFERROR(IF(ISNUMBER(INDEX(SPPR!$E:$X,MATCH($A156,SPPR!$A:$A,0),11)),$C156*INDEX(SPPR!$E:$X,MATCH($A156,SPPR!$A:$A,0),11),""),"")</f>
        <v/>
      </c>
      <c r="O156">
        <f>IFERROR(IF(ISNUMBER(INDEX(SPPR!$E:$X,MATCH($A156,SPPR!$A:$A,0),12)),$C156*INDEX(SPPR!$E:$X,MATCH($A156,SPPR!$A:$A,0),12),""),"")</f>
        <v/>
      </c>
      <c r="P156">
        <f>IFERROR(IF(ISNUMBER(INDEX(SPPR!$E:$X,MATCH($A156,SPPR!$A:$A,0),13)),$C156*INDEX(SPPR!$E:$X,MATCH($A156,SPPR!$A:$A,0),13),""),"")</f>
        <v/>
      </c>
      <c r="Q156">
        <f>IFERROR(IF(ISNUMBER(INDEX(SPPR!$E:$X,MATCH($A156,SPPR!$A:$A,0),14)),$C156*INDEX(SPPR!$E:$X,MATCH($A156,SPPR!$A:$A,0),14),""),"")</f>
        <v/>
      </c>
      <c r="R156">
        <f>IFERROR(IF(ISNUMBER(INDEX(SPPR!$E:$X,MATCH($A156,SPPR!$A:$A,0),15)),$C156*INDEX(SPPR!$E:$X,MATCH($A156,SPPR!$A:$A,0),15),""),"")</f>
        <v/>
      </c>
      <c r="S156">
        <f>IFERROR(IF(ISNUMBER(INDEX(SPPR!$E:$X,MATCH($A156,SPPR!$A:$A,0),16)),$C156*INDEX(SPPR!$E:$X,MATCH($A156,SPPR!$A:$A,0),16),""),"")</f>
        <v/>
      </c>
      <c r="T156">
        <f>IFERROR(IF(ISNUMBER(INDEX(SPPR!$E:$X,MATCH($A156,SPPR!$A:$A,0),17)),$C156*INDEX(SPPR!$E:$X,MATCH($A156,SPPR!$A:$A,0),17),""),"")</f>
        <v/>
      </c>
      <c r="U156">
        <f>IFERROR(IF(ISNUMBER(INDEX(SPPR!$E:$X,MATCH($A156,SPPR!$A:$A,0),18)),$C156*INDEX(SPPR!$E:$X,MATCH($A156,SPPR!$A:$A,0),18),""),"")</f>
        <v/>
      </c>
      <c r="V156">
        <f>IFERROR(IF(ISNUMBER(INDEX(SPPR!$E:$X,MATCH($A156,SPPR!$A:$A,0),19)),$C156*INDEX(SPPR!$E:$X,MATCH($A156,SPPR!$A:$A,0),19),""),"")</f>
        <v/>
      </c>
      <c r="W156">
        <f>IFERROR(IF(ISNUMBER(INDEX(SPPR!$E:$X,MATCH($A156,SPPR!$A:$A,0),20)),$C156*INDEX(SPPR!$E:$X,MATCH($A156,SPPR!$A:$A,0),20),""),"")</f>
        <v/>
      </c>
    </row>
    <row r="157">
      <c r="A157" t="inlineStr">
        <is>
          <t>Squalus acanthias</t>
        </is>
      </c>
      <c r="B157">
        <f>IFERROR(INDEX(SPPR!$D:$D,MATCH($A157,SPPR!$A:$A,0)),"")</f>
        <v/>
      </c>
      <c r="C157">
        <f>IFERROR(INDEX(Catch!$E:$BV,MATCH($A157,Catch!$A:$A,0),MATCH($B$4,Catch!$E$1:$BV$1,0)),0)</f>
        <v/>
      </c>
      <c r="D157">
        <f>IFERROR(IF(ISNUMBER(INDEX(SPPR!$E:$X,MATCH($A157,SPPR!$A:$A,0),1)),$C157*INDEX(SPPR!$E:$X,MATCH($A157,SPPR!$A:$A,0),1),""),"")</f>
        <v/>
      </c>
      <c r="E157">
        <f>IFERROR(IF(ISNUMBER(INDEX(SPPR!$E:$X,MATCH($A157,SPPR!$A:$A,0),2)),$C157*INDEX(SPPR!$E:$X,MATCH($A157,SPPR!$A:$A,0),2),""),"")</f>
        <v/>
      </c>
      <c r="F157">
        <f>IFERROR(IF(ISNUMBER(INDEX(SPPR!$E:$X,MATCH($A157,SPPR!$A:$A,0),3)),$C157*INDEX(SPPR!$E:$X,MATCH($A157,SPPR!$A:$A,0),3),""),"")</f>
        <v/>
      </c>
      <c r="G157">
        <f>IFERROR(IF(ISNUMBER(INDEX(SPPR!$E:$X,MATCH($A157,SPPR!$A:$A,0),4)),$C157*INDEX(SPPR!$E:$X,MATCH($A157,SPPR!$A:$A,0),4),""),"")</f>
        <v/>
      </c>
      <c r="H157">
        <f>IFERROR(IF(ISNUMBER(INDEX(SPPR!$E:$X,MATCH($A157,SPPR!$A:$A,0),5)),$C157*INDEX(SPPR!$E:$X,MATCH($A157,SPPR!$A:$A,0),5),""),"")</f>
        <v/>
      </c>
      <c r="I157">
        <f>IFERROR(IF(ISNUMBER(INDEX(SPPR!$E:$X,MATCH($A157,SPPR!$A:$A,0),6)),$C157*INDEX(SPPR!$E:$X,MATCH($A157,SPPR!$A:$A,0),6),""),"")</f>
        <v/>
      </c>
      <c r="J157">
        <f>IFERROR(IF(ISNUMBER(INDEX(SPPR!$E:$X,MATCH($A157,SPPR!$A:$A,0),7)),$C157*INDEX(SPPR!$E:$X,MATCH($A157,SPPR!$A:$A,0),7),""),"")</f>
        <v/>
      </c>
      <c r="K157">
        <f>IFERROR(IF(ISNUMBER(INDEX(SPPR!$E:$X,MATCH($A157,SPPR!$A:$A,0),8)),$C157*INDEX(SPPR!$E:$X,MATCH($A157,SPPR!$A:$A,0),8),""),"")</f>
        <v/>
      </c>
      <c r="L157">
        <f>IFERROR(IF(ISNUMBER(INDEX(SPPR!$E:$X,MATCH($A157,SPPR!$A:$A,0),9)),$C157*INDEX(SPPR!$E:$X,MATCH($A157,SPPR!$A:$A,0),9),""),"")</f>
        <v/>
      </c>
      <c r="M157">
        <f>IFERROR(IF(ISNUMBER(INDEX(SPPR!$E:$X,MATCH($A157,SPPR!$A:$A,0),10)),$C157*INDEX(SPPR!$E:$X,MATCH($A157,SPPR!$A:$A,0),10),""),"")</f>
        <v/>
      </c>
      <c r="N157">
        <f>IFERROR(IF(ISNUMBER(INDEX(SPPR!$E:$X,MATCH($A157,SPPR!$A:$A,0),11)),$C157*INDEX(SPPR!$E:$X,MATCH($A157,SPPR!$A:$A,0),11),""),"")</f>
        <v/>
      </c>
      <c r="O157">
        <f>IFERROR(IF(ISNUMBER(INDEX(SPPR!$E:$X,MATCH($A157,SPPR!$A:$A,0),12)),$C157*INDEX(SPPR!$E:$X,MATCH($A157,SPPR!$A:$A,0),12),""),"")</f>
        <v/>
      </c>
      <c r="P157">
        <f>IFERROR(IF(ISNUMBER(INDEX(SPPR!$E:$X,MATCH($A157,SPPR!$A:$A,0),13)),$C157*INDEX(SPPR!$E:$X,MATCH($A157,SPPR!$A:$A,0),13),""),"")</f>
        <v/>
      </c>
      <c r="Q157">
        <f>IFERROR(IF(ISNUMBER(INDEX(SPPR!$E:$X,MATCH($A157,SPPR!$A:$A,0),14)),$C157*INDEX(SPPR!$E:$X,MATCH($A157,SPPR!$A:$A,0),14),""),"")</f>
        <v/>
      </c>
      <c r="R157">
        <f>IFERROR(IF(ISNUMBER(INDEX(SPPR!$E:$X,MATCH($A157,SPPR!$A:$A,0),15)),$C157*INDEX(SPPR!$E:$X,MATCH($A157,SPPR!$A:$A,0),15),""),"")</f>
        <v/>
      </c>
      <c r="S157">
        <f>IFERROR(IF(ISNUMBER(INDEX(SPPR!$E:$X,MATCH($A157,SPPR!$A:$A,0),16)),$C157*INDEX(SPPR!$E:$X,MATCH($A157,SPPR!$A:$A,0),16),""),"")</f>
        <v/>
      </c>
      <c r="T157">
        <f>IFERROR(IF(ISNUMBER(INDEX(SPPR!$E:$X,MATCH($A157,SPPR!$A:$A,0),17)),$C157*INDEX(SPPR!$E:$X,MATCH($A157,SPPR!$A:$A,0),17),""),"")</f>
        <v/>
      </c>
      <c r="U157">
        <f>IFERROR(IF(ISNUMBER(INDEX(SPPR!$E:$X,MATCH($A157,SPPR!$A:$A,0),18)),$C157*INDEX(SPPR!$E:$X,MATCH($A157,SPPR!$A:$A,0),18),""),"")</f>
        <v/>
      </c>
      <c r="V157">
        <f>IFERROR(IF(ISNUMBER(INDEX(SPPR!$E:$X,MATCH($A157,SPPR!$A:$A,0),19)),$C157*INDEX(SPPR!$E:$X,MATCH($A157,SPPR!$A:$A,0),19),""),"")</f>
        <v/>
      </c>
      <c r="W157">
        <f>IFERROR(IF(ISNUMBER(INDEX(SPPR!$E:$X,MATCH($A157,SPPR!$A:$A,0),20)),$C157*INDEX(SPPR!$E:$X,MATCH($A157,SPPR!$A:$A,0),20),""),"")</f>
        <v/>
      </c>
    </row>
    <row r="158">
      <c r="A158" t="inlineStr">
        <is>
          <t>Galatheidae</t>
        </is>
      </c>
      <c r="B158">
        <f>IFERROR(INDEX(SPPR!$D:$D,MATCH($A158,SPPR!$A:$A,0)),"")</f>
        <v/>
      </c>
      <c r="C158">
        <f>IFERROR(INDEX(Catch!$E:$BV,MATCH($A158,Catch!$A:$A,0),MATCH($B$4,Catch!$E$1:$BV$1,0)),0)</f>
        <v/>
      </c>
      <c r="D158">
        <f>IFERROR(IF(ISNUMBER(INDEX(SPPR!$E:$X,MATCH($A158,SPPR!$A:$A,0),1)),$C158*INDEX(SPPR!$E:$X,MATCH($A158,SPPR!$A:$A,0),1),""),"")</f>
        <v/>
      </c>
      <c r="E158">
        <f>IFERROR(IF(ISNUMBER(INDEX(SPPR!$E:$X,MATCH($A158,SPPR!$A:$A,0),2)),$C158*INDEX(SPPR!$E:$X,MATCH($A158,SPPR!$A:$A,0),2),""),"")</f>
        <v/>
      </c>
      <c r="F158">
        <f>IFERROR(IF(ISNUMBER(INDEX(SPPR!$E:$X,MATCH($A158,SPPR!$A:$A,0),3)),$C158*INDEX(SPPR!$E:$X,MATCH($A158,SPPR!$A:$A,0),3),""),"")</f>
        <v/>
      </c>
      <c r="G158">
        <f>IFERROR(IF(ISNUMBER(INDEX(SPPR!$E:$X,MATCH($A158,SPPR!$A:$A,0),4)),$C158*INDEX(SPPR!$E:$X,MATCH($A158,SPPR!$A:$A,0),4),""),"")</f>
        <v/>
      </c>
      <c r="H158">
        <f>IFERROR(IF(ISNUMBER(INDEX(SPPR!$E:$X,MATCH($A158,SPPR!$A:$A,0),5)),$C158*INDEX(SPPR!$E:$X,MATCH($A158,SPPR!$A:$A,0),5),""),"")</f>
        <v/>
      </c>
      <c r="I158">
        <f>IFERROR(IF(ISNUMBER(INDEX(SPPR!$E:$X,MATCH($A158,SPPR!$A:$A,0),6)),$C158*INDEX(SPPR!$E:$X,MATCH($A158,SPPR!$A:$A,0),6),""),"")</f>
        <v/>
      </c>
      <c r="J158">
        <f>IFERROR(IF(ISNUMBER(INDEX(SPPR!$E:$X,MATCH($A158,SPPR!$A:$A,0),7)),$C158*INDEX(SPPR!$E:$X,MATCH($A158,SPPR!$A:$A,0),7),""),"")</f>
        <v/>
      </c>
      <c r="K158">
        <f>IFERROR(IF(ISNUMBER(INDEX(SPPR!$E:$X,MATCH($A158,SPPR!$A:$A,0),8)),$C158*INDEX(SPPR!$E:$X,MATCH($A158,SPPR!$A:$A,0),8),""),"")</f>
        <v/>
      </c>
      <c r="L158">
        <f>IFERROR(IF(ISNUMBER(INDEX(SPPR!$E:$X,MATCH($A158,SPPR!$A:$A,0),9)),$C158*INDEX(SPPR!$E:$X,MATCH($A158,SPPR!$A:$A,0),9),""),"")</f>
        <v/>
      </c>
      <c r="M158">
        <f>IFERROR(IF(ISNUMBER(INDEX(SPPR!$E:$X,MATCH($A158,SPPR!$A:$A,0),10)),$C158*INDEX(SPPR!$E:$X,MATCH($A158,SPPR!$A:$A,0),10),""),"")</f>
        <v/>
      </c>
      <c r="N158">
        <f>IFERROR(IF(ISNUMBER(INDEX(SPPR!$E:$X,MATCH($A158,SPPR!$A:$A,0),11)),$C158*INDEX(SPPR!$E:$X,MATCH($A158,SPPR!$A:$A,0),11),""),"")</f>
        <v/>
      </c>
      <c r="O158">
        <f>IFERROR(IF(ISNUMBER(INDEX(SPPR!$E:$X,MATCH($A158,SPPR!$A:$A,0),12)),$C158*INDEX(SPPR!$E:$X,MATCH($A158,SPPR!$A:$A,0),12),""),"")</f>
        <v/>
      </c>
      <c r="P158">
        <f>IFERROR(IF(ISNUMBER(INDEX(SPPR!$E:$X,MATCH($A158,SPPR!$A:$A,0),13)),$C158*INDEX(SPPR!$E:$X,MATCH($A158,SPPR!$A:$A,0),13),""),"")</f>
        <v/>
      </c>
      <c r="Q158">
        <f>IFERROR(IF(ISNUMBER(INDEX(SPPR!$E:$X,MATCH($A158,SPPR!$A:$A,0),14)),$C158*INDEX(SPPR!$E:$X,MATCH($A158,SPPR!$A:$A,0),14),""),"")</f>
        <v/>
      </c>
      <c r="R158">
        <f>IFERROR(IF(ISNUMBER(INDEX(SPPR!$E:$X,MATCH($A158,SPPR!$A:$A,0),15)),$C158*INDEX(SPPR!$E:$X,MATCH($A158,SPPR!$A:$A,0),15),""),"")</f>
        <v/>
      </c>
      <c r="S158">
        <f>IFERROR(IF(ISNUMBER(INDEX(SPPR!$E:$X,MATCH($A158,SPPR!$A:$A,0),16)),$C158*INDEX(SPPR!$E:$X,MATCH($A158,SPPR!$A:$A,0),16),""),"")</f>
        <v/>
      </c>
      <c r="T158">
        <f>IFERROR(IF(ISNUMBER(INDEX(SPPR!$E:$X,MATCH($A158,SPPR!$A:$A,0),17)),$C158*INDEX(SPPR!$E:$X,MATCH($A158,SPPR!$A:$A,0),17),""),"")</f>
        <v/>
      </c>
      <c r="U158">
        <f>IFERROR(IF(ISNUMBER(INDEX(SPPR!$E:$X,MATCH($A158,SPPR!$A:$A,0),18)),$C158*INDEX(SPPR!$E:$X,MATCH($A158,SPPR!$A:$A,0),18),""),"")</f>
        <v/>
      </c>
      <c r="V158">
        <f>IFERROR(IF(ISNUMBER(INDEX(SPPR!$E:$X,MATCH($A158,SPPR!$A:$A,0),19)),$C158*INDEX(SPPR!$E:$X,MATCH($A158,SPPR!$A:$A,0),19),""),"")</f>
        <v/>
      </c>
      <c r="W158">
        <f>IFERROR(IF(ISNUMBER(INDEX(SPPR!$E:$X,MATCH($A158,SPPR!$A:$A,0),20)),$C158*INDEX(SPPR!$E:$X,MATCH($A158,SPPR!$A:$A,0),20),""),"")</f>
        <v/>
      </c>
    </row>
    <row r="159">
      <c r="A159" t="inlineStr">
        <is>
          <t>Rhynchocinetes typus</t>
        </is>
      </c>
      <c r="B159">
        <f>IFERROR(INDEX(SPPR!$D:$D,MATCH($A159,SPPR!$A:$A,0)),"")</f>
        <v/>
      </c>
      <c r="C159">
        <f>IFERROR(INDEX(Catch!$E:$BV,MATCH($A159,Catch!$A:$A,0),MATCH($B$4,Catch!$E$1:$BV$1,0)),0)</f>
        <v/>
      </c>
      <c r="D159">
        <f>IFERROR(IF(ISNUMBER(INDEX(SPPR!$E:$X,MATCH($A159,SPPR!$A:$A,0),1)),$C159*INDEX(SPPR!$E:$X,MATCH($A159,SPPR!$A:$A,0),1),""),"")</f>
        <v/>
      </c>
      <c r="E159">
        <f>IFERROR(IF(ISNUMBER(INDEX(SPPR!$E:$X,MATCH($A159,SPPR!$A:$A,0),2)),$C159*INDEX(SPPR!$E:$X,MATCH($A159,SPPR!$A:$A,0),2),""),"")</f>
        <v/>
      </c>
      <c r="F159">
        <f>IFERROR(IF(ISNUMBER(INDEX(SPPR!$E:$X,MATCH($A159,SPPR!$A:$A,0),3)),$C159*INDEX(SPPR!$E:$X,MATCH($A159,SPPR!$A:$A,0),3),""),"")</f>
        <v/>
      </c>
      <c r="G159">
        <f>IFERROR(IF(ISNUMBER(INDEX(SPPR!$E:$X,MATCH($A159,SPPR!$A:$A,0),4)),$C159*INDEX(SPPR!$E:$X,MATCH($A159,SPPR!$A:$A,0),4),""),"")</f>
        <v/>
      </c>
      <c r="H159">
        <f>IFERROR(IF(ISNUMBER(INDEX(SPPR!$E:$X,MATCH($A159,SPPR!$A:$A,0),5)),$C159*INDEX(SPPR!$E:$X,MATCH($A159,SPPR!$A:$A,0),5),""),"")</f>
        <v/>
      </c>
      <c r="I159">
        <f>IFERROR(IF(ISNUMBER(INDEX(SPPR!$E:$X,MATCH($A159,SPPR!$A:$A,0),6)),$C159*INDEX(SPPR!$E:$X,MATCH($A159,SPPR!$A:$A,0),6),""),"")</f>
        <v/>
      </c>
      <c r="J159">
        <f>IFERROR(IF(ISNUMBER(INDEX(SPPR!$E:$X,MATCH($A159,SPPR!$A:$A,0),7)),$C159*INDEX(SPPR!$E:$X,MATCH($A159,SPPR!$A:$A,0),7),""),"")</f>
        <v/>
      </c>
      <c r="K159">
        <f>IFERROR(IF(ISNUMBER(INDEX(SPPR!$E:$X,MATCH($A159,SPPR!$A:$A,0),8)),$C159*INDEX(SPPR!$E:$X,MATCH($A159,SPPR!$A:$A,0),8),""),"")</f>
        <v/>
      </c>
      <c r="L159">
        <f>IFERROR(IF(ISNUMBER(INDEX(SPPR!$E:$X,MATCH($A159,SPPR!$A:$A,0),9)),$C159*INDEX(SPPR!$E:$X,MATCH($A159,SPPR!$A:$A,0),9),""),"")</f>
        <v/>
      </c>
      <c r="M159">
        <f>IFERROR(IF(ISNUMBER(INDEX(SPPR!$E:$X,MATCH($A159,SPPR!$A:$A,0),10)),$C159*INDEX(SPPR!$E:$X,MATCH($A159,SPPR!$A:$A,0),10),""),"")</f>
        <v/>
      </c>
      <c r="N159">
        <f>IFERROR(IF(ISNUMBER(INDEX(SPPR!$E:$X,MATCH($A159,SPPR!$A:$A,0),11)),$C159*INDEX(SPPR!$E:$X,MATCH($A159,SPPR!$A:$A,0),11),""),"")</f>
        <v/>
      </c>
      <c r="O159">
        <f>IFERROR(IF(ISNUMBER(INDEX(SPPR!$E:$X,MATCH($A159,SPPR!$A:$A,0),12)),$C159*INDEX(SPPR!$E:$X,MATCH($A159,SPPR!$A:$A,0),12),""),"")</f>
        <v/>
      </c>
      <c r="P159">
        <f>IFERROR(IF(ISNUMBER(INDEX(SPPR!$E:$X,MATCH($A159,SPPR!$A:$A,0),13)),$C159*INDEX(SPPR!$E:$X,MATCH($A159,SPPR!$A:$A,0),13),""),"")</f>
        <v/>
      </c>
      <c r="Q159">
        <f>IFERROR(IF(ISNUMBER(INDEX(SPPR!$E:$X,MATCH($A159,SPPR!$A:$A,0),14)),$C159*INDEX(SPPR!$E:$X,MATCH($A159,SPPR!$A:$A,0),14),""),"")</f>
        <v/>
      </c>
      <c r="R159">
        <f>IFERROR(IF(ISNUMBER(INDEX(SPPR!$E:$X,MATCH($A159,SPPR!$A:$A,0),15)),$C159*INDEX(SPPR!$E:$X,MATCH($A159,SPPR!$A:$A,0),15),""),"")</f>
        <v/>
      </c>
      <c r="S159">
        <f>IFERROR(IF(ISNUMBER(INDEX(SPPR!$E:$X,MATCH($A159,SPPR!$A:$A,0),16)),$C159*INDEX(SPPR!$E:$X,MATCH($A159,SPPR!$A:$A,0),16),""),"")</f>
        <v/>
      </c>
      <c r="T159">
        <f>IFERROR(IF(ISNUMBER(INDEX(SPPR!$E:$X,MATCH($A159,SPPR!$A:$A,0),17)),$C159*INDEX(SPPR!$E:$X,MATCH($A159,SPPR!$A:$A,0),17),""),"")</f>
        <v/>
      </c>
      <c r="U159">
        <f>IFERROR(IF(ISNUMBER(INDEX(SPPR!$E:$X,MATCH($A159,SPPR!$A:$A,0),18)),$C159*INDEX(SPPR!$E:$X,MATCH($A159,SPPR!$A:$A,0),18),""),"")</f>
        <v/>
      </c>
      <c r="V159">
        <f>IFERROR(IF(ISNUMBER(INDEX(SPPR!$E:$X,MATCH($A159,SPPR!$A:$A,0),19)),$C159*INDEX(SPPR!$E:$X,MATCH($A159,SPPR!$A:$A,0),19),""),"")</f>
        <v/>
      </c>
      <c r="W159">
        <f>IFERROR(IF(ISNUMBER(INDEX(SPPR!$E:$X,MATCH($A159,SPPR!$A:$A,0),20)),$C159*INDEX(SPPR!$E:$X,MATCH($A159,SPPR!$A:$A,0),20),""),"")</f>
        <v/>
      </c>
    </row>
    <row r="160">
      <c r="A160" t="inlineStr">
        <is>
          <t>Lamna nasus</t>
        </is>
      </c>
      <c r="B160">
        <f>IFERROR(INDEX(SPPR!$D:$D,MATCH($A160,SPPR!$A:$A,0)),"")</f>
        <v/>
      </c>
      <c r="C160">
        <f>IFERROR(INDEX(Catch!$E:$BV,MATCH($A160,Catch!$A:$A,0),MATCH($B$4,Catch!$E$1:$BV$1,0)),0)</f>
        <v/>
      </c>
      <c r="D160">
        <f>IFERROR(IF(ISNUMBER(INDEX(SPPR!$E:$X,MATCH($A160,SPPR!$A:$A,0),1)),$C160*INDEX(SPPR!$E:$X,MATCH($A160,SPPR!$A:$A,0),1),""),"")</f>
        <v/>
      </c>
      <c r="E160">
        <f>IFERROR(IF(ISNUMBER(INDEX(SPPR!$E:$X,MATCH($A160,SPPR!$A:$A,0),2)),$C160*INDEX(SPPR!$E:$X,MATCH($A160,SPPR!$A:$A,0),2),""),"")</f>
        <v/>
      </c>
      <c r="F160">
        <f>IFERROR(IF(ISNUMBER(INDEX(SPPR!$E:$X,MATCH($A160,SPPR!$A:$A,0),3)),$C160*INDEX(SPPR!$E:$X,MATCH($A160,SPPR!$A:$A,0),3),""),"")</f>
        <v/>
      </c>
      <c r="G160">
        <f>IFERROR(IF(ISNUMBER(INDEX(SPPR!$E:$X,MATCH($A160,SPPR!$A:$A,0),4)),$C160*INDEX(SPPR!$E:$X,MATCH($A160,SPPR!$A:$A,0),4),""),"")</f>
        <v/>
      </c>
      <c r="H160">
        <f>IFERROR(IF(ISNUMBER(INDEX(SPPR!$E:$X,MATCH($A160,SPPR!$A:$A,0),5)),$C160*INDEX(SPPR!$E:$X,MATCH($A160,SPPR!$A:$A,0),5),""),"")</f>
        <v/>
      </c>
      <c r="I160">
        <f>IFERROR(IF(ISNUMBER(INDEX(SPPR!$E:$X,MATCH($A160,SPPR!$A:$A,0),6)),$C160*INDEX(SPPR!$E:$X,MATCH($A160,SPPR!$A:$A,0),6),""),"")</f>
        <v/>
      </c>
      <c r="J160">
        <f>IFERROR(IF(ISNUMBER(INDEX(SPPR!$E:$X,MATCH($A160,SPPR!$A:$A,0),7)),$C160*INDEX(SPPR!$E:$X,MATCH($A160,SPPR!$A:$A,0),7),""),"")</f>
        <v/>
      </c>
      <c r="K160">
        <f>IFERROR(IF(ISNUMBER(INDEX(SPPR!$E:$X,MATCH($A160,SPPR!$A:$A,0),8)),$C160*INDEX(SPPR!$E:$X,MATCH($A160,SPPR!$A:$A,0),8),""),"")</f>
        <v/>
      </c>
      <c r="L160">
        <f>IFERROR(IF(ISNUMBER(INDEX(SPPR!$E:$X,MATCH($A160,SPPR!$A:$A,0),9)),$C160*INDEX(SPPR!$E:$X,MATCH($A160,SPPR!$A:$A,0),9),""),"")</f>
        <v/>
      </c>
      <c r="M160">
        <f>IFERROR(IF(ISNUMBER(INDEX(SPPR!$E:$X,MATCH($A160,SPPR!$A:$A,0),10)),$C160*INDEX(SPPR!$E:$X,MATCH($A160,SPPR!$A:$A,0),10),""),"")</f>
        <v/>
      </c>
      <c r="N160">
        <f>IFERROR(IF(ISNUMBER(INDEX(SPPR!$E:$X,MATCH($A160,SPPR!$A:$A,0),11)),$C160*INDEX(SPPR!$E:$X,MATCH($A160,SPPR!$A:$A,0),11),""),"")</f>
        <v/>
      </c>
      <c r="O160">
        <f>IFERROR(IF(ISNUMBER(INDEX(SPPR!$E:$X,MATCH($A160,SPPR!$A:$A,0),12)),$C160*INDEX(SPPR!$E:$X,MATCH($A160,SPPR!$A:$A,0),12),""),"")</f>
        <v/>
      </c>
      <c r="P160">
        <f>IFERROR(IF(ISNUMBER(INDEX(SPPR!$E:$X,MATCH($A160,SPPR!$A:$A,0),13)),$C160*INDEX(SPPR!$E:$X,MATCH($A160,SPPR!$A:$A,0),13),""),"")</f>
        <v/>
      </c>
      <c r="Q160">
        <f>IFERROR(IF(ISNUMBER(INDEX(SPPR!$E:$X,MATCH($A160,SPPR!$A:$A,0),14)),$C160*INDEX(SPPR!$E:$X,MATCH($A160,SPPR!$A:$A,0),14),""),"")</f>
        <v/>
      </c>
      <c r="R160">
        <f>IFERROR(IF(ISNUMBER(INDEX(SPPR!$E:$X,MATCH($A160,SPPR!$A:$A,0),15)),$C160*INDEX(SPPR!$E:$X,MATCH($A160,SPPR!$A:$A,0),15),""),"")</f>
        <v/>
      </c>
      <c r="S160">
        <f>IFERROR(IF(ISNUMBER(INDEX(SPPR!$E:$X,MATCH($A160,SPPR!$A:$A,0),16)),$C160*INDEX(SPPR!$E:$X,MATCH($A160,SPPR!$A:$A,0),16),""),"")</f>
        <v/>
      </c>
      <c r="T160">
        <f>IFERROR(IF(ISNUMBER(INDEX(SPPR!$E:$X,MATCH($A160,SPPR!$A:$A,0),17)),$C160*INDEX(SPPR!$E:$X,MATCH($A160,SPPR!$A:$A,0),17),""),"")</f>
        <v/>
      </c>
      <c r="U160">
        <f>IFERROR(IF(ISNUMBER(INDEX(SPPR!$E:$X,MATCH($A160,SPPR!$A:$A,0),18)),$C160*INDEX(SPPR!$E:$X,MATCH($A160,SPPR!$A:$A,0),18),""),"")</f>
        <v/>
      </c>
      <c r="V160">
        <f>IFERROR(IF(ISNUMBER(INDEX(SPPR!$E:$X,MATCH($A160,SPPR!$A:$A,0),19)),$C160*INDEX(SPPR!$E:$X,MATCH($A160,SPPR!$A:$A,0),19),""),"")</f>
        <v/>
      </c>
      <c r="W160">
        <f>IFERROR(IF(ISNUMBER(INDEX(SPPR!$E:$X,MATCH($A160,SPPR!$A:$A,0),20)),$C160*INDEX(SPPR!$E:$X,MATCH($A160,SPPR!$A:$A,0),20),""),"")</f>
        <v/>
      </c>
    </row>
    <row r="161">
      <c r="A161" t="inlineStr">
        <is>
          <t>Coelorinchus chilensis</t>
        </is>
      </c>
      <c r="B161">
        <f>IFERROR(INDEX(SPPR!$D:$D,MATCH($A161,SPPR!$A:$A,0)),"")</f>
        <v/>
      </c>
      <c r="C161">
        <f>IFERROR(INDEX(Catch!$E:$BV,MATCH($A161,Catch!$A:$A,0),MATCH($B$4,Catch!$E$1:$BV$1,0)),0)</f>
        <v/>
      </c>
      <c r="D161">
        <f>IFERROR(IF(ISNUMBER(INDEX(SPPR!$E:$X,MATCH($A161,SPPR!$A:$A,0),1)),$C161*INDEX(SPPR!$E:$X,MATCH($A161,SPPR!$A:$A,0),1),""),"")</f>
        <v/>
      </c>
      <c r="E161">
        <f>IFERROR(IF(ISNUMBER(INDEX(SPPR!$E:$X,MATCH($A161,SPPR!$A:$A,0),2)),$C161*INDEX(SPPR!$E:$X,MATCH($A161,SPPR!$A:$A,0),2),""),"")</f>
        <v/>
      </c>
      <c r="F161">
        <f>IFERROR(IF(ISNUMBER(INDEX(SPPR!$E:$X,MATCH($A161,SPPR!$A:$A,0),3)),$C161*INDEX(SPPR!$E:$X,MATCH($A161,SPPR!$A:$A,0),3),""),"")</f>
        <v/>
      </c>
      <c r="G161">
        <f>IFERROR(IF(ISNUMBER(INDEX(SPPR!$E:$X,MATCH($A161,SPPR!$A:$A,0),4)),$C161*INDEX(SPPR!$E:$X,MATCH($A161,SPPR!$A:$A,0),4),""),"")</f>
        <v/>
      </c>
      <c r="H161">
        <f>IFERROR(IF(ISNUMBER(INDEX(SPPR!$E:$X,MATCH($A161,SPPR!$A:$A,0),5)),$C161*INDEX(SPPR!$E:$X,MATCH($A161,SPPR!$A:$A,0),5),""),"")</f>
        <v/>
      </c>
      <c r="I161">
        <f>IFERROR(IF(ISNUMBER(INDEX(SPPR!$E:$X,MATCH($A161,SPPR!$A:$A,0),6)),$C161*INDEX(SPPR!$E:$X,MATCH($A161,SPPR!$A:$A,0),6),""),"")</f>
        <v/>
      </c>
      <c r="J161">
        <f>IFERROR(IF(ISNUMBER(INDEX(SPPR!$E:$X,MATCH($A161,SPPR!$A:$A,0),7)),$C161*INDEX(SPPR!$E:$X,MATCH($A161,SPPR!$A:$A,0),7),""),"")</f>
        <v/>
      </c>
      <c r="K161">
        <f>IFERROR(IF(ISNUMBER(INDEX(SPPR!$E:$X,MATCH($A161,SPPR!$A:$A,0),8)),$C161*INDEX(SPPR!$E:$X,MATCH($A161,SPPR!$A:$A,0),8),""),"")</f>
        <v/>
      </c>
      <c r="L161">
        <f>IFERROR(IF(ISNUMBER(INDEX(SPPR!$E:$X,MATCH($A161,SPPR!$A:$A,0),9)),$C161*INDEX(SPPR!$E:$X,MATCH($A161,SPPR!$A:$A,0),9),""),"")</f>
        <v/>
      </c>
      <c r="M161">
        <f>IFERROR(IF(ISNUMBER(INDEX(SPPR!$E:$X,MATCH($A161,SPPR!$A:$A,0),10)),$C161*INDEX(SPPR!$E:$X,MATCH($A161,SPPR!$A:$A,0),10),""),"")</f>
        <v/>
      </c>
      <c r="N161">
        <f>IFERROR(IF(ISNUMBER(INDEX(SPPR!$E:$X,MATCH($A161,SPPR!$A:$A,0),11)),$C161*INDEX(SPPR!$E:$X,MATCH($A161,SPPR!$A:$A,0),11),""),"")</f>
        <v/>
      </c>
      <c r="O161">
        <f>IFERROR(IF(ISNUMBER(INDEX(SPPR!$E:$X,MATCH($A161,SPPR!$A:$A,0),12)),$C161*INDEX(SPPR!$E:$X,MATCH($A161,SPPR!$A:$A,0),12),""),"")</f>
        <v/>
      </c>
      <c r="P161">
        <f>IFERROR(IF(ISNUMBER(INDEX(SPPR!$E:$X,MATCH($A161,SPPR!$A:$A,0),13)),$C161*INDEX(SPPR!$E:$X,MATCH($A161,SPPR!$A:$A,0),13),""),"")</f>
        <v/>
      </c>
      <c r="Q161">
        <f>IFERROR(IF(ISNUMBER(INDEX(SPPR!$E:$X,MATCH($A161,SPPR!$A:$A,0),14)),$C161*INDEX(SPPR!$E:$X,MATCH($A161,SPPR!$A:$A,0),14),""),"")</f>
        <v/>
      </c>
      <c r="R161">
        <f>IFERROR(IF(ISNUMBER(INDEX(SPPR!$E:$X,MATCH($A161,SPPR!$A:$A,0),15)),$C161*INDEX(SPPR!$E:$X,MATCH($A161,SPPR!$A:$A,0),15),""),"")</f>
        <v/>
      </c>
      <c r="S161">
        <f>IFERROR(IF(ISNUMBER(INDEX(SPPR!$E:$X,MATCH($A161,SPPR!$A:$A,0),16)),$C161*INDEX(SPPR!$E:$X,MATCH($A161,SPPR!$A:$A,0),16),""),"")</f>
        <v/>
      </c>
      <c r="T161">
        <f>IFERROR(IF(ISNUMBER(INDEX(SPPR!$E:$X,MATCH($A161,SPPR!$A:$A,0),17)),$C161*INDEX(SPPR!$E:$X,MATCH($A161,SPPR!$A:$A,0),17),""),"")</f>
        <v/>
      </c>
      <c r="U161">
        <f>IFERROR(IF(ISNUMBER(INDEX(SPPR!$E:$X,MATCH($A161,SPPR!$A:$A,0),18)),$C161*INDEX(SPPR!$E:$X,MATCH($A161,SPPR!$A:$A,0),18),""),"")</f>
        <v/>
      </c>
      <c r="V161">
        <f>IFERROR(IF(ISNUMBER(INDEX(SPPR!$E:$X,MATCH($A161,SPPR!$A:$A,0),19)),$C161*INDEX(SPPR!$E:$X,MATCH($A161,SPPR!$A:$A,0),19),""),"")</f>
        <v/>
      </c>
      <c r="W161">
        <f>IFERROR(IF(ISNUMBER(INDEX(SPPR!$E:$X,MATCH($A161,SPPR!$A:$A,0),20)),$C161*INDEX(SPPR!$E:$X,MATCH($A161,SPPR!$A:$A,0),20),""),"")</f>
        <v/>
      </c>
    </row>
    <row r="162">
      <c r="A162" t="inlineStr">
        <is>
          <t>Cancer plebejus</t>
        </is>
      </c>
      <c r="B162">
        <f>IFERROR(INDEX(SPPR!$D:$D,MATCH($A162,SPPR!$A:$A,0)),"")</f>
        <v/>
      </c>
      <c r="C162">
        <f>IFERROR(INDEX(Catch!$E:$BV,MATCH($A162,Catch!$A:$A,0),MATCH($B$4,Catch!$E$1:$BV$1,0)),0)</f>
        <v/>
      </c>
      <c r="D162">
        <f>IFERROR(IF(ISNUMBER(INDEX(SPPR!$E:$X,MATCH($A162,SPPR!$A:$A,0),1)),$C162*INDEX(SPPR!$E:$X,MATCH($A162,SPPR!$A:$A,0),1),""),"")</f>
        <v/>
      </c>
      <c r="E162">
        <f>IFERROR(IF(ISNUMBER(INDEX(SPPR!$E:$X,MATCH($A162,SPPR!$A:$A,0),2)),$C162*INDEX(SPPR!$E:$X,MATCH($A162,SPPR!$A:$A,0),2),""),"")</f>
        <v/>
      </c>
      <c r="F162">
        <f>IFERROR(IF(ISNUMBER(INDEX(SPPR!$E:$X,MATCH($A162,SPPR!$A:$A,0),3)),$C162*INDEX(SPPR!$E:$X,MATCH($A162,SPPR!$A:$A,0),3),""),"")</f>
        <v/>
      </c>
      <c r="G162">
        <f>IFERROR(IF(ISNUMBER(INDEX(SPPR!$E:$X,MATCH($A162,SPPR!$A:$A,0),4)),$C162*INDEX(SPPR!$E:$X,MATCH($A162,SPPR!$A:$A,0),4),""),"")</f>
        <v/>
      </c>
      <c r="H162">
        <f>IFERROR(IF(ISNUMBER(INDEX(SPPR!$E:$X,MATCH($A162,SPPR!$A:$A,0),5)),$C162*INDEX(SPPR!$E:$X,MATCH($A162,SPPR!$A:$A,0),5),""),"")</f>
        <v/>
      </c>
      <c r="I162">
        <f>IFERROR(IF(ISNUMBER(INDEX(SPPR!$E:$X,MATCH($A162,SPPR!$A:$A,0),6)),$C162*INDEX(SPPR!$E:$X,MATCH($A162,SPPR!$A:$A,0),6),""),"")</f>
        <v/>
      </c>
      <c r="J162">
        <f>IFERROR(IF(ISNUMBER(INDEX(SPPR!$E:$X,MATCH($A162,SPPR!$A:$A,0),7)),$C162*INDEX(SPPR!$E:$X,MATCH($A162,SPPR!$A:$A,0),7),""),"")</f>
        <v/>
      </c>
      <c r="K162">
        <f>IFERROR(IF(ISNUMBER(INDEX(SPPR!$E:$X,MATCH($A162,SPPR!$A:$A,0),8)),$C162*INDEX(SPPR!$E:$X,MATCH($A162,SPPR!$A:$A,0),8),""),"")</f>
        <v/>
      </c>
      <c r="L162">
        <f>IFERROR(IF(ISNUMBER(INDEX(SPPR!$E:$X,MATCH($A162,SPPR!$A:$A,0),9)),$C162*INDEX(SPPR!$E:$X,MATCH($A162,SPPR!$A:$A,0),9),""),"")</f>
        <v/>
      </c>
      <c r="M162">
        <f>IFERROR(IF(ISNUMBER(INDEX(SPPR!$E:$X,MATCH($A162,SPPR!$A:$A,0),10)),$C162*INDEX(SPPR!$E:$X,MATCH($A162,SPPR!$A:$A,0),10),""),"")</f>
        <v/>
      </c>
      <c r="N162">
        <f>IFERROR(IF(ISNUMBER(INDEX(SPPR!$E:$X,MATCH($A162,SPPR!$A:$A,0),11)),$C162*INDEX(SPPR!$E:$X,MATCH($A162,SPPR!$A:$A,0),11),""),"")</f>
        <v/>
      </c>
      <c r="O162">
        <f>IFERROR(IF(ISNUMBER(INDEX(SPPR!$E:$X,MATCH($A162,SPPR!$A:$A,0),12)),$C162*INDEX(SPPR!$E:$X,MATCH($A162,SPPR!$A:$A,0),12),""),"")</f>
        <v/>
      </c>
      <c r="P162">
        <f>IFERROR(IF(ISNUMBER(INDEX(SPPR!$E:$X,MATCH($A162,SPPR!$A:$A,0),13)),$C162*INDEX(SPPR!$E:$X,MATCH($A162,SPPR!$A:$A,0),13),""),"")</f>
        <v/>
      </c>
      <c r="Q162">
        <f>IFERROR(IF(ISNUMBER(INDEX(SPPR!$E:$X,MATCH($A162,SPPR!$A:$A,0),14)),$C162*INDEX(SPPR!$E:$X,MATCH($A162,SPPR!$A:$A,0),14),""),"")</f>
        <v/>
      </c>
      <c r="R162">
        <f>IFERROR(IF(ISNUMBER(INDEX(SPPR!$E:$X,MATCH($A162,SPPR!$A:$A,0),15)),$C162*INDEX(SPPR!$E:$X,MATCH($A162,SPPR!$A:$A,0),15),""),"")</f>
        <v/>
      </c>
      <c r="S162">
        <f>IFERROR(IF(ISNUMBER(INDEX(SPPR!$E:$X,MATCH($A162,SPPR!$A:$A,0),16)),$C162*INDEX(SPPR!$E:$X,MATCH($A162,SPPR!$A:$A,0),16),""),"")</f>
        <v/>
      </c>
      <c r="T162">
        <f>IFERROR(IF(ISNUMBER(INDEX(SPPR!$E:$X,MATCH($A162,SPPR!$A:$A,0),17)),$C162*INDEX(SPPR!$E:$X,MATCH($A162,SPPR!$A:$A,0),17),""),"")</f>
        <v/>
      </c>
      <c r="U162">
        <f>IFERROR(IF(ISNUMBER(INDEX(SPPR!$E:$X,MATCH($A162,SPPR!$A:$A,0),18)),$C162*INDEX(SPPR!$E:$X,MATCH($A162,SPPR!$A:$A,0),18),""),"")</f>
        <v/>
      </c>
      <c r="V162">
        <f>IFERROR(IF(ISNUMBER(INDEX(SPPR!$E:$X,MATCH($A162,SPPR!$A:$A,0),19)),$C162*INDEX(SPPR!$E:$X,MATCH($A162,SPPR!$A:$A,0),19),""),"")</f>
        <v/>
      </c>
      <c r="W162">
        <f>IFERROR(IF(ISNUMBER(INDEX(SPPR!$E:$X,MATCH($A162,SPPR!$A:$A,0),20)),$C162*INDEX(SPPR!$E:$X,MATCH($A162,SPPR!$A:$A,0),20),""),"")</f>
        <v/>
      </c>
    </row>
    <row r="163">
      <c r="A163" t="inlineStr">
        <is>
          <t>Fistularia corneta</t>
        </is>
      </c>
      <c r="B163">
        <f>IFERROR(INDEX(SPPR!$D:$D,MATCH($A163,SPPR!$A:$A,0)),"")</f>
        <v/>
      </c>
      <c r="C163">
        <f>IFERROR(INDEX(Catch!$E:$BV,MATCH($A163,Catch!$A:$A,0),MATCH($B$4,Catch!$E$1:$BV$1,0)),0)</f>
        <v/>
      </c>
      <c r="D163">
        <f>IFERROR(IF(ISNUMBER(INDEX(SPPR!$E:$X,MATCH($A163,SPPR!$A:$A,0),1)),$C163*INDEX(SPPR!$E:$X,MATCH($A163,SPPR!$A:$A,0),1),""),"")</f>
        <v/>
      </c>
      <c r="E163">
        <f>IFERROR(IF(ISNUMBER(INDEX(SPPR!$E:$X,MATCH($A163,SPPR!$A:$A,0),2)),$C163*INDEX(SPPR!$E:$X,MATCH($A163,SPPR!$A:$A,0),2),""),"")</f>
        <v/>
      </c>
      <c r="F163">
        <f>IFERROR(IF(ISNUMBER(INDEX(SPPR!$E:$X,MATCH($A163,SPPR!$A:$A,0),3)),$C163*INDEX(SPPR!$E:$X,MATCH($A163,SPPR!$A:$A,0),3),""),"")</f>
        <v/>
      </c>
      <c r="G163">
        <f>IFERROR(IF(ISNUMBER(INDEX(SPPR!$E:$X,MATCH($A163,SPPR!$A:$A,0),4)),$C163*INDEX(SPPR!$E:$X,MATCH($A163,SPPR!$A:$A,0),4),""),"")</f>
        <v/>
      </c>
      <c r="H163">
        <f>IFERROR(IF(ISNUMBER(INDEX(SPPR!$E:$X,MATCH($A163,SPPR!$A:$A,0),5)),$C163*INDEX(SPPR!$E:$X,MATCH($A163,SPPR!$A:$A,0),5),""),"")</f>
        <v/>
      </c>
      <c r="I163">
        <f>IFERROR(IF(ISNUMBER(INDEX(SPPR!$E:$X,MATCH($A163,SPPR!$A:$A,0),6)),$C163*INDEX(SPPR!$E:$X,MATCH($A163,SPPR!$A:$A,0),6),""),"")</f>
        <v/>
      </c>
      <c r="J163">
        <f>IFERROR(IF(ISNUMBER(INDEX(SPPR!$E:$X,MATCH($A163,SPPR!$A:$A,0),7)),$C163*INDEX(SPPR!$E:$X,MATCH($A163,SPPR!$A:$A,0),7),""),"")</f>
        <v/>
      </c>
      <c r="K163">
        <f>IFERROR(IF(ISNUMBER(INDEX(SPPR!$E:$X,MATCH($A163,SPPR!$A:$A,0),8)),$C163*INDEX(SPPR!$E:$X,MATCH($A163,SPPR!$A:$A,0),8),""),"")</f>
        <v/>
      </c>
      <c r="L163">
        <f>IFERROR(IF(ISNUMBER(INDEX(SPPR!$E:$X,MATCH($A163,SPPR!$A:$A,0),9)),$C163*INDEX(SPPR!$E:$X,MATCH($A163,SPPR!$A:$A,0),9),""),"")</f>
        <v/>
      </c>
      <c r="M163">
        <f>IFERROR(IF(ISNUMBER(INDEX(SPPR!$E:$X,MATCH($A163,SPPR!$A:$A,0),10)),$C163*INDEX(SPPR!$E:$X,MATCH($A163,SPPR!$A:$A,0),10),""),"")</f>
        <v/>
      </c>
      <c r="N163">
        <f>IFERROR(IF(ISNUMBER(INDEX(SPPR!$E:$X,MATCH($A163,SPPR!$A:$A,0),11)),$C163*INDEX(SPPR!$E:$X,MATCH($A163,SPPR!$A:$A,0),11),""),"")</f>
        <v/>
      </c>
      <c r="O163">
        <f>IFERROR(IF(ISNUMBER(INDEX(SPPR!$E:$X,MATCH($A163,SPPR!$A:$A,0),12)),$C163*INDEX(SPPR!$E:$X,MATCH($A163,SPPR!$A:$A,0),12),""),"")</f>
        <v/>
      </c>
      <c r="P163">
        <f>IFERROR(IF(ISNUMBER(INDEX(SPPR!$E:$X,MATCH($A163,SPPR!$A:$A,0),13)),$C163*INDEX(SPPR!$E:$X,MATCH($A163,SPPR!$A:$A,0),13),""),"")</f>
        <v/>
      </c>
      <c r="Q163">
        <f>IFERROR(IF(ISNUMBER(INDEX(SPPR!$E:$X,MATCH($A163,SPPR!$A:$A,0),14)),$C163*INDEX(SPPR!$E:$X,MATCH($A163,SPPR!$A:$A,0),14),""),"")</f>
        <v/>
      </c>
      <c r="R163">
        <f>IFERROR(IF(ISNUMBER(INDEX(SPPR!$E:$X,MATCH($A163,SPPR!$A:$A,0),15)),$C163*INDEX(SPPR!$E:$X,MATCH($A163,SPPR!$A:$A,0),15),""),"")</f>
        <v/>
      </c>
      <c r="S163">
        <f>IFERROR(IF(ISNUMBER(INDEX(SPPR!$E:$X,MATCH($A163,SPPR!$A:$A,0),16)),$C163*INDEX(SPPR!$E:$X,MATCH($A163,SPPR!$A:$A,0),16),""),"")</f>
        <v/>
      </c>
      <c r="T163">
        <f>IFERROR(IF(ISNUMBER(INDEX(SPPR!$E:$X,MATCH($A163,SPPR!$A:$A,0),17)),$C163*INDEX(SPPR!$E:$X,MATCH($A163,SPPR!$A:$A,0),17),""),"")</f>
        <v/>
      </c>
      <c r="U163">
        <f>IFERROR(IF(ISNUMBER(INDEX(SPPR!$E:$X,MATCH($A163,SPPR!$A:$A,0),18)),$C163*INDEX(SPPR!$E:$X,MATCH($A163,SPPR!$A:$A,0),18),""),"")</f>
        <v/>
      </c>
      <c r="V163">
        <f>IFERROR(IF(ISNUMBER(INDEX(SPPR!$E:$X,MATCH($A163,SPPR!$A:$A,0),19)),$C163*INDEX(SPPR!$E:$X,MATCH($A163,SPPR!$A:$A,0),19),""),"")</f>
        <v/>
      </c>
      <c r="W163">
        <f>IFERROR(IF(ISNUMBER(INDEX(SPPR!$E:$X,MATCH($A163,SPPR!$A:$A,0),20)),$C163*INDEX(SPPR!$E:$X,MATCH($A163,SPPR!$A:$A,0),20),""),"")</f>
        <v/>
      </c>
    </row>
    <row r="164">
      <c r="A164" t="inlineStr">
        <is>
          <t>Trichiuridae</t>
        </is>
      </c>
      <c r="B164">
        <f>IFERROR(INDEX(SPPR!$D:$D,MATCH($A164,SPPR!$A:$A,0)),"")</f>
        <v/>
      </c>
      <c r="C164">
        <f>IFERROR(INDEX(Catch!$E:$BV,MATCH($A164,Catch!$A:$A,0),MATCH($B$4,Catch!$E$1:$BV$1,0)),0)</f>
        <v/>
      </c>
      <c r="D164">
        <f>IFERROR(IF(ISNUMBER(INDEX(SPPR!$E:$X,MATCH($A164,SPPR!$A:$A,0),1)),$C164*INDEX(SPPR!$E:$X,MATCH($A164,SPPR!$A:$A,0),1),""),"")</f>
        <v/>
      </c>
      <c r="E164">
        <f>IFERROR(IF(ISNUMBER(INDEX(SPPR!$E:$X,MATCH($A164,SPPR!$A:$A,0),2)),$C164*INDEX(SPPR!$E:$X,MATCH($A164,SPPR!$A:$A,0),2),""),"")</f>
        <v/>
      </c>
      <c r="F164">
        <f>IFERROR(IF(ISNUMBER(INDEX(SPPR!$E:$X,MATCH($A164,SPPR!$A:$A,0),3)),$C164*INDEX(SPPR!$E:$X,MATCH($A164,SPPR!$A:$A,0),3),""),"")</f>
        <v/>
      </c>
      <c r="G164">
        <f>IFERROR(IF(ISNUMBER(INDEX(SPPR!$E:$X,MATCH($A164,SPPR!$A:$A,0),4)),$C164*INDEX(SPPR!$E:$X,MATCH($A164,SPPR!$A:$A,0),4),""),"")</f>
        <v/>
      </c>
      <c r="H164">
        <f>IFERROR(IF(ISNUMBER(INDEX(SPPR!$E:$X,MATCH($A164,SPPR!$A:$A,0),5)),$C164*INDEX(SPPR!$E:$X,MATCH($A164,SPPR!$A:$A,0),5),""),"")</f>
        <v/>
      </c>
      <c r="I164">
        <f>IFERROR(IF(ISNUMBER(INDEX(SPPR!$E:$X,MATCH($A164,SPPR!$A:$A,0),6)),$C164*INDEX(SPPR!$E:$X,MATCH($A164,SPPR!$A:$A,0),6),""),"")</f>
        <v/>
      </c>
      <c r="J164">
        <f>IFERROR(IF(ISNUMBER(INDEX(SPPR!$E:$X,MATCH($A164,SPPR!$A:$A,0),7)),$C164*INDEX(SPPR!$E:$X,MATCH($A164,SPPR!$A:$A,0),7),""),"")</f>
        <v/>
      </c>
      <c r="K164">
        <f>IFERROR(IF(ISNUMBER(INDEX(SPPR!$E:$X,MATCH($A164,SPPR!$A:$A,0),8)),$C164*INDEX(SPPR!$E:$X,MATCH($A164,SPPR!$A:$A,0),8),""),"")</f>
        <v/>
      </c>
      <c r="L164">
        <f>IFERROR(IF(ISNUMBER(INDEX(SPPR!$E:$X,MATCH($A164,SPPR!$A:$A,0),9)),$C164*INDEX(SPPR!$E:$X,MATCH($A164,SPPR!$A:$A,0),9),""),"")</f>
        <v/>
      </c>
      <c r="M164">
        <f>IFERROR(IF(ISNUMBER(INDEX(SPPR!$E:$X,MATCH($A164,SPPR!$A:$A,0),10)),$C164*INDEX(SPPR!$E:$X,MATCH($A164,SPPR!$A:$A,0),10),""),"")</f>
        <v/>
      </c>
      <c r="N164">
        <f>IFERROR(IF(ISNUMBER(INDEX(SPPR!$E:$X,MATCH($A164,SPPR!$A:$A,0),11)),$C164*INDEX(SPPR!$E:$X,MATCH($A164,SPPR!$A:$A,0),11),""),"")</f>
        <v/>
      </c>
      <c r="O164">
        <f>IFERROR(IF(ISNUMBER(INDEX(SPPR!$E:$X,MATCH($A164,SPPR!$A:$A,0),12)),$C164*INDEX(SPPR!$E:$X,MATCH($A164,SPPR!$A:$A,0),12),""),"")</f>
        <v/>
      </c>
      <c r="P164">
        <f>IFERROR(IF(ISNUMBER(INDEX(SPPR!$E:$X,MATCH($A164,SPPR!$A:$A,0),13)),$C164*INDEX(SPPR!$E:$X,MATCH($A164,SPPR!$A:$A,0),13),""),"")</f>
        <v/>
      </c>
      <c r="Q164">
        <f>IFERROR(IF(ISNUMBER(INDEX(SPPR!$E:$X,MATCH($A164,SPPR!$A:$A,0),14)),$C164*INDEX(SPPR!$E:$X,MATCH($A164,SPPR!$A:$A,0),14),""),"")</f>
        <v/>
      </c>
      <c r="R164">
        <f>IFERROR(IF(ISNUMBER(INDEX(SPPR!$E:$X,MATCH($A164,SPPR!$A:$A,0),15)),$C164*INDEX(SPPR!$E:$X,MATCH($A164,SPPR!$A:$A,0),15),""),"")</f>
        <v/>
      </c>
      <c r="S164">
        <f>IFERROR(IF(ISNUMBER(INDEX(SPPR!$E:$X,MATCH($A164,SPPR!$A:$A,0),16)),$C164*INDEX(SPPR!$E:$X,MATCH($A164,SPPR!$A:$A,0),16),""),"")</f>
        <v/>
      </c>
      <c r="T164">
        <f>IFERROR(IF(ISNUMBER(INDEX(SPPR!$E:$X,MATCH($A164,SPPR!$A:$A,0),17)),$C164*INDEX(SPPR!$E:$X,MATCH($A164,SPPR!$A:$A,0),17),""),"")</f>
        <v/>
      </c>
      <c r="U164">
        <f>IFERROR(IF(ISNUMBER(INDEX(SPPR!$E:$X,MATCH($A164,SPPR!$A:$A,0),18)),$C164*INDEX(SPPR!$E:$X,MATCH($A164,SPPR!$A:$A,0),18),""),"")</f>
        <v/>
      </c>
      <c r="V164">
        <f>IFERROR(IF(ISNUMBER(INDEX(SPPR!$E:$X,MATCH($A164,SPPR!$A:$A,0),19)),$C164*INDEX(SPPR!$E:$X,MATCH($A164,SPPR!$A:$A,0),19),""),"")</f>
        <v/>
      </c>
      <c r="W164">
        <f>IFERROR(IF(ISNUMBER(INDEX(SPPR!$E:$X,MATCH($A164,SPPR!$A:$A,0),20)),$C164*INDEX(SPPR!$E:$X,MATCH($A164,SPPR!$A:$A,0),20),""),"")</f>
        <v/>
      </c>
    </row>
    <row r="165">
      <c r="A165" t="inlineStr">
        <is>
          <t>Cynoglossidae</t>
        </is>
      </c>
      <c r="B165">
        <f>IFERROR(INDEX(SPPR!$D:$D,MATCH($A165,SPPR!$A:$A,0)),"")</f>
        <v/>
      </c>
      <c r="C165">
        <f>IFERROR(INDEX(Catch!$E:$BV,MATCH($A165,Catch!$A:$A,0),MATCH($B$4,Catch!$E$1:$BV$1,0)),0)</f>
        <v/>
      </c>
      <c r="D165">
        <f>IFERROR(IF(ISNUMBER(INDEX(SPPR!$E:$X,MATCH($A165,SPPR!$A:$A,0),1)),$C165*INDEX(SPPR!$E:$X,MATCH($A165,SPPR!$A:$A,0),1),""),"")</f>
        <v/>
      </c>
      <c r="E165">
        <f>IFERROR(IF(ISNUMBER(INDEX(SPPR!$E:$X,MATCH($A165,SPPR!$A:$A,0),2)),$C165*INDEX(SPPR!$E:$X,MATCH($A165,SPPR!$A:$A,0),2),""),"")</f>
        <v/>
      </c>
      <c r="F165">
        <f>IFERROR(IF(ISNUMBER(INDEX(SPPR!$E:$X,MATCH($A165,SPPR!$A:$A,0),3)),$C165*INDEX(SPPR!$E:$X,MATCH($A165,SPPR!$A:$A,0),3),""),"")</f>
        <v/>
      </c>
      <c r="G165">
        <f>IFERROR(IF(ISNUMBER(INDEX(SPPR!$E:$X,MATCH($A165,SPPR!$A:$A,0),4)),$C165*INDEX(SPPR!$E:$X,MATCH($A165,SPPR!$A:$A,0),4),""),"")</f>
        <v/>
      </c>
      <c r="H165">
        <f>IFERROR(IF(ISNUMBER(INDEX(SPPR!$E:$X,MATCH($A165,SPPR!$A:$A,0),5)),$C165*INDEX(SPPR!$E:$X,MATCH($A165,SPPR!$A:$A,0),5),""),"")</f>
        <v/>
      </c>
      <c r="I165">
        <f>IFERROR(IF(ISNUMBER(INDEX(SPPR!$E:$X,MATCH($A165,SPPR!$A:$A,0),6)),$C165*INDEX(SPPR!$E:$X,MATCH($A165,SPPR!$A:$A,0),6),""),"")</f>
        <v/>
      </c>
      <c r="J165">
        <f>IFERROR(IF(ISNUMBER(INDEX(SPPR!$E:$X,MATCH($A165,SPPR!$A:$A,0),7)),$C165*INDEX(SPPR!$E:$X,MATCH($A165,SPPR!$A:$A,0),7),""),"")</f>
        <v/>
      </c>
      <c r="K165">
        <f>IFERROR(IF(ISNUMBER(INDEX(SPPR!$E:$X,MATCH($A165,SPPR!$A:$A,0),8)),$C165*INDEX(SPPR!$E:$X,MATCH($A165,SPPR!$A:$A,0),8),""),"")</f>
        <v/>
      </c>
      <c r="L165">
        <f>IFERROR(IF(ISNUMBER(INDEX(SPPR!$E:$X,MATCH($A165,SPPR!$A:$A,0),9)),$C165*INDEX(SPPR!$E:$X,MATCH($A165,SPPR!$A:$A,0),9),""),"")</f>
        <v/>
      </c>
      <c r="M165">
        <f>IFERROR(IF(ISNUMBER(INDEX(SPPR!$E:$X,MATCH($A165,SPPR!$A:$A,0),10)),$C165*INDEX(SPPR!$E:$X,MATCH($A165,SPPR!$A:$A,0),10),""),"")</f>
        <v/>
      </c>
      <c r="N165">
        <f>IFERROR(IF(ISNUMBER(INDEX(SPPR!$E:$X,MATCH($A165,SPPR!$A:$A,0),11)),$C165*INDEX(SPPR!$E:$X,MATCH($A165,SPPR!$A:$A,0),11),""),"")</f>
        <v/>
      </c>
      <c r="O165">
        <f>IFERROR(IF(ISNUMBER(INDEX(SPPR!$E:$X,MATCH($A165,SPPR!$A:$A,0),12)),$C165*INDEX(SPPR!$E:$X,MATCH($A165,SPPR!$A:$A,0),12),""),"")</f>
        <v/>
      </c>
      <c r="P165">
        <f>IFERROR(IF(ISNUMBER(INDEX(SPPR!$E:$X,MATCH($A165,SPPR!$A:$A,0),13)),$C165*INDEX(SPPR!$E:$X,MATCH($A165,SPPR!$A:$A,0),13),""),"")</f>
        <v/>
      </c>
      <c r="Q165">
        <f>IFERROR(IF(ISNUMBER(INDEX(SPPR!$E:$X,MATCH($A165,SPPR!$A:$A,0),14)),$C165*INDEX(SPPR!$E:$X,MATCH($A165,SPPR!$A:$A,0),14),""),"")</f>
        <v/>
      </c>
      <c r="R165">
        <f>IFERROR(IF(ISNUMBER(INDEX(SPPR!$E:$X,MATCH($A165,SPPR!$A:$A,0),15)),$C165*INDEX(SPPR!$E:$X,MATCH($A165,SPPR!$A:$A,0),15),""),"")</f>
        <v/>
      </c>
      <c r="S165">
        <f>IFERROR(IF(ISNUMBER(INDEX(SPPR!$E:$X,MATCH($A165,SPPR!$A:$A,0),16)),$C165*INDEX(SPPR!$E:$X,MATCH($A165,SPPR!$A:$A,0),16),""),"")</f>
        <v/>
      </c>
      <c r="T165">
        <f>IFERROR(IF(ISNUMBER(INDEX(SPPR!$E:$X,MATCH($A165,SPPR!$A:$A,0),17)),$C165*INDEX(SPPR!$E:$X,MATCH($A165,SPPR!$A:$A,0),17),""),"")</f>
        <v/>
      </c>
      <c r="U165">
        <f>IFERROR(IF(ISNUMBER(INDEX(SPPR!$E:$X,MATCH($A165,SPPR!$A:$A,0),18)),$C165*INDEX(SPPR!$E:$X,MATCH($A165,SPPR!$A:$A,0),18),""),"")</f>
        <v/>
      </c>
      <c r="V165">
        <f>IFERROR(IF(ISNUMBER(INDEX(SPPR!$E:$X,MATCH($A165,SPPR!$A:$A,0),19)),$C165*INDEX(SPPR!$E:$X,MATCH($A165,SPPR!$A:$A,0),19),""),"")</f>
        <v/>
      </c>
      <c r="W165">
        <f>IFERROR(IF(ISNUMBER(INDEX(SPPR!$E:$X,MATCH($A165,SPPR!$A:$A,0),20)),$C165*INDEX(SPPR!$E:$X,MATCH($A165,SPPR!$A:$A,0),20),""),"")</f>
        <v/>
      </c>
    </row>
    <row r="166">
      <c r="A166" t="inlineStr">
        <is>
          <t>Lampris guttatus</t>
        </is>
      </c>
      <c r="B166">
        <f>IFERROR(INDEX(SPPR!$D:$D,MATCH($A166,SPPR!$A:$A,0)),"")</f>
        <v/>
      </c>
      <c r="C166">
        <f>IFERROR(INDEX(Catch!$E:$BV,MATCH($A166,Catch!$A:$A,0),MATCH($B$4,Catch!$E$1:$BV$1,0)),0)</f>
        <v/>
      </c>
      <c r="D166">
        <f>IFERROR(IF(ISNUMBER(INDEX(SPPR!$E:$X,MATCH($A166,SPPR!$A:$A,0),1)),$C166*INDEX(SPPR!$E:$X,MATCH($A166,SPPR!$A:$A,0),1),""),"")</f>
        <v/>
      </c>
      <c r="E166">
        <f>IFERROR(IF(ISNUMBER(INDEX(SPPR!$E:$X,MATCH($A166,SPPR!$A:$A,0),2)),$C166*INDEX(SPPR!$E:$X,MATCH($A166,SPPR!$A:$A,0),2),""),"")</f>
        <v/>
      </c>
      <c r="F166">
        <f>IFERROR(IF(ISNUMBER(INDEX(SPPR!$E:$X,MATCH($A166,SPPR!$A:$A,0),3)),$C166*INDEX(SPPR!$E:$X,MATCH($A166,SPPR!$A:$A,0),3),""),"")</f>
        <v/>
      </c>
      <c r="G166">
        <f>IFERROR(IF(ISNUMBER(INDEX(SPPR!$E:$X,MATCH($A166,SPPR!$A:$A,0),4)),$C166*INDEX(SPPR!$E:$X,MATCH($A166,SPPR!$A:$A,0),4),""),"")</f>
        <v/>
      </c>
      <c r="H166">
        <f>IFERROR(IF(ISNUMBER(INDEX(SPPR!$E:$X,MATCH($A166,SPPR!$A:$A,0),5)),$C166*INDEX(SPPR!$E:$X,MATCH($A166,SPPR!$A:$A,0),5),""),"")</f>
        <v/>
      </c>
      <c r="I166">
        <f>IFERROR(IF(ISNUMBER(INDEX(SPPR!$E:$X,MATCH($A166,SPPR!$A:$A,0),6)),$C166*INDEX(SPPR!$E:$X,MATCH($A166,SPPR!$A:$A,0),6),""),"")</f>
        <v/>
      </c>
      <c r="J166">
        <f>IFERROR(IF(ISNUMBER(INDEX(SPPR!$E:$X,MATCH($A166,SPPR!$A:$A,0),7)),$C166*INDEX(SPPR!$E:$X,MATCH($A166,SPPR!$A:$A,0),7),""),"")</f>
        <v/>
      </c>
      <c r="K166">
        <f>IFERROR(IF(ISNUMBER(INDEX(SPPR!$E:$X,MATCH($A166,SPPR!$A:$A,0),8)),$C166*INDEX(SPPR!$E:$X,MATCH($A166,SPPR!$A:$A,0),8),""),"")</f>
        <v/>
      </c>
      <c r="L166">
        <f>IFERROR(IF(ISNUMBER(INDEX(SPPR!$E:$X,MATCH($A166,SPPR!$A:$A,0),9)),$C166*INDEX(SPPR!$E:$X,MATCH($A166,SPPR!$A:$A,0),9),""),"")</f>
        <v/>
      </c>
      <c r="M166">
        <f>IFERROR(IF(ISNUMBER(INDEX(SPPR!$E:$X,MATCH($A166,SPPR!$A:$A,0),10)),$C166*INDEX(SPPR!$E:$X,MATCH($A166,SPPR!$A:$A,0),10),""),"")</f>
        <v/>
      </c>
      <c r="N166">
        <f>IFERROR(IF(ISNUMBER(INDEX(SPPR!$E:$X,MATCH($A166,SPPR!$A:$A,0),11)),$C166*INDEX(SPPR!$E:$X,MATCH($A166,SPPR!$A:$A,0),11),""),"")</f>
        <v/>
      </c>
      <c r="O166">
        <f>IFERROR(IF(ISNUMBER(INDEX(SPPR!$E:$X,MATCH($A166,SPPR!$A:$A,0),12)),$C166*INDEX(SPPR!$E:$X,MATCH($A166,SPPR!$A:$A,0),12),""),"")</f>
        <v/>
      </c>
      <c r="P166">
        <f>IFERROR(IF(ISNUMBER(INDEX(SPPR!$E:$X,MATCH($A166,SPPR!$A:$A,0),13)),$C166*INDEX(SPPR!$E:$X,MATCH($A166,SPPR!$A:$A,0),13),""),"")</f>
        <v/>
      </c>
      <c r="Q166">
        <f>IFERROR(IF(ISNUMBER(INDEX(SPPR!$E:$X,MATCH($A166,SPPR!$A:$A,0),14)),$C166*INDEX(SPPR!$E:$X,MATCH($A166,SPPR!$A:$A,0),14),""),"")</f>
        <v/>
      </c>
      <c r="R166">
        <f>IFERROR(IF(ISNUMBER(INDEX(SPPR!$E:$X,MATCH($A166,SPPR!$A:$A,0),15)),$C166*INDEX(SPPR!$E:$X,MATCH($A166,SPPR!$A:$A,0),15),""),"")</f>
        <v/>
      </c>
      <c r="S166">
        <f>IFERROR(IF(ISNUMBER(INDEX(SPPR!$E:$X,MATCH($A166,SPPR!$A:$A,0),16)),$C166*INDEX(SPPR!$E:$X,MATCH($A166,SPPR!$A:$A,0),16),""),"")</f>
        <v/>
      </c>
      <c r="T166">
        <f>IFERROR(IF(ISNUMBER(INDEX(SPPR!$E:$X,MATCH($A166,SPPR!$A:$A,0),17)),$C166*INDEX(SPPR!$E:$X,MATCH($A166,SPPR!$A:$A,0),17),""),"")</f>
        <v/>
      </c>
      <c r="U166">
        <f>IFERROR(IF(ISNUMBER(INDEX(SPPR!$E:$X,MATCH($A166,SPPR!$A:$A,0),18)),$C166*INDEX(SPPR!$E:$X,MATCH($A166,SPPR!$A:$A,0),18),""),"")</f>
        <v/>
      </c>
      <c r="V166">
        <f>IFERROR(IF(ISNUMBER(INDEX(SPPR!$E:$X,MATCH($A166,SPPR!$A:$A,0),19)),$C166*INDEX(SPPR!$E:$X,MATCH($A166,SPPR!$A:$A,0),19),""),"")</f>
        <v/>
      </c>
      <c r="W166">
        <f>IFERROR(IF(ISNUMBER(INDEX(SPPR!$E:$X,MATCH($A166,SPPR!$A:$A,0),20)),$C166*INDEX(SPPR!$E:$X,MATCH($A166,SPPR!$A:$A,0),20),""),"")</f>
        <v/>
      </c>
    </row>
    <row r="167">
      <c r="A167" t="inlineStr">
        <is>
          <t>Epinephelus</t>
        </is>
      </c>
      <c r="B167">
        <f>IFERROR(INDEX(SPPR!$D:$D,MATCH($A167,SPPR!$A:$A,0)),"")</f>
        <v/>
      </c>
      <c r="C167">
        <f>IFERROR(INDEX(Catch!$E:$BV,MATCH($A167,Catch!$A:$A,0),MATCH($B$4,Catch!$E$1:$BV$1,0)),0)</f>
        <v/>
      </c>
      <c r="D167">
        <f>IFERROR(IF(ISNUMBER(INDEX(SPPR!$E:$X,MATCH($A167,SPPR!$A:$A,0),1)),$C167*INDEX(SPPR!$E:$X,MATCH($A167,SPPR!$A:$A,0),1),""),"")</f>
        <v/>
      </c>
      <c r="E167">
        <f>IFERROR(IF(ISNUMBER(INDEX(SPPR!$E:$X,MATCH($A167,SPPR!$A:$A,0),2)),$C167*INDEX(SPPR!$E:$X,MATCH($A167,SPPR!$A:$A,0),2),""),"")</f>
        <v/>
      </c>
      <c r="F167">
        <f>IFERROR(IF(ISNUMBER(INDEX(SPPR!$E:$X,MATCH($A167,SPPR!$A:$A,0),3)),$C167*INDEX(SPPR!$E:$X,MATCH($A167,SPPR!$A:$A,0),3),""),"")</f>
        <v/>
      </c>
      <c r="G167">
        <f>IFERROR(IF(ISNUMBER(INDEX(SPPR!$E:$X,MATCH($A167,SPPR!$A:$A,0),4)),$C167*INDEX(SPPR!$E:$X,MATCH($A167,SPPR!$A:$A,0),4),""),"")</f>
        <v/>
      </c>
      <c r="H167">
        <f>IFERROR(IF(ISNUMBER(INDEX(SPPR!$E:$X,MATCH($A167,SPPR!$A:$A,0),5)),$C167*INDEX(SPPR!$E:$X,MATCH($A167,SPPR!$A:$A,0),5),""),"")</f>
        <v/>
      </c>
      <c r="I167">
        <f>IFERROR(IF(ISNUMBER(INDEX(SPPR!$E:$X,MATCH($A167,SPPR!$A:$A,0),6)),$C167*INDEX(SPPR!$E:$X,MATCH($A167,SPPR!$A:$A,0),6),""),"")</f>
        <v/>
      </c>
      <c r="J167">
        <f>IFERROR(IF(ISNUMBER(INDEX(SPPR!$E:$X,MATCH($A167,SPPR!$A:$A,0),7)),$C167*INDEX(SPPR!$E:$X,MATCH($A167,SPPR!$A:$A,0),7),""),"")</f>
        <v/>
      </c>
      <c r="K167">
        <f>IFERROR(IF(ISNUMBER(INDEX(SPPR!$E:$X,MATCH($A167,SPPR!$A:$A,0),8)),$C167*INDEX(SPPR!$E:$X,MATCH($A167,SPPR!$A:$A,0),8),""),"")</f>
        <v/>
      </c>
      <c r="L167">
        <f>IFERROR(IF(ISNUMBER(INDEX(SPPR!$E:$X,MATCH($A167,SPPR!$A:$A,0),9)),$C167*INDEX(SPPR!$E:$X,MATCH($A167,SPPR!$A:$A,0),9),""),"")</f>
        <v/>
      </c>
      <c r="M167">
        <f>IFERROR(IF(ISNUMBER(INDEX(SPPR!$E:$X,MATCH($A167,SPPR!$A:$A,0),10)),$C167*INDEX(SPPR!$E:$X,MATCH($A167,SPPR!$A:$A,0),10),""),"")</f>
        <v/>
      </c>
      <c r="N167">
        <f>IFERROR(IF(ISNUMBER(INDEX(SPPR!$E:$X,MATCH($A167,SPPR!$A:$A,0),11)),$C167*INDEX(SPPR!$E:$X,MATCH($A167,SPPR!$A:$A,0),11),""),"")</f>
        <v/>
      </c>
      <c r="O167">
        <f>IFERROR(IF(ISNUMBER(INDEX(SPPR!$E:$X,MATCH($A167,SPPR!$A:$A,0),12)),$C167*INDEX(SPPR!$E:$X,MATCH($A167,SPPR!$A:$A,0),12),""),"")</f>
        <v/>
      </c>
      <c r="P167">
        <f>IFERROR(IF(ISNUMBER(INDEX(SPPR!$E:$X,MATCH($A167,SPPR!$A:$A,0),13)),$C167*INDEX(SPPR!$E:$X,MATCH($A167,SPPR!$A:$A,0),13),""),"")</f>
        <v/>
      </c>
      <c r="Q167">
        <f>IFERROR(IF(ISNUMBER(INDEX(SPPR!$E:$X,MATCH($A167,SPPR!$A:$A,0),14)),$C167*INDEX(SPPR!$E:$X,MATCH($A167,SPPR!$A:$A,0),14),""),"")</f>
        <v/>
      </c>
      <c r="R167">
        <f>IFERROR(IF(ISNUMBER(INDEX(SPPR!$E:$X,MATCH($A167,SPPR!$A:$A,0),15)),$C167*INDEX(SPPR!$E:$X,MATCH($A167,SPPR!$A:$A,0),15),""),"")</f>
        <v/>
      </c>
      <c r="S167">
        <f>IFERROR(IF(ISNUMBER(INDEX(SPPR!$E:$X,MATCH($A167,SPPR!$A:$A,0),16)),$C167*INDEX(SPPR!$E:$X,MATCH($A167,SPPR!$A:$A,0),16),""),"")</f>
        <v/>
      </c>
      <c r="T167">
        <f>IFERROR(IF(ISNUMBER(INDEX(SPPR!$E:$X,MATCH($A167,SPPR!$A:$A,0),17)),$C167*INDEX(SPPR!$E:$X,MATCH($A167,SPPR!$A:$A,0),17),""),"")</f>
        <v/>
      </c>
      <c r="U167">
        <f>IFERROR(IF(ISNUMBER(INDEX(SPPR!$E:$X,MATCH($A167,SPPR!$A:$A,0),18)),$C167*INDEX(SPPR!$E:$X,MATCH($A167,SPPR!$A:$A,0),18),""),"")</f>
        <v/>
      </c>
      <c r="V167">
        <f>IFERROR(IF(ISNUMBER(INDEX(SPPR!$E:$X,MATCH($A167,SPPR!$A:$A,0),19)),$C167*INDEX(SPPR!$E:$X,MATCH($A167,SPPR!$A:$A,0),19),""),"")</f>
        <v/>
      </c>
      <c r="W167">
        <f>IFERROR(IF(ISNUMBER(INDEX(SPPR!$E:$X,MATCH($A167,SPPR!$A:$A,0),20)),$C167*INDEX(SPPR!$E:$X,MATCH($A167,SPPR!$A:$A,0),20),""),"")</f>
        <v/>
      </c>
    </row>
    <row r="168">
      <c r="A168" t="inlineStr">
        <is>
          <t>Isurus</t>
        </is>
      </c>
      <c r="B168">
        <f>IFERROR(INDEX(SPPR!$D:$D,MATCH($A168,SPPR!$A:$A,0)),"")</f>
        <v/>
      </c>
      <c r="C168">
        <f>IFERROR(INDEX(Catch!$E:$BV,MATCH($A168,Catch!$A:$A,0),MATCH($B$4,Catch!$E$1:$BV$1,0)),0)</f>
        <v/>
      </c>
      <c r="D168">
        <f>IFERROR(IF(ISNUMBER(INDEX(SPPR!$E:$X,MATCH($A168,SPPR!$A:$A,0),1)),$C168*INDEX(SPPR!$E:$X,MATCH($A168,SPPR!$A:$A,0),1),""),"")</f>
        <v/>
      </c>
      <c r="E168">
        <f>IFERROR(IF(ISNUMBER(INDEX(SPPR!$E:$X,MATCH($A168,SPPR!$A:$A,0),2)),$C168*INDEX(SPPR!$E:$X,MATCH($A168,SPPR!$A:$A,0),2),""),"")</f>
        <v/>
      </c>
      <c r="F168">
        <f>IFERROR(IF(ISNUMBER(INDEX(SPPR!$E:$X,MATCH($A168,SPPR!$A:$A,0),3)),$C168*INDEX(SPPR!$E:$X,MATCH($A168,SPPR!$A:$A,0),3),""),"")</f>
        <v/>
      </c>
      <c r="G168">
        <f>IFERROR(IF(ISNUMBER(INDEX(SPPR!$E:$X,MATCH($A168,SPPR!$A:$A,0),4)),$C168*INDEX(SPPR!$E:$X,MATCH($A168,SPPR!$A:$A,0),4),""),"")</f>
        <v/>
      </c>
      <c r="H168">
        <f>IFERROR(IF(ISNUMBER(INDEX(SPPR!$E:$X,MATCH($A168,SPPR!$A:$A,0),5)),$C168*INDEX(SPPR!$E:$X,MATCH($A168,SPPR!$A:$A,0),5),""),"")</f>
        <v/>
      </c>
      <c r="I168">
        <f>IFERROR(IF(ISNUMBER(INDEX(SPPR!$E:$X,MATCH($A168,SPPR!$A:$A,0),6)),$C168*INDEX(SPPR!$E:$X,MATCH($A168,SPPR!$A:$A,0),6),""),"")</f>
        <v/>
      </c>
      <c r="J168">
        <f>IFERROR(IF(ISNUMBER(INDEX(SPPR!$E:$X,MATCH($A168,SPPR!$A:$A,0),7)),$C168*INDEX(SPPR!$E:$X,MATCH($A168,SPPR!$A:$A,0),7),""),"")</f>
        <v/>
      </c>
      <c r="K168">
        <f>IFERROR(IF(ISNUMBER(INDEX(SPPR!$E:$X,MATCH($A168,SPPR!$A:$A,0),8)),$C168*INDEX(SPPR!$E:$X,MATCH($A168,SPPR!$A:$A,0),8),""),"")</f>
        <v/>
      </c>
      <c r="L168">
        <f>IFERROR(IF(ISNUMBER(INDEX(SPPR!$E:$X,MATCH($A168,SPPR!$A:$A,0),9)),$C168*INDEX(SPPR!$E:$X,MATCH($A168,SPPR!$A:$A,0),9),""),"")</f>
        <v/>
      </c>
      <c r="M168">
        <f>IFERROR(IF(ISNUMBER(INDEX(SPPR!$E:$X,MATCH($A168,SPPR!$A:$A,0),10)),$C168*INDEX(SPPR!$E:$X,MATCH($A168,SPPR!$A:$A,0),10),""),"")</f>
        <v/>
      </c>
      <c r="N168">
        <f>IFERROR(IF(ISNUMBER(INDEX(SPPR!$E:$X,MATCH($A168,SPPR!$A:$A,0),11)),$C168*INDEX(SPPR!$E:$X,MATCH($A168,SPPR!$A:$A,0),11),""),"")</f>
        <v/>
      </c>
      <c r="O168">
        <f>IFERROR(IF(ISNUMBER(INDEX(SPPR!$E:$X,MATCH($A168,SPPR!$A:$A,0),12)),$C168*INDEX(SPPR!$E:$X,MATCH($A168,SPPR!$A:$A,0),12),""),"")</f>
        <v/>
      </c>
      <c r="P168">
        <f>IFERROR(IF(ISNUMBER(INDEX(SPPR!$E:$X,MATCH($A168,SPPR!$A:$A,0),13)),$C168*INDEX(SPPR!$E:$X,MATCH($A168,SPPR!$A:$A,0),13),""),"")</f>
        <v/>
      </c>
      <c r="Q168">
        <f>IFERROR(IF(ISNUMBER(INDEX(SPPR!$E:$X,MATCH($A168,SPPR!$A:$A,0),14)),$C168*INDEX(SPPR!$E:$X,MATCH($A168,SPPR!$A:$A,0),14),""),"")</f>
        <v/>
      </c>
      <c r="R168">
        <f>IFERROR(IF(ISNUMBER(INDEX(SPPR!$E:$X,MATCH($A168,SPPR!$A:$A,0),15)),$C168*INDEX(SPPR!$E:$X,MATCH($A168,SPPR!$A:$A,0),15),""),"")</f>
        <v/>
      </c>
      <c r="S168">
        <f>IFERROR(IF(ISNUMBER(INDEX(SPPR!$E:$X,MATCH($A168,SPPR!$A:$A,0),16)),$C168*INDEX(SPPR!$E:$X,MATCH($A168,SPPR!$A:$A,0),16),""),"")</f>
        <v/>
      </c>
      <c r="T168">
        <f>IFERROR(IF(ISNUMBER(INDEX(SPPR!$E:$X,MATCH($A168,SPPR!$A:$A,0),17)),$C168*INDEX(SPPR!$E:$X,MATCH($A168,SPPR!$A:$A,0),17),""),"")</f>
        <v/>
      </c>
      <c r="U168">
        <f>IFERROR(IF(ISNUMBER(INDEX(SPPR!$E:$X,MATCH($A168,SPPR!$A:$A,0),18)),$C168*INDEX(SPPR!$E:$X,MATCH($A168,SPPR!$A:$A,0),18),""),"")</f>
        <v/>
      </c>
      <c r="V168">
        <f>IFERROR(IF(ISNUMBER(INDEX(SPPR!$E:$X,MATCH($A168,SPPR!$A:$A,0),19)),$C168*INDEX(SPPR!$E:$X,MATCH($A168,SPPR!$A:$A,0),19),""),"")</f>
        <v/>
      </c>
      <c r="W168">
        <f>IFERROR(IF(ISNUMBER(INDEX(SPPR!$E:$X,MATCH($A168,SPPR!$A:$A,0),20)),$C168*INDEX(SPPR!$E:$X,MATCH($A168,SPPR!$A:$A,0),20),""),"")</f>
        <v/>
      </c>
    </row>
    <row r="169">
      <c r="A169" t="inlineStr">
        <is>
          <t>Rajidae</t>
        </is>
      </c>
      <c r="B169">
        <f>IFERROR(INDEX(SPPR!$D:$D,MATCH($A169,SPPR!$A:$A,0)),"")</f>
        <v/>
      </c>
      <c r="C169">
        <f>IFERROR(INDEX(Catch!$E:$BV,MATCH($A169,Catch!$A:$A,0),MATCH($B$4,Catch!$E$1:$BV$1,0)),0)</f>
        <v/>
      </c>
      <c r="D169">
        <f>IFERROR(IF(ISNUMBER(INDEX(SPPR!$E:$X,MATCH($A169,SPPR!$A:$A,0),1)),$C169*INDEX(SPPR!$E:$X,MATCH($A169,SPPR!$A:$A,0),1),""),"")</f>
        <v/>
      </c>
      <c r="E169">
        <f>IFERROR(IF(ISNUMBER(INDEX(SPPR!$E:$X,MATCH($A169,SPPR!$A:$A,0),2)),$C169*INDEX(SPPR!$E:$X,MATCH($A169,SPPR!$A:$A,0),2),""),"")</f>
        <v/>
      </c>
      <c r="F169">
        <f>IFERROR(IF(ISNUMBER(INDEX(SPPR!$E:$X,MATCH($A169,SPPR!$A:$A,0),3)),$C169*INDEX(SPPR!$E:$X,MATCH($A169,SPPR!$A:$A,0),3),""),"")</f>
        <v/>
      </c>
      <c r="G169">
        <f>IFERROR(IF(ISNUMBER(INDEX(SPPR!$E:$X,MATCH($A169,SPPR!$A:$A,0),4)),$C169*INDEX(SPPR!$E:$X,MATCH($A169,SPPR!$A:$A,0),4),""),"")</f>
        <v/>
      </c>
      <c r="H169">
        <f>IFERROR(IF(ISNUMBER(INDEX(SPPR!$E:$X,MATCH($A169,SPPR!$A:$A,0),5)),$C169*INDEX(SPPR!$E:$X,MATCH($A169,SPPR!$A:$A,0),5),""),"")</f>
        <v/>
      </c>
      <c r="I169">
        <f>IFERROR(IF(ISNUMBER(INDEX(SPPR!$E:$X,MATCH($A169,SPPR!$A:$A,0),6)),$C169*INDEX(SPPR!$E:$X,MATCH($A169,SPPR!$A:$A,0),6),""),"")</f>
        <v/>
      </c>
      <c r="J169">
        <f>IFERROR(IF(ISNUMBER(INDEX(SPPR!$E:$X,MATCH($A169,SPPR!$A:$A,0),7)),$C169*INDEX(SPPR!$E:$X,MATCH($A169,SPPR!$A:$A,0),7),""),"")</f>
        <v/>
      </c>
      <c r="K169">
        <f>IFERROR(IF(ISNUMBER(INDEX(SPPR!$E:$X,MATCH($A169,SPPR!$A:$A,0),8)),$C169*INDEX(SPPR!$E:$X,MATCH($A169,SPPR!$A:$A,0),8),""),"")</f>
        <v/>
      </c>
      <c r="L169">
        <f>IFERROR(IF(ISNUMBER(INDEX(SPPR!$E:$X,MATCH($A169,SPPR!$A:$A,0),9)),$C169*INDEX(SPPR!$E:$X,MATCH($A169,SPPR!$A:$A,0),9),""),"")</f>
        <v/>
      </c>
      <c r="M169">
        <f>IFERROR(IF(ISNUMBER(INDEX(SPPR!$E:$X,MATCH($A169,SPPR!$A:$A,0),10)),$C169*INDEX(SPPR!$E:$X,MATCH($A169,SPPR!$A:$A,0),10),""),"")</f>
        <v/>
      </c>
      <c r="N169">
        <f>IFERROR(IF(ISNUMBER(INDEX(SPPR!$E:$X,MATCH($A169,SPPR!$A:$A,0),11)),$C169*INDEX(SPPR!$E:$X,MATCH($A169,SPPR!$A:$A,0),11),""),"")</f>
        <v/>
      </c>
      <c r="O169">
        <f>IFERROR(IF(ISNUMBER(INDEX(SPPR!$E:$X,MATCH($A169,SPPR!$A:$A,0),12)),$C169*INDEX(SPPR!$E:$X,MATCH($A169,SPPR!$A:$A,0),12),""),"")</f>
        <v/>
      </c>
      <c r="P169">
        <f>IFERROR(IF(ISNUMBER(INDEX(SPPR!$E:$X,MATCH($A169,SPPR!$A:$A,0),13)),$C169*INDEX(SPPR!$E:$X,MATCH($A169,SPPR!$A:$A,0),13),""),"")</f>
        <v/>
      </c>
      <c r="Q169">
        <f>IFERROR(IF(ISNUMBER(INDEX(SPPR!$E:$X,MATCH($A169,SPPR!$A:$A,0),14)),$C169*INDEX(SPPR!$E:$X,MATCH($A169,SPPR!$A:$A,0),14),""),"")</f>
        <v/>
      </c>
      <c r="R169">
        <f>IFERROR(IF(ISNUMBER(INDEX(SPPR!$E:$X,MATCH($A169,SPPR!$A:$A,0),15)),$C169*INDEX(SPPR!$E:$X,MATCH($A169,SPPR!$A:$A,0),15),""),"")</f>
        <v/>
      </c>
      <c r="S169">
        <f>IFERROR(IF(ISNUMBER(INDEX(SPPR!$E:$X,MATCH($A169,SPPR!$A:$A,0),16)),$C169*INDEX(SPPR!$E:$X,MATCH($A169,SPPR!$A:$A,0),16),""),"")</f>
        <v/>
      </c>
      <c r="T169">
        <f>IFERROR(IF(ISNUMBER(INDEX(SPPR!$E:$X,MATCH($A169,SPPR!$A:$A,0),17)),$C169*INDEX(SPPR!$E:$X,MATCH($A169,SPPR!$A:$A,0),17),""),"")</f>
        <v/>
      </c>
      <c r="U169">
        <f>IFERROR(IF(ISNUMBER(INDEX(SPPR!$E:$X,MATCH($A169,SPPR!$A:$A,0),18)),$C169*INDEX(SPPR!$E:$X,MATCH($A169,SPPR!$A:$A,0),18),""),"")</f>
        <v/>
      </c>
      <c r="V169">
        <f>IFERROR(IF(ISNUMBER(INDEX(SPPR!$E:$X,MATCH($A169,SPPR!$A:$A,0),19)),$C169*INDEX(SPPR!$E:$X,MATCH($A169,SPPR!$A:$A,0),19),""),"")</f>
        <v/>
      </c>
      <c r="W169">
        <f>IFERROR(IF(ISNUMBER(INDEX(SPPR!$E:$X,MATCH($A169,SPPR!$A:$A,0),20)),$C169*INDEX(SPPR!$E:$X,MATCH($A169,SPPR!$A:$A,0),20),""),"")</f>
        <v/>
      </c>
    </row>
    <row r="170">
      <c r="A170" t="inlineStr">
        <is>
          <t>Aplodactylus punctatus</t>
        </is>
      </c>
      <c r="B170">
        <f>IFERROR(INDEX(SPPR!$D:$D,MATCH($A170,SPPR!$A:$A,0)),"")</f>
        <v/>
      </c>
      <c r="C170">
        <f>IFERROR(INDEX(Catch!$E:$BV,MATCH($A170,Catch!$A:$A,0),MATCH($B$4,Catch!$E$1:$BV$1,0)),0)</f>
        <v/>
      </c>
      <c r="D170">
        <f>IFERROR(IF(ISNUMBER(INDEX(SPPR!$E:$X,MATCH($A170,SPPR!$A:$A,0),1)),$C170*INDEX(SPPR!$E:$X,MATCH($A170,SPPR!$A:$A,0),1),""),"")</f>
        <v/>
      </c>
      <c r="E170">
        <f>IFERROR(IF(ISNUMBER(INDEX(SPPR!$E:$X,MATCH($A170,SPPR!$A:$A,0),2)),$C170*INDEX(SPPR!$E:$X,MATCH($A170,SPPR!$A:$A,0),2),""),"")</f>
        <v/>
      </c>
      <c r="F170">
        <f>IFERROR(IF(ISNUMBER(INDEX(SPPR!$E:$X,MATCH($A170,SPPR!$A:$A,0),3)),$C170*INDEX(SPPR!$E:$X,MATCH($A170,SPPR!$A:$A,0),3),""),"")</f>
        <v/>
      </c>
      <c r="G170">
        <f>IFERROR(IF(ISNUMBER(INDEX(SPPR!$E:$X,MATCH($A170,SPPR!$A:$A,0),4)),$C170*INDEX(SPPR!$E:$X,MATCH($A170,SPPR!$A:$A,0),4),""),"")</f>
        <v/>
      </c>
      <c r="H170">
        <f>IFERROR(IF(ISNUMBER(INDEX(SPPR!$E:$X,MATCH($A170,SPPR!$A:$A,0),5)),$C170*INDEX(SPPR!$E:$X,MATCH($A170,SPPR!$A:$A,0),5),""),"")</f>
        <v/>
      </c>
      <c r="I170">
        <f>IFERROR(IF(ISNUMBER(INDEX(SPPR!$E:$X,MATCH($A170,SPPR!$A:$A,0),6)),$C170*INDEX(SPPR!$E:$X,MATCH($A170,SPPR!$A:$A,0),6),""),"")</f>
        <v/>
      </c>
      <c r="J170">
        <f>IFERROR(IF(ISNUMBER(INDEX(SPPR!$E:$X,MATCH($A170,SPPR!$A:$A,0),7)),$C170*INDEX(SPPR!$E:$X,MATCH($A170,SPPR!$A:$A,0),7),""),"")</f>
        <v/>
      </c>
      <c r="K170">
        <f>IFERROR(IF(ISNUMBER(INDEX(SPPR!$E:$X,MATCH($A170,SPPR!$A:$A,0),8)),$C170*INDEX(SPPR!$E:$X,MATCH($A170,SPPR!$A:$A,0),8),""),"")</f>
        <v/>
      </c>
      <c r="L170">
        <f>IFERROR(IF(ISNUMBER(INDEX(SPPR!$E:$X,MATCH($A170,SPPR!$A:$A,0),9)),$C170*INDEX(SPPR!$E:$X,MATCH($A170,SPPR!$A:$A,0),9),""),"")</f>
        <v/>
      </c>
      <c r="M170">
        <f>IFERROR(IF(ISNUMBER(INDEX(SPPR!$E:$X,MATCH($A170,SPPR!$A:$A,0),10)),$C170*INDEX(SPPR!$E:$X,MATCH($A170,SPPR!$A:$A,0),10),""),"")</f>
        <v/>
      </c>
      <c r="N170">
        <f>IFERROR(IF(ISNUMBER(INDEX(SPPR!$E:$X,MATCH($A170,SPPR!$A:$A,0),11)),$C170*INDEX(SPPR!$E:$X,MATCH($A170,SPPR!$A:$A,0),11),""),"")</f>
        <v/>
      </c>
      <c r="O170">
        <f>IFERROR(IF(ISNUMBER(INDEX(SPPR!$E:$X,MATCH($A170,SPPR!$A:$A,0),12)),$C170*INDEX(SPPR!$E:$X,MATCH($A170,SPPR!$A:$A,0),12),""),"")</f>
        <v/>
      </c>
      <c r="P170">
        <f>IFERROR(IF(ISNUMBER(INDEX(SPPR!$E:$X,MATCH($A170,SPPR!$A:$A,0),13)),$C170*INDEX(SPPR!$E:$X,MATCH($A170,SPPR!$A:$A,0),13),""),"")</f>
        <v/>
      </c>
      <c r="Q170">
        <f>IFERROR(IF(ISNUMBER(INDEX(SPPR!$E:$X,MATCH($A170,SPPR!$A:$A,0),14)),$C170*INDEX(SPPR!$E:$X,MATCH($A170,SPPR!$A:$A,0),14),""),"")</f>
        <v/>
      </c>
      <c r="R170">
        <f>IFERROR(IF(ISNUMBER(INDEX(SPPR!$E:$X,MATCH($A170,SPPR!$A:$A,0),15)),$C170*INDEX(SPPR!$E:$X,MATCH($A170,SPPR!$A:$A,0),15),""),"")</f>
        <v/>
      </c>
      <c r="S170">
        <f>IFERROR(IF(ISNUMBER(INDEX(SPPR!$E:$X,MATCH($A170,SPPR!$A:$A,0),16)),$C170*INDEX(SPPR!$E:$X,MATCH($A170,SPPR!$A:$A,0),16),""),"")</f>
        <v/>
      </c>
      <c r="T170">
        <f>IFERROR(IF(ISNUMBER(INDEX(SPPR!$E:$X,MATCH($A170,SPPR!$A:$A,0),17)),$C170*INDEX(SPPR!$E:$X,MATCH($A170,SPPR!$A:$A,0),17),""),"")</f>
        <v/>
      </c>
      <c r="U170">
        <f>IFERROR(IF(ISNUMBER(INDEX(SPPR!$E:$X,MATCH($A170,SPPR!$A:$A,0),18)),$C170*INDEX(SPPR!$E:$X,MATCH($A170,SPPR!$A:$A,0),18),""),"")</f>
        <v/>
      </c>
      <c r="V170">
        <f>IFERROR(IF(ISNUMBER(INDEX(SPPR!$E:$X,MATCH($A170,SPPR!$A:$A,0),19)),$C170*INDEX(SPPR!$E:$X,MATCH($A170,SPPR!$A:$A,0),19),""),"")</f>
        <v/>
      </c>
      <c r="W170">
        <f>IFERROR(IF(ISNUMBER(INDEX(SPPR!$E:$X,MATCH($A170,SPPR!$A:$A,0),20)),$C170*INDEX(SPPR!$E:$X,MATCH($A170,SPPR!$A:$A,0),20),""),"")</f>
        <v/>
      </c>
    </row>
    <row r="171">
      <c r="A171" t="inlineStr">
        <is>
          <t>Euthynnus lineatus</t>
        </is>
      </c>
      <c r="B171">
        <f>IFERROR(INDEX(SPPR!$D:$D,MATCH($A171,SPPR!$A:$A,0)),"")</f>
        <v/>
      </c>
      <c r="C171">
        <f>IFERROR(INDEX(Catch!$E:$BV,MATCH($A171,Catch!$A:$A,0),MATCH($B$4,Catch!$E$1:$BV$1,0)),0)</f>
        <v/>
      </c>
      <c r="D171">
        <f>IFERROR(IF(ISNUMBER(INDEX(SPPR!$E:$X,MATCH($A171,SPPR!$A:$A,0),1)),$C171*INDEX(SPPR!$E:$X,MATCH($A171,SPPR!$A:$A,0),1),""),"")</f>
        <v/>
      </c>
      <c r="E171">
        <f>IFERROR(IF(ISNUMBER(INDEX(SPPR!$E:$X,MATCH($A171,SPPR!$A:$A,0),2)),$C171*INDEX(SPPR!$E:$X,MATCH($A171,SPPR!$A:$A,0),2),""),"")</f>
        <v/>
      </c>
      <c r="F171">
        <f>IFERROR(IF(ISNUMBER(INDEX(SPPR!$E:$X,MATCH($A171,SPPR!$A:$A,0),3)),$C171*INDEX(SPPR!$E:$X,MATCH($A171,SPPR!$A:$A,0),3),""),"")</f>
        <v/>
      </c>
      <c r="G171">
        <f>IFERROR(IF(ISNUMBER(INDEX(SPPR!$E:$X,MATCH($A171,SPPR!$A:$A,0),4)),$C171*INDEX(SPPR!$E:$X,MATCH($A171,SPPR!$A:$A,0),4),""),"")</f>
        <v/>
      </c>
      <c r="H171">
        <f>IFERROR(IF(ISNUMBER(INDEX(SPPR!$E:$X,MATCH($A171,SPPR!$A:$A,0),5)),$C171*INDEX(SPPR!$E:$X,MATCH($A171,SPPR!$A:$A,0),5),""),"")</f>
        <v/>
      </c>
      <c r="I171">
        <f>IFERROR(IF(ISNUMBER(INDEX(SPPR!$E:$X,MATCH($A171,SPPR!$A:$A,0),6)),$C171*INDEX(SPPR!$E:$X,MATCH($A171,SPPR!$A:$A,0),6),""),"")</f>
        <v/>
      </c>
      <c r="J171">
        <f>IFERROR(IF(ISNUMBER(INDEX(SPPR!$E:$X,MATCH($A171,SPPR!$A:$A,0),7)),$C171*INDEX(SPPR!$E:$X,MATCH($A171,SPPR!$A:$A,0),7),""),"")</f>
        <v/>
      </c>
      <c r="K171">
        <f>IFERROR(IF(ISNUMBER(INDEX(SPPR!$E:$X,MATCH($A171,SPPR!$A:$A,0),8)),$C171*INDEX(SPPR!$E:$X,MATCH($A171,SPPR!$A:$A,0),8),""),"")</f>
        <v/>
      </c>
      <c r="L171">
        <f>IFERROR(IF(ISNUMBER(INDEX(SPPR!$E:$X,MATCH($A171,SPPR!$A:$A,0),9)),$C171*INDEX(SPPR!$E:$X,MATCH($A171,SPPR!$A:$A,0),9),""),"")</f>
        <v/>
      </c>
      <c r="M171">
        <f>IFERROR(IF(ISNUMBER(INDEX(SPPR!$E:$X,MATCH($A171,SPPR!$A:$A,0),10)),$C171*INDEX(SPPR!$E:$X,MATCH($A171,SPPR!$A:$A,0),10),""),"")</f>
        <v/>
      </c>
      <c r="N171">
        <f>IFERROR(IF(ISNUMBER(INDEX(SPPR!$E:$X,MATCH($A171,SPPR!$A:$A,0),11)),$C171*INDEX(SPPR!$E:$X,MATCH($A171,SPPR!$A:$A,0),11),""),"")</f>
        <v/>
      </c>
      <c r="O171">
        <f>IFERROR(IF(ISNUMBER(INDEX(SPPR!$E:$X,MATCH($A171,SPPR!$A:$A,0),12)),$C171*INDEX(SPPR!$E:$X,MATCH($A171,SPPR!$A:$A,0),12),""),"")</f>
        <v/>
      </c>
      <c r="P171">
        <f>IFERROR(IF(ISNUMBER(INDEX(SPPR!$E:$X,MATCH($A171,SPPR!$A:$A,0),13)),$C171*INDEX(SPPR!$E:$X,MATCH($A171,SPPR!$A:$A,0),13),""),"")</f>
        <v/>
      </c>
      <c r="Q171">
        <f>IFERROR(IF(ISNUMBER(INDEX(SPPR!$E:$X,MATCH($A171,SPPR!$A:$A,0),14)),$C171*INDEX(SPPR!$E:$X,MATCH($A171,SPPR!$A:$A,0),14),""),"")</f>
        <v/>
      </c>
      <c r="R171">
        <f>IFERROR(IF(ISNUMBER(INDEX(SPPR!$E:$X,MATCH($A171,SPPR!$A:$A,0),15)),$C171*INDEX(SPPR!$E:$X,MATCH($A171,SPPR!$A:$A,0),15),""),"")</f>
        <v/>
      </c>
      <c r="S171">
        <f>IFERROR(IF(ISNUMBER(INDEX(SPPR!$E:$X,MATCH($A171,SPPR!$A:$A,0),16)),$C171*INDEX(SPPR!$E:$X,MATCH($A171,SPPR!$A:$A,0),16),""),"")</f>
        <v/>
      </c>
      <c r="T171">
        <f>IFERROR(IF(ISNUMBER(INDEX(SPPR!$E:$X,MATCH($A171,SPPR!$A:$A,0),17)),$C171*INDEX(SPPR!$E:$X,MATCH($A171,SPPR!$A:$A,0),17),""),"")</f>
        <v/>
      </c>
      <c r="U171">
        <f>IFERROR(IF(ISNUMBER(INDEX(SPPR!$E:$X,MATCH($A171,SPPR!$A:$A,0),18)),$C171*INDEX(SPPR!$E:$X,MATCH($A171,SPPR!$A:$A,0),18),""),"")</f>
        <v/>
      </c>
      <c r="V171">
        <f>IFERROR(IF(ISNUMBER(INDEX(SPPR!$E:$X,MATCH($A171,SPPR!$A:$A,0),19)),$C171*INDEX(SPPR!$E:$X,MATCH($A171,SPPR!$A:$A,0),19),""),"")</f>
        <v/>
      </c>
      <c r="W171">
        <f>IFERROR(IF(ISNUMBER(INDEX(SPPR!$E:$X,MATCH($A171,SPPR!$A:$A,0),20)),$C171*INDEX(SPPR!$E:$X,MATCH($A171,SPPR!$A:$A,0),20),""),"")</f>
        <v/>
      </c>
    </row>
    <row r="172">
      <c r="A172" t="inlineStr">
        <is>
          <t>Chondrichthyes</t>
        </is>
      </c>
      <c r="B172">
        <f>IFERROR(INDEX(SPPR!$D:$D,MATCH($A172,SPPR!$A:$A,0)),"")</f>
        <v/>
      </c>
      <c r="C172">
        <f>IFERROR(INDEX(Catch!$E:$BV,MATCH($A172,Catch!$A:$A,0),MATCH($B$4,Catch!$E$1:$BV$1,0)),0)</f>
        <v/>
      </c>
      <c r="D172">
        <f>IFERROR(IF(ISNUMBER(INDEX(SPPR!$E:$X,MATCH($A172,SPPR!$A:$A,0),1)),$C172*INDEX(SPPR!$E:$X,MATCH($A172,SPPR!$A:$A,0),1),""),"")</f>
        <v/>
      </c>
      <c r="E172">
        <f>IFERROR(IF(ISNUMBER(INDEX(SPPR!$E:$X,MATCH($A172,SPPR!$A:$A,0),2)),$C172*INDEX(SPPR!$E:$X,MATCH($A172,SPPR!$A:$A,0),2),""),"")</f>
        <v/>
      </c>
      <c r="F172">
        <f>IFERROR(IF(ISNUMBER(INDEX(SPPR!$E:$X,MATCH($A172,SPPR!$A:$A,0),3)),$C172*INDEX(SPPR!$E:$X,MATCH($A172,SPPR!$A:$A,0),3),""),"")</f>
        <v/>
      </c>
      <c r="G172">
        <f>IFERROR(IF(ISNUMBER(INDEX(SPPR!$E:$X,MATCH($A172,SPPR!$A:$A,0),4)),$C172*INDEX(SPPR!$E:$X,MATCH($A172,SPPR!$A:$A,0),4),""),"")</f>
        <v/>
      </c>
      <c r="H172">
        <f>IFERROR(IF(ISNUMBER(INDEX(SPPR!$E:$X,MATCH($A172,SPPR!$A:$A,0),5)),$C172*INDEX(SPPR!$E:$X,MATCH($A172,SPPR!$A:$A,0),5),""),"")</f>
        <v/>
      </c>
      <c r="I172">
        <f>IFERROR(IF(ISNUMBER(INDEX(SPPR!$E:$X,MATCH($A172,SPPR!$A:$A,0),6)),$C172*INDEX(SPPR!$E:$X,MATCH($A172,SPPR!$A:$A,0),6),""),"")</f>
        <v/>
      </c>
      <c r="J172">
        <f>IFERROR(IF(ISNUMBER(INDEX(SPPR!$E:$X,MATCH($A172,SPPR!$A:$A,0),7)),$C172*INDEX(SPPR!$E:$X,MATCH($A172,SPPR!$A:$A,0),7),""),"")</f>
        <v/>
      </c>
      <c r="K172">
        <f>IFERROR(IF(ISNUMBER(INDEX(SPPR!$E:$X,MATCH($A172,SPPR!$A:$A,0),8)),$C172*INDEX(SPPR!$E:$X,MATCH($A172,SPPR!$A:$A,0),8),""),"")</f>
        <v/>
      </c>
      <c r="L172">
        <f>IFERROR(IF(ISNUMBER(INDEX(SPPR!$E:$X,MATCH($A172,SPPR!$A:$A,0),9)),$C172*INDEX(SPPR!$E:$X,MATCH($A172,SPPR!$A:$A,0),9),""),"")</f>
        <v/>
      </c>
      <c r="M172">
        <f>IFERROR(IF(ISNUMBER(INDEX(SPPR!$E:$X,MATCH($A172,SPPR!$A:$A,0),10)),$C172*INDEX(SPPR!$E:$X,MATCH($A172,SPPR!$A:$A,0),10),""),"")</f>
        <v/>
      </c>
      <c r="N172">
        <f>IFERROR(IF(ISNUMBER(INDEX(SPPR!$E:$X,MATCH($A172,SPPR!$A:$A,0),11)),$C172*INDEX(SPPR!$E:$X,MATCH($A172,SPPR!$A:$A,0),11),""),"")</f>
        <v/>
      </c>
      <c r="O172">
        <f>IFERROR(IF(ISNUMBER(INDEX(SPPR!$E:$X,MATCH($A172,SPPR!$A:$A,0),12)),$C172*INDEX(SPPR!$E:$X,MATCH($A172,SPPR!$A:$A,0),12),""),"")</f>
        <v/>
      </c>
      <c r="P172">
        <f>IFERROR(IF(ISNUMBER(INDEX(SPPR!$E:$X,MATCH($A172,SPPR!$A:$A,0),13)),$C172*INDEX(SPPR!$E:$X,MATCH($A172,SPPR!$A:$A,0),13),""),"")</f>
        <v/>
      </c>
      <c r="Q172">
        <f>IFERROR(IF(ISNUMBER(INDEX(SPPR!$E:$X,MATCH($A172,SPPR!$A:$A,0),14)),$C172*INDEX(SPPR!$E:$X,MATCH($A172,SPPR!$A:$A,0),14),""),"")</f>
        <v/>
      </c>
      <c r="R172">
        <f>IFERROR(IF(ISNUMBER(INDEX(SPPR!$E:$X,MATCH($A172,SPPR!$A:$A,0),15)),$C172*INDEX(SPPR!$E:$X,MATCH($A172,SPPR!$A:$A,0),15),""),"")</f>
        <v/>
      </c>
      <c r="S172">
        <f>IFERROR(IF(ISNUMBER(INDEX(SPPR!$E:$X,MATCH($A172,SPPR!$A:$A,0),16)),$C172*INDEX(SPPR!$E:$X,MATCH($A172,SPPR!$A:$A,0),16),""),"")</f>
        <v/>
      </c>
      <c r="T172">
        <f>IFERROR(IF(ISNUMBER(INDEX(SPPR!$E:$X,MATCH($A172,SPPR!$A:$A,0),17)),$C172*INDEX(SPPR!$E:$X,MATCH($A172,SPPR!$A:$A,0),17),""),"")</f>
        <v/>
      </c>
      <c r="U172">
        <f>IFERROR(IF(ISNUMBER(INDEX(SPPR!$E:$X,MATCH($A172,SPPR!$A:$A,0),18)),$C172*INDEX(SPPR!$E:$X,MATCH($A172,SPPR!$A:$A,0),18),""),"")</f>
        <v/>
      </c>
      <c r="V172">
        <f>IFERROR(IF(ISNUMBER(INDEX(SPPR!$E:$X,MATCH($A172,SPPR!$A:$A,0),19)),$C172*INDEX(SPPR!$E:$X,MATCH($A172,SPPR!$A:$A,0),19),""),"")</f>
        <v/>
      </c>
      <c r="W172">
        <f>IFERROR(IF(ISNUMBER(INDEX(SPPR!$E:$X,MATCH($A172,SPPR!$A:$A,0),20)),$C172*INDEX(SPPR!$E:$X,MATCH($A172,SPPR!$A:$A,0),20),""),"")</f>
        <v/>
      </c>
    </row>
    <row r="173">
      <c r="A173" t="inlineStr">
        <is>
          <t>Thunnus orientalis</t>
        </is>
      </c>
      <c r="B173">
        <f>IFERROR(INDEX(SPPR!$D:$D,MATCH($A173,SPPR!$A:$A,0)),"")</f>
        <v/>
      </c>
      <c r="C173">
        <f>IFERROR(INDEX(Catch!$E:$BV,MATCH($A173,Catch!$A:$A,0),MATCH($B$4,Catch!$E$1:$BV$1,0)),0)</f>
        <v/>
      </c>
      <c r="D173">
        <f>IFERROR(IF(ISNUMBER(INDEX(SPPR!$E:$X,MATCH($A173,SPPR!$A:$A,0),1)),$C173*INDEX(SPPR!$E:$X,MATCH($A173,SPPR!$A:$A,0),1),""),"")</f>
        <v/>
      </c>
      <c r="E173">
        <f>IFERROR(IF(ISNUMBER(INDEX(SPPR!$E:$X,MATCH($A173,SPPR!$A:$A,0),2)),$C173*INDEX(SPPR!$E:$X,MATCH($A173,SPPR!$A:$A,0),2),""),"")</f>
        <v/>
      </c>
      <c r="F173">
        <f>IFERROR(IF(ISNUMBER(INDEX(SPPR!$E:$X,MATCH($A173,SPPR!$A:$A,0),3)),$C173*INDEX(SPPR!$E:$X,MATCH($A173,SPPR!$A:$A,0),3),""),"")</f>
        <v/>
      </c>
      <c r="G173">
        <f>IFERROR(IF(ISNUMBER(INDEX(SPPR!$E:$X,MATCH($A173,SPPR!$A:$A,0),4)),$C173*INDEX(SPPR!$E:$X,MATCH($A173,SPPR!$A:$A,0),4),""),"")</f>
        <v/>
      </c>
      <c r="H173">
        <f>IFERROR(IF(ISNUMBER(INDEX(SPPR!$E:$X,MATCH($A173,SPPR!$A:$A,0),5)),$C173*INDEX(SPPR!$E:$X,MATCH($A173,SPPR!$A:$A,0),5),""),"")</f>
        <v/>
      </c>
      <c r="I173">
        <f>IFERROR(IF(ISNUMBER(INDEX(SPPR!$E:$X,MATCH($A173,SPPR!$A:$A,0),6)),$C173*INDEX(SPPR!$E:$X,MATCH($A173,SPPR!$A:$A,0),6),""),"")</f>
        <v/>
      </c>
      <c r="J173">
        <f>IFERROR(IF(ISNUMBER(INDEX(SPPR!$E:$X,MATCH($A173,SPPR!$A:$A,0),7)),$C173*INDEX(SPPR!$E:$X,MATCH($A173,SPPR!$A:$A,0),7),""),"")</f>
        <v/>
      </c>
      <c r="K173">
        <f>IFERROR(IF(ISNUMBER(INDEX(SPPR!$E:$X,MATCH($A173,SPPR!$A:$A,0),8)),$C173*INDEX(SPPR!$E:$X,MATCH($A173,SPPR!$A:$A,0),8),""),"")</f>
        <v/>
      </c>
      <c r="L173">
        <f>IFERROR(IF(ISNUMBER(INDEX(SPPR!$E:$X,MATCH($A173,SPPR!$A:$A,0),9)),$C173*INDEX(SPPR!$E:$X,MATCH($A173,SPPR!$A:$A,0),9),""),"")</f>
        <v/>
      </c>
      <c r="M173">
        <f>IFERROR(IF(ISNUMBER(INDEX(SPPR!$E:$X,MATCH($A173,SPPR!$A:$A,0),10)),$C173*INDEX(SPPR!$E:$X,MATCH($A173,SPPR!$A:$A,0),10),""),"")</f>
        <v/>
      </c>
      <c r="N173">
        <f>IFERROR(IF(ISNUMBER(INDEX(SPPR!$E:$X,MATCH($A173,SPPR!$A:$A,0),11)),$C173*INDEX(SPPR!$E:$X,MATCH($A173,SPPR!$A:$A,0),11),""),"")</f>
        <v/>
      </c>
      <c r="O173">
        <f>IFERROR(IF(ISNUMBER(INDEX(SPPR!$E:$X,MATCH($A173,SPPR!$A:$A,0),12)),$C173*INDEX(SPPR!$E:$X,MATCH($A173,SPPR!$A:$A,0),12),""),"")</f>
        <v/>
      </c>
      <c r="P173">
        <f>IFERROR(IF(ISNUMBER(INDEX(SPPR!$E:$X,MATCH($A173,SPPR!$A:$A,0),13)),$C173*INDEX(SPPR!$E:$X,MATCH($A173,SPPR!$A:$A,0),13),""),"")</f>
        <v/>
      </c>
      <c r="Q173">
        <f>IFERROR(IF(ISNUMBER(INDEX(SPPR!$E:$X,MATCH($A173,SPPR!$A:$A,0),14)),$C173*INDEX(SPPR!$E:$X,MATCH($A173,SPPR!$A:$A,0),14),""),"")</f>
        <v/>
      </c>
      <c r="R173">
        <f>IFERROR(IF(ISNUMBER(INDEX(SPPR!$E:$X,MATCH($A173,SPPR!$A:$A,0),15)),$C173*INDEX(SPPR!$E:$X,MATCH($A173,SPPR!$A:$A,0),15),""),"")</f>
        <v/>
      </c>
      <c r="S173">
        <f>IFERROR(IF(ISNUMBER(INDEX(SPPR!$E:$X,MATCH($A173,SPPR!$A:$A,0),16)),$C173*INDEX(SPPR!$E:$X,MATCH($A173,SPPR!$A:$A,0),16),""),"")</f>
        <v/>
      </c>
      <c r="T173">
        <f>IFERROR(IF(ISNUMBER(INDEX(SPPR!$E:$X,MATCH($A173,SPPR!$A:$A,0),17)),$C173*INDEX(SPPR!$E:$X,MATCH($A173,SPPR!$A:$A,0),17),""),"")</f>
        <v/>
      </c>
      <c r="U173">
        <f>IFERROR(IF(ISNUMBER(INDEX(SPPR!$E:$X,MATCH($A173,SPPR!$A:$A,0),18)),$C173*INDEX(SPPR!$E:$X,MATCH($A173,SPPR!$A:$A,0),18),""),"")</f>
        <v/>
      </c>
      <c r="V173">
        <f>IFERROR(IF(ISNUMBER(INDEX(SPPR!$E:$X,MATCH($A173,SPPR!$A:$A,0),19)),$C173*INDEX(SPPR!$E:$X,MATCH($A173,SPPR!$A:$A,0),19),""),"")</f>
        <v/>
      </c>
      <c r="W173">
        <f>IFERROR(IF(ISNUMBER(INDEX(SPPR!$E:$X,MATCH($A173,SPPR!$A:$A,0),20)),$C173*INDEX(SPPR!$E:$X,MATCH($A173,SPPR!$A:$A,0),20),""),"")</f>
        <v/>
      </c>
    </row>
    <row r="174">
      <c r="A174" t="inlineStr">
        <is>
          <t>Carcharhinus falciformis</t>
        </is>
      </c>
      <c r="B174">
        <f>IFERROR(INDEX(SPPR!$D:$D,MATCH($A174,SPPR!$A:$A,0)),"")</f>
        <v/>
      </c>
      <c r="C174">
        <f>IFERROR(INDEX(Catch!$E:$BV,MATCH($A174,Catch!$A:$A,0),MATCH($B$4,Catch!$E$1:$BV$1,0)),0)</f>
        <v/>
      </c>
      <c r="D174">
        <f>IFERROR(IF(ISNUMBER(INDEX(SPPR!$E:$X,MATCH($A174,SPPR!$A:$A,0),1)),$C174*INDEX(SPPR!$E:$X,MATCH($A174,SPPR!$A:$A,0),1),""),"")</f>
        <v/>
      </c>
      <c r="E174">
        <f>IFERROR(IF(ISNUMBER(INDEX(SPPR!$E:$X,MATCH($A174,SPPR!$A:$A,0),2)),$C174*INDEX(SPPR!$E:$X,MATCH($A174,SPPR!$A:$A,0),2),""),"")</f>
        <v/>
      </c>
      <c r="F174">
        <f>IFERROR(IF(ISNUMBER(INDEX(SPPR!$E:$X,MATCH($A174,SPPR!$A:$A,0),3)),$C174*INDEX(SPPR!$E:$X,MATCH($A174,SPPR!$A:$A,0),3),""),"")</f>
        <v/>
      </c>
      <c r="G174">
        <f>IFERROR(IF(ISNUMBER(INDEX(SPPR!$E:$X,MATCH($A174,SPPR!$A:$A,0),4)),$C174*INDEX(SPPR!$E:$X,MATCH($A174,SPPR!$A:$A,0),4),""),"")</f>
        <v/>
      </c>
      <c r="H174">
        <f>IFERROR(IF(ISNUMBER(INDEX(SPPR!$E:$X,MATCH($A174,SPPR!$A:$A,0),5)),$C174*INDEX(SPPR!$E:$X,MATCH($A174,SPPR!$A:$A,0),5),""),"")</f>
        <v/>
      </c>
      <c r="I174">
        <f>IFERROR(IF(ISNUMBER(INDEX(SPPR!$E:$X,MATCH($A174,SPPR!$A:$A,0),6)),$C174*INDEX(SPPR!$E:$X,MATCH($A174,SPPR!$A:$A,0),6),""),"")</f>
        <v/>
      </c>
      <c r="J174">
        <f>IFERROR(IF(ISNUMBER(INDEX(SPPR!$E:$X,MATCH($A174,SPPR!$A:$A,0),7)),$C174*INDEX(SPPR!$E:$X,MATCH($A174,SPPR!$A:$A,0),7),""),"")</f>
        <v/>
      </c>
      <c r="K174">
        <f>IFERROR(IF(ISNUMBER(INDEX(SPPR!$E:$X,MATCH($A174,SPPR!$A:$A,0),8)),$C174*INDEX(SPPR!$E:$X,MATCH($A174,SPPR!$A:$A,0),8),""),"")</f>
        <v/>
      </c>
      <c r="L174">
        <f>IFERROR(IF(ISNUMBER(INDEX(SPPR!$E:$X,MATCH($A174,SPPR!$A:$A,0),9)),$C174*INDEX(SPPR!$E:$X,MATCH($A174,SPPR!$A:$A,0),9),""),"")</f>
        <v/>
      </c>
      <c r="M174">
        <f>IFERROR(IF(ISNUMBER(INDEX(SPPR!$E:$X,MATCH($A174,SPPR!$A:$A,0),10)),$C174*INDEX(SPPR!$E:$X,MATCH($A174,SPPR!$A:$A,0),10),""),"")</f>
        <v/>
      </c>
      <c r="N174">
        <f>IFERROR(IF(ISNUMBER(INDEX(SPPR!$E:$X,MATCH($A174,SPPR!$A:$A,0),11)),$C174*INDEX(SPPR!$E:$X,MATCH($A174,SPPR!$A:$A,0),11),""),"")</f>
        <v/>
      </c>
      <c r="O174">
        <f>IFERROR(IF(ISNUMBER(INDEX(SPPR!$E:$X,MATCH($A174,SPPR!$A:$A,0),12)),$C174*INDEX(SPPR!$E:$X,MATCH($A174,SPPR!$A:$A,0),12),""),"")</f>
        <v/>
      </c>
      <c r="P174">
        <f>IFERROR(IF(ISNUMBER(INDEX(SPPR!$E:$X,MATCH($A174,SPPR!$A:$A,0),13)),$C174*INDEX(SPPR!$E:$X,MATCH($A174,SPPR!$A:$A,0),13),""),"")</f>
        <v/>
      </c>
      <c r="Q174">
        <f>IFERROR(IF(ISNUMBER(INDEX(SPPR!$E:$X,MATCH($A174,SPPR!$A:$A,0),14)),$C174*INDEX(SPPR!$E:$X,MATCH($A174,SPPR!$A:$A,0),14),""),"")</f>
        <v/>
      </c>
      <c r="R174">
        <f>IFERROR(IF(ISNUMBER(INDEX(SPPR!$E:$X,MATCH($A174,SPPR!$A:$A,0),15)),$C174*INDEX(SPPR!$E:$X,MATCH($A174,SPPR!$A:$A,0),15),""),"")</f>
        <v/>
      </c>
      <c r="S174">
        <f>IFERROR(IF(ISNUMBER(INDEX(SPPR!$E:$X,MATCH($A174,SPPR!$A:$A,0),16)),$C174*INDEX(SPPR!$E:$X,MATCH($A174,SPPR!$A:$A,0),16),""),"")</f>
        <v/>
      </c>
      <c r="T174">
        <f>IFERROR(IF(ISNUMBER(INDEX(SPPR!$E:$X,MATCH($A174,SPPR!$A:$A,0),17)),$C174*INDEX(SPPR!$E:$X,MATCH($A174,SPPR!$A:$A,0),17),""),"")</f>
        <v/>
      </c>
      <c r="U174">
        <f>IFERROR(IF(ISNUMBER(INDEX(SPPR!$E:$X,MATCH($A174,SPPR!$A:$A,0),18)),$C174*INDEX(SPPR!$E:$X,MATCH($A174,SPPR!$A:$A,0),18),""),"")</f>
        <v/>
      </c>
      <c r="V174">
        <f>IFERROR(IF(ISNUMBER(INDEX(SPPR!$E:$X,MATCH($A174,SPPR!$A:$A,0),19)),$C174*INDEX(SPPR!$E:$X,MATCH($A174,SPPR!$A:$A,0),19),""),"")</f>
        <v/>
      </c>
      <c r="W174">
        <f>IFERROR(IF(ISNUMBER(INDEX(SPPR!$E:$X,MATCH($A174,SPPR!$A:$A,0),20)),$C174*INDEX(SPPR!$E:$X,MATCH($A174,SPPR!$A:$A,0),20),""),"")</f>
        <v/>
      </c>
    </row>
    <row r="175">
      <c r="A175" t="inlineStr">
        <is>
          <t>Holothuriidae</t>
        </is>
      </c>
      <c r="B175">
        <f>IFERROR(INDEX(SPPR!$D:$D,MATCH($A175,SPPR!$A:$A,0)),"")</f>
        <v/>
      </c>
      <c r="C175">
        <f>IFERROR(INDEX(Catch!$E:$BV,MATCH($A175,Catch!$A:$A,0),MATCH($B$4,Catch!$E$1:$BV$1,0)),0)</f>
        <v/>
      </c>
      <c r="D175">
        <f>IFERROR(IF(ISNUMBER(INDEX(SPPR!$E:$X,MATCH($A175,SPPR!$A:$A,0),1)),$C175*INDEX(SPPR!$E:$X,MATCH($A175,SPPR!$A:$A,0),1),""),"")</f>
        <v/>
      </c>
      <c r="E175">
        <f>IFERROR(IF(ISNUMBER(INDEX(SPPR!$E:$X,MATCH($A175,SPPR!$A:$A,0),2)),$C175*INDEX(SPPR!$E:$X,MATCH($A175,SPPR!$A:$A,0),2),""),"")</f>
        <v/>
      </c>
      <c r="F175">
        <f>IFERROR(IF(ISNUMBER(INDEX(SPPR!$E:$X,MATCH($A175,SPPR!$A:$A,0),3)),$C175*INDEX(SPPR!$E:$X,MATCH($A175,SPPR!$A:$A,0),3),""),"")</f>
        <v/>
      </c>
      <c r="G175">
        <f>IFERROR(IF(ISNUMBER(INDEX(SPPR!$E:$X,MATCH($A175,SPPR!$A:$A,0),4)),$C175*INDEX(SPPR!$E:$X,MATCH($A175,SPPR!$A:$A,0),4),""),"")</f>
        <v/>
      </c>
      <c r="H175">
        <f>IFERROR(IF(ISNUMBER(INDEX(SPPR!$E:$X,MATCH($A175,SPPR!$A:$A,0),5)),$C175*INDEX(SPPR!$E:$X,MATCH($A175,SPPR!$A:$A,0),5),""),"")</f>
        <v/>
      </c>
      <c r="I175">
        <f>IFERROR(IF(ISNUMBER(INDEX(SPPR!$E:$X,MATCH($A175,SPPR!$A:$A,0),6)),$C175*INDEX(SPPR!$E:$X,MATCH($A175,SPPR!$A:$A,0),6),""),"")</f>
        <v/>
      </c>
      <c r="J175">
        <f>IFERROR(IF(ISNUMBER(INDEX(SPPR!$E:$X,MATCH($A175,SPPR!$A:$A,0),7)),$C175*INDEX(SPPR!$E:$X,MATCH($A175,SPPR!$A:$A,0),7),""),"")</f>
        <v/>
      </c>
      <c r="K175">
        <f>IFERROR(IF(ISNUMBER(INDEX(SPPR!$E:$X,MATCH($A175,SPPR!$A:$A,0),8)),$C175*INDEX(SPPR!$E:$X,MATCH($A175,SPPR!$A:$A,0),8),""),"")</f>
        <v/>
      </c>
      <c r="L175">
        <f>IFERROR(IF(ISNUMBER(INDEX(SPPR!$E:$X,MATCH($A175,SPPR!$A:$A,0),9)),$C175*INDEX(SPPR!$E:$X,MATCH($A175,SPPR!$A:$A,0),9),""),"")</f>
        <v/>
      </c>
      <c r="M175">
        <f>IFERROR(IF(ISNUMBER(INDEX(SPPR!$E:$X,MATCH($A175,SPPR!$A:$A,0),10)),$C175*INDEX(SPPR!$E:$X,MATCH($A175,SPPR!$A:$A,0),10),""),"")</f>
        <v/>
      </c>
      <c r="N175">
        <f>IFERROR(IF(ISNUMBER(INDEX(SPPR!$E:$X,MATCH($A175,SPPR!$A:$A,0),11)),$C175*INDEX(SPPR!$E:$X,MATCH($A175,SPPR!$A:$A,0),11),""),"")</f>
        <v/>
      </c>
      <c r="O175">
        <f>IFERROR(IF(ISNUMBER(INDEX(SPPR!$E:$X,MATCH($A175,SPPR!$A:$A,0),12)),$C175*INDEX(SPPR!$E:$X,MATCH($A175,SPPR!$A:$A,0),12),""),"")</f>
        <v/>
      </c>
      <c r="P175">
        <f>IFERROR(IF(ISNUMBER(INDEX(SPPR!$E:$X,MATCH($A175,SPPR!$A:$A,0),13)),$C175*INDEX(SPPR!$E:$X,MATCH($A175,SPPR!$A:$A,0),13),""),"")</f>
        <v/>
      </c>
      <c r="Q175">
        <f>IFERROR(IF(ISNUMBER(INDEX(SPPR!$E:$X,MATCH($A175,SPPR!$A:$A,0),14)),$C175*INDEX(SPPR!$E:$X,MATCH($A175,SPPR!$A:$A,0),14),""),"")</f>
        <v/>
      </c>
      <c r="R175">
        <f>IFERROR(IF(ISNUMBER(INDEX(SPPR!$E:$X,MATCH($A175,SPPR!$A:$A,0),15)),$C175*INDEX(SPPR!$E:$X,MATCH($A175,SPPR!$A:$A,0),15),""),"")</f>
        <v/>
      </c>
      <c r="S175">
        <f>IFERROR(IF(ISNUMBER(INDEX(SPPR!$E:$X,MATCH($A175,SPPR!$A:$A,0),16)),$C175*INDEX(SPPR!$E:$X,MATCH($A175,SPPR!$A:$A,0),16),""),"")</f>
        <v/>
      </c>
      <c r="T175">
        <f>IFERROR(IF(ISNUMBER(INDEX(SPPR!$E:$X,MATCH($A175,SPPR!$A:$A,0),17)),$C175*INDEX(SPPR!$E:$X,MATCH($A175,SPPR!$A:$A,0),17),""),"")</f>
        <v/>
      </c>
      <c r="U175">
        <f>IFERROR(IF(ISNUMBER(INDEX(SPPR!$E:$X,MATCH($A175,SPPR!$A:$A,0),18)),$C175*INDEX(SPPR!$E:$X,MATCH($A175,SPPR!$A:$A,0),18),""),"")</f>
        <v/>
      </c>
      <c r="V175">
        <f>IFERROR(IF(ISNUMBER(INDEX(SPPR!$E:$X,MATCH($A175,SPPR!$A:$A,0),19)),$C175*INDEX(SPPR!$E:$X,MATCH($A175,SPPR!$A:$A,0),19),""),"")</f>
        <v/>
      </c>
      <c r="W175">
        <f>IFERROR(IF(ISNUMBER(INDEX(SPPR!$E:$X,MATCH($A175,SPPR!$A:$A,0),20)),$C175*INDEX(SPPR!$E:$X,MATCH($A175,SPPR!$A:$A,0),20),""),"")</f>
        <v/>
      </c>
    </row>
    <row r="176">
      <c r="A176" t="inlineStr">
        <is>
          <t>Brama brama</t>
        </is>
      </c>
      <c r="B176">
        <f>IFERROR(INDEX(SPPR!$D:$D,MATCH($A176,SPPR!$A:$A,0)),"")</f>
        <v/>
      </c>
      <c r="C176">
        <f>IFERROR(INDEX(Catch!$E:$BV,MATCH($A176,Catch!$A:$A,0),MATCH($B$4,Catch!$E$1:$BV$1,0)),0)</f>
        <v/>
      </c>
      <c r="D176">
        <f>IFERROR(IF(ISNUMBER(INDEX(SPPR!$E:$X,MATCH($A176,SPPR!$A:$A,0),1)),$C176*INDEX(SPPR!$E:$X,MATCH($A176,SPPR!$A:$A,0),1),""),"")</f>
        <v/>
      </c>
      <c r="E176">
        <f>IFERROR(IF(ISNUMBER(INDEX(SPPR!$E:$X,MATCH($A176,SPPR!$A:$A,0),2)),$C176*INDEX(SPPR!$E:$X,MATCH($A176,SPPR!$A:$A,0),2),""),"")</f>
        <v/>
      </c>
      <c r="F176">
        <f>IFERROR(IF(ISNUMBER(INDEX(SPPR!$E:$X,MATCH($A176,SPPR!$A:$A,0),3)),$C176*INDEX(SPPR!$E:$X,MATCH($A176,SPPR!$A:$A,0),3),""),"")</f>
        <v/>
      </c>
      <c r="G176">
        <f>IFERROR(IF(ISNUMBER(INDEX(SPPR!$E:$X,MATCH($A176,SPPR!$A:$A,0),4)),$C176*INDEX(SPPR!$E:$X,MATCH($A176,SPPR!$A:$A,0),4),""),"")</f>
        <v/>
      </c>
      <c r="H176">
        <f>IFERROR(IF(ISNUMBER(INDEX(SPPR!$E:$X,MATCH($A176,SPPR!$A:$A,0),5)),$C176*INDEX(SPPR!$E:$X,MATCH($A176,SPPR!$A:$A,0),5),""),"")</f>
        <v/>
      </c>
      <c r="I176">
        <f>IFERROR(IF(ISNUMBER(INDEX(SPPR!$E:$X,MATCH($A176,SPPR!$A:$A,0),6)),$C176*INDEX(SPPR!$E:$X,MATCH($A176,SPPR!$A:$A,0),6),""),"")</f>
        <v/>
      </c>
      <c r="J176">
        <f>IFERROR(IF(ISNUMBER(INDEX(SPPR!$E:$X,MATCH($A176,SPPR!$A:$A,0),7)),$C176*INDEX(SPPR!$E:$X,MATCH($A176,SPPR!$A:$A,0),7),""),"")</f>
        <v/>
      </c>
      <c r="K176">
        <f>IFERROR(IF(ISNUMBER(INDEX(SPPR!$E:$X,MATCH($A176,SPPR!$A:$A,0),8)),$C176*INDEX(SPPR!$E:$X,MATCH($A176,SPPR!$A:$A,0),8),""),"")</f>
        <v/>
      </c>
      <c r="L176">
        <f>IFERROR(IF(ISNUMBER(INDEX(SPPR!$E:$X,MATCH($A176,SPPR!$A:$A,0),9)),$C176*INDEX(SPPR!$E:$X,MATCH($A176,SPPR!$A:$A,0),9),""),"")</f>
        <v/>
      </c>
      <c r="M176">
        <f>IFERROR(IF(ISNUMBER(INDEX(SPPR!$E:$X,MATCH($A176,SPPR!$A:$A,0),10)),$C176*INDEX(SPPR!$E:$X,MATCH($A176,SPPR!$A:$A,0),10),""),"")</f>
        <v/>
      </c>
      <c r="N176">
        <f>IFERROR(IF(ISNUMBER(INDEX(SPPR!$E:$X,MATCH($A176,SPPR!$A:$A,0),11)),$C176*INDEX(SPPR!$E:$X,MATCH($A176,SPPR!$A:$A,0),11),""),"")</f>
        <v/>
      </c>
      <c r="O176">
        <f>IFERROR(IF(ISNUMBER(INDEX(SPPR!$E:$X,MATCH($A176,SPPR!$A:$A,0),12)),$C176*INDEX(SPPR!$E:$X,MATCH($A176,SPPR!$A:$A,0),12),""),"")</f>
        <v/>
      </c>
      <c r="P176">
        <f>IFERROR(IF(ISNUMBER(INDEX(SPPR!$E:$X,MATCH($A176,SPPR!$A:$A,0),13)),$C176*INDEX(SPPR!$E:$X,MATCH($A176,SPPR!$A:$A,0),13),""),"")</f>
        <v/>
      </c>
      <c r="Q176">
        <f>IFERROR(IF(ISNUMBER(INDEX(SPPR!$E:$X,MATCH($A176,SPPR!$A:$A,0),14)),$C176*INDEX(SPPR!$E:$X,MATCH($A176,SPPR!$A:$A,0),14),""),"")</f>
        <v/>
      </c>
      <c r="R176">
        <f>IFERROR(IF(ISNUMBER(INDEX(SPPR!$E:$X,MATCH($A176,SPPR!$A:$A,0),15)),$C176*INDEX(SPPR!$E:$X,MATCH($A176,SPPR!$A:$A,0),15),""),"")</f>
        <v/>
      </c>
      <c r="S176">
        <f>IFERROR(IF(ISNUMBER(INDEX(SPPR!$E:$X,MATCH($A176,SPPR!$A:$A,0),16)),$C176*INDEX(SPPR!$E:$X,MATCH($A176,SPPR!$A:$A,0),16),""),"")</f>
        <v/>
      </c>
      <c r="T176">
        <f>IFERROR(IF(ISNUMBER(INDEX(SPPR!$E:$X,MATCH($A176,SPPR!$A:$A,0),17)),$C176*INDEX(SPPR!$E:$X,MATCH($A176,SPPR!$A:$A,0),17),""),"")</f>
        <v/>
      </c>
      <c r="U176">
        <f>IFERROR(IF(ISNUMBER(INDEX(SPPR!$E:$X,MATCH($A176,SPPR!$A:$A,0),18)),$C176*INDEX(SPPR!$E:$X,MATCH($A176,SPPR!$A:$A,0),18),""),"")</f>
        <v/>
      </c>
      <c r="V176">
        <f>IFERROR(IF(ISNUMBER(INDEX(SPPR!$E:$X,MATCH($A176,SPPR!$A:$A,0),19)),$C176*INDEX(SPPR!$E:$X,MATCH($A176,SPPR!$A:$A,0),19),""),"")</f>
        <v/>
      </c>
      <c r="W176">
        <f>IFERROR(IF(ISNUMBER(INDEX(SPPR!$E:$X,MATCH($A176,SPPR!$A:$A,0),20)),$C176*INDEX(SPPR!$E:$X,MATCH($A176,SPPR!$A:$A,0),20),""),"")</f>
        <v/>
      </c>
    </row>
    <row r="177">
      <c r="A177" t="inlineStr">
        <is>
          <t>Mobula birostris</t>
        </is>
      </c>
      <c r="B177">
        <f>IFERROR(INDEX(SPPR!$D:$D,MATCH($A177,SPPR!$A:$A,0)),"")</f>
        <v/>
      </c>
      <c r="C177">
        <f>IFERROR(INDEX(Catch!$E:$BV,MATCH($A177,Catch!$A:$A,0),MATCH($B$4,Catch!$E$1:$BV$1,0)),0)</f>
        <v/>
      </c>
      <c r="D177">
        <f>IFERROR(IF(ISNUMBER(INDEX(SPPR!$E:$X,MATCH($A177,SPPR!$A:$A,0),1)),$C177*INDEX(SPPR!$E:$X,MATCH($A177,SPPR!$A:$A,0),1),""),"")</f>
        <v/>
      </c>
      <c r="E177">
        <f>IFERROR(IF(ISNUMBER(INDEX(SPPR!$E:$X,MATCH($A177,SPPR!$A:$A,0),2)),$C177*INDEX(SPPR!$E:$X,MATCH($A177,SPPR!$A:$A,0),2),""),"")</f>
        <v/>
      </c>
      <c r="F177">
        <f>IFERROR(IF(ISNUMBER(INDEX(SPPR!$E:$X,MATCH($A177,SPPR!$A:$A,0),3)),$C177*INDEX(SPPR!$E:$X,MATCH($A177,SPPR!$A:$A,0),3),""),"")</f>
        <v/>
      </c>
      <c r="G177">
        <f>IFERROR(IF(ISNUMBER(INDEX(SPPR!$E:$X,MATCH($A177,SPPR!$A:$A,0),4)),$C177*INDEX(SPPR!$E:$X,MATCH($A177,SPPR!$A:$A,0),4),""),"")</f>
        <v/>
      </c>
      <c r="H177">
        <f>IFERROR(IF(ISNUMBER(INDEX(SPPR!$E:$X,MATCH($A177,SPPR!$A:$A,0),5)),$C177*INDEX(SPPR!$E:$X,MATCH($A177,SPPR!$A:$A,0),5),""),"")</f>
        <v/>
      </c>
      <c r="I177">
        <f>IFERROR(IF(ISNUMBER(INDEX(SPPR!$E:$X,MATCH($A177,SPPR!$A:$A,0),6)),$C177*INDEX(SPPR!$E:$X,MATCH($A177,SPPR!$A:$A,0),6),""),"")</f>
        <v/>
      </c>
      <c r="J177">
        <f>IFERROR(IF(ISNUMBER(INDEX(SPPR!$E:$X,MATCH($A177,SPPR!$A:$A,0),7)),$C177*INDEX(SPPR!$E:$X,MATCH($A177,SPPR!$A:$A,0),7),""),"")</f>
        <v/>
      </c>
      <c r="K177">
        <f>IFERROR(IF(ISNUMBER(INDEX(SPPR!$E:$X,MATCH($A177,SPPR!$A:$A,0),8)),$C177*INDEX(SPPR!$E:$X,MATCH($A177,SPPR!$A:$A,0),8),""),"")</f>
        <v/>
      </c>
      <c r="L177">
        <f>IFERROR(IF(ISNUMBER(INDEX(SPPR!$E:$X,MATCH($A177,SPPR!$A:$A,0),9)),$C177*INDEX(SPPR!$E:$X,MATCH($A177,SPPR!$A:$A,0),9),""),"")</f>
        <v/>
      </c>
      <c r="M177">
        <f>IFERROR(IF(ISNUMBER(INDEX(SPPR!$E:$X,MATCH($A177,SPPR!$A:$A,0),10)),$C177*INDEX(SPPR!$E:$X,MATCH($A177,SPPR!$A:$A,0),10),""),"")</f>
        <v/>
      </c>
      <c r="N177">
        <f>IFERROR(IF(ISNUMBER(INDEX(SPPR!$E:$X,MATCH($A177,SPPR!$A:$A,0),11)),$C177*INDEX(SPPR!$E:$X,MATCH($A177,SPPR!$A:$A,0),11),""),"")</f>
        <v/>
      </c>
      <c r="O177">
        <f>IFERROR(IF(ISNUMBER(INDEX(SPPR!$E:$X,MATCH($A177,SPPR!$A:$A,0),12)),$C177*INDEX(SPPR!$E:$X,MATCH($A177,SPPR!$A:$A,0),12),""),"")</f>
        <v/>
      </c>
      <c r="P177">
        <f>IFERROR(IF(ISNUMBER(INDEX(SPPR!$E:$X,MATCH($A177,SPPR!$A:$A,0),13)),$C177*INDEX(SPPR!$E:$X,MATCH($A177,SPPR!$A:$A,0),13),""),"")</f>
        <v/>
      </c>
      <c r="Q177">
        <f>IFERROR(IF(ISNUMBER(INDEX(SPPR!$E:$X,MATCH($A177,SPPR!$A:$A,0),14)),$C177*INDEX(SPPR!$E:$X,MATCH($A177,SPPR!$A:$A,0),14),""),"")</f>
        <v/>
      </c>
      <c r="R177">
        <f>IFERROR(IF(ISNUMBER(INDEX(SPPR!$E:$X,MATCH($A177,SPPR!$A:$A,0),15)),$C177*INDEX(SPPR!$E:$X,MATCH($A177,SPPR!$A:$A,0),15),""),"")</f>
        <v/>
      </c>
      <c r="S177">
        <f>IFERROR(IF(ISNUMBER(INDEX(SPPR!$E:$X,MATCH($A177,SPPR!$A:$A,0),16)),$C177*INDEX(SPPR!$E:$X,MATCH($A177,SPPR!$A:$A,0),16),""),"")</f>
        <v/>
      </c>
      <c r="T177">
        <f>IFERROR(IF(ISNUMBER(INDEX(SPPR!$E:$X,MATCH($A177,SPPR!$A:$A,0),17)),$C177*INDEX(SPPR!$E:$X,MATCH($A177,SPPR!$A:$A,0),17),""),"")</f>
        <v/>
      </c>
      <c r="U177">
        <f>IFERROR(IF(ISNUMBER(INDEX(SPPR!$E:$X,MATCH($A177,SPPR!$A:$A,0),18)),$C177*INDEX(SPPR!$E:$X,MATCH($A177,SPPR!$A:$A,0),18),""),"")</f>
        <v/>
      </c>
      <c r="V177">
        <f>IFERROR(IF(ISNUMBER(INDEX(SPPR!$E:$X,MATCH($A177,SPPR!$A:$A,0),19)),$C177*INDEX(SPPR!$E:$X,MATCH($A177,SPPR!$A:$A,0),19),""),"")</f>
        <v/>
      </c>
      <c r="W177">
        <f>IFERROR(IF(ISNUMBER(INDEX(SPPR!$E:$X,MATCH($A177,SPPR!$A:$A,0),20)),$C177*INDEX(SPPR!$E:$X,MATCH($A177,SPPR!$A:$A,0),20),""),"")</f>
        <v/>
      </c>
    </row>
    <row r="178">
      <c r="A178" t="inlineStr">
        <is>
          <t>Malacanthidae</t>
        </is>
      </c>
      <c r="B178">
        <f>IFERROR(INDEX(SPPR!$D:$D,MATCH($A178,SPPR!$A:$A,0)),"")</f>
        <v/>
      </c>
      <c r="C178">
        <f>IFERROR(INDEX(Catch!$E:$BV,MATCH($A178,Catch!$A:$A,0),MATCH($B$4,Catch!$E$1:$BV$1,0)),0)</f>
        <v/>
      </c>
      <c r="D178">
        <f>IFERROR(IF(ISNUMBER(INDEX(SPPR!$E:$X,MATCH($A178,SPPR!$A:$A,0),1)),$C178*INDEX(SPPR!$E:$X,MATCH($A178,SPPR!$A:$A,0),1),""),"")</f>
        <v/>
      </c>
      <c r="E178">
        <f>IFERROR(IF(ISNUMBER(INDEX(SPPR!$E:$X,MATCH($A178,SPPR!$A:$A,0),2)),$C178*INDEX(SPPR!$E:$X,MATCH($A178,SPPR!$A:$A,0),2),""),"")</f>
        <v/>
      </c>
      <c r="F178">
        <f>IFERROR(IF(ISNUMBER(INDEX(SPPR!$E:$X,MATCH($A178,SPPR!$A:$A,0),3)),$C178*INDEX(SPPR!$E:$X,MATCH($A178,SPPR!$A:$A,0),3),""),"")</f>
        <v/>
      </c>
      <c r="G178">
        <f>IFERROR(IF(ISNUMBER(INDEX(SPPR!$E:$X,MATCH($A178,SPPR!$A:$A,0),4)),$C178*INDEX(SPPR!$E:$X,MATCH($A178,SPPR!$A:$A,0),4),""),"")</f>
        <v/>
      </c>
      <c r="H178">
        <f>IFERROR(IF(ISNUMBER(INDEX(SPPR!$E:$X,MATCH($A178,SPPR!$A:$A,0),5)),$C178*INDEX(SPPR!$E:$X,MATCH($A178,SPPR!$A:$A,0),5),""),"")</f>
        <v/>
      </c>
      <c r="I178">
        <f>IFERROR(IF(ISNUMBER(INDEX(SPPR!$E:$X,MATCH($A178,SPPR!$A:$A,0),6)),$C178*INDEX(SPPR!$E:$X,MATCH($A178,SPPR!$A:$A,0),6),""),"")</f>
        <v/>
      </c>
      <c r="J178">
        <f>IFERROR(IF(ISNUMBER(INDEX(SPPR!$E:$X,MATCH($A178,SPPR!$A:$A,0),7)),$C178*INDEX(SPPR!$E:$X,MATCH($A178,SPPR!$A:$A,0),7),""),"")</f>
        <v/>
      </c>
      <c r="K178">
        <f>IFERROR(IF(ISNUMBER(INDEX(SPPR!$E:$X,MATCH($A178,SPPR!$A:$A,0),8)),$C178*INDEX(SPPR!$E:$X,MATCH($A178,SPPR!$A:$A,0),8),""),"")</f>
        <v/>
      </c>
      <c r="L178">
        <f>IFERROR(IF(ISNUMBER(INDEX(SPPR!$E:$X,MATCH($A178,SPPR!$A:$A,0),9)),$C178*INDEX(SPPR!$E:$X,MATCH($A178,SPPR!$A:$A,0),9),""),"")</f>
        <v/>
      </c>
      <c r="M178">
        <f>IFERROR(IF(ISNUMBER(INDEX(SPPR!$E:$X,MATCH($A178,SPPR!$A:$A,0),10)),$C178*INDEX(SPPR!$E:$X,MATCH($A178,SPPR!$A:$A,0),10),""),"")</f>
        <v/>
      </c>
      <c r="N178">
        <f>IFERROR(IF(ISNUMBER(INDEX(SPPR!$E:$X,MATCH($A178,SPPR!$A:$A,0),11)),$C178*INDEX(SPPR!$E:$X,MATCH($A178,SPPR!$A:$A,0),11),""),"")</f>
        <v/>
      </c>
      <c r="O178">
        <f>IFERROR(IF(ISNUMBER(INDEX(SPPR!$E:$X,MATCH($A178,SPPR!$A:$A,0),12)),$C178*INDEX(SPPR!$E:$X,MATCH($A178,SPPR!$A:$A,0),12),""),"")</f>
        <v/>
      </c>
      <c r="P178">
        <f>IFERROR(IF(ISNUMBER(INDEX(SPPR!$E:$X,MATCH($A178,SPPR!$A:$A,0),13)),$C178*INDEX(SPPR!$E:$X,MATCH($A178,SPPR!$A:$A,0),13),""),"")</f>
        <v/>
      </c>
      <c r="Q178">
        <f>IFERROR(IF(ISNUMBER(INDEX(SPPR!$E:$X,MATCH($A178,SPPR!$A:$A,0),14)),$C178*INDEX(SPPR!$E:$X,MATCH($A178,SPPR!$A:$A,0),14),""),"")</f>
        <v/>
      </c>
      <c r="R178">
        <f>IFERROR(IF(ISNUMBER(INDEX(SPPR!$E:$X,MATCH($A178,SPPR!$A:$A,0),15)),$C178*INDEX(SPPR!$E:$X,MATCH($A178,SPPR!$A:$A,0),15),""),"")</f>
        <v/>
      </c>
      <c r="S178">
        <f>IFERROR(IF(ISNUMBER(INDEX(SPPR!$E:$X,MATCH($A178,SPPR!$A:$A,0),16)),$C178*INDEX(SPPR!$E:$X,MATCH($A178,SPPR!$A:$A,0),16),""),"")</f>
        <v/>
      </c>
      <c r="T178">
        <f>IFERROR(IF(ISNUMBER(INDEX(SPPR!$E:$X,MATCH($A178,SPPR!$A:$A,0),17)),$C178*INDEX(SPPR!$E:$X,MATCH($A178,SPPR!$A:$A,0),17),""),"")</f>
        <v/>
      </c>
      <c r="U178">
        <f>IFERROR(IF(ISNUMBER(INDEX(SPPR!$E:$X,MATCH($A178,SPPR!$A:$A,0),18)),$C178*INDEX(SPPR!$E:$X,MATCH($A178,SPPR!$A:$A,0),18),""),"")</f>
        <v/>
      </c>
      <c r="V178">
        <f>IFERROR(IF(ISNUMBER(INDEX(SPPR!$E:$X,MATCH($A178,SPPR!$A:$A,0),19)),$C178*INDEX(SPPR!$E:$X,MATCH($A178,SPPR!$A:$A,0),19),""),"")</f>
        <v/>
      </c>
      <c r="W178">
        <f>IFERROR(IF(ISNUMBER(INDEX(SPPR!$E:$X,MATCH($A178,SPPR!$A:$A,0),20)),$C178*INDEX(SPPR!$E:$X,MATCH($A178,SPPR!$A:$A,0),20),""),"")</f>
        <v/>
      </c>
    </row>
    <row r="179">
      <c r="A179" t="inlineStr">
        <is>
          <t>Marine groundfishes not identified</t>
        </is>
      </c>
      <c r="B179">
        <f>IFERROR(INDEX(SPPR!$D:$D,MATCH($A179,SPPR!$A:$A,0)),"")</f>
        <v/>
      </c>
      <c r="C179">
        <f>IFERROR(INDEX(Catch!$E:$BV,MATCH($A179,Catch!$A:$A,0),MATCH($B$4,Catch!$E$1:$BV$1,0)),0)</f>
        <v/>
      </c>
      <c r="D179">
        <f>IFERROR(IF(ISNUMBER(INDEX(SPPR!$E:$X,MATCH($A179,SPPR!$A:$A,0),1)),$C179*INDEX(SPPR!$E:$X,MATCH($A179,SPPR!$A:$A,0),1),""),"")</f>
        <v/>
      </c>
      <c r="E179">
        <f>IFERROR(IF(ISNUMBER(INDEX(SPPR!$E:$X,MATCH($A179,SPPR!$A:$A,0),2)),$C179*INDEX(SPPR!$E:$X,MATCH($A179,SPPR!$A:$A,0),2),""),"")</f>
        <v/>
      </c>
      <c r="F179">
        <f>IFERROR(IF(ISNUMBER(INDEX(SPPR!$E:$X,MATCH($A179,SPPR!$A:$A,0),3)),$C179*INDEX(SPPR!$E:$X,MATCH($A179,SPPR!$A:$A,0),3),""),"")</f>
        <v/>
      </c>
      <c r="G179">
        <f>IFERROR(IF(ISNUMBER(INDEX(SPPR!$E:$X,MATCH($A179,SPPR!$A:$A,0),4)),$C179*INDEX(SPPR!$E:$X,MATCH($A179,SPPR!$A:$A,0),4),""),"")</f>
        <v/>
      </c>
      <c r="H179">
        <f>IFERROR(IF(ISNUMBER(INDEX(SPPR!$E:$X,MATCH($A179,SPPR!$A:$A,0),5)),$C179*INDEX(SPPR!$E:$X,MATCH($A179,SPPR!$A:$A,0),5),""),"")</f>
        <v/>
      </c>
      <c r="I179">
        <f>IFERROR(IF(ISNUMBER(INDEX(SPPR!$E:$X,MATCH($A179,SPPR!$A:$A,0),6)),$C179*INDEX(SPPR!$E:$X,MATCH($A179,SPPR!$A:$A,0),6),""),"")</f>
        <v/>
      </c>
      <c r="J179">
        <f>IFERROR(IF(ISNUMBER(INDEX(SPPR!$E:$X,MATCH($A179,SPPR!$A:$A,0),7)),$C179*INDEX(SPPR!$E:$X,MATCH($A179,SPPR!$A:$A,0),7),""),"")</f>
        <v/>
      </c>
      <c r="K179">
        <f>IFERROR(IF(ISNUMBER(INDEX(SPPR!$E:$X,MATCH($A179,SPPR!$A:$A,0),8)),$C179*INDEX(SPPR!$E:$X,MATCH($A179,SPPR!$A:$A,0),8),""),"")</f>
        <v/>
      </c>
      <c r="L179">
        <f>IFERROR(IF(ISNUMBER(INDEX(SPPR!$E:$X,MATCH($A179,SPPR!$A:$A,0),9)),$C179*INDEX(SPPR!$E:$X,MATCH($A179,SPPR!$A:$A,0),9),""),"")</f>
        <v/>
      </c>
      <c r="M179">
        <f>IFERROR(IF(ISNUMBER(INDEX(SPPR!$E:$X,MATCH($A179,SPPR!$A:$A,0),10)),$C179*INDEX(SPPR!$E:$X,MATCH($A179,SPPR!$A:$A,0),10),""),"")</f>
        <v/>
      </c>
      <c r="N179">
        <f>IFERROR(IF(ISNUMBER(INDEX(SPPR!$E:$X,MATCH($A179,SPPR!$A:$A,0),11)),$C179*INDEX(SPPR!$E:$X,MATCH($A179,SPPR!$A:$A,0),11),""),"")</f>
        <v/>
      </c>
      <c r="O179">
        <f>IFERROR(IF(ISNUMBER(INDEX(SPPR!$E:$X,MATCH($A179,SPPR!$A:$A,0),12)),$C179*INDEX(SPPR!$E:$X,MATCH($A179,SPPR!$A:$A,0),12),""),"")</f>
        <v/>
      </c>
      <c r="P179">
        <f>IFERROR(IF(ISNUMBER(INDEX(SPPR!$E:$X,MATCH($A179,SPPR!$A:$A,0),13)),$C179*INDEX(SPPR!$E:$X,MATCH($A179,SPPR!$A:$A,0),13),""),"")</f>
        <v/>
      </c>
      <c r="Q179">
        <f>IFERROR(IF(ISNUMBER(INDEX(SPPR!$E:$X,MATCH($A179,SPPR!$A:$A,0),14)),$C179*INDEX(SPPR!$E:$X,MATCH($A179,SPPR!$A:$A,0),14),""),"")</f>
        <v/>
      </c>
      <c r="R179">
        <f>IFERROR(IF(ISNUMBER(INDEX(SPPR!$E:$X,MATCH($A179,SPPR!$A:$A,0),15)),$C179*INDEX(SPPR!$E:$X,MATCH($A179,SPPR!$A:$A,0),15),""),"")</f>
        <v/>
      </c>
      <c r="S179">
        <f>IFERROR(IF(ISNUMBER(INDEX(SPPR!$E:$X,MATCH($A179,SPPR!$A:$A,0),16)),$C179*INDEX(SPPR!$E:$X,MATCH($A179,SPPR!$A:$A,0),16),""),"")</f>
        <v/>
      </c>
      <c r="T179">
        <f>IFERROR(IF(ISNUMBER(INDEX(SPPR!$E:$X,MATCH($A179,SPPR!$A:$A,0),17)),$C179*INDEX(SPPR!$E:$X,MATCH($A179,SPPR!$A:$A,0),17),""),"")</f>
        <v/>
      </c>
      <c r="U179">
        <f>IFERROR(IF(ISNUMBER(INDEX(SPPR!$E:$X,MATCH($A179,SPPR!$A:$A,0),18)),$C179*INDEX(SPPR!$E:$X,MATCH($A179,SPPR!$A:$A,0),18),""),"")</f>
        <v/>
      </c>
      <c r="V179">
        <f>IFERROR(IF(ISNUMBER(INDEX(SPPR!$E:$X,MATCH($A179,SPPR!$A:$A,0),19)),$C179*INDEX(SPPR!$E:$X,MATCH($A179,SPPR!$A:$A,0),19),""),"")</f>
        <v/>
      </c>
      <c r="W179">
        <f>IFERROR(IF(ISNUMBER(INDEX(SPPR!$E:$X,MATCH($A179,SPPR!$A:$A,0),20)),$C179*INDEX(SPPR!$E:$X,MATCH($A179,SPPR!$A:$A,0),20),""),"")</f>
        <v/>
      </c>
    </row>
    <row r="180">
      <c r="A180" t="inlineStr">
        <is>
          <t>Micromesistius australis</t>
        </is>
      </c>
      <c r="B180">
        <f>IFERROR(INDEX(SPPR!$D:$D,MATCH($A180,SPPR!$A:$A,0)),"")</f>
        <v/>
      </c>
      <c r="C180">
        <f>IFERROR(INDEX(Catch!$E:$BV,MATCH($A180,Catch!$A:$A,0),MATCH($B$4,Catch!$E$1:$BV$1,0)),0)</f>
        <v/>
      </c>
      <c r="D180">
        <f>IFERROR(IF(ISNUMBER(INDEX(SPPR!$E:$X,MATCH($A180,SPPR!$A:$A,0),1)),$C180*INDEX(SPPR!$E:$X,MATCH($A180,SPPR!$A:$A,0),1),""),"")</f>
        <v/>
      </c>
      <c r="E180">
        <f>IFERROR(IF(ISNUMBER(INDEX(SPPR!$E:$X,MATCH($A180,SPPR!$A:$A,0),2)),$C180*INDEX(SPPR!$E:$X,MATCH($A180,SPPR!$A:$A,0),2),""),"")</f>
        <v/>
      </c>
      <c r="F180">
        <f>IFERROR(IF(ISNUMBER(INDEX(SPPR!$E:$X,MATCH($A180,SPPR!$A:$A,0),3)),$C180*INDEX(SPPR!$E:$X,MATCH($A180,SPPR!$A:$A,0),3),""),"")</f>
        <v/>
      </c>
      <c r="G180">
        <f>IFERROR(IF(ISNUMBER(INDEX(SPPR!$E:$X,MATCH($A180,SPPR!$A:$A,0),4)),$C180*INDEX(SPPR!$E:$X,MATCH($A180,SPPR!$A:$A,0),4),""),"")</f>
        <v/>
      </c>
      <c r="H180">
        <f>IFERROR(IF(ISNUMBER(INDEX(SPPR!$E:$X,MATCH($A180,SPPR!$A:$A,0),5)),$C180*INDEX(SPPR!$E:$X,MATCH($A180,SPPR!$A:$A,0),5),""),"")</f>
        <v/>
      </c>
      <c r="I180">
        <f>IFERROR(IF(ISNUMBER(INDEX(SPPR!$E:$X,MATCH($A180,SPPR!$A:$A,0),6)),$C180*INDEX(SPPR!$E:$X,MATCH($A180,SPPR!$A:$A,0),6),""),"")</f>
        <v/>
      </c>
      <c r="J180">
        <f>IFERROR(IF(ISNUMBER(INDEX(SPPR!$E:$X,MATCH($A180,SPPR!$A:$A,0),7)),$C180*INDEX(SPPR!$E:$X,MATCH($A180,SPPR!$A:$A,0),7),""),"")</f>
        <v/>
      </c>
      <c r="K180">
        <f>IFERROR(IF(ISNUMBER(INDEX(SPPR!$E:$X,MATCH($A180,SPPR!$A:$A,0),8)),$C180*INDEX(SPPR!$E:$X,MATCH($A180,SPPR!$A:$A,0),8),""),"")</f>
        <v/>
      </c>
      <c r="L180">
        <f>IFERROR(IF(ISNUMBER(INDEX(SPPR!$E:$X,MATCH($A180,SPPR!$A:$A,0),9)),$C180*INDEX(SPPR!$E:$X,MATCH($A180,SPPR!$A:$A,0),9),""),"")</f>
        <v/>
      </c>
      <c r="M180">
        <f>IFERROR(IF(ISNUMBER(INDEX(SPPR!$E:$X,MATCH($A180,SPPR!$A:$A,0),10)),$C180*INDEX(SPPR!$E:$X,MATCH($A180,SPPR!$A:$A,0),10),""),"")</f>
        <v/>
      </c>
      <c r="N180">
        <f>IFERROR(IF(ISNUMBER(INDEX(SPPR!$E:$X,MATCH($A180,SPPR!$A:$A,0),11)),$C180*INDEX(SPPR!$E:$X,MATCH($A180,SPPR!$A:$A,0),11),""),"")</f>
        <v/>
      </c>
      <c r="O180">
        <f>IFERROR(IF(ISNUMBER(INDEX(SPPR!$E:$X,MATCH($A180,SPPR!$A:$A,0),12)),$C180*INDEX(SPPR!$E:$X,MATCH($A180,SPPR!$A:$A,0),12),""),"")</f>
        <v/>
      </c>
      <c r="P180">
        <f>IFERROR(IF(ISNUMBER(INDEX(SPPR!$E:$X,MATCH($A180,SPPR!$A:$A,0),13)),$C180*INDEX(SPPR!$E:$X,MATCH($A180,SPPR!$A:$A,0),13),""),"")</f>
        <v/>
      </c>
      <c r="Q180">
        <f>IFERROR(IF(ISNUMBER(INDEX(SPPR!$E:$X,MATCH($A180,SPPR!$A:$A,0),14)),$C180*INDEX(SPPR!$E:$X,MATCH($A180,SPPR!$A:$A,0),14),""),"")</f>
        <v/>
      </c>
      <c r="R180">
        <f>IFERROR(IF(ISNUMBER(INDEX(SPPR!$E:$X,MATCH($A180,SPPR!$A:$A,0),15)),$C180*INDEX(SPPR!$E:$X,MATCH($A180,SPPR!$A:$A,0),15),""),"")</f>
        <v/>
      </c>
      <c r="S180">
        <f>IFERROR(IF(ISNUMBER(INDEX(SPPR!$E:$X,MATCH($A180,SPPR!$A:$A,0),16)),$C180*INDEX(SPPR!$E:$X,MATCH($A180,SPPR!$A:$A,0),16),""),"")</f>
        <v/>
      </c>
      <c r="T180">
        <f>IFERROR(IF(ISNUMBER(INDEX(SPPR!$E:$X,MATCH($A180,SPPR!$A:$A,0),17)),$C180*INDEX(SPPR!$E:$X,MATCH($A180,SPPR!$A:$A,0),17),""),"")</f>
        <v/>
      </c>
      <c r="U180">
        <f>IFERROR(IF(ISNUMBER(INDEX(SPPR!$E:$X,MATCH($A180,SPPR!$A:$A,0),18)),$C180*INDEX(SPPR!$E:$X,MATCH($A180,SPPR!$A:$A,0),18),""),"")</f>
        <v/>
      </c>
      <c r="V180">
        <f>IFERROR(IF(ISNUMBER(INDEX(SPPR!$E:$X,MATCH($A180,SPPR!$A:$A,0),19)),$C180*INDEX(SPPR!$E:$X,MATCH($A180,SPPR!$A:$A,0),19),""),"")</f>
        <v/>
      </c>
      <c r="W180">
        <f>IFERROR(IF(ISNUMBER(INDEX(SPPR!$E:$X,MATCH($A180,SPPR!$A:$A,0),20)),$C180*INDEX(SPPR!$E:$X,MATCH($A180,SPPR!$A:$A,0),20),""),"")</f>
        <v/>
      </c>
    </row>
    <row r="181">
      <c r="A181" t="inlineStr">
        <is>
          <t>Scombroidei</t>
        </is>
      </c>
      <c r="B181">
        <f>IFERROR(INDEX(SPPR!$D:$D,MATCH($A181,SPPR!$A:$A,0)),"")</f>
        <v/>
      </c>
      <c r="C181">
        <f>IFERROR(INDEX(Catch!$E:$BV,MATCH($A181,Catch!$A:$A,0),MATCH($B$4,Catch!$E$1:$BV$1,0)),0)</f>
        <v/>
      </c>
      <c r="D181">
        <f>IFERROR(IF(ISNUMBER(INDEX(SPPR!$E:$X,MATCH($A181,SPPR!$A:$A,0),1)),$C181*INDEX(SPPR!$E:$X,MATCH($A181,SPPR!$A:$A,0),1),""),"")</f>
        <v/>
      </c>
      <c r="E181">
        <f>IFERROR(IF(ISNUMBER(INDEX(SPPR!$E:$X,MATCH($A181,SPPR!$A:$A,0),2)),$C181*INDEX(SPPR!$E:$X,MATCH($A181,SPPR!$A:$A,0),2),""),"")</f>
        <v/>
      </c>
      <c r="F181">
        <f>IFERROR(IF(ISNUMBER(INDEX(SPPR!$E:$X,MATCH($A181,SPPR!$A:$A,0),3)),$C181*INDEX(SPPR!$E:$X,MATCH($A181,SPPR!$A:$A,0),3),""),"")</f>
        <v/>
      </c>
      <c r="G181">
        <f>IFERROR(IF(ISNUMBER(INDEX(SPPR!$E:$X,MATCH($A181,SPPR!$A:$A,0),4)),$C181*INDEX(SPPR!$E:$X,MATCH($A181,SPPR!$A:$A,0),4),""),"")</f>
        <v/>
      </c>
      <c r="H181">
        <f>IFERROR(IF(ISNUMBER(INDEX(SPPR!$E:$X,MATCH($A181,SPPR!$A:$A,0),5)),$C181*INDEX(SPPR!$E:$X,MATCH($A181,SPPR!$A:$A,0),5),""),"")</f>
        <v/>
      </c>
      <c r="I181">
        <f>IFERROR(IF(ISNUMBER(INDEX(SPPR!$E:$X,MATCH($A181,SPPR!$A:$A,0),6)),$C181*INDEX(SPPR!$E:$X,MATCH($A181,SPPR!$A:$A,0),6),""),"")</f>
        <v/>
      </c>
      <c r="J181">
        <f>IFERROR(IF(ISNUMBER(INDEX(SPPR!$E:$X,MATCH($A181,SPPR!$A:$A,0),7)),$C181*INDEX(SPPR!$E:$X,MATCH($A181,SPPR!$A:$A,0),7),""),"")</f>
        <v/>
      </c>
      <c r="K181">
        <f>IFERROR(IF(ISNUMBER(INDEX(SPPR!$E:$X,MATCH($A181,SPPR!$A:$A,0),8)),$C181*INDEX(SPPR!$E:$X,MATCH($A181,SPPR!$A:$A,0),8),""),"")</f>
        <v/>
      </c>
      <c r="L181">
        <f>IFERROR(IF(ISNUMBER(INDEX(SPPR!$E:$X,MATCH($A181,SPPR!$A:$A,0),9)),$C181*INDEX(SPPR!$E:$X,MATCH($A181,SPPR!$A:$A,0),9),""),"")</f>
        <v/>
      </c>
      <c r="M181">
        <f>IFERROR(IF(ISNUMBER(INDEX(SPPR!$E:$X,MATCH($A181,SPPR!$A:$A,0),10)),$C181*INDEX(SPPR!$E:$X,MATCH($A181,SPPR!$A:$A,0),10),""),"")</f>
        <v/>
      </c>
      <c r="N181">
        <f>IFERROR(IF(ISNUMBER(INDEX(SPPR!$E:$X,MATCH($A181,SPPR!$A:$A,0),11)),$C181*INDEX(SPPR!$E:$X,MATCH($A181,SPPR!$A:$A,0),11),""),"")</f>
        <v/>
      </c>
      <c r="O181">
        <f>IFERROR(IF(ISNUMBER(INDEX(SPPR!$E:$X,MATCH($A181,SPPR!$A:$A,0),12)),$C181*INDEX(SPPR!$E:$X,MATCH($A181,SPPR!$A:$A,0),12),""),"")</f>
        <v/>
      </c>
      <c r="P181">
        <f>IFERROR(IF(ISNUMBER(INDEX(SPPR!$E:$X,MATCH($A181,SPPR!$A:$A,0),13)),$C181*INDEX(SPPR!$E:$X,MATCH($A181,SPPR!$A:$A,0),13),""),"")</f>
        <v/>
      </c>
      <c r="Q181">
        <f>IFERROR(IF(ISNUMBER(INDEX(SPPR!$E:$X,MATCH($A181,SPPR!$A:$A,0),14)),$C181*INDEX(SPPR!$E:$X,MATCH($A181,SPPR!$A:$A,0),14),""),"")</f>
        <v/>
      </c>
      <c r="R181">
        <f>IFERROR(IF(ISNUMBER(INDEX(SPPR!$E:$X,MATCH($A181,SPPR!$A:$A,0),15)),$C181*INDEX(SPPR!$E:$X,MATCH($A181,SPPR!$A:$A,0),15),""),"")</f>
        <v/>
      </c>
      <c r="S181">
        <f>IFERROR(IF(ISNUMBER(INDEX(SPPR!$E:$X,MATCH($A181,SPPR!$A:$A,0),16)),$C181*INDEX(SPPR!$E:$X,MATCH($A181,SPPR!$A:$A,0),16),""),"")</f>
        <v/>
      </c>
      <c r="T181">
        <f>IFERROR(IF(ISNUMBER(INDEX(SPPR!$E:$X,MATCH($A181,SPPR!$A:$A,0),17)),$C181*INDEX(SPPR!$E:$X,MATCH($A181,SPPR!$A:$A,0),17),""),"")</f>
        <v/>
      </c>
      <c r="U181">
        <f>IFERROR(IF(ISNUMBER(INDEX(SPPR!$E:$X,MATCH($A181,SPPR!$A:$A,0),18)),$C181*INDEX(SPPR!$E:$X,MATCH($A181,SPPR!$A:$A,0),18),""),"")</f>
        <v/>
      </c>
      <c r="V181">
        <f>IFERROR(IF(ISNUMBER(INDEX(SPPR!$E:$X,MATCH($A181,SPPR!$A:$A,0),19)),$C181*INDEX(SPPR!$E:$X,MATCH($A181,SPPR!$A:$A,0),19),""),"")</f>
        <v/>
      </c>
      <c r="W181">
        <f>IFERROR(IF(ISNUMBER(INDEX(SPPR!$E:$X,MATCH($A181,SPPR!$A:$A,0),20)),$C181*INDEX(SPPR!$E:$X,MATCH($A181,SPPR!$A:$A,0),20),""),"")</f>
        <v/>
      </c>
    </row>
    <row r="182">
      <c r="A182" t="inlineStr">
        <is>
          <t>Mustelus mento</t>
        </is>
      </c>
      <c r="B182">
        <f>IFERROR(INDEX(SPPR!$D:$D,MATCH($A182,SPPR!$A:$A,0)),"")</f>
        <v/>
      </c>
      <c r="C182">
        <f>IFERROR(INDEX(Catch!$E:$BV,MATCH($A182,Catch!$A:$A,0),MATCH($B$4,Catch!$E$1:$BV$1,0)),0)</f>
        <v/>
      </c>
      <c r="D182">
        <f>IFERROR(IF(ISNUMBER(INDEX(SPPR!$E:$X,MATCH($A182,SPPR!$A:$A,0),1)),$C182*INDEX(SPPR!$E:$X,MATCH($A182,SPPR!$A:$A,0),1),""),"")</f>
        <v/>
      </c>
      <c r="E182">
        <f>IFERROR(IF(ISNUMBER(INDEX(SPPR!$E:$X,MATCH($A182,SPPR!$A:$A,0),2)),$C182*INDEX(SPPR!$E:$X,MATCH($A182,SPPR!$A:$A,0),2),""),"")</f>
        <v/>
      </c>
      <c r="F182">
        <f>IFERROR(IF(ISNUMBER(INDEX(SPPR!$E:$X,MATCH($A182,SPPR!$A:$A,0),3)),$C182*INDEX(SPPR!$E:$X,MATCH($A182,SPPR!$A:$A,0),3),""),"")</f>
        <v/>
      </c>
      <c r="G182">
        <f>IFERROR(IF(ISNUMBER(INDEX(SPPR!$E:$X,MATCH($A182,SPPR!$A:$A,0),4)),$C182*INDEX(SPPR!$E:$X,MATCH($A182,SPPR!$A:$A,0),4),""),"")</f>
        <v/>
      </c>
      <c r="H182">
        <f>IFERROR(IF(ISNUMBER(INDEX(SPPR!$E:$X,MATCH($A182,SPPR!$A:$A,0),5)),$C182*INDEX(SPPR!$E:$X,MATCH($A182,SPPR!$A:$A,0),5),""),"")</f>
        <v/>
      </c>
      <c r="I182">
        <f>IFERROR(IF(ISNUMBER(INDEX(SPPR!$E:$X,MATCH($A182,SPPR!$A:$A,0),6)),$C182*INDEX(SPPR!$E:$X,MATCH($A182,SPPR!$A:$A,0),6),""),"")</f>
        <v/>
      </c>
      <c r="J182">
        <f>IFERROR(IF(ISNUMBER(INDEX(SPPR!$E:$X,MATCH($A182,SPPR!$A:$A,0),7)),$C182*INDEX(SPPR!$E:$X,MATCH($A182,SPPR!$A:$A,0),7),""),"")</f>
        <v/>
      </c>
      <c r="K182">
        <f>IFERROR(IF(ISNUMBER(INDEX(SPPR!$E:$X,MATCH($A182,SPPR!$A:$A,0),8)),$C182*INDEX(SPPR!$E:$X,MATCH($A182,SPPR!$A:$A,0),8),""),"")</f>
        <v/>
      </c>
      <c r="L182">
        <f>IFERROR(IF(ISNUMBER(INDEX(SPPR!$E:$X,MATCH($A182,SPPR!$A:$A,0),9)),$C182*INDEX(SPPR!$E:$X,MATCH($A182,SPPR!$A:$A,0),9),""),"")</f>
        <v/>
      </c>
      <c r="M182">
        <f>IFERROR(IF(ISNUMBER(INDEX(SPPR!$E:$X,MATCH($A182,SPPR!$A:$A,0),10)),$C182*INDEX(SPPR!$E:$X,MATCH($A182,SPPR!$A:$A,0),10),""),"")</f>
        <v/>
      </c>
      <c r="N182">
        <f>IFERROR(IF(ISNUMBER(INDEX(SPPR!$E:$X,MATCH($A182,SPPR!$A:$A,0),11)),$C182*INDEX(SPPR!$E:$X,MATCH($A182,SPPR!$A:$A,0),11),""),"")</f>
        <v/>
      </c>
      <c r="O182">
        <f>IFERROR(IF(ISNUMBER(INDEX(SPPR!$E:$X,MATCH($A182,SPPR!$A:$A,0),12)),$C182*INDEX(SPPR!$E:$X,MATCH($A182,SPPR!$A:$A,0),12),""),"")</f>
        <v/>
      </c>
      <c r="P182">
        <f>IFERROR(IF(ISNUMBER(INDEX(SPPR!$E:$X,MATCH($A182,SPPR!$A:$A,0),13)),$C182*INDEX(SPPR!$E:$X,MATCH($A182,SPPR!$A:$A,0),13),""),"")</f>
        <v/>
      </c>
      <c r="Q182">
        <f>IFERROR(IF(ISNUMBER(INDEX(SPPR!$E:$X,MATCH($A182,SPPR!$A:$A,0),14)),$C182*INDEX(SPPR!$E:$X,MATCH($A182,SPPR!$A:$A,0),14),""),"")</f>
        <v/>
      </c>
      <c r="R182">
        <f>IFERROR(IF(ISNUMBER(INDEX(SPPR!$E:$X,MATCH($A182,SPPR!$A:$A,0),15)),$C182*INDEX(SPPR!$E:$X,MATCH($A182,SPPR!$A:$A,0),15),""),"")</f>
        <v/>
      </c>
      <c r="S182">
        <f>IFERROR(IF(ISNUMBER(INDEX(SPPR!$E:$X,MATCH($A182,SPPR!$A:$A,0),16)),$C182*INDEX(SPPR!$E:$X,MATCH($A182,SPPR!$A:$A,0),16),""),"")</f>
        <v/>
      </c>
      <c r="T182">
        <f>IFERROR(IF(ISNUMBER(INDEX(SPPR!$E:$X,MATCH($A182,SPPR!$A:$A,0),17)),$C182*INDEX(SPPR!$E:$X,MATCH($A182,SPPR!$A:$A,0),17),""),"")</f>
        <v/>
      </c>
      <c r="U182">
        <f>IFERROR(IF(ISNUMBER(INDEX(SPPR!$E:$X,MATCH($A182,SPPR!$A:$A,0),18)),$C182*INDEX(SPPR!$E:$X,MATCH($A182,SPPR!$A:$A,0),18),""),"")</f>
        <v/>
      </c>
      <c r="V182">
        <f>IFERROR(IF(ISNUMBER(INDEX(SPPR!$E:$X,MATCH($A182,SPPR!$A:$A,0),19)),$C182*INDEX(SPPR!$E:$X,MATCH($A182,SPPR!$A:$A,0),19),""),"")</f>
        <v/>
      </c>
      <c r="W182">
        <f>IFERROR(IF(ISNUMBER(INDEX(SPPR!$E:$X,MATCH($A182,SPPR!$A:$A,0),20)),$C182*INDEX(SPPR!$E:$X,MATCH($A182,SPPR!$A:$A,0),20),""),"")</f>
        <v/>
      </c>
    </row>
    <row r="183">
      <c r="A183" t="inlineStr">
        <is>
          <t>Trichiurus lepturus</t>
        </is>
      </c>
      <c r="B183">
        <f>IFERROR(INDEX(SPPR!$D:$D,MATCH($A183,SPPR!$A:$A,0)),"")</f>
        <v/>
      </c>
      <c r="C183">
        <f>IFERROR(INDEX(Catch!$E:$BV,MATCH($A183,Catch!$A:$A,0),MATCH($B$4,Catch!$E$1:$BV$1,0)),0)</f>
        <v/>
      </c>
      <c r="D183">
        <f>IFERROR(IF(ISNUMBER(INDEX(SPPR!$E:$X,MATCH($A183,SPPR!$A:$A,0),1)),$C183*INDEX(SPPR!$E:$X,MATCH($A183,SPPR!$A:$A,0),1),""),"")</f>
        <v/>
      </c>
      <c r="E183">
        <f>IFERROR(IF(ISNUMBER(INDEX(SPPR!$E:$X,MATCH($A183,SPPR!$A:$A,0),2)),$C183*INDEX(SPPR!$E:$X,MATCH($A183,SPPR!$A:$A,0),2),""),"")</f>
        <v/>
      </c>
      <c r="F183">
        <f>IFERROR(IF(ISNUMBER(INDEX(SPPR!$E:$X,MATCH($A183,SPPR!$A:$A,0),3)),$C183*INDEX(SPPR!$E:$X,MATCH($A183,SPPR!$A:$A,0),3),""),"")</f>
        <v/>
      </c>
      <c r="G183">
        <f>IFERROR(IF(ISNUMBER(INDEX(SPPR!$E:$X,MATCH($A183,SPPR!$A:$A,0),4)),$C183*INDEX(SPPR!$E:$X,MATCH($A183,SPPR!$A:$A,0),4),""),"")</f>
        <v/>
      </c>
      <c r="H183">
        <f>IFERROR(IF(ISNUMBER(INDEX(SPPR!$E:$X,MATCH($A183,SPPR!$A:$A,0),5)),$C183*INDEX(SPPR!$E:$X,MATCH($A183,SPPR!$A:$A,0),5),""),"")</f>
        <v/>
      </c>
      <c r="I183">
        <f>IFERROR(IF(ISNUMBER(INDEX(SPPR!$E:$X,MATCH($A183,SPPR!$A:$A,0),6)),$C183*INDEX(SPPR!$E:$X,MATCH($A183,SPPR!$A:$A,0),6),""),"")</f>
        <v/>
      </c>
      <c r="J183">
        <f>IFERROR(IF(ISNUMBER(INDEX(SPPR!$E:$X,MATCH($A183,SPPR!$A:$A,0),7)),$C183*INDEX(SPPR!$E:$X,MATCH($A183,SPPR!$A:$A,0),7),""),"")</f>
        <v/>
      </c>
      <c r="K183">
        <f>IFERROR(IF(ISNUMBER(INDEX(SPPR!$E:$X,MATCH($A183,SPPR!$A:$A,0),8)),$C183*INDEX(SPPR!$E:$X,MATCH($A183,SPPR!$A:$A,0),8),""),"")</f>
        <v/>
      </c>
      <c r="L183">
        <f>IFERROR(IF(ISNUMBER(INDEX(SPPR!$E:$X,MATCH($A183,SPPR!$A:$A,0),9)),$C183*INDEX(SPPR!$E:$X,MATCH($A183,SPPR!$A:$A,0),9),""),"")</f>
        <v/>
      </c>
      <c r="M183">
        <f>IFERROR(IF(ISNUMBER(INDEX(SPPR!$E:$X,MATCH($A183,SPPR!$A:$A,0),10)),$C183*INDEX(SPPR!$E:$X,MATCH($A183,SPPR!$A:$A,0),10),""),"")</f>
        <v/>
      </c>
      <c r="N183">
        <f>IFERROR(IF(ISNUMBER(INDEX(SPPR!$E:$X,MATCH($A183,SPPR!$A:$A,0),11)),$C183*INDEX(SPPR!$E:$X,MATCH($A183,SPPR!$A:$A,0),11),""),"")</f>
        <v/>
      </c>
      <c r="O183">
        <f>IFERROR(IF(ISNUMBER(INDEX(SPPR!$E:$X,MATCH($A183,SPPR!$A:$A,0),12)),$C183*INDEX(SPPR!$E:$X,MATCH($A183,SPPR!$A:$A,0),12),""),"")</f>
        <v/>
      </c>
      <c r="P183">
        <f>IFERROR(IF(ISNUMBER(INDEX(SPPR!$E:$X,MATCH($A183,SPPR!$A:$A,0),13)),$C183*INDEX(SPPR!$E:$X,MATCH($A183,SPPR!$A:$A,0),13),""),"")</f>
        <v/>
      </c>
      <c r="Q183">
        <f>IFERROR(IF(ISNUMBER(INDEX(SPPR!$E:$X,MATCH($A183,SPPR!$A:$A,0),14)),$C183*INDEX(SPPR!$E:$X,MATCH($A183,SPPR!$A:$A,0),14),""),"")</f>
        <v/>
      </c>
      <c r="R183">
        <f>IFERROR(IF(ISNUMBER(INDEX(SPPR!$E:$X,MATCH($A183,SPPR!$A:$A,0),15)),$C183*INDEX(SPPR!$E:$X,MATCH($A183,SPPR!$A:$A,0),15),""),"")</f>
        <v/>
      </c>
      <c r="S183">
        <f>IFERROR(IF(ISNUMBER(INDEX(SPPR!$E:$X,MATCH($A183,SPPR!$A:$A,0),16)),$C183*INDEX(SPPR!$E:$X,MATCH($A183,SPPR!$A:$A,0),16),""),"")</f>
        <v/>
      </c>
      <c r="T183">
        <f>IFERROR(IF(ISNUMBER(INDEX(SPPR!$E:$X,MATCH($A183,SPPR!$A:$A,0),17)),$C183*INDEX(SPPR!$E:$X,MATCH($A183,SPPR!$A:$A,0),17),""),"")</f>
        <v/>
      </c>
      <c r="U183">
        <f>IFERROR(IF(ISNUMBER(INDEX(SPPR!$E:$X,MATCH($A183,SPPR!$A:$A,0),18)),$C183*INDEX(SPPR!$E:$X,MATCH($A183,SPPR!$A:$A,0),18),""),"")</f>
        <v/>
      </c>
      <c r="V183">
        <f>IFERROR(IF(ISNUMBER(INDEX(SPPR!$E:$X,MATCH($A183,SPPR!$A:$A,0),19)),$C183*INDEX(SPPR!$E:$X,MATCH($A183,SPPR!$A:$A,0),19),""),"")</f>
        <v/>
      </c>
      <c r="W183">
        <f>IFERROR(IF(ISNUMBER(INDEX(SPPR!$E:$X,MATCH($A183,SPPR!$A:$A,0),20)),$C183*INDEX(SPPR!$E:$X,MATCH($A183,SPPR!$A:$A,0),20),""),"")</f>
        <v/>
      </c>
    </row>
    <row r="184">
      <c r="A184" t="inlineStr">
        <is>
          <t>Clupeiformes</t>
        </is>
      </c>
      <c r="B184">
        <f>IFERROR(INDEX(SPPR!$D:$D,MATCH($A184,SPPR!$A:$A,0)),"")</f>
        <v/>
      </c>
      <c r="C184">
        <f>IFERROR(INDEX(Catch!$E:$BV,MATCH($A184,Catch!$A:$A,0),MATCH($B$4,Catch!$E$1:$BV$1,0)),0)</f>
        <v/>
      </c>
      <c r="D184">
        <f>IFERROR(IF(ISNUMBER(INDEX(SPPR!$E:$X,MATCH($A184,SPPR!$A:$A,0),1)),$C184*INDEX(SPPR!$E:$X,MATCH($A184,SPPR!$A:$A,0),1),""),"")</f>
        <v/>
      </c>
      <c r="E184">
        <f>IFERROR(IF(ISNUMBER(INDEX(SPPR!$E:$X,MATCH($A184,SPPR!$A:$A,0),2)),$C184*INDEX(SPPR!$E:$X,MATCH($A184,SPPR!$A:$A,0),2),""),"")</f>
        <v/>
      </c>
      <c r="F184">
        <f>IFERROR(IF(ISNUMBER(INDEX(SPPR!$E:$X,MATCH($A184,SPPR!$A:$A,0),3)),$C184*INDEX(SPPR!$E:$X,MATCH($A184,SPPR!$A:$A,0),3),""),"")</f>
        <v/>
      </c>
      <c r="G184">
        <f>IFERROR(IF(ISNUMBER(INDEX(SPPR!$E:$X,MATCH($A184,SPPR!$A:$A,0),4)),$C184*INDEX(SPPR!$E:$X,MATCH($A184,SPPR!$A:$A,0),4),""),"")</f>
        <v/>
      </c>
      <c r="H184">
        <f>IFERROR(IF(ISNUMBER(INDEX(SPPR!$E:$X,MATCH($A184,SPPR!$A:$A,0),5)),$C184*INDEX(SPPR!$E:$X,MATCH($A184,SPPR!$A:$A,0),5),""),"")</f>
        <v/>
      </c>
      <c r="I184">
        <f>IFERROR(IF(ISNUMBER(INDEX(SPPR!$E:$X,MATCH($A184,SPPR!$A:$A,0),6)),$C184*INDEX(SPPR!$E:$X,MATCH($A184,SPPR!$A:$A,0),6),""),"")</f>
        <v/>
      </c>
      <c r="J184">
        <f>IFERROR(IF(ISNUMBER(INDEX(SPPR!$E:$X,MATCH($A184,SPPR!$A:$A,0),7)),$C184*INDEX(SPPR!$E:$X,MATCH($A184,SPPR!$A:$A,0),7),""),"")</f>
        <v/>
      </c>
      <c r="K184">
        <f>IFERROR(IF(ISNUMBER(INDEX(SPPR!$E:$X,MATCH($A184,SPPR!$A:$A,0),8)),$C184*INDEX(SPPR!$E:$X,MATCH($A184,SPPR!$A:$A,0),8),""),"")</f>
        <v/>
      </c>
      <c r="L184">
        <f>IFERROR(IF(ISNUMBER(INDEX(SPPR!$E:$X,MATCH($A184,SPPR!$A:$A,0),9)),$C184*INDEX(SPPR!$E:$X,MATCH($A184,SPPR!$A:$A,0),9),""),"")</f>
        <v/>
      </c>
      <c r="M184">
        <f>IFERROR(IF(ISNUMBER(INDEX(SPPR!$E:$X,MATCH($A184,SPPR!$A:$A,0),10)),$C184*INDEX(SPPR!$E:$X,MATCH($A184,SPPR!$A:$A,0),10),""),"")</f>
        <v/>
      </c>
      <c r="N184">
        <f>IFERROR(IF(ISNUMBER(INDEX(SPPR!$E:$X,MATCH($A184,SPPR!$A:$A,0),11)),$C184*INDEX(SPPR!$E:$X,MATCH($A184,SPPR!$A:$A,0),11),""),"")</f>
        <v/>
      </c>
      <c r="O184">
        <f>IFERROR(IF(ISNUMBER(INDEX(SPPR!$E:$X,MATCH($A184,SPPR!$A:$A,0),12)),$C184*INDEX(SPPR!$E:$X,MATCH($A184,SPPR!$A:$A,0),12),""),"")</f>
        <v/>
      </c>
      <c r="P184">
        <f>IFERROR(IF(ISNUMBER(INDEX(SPPR!$E:$X,MATCH($A184,SPPR!$A:$A,0),13)),$C184*INDEX(SPPR!$E:$X,MATCH($A184,SPPR!$A:$A,0),13),""),"")</f>
        <v/>
      </c>
      <c r="Q184">
        <f>IFERROR(IF(ISNUMBER(INDEX(SPPR!$E:$X,MATCH($A184,SPPR!$A:$A,0),14)),$C184*INDEX(SPPR!$E:$X,MATCH($A184,SPPR!$A:$A,0),14),""),"")</f>
        <v/>
      </c>
      <c r="R184">
        <f>IFERROR(IF(ISNUMBER(INDEX(SPPR!$E:$X,MATCH($A184,SPPR!$A:$A,0),15)),$C184*INDEX(SPPR!$E:$X,MATCH($A184,SPPR!$A:$A,0),15),""),"")</f>
        <v/>
      </c>
      <c r="S184">
        <f>IFERROR(IF(ISNUMBER(INDEX(SPPR!$E:$X,MATCH($A184,SPPR!$A:$A,0),16)),$C184*INDEX(SPPR!$E:$X,MATCH($A184,SPPR!$A:$A,0),16),""),"")</f>
        <v/>
      </c>
      <c r="T184">
        <f>IFERROR(IF(ISNUMBER(INDEX(SPPR!$E:$X,MATCH($A184,SPPR!$A:$A,0),17)),$C184*INDEX(SPPR!$E:$X,MATCH($A184,SPPR!$A:$A,0),17),""),"")</f>
        <v/>
      </c>
      <c r="U184">
        <f>IFERROR(IF(ISNUMBER(INDEX(SPPR!$E:$X,MATCH($A184,SPPR!$A:$A,0),18)),$C184*INDEX(SPPR!$E:$X,MATCH($A184,SPPR!$A:$A,0),18),""),"")</f>
        <v/>
      </c>
      <c r="V184">
        <f>IFERROR(IF(ISNUMBER(INDEX(SPPR!$E:$X,MATCH($A184,SPPR!$A:$A,0),19)),$C184*INDEX(SPPR!$E:$X,MATCH($A184,SPPR!$A:$A,0),19),""),"")</f>
        <v/>
      </c>
      <c r="W184">
        <f>IFERROR(IF(ISNUMBER(INDEX(SPPR!$E:$X,MATCH($A184,SPPR!$A:$A,0),20)),$C184*INDEX(SPPR!$E:$X,MATCH($A184,SPPR!$A:$A,0),20),""),"")</f>
        <v/>
      </c>
    </row>
    <row r="185">
      <c r="A185" t="inlineStr">
        <is>
          <t>Taliepus marginatus</t>
        </is>
      </c>
      <c r="B185">
        <f>IFERROR(INDEX(SPPR!$D:$D,MATCH($A185,SPPR!$A:$A,0)),"")</f>
        <v/>
      </c>
      <c r="C185">
        <f>IFERROR(INDEX(Catch!$E:$BV,MATCH($A185,Catch!$A:$A,0),MATCH($B$4,Catch!$E$1:$BV$1,0)),0)</f>
        <v/>
      </c>
      <c r="D185">
        <f>IFERROR(IF(ISNUMBER(INDEX(SPPR!$E:$X,MATCH($A185,SPPR!$A:$A,0),1)),$C185*INDEX(SPPR!$E:$X,MATCH($A185,SPPR!$A:$A,0),1),""),"")</f>
        <v/>
      </c>
      <c r="E185">
        <f>IFERROR(IF(ISNUMBER(INDEX(SPPR!$E:$X,MATCH($A185,SPPR!$A:$A,0),2)),$C185*INDEX(SPPR!$E:$X,MATCH($A185,SPPR!$A:$A,0),2),""),"")</f>
        <v/>
      </c>
      <c r="F185">
        <f>IFERROR(IF(ISNUMBER(INDEX(SPPR!$E:$X,MATCH($A185,SPPR!$A:$A,0),3)),$C185*INDEX(SPPR!$E:$X,MATCH($A185,SPPR!$A:$A,0),3),""),"")</f>
        <v/>
      </c>
      <c r="G185">
        <f>IFERROR(IF(ISNUMBER(INDEX(SPPR!$E:$X,MATCH($A185,SPPR!$A:$A,0),4)),$C185*INDEX(SPPR!$E:$X,MATCH($A185,SPPR!$A:$A,0),4),""),"")</f>
        <v/>
      </c>
      <c r="H185">
        <f>IFERROR(IF(ISNUMBER(INDEX(SPPR!$E:$X,MATCH($A185,SPPR!$A:$A,0),5)),$C185*INDEX(SPPR!$E:$X,MATCH($A185,SPPR!$A:$A,0),5),""),"")</f>
        <v/>
      </c>
      <c r="I185">
        <f>IFERROR(IF(ISNUMBER(INDEX(SPPR!$E:$X,MATCH($A185,SPPR!$A:$A,0),6)),$C185*INDEX(SPPR!$E:$X,MATCH($A185,SPPR!$A:$A,0),6),""),"")</f>
        <v/>
      </c>
      <c r="J185">
        <f>IFERROR(IF(ISNUMBER(INDEX(SPPR!$E:$X,MATCH($A185,SPPR!$A:$A,0),7)),$C185*INDEX(SPPR!$E:$X,MATCH($A185,SPPR!$A:$A,0),7),""),"")</f>
        <v/>
      </c>
      <c r="K185">
        <f>IFERROR(IF(ISNUMBER(INDEX(SPPR!$E:$X,MATCH($A185,SPPR!$A:$A,0),8)),$C185*INDEX(SPPR!$E:$X,MATCH($A185,SPPR!$A:$A,0),8),""),"")</f>
        <v/>
      </c>
      <c r="L185">
        <f>IFERROR(IF(ISNUMBER(INDEX(SPPR!$E:$X,MATCH($A185,SPPR!$A:$A,0),9)),$C185*INDEX(SPPR!$E:$X,MATCH($A185,SPPR!$A:$A,0),9),""),"")</f>
        <v/>
      </c>
      <c r="M185">
        <f>IFERROR(IF(ISNUMBER(INDEX(SPPR!$E:$X,MATCH($A185,SPPR!$A:$A,0),10)),$C185*INDEX(SPPR!$E:$X,MATCH($A185,SPPR!$A:$A,0),10),""),"")</f>
        <v/>
      </c>
      <c r="N185">
        <f>IFERROR(IF(ISNUMBER(INDEX(SPPR!$E:$X,MATCH($A185,SPPR!$A:$A,0),11)),$C185*INDEX(SPPR!$E:$X,MATCH($A185,SPPR!$A:$A,0),11),""),"")</f>
        <v/>
      </c>
      <c r="O185">
        <f>IFERROR(IF(ISNUMBER(INDEX(SPPR!$E:$X,MATCH($A185,SPPR!$A:$A,0),12)),$C185*INDEX(SPPR!$E:$X,MATCH($A185,SPPR!$A:$A,0),12),""),"")</f>
        <v/>
      </c>
      <c r="P185">
        <f>IFERROR(IF(ISNUMBER(INDEX(SPPR!$E:$X,MATCH($A185,SPPR!$A:$A,0),13)),$C185*INDEX(SPPR!$E:$X,MATCH($A185,SPPR!$A:$A,0),13),""),"")</f>
        <v/>
      </c>
      <c r="Q185">
        <f>IFERROR(IF(ISNUMBER(INDEX(SPPR!$E:$X,MATCH($A185,SPPR!$A:$A,0),14)),$C185*INDEX(SPPR!$E:$X,MATCH($A185,SPPR!$A:$A,0),14),""),"")</f>
        <v/>
      </c>
      <c r="R185">
        <f>IFERROR(IF(ISNUMBER(INDEX(SPPR!$E:$X,MATCH($A185,SPPR!$A:$A,0),15)),$C185*INDEX(SPPR!$E:$X,MATCH($A185,SPPR!$A:$A,0),15),""),"")</f>
        <v/>
      </c>
      <c r="S185">
        <f>IFERROR(IF(ISNUMBER(INDEX(SPPR!$E:$X,MATCH($A185,SPPR!$A:$A,0),16)),$C185*INDEX(SPPR!$E:$X,MATCH($A185,SPPR!$A:$A,0),16),""),"")</f>
        <v/>
      </c>
      <c r="T185">
        <f>IFERROR(IF(ISNUMBER(INDEX(SPPR!$E:$X,MATCH($A185,SPPR!$A:$A,0),17)),$C185*INDEX(SPPR!$E:$X,MATCH($A185,SPPR!$A:$A,0),17),""),"")</f>
        <v/>
      </c>
      <c r="U185">
        <f>IFERROR(IF(ISNUMBER(INDEX(SPPR!$E:$X,MATCH($A185,SPPR!$A:$A,0),18)),$C185*INDEX(SPPR!$E:$X,MATCH($A185,SPPR!$A:$A,0),18),""),"")</f>
        <v/>
      </c>
      <c r="V185">
        <f>IFERROR(IF(ISNUMBER(INDEX(SPPR!$E:$X,MATCH($A185,SPPR!$A:$A,0),19)),$C185*INDEX(SPPR!$E:$X,MATCH($A185,SPPR!$A:$A,0),19),""),"")</f>
        <v/>
      </c>
      <c r="W185">
        <f>IFERROR(IF(ISNUMBER(INDEX(SPPR!$E:$X,MATCH($A185,SPPR!$A:$A,0),20)),$C185*INDEX(SPPR!$E:$X,MATCH($A185,SPPR!$A:$A,0),20),""),"")</f>
        <v/>
      </c>
    </row>
    <row r="186">
      <c r="A186" t="inlineStr">
        <is>
          <t>Scorpaena histrio</t>
        </is>
      </c>
      <c r="B186">
        <f>IFERROR(INDEX(SPPR!$D:$D,MATCH($A186,SPPR!$A:$A,0)),"")</f>
        <v/>
      </c>
      <c r="C186">
        <f>IFERROR(INDEX(Catch!$E:$BV,MATCH($A186,Catch!$A:$A,0),MATCH($B$4,Catch!$E$1:$BV$1,0)),0)</f>
        <v/>
      </c>
      <c r="D186">
        <f>IFERROR(IF(ISNUMBER(INDEX(SPPR!$E:$X,MATCH($A186,SPPR!$A:$A,0),1)),$C186*INDEX(SPPR!$E:$X,MATCH($A186,SPPR!$A:$A,0),1),""),"")</f>
        <v/>
      </c>
      <c r="E186">
        <f>IFERROR(IF(ISNUMBER(INDEX(SPPR!$E:$X,MATCH($A186,SPPR!$A:$A,0),2)),$C186*INDEX(SPPR!$E:$X,MATCH($A186,SPPR!$A:$A,0),2),""),"")</f>
        <v/>
      </c>
      <c r="F186">
        <f>IFERROR(IF(ISNUMBER(INDEX(SPPR!$E:$X,MATCH($A186,SPPR!$A:$A,0),3)),$C186*INDEX(SPPR!$E:$X,MATCH($A186,SPPR!$A:$A,0),3),""),"")</f>
        <v/>
      </c>
      <c r="G186">
        <f>IFERROR(IF(ISNUMBER(INDEX(SPPR!$E:$X,MATCH($A186,SPPR!$A:$A,0),4)),$C186*INDEX(SPPR!$E:$X,MATCH($A186,SPPR!$A:$A,0),4),""),"")</f>
        <v/>
      </c>
      <c r="H186">
        <f>IFERROR(IF(ISNUMBER(INDEX(SPPR!$E:$X,MATCH($A186,SPPR!$A:$A,0),5)),$C186*INDEX(SPPR!$E:$X,MATCH($A186,SPPR!$A:$A,0),5),""),"")</f>
        <v/>
      </c>
      <c r="I186">
        <f>IFERROR(IF(ISNUMBER(INDEX(SPPR!$E:$X,MATCH($A186,SPPR!$A:$A,0),6)),$C186*INDEX(SPPR!$E:$X,MATCH($A186,SPPR!$A:$A,0),6),""),"")</f>
        <v/>
      </c>
      <c r="J186">
        <f>IFERROR(IF(ISNUMBER(INDEX(SPPR!$E:$X,MATCH($A186,SPPR!$A:$A,0),7)),$C186*INDEX(SPPR!$E:$X,MATCH($A186,SPPR!$A:$A,0),7),""),"")</f>
        <v/>
      </c>
      <c r="K186">
        <f>IFERROR(IF(ISNUMBER(INDEX(SPPR!$E:$X,MATCH($A186,SPPR!$A:$A,0),8)),$C186*INDEX(SPPR!$E:$X,MATCH($A186,SPPR!$A:$A,0),8),""),"")</f>
        <v/>
      </c>
      <c r="L186">
        <f>IFERROR(IF(ISNUMBER(INDEX(SPPR!$E:$X,MATCH($A186,SPPR!$A:$A,0),9)),$C186*INDEX(SPPR!$E:$X,MATCH($A186,SPPR!$A:$A,0),9),""),"")</f>
        <v/>
      </c>
      <c r="M186">
        <f>IFERROR(IF(ISNUMBER(INDEX(SPPR!$E:$X,MATCH($A186,SPPR!$A:$A,0),10)),$C186*INDEX(SPPR!$E:$X,MATCH($A186,SPPR!$A:$A,0),10),""),"")</f>
        <v/>
      </c>
      <c r="N186">
        <f>IFERROR(IF(ISNUMBER(INDEX(SPPR!$E:$X,MATCH($A186,SPPR!$A:$A,0),11)),$C186*INDEX(SPPR!$E:$X,MATCH($A186,SPPR!$A:$A,0),11),""),"")</f>
        <v/>
      </c>
      <c r="O186">
        <f>IFERROR(IF(ISNUMBER(INDEX(SPPR!$E:$X,MATCH($A186,SPPR!$A:$A,0),12)),$C186*INDEX(SPPR!$E:$X,MATCH($A186,SPPR!$A:$A,0),12),""),"")</f>
        <v/>
      </c>
      <c r="P186">
        <f>IFERROR(IF(ISNUMBER(INDEX(SPPR!$E:$X,MATCH($A186,SPPR!$A:$A,0),13)),$C186*INDEX(SPPR!$E:$X,MATCH($A186,SPPR!$A:$A,0),13),""),"")</f>
        <v/>
      </c>
      <c r="Q186">
        <f>IFERROR(IF(ISNUMBER(INDEX(SPPR!$E:$X,MATCH($A186,SPPR!$A:$A,0),14)),$C186*INDEX(SPPR!$E:$X,MATCH($A186,SPPR!$A:$A,0),14),""),"")</f>
        <v/>
      </c>
      <c r="R186">
        <f>IFERROR(IF(ISNUMBER(INDEX(SPPR!$E:$X,MATCH($A186,SPPR!$A:$A,0),15)),$C186*INDEX(SPPR!$E:$X,MATCH($A186,SPPR!$A:$A,0),15),""),"")</f>
        <v/>
      </c>
      <c r="S186">
        <f>IFERROR(IF(ISNUMBER(INDEX(SPPR!$E:$X,MATCH($A186,SPPR!$A:$A,0),16)),$C186*INDEX(SPPR!$E:$X,MATCH($A186,SPPR!$A:$A,0),16),""),"")</f>
        <v/>
      </c>
      <c r="T186">
        <f>IFERROR(IF(ISNUMBER(INDEX(SPPR!$E:$X,MATCH($A186,SPPR!$A:$A,0),17)),$C186*INDEX(SPPR!$E:$X,MATCH($A186,SPPR!$A:$A,0),17),""),"")</f>
        <v/>
      </c>
      <c r="U186">
        <f>IFERROR(IF(ISNUMBER(INDEX(SPPR!$E:$X,MATCH($A186,SPPR!$A:$A,0),18)),$C186*INDEX(SPPR!$E:$X,MATCH($A186,SPPR!$A:$A,0),18),""),"")</f>
        <v/>
      </c>
      <c r="V186">
        <f>IFERROR(IF(ISNUMBER(INDEX(SPPR!$E:$X,MATCH($A186,SPPR!$A:$A,0),19)),$C186*INDEX(SPPR!$E:$X,MATCH($A186,SPPR!$A:$A,0),19),""),"")</f>
        <v/>
      </c>
      <c r="W186">
        <f>IFERROR(IF(ISNUMBER(INDEX(SPPR!$E:$X,MATCH($A186,SPPR!$A:$A,0),20)),$C186*INDEX(SPPR!$E:$X,MATCH($A186,SPPR!$A:$A,0),20),""),"")</f>
        <v/>
      </c>
    </row>
    <row r="187">
      <c r="A187" t="inlineStr">
        <is>
          <t>Elagatis bipinnulata</t>
        </is>
      </c>
      <c r="B187">
        <f>IFERROR(INDEX(SPPR!$D:$D,MATCH($A187,SPPR!$A:$A,0)),"")</f>
        <v/>
      </c>
      <c r="C187">
        <f>IFERROR(INDEX(Catch!$E:$BV,MATCH($A187,Catch!$A:$A,0),MATCH($B$4,Catch!$E$1:$BV$1,0)),0)</f>
        <v/>
      </c>
      <c r="D187">
        <f>IFERROR(IF(ISNUMBER(INDEX(SPPR!$E:$X,MATCH($A187,SPPR!$A:$A,0),1)),$C187*INDEX(SPPR!$E:$X,MATCH($A187,SPPR!$A:$A,0),1),""),"")</f>
        <v/>
      </c>
      <c r="E187">
        <f>IFERROR(IF(ISNUMBER(INDEX(SPPR!$E:$X,MATCH($A187,SPPR!$A:$A,0),2)),$C187*INDEX(SPPR!$E:$X,MATCH($A187,SPPR!$A:$A,0),2),""),"")</f>
        <v/>
      </c>
      <c r="F187">
        <f>IFERROR(IF(ISNUMBER(INDEX(SPPR!$E:$X,MATCH($A187,SPPR!$A:$A,0),3)),$C187*INDEX(SPPR!$E:$X,MATCH($A187,SPPR!$A:$A,0),3),""),"")</f>
        <v/>
      </c>
      <c r="G187">
        <f>IFERROR(IF(ISNUMBER(INDEX(SPPR!$E:$X,MATCH($A187,SPPR!$A:$A,0),4)),$C187*INDEX(SPPR!$E:$X,MATCH($A187,SPPR!$A:$A,0),4),""),"")</f>
        <v/>
      </c>
      <c r="H187">
        <f>IFERROR(IF(ISNUMBER(INDEX(SPPR!$E:$X,MATCH($A187,SPPR!$A:$A,0),5)),$C187*INDEX(SPPR!$E:$X,MATCH($A187,SPPR!$A:$A,0),5),""),"")</f>
        <v/>
      </c>
      <c r="I187">
        <f>IFERROR(IF(ISNUMBER(INDEX(SPPR!$E:$X,MATCH($A187,SPPR!$A:$A,0),6)),$C187*INDEX(SPPR!$E:$X,MATCH($A187,SPPR!$A:$A,0),6),""),"")</f>
        <v/>
      </c>
      <c r="J187">
        <f>IFERROR(IF(ISNUMBER(INDEX(SPPR!$E:$X,MATCH($A187,SPPR!$A:$A,0),7)),$C187*INDEX(SPPR!$E:$X,MATCH($A187,SPPR!$A:$A,0),7),""),"")</f>
        <v/>
      </c>
      <c r="K187">
        <f>IFERROR(IF(ISNUMBER(INDEX(SPPR!$E:$X,MATCH($A187,SPPR!$A:$A,0),8)),$C187*INDEX(SPPR!$E:$X,MATCH($A187,SPPR!$A:$A,0),8),""),"")</f>
        <v/>
      </c>
      <c r="L187">
        <f>IFERROR(IF(ISNUMBER(INDEX(SPPR!$E:$X,MATCH($A187,SPPR!$A:$A,0),9)),$C187*INDEX(SPPR!$E:$X,MATCH($A187,SPPR!$A:$A,0),9),""),"")</f>
        <v/>
      </c>
      <c r="M187">
        <f>IFERROR(IF(ISNUMBER(INDEX(SPPR!$E:$X,MATCH($A187,SPPR!$A:$A,0),10)),$C187*INDEX(SPPR!$E:$X,MATCH($A187,SPPR!$A:$A,0),10),""),"")</f>
        <v/>
      </c>
      <c r="N187">
        <f>IFERROR(IF(ISNUMBER(INDEX(SPPR!$E:$X,MATCH($A187,SPPR!$A:$A,0),11)),$C187*INDEX(SPPR!$E:$X,MATCH($A187,SPPR!$A:$A,0),11),""),"")</f>
        <v/>
      </c>
      <c r="O187">
        <f>IFERROR(IF(ISNUMBER(INDEX(SPPR!$E:$X,MATCH($A187,SPPR!$A:$A,0),12)),$C187*INDEX(SPPR!$E:$X,MATCH($A187,SPPR!$A:$A,0),12),""),"")</f>
        <v/>
      </c>
      <c r="P187">
        <f>IFERROR(IF(ISNUMBER(INDEX(SPPR!$E:$X,MATCH($A187,SPPR!$A:$A,0),13)),$C187*INDEX(SPPR!$E:$X,MATCH($A187,SPPR!$A:$A,0),13),""),"")</f>
        <v/>
      </c>
      <c r="Q187">
        <f>IFERROR(IF(ISNUMBER(INDEX(SPPR!$E:$X,MATCH($A187,SPPR!$A:$A,0),14)),$C187*INDEX(SPPR!$E:$X,MATCH($A187,SPPR!$A:$A,0),14),""),"")</f>
        <v/>
      </c>
      <c r="R187">
        <f>IFERROR(IF(ISNUMBER(INDEX(SPPR!$E:$X,MATCH($A187,SPPR!$A:$A,0),15)),$C187*INDEX(SPPR!$E:$X,MATCH($A187,SPPR!$A:$A,0),15),""),"")</f>
        <v/>
      </c>
      <c r="S187">
        <f>IFERROR(IF(ISNUMBER(INDEX(SPPR!$E:$X,MATCH($A187,SPPR!$A:$A,0),16)),$C187*INDEX(SPPR!$E:$X,MATCH($A187,SPPR!$A:$A,0),16),""),"")</f>
        <v/>
      </c>
      <c r="T187">
        <f>IFERROR(IF(ISNUMBER(INDEX(SPPR!$E:$X,MATCH($A187,SPPR!$A:$A,0),17)),$C187*INDEX(SPPR!$E:$X,MATCH($A187,SPPR!$A:$A,0),17),""),"")</f>
        <v/>
      </c>
      <c r="U187">
        <f>IFERROR(IF(ISNUMBER(INDEX(SPPR!$E:$X,MATCH($A187,SPPR!$A:$A,0),18)),$C187*INDEX(SPPR!$E:$X,MATCH($A187,SPPR!$A:$A,0),18),""),"")</f>
        <v/>
      </c>
      <c r="V187">
        <f>IFERROR(IF(ISNUMBER(INDEX(SPPR!$E:$X,MATCH($A187,SPPR!$A:$A,0),19)),$C187*INDEX(SPPR!$E:$X,MATCH($A187,SPPR!$A:$A,0),19),""),"")</f>
        <v/>
      </c>
      <c r="W187">
        <f>IFERROR(IF(ISNUMBER(INDEX(SPPR!$E:$X,MATCH($A187,SPPR!$A:$A,0),20)),$C187*INDEX(SPPR!$E:$X,MATCH($A187,SPPR!$A:$A,0),20),""),"")</f>
        <v/>
      </c>
    </row>
    <row r="188">
      <c r="A188" t="inlineStr">
        <is>
          <t>Istiompax indica</t>
        </is>
      </c>
      <c r="B188">
        <f>IFERROR(INDEX(SPPR!$D:$D,MATCH($A188,SPPR!$A:$A,0)),"")</f>
        <v/>
      </c>
      <c r="C188">
        <f>IFERROR(INDEX(Catch!$E:$BV,MATCH($A188,Catch!$A:$A,0),MATCH($B$4,Catch!$E$1:$BV$1,0)),0)</f>
        <v/>
      </c>
      <c r="D188">
        <f>IFERROR(IF(ISNUMBER(INDEX(SPPR!$E:$X,MATCH($A188,SPPR!$A:$A,0),1)),$C188*INDEX(SPPR!$E:$X,MATCH($A188,SPPR!$A:$A,0),1),""),"")</f>
        <v/>
      </c>
      <c r="E188">
        <f>IFERROR(IF(ISNUMBER(INDEX(SPPR!$E:$X,MATCH($A188,SPPR!$A:$A,0),2)),$C188*INDEX(SPPR!$E:$X,MATCH($A188,SPPR!$A:$A,0),2),""),"")</f>
        <v/>
      </c>
      <c r="F188">
        <f>IFERROR(IF(ISNUMBER(INDEX(SPPR!$E:$X,MATCH($A188,SPPR!$A:$A,0),3)),$C188*INDEX(SPPR!$E:$X,MATCH($A188,SPPR!$A:$A,0),3),""),"")</f>
        <v/>
      </c>
      <c r="G188">
        <f>IFERROR(IF(ISNUMBER(INDEX(SPPR!$E:$X,MATCH($A188,SPPR!$A:$A,0),4)),$C188*INDEX(SPPR!$E:$X,MATCH($A188,SPPR!$A:$A,0),4),""),"")</f>
        <v/>
      </c>
      <c r="H188">
        <f>IFERROR(IF(ISNUMBER(INDEX(SPPR!$E:$X,MATCH($A188,SPPR!$A:$A,0),5)),$C188*INDEX(SPPR!$E:$X,MATCH($A188,SPPR!$A:$A,0),5),""),"")</f>
        <v/>
      </c>
      <c r="I188">
        <f>IFERROR(IF(ISNUMBER(INDEX(SPPR!$E:$X,MATCH($A188,SPPR!$A:$A,0),6)),$C188*INDEX(SPPR!$E:$X,MATCH($A188,SPPR!$A:$A,0),6),""),"")</f>
        <v/>
      </c>
      <c r="J188">
        <f>IFERROR(IF(ISNUMBER(INDEX(SPPR!$E:$X,MATCH($A188,SPPR!$A:$A,0),7)),$C188*INDEX(SPPR!$E:$X,MATCH($A188,SPPR!$A:$A,0),7),""),"")</f>
        <v/>
      </c>
      <c r="K188">
        <f>IFERROR(IF(ISNUMBER(INDEX(SPPR!$E:$X,MATCH($A188,SPPR!$A:$A,0),8)),$C188*INDEX(SPPR!$E:$X,MATCH($A188,SPPR!$A:$A,0),8),""),"")</f>
        <v/>
      </c>
      <c r="L188">
        <f>IFERROR(IF(ISNUMBER(INDEX(SPPR!$E:$X,MATCH($A188,SPPR!$A:$A,0),9)),$C188*INDEX(SPPR!$E:$X,MATCH($A188,SPPR!$A:$A,0),9),""),"")</f>
        <v/>
      </c>
      <c r="M188">
        <f>IFERROR(IF(ISNUMBER(INDEX(SPPR!$E:$X,MATCH($A188,SPPR!$A:$A,0),10)),$C188*INDEX(SPPR!$E:$X,MATCH($A188,SPPR!$A:$A,0),10),""),"")</f>
        <v/>
      </c>
      <c r="N188">
        <f>IFERROR(IF(ISNUMBER(INDEX(SPPR!$E:$X,MATCH($A188,SPPR!$A:$A,0),11)),$C188*INDEX(SPPR!$E:$X,MATCH($A188,SPPR!$A:$A,0),11),""),"")</f>
        <v/>
      </c>
      <c r="O188">
        <f>IFERROR(IF(ISNUMBER(INDEX(SPPR!$E:$X,MATCH($A188,SPPR!$A:$A,0),12)),$C188*INDEX(SPPR!$E:$X,MATCH($A188,SPPR!$A:$A,0),12),""),"")</f>
        <v/>
      </c>
      <c r="P188">
        <f>IFERROR(IF(ISNUMBER(INDEX(SPPR!$E:$X,MATCH($A188,SPPR!$A:$A,0),13)),$C188*INDEX(SPPR!$E:$X,MATCH($A188,SPPR!$A:$A,0),13),""),"")</f>
        <v/>
      </c>
      <c r="Q188">
        <f>IFERROR(IF(ISNUMBER(INDEX(SPPR!$E:$X,MATCH($A188,SPPR!$A:$A,0),14)),$C188*INDEX(SPPR!$E:$X,MATCH($A188,SPPR!$A:$A,0),14),""),"")</f>
        <v/>
      </c>
      <c r="R188">
        <f>IFERROR(IF(ISNUMBER(INDEX(SPPR!$E:$X,MATCH($A188,SPPR!$A:$A,0),15)),$C188*INDEX(SPPR!$E:$X,MATCH($A188,SPPR!$A:$A,0),15),""),"")</f>
        <v/>
      </c>
      <c r="S188">
        <f>IFERROR(IF(ISNUMBER(INDEX(SPPR!$E:$X,MATCH($A188,SPPR!$A:$A,0),16)),$C188*INDEX(SPPR!$E:$X,MATCH($A188,SPPR!$A:$A,0),16),""),"")</f>
        <v/>
      </c>
      <c r="T188">
        <f>IFERROR(IF(ISNUMBER(INDEX(SPPR!$E:$X,MATCH($A188,SPPR!$A:$A,0),17)),$C188*INDEX(SPPR!$E:$X,MATCH($A188,SPPR!$A:$A,0),17),""),"")</f>
        <v/>
      </c>
      <c r="U188">
        <f>IFERROR(IF(ISNUMBER(INDEX(SPPR!$E:$X,MATCH($A188,SPPR!$A:$A,0),18)),$C188*INDEX(SPPR!$E:$X,MATCH($A188,SPPR!$A:$A,0),18),""),"")</f>
        <v/>
      </c>
      <c r="V188">
        <f>IFERROR(IF(ISNUMBER(INDEX(SPPR!$E:$X,MATCH($A188,SPPR!$A:$A,0),19)),$C188*INDEX(SPPR!$E:$X,MATCH($A188,SPPR!$A:$A,0),19),""),"")</f>
        <v/>
      </c>
      <c r="W188">
        <f>IFERROR(IF(ISNUMBER(INDEX(SPPR!$E:$X,MATCH($A188,SPPR!$A:$A,0),20)),$C188*INDEX(SPPR!$E:$X,MATCH($A188,SPPR!$A:$A,0),20),""),"")</f>
        <v/>
      </c>
    </row>
    <row r="189">
      <c r="A189" t="inlineStr">
        <is>
          <t>Paralabrax</t>
        </is>
      </c>
      <c r="B189">
        <f>IFERROR(INDEX(SPPR!$D:$D,MATCH($A189,SPPR!$A:$A,0)),"")</f>
        <v/>
      </c>
      <c r="C189">
        <f>IFERROR(INDEX(Catch!$E:$BV,MATCH($A189,Catch!$A:$A,0),MATCH($B$4,Catch!$E$1:$BV$1,0)),0)</f>
        <v/>
      </c>
      <c r="D189">
        <f>IFERROR(IF(ISNUMBER(INDEX(SPPR!$E:$X,MATCH($A189,SPPR!$A:$A,0),1)),$C189*INDEX(SPPR!$E:$X,MATCH($A189,SPPR!$A:$A,0),1),""),"")</f>
        <v/>
      </c>
      <c r="E189">
        <f>IFERROR(IF(ISNUMBER(INDEX(SPPR!$E:$X,MATCH($A189,SPPR!$A:$A,0),2)),$C189*INDEX(SPPR!$E:$X,MATCH($A189,SPPR!$A:$A,0),2),""),"")</f>
        <v/>
      </c>
      <c r="F189">
        <f>IFERROR(IF(ISNUMBER(INDEX(SPPR!$E:$X,MATCH($A189,SPPR!$A:$A,0),3)),$C189*INDEX(SPPR!$E:$X,MATCH($A189,SPPR!$A:$A,0),3),""),"")</f>
        <v/>
      </c>
      <c r="G189">
        <f>IFERROR(IF(ISNUMBER(INDEX(SPPR!$E:$X,MATCH($A189,SPPR!$A:$A,0),4)),$C189*INDEX(SPPR!$E:$X,MATCH($A189,SPPR!$A:$A,0),4),""),"")</f>
        <v/>
      </c>
      <c r="H189">
        <f>IFERROR(IF(ISNUMBER(INDEX(SPPR!$E:$X,MATCH($A189,SPPR!$A:$A,0),5)),$C189*INDEX(SPPR!$E:$X,MATCH($A189,SPPR!$A:$A,0),5),""),"")</f>
        <v/>
      </c>
      <c r="I189">
        <f>IFERROR(IF(ISNUMBER(INDEX(SPPR!$E:$X,MATCH($A189,SPPR!$A:$A,0),6)),$C189*INDEX(SPPR!$E:$X,MATCH($A189,SPPR!$A:$A,0),6),""),"")</f>
        <v/>
      </c>
      <c r="J189">
        <f>IFERROR(IF(ISNUMBER(INDEX(SPPR!$E:$X,MATCH($A189,SPPR!$A:$A,0),7)),$C189*INDEX(SPPR!$E:$X,MATCH($A189,SPPR!$A:$A,0),7),""),"")</f>
        <v/>
      </c>
      <c r="K189">
        <f>IFERROR(IF(ISNUMBER(INDEX(SPPR!$E:$X,MATCH($A189,SPPR!$A:$A,0),8)),$C189*INDEX(SPPR!$E:$X,MATCH($A189,SPPR!$A:$A,0),8),""),"")</f>
        <v/>
      </c>
      <c r="L189">
        <f>IFERROR(IF(ISNUMBER(INDEX(SPPR!$E:$X,MATCH($A189,SPPR!$A:$A,0),9)),$C189*INDEX(SPPR!$E:$X,MATCH($A189,SPPR!$A:$A,0),9),""),"")</f>
        <v/>
      </c>
      <c r="M189">
        <f>IFERROR(IF(ISNUMBER(INDEX(SPPR!$E:$X,MATCH($A189,SPPR!$A:$A,0),10)),$C189*INDEX(SPPR!$E:$X,MATCH($A189,SPPR!$A:$A,0),10),""),"")</f>
        <v/>
      </c>
      <c r="N189">
        <f>IFERROR(IF(ISNUMBER(INDEX(SPPR!$E:$X,MATCH($A189,SPPR!$A:$A,0),11)),$C189*INDEX(SPPR!$E:$X,MATCH($A189,SPPR!$A:$A,0),11),""),"")</f>
        <v/>
      </c>
      <c r="O189">
        <f>IFERROR(IF(ISNUMBER(INDEX(SPPR!$E:$X,MATCH($A189,SPPR!$A:$A,0),12)),$C189*INDEX(SPPR!$E:$X,MATCH($A189,SPPR!$A:$A,0),12),""),"")</f>
        <v/>
      </c>
      <c r="P189">
        <f>IFERROR(IF(ISNUMBER(INDEX(SPPR!$E:$X,MATCH($A189,SPPR!$A:$A,0),13)),$C189*INDEX(SPPR!$E:$X,MATCH($A189,SPPR!$A:$A,0),13),""),"")</f>
        <v/>
      </c>
      <c r="Q189">
        <f>IFERROR(IF(ISNUMBER(INDEX(SPPR!$E:$X,MATCH($A189,SPPR!$A:$A,0),14)),$C189*INDEX(SPPR!$E:$X,MATCH($A189,SPPR!$A:$A,0),14),""),"")</f>
        <v/>
      </c>
      <c r="R189">
        <f>IFERROR(IF(ISNUMBER(INDEX(SPPR!$E:$X,MATCH($A189,SPPR!$A:$A,0),15)),$C189*INDEX(SPPR!$E:$X,MATCH($A189,SPPR!$A:$A,0),15),""),"")</f>
        <v/>
      </c>
      <c r="S189">
        <f>IFERROR(IF(ISNUMBER(INDEX(SPPR!$E:$X,MATCH($A189,SPPR!$A:$A,0),16)),$C189*INDEX(SPPR!$E:$X,MATCH($A189,SPPR!$A:$A,0),16),""),"")</f>
        <v/>
      </c>
      <c r="T189">
        <f>IFERROR(IF(ISNUMBER(INDEX(SPPR!$E:$X,MATCH($A189,SPPR!$A:$A,0),17)),$C189*INDEX(SPPR!$E:$X,MATCH($A189,SPPR!$A:$A,0),17),""),"")</f>
        <v/>
      </c>
      <c r="U189">
        <f>IFERROR(IF(ISNUMBER(INDEX(SPPR!$E:$X,MATCH($A189,SPPR!$A:$A,0),18)),$C189*INDEX(SPPR!$E:$X,MATCH($A189,SPPR!$A:$A,0),18),""),"")</f>
        <v/>
      </c>
      <c r="V189">
        <f>IFERROR(IF(ISNUMBER(INDEX(SPPR!$E:$X,MATCH($A189,SPPR!$A:$A,0),19)),$C189*INDEX(SPPR!$E:$X,MATCH($A189,SPPR!$A:$A,0),19),""),"")</f>
        <v/>
      </c>
      <c r="W189">
        <f>IFERROR(IF(ISNUMBER(INDEX(SPPR!$E:$X,MATCH($A189,SPPR!$A:$A,0),20)),$C189*INDEX(SPPR!$E:$X,MATCH($A189,SPPR!$A:$A,0),20),""),"")</f>
        <v/>
      </c>
    </row>
    <row r="190">
      <c r="A190" t="inlineStr">
        <is>
          <t>Carcharhinus longimanus</t>
        </is>
      </c>
      <c r="B190">
        <f>IFERROR(INDEX(SPPR!$D:$D,MATCH($A190,SPPR!$A:$A,0)),"")</f>
        <v/>
      </c>
      <c r="C190">
        <f>IFERROR(INDEX(Catch!$E:$BV,MATCH($A190,Catch!$A:$A,0),MATCH($B$4,Catch!$E$1:$BV$1,0)),0)</f>
        <v/>
      </c>
      <c r="D190">
        <f>IFERROR(IF(ISNUMBER(INDEX(SPPR!$E:$X,MATCH($A190,SPPR!$A:$A,0),1)),$C190*INDEX(SPPR!$E:$X,MATCH($A190,SPPR!$A:$A,0),1),""),"")</f>
        <v/>
      </c>
      <c r="E190">
        <f>IFERROR(IF(ISNUMBER(INDEX(SPPR!$E:$X,MATCH($A190,SPPR!$A:$A,0),2)),$C190*INDEX(SPPR!$E:$X,MATCH($A190,SPPR!$A:$A,0),2),""),"")</f>
        <v/>
      </c>
      <c r="F190">
        <f>IFERROR(IF(ISNUMBER(INDEX(SPPR!$E:$X,MATCH($A190,SPPR!$A:$A,0),3)),$C190*INDEX(SPPR!$E:$X,MATCH($A190,SPPR!$A:$A,0),3),""),"")</f>
        <v/>
      </c>
      <c r="G190">
        <f>IFERROR(IF(ISNUMBER(INDEX(SPPR!$E:$X,MATCH($A190,SPPR!$A:$A,0),4)),$C190*INDEX(SPPR!$E:$X,MATCH($A190,SPPR!$A:$A,0),4),""),"")</f>
        <v/>
      </c>
      <c r="H190">
        <f>IFERROR(IF(ISNUMBER(INDEX(SPPR!$E:$X,MATCH($A190,SPPR!$A:$A,0),5)),$C190*INDEX(SPPR!$E:$X,MATCH($A190,SPPR!$A:$A,0),5),""),"")</f>
        <v/>
      </c>
      <c r="I190">
        <f>IFERROR(IF(ISNUMBER(INDEX(SPPR!$E:$X,MATCH($A190,SPPR!$A:$A,0),6)),$C190*INDEX(SPPR!$E:$X,MATCH($A190,SPPR!$A:$A,0),6),""),"")</f>
        <v/>
      </c>
      <c r="J190">
        <f>IFERROR(IF(ISNUMBER(INDEX(SPPR!$E:$X,MATCH($A190,SPPR!$A:$A,0),7)),$C190*INDEX(SPPR!$E:$X,MATCH($A190,SPPR!$A:$A,0),7),""),"")</f>
        <v/>
      </c>
      <c r="K190">
        <f>IFERROR(IF(ISNUMBER(INDEX(SPPR!$E:$X,MATCH($A190,SPPR!$A:$A,0),8)),$C190*INDEX(SPPR!$E:$X,MATCH($A190,SPPR!$A:$A,0),8),""),"")</f>
        <v/>
      </c>
      <c r="L190">
        <f>IFERROR(IF(ISNUMBER(INDEX(SPPR!$E:$X,MATCH($A190,SPPR!$A:$A,0),9)),$C190*INDEX(SPPR!$E:$X,MATCH($A190,SPPR!$A:$A,0),9),""),"")</f>
        <v/>
      </c>
      <c r="M190">
        <f>IFERROR(IF(ISNUMBER(INDEX(SPPR!$E:$X,MATCH($A190,SPPR!$A:$A,0),10)),$C190*INDEX(SPPR!$E:$X,MATCH($A190,SPPR!$A:$A,0),10),""),"")</f>
        <v/>
      </c>
      <c r="N190">
        <f>IFERROR(IF(ISNUMBER(INDEX(SPPR!$E:$X,MATCH($A190,SPPR!$A:$A,0),11)),$C190*INDEX(SPPR!$E:$X,MATCH($A190,SPPR!$A:$A,0),11),""),"")</f>
        <v/>
      </c>
      <c r="O190">
        <f>IFERROR(IF(ISNUMBER(INDEX(SPPR!$E:$X,MATCH($A190,SPPR!$A:$A,0),12)),$C190*INDEX(SPPR!$E:$X,MATCH($A190,SPPR!$A:$A,0),12),""),"")</f>
        <v/>
      </c>
      <c r="P190">
        <f>IFERROR(IF(ISNUMBER(INDEX(SPPR!$E:$X,MATCH($A190,SPPR!$A:$A,0),13)),$C190*INDEX(SPPR!$E:$X,MATCH($A190,SPPR!$A:$A,0),13),""),"")</f>
        <v/>
      </c>
      <c r="Q190">
        <f>IFERROR(IF(ISNUMBER(INDEX(SPPR!$E:$X,MATCH($A190,SPPR!$A:$A,0),14)),$C190*INDEX(SPPR!$E:$X,MATCH($A190,SPPR!$A:$A,0),14),""),"")</f>
        <v/>
      </c>
      <c r="R190">
        <f>IFERROR(IF(ISNUMBER(INDEX(SPPR!$E:$X,MATCH($A190,SPPR!$A:$A,0),15)),$C190*INDEX(SPPR!$E:$X,MATCH($A190,SPPR!$A:$A,0),15),""),"")</f>
        <v/>
      </c>
      <c r="S190">
        <f>IFERROR(IF(ISNUMBER(INDEX(SPPR!$E:$X,MATCH($A190,SPPR!$A:$A,0),16)),$C190*INDEX(SPPR!$E:$X,MATCH($A190,SPPR!$A:$A,0),16),""),"")</f>
        <v/>
      </c>
      <c r="T190">
        <f>IFERROR(IF(ISNUMBER(INDEX(SPPR!$E:$X,MATCH($A190,SPPR!$A:$A,0),17)),$C190*INDEX(SPPR!$E:$X,MATCH($A190,SPPR!$A:$A,0),17),""),"")</f>
        <v/>
      </c>
      <c r="U190">
        <f>IFERROR(IF(ISNUMBER(INDEX(SPPR!$E:$X,MATCH($A190,SPPR!$A:$A,0),18)),$C190*INDEX(SPPR!$E:$X,MATCH($A190,SPPR!$A:$A,0),18),""),"")</f>
        <v/>
      </c>
      <c r="V190">
        <f>IFERROR(IF(ISNUMBER(INDEX(SPPR!$E:$X,MATCH($A190,SPPR!$A:$A,0),19)),$C190*INDEX(SPPR!$E:$X,MATCH($A190,SPPR!$A:$A,0),19),""),"")</f>
        <v/>
      </c>
      <c r="W190">
        <f>IFERROR(IF(ISNUMBER(INDEX(SPPR!$E:$X,MATCH($A190,SPPR!$A:$A,0),20)),$C190*INDEX(SPPR!$E:$X,MATCH($A190,SPPR!$A:$A,0),20),""),"")</f>
        <v/>
      </c>
    </row>
    <row r="191">
      <c r="A191" t="inlineStr">
        <is>
          <t>Diplectrum pacificum</t>
        </is>
      </c>
      <c r="B191">
        <f>IFERROR(INDEX(SPPR!$D:$D,MATCH($A191,SPPR!$A:$A,0)),"")</f>
        <v/>
      </c>
      <c r="C191">
        <f>IFERROR(INDEX(Catch!$E:$BV,MATCH($A191,Catch!$A:$A,0),MATCH($B$4,Catch!$E$1:$BV$1,0)),0)</f>
        <v/>
      </c>
      <c r="D191">
        <f>IFERROR(IF(ISNUMBER(INDEX(SPPR!$E:$X,MATCH($A191,SPPR!$A:$A,0),1)),$C191*INDEX(SPPR!$E:$X,MATCH($A191,SPPR!$A:$A,0),1),""),"")</f>
        <v/>
      </c>
      <c r="E191">
        <f>IFERROR(IF(ISNUMBER(INDEX(SPPR!$E:$X,MATCH($A191,SPPR!$A:$A,0),2)),$C191*INDEX(SPPR!$E:$X,MATCH($A191,SPPR!$A:$A,0),2),""),"")</f>
        <v/>
      </c>
      <c r="F191">
        <f>IFERROR(IF(ISNUMBER(INDEX(SPPR!$E:$X,MATCH($A191,SPPR!$A:$A,0),3)),$C191*INDEX(SPPR!$E:$X,MATCH($A191,SPPR!$A:$A,0),3),""),"")</f>
        <v/>
      </c>
      <c r="G191">
        <f>IFERROR(IF(ISNUMBER(INDEX(SPPR!$E:$X,MATCH($A191,SPPR!$A:$A,0),4)),$C191*INDEX(SPPR!$E:$X,MATCH($A191,SPPR!$A:$A,0),4),""),"")</f>
        <v/>
      </c>
      <c r="H191">
        <f>IFERROR(IF(ISNUMBER(INDEX(SPPR!$E:$X,MATCH($A191,SPPR!$A:$A,0),5)),$C191*INDEX(SPPR!$E:$X,MATCH($A191,SPPR!$A:$A,0),5),""),"")</f>
        <v/>
      </c>
      <c r="I191">
        <f>IFERROR(IF(ISNUMBER(INDEX(SPPR!$E:$X,MATCH($A191,SPPR!$A:$A,0),6)),$C191*INDEX(SPPR!$E:$X,MATCH($A191,SPPR!$A:$A,0),6),""),"")</f>
        <v/>
      </c>
      <c r="J191">
        <f>IFERROR(IF(ISNUMBER(INDEX(SPPR!$E:$X,MATCH($A191,SPPR!$A:$A,0),7)),$C191*INDEX(SPPR!$E:$X,MATCH($A191,SPPR!$A:$A,0),7),""),"")</f>
        <v/>
      </c>
      <c r="K191">
        <f>IFERROR(IF(ISNUMBER(INDEX(SPPR!$E:$X,MATCH($A191,SPPR!$A:$A,0),8)),$C191*INDEX(SPPR!$E:$X,MATCH($A191,SPPR!$A:$A,0),8),""),"")</f>
        <v/>
      </c>
      <c r="L191">
        <f>IFERROR(IF(ISNUMBER(INDEX(SPPR!$E:$X,MATCH($A191,SPPR!$A:$A,0),9)),$C191*INDEX(SPPR!$E:$X,MATCH($A191,SPPR!$A:$A,0),9),""),"")</f>
        <v/>
      </c>
      <c r="M191">
        <f>IFERROR(IF(ISNUMBER(INDEX(SPPR!$E:$X,MATCH($A191,SPPR!$A:$A,0),10)),$C191*INDEX(SPPR!$E:$X,MATCH($A191,SPPR!$A:$A,0),10),""),"")</f>
        <v/>
      </c>
      <c r="N191">
        <f>IFERROR(IF(ISNUMBER(INDEX(SPPR!$E:$X,MATCH($A191,SPPR!$A:$A,0),11)),$C191*INDEX(SPPR!$E:$X,MATCH($A191,SPPR!$A:$A,0),11),""),"")</f>
        <v/>
      </c>
      <c r="O191">
        <f>IFERROR(IF(ISNUMBER(INDEX(SPPR!$E:$X,MATCH($A191,SPPR!$A:$A,0),12)),$C191*INDEX(SPPR!$E:$X,MATCH($A191,SPPR!$A:$A,0),12),""),"")</f>
        <v/>
      </c>
      <c r="P191">
        <f>IFERROR(IF(ISNUMBER(INDEX(SPPR!$E:$X,MATCH($A191,SPPR!$A:$A,0),13)),$C191*INDEX(SPPR!$E:$X,MATCH($A191,SPPR!$A:$A,0),13),""),"")</f>
        <v/>
      </c>
      <c r="Q191">
        <f>IFERROR(IF(ISNUMBER(INDEX(SPPR!$E:$X,MATCH($A191,SPPR!$A:$A,0),14)),$C191*INDEX(SPPR!$E:$X,MATCH($A191,SPPR!$A:$A,0),14),""),"")</f>
        <v/>
      </c>
      <c r="R191">
        <f>IFERROR(IF(ISNUMBER(INDEX(SPPR!$E:$X,MATCH($A191,SPPR!$A:$A,0),15)),$C191*INDEX(SPPR!$E:$X,MATCH($A191,SPPR!$A:$A,0),15),""),"")</f>
        <v/>
      </c>
      <c r="S191">
        <f>IFERROR(IF(ISNUMBER(INDEX(SPPR!$E:$X,MATCH($A191,SPPR!$A:$A,0),16)),$C191*INDEX(SPPR!$E:$X,MATCH($A191,SPPR!$A:$A,0),16),""),"")</f>
        <v/>
      </c>
      <c r="T191">
        <f>IFERROR(IF(ISNUMBER(INDEX(SPPR!$E:$X,MATCH($A191,SPPR!$A:$A,0),17)),$C191*INDEX(SPPR!$E:$X,MATCH($A191,SPPR!$A:$A,0),17),""),"")</f>
        <v/>
      </c>
      <c r="U191">
        <f>IFERROR(IF(ISNUMBER(INDEX(SPPR!$E:$X,MATCH($A191,SPPR!$A:$A,0),18)),$C191*INDEX(SPPR!$E:$X,MATCH($A191,SPPR!$A:$A,0),18),""),"")</f>
        <v/>
      </c>
      <c r="V191">
        <f>IFERROR(IF(ISNUMBER(INDEX(SPPR!$E:$X,MATCH($A191,SPPR!$A:$A,0),19)),$C191*INDEX(SPPR!$E:$X,MATCH($A191,SPPR!$A:$A,0),19),""),"")</f>
        <v/>
      </c>
      <c r="W191">
        <f>IFERROR(IF(ISNUMBER(INDEX(SPPR!$E:$X,MATCH($A191,SPPR!$A:$A,0),20)),$C191*INDEX(SPPR!$E:$X,MATCH($A191,SPPR!$A:$A,0),20),""),"")</f>
        <v/>
      </c>
    </row>
    <row r="192">
      <c r="A192" t="inlineStr">
        <is>
          <t>Decapterus macrosoma</t>
        </is>
      </c>
      <c r="B192">
        <f>IFERROR(INDEX(SPPR!$D:$D,MATCH($A192,SPPR!$A:$A,0)),"")</f>
        <v/>
      </c>
      <c r="C192">
        <f>IFERROR(INDEX(Catch!$E:$BV,MATCH($A192,Catch!$A:$A,0),MATCH($B$4,Catch!$E$1:$BV$1,0)),0)</f>
        <v/>
      </c>
      <c r="D192">
        <f>IFERROR(IF(ISNUMBER(INDEX(SPPR!$E:$X,MATCH($A192,SPPR!$A:$A,0),1)),$C192*INDEX(SPPR!$E:$X,MATCH($A192,SPPR!$A:$A,0),1),""),"")</f>
        <v/>
      </c>
      <c r="E192">
        <f>IFERROR(IF(ISNUMBER(INDEX(SPPR!$E:$X,MATCH($A192,SPPR!$A:$A,0),2)),$C192*INDEX(SPPR!$E:$X,MATCH($A192,SPPR!$A:$A,0),2),""),"")</f>
        <v/>
      </c>
      <c r="F192">
        <f>IFERROR(IF(ISNUMBER(INDEX(SPPR!$E:$X,MATCH($A192,SPPR!$A:$A,0),3)),$C192*INDEX(SPPR!$E:$X,MATCH($A192,SPPR!$A:$A,0),3),""),"")</f>
        <v/>
      </c>
      <c r="G192">
        <f>IFERROR(IF(ISNUMBER(INDEX(SPPR!$E:$X,MATCH($A192,SPPR!$A:$A,0),4)),$C192*INDEX(SPPR!$E:$X,MATCH($A192,SPPR!$A:$A,0),4),""),"")</f>
        <v/>
      </c>
      <c r="H192">
        <f>IFERROR(IF(ISNUMBER(INDEX(SPPR!$E:$X,MATCH($A192,SPPR!$A:$A,0),5)),$C192*INDEX(SPPR!$E:$X,MATCH($A192,SPPR!$A:$A,0),5),""),"")</f>
        <v/>
      </c>
      <c r="I192">
        <f>IFERROR(IF(ISNUMBER(INDEX(SPPR!$E:$X,MATCH($A192,SPPR!$A:$A,0),6)),$C192*INDEX(SPPR!$E:$X,MATCH($A192,SPPR!$A:$A,0),6),""),"")</f>
        <v/>
      </c>
      <c r="J192">
        <f>IFERROR(IF(ISNUMBER(INDEX(SPPR!$E:$X,MATCH($A192,SPPR!$A:$A,0),7)),$C192*INDEX(SPPR!$E:$X,MATCH($A192,SPPR!$A:$A,0),7),""),"")</f>
        <v/>
      </c>
      <c r="K192">
        <f>IFERROR(IF(ISNUMBER(INDEX(SPPR!$E:$X,MATCH($A192,SPPR!$A:$A,0),8)),$C192*INDEX(SPPR!$E:$X,MATCH($A192,SPPR!$A:$A,0),8),""),"")</f>
        <v/>
      </c>
      <c r="L192">
        <f>IFERROR(IF(ISNUMBER(INDEX(SPPR!$E:$X,MATCH($A192,SPPR!$A:$A,0),9)),$C192*INDEX(SPPR!$E:$X,MATCH($A192,SPPR!$A:$A,0),9),""),"")</f>
        <v/>
      </c>
      <c r="M192">
        <f>IFERROR(IF(ISNUMBER(INDEX(SPPR!$E:$X,MATCH($A192,SPPR!$A:$A,0),10)),$C192*INDEX(SPPR!$E:$X,MATCH($A192,SPPR!$A:$A,0),10),""),"")</f>
        <v/>
      </c>
      <c r="N192">
        <f>IFERROR(IF(ISNUMBER(INDEX(SPPR!$E:$X,MATCH($A192,SPPR!$A:$A,0),11)),$C192*INDEX(SPPR!$E:$X,MATCH($A192,SPPR!$A:$A,0),11),""),"")</f>
        <v/>
      </c>
      <c r="O192">
        <f>IFERROR(IF(ISNUMBER(INDEX(SPPR!$E:$X,MATCH($A192,SPPR!$A:$A,0),12)),$C192*INDEX(SPPR!$E:$X,MATCH($A192,SPPR!$A:$A,0),12),""),"")</f>
        <v/>
      </c>
      <c r="P192">
        <f>IFERROR(IF(ISNUMBER(INDEX(SPPR!$E:$X,MATCH($A192,SPPR!$A:$A,0),13)),$C192*INDEX(SPPR!$E:$X,MATCH($A192,SPPR!$A:$A,0),13),""),"")</f>
        <v/>
      </c>
      <c r="Q192">
        <f>IFERROR(IF(ISNUMBER(INDEX(SPPR!$E:$X,MATCH($A192,SPPR!$A:$A,0),14)),$C192*INDEX(SPPR!$E:$X,MATCH($A192,SPPR!$A:$A,0),14),""),"")</f>
        <v/>
      </c>
      <c r="R192">
        <f>IFERROR(IF(ISNUMBER(INDEX(SPPR!$E:$X,MATCH($A192,SPPR!$A:$A,0),15)),$C192*INDEX(SPPR!$E:$X,MATCH($A192,SPPR!$A:$A,0),15),""),"")</f>
        <v/>
      </c>
      <c r="S192">
        <f>IFERROR(IF(ISNUMBER(INDEX(SPPR!$E:$X,MATCH($A192,SPPR!$A:$A,0),16)),$C192*INDEX(SPPR!$E:$X,MATCH($A192,SPPR!$A:$A,0),16),""),"")</f>
        <v/>
      </c>
      <c r="T192">
        <f>IFERROR(IF(ISNUMBER(INDEX(SPPR!$E:$X,MATCH($A192,SPPR!$A:$A,0),17)),$C192*INDEX(SPPR!$E:$X,MATCH($A192,SPPR!$A:$A,0),17),""),"")</f>
        <v/>
      </c>
      <c r="U192">
        <f>IFERROR(IF(ISNUMBER(INDEX(SPPR!$E:$X,MATCH($A192,SPPR!$A:$A,0),18)),$C192*INDEX(SPPR!$E:$X,MATCH($A192,SPPR!$A:$A,0),18),""),"")</f>
        <v/>
      </c>
      <c r="V192">
        <f>IFERROR(IF(ISNUMBER(INDEX(SPPR!$E:$X,MATCH($A192,SPPR!$A:$A,0),19)),$C192*INDEX(SPPR!$E:$X,MATCH($A192,SPPR!$A:$A,0),19),""),"")</f>
        <v/>
      </c>
      <c r="W192">
        <f>IFERROR(IF(ISNUMBER(INDEX(SPPR!$E:$X,MATCH($A192,SPPR!$A:$A,0),20)),$C192*INDEX(SPPR!$E:$X,MATCH($A192,SPPR!$A:$A,0),20),""),"")</f>
        <v/>
      </c>
    </row>
    <row r="193">
      <c r="A193" t="inlineStr">
        <is>
          <t>Heteropriacanthus cruentatus</t>
        </is>
      </c>
      <c r="B193">
        <f>IFERROR(INDEX(SPPR!$D:$D,MATCH($A193,SPPR!$A:$A,0)),"")</f>
        <v/>
      </c>
      <c r="C193">
        <f>IFERROR(INDEX(Catch!$E:$BV,MATCH($A193,Catch!$A:$A,0),MATCH($B$4,Catch!$E$1:$BV$1,0)),0)</f>
        <v/>
      </c>
      <c r="D193">
        <f>IFERROR(IF(ISNUMBER(INDEX(SPPR!$E:$X,MATCH($A193,SPPR!$A:$A,0),1)),$C193*INDEX(SPPR!$E:$X,MATCH($A193,SPPR!$A:$A,0),1),""),"")</f>
        <v/>
      </c>
      <c r="E193">
        <f>IFERROR(IF(ISNUMBER(INDEX(SPPR!$E:$X,MATCH($A193,SPPR!$A:$A,0),2)),$C193*INDEX(SPPR!$E:$X,MATCH($A193,SPPR!$A:$A,0),2),""),"")</f>
        <v/>
      </c>
      <c r="F193">
        <f>IFERROR(IF(ISNUMBER(INDEX(SPPR!$E:$X,MATCH($A193,SPPR!$A:$A,0),3)),$C193*INDEX(SPPR!$E:$X,MATCH($A193,SPPR!$A:$A,0),3),""),"")</f>
        <v/>
      </c>
      <c r="G193">
        <f>IFERROR(IF(ISNUMBER(INDEX(SPPR!$E:$X,MATCH($A193,SPPR!$A:$A,0),4)),$C193*INDEX(SPPR!$E:$X,MATCH($A193,SPPR!$A:$A,0),4),""),"")</f>
        <v/>
      </c>
      <c r="H193">
        <f>IFERROR(IF(ISNUMBER(INDEX(SPPR!$E:$X,MATCH($A193,SPPR!$A:$A,0),5)),$C193*INDEX(SPPR!$E:$X,MATCH($A193,SPPR!$A:$A,0),5),""),"")</f>
        <v/>
      </c>
      <c r="I193">
        <f>IFERROR(IF(ISNUMBER(INDEX(SPPR!$E:$X,MATCH($A193,SPPR!$A:$A,0),6)),$C193*INDEX(SPPR!$E:$X,MATCH($A193,SPPR!$A:$A,0),6),""),"")</f>
        <v/>
      </c>
      <c r="J193">
        <f>IFERROR(IF(ISNUMBER(INDEX(SPPR!$E:$X,MATCH($A193,SPPR!$A:$A,0),7)),$C193*INDEX(SPPR!$E:$X,MATCH($A193,SPPR!$A:$A,0),7),""),"")</f>
        <v/>
      </c>
      <c r="K193">
        <f>IFERROR(IF(ISNUMBER(INDEX(SPPR!$E:$X,MATCH($A193,SPPR!$A:$A,0),8)),$C193*INDEX(SPPR!$E:$X,MATCH($A193,SPPR!$A:$A,0),8),""),"")</f>
        <v/>
      </c>
      <c r="L193">
        <f>IFERROR(IF(ISNUMBER(INDEX(SPPR!$E:$X,MATCH($A193,SPPR!$A:$A,0),9)),$C193*INDEX(SPPR!$E:$X,MATCH($A193,SPPR!$A:$A,0),9),""),"")</f>
        <v/>
      </c>
      <c r="M193">
        <f>IFERROR(IF(ISNUMBER(INDEX(SPPR!$E:$X,MATCH($A193,SPPR!$A:$A,0),10)),$C193*INDEX(SPPR!$E:$X,MATCH($A193,SPPR!$A:$A,0),10),""),"")</f>
        <v/>
      </c>
      <c r="N193">
        <f>IFERROR(IF(ISNUMBER(INDEX(SPPR!$E:$X,MATCH($A193,SPPR!$A:$A,0),11)),$C193*INDEX(SPPR!$E:$X,MATCH($A193,SPPR!$A:$A,0),11),""),"")</f>
        <v/>
      </c>
      <c r="O193">
        <f>IFERROR(IF(ISNUMBER(INDEX(SPPR!$E:$X,MATCH($A193,SPPR!$A:$A,0),12)),$C193*INDEX(SPPR!$E:$X,MATCH($A193,SPPR!$A:$A,0),12),""),"")</f>
        <v/>
      </c>
      <c r="P193">
        <f>IFERROR(IF(ISNUMBER(INDEX(SPPR!$E:$X,MATCH($A193,SPPR!$A:$A,0),13)),$C193*INDEX(SPPR!$E:$X,MATCH($A193,SPPR!$A:$A,0),13),""),"")</f>
        <v/>
      </c>
      <c r="Q193">
        <f>IFERROR(IF(ISNUMBER(INDEX(SPPR!$E:$X,MATCH($A193,SPPR!$A:$A,0),14)),$C193*INDEX(SPPR!$E:$X,MATCH($A193,SPPR!$A:$A,0),14),""),"")</f>
        <v/>
      </c>
      <c r="R193">
        <f>IFERROR(IF(ISNUMBER(INDEX(SPPR!$E:$X,MATCH($A193,SPPR!$A:$A,0),15)),$C193*INDEX(SPPR!$E:$X,MATCH($A193,SPPR!$A:$A,0),15),""),"")</f>
        <v/>
      </c>
      <c r="S193">
        <f>IFERROR(IF(ISNUMBER(INDEX(SPPR!$E:$X,MATCH($A193,SPPR!$A:$A,0),16)),$C193*INDEX(SPPR!$E:$X,MATCH($A193,SPPR!$A:$A,0),16),""),"")</f>
        <v/>
      </c>
      <c r="T193">
        <f>IFERROR(IF(ISNUMBER(INDEX(SPPR!$E:$X,MATCH($A193,SPPR!$A:$A,0),17)),$C193*INDEX(SPPR!$E:$X,MATCH($A193,SPPR!$A:$A,0),17),""),"")</f>
        <v/>
      </c>
      <c r="U193">
        <f>IFERROR(IF(ISNUMBER(INDEX(SPPR!$E:$X,MATCH($A193,SPPR!$A:$A,0),18)),$C193*INDEX(SPPR!$E:$X,MATCH($A193,SPPR!$A:$A,0),18),""),"")</f>
        <v/>
      </c>
      <c r="V193">
        <f>IFERROR(IF(ISNUMBER(INDEX(SPPR!$E:$X,MATCH($A193,SPPR!$A:$A,0),19)),$C193*INDEX(SPPR!$E:$X,MATCH($A193,SPPR!$A:$A,0),19),""),"")</f>
        <v/>
      </c>
      <c r="W193">
        <f>IFERROR(IF(ISNUMBER(INDEX(SPPR!$E:$X,MATCH($A193,SPPR!$A:$A,0),20)),$C193*INDEX(SPPR!$E:$X,MATCH($A193,SPPR!$A:$A,0),20),""),"")</f>
        <v/>
      </c>
    </row>
    <row r="194">
      <c r="A194" t="inlineStr">
        <is>
          <t>Paralomis</t>
        </is>
      </c>
      <c r="B194">
        <f>IFERROR(INDEX(SPPR!$D:$D,MATCH($A194,SPPR!$A:$A,0)),"")</f>
        <v/>
      </c>
      <c r="C194">
        <f>IFERROR(INDEX(Catch!$E:$BV,MATCH($A194,Catch!$A:$A,0),MATCH($B$4,Catch!$E$1:$BV$1,0)),0)</f>
        <v/>
      </c>
      <c r="D194">
        <f>IFERROR(IF(ISNUMBER(INDEX(SPPR!$E:$X,MATCH($A194,SPPR!$A:$A,0),1)),$C194*INDEX(SPPR!$E:$X,MATCH($A194,SPPR!$A:$A,0),1),""),"")</f>
        <v/>
      </c>
      <c r="E194">
        <f>IFERROR(IF(ISNUMBER(INDEX(SPPR!$E:$X,MATCH($A194,SPPR!$A:$A,0),2)),$C194*INDEX(SPPR!$E:$X,MATCH($A194,SPPR!$A:$A,0),2),""),"")</f>
        <v/>
      </c>
      <c r="F194">
        <f>IFERROR(IF(ISNUMBER(INDEX(SPPR!$E:$X,MATCH($A194,SPPR!$A:$A,0),3)),$C194*INDEX(SPPR!$E:$X,MATCH($A194,SPPR!$A:$A,0),3),""),"")</f>
        <v/>
      </c>
      <c r="G194">
        <f>IFERROR(IF(ISNUMBER(INDEX(SPPR!$E:$X,MATCH($A194,SPPR!$A:$A,0),4)),$C194*INDEX(SPPR!$E:$X,MATCH($A194,SPPR!$A:$A,0),4),""),"")</f>
        <v/>
      </c>
      <c r="H194">
        <f>IFERROR(IF(ISNUMBER(INDEX(SPPR!$E:$X,MATCH($A194,SPPR!$A:$A,0),5)),$C194*INDEX(SPPR!$E:$X,MATCH($A194,SPPR!$A:$A,0),5),""),"")</f>
        <v/>
      </c>
      <c r="I194">
        <f>IFERROR(IF(ISNUMBER(INDEX(SPPR!$E:$X,MATCH($A194,SPPR!$A:$A,0),6)),$C194*INDEX(SPPR!$E:$X,MATCH($A194,SPPR!$A:$A,0),6),""),"")</f>
        <v/>
      </c>
      <c r="J194">
        <f>IFERROR(IF(ISNUMBER(INDEX(SPPR!$E:$X,MATCH($A194,SPPR!$A:$A,0),7)),$C194*INDEX(SPPR!$E:$X,MATCH($A194,SPPR!$A:$A,0),7),""),"")</f>
        <v/>
      </c>
      <c r="K194">
        <f>IFERROR(IF(ISNUMBER(INDEX(SPPR!$E:$X,MATCH($A194,SPPR!$A:$A,0),8)),$C194*INDEX(SPPR!$E:$X,MATCH($A194,SPPR!$A:$A,0),8),""),"")</f>
        <v/>
      </c>
      <c r="L194">
        <f>IFERROR(IF(ISNUMBER(INDEX(SPPR!$E:$X,MATCH($A194,SPPR!$A:$A,0),9)),$C194*INDEX(SPPR!$E:$X,MATCH($A194,SPPR!$A:$A,0),9),""),"")</f>
        <v/>
      </c>
      <c r="M194">
        <f>IFERROR(IF(ISNUMBER(INDEX(SPPR!$E:$X,MATCH($A194,SPPR!$A:$A,0),10)),$C194*INDEX(SPPR!$E:$X,MATCH($A194,SPPR!$A:$A,0),10),""),"")</f>
        <v/>
      </c>
      <c r="N194">
        <f>IFERROR(IF(ISNUMBER(INDEX(SPPR!$E:$X,MATCH($A194,SPPR!$A:$A,0),11)),$C194*INDEX(SPPR!$E:$X,MATCH($A194,SPPR!$A:$A,0),11),""),"")</f>
        <v/>
      </c>
      <c r="O194">
        <f>IFERROR(IF(ISNUMBER(INDEX(SPPR!$E:$X,MATCH($A194,SPPR!$A:$A,0),12)),$C194*INDEX(SPPR!$E:$X,MATCH($A194,SPPR!$A:$A,0),12),""),"")</f>
        <v/>
      </c>
      <c r="P194">
        <f>IFERROR(IF(ISNUMBER(INDEX(SPPR!$E:$X,MATCH($A194,SPPR!$A:$A,0),13)),$C194*INDEX(SPPR!$E:$X,MATCH($A194,SPPR!$A:$A,0),13),""),"")</f>
        <v/>
      </c>
      <c r="Q194">
        <f>IFERROR(IF(ISNUMBER(INDEX(SPPR!$E:$X,MATCH($A194,SPPR!$A:$A,0),14)),$C194*INDEX(SPPR!$E:$X,MATCH($A194,SPPR!$A:$A,0),14),""),"")</f>
        <v/>
      </c>
      <c r="R194">
        <f>IFERROR(IF(ISNUMBER(INDEX(SPPR!$E:$X,MATCH($A194,SPPR!$A:$A,0),15)),$C194*INDEX(SPPR!$E:$X,MATCH($A194,SPPR!$A:$A,0),15),""),"")</f>
        <v/>
      </c>
      <c r="S194">
        <f>IFERROR(IF(ISNUMBER(INDEX(SPPR!$E:$X,MATCH($A194,SPPR!$A:$A,0),16)),$C194*INDEX(SPPR!$E:$X,MATCH($A194,SPPR!$A:$A,0),16),""),"")</f>
        <v/>
      </c>
      <c r="T194">
        <f>IFERROR(IF(ISNUMBER(INDEX(SPPR!$E:$X,MATCH($A194,SPPR!$A:$A,0),17)),$C194*INDEX(SPPR!$E:$X,MATCH($A194,SPPR!$A:$A,0),17),""),"")</f>
        <v/>
      </c>
      <c r="U194">
        <f>IFERROR(IF(ISNUMBER(INDEX(SPPR!$E:$X,MATCH($A194,SPPR!$A:$A,0),18)),$C194*INDEX(SPPR!$E:$X,MATCH($A194,SPPR!$A:$A,0),18),""),"")</f>
        <v/>
      </c>
      <c r="V194">
        <f>IFERROR(IF(ISNUMBER(INDEX(SPPR!$E:$X,MATCH($A194,SPPR!$A:$A,0),19)),$C194*INDEX(SPPR!$E:$X,MATCH($A194,SPPR!$A:$A,0),19),""),"")</f>
        <v/>
      </c>
      <c r="W194">
        <f>IFERROR(IF(ISNUMBER(INDEX(SPPR!$E:$X,MATCH($A194,SPPR!$A:$A,0),20)),$C194*INDEX(SPPR!$E:$X,MATCH($A194,SPPR!$A:$A,0),20),""),"")</f>
        <v/>
      </c>
    </row>
    <row r="195">
      <c r="A195" t="inlineStr">
        <is>
          <t>Diapterus peruvianus</t>
        </is>
      </c>
      <c r="B195">
        <f>IFERROR(INDEX(SPPR!$D:$D,MATCH($A195,SPPR!$A:$A,0)),"")</f>
        <v/>
      </c>
      <c r="C195">
        <f>IFERROR(INDEX(Catch!$E:$BV,MATCH($A195,Catch!$A:$A,0),MATCH($B$4,Catch!$E$1:$BV$1,0)),0)</f>
        <v/>
      </c>
      <c r="D195">
        <f>IFERROR(IF(ISNUMBER(INDEX(SPPR!$E:$X,MATCH($A195,SPPR!$A:$A,0),1)),$C195*INDEX(SPPR!$E:$X,MATCH($A195,SPPR!$A:$A,0),1),""),"")</f>
        <v/>
      </c>
      <c r="E195">
        <f>IFERROR(IF(ISNUMBER(INDEX(SPPR!$E:$X,MATCH($A195,SPPR!$A:$A,0),2)),$C195*INDEX(SPPR!$E:$X,MATCH($A195,SPPR!$A:$A,0),2),""),"")</f>
        <v/>
      </c>
      <c r="F195">
        <f>IFERROR(IF(ISNUMBER(INDEX(SPPR!$E:$X,MATCH($A195,SPPR!$A:$A,0),3)),$C195*INDEX(SPPR!$E:$X,MATCH($A195,SPPR!$A:$A,0),3),""),"")</f>
        <v/>
      </c>
      <c r="G195">
        <f>IFERROR(IF(ISNUMBER(INDEX(SPPR!$E:$X,MATCH($A195,SPPR!$A:$A,0),4)),$C195*INDEX(SPPR!$E:$X,MATCH($A195,SPPR!$A:$A,0),4),""),"")</f>
        <v/>
      </c>
      <c r="H195">
        <f>IFERROR(IF(ISNUMBER(INDEX(SPPR!$E:$X,MATCH($A195,SPPR!$A:$A,0),5)),$C195*INDEX(SPPR!$E:$X,MATCH($A195,SPPR!$A:$A,0),5),""),"")</f>
        <v/>
      </c>
      <c r="I195">
        <f>IFERROR(IF(ISNUMBER(INDEX(SPPR!$E:$X,MATCH($A195,SPPR!$A:$A,0),6)),$C195*INDEX(SPPR!$E:$X,MATCH($A195,SPPR!$A:$A,0),6),""),"")</f>
        <v/>
      </c>
      <c r="J195">
        <f>IFERROR(IF(ISNUMBER(INDEX(SPPR!$E:$X,MATCH($A195,SPPR!$A:$A,0),7)),$C195*INDEX(SPPR!$E:$X,MATCH($A195,SPPR!$A:$A,0),7),""),"")</f>
        <v/>
      </c>
      <c r="K195">
        <f>IFERROR(IF(ISNUMBER(INDEX(SPPR!$E:$X,MATCH($A195,SPPR!$A:$A,0),8)),$C195*INDEX(SPPR!$E:$X,MATCH($A195,SPPR!$A:$A,0),8),""),"")</f>
        <v/>
      </c>
      <c r="L195">
        <f>IFERROR(IF(ISNUMBER(INDEX(SPPR!$E:$X,MATCH($A195,SPPR!$A:$A,0),9)),$C195*INDEX(SPPR!$E:$X,MATCH($A195,SPPR!$A:$A,0),9),""),"")</f>
        <v/>
      </c>
      <c r="M195">
        <f>IFERROR(IF(ISNUMBER(INDEX(SPPR!$E:$X,MATCH($A195,SPPR!$A:$A,0),10)),$C195*INDEX(SPPR!$E:$X,MATCH($A195,SPPR!$A:$A,0),10),""),"")</f>
        <v/>
      </c>
      <c r="N195">
        <f>IFERROR(IF(ISNUMBER(INDEX(SPPR!$E:$X,MATCH($A195,SPPR!$A:$A,0),11)),$C195*INDEX(SPPR!$E:$X,MATCH($A195,SPPR!$A:$A,0),11),""),"")</f>
        <v/>
      </c>
      <c r="O195">
        <f>IFERROR(IF(ISNUMBER(INDEX(SPPR!$E:$X,MATCH($A195,SPPR!$A:$A,0),12)),$C195*INDEX(SPPR!$E:$X,MATCH($A195,SPPR!$A:$A,0),12),""),"")</f>
        <v/>
      </c>
      <c r="P195">
        <f>IFERROR(IF(ISNUMBER(INDEX(SPPR!$E:$X,MATCH($A195,SPPR!$A:$A,0),13)),$C195*INDEX(SPPR!$E:$X,MATCH($A195,SPPR!$A:$A,0),13),""),"")</f>
        <v/>
      </c>
      <c r="Q195">
        <f>IFERROR(IF(ISNUMBER(INDEX(SPPR!$E:$X,MATCH($A195,SPPR!$A:$A,0),14)),$C195*INDEX(SPPR!$E:$X,MATCH($A195,SPPR!$A:$A,0),14),""),"")</f>
        <v/>
      </c>
      <c r="R195">
        <f>IFERROR(IF(ISNUMBER(INDEX(SPPR!$E:$X,MATCH($A195,SPPR!$A:$A,0),15)),$C195*INDEX(SPPR!$E:$X,MATCH($A195,SPPR!$A:$A,0),15),""),"")</f>
        <v/>
      </c>
      <c r="S195">
        <f>IFERROR(IF(ISNUMBER(INDEX(SPPR!$E:$X,MATCH($A195,SPPR!$A:$A,0),16)),$C195*INDEX(SPPR!$E:$X,MATCH($A195,SPPR!$A:$A,0),16),""),"")</f>
        <v/>
      </c>
      <c r="T195">
        <f>IFERROR(IF(ISNUMBER(INDEX(SPPR!$E:$X,MATCH($A195,SPPR!$A:$A,0),17)),$C195*INDEX(SPPR!$E:$X,MATCH($A195,SPPR!$A:$A,0),17),""),"")</f>
        <v/>
      </c>
      <c r="U195">
        <f>IFERROR(IF(ISNUMBER(INDEX(SPPR!$E:$X,MATCH($A195,SPPR!$A:$A,0),18)),$C195*INDEX(SPPR!$E:$X,MATCH($A195,SPPR!$A:$A,0),18),""),"")</f>
        <v/>
      </c>
      <c r="V195">
        <f>IFERROR(IF(ISNUMBER(INDEX(SPPR!$E:$X,MATCH($A195,SPPR!$A:$A,0),19)),$C195*INDEX(SPPR!$E:$X,MATCH($A195,SPPR!$A:$A,0),19),""),"")</f>
        <v/>
      </c>
      <c r="W195">
        <f>IFERROR(IF(ISNUMBER(INDEX(SPPR!$E:$X,MATCH($A195,SPPR!$A:$A,0),20)),$C195*INDEX(SPPR!$E:$X,MATCH($A195,SPPR!$A:$A,0),20),""),"")</f>
        <v/>
      </c>
    </row>
    <row r="196">
      <c r="A196" t="inlineStr">
        <is>
          <t>Seriola rivoliana</t>
        </is>
      </c>
      <c r="B196">
        <f>IFERROR(INDEX(SPPR!$D:$D,MATCH($A196,SPPR!$A:$A,0)),"")</f>
        <v/>
      </c>
      <c r="C196">
        <f>IFERROR(INDEX(Catch!$E:$BV,MATCH($A196,Catch!$A:$A,0),MATCH($B$4,Catch!$E$1:$BV$1,0)),0)</f>
        <v/>
      </c>
      <c r="D196">
        <f>IFERROR(IF(ISNUMBER(INDEX(SPPR!$E:$X,MATCH($A196,SPPR!$A:$A,0),1)),$C196*INDEX(SPPR!$E:$X,MATCH($A196,SPPR!$A:$A,0),1),""),"")</f>
        <v/>
      </c>
      <c r="E196">
        <f>IFERROR(IF(ISNUMBER(INDEX(SPPR!$E:$X,MATCH($A196,SPPR!$A:$A,0),2)),$C196*INDEX(SPPR!$E:$X,MATCH($A196,SPPR!$A:$A,0),2),""),"")</f>
        <v/>
      </c>
      <c r="F196">
        <f>IFERROR(IF(ISNUMBER(INDEX(SPPR!$E:$X,MATCH($A196,SPPR!$A:$A,0),3)),$C196*INDEX(SPPR!$E:$X,MATCH($A196,SPPR!$A:$A,0),3),""),"")</f>
        <v/>
      </c>
      <c r="G196">
        <f>IFERROR(IF(ISNUMBER(INDEX(SPPR!$E:$X,MATCH($A196,SPPR!$A:$A,0),4)),$C196*INDEX(SPPR!$E:$X,MATCH($A196,SPPR!$A:$A,0),4),""),"")</f>
        <v/>
      </c>
      <c r="H196">
        <f>IFERROR(IF(ISNUMBER(INDEX(SPPR!$E:$X,MATCH($A196,SPPR!$A:$A,0),5)),$C196*INDEX(SPPR!$E:$X,MATCH($A196,SPPR!$A:$A,0),5),""),"")</f>
        <v/>
      </c>
      <c r="I196">
        <f>IFERROR(IF(ISNUMBER(INDEX(SPPR!$E:$X,MATCH($A196,SPPR!$A:$A,0),6)),$C196*INDEX(SPPR!$E:$X,MATCH($A196,SPPR!$A:$A,0),6),""),"")</f>
        <v/>
      </c>
      <c r="J196">
        <f>IFERROR(IF(ISNUMBER(INDEX(SPPR!$E:$X,MATCH($A196,SPPR!$A:$A,0),7)),$C196*INDEX(SPPR!$E:$X,MATCH($A196,SPPR!$A:$A,0),7),""),"")</f>
        <v/>
      </c>
      <c r="K196">
        <f>IFERROR(IF(ISNUMBER(INDEX(SPPR!$E:$X,MATCH($A196,SPPR!$A:$A,0),8)),$C196*INDEX(SPPR!$E:$X,MATCH($A196,SPPR!$A:$A,0),8),""),"")</f>
        <v/>
      </c>
      <c r="L196">
        <f>IFERROR(IF(ISNUMBER(INDEX(SPPR!$E:$X,MATCH($A196,SPPR!$A:$A,0),9)),$C196*INDEX(SPPR!$E:$X,MATCH($A196,SPPR!$A:$A,0),9),""),"")</f>
        <v/>
      </c>
      <c r="M196">
        <f>IFERROR(IF(ISNUMBER(INDEX(SPPR!$E:$X,MATCH($A196,SPPR!$A:$A,0),10)),$C196*INDEX(SPPR!$E:$X,MATCH($A196,SPPR!$A:$A,0),10),""),"")</f>
        <v/>
      </c>
      <c r="N196">
        <f>IFERROR(IF(ISNUMBER(INDEX(SPPR!$E:$X,MATCH($A196,SPPR!$A:$A,0),11)),$C196*INDEX(SPPR!$E:$X,MATCH($A196,SPPR!$A:$A,0),11),""),"")</f>
        <v/>
      </c>
      <c r="O196">
        <f>IFERROR(IF(ISNUMBER(INDEX(SPPR!$E:$X,MATCH($A196,SPPR!$A:$A,0),12)),$C196*INDEX(SPPR!$E:$X,MATCH($A196,SPPR!$A:$A,0),12),""),"")</f>
        <v/>
      </c>
      <c r="P196">
        <f>IFERROR(IF(ISNUMBER(INDEX(SPPR!$E:$X,MATCH($A196,SPPR!$A:$A,0),13)),$C196*INDEX(SPPR!$E:$X,MATCH($A196,SPPR!$A:$A,0),13),""),"")</f>
        <v/>
      </c>
      <c r="Q196">
        <f>IFERROR(IF(ISNUMBER(INDEX(SPPR!$E:$X,MATCH($A196,SPPR!$A:$A,0),14)),$C196*INDEX(SPPR!$E:$X,MATCH($A196,SPPR!$A:$A,0),14),""),"")</f>
        <v/>
      </c>
      <c r="R196">
        <f>IFERROR(IF(ISNUMBER(INDEX(SPPR!$E:$X,MATCH($A196,SPPR!$A:$A,0),15)),$C196*INDEX(SPPR!$E:$X,MATCH($A196,SPPR!$A:$A,0),15),""),"")</f>
        <v/>
      </c>
      <c r="S196">
        <f>IFERROR(IF(ISNUMBER(INDEX(SPPR!$E:$X,MATCH($A196,SPPR!$A:$A,0),16)),$C196*INDEX(SPPR!$E:$X,MATCH($A196,SPPR!$A:$A,0),16),""),"")</f>
        <v/>
      </c>
      <c r="T196">
        <f>IFERROR(IF(ISNUMBER(INDEX(SPPR!$E:$X,MATCH($A196,SPPR!$A:$A,0),17)),$C196*INDEX(SPPR!$E:$X,MATCH($A196,SPPR!$A:$A,0),17),""),"")</f>
        <v/>
      </c>
      <c r="U196">
        <f>IFERROR(IF(ISNUMBER(INDEX(SPPR!$E:$X,MATCH($A196,SPPR!$A:$A,0),18)),$C196*INDEX(SPPR!$E:$X,MATCH($A196,SPPR!$A:$A,0),18),""),"")</f>
        <v/>
      </c>
      <c r="V196">
        <f>IFERROR(IF(ISNUMBER(INDEX(SPPR!$E:$X,MATCH($A196,SPPR!$A:$A,0),19)),$C196*INDEX(SPPR!$E:$X,MATCH($A196,SPPR!$A:$A,0),19),""),"")</f>
        <v/>
      </c>
      <c r="W196">
        <f>IFERROR(IF(ISNUMBER(INDEX(SPPR!$E:$X,MATCH($A196,SPPR!$A:$A,0),20)),$C196*INDEX(SPPR!$E:$X,MATCH($A196,SPPR!$A:$A,0),20),""),"")</f>
        <v/>
      </c>
    </row>
    <row r="197">
      <c r="A197" t="inlineStr">
        <is>
          <t>Sebastidae</t>
        </is>
      </c>
      <c r="B197">
        <f>IFERROR(INDEX(SPPR!$D:$D,MATCH($A197,SPPR!$A:$A,0)),"")</f>
        <v/>
      </c>
      <c r="C197">
        <f>IFERROR(INDEX(Catch!$E:$BV,MATCH($A197,Catch!$A:$A,0),MATCH($B$4,Catch!$E$1:$BV$1,0)),0)</f>
        <v/>
      </c>
      <c r="D197">
        <f>IFERROR(IF(ISNUMBER(INDEX(SPPR!$E:$X,MATCH($A197,SPPR!$A:$A,0),1)),$C197*INDEX(SPPR!$E:$X,MATCH($A197,SPPR!$A:$A,0),1),""),"")</f>
        <v/>
      </c>
      <c r="E197">
        <f>IFERROR(IF(ISNUMBER(INDEX(SPPR!$E:$X,MATCH($A197,SPPR!$A:$A,0),2)),$C197*INDEX(SPPR!$E:$X,MATCH($A197,SPPR!$A:$A,0),2),""),"")</f>
        <v/>
      </c>
      <c r="F197">
        <f>IFERROR(IF(ISNUMBER(INDEX(SPPR!$E:$X,MATCH($A197,SPPR!$A:$A,0),3)),$C197*INDEX(SPPR!$E:$X,MATCH($A197,SPPR!$A:$A,0),3),""),"")</f>
        <v/>
      </c>
      <c r="G197">
        <f>IFERROR(IF(ISNUMBER(INDEX(SPPR!$E:$X,MATCH($A197,SPPR!$A:$A,0),4)),$C197*INDEX(SPPR!$E:$X,MATCH($A197,SPPR!$A:$A,0),4),""),"")</f>
        <v/>
      </c>
      <c r="H197">
        <f>IFERROR(IF(ISNUMBER(INDEX(SPPR!$E:$X,MATCH($A197,SPPR!$A:$A,0),5)),$C197*INDEX(SPPR!$E:$X,MATCH($A197,SPPR!$A:$A,0),5),""),"")</f>
        <v/>
      </c>
      <c r="I197">
        <f>IFERROR(IF(ISNUMBER(INDEX(SPPR!$E:$X,MATCH($A197,SPPR!$A:$A,0),6)),$C197*INDEX(SPPR!$E:$X,MATCH($A197,SPPR!$A:$A,0),6),""),"")</f>
        <v/>
      </c>
      <c r="J197">
        <f>IFERROR(IF(ISNUMBER(INDEX(SPPR!$E:$X,MATCH($A197,SPPR!$A:$A,0),7)),$C197*INDEX(SPPR!$E:$X,MATCH($A197,SPPR!$A:$A,0),7),""),"")</f>
        <v/>
      </c>
      <c r="K197">
        <f>IFERROR(IF(ISNUMBER(INDEX(SPPR!$E:$X,MATCH($A197,SPPR!$A:$A,0),8)),$C197*INDEX(SPPR!$E:$X,MATCH($A197,SPPR!$A:$A,0),8),""),"")</f>
        <v/>
      </c>
      <c r="L197">
        <f>IFERROR(IF(ISNUMBER(INDEX(SPPR!$E:$X,MATCH($A197,SPPR!$A:$A,0),9)),$C197*INDEX(SPPR!$E:$X,MATCH($A197,SPPR!$A:$A,0),9),""),"")</f>
        <v/>
      </c>
      <c r="M197">
        <f>IFERROR(IF(ISNUMBER(INDEX(SPPR!$E:$X,MATCH($A197,SPPR!$A:$A,0),10)),$C197*INDEX(SPPR!$E:$X,MATCH($A197,SPPR!$A:$A,0),10),""),"")</f>
        <v/>
      </c>
      <c r="N197">
        <f>IFERROR(IF(ISNUMBER(INDEX(SPPR!$E:$X,MATCH($A197,SPPR!$A:$A,0),11)),$C197*INDEX(SPPR!$E:$X,MATCH($A197,SPPR!$A:$A,0),11),""),"")</f>
        <v/>
      </c>
      <c r="O197">
        <f>IFERROR(IF(ISNUMBER(INDEX(SPPR!$E:$X,MATCH($A197,SPPR!$A:$A,0),12)),$C197*INDEX(SPPR!$E:$X,MATCH($A197,SPPR!$A:$A,0),12),""),"")</f>
        <v/>
      </c>
      <c r="P197">
        <f>IFERROR(IF(ISNUMBER(INDEX(SPPR!$E:$X,MATCH($A197,SPPR!$A:$A,0),13)),$C197*INDEX(SPPR!$E:$X,MATCH($A197,SPPR!$A:$A,0),13),""),"")</f>
        <v/>
      </c>
      <c r="Q197">
        <f>IFERROR(IF(ISNUMBER(INDEX(SPPR!$E:$X,MATCH($A197,SPPR!$A:$A,0),14)),$C197*INDEX(SPPR!$E:$X,MATCH($A197,SPPR!$A:$A,0),14),""),"")</f>
        <v/>
      </c>
      <c r="R197">
        <f>IFERROR(IF(ISNUMBER(INDEX(SPPR!$E:$X,MATCH($A197,SPPR!$A:$A,0),15)),$C197*INDEX(SPPR!$E:$X,MATCH($A197,SPPR!$A:$A,0),15),""),"")</f>
        <v/>
      </c>
      <c r="S197">
        <f>IFERROR(IF(ISNUMBER(INDEX(SPPR!$E:$X,MATCH($A197,SPPR!$A:$A,0),16)),$C197*INDEX(SPPR!$E:$X,MATCH($A197,SPPR!$A:$A,0),16),""),"")</f>
        <v/>
      </c>
      <c r="T197">
        <f>IFERROR(IF(ISNUMBER(INDEX(SPPR!$E:$X,MATCH($A197,SPPR!$A:$A,0),17)),$C197*INDEX(SPPR!$E:$X,MATCH($A197,SPPR!$A:$A,0),17),""),"")</f>
        <v/>
      </c>
      <c r="U197">
        <f>IFERROR(IF(ISNUMBER(INDEX(SPPR!$E:$X,MATCH($A197,SPPR!$A:$A,0),18)),$C197*INDEX(SPPR!$E:$X,MATCH($A197,SPPR!$A:$A,0),18),""),"")</f>
        <v/>
      </c>
      <c r="V197">
        <f>IFERROR(IF(ISNUMBER(INDEX(SPPR!$E:$X,MATCH($A197,SPPR!$A:$A,0),19)),$C197*INDEX(SPPR!$E:$X,MATCH($A197,SPPR!$A:$A,0),19),""),"")</f>
        <v/>
      </c>
      <c r="W197">
        <f>IFERROR(IF(ISNUMBER(INDEX(SPPR!$E:$X,MATCH($A197,SPPR!$A:$A,0),20)),$C197*INDEX(SPPR!$E:$X,MATCH($A197,SPPR!$A:$A,0),20),""),"")</f>
        <v/>
      </c>
    </row>
    <row r="198">
      <c r="A198" t="inlineStr">
        <is>
          <t>Tetrapturus angustirostris</t>
        </is>
      </c>
      <c r="B198">
        <f>IFERROR(INDEX(SPPR!$D:$D,MATCH($A198,SPPR!$A:$A,0)),"")</f>
        <v/>
      </c>
      <c r="C198">
        <f>IFERROR(INDEX(Catch!$E:$BV,MATCH($A198,Catch!$A:$A,0),MATCH($B$4,Catch!$E$1:$BV$1,0)),0)</f>
        <v/>
      </c>
      <c r="D198">
        <f>IFERROR(IF(ISNUMBER(INDEX(SPPR!$E:$X,MATCH($A198,SPPR!$A:$A,0),1)),$C198*INDEX(SPPR!$E:$X,MATCH($A198,SPPR!$A:$A,0),1),""),"")</f>
        <v/>
      </c>
      <c r="E198">
        <f>IFERROR(IF(ISNUMBER(INDEX(SPPR!$E:$X,MATCH($A198,SPPR!$A:$A,0),2)),$C198*INDEX(SPPR!$E:$X,MATCH($A198,SPPR!$A:$A,0),2),""),"")</f>
        <v/>
      </c>
      <c r="F198">
        <f>IFERROR(IF(ISNUMBER(INDEX(SPPR!$E:$X,MATCH($A198,SPPR!$A:$A,0),3)),$C198*INDEX(SPPR!$E:$X,MATCH($A198,SPPR!$A:$A,0),3),""),"")</f>
        <v/>
      </c>
      <c r="G198">
        <f>IFERROR(IF(ISNUMBER(INDEX(SPPR!$E:$X,MATCH($A198,SPPR!$A:$A,0),4)),$C198*INDEX(SPPR!$E:$X,MATCH($A198,SPPR!$A:$A,0),4),""),"")</f>
        <v/>
      </c>
      <c r="H198">
        <f>IFERROR(IF(ISNUMBER(INDEX(SPPR!$E:$X,MATCH($A198,SPPR!$A:$A,0),5)),$C198*INDEX(SPPR!$E:$X,MATCH($A198,SPPR!$A:$A,0),5),""),"")</f>
        <v/>
      </c>
      <c r="I198">
        <f>IFERROR(IF(ISNUMBER(INDEX(SPPR!$E:$X,MATCH($A198,SPPR!$A:$A,0),6)),$C198*INDEX(SPPR!$E:$X,MATCH($A198,SPPR!$A:$A,0),6),""),"")</f>
        <v/>
      </c>
      <c r="J198">
        <f>IFERROR(IF(ISNUMBER(INDEX(SPPR!$E:$X,MATCH($A198,SPPR!$A:$A,0),7)),$C198*INDEX(SPPR!$E:$X,MATCH($A198,SPPR!$A:$A,0),7),""),"")</f>
        <v/>
      </c>
      <c r="K198">
        <f>IFERROR(IF(ISNUMBER(INDEX(SPPR!$E:$X,MATCH($A198,SPPR!$A:$A,0),8)),$C198*INDEX(SPPR!$E:$X,MATCH($A198,SPPR!$A:$A,0),8),""),"")</f>
        <v/>
      </c>
      <c r="L198">
        <f>IFERROR(IF(ISNUMBER(INDEX(SPPR!$E:$X,MATCH($A198,SPPR!$A:$A,0),9)),$C198*INDEX(SPPR!$E:$X,MATCH($A198,SPPR!$A:$A,0),9),""),"")</f>
        <v/>
      </c>
      <c r="M198">
        <f>IFERROR(IF(ISNUMBER(INDEX(SPPR!$E:$X,MATCH($A198,SPPR!$A:$A,0),10)),$C198*INDEX(SPPR!$E:$X,MATCH($A198,SPPR!$A:$A,0),10),""),"")</f>
        <v/>
      </c>
      <c r="N198">
        <f>IFERROR(IF(ISNUMBER(INDEX(SPPR!$E:$X,MATCH($A198,SPPR!$A:$A,0),11)),$C198*INDEX(SPPR!$E:$X,MATCH($A198,SPPR!$A:$A,0),11),""),"")</f>
        <v/>
      </c>
      <c r="O198">
        <f>IFERROR(IF(ISNUMBER(INDEX(SPPR!$E:$X,MATCH($A198,SPPR!$A:$A,0),12)),$C198*INDEX(SPPR!$E:$X,MATCH($A198,SPPR!$A:$A,0),12),""),"")</f>
        <v/>
      </c>
      <c r="P198">
        <f>IFERROR(IF(ISNUMBER(INDEX(SPPR!$E:$X,MATCH($A198,SPPR!$A:$A,0),13)),$C198*INDEX(SPPR!$E:$X,MATCH($A198,SPPR!$A:$A,0),13),""),"")</f>
        <v/>
      </c>
      <c r="Q198">
        <f>IFERROR(IF(ISNUMBER(INDEX(SPPR!$E:$X,MATCH($A198,SPPR!$A:$A,0),14)),$C198*INDEX(SPPR!$E:$X,MATCH($A198,SPPR!$A:$A,0),14),""),"")</f>
        <v/>
      </c>
      <c r="R198">
        <f>IFERROR(IF(ISNUMBER(INDEX(SPPR!$E:$X,MATCH($A198,SPPR!$A:$A,0),15)),$C198*INDEX(SPPR!$E:$X,MATCH($A198,SPPR!$A:$A,0),15),""),"")</f>
        <v/>
      </c>
      <c r="S198">
        <f>IFERROR(IF(ISNUMBER(INDEX(SPPR!$E:$X,MATCH($A198,SPPR!$A:$A,0),16)),$C198*INDEX(SPPR!$E:$X,MATCH($A198,SPPR!$A:$A,0),16),""),"")</f>
        <v/>
      </c>
      <c r="T198">
        <f>IFERROR(IF(ISNUMBER(INDEX(SPPR!$E:$X,MATCH($A198,SPPR!$A:$A,0),17)),$C198*INDEX(SPPR!$E:$X,MATCH($A198,SPPR!$A:$A,0),17),""),"")</f>
        <v/>
      </c>
      <c r="U198">
        <f>IFERROR(IF(ISNUMBER(INDEX(SPPR!$E:$X,MATCH($A198,SPPR!$A:$A,0),18)),$C198*INDEX(SPPR!$E:$X,MATCH($A198,SPPR!$A:$A,0),18),""),"")</f>
        <v/>
      </c>
      <c r="V198">
        <f>IFERROR(IF(ISNUMBER(INDEX(SPPR!$E:$X,MATCH($A198,SPPR!$A:$A,0),19)),$C198*INDEX(SPPR!$E:$X,MATCH($A198,SPPR!$A:$A,0),19),""),"")</f>
        <v/>
      </c>
      <c r="W198">
        <f>IFERROR(IF(ISNUMBER(INDEX(SPPR!$E:$X,MATCH($A198,SPPR!$A:$A,0),20)),$C198*INDEX(SPPR!$E:$X,MATCH($A198,SPPR!$A:$A,0),20),""),"")</f>
        <v/>
      </c>
    </row>
    <row r="199">
      <c r="A199" t="inlineStr">
        <is>
          <t>Auxis rochei</t>
        </is>
      </c>
      <c r="B199">
        <f>IFERROR(INDEX(SPPR!$D:$D,MATCH($A199,SPPR!$A:$A,0)),"")</f>
        <v/>
      </c>
      <c r="C199">
        <f>IFERROR(INDEX(Catch!$E:$BV,MATCH($A199,Catch!$A:$A,0),MATCH($B$4,Catch!$E$1:$BV$1,0)),0)</f>
        <v/>
      </c>
      <c r="D199">
        <f>IFERROR(IF(ISNUMBER(INDEX(SPPR!$E:$X,MATCH($A199,SPPR!$A:$A,0),1)),$C199*INDEX(SPPR!$E:$X,MATCH($A199,SPPR!$A:$A,0),1),""),"")</f>
        <v/>
      </c>
      <c r="E199">
        <f>IFERROR(IF(ISNUMBER(INDEX(SPPR!$E:$X,MATCH($A199,SPPR!$A:$A,0),2)),$C199*INDEX(SPPR!$E:$X,MATCH($A199,SPPR!$A:$A,0),2),""),"")</f>
        <v/>
      </c>
      <c r="F199">
        <f>IFERROR(IF(ISNUMBER(INDEX(SPPR!$E:$X,MATCH($A199,SPPR!$A:$A,0),3)),$C199*INDEX(SPPR!$E:$X,MATCH($A199,SPPR!$A:$A,0),3),""),"")</f>
        <v/>
      </c>
      <c r="G199">
        <f>IFERROR(IF(ISNUMBER(INDEX(SPPR!$E:$X,MATCH($A199,SPPR!$A:$A,0),4)),$C199*INDEX(SPPR!$E:$X,MATCH($A199,SPPR!$A:$A,0),4),""),"")</f>
        <v/>
      </c>
      <c r="H199">
        <f>IFERROR(IF(ISNUMBER(INDEX(SPPR!$E:$X,MATCH($A199,SPPR!$A:$A,0),5)),$C199*INDEX(SPPR!$E:$X,MATCH($A199,SPPR!$A:$A,0),5),""),"")</f>
        <v/>
      </c>
      <c r="I199">
        <f>IFERROR(IF(ISNUMBER(INDEX(SPPR!$E:$X,MATCH($A199,SPPR!$A:$A,0),6)),$C199*INDEX(SPPR!$E:$X,MATCH($A199,SPPR!$A:$A,0),6),""),"")</f>
        <v/>
      </c>
      <c r="J199">
        <f>IFERROR(IF(ISNUMBER(INDEX(SPPR!$E:$X,MATCH($A199,SPPR!$A:$A,0),7)),$C199*INDEX(SPPR!$E:$X,MATCH($A199,SPPR!$A:$A,0),7),""),"")</f>
        <v/>
      </c>
      <c r="K199">
        <f>IFERROR(IF(ISNUMBER(INDEX(SPPR!$E:$X,MATCH($A199,SPPR!$A:$A,0),8)),$C199*INDEX(SPPR!$E:$X,MATCH($A199,SPPR!$A:$A,0),8),""),"")</f>
        <v/>
      </c>
      <c r="L199">
        <f>IFERROR(IF(ISNUMBER(INDEX(SPPR!$E:$X,MATCH($A199,SPPR!$A:$A,0),9)),$C199*INDEX(SPPR!$E:$X,MATCH($A199,SPPR!$A:$A,0),9),""),"")</f>
        <v/>
      </c>
      <c r="M199">
        <f>IFERROR(IF(ISNUMBER(INDEX(SPPR!$E:$X,MATCH($A199,SPPR!$A:$A,0),10)),$C199*INDEX(SPPR!$E:$X,MATCH($A199,SPPR!$A:$A,0),10),""),"")</f>
        <v/>
      </c>
      <c r="N199">
        <f>IFERROR(IF(ISNUMBER(INDEX(SPPR!$E:$X,MATCH($A199,SPPR!$A:$A,0),11)),$C199*INDEX(SPPR!$E:$X,MATCH($A199,SPPR!$A:$A,0),11),""),"")</f>
        <v/>
      </c>
      <c r="O199">
        <f>IFERROR(IF(ISNUMBER(INDEX(SPPR!$E:$X,MATCH($A199,SPPR!$A:$A,0),12)),$C199*INDEX(SPPR!$E:$X,MATCH($A199,SPPR!$A:$A,0),12),""),"")</f>
        <v/>
      </c>
      <c r="P199">
        <f>IFERROR(IF(ISNUMBER(INDEX(SPPR!$E:$X,MATCH($A199,SPPR!$A:$A,0),13)),$C199*INDEX(SPPR!$E:$X,MATCH($A199,SPPR!$A:$A,0),13),""),"")</f>
        <v/>
      </c>
      <c r="Q199">
        <f>IFERROR(IF(ISNUMBER(INDEX(SPPR!$E:$X,MATCH($A199,SPPR!$A:$A,0),14)),$C199*INDEX(SPPR!$E:$X,MATCH($A199,SPPR!$A:$A,0),14),""),"")</f>
        <v/>
      </c>
      <c r="R199">
        <f>IFERROR(IF(ISNUMBER(INDEX(SPPR!$E:$X,MATCH($A199,SPPR!$A:$A,0),15)),$C199*INDEX(SPPR!$E:$X,MATCH($A199,SPPR!$A:$A,0),15),""),"")</f>
        <v/>
      </c>
      <c r="S199">
        <f>IFERROR(IF(ISNUMBER(INDEX(SPPR!$E:$X,MATCH($A199,SPPR!$A:$A,0),16)),$C199*INDEX(SPPR!$E:$X,MATCH($A199,SPPR!$A:$A,0),16),""),"")</f>
        <v/>
      </c>
      <c r="T199">
        <f>IFERROR(IF(ISNUMBER(INDEX(SPPR!$E:$X,MATCH($A199,SPPR!$A:$A,0),17)),$C199*INDEX(SPPR!$E:$X,MATCH($A199,SPPR!$A:$A,0),17),""),"")</f>
        <v/>
      </c>
      <c r="U199">
        <f>IFERROR(IF(ISNUMBER(INDEX(SPPR!$E:$X,MATCH($A199,SPPR!$A:$A,0),18)),$C199*INDEX(SPPR!$E:$X,MATCH($A199,SPPR!$A:$A,0),18),""),"")</f>
        <v/>
      </c>
      <c r="V199">
        <f>IFERROR(IF(ISNUMBER(INDEX(SPPR!$E:$X,MATCH($A199,SPPR!$A:$A,0),19)),$C199*INDEX(SPPR!$E:$X,MATCH($A199,SPPR!$A:$A,0),19),""),"")</f>
        <v/>
      </c>
      <c r="W199">
        <f>IFERROR(IF(ISNUMBER(INDEX(SPPR!$E:$X,MATCH($A199,SPPR!$A:$A,0),20)),$C199*INDEX(SPPR!$E:$X,MATCH($A199,SPPR!$A:$A,0),20),""),"")</f>
        <v/>
      </c>
    </row>
    <row r="200">
      <c r="A200" t="inlineStr">
        <is>
          <t>Ruvettus pretiosus</t>
        </is>
      </c>
      <c r="B200">
        <f>IFERROR(INDEX(SPPR!$D:$D,MATCH($A200,SPPR!$A:$A,0)),"")</f>
        <v/>
      </c>
      <c r="C200">
        <f>IFERROR(INDEX(Catch!$E:$BV,MATCH($A200,Catch!$A:$A,0),MATCH($B$4,Catch!$E$1:$BV$1,0)),0)</f>
        <v/>
      </c>
      <c r="D200">
        <f>IFERROR(IF(ISNUMBER(INDEX(SPPR!$E:$X,MATCH($A200,SPPR!$A:$A,0),1)),$C200*INDEX(SPPR!$E:$X,MATCH($A200,SPPR!$A:$A,0),1),""),"")</f>
        <v/>
      </c>
      <c r="E200">
        <f>IFERROR(IF(ISNUMBER(INDEX(SPPR!$E:$X,MATCH($A200,SPPR!$A:$A,0),2)),$C200*INDEX(SPPR!$E:$X,MATCH($A200,SPPR!$A:$A,0),2),""),"")</f>
        <v/>
      </c>
      <c r="F200">
        <f>IFERROR(IF(ISNUMBER(INDEX(SPPR!$E:$X,MATCH($A200,SPPR!$A:$A,0),3)),$C200*INDEX(SPPR!$E:$X,MATCH($A200,SPPR!$A:$A,0),3),""),"")</f>
        <v/>
      </c>
      <c r="G200">
        <f>IFERROR(IF(ISNUMBER(INDEX(SPPR!$E:$X,MATCH($A200,SPPR!$A:$A,0),4)),$C200*INDEX(SPPR!$E:$X,MATCH($A200,SPPR!$A:$A,0),4),""),"")</f>
        <v/>
      </c>
      <c r="H200">
        <f>IFERROR(IF(ISNUMBER(INDEX(SPPR!$E:$X,MATCH($A200,SPPR!$A:$A,0),5)),$C200*INDEX(SPPR!$E:$X,MATCH($A200,SPPR!$A:$A,0),5),""),"")</f>
        <v/>
      </c>
      <c r="I200">
        <f>IFERROR(IF(ISNUMBER(INDEX(SPPR!$E:$X,MATCH($A200,SPPR!$A:$A,0),6)),$C200*INDEX(SPPR!$E:$X,MATCH($A200,SPPR!$A:$A,0),6),""),"")</f>
        <v/>
      </c>
      <c r="J200">
        <f>IFERROR(IF(ISNUMBER(INDEX(SPPR!$E:$X,MATCH($A200,SPPR!$A:$A,0),7)),$C200*INDEX(SPPR!$E:$X,MATCH($A200,SPPR!$A:$A,0),7),""),"")</f>
        <v/>
      </c>
      <c r="K200">
        <f>IFERROR(IF(ISNUMBER(INDEX(SPPR!$E:$X,MATCH($A200,SPPR!$A:$A,0),8)),$C200*INDEX(SPPR!$E:$X,MATCH($A200,SPPR!$A:$A,0),8),""),"")</f>
        <v/>
      </c>
      <c r="L200">
        <f>IFERROR(IF(ISNUMBER(INDEX(SPPR!$E:$X,MATCH($A200,SPPR!$A:$A,0),9)),$C200*INDEX(SPPR!$E:$X,MATCH($A200,SPPR!$A:$A,0),9),""),"")</f>
        <v/>
      </c>
      <c r="M200">
        <f>IFERROR(IF(ISNUMBER(INDEX(SPPR!$E:$X,MATCH($A200,SPPR!$A:$A,0),10)),$C200*INDEX(SPPR!$E:$X,MATCH($A200,SPPR!$A:$A,0),10),""),"")</f>
        <v/>
      </c>
      <c r="N200">
        <f>IFERROR(IF(ISNUMBER(INDEX(SPPR!$E:$X,MATCH($A200,SPPR!$A:$A,0),11)),$C200*INDEX(SPPR!$E:$X,MATCH($A200,SPPR!$A:$A,0),11),""),"")</f>
        <v/>
      </c>
      <c r="O200">
        <f>IFERROR(IF(ISNUMBER(INDEX(SPPR!$E:$X,MATCH($A200,SPPR!$A:$A,0),12)),$C200*INDEX(SPPR!$E:$X,MATCH($A200,SPPR!$A:$A,0),12),""),"")</f>
        <v/>
      </c>
      <c r="P200">
        <f>IFERROR(IF(ISNUMBER(INDEX(SPPR!$E:$X,MATCH($A200,SPPR!$A:$A,0),13)),$C200*INDEX(SPPR!$E:$X,MATCH($A200,SPPR!$A:$A,0),13),""),"")</f>
        <v/>
      </c>
      <c r="Q200">
        <f>IFERROR(IF(ISNUMBER(INDEX(SPPR!$E:$X,MATCH($A200,SPPR!$A:$A,0),14)),$C200*INDEX(SPPR!$E:$X,MATCH($A200,SPPR!$A:$A,0),14),""),"")</f>
        <v/>
      </c>
      <c r="R200">
        <f>IFERROR(IF(ISNUMBER(INDEX(SPPR!$E:$X,MATCH($A200,SPPR!$A:$A,0),15)),$C200*INDEX(SPPR!$E:$X,MATCH($A200,SPPR!$A:$A,0),15),""),"")</f>
        <v/>
      </c>
      <c r="S200">
        <f>IFERROR(IF(ISNUMBER(INDEX(SPPR!$E:$X,MATCH($A200,SPPR!$A:$A,0),16)),$C200*INDEX(SPPR!$E:$X,MATCH($A200,SPPR!$A:$A,0),16),""),"")</f>
        <v/>
      </c>
      <c r="T200">
        <f>IFERROR(IF(ISNUMBER(INDEX(SPPR!$E:$X,MATCH($A200,SPPR!$A:$A,0),17)),$C200*INDEX(SPPR!$E:$X,MATCH($A200,SPPR!$A:$A,0),17),""),"")</f>
        <v/>
      </c>
      <c r="U200">
        <f>IFERROR(IF(ISNUMBER(INDEX(SPPR!$E:$X,MATCH($A200,SPPR!$A:$A,0),18)),$C200*INDEX(SPPR!$E:$X,MATCH($A200,SPPR!$A:$A,0),18),""),"")</f>
        <v/>
      </c>
      <c r="V200">
        <f>IFERROR(IF(ISNUMBER(INDEX(SPPR!$E:$X,MATCH($A200,SPPR!$A:$A,0),19)),$C200*INDEX(SPPR!$E:$X,MATCH($A200,SPPR!$A:$A,0),19),""),"")</f>
        <v/>
      </c>
      <c r="W200">
        <f>IFERROR(IF(ISNUMBER(INDEX(SPPR!$E:$X,MATCH($A200,SPPR!$A:$A,0),20)),$C200*INDEX(SPPR!$E:$X,MATCH($A200,SPPR!$A:$A,0),20),""),"")</f>
        <v/>
      </c>
    </row>
    <row r="201">
      <c r="A201" t="inlineStr">
        <is>
          <t>Marine finfishes not identified</t>
        </is>
      </c>
      <c r="B201">
        <f>IFERROR(INDEX(SPPR!$D:$D,MATCH($A201,SPPR!$A:$A,0)),"")</f>
        <v/>
      </c>
      <c r="C201">
        <f>IFERROR(INDEX(Catch!$E:$BV,MATCH($A201,Catch!$A:$A,0),MATCH($B$4,Catch!$E$1:$BV$1,0)),0)</f>
        <v/>
      </c>
      <c r="D201">
        <f>IFERROR(IF(ISNUMBER(INDEX(SPPR!$E:$X,MATCH($A201,SPPR!$A:$A,0),1)),$C201*INDEX(SPPR!$E:$X,MATCH($A201,SPPR!$A:$A,0),1),""),"")</f>
        <v/>
      </c>
      <c r="E201">
        <f>IFERROR(IF(ISNUMBER(INDEX(SPPR!$E:$X,MATCH($A201,SPPR!$A:$A,0),2)),$C201*INDEX(SPPR!$E:$X,MATCH($A201,SPPR!$A:$A,0),2),""),"")</f>
        <v/>
      </c>
      <c r="F201">
        <f>IFERROR(IF(ISNUMBER(INDEX(SPPR!$E:$X,MATCH($A201,SPPR!$A:$A,0),3)),$C201*INDEX(SPPR!$E:$X,MATCH($A201,SPPR!$A:$A,0),3),""),"")</f>
        <v/>
      </c>
      <c r="G201">
        <f>IFERROR(IF(ISNUMBER(INDEX(SPPR!$E:$X,MATCH($A201,SPPR!$A:$A,0),4)),$C201*INDEX(SPPR!$E:$X,MATCH($A201,SPPR!$A:$A,0),4),""),"")</f>
        <v/>
      </c>
      <c r="H201">
        <f>IFERROR(IF(ISNUMBER(INDEX(SPPR!$E:$X,MATCH($A201,SPPR!$A:$A,0),5)),$C201*INDEX(SPPR!$E:$X,MATCH($A201,SPPR!$A:$A,0),5),""),"")</f>
        <v/>
      </c>
      <c r="I201">
        <f>IFERROR(IF(ISNUMBER(INDEX(SPPR!$E:$X,MATCH($A201,SPPR!$A:$A,0),6)),$C201*INDEX(SPPR!$E:$X,MATCH($A201,SPPR!$A:$A,0),6),""),"")</f>
        <v/>
      </c>
      <c r="J201">
        <f>IFERROR(IF(ISNUMBER(INDEX(SPPR!$E:$X,MATCH($A201,SPPR!$A:$A,0),7)),$C201*INDEX(SPPR!$E:$X,MATCH($A201,SPPR!$A:$A,0),7),""),"")</f>
        <v/>
      </c>
      <c r="K201">
        <f>IFERROR(IF(ISNUMBER(INDEX(SPPR!$E:$X,MATCH($A201,SPPR!$A:$A,0),8)),$C201*INDEX(SPPR!$E:$X,MATCH($A201,SPPR!$A:$A,0),8),""),"")</f>
        <v/>
      </c>
      <c r="L201">
        <f>IFERROR(IF(ISNUMBER(INDEX(SPPR!$E:$X,MATCH($A201,SPPR!$A:$A,0),9)),$C201*INDEX(SPPR!$E:$X,MATCH($A201,SPPR!$A:$A,0),9),""),"")</f>
        <v/>
      </c>
      <c r="M201">
        <f>IFERROR(IF(ISNUMBER(INDEX(SPPR!$E:$X,MATCH($A201,SPPR!$A:$A,0),10)),$C201*INDEX(SPPR!$E:$X,MATCH($A201,SPPR!$A:$A,0),10),""),"")</f>
        <v/>
      </c>
      <c r="N201">
        <f>IFERROR(IF(ISNUMBER(INDEX(SPPR!$E:$X,MATCH($A201,SPPR!$A:$A,0),11)),$C201*INDEX(SPPR!$E:$X,MATCH($A201,SPPR!$A:$A,0),11),""),"")</f>
        <v/>
      </c>
      <c r="O201">
        <f>IFERROR(IF(ISNUMBER(INDEX(SPPR!$E:$X,MATCH($A201,SPPR!$A:$A,0),12)),$C201*INDEX(SPPR!$E:$X,MATCH($A201,SPPR!$A:$A,0),12),""),"")</f>
        <v/>
      </c>
      <c r="P201">
        <f>IFERROR(IF(ISNUMBER(INDEX(SPPR!$E:$X,MATCH($A201,SPPR!$A:$A,0),13)),$C201*INDEX(SPPR!$E:$X,MATCH($A201,SPPR!$A:$A,0),13),""),"")</f>
        <v/>
      </c>
      <c r="Q201">
        <f>IFERROR(IF(ISNUMBER(INDEX(SPPR!$E:$X,MATCH($A201,SPPR!$A:$A,0),14)),$C201*INDEX(SPPR!$E:$X,MATCH($A201,SPPR!$A:$A,0),14),""),"")</f>
        <v/>
      </c>
      <c r="R201">
        <f>IFERROR(IF(ISNUMBER(INDEX(SPPR!$E:$X,MATCH($A201,SPPR!$A:$A,0),15)),$C201*INDEX(SPPR!$E:$X,MATCH($A201,SPPR!$A:$A,0),15),""),"")</f>
        <v/>
      </c>
      <c r="S201">
        <f>IFERROR(IF(ISNUMBER(INDEX(SPPR!$E:$X,MATCH($A201,SPPR!$A:$A,0),16)),$C201*INDEX(SPPR!$E:$X,MATCH($A201,SPPR!$A:$A,0),16),""),"")</f>
        <v/>
      </c>
      <c r="T201">
        <f>IFERROR(IF(ISNUMBER(INDEX(SPPR!$E:$X,MATCH($A201,SPPR!$A:$A,0),17)),$C201*INDEX(SPPR!$E:$X,MATCH($A201,SPPR!$A:$A,0),17),""),"")</f>
        <v/>
      </c>
      <c r="U201">
        <f>IFERROR(IF(ISNUMBER(INDEX(SPPR!$E:$X,MATCH($A201,SPPR!$A:$A,0),18)),$C201*INDEX(SPPR!$E:$X,MATCH($A201,SPPR!$A:$A,0),18),""),"")</f>
        <v/>
      </c>
      <c r="V201">
        <f>IFERROR(IF(ISNUMBER(INDEX(SPPR!$E:$X,MATCH($A201,SPPR!$A:$A,0),19)),$C201*INDEX(SPPR!$E:$X,MATCH($A201,SPPR!$A:$A,0),19),""),"")</f>
        <v/>
      </c>
      <c r="W201">
        <f>IFERROR(IF(ISNUMBER(INDEX(SPPR!$E:$X,MATCH($A201,SPPR!$A:$A,0),20)),$C201*INDEX(SPPR!$E:$X,MATCH($A201,SPPR!$A:$A,0),20),""),"")</f>
        <v/>
      </c>
    </row>
    <row r="202">
      <c r="A202" t="inlineStr">
        <is>
          <t>Fissurella picta</t>
        </is>
      </c>
      <c r="B202">
        <f>IFERROR(INDEX(SPPR!$D:$D,MATCH($A202,SPPR!$A:$A,0)),"")</f>
        <v/>
      </c>
      <c r="C202">
        <f>IFERROR(INDEX(Catch!$E:$BV,MATCH($A202,Catch!$A:$A,0),MATCH($B$4,Catch!$E$1:$BV$1,0)),0)</f>
        <v/>
      </c>
      <c r="D202">
        <f>IFERROR(IF(ISNUMBER(INDEX(SPPR!$E:$X,MATCH($A202,SPPR!$A:$A,0),1)),$C202*INDEX(SPPR!$E:$X,MATCH($A202,SPPR!$A:$A,0),1),""),"")</f>
        <v/>
      </c>
      <c r="E202">
        <f>IFERROR(IF(ISNUMBER(INDEX(SPPR!$E:$X,MATCH($A202,SPPR!$A:$A,0),2)),$C202*INDEX(SPPR!$E:$X,MATCH($A202,SPPR!$A:$A,0),2),""),"")</f>
        <v/>
      </c>
      <c r="F202">
        <f>IFERROR(IF(ISNUMBER(INDEX(SPPR!$E:$X,MATCH($A202,SPPR!$A:$A,0),3)),$C202*INDEX(SPPR!$E:$X,MATCH($A202,SPPR!$A:$A,0),3),""),"")</f>
        <v/>
      </c>
      <c r="G202">
        <f>IFERROR(IF(ISNUMBER(INDEX(SPPR!$E:$X,MATCH($A202,SPPR!$A:$A,0),4)),$C202*INDEX(SPPR!$E:$X,MATCH($A202,SPPR!$A:$A,0),4),""),"")</f>
        <v/>
      </c>
      <c r="H202">
        <f>IFERROR(IF(ISNUMBER(INDEX(SPPR!$E:$X,MATCH($A202,SPPR!$A:$A,0),5)),$C202*INDEX(SPPR!$E:$X,MATCH($A202,SPPR!$A:$A,0),5),""),"")</f>
        <v/>
      </c>
      <c r="I202">
        <f>IFERROR(IF(ISNUMBER(INDEX(SPPR!$E:$X,MATCH($A202,SPPR!$A:$A,0),6)),$C202*INDEX(SPPR!$E:$X,MATCH($A202,SPPR!$A:$A,0),6),""),"")</f>
        <v/>
      </c>
      <c r="J202">
        <f>IFERROR(IF(ISNUMBER(INDEX(SPPR!$E:$X,MATCH($A202,SPPR!$A:$A,0),7)),$C202*INDEX(SPPR!$E:$X,MATCH($A202,SPPR!$A:$A,0),7),""),"")</f>
        <v/>
      </c>
      <c r="K202">
        <f>IFERROR(IF(ISNUMBER(INDEX(SPPR!$E:$X,MATCH($A202,SPPR!$A:$A,0),8)),$C202*INDEX(SPPR!$E:$X,MATCH($A202,SPPR!$A:$A,0),8),""),"")</f>
        <v/>
      </c>
      <c r="L202">
        <f>IFERROR(IF(ISNUMBER(INDEX(SPPR!$E:$X,MATCH($A202,SPPR!$A:$A,0),9)),$C202*INDEX(SPPR!$E:$X,MATCH($A202,SPPR!$A:$A,0),9),""),"")</f>
        <v/>
      </c>
      <c r="M202">
        <f>IFERROR(IF(ISNUMBER(INDEX(SPPR!$E:$X,MATCH($A202,SPPR!$A:$A,0),10)),$C202*INDEX(SPPR!$E:$X,MATCH($A202,SPPR!$A:$A,0),10),""),"")</f>
        <v/>
      </c>
      <c r="N202">
        <f>IFERROR(IF(ISNUMBER(INDEX(SPPR!$E:$X,MATCH($A202,SPPR!$A:$A,0),11)),$C202*INDEX(SPPR!$E:$X,MATCH($A202,SPPR!$A:$A,0),11),""),"")</f>
        <v/>
      </c>
      <c r="O202">
        <f>IFERROR(IF(ISNUMBER(INDEX(SPPR!$E:$X,MATCH($A202,SPPR!$A:$A,0),12)),$C202*INDEX(SPPR!$E:$X,MATCH($A202,SPPR!$A:$A,0),12),""),"")</f>
        <v/>
      </c>
      <c r="P202">
        <f>IFERROR(IF(ISNUMBER(INDEX(SPPR!$E:$X,MATCH($A202,SPPR!$A:$A,0),13)),$C202*INDEX(SPPR!$E:$X,MATCH($A202,SPPR!$A:$A,0),13),""),"")</f>
        <v/>
      </c>
      <c r="Q202">
        <f>IFERROR(IF(ISNUMBER(INDEX(SPPR!$E:$X,MATCH($A202,SPPR!$A:$A,0),14)),$C202*INDEX(SPPR!$E:$X,MATCH($A202,SPPR!$A:$A,0),14),""),"")</f>
        <v/>
      </c>
      <c r="R202">
        <f>IFERROR(IF(ISNUMBER(INDEX(SPPR!$E:$X,MATCH($A202,SPPR!$A:$A,0),15)),$C202*INDEX(SPPR!$E:$X,MATCH($A202,SPPR!$A:$A,0),15),""),"")</f>
        <v/>
      </c>
      <c r="S202">
        <f>IFERROR(IF(ISNUMBER(INDEX(SPPR!$E:$X,MATCH($A202,SPPR!$A:$A,0),16)),$C202*INDEX(SPPR!$E:$X,MATCH($A202,SPPR!$A:$A,0),16),""),"")</f>
        <v/>
      </c>
      <c r="T202">
        <f>IFERROR(IF(ISNUMBER(INDEX(SPPR!$E:$X,MATCH($A202,SPPR!$A:$A,0),17)),$C202*INDEX(SPPR!$E:$X,MATCH($A202,SPPR!$A:$A,0),17),""),"")</f>
        <v/>
      </c>
      <c r="U202">
        <f>IFERROR(IF(ISNUMBER(INDEX(SPPR!$E:$X,MATCH($A202,SPPR!$A:$A,0),18)),$C202*INDEX(SPPR!$E:$X,MATCH($A202,SPPR!$A:$A,0),18),""),"")</f>
        <v/>
      </c>
      <c r="V202">
        <f>IFERROR(IF(ISNUMBER(INDEX(SPPR!$E:$X,MATCH($A202,SPPR!$A:$A,0),19)),$C202*INDEX(SPPR!$E:$X,MATCH($A202,SPPR!$A:$A,0),19),""),"")</f>
        <v/>
      </c>
      <c r="W202">
        <f>IFERROR(IF(ISNUMBER(INDEX(SPPR!$E:$X,MATCH($A202,SPPR!$A:$A,0),20)),$C202*INDEX(SPPR!$E:$X,MATCH($A202,SPPR!$A:$A,0),20),""),"")</f>
        <v/>
      </c>
    </row>
    <row r="203">
      <c r="A203" t="inlineStr">
        <is>
          <t>Polydactylus approximans</t>
        </is>
      </c>
      <c r="B203">
        <f>IFERROR(INDEX(SPPR!$D:$D,MATCH($A203,SPPR!$A:$A,0)),"")</f>
        <v/>
      </c>
      <c r="C203">
        <f>IFERROR(INDEX(Catch!$E:$BV,MATCH($A203,Catch!$A:$A,0),MATCH($B$4,Catch!$E$1:$BV$1,0)),0)</f>
        <v/>
      </c>
      <c r="D203">
        <f>IFERROR(IF(ISNUMBER(INDEX(SPPR!$E:$X,MATCH($A203,SPPR!$A:$A,0),1)),$C203*INDEX(SPPR!$E:$X,MATCH($A203,SPPR!$A:$A,0),1),""),"")</f>
        <v/>
      </c>
      <c r="E203">
        <f>IFERROR(IF(ISNUMBER(INDEX(SPPR!$E:$X,MATCH($A203,SPPR!$A:$A,0),2)),$C203*INDEX(SPPR!$E:$X,MATCH($A203,SPPR!$A:$A,0),2),""),"")</f>
        <v/>
      </c>
      <c r="F203">
        <f>IFERROR(IF(ISNUMBER(INDEX(SPPR!$E:$X,MATCH($A203,SPPR!$A:$A,0),3)),$C203*INDEX(SPPR!$E:$X,MATCH($A203,SPPR!$A:$A,0),3),""),"")</f>
        <v/>
      </c>
      <c r="G203">
        <f>IFERROR(IF(ISNUMBER(INDEX(SPPR!$E:$X,MATCH($A203,SPPR!$A:$A,0),4)),$C203*INDEX(SPPR!$E:$X,MATCH($A203,SPPR!$A:$A,0),4),""),"")</f>
        <v/>
      </c>
      <c r="H203">
        <f>IFERROR(IF(ISNUMBER(INDEX(SPPR!$E:$X,MATCH($A203,SPPR!$A:$A,0),5)),$C203*INDEX(SPPR!$E:$X,MATCH($A203,SPPR!$A:$A,0),5),""),"")</f>
        <v/>
      </c>
      <c r="I203">
        <f>IFERROR(IF(ISNUMBER(INDEX(SPPR!$E:$X,MATCH($A203,SPPR!$A:$A,0),6)),$C203*INDEX(SPPR!$E:$X,MATCH($A203,SPPR!$A:$A,0),6),""),"")</f>
        <v/>
      </c>
      <c r="J203">
        <f>IFERROR(IF(ISNUMBER(INDEX(SPPR!$E:$X,MATCH($A203,SPPR!$A:$A,0),7)),$C203*INDEX(SPPR!$E:$X,MATCH($A203,SPPR!$A:$A,0),7),""),"")</f>
        <v/>
      </c>
      <c r="K203">
        <f>IFERROR(IF(ISNUMBER(INDEX(SPPR!$E:$X,MATCH($A203,SPPR!$A:$A,0),8)),$C203*INDEX(SPPR!$E:$X,MATCH($A203,SPPR!$A:$A,0),8),""),"")</f>
        <v/>
      </c>
      <c r="L203">
        <f>IFERROR(IF(ISNUMBER(INDEX(SPPR!$E:$X,MATCH($A203,SPPR!$A:$A,0),9)),$C203*INDEX(SPPR!$E:$X,MATCH($A203,SPPR!$A:$A,0),9),""),"")</f>
        <v/>
      </c>
      <c r="M203">
        <f>IFERROR(IF(ISNUMBER(INDEX(SPPR!$E:$X,MATCH($A203,SPPR!$A:$A,0),10)),$C203*INDEX(SPPR!$E:$X,MATCH($A203,SPPR!$A:$A,0),10),""),"")</f>
        <v/>
      </c>
      <c r="N203">
        <f>IFERROR(IF(ISNUMBER(INDEX(SPPR!$E:$X,MATCH($A203,SPPR!$A:$A,0),11)),$C203*INDEX(SPPR!$E:$X,MATCH($A203,SPPR!$A:$A,0),11),""),"")</f>
        <v/>
      </c>
      <c r="O203">
        <f>IFERROR(IF(ISNUMBER(INDEX(SPPR!$E:$X,MATCH($A203,SPPR!$A:$A,0),12)),$C203*INDEX(SPPR!$E:$X,MATCH($A203,SPPR!$A:$A,0),12),""),"")</f>
        <v/>
      </c>
      <c r="P203">
        <f>IFERROR(IF(ISNUMBER(INDEX(SPPR!$E:$X,MATCH($A203,SPPR!$A:$A,0),13)),$C203*INDEX(SPPR!$E:$X,MATCH($A203,SPPR!$A:$A,0),13),""),"")</f>
        <v/>
      </c>
      <c r="Q203">
        <f>IFERROR(IF(ISNUMBER(INDEX(SPPR!$E:$X,MATCH($A203,SPPR!$A:$A,0),14)),$C203*INDEX(SPPR!$E:$X,MATCH($A203,SPPR!$A:$A,0),14),""),"")</f>
        <v/>
      </c>
      <c r="R203">
        <f>IFERROR(IF(ISNUMBER(INDEX(SPPR!$E:$X,MATCH($A203,SPPR!$A:$A,0),15)),$C203*INDEX(SPPR!$E:$X,MATCH($A203,SPPR!$A:$A,0),15),""),"")</f>
        <v/>
      </c>
      <c r="S203">
        <f>IFERROR(IF(ISNUMBER(INDEX(SPPR!$E:$X,MATCH($A203,SPPR!$A:$A,0),16)),$C203*INDEX(SPPR!$E:$X,MATCH($A203,SPPR!$A:$A,0),16),""),"")</f>
        <v/>
      </c>
      <c r="T203">
        <f>IFERROR(IF(ISNUMBER(INDEX(SPPR!$E:$X,MATCH($A203,SPPR!$A:$A,0),17)),$C203*INDEX(SPPR!$E:$X,MATCH($A203,SPPR!$A:$A,0),17),""),"")</f>
        <v/>
      </c>
      <c r="U203">
        <f>IFERROR(IF(ISNUMBER(INDEX(SPPR!$E:$X,MATCH($A203,SPPR!$A:$A,0),18)),$C203*INDEX(SPPR!$E:$X,MATCH($A203,SPPR!$A:$A,0),18),""),"")</f>
        <v/>
      </c>
      <c r="V203">
        <f>IFERROR(IF(ISNUMBER(INDEX(SPPR!$E:$X,MATCH($A203,SPPR!$A:$A,0),19)),$C203*INDEX(SPPR!$E:$X,MATCH($A203,SPPR!$A:$A,0),19),""),"")</f>
        <v/>
      </c>
      <c r="W203">
        <f>IFERROR(IF(ISNUMBER(INDEX(SPPR!$E:$X,MATCH($A203,SPPR!$A:$A,0),20)),$C203*INDEX(SPPR!$E:$X,MATCH($A203,SPPR!$A:$A,0),20),""),"")</f>
        <v/>
      </c>
    </row>
    <row r="204">
      <c r="A204" t="inlineStr">
        <is>
          <t>Hemigrapsus crenulatus</t>
        </is>
      </c>
      <c r="B204">
        <f>IFERROR(INDEX(SPPR!$D:$D,MATCH($A204,SPPR!$A:$A,0)),"")</f>
        <v/>
      </c>
      <c r="C204">
        <f>IFERROR(INDEX(Catch!$E:$BV,MATCH($A204,Catch!$A:$A,0),MATCH($B$4,Catch!$E$1:$BV$1,0)),0)</f>
        <v/>
      </c>
      <c r="D204">
        <f>IFERROR(IF(ISNUMBER(INDEX(SPPR!$E:$X,MATCH($A204,SPPR!$A:$A,0),1)),$C204*INDEX(SPPR!$E:$X,MATCH($A204,SPPR!$A:$A,0),1),""),"")</f>
        <v/>
      </c>
      <c r="E204">
        <f>IFERROR(IF(ISNUMBER(INDEX(SPPR!$E:$X,MATCH($A204,SPPR!$A:$A,0),2)),$C204*INDEX(SPPR!$E:$X,MATCH($A204,SPPR!$A:$A,0),2),""),"")</f>
        <v/>
      </c>
      <c r="F204">
        <f>IFERROR(IF(ISNUMBER(INDEX(SPPR!$E:$X,MATCH($A204,SPPR!$A:$A,0),3)),$C204*INDEX(SPPR!$E:$X,MATCH($A204,SPPR!$A:$A,0),3),""),"")</f>
        <v/>
      </c>
      <c r="G204">
        <f>IFERROR(IF(ISNUMBER(INDEX(SPPR!$E:$X,MATCH($A204,SPPR!$A:$A,0),4)),$C204*INDEX(SPPR!$E:$X,MATCH($A204,SPPR!$A:$A,0),4),""),"")</f>
        <v/>
      </c>
      <c r="H204">
        <f>IFERROR(IF(ISNUMBER(INDEX(SPPR!$E:$X,MATCH($A204,SPPR!$A:$A,0),5)),$C204*INDEX(SPPR!$E:$X,MATCH($A204,SPPR!$A:$A,0),5),""),"")</f>
        <v/>
      </c>
      <c r="I204">
        <f>IFERROR(IF(ISNUMBER(INDEX(SPPR!$E:$X,MATCH($A204,SPPR!$A:$A,0),6)),$C204*INDEX(SPPR!$E:$X,MATCH($A204,SPPR!$A:$A,0),6),""),"")</f>
        <v/>
      </c>
      <c r="J204">
        <f>IFERROR(IF(ISNUMBER(INDEX(SPPR!$E:$X,MATCH($A204,SPPR!$A:$A,0),7)),$C204*INDEX(SPPR!$E:$X,MATCH($A204,SPPR!$A:$A,0),7),""),"")</f>
        <v/>
      </c>
      <c r="K204">
        <f>IFERROR(IF(ISNUMBER(INDEX(SPPR!$E:$X,MATCH($A204,SPPR!$A:$A,0),8)),$C204*INDEX(SPPR!$E:$X,MATCH($A204,SPPR!$A:$A,0),8),""),"")</f>
        <v/>
      </c>
      <c r="L204">
        <f>IFERROR(IF(ISNUMBER(INDEX(SPPR!$E:$X,MATCH($A204,SPPR!$A:$A,0),9)),$C204*INDEX(SPPR!$E:$X,MATCH($A204,SPPR!$A:$A,0),9),""),"")</f>
        <v/>
      </c>
      <c r="M204">
        <f>IFERROR(IF(ISNUMBER(INDEX(SPPR!$E:$X,MATCH($A204,SPPR!$A:$A,0),10)),$C204*INDEX(SPPR!$E:$X,MATCH($A204,SPPR!$A:$A,0),10),""),"")</f>
        <v/>
      </c>
      <c r="N204">
        <f>IFERROR(IF(ISNUMBER(INDEX(SPPR!$E:$X,MATCH($A204,SPPR!$A:$A,0),11)),$C204*INDEX(SPPR!$E:$X,MATCH($A204,SPPR!$A:$A,0),11),""),"")</f>
        <v/>
      </c>
      <c r="O204">
        <f>IFERROR(IF(ISNUMBER(INDEX(SPPR!$E:$X,MATCH($A204,SPPR!$A:$A,0),12)),$C204*INDEX(SPPR!$E:$X,MATCH($A204,SPPR!$A:$A,0),12),""),"")</f>
        <v/>
      </c>
      <c r="P204">
        <f>IFERROR(IF(ISNUMBER(INDEX(SPPR!$E:$X,MATCH($A204,SPPR!$A:$A,0),13)),$C204*INDEX(SPPR!$E:$X,MATCH($A204,SPPR!$A:$A,0),13),""),"")</f>
        <v/>
      </c>
      <c r="Q204">
        <f>IFERROR(IF(ISNUMBER(INDEX(SPPR!$E:$X,MATCH($A204,SPPR!$A:$A,0),14)),$C204*INDEX(SPPR!$E:$X,MATCH($A204,SPPR!$A:$A,0),14),""),"")</f>
        <v/>
      </c>
      <c r="R204">
        <f>IFERROR(IF(ISNUMBER(INDEX(SPPR!$E:$X,MATCH($A204,SPPR!$A:$A,0),15)),$C204*INDEX(SPPR!$E:$X,MATCH($A204,SPPR!$A:$A,0),15),""),"")</f>
        <v/>
      </c>
      <c r="S204">
        <f>IFERROR(IF(ISNUMBER(INDEX(SPPR!$E:$X,MATCH($A204,SPPR!$A:$A,0),16)),$C204*INDEX(SPPR!$E:$X,MATCH($A204,SPPR!$A:$A,0),16),""),"")</f>
        <v/>
      </c>
      <c r="T204">
        <f>IFERROR(IF(ISNUMBER(INDEX(SPPR!$E:$X,MATCH($A204,SPPR!$A:$A,0),17)),$C204*INDEX(SPPR!$E:$X,MATCH($A204,SPPR!$A:$A,0),17),""),"")</f>
        <v/>
      </c>
      <c r="U204">
        <f>IFERROR(IF(ISNUMBER(INDEX(SPPR!$E:$X,MATCH($A204,SPPR!$A:$A,0),18)),$C204*INDEX(SPPR!$E:$X,MATCH($A204,SPPR!$A:$A,0),18),""),"")</f>
        <v/>
      </c>
      <c r="V204">
        <f>IFERROR(IF(ISNUMBER(INDEX(SPPR!$E:$X,MATCH($A204,SPPR!$A:$A,0),19)),$C204*INDEX(SPPR!$E:$X,MATCH($A204,SPPR!$A:$A,0),19),""),"")</f>
        <v/>
      </c>
      <c r="W204">
        <f>IFERROR(IF(ISNUMBER(INDEX(SPPR!$E:$X,MATCH($A204,SPPR!$A:$A,0),20)),$C204*INDEX(SPPR!$E:$X,MATCH($A204,SPPR!$A:$A,0),20),""),"")</f>
        <v/>
      </c>
    </row>
    <row r="205">
      <c r="A205" t="inlineStr">
        <is>
          <t>Alopias</t>
        </is>
      </c>
      <c r="B205">
        <f>IFERROR(INDEX(SPPR!$D:$D,MATCH($A205,SPPR!$A:$A,0)),"")</f>
        <v/>
      </c>
      <c r="C205">
        <f>IFERROR(INDEX(Catch!$E:$BV,MATCH($A205,Catch!$A:$A,0),MATCH($B$4,Catch!$E$1:$BV$1,0)),0)</f>
        <v/>
      </c>
      <c r="D205">
        <f>IFERROR(IF(ISNUMBER(INDEX(SPPR!$E:$X,MATCH($A205,SPPR!$A:$A,0),1)),$C205*INDEX(SPPR!$E:$X,MATCH($A205,SPPR!$A:$A,0),1),""),"")</f>
        <v/>
      </c>
      <c r="E205">
        <f>IFERROR(IF(ISNUMBER(INDEX(SPPR!$E:$X,MATCH($A205,SPPR!$A:$A,0),2)),$C205*INDEX(SPPR!$E:$X,MATCH($A205,SPPR!$A:$A,0),2),""),"")</f>
        <v/>
      </c>
      <c r="F205">
        <f>IFERROR(IF(ISNUMBER(INDEX(SPPR!$E:$X,MATCH($A205,SPPR!$A:$A,0),3)),$C205*INDEX(SPPR!$E:$X,MATCH($A205,SPPR!$A:$A,0),3),""),"")</f>
        <v/>
      </c>
      <c r="G205">
        <f>IFERROR(IF(ISNUMBER(INDEX(SPPR!$E:$X,MATCH($A205,SPPR!$A:$A,0),4)),$C205*INDEX(SPPR!$E:$X,MATCH($A205,SPPR!$A:$A,0),4),""),"")</f>
        <v/>
      </c>
      <c r="H205">
        <f>IFERROR(IF(ISNUMBER(INDEX(SPPR!$E:$X,MATCH($A205,SPPR!$A:$A,0),5)),$C205*INDEX(SPPR!$E:$X,MATCH($A205,SPPR!$A:$A,0),5),""),"")</f>
        <v/>
      </c>
      <c r="I205">
        <f>IFERROR(IF(ISNUMBER(INDEX(SPPR!$E:$X,MATCH($A205,SPPR!$A:$A,0),6)),$C205*INDEX(SPPR!$E:$X,MATCH($A205,SPPR!$A:$A,0),6),""),"")</f>
        <v/>
      </c>
      <c r="J205">
        <f>IFERROR(IF(ISNUMBER(INDEX(SPPR!$E:$X,MATCH($A205,SPPR!$A:$A,0),7)),$C205*INDEX(SPPR!$E:$X,MATCH($A205,SPPR!$A:$A,0),7),""),"")</f>
        <v/>
      </c>
      <c r="K205">
        <f>IFERROR(IF(ISNUMBER(INDEX(SPPR!$E:$X,MATCH($A205,SPPR!$A:$A,0),8)),$C205*INDEX(SPPR!$E:$X,MATCH($A205,SPPR!$A:$A,0),8),""),"")</f>
        <v/>
      </c>
      <c r="L205">
        <f>IFERROR(IF(ISNUMBER(INDEX(SPPR!$E:$X,MATCH($A205,SPPR!$A:$A,0),9)),$C205*INDEX(SPPR!$E:$X,MATCH($A205,SPPR!$A:$A,0),9),""),"")</f>
        <v/>
      </c>
      <c r="M205">
        <f>IFERROR(IF(ISNUMBER(INDEX(SPPR!$E:$X,MATCH($A205,SPPR!$A:$A,0),10)),$C205*INDEX(SPPR!$E:$X,MATCH($A205,SPPR!$A:$A,0),10),""),"")</f>
        <v/>
      </c>
      <c r="N205">
        <f>IFERROR(IF(ISNUMBER(INDEX(SPPR!$E:$X,MATCH($A205,SPPR!$A:$A,0),11)),$C205*INDEX(SPPR!$E:$X,MATCH($A205,SPPR!$A:$A,0),11),""),"")</f>
        <v/>
      </c>
      <c r="O205">
        <f>IFERROR(IF(ISNUMBER(INDEX(SPPR!$E:$X,MATCH($A205,SPPR!$A:$A,0),12)),$C205*INDEX(SPPR!$E:$X,MATCH($A205,SPPR!$A:$A,0),12),""),"")</f>
        <v/>
      </c>
      <c r="P205">
        <f>IFERROR(IF(ISNUMBER(INDEX(SPPR!$E:$X,MATCH($A205,SPPR!$A:$A,0),13)),$C205*INDEX(SPPR!$E:$X,MATCH($A205,SPPR!$A:$A,0),13),""),"")</f>
        <v/>
      </c>
      <c r="Q205">
        <f>IFERROR(IF(ISNUMBER(INDEX(SPPR!$E:$X,MATCH($A205,SPPR!$A:$A,0),14)),$C205*INDEX(SPPR!$E:$X,MATCH($A205,SPPR!$A:$A,0),14),""),"")</f>
        <v/>
      </c>
      <c r="R205">
        <f>IFERROR(IF(ISNUMBER(INDEX(SPPR!$E:$X,MATCH($A205,SPPR!$A:$A,0),15)),$C205*INDEX(SPPR!$E:$X,MATCH($A205,SPPR!$A:$A,0),15),""),"")</f>
        <v/>
      </c>
      <c r="S205">
        <f>IFERROR(IF(ISNUMBER(INDEX(SPPR!$E:$X,MATCH($A205,SPPR!$A:$A,0),16)),$C205*INDEX(SPPR!$E:$X,MATCH($A205,SPPR!$A:$A,0),16),""),"")</f>
        <v/>
      </c>
      <c r="T205">
        <f>IFERROR(IF(ISNUMBER(INDEX(SPPR!$E:$X,MATCH($A205,SPPR!$A:$A,0),17)),$C205*INDEX(SPPR!$E:$X,MATCH($A205,SPPR!$A:$A,0),17),""),"")</f>
        <v/>
      </c>
      <c r="U205">
        <f>IFERROR(IF(ISNUMBER(INDEX(SPPR!$E:$X,MATCH($A205,SPPR!$A:$A,0),18)),$C205*INDEX(SPPR!$E:$X,MATCH($A205,SPPR!$A:$A,0),18),""),"")</f>
        <v/>
      </c>
      <c r="V205">
        <f>IFERROR(IF(ISNUMBER(INDEX(SPPR!$E:$X,MATCH($A205,SPPR!$A:$A,0),19)),$C205*INDEX(SPPR!$E:$X,MATCH($A205,SPPR!$A:$A,0),19),""),"")</f>
        <v/>
      </c>
      <c r="W205">
        <f>IFERROR(IF(ISNUMBER(INDEX(SPPR!$E:$X,MATCH($A205,SPPR!$A:$A,0),20)),$C205*INDEX(SPPR!$E:$X,MATCH($A205,SPPR!$A:$A,0),20),""),"")</f>
        <v/>
      </c>
    </row>
    <row r="206">
      <c r="A206" t="inlineStr">
        <is>
          <t>Hexanchus griseus</t>
        </is>
      </c>
      <c r="B206">
        <f>IFERROR(INDEX(SPPR!$D:$D,MATCH($A206,SPPR!$A:$A,0)),"")</f>
        <v/>
      </c>
      <c r="C206">
        <f>IFERROR(INDEX(Catch!$E:$BV,MATCH($A206,Catch!$A:$A,0),MATCH($B$4,Catch!$E$1:$BV$1,0)),0)</f>
        <v/>
      </c>
      <c r="D206">
        <f>IFERROR(IF(ISNUMBER(INDEX(SPPR!$E:$X,MATCH($A206,SPPR!$A:$A,0),1)),$C206*INDEX(SPPR!$E:$X,MATCH($A206,SPPR!$A:$A,0),1),""),"")</f>
        <v/>
      </c>
      <c r="E206">
        <f>IFERROR(IF(ISNUMBER(INDEX(SPPR!$E:$X,MATCH($A206,SPPR!$A:$A,0),2)),$C206*INDEX(SPPR!$E:$X,MATCH($A206,SPPR!$A:$A,0),2),""),"")</f>
        <v/>
      </c>
      <c r="F206">
        <f>IFERROR(IF(ISNUMBER(INDEX(SPPR!$E:$X,MATCH($A206,SPPR!$A:$A,0),3)),$C206*INDEX(SPPR!$E:$X,MATCH($A206,SPPR!$A:$A,0),3),""),"")</f>
        <v/>
      </c>
      <c r="G206">
        <f>IFERROR(IF(ISNUMBER(INDEX(SPPR!$E:$X,MATCH($A206,SPPR!$A:$A,0),4)),$C206*INDEX(SPPR!$E:$X,MATCH($A206,SPPR!$A:$A,0),4),""),"")</f>
        <v/>
      </c>
      <c r="H206">
        <f>IFERROR(IF(ISNUMBER(INDEX(SPPR!$E:$X,MATCH($A206,SPPR!$A:$A,0),5)),$C206*INDEX(SPPR!$E:$X,MATCH($A206,SPPR!$A:$A,0),5),""),"")</f>
        <v/>
      </c>
      <c r="I206">
        <f>IFERROR(IF(ISNUMBER(INDEX(SPPR!$E:$X,MATCH($A206,SPPR!$A:$A,0),6)),$C206*INDEX(SPPR!$E:$X,MATCH($A206,SPPR!$A:$A,0),6),""),"")</f>
        <v/>
      </c>
      <c r="J206">
        <f>IFERROR(IF(ISNUMBER(INDEX(SPPR!$E:$X,MATCH($A206,SPPR!$A:$A,0),7)),$C206*INDEX(SPPR!$E:$X,MATCH($A206,SPPR!$A:$A,0),7),""),"")</f>
        <v/>
      </c>
      <c r="K206">
        <f>IFERROR(IF(ISNUMBER(INDEX(SPPR!$E:$X,MATCH($A206,SPPR!$A:$A,0),8)),$C206*INDEX(SPPR!$E:$X,MATCH($A206,SPPR!$A:$A,0),8),""),"")</f>
        <v/>
      </c>
      <c r="L206">
        <f>IFERROR(IF(ISNUMBER(INDEX(SPPR!$E:$X,MATCH($A206,SPPR!$A:$A,0),9)),$C206*INDEX(SPPR!$E:$X,MATCH($A206,SPPR!$A:$A,0),9),""),"")</f>
        <v/>
      </c>
      <c r="M206">
        <f>IFERROR(IF(ISNUMBER(INDEX(SPPR!$E:$X,MATCH($A206,SPPR!$A:$A,0),10)),$C206*INDEX(SPPR!$E:$X,MATCH($A206,SPPR!$A:$A,0),10),""),"")</f>
        <v/>
      </c>
      <c r="N206">
        <f>IFERROR(IF(ISNUMBER(INDEX(SPPR!$E:$X,MATCH($A206,SPPR!$A:$A,0),11)),$C206*INDEX(SPPR!$E:$X,MATCH($A206,SPPR!$A:$A,0),11),""),"")</f>
        <v/>
      </c>
      <c r="O206">
        <f>IFERROR(IF(ISNUMBER(INDEX(SPPR!$E:$X,MATCH($A206,SPPR!$A:$A,0),12)),$C206*INDEX(SPPR!$E:$X,MATCH($A206,SPPR!$A:$A,0),12),""),"")</f>
        <v/>
      </c>
      <c r="P206">
        <f>IFERROR(IF(ISNUMBER(INDEX(SPPR!$E:$X,MATCH($A206,SPPR!$A:$A,0),13)),$C206*INDEX(SPPR!$E:$X,MATCH($A206,SPPR!$A:$A,0),13),""),"")</f>
        <v/>
      </c>
      <c r="Q206">
        <f>IFERROR(IF(ISNUMBER(INDEX(SPPR!$E:$X,MATCH($A206,SPPR!$A:$A,0),14)),$C206*INDEX(SPPR!$E:$X,MATCH($A206,SPPR!$A:$A,0),14),""),"")</f>
        <v/>
      </c>
      <c r="R206">
        <f>IFERROR(IF(ISNUMBER(INDEX(SPPR!$E:$X,MATCH($A206,SPPR!$A:$A,0),15)),$C206*INDEX(SPPR!$E:$X,MATCH($A206,SPPR!$A:$A,0),15),""),"")</f>
        <v/>
      </c>
      <c r="S206">
        <f>IFERROR(IF(ISNUMBER(INDEX(SPPR!$E:$X,MATCH($A206,SPPR!$A:$A,0),16)),$C206*INDEX(SPPR!$E:$X,MATCH($A206,SPPR!$A:$A,0),16),""),"")</f>
        <v/>
      </c>
      <c r="T206">
        <f>IFERROR(IF(ISNUMBER(INDEX(SPPR!$E:$X,MATCH($A206,SPPR!$A:$A,0),17)),$C206*INDEX(SPPR!$E:$X,MATCH($A206,SPPR!$A:$A,0),17),""),"")</f>
        <v/>
      </c>
      <c r="U206">
        <f>IFERROR(IF(ISNUMBER(INDEX(SPPR!$E:$X,MATCH($A206,SPPR!$A:$A,0),18)),$C206*INDEX(SPPR!$E:$X,MATCH($A206,SPPR!$A:$A,0),18),""),"")</f>
        <v/>
      </c>
      <c r="V206">
        <f>IFERROR(IF(ISNUMBER(INDEX(SPPR!$E:$X,MATCH($A206,SPPR!$A:$A,0),19)),$C206*INDEX(SPPR!$E:$X,MATCH($A206,SPPR!$A:$A,0),19),""),"")</f>
        <v/>
      </c>
      <c r="W206">
        <f>IFERROR(IF(ISNUMBER(INDEX(SPPR!$E:$X,MATCH($A206,SPPR!$A:$A,0),20)),$C206*INDEX(SPPR!$E:$X,MATCH($A206,SPPR!$A:$A,0),20),""),"")</f>
        <v/>
      </c>
    </row>
    <row r="207">
      <c r="A207" t="inlineStr">
        <is>
          <t>Caranx</t>
        </is>
      </c>
      <c r="B207">
        <f>IFERROR(INDEX(SPPR!$D:$D,MATCH($A207,SPPR!$A:$A,0)),"")</f>
        <v/>
      </c>
      <c r="C207">
        <f>IFERROR(INDEX(Catch!$E:$BV,MATCH($A207,Catch!$A:$A,0),MATCH($B$4,Catch!$E$1:$BV$1,0)),0)</f>
        <v/>
      </c>
      <c r="D207">
        <f>IFERROR(IF(ISNUMBER(INDEX(SPPR!$E:$X,MATCH($A207,SPPR!$A:$A,0),1)),$C207*INDEX(SPPR!$E:$X,MATCH($A207,SPPR!$A:$A,0),1),""),"")</f>
        <v/>
      </c>
      <c r="E207">
        <f>IFERROR(IF(ISNUMBER(INDEX(SPPR!$E:$X,MATCH($A207,SPPR!$A:$A,0),2)),$C207*INDEX(SPPR!$E:$X,MATCH($A207,SPPR!$A:$A,0),2),""),"")</f>
        <v/>
      </c>
      <c r="F207">
        <f>IFERROR(IF(ISNUMBER(INDEX(SPPR!$E:$X,MATCH($A207,SPPR!$A:$A,0),3)),$C207*INDEX(SPPR!$E:$X,MATCH($A207,SPPR!$A:$A,0),3),""),"")</f>
        <v/>
      </c>
      <c r="G207">
        <f>IFERROR(IF(ISNUMBER(INDEX(SPPR!$E:$X,MATCH($A207,SPPR!$A:$A,0),4)),$C207*INDEX(SPPR!$E:$X,MATCH($A207,SPPR!$A:$A,0),4),""),"")</f>
        <v/>
      </c>
      <c r="H207">
        <f>IFERROR(IF(ISNUMBER(INDEX(SPPR!$E:$X,MATCH($A207,SPPR!$A:$A,0),5)),$C207*INDEX(SPPR!$E:$X,MATCH($A207,SPPR!$A:$A,0),5),""),"")</f>
        <v/>
      </c>
      <c r="I207">
        <f>IFERROR(IF(ISNUMBER(INDEX(SPPR!$E:$X,MATCH($A207,SPPR!$A:$A,0),6)),$C207*INDEX(SPPR!$E:$X,MATCH($A207,SPPR!$A:$A,0),6),""),"")</f>
        <v/>
      </c>
      <c r="J207">
        <f>IFERROR(IF(ISNUMBER(INDEX(SPPR!$E:$X,MATCH($A207,SPPR!$A:$A,0),7)),$C207*INDEX(SPPR!$E:$X,MATCH($A207,SPPR!$A:$A,0),7),""),"")</f>
        <v/>
      </c>
      <c r="K207">
        <f>IFERROR(IF(ISNUMBER(INDEX(SPPR!$E:$X,MATCH($A207,SPPR!$A:$A,0),8)),$C207*INDEX(SPPR!$E:$X,MATCH($A207,SPPR!$A:$A,0),8),""),"")</f>
        <v/>
      </c>
      <c r="L207">
        <f>IFERROR(IF(ISNUMBER(INDEX(SPPR!$E:$X,MATCH($A207,SPPR!$A:$A,0),9)),$C207*INDEX(SPPR!$E:$X,MATCH($A207,SPPR!$A:$A,0),9),""),"")</f>
        <v/>
      </c>
      <c r="M207">
        <f>IFERROR(IF(ISNUMBER(INDEX(SPPR!$E:$X,MATCH($A207,SPPR!$A:$A,0),10)),$C207*INDEX(SPPR!$E:$X,MATCH($A207,SPPR!$A:$A,0),10),""),"")</f>
        <v/>
      </c>
      <c r="N207">
        <f>IFERROR(IF(ISNUMBER(INDEX(SPPR!$E:$X,MATCH($A207,SPPR!$A:$A,0),11)),$C207*INDEX(SPPR!$E:$X,MATCH($A207,SPPR!$A:$A,0),11),""),"")</f>
        <v/>
      </c>
      <c r="O207">
        <f>IFERROR(IF(ISNUMBER(INDEX(SPPR!$E:$X,MATCH($A207,SPPR!$A:$A,0),12)),$C207*INDEX(SPPR!$E:$X,MATCH($A207,SPPR!$A:$A,0),12),""),"")</f>
        <v/>
      </c>
      <c r="P207">
        <f>IFERROR(IF(ISNUMBER(INDEX(SPPR!$E:$X,MATCH($A207,SPPR!$A:$A,0),13)),$C207*INDEX(SPPR!$E:$X,MATCH($A207,SPPR!$A:$A,0),13),""),"")</f>
        <v/>
      </c>
      <c r="Q207">
        <f>IFERROR(IF(ISNUMBER(INDEX(SPPR!$E:$X,MATCH($A207,SPPR!$A:$A,0),14)),$C207*INDEX(SPPR!$E:$X,MATCH($A207,SPPR!$A:$A,0),14),""),"")</f>
        <v/>
      </c>
      <c r="R207">
        <f>IFERROR(IF(ISNUMBER(INDEX(SPPR!$E:$X,MATCH($A207,SPPR!$A:$A,0),15)),$C207*INDEX(SPPR!$E:$X,MATCH($A207,SPPR!$A:$A,0),15),""),"")</f>
        <v/>
      </c>
      <c r="S207">
        <f>IFERROR(IF(ISNUMBER(INDEX(SPPR!$E:$X,MATCH($A207,SPPR!$A:$A,0),16)),$C207*INDEX(SPPR!$E:$X,MATCH($A207,SPPR!$A:$A,0),16),""),"")</f>
        <v/>
      </c>
      <c r="T207">
        <f>IFERROR(IF(ISNUMBER(INDEX(SPPR!$E:$X,MATCH($A207,SPPR!$A:$A,0),17)),$C207*INDEX(SPPR!$E:$X,MATCH($A207,SPPR!$A:$A,0),17),""),"")</f>
        <v/>
      </c>
      <c r="U207">
        <f>IFERROR(IF(ISNUMBER(INDEX(SPPR!$E:$X,MATCH($A207,SPPR!$A:$A,0),18)),$C207*INDEX(SPPR!$E:$X,MATCH($A207,SPPR!$A:$A,0),18),""),"")</f>
        <v/>
      </c>
      <c r="V207">
        <f>IFERROR(IF(ISNUMBER(INDEX(SPPR!$E:$X,MATCH($A207,SPPR!$A:$A,0),19)),$C207*INDEX(SPPR!$E:$X,MATCH($A207,SPPR!$A:$A,0),19),""),"")</f>
        <v/>
      </c>
      <c r="W207">
        <f>IFERROR(IF(ISNUMBER(INDEX(SPPR!$E:$X,MATCH($A207,SPPR!$A:$A,0),20)),$C207*INDEX(SPPR!$E:$X,MATCH($A207,SPPR!$A:$A,0),20),""),"")</f>
        <v/>
      </c>
    </row>
    <row r="208">
      <c r="A208" t="inlineStr">
        <is>
          <t>Caranx lugubris</t>
        </is>
      </c>
      <c r="B208">
        <f>IFERROR(INDEX(SPPR!$D:$D,MATCH($A208,SPPR!$A:$A,0)),"")</f>
        <v/>
      </c>
      <c r="C208">
        <f>IFERROR(INDEX(Catch!$E:$BV,MATCH($A208,Catch!$A:$A,0),MATCH($B$4,Catch!$E$1:$BV$1,0)),0)</f>
        <v/>
      </c>
      <c r="D208">
        <f>IFERROR(IF(ISNUMBER(INDEX(SPPR!$E:$X,MATCH($A208,SPPR!$A:$A,0),1)),$C208*INDEX(SPPR!$E:$X,MATCH($A208,SPPR!$A:$A,0),1),""),"")</f>
        <v/>
      </c>
      <c r="E208">
        <f>IFERROR(IF(ISNUMBER(INDEX(SPPR!$E:$X,MATCH($A208,SPPR!$A:$A,0),2)),$C208*INDEX(SPPR!$E:$X,MATCH($A208,SPPR!$A:$A,0),2),""),"")</f>
        <v/>
      </c>
      <c r="F208">
        <f>IFERROR(IF(ISNUMBER(INDEX(SPPR!$E:$X,MATCH($A208,SPPR!$A:$A,0),3)),$C208*INDEX(SPPR!$E:$X,MATCH($A208,SPPR!$A:$A,0),3),""),"")</f>
        <v/>
      </c>
      <c r="G208">
        <f>IFERROR(IF(ISNUMBER(INDEX(SPPR!$E:$X,MATCH($A208,SPPR!$A:$A,0),4)),$C208*INDEX(SPPR!$E:$X,MATCH($A208,SPPR!$A:$A,0),4),""),"")</f>
        <v/>
      </c>
      <c r="H208">
        <f>IFERROR(IF(ISNUMBER(INDEX(SPPR!$E:$X,MATCH($A208,SPPR!$A:$A,0),5)),$C208*INDEX(SPPR!$E:$X,MATCH($A208,SPPR!$A:$A,0),5),""),"")</f>
        <v/>
      </c>
      <c r="I208">
        <f>IFERROR(IF(ISNUMBER(INDEX(SPPR!$E:$X,MATCH($A208,SPPR!$A:$A,0),6)),$C208*INDEX(SPPR!$E:$X,MATCH($A208,SPPR!$A:$A,0),6),""),"")</f>
        <v/>
      </c>
      <c r="J208">
        <f>IFERROR(IF(ISNUMBER(INDEX(SPPR!$E:$X,MATCH($A208,SPPR!$A:$A,0),7)),$C208*INDEX(SPPR!$E:$X,MATCH($A208,SPPR!$A:$A,0),7),""),"")</f>
        <v/>
      </c>
      <c r="K208">
        <f>IFERROR(IF(ISNUMBER(INDEX(SPPR!$E:$X,MATCH($A208,SPPR!$A:$A,0),8)),$C208*INDEX(SPPR!$E:$X,MATCH($A208,SPPR!$A:$A,0),8),""),"")</f>
        <v/>
      </c>
      <c r="L208">
        <f>IFERROR(IF(ISNUMBER(INDEX(SPPR!$E:$X,MATCH($A208,SPPR!$A:$A,0),9)),$C208*INDEX(SPPR!$E:$X,MATCH($A208,SPPR!$A:$A,0),9),""),"")</f>
        <v/>
      </c>
      <c r="M208">
        <f>IFERROR(IF(ISNUMBER(INDEX(SPPR!$E:$X,MATCH($A208,SPPR!$A:$A,0),10)),$C208*INDEX(SPPR!$E:$X,MATCH($A208,SPPR!$A:$A,0),10),""),"")</f>
        <v/>
      </c>
      <c r="N208">
        <f>IFERROR(IF(ISNUMBER(INDEX(SPPR!$E:$X,MATCH($A208,SPPR!$A:$A,0),11)),$C208*INDEX(SPPR!$E:$X,MATCH($A208,SPPR!$A:$A,0),11),""),"")</f>
        <v/>
      </c>
      <c r="O208">
        <f>IFERROR(IF(ISNUMBER(INDEX(SPPR!$E:$X,MATCH($A208,SPPR!$A:$A,0),12)),$C208*INDEX(SPPR!$E:$X,MATCH($A208,SPPR!$A:$A,0),12),""),"")</f>
        <v/>
      </c>
      <c r="P208">
        <f>IFERROR(IF(ISNUMBER(INDEX(SPPR!$E:$X,MATCH($A208,SPPR!$A:$A,0),13)),$C208*INDEX(SPPR!$E:$X,MATCH($A208,SPPR!$A:$A,0),13),""),"")</f>
        <v/>
      </c>
      <c r="Q208">
        <f>IFERROR(IF(ISNUMBER(INDEX(SPPR!$E:$X,MATCH($A208,SPPR!$A:$A,0),14)),$C208*INDEX(SPPR!$E:$X,MATCH($A208,SPPR!$A:$A,0),14),""),"")</f>
        <v/>
      </c>
      <c r="R208">
        <f>IFERROR(IF(ISNUMBER(INDEX(SPPR!$E:$X,MATCH($A208,SPPR!$A:$A,0),15)),$C208*INDEX(SPPR!$E:$X,MATCH($A208,SPPR!$A:$A,0),15),""),"")</f>
        <v/>
      </c>
      <c r="S208">
        <f>IFERROR(IF(ISNUMBER(INDEX(SPPR!$E:$X,MATCH($A208,SPPR!$A:$A,0),16)),$C208*INDEX(SPPR!$E:$X,MATCH($A208,SPPR!$A:$A,0),16),""),"")</f>
        <v/>
      </c>
      <c r="T208">
        <f>IFERROR(IF(ISNUMBER(INDEX(SPPR!$E:$X,MATCH($A208,SPPR!$A:$A,0),17)),$C208*INDEX(SPPR!$E:$X,MATCH($A208,SPPR!$A:$A,0),17),""),"")</f>
        <v/>
      </c>
      <c r="U208">
        <f>IFERROR(IF(ISNUMBER(INDEX(SPPR!$E:$X,MATCH($A208,SPPR!$A:$A,0),18)),$C208*INDEX(SPPR!$E:$X,MATCH($A208,SPPR!$A:$A,0),18),""),"")</f>
        <v/>
      </c>
      <c r="V208">
        <f>IFERROR(IF(ISNUMBER(INDEX(SPPR!$E:$X,MATCH($A208,SPPR!$A:$A,0),19)),$C208*INDEX(SPPR!$E:$X,MATCH($A208,SPPR!$A:$A,0),19),""),"")</f>
        <v/>
      </c>
      <c r="W208">
        <f>IFERROR(IF(ISNUMBER(INDEX(SPPR!$E:$X,MATCH($A208,SPPR!$A:$A,0),20)),$C208*INDEX(SPPR!$E:$X,MATCH($A208,SPPR!$A:$A,0),20),""),"")</f>
        <v/>
      </c>
    </row>
    <row r="209">
      <c r="A209" t="inlineStr">
        <is>
          <t>Bothidae</t>
        </is>
      </c>
      <c r="B209">
        <f>IFERROR(INDEX(SPPR!$D:$D,MATCH($A209,SPPR!$A:$A,0)),"")</f>
        <v/>
      </c>
      <c r="C209">
        <f>IFERROR(INDEX(Catch!$E:$BV,MATCH($A209,Catch!$A:$A,0),MATCH($B$4,Catch!$E$1:$BV$1,0)),0)</f>
        <v/>
      </c>
      <c r="D209">
        <f>IFERROR(IF(ISNUMBER(INDEX(SPPR!$E:$X,MATCH($A209,SPPR!$A:$A,0),1)),$C209*INDEX(SPPR!$E:$X,MATCH($A209,SPPR!$A:$A,0),1),""),"")</f>
        <v/>
      </c>
      <c r="E209">
        <f>IFERROR(IF(ISNUMBER(INDEX(SPPR!$E:$X,MATCH($A209,SPPR!$A:$A,0),2)),$C209*INDEX(SPPR!$E:$X,MATCH($A209,SPPR!$A:$A,0),2),""),"")</f>
        <v/>
      </c>
      <c r="F209">
        <f>IFERROR(IF(ISNUMBER(INDEX(SPPR!$E:$X,MATCH($A209,SPPR!$A:$A,0),3)),$C209*INDEX(SPPR!$E:$X,MATCH($A209,SPPR!$A:$A,0),3),""),"")</f>
        <v/>
      </c>
      <c r="G209">
        <f>IFERROR(IF(ISNUMBER(INDEX(SPPR!$E:$X,MATCH($A209,SPPR!$A:$A,0),4)),$C209*INDEX(SPPR!$E:$X,MATCH($A209,SPPR!$A:$A,0),4),""),"")</f>
        <v/>
      </c>
      <c r="H209">
        <f>IFERROR(IF(ISNUMBER(INDEX(SPPR!$E:$X,MATCH($A209,SPPR!$A:$A,0),5)),$C209*INDEX(SPPR!$E:$X,MATCH($A209,SPPR!$A:$A,0),5),""),"")</f>
        <v/>
      </c>
      <c r="I209">
        <f>IFERROR(IF(ISNUMBER(INDEX(SPPR!$E:$X,MATCH($A209,SPPR!$A:$A,0),6)),$C209*INDEX(SPPR!$E:$X,MATCH($A209,SPPR!$A:$A,0),6),""),"")</f>
        <v/>
      </c>
      <c r="J209">
        <f>IFERROR(IF(ISNUMBER(INDEX(SPPR!$E:$X,MATCH($A209,SPPR!$A:$A,0),7)),$C209*INDEX(SPPR!$E:$X,MATCH($A209,SPPR!$A:$A,0),7),""),"")</f>
        <v/>
      </c>
      <c r="K209">
        <f>IFERROR(IF(ISNUMBER(INDEX(SPPR!$E:$X,MATCH($A209,SPPR!$A:$A,0),8)),$C209*INDEX(SPPR!$E:$X,MATCH($A209,SPPR!$A:$A,0),8),""),"")</f>
        <v/>
      </c>
      <c r="L209">
        <f>IFERROR(IF(ISNUMBER(INDEX(SPPR!$E:$X,MATCH($A209,SPPR!$A:$A,0),9)),$C209*INDEX(SPPR!$E:$X,MATCH($A209,SPPR!$A:$A,0),9),""),"")</f>
        <v/>
      </c>
      <c r="M209">
        <f>IFERROR(IF(ISNUMBER(INDEX(SPPR!$E:$X,MATCH($A209,SPPR!$A:$A,0),10)),$C209*INDEX(SPPR!$E:$X,MATCH($A209,SPPR!$A:$A,0),10),""),"")</f>
        <v/>
      </c>
      <c r="N209">
        <f>IFERROR(IF(ISNUMBER(INDEX(SPPR!$E:$X,MATCH($A209,SPPR!$A:$A,0),11)),$C209*INDEX(SPPR!$E:$X,MATCH($A209,SPPR!$A:$A,0),11),""),"")</f>
        <v/>
      </c>
      <c r="O209">
        <f>IFERROR(IF(ISNUMBER(INDEX(SPPR!$E:$X,MATCH($A209,SPPR!$A:$A,0),12)),$C209*INDEX(SPPR!$E:$X,MATCH($A209,SPPR!$A:$A,0),12),""),"")</f>
        <v/>
      </c>
      <c r="P209">
        <f>IFERROR(IF(ISNUMBER(INDEX(SPPR!$E:$X,MATCH($A209,SPPR!$A:$A,0),13)),$C209*INDEX(SPPR!$E:$X,MATCH($A209,SPPR!$A:$A,0),13),""),"")</f>
        <v/>
      </c>
      <c r="Q209">
        <f>IFERROR(IF(ISNUMBER(INDEX(SPPR!$E:$X,MATCH($A209,SPPR!$A:$A,0),14)),$C209*INDEX(SPPR!$E:$X,MATCH($A209,SPPR!$A:$A,0),14),""),"")</f>
        <v/>
      </c>
      <c r="R209">
        <f>IFERROR(IF(ISNUMBER(INDEX(SPPR!$E:$X,MATCH($A209,SPPR!$A:$A,0),15)),$C209*INDEX(SPPR!$E:$X,MATCH($A209,SPPR!$A:$A,0),15),""),"")</f>
        <v/>
      </c>
      <c r="S209">
        <f>IFERROR(IF(ISNUMBER(INDEX(SPPR!$E:$X,MATCH($A209,SPPR!$A:$A,0),16)),$C209*INDEX(SPPR!$E:$X,MATCH($A209,SPPR!$A:$A,0),16),""),"")</f>
        <v/>
      </c>
      <c r="T209">
        <f>IFERROR(IF(ISNUMBER(INDEX(SPPR!$E:$X,MATCH($A209,SPPR!$A:$A,0),17)),$C209*INDEX(SPPR!$E:$X,MATCH($A209,SPPR!$A:$A,0),17),""),"")</f>
        <v/>
      </c>
      <c r="U209">
        <f>IFERROR(IF(ISNUMBER(INDEX(SPPR!$E:$X,MATCH($A209,SPPR!$A:$A,0),18)),$C209*INDEX(SPPR!$E:$X,MATCH($A209,SPPR!$A:$A,0),18),""),"")</f>
        <v/>
      </c>
      <c r="V209">
        <f>IFERROR(IF(ISNUMBER(INDEX(SPPR!$E:$X,MATCH($A209,SPPR!$A:$A,0),19)),$C209*INDEX(SPPR!$E:$X,MATCH($A209,SPPR!$A:$A,0),19),""),"")</f>
        <v/>
      </c>
      <c r="W209">
        <f>IFERROR(IF(ISNUMBER(INDEX(SPPR!$E:$X,MATCH($A209,SPPR!$A:$A,0),20)),$C209*INDEX(SPPR!$E:$X,MATCH($A209,SPPR!$A:$A,0),20),""),"")</f>
        <v/>
      </c>
    </row>
    <row r="210">
      <c r="A210" t="inlineStr">
        <is>
          <t>Monacanthidae</t>
        </is>
      </c>
      <c r="B210">
        <f>IFERROR(INDEX(SPPR!$D:$D,MATCH($A210,SPPR!$A:$A,0)),"")</f>
        <v/>
      </c>
      <c r="C210">
        <f>IFERROR(INDEX(Catch!$E:$BV,MATCH($A210,Catch!$A:$A,0),MATCH($B$4,Catch!$E$1:$BV$1,0)),0)</f>
        <v/>
      </c>
      <c r="D210">
        <f>IFERROR(IF(ISNUMBER(INDEX(SPPR!$E:$X,MATCH($A210,SPPR!$A:$A,0),1)),$C210*INDEX(SPPR!$E:$X,MATCH($A210,SPPR!$A:$A,0),1),""),"")</f>
        <v/>
      </c>
      <c r="E210">
        <f>IFERROR(IF(ISNUMBER(INDEX(SPPR!$E:$X,MATCH($A210,SPPR!$A:$A,0),2)),$C210*INDEX(SPPR!$E:$X,MATCH($A210,SPPR!$A:$A,0),2),""),"")</f>
        <v/>
      </c>
      <c r="F210">
        <f>IFERROR(IF(ISNUMBER(INDEX(SPPR!$E:$X,MATCH($A210,SPPR!$A:$A,0),3)),$C210*INDEX(SPPR!$E:$X,MATCH($A210,SPPR!$A:$A,0),3),""),"")</f>
        <v/>
      </c>
      <c r="G210">
        <f>IFERROR(IF(ISNUMBER(INDEX(SPPR!$E:$X,MATCH($A210,SPPR!$A:$A,0),4)),$C210*INDEX(SPPR!$E:$X,MATCH($A210,SPPR!$A:$A,0),4),""),"")</f>
        <v/>
      </c>
      <c r="H210">
        <f>IFERROR(IF(ISNUMBER(INDEX(SPPR!$E:$X,MATCH($A210,SPPR!$A:$A,0),5)),$C210*INDEX(SPPR!$E:$X,MATCH($A210,SPPR!$A:$A,0),5),""),"")</f>
        <v/>
      </c>
      <c r="I210">
        <f>IFERROR(IF(ISNUMBER(INDEX(SPPR!$E:$X,MATCH($A210,SPPR!$A:$A,0),6)),$C210*INDEX(SPPR!$E:$X,MATCH($A210,SPPR!$A:$A,0),6),""),"")</f>
        <v/>
      </c>
      <c r="J210">
        <f>IFERROR(IF(ISNUMBER(INDEX(SPPR!$E:$X,MATCH($A210,SPPR!$A:$A,0),7)),$C210*INDEX(SPPR!$E:$X,MATCH($A210,SPPR!$A:$A,0),7),""),"")</f>
        <v/>
      </c>
      <c r="K210">
        <f>IFERROR(IF(ISNUMBER(INDEX(SPPR!$E:$X,MATCH($A210,SPPR!$A:$A,0),8)),$C210*INDEX(SPPR!$E:$X,MATCH($A210,SPPR!$A:$A,0),8),""),"")</f>
        <v/>
      </c>
      <c r="L210">
        <f>IFERROR(IF(ISNUMBER(INDEX(SPPR!$E:$X,MATCH($A210,SPPR!$A:$A,0),9)),$C210*INDEX(SPPR!$E:$X,MATCH($A210,SPPR!$A:$A,0),9),""),"")</f>
        <v/>
      </c>
      <c r="M210">
        <f>IFERROR(IF(ISNUMBER(INDEX(SPPR!$E:$X,MATCH($A210,SPPR!$A:$A,0),10)),$C210*INDEX(SPPR!$E:$X,MATCH($A210,SPPR!$A:$A,0),10),""),"")</f>
        <v/>
      </c>
      <c r="N210">
        <f>IFERROR(IF(ISNUMBER(INDEX(SPPR!$E:$X,MATCH($A210,SPPR!$A:$A,0),11)),$C210*INDEX(SPPR!$E:$X,MATCH($A210,SPPR!$A:$A,0),11),""),"")</f>
        <v/>
      </c>
      <c r="O210">
        <f>IFERROR(IF(ISNUMBER(INDEX(SPPR!$E:$X,MATCH($A210,SPPR!$A:$A,0),12)),$C210*INDEX(SPPR!$E:$X,MATCH($A210,SPPR!$A:$A,0),12),""),"")</f>
        <v/>
      </c>
      <c r="P210">
        <f>IFERROR(IF(ISNUMBER(INDEX(SPPR!$E:$X,MATCH($A210,SPPR!$A:$A,0),13)),$C210*INDEX(SPPR!$E:$X,MATCH($A210,SPPR!$A:$A,0),13),""),"")</f>
        <v/>
      </c>
      <c r="Q210">
        <f>IFERROR(IF(ISNUMBER(INDEX(SPPR!$E:$X,MATCH($A210,SPPR!$A:$A,0),14)),$C210*INDEX(SPPR!$E:$X,MATCH($A210,SPPR!$A:$A,0),14),""),"")</f>
        <v/>
      </c>
      <c r="R210">
        <f>IFERROR(IF(ISNUMBER(INDEX(SPPR!$E:$X,MATCH($A210,SPPR!$A:$A,0),15)),$C210*INDEX(SPPR!$E:$X,MATCH($A210,SPPR!$A:$A,0),15),""),"")</f>
        <v/>
      </c>
      <c r="S210">
        <f>IFERROR(IF(ISNUMBER(INDEX(SPPR!$E:$X,MATCH($A210,SPPR!$A:$A,0),16)),$C210*INDEX(SPPR!$E:$X,MATCH($A210,SPPR!$A:$A,0),16),""),"")</f>
        <v/>
      </c>
      <c r="T210">
        <f>IFERROR(IF(ISNUMBER(INDEX(SPPR!$E:$X,MATCH($A210,SPPR!$A:$A,0),17)),$C210*INDEX(SPPR!$E:$X,MATCH($A210,SPPR!$A:$A,0),17),""),"")</f>
        <v/>
      </c>
      <c r="U210">
        <f>IFERROR(IF(ISNUMBER(INDEX(SPPR!$E:$X,MATCH($A210,SPPR!$A:$A,0),18)),$C210*INDEX(SPPR!$E:$X,MATCH($A210,SPPR!$A:$A,0),18),""),"")</f>
        <v/>
      </c>
      <c r="V210">
        <f>IFERROR(IF(ISNUMBER(INDEX(SPPR!$E:$X,MATCH($A210,SPPR!$A:$A,0),19)),$C210*INDEX(SPPR!$E:$X,MATCH($A210,SPPR!$A:$A,0),19),""),"")</f>
        <v/>
      </c>
      <c r="W210">
        <f>IFERROR(IF(ISNUMBER(INDEX(SPPR!$E:$X,MATCH($A210,SPPR!$A:$A,0),20)),$C210*INDEX(SPPR!$E:$X,MATCH($A210,SPPR!$A:$A,0),20),""),"")</f>
        <v/>
      </c>
    </row>
    <row r="211">
      <c r="A211" t="inlineStr">
        <is>
          <t>Myliobatidae</t>
        </is>
      </c>
      <c r="B211">
        <f>IFERROR(INDEX(SPPR!$D:$D,MATCH($A211,SPPR!$A:$A,0)),"")</f>
        <v/>
      </c>
      <c r="C211">
        <f>IFERROR(INDEX(Catch!$E:$BV,MATCH($A211,Catch!$A:$A,0),MATCH($B$4,Catch!$E$1:$BV$1,0)),0)</f>
        <v/>
      </c>
      <c r="D211">
        <f>IFERROR(IF(ISNUMBER(INDEX(SPPR!$E:$X,MATCH($A211,SPPR!$A:$A,0),1)),$C211*INDEX(SPPR!$E:$X,MATCH($A211,SPPR!$A:$A,0),1),""),"")</f>
        <v/>
      </c>
      <c r="E211">
        <f>IFERROR(IF(ISNUMBER(INDEX(SPPR!$E:$X,MATCH($A211,SPPR!$A:$A,0),2)),$C211*INDEX(SPPR!$E:$X,MATCH($A211,SPPR!$A:$A,0),2),""),"")</f>
        <v/>
      </c>
      <c r="F211">
        <f>IFERROR(IF(ISNUMBER(INDEX(SPPR!$E:$X,MATCH($A211,SPPR!$A:$A,0),3)),$C211*INDEX(SPPR!$E:$X,MATCH($A211,SPPR!$A:$A,0),3),""),"")</f>
        <v/>
      </c>
      <c r="G211">
        <f>IFERROR(IF(ISNUMBER(INDEX(SPPR!$E:$X,MATCH($A211,SPPR!$A:$A,0),4)),$C211*INDEX(SPPR!$E:$X,MATCH($A211,SPPR!$A:$A,0),4),""),"")</f>
        <v/>
      </c>
      <c r="H211">
        <f>IFERROR(IF(ISNUMBER(INDEX(SPPR!$E:$X,MATCH($A211,SPPR!$A:$A,0),5)),$C211*INDEX(SPPR!$E:$X,MATCH($A211,SPPR!$A:$A,0),5),""),"")</f>
        <v/>
      </c>
      <c r="I211">
        <f>IFERROR(IF(ISNUMBER(INDEX(SPPR!$E:$X,MATCH($A211,SPPR!$A:$A,0),6)),$C211*INDEX(SPPR!$E:$X,MATCH($A211,SPPR!$A:$A,0),6),""),"")</f>
        <v/>
      </c>
      <c r="J211">
        <f>IFERROR(IF(ISNUMBER(INDEX(SPPR!$E:$X,MATCH($A211,SPPR!$A:$A,0),7)),$C211*INDEX(SPPR!$E:$X,MATCH($A211,SPPR!$A:$A,0),7),""),"")</f>
        <v/>
      </c>
      <c r="K211">
        <f>IFERROR(IF(ISNUMBER(INDEX(SPPR!$E:$X,MATCH($A211,SPPR!$A:$A,0),8)),$C211*INDEX(SPPR!$E:$X,MATCH($A211,SPPR!$A:$A,0),8),""),"")</f>
        <v/>
      </c>
      <c r="L211">
        <f>IFERROR(IF(ISNUMBER(INDEX(SPPR!$E:$X,MATCH($A211,SPPR!$A:$A,0),9)),$C211*INDEX(SPPR!$E:$X,MATCH($A211,SPPR!$A:$A,0),9),""),"")</f>
        <v/>
      </c>
      <c r="M211">
        <f>IFERROR(IF(ISNUMBER(INDEX(SPPR!$E:$X,MATCH($A211,SPPR!$A:$A,0),10)),$C211*INDEX(SPPR!$E:$X,MATCH($A211,SPPR!$A:$A,0),10),""),"")</f>
        <v/>
      </c>
      <c r="N211">
        <f>IFERROR(IF(ISNUMBER(INDEX(SPPR!$E:$X,MATCH($A211,SPPR!$A:$A,0),11)),$C211*INDEX(SPPR!$E:$X,MATCH($A211,SPPR!$A:$A,0),11),""),"")</f>
        <v/>
      </c>
      <c r="O211">
        <f>IFERROR(IF(ISNUMBER(INDEX(SPPR!$E:$X,MATCH($A211,SPPR!$A:$A,0),12)),$C211*INDEX(SPPR!$E:$X,MATCH($A211,SPPR!$A:$A,0),12),""),"")</f>
        <v/>
      </c>
      <c r="P211">
        <f>IFERROR(IF(ISNUMBER(INDEX(SPPR!$E:$X,MATCH($A211,SPPR!$A:$A,0),13)),$C211*INDEX(SPPR!$E:$X,MATCH($A211,SPPR!$A:$A,0),13),""),"")</f>
        <v/>
      </c>
      <c r="Q211">
        <f>IFERROR(IF(ISNUMBER(INDEX(SPPR!$E:$X,MATCH($A211,SPPR!$A:$A,0),14)),$C211*INDEX(SPPR!$E:$X,MATCH($A211,SPPR!$A:$A,0),14),""),"")</f>
        <v/>
      </c>
      <c r="R211">
        <f>IFERROR(IF(ISNUMBER(INDEX(SPPR!$E:$X,MATCH($A211,SPPR!$A:$A,0),15)),$C211*INDEX(SPPR!$E:$X,MATCH($A211,SPPR!$A:$A,0),15),""),"")</f>
        <v/>
      </c>
      <c r="S211">
        <f>IFERROR(IF(ISNUMBER(INDEX(SPPR!$E:$X,MATCH($A211,SPPR!$A:$A,0),16)),$C211*INDEX(SPPR!$E:$X,MATCH($A211,SPPR!$A:$A,0),16),""),"")</f>
        <v/>
      </c>
      <c r="T211">
        <f>IFERROR(IF(ISNUMBER(INDEX(SPPR!$E:$X,MATCH($A211,SPPR!$A:$A,0),17)),$C211*INDEX(SPPR!$E:$X,MATCH($A211,SPPR!$A:$A,0),17),""),"")</f>
        <v/>
      </c>
      <c r="U211">
        <f>IFERROR(IF(ISNUMBER(INDEX(SPPR!$E:$X,MATCH($A211,SPPR!$A:$A,0),18)),$C211*INDEX(SPPR!$E:$X,MATCH($A211,SPPR!$A:$A,0),18),""),"")</f>
        <v/>
      </c>
      <c r="V211">
        <f>IFERROR(IF(ISNUMBER(INDEX(SPPR!$E:$X,MATCH($A211,SPPR!$A:$A,0),19)),$C211*INDEX(SPPR!$E:$X,MATCH($A211,SPPR!$A:$A,0),19),""),"")</f>
        <v/>
      </c>
      <c r="W211">
        <f>IFERROR(IF(ISNUMBER(INDEX(SPPR!$E:$X,MATCH($A211,SPPR!$A:$A,0),20)),$C211*INDEX(SPPR!$E:$X,MATCH($A211,SPPR!$A:$A,0),20),""),"")</f>
        <v/>
      </c>
    </row>
    <row r="212">
      <c r="A212" t="inlineStr">
        <is>
          <t>Auxis</t>
        </is>
      </c>
      <c r="B212">
        <f>IFERROR(INDEX(SPPR!$D:$D,MATCH($A212,SPPR!$A:$A,0)),"")</f>
        <v/>
      </c>
      <c r="C212">
        <f>IFERROR(INDEX(Catch!$E:$BV,MATCH($A212,Catch!$A:$A,0),MATCH($B$4,Catch!$E$1:$BV$1,0)),0)</f>
        <v/>
      </c>
      <c r="D212">
        <f>IFERROR(IF(ISNUMBER(INDEX(SPPR!$E:$X,MATCH($A212,SPPR!$A:$A,0),1)),$C212*INDEX(SPPR!$E:$X,MATCH($A212,SPPR!$A:$A,0),1),""),"")</f>
        <v/>
      </c>
      <c r="E212">
        <f>IFERROR(IF(ISNUMBER(INDEX(SPPR!$E:$X,MATCH($A212,SPPR!$A:$A,0),2)),$C212*INDEX(SPPR!$E:$X,MATCH($A212,SPPR!$A:$A,0),2),""),"")</f>
        <v/>
      </c>
      <c r="F212">
        <f>IFERROR(IF(ISNUMBER(INDEX(SPPR!$E:$X,MATCH($A212,SPPR!$A:$A,0),3)),$C212*INDEX(SPPR!$E:$X,MATCH($A212,SPPR!$A:$A,0),3),""),"")</f>
        <v/>
      </c>
      <c r="G212">
        <f>IFERROR(IF(ISNUMBER(INDEX(SPPR!$E:$X,MATCH($A212,SPPR!$A:$A,0),4)),$C212*INDEX(SPPR!$E:$X,MATCH($A212,SPPR!$A:$A,0),4),""),"")</f>
        <v/>
      </c>
      <c r="H212">
        <f>IFERROR(IF(ISNUMBER(INDEX(SPPR!$E:$X,MATCH($A212,SPPR!$A:$A,0),5)),$C212*INDEX(SPPR!$E:$X,MATCH($A212,SPPR!$A:$A,0),5),""),"")</f>
        <v/>
      </c>
      <c r="I212">
        <f>IFERROR(IF(ISNUMBER(INDEX(SPPR!$E:$X,MATCH($A212,SPPR!$A:$A,0),6)),$C212*INDEX(SPPR!$E:$X,MATCH($A212,SPPR!$A:$A,0),6),""),"")</f>
        <v/>
      </c>
      <c r="J212">
        <f>IFERROR(IF(ISNUMBER(INDEX(SPPR!$E:$X,MATCH($A212,SPPR!$A:$A,0),7)),$C212*INDEX(SPPR!$E:$X,MATCH($A212,SPPR!$A:$A,0),7),""),"")</f>
        <v/>
      </c>
      <c r="K212">
        <f>IFERROR(IF(ISNUMBER(INDEX(SPPR!$E:$X,MATCH($A212,SPPR!$A:$A,0),8)),$C212*INDEX(SPPR!$E:$X,MATCH($A212,SPPR!$A:$A,0),8),""),"")</f>
        <v/>
      </c>
      <c r="L212">
        <f>IFERROR(IF(ISNUMBER(INDEX(SPPR!$E:$X,MATCH($A212,SPPR!$A:$A,0),9)),$C212*INDEX(SPPR!$E:$X,MATCH($A212,SPPR!$A:$A,0),9),""),"")</f>
        <v/>
      </c>
      <c r="M212">
        <f>IFERROR(IF(ISNUMBER(INDEX(SPPR!$E:$X,MATCH($A212,SPPR!$A:$A,0),10)),$C212*INDEX(SPPR!$E:$X,MATCH($A212,SPPR!$A:$A,0),10),""),"")</f>
        <v/>
      </c>
      <c r="N212">
        <f>IFERROR(IF(ISNUMBER(INDEX(SPPR!$E:$X,MATCH($A212,SPPR!$A:$A,0),11)),$C212*INDEX(SPPR!$E:$X,MATCH($A212,SPPR!$A:$A,0),11),""),"")</f>
        <v/>
      </c>
      <c r="O212">
        <f>IFERROR(IF(ISNUMBER(INDEX(SPPR!$E:$X,MATCH($A212,SPPR!$A:$A,0),12)),$C212*INDEX(SPPR!$E:$X,MATCH($A212,SPPR!$A:$A,0),12),""),"")</f>
        <v/>
      </c>
      <c r="P212">
        <f>IFERROR(IF(ISNUMBER(INDEX(SPPR!$E:$X,MATCH($A212,SPPR!$A:$A,0),13)),$C212*INDEX(SPPR!$E:$X,MATCH($A212,SPPR!$A:$A,0),13),""),"")</f>
        <v/>
      </c>
      <c r="Q212">
        <f>IFERROR(IF(ISNUMBER(INDEX(SPPR!$E:$X,MATCH($A212,SPPR!$A:$A,0),14)),$C212*INDEX(SPPR!$E:$X,MATCH($A212,SPPR!$A:$A,0),14),""),"")</f>
        <v/>
      </c>
      <c r="R212">
        <f>IFERROR(IF(ISNUMBER(INDEX(SPPR!$E:$X,MATCH($A212,SPPR!$A:$A,0),15)),$C212*INDEX(SPPR!$E:$X,MATCH($A212,SPPR!$A:$A,0),15),""),"")</f>
        <v/>
      </c>
      <c r="S212">
        <f>IFERROR(IF(ISNUMBER(INDEX(SPPR!$E:$X,MATCH($A212,SPPR!$A:$A,0),16)),$C212*INDEX(SPPR!$E:$X,MATCH($A212,SPPR!$A:$A,0),16),""),"")</f>
        <v/>
      </c>
      <c r="T212">
        <f>IFERROR(IF(ISNUMBER(INDEX(SPPR!$E:$X,MATCH($A212,SPPR!$A:$A,0),17)),$C212*INDEX(SPPR!$E:$X,MATCH($A212,SPPR!$A:$A,0),17),""),"")</f>
        <v/>
      </c>
      <c r="U212">
        <f>IFERROR(IF(ISNUMBER(INDEX(SPPR!$E:$X,MATCH($A212,SPPR!$A:$A,0),18)),$C212*INDEX(SPPR!$E:$X,MATCH($A212,SPPR!$A:$A,0),18),""),"")</f>
        <v/>
      </c>
      <c r="V212">
        <f>IFERROR(IF(ISNUMBER(INDEX(SPPR!$E:$X,MATCH($A212,SPPR!$A:$A,0),19)),$C212*INDEX(SPPR!$E:$X,MATCH($A212,SPPR!$A:$A,0),19),""),"")</f>
        <v/>
      </c>
      <c r="W212">
        <f>IFERROR(IF(ISNUMBER(INDEX(SPPR!$E:$X,MATCH($A212,SPPR!$A:$A,0),20)),$C212*INDEX(SPPR!$E:$X,MATCH($A212,SPPR!$A:$A,0),20),""),"")</f>
        <v/>
      </c>
    </row>
    <row r="213">
      <c r="A213" t="inlineStr">
        <is>
          <t>Actinopterygii</t>
        </is>
      </c>
      <c r="B213">
        <f>IFERROR(INDEX(SPPR!$D:$D,MATCH($A213,SPPR!$A:$A,0)),"")</f>
        <v/>
      </c>
      <c r="C213">
        <f>IFERROR(INDEX(Catch!$E:$BV,MATCH($A213,Catch!$A:$A,0),MATCH($B$4,Catch!$E$1:$BV$1,0)),0)</f>
        <v/>
      </c>
      <c r="D213">
        <f>IFERROR(IF(ISNUMBER(INDEX(SPPR!$E:$X,MATCH($A213,SPPR!$A:$A,0),1)),$C213*INDEX(SPPR!$E:$X,MATCH($A213,SPPR!$A:$A,0),1),""),"")</f>
        <v/>
      </c>
      <c r="E213">
        <f>IFERROR(IF(ISNUMBER(INDEX(SPPR!$E:$X,MATCH($A213,SPPR!$A:$A,0),2)),$C213*INDEX(SPPR!$E:$X,MATCH($A213,SPPR!$A:$A,0),2),""),"")</f>
        <v/>
      </c>
      <c r="F213">
        <f>IFERROR(IF(ISNUMBER(INDEX(SPPR!$E:$X,MATCH($A213,SPPR!$A:$A,0),3)),$C213*INDEX(SPPR!$E:$X,MATCH($A213,SPPR!$A:$A,0),3),""),"")</f>
        <v/>
      </c>
      <c r="G213">
        <f>IFERROR(IF(ISNUMBER(INDEX(SPPR!$E:$X,MATCH($A213,SPPR!$A:$A,0),4)),$C213*INDEX(SPPR!$E:$X,MATCH($A213,SPPR!$A:$A,0),4),""),"")</f>
        <v/>
      </c>
      <c r="H213">
        <f>IFERROR(IF(ISNUMBER(INDEX(SPPR!$E:$X,MATCH($A213,SPPR!$A:$A,0),5)),$C213*INDEX(SPPR!$E:$X,MATCH($A213,SPPR!$A:$A,0),5),""),"")</f>
        <v/>
      </c>
      <c r="I213">
        <f>IFERROR(IF(ISNUMBER(INDEX(SPPR!$E:$X,MATCH($A213,SPPR!$A:$A,0),6)),$C213*INDEX(SPPR!$E:$X,MATCH($A213,SPPR!$A:$A,0),6),""),"")</f>
        <v/>
      </c>
      <c r="J213">
        <f>IFERROR(IF(ISNUMBER(INDEX(SPPR!$E:$X,MATCH($A213,SPPR!$A:$A,0),7)),$C213*INDEX(SPPR!$E:$X,MATCH($A213,SPPR!$A:$A,0),7),""),"")</f>
        <v/>
      </c>
      <c r="K213">
        <f>IFERROR(IF(ISNUMBER(INDEX(SPPR!$E:$X,MATCH($A213,SPPR!$A:$A,0),8)),$C213*INDEX(SPPR!$E:$X,MATCH($A213,SPPR!$A:$A,0),8),""),"")</f>
        <v/>
      </c>
      <c r="L213">
        <f>IFERROR(IF(ISNUMBER(INDEX(SPPR!$E:$X,MATCH($A213,SPPR!$A:$A,0),9)),$C213*INDEX(SPPR!$E:$X,MATCH($A213,SPPR!$A:$A,0),9),""),"")</f>
        <v/>
      </c>
      <c r="M213">
        <f>IFERROR(IF(ISNUMBER(INDEX(SPPR!$E:$X,MATCH($A213,SPPR!$A:$A,0),10)),$C213*INDEX(SPPR!$E:$X,MATCH($A213,SPPR!$A:$A,0),10),""),"")</f>
        <v/>
      </c>
      <c r="N213">
        <f>IFERROR(IF(ISNUMBER(INDEX(SPPR!$E:$X,MATCH($A213,SPPR!$A:$A,0),11)),$C213*INDEX(SPPR!$E:$X,MATCH($A213,SPPR!$A:$A,0),11),""),"")</f>
        <v/>
      </c>
      <c r="O213">
        <f>IFERROR(IF(ISNUMBER(INDEX(SPPR!$E:$X,MATCH($A213,SPPR!$A:$A,0),12)),$C213*INDEX(SPPR!$E:$X,MATCH($A213,SPPR!$A:$A,0),12),""),"")</f>
        <v/>
      </c>
      <c r="P213">
        <f>IFERROR(IF(ISNUMBER(INDEX(SPPR!$E:$X,MATCH($A213,SPPR!$A:$A,0),13)),$C213*INDEX(SPPR!$E:$X,MATCH($A213,SPPR!$A:$A,0),13),""),"")</f>
        <v/>
      </c>
      <c r="Q213">
        <f>IFERROR(IF(ISNUMBER(INDEX(SPPR!$E:$X,MATCH($A213,SPPR!$A:$A,0),14)),$C213*INDEX(SPPR!$E:$X,MATCH($A213,SPPR!$A:$A,0),14),""),"")</f>
        <v/>
      </c>
      <c r="R213">
        <f>IFERROR(IF(ISNUMBER(INDEX(SPPR!$E:$X,MATCH($A213,SPPR!$A:$A,0),15)),$C213*INDEX(SPPR!$E:$X,MATCH($A213,SPPR!$A:$A,0),15),""),"")</f>
        <v/>
      </c>
      <c r="S213">
        <f>IFERROR(IF(ISNUMBER(INDEX(SPPR!$E:$X,MATCH($A213,SPPR!$A:$A,0),16)),$C213*INDEX(SPPR!$E:$X,MATCH($A213,SPPR!$A:$A,0),16),""),"")</f>
        <v/>
      </c>
      <c r="T213">
        <f>IFERROR(IF(ISNUMBER(INDEX(SPPR!$E:$X,MATCH($A213,SPPR!$A:$A,0),17)),$C213*INDEX(SPPR!$E:$X,MATCH($A213,SPPR!$A:$A,0),17),""),"")</f>
        <v/>
      </c>
      <c r="U213">
        <f>IFERROR(IF(ISNUMBER(INDEX(SPPR!$E:$X,MATCH($A213,SPPR!$A:$A,0),18)),$C213*INDEX(SPPR!$E:$X,MATCH($A213,SPPR!$A:$A,0),18),""),"")</f>
        <v/>
      </c>
      <c r="V213">
        <f>IFERROR(IF(ISNUMBER(INDEX(SPPR!$E:$X,MATCH($A213,SPPR!$A:$A,0),19)),$C213*INDEX(SPPR!$E:$X,MATCH($A213,SPPR!$A:$A,0),19),""),"")</f>
        <v/>
      </c>
      <c r="W213">
        <f>IFERROR(IF(ISNUMBER(INDEX(SPPR!$E:$X,MATCH($A213,SPPR!$A:$A,0),20)),$C213*INDEX(SPPR!$E:$X,MATCH($A213,SPPR!$A:$A,0),20),""),"")</f>
        <v/>
      </c>
    </row>
    <row r="214">
      <c r="A214" t="inlineStr">
        <is>
          <t>Parapsettus panamensis</t>
        </is>
      </c>
      <c r="B214">
        <f>IFERROR(INDEX(SPPR!$D:$D,MATCH($A214,SPPR!$A:$A,0)),"")</f>
        <v/>
      </c>
      <c r="C214">
        <f>IFERROR(INDEX(Catch!$E:$BV,MATCH($A214,Catch!$A:$A,0),MATCH($B$4,Catch!$E$1:$BV$1,0)),0)</f>
        <v/>
      </c>
      <c r="D214">
        <f>IFERROR(IF(ISNUMBER(INDEX(SPPR!$E:$X,MATCH($A214,SPPR!$A:$A,0),1)),$C214*INDEX(SPPR!$E:$X,MATCH($A214,SPPR!$A:$A,0),1),""),"")</f>
        <v/>
      </c>
      <c r="E214">
        <f>IFERROR(IF(ISNUMBER(INDEX(SPPR!$E:$X,MATCH($A214,SPPR!$A:$A,0),2)),$C214*INDEX(SPPR!$E:$X,MATCH($A214,SPPR!$A:$A,0),2),""),"")</f>
        <v/>
      </c>
      <c r="F214">
        <f>IFERROR(IF(ISNUMBER(INDEX(SPPR!$E:$X,MATCH($A214,SPPR!$A:$A,0),3)),$C214*INDEX(SPPR!$E:$X,MATCH($A214,SPPR!$A:$A,0),3),""),"")</f>
        <v/>
      </c>
      <c r="G214">
        <f>IFERROR(IF(ISNUMBER(INDEX(SPPR!$E:$X,MATCH($A214,SPPR!$A:$A,0),4)),$C214*INDEX(SPPR!$E:$X,MATCH($A214,SPPR!$A:$A,0),4),""),"")</f>
        <v/>
      </c>
      <c r="H214">
        <f>IFERROR(IF(ISNUMBER(INDEX(SPPR!$E:$X,MATCH($A214,SPPR!$A:$A,0),5)),$C214*INDEX(SPPR!$E:$X,MATCH($A214,SPPR!$A:$A,0),5),""),"")</f>
        <v/>
      </c>
      <c r="I214">
        <f>IFERROR(IF(ISNUMBER(INDEX(SPPR!$E:$X,MATCH($A214,SPPR!$A:$A,0),6)),$C214*INDEX(SPPR!$E:$X,MATCH($A214,SPPR!$A:$A,0),6),""),"")</f>
        <v/>
      </c>
      <c r="J214">
        <f>IFERROR(IF(ISNUMBER(INDEX(SPPR!$E:$X,MATCH($A214,SPPR!$A:$A,0),7)),$C214*INDEX(SPPR!$E:$X,MATCH($A214,SPPR!$A:$A,0),7),""),"")</f>
        <v/>
      </c>
      <c r="K214">
        <f>IFERROR(IF(ISNUMBER(INDEX(SPPR!$E:$X,MATCH($A214,SPPR!$A:$A,0),8)),$C214*INDEX(SPPR!$E:$X,MATCH($A214,SPPR!$A:$A,0),8),""),"")</f>
        <v/>
      </c>
      <c r="L214">
        <f>IFERROR(IF(ISNUMBER(INDEX(SPPR!$E:$X,MATCH($A214,SPPR!$A:$A,0),9)),$C214*INDEX(SPPR!$E:$X,MATCH($A214,SPPR!$A:$A,0),9),""),"")</f>
        <v/>
      </c>
      <c r="M214">
        <f>IFERROR(IF(ISNUMBER(INDEX(SPPR!$E:$X,MATCH($A214,SPPR!$A:$A,0),10)),$C214*INDEX(SPPR!$E:$X,MATCH($A214,SPPR!$A:$A,0),10),""),"")</f>
        <v/>
      </c>
      <c r="N214">
        <f>IFERROR(IF(ISNUMBER(INDEX(SPPR!$E:$X,MATCH($A214,SPPR!$A:$A,0),11)),$C214*INDEX(SPPR!$E:$X,MATCH($A214,SPPR!$A:$A,0),11),""),"")</f>
        <v/>
      </c>
      <c r="O214">
        <f>IFERROR(IF(ISNUMBER(INDEX(SPPR!$E:$X,MATCH($A214,SPPR!$A:$A,0),12)),$C214*INDEX(SPPR!$E:$X,MATCH($A214,SPPR!$A:$A,0),12),""),"")</f>
        <v/>
      </c>
      <c r="P214">
        <f>IFERROR(IF(ISNUMBER(INDEX(SPPR!$E:$X,MATCH($A214,SPPR!$A:$A,0),13)),$C214*INDEX(SPPR!$E:$X,MATCH($A214,SPPR!$A:$A,0),13),""),"")</f>
        <v/>
      </c>
      <c r="Q214">
        <f>IFERROR(IF(ISNUMBER(INDEX(SPPR!$E:$X,MATCH($A214,SPPR!$A:$A,0),14)),$C214*INDEX(SPPR!$E:$X,MATCH($A214,SPPR!$A:$A,0),14),""),"")</f>
        <v/>
      </c>
      <c r="R214">
        <f>IFERROR(IF(ISNUMBER(INDEX(SPPR!$E:$X,MATCH($A214,SPPR!$A:$A,0),15)),$C214*INDEX(SPPR!$E:$X,MATCH($A214,SPPR!$A:$A,0),15),""),"")</f>
        <v/>
      </c>
      <c r="S214">
        <f>IFERROR(IF(ISNUMBER(INDEX(SPPR!$E:$X,MATCH($A214,SPPR!$A:$A,0),16)),$C214*INDEX(SPPR!$E:$X,MATCH($A214,SPPR!$A:$A,0),16),""),"")</f>
        <v/>
      </c>
      <c r="T214">
        <f>IFERROR(IF(ISNUMBER(INDEX(SPPR!$E:$X,MATCH($A214,SPPR!$A:$A,0),17)),$C214*INDEX(SPPR!$E:$X,MATCH($A214,SPPR!$A:$A,0),17),""),"")</f>
        <v/>
      </c>
      <c r="U214">
        <f>IFERROR(IF(ISNUMBER(INDEX(SPPR!$E:$X,MATCH($A214,SPPR!$A:$A,0),18)),$C214*INDEX(SPPR!$E:$X,MATCH($A214,SPPR!$A:$A,0),18),""),"")</f>
        <v/>
      </c>
      <c r="V214">
        <f>IFERROR(IF(ISNUMBER(INDEX(SPPR!$E:$X,MATCH($A214,SPPR!$A:$A,0),19)),$C214*INDEX(SPPR!$E:$X,MATCH($A214,SPPR!$A:$A,0),19),""),"")</f>
        <v/>
      </c>
      <c r="W214">
        <f>IFERROR(IF(ISNUMBER(INDEX(SPPR!$E:$X,MATCH($A214,SPPR!$A:$A,0),20)),$C214*INDEX(SPPR!$E:$X,MATCH($A214,SPPR!$A:$A,0),20),""),"")</f>
        <v/>
      </c>
    </row>
    <row r="215">
      <c r="A215" t="inlineStr">
        <is>
          <t>Deania calceus</t>
        </is>
      </c>
      <c r="B215">
        <f>IFERROR(INDEX(SPPR!$D:$D,MATCH($A215,SPPR!$A:$A,0)),"")</f>
        <v/>
      </c>
      <c r="C215">
        <f>IFERROR(INDEX(Catch!$E:$BV,MATCH($A215,Catch!$A:$A,0),MATCH($B$4,Catch!$E$1:$BV$1,0)),0)</f>
        <v/>
      </c>
      <c r="D215">
        <f>IFERROR(IF(ISNUMBER(INDEX(SPPR!$E:$X,MATCH($A215,SPPR!$A:$A,0),1)),$C215*INDEX(SPPR!$E:$X,MATCH($A215,SPPR!$A:$A,0),1),""),"")</f>
        <v/>
      </c>
      <c r="E215">
        <f>IFERROR(IF(ISNUMBER(INDEX(SPPR!$E:$X,MATCH($A215,SPPR!$A:$A,0),2)),$C215*INDEX(SPPR!$E:$X,MATCH($A215,SPPR!$A:$A,0),2),""),"")</f>
        <v/>
      </c>
      <c r="F215">
        <f>IFERROR(IF(ISNUMBER(INDEX(SPPR!$E:$X,MATCH($A215,SPPR!$A:$A,0),3)),$C215*INDEX(SPPR!$E:$X,MATCH($A215,SPPR!$A:$A,0),3),""),"")</f>
        <v/>
      </c>
      <c r="G215">
        <f>IFERROR(IF(ISNUMBER(INDEX(SPPR!$E:$X,MATCH($A215,SPPR!$A:$A,0),4)),$C215*INDEX(SPPR!$E:$X,MATCH($A215,SPPR!$A:$A,0),4),""),"")</f>
        <v/>
      </c>
      <c r="H215">
        <f>IFERROR(IF(ISNUMBER(INDEX(SPPR!$E:$X,MATCH($A215,SPPR!$A:$A,0),5)),$C215*INDEX(SPPR!$E:$X,MATCH($A215,SPPR!$A:$A,0),5),""),"")</f>
        <v/>
      </c>
      <c r="I215">
        <f>IFERROR(IF(ISNUMBER(INDEX(SPPR!$E:$X,MATCH($A215,SPPR!$A:$A,0),6)),$C215*INDEX(SPPR!$E:$X,MATCH($A215,SPPR!$A:$A,0),6),""),"")</f>
        <v/>
      </c>
      <c r="J215">
        <f>IFERROR(IF(ISNUMBER(INDEX(SPPR!$E:$X,MATCH($A215,SPPR!$A:$A,0),7)),$C215*INDEX(SPPR!$E:$X,MATCH($A215,SPPR!$A:$A,0),7),""),"")</f>
        <v/>
      </c>
      <c r="K215">
        <f>IFERROR(IF(ISNUMBER(INDEX(SPPR!$E:$X,MATCH($A215,SPPR!$A:$A,0),8)),$C215*INDEX(SPPR!$E:$X,MATCH($A215,SPPR!$A:$A,0),8),""),"")</f>
        <v/>
      </c>
      <c r="L215">
        <f>IFERROR(IF(ISNUMBER(INDEX(SPPR!$E:$X,MATCH($A215,SPPR!$A:$A,0),9)),$C215*INDEX(SPPR!$E:$X,MATCH($A215,SPPR!$A:$A,0),9),""),"")</f>
        <v/>
      </c>
      <c r="M215">
        <f>IFERROR(IF(ISNUMBER(INDEX(SPPR!$E:$X,MATCH($A215,SPPR!$A:$A,0),10)),$C215*INDEX(SPPR!$E:$X,MATCH($A215,SPPR!$A:$A,0),10),""),"")</f>
        <v/>
      </c>
      <c r="N215">
        <f>IFERROR(IF(ISNUMBER(INDEX(SPPR!$E:$X,MATCH($A215,SPPR!$A:$A,0),11)),$C215*INDEX(SPPR!$E:$X,MATCH($A215,SPPR!$A:$A,0),11),""),"")</f>
        <v/>
      </c>
      <c r="O215">
        <f>IFERROR(IF(ISNUMBER(INDEX(SPPR!$E:$X,MATCH($A215,SPPR!$A:$A,0),12)),$C215*INDEX(SPPR!$E:$X,MATCH($A215,SPPR!$A:$A,0),12),""),"")</f>
        <v/>
      </c>
      <c r="P215">
        <f>IFERROR(IF(ISNUMBER(INDEX(SPPR!$E:$X,MATCH($A215,SPPR!$A:$A,0),13)),$C215*INDEX(SPPR!$E:$X,MATCH($A215,SPPR!$A:$A,0),13),""),"")</f>
        <v/>
      </c>
      <c r="Q215">
        <f>IFERROR(IF(ISNUMBER(INDEX(SPPR!$E:$X,MATCH($A215,SPPR!$A:$A,0),14)),$C215*INDEX(SPPR!$E:$X,MATCH($A215,SPPR!$A:$A,0),14),""),"")</f>
        <v/>
      </c>
      <c r="R215">
        <f>IFERROR(IF(ISNUMBER(INDEX(SPPR!$E:$X,MATCH($A215,SPPR!$A:$A,0),15)),$C215*INDEX(SPPR!$E:$X,MATCH($A215,SPPR!$A:$A,0),15),""),"")</f>
        <v/>
      </c>
      <c r="S215">
        <f>IFERROR(IF(ISNUMBER(INDEX(SPPR!$E:$X,MATCH($A215,SPPR!$A:$A,0),16)),$C215*INDEX(SPPR!$E:$X,MATCH($A215,SPPR!$A:$A,0),16),""),"")</f>
        <v/>
      </c>
      <c r="T215">
        <f>IFERROR(IF(ISNUMBER(INDEX(SPPR!$E:$X,MATCH($A215,SPPR!$A:$A,0),17)),$C215*INDEX(SPPR!$E:$X,MATCH($A215,SPPR!$A:$A,0),17),""),"")</f>
        <v/>
      </c>
      <c r="U215">
        <f>IFERROR(IF(ISNUMBER(INDEX(SPPR!$E:$X,MATCH($A215,SPPR!$A:$A,0),18)),$C215*INDEX(SPPR!$E:$X,MATCH($A215,SPPR!$A:$A,0),18),""),"")</f>
        <v/>
      </c>
      <c r="V215">
        <f>IFERROR(IF(ISNUMBER(INDEX(SPPR!$E:$X,MATCH($A215,SPPR!$A:$A,0),19)),$C215*INDEX(SPPR!$E:$X,MATCH($A215,SPPR!$A:$A,0),19),""),"")</f>
        <v/>
      </c>
      <c r="W215">
        <f>IFERROR(IF(ISNUMBER(INDEX(SPPR!$E:$X,MATCH($A215,SPPR!$A:$A,0),20)),$C215*INDEX(SPPR!$E:$X,MATCH($A215,SPPR!$A:$A,0),20),""),"")</f>
        <v/>
      </c>
    </row>
    <row r="216">
      <c r="A216" t="inlineStr">
        <is>
          <t>Acanthocybium solandri</t>
        </is>
      </c>
      <c r="B216">
        <f>IFERROR(INDEX(SPPR!$D:$D,MATCH($A216,SPPR!$A:$A,0)),"")</f>
        <v/>
      </c>
      <c r="C216">
        <f>IFERROR(INDEX(Catch!$E:$BV,MATCH($A216,Catch!$A:$A,0),MATCH($B$4,Catch!$E$1:$BV$1,0)),0)</f>
        <v/>
      </c>
      <c r="D216">
        <f>IFERROR(IF(ISNUMBER(INDEX(SPPR!$E:$X,MATCH($A216,SPPR!$A:$A,0),1)),$C216*INDEX(SPPR!$E:$X,MATCH($A216,SPPR!$A:$A,0),1),""),"")</f>
        <v/>
      </c>
      <c r="E216">
        <f>IFERROR(IF(ISNUMBER(INDEX(SPPR!$E:$X,MATCH($A216,SPPR!$A:$A,0),2)),$C216*INDEX(SPPR!$E:$X,MATCH($A216,SPPR!$A:$A,0),2),""),"")</f>
        <v/>
      </c>
      <c r="F216">
        <f>IFERROR(IF(ISNUMBER(INDEX(SPPR!$E:$X,MATCH($A216,SPPR!$A:$A,0),3)),$C216*INDEX(SPPR!$E:$X,MATCH($A216,SPPR!$A:$A,0),3),""),"")</f>
        <v/>
      </c>
      <c r="G216">
        <f>IFERROR(IF(ISNUMBER(INDEX(SPPR!$E:$X,MATCH($A216,SPPR!$A:$A,0),4)),$C216*INDEX(SPPR!$E:$X,MATCH($A216,SPPR!$A:$A,0),4),""),"")</f>
        <v/>
      </c>
      <c r="H216">
        <f>IFERROR(IF(ISNUMBER(INDEX(SPPR!$E:$X,MATCH($A216,SPPR!$A:$A,0),5)),$C216*INDEX(SPPR!$E:$X,MATCH($A216,SPPR!$A:$A,0),5),""),"")</f>
        <v/>
      </c>
      <c r="I216">
        <f>IFERROR(IF(ISNUMBER(INDEX(SPPR!$E:$X,MATCH($A216,SPPR!$A:$A,0),6)),$C216*INDEX(SPPR!$E:$X,MATCH($A216,SPPR!$A:$A,0),6),""),"")</f>
        <v/>
      </c>
      <c r="J216">
        <f>IFERROR(IF(ISNUMBER(INDEX(SPPR!$E:$X,MATCH($A216,SPPR!$A:$A,0),7)),$C216*INDEX(SPPR!$E:$X,MATCH($A216,SPPR!$A:$A,0),7),""),"")</f>
        <v/>
      </c>
      <c r="K216">
        <f>IFERROR(IF(ISNUMBER(INDEX(SPPR!$E:$X,MATCH($A216,SPPR!$A:$A,0),8)),$C216*INDEX(SPPR!$E:$X,MATCH($A216,SPPR!$A:$A,0),8),""),"")</f>
        <v/>
      </c>
      <c r="L216">
        <f>IFERROR(IF(ISNUMBER(INDEX(SPPR!$E:$X,MATCH($A216,SPPR!$A:$A,0),9)),$C216*INDEX(SPPR!$E:$X,MATCH($A216,SPPR!$A:$A,0),9),""),"")</f>
        <v/>
      </c>
      <c r="M216">
        <f>IFERROR(IF(ISNUMBER(INDEX(SPPR!$E:$X,MATCH($A216,SPPR!$A:$A,0),10)),$C216*INDEX(SPPR!$E:$X,MATCH($A216,SPPR!$A:$A,0),10),""),"")</f>
        <v/>
      </c>
      <c r="N216">
        <f>IFERROR(IF(ISNUMBER(INDEX(SPPR!$E:$X,MATCH($A216,SPPR!$A:$A,0),11)),$C216*INDEX(SPPR!$E:$X,MATCH($A216,SPPR!$A:$A,0),11),""),"")</f>
        <v/>
      </c>
      <c r="O216">
        <f>IFERROR(IF(ISNUMBER(INDEX(SPPR!$E:$X,MATCH($A216,SPPR!$A:$A,0),12)),$C216*INDEX(SPPR!$E:$X,MATCH($A216,SPPR!$A:$A,0),12),""),"")</f>
        <v/>
      </c>
      <c r="P216">
        <f>IFERROR(IF(ISNUMBER(INDEX(SPPR!$E:$X,MATCH($A216,SPPR!$A:$A,0),13)),$C216*INDEX(SPPR!$E:$X,MATCH($A216,SPPR!$A:$A,0),13),""),"")</f>
        <v/>
      </c>
      <c r="Q216">
        <f>IFERROR(IF(ISNUMBER(INDEX(SPPR!$E:$X,MATCH($A216,SPPR!$A:$A,0),14)),$C216*INDEX(SPPR!$E:$X,MATCH($A216,SPPR!$A:$A,0),14),""),"")</f>
        <v/>
      </c>
      <c r="R216">
        <f>IFERROR(IF(ISNUMBER(INDEX(SPPR!$E:$X,MATCH($A216,SPPR!$A:$A,0),15)),$C216*INDEX(SPPR!$E:$X,MATCH($A216,SPPR!$A:$A,0),15),""),"")</f>
        <v/>
      </c>
      <c r="S216">
        <f>IFERROR(IF(ISNUMBER(INDEX(SPPR!$E:$X,MATCH($A216,SPPR!$A:$A,0),16)),$C216*INDEX(SPPR!$E:$X,MATCH($A216,SPPR!$A:$A,0),16),""),"")</f>
        <v/>
      </c>
      <c r="T216">
        <f>IFERROR(IF(ISNUMBER(INDEX(SPPR!$E:$X,MATCH($A216,SPPR!$A:$A,0),17)),$C216*INDEX(SPPR!$E:$X,MATCH($A216,SPPR!$A:$A,0),17),""),"")</f>
        <v/>
      </c>
      <c r="U216">
        <f>IFERROR(IF(ISNUMBER(INDEX(SPPR!$E:$X,MATCH($A216,SPPR!$A:$A,0),18)),$C216*INDEX(SPPR!$E:$X,MATCH($A216,SPPR!$A:$A,0),18),""),"")</f>
        <v/>
      </c>
      <c r="V216">
        <f>IFERROR(IF(ISNUMBER(INDEX(SPPR!$E:$X,MATCH($A216,SPPR!$A:$A,0),19)),$C216*INDEX(SPPR!$E:$X,MATCH($A216,SPPR!$A:$A,0),19),""),"")</f>
        <v/>
      </c>
      <c r="W216">
        <f>IFERROR(IF(ISNUMBER(INDEX(SPPR!$E:$X,MATCH($A216,SPPR!$A:$A,0),20)),$C216*INDEX(SPPR!$E:$X,MATCH($A216,SPPR!$A:$A,0),20),""),"")</f>
        <v/>
      </c>
    </row>
    <row r="217">
      <c r="A217" t="inlineStr">
        <is>
          <t>Macrouridae</t>
        </is>
      </c>
      <c r="B217">
        <f>IFERROR(INDEX(SPPR!$D:$D,MATCH($A217,SPPR!$A:$A,0)),"")</f>
        <v/>
      </c>
      <c r="C217">
        <f>IFERROR(INDEX(Catch!$E:$BV,MATCH($A217,Catch!$A:$A,0),MATCH($B$4,Catch!$E$1:$BV$1,0)),0)</f>
        <v/>
      </c>
      <c r="D217">
        <f>IFERROR(IF(ISNUMBER(INDEX(SPPR!$E:$X,MATCH($A217,SPPR!$A:$A,0),1)),$C217*INDEX(SPPR!$E:$X,MATCH($A217,SPPR!$A:$A,0),1),""),"")</f>
        <v/>
      </c>
      <c r="E217">
        <f>IFERROR(IF(ISNUMBER(INDEX(SPPR!$E:$X,MATCH($A217,SPPR!$A:$A,0),2)),$C217*INDEX(SPPR!$E:$X,MATCH($A217,SPPR!$A:$A,0),2),""),"")</f>
        <v/>
      </c>
      <c r="F217">
        <f>IFERROR(IF(ISNUMBER(INDEX(SPPR!$E:$X,MATCH($A217,SPPR!$A:$A,0),3)),$C217*INDEX(SPPR!$E:$X,MATCH($A217,SPPR!$A:$A,0),3),""),"")</f>
        <v/>
      </c>
      <c r="G217">
        <f>IFERROR(IF(ISNUMBER(INDEX(SPPR!$E:$X,MATCH($A217,SPPR!$A:$A,0),4)),$C217*INDEX(SPPR!$E:$X,MATCH($A217,SPPR!$A:$A,0),4),""),"")</f>
        <v/>
      </c>
      <c r="H217">
        <f>IFERROR(IF(ISNUMBER(INDEX(SPPR!$E:$X,MATCH($A217,SPPR!$A:$A,0),5)),$C217*INDEX(SPPR!$E:$X,MATCH($A217,SPPR!$A:$A,0),5),""),"")</f>
        <v/>
      </c>
      <c r="I217">
        <f>IFERROR(IF(ISNUMBER(INDEX(SPPR!$E:$X,MATCH($A217,SPPR!$A:$A,0),6)),$C217*INDEX(SPPR!$E:$X,MATCH($A217,SPPR!$A:$A,0),6),""),"")</f>
        <v/>
      </c>
      <c r="J217">
        <f>IFERROR(IF(ISNUMBER(INDEX(SPPR!$E:$X,MATCH($A217,SPPR!$A:$A,0),7)),$C217*INDEX(SPPR!$E:$X,MATCH($A217,SPPR!$A:$A,0),7),""),"")</f>
        <v/>
      </c>
      <c r="K217">
        <f>IFERROR(IF(ISNUMBER(INDEX(SPPR!$E:$X,MATCH($A217,SPPR!$A:$A,0),8)),$C217*INDEX(SPPR!$E:$X,MATCH($A217,SPPR!$A:$A,0),8),""),"")</f>
        <v/>
      </c>
      <c r="L217">
        <f>IFERROR(IF(ISNUMBER(INDEX(SPPR!$E:$X,MATCH($A217,SPPR!$A:$A,0),9)),$C217*INDEX(SPPR!$E:$X,MATCH($A217,SPPR!$A:$A,0),9),""),"")</f>
        <v/>
      </c>
      <c r="M217">
        <f>IFERROR(IF(ISNUMBER(INDEX(SPPR!$E:$X,MATCH($A217,SPPR!$A:$A,0),10)),$C217*INDEX(SPPR!$E:$X,MATCH($A217,SPPR!$A:$A,0),10),""),"")</f>
        <v/>
      </c>
      <c r="N217">
        <f>IFERROR(IF(ISNUMBER(INDEX(SPPR!$E:$X,MATCH($A217,SPPR!$A:$A,0),11)),$C217*INDEX(SPPR!$E:$X,MATCH($A217,SPPR!$A:$A,0),11),""),"")</f>
        <v/>
      </c>
      <c r="O217">
        <f>IFERROR(IF(ISNUMBER(INDEX(SPPR!$E:$X,MATCH($A217,SPPR!$A:$A,0),12)),$C217*INDEX(SPPR!$E:$X,MATCH($A217,SPPR!$A:$A,0),12),""),"")</f>
        <v/>
      </c>
      <c r="P217">
        <f>IFERROR(IF(ISNUMBER(INDEX(SPPR!$E:$X,MATCH($A217,SPPR!$A:$A,0),13)),$C217*INDEX(SPPR!$E:$X,MATCH($A217,SPPR!$A:$A,0),13),""),"")</f>
        <v/>
      </c>
      <c r="Q217">
        <f>IFERROR(IF(ISNUMBER(INDEX(SPPR!$E:$X,MATCH($A217,SPPR!$A:$A,0),14)),$C217*INDEX(SPPR!$E:$X,MATCH($A217,SPPR!$A:$A,0),14),""),"")</f>
        <v/>
      </c>
      <c r="R217">
        <f>IFERROR(IF(ISNUMBER(INDEX(SPPR!$E:$X,MATCH($A217,SPPR!$A:$A,0),15)),$C217*INDEX(SPPR!$E:$X,MATCH($A217,SPPR!$A:$A,0),15),""),"")</f>
        <v/>
      </c>
      <c r="S217">
        <f>IFERROR(IF(ISNUMBER(INDEX(SPPR!$E:$X,MATCH($A217,SPPR!$A:$A,0),16)),$C217*INDEX(SPPR!$E:$X,MATCH($A217,SPPR!$A:$A,0),16),""),"")</f>
        <v/>
      </c>
      <c r="T217">
        <f>IFERROR(IF(ISNUMBER(INDEX(SPPR!$E:$X,MATCH($A217,SPPR!$A:$A,0),17)),$C217*INDEX(SPPR!$E:$X,MATCH($A217,SPPR!$A:$A,0),17),""),"")</f>
        <v/>
      </c>
      <c r="U217">
        <f>IFERROR(IF(ISNUMBER(INDEX(SPPR!$E:$X,MATCH($A217,SPPR!$A:$A,0),18)),$C217*INDEX(SPPR!$E:$X,MATCH($A217,SPPR!$A:$A,0),18),""),"")</f>
        <v/>
      </c>
      <c r="V217">
        <f>IFERROR(IF(ISNUMBER(INDEX(SPPR!$E:$X,MATCH($A217,SPPR!$A:$A,0),19)),$C217*INDEX(SPPR!$E:$X,MATCH($A217,SPPR!$A:$A,0),19),""),"")</f>
        <v/>
      </c>
      <c r="W217">
        <f>IFERROR(IF(ISNUMBER(INDEX(SPPR!$E:$X,MATCH($A217,SPPR!$A:$A,0),20)),$C217*INDEX(SPPR!$E:$X,MATCH($A217,SPPR!$A:$A,0),20),""),"")</f>
        <v/>
      </c>
    </row>
    <row r="218">
      <c r="A218" t="inlineStr">
        <is>
          <t>Allothunnus fallai</t>
        </is>
      </c>
      <c r="B218">
        <f>IFERROR(INDEX(SPPR!$D:$D,MATCH($A218,SPPR!$A:$A,0)),"")</f>
        <v/>
      </c>
      <c r="C218">
        <f>IFERROR(INDEX(Catch!$E:$BV,MATCH($A218,Catch!$A:$A,0),MATCH($B$4,Catch!$E$1:$BV$1,0)),0)</f>
        <v/>
      </c>
      <c r="D218">
        <f>IFERROR(IF(ISNUMBER(INDEX(SPPR!$E:$X,MATCH($A218,SPPR!$A:$A,0),1)),$C218*INDEX(SPPR!$E:$X,MATCH($A218,SPPR!$A:$A,0),1),""),"")</f>
        <v/>
      </c>
      <c r="E218">
        <f>IFERROR(IF(ISNUMBER(INDEX(SPPR!$E:$X,MATCH($A218,SPPR!$A:$A,0),2)),$C218*INDEX(SPPR!$E:$X,MATCH($A218,SPPR!$A:$A,0),2),""),"")</f>
        <v/>
      </c>
      <c r="F218">
        <f>IFERROR(IF(ISNUMBER(INDEX(SPPR!$E:$X,MATCH($A218,SPPR!$A:$A,0),3)),$C218*INDEX(SPPR!$E:$X,MATCH($A218,SPPR!$A:$A,0),3),""),"")</f>
        <v/>
      </c>
      <c r="G218">
        <f>IFERROR(IF(ISNUMBER(INDEX(SPPR!$E:$X,MATCH($A218,SPPR!$A:$A,0),4)),$C218*INDEX(SPPR!$E:$X,MATCH($A218,SPPR!$A:$A,0),4),""),"")</f>
        <v/>
      </c>
      <c r="H218">
        <f>IFERROR(IF(ISNUMBER(INDEX(SPPR!$E:$X,MATCH($A218,SPPR!$A:$A,0),5)),$C218*INDEX(SPPR!$E:$X,MATCH($A218,SPPR!$A:$A,0),5),""),"")</f>
        <v/>
      </c>
      <c r="I218">
        <f>IFERROR(IF(ISNUMBER(INDEX(SPPR!$E:$X,MATCH($A218,SPPR!$A:$A,0),6)),$C218*INDEX(SPPR!$E:$X,MATCH($A218,SPPR!$A:$A,0),6),""),"")</f>
        <v/>
      </c>
      <c r="J218">
        <f>IFERROR(IF(ISNUMBER(INDEX(SPPR!$E:$X,MATCH($A218,SPPR!$A:$A,0),7)),$C218*INDEX(SPPR!$E:$X,MATCH($A218,SPPR!$A:$A,0),7),""),"")</f>
        <v/>
      </c>
      <c r="K218">
        <f>IFERROR(IF(ISNUMBER(INDEX(SPPR!$E:$X,MATCH($A218,SPPR!$A:$A,0),8)),$C218*INDEX(SPPR!$E:$X,MATCH($A218,SPPR!$A:$A,0),8),""),"")</f>
        <v/>
      </c>
      <c r="L218">
        <f>IFERROR(IF(ISNUMBER(INDEX(SPPR!$E:$X,MATCH($A218,SPPR!$A:$A,0),9)),$C218*INDEX(SPPR!$E:$X,MATCH($A218,SPPR!$A:$A,0),9),""),"")</f>
        <v/>
      </c>
      <c r="M218">
        <f>IFERROR(IF(ISNUMBER(INDEX(SPPR!$E:$X,MATCH($A218,SPPR!$A:$A,0),10)),$C218*INDEX(SPPR!$E:$X,MATCH($A218,SPPR!$A:$A,0),10),""),"")</f>
        <v/>
      </c>
      <c r="N218">
        <f>IFERROR(IF(ISNUMBER(INDEX(SPPR!$E:$X,MATCH($A218,SPPR!$A:$A,0),11)),$C218*INDEX(SPPR!$E:$X,MATCH($A218,SPPR!$A:$A,0),11),""),"")</f>
        <v/>
      </c>
      <c r="O218">
        <f>IFERROR(IF(ISNUMBER(INDEX(SPPR!$E:$X,MATCH($A218,SPPR!$A:$A,0),12)),$C218*INDEX(SPPR!$E:$X,MATCH($A218,SPPR!$A:$A,0),12),""),"")</f>
        <v/>
      </c>
      <c r="P218">
        <f>IFERROR(IF(ISNUMBER(INDEX(SPPR!$E:$X,MATCH($A218,SPPR!$A:$A,0),13)),$C218*INDEX(SPPR!$E:$X,MATCH($A218,SPPR!$A:$A,0),13),""),"")</f>
        <v/>
      </c>
      <c r="Q218">
        <f>IFERROR(IF(ISNUMBER(INDEX(SPPR!$E:$X,MATCH($A218,SPPR!$A:$A,0),14)),$C218*INDEX(SPPR!$E:$X,MATCH($A218,SPPR!$A:$A,0),14),""),"")</f>
        <v/>
      </c>
      <c r="R218">
        <f>IFERROR(IF(ISNUMBER(INDEX(SPPR!$E:$X,MATCH($A218,SPPR!$A:$A,0),15)),$C218*INDEX(SPPR!$E:$X,MATCH($A218,SPPR!$A:$A,0),15),""),"")</f>
        <v/>
      </c>
      <c r="S218">
        <f>IFERROR(IF(ISNUMBER(INDEX(SPPR!$E:$X,MATCH($A218,SPPR!$A:$A,0),16)),$C218*INDEX(SPPR!$E:$X,MATCH($A218,SPPR!$A:$A,0),16),""),"")</f>
        <v/>
      </c>
      <c r="T218">
        <f>IFERROR(IF(ISNUMBER(INDEX(SPPR!$E:$X,MATCH($A218,SPPR!$A:$A,0),17)),$C218*INDEX(SPPR!$E:$X,MATCH($A218,SPPR!$A:$A,0),17),""),"")</f>
        <v/>
      </c>
      <c r="U218">
        <f>IFERROR(IF(ISNUMBER(INDEX(SPPR!$E:$X,MATCH($A218,SPPR!$A:$A,0),18)),$C218*INDEX(SPPR!$E:$X,MATCH($A218,SPPR!$A:$A,0),18),""),"")</f>
        <v/>
      </c>
      <c r="V218">
        <f>IFERROR(IF(ISNUMBER(INDEX(SPPR!$E:$X,MATCH($A218,SPPR!$A:$A,0),19)),$C218*INDEX(SPPR!$E:$X,MATCH($A218,SPPR!$A:$A,0),19),""),"")</f>
        <v/>
      </c>
      <c r="W218">
        <f>IFERROR(IF(ISNUMBER(INDEX(SPPR!$E:$X,MATCH($A218,SPPR!$A:$A,0),20)),$C218*INDEX(SPPR!$E:$X,MATCH($A218,SPPR!$A:$A,0),20),""),"")</f>
        <v/>
      </c>
    </row>
    <row r="219">
      <c r="A219" t="inlineStr">
        <is>
          <t>Galaxias maculatus</t>
        </is>
      </c>
      <c r="B219">
        <f>IFERROR(INDEX(SPPR!$D:$D,MATCH($A219,SPPR!$A:$A,0)),"")</f>
        <v/>
      </c>
      <c r="C219">
        <f>IFERROR(INDEX(Catch!$E:$BV,MATCH($A219,Catch!$A:$A,0),MATCH($B$4,Catch!$E$1:$BV$1,0)),0)</f>
        <v/>
      </c>
      <c r="D219">
        <f>IFERROR(IF(ISNUMBER(INDEX(SPPR!$E:$X,MATCH($A219,SPPR!$A:$A,0),1)),$C219*INDEX(SPPR!$E:$X,MATCH($A219,SPPR!$A:$A,0),1),""),"")</f>
        <v/>
      </c>
      <c r="E219">
        <f>IFERROR(IF(ISNUMBER(INDEX(SPPR!$E:$X,MATCH($A219,SPPR!$A:$A,0),2)),$C219*INDEX(SPPR!$E:$X,MATCH($A219,SPPR!$A:$A,0),2),""),"")</f>
        <v/>
      </c>
      <c r="F219">
        <f>IFERROR(IF(ISNUMBER(INDEX(SPPR!$E:$X,MATCH($A219,SPPR!$A:$A,0),3)),$C219*INDEX(SPPR!$E:$X,MATCH($A219,SPPR!$A:$A,0),3),""),"")</f>
        <v/>
      </c>
      <c r="G219">
        <f>IFERROR(IF(ISNUMBER(INDEX(SPPR!$E:$X,MATCH($A219,SPPR!$A:$A,0),4)),$C219*INDEX(SPPR!$E:$X,MATCH($A219,SPPR!$A:$A,0),4),""),"")</f>
        <v/>
      </c>
      <c r="H219">
        <f>IFERROR(IF(ISNUMBER(INDEX(SPPR!$E:$X,MATCH($A219,SPPR!$A:$A,0),5)),$C219*INDEX(SPPR!$E:$X,MATCH($A219,SPPR!$A:$A,0),5),""),"")</f>
        <v/>
      </c>
      <c r="I219">
        <f>IFERROR(IF(ISNUMBER(INDEX(SPPR!$E:$X,MATCH($A219,SPPR!$A:$A,0),6)),$C219*INDEX(SPPR!$E:$X,MATCH($A219,SPPR!$A:$A,0),6),""),"")</f>
        <v/>
      </c>
      <c r="J219">
        <f>IFERROR(IF(ISNUMBER(INDEX(SPPR!$E:$X,MATCH($A219,SPPR!$A:$A,0),7)),$C219*INDEX(SPPR!$E:$X,MATCH($A219,SPPR!$A:$A,0),7),""),"")</f>
        <v/>
      </c>
      <c r="K219">
        <f>IFERROR(IF(ISNUMBER(INDEX(SPPR!$E:$X,MATCH($A219,SPPR!$A:$A,0),8)),$C219*INDEX(SPPR!$E:$X,MATCH($A219,SPPR!$A:$A,0),8),""),"")</f>
        <v/>
      </c>
      <c r="L219">
        <f>IFERROR(IF(ISNUMBER(INDEX(SPPR!$E:$X,MATCH($A219,SPPR!$A:$A,0),9)),$C219*INDEX(SPPR!$E:$X,MATCH($A219,SPPR!$A:$A,0),9),""),"")</f>
        <v/>
      </c>
      <c r="M219">
        <f>IFERROR(IF(ISNUMBER(INDEX(SPPR!$E:$X,MATCH($A219,SPPR!$A:$A,0),10)),$C219*INDEX(SPPR!$E:$X,MATCH($A219,SPPR!$A:$A,0),10),""),"")</f>
        <v/>
      </c>
      <c r="N219">
        <f>IFERROR(IF(ISNUMBER(INDEX(SPPR!$E:$X,MATCH($A219,SPPR!$A:$A,0),11)),$C219*INDEX(SPPR!$E:$X,MATCH($A219,SPPR!$A:$A,0),11),""),"")</f>
        <v/>
      </c>
      <c r="O219">
        <f>IFERROR(IF(ISNUMBER(INDEX(SPPR!$E:$X,MATCH($A219,SPPR!$A:$A,0),12)),$C219*INDEX(SPPR!$E:$X,MATCH($A219,SPPR!$A:$A,0),12),""),"")</f>
        <v/>
      </c>
      <c r="P219">
        <f>IFERROR(IF(ISNUMBER(INDEX(SPPR!$E:$X,MATCH($A219,SPPR!$A:$A,0),13)),$C219*INDEX(SPPR!$E:$X,MATCH($A219,SPPR!$A:$A,0),13),""),"")</f>
        <v/>
      </c>
      <c r="Q219">
        <f>IFERROR(IF(ISNUMBER(INDEX(SPPR!$E:$X,MATCH($A219,SPPR!$A:$A,0),14)),$C219*INDEX(SPPR!$E:$X,MATCH($A219,SPPR!$A:$A,0),14),""),"")</f>
        <v/>
      </c>
      <c r="R219">
        <f>IFERROR(IF(ISNUMBER(INDEX(SPPR!$E:$X,MATCH($A219,SPPR!$A:$A,0),15)),$C219*INDEX(SPPR!$E:$X,MATCH($A219,SPPR!$A:$A,0),15),""),"")</f>
        <v/>
      </c>
      <c r="S219">
        <f>IFERROR(IF(ISNUMBER(INDEX(SPPR!$E:$X,MATCH($A219,SPPR!$A:$A,0),16)),$C219*INDEX(SPPR!$E:$X,MATCH($A219,SPPR!$A:$A,0),16),""),"")</f>
        <v/>
      </c>
      <c r="T219">
        <f>IFERROR(IF(ISNUMBER(INDEX(SPPR!$E:$X,MATCH($A219,SPPR!$A:$A,0),17)),$C219*INDEX(SPPR!$E:$X,MATCH($A219,SPPR!$A:$A,0),17),""),"")</f>
        <v/>
      </c>
      <c r="U219">
        <f>IFERROR(IF(ISNUMBER(INDEX(SPPR!$E:$X,MATCH($A219,SPPR!$A:$A,0),18)),$C219*INDEX(SPPR!$E:$X,MATCH($A219,SPPR!$A:$A,0),18),""),"")</f>
        <v/>
      </c>
      <c r="V219">
        <f>IFERROR(IF(ISNUMBER(INDEX(SPPR!$E:$X,MATCH($A219,SPPR!$A:$A,0),19)),$C219*INDEX(SPPR!$E:$X,MATCH($A219,SPPR!$A:$A,0),19),""),"")</f>
        <v/>
      </c>
      <c r="W219">
        <f>IFERROR(IF(ISNUMBER(INDEX(SPPR!$E:$X,MATCH($A219,SPPR!$A:$A,0),20)),$C219*INDEX(SPPR!$E:$X,MATCH($A219,SPPR!$A:$A,0),20),""),"")</f>
        <v/>
      </c>
    </row>
    <row r="220">
      <c r="A220" t="inlineStr">
        <is>
          <t>Thunnus maccoyii</t>
        </is>
      </c>
      <c r="B220">
        <f>IFERROR(INDEX(SPPR!$D:$D,MATCH($A220,SPPR!$A:$A,0)),"")</f>
        <v/>
      </c>
      <c r="C220">
        <f>IFERROR(INDEX(Catch!$E:$BV,MATCH($A220,Catch!$A:$A,0),MATCH($B$4,Catch!$E$1:$BV$1,0)),0)</f>
        <v/>
      </c>
      <c r="D220">
        <f>IFERROR(IF(ISNUMBER(INDEX(SPPR!$E:$X,MATCH($A220,SPPR!$A:$A,0),1)),$C220*INDEX(SPPR!$E:$X,MATCH($A220,SPPR!$A:$A,0),1),""),"")</f>
        <v/>
      </c>
      <c r="E220">
        <f>IFERROR(IF(ISNUMBER(INDEX(SPPR!$E:$X,MATCH($A220,SPPR!$A:$A,0),2)),$C220*INDEX(SPPR!$E:$X,MATCH($A220,SPPR!$A:$A,0),2),""),"")</f>
        <v/>
      </c>
      <c r="F220">
        <f>IFERROR(IF(ISNUMBER(INDEX(SPPR!$E:$X,MATCH($A220,SPPR!$A:$A,0),3)),$C220*INDEX(SPPR!$E:$X,MATCH($A220,SPPR!$A:$A,0),3),""),"")</f>
        <v/>
      </c>
      <c r="G220">
        <f>IFERROR(IF(ISNUMBER(INDEX(SPPR!$E:$X,MATCH($A220,SPPR!$A:$A,0),4)),$C220*INDEX(SPPR!$E:$X,MATCH($A220,SPPR!$A:$A,0),4),""),"")</f>
        <v/>
      </c>
      <c r="H220">
        <f>IFERROR(IF(ISNUMBER(INDEX(SPPR!$E:$X,MATCH($A220,SPPR!$A:$A,0),5)),$C220*INDEX(SPPR!$E:$X,MATCH($A220,SPPR!$A:$A,0),5),""),"")</f>
        <v/>
      </c>
      <c r="I220">
        <f>IFERROR(IF(ISNUMBER(INDEX(SPPR!$E:$X,MATCH($A220,SPPR!$A:$A,0),6)),$C220*INDEX(SPPR!$E:$X,MATCH($A220,SPPR!$A:$A,0),6),""),"")</f>
        <v/>
      </c>
      <c r="J220">
        <f>IFERROR(IF(ISNUMBER(INDEX(SPPR!$E:$X,MATCH($A220,SPPR!$A:$A,0),7)),$C220*INDEX(SPPR!$E:$X,MATCH($A220,SPPR!$A:$A,0),7),""),"")</f>
        <v/>
      </c>
      <c r="K220">
        <f>IFERROR(IF(ISNUMBER(INDEX(SPPR!$E:$X,MATCH($A220,SPPR!$A:$A,0),8)),$C220*INDEX(SPPR!$E:$X,MATCH($A220,SPPR!$A:$A,0),8),""),"")</f>
        <v/>
      </c>
      <c r="L220">
        <f>IFERROR(IF(ISNUMBER(INDEX(SPPR!$E:$X,MATCH($A220,SPPR!$A:$A,0),9)),$C220*INDEX(SPPR!$E:$X,MATCH($A220,SPPR!$A:$A,0),9),""),"")</f>
        <v/>
      </c>
      <c r="M220">
        <f>IFERROR(IF(ISNUMBER(INDEX(SPPR!$E:$X,MATCH($A220,SPPR!$A:$A,0),10)),$C220*INDEX(SPPR!$E:$X,MATCH($A220,SPPR!$A:$A,0),10),""),"")</f>
        <v/>
      </c>
      <c r="N220">
        <f>IFERROR(IF(ISNUMBER(INDEX(SPPR!$E:$X,MATCH($A220,SPPR!$A:$A,0),11)),$C220*INDEX(SPPR!$E:$X,MATCH($A220,SPPR!$A:$A,0),11),""),"")</f>
        <v/>
      </c>
      <c r="O220">
        <f>IFERROR(IF(ISNUMBER(INDEX(SPPR!$E:$X,MATCH($A220,SPPR!$A:$A,0),12)),$C220*INDEX(SPPR!$E:$X,MATCH($A220,SPPR!$A:$A,0),12),""),"")</f>
        <v/>
      </c>
      <c r="P220">
        <f>IFERROR(IF(ISNUMBER(INDEX(SPPR!$E:$X,MATCH($A220,SPPR!$A:$A,0),13)),$C220*INDEX(SPPR!$E:$X,MATCH($A220,SPPR!$A:$A,0),13),""),"")</f>
        <v/>
      </c>
      <c r="Q220">
        <f>IFERROR(IF(ISNUMBER(INDEX(SPPR!$E:$X,MATCH($A220,SPPR!$A:$A,0),14)),$C220*INDEX(SPPR!$E:$X,MATCH($A220,SPPR!$A:$A,0),14),""),"")</f>
        <v/>
      </c>
      <c r="R220">
        <f>IFERROR(IF(ISNUMBER(INDEX(SPPR!$E:$X,MATCH($A220,SPPR!$A:$A,0),15)),$C220*INDEX(SPPR!$E:$X,MATCH($A220,SPPR!$A:$A,0),15),""),"")</f>
        <v/>
      </c>
      <c r="S220">
        <f>IFERROR(IF(ISNUMBER(INDEX(SPPR!$E:$X,MATCH($A220,SPPR!$A:$A,0),16)),$C220*INDEX(SPPR!$E:$X,MATCH($A220,SPPR!$A:$A,0),16),""),"")</f>
        <v/>
      </c>
      <c r="T220">
        <f>IFERROR(IF(ISNUMBER(INDEX(SPPR!$E:$X,MATCH($A220,SPPR!$A:$A,0),17)),$C220*INDEX(SPPR!$E:$X,MATCH($A220,SPPR!$A:$A,0),17),""),"")</f>
        <v/>
      </c>
      <c r="U220">
        <f>IFERROR(IF(ISNUMBER(INDEX(SPPR!$E:$X,MATCH($A220,SPPR!$A:$A,0),18)),$C220*INDEX(SPPR!$E:$X,MATCH($A220,SPPR!$A:$A,0),18),""),"")</f>
        <v/>
      </c>
      <c r="V220">
        <f>IFERROR(IF(ISNUMBER(INDEX(SPPR!$E:$X,MATCH($A220,SPPR!$A:$A,0),19)),$C220*INDEX(SPPR!$E:$X,MATCH($A220,SPPR!$A:$A,0),19),""),"")</f>
        <v/>
      </c>
      <c r="W220">
        <f>IFERROR(IF(ISNUMBER(INDEX(SPPR!$E:$X,MATCH($A220,SPPR!$A:$A,0),20)),$C220*INDEX(SPPR!$E:$X,MATCH($A220,SPPR!$A:$A,0),20),""),"")</f>
        <v/>
      </c>
    </row>
    <row r="221">
      <c r="A221" t="inlineStr">
        <is>
          <t>Cetengraulis mysticetus</t>
        </is>
      </c>
      <c r="B221">
        <f>IFERROR(INDEX(SPPR!$D:$D,MATCH($A221,SPPR!$A:$A,0)),"")</f>
        <v/>
      </c>
      <c r="C221">
        <f>IFERROR(INDEX(Catch!$E:$BV,MATCH($A221,Catch!$A:$A,0),MATCH($B$4,Catch!$E$1:$BV$1,0)),0)</f>
        <v/>
      </c>
      <c r="D221">
        <f>IFERROR(IF(ISNUMBER(INDEX(SPPR!$E:$X,MATCH($A221,SPPR!$A:$A,0),1)),$C221*INDEX(SPPR!$E:$X,MATCH($A221,SPPR!$A:$A,0),1),""),"")</f>
        <v/>
      </c>
      <c r="E221">
        <f>IFERROR(IF(ISNUMBER(INDEX(SPPR!$E:$X,MATCH($A221,SPPR!$A:$A,0),2)),$C221*INDEX(SPPR!$E:$X,MATCH($A221,SPPR!$A:$A,0),2),""),"")</f>
        <v/>
      </c>
      <c r="F221">
        <f>IFERROR(IF(ISNUMBER(INDEX(SPPR!$E:$X,MATCH($A221,SPPR!$A:$A,0),3)),$C221*INDEX(SPPR!$E:$X,MATCH($A221,SPPR!$A:$A,0),3),""),"")</f>
        <v/>
      </c>
      <c r="G221">
        <f>IFERROR(IF(ISNUMBER(INDEX(SPPR!$E:$X,MATCH($A221,SPPR!$A:$A,0),4)),$C221*INDEX(SPPR!$E:$X,MATCH($A221,SPPR!$A:$A,0),4),""),"")</f>
        <v/>
      </c>
      <c r="H221">
        <f>IFERROR(IF(ISNUMBER(INDEX(SPPR!$E:$X,MATCH($A221,SPPR!$A:$A,0),5)),$C221*INDEX(SPPR!$E:$X,MATCH($A221,SPPR!$A:$A,0),5),""),"")</f>
        <v/>
      </c>
      <c r="I221">
        <f>IFERROR(IF(ISNUMBER(INDEX(SPPR!$E:$X,MATCH($A221,SPPR!$A:$A,0),6)),$C221*INDEX(SPPR!$E:$X,MATCH($A221,SPPR!$A:$A,0),6),""),"")</f>
        <v/>
      </c>
      <c r="J221">
        <f>IFERROR(IF(ISNUMBER(INDEX(SPPR!$E:$X,MATCH($A221,SPPR!$A:$A,0),7)),$C221*INDEX(SPPR!$E:$X,MATCH($A221,SPPR!$A:$A,0),7),""),"")</f>
        <v/>
      </c>
      <c r="K221">
        <f>IFERROR(IF(ISNUMBER(INDEX(SPPR!$E:$X,MATCH($A221,SPPR!$A:$A,0),8)),$C221*INDEX(SPPR!$E:$X,MATCH($A221,SPPR!$A:$A,0),8),""),"")</f>
        <v/>
      </c>
      <c r="L221">
        <f>IFERROR(IF(ISNUMBER(INDEX(SPPR!$E:$X,MATCH($A221,SPPR!$A:$A,0),9)),$C221*INDEX(SPPR!$E:$X,MATCH($A221,SPPR!$A:$A,0),9),""),"")</f>
        <v/>
      </c>
      <c r="M221">
        <f>IFERROR(IF(ISNUMBER(INDEX(SPPR!$E:$X,MATCH($A221,SPPR!$A:$A,0),10)),$C221*INDEX(SPPR!$E:$X,MATCH($A221,SPPR!$A:$A,0),10),""),"")</f>
        <v/>
      </c>
      <c r="N221">
        <f>IFERROR(IF(ISNUMBER(INDEX(SPPR!$E:$X,MATCH($A221,SPPR!$A:$A,0),11)),$C221*INDEX(SPPR!$E:$X,MATCH($A221,SPPR!$A:$A,0),11),""),"")</f>
        <v/>
      </c>
      <c r="O221">
        <f>IFERROR(IF(ISNUMBER(INDEX(SPPR!$E:$X,MATCH($A221,SPPR!$A:$A,0),12)),$C221*INDEX(SPPR!$E:$X,MATCH($A221,SPPR!$A:$A,0),12),""),"")</f>
        <v/>
      </c>
      <c r="P221">
        <f>IFERROR(IF(ISNUMBER(INDEX(SPPR!$E:$X,MATCH($A221,SPPR!$A:$A,0),13)),$C221*INDEX(SPPR!$E:$X,MATCH($A221,SPPR!$A:$A,0),13),""),"")</f>
        <v/>
      </c>
      <c r="Q221">
        <f>IFERROR(IF(ISNUMBER(INDEX(SPPR!$E:$X,MATCH($A221,SPPR!$A:$A,0),14)),$C221*INDEX(SPPR!$E:$X,MATCH($A221,SPPR!$A:$A,0),14),""),"")</f>
        <v/>
      </c>
      <c r="R221">
        <f>IFERROR(IF(ISNUMBER(INDEX(SPPR!$E:$X,MATCH($A221,SPPR!$A:$A,0),15)),$C221*INDEX(SPPR!$E:$X,MATCH($A221,SPPR!$A:$A,0),15),""),"")</f>
        <v/>
      </c>
      <c r="S221">
        <f>IFERROR(IF(ISNUMBER(INDEX(SPPR!$E:$X,MATCH($A221,SPPR!$A:$A,0),16)),$C221*INDEX(SPPR!$E:$X,MATCH($A221,SPPR!$A:$A,0),16),""),"")</f>
        <v/>
      </c>
      <c r="T221">
        <f>IFERROR(IF(ISNUMBER(INDEX(SPPR!$E:$X,MATCH($A221,SPPR!$A:$A,0),17)),$C221*INDEX(SPPR!$E:$X,MATCH($A221,SPPR!$A:$A,0),17),""),"")</f>
        <v/>
      </c>
      <c r="U221">
        <f>IFERROR(IF(ISNUMBER(INDEX(SPPR!$E:$X,MATCH($A221,SPPR!$A:$A,0),18)),$C221*INDEX(SPPR!$E:$X,MATCH($A221,SPPR!$A:$A,0),18),""),"")</f>
        <v/>
      </c>
      <c r="V221">
        <f>IFERROR(IF(ISNUMBER(INDEX(SPPR!$E:$X,MATCH($A221,SPPR!$A:$A,0),19)),$C221*INDEX(SPPR!$E:$X,MATCH($A221,SPPR!$A:$A,0),19),""),"")</f>
        <v/>
      </c>
      <c r="W221">
        <f>IFERROR(IF(ISNUMBER(INDEX(SPPR!$E:$X,MATCH($A221,SPPR!$A:$A,0),20)),$C221*INDEX(SPPR!$E:$X,MATCH($A221,SPPR!$A:$A,0),20),""),"")</f>
        <v/>
      </c>
    </row>
    <row r="222">
      <c r="A222" t="inlineStr">
        <is>
          <t>Rhinoptera steindachneri</t>
        </is>
      </c>
      <c r="B222">
        <f>IFERROR(INDEX(SPPR!$D:$D,MATCH($A222,SPPR!$A:$A,0)),"")</f>
        <v/>
      </c>
      <c r="C222">
        <f>IFERROR(INDEX(Catch!$E:$BV,MATCH($A222,Catch!$A:$A,0),MATCH($B$4,Catch!$E$1:$BV$1,0)),0)</f>
        <v/>
      </c>
      <c r="D222">
        <f>IFERROR(IF(ISNUMBER(INDEX(SPPR!$E:$X,MATCH($A222,SPPR!$A:$A,0),1)),$C222*INDEX(SPPR!$E:$X,MATCH($A222,SPPR!$A:$A,0),1),""),"")</f>
        <v/>
      </c>
      <c r="E222">
        <f>IFERROR(IF(ISNUMBER(INDEX(SPPR!$E:$X,MATCH($A222,SPPR!$A:$A,0),2)),$C222*INDEX(SPPR!$E:$X,MATCH($A222,SPPR!$A:$A,0),2),""),"")</f>
        <v/>
      </c>
      <c r="F222">
        <f>IFERROR(IF(ISNUMBER(INDEX(SPPR!$E:$X,MATCH($A222,SPPR!$A:$A,0),3)),$C222*INDEX(SPPR!$E:$X,MATCH($A222,SPPR!$A:$A,0),3),""),"")</f>
        <v/>
      </c>
      <c r="G222">
        <f>IFERROR(IF(ISNUMBER(INDEX(SPPR!$E:$X,MATCH($A222,SPPR!$A:$A,0),4)),$C222*INDEX(SPPR!$E:$X,MATCH($A222,SPPR!$A:$A,0),4),""),"")</f>
        <v/>
      </c>
      <c r="H222">
        <f>IFERROR(IF(ISNUMBER(INDEX(SPPR!$E:$X,MATCH($A222,SPPR!$A:$A,0),5)),$C222*INDEX(SPPR!$E:$X,MATCH($A222,SPPR!$A:$A,0),5),""),"")</f>
        <v/>
      </c>
      <c r="I222">
        <f>IFERROR(IF(ISNUMBER(INDEX(SPPR!$E:$X,MATCH($A222,SPPR!$A:$A,0),6)),$C222*INDEX(SPPR!$E:$X,MATCH($A222,SPPR!$A:$A,0),6),""),"")</f>
        <v/>
      </c>
      <c r="J222">
        <f>IFERROR(IF(ISNUMBER(INDEX(SPPR!$E:$X,MATCH($A222,SPPR!$A:$A,0),7)),$C222*INDEX(SPPR!$E:$X,MATCH($A222,SPPR!$A:$A,0),7),""),"")</f>
        <v/>
      </c>
      <c r="K222">
        <f>IFERROR(IF(ISNUMBER(INDEX(SPPR!$E:$X,MATCH($A222,SPPR!$A:$A,0),8)),$C222*INDEX(SPPR!$E:$X,MATCH($A222,SPPR!$A:$A,0),8),""),"")</f>
        <v/>
      </c>
      <c r="L222">
        <f>IFERROR(IF(ISNUMBER(INDEX(SPPR!$E:$X,MATCH($A222,SPPR!$A:$A,0),9)),$C222*INDEX(SPPR!$E:$X,MATCH($A222,SPPR!$A:$A,0),9),""),"")</f>
        <v/>
      </c>
      <c r="M222">
        <f>IFERROR(IF(ISNUMBER(INDEX(SPPR!$E:$X,MATCH($A222,SPPR!$A:$A,0),10)),$C222*INDEX(SPPR!$E:$X,MATCH($A222,SPPR!$A:$A,0),10),""),"")</f>
        <v/>
      </c>
      <c r="N222">
        <f>IFERROR(IF(ISNUMBER(INDEX(SPPR!$E:$X,MATCH($A222,SPPR!$A:$A,0),11)),$C222*INDEX(SPPR!$E:$X,MATCH($A222,SPPR!$A:$A,0),11),""),"")</f>
        <v/>
      </c>
      <c r="O222">
        <f>IFERROR(IF(ISNUMBER(INDEX(SPPR!$E:$X,MATCH($A222,SPPR!$A:$A,0),12)),$C222*INDEX(SPPR!$E:$X,MATCH($A222,SPPR!$A:$A,0),12),""),"")</f>
        <v/>
      </c>
      <c r="P222">
        <f>IFERROR(IF(ISNUMBER(INDEX(SPPR!$E:$X,MATCH($A222,SPPR!$A:$A,0),13)),$C222*INDEX(SPPR!$E:$X,MATCH($A222,SPPR!$A:$A,0),13),""),"")</f>
        <v/>
      </c>
      <c r="Q222">
        <f>IFERROR(IF(ISNUMBER(INDEX(SPPR!$E:$X,MATCH($A222,SPPR!$A:$A,0),14)),$C222*INDEX(SPPR!$E:$X,MATCH($A222,SPPR!$A:$A,0),14),""),"")</f>
        <v/>
      </c>
      <c r="R222">
        <f>IFERROR(IF(ISNUMBER(INDEX(SPPR!$E:$X,MATCH($A222,SPPR!$A:$A,0),15)),$C222*INDEX(SPPR!$E:$X,MATCH($A222,SPPR!$A:$A,0),15),""),"")</f>
        <v/>
      </c>
      <c r="S222">
        <f>IFERROR(IF(ISNUMBER(INDEX(SPPR!$E:$X,MATCH($A222,SPPR!$A:$A,0),16)),$C222*INDEX(SPPR!$E:$X,MATCH($A222,SPPR!$A:$A,0),16),""),"")</f>
        <v/>
      </c>
      <c r="T222">
        <f>IFERROR(IF(ISNUMBER(INDEX(SPPR!$E:$X,MATCH($A222,SPPR!$A:$A,0),17)),$C222*INDEX(SPPR!$E:$X,MATCH($A222,SPPR!$A:$A,0),17),""),"")</f>
        <v/>
      </c>
      <c r="U222">
        <f>IFERROR(IF(ISNUMBER(INDEX(SPPR!$E:$X,MATCH($A222,SPPR!$A:$A,0),18)),$C222*INDEX(SPPR!$E:$X,MATCH($A222,SPPR!$A:$A,0),18),""),"")</f>
        <v/>
      </c>
      <c r="V222">
        <f>IFERROR(IF(ISNUMBER(INDEX(SPPR!$E:$X,MATCH($A222,SPPR!$A:$A,0),19)),$C222*INDEX(SPPR!$E:$X,MATCH($A222,SPPR!$A:$A,0),19),""),"")</f>
        <v/>
      </c>
      <c r="W222">
        <f>IFERROR(IF(ISNUMBER(INDEX(SPPR!$E:$X,MATCH($A222,SPPR!$A:$A,0),20)),$C222*INDEX(SPPR!$E:$X,MATCH($A222,SPPR!$A:$A,0),20),""),"")</f>
        <v/>
      </c>
    </row>
    <row r="223">
      <c r="A223" t="inlineStr">
        <is>
          <t>Lepidocybium flavobrunneum</t>
        </is>
      </c>
      <c r="B223">
        <f>IFERROR(INDEX(SPPR!$D:$D,MATCH($A223,SPPR!$A:$A,0)),"")</f>
        <v/>
      </c>
      <c r="C223">
        <f>IFERROR(INDEX(Catch!$E:$BV,MATCH($A223,Catch!$A:$A,0),MATCH($B$4,Catch!$E$1:$BV$1,0)),0)</f>
        <v/>
      </c>
      <c r="D223">
        <f>IFERROR(IF(ISNUMBER(INDEX(SPPR!$E:$X,MATCH($A223,SPPR!$A:$A,0),1)),$C223*INDEX(SPPR!$E:$X,MATCH($A223,SPPR!$A:$A,0),1),""),"")</f>
        <v/>
      </c>
      <c r="E223">
        <f>IFERROR(IF(ISNUMBER(INDEX(SPPR!$E:$X,MATCH($A223,SPPR!$A:$A,0),2)),$C223*INDEX(SPPR!$E:$X,MATCH($A223,SPPR!$A:$A,0),2),""),"")</f>
        <v/>
      </c>
      <c r="F223">
        <f>IFERROR(IF(ISNUMBER(INDEX(SPPR!$E:$X,MATCH($A223,SPPR!$A:$A,0),3)),$C223*INDEX(SPPR!$E:$X,MATCH($A223,SPPR!$A:$A,0),3),""),"")</f>
        <v/>
      </c>
      <c r="G223">
        <f>IFERROR(IF(ISNUMBER(INDEX(SPPR!$E:$X,MATCH($A223,SPPR!$A:$A,0),4)),$C223*INDEX(SPPR!$E:$X,MATCH($A223,SPPR!$A:$A,0),4),""),"")</f>
        <v/>
      </c>
      <c r="H223">
        <f>IFERROR(IF(ISNUMBER(INDEX(SPPR!$E:$X,MATCH($A223,SPPR!$A:$A,0),5)),$C223*INDEX(SPPR!$E:$X,MATCH($A223,SPPR!$A:$A,0),5),""),"")</f>
        <v/>
      </c>
      <c r="I223">
        <f>IFERROR(IF(ISNUMBER(INDEX(SPPR!$E:$X,MATCH($A223,SPPR!$A:$A,0),6)),$C223*INDEX(SPPR!$E:$X,MATCH($A223,SPPR!$A:$A,0),6),""),"")</f>
        <v/>
      </c>
      <c r="J223">
        <f>IFERROR(IF(ISNUMBER(INDEX(SPPR!$E:$X,MATCH($A223,SPPR!$A:$A,0),7)),$C223*INDEX(SPPR!$E:$X,MATCH($A223,SPPR!$A:$A,0),7),""),"")</f>
        <v/>
      </c>
      <c r="K223">
        <f>IFERROR(IF(ISNUMBER(INDEX(SPPR!$E:$X,MATCH($A223,SPPR!$A:$A,0),8)),$C223*INDEX(SPPR!$E:$X,MATCH($A223,SPPR!$A:$A,0),8),""),"")</f>
        <v/>
      </c>
      <c r="L223">
        <f>IFERROR(IF(ISNUMBER(INDEX(SPPR!$E:$X,MATCH($A223,SPPR!$A:$A,0),9)),$C223*INDEX(SPPR!$E:$X,MATCH($A223,SPPR!$A:$A,0),9),""),"")</f>
        <v/>
      </c>
      <c r="M223">
        <f>IFERROR(IF(ISNUMBER(INDEX(SPPR!$E:$X,MATCH($A223,SPPR!$A:$A,0),10)),$C223*INDEX(SPPR!$E:$X,MATCH($A223,SPPR!$A:$A,0),10),""),"")</f>
        <v/>
      </c>
      <c r="N223">
        <f>IFERROR(IF(ISNUMBER(INDEX(SPPR!$E:$X,MATCH($A223,SPPR!$A:$A,0),11)),$C223*INDEX(SPPR!$E:$X,MATCH($A223,SPPR!$A:$A,0),11),""),"")</f>
        <v/>
      </c>
      <c r="O223">
        <f>IFERROR(IF(ISNUMBER(INDEX(SPPR!$E:$X,MATCH($A223,SPPR!$A:$A,0),12)),$C223*INDEX(SPPR!$E:$X,MATCH($A223,SPPR!$A:$A,0),12),""),"")</f>
        <v/>
      </c>
      <c r="P223">
        <f>IFERROR(IF(ISNUMBER(INDEX(SPPR!$E:$X,MATCH($A223,SPPR!$A:$A,0),13)),$C223*INDEX(SPPR!$E:$X,MATCH($A223,SPPR!$A:$A,0),13),""),"")</f>
        <v/>
      </c>
      <c r="Q223">
        <f>IFERROR(IF(ISNUMBER(INDEX(SPPR!$E:$X,MATCH($A223,SPPR!$A:$A,0),14)),$C223*INDEX(SPPR!$E:$X,MATCH($A223,SPPR!$A:$A,0),14),""),"")</f>
        <v/>
      </c>
      <c r="R223">
        <f>IFERROR(IF(ISNUMBER(INDEX(SPPR!$E:$X,MATCH($A223,SPPR!$A:$A,0),15)),$C223*INDEX(SPPR!$E:$X,MATCH($A223,SPPR!$A:$A,0),15),""),"")</f>
        <v/>
      </c>
      <c r="S223">
        <f>IFERROR(IF(ISNUMBER(INDEX(SPPR!$E:$X,MATCH($A223,SPPR!$A:$A,0),16)),$C223*INDEX(SPPR!$E:$X,MATCH($A223,SPPR!$A:$A,0),16),""),"")</f>
        <v/>
      </c>
      <c r="T223">
        <f>IFERROR(IF(ISNUMBER(INDEX(SPPR!$E:$X,MATCH($A223,SPPR!$A:$A,0),17)),$C223*INDEX(SPPR!$E:$X,MATCH($A223,SPPR!$A:$A,0),17),""),"")</f>
        <v/>
      </c>
      <c r="U223">
        <f>IFERROR(IF(ISNUMBER(INDEX(SPPR!$E:$X,MATCH($A223,SPPR!$A:$A,0),18)),$C223*INDEX(SPPR!$E:$X,MATCH($A223,SPPR!$A:$A,0),18),""),"")</f>
        <v/>
      </c>
      <c r="V223">
        <f>IFERROR(IF(ISNUMBER(INDEX(SPPR!$E:$X,MATCH($A223,SPPR!$A:$A,0),19)),$C223*INDEX(SPPR!$E:$X,MATCH($A223,SPPR!$A:$A,0),19),""),"")</f>
        <v/>
      </c>
      <c r="W223">
        <f>IFERROR(IF(ISNUMBER(INDEX(SPPR!$E:$X,MATCH($A223,SPPR!$A:$A,0),20)),$C223*INDEX(SPPR!$E:$X,MATCH($A223,SPPR!$A:$A,0),20),""),"")</f>
        <v/>
      </c>
    </row>
    <row r="224">
      <c r="A224" t="inlineStr">
        <is>
          <t>Hippocampus</t>
        </is>
      </c>
      <c r="B224">
        <f>IFERROR(INDEX(SPPR!$D:$D,MATCH($A224,SPPR!$A:$A,0)),"")</f>
        <v/>
      </c>
      <c r="C224">
        <f>IFERROR(INDEX(Catch!$E:$BV,MATCH($A224,Catch!$A:$A,0),MATCH($B$4,Catch!$E$1:$BV$1,0)),0)</f>
        <v/>
      </c>
      <c r="D224">
        <f>IFERROR(IF(ISNUMBER(INDEX(SPPR!$E:$X,MATCH($A224,SPPR!$A:$A,0),1)),$C224*INDEX(SPPR!$E:$X,MATCH($A224,SPPR!$A:$A,0),1),""),"")</f>
        <v/>
      </c>
      <c r="E224">
        <f>IFERROR(IF(ISNUMBER(INDEX(SPPR!$E:$X,MATCH($A224,SPPR!$A:$A,0),2)),$C224*INDEX(SPPR!$E:$X,MATCH($A224,SPPR!$A:$A,0),2),""),"")</f>
        <v/>
      </c>
      <c r="F224">
        <f>IFERROR(IF(ISNUMBER(INDEX(SPPR!$E:$X,MATCH($A224,SPPR!$A:$A,0),3)),$C224*INDEX(SPPR!$E:$X,MATCH($A224,SPPR!$A:$A,0),3),""),"")</f>
        <v/>
      </c>
      <c r="G224">
        <f>IFERROR(IF(ISNUMBER(INDEX(SPPR!$E:$X,MATCH($A224,SPPR!$A:$A,0),4)),$C224*INDEX(SPPR!$E:$X,MATCH($A224,SPPR!$A:$A,0),4),""),"")</f>
        <v/>
      </c>
      <c r="H224">
        <f>IFERROR(IF(ISNUMBER(INDEX(SPPR!$E:$X,MATCH($A224,SPPR!$A:$A,0),5)),$C224*INDEX(SPPR!$E:$X,MATCH($A224,SPPR!$A:$A,0),5),""),"")</f>
        <v/>
      </c>
      <c r="I224">
        <f>IFERROR(IF(ISNUMBER(INDEX(SPPR!$E:$X,MATCH($A224,SPPR!$A:$A,0),6)),$C224*INDEX(SPPR!$E:$X,MATCH($A224,SPPR!$A:$A,0),6),""),"")</f>
        <v/>
      </c>
      <c r="J224">
        <f>IFERROR(IF(ISNUMBER(INDEX(SPPR!$E:$X,MATCH($A224,SPPR!$A:$A,0),7)),$C224*INDEX(SPPR!$E:$X,MATCH($A224,SPPR!$A:$A,0),7),""),"")</f>
        <v/>
      </c>
      <c r="K224">
        <f>IFERROR(IF(ISNUMBER(INDEX(SPPR!$E:$X,MATCH($A224,SPPR!$A:$A,0),8)),$C224*INDEX(SPPR!$E:$X,MATCH($A224,SPPR!$A:$A,0),8),""),"")</f>
        <v/>
      </c>
      <c r="L224">
        <f>IFERROR(IF(ISNUMBER(INDEX(SPPR!$E:$X,MATCH($A224,SPPR!$A:$A,0),9)),$C224*INDEX(SPPR!$E:$X,MATCH($A224,SPPR!$A:$A,0),9),""),"")</f>
        <v/>
      </c>
      <c r="M224">
        <f>IFERROR(IF(ISNUMBER(INDEX(SPPR!$E:$X,MATCH($A224,SPPR!$A:$A,0),10)),$C224*INDEX(SPPR!$E:$X,MATCH($A224,SPPR!$A:$A,0),10),""),"")</f>
        <v/>
      </c>
      <c r="N224">
        <f>IFERROR(IF(ISNUMBER(INDEX(SPPR!$E:$X,MATCH($A224,SPPR!$A:$A,0),11)),$C224*INDEX(SPPR!$E:$X,MATCH($A224,SPPR!$A:$A,0),11),""),"")</f>
        <v/>
      </c>
      <c r="O224">
        <f>IFERROR(IF(ISNUMBER(INDEX(SPPR!$E:$X,MATCH($A224,SPPR!$A:$A,0),12)),$C224*INDEX(SPPR!$E:$X,MATCH($A224,SPPR!$A:$A,0),12),""),"")</f>
        <v/>
      </c>
      <c r="P224">
        <f>IFERROR(IF(ISNUMBER(INDEX(SPPR!$E:$X,MATCH($A224,SPPR!$A:$A,0),13)),$C224*INDEX(SPPR!$E:$X,MATCH($A224,SPPR!$A:$A,0),13),""),"")</f>
        <v/>
      </c>
      <c r="Q224">
        <f>IFERROR(IF(ISNUMBER(INDEX(SPPR!$E:$X,MATCH($A224,SPPR!$A:$A,0),14)),$C224*INDEX(SPPR!$E:$X,MATCH($A224,SPPR!$A:$A,0),14),""),"")</f>
        <v/>
      </c>
      <c r="R224">
        <f>IFERROR(IF(ISNUMBER(INDEX(SPPR!$E:$X,MATCH($A224,SPPR!$A:$A,0),15)),$C224*INDEX(SPPR!$E:$X,MATCH($A224,SPPR!$A:$A,0),15),""),"")</f>
        <v/>
      </c>
      <c r="S224">
        <f>IFERROR(IF(ISNUMBER(INDEX(SPPR!$E:$X,MATCH($A224,SPPR!$A:$A,0),16)),$C224*INDEX(SPPR!$E:$X,MATCH($A224,SPPR!$A:$A,0),16),""),"")</f>
        <v/>
      </c>
      <c r="T224">
        <f>IFERROR(IF(ISNUMBER(INDEX(SPPR!$E:$X,MATCH($A224,SPPR!$A:$A,0),17)),$C224*INDEX(SPPR!$E:$X,MATCH($A224,SPPR!$A:$A,0),17),""),"")</f>
        <v/>
      </c>
      <c r="U224">
        <f>IFERROR(IF(ISNUMBER(INDEX(SPPR!$E:$X,MATCH($A224,SPPR!$A:$A,0),18)),$C224*INDEX(SPPR!$E:$X,MATCH($A224,SPPR!$A:$A,0),18),""),"")</f>
        <v/>
      </c>
      <c r="V224">
        <f>IFERROR(IF(ISNUMBER(INDEX(SPPR!$E:$X,MATCH($A224,SPPR!$A:$A,0),19)),$C224*INDEX(SPPR!$E:$X,MATCH($A224,SPPR!$A:$A,0),19),""),"")</f>
        <v/>
      </c>
      <c r="W224">
        <f>IFERROR(IF(ISNUMBER(INDEX(SPPR!$E:$X,MATCH($A224,SPPR!$A:$A,0),20)),$C224*INDEX(SPPR!$E:$X,MATCH($A224,SPPR!$A:$A,0),20),""),"")</f>
        <v/>
      </c>
    </row>
    <row r="225">
      <c r="A225" t="inlineStr">
        <is>
          <t>Caulolatilus princeps</t>
        </is>
      </c>
      <c r="B225">
        <f>IFERROR(INDEX(SPPR!$D:$D,MATCH($A225,SPPR!$A:$A,0)),"")</f>
        <v/>
      </c>
      <c r="C225">
        <f>IFERROR(INDEX(Catch!$E:$BV,MATCH($A225,Catch!$A:$A,0),MATCH($B$4,Catch!$E$1:$BV$1,0)),0)</f>
        <v/>
      </c>
      <c r="D225">
        <f>IFERROR(IF(ISNUMBER(INDEX(SPPR!$E:$X,MATCH($A225,SPPR!$A:$A,0),1)),$C225*INDEX(SPPR!$E:$X,MATCH($A225,SPPR!$A:$A,0),1),""),"")</f>
        <v/>
      </c>
      <c r="E225">
        <f>IFERROR(IF(ISNUMBER(INDEX(SPPR!$E:$X,MATCH($A225,SPPR!$A:$A,0),2)),$C225*INDEX(SPPR!$E:$X,MATCH($A225,SPPR!$A:$A,0),2),""),"")</f>
        <v/>
      </c>
      <c r="F225">
        <f>IFERROR(IF(ISNUMBER(INDEX(SPPR!$E:$X,MATCH($A225,SPPR!$A:$A,0),3)),$C225*INDEX(SPPR!$E:$X,MATCH($A225,SPPR!$A:$A,0),3),""),"")</f>
        <v/>
      </c>
      <c r="G225">
        <f>IFERROR(IF(ISNUMBER(INDEX(SPPR!$E:$X,MATCH($A225,SPPR!$A:$A,0),4)),$C225*INDEX(SPPR!$E:$X,MATCH($A225,SPPR!$A:$A,0),4),""),"")</f>
        <v/>
      </c>
      <c r="H225">
        <f>IFERROR(IF(ISNUMBER(INDEX(SPPR!$E:$X,MATCH($A225,SPPR!$A:$A,0),5)),$C225*INDEX(SPPR!$E:$X,MATCH($A225,SPPR!$A:$A,0),5),""),"")</f>
        <v/>
      </c>
      <c r="I225">
        <f>IFERROR(IF(ISNUMBER(INDEX(SPPR!$E:$X,MATCH($A225,SPPR!$A:$A,0),6)),$C225*INDEX(SPPR!$E:$X,MATCH($A225,SPPR!$A:$A,0),6),""),"")</f>
        <v/>
      </c>
      <c r="J225">
        <f>IFERROR(IF(ISNUMBER(INDEX(SPPR!$E:$X,MATCH($A225,SPPR!$A:$A,0),7)),$C225*INDEX(SPPR!$E:$X,MATCH($A225,SPPR!$A:$A,0),7),""),"")</f>
        <v/>
      </c>
      <c r="K225">
        <f>IFERROR(IF(ISNUMBER(INDEX(SPPR!$E:$X,MATCH($A225,SPPR!$A:$A,0),8)),$C225*INDEX(SPPR!$E:$X,MATCH($A225,SPPR!$A:$A,0),8),""),"")</f>
        <v/>
      </c>
      <c r="L225">
        <f>IFERROR(IF(ISNUMBER(INDEX(SPPR!$E:$X,MATCH($A225,SPPR!$A:$A,0),9)),$C225*INDEX(SPPR!$E:$X,MATCH($A225,SPPR!$A:$A,0),9),""),"")</f>
        <v/>
      </c>
      <c r="M225">
        <f>IFERROR(IF(ISNUMBER(INDEX(SPPR!$E:$X,MATCH($A225,SPPR!$A:$A,0),10)),$C225*INDEX(SPPR!$E:$X,MATCH($A225,SPPR!$A:$A,0),10),""),"")</f>
        <v/>
      </c>
      <c r="N225">
        <f>IFERROR(IF(ISNUMBER(INDEX(SPPR!$E:$X,MATCH($A225,SPPR!$A:$A,0),11)),$C225*INDEX(SPPR!$E:$X,MATCH($A225,SPPR!$A:$A,0),11),""),"")</f>
        <v/>
      </c>
      <c r="O225">
        <f>IFERROR(IF(ISNUMBER(INDEX(SPPR!$E:$X,MATCH($A225,SPPR!$A:$A,0),12)),$C225*INDEX(SPPR!$E:$X,MATCH($A225,SPPR!$A:$A,0),12),""),"")</f>
        <v/>
      </c>
      <c r="P225">
        <f>IFERROR(IF(ISNUMBER(INDEX(SPPR!$E:$X,MATCH($A225,SPPR!$A:$A,0),13)),$C225*INDEX(SPPR!$E:$X,MATCH($A225,SPPR!$A:$A,0),13),""),"")</f>
        <v/>
      </c>
      <c r="Q225">
        <f>IFERROR(IF(ISNUMBER(INDEX(SPPR!$E:$X,MATCH($A225,SPPR!$A:$A,0),14)),$C225*INDEX(SPPR!$E:$X,MATCH($A225,SPPR!$A:$A,0),14),""),"")</f>
        <v/>
      </c>
      <c r="R225">
        <f>IFERROR(IF(ISNUMBER(INDEX(SPPR!$E:$X,MATCH($A225,SPPR!$A:$A,0),15)),$C225*INDEX(SPPR!$E:$X,MATCH($A225,SPPR!$A:$A,0),15),""),"")</f>
        <v/>
      </c>
      <c r="S225">
        <f>IFERROR(IF(ISNUMBER(INDEX(SPPR!$E:$X,MATCH($A225,SPPR!$A:$A,0),16)),$C225*INDEX(SPPR!$E:$X,MATCH($A225,SPPR!$A:$A,0),16),""),"")</f>
        <v/>
      </c>
      <c r="T225">
        <f>IFERROR(IF(ISNUMBER(INDEX(SPPR!$E:$X,MATCH($A225,SPPR!$A:$A,0),17)),$C225*INDEX(SPPR!$E:$X,MATCH($A225,SPPR!$A:$A,0),17),""),"")</f>
        <v/>
      </c>
      <c r="U225">
        <f>IFERROR(IF(ISNUMBER(INDEX(SPPR!$E:$X,MATCH($A225,SPPR!$A:$A,0),18)),$C225*INDEX(SPPR!$E:$X,MATCH($A225,SPPR!$A:$A,0),18),""),"")</f>
        <v/>
      </c>
      <c r="V225">
        <f>IFERROR(IF(ISNUMBER(INDEX(SPPR!$E:$X,MATCH($A225,SPPR!$A:$A,0),19)),$C225*INDEX(SPPR!$E:$X,MATCH($A225,SPPR!$A:$A,0),19),""),"")</f>
        <v/>
      </c>
      <c r="W225">
        <f>IFERROR(IF(ISNUMBER(INDEX(SPPR!$E:$X,MATCH($A225,SPPR!$A:$A,0),20)),$C225*INDEX(SPPR!$E:$X,MATCH($A225,SPPR!$A:$A,0),20),""),"")</f>
        <v/>
      </c>
    </row>
  </sheetData>
  <dataValidations count="1">
    <dataValidation sqref="B4" showDropDown="0" showInputMessage="0" showErrorMessage="0" allowBlank="0" type="list">
      <formula1>=Catch!$E$1:$BV$1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</cols>
  <sheetData>
    <row r="1">
      <c r="A1" s="1" t="inlineStr">
        <is>
          <t>The model's own compartments, and their SPPR under each method.</t>
        </is>
      </c>
    </row>
    <row r="2">
      <c r="A2" t="inlineStr">
        <is>
          <t>Group names here are authoritative. Everything in the other sheets joins on them character for character.</t>
        </is>
      </c>
    </row>
    <row r="4">
      <c r="A4" s="4" t="inlineStr">
        <is>
          <t>seq</t>
        </is>
      </c>
      <c r="B4" s="4" t="inlineStr">
        <is>
          <t>group_name</t>
        </is>
      </c>
      <c r="C4" s="4" t="inlineStr">
        <is>
          <t>type</t>
        </is>
      </c>
      <c r="D4" s="4" t="inlineStr">
        <is>
          <t>TL</t>
        </is>
      </c>
      <c r="E4" s="4" t="inlineStr">
        <is>
          <t>GE</t>
        </is>
      </c>
      <c r="F4" s="4" t="inlineStr">
        <is>
          <t>EE</t>
        </is>
      </c>
      <c r="G4" s="4" t="inlineStr">
        <is>
          <t>biomass</t>
        </is>
      </c>
      <c r="H4" s="4" t="inlineStr">
        <is>
          <t>model catch</t>
        </is>
      </c>
      <c r="I4" s="4" t="inlineStr">
        <is>
          <t>SPPR_1986</t>
        </is>
      </c>
      <c r="J4" s="4" t="inlineStr">
        <is>
          <t>SPPR_1995_TE0.1</t>
        </is>
      </c>
      <c r="K4" s="4" t="inlineStr">
        <is>
          <t>SPPR_1995_TEmean</t>
        </is>
      </c>
      <c r="L4" s="4" t="inlineStr">
        <is>
          <t>Ulanowicz_globalTEmean</t>
        </is>
      </c>
      <c r="M4" s="4" t="inlineStr">
        <is>
          <t>Ulanowicz_TE</t>
        </is>
      </c>
      <c r="N4" s="4" t="inlineStr">
        <is>
          <t>EwE_TE_noEE</t>
        </is>
      </c>
      <c r="O4" s="4" t="inlineStr">
        <is>
          <t>EwE_TE_EE</t>
        </is>
      </c>
      <c r="P4" s="4" t="inlineStr">
        <is>
          <t>SPPR_2015</t>
        </is>
      </c>
      <c r="Q4" s="4" t="inlineStr">
        <is>
          <t>new_TE_noEEfix</t>
        </is>
      </c>
      <c r="R4" s="4" t="inlineStr">
        <is>
          <t>new_TE_EEfix</t>
        </is>
      </c>
      <c r="S4" s="4" t="inlineStr">
        <is>
          <t>new_GE</t>
        </is>
      </c>
      <c r="T4" s="4" t="inlineStr">
        <is>
          <t>new_WithEgestion</t>
        </is>
      </c>
      <c r="U4" s="4" t="inlineStr">
        <is>
          <t>sym_TE_asPP</t>
        </is>
      </c>
      <c r="V4" s="4" t="inlineStr">
        <is>
          <t>sym_TE_asDC</t>
        </is>
      </c>
      <c r="W4" s="4" t="inlineStr">
        <is>
          <t>sym_GE_asPP</t>
        </is>
      </c>
      <c r="X4" s="4" t="inlineStr">
        <is>
          <t>sym_GE_asDC</t>
        </is>
      </c>
      <c r="Y4" s="4" t="inlineStr">
        <is>
          <t>sym_WithEgestion_asPP</t>
        </is>
      </c>
      <c r="Z4" s="4" t="inlineStr">
        <is>
          <t>sym_WithEgestion_asDC</t>
        </is>
      </c>
      <c r="AA4" s="4" t="inlineStr">
        <is>
          <t>MC_new_GE</t>
        </is>
      </c>
      <c r="AB4" s="4" t="inlineStr">
        <is>
          <t>MC_new_TE_EEfix</t>
        </is>
      </c>
    </row>
    <row r="5">
      <c r="A5" t="n">
        <v>1</v>
      </c>
      <c r="B5" t="inlineStr">
        <is>
          <t>Diatoms</t>
        </is>
      </c>
      <c r="C5" t="inlineStr">
        <is>
          <t>PP</t>
        </is>
      </c>
      <c r="D5" t="n">
        <v>1</v>
      </c>
      <c r="E5" t="n">
        <v>1</v>
      </c>
      <c r="F5" t="n">
        <v>0.8216763734817505</v>
      </c>
      <c r="G5" t="n">
        <v>34.0885009765625</v>
      </c>
      <c r="H5" t="n">
        <v>0</v>
      </c>
      <c r="I5" t="n">
        <v>100.341534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0.821676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W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2</v>
      </c>
      <c r="B6" t="inlineStr">
        <is>
          <t>Dino/silicoflagellates</t>
        </is>
      </c>
      <c r="C6" t="inlineStr">
        <is>
          <t>PP</t>
        </is>
      </c>
      <c r="D6" t="n">
        <v>1</v>
      </c>
      <c r="E6" t="n">
        <v>1</v>
      </c>
      <c r="F6" t="n">
        <v>0.9668939113616943</v>
      </c>
      <c r="G6" t="n">
        <v>13.3769998550415</v>
      </c>
      <c r="H6" t="n">
        <v>0</v>
      </c>
      <c r="I6" t="n">
        <v>100.341534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0.966894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W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3</v>
      </c>
      <c r="B7" t="inlineStr">
        <is>
          <t>Microzooplankton</t>
        </is>
      </c>
      <c r="C7" t="inlineStr">
        <is>
          <t>Regular</t>
        </is>
      </c>
      <c r="D7" t="n">
        <v>2.212121212121212</v>
      </c>
      <c r="E7" t="n">
        <v>0.25</v>
      </c>
      <c r="F7" t="n">
        <v>0.9567446112632751</v>
      </c>
      <c r="G7" t="n">
        <v>13.54213619232178</v>
      </c>
      <c r="H7" t="n">
        <v>0</v>
      </c>
      <c r="I7" t="n">
        <v>100.341534</v>
      </c>
      <c r="J7" t="n">
        <v>10</v>
      </c>
      <c r="K7" t="n">
        <v>9.716343999999999</v>
      </c>
      <c r="L7" t="n">
        <v>8.015984</v>
      </c>
      <c r="M7" t="n">
        <v>3.449196</v>
      </c>
      <c r="N7" t="n">
        <v>3.449196</v>
      </c>
      <c r="O7" t="n">
        <v>3.3</v>
      </c>
      <c r="P7" t="n">
        <v>6.231874</v>
      </c>
      <c r="Q7" t="n">
        <v>6.231874</v>
      </c>
      <c r="R7" t="n">
        <v>6.231874</v>
      </c>
      <c r="S7" t="n">
        <v>-20.155162</v>
      </c>
      <c r="T7" t="n">
        <v>-67.248914</v>
      </c>
      <c r="U7" t="n">
        <v>6.231874</v>
      </c>
      <c r="W7" t="n">
        <v>-20.155162</v>
      </c>
      <c r="Y7" t="n">
        <v>36.919939</v>
      </c>
      <c r="Z7" t="n">
        <v>38.317719</v>
      </c>
      <c r="AA7" t="n">
        <v>343.066459</v>
      </c>
      <c r="AB7" t="n">
        <v>7.435466</v>
      </c>
    </row>
    <row r="8">
      <c r="A8" t="n">
        <v>4</v>
      </c>
      <c r="B8" t="inlineStr">
        <is>
          <t>Mesozooplankton</t>
        </is>
      </c>
      <c r="C8" t="inlineStr">
        <is>
          <t>Regular</t>
        </is>
      </c>
      <c r="D8" t="n">
        <v>2.181818181818182</v>
      </c>
      <c r="E8" t="n">
        <v>0.32</v>
      </c>
      <c r="F8" t="n">
        <v>0.9261996746063232</v>
      </c>
      <c r="G8" t="n">
        <v>24.08200073242188</v>
      </c>
      <c r="H8" t="n">
        <v>0</v>
      </c>
      <c r="I8" t="n">
        <v>100.341534</v>
      </c>
      <c r="J8" t="n">
        <v>14.125375</v>
      </c>
      <c r="K8" t="n">
        <v>13.665588</v>
      </c>
      <c r="L8" t="n">
        <v>19.941802</v>
      </c>
      <c r="M8" t="n">
        <v>4.613542</v>
      </c>
      <c r="N8" t="n">
        <v>4.613542</v>
      </c>
      <c r="O8" t="n">
        <v>4.273061</v>
      </c>
      <c r="P8" t="n">
        <v>6.021856</v>
      </c>
      <c r="Q8" t="n">
        <v>6.021856</v>
      </c>
      <c r="R8" t="n">
        <v>6.021856</v>
      </c>
      <c r="S8" t="n">
        <v>-6.791482</v>
      </c>
      <c r="T8" t="n">
        <v>-18.763341</v>
      </c>
      <c r="U8" t="n">
        <v>6.021856</v>
      </c>
      <c r="W8" t="n">
        <v>-6.791482</v>
      </c>
      <c r="Y8" t="n">
        <v>12.975606</v>
      </c>
      <c r="Z8" t="n">
        <v>13.401493</v>
      </c>
      <c r="AA8" t="n">
        <v>172.707661</v>
      </c>
      <c r="AB8" t="n">
        <v>6.701891</v>
      </c>
    </row>
    <row r="9">
      <c r="A9" t="n">
        <v>5</v>
      </c>
      <c r="B9" t="inlineStr">
        <is>
          <t>Macrozooplankton</t>
        </is>
      </c>
      <c r="C9" t="inlineStr">
        <is>
          <t>Regular</t>
        </is>
      </c>
      <c r="D9" t="n">
        <v>2.303030303030303</v>
      </c>
      <c r="E9" t="n">
        <v>0.410000022126064</v>
      </c>
      <c r="F9" t="n">
        <v>0.9499998688697815</v>
      </c>
      <c r="G9" t="n">
        <v>37.42471313476562</v>
      </c>
      <c r="H9" t="n">
        <v>0</v>
      </c>
      <c r="I9" t="n">
        <v>100.341534</v>
      </c>
      <c r="J9" t="n">
        <v>17.782794</v>
      </c>
      <c r="K9" t="n">
        <v>17.154522</v>
      </c>
      <c r="L9" t="n">
        <v>26.758774</v>
      </c>
      <c r="M9" t="n">
        <v>4.139407</v>
      </c>
      <c r="N9" t="n">
        <v>4.139407</v>
      </c>
      <c r="O9" t="n">
        <v>3.932437</v>
      </c>
      <c r="P9" t="n">
        <v>5.925465</v>
      </c>
      <c r="Q9" t="n">
        <v>5.925465</v>
      </c>
      <c r="R9" t="n">
        <v>5.925465</v>
      </c>
      <c r="S9" t="n">
        <v>-10.460464</v>
      </c>
      <c r="T9" t="n">
        <v>-31.340932</v>
      </c>
      <c r="U9" t="n">
        <v>5.925465</v>
      </c>
      <c r="W9" t="n">
        <v>-10.460464</v>
      </c>
      <c r="Y9" t="n">
        <v>19.47314</v>
      </c>
      <c r="Z9" t="n">
        <v>20.154984</v>
      </c>
      <c r="AA9" t="n">
        <v>201.243487</v>
      </c>
      <c r="AB9" t="n">
        <v>6.798716</v>
      </c>
    </row>
    <row r="10">
      <c r="A10" t="n">
        <v>6</v>
      </c>
      <c r="B10" t="inlineStr">
        <is>
          <t>Gelatinous zooplankton</t>
        </is>
      </c>
      <c r="C10" t="inlineStr">
        <is>
          <t>Regular</t>
        </is>
      </c>
      <c r="D10" t="n">
        <v>2.992424242424243</v>
      </c>
      <c r="E10" t="n">
        <v>0.2000000081650203</v>
      </c>
      <c r="F10" t="n">
        <v>0.949999988079071</v>
      </c>
      <c r="G10" t="n">
        <v>0.009068332612514496</v>
      </c>
      <c r="H10" t="n">
        <v>0</v>
      </c>
      <c r="I10" t="n">
        <v>100.341534</v>
      </c>
      <c r="J10" t="n">
        <v>83.736859</v>
      </c>
      <c r="K10" t="n">
        <v>79.22929499999999</v>
      </c>
      <c r="L10" t="n">
        <v>157.150274</v>
      </c>
      <c r="M10" t="n">
        <v>19.207344</v>
      </c>
      <c r="N10" t="n">
        <v>19.207344</v>
      </c>
      <c r="O10" t="n">
        <v>18.246977</v>
      </c>
      <c r="P10" t="n">
        <v>30.433622</v>
      </c>
      <c r="Q10" t="n">
        <v>30.433622</v>
      </c>
      <c r="R10" t="n">
        <v>30.433622</v>
      </c>
      <c r="S10" t="n">
        <v>-40.633736</v>
      </c>
      <c r="T10" t="n">
        <v>-75.86727</v>
      </c>
      <c r="U10" t="n">
        <v>30.433622</v>
      </c>
      <c r="W10" t="n">
        <v>-40.633736</v>
      </c>
      <c r="Y10" t="n">
        <v>47.972489</v>
      </c>
      <c r="Z10" t="n">
        <v>49.634221</v>
      </c>
      <c r="AA10" t="n">
        <v>913.348111</v>
      </c>
      <c r="AB10" t="n">
        <v>34.445677</v>
      </c>
    </row>
    <row r="11">
      <c r="A11" t="n">
        <v>7</v>
      </c>
      <c r="B11" t="inlineStr">
        <is>
          <t>Chrysaora plocamia</t>
        </is>
      </c>
      <c r="C11" t="inlineStr">
        <is>
          <t>Regular</t>
        </is>
      </c>
      <c r="D11" t="n">
        <v>3.051393802259995</v>
      </c>
      <c r="E11" t="n">
        <v>0.2678571428571428</v>
      </c>
      <c r="F11" t="n">
        <v>6.117804878158495e-05</v>
      </c>
      <c r="G11" t="n">
        <v>8.464285850524902</v>
      </c>
      <c r="H11" t="n">
        <v>0</v>
      </c>
      <c r="I11" t="n">
        <v>100.341534</v>
      </c>
      <c r="J11" t="n">
        <v>104.843322</v>
      </c>
      <c r="K11" t="n">
        <v>98.921314</v>
      </c>
      <c r="L11" t="n">
        <v>235.089971</v>
      </c>
      <c r="M11" t="n">
        <v>286887.918183</v>
      </c>
      <c r="N11" t="n">
        <v>286887.918183</v>
      </c>
      <c r="O11" t="n">
        <v>17.551243</v>
      </c>
      <c r="P11" t="n">
        <v>381475.8649</v>
      </c>
      <c r="Q11" t="n">
        <v>381475.864896</v>
      </c>
      <c r="R11" t="n">
        <v>381475.864896</v>
      </c>
      <c r="S11" t="n">
        <v>-30.415099</v>
      </c>
      <c r="T11" t="n">
        <v>-56.231379</v>
      </c>
      <c r="U11" t="n">
        <v>381475.864896</v>
      </c>
      <c r="W11" t="n">
        <v>-30.415099</v>
      </c>
      <c r="Y11" t="n">
        <v>36.109759</v>
      </c>
      <c r="Z11" t="n">
        <v>37.346278</v>
      </c>
      <c r="AA11" t="n">
        <v>804.451973</v>
      </c>
      <c r="AB11" t="n">
        <v>432377.280529</v>
      </c>
    </row>
    <row r="12">
      <c r="A12" t="n">
        <v>8</v>
      </c>
      <c r="B12" t="inlineStr">
        <is>
          <t>Macrobenthos</t>
        </is>
      </c>
      <c r="C12" t="inlineStr">
        <is>
          <t>Regular</t>
        </is>
      </c>
      <c r="D12" t="n">
        <v>2.052631578947368</v>
      </c>
      <c r="E12" t="n">
        <v>0.1199999933242804</v>
      </c>
      <c r="F12" t="n">
        <v>0.7902949452400208</v>
      </c>
      <c r="G12" t="n">
        <v>23.16699981689453</v>
      </c>
      <c r="H12" t="n">
        <v>0</v>
      </c>
      <c r="I12" t="n">
        <v>100.341534</v>
      </c>
      <c r="J12" t="n">
        <v>10</v>
      </c>
      <c r="K12" t="n">
        <v>9.716343999999999</v>
      </c>
      <c r="L12" t="n">
        <v>9.230527</v>
      </c>
      <c r="M12" t="n">
        <v>10.017358</v>
      </c>
      <c r="N12" t="n">
        <v>10.017358</v>
      </c>
      <c r="O12" t="n">
        <v>7.916667</v>
      </c>
      <c r="P12" t="n">
        <v>2.899495</v>
      </c>
      <c r="Q12" t="n">
        <v>2.899495</v>
      </c>
      <c r="R12" t="n">
        <v>2.899495</v>
      </c>
      <c r="S12" t="n">
        <v>-50.833365</v>
      </c>
      <c r="T12" t="n">
        <v>-184.825074</v>
      </c>
      <c r="U12" t="n">
        <v>2.899495</v>
      </c>
      <c r="W12" t="n">
        <v>-50.833365</v>
      </c>
      <c r="Y12" t="n">
        <v>91.52878800000001</v>
      </c>
      <c r="Z12" t="n">
        <v>116.691946</v>
      </c>
      <c r="AA12" t="n">
        <v>929.622982</v>
      </c>
      <c r="AB12" t="n">
        <v>3.093013</v>
      </c>
    </row>
    <row r="13">
      <c r="A13" t="n">
        <v>9</v>
      </c>
      <c r="B13" t="inlineStr">
        <is>
          <t>Sardine</t>
        </is>
      </c>
      <c r="C13" t="inlineStr">
        <is>
          <t>Regular</t>
        </is>
      </c>
      <c r="D13" t="n">
        <v>3.081475158660141</v>
      </c>
      <c r="E13" t="n">
        <v>0.1166666646798452</v>
      </c>
      <c r="F13" t="n">
        <v>0.9700034856796265</v>
      </c>
      <c r="G13" t="n">
        <v>10.73799991607666</v>
      </c>
      <c r="H13" t="n">
        <v>5.82596898325</v>
      </c>
      <c r="I13" t="n">
        <v>100.341534</v>
      </c>
      <c r="J13" t="n">
        <v>110.734289</v>
      </c>
      <c r="K13" t="n">
        <v>104.408181</v>
      </c>
      <c r="L13" t="n">
        <v>186.968209</v>
      </c>
      <c r="M13" t="n">
        <v>36.031758</v>
      </c>
      <c r="N13" t="n">
        <v>36.031758</v>
      </c>
      <c r="O13" t="n">
        <v>34.950931</v>
      </c>
      <c r="P13" t="n">
        <v>48.153928</v>
      </c>
      <c r="Q13" t="n">
        <v>48.153928</v>
      </c>
      <c r="R13" t="n">
        <v>48.153928</v>
      </c>
      <c r="S13" t="n">
        <v>-60.849913</v>
      </c>
      <c r="T13" t="n">
        <v>-115.044593</v>
      </c>
      <c r="U13" t="n">
        <v>48.153928</v>
      </c>
      <c r="W13" t="n">
        <v>-60.849913</v>
      </c>
      <c r="Y13" t="n">
        <v>76.49407100000001</v>
      </c>
      <c r="Z13" t="n">
        <v>79.06417399999999</v>
      </c>
      <c r="AA13" t="n">
        <v>1336.899397</v>
      </c>
      <c r="AB13" t="n">
        <v>54.375213</v>
      </c>
    </row>
    <row r="14">
      <c r="A14" t="n">
        <v>10</v>
      </c>
      <c r="B14" t="inlineStr">
        <is>
          <t>Anchovy</t>
        </is>
      </c>
      <c r="C14" t="inlineStr">
        <is>
          <t>Regular</t>
        </is>
      </c>
      <c r="D14" t="n">
        <v>2.934081345765596</v>
      </c>
      <c r="E14" t="n">
        <v>0.1333333333333333</v>
      </c>
      <c r="F14" t="n">
        <v>0.8148474097251892</v>
      </c>
      <c r="G14" t="n">
        <v>58.31650161743164</v>
      </c>
      <c r="H14" t="n">
        <v>23.1699877955</v>
      </c>
      <c r="I14" t="n">
        <v>100.341534</v>
      </c>
      <c r="J14" t="n">
        <v>79.859919</v>
      </c>
      <c r="K14" t="n">
        <v>75.605829</v>
      </c>
      <c r="L14" t="n">
        <v>172.399554</v>
      </c>
      <c r="M14" t="n">
        <v>32.654082</v>
      </c>
      <c r="N14" t="n">
        <v>32.654082</v>
      </c>
      <c r="O14" t="n">
        <v>26.608094</v>
      </c>
      <c r="P14" t="n">
        <v>43.673175</v>
      </c>
      <c r="Q14" t="n">
        <v>43.673175</v>
      </c>
      <c r="R14" t="n">
        <v>43.673175</v>
      </c>
      <c r="S14" t="n">
        <v>-46.608493</v>
      </c>
      <c r="T14" t="n">
        <v>-90.268379</v>
      </c>
      <c r="U14" t="n">
        <v>43.673175</v>
      </c>
      <c r="W14" t="n">
        <v>-46.608493</v>
      </c>
      <c r="Y14" t="n">
        <v>60.488948</v>
      </c>
      <c r="Z14" t="n">
        <v>62.511821</v>
      </c>
      <c r="AA14" t="n">
        <v>1076.569236</v>
      </c>
      <c r="AB14" t="n">
        <v>49.223524</v>
      </c>
    </row>
    <row r="15">
      <c r="A15" t="n">
        <v>11</v>
      </c>
      <c r="B15" t="inlineStr">
        <is>
          <t>Mesopelagic fish</t>
        </is>
      </c>
      <c r="C15" t="inlineStr">
        <is>
          <t>Regular</t>
        </is>
      </c>
      <c r="D15" t="n">
        <v>3.284848484848485</v>
      </c>
      <c r="E15" t="n">
        <v>0.09999999829701015</v>
      </c>
      <c r="F15" t="n">
        <v>0.2638949751853943</v>
      </c>
      <c r="G15" t="n">
        <v>14.62849998474121</v>
      </c>
      <c r="H15" t="n">
        <v>0</v>
      </c>
      <c r="I15" t="n">
        <v>100.341534</v>
      </c>
      <c r="J15" t="n">
        <v>171.790839</v>
      </c>
      <c r="K15" t="n">
        <v>161.090151</v>
      </c>
      <c r="L15" t="n">
        <v>250.06206</v>
      </c>
      <c r="M15" t="n">
        <v>159.553159</v>
      </c>
      <c r="N15" t="n">
        <v>159.553159</v>
      </c>
      <c r="O15" t="n">
        <v>42.105277</v>
      </c>
      <c r="P15" t="n">
        <v>225.086655</v>
      </c>
      <c r="Q15" t="n">
        <v>225.086655</v>
      </c>
      <c r="R15" t="n">
        <v>225.086655</v>
      </c>
      <c r="S15" t="n">
        <v>-99.101168</v>
      </c>
      <c r="T15" t="n">
        <v>-191.452909</v>
      </c>
      <c r="U15" t="n">
        <v>225.086655</v>
      </c>
      <c r="W15" t="n">
        <v>-99.101168</v>
      </c>
      <c r="Y15" t="n">
        <v>120.240317</v>
      </c>
      <c r="Z15" t="n">
        <v>124.422743</v>
      </c>
      <c r="AA15" t="n">
        <v>2077.939194</v>
      </c>
      <c r="AB15" t="n">
        <v>264.635237</v>
      </c>
    </row>
    <row r="16">
      <c r="A16" t="n">
        <v>12</v>
      </c>
      <c r="B16" t="inlineStr">
        <is>
          <t>Jumbo squid</t>
        </is>
      </c>
      <c r="C16" t="inlineStr">
        <is>
          <t>Regular</t>
        </is>
      </c>
      <c r="D16" t="n">
        <v>4.086797321850294</v>
      </c>
      <c r="E16" t="n">
        <v>0.3499999812690237</v>
      </c>
      <c r="F16" t="n">
        <v>0.7999784350395203</v>
      </c>
      <c r="G16" t="n">
        <v>0.3835000097751617</v>
      </c>
      <c r="H16" t="n">
        <v>0.10546329965</v>
      </c>
      <c r="I16" t="n">
        <v>100.341534</v>
      </c>
      <c r="J16" t="n">
        <v>702.789811</v>
      </c>
      <c r="K16" t="n">
        <v>647.512865</v>
      </c>
      <c r="L16" t="n">
        <v>1318.510929</v>
      </c>
      <c r="M16" t="n">
        <v>236.565116</v>
      </c>
      <c r="N16" t="n">
        <v>271.85235</v>
      </c>
      <c r="O16" t="n">
        <v>217.476018</v>
      </c>
      <c r="P16" t="n">
        <v>831.745041</v>
      </c>
      <c r="Q16" t="n">
        <v>831.745041</v>
      </c>
      <c r="R16" t="n">
        <v>831.745041</v>
      </c>
      <c r="S16" t="n">
        <v>-273.766548</v>
      </c>
      <c r="T16" t="n">
        <v>-364.499399</v>
      </c>
      <c r="U16" t="n">
        <v>831.745041</v>
      </c>
      <c r="W16" t="n">
        <v>-273.766548</v>
      </c>
      <c r="Y16" t="n">
        <v>230.761943</v>
      </c>
      <c r="Z16" t="n">
        <v>241.869962</v>
      </c>
      <c r="AA16" t="n">
        <v>5891.013993</v>
      </c>
      <c r="AB16" t="n">
        <v>1054.680272</v>
      </c>
    </row>
    <row r="17">
      <c r="A17" t="n">
        <v>13</v>
      </c>
      <c r="B17" t="inlineStr">
        <is>
          <t>Other cephalopods</t>
        </is>
      </c>
      <c r="C17" t="inlineStr">
        <is>
          <t>Regular</t>
        </is>
      </c>
      <c r="D17" t="n">
        <v>3.174424242424243</v>
      </c>
      <c r="E17" t="n">
        <v>0.4300000190734863</v>
      </c>
      <c r="F17" t="n">
        <v>0.949999988079071</v>
      </c>
      <c r="G17" t="n">
        <v>1.806318402290344</v>
      </c>
      <c r="H17" t="n">
        <v>0.0354708445375</v>
      </c>
      <c r="I17" t="n">
        <v>100.341534</v>
      </c>
      <c r="J17" t="n">
        <v>133.998519</v>
      </c>
      <c r="K17" t="n">
        <v>126.042621</v>
      </c>
      <c r="L17" t="n">
        <v>240.466435</v>
      </c>
      <c r="M17" t="n">
        <v>9.809711</v>
      </c>
      <c r="N17" t="n">
        <v>9.809711</v>
      </c>
      <c r="O17" t="n">
        <v>9.319224999999999</v>
      </c>
      <c r="P17" t="n">
        <v>13.826862</v>
      </c>
      <c r="Q17" t="n">
        <v>13.826862</v>
      </c>
      <c r="R17" t="n">
        <v>13.826862</v>
      </c>
      <c r="S17" t="n">
        <v>-21.746323</v>
      </c>
      <c r="T17" t="n">
        <v>-52.393884</v>
      </c>
      <c r="U17" t="n">
        <v>13.826862</v>
      </c>
      <c r="W17" t="n">
        <v>-21.746323</v>
      </c>
      <c r="Y17" t="n">
        <v>33.004478</v>
      </c>
      <c r="Z17" t="n">
        <v>37.738157</v>
      </c>
      <c r="AA17" t="n">
        <v>384.456062</v>
      </c>
      <c r="AB17" t="n">
        <v>15.987649</v>
      </c>
    </row>
    <row r="18">
      <c r="A18" t="n">
        <v>14</v>
      </c>
      <c r="B18" t="inlineStr">
        <is>
          <t>Other small pelagic fish</t>
        </is>
      </c>
      <c r="C18" t="inlineStr">
        <is>
          <t>Regular</t>
        </is>
      </c>
      <c r="D18" t="n">
        <v>2.768181818181818</v>
      </c>
      <c r="E18" t="n">
        <v>0.1</v>
      </c>
      <c r="F18" t="n">
        <v>0.8999999761581421</v>
      </c>
      <c r="G18" t="n">
        <v>10.99500560760498</v>
      </c>
      <c r="H18" t="n">
        <v>1.689793515</v>
      </c>
      <c r="I18" t="n">
        <v>100.341534</v>
      </c>
      <c r="J18" t="n">
        <v>55.911353</v>
      </c>
      <c r="K18" t="n">
        <v>53.169346</v>
      </c>
      <c r="L18" t="n">
        <v>129.345644</v>
      </c>
      <c r="M18" t="n">
        <v>37.208913</v>
      </c>
      <c r="N18" t="n">
        <v>37.208913</v>
      </c>
      <c r="O18" t="n">
        <v>33.488021</v>
      </c>
      <c r="P18" t="n">
        <v>47.38007</v>
      </c>
      <c r="Q18" t="n">
        <v>47.38007</v>
      </c>
      <c r="R18" t="n">
        <v>47.38007</v>
      </c>
      <c r="S18" t="n">
        <v>-40.644634</v>
      </c>
      <c r="T18" t="n">
        <v>-77.00011499999999</v>
      </c>
      <c r="U18" t="n">
        <v>47.38007</v>
      </c>
      <c r="W18" t="n">
        <v>-40.644634</v>
      </c>
      <c r="Y18" t="n">
        <v>57.096937</v>
      </c>
      <c r="Z18" t="n">
        <v>61.654006</v>
      </c>
      <c r="AA18" t="n">
        <v>1242.265249</v>
      </c>
      <c r="AB18" t="n">
        <v>52.602205</v>
      </c>
    </row>
    <row r="19">
      <c r="A19" t="n">
        <v>15</v>
      </c>
      <c r="B19" t="inlineStr">
        <is>
          <t>Horse mackerel</t>
        </is>
      </c>
      <c r="C19" t="inlineStr">
        <is>
          <t>Regular</t>
        </is>
      </c>
      <c r="D19" t="n">
        <v>3.445340771821614</v>
      </c>
      <c r="E19" t="n">
        <v>0.1200000047683716</v>
      </c>
      <c r="F19" t="n">
        <v>0.2355170845985413</v>
      </c>
      <c r="G19" t="n">
        <v>7.298999786376953</v>
      </c>
      <c r="H19" t="n">
        <v>1.7465229457</v>
      </c>
      <c r="I19" t="n">
        <v>100.341534</v>
      </c>
      <c r="J19" t="n">
        <v>256.972815</v>
      </c>
      <c r="K19" t="n">
        <v>239.756609</v>
      </c>
      <c r="L19" t="n">
        <v>917.183319</v>
      </c>
      <c r="M19" t="n">
        <v>603.956798</v>
      </c>
      <c r="N19" t="n">
        <v>603.956798</v>
      </c>
      <c r="O19" t="n">
        <v>142.242144</v>
      </c>
      <c r="P19" t="n">
        <v>799.915344</v>
      </c>
      <c r="Q19" t="n">
        <v>799.915344</v>
      </c>
      <c r="R19" t="n">
        <v>799.915344</v>
      </c>
      <c r="S19" t="n">
        <v>-225.032932</v>
      </c>
      <c r="T19" t="n">
        <v>-321.007038</v>
      </c>
      <c r="U19" t="n">
        <v>799.915344</v>
      </c>
      <c r="W19" t="n">
        <v>-225.032932</v>
      </c>
      <c r="Y19" t="n">
        <v>207.897305</v>
      </c>
      <c r="Z19" t="n">
        <v>217.28759</v>
      </c>
      <c r="AA19" t="n">
        <v>4639.642196</v>
      </c>
      <c r="AB19" t="n">
        <v>914.487717</v>
      </c>
    </row>
    <row r="20">
      <c r="A20" t="n">
        <v>16</v>
      </c>
      <c r="B20" t="inlineStr">
        <is>
          <t>Chub mackerel</t>
        </is>
      </c>
      <c r="C20" t="inlineStr">
        <is>
          <t>Regular</t>
        </is>
      </c>
      <c r="D20" t="n">
        <v>3.601955384262967</v>
      </c>
      <c r="E20" t="n">
        <v>0.08500000238418579</v>
      </c>
      <c r="F20" t="n">
        <v>0.1551274508237839</v>
      </c>
      <c r="G20" t="n">
        <v>7.690000057220459</v>
      </c>
      <c r="H20" t="n">
        <v>0.7426541746</v>
      </c>
      <c r="I20" t="n">
        <v>100.341534</v>
      </c>
      <c r="J20" t="n">
        <v>367.102367</v>
      </c>
      <c r="K20" t="n">
        <v>340.984619</v>
      </c>
      <c r="L20" t="n">
        <v>1026.554481</v>
      </c>
      <c r="M20" t="n">
        <v>1462.563584</v>
      </c>
      <c r="N20" t="n">
        <v>1462.563584</v>
      </c>
      <c r="O20" t="n">
        <v>226.88376</v>
      </c>
      <c r="P20" t="n">
        <v>1951.049028</v>
      </c>
      <c r="Q20" t="n">
        <v>1951.049028</v>
      </c>
      <c r="R20" t="n">
        <v>1951.049028</v>
      </c>
      <c r="S20" t="n">
        <v>-337.355195</v>
      </c>
      <c r="T20" t="n">
        <v>-532.270367</v>
      </c>
      <c r="U20" t="n">
        <v>1951.049028</v>
      </c>
      <c r="W20" t="n">
        <v>-337.355195</v>
      </c>
      <c r="Y20" t="n">
        <v>354.114289</v>
      </c>
      <c r="Z20" t="n">
        <v>369.116223</v>
      </c>
      <c r="AA20" t="n">
        <v>7302.838698</v>
      </c>
      <c r="AB20" t="n">
        <v>2206.173008</v>
      </c>
    </row>
    <row r="21">
      <c r="A21" t="n">
        <v>17</v>
      </c>
      <c r="B21" t="inlineStr">
        <is>
          <t>Other large pelagic fish</t>
        </is>
      </c>
      <c r="C21" t="inlineStr">
        <is>
          <t>Regular</t>
        </is>
      </c>
      <c r="D21" t="n">
        <v>3.897127954782604</v>
      </c>
      <c r="E21" t="n">
        <v>0.1</v>
      </c>
      <c r="F21" t="n">
        <v>0.533972442150116</v>
      </c>
      <c r="G21" t="n">
        <v>1.172999978065491</v>
      </c>
      <c r="H21" t="n">
        <v>0.3338190135</v>
      </c>
      <c r="I21" t="n">
        <v>100.341534</v>
      </c>
      <c r="J21" t="n">
        <v>721.5611730000001</v>
      </c>
      <c r="K21" t="n">
        <v>664.588831</v>
      </c>
      <c r="L21" t="n">
        <v>1923.880477</v>
      </c>
      <c r="M21" t="n">
        <v>707.786261</v>
      </c>
      <c r="N21" t="n">
        <v>730.795754</v>
      </c>
      <c r="O21" t="n">
        <v>390.224794</v>
      </c>
      <c r="P21" t="n">
        <v>1280.174581</v>
      </c>
      <c r="Q21" t="n">
        <v>1280.174581</v>
      </c>
      <c r="R21" t="n">
        <v>1280.174581</v>
      </c>
      <c r="S21" t="n">
        <v>-479.794164</v>
      </c>
      <c r="T21" t="n">
        <v>-709.965776</v>
      </c>
      <c r="U21" t="n">
        <v>1280.174581</v>
      </c>
      <c r="W21" t="n">
        <v>-479.794164</v>
      </c>
      <c r="Y21" t="n">
        <v>483.377545</v>
      </c>
      <c r="Z21" t="n">
        <v>503.881531</v>
      </c>
      <c r="AA21" t="n">
        <v>10483.563691</v>
      </c>
      <c r="AB21" t="n">
        <v>1536.980814</v>
      </c>
    </row>
    <row r="22">
      <c r="A22" t="n">
        <v>18</v>
      </c>
      <c r="B22" t="inlineStr">
        <is>
          <t>Small hake</t>
        </is>
      </c>
      <c r="C22" t="inlineStr">
        <is>
          <t>Regular</t>
        </is>
      </c>
      <c r="D22" t="n">
        <v>3.730402926500451</v>
      </c>
      <c r="E22" t="n">
        <v>0.1500000063719893</v>
      </c>
      <c r="F22" t="n">
        <v>0.7213676571846008</v>
      </c>
      <c r="G22" t="n">
        <v>2.007999897003174</v>
      </c>
      <c r="H22" t="n">
        <v>1.1659147664</v>
      </c>
      <c r="I22" t="n">
        <v>100.341534</v>
      </c>
      <c r="J22" t="n">
        <v>457.125961</v>
      </c>
      <c r="K22" t="n">
        <v>423.441246</v>
      </c>
      <c r="L22" t="n">
        <v>1666.947695</v>
      </c>
      <c r="M22" t="n">
        <v>393.833645</v>
      </c>
      <c r="N22" t="n">
        <v>403.645372</v>
      </c>
      <c r="O22" t="n">
        <v>291.176716</v>
      </c>
      <c r="P22" t="n">
        <v>731.770146</v>
      </c>
      <c r="Q22" t="n">
        <v>731.770146</v>
      </c>
      <c r="R22" t="n">
        <v>731.770146</v>
      </c>
      <c r="S22" t="n">
        <v>-340.602532</v>
      </c>
      <c r="T22" t="n">
        <v>-472.14679</v>
      </c>
      <c r="U22" t="n">
        <v>731.770146</v>
      </c>
      <c r="W22" t="n">
        <v>-340.602532</v>
      </c>
      <c r="Y22" t="n">
        <v>292.9608</v>
      </c>
      <c r="Z22" t="n">
        <v>320.873839</v>
      </c>
      <c r="AA22" t="n">
        <v>6470.309338</v>
      </c>
      <c r="AB22" t="n">
        <v>879.923804</v>
      </c>
    </row>
    <row r="23">
      <c r="A23" t="n">
        <v>19</v>
      </c>
      <c r="B23" t="inlineStr">
        <is>
          <t>Medium hake</t>
        </is>
      </c>
      <c r="C23" t="inlineStr">
        <is>
          <t>Regular</t>
        </is>
      </c>
      <c r="D23" t="n">
        <v>3.867970436464992</v>
      </c>
      <c r="E23" t="n">
        <v>0.15</v>
      </c>
      <c r="F23" t="n">
        <v>0.1407445818185806</v>
      </c>
      <c r="G23" t="n">
        <v>0.2885000109672546</v>
      </c>
      <c r="H23" t="n">
        <v>0.048676</v>
      </c>
      <c r="I23" t="n">
        <v>100.341534</v>
      </c>
      <c r="J23" t="n">
        <v>684.909601</v>
      </c>
      <c r="K23" t="n">
        <v>631.242264</v>
      </c>
      <c r="L23" t="n">
        <v>1744.520378</v>
      </c>
      <c r="M23" t="n">
        <v>2377.721505</v>
      </c>
      <c r="N23" t="n">
        <v>2387.853579</v>
      </c>
      <c r="O23" t="n">
        <v>336.077453</v>
      </c>
      <c r="P23" t="n">
        <v>3236.292638</v>
      </c>
      <c r="Q23" t="n">
        <v>3236.292638</v>
      </c>
      <c r="R23" t="n">
        <v>3236.292638</v>
      </c>
      <c r="S23" t="n">
        <v>-340.257532</v>
      </c>
      <c r="T23" t="n">
        <v>-578.131</v>
      </c>
      <c r="U23" t="n">
        <v>3236.292638</v>
      </c>
      <c r="W23" t="n">
        <v>-340.257532</v>
      </c>
      <c r="Y23" t="n">
        <v>374.845121</v>
      </c>
      <c r="Z23" t="n">
        <v>402.74193</v>
      </c>
      <c r="AA23" t="n">
        <v>7193.837766</v>
      </c>
      <c r="AB23" t="n">
        <v>3797.612341</v>
      </c>
    </row>
    <row r="24">
      <c r="A24" t="n">
        <v>20</v>
      </c>
      <c r="B24" t="inlineStr">
        <is>
          <t>Large hake</t>
        </is>
      </c>
      <c r="C24" t="inlineStr">
        <is>
          <t>Regular</t>
        </is>
      </c>
      <c r="D24" t="n">
        <v>4.376603472176864</v>
      </c>
      <c r="E24" t="n">
        <v>0.1500000055879358</v>
      </c>
      <c r="F24" t="n">
        <v>0.8738672733306885</v>
      </c>
      <c r="G24" t="n">
        <v>0.04149999842047691</v>
      </c>
      <c r="H24" t="n">
        <v>0.04633476287999999</v>
      </c>
      <c r="I24" t="n">
        <v>100.341534</v>
      </c>
      <c r="J24" t="n">
        <v>2043.792594</v>
      </c>
      <c r="K24" t="n">
        <v>1858.086679</v>
      </c>
      <c r="L24" t="n">
        <v>9333.678451</v>
      </c>
      <c r="M24" t="n">
        <v>33722.926806</v>
      </c>
      <c r="N24" t="n">
        <v>33768.87859</v>
      </c>
      <c r="O24" t="n">
        <v>29509.517857</v>
      </c>
      <c r="P24" t="n">
        <v>47006.292296</v>
      </c>
      <c r="Q24" t="n">
        <v>47006.292296</v>
      </c>
      <c r="R24" t="n">
        <v>47006.292296</v>
      </c>
      <c r="S24" t="n">
        <v>-1659.711483</v>
      </c>
      <c r="T24" t="n">
        <v>-2303.178326</v>
      </c>
      <c r="U24" t="n">
        <v>47006.292296</v>
      </c>
      <c r="W24" t="n">
        <v>-1659.711483</v>
      </c>
      <c r="Y24" t="n">
        <v>1361.51661</v>
      </c>
      <c r="Z24" t="n">
        <v>1541.376378</v>
      </c>
      <c r="AA24" t="n">
        <v>36646.10699</v>
      </c>
      <c r="AB24" t="n">
        <v>54529.857193</v>
      </c>
    </row>
    <row r="25">
      <c r="A25" t="n">
        <v>21</v>
      </c>
      <c r="B25" t="inlineStr">
        <is>
          <t>Flatfish</t>
        </is>
      </c>
      <c r="C25" t="inlineStr">
        <is>
          <t>Regular</t>
        </is>
      </c>
      <c r="D25" t="n">
        <v>3.92129953038265</v>
      </c>
      <c r="E25" t="n">
        <v>0.1500000147050952</v>
      </c>
      <c r="F25" t="n">
        <v>0.9954587817192078</v>
      </c>
      <c r="G25" t="n">
        <v>0.02500000037252903</v>
      </c>
      <c r="H25" t="n">
        <v>0.004058227155</v>
      </c>
      <c r="I25" t="n">
        <v>100.341534</v>
      </c>
      <c r="J25" t="n">
        <v>734.481858</v>
      </c>
      <c r="K25" t="n">
        <v>676.339308</v>
      </c>
      <c r="L25" t="n">
        <v>2059.00128</v>
      </c>
      <c r="M25" t="n">
        <v>348.100268</v>
      </c>
      <c r="N25" t="n">
        <v>348.100268</v>
      </c>
      <c r="O25" t="n">
        <v>346.519469</v>
      </c>
      <c r="P25" t="n">
        <v>354.754813</v>
      </c>
      <c r="Q25" t="n">
        <v>354.754813</v>
      </c>
      <c r="R25" t="n">
        <v>354.754813</v>
      </c>
      <c r="S25" t="n">
        <v>-898.853069</v>
      </c>
      <c r="T25" t="n">
        <v>-1857.796138</v>
      </c>
      <c r="U25" t="n">
        <v>354.754813</v>
      </c>
      <c r="W25" t="n">
        <v>-898.853069</v>
      </c>
      <c r="Y25" t="n">
        <v>998.77079</v>
      </c>
      <c r="Z25" t="n">
        <v>1204.597703</v>
      </c>
      <c r="AA25" t="n">
        <v>19477.73429</v>
      </c>
      <c r="AB25" t="n">
        <v>404.581425</v>
      </c>
    </row>
    <row r="26">
      <c r="A26" t="n">
        <v>22</v>
      </c>
      <c r="B26" t="inlineStr">
        <is>
          <t>Small demersal fish</t>
        </is>
      </c>
      <c r="C26" t="inlineStr">
        <is>
          <t>Regular</t>
        </is>
      </c>
      <c r="D26" t="n">
        <v>2.472727272727273</v>
      </c>
      <c r="E26" t="n">
        <v>0.1500000093294234</v>
      </c>
      <c r="F26" t="n">
        <v>0.7304298281669617</v>
      </c>
      <c r="G26" t="n">
        <v>5.230000019073486</v>
      </c>
      <c r="H26" t="n">
        <v>0.0193392303</v>
      </c>
      <c r="I26" t="n">
        <v>100.341534</v>
      </c>
      <c r="J26" t="n">
        <v>28.840315</v>
      </c>
      <c r="K26" t="n">
        <v>27.653763</v>
      </c>
      <c r="L26" t="n">
        <v>83.33437499999999</v>
      </c>
      <c r="M26" t="n">
        <v>22.319429</v>
      </c>
      <c r="N26" t="n">
        <v>22.319429</v>
      </c>
      <c r="O26" t="n">
        <v>16.302777</v>
      </c>
      <c r="P26" t="n">
        <v>27.460928</v>
      </c>
      <c r="Q26" t="n">
        <v>27.460928</v>
      </c>
      <c r="R26" t="n">
        <v>27.460928</v>
      </c>
      <c r="S26" t="n">
        <v>-14.110618</v>
      </c>
      <c r="T26" t="n">
        <v>-36.828458</v>
      </c>
      <c r="U26" t="n">
        <v>27.460928</v>
      </c>
      <c r="W26" t="n">
        <v>-14.110618</v>
      </c>
      <c r="Y26" t="n">
        <v>30.881292</v>
      </c>
      <c r="Z26" t="n">
        <v>31.789849</v>
      </c>
      <c r="AA26" t="n">
        <v>429.71383</v>
      </c>
      <c r="AB26" t="n">
        <v>30.241866</v>
      </c>
    </row>
    <row r="27">
      <c r="A27" t="n">
        <v>23</v>
      </c>
      <c r="B27" t="inlineStr">
        <is>
          <t>Benthic elasmobranchs</t>
        </is>
      </c>
      <c r="C27" t="inlineStr">
        <is>
          <t>Regular</t>
        </is>
      </c>
      <c r="D27" t="n">
        <v>3.404504687960284</v>
      </c>
      <c r="E27" t="n">
        <v>0.1500000035762788</v>
      </c>
      <c r="F27" t="n">
        <v>0.6587257981300354</v>
      </c>
      <c r="G27" t="n">
        <v>0.06150000169873238</v>
      </c>
      <c r="H27" t="n">
        <v>0.04051163670000001</v>
      </c>
      <c r="I27" t="n">
        <v>100.341534</v>
      </c>
      <c r="J27" t="n">
        <v>227.672107</v>
      </c>
      <c r="K27" t="n">
        <v>212.74056</v>
      </c>
      <c r="L27" t="n">
        <v>1454.477274</v>
      </c>
      <c r="M27" t="n">
        <v>5850.040026</v>
      </c>
      <c r="N27" t="n">
        <v>5861.611252</v>
      </c>
      <c r="O27" t="n">
        <v>3861.19455</v>
      </c>
      <c r="P27" t="n">
        <v>7955.355087</v>
      </c>
      <c r="Q27" t="n">
        <v>7955.355087</v>
      </c>
      <c r="R27" t="n">
        <v>7955.355087</v>
      </c>
      <c r="S27" t="n">
        <v>-475.304228</v>
      </c>
      <c r="T27" t="n">
        <v>-1034.602781</v>
      </c>
      <c r="U27" t="n">
        <v>7955.355087</v>
      </c>
      <c r="W27" t="n">
        <v>-475.304228</v>
      </c>
      <c r="Y27" t="n">
        <v>558.607592</v>
      </c>
      <c r="Z27" t="n">
        <v>673.429313</v>
      </c>
      <c r="AA27" t="n">
        <v>8955.769672</v>
      </c>
      <c r="AB27" t="n">
        <v>9372.190554999999</v>
      </c>
    </row>
    <row r="28">
      <c r="A28" t="n">
        <v>24</v>
      </c>
      <c r="B28" t="inlineStr">
        <is>
          <t>Butter fishes</t>
        </is>
      </c>
      <c r="C28" t="inlineStr">
        <is>
          <t>Regular</t>
        </is>
      </c>
      <c r="D28" t="n">
        <v>2.633052892562976</v>
      </c>
      <c r="E28" t="n">
        <v>0.2000000029802322</v>
      </c>
      <c r="F28" t="n">
        <v>0.5367576479911804</v>
      </c>
      <c r="G28" t="n">
        <v>0.01899999938905239</v>
      </c>
      <c r="H28" t="n">
        <v>0</v>
      </c>
      <c r="I28" t="n">
        <v>100.341534</v>
      </c>
      <c r="J28" t="n">
        <v>40.75629</v>
      </c>
      <c r="K28" t="n">
        <v>38.910954</v>
      </c>
      <c r="L28" t="n">
        <v>257.989402</v>
      </c>
      <c r="M28" t="n">
        <v>240519.770836</v>
      </c>
      <c r="N28" t="n">
        <v>240519.770836</v>
      </c>
      <c r="O28" t="n">
        <v>129100.826489</v>
      </c>
      <c r="P28" t="n">
        <v>319786.504479</v>
      </c>
      <c r="Q28" t="n">
        <v>319786.504476</v>
      </c>
      <c r="R28" t="n">
        <v>319786.504476</v>
      </c>
      <c r="S28" t="n">
        <v>-98.45384300000001</v>
      </c>
      <c r="T28" t="n">
        <v>-271.164444</v>
      </c>
      <c r="U28" t="n">
        <v>319786.504476</v>
      </c>
      <c r="W28" t="n">
        <v>-98.45384300000001</v>
      </c>
      <c r="Y28" t="n">
        <v>140.980985</v>
      </c>
      <c r="Z28" t="n">
        <v>173.968592</v>
      </c>
      <c r="AA28" t="n">
        <v>2138.179837</v>
      </c>
      <c r="AB28" t="n">
        <v>368059.050579</v>
      </c>
    </row>
    <row r="29">
      <c r="A29" t="n">
        <v>25</v>
      </c>
      <c r="B29" t="inlineStr">
        <is>
          <t>Conger</t>
        </is>
      </c>
      <c r="C29" t="inlineStr">
        <is>
          <t>Regular</t>
        </is>
      </c>
      <c r="D29" t="n">
        <v>4.165306519244008</v>
      </c>
      <c r="E29" t="n">
        <v>0.15</v>
      </c>
      <c r="F29" t="n">
        <v>0.01129067316651333</v>
      </c>
      <c r="G29" t="n">
        <v>0.01150000002235174</v>
      </c>
      <c r="H29" t="n">
        <v>0</v>
      </c>
      <c r="I29" t="n">
        <v>100.341534</v>
      </c>
      <c r="J29" t="n">
        <v>1310.10359</v>
      </c>
      <c r="K29" t="n">
        <v>1197.700869</v>
      </c>
      <c r="L29" t="n">
        <v>5858.158549</v>
      </c>
      <c r="M29" t="n">
        <v>337261.06403</v>
      </c>
      <c r="N29" t="n">
        <v>338658.26132</v>
      </c>
      <c r="O29" t="n">
        <v>3823.679744</v>
      </c>
      <c r="P29" t="n">
        <v>447352.649729</v>
      </c>
      <c r="Q29" t="n">
        <v>447352.649724</v>
      </c>
      <c r="R29" t="n">
        <v>447352.649724</v>
      </c>
      <c r="S29" t="n">
        <v>-1360.122885</v>
      </c>
      <c r="T29" t="n">
        <v>-2483.135464</v>
      </c>
      <c r="U29" t="n">
        <v>447352.649724</v>
      </c>
      <c r="W29" t="n">
        <v>-1360.122885</v>
      </c>
      <c r="Y29" t="n">
        <v>1398.027199</v>
      </c>
      <c r="Z29" t="n">
        <v>1638.427425</v>
      </c>
      <c r="AA29" t="n">
        <v>28224.76192</v>
      </c>
      <c r="AB29" t="n">
        <v>528322.7833989999</v>
      </c>
    </row>
    <row r="30">
      <c r="A30" t="n">
        <v>26</v>
      </c>
      <c r="B30" t="inlineStr">
        <is>
          <t>Medium demersal fish</t>
        </is>
      </c>
      <c r="C30" t="inlineStr">
        <is>
          <t>Regular</t>
        </is>
      </c>
      <c r="D30" t="n">
        <v>3.2413623234645</v>
      </c>
      <c r="E30" t="n">
        <v>0.1500000056467561</v>
      </c>
      <c r="F30" t="n">
        <v>0.8201572895050049</v>
      </c>
      <c r="G30" t="n">
        <v>0.2055000066757202</v>
      </c>
      <c r="H30" t="n">
        <v>0.1495674495</v>
      </c>
      <c r="I30" t="n">
        <v>100.341534</v>
      </c>
      <c r="J30" t="n">
        <v>150.446864</v>
      </c>
      <c r="K30" t="n">
        <v>141.309763</v>
      </c>
      <c r="L30" t="n">
        <v>345.608481</v>
      </c>
      <c r="M30" t="n">
        <v>95.134595</v>
      </c>
      <c r="N30" t="n">
        <v>95.68003899999999</v>
      </c>
      <c r="O30" t="n">
        <v>78.47268099999999</v>
      </c>
      <c r="P30" t="n">
        <v>85.358492</v>
      </c>
      <c r="Q30" t="n">
        <v>85.358492</v>
      </c>
      <c r="R30" t="n">
        <v>85.358492</v>
      </c>
      <c r="S30" t="n">
        <v>-290.0196</v>
      </c>
      <c r="T30" t="n">
        <v>-770.353084</v>
      </c>
      <c r="U30" t="n">
        <v>85.358492</v>
      </c>
      <c r="W30" t="n">
        <v>-290.0196</v>
      </c>
      <c r="Y30" t="n">
        <v>400.586214</v>
      </c>
      <c r="Z30" t="n">
        <v>495.192523</v>
      </c>
      <c r="AA30" t="n">
        <v>4943.256156</v>
      </c>
      <c r="AB30" t="n">
        <v>95.427959</v>
      </c>
    </row>
    <row r="31">
      <c r="A31" t="n">
        <v>27</v>
      </c>
      <c r="B31" t="inlineStr">
        <is>
          <t>Medium sciaenids</t>
        </is>
      </c>
      <c r="C31" t="inlineStr">
        <is>
          <t>Regular</t>
        </is>
      </c>
      <c r="D31" t="n">
        <v>3.376461817236302</v>
      </c>
      <c r="E31" t="n">
        <v>0.1500000058595503</v>
      </c>
      <c r="F31" t="n">
        <v>0.7098218202590942</v>
      </c>
      <c r="G31" t="n">
        <v>0.2935000061988831</v>
      </c>
      <c r="H31" t="n">
        <v>0.06129891195000001</v>
      </c>
      <c r="I31" t="n">
        <v>100.341534</v>
      </c>
      <c r="J31" t="n">
        <v>206.3558</v>
      </c>
      <c r="K31" t="n">
        <v>193.059284</v>
      </c>
      <c r="L31" t="n">
        <v>691.739437</v>
      </c>
      <c r="M31" t="n">
        <v>3058.91003</v>
      </c>
      <c r="N31" t="n">
        <v>3060.060891</v>
      </c>
      <c r="O31" t="n">
        <v>2172.097992</v>
      </c>
      <c r="P31" t="n">
        <v>4951.016719</v>
      </c>
      <c r="Q31" t="n">
        <v>4951.016719</v>
      </c>
      <c r="R31" t="n">
        <v>4951.016719</v>
      </c>
      <c r="S31" t="n">
        <v>-356.787684</v>
      </c>
      <c r="T31" t="n">
        <v>-840.778865</v>
      </c>
      <c r="U31" t="n">
        <v>4951.016719</v>
      </c>
      <c r="W31" t="n">
        <v>-356.787684</v>
      </c>
      <c r="Y31" t="n">
        <v>454.55452</v>
      </c>
      <c r="Z31" t="n">
        <v>549.444451</v>
      </c>
      <c r="AA31" t="n">
        <v>8379.750055</v>
      </c>
      <c r="AB31" t="n">
        <v>5872.867166</v>
      </c>
    </row>
    <row r="32">
      <c r="A32" t="n">
        <v>28</v>
      </c>
      <c r="B32" t="inlineStr">
        <is>
          <t>Sea robin</t>
        </is>
      </c>
      <c r="C32" t="inlineStr">
        <is>
          <t>Regular</t>
        </is>
      </c>
      <c r="D32" t="n">
        <v>3.329151265268742</v>
      </c>
      <c r="E32" t="n">
        <v>0.2000000057623828</v>
      </c>
      <c r="F32" t="n">
        <v>0.4585436284542084</v>
      </c>
      <c r="G32" t="n">
        <v>0.5540000200271606</v>
      </c>
      <c r="H32" t="n">
        <v>0</v>
      </c>
      <c r="I32" t="n">
        <v>100.341534</v>
      </c>
      <c r="J32" t="n">
        <v>190.408156</v>
      </c>
      <c r="K32" t="n">
        <v>178.318374</v>
      </c>
      <c r="L32" t="n">
        <v>351.915566</v>
      </c>
      <c r="M32" t="n">
        <v>90.725031</v>
      </c>
      <c r="N32" t="n">
        <v>90.725031</v>
      </c>
      <c r="O32" t="n">
        <v>41.601385</v>
      </c>
      <c r="P32" t="n">
        <v>110.63707</v>
      </c>
      <c r="Q32" t="n">
        <v>110.63707</v>
      </c>
      <c r="R32" t="n">
        <v>110.63707</v>
      </c>
      <c r="S32" t="n">
        <v>-88.56025200000001</v>
      </c>
      <c r="T32" t="n">
        <v>-205.516976</v>
      </c>
      <c r="U32" t="n">
        <v>110.63707</v>
      </c>
      <c r="W32" t="n">
        <v>-88.56025200000001</v>
      </c>
      <c r="Y32" t="n">
        <v>122.578877</v>
      </c>
      <c r="Z32" t="n">
        <v>136.605519</v>
      </c>
      <c r="AA32" t="n">
        <v>1664.508704</v>
      </c>
      <c r="AB32" t="n">
        <v>126.767706</v>
      </c>
    </row>
    <row r="33">
      <c r="A33" t="n">
        <v>29</v>
      </c>
      <c r="B33" t="inlineStr">
        <is>
          <t>Catfish</t>
        </is>
      </c>
      <c r="C33" t="inlineStr">
        <is>
          <t>Regular</t>
        </is>
      </c>
      <c r="D33" t="n">
        <v>3.148778445321641</v>
      </c>
      <c r="E33" t="n">
        <v>0.1500000079472866</v>
      </c>
      <c r="F33" t="n">
        <v>0.8212506771087646</v>
      </c>
      <c r="G33" t="n">
        <v>0.6134999990463257</v>
      </c>
      <c r="H33" t="n">
        <v>0.339771</v>
      </c>
      <c r="I33" t="n">
        <v>100.341534</v>
      </c>
      <c r="J33" t="n">
        <v>117.318432</v>
      </c>
      <c r="K33" t="n">
        <v>110.536365</v>
      </c>
      <c r="L33" t="n">
        <v>251.172782</v>
      </c>
      <c r="M33" t="n">
        <v>91.87678200000001</v>
      </c>
      <c r="N33" t="n">
        <v>91.87678200000001</v>
      </c>
      <c r="O33" t="n">
        <v>75.45386999999999</v>
      </c>
      <c r="P33" t="n">
        <v>74.481961</v>
      </c>
      <c r="Q33" t="n">
        <v>74.481961</v>
      </c>
      <c r="R33" t="n">
        <v>74.481961</v>
      </c>
      <c r="S33" t="n">
        <v>-374.388657</v>
      </c>
      <c r="T33" t="n">
        <v>-986.1750960000001</v>
      </c>
      <c r="U33" t="n">
        <v>74.481961</v>
      </c>
      <c r="W33" t="n">
        <v>-374.388657</v>
      </c>
      <c r="Y33" t="n">
        <v>499.718457</v>
      </c>
      <c r="Z33" t="n">
        <v>625.639853</v>
      </c>
      <c r="AA33" t="n">
        <v>6535.006358</v>
      </c>
      <c r="AB33" t="n">
        <v>84.263813</v>
      </c>
    </row>
    <row r="34">
      <c r="A34" t="n">
        <v>30</v>
      </c>
      <c r="B34" t="inlineStr">
        <is>
          <t>Chondrichthyans</t>
        </is>
      </c>
      <c r="C34" t="inlineStr">
        <is>
          <t>Regular</t>
        </is>
      </c>
      <c r="D34" t="n">
        <v>4.559153783576394</v>
      </c>
      <c r="E34" t="n">
        <v>0.150000011037898</v>
      </c>
      <c r="F34" t="n">
        <v>0.564231276512146</v>
      </c>
      <c r="G34" t="n">
        <v>0.05249999836087227</v>
      </c>
      <c r="H34" t="n">
        <v>0.01439636145</v>
      </c>
      <c r="I34" t="n">
        <v>100.341534</v>
      </c>
      <c r="J34" t="n">
        <v>2800.516289</v>
      </c>
      <c r="K34" t="n">
        <v>2536.048955</v>
      </c>
      <c r="L34" t="n">
        <v>9821.426826999999</v>
      </c>
      <c r="M34" t="n">
        <v>3417.612265</v>
      </c>
      <c r="N34" t="n">
        <v>3623.32641</v>
      </c>
      <c r="O34" t="n">
        <v>2044.394086</v>
      </c>
      <c r="P34" t="n">
        <v>7596.014295</v>
      </c>
      <c r="Q34" t="n">
        <v>7596.014295</v>
      </c>
      <c r="R34" t="n">
        <v>7596.014295</v>
      </c>
      <c r="S34" t="n">
        <v>-1524.487508</v>
      </c>
      <c r="T34" t="n">
        <v>-1803.683294</v>
      </c>
      <c r="U34" t="n">
        <v>7596.014295</v>
      </c>
      <c r="W34" t="n">
        <v>-1524.487508</v>
      </c>
      <c r="Y34" t="n">
        <v>1166.999333</v>
      </c>
      <c r="Z34" t="n">
        <v>1235.00506</v>
      </c>
      <c r="AA34" t="n">
        <v>32229.818329</v>
      </c>
      <c r="AB34" t="n">
        <v>9391.662139</v>
      </c>
    </row>
    <row r="35">
      <c r="A35" t="n">
        <v>31</v>
      </c>
      <c r="B35" t="inlineStr">
        <is>
          <t>Seabirds</t>
        </is>
      </c>
      <c r="C35" t="inlineStr">
        <is>
          <t>Regular</t>
        </is>
      </c>
      <c r="D35" t="n">
        <v>3.92938764796025</v>
      </c>
      <c r="E35" t="n">
        <v>0.0006557376902611529</v>
      </c>
      <c r="F35" t="n">
        <v>0</v>
      </c>
      <c r="G35" t="n">
        <v>0.03849999979138374</v>
      </c>
      <c r="H35" t="n">
        <v>0</v>
      </c>
      <c r="I35" t="n">
        <v>100.341534</v>
      </c>
      <c r="J35" t="n">
        <v>791.486722</v>
      </c>
      <c r="K35" t="n">
        <v>728.151085</v>
      </c>
      <c r="L35" t="n">
        <v>1674.546999</v>
      </c>
      <c r="M35" t="n">
        <v>0</v>
      </c>
      <c r="N35" t="n">
        <v>37.432946</v>
      </c>
      <c r="O35" t="n">
        <v>0</v>
      </c>
      <c r="P35" t="n">
        <v>0</v>
      </c>
      <c r="Q35" t="n">
        <v>0</v>
      </c>
      <c r="R35" t="n">
        <v>0</v>
      </c>
      <c r="S35" t="n">
        <v>-74223.085309</v>
      </c>
      <c r="T35" t="n">
        <v>-113720.184264</v>
      </c>
      <c r="U35" t="n">
        <v>0</v>
      </c>
      <c r="W35" t="n">
        <v>-74223.085309</v>
      </c>
      <c r="Y35" t="n">
        <v>76977.82354899999</v>
      </c>
      <c r="Z35" t="n">
        <v>79829.74122700001</v>
      </c>
      <c r="AA35" t="n">
        <v>1740544.551126</v>
      </c>
      <c r="AB35" t="n">
        <v>0</v>
      </c>
    </row>
    <row r="36">
      <c r="A36" t="n">
        <v>32</v>
      </c>
      <c r="B36" t="inlineStr">
        <is>
          <t>Pinnipeds</t>
        </is>
      </c>
      <c r="C36" t="inlineStr">
        <is>
          <t>Regular</t>
        </is>
      </c>
      <c r="D36" t="n">
        <v>3.748751632707471</v>
      </c>
      <c r="E36" t="n">
        <v>0.002706359930320091</v>
      </c>
      <c r="F36" t="n">
        <v>0</v>
      </c>
      <c r="G36" t="n">
        <v>0.0625</v>
      </c>
      <c r="H36" t="n">
        <v>0</v>
      </c>
      <c r="I36" t="n">
        <v>100.341534</v>
      </c>
      <c r="J36" t="n">
        <v>530.113058</v>
      </c>
      <c r="K36" t="n">
        <v>490.14187</v>
      </c>
      <c r="L36" t="n">
        <v>1481.064721</v>
      </c>
      <c r="M36" t="n">
        <v>0</v>
      </c>
      <c r="N36" t="n">
        <v>63.260148</v>
      </c>
      <c r="O36" t="n">
        <v>0</v>
      </c>
      <c r="P36" t="n">
        <v>0</v>
      </c>
      <c r="Q36" t="n">
        <v>0</v>
      </c>
      <c r="R36" t="n">
        <v>0</v>
      </c>
      <c r="S36" t="n">
        <v>-15927.178641</v>
      </c>
      <c r="T36" t="n">
        <v>-24937.74863</v>
      </c>
      <c r="U36" t="n">
        <v>0</v>
      </c>
      <c r="W36" t="n">
        <v>-15927.178641</v>
      </c>
      <c r="Y36" t="n">
        <v>16564.870148</v>
      </c>
      <c r="Z36" t="n">
        <v>17716.557587</v>
      </c>
      <c r="AA36" t="n">
        <v>336357.828032</v>
      </c>
      <c r="AB36" t="n">
        <v>0</v>
      </c>
    </row>
    <row r="37">
      <c r="A37" t="n">
        <v>33</v>
      </c>
      <c r="B37" t="inlineStr">
        <is>
          <t>Cetaceans</t>
        </is>
      </c>
      <c r="C37" t="inlineStr">
        <is>
          <t>Regular</t>
        </is>
      </c>
      <c r="D37" t="n">
        <v>4.211135921072626</v>
      </c>
      <c r="E37" t="n">
        <v>0.005000000074505806</v>
      </c>
      <c r="F37" t="n">
        <v>0</v>
      </c>
      <c r="G37" t="n">
        <v>0.06449999660253525</v>
      </c>
      <c r="H37" t="n">
        <v>0</v>
      </c>
      <c r="I37" t="n">
        <v>100.341534</v>
      </c>
      <c r="J37" t="n">
        <v>1347.512652</v>
      </c>
      <c r="K37" t="n">
        <v>1231.466989</v>
      </c>
      <c r="L37" t="n">
        <v>6584.935055</v>
      </c>
      <c r="M37" t="n">
        <v>0</v>
      </c>
      <c r="N37" t="n">
        <v>472.181777</v>
      </c>
      <c r="O37" t="n">
        <v>0</v>
      </c>
      <c r="P37" t="n">
        <v>0</v>
      </c>
      <c r="Q37" t="n">
        <v>0</v>
      </c>
      <c r="R37" t="n">
        <v>0</v>
      </c>
      <c r="S37" t="n">
        <v>-35005.984194</v>
      </c>
      <c r="T37" t="n">
        <v>-41917.515894</v>
      </c>
      <c r="U37" t="n">
        <v>0</v>
      </c>
      <c r="W37" t="n">
        <v>-35005.984194</v>
      </c>
      <c r="Y37" t="n">
        <v>27271.286674</v>
      </c>
      <c r="Z37" t="n">
        <v>28472.38875</v>
      </c>
      <c r="AA37" t="n">
        <v>738099.252849</v>
      </c>
      <c r="AB37" t="n">
        <v>0</v>
      </c>
    </row>
    <row r="38">
      <c r="A38" t="n">
        <v>34</v>
      </c>
      <c r="B38" t="inlineStr">
        <is>
          <t>Green sea turtle</t>
        </is>
      </c>
      <c r="C38" t="inlineStr">
        <is>
          <t>Regular</t>
        </is>
      </c>
      <c r="D38" t="n">
        <v>3.483659556323609</v>
      </c>
      <c r="E38" t="n">
        <v>0.05485714333398001</v>
      </c>
      <c r="F38" t="n">
        <v>0</v>
      </c>
      <c r="G38" t="n">
        <v>0.0003429999924264848</v>
      </c>
      <c r="H38" t="n">
        <v>0</v>
      </c>
      <c r="I38" t="n">
        <v>100.341534</v>
      </c>
      <c r="J38" t="n">
        <v>275.552086</v>
      </c>
      <c r="K38" t="n">
        <v>256.866957</v>
      </c>
      <c r="L38" t="n">
        <v>1020.924661</v>
      </c>
      <c r="M38" t="n">
        <v>0</v>
      </c>
      <c r="N38" t="n">
        <v>120258.078253</v>
      </c>
      <c r="O38" t="n">
        <v>0</v>
      </c>
      <c r="P38" t="n">
        <v>0</v>
      </c>
      <c r="Q38" t="n">
        <v>0</v>
      </c>
      <c r="R38" t="n">
        <v>0</v>
      </c>
      <c r="S38" t="n">
        <v>-741.75865</v>
      </c>
      <c r="T38" t="n">
        <v>-1818.052929</v>
      </c>
      <c r="U38" t="n">
        <v>0</v>
      </c>
      <c r="W38" t="n">
        <v>-741.75865</v>
      </c>
      <c r="Y38" t="n">
        <v>953.775656</v>
      </c>
      <c r="Z38" t="n">
        <v>1159.573909</v>
      </c>
      <c r="AA38" t="n">
        <v>16136.278661</v>
      </c>
      <c r="AB38" t="n">
        <v>0</v>
      </c>
    </row>
    <row r="39">
      <c r="A39" t="n">
        <v>35</v>
      </c>
      <c r="B39" t="inlineStr">
        <is>
          <t>Leatherback turtle</t>
        </is>
      </c>
      <c r="C39" t="inlineStr">
        <is>
          <t>Regular</t>
        </is>
      </c>
      <c r="D39" t="n">
        <v>4.036651412301057</v>
      </c>
      <c r="E39" t="n">
        <v>0.05485714333398001</v>
      </c>
      <c r="F39" t="n">
        <v>0</v>
      </c>
      <c r="G39" t="n">
        <v>0.0001619999966351315</v>
      </c>
      <c r="H39" t="n">
        <v>0</v>
      </c>
      <c r="I39" t="n">
        <v>100.341534</v>
      </c>
      <c r="J39" t="n">
        <v>991.139411</v>
      </c>
      <c r="K39" t="n">
        <v>909.267688</v>
      </c>
      <c r="L39" t="n">
        <v>2094.892902</v>
      </c>
      <c r="M39" t="n">
        <v>0</v>
      </c>
      <c r="N39" t="n">
        <v>215170.740474</v>
      </c>
      <c r="O39" t="n">
        <v>0</v>
      </c>
      <c r="P39" t="n">
        <v>0</v>
      </c>
      <c r="Q39" t="n">
        <v>0</v>
      </c>
      <c r="R39" t="n">
        <v>0</v>
      </c>
      <c r="S39" t="n">
        <v>-601.011217</v>
      </c>
      <c r="T39" t="n">
        <v>-891.630118</v>
      </c>
      <c r="U39" t="n">
        <v>0</v>
      </c>
      <c r="W39" t="n">
        <v>-601.011217</v>
      </c>
      <c r="Y39" t="n">
        <v>569.850183</v>
      </c>
      <c r="Z39" t="n">
        <v>589.43301</v>
      </c>
      <c r="AA39" t="n">
        <v>16768.764946</v>
      </c>
      <c r="AB39" t="n">
        <v>0</v>
      </c>
    </row>
    <row r="40">
      <c r="A40" t="n">
        <v>36</v>
      </c>
      <c r="B40" t="inlineStr">
        <is>
          <t>Anchovy eggs</t>
        </is>
      </c>
      <c r="C40" t="inlineStr">
        <is>
          <t>DET</t>
        </is>
      </c>
      <c r="D40" t="n">
        <v>1</v>
      </c>
      <c r="E40" t="n">
        <v>1</v>
      </c>
      <c r="F40" t="n">
        <v>1</v>
      </c>
      <c r="G40" t="n">
        <v>0.4359999895095825</v>
      </c>
      <c r="H40" t="n">
        <v>0</v>
      </c>
      <c r="I40" t="n">
        <v>100.341534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  <c r="O40" t="n">
        <v>1</v>
      </c>
      <c r="P40" t="n">
        <v>0.223705</v>
      </c>
      <c r="Q40" t="n">
        <v>0</v>
      </c>
      <c r="R40" t="n">
        <v>0</v>
      </c>
      <c r="S40" t="n">
        <v>-3.070895</v>
      </c>
      <c r="T40" t="n">
        <v>-23.244102</v>
      </c>
      <c r="U40" t="n">
        <v>0</v>
      </c>
      <c r="W40" t="n">
        <v>-3.070895</v>
      </c>
      <c r="Y40" t="n">
        <v>11.00351</v>
      </c>
      <c r="Z40" t="n">
        <v>11.455733</v>
      </c>
      <c r="AA40" t="n">
        <v>70.931943</v>
      </c>
      <c r="AB40" t="n">
        <v>0</v>
      </c>
    </row>
    <row r="41">
      <c r="A41" t="n">
        <v>37</v>
      </c>
      <c r="B41" t="inlineStr">
        <is>
          <t>Fishery offal</t>
        </is>
      </c>
      <c r="C41" t="inlineStr">
        <is>
          <t>DET</t>
        </is>
      </c>
      <c r="D41" t="n">
        <v>1</v>
      </c>
      <c r="E41" t="n">
        <v>0</v>
      </c>
      <c r="F41" t="n">
        <v>0</v>
      </c>
      <c r="G41" t="n">
        <v>0.05000000074505806</v>
      </c>
      <c r="H41" t="n">
        <v>0</v>
      </c>
      <c r="I41" t="n">
        <v>100.341534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0.223705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W41" t="n">
        <v>1</v>
      </c>
      <c r="Y41" t="n">
        <v>11.00351</v>
      </c>
      <c r="Z41" t="n">
        <v>11.455733</v>
      </c>
      <c r="AA41" t="n">
        <v>0</v>
      </c>
      <c r="AB41" t="n">
        <v>0</v>
      </c>
    </row>
    <row r="42">
      <c r="A42" t="n">
        <v>38</v>
      </c>
      <c r="B42" t="inlineStr">
        <is>
          <t>Pelagic detritus</t>
        </is>
      </c>
      <c r="C42" t="inlineStr">
        <is>
          <t>DET</t>
        </is>
      </c>
      <c r="D42" t="n">
        <v>1</v>
      </c>
      <c r="E42" t="n">
        <v>1</v>
      </c>
      <c r="F42" t="n">
        <v>1</v>
      </c>
      <c r="G42" t="n">
        <v>20</v>
      </c>
      <c r="H42" t="n">
        <v>0</v>
      </c>
      <c r="I42" t="n">
        <v>100.341534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0.223705</v>
      </c>
      <c r="Q42" t="n">
        <v>0.304285</v>
      </c>
      <c r="R42" t="n">
        <v>0.304285</v>
      </c>
      <c r="S42" t="n">
        <v>-1.126229</v>
      </c>
      <c r="T42" t="n">
        <v>-16.182125</v>
      </c>
      <c r="U42" t="n">
        <v>0.304285</v>
      </c>
      <c r="W42" t="n">
        <v>-1.126229</v>
      </c>
      <c r="Y42" t="n">
        <v>11.00351</v>
      </c>
      <c r="Z42" t="n">
        <v>11.455733</v>
      </c>
      <c r="AA42" t="n">
        <v>31.997878</v>
      </c>
      <c r="AB42" t="n">
        <v>0.304285</v>
      </c>
    </row>
    <row r="43">
      <c r="A43" t="n">
        <v>39</v>
      </c>
      <c r="B43" t="inlineStr">
        <is>
          <t>Benthic detritus</t>
        </is>
      </c>
      <c r="C43" t="inlineStr">
        <is>
          <t>DET</t>
        </is>
      </c>
      <c r="D43" t="n">
        <v>1</v>
      </c>
      <c r="E43" t="n">
        <v>1</v>
      </c>
      <c r="F43" t="n">
        <v>1</v>
      </c>
      <c r="G43" t="n">
        <v>60</v>
      </c>
      <c r="H43" t="n">
        <v>0</v>
      </c>
      <c r="I43" t="n">
        <v>100.341534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  <c r="O43" t="n">
        <v>1</v>
      </c>
      <c r="P43" t="n">
        <v>0.223705</v>
      </c>
      <c r="Q43" t="n">
        <v>0</v>
      </c>
      <c r="R43" t="n">
        <v>0</v>
      </c>
      <c r="S43" t="n">
        <v>-4.49797</v>
      </c>
      <c r="T43" t="n">
        <v>-22.698178</v>
      </c>
      <c r="U43" t="n">
        <v>0</v>
      </c>
      <c r="W43" t="n">
        <v>-4.49797</v>
      </c>
      <c r="Y43" t="n">
        <v>11.00351</v>
      </c>
      <c r="Z43" t="n">
        <v>11.455733</v>
      </c>
      <c r="AA43" t="n">
        <v>96.79725000000001</v>
      </c>
      <c r="AB43" t="n">
        <v>0</v>
      </c>
    </row>
    <row r="44">
      <c r="A44" t="n">
        <v>40</v>
      </c>
      <c r="B44" t="inlineStr">
        <is>
          <t>diet_import</t>
        </is>
      </c>
      <c r="C44" t="inlineStr">
        <is>
          <t>Import</t>
        </is>
      </c>
      <c r="D44" t="n">
        <v>1</v>
      </c>
      <c r="E44" t="n">
        <v>1</v>
      </c>
      <c r="F44" t="n">
        <v>1</v>
      </c>
      <c r="G44" t="n">
        <v>1</v>
      </c>
      <c r="H44" t="n">
        <v>0</v>
      </c>
      <c r="I44" t="n">
        <v>100.341534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W44" t="n">
        <v>1</v>
      </c>
      <c r="Y44" t="n">
        <v>1</v>
      </c>
      <c r="AA44" t="n">
        <v>1</v>
      </c>
      <c r="AB4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1" t="inlineStr">
        <is>
          <t>Net primary production, 2019, tonnes carbon per year</t>
        </is>
      </c>
    </row>
    <row r="3">
      <c r="A3" s="4" t="inlineStr">
        <is>
          <t>satellite_model</t>
        </is>
      </c>
      <c r="B3" s="4" t="inlineStr">
        <is>
          <t>npp_tC_yr</t>
        </is>
      </c>
    </row>
    <row r="4">
      <c r="A4" t="inlineStr">
        <is>
          <t>Antoine-Morel</t>
        </is>
      </c>
      <c r="B4" t="n">
        <v>631874285.9925013</v>
      </c>
    </row>
    <row r="5">
      <c r="A5" t="inlineStr">
        <is>
          <t>VGPM</t>
        </is>
      </c>
      <c r="B5" t="n">
        <v>805261417.3856375</v>
      </c>
    </row>
    <row r="6">
      <c r="A6" t="inlineStr">
        <is>
          <t>Eppley</t>
        </is>
      </c>
      <c r="B6" t="n">
        <v>612769653.944111</v>
      </c>
    </row>
    <row r="7">
      <c r="A7" t="inlineStr">
        <is>
          <t>CbPM</t>
        </is>
      </c>
      <c r="B7" t="n">
        <v>771324642.3787229</v>
      </c>
    </row>
    <row r="8">
      <c r="A8" t="inlineStr">
        <is>
          <t>CAFE</t>
        </is>
      </c>
      <c r="B8" t="n">
        <v>622061434.912123</v>
      </c>
    </row>
    <row r="10">
      <c r="A10" t="inlineStr">
        <is>
          <t>ensemble median</t>
        </is>
      </c>
      <c r="B10" t="n">
        <v>631874285.9925013</v>
      </c>
    </row>
    <row r="11">
      <c r="A11" t="inlineStr">
        <is>
          <t>ensemble min</t>
        </is>
      </c>
      <c r="B11" t="n">
        <v>612769653.944111</v>
      </c>
    </row>
    <row r="12">
      <c r="A12" t="inlineStr">
        <is>
          <t>ensemble max</t>
        </is>
      </c>
      <c r="B12" t="n">
        <v>805261417.3856375</v>
      </c>
    </row>
    <row r="13">
      <c r="A13" t="inlineStr">
        <is>
          <t>water area (km2)</t>
        </is>
      </c>
      <c r="B13" t="n">
        <v>2521808.246085568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2026-09-07T09:34:27Z</dcterms:created>
  <dcterms:modified xsi:type="dcterms:W3CDTF">2026-09-07T09:34:28Z</dcterms:modified>
</cp:coreProperties>
</file>