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082b87055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versus zero" sheetId="1" r:id="R947c46e5e633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eab8244244590" /><Relationship Type="http://schemas.openxmlformats.org/officeDocument/2006/relationships/theme" Target="/xl/theme/theme1.xml" Id="Rdd4ea78693de4946" /><Relationship Type="http://schemas.openxmlformats.org/officeDocument/2006/relationships/sharedStrings" Target="/xl/sharedStrings.xml" Id="R0c4bf59d23254e30" /><Relationship Type="http://schemas.openxmlformats.org/officeDocument/2006/relationships/worksheet" Target="/xl/worksheets/sheet1.xml" Id="R947c46e5e6334d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2" t="str">
        <x:v>Taxon</x:v>
      </x:c>
      <x:c r="B1" s="2" t="str">
        <x:v>SPPR</x:v>
      </x:c>
      <x:c r="C1" s="2" t="str">
        <x:v>Catch</x:v>
      </x:c>
      <x:c r="D1" s="2" t="str">
        <x:v>Former formula</x:v>
      </x:c>
      <x:c r="E1" s="2" t="str">
        <x:v>Guarded formula</x:v>
      </x:c>
      <x:c r="F1" s="2" t="str">
        <x:v>Expected</x:v>
      </x:c>
    </x:row>
    <x:row r="2">
      <x:c r="A2" s="1" t="str">
        <x:v>Missing</x:v>
      </x:c>
      <x:c r="B2" s="3"/>
      <x:c r="C2" s="3" t="n">
        <x:v>10</x:v>
      </x:c>
      <x:c r="D2" s="3" t="n">
        <x:f>IFERROR($C2*INDEX($B$2:$B$5,MATCH($A2,$A$2:$A$5,0),1),"")</x:f>
        <x:v>0</x:v>
      </x:c>
      <x:c r="E2" s="3" t="str">
        <x:f>IFERROR(IF(ISNUMBER(INDEX($B$2:$B$5,MATCH($A2,$A$2:$A$5,0),1)),$C2*INDEX($B$2:$B$5,MATCH($A2,$A$2:$A$5,0),1),""),"")</x:f>
      </x:c>
      <x:c r="F2" s="1" t="str">
        <x:v>blank</x:v>
      </x:c>
    </x:row>
    <x:row r="3">
      <x:c r="A3" s="1" t="str">
        <x:v>Zero</x:v>
      </x:c>
      <x:c r="B3" s="3" t="n">
        <x:v>0</x:v>
      </x:c>
      <x:c r="C3" s="3" t="n">
        <x:v>10</x:v>
      </x:c>
      <x:c r="D3" s="3" t="n">
        <x:f>IFERROR($C3*INDEX($B$2:$B$5,MATCH($A3,$A$2:$A$5,0),1),"")</x:f>
        <x:v>0</x:v>
      </x:c>
      <x:c r="E3" s="3" t="n">
        <x:f>IFERROR(IF(ISNUMBER(INDEX($B$2:$B$5,MATCH($A3,$A$2:$A$5,0),1)),$C3*INDEX($B$2:$B$5,MATCH($A3,$A$2:$A$5,0),1),""),"")</x:f>
        <x:v>0</x:v>
      </x:c>
      <x:c r="F3" s="1" t="n">
        <x:v>0</x:v>
      </x:c>
    </x:row>
    <x:row r="4">
      <x:c r="A4" s="1" t="str">
        <x:v>Positive</x:v>
      </x:c>
      <x:c r="B4" s="3" t="n">
        <x:v>2</x:v>
      </x:c>
      <x:c r="C4" s="3" t="n">
        <x:v>10</x:v>
      </x:c>
      <x:c r="D4" s="3" t="n">
        <x:f>IFERROR($C4*INDEX($B$2:$B$5,MATCH($A4,$A$2:$A$5,0),1),"")</x:f>
        <x:v>20</x:v>
      </x:c>
      <x:c r="E4" s="3" t="n">
        <x:f>IFERROR(IF(ISNUMBER(INDEX($B$2:$B$5,MATCH($A4,$A$2:$A$5,0),1)),$C4*INDEX($B$2:$B$5,MATCH($A4,$A$2:$A$5,0),1),""),"")</x:f>
        <x:v>20</x:v>
      </x:c>
      <x:c r="F4" s="1" t="n">
        <x:v>20</x:v>
      </x:c>
    </x:row>
    <x:row r="5">
      <x:c r="A5" s="1" t="str">
        <x:v>Missing again</x:v>
      </x:c>
      <x:c r="B5" s="3"/>
      <x:c r="C5" s="3" t="n">
        <x:v>10</x:v>
      </x:c>
      <x:c r="D5" s="3" t="n">
        <x:f>IFERROR($C5*INDEX($B$2:$B$5,MATCH($A5,$A$2:$A$5,0),1),"")</x:f>
        <x:v>0</x:v>
      </x:c>
      <x:c r="E5" s="3" t="str">
        <x:f>IFERROR(IF(ISNUMBER(INDEX($B$2:$B$5,MATCH($A5,$A$2:$A$5,0),1)),$C5*INDEX($B$2:$B$5,MATCH($A5,$A$2:$A$5,0),1),""),"")</x:f>
      </x:c>
      <x:c r="F5" s="1" t="str">
        <x:v>blank</x:v>
      </x:c>
    </x:row>
    <x:row r="6">
      <x:c r="A6" s="1"/>
      <x:c r="B6" s="3"/>
      <x:c r="C6" s="3"/>
      <x:c r="D6" s="3"/>
      <x:c r="E6" s="3"/>
      <x:c r="F6" s="1"/>
    </x:row>
    <x:row r="7">
      <x:c r="A7" s="1" t="str">
        <x:v>Missing-only total</x:v>
      </x:c>
      <x:c r="B7" s="3"/>
      <x:c r="C7" s="3"/>
      <x:c r="D7" s="3"/>
      <x:c r="E7" s="3" t="str">
        <x:f>IF(COUNT(E2)=0,"",SUM(E2))</x:f>
      </x:c>
      <x:c r="F7" s="1" t="str">
        <x:v>blank</x:v>
      </x:c>
    </x:row>
    <x:row r="8">
      <x:c r="A8" s="1" t="str">
        <x:v>Zero-only total</x:v>
      </x:c>
      <x:c r="B8" s="3"/>
      <x:c r="C8" s="3"/>
      <x:c r="D8" s="3"/>
      <x:c r="E8" s="3" t="n">
        <x:f>IF(COUNT(E3)=0,"",SUM(E3))</x:f>
        <x:v>0</x:v>
      </x:c>
      <x:c r="F8" s="1" t="n">
        <x:v>0</x:v>
      </x:c>
    </x:row>
    <x:row r="9">
      <x:c r="A9" s="1" t="str">
        <x:v>All-value total</x:v>
      </x:c>
      <x:c r="B9" s="3"/>
      <x:c r="C9" s="3"/>
      <x:c r="D9" s="3"/>
      <x:c r="E9" s="3" t="n">
        <x:f>IF(COUNT(E2:E5)=0,"",SUM(E2:E5))</x:f>
        <x:v>20</x:v>
      </x:c>
      <x:c r="F9" s="1" t="n">
        <x:v>20</x:v>
      </x:c>
    </x:row>
  </x:sheetData>
  <x:pageMargins left="0.7" right="0.7" top="0.75" bottom="0.75" header="0.3" footer="0.3"/>
</x:worksheet>
</file>