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SPPR" sheetId="4" state="visible" r:id="rId4"/>
    <sheet name="PPR by method" sheetId="5" state="visible" r:id="rId5"/>
    <sheet name="PPR by taxon" sheetId="6" state="visible" r:id="rId6"/>
    <sheet name="Model groups" sheetId="7" state="visible" r:id="rId7"/>
    <sheet name="NPP"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sz val="14"/>
    </font>
    <font>
      <i val="1"/>
    </font>
    <font>
      <i val="1"/>
      <color rgb="00808080"/>
    </font>
    <font>
      <b val="1"/>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5" fillId="0" borderId="0" pivotButton="0" quotePrefix="0" xfId="0"/>
    <xf numFmtId="0" fontId="3"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6" borderId="0" pivotButton="0" quotePrefix="0" xfId="0"/>
    <xf numFmtId="0" fontId="4" fillId="0"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LME_032 — Arabian Sea</t>
        </is>
      </c>
    </row>
    <row r="2">
      <c r="A2" s="2" t="inlineStr">
        <is>
          <t>Ecopath model: 32_1_Arabian_Sea_off_Karnataka_(2000)</t>
        </is>
      </c>
    </row>
    <row r="3">
      <c r="A3" s="3" t="inlineStr">
        <is>
          <t>LME_032 — `32_1_Arabian_Sea_off_Karnataka_(2000)`</t>
        </is>
      </c>
    </row>
    <row r="5">
      <c r="A5" t="inlineStr">
        <is>
          <t>region type</t>
        </is>
      </c>
      <c r="B5" t="inlineStr">
        <is>
          <t>LME</t>
        </is>
      </c>
    </row>
    <row r="6">
      <c r="A6" t="inlineStr">
        <is>
          <t>latitude</t>
        </is>
      </c>
      <c r="B6" t="inlineStr">
        <is>
          <t>20.83059</t>
        </is>
      </c>
    </row>
    <row r="7">
      <c r="A7" t="inlineStr">
        <is>
          <t>longitude</t>
        </is>
      </c>
      <c r="B7" t="inlineStr">
        <is>
          <t>61.09282</t>
        </is>
      </c>
    </row>
    <row r="8">
      <c r="A8" t="inlineStr">
        <is>
          <t>catch years</t>
        </is>
      </c>
      <c r="B8" t="inlineStr">
        <is>
          <t>1950-2019</t>
        </is>
      </c>
    </row>
    <row r="9">
      <c r="A9" t="inlineStr">
        <is>
          <t>taxa in catch</t>
        </is>
      </c>
      <c r="B9" t="n">
        <v>430</v>
      </c>
    </row>
    <row r="10">
      <c r="A10" t="inlineStr">
        <is>
          <t>taxa apportioned across groups</t>
        </is>
      </c>
      <c r="B10" t="n">
        <v>13</v>
      </c>
    </row>
    <row r="11">
      <c r="A11" t="inlineStr">
        <is>
          <t>taxa unresolved</t>
        </is>
      </c>
      <c r="B11" t="n">
        <v>2</v>
      </c>
    </row>
    <row r="12">
      <c r="A12" t="inlineStr">
        <is>
          <t>catch tonnage on a named group, %</t>
        </is>
      </c>
      <c r="B12" t="n">
        <v>100</v>
      </c>
    </row>
    <row r="13">
      <c r="A13" t="inlineStr">
        <is>
          <t>SPPR methods</t>
        </is>
      </c>
      <c r="B13" t="n">
        <v>20</v>
      </c>
    </row>
    <row r="14">
      <c r="A14" t="inlineStr">
        <is>
          <t>methods flagged as unusable</t>
        </is>
      </c>
      <c r="B14" t="n">
        <v>0</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840591.149</v>
      </c>
      <c r="C18" t="n">
        <v>423486671.936</v>
      </c>
      <c r="D18" t="n">
        <v>543955930.9069999</v>
      </c>
      <c r="E18" t="n">
        <v>30.2614</v>
      </c>
      <c r="F18" t="n">
        <v>38.8698</v>
      </c>
    </row>
    <row r="19">
      <c r="A19" t="n">
        <v>1951</v>
      </c>
      <c r="B19" t="n">
        <v>839269.026</v>
      </c>
      <c r="C19" t="n">
        <v>418149972.616</v>
      </c>
      <c r="D19" t="n">
        <v>566761042.553</v>
      </c>
      <c r="E19" t="n">
        <v>29.88</v>
      </c>
      <c r="F19" t="n">
        <v>40.4994</v>
      </c>
    </row>
    <row r="20">
      <c r="A20" t="n">
        <v>1952</v>
      </c>
      <c r="B20" t="n">
        <v>841530.804</v>
      </c>
      <c r="C20" t="n">
        <v>456560387.437</v>
      </c>
      <c r="D20" t="n">
        <v>612975832.099</v>
      </c>
      <c r="E20" t="n">
        <v>32.6247</v>
      </c>
      <c r="F20" t="n">
        <v>43.8018</v>
      </c>
    </row>
    <row r="21">
      <c r="A21" t="n">
        <v>1953</v>
      </c>
      <c r="B21" t="n">
        <v>1006867.93</v>
      </c>
      <c r="C21" t="n">
        <v>517417683.123</v>
      </c>
      <c r="D21" t="n">
        <v>691263380.7359999</v>
      </c>
      <c r="E21" t="n">
        <v>36.9735</v>
      </c>
      <c r="F21" t="n">
        <v>49.3961</v>
      </c>
    </row>
    <row r="22">
      <c r="A22" t="n">
        <v>1954</v>
      </c>
      <c r="B22" t="n">
        <v>1017676.12</v>
      </c>
      <c r="C22" t="n">
        <v>553705637.539</v>
      </c>
      <c r="D22" t="n">
        <v>685941975.844</v>
      </c>
      <c r="E22" t="n">
        <v>39.5665</v>
      </c>
      <c r="F22" t="n">
        <v>49.0158</v>
      </c>
    </row>
    <row r="23">
      <c r="A23" t="n">
        <v>1955</v>
      </c>
      <c r="B23" t="n">
        <v>1033838.455</v>
      </c>
      <c r="C23" t="n">
        <v>654141712.253</v>
      </c>
      <c r="D23" t="n">
        <v>793732834.0880001</v>
      </c>
      <c r="E23" t="n">
        <v>46.7434</v>
      </c>
      <c r="F23" t="n">
        <v>56.7183</v>
      </c>
    </row>
    <row r="24">
      <c r="A24" t="n">
        <v>1956</v>
      </c>
      <c r="B24" t="n">
        <v>1131647.343</v>
      </c>
      <c r="C24" t="n">
        <v>742977625.798</v>
      </c>
      <c r="D24" t="n">
        <v>860726618.473</v>
      </c>
      <c r="E24" t="n">
        <v>53.0914</v>
      </c>
      <c r="F24" t="n">
        <v>61.5055</v>
      </c>
    </row>
    <row r="25">
      <c r="A25" t="n">
        <v>1957</v>
      </c>
      <c r="B25" t="n">
        <v>1310786.124</v>
      </c>
      <c r="C25" t="n">
        <v>719949402.814</v>
      </c>
      <c r="D25" t="n">
        <v>875451076.719</v>
      </c>
      <c r="E25" t="n">
        <v>51.4459</v>
      </c>
      <c r="F25" t="n">
        <v>62.5577</v>
      </c>
    </row>
    <row r="26">
      <c r="A26" t="n">
        <v>1958</v>
      </c>
      <c r="B26" t="n">
        <v>1204582.52</v>
      </c>
      <c r="C26" t="n">
        <v>633285701.55</v>
      </c>
      <c r="D26" t="n">
        <v>814572524.536</v>
      </c>
      <c r="E26" t="n">
        <v>45.2531</v>
      </c>
      <c r="F26" t="n">
        <v>58.2074</v>
      </c>
    </row>
    <row r="27">
      <c r="A27" t="n">
        <v>1959</v>
      </c>
      <c r="B27" t="n">
        <v>1065821.751</v>
      </c>
      <c r="C27" t="n">
        <v>604883416.143</v>
      </c>
      <c r="D27" t="n">
        <v>789670484.358</v>
      </c>
      <c r="E27" t="n">
        <v>43.2236</v>
      </c>
      <c r="F27" t="n">
        <v>56.428</v>
      </c>
    </row>
    <row r="28">
      <c r="A28" t="n">
        <v>1960</v>
      </c>
      <c r="B28" t="n">
        <v>1357916.18</v>
      </c>
      <c r="C28" t="n">
        <v>752515676.3789999</v>
      </c>
      <c r="D28" t="n">
        <v>942313606.21</v>
      </c>
      <c r="E28" t="n">
        <v>53.773</v>
      </c>
      <c r="F28" t="n">
        <v>67.3355</v>
      </c>
    </row>
    <row r="29">
      <c r="A29" t="n">
        <v>1961</v>
      </c>
      <c r="B29" t="n">
        <v>1156257.898</v>
      </c>
      <c r="C29" t="n">
        <v>678170191.663</v>
      </c>
      <c r="D29" t="n">
        <v>850900926.156</v>
      </c>
      <c r="E29" t="n">
        <v>48.4605</v>
      </c>
      <c r="F29" t="n">
        <v>60.8034</v>
      </c>
    </row>
    <row r="30">
      <c r="A30" t="n">
        <v>1962</v>
      </c>
      <c r="B30" t="n">
        <v>1115282.806</v>
      </c>
      <c r="C30" t="n">
        <v>696867995.594</v>
      </c>
      <c r="D30" t="n">
        <v>907106555.623</v>
      </c>
      <c r="E30" t="n">
        <v>49.7966</v>
      </c>
      <c r="F30" t="n">
        <v>64.8197</v>
      </c>
    </row>
    <row r="31">
      <c r="A31" t="n">
        <v>1963</v>
      </c>
      <c r="B31" t="n">
        <v>1182857.634</v>
      </c>
      <c r="C31" t="n">
        <v>764660789.674</v>
      </c>
      <c r="D31" t="n">
        <v>976098091.716</v>
      </c>
      <c r="E31" t="n">
        <v>54.6409</v>
      </c>
      <c r="F31" t="n">
        <v>69.7497</v>
      </c>
    </row>
    <row r="32">
      <c r="A32" t="n">
        <v>1964</v>
      </c>
      <c r="B32" t="n">
        <v>1439224.707</v>
      </c>
      <c r="C32" t="n">
        <v>827964255.084</v>
      </c>
      <c r="D32" t="n">
        <v>1080776218.354</v>
      </c>
      <c r="E32" t="n">
        <v>59.1644</v>
      </c>
      <c r="F32" t="n">
        <v>77.22969999999999</v>
      </c>
    </row>
    <row r="33">
      <c r="A33" t="n">
        <v>1965</v>
      </c>
      <c r="B33" t="n">
        <v>1481826.916</v>
      </c>
      <c r="C33" t="n">
        <v>831671893.6109999</v>
      </c>
      <c r="D33" t="n">
        <v>1086157812.853</v>
      </c>
      <c r="E33" t="n">
        <v>59.4293</v>
      </c>
      <c r="F33" t="n">
        <v>77.6143</v>
      </c>
    </row>
    <row r="34">
      <c r="A34" t="n">
        <v>1966</v>
      </c>
      <c r="B34" t="n">
        <v>1584008.585</v>
      </c>
      <c r="C34" t="n">
        <v>936667690.627</v>
      </c>
      <c r="D34" t="n">
        <v>1250914932.932</v>
      </c>
      <c r="E34" t="n">
        <v>66.93210000000001</v>
      </c>
      <c r="F34" t="n">
        <v>89.3874</v>
      </c>
    </row>
    <row r="35">
      <c r="A35" t="n">
        <v>1967</v>
      </c>
      <c r="B35" t="n">
        <v>1576750.342</v>
      </c>
      <c r="C35" t="n">
        <v>943125073.268</v>
      </c>
      <c r="D35" t="n">
        <v>1280630908.043</v>
      </c>
      <c r="E35" t="n">
        <v>67.3935</v>
      </c>
      <c r="F35" t="n">
        <v>91.51090000000001</v>
      </c>
    </row>
    <row r="36">
      <c r="A36" t="n">
        <v>1968</v>
      </c>
      <c r="B36" t="n">
        <v>1585546.277</v>
      </c>
      <c r="C36" t="n">
        <v>939278265.809</v>
      </c>
      <c r="D36" t="n">
        <v>1262721368.765</v>
      </c>
      <c r="E36" t="n">
        <v>67.1186</v>
      </c>
      <c r="F36" t="n">
        <v>90.2311</v>
      </c>
    </row>
    <row r="37">
      <c r="A37" t="n">
        <v>1969</v>
      </c>
      <c r="B37" t="n">
        <v>1608105.787</v>
      </c>
      <c r="C37" t="n">
        <v>960550578.24</v>
      </c>
      <c r="D37" t="n">
        <v>1284061906.577</v>
      </c>
      <c r="E37" t="n">
        <v>68.6387</v>
      </c>
      <c r="F37" t="n">
        <v>91.7561</v>
      </c>
    </row>
    <row r="38">
      <c r="A38" t="n">
        <v>1970</v>
      </c>
      <c r="B38" t="n">
        <v>1785641.328</v>
      </c>
      <c r="C38" t="n">
        <v>1013015870.171</v>
      </c>
      <c r="D38" t="n">
        <v>1373701446.382</v>
      </c>
      <c r="E38" t="n">
        <v>72.3877</v>
      </c>
      <c r="F38" t="n">
        <v>98.1615</v>
      </c>
    </row>
    <row r="39">
      <c r="A39" t="n">
        <v>1971</v>
      </c>
      <c r="B39" t="n">
        <v>1859556.357</v>
      </c>
      <c r="C39" t="n">
        <v>997163575.5</v>
      </c>
      <c r="D39" t="n">
        <v>1338478509.452</v>
      </c>
      <c r="E39" t="n">
        <v>71.255</v>
      </c>
      <c r="F39" t="n">
        <v>95.64449999999999</v>
      </c>
    </row>
    <row r="40">
      <c r="A40" t="n">
        <v>1972</v>
      </c>
      <c r="B40" t="n">
        <v>1778802.904</v>
      </c>
      <c r="C40" t="n">
        <v>1055921888.523</v>
      </c>
      <c r="D40" t="n">
        <v>1460425873.268</v>
      </c>
      <c r="E40" t="n">
        <v>75.4537</v>
      </c>
      <c r="F40" t="n">
        <v>104.3586</v>
      </c>
    </row>
    <row r="41">
      <c r="A41" t="n">
        <v>1973</v>
      </c>
      <c r="B41" t="n">
        <v>2039439.138</v>
      </c>
      <c r="C41" t="n">
        <v>1175021299.078</v>
      </c>
      <c r="D41" t="n">
        <v>1608513000.358</v>
      </c>
      <c r="E41" t="n">
        <v>83.96429999999999</v>
      </c>
      <c r="F41" t="n">
        <v>114.9406</v>
      </c>
    </row>
    <row r="42">
      <c r="A42" t="n">
        <v>1974</v>
      </c>
      <c r="B42" t="n">
        <v>1963362.597</v>
      </c>
      <c r="C42" t="n">
        <v>1252020255.349</v>
      </c>
      <c r="D42" t="n">
        <v>1750637999.631</v>
      </c>
      <c r="E42" t="n">
        <v>89.46639999999999</v>
      </c>
      <c r="F42" t="n">
        <v>125.0965</v>
      </c>
    </row>
    <row r="43">
      <c r="A43" t="n">
        <v>1975</v>
      </c>
      <c r="B43" t="n">
        <v>2114020.518</v>
      </c>
      <c r="C43" t="n">
        <v>1353429467.725</v>
      </c>
      <c r="D43" t="n">
        <v>1806810383.63</v>
      </c>
      <c r="E43" t="n">
        <v>96.7129</v>
      </c>
      <c r="F43" t="n">
        <v>129.1104</v>
      </c>
    </row>
    <row r="44">
      <c r="A44" t="n">
        <v>1976</v>
      </c>
      <c r="B44" t="n">
        <v>2125120.073</v>
      </c>
      <c r="C44" t="n">
        <v>1337829577.818</v>
      </c>
      <c r="D44" t="n">
        <v>1780967383.176</v>
      </c>
      <c r="E44" t="n">
        <v>95.59820000000001</v>
      </c>
      <c r="F44" t="n">
        <v>127.2638</v>
      </c>
    </row>
    <row r="45">
      <c r="A45" t="n">
        <v>1977</v>
      </c>
      <c r="B45" t="n">
        <v>2176927.294</v>
      </c>
      <c r="C45" t="n">
        <v>1367274900.029</v>
      </c>
      <c r="D45" t="n">
        <v>1867980594.407</v>
      </c>
      <c r="E45" t="n">
        <v>97.70229999999999</v>
      </c>
      <c r="F45" t="n">
        <v>133.4815</v>
      </c>
    </row>
    <row r="46">
      <c r="A46" t="n">
        <v>1978</v>
      </c>
      <c r="B46" t="n">
        <v>2368585.358</v>
      </c>
      <c r="C46" t="n">
        <v>1344087650.815</v>
      </c>
      <c r="D46" t="n">
        <v>1815758218.557</v>
      </c>
      <c r="E46" t="n">
        <v>96.0454</v>
      </c>
      <c r="F46" t="n">
        <v>129.7498</v>
      </c>
    </row>
    <row r="47">
      <c r="A47" t="n">
        <v>1979</v>
      </c>
      <c r="B47" t="n">
        <v>2266934.07</v>
      </c>
      <c r="C47" t="n">
        <v>1440998194.812</v>
      </c>
      <c r="D47" t="n">
        <v>1878567770.181</v>
      </c>
      <c r="E47" t="n">
        <v>102.9704</v>
      </c>
      <c r="F47" t="n">
        <v>134.2381</v>
      </c>
    </row>
    <row r="48">
      <c r="A48" t="n">
        <v>1980</v>
      </c>
      <c r="B48" t="n">
        <v>2175074.215</v>
      </c>
      <c r="C48" t="n">
        <v>1291508129.807</v>
      </c>
      <c r="D48" t="n">
        <v>1715034930.233</v>
      </c>
      <c r="E48" t="n">
        <v>92.2881</v>
      </c>
      <c r="F48" t="n">
        <v>122.5524</v>
      </c>
    </row>
    <row r="49">
      <c r="A49" t="n">
        <v>1981</v>
      </c>
      <c r="B49" t="n">
        <v>2334325.702</v>
      </c>
      <c r="C49" t="n">
        <v>1379979374.083</v>
      </c>
      <c r="D49" t="n">
        <v>1754793758.263</v>
      </c>
      <c r="E49" t="n">
        <v>98.6101</v>
      </c>
      <c r="F49" t="n">
        <v>125.3934</v>
      </c>
    </row>
    <row r="50">
      <c r="A50" t="n">
        <v>1982</v>
      </c>
      <c r="B50" t="n">
        <v>2330915.723</v>
      </c>
      <c r="C50" t="n">
        <v>1372109789.459</v>
      </c>
      <c r="D50" t="n">
        <v>1824003646.313</v>
      </c>
      <c r="E50" t="n">
        <v>98.0478</v>
      </c>
      <c r="F50" t="n">
        <v>130.339</v>
      </c>
    </row>
    <row r="51">
      <c r="A51" t="n">
        <v>1983</v>
      </c>
      <c r="B51" t="n">
        <v>2480347.375</v>
      </c>
      <c r="C51" t="n">
        <v>1644143702.086</v>
      </c>
      <c r="D51" t="n">
        <v>2090442045.416</v>
      </c>
      <c r="E51" t="n">
        <v>117.4867</v>
      </c>
      <c r="F51" t="n">
        <v>149.3781</v>
      </c>
    </row>
    <row r="52">
      <c r="A52" t="n">
        <v>1984</v>
      </c>
      <c r="B52" t="n">
        <v>2643838.706</v>
      </c>
      <c r="C52" t="n">
        <v>1704652430.88</v>
      </c>
      <c r="D52" t="n">
        <v>2143448180.993</v>
      </c>
      <c r="E52" t="n">
        <v>121.8105</v>
      </c>
      <c r="F52" t="n">
        <v>153.1658</v>
      </c>
    </row>
    <row r="53">
      <c r="A53" t="n">
        <v>1985</v>
      </c>
      <c r="B53" t="n">
        <v>2666668.14</v>
      </c>
      <c r="C53" t="n">
        <v>1751597922.573</v>
      </c>
      <c r="D53" t="n">
        <v>2185266446.013</v>
      </c>
      <c r="E53" t="n">
        <v>125.1651</v>
      </c>
      <c r="F53" t="n">
        <v>156.154</v>
      </c>
    </row>
    <row r="54">
      <c r="A54" t="n">
        <v>1986</v>
      </c>
      <c r="B54" t="n">
        <v>2791975.128</v>
      </c>
      <c r="C54" t="n">
        <v>1827527463.317</v>
      </c>
      <c r="D54" t="n">
        <v>2351499289.117</v>
      </c>
      <c r="E54" t="n">
        <v>130.5908</v>
      </c>
      <c r="F54" t="n">
        <v>168.0326</v>
      </c>
    </row>
    <row r="55">
      <c r="A55" t="n">
        <v>1987</v>
      </c>
      <c r="B55" t="n">
        <v>2866231.898</v>
      </c>
      <c r="C55" t="n">
        <v>1765693062.403</v>
      </c>
      <c r="D55" t="n">
        <v>2265694058.744</v>
      </c>
      <c r="E55" t="n">
        <v>126.1723</v>
      </c>
      <c r="F55" t="n">
        <v>161.9012</v>
      </c>
    </row>
    <row r="56">
      <c r="A56" t="n">
        <v>1988</v>
      </c>
      <c r="B56" t="n">
        <v>3144501.76</v>
      </c>
      <c r="C56" t="n">
        <v>1954818983.598</v>
      </c>
      <c r="D56" t="n">
        <v>2526233705.086</v>
      </c>
      <c r="E56" t="n">
        <v>139.6868</v>
      </c>
      <c r="F56" t="n">
        <v>180.5187</v>
      </c>
    </row>
    <row r="57">
      <c r="A57" t="n">
        <v>1989</v>
      </c>
      <c r="B57" t="n">
        <v>3497572.568</v>
      </c>
      <c r="C57" t="n">
        <v>2085292594.109</v>
      </c>
      <c r="D57" t="n">
        <v>2605372352.262</v>
      </c>
      <c r="E57" t="n">
        <v>149.0101</v>
      </c>
      <c r="F57" t="n">
        <v>186.1738</v>
      </c>
    </row>
    <row r="58">
      <c r="A58" t="n">
        <v>1990</v>
      </c>
      <c r="B58" t="n">
        <v>3408181.265</v>
      </c>
      <c r="C58" t="n">
        <v>1960856284.409</v>
      </c>
      <c r="D58" t="n">
        <v>2462045790.992</v>
      </c>
      <c r="E58" t="n">
        <v>140.1182</v>
      </c>
      <c r="F58" t="n">
        <v>175.932</v>
      </c>
    </row>
    <row r="59">
      <c r="A59" t="n">
        <v>1991</v>
      </c>
      <c r="B59" t="n">
        <v>3524100.558</v>
      </c>
      <c r="C59" t="n">
        <v>2100460829.285</v>
      </c>
      <c r="D59" t="n">
        <v>2683150806.637</v>
      </c>
      <c r="E59" t="n">
        <v>150.094</v>
      </c>
      <c r="F59" t="n">
        <v>191.7317</v>
      </c>
    </row>
    <row r="60">
      <c r="A60" t="n">
        <v>1992</v>
      </c>
      <c r="B60" t="n">
        <v>3607619.811</v>
      </c>
      <c r="C60" t="n">
        <v>2219724921.889</v>
      </c>
      <c r="D60" t="n">
        <v>2825044787.94</v>
      </c>
      <c r="E60" t="n">
        <v>158.6163</v>
      </c>
      <c r="F60" t="n">
        <v>201.8711</v>
      </c>
    </row>
    <row r="61">
      <c r="A61" t="n">
        <v>1993</v>
      </c>
      <c r="B61" t="n">
        <v>3749491.91</v>
      </c>
      <c r="C61" t="n">
        <v>2223840970.438</v>
      </c>
      <c r="D61" t="n">
        <v>2839714932.068</v>
      </c>
      <c r="E61" t="n">
        <v>158.9105</v>
      </c>
      <c r="F61" t="n">
        <v>202.9194</v>
      </c>
    </row>
    <row r="62">
      <c r="A62" t="n">
        <v>1994</v>
      </c>
      <c r="B62" t="n">
        <v>3700742.725</v>
      </c>
      <c r="C62" t="n">
        <v>2290279457.47</v>
      </c>
      <c r="D62" t="n">
        <v>2908197145.986</v>
      </c>
      <c r="E62" t="n">
        <v>163.658</v>
      </c>
      <c r="F62" t="n">
        <v>207.813</v>
      </c>
    </row>
    <row r="63">
      <c r="A63" t="n">
        <v>1995</v>
      </c>
      <c r="B63" t="n">
        <v>3614002.09</v>
      </c>
      <c r="C63" t="n">
        <v>2261775644.229</v>
      </c>
      <c r="D63" t="n">
        <v>2971410889.73</v>
      </c>
      <c r="E63" t="n">
        <v>161.6212</v>
      </c>
      <c r="F63" t="n">
        <v>212.3301</v>
      </c>
    </row>
    <row r="64">
      <c r="A64" t="n">
        <v>1996</v>
      </c>
      <c r="B64" t="n">
        <v>3723831.969</v>
      </c>
      <c r="C64" t="n">
        <v>2223460670.525</v>
      </c>
      <c r="D64" t="n">
        <v>2837520355.543</v>
      </c>
      <c r="E64" t="n">
        <v>158.8833</v>
      </c>
      <c r="F64" t="n">
        <v>202.7626</v>
      </c>
    </row>
    <row r="65">
      <c r="A65" t="n">
        <v>1997</v>
      </c>
      <c r="B65" t="n">
        <v>4166586.034</v>
      </c>
      <c r="C65" t="n">
        <v>2461017949.84</v>
      </c>
      <c r="D65" t="n">
        <v>3186181608.31</v>
      </c>
      <c r="E65" t="n">
        <v>175.8586</v>
      </c>
      <c r="F65" t="n">
        <v>227.6771</v>
      </c>
    </row>
    <row r="66">
      <c r="A66" t="n">
        <v>1998</v>
      </c>
      <c r="B66" t="n">
        <v>4088625.943</v>
      </c>
      <c r="C66" t="n">
        <v>2567054737.421</v>
      </c>
      <c r="D66" t="n">
        <v>3227576917.528</v>
      </c>
      <c r="E66" t="n">
        <v>183.4357</v>
      </c>
      <c r="F66" t="n">
        <v>230.6351</v>
      </c>
    </row>
    <row r="67">
      <c r="A67" t="n">
        <v>1999</v>
      </c>
      <c r="B67" t="n">
        <v>3856172.294</v>
      </c>
      <c r="C67" t="n">
        <v>2486652435.468</v>
      </c>
      <c r="D67" t="n">
        <v>3079654242.463</v>
      </c>
      <c r="E67" t="n">
        <v>177.6904</v>
      </c>
      <c r="F67" t="n">
        <v>220.0649</v>
      </c>
    </row>
    <row r="68">
      <c r="A68" t="n">
        <v>2000</v>
      </c>
      <c r="B68" t="n">
        <v>4058825.532</v>
      </c>
      <c r="C68" t="n">
        <v>2542592908.292</v>
      </c>
      <c r="D68" t="n">
        <v>3141580627.768</v>
      </c>
      <c r="E68" t="n">
        <v>181.6877</v>
      </c>
      <c r="F68" t="n">
        <v>224.49</v>
      </c>
    </row>
    <row r="69">
      <c r="A69" t="n">
        <v>2001</v>
      </c>
      <c r="B69" t="n">
        <v>3801838.711</v>
      </c>
      <c r="C69" t="n">
        <v>2490391485.021</v>
      </c>
      <c r="D69" t="n">
        <v>3080215226.964</v>
      </c>
      <c r="E69" t="n">
        <v>177.9575</v>
      </c>
      <c r="F69" t="n">
        <v>220.105</v>
      </c>
    </row>
    <row r="70">
      <c r="A70" t="n">
        <v>2002</v>
      </c>
      <c r="B70" t="n">
        <v>4012342.217</v>
      </c>
      <c r="C70" t="n">
        <v>2650878094.439</v>
      </c>
      <c r="D70" t="n">
        <v>3229954099.291</v>
      </c>
      <c r="E70" t="n">
        <v>189.4255</v>
      </c>
      <c r="F70" t="n">
        <v>230.805</v>
      </c>
    </row>
    <row r="71">
      <c r="A71" t="n">
        <v>2003</v>
      </c>
      <c r="B71" t="n">
        <v>4004607.745</v>
      </c>
      <c r="C71" t="n">
        <v>2787724581.192</v>
      </c>
      <c r="D71" t="n">
        <v>3225490609.414</v>
      </c>
      <c r="E71" t="n">
        <v>199.2043</v>
      </c>
      <c r="F71" t="n">
        <v>230.486</v>
      </c>
    </row>
    <row r="72">
      <c r="A72" t="n">
        <v>2004</v>
      </c>
      <c r="B72" t="n">
        <v>4055871.669</v>
      </c>
      <c r="C72" t="n">
        <v>2899148576.452</v>
      </c>
      <c r="D72" t="n">
        <v>3249780830.249</v>
      </c>
      <c r="E72" t="n">
        <v>207.1664</v>
      </c>
      <c r="F72" t="n">
        <v>232.2217</v>
      </c>
    </row>
    <row r="73">
      <c r="A73" t="n">
        <v>2005</v>
      </c>
      <c r="B73" t="n">
        <v>3807575.565</v>
      </c>
      <c r="C73" t="n">
        <v>2776551735.404</v>
      </c>
      <c r="D73" t="n">
        <v>3058964363.35</v>
      </c>
      <c r="E73" t="n">
        <v>198.4059</v>
      </c>
      <c r="F73" t="n">
        <v>218.5864</v>
      </c>
    </row>
    <row r="74">
      <c r="A74" t="n">
        <v>2006</v>
      </c>
      <c r="B74" t="n">
        <v>4143943.438</v>
      </c>
      <c r="C74" t="n">
        <v>2993221927.946</v>
      </c>
      <c r="D74" t="n">
        <v>3299506410.719</v>
      </c>
      <c r="E74" t="n">
        <v>213.8886</v>
      </c>
      <c r="F74" t="n">
        <v>235.775</v>
      </c>
    </row>
    <row r="75">
      <c r="A75" t="n">
        <v>2007</v>
      </c>
      <c r="B75" t="n">
        <v>3981679.683</v>
      </c>
      <c r="C75" t="n">
        <v>2712053547.527</v>
      </c>
      <c r="D75" t="n">
        <v>3004004401.423</v>
      </c>
      <c r="E75" t="n">
        <v>193.797</v>
      </c>
      <c r="F75" t="n">
        <v>214.6591</v>
      </c>
    </row>
    <row r="76">
      <c r="A76" t="n">
        <v>2008</v>
      </c>
      <c r="B76" t="n">
        <v>4056012.491</v>
      </c>
      <c r="C76" t="n">
        <v>2789855635.669</v>
      </c>
      <c r="D76" t="n">
        <v>3230979254.358</v>
      </c>
      <c r="E76" t="n">
        <v>199.3565</v>
      </c>
      <c r="F76" t="n">
        <v>230.8782</v>
      </c>
    </row>
    <row r="77">
      <c r="A77" t="n">
        <v>2009</v>
      </c>
      <c r="B77" t="n">
        <v>3833056.254</v>
      </c>
      <c r="C77" t="n">
        <v>2722414404.651</v>
      </c>
      <c r="D77" t="n">
        <v>3060715999.589</v>
      </c>
      <c r="E77" t="n">
        <v>194.5374</v>
      </c>
      <c r="F77" t="n">
        <v>218.7116</v>
      </c>
    </row>
    <row r="78">
      <c r="A78" t="n">
        <v>2010</v>
      </c>
      <c r="B78" t="n">
        <v>4002304.613</v>
      </c>
      <c r="C78" t="n">
        <v>2787105066.458</v>
      </c>
      <c r="D78" t="n">
        <v>3237664462.355</v>
      </c>
      <c r="E78" t="n">
        <v>199.16</v>
      </c>
      <c r="F78" t="n">
        <v>231.3559</v>
      </c>
    </row>
    <row r="79">
      <c r="A79" t="n">
        <v>2011</v>
      </c>
      <c r="B79" t="n">
        <v>4355311.243</v>
      </c>
      <c r="C79" t="n">
        <v>3053533970.463</v>
      </c>
      <c r="D79" t="n">
        <v>3452107079.638</v>
      </c>
      <c r="E79" t="n">
        <v>218.1984</v>
      </c>
      <c r="F79" t="n">
        <v>246.6795</v>
      </c>
    </row>
    <row r="80">
      <c r="A80" t="n">
        <v>2012</v>
      </c>
      <c r="B80" t="n">
        <v>4907206.463</v>
      </c>
      <c r="C80" t="n">
        <v>3550401892.699</v>
      </c>
      <c r="D80" t="n">
        <v>3953046831.021</v>
      </c>
      <c r="E80" t="n">
        <v>253.7034</v>
      </c>
      <c r="F80" t="n">
        <v>282.4755</v>
      </c>
    </row>
    <row r="81">
      <c r="A81" t="n">
        <v>2013</v>
      </c>
      <c r="B81" t="n">
        <v>5039828.897</v>
      </c>
      <c r="C81" t="n">
        <v>3609586587.865</v>
      </c>
      <c r="D81" t="n">
        <v>4075500099.587</v>
      </c>
      <c r="E81" t="n">
        <v>257.9326</v>
      </c>
      <c r="F81" t="n">
        <v>291.2257</v>
      </c>
    </row>
    <row r="82">
      <c r="A82" t="n">
        <v>2014</v>
      </c>
      <c r="B82" t="n">
        <v>4954752.745</v>
      </c>
      <c r="C82" t="n">
        <v>3532259070.229</v>
      </c>
      <c r="D82" t="n">
        <v>3929450670.88</v>
      </c>
      <c r="E82" t="n">
        <v>252.407</v>
      </c>
      <c r="F82" t="n">
        <v>280.7893</v>
      </c>
    </row>
    <row r="83">
      <c r="A83" t="n">
        <v>2015</v>
      </c>
      <c r="B83" t="n">
        <v>4713058.458</v>
      </c>
      <c r="C83" t="n">
        <v>3710870724.257</v>
      </c>
      <c r="D83" t="n">
        <v>4063330421.53</v>
      </c>
      <c r="E83" t="n">
        <v>265.1701</v>
      </c>
      <c r="F83" t="n">
        <v>290.3561</v>
      </c>
    </row>
    <row r="84">
      <c r="A84" t="n">
        <v>2016</v>
      </c>
      <c r="B84" t="n">
        <v>4964748.986</v>
      </c>
      <c r="C84" t="n">
        <v>3977730659.39</v>
      </c>
      <c r="D84" t="n">
        <v>4296346738.118</v>
      </c>
      <c r="E84" t="n">
        <v>284.2393</v>
      </c>
      <c r="F84" t="n">
        <v>307.0069</v>
      </c>
    </row>
    <row r="85">
      <c r="A85" t="n">
        <v>2017</v>
      </c>
      <c r="B85" t="n">
        <v>5177761.803</v>
      </c>
      <c r="C85" t="n">
        <v>3956570073.615</v>
      </c>
      <c r="D85" t="n">
        <v>4327436104.535</v>
      </c>
      <c r="E85" t="n">
        <v>282.7272</v>
      </c>
      <c r="F85" t="n">
        <v>309.2284</v>
      </c>
    </row>
    <row r="86">
      <c r="A86" t="n">
        <v>2018</v>
      </c>
      <c r="B86" t="n">
        <v>5315714.988</v>
      </c>
      <c r="C86" t="n">
        <v>4520983645.772</v>
      </c>
      <c r="D86" t="n">
        <v>4460561447.652</v>
      </c>
      <c r="E86" t="n">
        <v>323.0589</v>
      </c>
      <c r="F86" t="n">
        <v>318.7413</v>
      </c>
    </row>
    <row r="87">
      <c r="A87" t="n">
        <v>2019</v>
      </c>
      <c r="B87" t="n">
        <v>5436428.796</v>
      </c>
      <c r="C87" t="n">
        <v>4734727058.238</v>
      </c>
      <c r="D87" t="n">
        <v>4529613645.619</v>
      </c>
      <c r="E87" t="n">
        <v>338.3325</v>
      </c>
      <c r="F87" t="n">
        <v>323.6756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431"/>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116941.01</v>
      </c>
      <c r="F2" t="n">
        <v>118433.692</v>
      </c>
      <c r="G2" t="n">
        <v>114754.123</v>
      </c>
      <c r="H2" t="n">
        <v>172701.058</v>
      </c>
      <c r="I2" t="n">
        <v>123583.431</v>
      </c>
      <c r="J2" t="n">
        <v>131164.894</v>
      </c>
      <c r="K2" t="n">
        <v>122787.799</v>
      </c>
      <c r="L2" t="n">
        <v>127828.534</v>
      </c>
      <c r="M2" t="n">
        <v>122927.705</v>
      </c>
      <c r="N2" t="n">
        <v>130358.279</v>
      </c>
      <c r="O2" t="n">
        <v>120832.16</v>
      </c>
      <c r="P2" t="n">
        <v>123468.401</v>
      </c>
      <c r="Q2" t="n">
        <v>128826.395</v>
      </c>
      <c r="R2" t="n">
        <v>137864.8</v>
      </c>
      <c r="S2" t="n">
        <v>150648.213</v>
      </c>
      <c r="T2" t="n">
        <v>180072.683</v>
      </c>
      <c r="U2" t="n">
        <v>195847.292</v>
      </c>
      <c r="V2" t="n">
        <v>204190.638</v>
      </c>
      <c r="W2" t="n">
        <v>199140.244</v>
      </c>
      <c r="X2" t="n">
        <v>212298.898</v>
      </c>
      <c r="Y2" t="n">
        <v>213468.076</v>
      </c>
      <c r="Z2" t="n">
        <v>224043.753</v>
      </c>
      <c r="AA2" t="n">
        <v>253142.42</v>
      </c>
      <c r="AB2" t="n">
        <v>290988.753</v>
      </c>
      <c r="AC2" t="n">
        <v>285273.283</v>
      </c>
      <c r="AD2" t="n">
        <v>277601.442</v>
      </c>
      <c r="AE2" t="n">
        <v>289722.553</v>
      </c>
      <c r="AF2" t="n">
        <v>309250.783</v>
      </c>
      <c r="AG2" t="n">
        <v>340709.782</v>
      </c>
      <c r="AH2" t="n">
        <v>306490.655</v>
      </c>
      <c r="AI2" t="n">
        <v>289532.192</v>
      </c>
      <c r="AJ2" t="n">
        <v>281411.635</v>
      </c>
      <c r="AK2" t="n">
        <v>323706.051</v>
      </c>
      <c r="AL2" t="n">
        <v>266740.894</v>
      </c>
      <c r="AM2" t="n">
        <v>301505.618</v>
      </c>
      <c r="AN2" t="n">
        <v>352184.681</v>
      </c>
      <c r="AO2" t="n">
        <v>380356.867</v>
      </c>
      <c r="AP2" t="n">
        <v>449073.346</v>
      </c>
      <c r="AQ2" t="n">
        <v>437314.356</v>
      </c>
      <c r="AR2" t="n">
        <v>419273.411</v>
      </c>
      <c r="AS2" t="n">
        <v>435601.666</v>
      </c>
      <c r="AT2" t="n">
        <v>459675.856</v>
      </c>
      <c r="AU2" t="n">
        <v>518538.399</v>
      </c>
      <c r="AV2" t="n">
        <v>531079.763</v>
      </c>
      <c r="AW2" t="n">
        <v>575897.782</v>
      </c>
      <c r="AX2" t="n">
        <v>482682.063</v>
      </c>
      <c r="AY2" t="n">
        <v>530339.367</v>
      </c>
      <c r="AZ2" t="n">
        <v>657542.192</v>
      </c>
      <c r="BA2" t="n">
        <v>543667.142</v>
      </c>
      <c r="BB2" t="n">
        <v>500410.976</v>
      </c>
      <c r="BC2" t="n">
        <v>541804.919</v>
      </c>
      <c r="BD2" t="n">
        <v>535284.941</v>
      </c>
      <c r="BE2" t="n">
        <v>570140.723</v>
      </c>
      <c r="BF2" t="n">
        <v>500418.373</v>
      </c>
      <c r="BG2" t="n">
        <v>481950.753</v>
      </c>
      <c r="BH2" t="n">
        <v>430331.361</v>
      </c>
      <c r="BI2" t="n">
        <v>533815.925</v>
      </c>
      <c r="BJ2" t="n">
        <v>445714.31</v>
      </c>
      <c r="BK2" t="n">
        <v>448557.895</v>
      </c>
      <c r="BL2" t="n">
        <v>455291.592</v>
      </c>
      <c r="BM2" t="n">
        <v>467533.44</v>
      </c>
      <c r="BN2" t="n">
        <v>505944.253</v>
      </c>
      <c r="BO2" t="n">
        <v>519120.135</v>
      </c>
      <c r="BP2" t="n">
        <v>543302.92</v>
      </c>
      <c r="BQ2" t="n">
        <v>509939.807</v>
      </c>
      <c r="BR2" t="n">
        <v>506084.03</v>
      </c>
      <c r="BS2" t="n">
        <v>533586.822</v>
      </c>
      <c r="BT2" t="n">
        <v>566097.2389999999</v>
      </c>
      <c r="BU2" t="n">
        <v>628011.355</v>
      </c>
      <c r="BV2" t="n">
        <v>558935.373</v>
      </c>
    </row>
    <row r="3">
      <c r="A3" t="inlineStr">
        <is>
          <t>Sardinella longiceps</t>
        </is>
      </c>
      <c r="B3" t="inlineStr">
        <is>
          <t>Indian oil sardine</t>
        </is>
      </c>
      <c r="C3" t="inlineStr">
        <is>
          <t>Small pelagics (&lt;30 cm)</t>
        </is>
      </c>
      <c r="D3" t="inlineStr">
        <is>
          <t>Herring-likes</t>
        </is>
      </c>
      <c r="E3" t="n">
        <v>54808.855</v>
      </c>
      <c r="F3" t="n">
        <v>38501.738</v>
      </c>
      <c r="G3" t="n">
        <v>35950.913</v>
      </c>
      <c r="H3" t="n">
        <v>101063.049</v>
      </c>
      <c r="I3" t="n">
        <v>82489.693</v>
      </c>
      <c r="J3" t="n">
        <v>80765.764</v>
      </c>
      <c r="K3" t="n">
        <v>63888.59</v>
      </c>
      <c r="L3" t="n">
        <v>226304.582</v>
      </c>
      <c r="M3" t="n">
        <v>164551.066</v>
      </c>
      <c r="N3" t="n">
        <v>112896.002</v>
      </c>
      <c r="O3" t="n">
        <v>236511.205</v>
      </c>
      <c r="P3" t="n">
        <v>214740.727</v>
      </c>
      <c r="Q3" t="n">
        <v>146470.89</v>
      </c>
      <c r="R3" t="n">
        <v>102622.835</v>
      </c>
      <c r="S3" t="n">
        <v>316809.529</v>
      </c>
      <c r="T3" t="n">
        <v>308387.644</v>
      </c>
      <c r="U3" t="n">
        <v>300614.419</v>
      </c>
      <c r="V3" t="n">
        <v>309223.942</v>
      </c>
      <c r="W3" t="n">
        <v>346312.515</v>
      </c>
      <c r="X3" t="n">
        <v>222407.385</v>
      </c>
      <c r="Y3" t="n">
        <v>277551.377</v>
      </c>
      <c r="Z3" t="n">
        <v>258797.161</v>
      </c>
      <c r="AA3" t="n">
        <v>182018.206</v>
      </c>
      <c r="AB3" t="n">
        <v>205103.236</v>
      </c>
      <c r="AC3" t="n">
        <v>188634.099</v>
      </c>
      <c r="AD3" t="n">
        <v>224099.671</v>
      </c>
      <c r="AE3" t="n">
        <v>236588.453</v>
      </c>
      <c r="AF3" t="n">
        <v>229098.545</v>
      </c>
      <c r="AG3" t="n">
        <v>342893.219</v>
      </c>
      <c r="AH3" t="n">
        <v>263339.866</v>
      </c>
      <c r="AI3" t="n">
        <v>255245.511</v>
      </c>
      <c r="AJ3" t="n">
        <v>365575.998</v>
      </c>
      <c r="AK3" t="n">
        <v>333818.379</v>
      </c>
      <c r="AL3" t="n">
        <v>286444.192</v>
      </c>
      <c r="AM3" t="n">
        <v>297033.518</v>
      </c>
      <c r="AN3" t="n">
        <v>224618.137</v>
      </c>
      <c r="AO3" t="n">
        <v>187925.144</v>
      </c>
      <c r="AP3" t="n">
        <v>237081.899</v>
      </c>
      <c r="AQ3" t="n">
        <v>292180.205</v>
      </c>
      <c r="AR3" t="n">
        <v>409296.831</v>
      </c>
      <c r="AS3" t="n">
        <v>446609.044</v>
      </c>
      <c r="AT3" t="n">
        <v>351295.276</v>
      </c>
      <c r="AU3" t="n">
        <v>287548.224</v>
      </c>
      <c r="AV3" t="n">
        <v>320038.522</v>
      </c>
      <c r="AW3" t="n">
        <v>187817.279</v>
      </c>
      <c r="AX3" t="n">
        <v>203640.301</v>
      </c>
      <c r="AY3" t="n">
        <v>207946.382</v>
      </c>
      <c r="AZ3" t="n">
        <v>288001.692</v>
      </c>
      <c r="BA3" t="n">
        <v>259057.447</v>
      </c>
      <c r="BB3" t="n">
        <v>324035.536</v>
      </c>
      <c r="BC3" t="n">
        <v>461056.98</v>
      </c>
      <c r="BD3" t="n">
        <v>393312.8</v>
      </c>
      <c r="BE3" t="n">
        <v>481913.477</v>
      </c>
      <c r="BF3" t="n">
        <v>520756.422</v>
      </c>
      <c r="BG3" t="n">
        <v>509300.548</v>
      </c>
      <c r="BH3" t="n">
        <v>450296.167</v>
      </c>
      <c r="BI3" t="n">
        <v>499715.078</v>
      </c>
      <c r="BJ3" t="n">
        <v>564702.621</v>
      </c>
      <c r="BK3" t="n">
        <v>506828.917</v>
      </c>
      <c r="BL3" t="n">
        <v>433866.013</v>
      </c>
      <c r="BM3" t="n">
        <v>495404.717</v>
      </c>
      <c r="BN3" t="n">
        <v>569175.149</v>
      </c>
      <c r="BO3" t="n">
        <v>704717.567</v>
      </c>
      <c r="BP3" t="n">
        <v>628861.204</v>
      </c>
      <c r="BQ3" t="n">
        <v>695942.173</v>
      </c>
      <c r="BR3" t="n">
        <v>379043.979</v>
      </c>
      <c r="BS3" t="n">
        <v>384314.746</v>
      </c>
      <c r="BT3" t="n">
        <v>521446.179</v>
      </c>
      <c r="BU3" t="n">
        <v>407372.399</v>
      </c>
      <c r="BV3" t="n">
        <v>613277.917</v>
      </c>
    </row>
    <row r="4">
      <c r="A4" t="inlineStr">
        <is>
          <t>Penaeidae</t>
        </is>
      </c>
      <c r="B4" t="inlineStr">
        <is>
          <t>Commercial shrimps and prawns</t>
        </is>
      </c>
      <c r="C4" t="inlineStr">
        <is>
          <t>Shrimps</t>
        </is>
      </c>
      <c r="D4" t="inlineStr">
        <is>
          <t>Crustaceans</t>
        </is>
      </c>
      <c r="E4" t="n">
        <v>33132.606</v>
      </c>
      <c r="F4" t="n">
        <v>34448.446</v>
      </c>
      <c r="G4" t="n">
        <v>37418.198</v>
      </c>
      <c r="H4" t="n">
        <v>42849.476</v>
      </c>
      <c r="I4" t="n">
        <v>69571.102</v>
      </c>
      <c r="J4" t="n">
        <v>49244.939</v>
      </c>
      <c r="K4" t="n">
        <v>61415.968</v>
      </c>
      <c r="L4" t="n">
        <v>82158.599</v>
      </c>
      <c r="M4" t="n">
        <v>37447.67</v>
      </c>
      <c r="N4" t="n">
        <v>32330.055</v>
      </c>
      <c r="O4" t="n">
        <v>39917.902</v>
      </c>
      <c r="P4" t="n">
        <v>49747.171</v>
      </c>
      <c r="Q4" t="n">
        <v>57782.136</v>
      </c>
      <c r="R4" t="n">
        <v>44891.506</v>
      </c>
      <c r="S4" t="n">
        <v>73725.45600000001</v>
      </c>
      <c r="T4" t="n">
        <v>54637.601</v>
      </c>
      <c r="U4" t="n">
        <v>70865.74000000001</v>
      </c>
      <c r="V4" t="n">
        <v>65201.23</v>
      </c>
      <c r="W4" t="n">
        <v>69416.84699999999</v>
      </c>
      <c r="X4" t="n">
        <v>81336.061</v>
      </c>
      <c r="Y4" t="n">
        <v>101753.299</v>
      </c>
      <c r="Z4" t="n">
        <v>85259.792</v>
      </c>
      <c r="AA4" t="n">
        <v>95859.902</v>
      </c>
      <c r="AB4" t="n">
        <v>147911.09</v>
      </c>
      <c r="AC4" t="n">
        <v>118469.252</v>
      </c>
      <c r="AD4" t="n">
        <v>145035.315</v>
      </c>
      <c r="AE4" t="n">
        <v>124232.526</v>
      </c>
      <c r="AF4" t="n">
        <v>108552.618</v>
      </c>
      <c r="AG4" t="n">
        <v>129345.707</v>
      </c>
      <c r="AH4" t="n">
        <v>121176.996</v>
      </c>
      <c r="AI4" t="n">
        <v>127137.603</v>
      </c>
      <c r="AJ4" t="n">
        <v>97603.496</v>
      </c>
      <c r="AK4" t="n">
        <v>119139.619</v>
      </c>
      <c r="AL4" t="n">
        <v>148905.234</v>
      </c>
      <c r="AM4" t="n">
        <v>161937.482</v>
      </c>
      <c r="AN4" t="n">
        <v>157773.663</v>
      </c>
      <c r="AO4" t="n">
        <v>167533.071</v>
      </c>
      <c r="AP4" t="n">
        <v>198461.979</v>
      </c>
      <c r="AQ4" t="n">
        <v>188950.799</v>
      </c>
      <c r="AR4" t="n">
        <v>177838.003</v>
      </c>
      <c r="AS4" t="n">
        <v>184746.382</v>
      </c>
      <c r="AT4" t="n">
        <v>203445.999</v>
      </c>
      <c r="AU4" t="n">
        <v>194086.335</v>
      </c>
      <c r="AV4" t="n">
        <v>181380.561</v>
      </c>
      <c r="AW4" t="n">
        <v>217825.821</v>
      </c>
      <c r="AX4" t="n">
        <v>169063.502</v>
      </c>
      <c r="AY4" t="n">
        <v>179277.089</v>
      </c>
      <c r="AZ4" t="n">
        <v>201053.674</v>
      </c>
      <c r="BA4" t="n">
        <v>197737.397</v>
      </c>
      <c r="BB4" t="n">
        <v>151346.476</v>
      </c>
      <c r="BC4" t="n">
        <v>186031.743</v>
      </c>
      <c r="BD4" t="n">
        <v>166545.788</v>
      </c>
      <c r="BE4" t="n">
        <v>182039.167</v>
      </c>
      <c r="BF4" t="n">
        <v>196764.866</v>
      </c>
      <c r="BG4" t="n">
        <v>155696.587</v>
      </c>
      <c r="BH4" t="n">
        <v>150562.64</v>
      </c>
      <c r="BI4" t="n">
        <v>147221.689</v>
      </c>
      <c r="BJ4" t="n">
        <v>154801.8</v>
      </c>
      <c r="BK4" t="n">
        <v>168688.251</v>
      </c>
      <c r="BL4" t="n">
        <v>165494.425</v>
      </c>
      <c r="BM4" t="n">
        <v>159935.834</v>
      </c>
      <c r="BN4" t="n">
        <v>152426.803</v>
      </c>
      <c r="BO4" t="n">
        <v>158289.478</v>
      </c>
      <c r="BP4" t="n">
        <v>147596.396</v>
      </c>
      <c r="BQ4" t="n">
        <v>162379.57</v>
      </c>
      <c r="BR4" t="n">
        <v>156012.576</v>
      </c>
      <c r="BS4" t="n">
        <v>144237.169</v>
      </c>
      <c r="BT4" t="n">
        <v>163688.854</v>
      </c>
      <c r="BU4" t="n">
        <v>157059.578</v>
      </c>
      <c r="BV4" t="n">
        <v>152834.285</v>
      </c>
    </row>
    <row r="5">
      <c r="A5" t="inlineStr">
        <is>
          <t>Rastrelliger kanagurta</t>
        </is>
      </c>
      <c r="B5" t="inlineStr">
        <is>
          <t>Indian mackerel</t>
        </is>
      </c>
      <c r="C5" t="inlineStr">
        <is>
          <t>Medium pelagics (30 - 89 cm)</t>
        </is>
      </c>
      <c r="D5" t="inlineStr">
        <is>
          <t>Perch-likes</t>
        </is>
      </c>
      <c r="E5" t="n">
        <v>2367.269</v>
      </c>
      <c r="F5" t="n">
        <v>2366.726</v>
      </c>
      <c r="G5" t="n">
        <v>2647.904</v>
      </c>
      <c r="H5" t="n">
        <v>2788.656</v>
      </c>
      <c r="I5" t="n">
        <v>2938.97</v>
      </c>
      <c r="J5" t="n">
        <v>3350.993</v>
      </c>
      <c r="K5" t="n">
        <v>2837.742</v>
      </c>
      <c r="L5" t="n">
        <v>3116.572</v>
      </c>
      <c r="M5" t="n">
        <v>4046.144</v>
      </c>
      <c r="N5" t="n">
        <v>4388.473</v>
      </c>
      <c r="O5" t="n">
        <v>4660.382</v>
      </c>
      <c r="P5" t="n">
        <v>5123.757</v>
      </c>
      <c r="Q5" t="n">
        <v>5024.312</v>
      </c>
      <c r="R5" t="n">
        <v>6053.087</v>
      </c>
      <c r="S5" t="n">
        <v>7767.438</v>
      </c>
      <c r="T5" t="n">
        <v>8474.333000000001</v>
      </c>
      <c r="U5" t="n">
        <v>8631.335999999999</v>
      </c>
      <c r="V5" t="n">
        <v>8400.111000000001</v>
      </c>
      <c r="W5" t="n">
        <v>8144.497</v>
      </c>
      <c r="X5" t="n">
        <v>8695.901</v>
      </c>
      <c r="Y5" t="n">
        <v>8758.610000000001</v>
      </c>
      <c r="Z5" t="n">
        <v>9467.647000000001</v>
      </c>
      <c r="AA5" t="n">
        <v>10520.935</v>
      </c>
      <c r="AB5" t="n">
        <v>10666.287</v>
      </c>
      <c r="AC5" t="n">
        <v>11002.084</v>
      </c>
      <c r="AD5" t="n">
        <v>11338.447</v>
      </c>
      <c r="AE5" t="n">
        <v>12770.494</v>
      </c>
      <c r="AF5" t="n">
        <v>11990.284</v>
      </c>
      <c r="AG5" t="n">
        <v>11873.433</v>
      </c>
      <c r="AH5" t="n">
        <v>12580.628</v>
      </c>
      <c r="AI5" t="n">
        <v>13077.412</v>
      </c>
      <c r="AJ5" t="n">
        <v>54711.034</v>
      </c>
      <c r="AK5" t="n">
        <v>32949.783</v>
      </c>
      <c r="AL5" t="n">
        <v>32839.712</v>
      </c>
      <c r="AM5" t="n">
        <v>44268.068</v>
      </c>
      <c r="AN5" t="n">
        <v>65919.477</v>
      </c>
      <c r="AO5" t="n">
        <v>63186.079</v>
      </c>
      <c r="AP5" t="n">
        <v>64307.335</v>
      </c>
      <c r="AQ5" t="n">
        <v>99639.105</v>
      </c>
      <c r="AR5" t="n">
        <v>294162.181</v>
      </c>
      <c r="AS5" t="n">
        <v>195459.613</v>
      </c>
      <c r="AT5" t="n">
        <v>116199.46</v>
      </c>
      <c r="AU5" t="n">
        <v>99682.019</v>
      </c>
      <c r="AV5" t="n">
        <v>250333.138</v>
      </c>
      <c r="AW5" t="n">
        <v>210511.9</v>
      </c>
      <c r="AX5" t="n">
        <v>174297.642</v>
      </c>
      <c r="AY5" t="n">
        <v>298974.383</v>
      </c>
      <c r="AZ5" t="n">
        <v>233536.18</v>
      </c>
      <c r="BA5" t="n">
        <v>191602.67</v>
      </c>
      <c r="BB5" t="n">
        <v>218901.112</v>
      </c>
      <c r="BC5" t="n">
        <v>154711.214</v>
      </c>
      <c r="BD5" t="n">
        <v>108975.952</v>
      </c>
      <c r="BE5" t="n">
        <v>100041.87</v>
      </c>
      <c r="BF5" t="n">
        <v>128447.238</v>
      </c>
      <c r="BG5" t="n">
        <v>206610.453</v>
      </c>
      <c r="BH5" t="n">
        <v>191170.31</v>
      </c>
      <c r="BI5" t="n">
        <v>214627.126</v>
      </c>
      <c r="BJ5" t="n">
        <v>236978.255</v>
      </c>
      <c r="BK5" t="n">
        <v>222411.903</v>
      </c>
      <c r="BL5" t="n">
        <v>221667.644</v>
      </c>
      <c r="BM5" t="n">
        <v>267941.376</v>
      </c>
      <c r="BN5" t="n">
        <v>256335.187</v>
      </c>
      <c r="BO5" t="n">
        <v>201492.244</v>
      </c>
      <c r="BP5" t="n">
        <v>227176.568</v>
      </c>
      <c r="BQ5" t="n">
        <v>247343.78</v>
      </c>
      <c r="BR5" t="n">
        <v>276747.674</v>
      </c>
      <c r="BS5" t="n">
        <v>276052.338</v>
      </c>
      <c r="BT5" t="n">
        <v>324130.386</v>
      </c>
      <c r="BU5" t="n">
        <v>325530.708</v>
      </c>
      <c r="BV5" t="n">
        <v>288152.292</v>
      </c>
    </row>
    <row r="6">
      <c r="A6" t="inlineStr">
        <is>
          <t>Sciaenidae</t>
        </is>
      </c>
      <c r="B6" t="inlineStr">
        <is>
          <t>Drums, croakers</t>
        </is>
      </c>
      <c r="C6" t="inlineStr">
        <is>
          <t>Medium demersals (30 - 89 cm)</t>
        </is>
      </c>
      <c r="D6" t="inlineStr">
        <is>
          <t>Perch-likes</t>
        </is>
      </c>
      <c r="E6" t="n">
        <v>22915.939</v>
      </c>
      <c r="F6" t="n">
        <v>26064.679</v>
      </c>
      <c r="G6" t="n">
        <v>31439.781</v>
      </c>
      <c r="H6" t="n">
        <v>27352.555</v>
      </c>
      <c r="I6" t="n">
        <v>71581.94899999999</v>
      </c>
      <c r="J6" t="n">
        <v>41055.998</v>
      </c>
      <c r="K6" t="n">
        <v>52568.04</v>
      </c>
      <c r="L6" t="n">
        <v>30696.6</v>
      </c>
      <c r="M6" t="n">
        <v>29201.919</v>
      </c>
      <c r="N6" t="n">
        <v>24142.383</v>
      </c>
      <c r="O6" t="n">
        <v>27757.377</v>
      </c>
      <c r="P6" t="n">
        <v>29323.755</v>
      </c>
      <c r="Q6" t="n">
        <v>33290.586</v>
      </c>
      <c r="R6" t="n">
        <v>24984.055</v>
      </c>
      <c r="S6" t="n">
        <v>26039.295</v>
      </c>
      <c r="T6" t="n">
        <v>26958.173</v>
      </c>
      <c r="U6" t="n">
        <v>31090.576</v>
      </c>
      <c r="V6" t="n">
        <v>26965.662</v>
      </c>
      <c r="W6" t="n">
        <v>29962.809</v>
      </c>
      <c r="X6" t="n">
        <v>37675.755</v>
      </c>
      <c r="Y6" t="n">
        <v>40221.008</v>
      </c>
      <c r="Z6" t="n">
        <v>38436.288</v>
      </c>
      <c r="AA6" t="n">
        <v>40164.68</v>
      </c>
      <c r="AB6" t="n">
        <v>81822.524</v>
      </c>
      <c r="AC6" t="n">
        <v>69080.834</v>
      </c>
      <c r="AD6" t="n">
        <v>101056.55</v>
      </c>
      <c r="AE6" t="n">
        <v>73884.262</v>
      </c>
      <c r="AF6" t="n">
        <v>86147.94899999999</v>
      </c>
      <c r="AG6" t="n">
        <v>84941.28599999999</v>
      </c>
      <c r="AH6" t="n">
        <v>75294.829</v>
      </c>
      <c r="AI6" t="n">
        <v>78073.484</v>
      </c>
      <c r="AJ6" t="n">
        <v>78904.514</v>
      </c>
      <c r="AK6" t="n">
        <v>71900.268</v>
      </c>
      <c r="AL6" t="n">
        <v>87828.29700000001</v>
      </c>
      <c r="AM6" t="n">
        <v>96865.349</v>
      </c>
      <c r="AN6" t="n">
        <v>103612.871</v>
      </c>
      <c r="AO6" t="n">
        <v>105470.894</v>
      </c>
      <c r="AP6" t="n">
        <v>92084.70600000001</v>
      </c>
      <c r="AQ6" t="n">
        <v>90503.736</v>
      </c>
      <c r="AR6" t="n">
        <v>100865.829</v>
      </c>
      <c r="AS6" t="n">
        <v>104981.368</v>
      </c>
      <c r="AT6" t="n">
        <v>133812.193</v>
      </c>
      <c r="AU6" t="n">
        <v>161522.049</v>
      </c>
      <c r="AV6" t="n">
        <v>145991.634</v>
      </c>
      <c r="AW6" t="n">
        <v>196039.962</v>
      </c>
      <c r="AX6" t="n">
        <v>173902.715</v>
      </c>
      <c r="AY6" t="n">
        <v>158810.601</v>
      </c>
      <c r="AZ6" t="n">
        <v>164263.378</v>
      </c>
      <c r="BA6" t="n">
        <v>212983.094</v>
      </c>
      <c r="BB6" t="n">
        <v>176882.611</v>
      </c>
      <c r="BC6" t="n">
        <v>180343.658</v>
      </c>
      <c r="BD6" t="n">
        <v>134036.396</v>
      </c>
      <c r="BE6" t="n">
        <v>130587.872</v>
      </c>
      <c r="BF6" t="n">
        <v>120645.344</v>
      </c>
      <c r="BG6" t="n">
        <v>116792.133</v>
      </c>
      <c r="BH6" t="n">
        <v>110659.897</v>
      </c>
      <c r="BI6" t="n">
        <v>112816.325</v>
      </c>
      <c r="BJ6" t="n">
        <v>142165.899</v>
      </c>
      <c r="BK6" t="n">
        <v>149375.124</v>
      </c>
      <c r="BL6" t="n">
        <v>140390.223</v>
      </c>
      <c r="BM6" t="n">
        <v>139707.584</v>
      </c>
      <c r="BN6" t="n">
        <v>154545.596</v>
      </c>
      <c r="BO6" t="n">
        <v>157236.567</v>
      </c>
      <c r="BP6" t="n">
        <v>149752.62</v>
      </c>
      <c r="BQ6" t="n">
        <v>142673.292</v>
      </c>
      <c r="BR6" t="n">
        <v>152569.371</v>
      </c>
      <c r="BS6" t="n">
        <v>156916.452</v>
      </c>
      <c r="BT6" t="n">
        <v>151911.041</v>
      </c>
      <c r="BU6" t="n">
        <v>144404.665</v>
      </c>
      <c r="BV6" t="n">
        <v>143027.649</v>
      </c>
    </row>
    <row r="7">
      <c r="A7" t="inlineStr">
        <is>
          <t>Decapoda</t>
        </is>
      </c>
      <c r="B7" t="inlineStr">
        <is>
          <t>Crabs, lobsters, shrimps</t>
        </is>
      </c>
      <c r="C7" t="inlineStr">
        <is>
          <t>Lobsters, crabs</t>
        </is>
      </c>
      <c r="D7" t="inlineStr">
        <is>
          <t>Crustaceans</t>
        </is>
      </c>
      <c r="E7" t="n">
        <v>40683.948</v>
      </c>
      <c r="F7" t="n">
        <v>42166.571</v>
      </c>
      <c r="G7" t="n">
        <v>42183.89</v>
      </c>
      <c r="H7" t="n">
        <v>50007.359</v>
      </c>
      <c r="I7" t="n">
        <v>88191.94899999999</v>
      </c>
      <c r="J7" t="n">
        <v>59336.505</v>
      </c>
      <c r="K7" t="n">
        <v>90886.50900000001</v>
      </c>
      <c r="L7" t="n">
        <v>59377.552</v>
      </c>
      <c r="M7" t="n">
        <v>53294.583</v>
      </c>
      <c r="N7" t="n">
        <v>36837.707</v>
      </c>
      <c r="O7" t="n">
        <v>33206.115</v>
      </c>
      <c r="P7" t="n">
        <v>17784.101</v>
      </c>
      <c r="Q7" t="n">
        <v>29363.192</v>
      </c>
      <c r="R7" t="n">
        <v>39499.46</v>
      </c>
      <c r="S7" t="n">
        <v>30179.351</v>
      </c>
      <c r="T7" t="n">
        <v>41044.591</v>
      </c>
      <c r="U7" t="n">
        <v>34740.641</v>
      </c>
      <c r="V7" t="n">
        <v>28954.99</v>
      </c>
      <c r="W7" t="n">
        <v>30981.994</v>
      </c>
      <c r="X7" t="n">
        <v>32478.718</v>
      </c>
      <c r="Y7" t="n">
        <v>35587.564</v>
      </c>
      <c r="Z7" t="n">
        <v>79156.605</v>
      </c>
      <c r="AA7" t="n">
        <v>85873.016</v>
      </c>
      <c r="AB7" t="n">
        <v>68418.666</v>
      </c>
      <c r="AC7" t="n">
        <v>56749.551</v>
      </c>
      <c r="AD7" t="n">
        <v>79386.356</v>
      </c>
      <c r="AE7" t="n">
        <v>75928.84</v>
      </c>
      <c r="AF7" t="n">
        <v>77175.414</v>
      </c>
      <c r="AG7" t="n">
        <v>52908.462</v>
      </c>
      <c r="AH7" t="n">
        <v>73365.35799999999</v>
      </c>
      <c r="AI7" t="n">
        <v>71215.31299999999</v>
      </c>
      <c r="AJ7" t="n">
        <v>74579.136</v>
      </c>
      <c r="AK7" t="n">
        <v>56838.415</v>
      </c>
      <c r="AL7" t="n">
        <v>46651.911</v>
      </c>
      <c r="AM7" t="n">
        <v>68537.30899999999</v>
      </c>
      <c r="AN7" t="n">
        <v>79627.56600000001</v>
      </c>
      <c r="AO7" t="n">
        <v>81622.17</v>
      </c>
      <c r="AP7" t="n">
        <v>41979.586</v>
      </c>
      <c r="AQ7" t="n">
        <v>54837.183</v>
      </c>
      <c r="AR7" t="n">
        <v>82351.99099999999</v>
      </c>
      <c r="AS7" t="n">
        <v>92475.32399999999</v>
      </c>
      <c r="AT7" t="n">
        <v>114533.797</v>
      </c>
      <c r="AU7" t="n">
        <v>102955.285</v>
      </c>
      <c r="AV7" t="n">
        <v>78076.50900000001</v>
      </c>
      <c r="AW7" t="n">
        <v>85697.977</v>
      </c>
      <c r="AX7" t="n">
        <v>85248.049</v>
      </c>
      <c r="AY7" t="n">
        <v>115334.96</v>
      </c>
      <c r="AZ7" t="n">
        <v>179896.206</v>
      </c>
      <c r="BA7" t="n">
        <v>184462.656</v>
      </c>
      <c r="BB7" t="n">
        <v>150204.641</v>
      </c>
      <c r="BC7" t="n">
        <v>172588.193</v>
      </c>
      <c r="BD7" t="n">
        <v>142980.266</v>
      </c>
      <c r="BE7" t="n">
        <v>129913.778</v>
      </c>
      <c r="BF7" t="n">
        <v>129375.518</v>
      </c>
      <c r="BG7" t="n">
        <v>116727.634</v>
      </c>
      <c r="BH7" t="n">
        <v>119959.381</v>
      </c>
      <c r="BI7" t="n">
        <v>172430.277</v>
      </c>
      <c r="BJ7" t="n">
        <v>136590.308</v>
      </c>
      <c r="BK7" t="n">
        <v>191543.966</v>
      </c>
      <c r="BL7" t="n">
        <v>158617.042</v>
      </c>
      <c r="BM7" t="n">
        <v>123781.701</v>
      </c>
      <c r="BN7" t="n">
        <v>171924.221</v>
      </c>
      <c r="BO7" t="n">
        <v>162985.263</v>
      </c>
      <c r="BP7" t="n">
        <v>215998.383</v>
      </c>
      <c r="BQ7" t="n">
        <v>187517.092</v>
      </c>
      <c r="BR7" t="n">
        <v>154897.444</v>
      </c>
      <c r="BS7" t="n">
        <v>181233.017</v>
      </c>
      <c r="BT7" t="n">
        <v>222855.662</v>
      </c>
      <c r="BU7" t="n">
        <v>208237.072</v>
      </c>
      <c r="BV7" t="n">
        <v>181058.92</v>
      </c>
    </row>
    <row r="8">
      <c r="A8" t="inlineStr">
        <is>
          <t>Harpadon nehereus</t>
        </is>
      </c>
      <c r="B8" t="inlineStr">
        <is>
          <t>Bombay-duck</t>
        </is>
      </c>
      <c r="C8" t="inlineStr">
        <is>
          <t>Medium benthopelagics (30 - 89 cm)</t>
        </is>
      </c>
      <c r="D8" t="inlineStr">
        <is>
          <t>Other fishes &amp; inverts</t>
        </is>
      </c>
      <c r="E8" t="n">
        <v>13305.314</v>
      </c>
      <c r="F8" t="n">
        <v>6687.75</v>
      </c>
      <c r="G8" t="n">
        <v>23955.963</v>
      </c>
      <c r="H8" t="n">
        <v>44525.405</v>
      </c>
      <c r="I8" t="n">
        <v>35360.622</v>
      </c>
      <c r="J8" t="n">
        <v>104192.796</v>
      </c>
      <c r="K8" t="n">
        <v>125764.84</v>
      </c>
      <c r="L8" t="n">
        <v>118398.489</v>
      </c>
      <c r="M8" t="n">
        <v>67716.273</v>
      </c>
      <c r="N8" t="n">
        <v>57307.94</v>
      </c>
      <c r="O8" t="n">
        <v>108961.736</v>
      </c>
      <c r="P8" t="n">
        <v>94561.53</v>
      </c>
      <c r="Q8" t="n">
        <v>84478.852</v>
      </c>
      <c r="R8" t="n">
        <v>91968.747</v>
      </c>
      <c r="S8" t="n">
        <v>83069.038</v>
      </c>
      <c r="T8" t="n">
        <v>75819.2</v>
      </c>
      <c r="U8" t="n">
        <v>79277.3</v>
      </c>
      <c r="V8" t="n">
        <v>75378.53999999999</v>
      </c>
      <c r="W8" t="n">
        <v>81769.925</v>
      </c>
      <c r="X8" t="n">
        <v>77137.34600000001</v>
      </c>
      <c r="Y8" t="n">
        <v>80034.353</v>
      </c>
      <c r="Z8" t="n">
        <v>72602.628</v>
      </c>
      <c r="AA8" t="n">
        <v>53546.934</v>
      </c>
      <c r="AB8" t="n">
        <v>65067.398</v>
      </c>
      <c r="AC8" t="n">
        <v>62270.429</v>
      </c>
      <c r="AD8" t="n">
        <v>99403.89</v>
      </c>
      <c r="AE8" t="n">
        <v>88058.573</v>
      </c>
      <c r="AF8" t="n">
        <v>86466.711</v>
      </c>
      <c r="AG8" t="n">
        <v>126101.304</v>
      </c>
      <c r="AH8" t="n">
        <v>127649.394</v>
      </c>
      <c r="AI8" t="n">
        <v>97930.03</v>
      </c>
      <c r="AJ8" t="n">
        <v>141132.646</v>
      </c>
      <c r="AK8" t="n">
        <v>86938.393</v>
      </c>
      <c r="AL8" t="n">
        <v>100523.142</v>
      </c>
      <c r="AM8" t="n">
        <v>120341.392</v>
      </c>
      <c r="AN8" t="n">
        <v>117138.072</v>
      </c>
      <c r="AO8" t="n">
        <v>96583.18700000001</v>
      </c>
      <c r="AP8" t="n">
        <v>77640.37699999999</v>
      </c>
      <c r="AQ8" t="n">
        <v>71845.735</v>
      </c>
      <c r="AR8" t="n">
        <v>121317.341</v>
      </c>
      <c r="AS8" t="n">
        <v>124509.497</v>
      </c>
      <c r="AT8" t="n">
        <v>135559.407</v>
      </c>
      <c r="AU8" t="n">
        <v>110335.401</v>
      </c>
      <c r="AV8" t="n">
        <v>84902.52</v>
      </c>
      <c r="AW8" t="n">
        <v>114283.303</v>
      </c>
      <c r="AX8" t="n">
        <v>82568.56299999999</v>
      </c>
      <c r="AY8" t="n">
        <v>89087.576</v>
      </c>
      <c r="AZ8" t="n">
        <v>111114.426</v>
      </c>
      <c r="BA8" t="n">
        <v>128981.074</v>
      </c>
      <c r="BB8" t="n">
        <v>98573.78999999999</v>
      </c>
      <c r="BC8" t="n">
        <v>98845.629</v>
      </c>
      <c r="BD8" t="n">
        <v>77747.90700000001</v>
      </c>
      <c r="BE8" t="n">
        <v>105384.855</v>
      </c>
      <c r="BF8" t="n">
        <v>96698.336</v>
      </c>
      <c r="BG8" t="n">
        <v>76976.47199999999</v>
      </c>
      <c r="BH8" t="n">
        <v>89559.68700000001</v>
      </c>
      <c r="BI8" t="n">
        <v>85035.28599999999</v>
      </c>
      <c r="BJ8" t="n">
        <v>79398.289</v>
      </c>
      <c r="BK8" t="n">
        <v>75056.73</v>
      </c>
      <c r="BL8" t="n">
        <v>67995.819</v>
      </c>
      <c r="BM8" t="n">
        <v>75549.57799999999</v>
      </c>
      <c r="BN8" t="n">
        <v>76773.55899999999</v>
      </c>
      <c r="BO8" t="n">
        <v>82510.79300000001</v>
      </c>
      <c r="BP8" t="n">
        <v>93133.08900000001</v>
      </c>
      <c r="BQ8" t="n">
        <v>109882.567</v>
      </c>
      <c r="BR8" t="n">
        <v>102264.367</v>
      </c>
      <c r="BS8" t="n">
        <v>122265.241</v>
      </c>
      <c r="BT8" t="n">
        <v>113745.166</v>
      </c>
      <c r="BU8" t="n">
        <v>98024.704</v>
      </c>
      <c r="BV8" t="n">
        <v>102577.555</v>
      </c>
    </row>
    <row r="9">
      <c r="A9" t="inlineStr">
        <is>
          <t>Clupeiformes</t>
        </is>
      </c>
      <c r="B9" t="inlineStr">
        <is>
          <t>Herrings, shads, anchovies</t>
        </is>
      </c>
      <c r="C9" t="inlineStr">
        <is>
          <t>Small pelagics (&lt;30 cm)</t>
        </is>
      </c>
      <c r="D9" t="inlineStr">
        <is>
          <t>Other fishes &amp; inverts</t>
        </is>
      </c>
      <c r="E9" t="n">
        <v>40456.839</v>
      </c>
      <c r="F9" t="n">
        <v>41974.409</v>
      </c>
      <c r="G9" t="n">
        <v>36560.228</v>
      </c>
      <c r="H9" t="n">
        <v>21210.091</v>
      </c>
      <c r="I9" t="n">
        <v>21220.192</v>
      </c>
      <c r="J9" t="n">
        <v>34632.533</v>
      </c>
      <c r="K9" t="n">
        <v>26600.445</v>
      </c>
      <c r="L9" t="n">
        <v>44306.066</v>
      </c>
      <c r="M9" t="n">
        <v>39821.416</v>
      </c>
      <c r="N9" t="n">
        <v>42994.456</v>
      </c>
      <c r="O9" t="n">
        <v>28542.348</v>
      </c>
      <c r="P9" t="n">
        <v>17292.722</v>
      </c>
      <c r="Q9" t="n">
        <v>16373.107</v>
      </c>
      <c r="R9" t="n">
        <v>22416.848</v>
      </c>
      <c r="S9" t="n">
        <v>29475.564</v>
      </c>
      <c r="T9" t="n">
        <v>34033.509</v>
      </c>
      <c r="U9" t="n">
        <v>29399.053</v>
      </c>
      <c r="V9" t="n">
        <v>26892.114</v>
      </c>
      <c r="W9" t="n">
        <v>32181.912</v>
      </c>
      <c r="X9" t="n">
        <v>29063.026</v>
      </c>
      <c r="Y9" t="n">
        <v>27105.662</v>
      </c>
      <c r="Z9" t="n">
        <v>25881.074</v>
      </c>
      <c r="AA9" t="n">
        <v>27673.899</v>
      </c>
      <c r="AB9" t="n">
        <v>86582.584</v>
      </c>
      <c r="AC9" t="n">
        <v>55187.478</v>
      </c>
      <c r="AD9" t="n">
        <v>60294.768</v>
      </c>
      <c r="AE9" t="n">
        <v>71174.992</v>
      </c>
      <c r="AF9" t="n">
        <v>48286.297</v>
      </c>
      <c r="AG9" t="n">
        <v>39946.341</v>
      </c>
      <c r="AH9" t="n">
        <v>44484.434</v>
      </c>
      <c r="AI9" t="n">
        <v>42518.06</v>
      </c>
      <c r="AJ9" t="n">
        <v>36367.831</v>
      </c>
      <c r="AK9" t="n">
        <v>27485.358</v>
      </c>
      <c r="AL9" t="n">
        <v>27633.561</v>
      </c>
      <c r="AM9" t="n">
        <v>29642.672</v>
      </c>
      <c r="AN9" t="n">
        <v>24940.277</v>
      </c>
      <c r="AO9" t="n">
        <v>19511.617</v>
      </c>
      <c r="AP9" t="n">
        <v>47551.165</v>
      </c>
      <c r="AQ9" t="n">
        <v>40509.469</v>
      </c>
      <c r="AR9" t="n">
        <v>43453.809</v>
      </c>
      <c r="AS9" t="n">
        <v>57701.981</v>
      </c>
      <c r="AT9" t="n">
        <v>71457.977</v>
      </c>
      <c r="AU9" t="n">
        <v>73302.69</v>
      </c>
      <c r="AV9" t="n">
        <v>61628.911</v>
      </c>
      <c r="AW9" t="n">
        <v>60045.99</v>
      </c>
      <c r="AX9" t="n">
        <v>97247.20600000001</v>
      </c>
      <c r="AY9" t="n">
        <v>51318.613</v>
      </c>
      <c r="AZ9" t="n">
        <v>72196.33199999999</v>
      </c>
      <c r="BA9" t="n">
        <v>77547.143</v>
      </c>
      <c r="BB9" t="n">
        <v>80896.663</v>
      </c>
      <c r="BC9" t="n">
        <v>52815.353</v>
      </c>
      <c r="BD9" t="n">
        <v>64890.838</v>
      </c>
      <c r="BE9" t="n">
        <v>93086.02</v>
      </c>
      <c r="BF9" t="n">
        <v>138508.97</v>
      </c>
      <c r="BG9" t="n">
        <v>155711.406</v>
      </c>
      <c r="BH9" t="n">
        <v>142743.336</v>
      </c>
      <c r="BI9" t="n">
        <v>148259.619</v>
      </c>
      <c r="BJ9" t="n">
        <v>119821.263</v>
      </c>
      <c r="BK9" t="n">
        <v>92650.992</v>
      </c>
      <c r="BL9" t="n">
        <v>110067.551</v>
      </c>
      <c r="BM9" t="n">
        <v>123398.47</v>
      </c>
      <c r="BN9" t="n">
        <v>147495.191</v>
      </c>
      <c r="BO9" t="n">
        <v>231235.372</v>
      </c>
      <c r="BP9" t="n">
        <v>257717.833</v>
      </c>
      <c r="BQ9" t="n">
        <v>220274.639</v>
      </c>
      <c r="BR9" t="n">
        <v>195875.32</v>
      </c>
      <c r="BS9" t="n">
        <v>202803.178</v>
      </c>
      <c r="BT9" t="n">
        <v>153722.753</v>
      </c>
      <c r="BU9" t="n">
        <v>151555.858</v>
      </c>
      <c r="BV9" t="n">
        <v>155067.754</v>
      </c>
    </row>
    <row r="10">
      <c r="A10" t="inlineStr">
        <is>
          <t>Nemipteridae</t>
        </is>
      </c>
      <c r="B10" t="inlineStr">
        <is>
          <t>Threadfins, whiptail breams</t>
        </is>
      </c>
      <c r="C10" t="inlineStr">
        <is>
          <t>Small demersals (&lt;30 cm)</t>
        </is>
      </c>
      <c r="D10" t="inlineStr">
        <is>
          <t>Perch-likes</t>
        </is>
      </c>
      <c r="E10" t="n">
        <v>38.205</v>
      </c>
      <c r="F10" t="n">
        <v>38.277</v>
      </c>
      <c r="G10" t="n">
        <v>40.186</v>
      </c>
      <c r="H10" t="n">
        <v>39.454</v>
      </c>
      <c r="I10" t="n">
        <v>61.982</v>
      </c>
      <c r="J10" t="n">
        <v>61.964</v>
      </c>
      <c r="K10" t="n">
        <v>62.412</v>
      </c>
      <c r="L10" t="n">
        <v>93.15300000000001</v>
      </c>
      <c r="M10" t="n">
        <v>93.15600000000001</v>
      </c>
      <c r="N10" t="n">
        <v>109.966</v>
      </c>
      <c r="O10" t="n">
        <v>121.029</v>
      </c>
      <c r="P10" t="n">
        <v>131.413</v>
      </c>
      <c r="Q10" t="n">
        <v>143.189</v>
      </c>
      <c r="R10" t="n">
        <v>144.746</v>
      </c>
      <c r="S10" t="n">
        <v>142.692</v>
      </c>
      <c r="T10" t="n">
        <v>143.736</v>
      </c>
      <c r="U10" t="n">
        <v>160.409</v>
      </c>
      <c r="V10" t="n">
        <v>182.007</v>
      </c>
      <c r="W10" t="n">
        <v>424.397</v>
      </c>
      <c r="X10" t="n">
        <v>600.273</v>
      </c>
      <c r="Y10" t="n">
        <v>897.106</v>
      </c>
      <c r="Z10" t="n">
        <v>1057.459</v>
      </c>
      <c r="AA10" t="n">
        <v>1279.601</v>
      </c>
      <c r="AB10" t="n">
        <v>838.0410000000001</v>
      </c>
      <c r="AC10" t="n">
        <v>1182.247</v>
      </c>
      <c r="AD10" t="n">
        <v>1100.074</v>
      </c>
      <c r="AE10" t="n">
        <v>1026.39</v>
      </c>
      <c r="AF10" t="n">
        <v>2480.523</v>
      </c>
      <c r="AG10" t="n">
        <v>2528.816</v>
      </c>
      <c r="AH10" t="n">
        <v>2104.108</v>
      </c>
      <c r="AI10" t="n">
        <v>2335.588</v>
      </c>
      <c r="AJ10" t="n">
        <v>13973.718</v>
      </c>
      <c r="AK10" t="n">
        <v>17992.437</v>
      </c>
      <c r="AL10" t="n">
        <v>21675.659</v>
      </c>
      <c r="AM10" t="n">
        <v>34831.729</v>
      </c>
      <c r="AN10" t="n">
        <v>36689.698</v>
      </c>
      <c r="AO10" t="n">
        <v>57301.431</v>
      </c>
      <c r="AP10" t="n">
        <v>41894.49</v>
      </c>
      <c r="AQ10" t="n">
        <v>51181.352</v>
      </c>
      <c r="AR10" t="n">
        <v>63881.654</v>
      </c>
      <c r="AS10" t="n">
        <v>76729.602</v>
      </c>
      <c r="AT10" t="n">
        <v>59481.804</v>
      </c>
      <c r="AU10" t="n">
        <v>67519.31200000001</v>
      </c>
      <c r="AV10" t="n">
        <v>88558.85799999999</v>
      </c>
      <c r="AW10" t="n">
        <v>80320.102</v>
      </c>
      <c r="AX10" t="n">
        <v>67316.38800000001</v>
      </c>
      <c r="AY10" t="n">
        <v>93163.63800000001</v>
      </c>
      <c r="AZ10" t="n">
        <v>78735.996</v>
      </c>
      <c r="BA10" t="n">
        <v>93467.637</v>
      </c>
      <c r="BB10" t="n">
        <v>88936.16099999999</v>
      </c>
      <c r="BC10" t="n">
        <v>139925.844</v>
      </c>
      <c r="BD10" t="n">
        <v>133488.745</v>
      </c>
      <c r="BE10" t="n">
        <v>125887.362</v>
      </c>
      <c r="BF10" t="n">
        <v>118774.425</v>
      </c>
      <c r="BG10" t="n">
        <v>133884.515</v>
      </c>
      <c r="BH10" t="n">
        <v>100982.238</v>
      </c>
      <c r="BI10" t="n">
        <v>119712.414</v>
      </c>
      <c r="BJ10" t="n">
        <v>101263.064</v>
      </c>
      <c r="BK10" t="n">
        <v>130332.387</v>
      </c>
      <c r="BL10" t="n">
        <v>126692.404</v>
      </c>
      <c r="BM10" t="n">
        <v>123620.214</v>
      </c>
      <c r="BN10" t="n">
        <v>163438.114</v>
      </c>
      <c r="BO10" t="n">
        <v>200626.971</v>
      </c>
      <c r="BP10" t="n">
        <v>179117.161</v>
      </c>
      <c r="BQ10" t="n">
        <v>132840.91</v>
      </c>
      <c r="BR10" t="n">
        <v>159144.145</v>
      </c>
      <c r="BS10" t="n">
        <v>173737.079</v>
      </c>
      <c r="BT10" t="n">
        <v>151679.918</v>
      </c>
      <c r="BU10" t="n">
        <v>183341.968</v>
      </c>
      <c r="BV10" t="n">
        <v>157523.989</v>
      </c>
    </row>
    <row r="11">
      <c r="A11" t="inlineStr">
        <is>
          <t>Clupeidae</t>
        </is>
      </c>
      <c r="B11" t="inlineStr">
        <is>
          <t>Herrings, sardines, menhadens</t>
        </is>
      </c>
      <c r="C11" t="inlineStr">
        <is>
          <t>Small pelagics (&lt;30 cm)</t>
        </is>
      </c>
      <c r="D11" t="inlineStr">
        <is>
          <t>Herring-likes</t>
        </is>
      </c>
      <c r="E11" t="n">
        <v>29162.503</v>
      </c>
      <c r="F11" t="n">
        <v>20634.874</v>
      </c>
      <c r="G11" t="n">
        <v>28928.567</v>
      </c>
      <c r="H11" t="n">
        <v>24326.445</v>
      </c>
      <c r="I11" t="n">
        <v>26340.995</v>
      </c>
      <c r="J11" t="n">
        <v>26478.483</v>
      </c>
      <c r="K11" t="n">
        <v>37512.385</v>
      </c>
      <c r="L11" t="n">
        <v>39417.571</v>
      </c>
      <c r="M11" t="n">
        <v>25052.25</v>
      </c>
      <c r="N11" t="n">
        <v>32903.94</v>
      </c>
      <c r="O11" t="n">
        <v>34766.479</v>
      </c>
      <c r="P11" t="n">
        <v>25731.005</v>
      </c>
      <c r="Q11" t="n">
        <v>24956.826</v>
      </c>
      <c r="R11" t="n">
        <v>26947.801</v>
      </c>
      <c r="S11" t="n">
        <v>28614.237</v>
      </c>
      <c r="T11" t="n">
        <v>34484.22</v>
      </c>
      <c r="U11" t="n">
        <v>34863.243</v>
      </c>
      <c r="V11" t="n">
        <v>36289.783</v>
      </c>
      <c r="W11" t="n">
        <v>34926.453</v>
      </c>
      <c r="X11" t="n">
        <v>36637.681</v>
      </c>
      <c r="Y11" t="n">
        <v>36764.196</v>
      </c>
      <c r="Z11" t="n">
        <v>38368.488</v>
      </c>
      <c r="AA11" t="n">
        <v>40037.902</v>
      </c>
      <c r="AB11" t="n">
        <v>44631.998</v>
      </c>
      <c r="AC11" t="n">
        <v>53052.768</v>
      </c>
      <c r="AD11" t="n">
        <v>62531.444</v>
      </c>
      <c r="AE11" t="n">
        <v>54802.467</v>
      </c>
      <c r="AF11" t="n">
        <v>61661.387</v>
      </c>
      <c r="AG11" t="n">
        <v>55166.665</v>
      </c>
      <c r="AH11" t="n">
        <v>47926.108</v>
      </c>
      <c r="AI11" t="n">
        <v>50393.707</v>
      </c>
      <c r="AJ11" t="n">
        <v>40857.64</v>
      </c>
      <c r="AK11" t="n">
        <v>36816.03</v>
      </c>
      <c r="AL11" t="n">
        <v>39901.193</v>
      </c>
      <c r="AM11" t="n">
        <v>45493.753</v>
      </c>
      <c r="AN11" t="n">
        <v>39036.146</v>
      </c>
      <c r="AO11" t="n">
        <v>42813.33</v>
      </c>
      <c r="AP11" t="n">
        <v>77926.473</v>
      </c>
      <c r="AQ11" t="n">
        <v>82804.306</v>
      </c>
      <c r="AR11" t="n">
        <v>94106.031</v>
      </c>
      <c r="AS11" t="n">
        <v>94624.33100000001</v>
      </c>
      <c r="AT11" t="n">
        <v>109048.697</v>
      </c>
      <c r="AU11" t="n">
        <v>128951.882</v>
      </c>
      <c r="AV11" t="n">
        <v>108162.752</v>
      </c>
      <c r="AW11" t="n">
        <v>74140.80899999999</v>
      </c>
      <c r="AX11" t="n">
        <v>87432.22500000001</v>
      </c>
      <c r="AY11" t="n">
        <v>93843.076</v>
      </c>
      <c r="AZ11" t="n">
        <v>81129.26300000001</v>
      </c>
      <c r="BA11" t="n">
        <v>81718.57000000001</v>
      </c>
      <c r="BB11" t="n">
        <v>77316.939</v>
      </c>
      <c r="BC11" t="n">
        <v>67413.16</v>
      </c>
      <c r="BD11" t="n">
        <v>67670.196</v>
      </c>
      <c r="BE11" t="n">
        <v>57165.583</v>
      </c>
      <c r="BF11" t="n">
        <v>54880.049</v>
      </c>
      <c r="BG11" t="n">
        <v>47682.626</v>
      </c>
      <c r="BH11" t="n">
        <v>50386.189</v>
      </c>
      <c r="BI11" t="n">
        <v>54030.834</v>
      </c>
      <c r="BJ11" t="n">
        <v>65948.95299999999</v>
      </c>
      <c r="BK11" t="n">
        <v>64432.701</v>
      </c>
      <c r="BL11" t="n">
        <v>43999.125</v>
      </c>
      <c r="BM11" t="n">
        <v>56318.062</v>
      </c>
      <c r="BN11" t="n">
        <v>56823.534</v>
      </c>
      <c r="BO11" t="n">
        <v>67137.875</v>
      </c>
      <c r="BP11" t="n">
        <v>67051.21000000001</v>
      </c>
      <c r="BQ11" t="n">
        <v>73153.18700000001</v>
      </c>
      <c r="BR11" t="n">
        <v>71738.086</v>
      </c>
      <c r="BS11" t="n">
        <v>69275.304</v>
      </c>
      <c r="BT11" t="n">
        <v>59368.851</v>
      </c>
      <c r="BU11" t="n">
        <v>62789.427</v>
      </c>
      <c r="BV11" t="n">
        <v>106818.407</v>
      </c>
    </row>
    <row r="12">
      <c r="A12" t="inlineStr">
        <is>
          <t>Bivalvia</t>
        </is>
      </c>
      <c r="B12" t="inlineStr">
        <is>
          <t>Clams</t>
        </is>
      </c>
      <c r="C12" t="inlineStr">
        <is>
          <t>Other demersal invertebrates</t>
        </is>
      </c>
      <c r="D12" t="inlineStr">
        <is>
          <t>Molluscs</t>
        </is>
      </c>
      <c r="E12" t="n">
        <v>22473.522</v>
      </c>
      <c r="F12" t="n">
        <v>22976.507</v>
      </c>
      <c r="G12" t="n">
        <v>23481.341</v>
      </c>
      <c r="H12" t="n">
        <v>23988.078</v>
      </c>
      <c r="I12" t="n">
        <v>24496.773</v>
      </c>
      <c r="J12" t="n">
        <v>25007.482</v>
      </c>
      <c r="K12" t="n">
        <v>25520.261</v>
      </c>
      <c r="L12" t="n">
        <v>26035.168</v>
      </c>
      <c r="M12" t="n">
        <v>26552.261</v>
      </c>
      <c r="N12" t="n">
        <v>27071.602</v>
      </c>
      <c r="O12" t="n">
        <v>27593.582</v>
      </c>
      <c r="P12" t="n">
        <v>28102.462</v>
      </c>
      <c r="Q12" t="n">
        <v>24170.205</v>
      </c>
      <c r="R12" t="n">
        <v>24687.747</v>
      </c>
      <c r="S12" t="n">
        <v>25207.677</v>
      </c>
      <c r="T12" t="n">
        <v>25729.893</v>
      </c>
      <c r="U12" t="n">
        <v>26252.728</v>
      </c>
      <c r="V12" t="n">
        <v>26778.059</v>
      </c>
      <c r="W12" t="n">
        <v>27305.83</v>
      </c>
      <c r="X12" t="n">
        <v>28493.695</v>
      </c>
      <c r="Y12" t="n">
        <v>29683.987</v>
      </c>
      <c r="Z12" t="n">
        <v>30797.421</v>
      </c>
      <c r="AA12" t="n">
        <v>31365.2</v>
      </c>
      <c r="AB12" t="n">
        <v>32455.249</v>
      </c>
      <c r="AC12" t="n">
        <v>33544.021</v>
      </c>
      <c r="AD12" t="n">
        <v>34657.182</v>
      </c>
      <c r="AE12" t="n">
        <v>35780.81</v>
      </c>
      <c r="AF12" t="n">
        <v>36851.072</v>
      </c>
      <c r="AG12" t="n">
        <v>38031.923</v>
      </c>
      <c r="AH12" t="n">
        <v>39145.931</v>
      </c>
      <c r="AI12" t="n">
        <v>40235.152</v>
      </c>
      <c r="AJ12" t="n">
        <v>41321.886</v>
      </c>
      <c r="AK12" t="n">
        <v>42451.486</v>
      </c>
      <c r="AL12" t="n">
        <v>43543.317</v>
      </c>
      <c r="AM12" t="n">
        <v>44481.041</v>
      </c>
      <c r="AN12" t="n">
        <v>45422.624</v>
      </c>
      <c r="AO12" t="n">
        <v>44918.913</v>
      </c>
      <c r="AP12" t="n">
        <v>44418.368</v>
      </c>
      <c r="AQ12" t="n">
        <v>44101.367</v>
      </c>
      <c r="AR12" t="n">
        <v>44115.47</v>
      </c>
      <c r="AS12" t="n">
        <v>43450.957</v>
      </c>
      <c r="AT12" t="n">
        <v>47016.116</v>
      </c>
      <c r="AU12" t="n">
        <v>50595.549</v>
      </c>
      <c r="AV12" t="n">
        <v>54252.527</v>
      </c>
      <c r="AW12" t="n">
        <v>57943.343</v>
      </c>
      <c r="AX12" t="n">
        <v>61957.533</v>
      </c>
      <c r="AY12" t="n">
        <v>65600.098</v>
      </c>
      <c r="AZ12" t="n">
        <v>65675.42200000001</v>
      </c>
      <c r="BA12" t="n">
        <v>65691.925</v>
      </c>
      <c r="BB12" t="n">
        <v>65853.117</v>
      </c>
      <c r="BC12" t="n">
        <v>66235.22500000001</v>
      </c>
      <c r="BD12" t="n">
        <v>66366.31600000001</v>
      </c>
      <c r="BE12" t="n">
        <v>64725.791</v>
      </c>
      <c r="BF12" t="n">
        <v>64143.486</v>
      </c>
      <c r="BG12" t="n">
        <v>63806.661</v>
      </c>
      <c r="BH12" t="n">
        <v>63483.033</v>
      </c>
      <c r="BI12" t="n">
        <v>63538.609</v>
      </c>
      <c r="BJ12" t="n">
        <v>63513.849</v>
      </c>
      <c r="BK12" t="n">
        <v>63348.392</v>
      </c>
      <c r="BL12" t="n">
        <v>62865.739</v>
      </c>
      <c r="BM12" t="n">
        <v>62212.777</v>
      </c>
      <c r="BN12" t="n">
        <v>61788.325</v>
      </c>
      <c r="BO12" t="n">
        <v>80353.40700000001</v>
      </c>
      <c r="BP12" t="n">
        <v>112736.007</v>
      </c>
      <c r="BQ12" t="n">
        <v>114032.944</v>
      </c>
      <c r="BR12" t="n">
        <v>79910.52899999999</v>
      </c>
      <c r="BS12" t="n">
        <v>73650.599</v>
      </c>
      <c r="BT12" t="n">
        <v>88812.789</v>
      </c>
      <c r="BU12" t="n">
        <v>111677.85</v>
      </c>
      <c r="BV12" t="n">
        <v>78490.783</v>
      </c>
    </row>
    <row r="13">
      <c r="A13" t="inlineStr">
        <is>
          <t>Carangidae</t>
        </is>
      </c>
      <c r="B13" t="inlineStr">
        <is>
          <t>Jacks, pompanos</t>
        </is>
      </c>
      <c r="C13" t="inlineStr">
        <is>
          <t>Medium pelagics (30 - 89 cm)</t>
        </is>
      </c>
      <c r="D13" t="inlineStr">
        <is>
          <t>Perch-likes</t>
        </is>
      </c>
      <c r="E13" t="n">
        <v>7405.273</v>
      </c>
      <c r="F13" t="n">
        <v>9761.879999999999</v>
      </c>
      <c r="G13" t="n">
        <v>8940.137000000001</v>
      </c>
      <c r="H13" t="n">
        <v>8056.111</v>
      </c>
      <c r="I13" t="n">
        <v>13001.515</v>
      </c>
      <c r="J13" t="n">
        <v>11456.437</v>
      </c>
      <c r="K13" t="n">
        <v>44788.174</v>
      </c>
      <c r="L13" t="n">
        <v>12646.629</v>
      </c>
      <c r="M13" t="n">
        <v>16383.665</v>
      </c>
      <c r="N13" t="n">
        <v>11603.38</v>
      </c>
      <c r="O13" t="n">
        <v>20308.856</v>
      </c>
      <c r="P13" t="n">
        <v>14066.933</v>
      </c>
      <c r="Q13" t="n">
        <v>11303.611</v>
      </c>
      <c r="R13" t="n">
        <v>15289.4</v>
      </c>
      <c r="S13" t="n">
        <v>27127.943</v>
      </c>
      <c r="T13" t="n">
        <v>16439.764</v>
      </c>
      <c r="U13" t="n">
        <v>20412.536</v>
      </c>
      <c r="V13" t="n">
        <v>23464.746</v>
      </c>
      <c r="W13" t="n">
        <v>18704.118</v>
      </c>
      <c r="X13" t="n">
        <v>21278.45</v>
      </c>
      <c r="Y13" t="n">
        <v>21337.364</v>
      </c>
      <c r="Z13" t="n">
        <v>21296.78</v>
      </c>
      <c r="AA13" t="n">
        <v>29897.905</v>
      </c>
      <c r="AB13" t="n">
        <v>30400.898</v>
      </c>
      <c r="AC13" t="n">
        <v>25096.859</v>
      </c>
      <c r="AD13" t="n">
        <v>27041.115</v>
      </c>
      <c r="AE13" t="n">
        <v>30049.837</v>
      </c>
      <c r="AF13" t="n">
        <v>35064.652</v>
      </c>
      <c r="AG13" t="n">
        <v>26534.79</v>
      </c>
      <c r="AH13" t="n">
        <v>33353.824</v>
      </c>
      <c r="AI13" t="n">
        <v>27593.058</v>
      </c>
      <c r="AJ13" t="n">
        <v>22369.151</v>
      </c>
      <c r="AK13" t="n">
        <v>29099.714</v>
      </c>
      <c r="AL13" t="n">
        <v>34167.05</v>
      </c>
      <c r="AM13" t="n">
        <v>35136.946</v>
      </c>
      <c r="AN13" t="n">
        <v>37732.636</v>
      </c>
      <c r="AO13" t="n">
        <v>75889.709</v>
      </c>
      <c r="AP13" t="n">
        <v>56012.235</v>
      </c>
      <c r="AQ13" t="n">
        <v>64135.157</v>
      </c>
      <c r="AR13" t="n">
        <v>62772.34</v>
      </c>
      <c r="AS13" t="n">
        <v>48692.134</v>
      </c>
      <c r="AT13" t="n">
        <v>45599.58</v>
      </c>
      <c r="AU13" t="n">
        <v>48775.237</v>
      </c>
      <c r="AV13" t="n">
        <v>54165.117</v>
      </c>
      <c r="AW13" t="n">
        <v>54259.549</v>
      </c>
      <c r="AX13" t="n">
        <v>62176.985</v>
      </c>
      <c r="AY13" t="n">
        <v>57319.319</v>
      </c>
      <c r="AZ13" t="n">
        <v>73174.382</v>
      </c>
      <c r="BA13" t="n">
        <v>64957.338</v>
      </c>
      <c r="BB13" t="n">
        <v>58653.705</v>
      </c>
      <c r="BC13" t="n">
        <v>57612.757</v>
      </c>
      <c r="BD13" t="n">
        <v>46985.915</v>
      </c>
      <c r="BE13" t="n">
        <v>63310.848</v>
      </c>
      <c r="BF13" t="n">
        <v>56909.796</v>
      </c>
      <c r="BG13" t="n">
        <v>54862.803</v>
      </c>
      <c r="BH13" t="n">
        <v>56306.566</v>
      </c>
      <c r="BI13" t="n">
        <v>55035.903</v>
      </c>
      <c r="BJ13" t="n">
        <v>60618.313</v>
      </c>
      <c r="BK13" t="n">
        <v>72342.988</v>
      </c>
      <c r="BL13" t="n">
        <v>61575.809</v>
      </c>
      <c r="BM13" t="n">
        <v>70646.024</v>
      </c>
      <c r="BN13" t="n">
        <v>63387.39</v>
      </c>
      <c r="BO13" t="n">
        <v>77010.78599999999</v>
      </c>
      <c r="BP13" t="n">
        <v>70676.245</v>
      </c>
      <c r="BQ13" t="n">
        <v>69992.05899999999</v>
      </c>
      <c r="BR13" t="n">
        <v>76515.745</v>
      </c>
      <c r="BS13" t="n">
        <v>84847.49000000001</v>
      </c>
      <c r="BT13" t="n">
        <v>119385.194</v>
      </c>
      <c r="BU13" t="n">
        <v>117535.787</v>
      </c>
      <c r="BV13" t="n">
        <v>150824.298</v>
      </c>
    </row>
    <row r="14">
      <c r="A14" t="inlineStr">
        <is>
          <t>Scomberomorus commerson</t>
        </is>
      </c>
      <c r="B14" t="inlineStr">
        <is>
          <t>Narrow-barred Spanish mackerel</t>
        </is>
      </c>
      <c r="C14" t="inlineStr">
        <is>
          <t>Large pelagics (&gt;=90 cm)</t>
        </is>
      </c>
      <c r="D14" t="inlineStr">
        <is>
          <t>Perch-likes</t>
        </is>
      </c>
      <c r="E14" t="n">
        <v>7676.791</v>
      </c>
      <c r="F14" t="n">
        <v>7695.637</v>
      </c>
      <c r="G14" t="n">
        <v>8156.888</v>
      </c>
      <c r="H14" t="n">
        <v>9401.849</v>
      </c>
      <c r="I14" t="n">
        <v>9683.194</v>
      </c>
      <c r="J14" t="n">
        <v>10253.316</v>
      </c>
      <c r="K14" t="n">
        <v>9521.51</v>
      </c>
      <c r="L14" t="n">
        <v>14802.811</v>
      </c>
      <c r="M14" t="n">
        <v>10775.8</v>
      </c>
      <c r="N14" t="n">
        <v>11503.335</v>
      </c>
      <c r="O14" t="n">
        <v>12370.017</v>
      </c>
      <c r="P14" t="n">
        <v>10301.664</v>
      </c>
      <c r="Q14" t="n">
        <v>12271.583</v>
      </c>
      <c r="R14" t="n">
        <v>14207.356</v>
      </c>
      <c r="S14" t="n">
        <v>16090.636</v>
      </c>
      <c r="T14" t="n">
        <v>16606.819</v>
      </c>
      <c r="U14" t="n">
        <v>18977.217</v>
      </c>
      <c r="V14" t="n">
        <v>18931.626</v>
      </c>
      <c r="W14" t="n">
        <v>18831.478</v>
      </c>
      <c r="X14" t="n">
        <v>17941.484</v>
      </c>
      <c r="Y14" t="n">
        <v>13247.444</v>
      </c>
      <c r="Z14" t="n">
        <v>12720.238</v>
      </c>
      <c r="AA14" t="n">
        <v>17335.431</v>
      </c>
      <c r="AB14" t="n">
        <v>15398.225</v>
      </c>
      <c r="AC14" t="n">
        <v>16631.313</v>
      </c>
      <c r="AD14" t="n">
        <v>15014.091</v>
      </c>
      <c r="AE14" t="n">
        <v>15931.626</v>
      </c>
      <c r="AF14" t="n">
        <v>17879.41</v>
      </c>
      <c r="AG14" t="n">
        <v>18509.439</v>
      </c>
      <c r="AH14" t="n">
        <v>22029.17</v>
      </c>
      <c r="AI14" t="n">
        <v>15913.95</v>
      </c>
      <c r="AJ14" t="n">
        <v>27905.219</v>
      </c>
      <c r="AK14" t="n">
        <v>33203.257</v>
      </c>
      <c r="AL14" t="n">
        <v>44805.905</v>
      </c>
      <c r="AM14" t="n">
        <v>40190.247</v>
      </c>
      <c r="AN14" t="n">
        <v>41515.762</v>
      </c>
      <c r="AO14" t="n">
        <v>51600.757</v>
      </c>
      <c r="AP14" t="n">
        <v>45973.469</v>
      </c>
      <c r="AQ14" t="n">
        <v>49696.068</v>
      </c>
      <c r="AR14" t="n">
        <v>53989.125</v>
      </c>
      <c r="AS14" t="n">
        <v>47863.064</v>
      </c>
      <c r="AT14" t="n">
        <v>46530.363</v>
      </c>
      <c r="AU14" t="n">
        <v>58825.885</v>
      </c>
      <c r="AV14" t="n">
        <v>56215.44</v>
      </c>
      <c r="AW14" t="n">
        <v>58788.315</v>
      </c>
      <c r="AX14" t="n">
        <v>66337.63099999999</v>
      </c>
      <c r="AY14" t="n">
        <v>61773.677</v>
      </c>
      <c r="AZ14" t="n">
        <v>62867.793</v>
      </c>
      <c r="BA14" t="n">
        <v>67210.64200000001</v>
      </c>
      <c r="BB14" t="n">
        <v>65734.58100000001</v>
      </c>
      <c r="BC14" t="n">
        <v>67156.17</v>
      </c>
      <c r="BD14" t="n">
        <v>64955.005</v>
      </c>
      <c r="BE14" t="n">
        <v>73438.56600000001</v>
      </c>
      <c r="BF14" t="n">
        <v>75296.681</v>
      </c>
      <c r="BG14" t="n">
        <v>72042.105</v>
      </c>
      <c r="BH14" t="n">
        <v>67346.03599999999</v>
      </c>
      <c r="BI14" t="n">
        <v>79582.32799999999</v>
      </c>
      <c r="BJ14" t="n">
        <v>75736.80100000001</v>
      </c>
      <c r="BK14" t="n">
        <v>69912.07399999999</v>
      </c>
      <c r="BL14" t="n">
        <v>63122.459</v>
      </c>
      <c r="BM14" t="n">
        <v>71903.23299999999</v>
      </c>
      <c r="BN14" t="n">
        <v>78666.739</v>
      </c>
      <c r="BO14" t="n">
        <v>99085.882</v>
      </c>
      <c r="BP14" t="n">
        <v>91433.63099999999</v>
      </c>
      <c r="BQ14" t="n">
        <v>101625.514</v>
      </c>
      <c r="BR14" t="n">
        <v>107179.303</v>
      </c>
      <c r="BS14" t="n">
        <v>118564.515</v>
      </c>
      <c r="BT14" t="n">
        <v>103477.434</v>
      </c>
      <c r="BU14" t="n">
        <v>92791.889</v>
      </c>
      <c r="BV14" t="n">
        <v>98172.689</v>
      </c>
    </row>
    <row r="15">
      <c r="A15" t="inlineStr">
        <is>
          <t>Thunnus albacares</t>
        </is>
      </c>
      <c r="B15" t="inlineStr">
        <is>
          <t>Yellowfin tuna</t>
        </is>
      </c>
      <c r="C15" t="inlineStr">
        <is>
          <t>Large pelagics (&gt;=90 cm)</t>
        </is>
      </c>
      <c r="D15" t="inlineStr">
        <is>
          <t>Tuna &amp; billfishes</t>
        </is>
      </c>
      <c r="E15" t="n">
        <v>4387.6</v>
      </c>
      <c r="F15" t="n">
        <v>4411.15</v>
      </c>
      <c r="G15" t="n">
        <v>5074.686</v>
      </c>
      <c r="H15" t="n">
        <v>5483.379</v>
      </c>
      <c r="I15" t="n">
        <v>5611.01</v>
      </c>
      <c r="J15" t="n">
        <v>6550.115</v>
      </c>
      <c r="K15" t="n">
        <v>5743.624</v>
      </c>
      <c r="L15" t="n">
        <v>5607.327</v>
      </c>
      <c r="M15" t="n">
        <v>5517.291</v>
      </c>
      <c r="N15" t="n">
        <v>6199.023</v>
      </c>
      <c r="O15" t="n">
        <v>6148.024</v>
      </c>
      <c r="P15" t="n">
        <v>6035.378</v>
      </c>
      <c r="Q15" t="n">
        <v>6185.279</v>
      </c>
      <c r="R15" t="n">
        <v>6227.804</v>
      </c>
      <c r="S15" t="n">
        <v>6549.393</v>
      </c>
      <c r="T15" t="n">
        <v>6756.469</v>
      </c>
      <c r="U15" t="n">
        <v>7119.101</v>
      </c>
      <c r="V15" t="n">
        <v>7224.041</v>
      </c>
      <c r="W15" t="n">
        <v>7187.809</v>
      </c>
      <c r="X15" t="n">
        <v>7814.594</v>
      </c>
      <c r="Y15" t="n">
        <v>7898.55</v>
      </c>
      <c r="Z15" t="n">
        <v>7716.929</v>
      </c>
      <c r="AA15" t="n">
        <v>8243.128000000001</v>
      </c>
      <c r="AB15" t="n">
        <v>9218.039000000001</v>
      </c>
      <c r="AC15" t="n">
        <v>9875.843000000001</v>
      </c>
      <c r="AD15" t="n">
        <v>10399.678</v>
      </c>
      <c r="AE15" t="n">
        <v>10282.577</v>
      </c>
      <c r="AF15" t="n">
        <v>10019</v>
      </c>
      <c r="AG15" t="n">
        <v>9545.545</v>
      </c>
      <c r="AH15" t="n">
        <v>9697.374</v>
      </c>
      <c r="AI15" t="n">
        <v>9728.234</v>
      </c>
      <c r="AJ15" t="n">
        <v>8928.959000000001</v>
      </c>
      <c r="AK15" t="n">
        <v>8571.529</v>
      </c>
      <c r="AL15" t="n">
        <v>9874.93</v>
      </c>
      <c r="AM15" t="n">
        <v>10718.952</v>
      </c>
      <c r="AN15" t="n">
        <v>9124.84</v>
      </c>
      <c r="AO15" t="n">
        <v>13229.567</v>
      </c>
      <c r="AP15" t="n">
        <v>13748.97</v>
      </c>
      <c r="AQ15" t="n">
        <v>17053.939</v>
      </c>
      <c r="AR15" t="n">
        <v>18360.195</v>
      </c>
      <c r="AS15" t="n">
        <v>16581.118</v>
      </c>
      <c r="AT15" t="n">
        <v>18450.012</v>
      </c>
      <c r="AU15" t="n">
        <v>45941.11</v>
      </c>
      <c r="AV15" t="n">
        <v>66662.65700000001</v>
      </c>
      <c r="AW15" t="n">
        <v>40982.876</v>
      </c>
      <c r="AX15" t="n">
        <v>33567.545</v>
      </c>
      <c r="AY15" t="n">
        <v>32253.198</v>
      </c>
      <c r="AZ15" t="n">
        <v>34974.71</v>
      </c>
      <c r="BA15" t="n">
        <v>39906.331</v>
      </c>
      <c r="BB15" t="n">
        <v>47765.733</v>
      </c>
      <c r="BC15" t="n">
        <v>42694.975</v>
      </c>
      <c r="BD15" t="n">
        <v>54309.496</v>
      </c>
      <c r="BE15" t="n">
        <v>73126.63</v>
      </c>
      <c r="BF15" t="n">
        <v>104060.408</v>
      </c>
      <c r="BG15" t="n">
        <v>152513.52</v>
      </c>
      <c r="BH15" t="n">
        <v>140969.798</v>
      </c>
      <c r="BI15" t="n">
        <v>133405.909</v>
      </c>
      <c r="BJ15" t="n">
        <v>90553.79300000001</v>
      </c>
      <c r="BK15" t="n">
        <v>58373.965</v>
      </c>
      <c r="BL15" t="n">
        <v>73335.099</v>
      </c>
      <c r="BM15" t="n">
        <v>77074.753</v>
      </c>
      <c r="BN15" t="n">
        <v>98090.18799999999</v>
      </c>
      <c r="BO15" t="n">
        <v>141786.07</v>
      </c>
      <c r="BP15" t="n">
        <v>154702.11</v>
      </c>
      <c r="BQ15" t="n">
        <v>137301.351</v>
      </c>
      <c r="BR15" t="n">
        <v>134808.943</v>
      </c>
      <c r="BS15" t="n">
        <v>134957.866</v>
      </c>
      <c r="BT15" t="n">
        <v>125513.559</v>
      </c>
      <c r="BU15" t="n">
        <v>174124.375</v>
      </c>
      <c r="BV15" t="n">
        <v>222031.928</v>
      </c>
    </row>
    <row r="16">
      <c r="A16" t="inlineStr">
        <is>
          <t>Carcharhinidae</t>
        </is>
      </c>
      <c r="B16" t="inlineStr">
        <is>
          <t>Requiem sharks</t>
        </is>
      </c>
      <c r="C16" t="inlineStr">
        <is>
          <t>Large sharks (&gt;=90 cm)</t>
        </is>
      </c>
      <c r="D16" t="inlineStr">
        <is>
          <t>Sharks &amp; rays</t>
        </is>
      </c>
      <c r="E16" t="n">
        <v>14633.656</v>
      </c>
      <c r="F16" t="n">
        <v>14628.058</v>
      </c>
      <c r="G16" t="n">
        <v>17227.792</v>
      </c>
      <c r="H16" t="n">
        <v>18887.657</v>
      </c>
      <c r="I16" t="n">
        <v>18349.373</v>
      </c>
      <c r="J16" t="n">
        <v>21252.054</v>
      </c>
      <c r="K16" t="n">
        <v>15426.255</v>
      </c>
      <c r="L16" t="n">
        <v>20646.885</v>
      </c>
      <c r="M16" t="n">
        <v>15147.31</v>
      </c>
      <c r="N16" t="n">
        <v>16348.102</v>
      </c>
      <c r="O16" t="n">
        <v>16838.478</v>
      </c>
      <c r="P16" t="n">
        <v>15033.913</v>
      </c>
      <c r="Q16" t="n">
        <v>17339.307</v>
      </c>
      <c r="R16" t="n">
        <v>18583.04</v>
      </c>
      <c r="S16" t="n">
        <v>23858.137</v>
      </c>
      <c r="T16" t="n">
        <v>26060.094</v>
      </c>
      <c r="U16" t="n">
        <v>36178.157</v>
      </c>
      <c r="V16" t="n">
        <v>39807.508</v>
      </c>
      <c r="W16" t="n">
        <v>39603.662</v>
      </c>
      <c r="X16" t="n">
        <v>38766.296</v>
      </c>
      <c r="Y16" t="n">
        <v>40064.688</v>
      </c>
      <c r="Z16" t="n">
        <v>38979.486</v>
      </c>
      <c r="AA16" t="n">
        <v>50651.25</v>
      </c>
      <c r="AB16" t="n">
        <v>62025.655</v>
      </c>
      <c r="AC16" t="n">
        <v>78361.625</v>
      </c>
      <c r="AD16" t="n">
        <v>75239.31299999999</v>
      </c>
      <c r="AE16" t="n">
        <v>73689.368</v>
      </c>
      <c r="AF16" t="n">
        <v>62294.535</v>
      </c>
      <c r="AG16" t="n">
        <v>48162.871</v>
      </c>
      <c r="AH16" t="n">
        <v>50741.629</v>
      </c>
      <c r="AI16" t="n">
        <v>43540.575</v>
      </c>
      <c r="AJ16" t="n">
        <v>35929.648</v>
      </c>
      <c r="AK16" t="n">
        <v>30289.69</v>
      </c>
      <c r="AL16" t="n">
        <v>69748.735</v>
      </c>
      <c r="AM16" t="n">
        <v>66710.255</v>
      </c>
      <c r="AN16" t="n">
        <v>62048.232</v>
      </c>
      <c r="AO16" t="n">
        <v>60786.737</v>
      </c>
      <c r="AP16" t="n">
        <v>57417.367</v>
      </c>
      <c r="AQ16" t="n">
        <v>55942.35</v>
      </c>
      <c r="AR16" t="n">
        <v>55348.937</v>
      </c>
      <c r="AS16" t="n">
        <v>48549.968</v>
      </c>
      <c r="AT16" t="n">
        <v>43149.891</v>
      </c>
      <c r="AU16" t="n">
        <v>46863.928</v>
      </c>
      <c r="AV16" t="n">
        <v>47448.644</v>
      </c>
      <c r="AW16" t="n">
        <v>42650</v>
      </c>
      <c r="AX16" t="n">
        <v>47384.226</v>
      </c>
      <c r="AY16" t="n">
        <v>48726.41</v>
      </c>
      <c r="AZ16" t="n">
        <v>46089.461</v>
      </c>
      <c r="BA16" t="n">
        <v>51330.841</v>
      </c>
      <c r="BB16" t="n">
        <v>48665.449</v>
      </c>
      <c r="BC16" t="n">
        <v>43469.43</v>
      </c>
      <c r="BD16" t="n">
        <v>46049.128</v>
      </c>
      <c r="BE16" t="n">
        <v>50732.119</v>
      </c>
      <c r="BF16" t="n">
        <v>49645.899</v>
      </c>
      <c r="BG16" t="n">
        <v>51720.299</v>
      </c>
      <c r="BH16" t="n">
        <v>46128.271</v>
      </c>
      <c r="BI16" t="n">
        <v>44941.795</v>
      </c>
      <c r="BJ16" t="n">
        <v>38887.916</v>
      </c>
      <c r="BK16" t="n">
        <v>34397.588</v>
      </c>
      <c r="BL16" t="n">
        <v>36015.724</v>
      </c>
      <c r="BM16" t="n">
        <v>43620.535</v>
      </c>
      <c r="BN16" t="n">
        <v>35485.301</v>
      </c>
      <c r="BO16" t="n">
        <v>45644.642</v>
      </c>
      <c r="BP16" t="n">
        <v>49849.334</v>
      </c>
      <c r="BQ16" t="n">
        <v>51926.263</v>
      </c>
      <c r="BR16" t="n">
        <v>51307.112</v>
      </c>
      <c r="BS16" t="n">
        <v>50021.915</v>
      </c>
      <c r="BT16" t="n">
        <v>50797.605</v>
      </c>
      <c r="BU16" t="n">
        <v>50332.449</v>
      </c>
      <c r="BV16" t="n">
        <v>52462.173</v>
      </c>
    </row>
    <row r="17">
      <c r="A17" t="inlineStr">
        <is>
          <t>Ariidae</t>
        </is>
      </c>
      <c r="B17" t="inlineStr">
        <is>
          <t>Sea catfishes, coblers</t>
        </is>
      </c>
      <c r="C17" t="inlineStr">
        <is>
          <t>Medium demersals (30 - 89 cm)</t>
        </is>
      </c>
      <c r="D17" t="inlineStr">
        <is>
          <t>Other fishes &amp; inverts</t>
        </is>
      </c>
      <c r="E17" t="n">
        <v>17016.318</v>
      </c>
      <c r="F17" t="n">
        <v>17113.171</v>
      </c>
      <c r="G17" t="n">
        <v>18240.984</v>
      </c>
      <c r="H17" t="n">
        <v>26104.531</v>
      </c>
      <c r="I17" t="n">
        <v>19713.23</v>
      </c>
      <c r="J17" t="n">
        <v>19875.297</v>
      </c>
      <c r="K17" t="n">
        <v>19944.084</v>
      </c>
      <c r="L17" t="n">
        <v>18250.384</v>
      </c>
      <c r="M17" t="n">
        <v>20772.092</v>
      </c>
      <c r="N17" t="n">
        <v>21433.375</v>
      </c>
      <c r="O17" t="n">
        <v>23171.948</v>
      </c>
      <c r="P17" t="n">
        <v>21918.073</v>
      </c>
      <c r="Q17" t="n">
        <v>21927.021</v>
      </c>
      <c r="R17" t="n">
        <v>21155.852</v>
      </c>
      <c r="S17" t="n">
        <v>20364.915</v>
      </c>
      <c r="T17" t="n">
        <v>22217.333</v>
      </c>
      <c r="U17" t="n">
        <v>29536.129</v>
      </c>
      <c r="V17" t="n">
        <v>30718.531</v>
      </c>
      <c r="W17" t="n">
        <v>28355.495</v>
      </c>
      <c r="X17" t="n">
        <v>31725.587</v>
      </c>
      <c r="Y17" t="n">
        <v>29913.136</v>
      </c>
      <c r="Z17" t="n">
        <v>28021.509</v>
      </c>
      <c r="AA17" t="n">
        <v>28135.865</v>
      </c>
      <c r="AB17" t="n">
        <v>34385.42</v>
      </c>
      <c r="AC17" t="n">
        <v>31628.907</v>
      </c>
      <c r="AD17" t="n">
        <v>31817.626</v>
      </c>
      <c r="AE17" t="n">
        <v>34652.97</v>
      </c>
      <c r="AF17" t="n">
        <v>47665.805</v>
      </c>
      <c r="AG17" t="n">
        <v>43227.681</v>
      </c>
      <c r="AH17" t="n">
        <v>44838.532</v>
      </c>
      <c r="AI17" t="n">
        <v>40977.501</v>
      </c>
      <c r="AJ17" t="n">
        <v>33672.656</v>
      </c>
      <c r="AK17" t="n">
        <v>32862.57</v>
      </c>
      <c r="AL17" t="n">
        <v>44717.887</v>
      </c>
      <c r="AM17" t="n">
        <v>47929.907</v>
      </c>
      <c r="AN17" t="n">
        <v>50924.747</v>
      </c>
      <c r="AO17" t="n">
        <v>54234.151</v>
      </c>
      <c r="AP17" t="n">
        <v>51969.344</v>
      </c>
      <c r="AQ17" t="n">
        <v>49986.931</v>
      </c>
      <c r="AR17" t="n">
        <v>48269.562</v>
      </c>
      <c r="AS17" t="n">
        <v>38445.515</v>
      </c>
      <c r="AT17" t="n">
        <v>46432.435</v>
      </c>
      <c r="AU17" t="n">
        <v>44873.809</v>
      </c>
      <c r="AV17" t="n">
        <v>54661.652</v>
      </c>
      <c r="AW17" t="n">
        <v>63012.265</v>
      </c>
      <c r="AX17" t="n">
        <v>67537.186</v>
      </c>
      <c r="AY17" t="n">
        <v>71037.77499999999</v>
      </c>
      <c r="AZ17" t="n">
        <v>83076.20600000001</v>
      </c>
      <c r="BA17" t="n">
        <v>80883.357</v>
      </c>
      <c r="BB17" t="n">
        <v>75985.45299999999</v>
      </c>
      <c r="BC17" t="n">
        <v>60997.043</v>
      </c>
      <c r="BD17" t="n">
        <v>62435.027</v>
      </c>
      <c r="BE17" t="n">
        <v>61373.105</v>
      </c>
      <c r="BF17" t="n">
        <v>50211.915</v>
      </c>
      <c r="BG17" t="n">
        <v>50007.721</v>
      </c>
      <c r="BH17" t="n">
        <v>45993.443</v>
      </c>
      <c r="BI17" t="n">
        <v>46057.163</v>
      </c>
      <c r="BJ17" t="n">
        <v>44859.676</v>
      </c>
      <c r="BK17" t="n">
        <v>44397.315</v>
      </c>
      <c r="BL17" t="n">
        <v>40031.403</v>
      </c>
      <c r="BM17" t="n">
        <v>48481.884</v>
      </c>
      <c r="BN17" t="n">
        <v>55878.944</v>
      </c>
      <c r="BO17" t="n">
        <v>59591.792</v>
      </c>
      <c r="BP17" t="n">
        <v>58615.309</v>
      </c>
      <c r="BQ17" t="n">
        <v>41551.987</v>
      </c>
      <c r="BR17" t="n">
        <v>41262.567</v>
      </c>
      <c r="BS17" t="n">
        <v>47103.351</v>
      </c>
      <c r="BT17" t="n">
        <v>53994.635</v>
      </c>
      <c r="BU17" t="n">
        <v>55269.605</v>
      </c>
      <c r="BV17" t="n">
        <v>39522.582</v>
      </c>
    </row>
    <row r="18">
      <c r="A18" t="inlineStr">
        <is>
          <t>Elasmobranchii</t>
        </is>
      </c>
      <c r="B18" t="inlineStr">
        <is>
          <t>Sharks, rays, skates</t>
        </is>
      </c>
      <c r="C18" t="inlineStr">
        <is>
          <t>Large sharks (&gt;=90 cm)</t>
        </is>
      </c>
      <c r="D18" t="inlineStr">
        <is>
          <t>Sharks &amp; rays</t>
        </is>
      </c>
      <c r="E18" t="n">
        <v>11459.944</v>
      </c>
      <c r="F18" t="n">
        <v>17234.313</v>
      </c>
      <c r="G18" t="n">
        <v>20748.992</v>
      </c>
      <c r="H18" t="n">
        <v>8493.227000000001</v>
      </c>
      <c r="I18" t="n">
        <v>11542.248</v>
      </c>
      <c r="J18" t="n">
        <v>16356.569</v>
      </c>
      <c r="K18" t="n">
        <v>18400.774</v>
      </c>
      <c r="L18" t="n">
        <v>20670.432</v>
      </c>
      <c r="M18" t="n">
        <v>20672.438</v>
      </c>
      <c r="N18" t="n">
        <v>20462.277</v>
      </c>
      <c r="O18" t="n">
        <v>26727.205</v>
      </c>
      <c r="P18" t="n">
        <v>21953.124</v>
      </c>
      <c r="Q18" t="n">
        <v>28991.403</v>
      </c>
      <c r="R18" t="n">
        <v>32252.627</v>
      </c>
      <c r="S18" t="n">
        <v>27846.194</v>
      </c>
      <c r="T18" t="n">
        <v>22758.352</v>
      </c>
      <c r="U18" t="n">
        <v>28217.124</v>
      </c>
      <c r="V18" t="n">
        <v>27129.075</v>
      </c>
      <c r="W18" t="n">
        <v>23665.195</v>
      </c>
      <c r="X18" t="n">
        <v>27559.316</v>
      </c>
      <c r="Y18" t="n">
        <v>30121.675</v>
      </c>
      <c r="Z18" t="n">
        <v>29810.009</v>
      </c>
      <c r="AA18" t="n">
        <v>36615.971</v>
      </c>
      <c r="AB18" t="n">
        <v>33839.274</v>
      </c>
      <c r="AC18" t="n">
        <v>40829.116</v>
      </c>
      <c r="AD18" t="n">
        <v>42650.684</v>
      </c>
      <c r="AE18" t="n">
        <v>34504.856</v>
      </c>
      <c r="AF18" t="n">
        <v>44219.124</v>
      </c>
      <c r="AG18" t="n">
        <v>42343.629</v>
      </c>
      <c r="AH18" t="n">
        <v>36255.182</v>
      </c>
      <c r="AI18" t="n">
        <v>40424.717</v>
      </c>
      <c r="AJ18" t="n">
        <v>33137.019</v>
      </c>
      <c r="AK18" t="n">
        <v>39487.174</v>
      </c>
      <c r="AL18" t="n">
        <v>39616.546</v>
      </c>
      <c r="AM18" t="n">
        <v>35214.638</v>
      </c>
      <c r="AN18" t="n">
        <v>35494.91</v>
      </c>
      <c r="AO18" t="n">
        <v>33896.589</v>
      </c>
      <c r="AP18" t="n">
        <v>36519.773</v>
      </c>
      <c r="AQ18" t="n">
        <v>45476.228</v>
      </c>
      <c r="AR18" t="n">
        <v>35818.606</v>
      </c>
      <c r="AS18" t="n">
        <v>33866.025</v>
      </c>
      <c r="AT18" t="n">
        <v>40734.285</v>
      </c>
      <c r="AU18" t="n">
        <v>44314.855</v>
      </c>
      <c r="AV18" t="n">
        <v>51589.127</v>
      </c>
      <c r="AW18" t="n">
        <v>42723.672</v>
      </c>
      <c r="AX18" t="n">
        <v>49652.411</v>
      </c>
      <c r="AY18" t="n">
        <v>38976.798</v>
      </c>
      <c r="AZ18" t="n">
        <v>46069.593</v>
      </c>
      <c r="BA18" t="n">
        <v>53846.999</v>
      </c>
      <c r="BB18" t="n">
        <v>54160.616</v>
      </c>
      <c r="BC18" t="n">
        <v>52036.664</v>
      </c>
      <c r="BD18" t="n">
        <v>41451.033</v>
      </c>
      <c r="BE18" t="n">
        <v>44789.978</v>
      </c>
      <c r="BF18" t="n">
        <v>42426.042</v>
      </c>
      <c r="BG18" t="n">
        <v>42124.946</v>
      </c>
      <c r="BH18" t="n">
        <v>31744.758</v>
      </c>
      <c r="BI18" t="n">
        <v>34182.388</v>
      </c>
      <c r="BJ18" t="n">
        <v>29319.386</v>
      </c>
      <c r="BK18" t="n">
        <v>30734.715</v>
      </c>
      <c r="BL18" t="n">
        <v>32944.641</v>
      </c>
      <c r="BM18" t="n">
        <v>31178.085</v>
      </c>
      <c r="BN18" t="n">
        <v>57432.223</v>
      </c>
      <c r="BO18" t="n">
        <v>53522.764</v>
      </c>
      <c r="BP18" t="n">
        <v>53719.91</v>
      </c>
      <c r="BQ18" t="n">
        <v>51413.091</v>
      </c>
      <c r="BR18" t="n">
        <v>52522.86</v>
      </c>
      <c r="BS18" t="n">
        <v>51352.64</v>
      </c>
      <c r="BT18" t="n">
        <v>40904.884</v>
      </c>
      <c r="BU18" t="n">
        <v>43826.921</v>
      </c>
      <c r="BV18" t="n">
        <v>42497.631</v>
      </c>
    </row>
    <row r="19">
      <c r="A19" t="inlineStr">
        <is>
          <t>Siluriformes</t>
        </is>
      </c>
      <c r="B19" t="inlineStr">
        <is>
          <t>Catfishes</t>
        </is>
      </c>
      <c r="C19" t="inlineStr">
        <is>
          <t>Medium demersals (30 - 89 cm)</t>
        </is>
      </c>
      <c r="D19" t="inlineStr">
        <is>
          <t>Other fishes &amp; inverts</t>
        </is>
      </c>
      <c r="E19" t="n">
        <v>6188.305</v>
      </c>
      <c r="F19" t="n">
        <v>9633.120999999999</v>
      </c>
      <c r="G19" t="n">
        <v>10299.405</v>
      </c>
      <c r="H19" t="n">
        <v>11517.264</v>
      </c>
      <c r="I19" t="n">
        <v>14738.103</v>
      </c>
      <c r="J19" t="n">
        <v>14256.717</v>
      </c>
      <c r="K19" t="n">
        <v>18761.641</v>
      </c>
      <c r="L19" t="n">
        <v>23495.126</v>
      </c>
      <c r="M19" t="n">
        <v>24845.601</v>
      </c>
      <c r="N19" t="n">
        <v>17791.399</v>
      </c>
      <c r="O19" t="n">
        <v>22185.04</v>
      </c>
      <c r="P19" t="n">
        <v>8113.442</v>
      </c>
      <c r="Q19" t="n">
        <v>13693.952</v>
      </c>
      <c r="R19" t="n">
        <v>12565.982</v>
      </c>
      <c r="S19" t="n">
        <v>10924.105</v>
      </c>
      <c r="T19" t="n">
        <v>10978.774</v>
      </c>
      <c r="U19" t="n">
        <v>15678.39</v>
      </c>
      <c r="V19" t="n">
        <v>17506.482</v>
      </c>
      <c r="W19" t="n">
        <v>16547.188</v>
      </c>
      <c r="X19" t="n">
        <v>20430.565</v>
      </c>
      <c r="Y19" t="n">
        <v>41545.188</v>
      </c>
      <c r="Z19" t="n">
        <v>39282.4</v>
      </c>
      <c r="AA19" t="n">
        <v>33885.026</v>
      </c>
      <c r="AB19" t="n">
        <v>32395.459</v>
      </c>
      <c r="AC19" t="n">
        <v>49796.656</v>
      </c>
      <c r="AD19" t="n">
        <v>49114.58</v>
      </c>
      <c r="AE19" t="n">
        <v>30588.666</v>
      </c>
      <c r="AF19" t="n">
        <v>32373.13</v>
      </c>
      <c r="AG19" t="n">
        <v>29585.681</v>
      </c>
      <c r="AH19" t="n">
        <v>38967.381</v>
      </c>
      <c r="AI19" t="n">
        <v>35434.791</v>
      </c>
      <c r="AJ19" t="n">
        <v>41807.721</v>
      </c>
      <c r="AK19" t="n">
        <v>46489.974</v>
      </c>
      <c r="AL19" t="n">
        <v>47495.904</v>
      </c>
      <c r="AM19" t="n">
        <v>40448.048</v>
      </c>
      <c r="AN19" t="n">
        <v>31299.728</v>
      </c>
      <c r="AO19" t="n">
        <v>41813.433</v>
      </c>
      <c r="AP19" t="n">
        <v>31260.535</v>
      </c>
      <c r="AQ19" t="n">
        <v>55262.215</v>
      </c>
      <c r="AR19" t="n">
        <v>36938.164</v>
      </c>
      <c r="AS19" t="n">
        <v>28309.58</v>
      </c>
      <c r="AT19" t="n">
        <v>28577.529</v>
      </c>
      <c r="AU19" t="n">
        <v>23818.238</v>
      </c>
      <c r="AV19" t="n">
        <v>27911.151</v>
      </c>
      <c r="AW19" t="n">
        <v>34195.883</v>
      </c>
      <c r="AX19" t="n">
        <v>26716.282</v>
      </c>
      <c r="AY19" t="n">
        <v>24082.143</v>
      </c>
      <c r="AZ19" t="n">
        <v>33328.639</v>
      </c>
      <c r="BA19" t="n">
        <v>41949.21</v>
      </c>
      <c r="BB19" t="n">
        <v>36460.904</v>
      </c>
      <c r="BC19" t="n">
        <v>42115.31</v>
      </c>
      <c r="BD19" t="n">
        <v>36209.761</v>
      </c>
      <c r="BE19" t="n">
        <v>43584.464</v>
      </c>
      <c r="BF19" t="n">
        <v>35823.273</v>
      </c>
      <c r="BG19" t="n">
        <v>35213.183</v>
      </c>
      <c r="BH19" t="n">
        <v>30496.924</v>
      </c>
      <c r="BI19" t="n">
        <v>38216.271</v>
      </c>
      <c r="BJ19" t="n">
        <v>43098.889</v>
      </c>
      <c r="BK19" t="n">
        <v>61102.888</v>
      </c>
      <c r="BL19" t="n">
        <v>62315.394</v>
      </c>
      <c r="BM19" t="n">
        <v>48721.075</v>
      </c>
      <c r="BN19" t="n">
        <v>54239.08</v>
      </c>
      <c r="BO19" t="n">
        <v>54807.229</v>
      </c>
      <c r="BP19" t="n">
        <v>62098.542</v>
      </c>
      <c r="BQ19" t="n">
        <v>48227.38</v>
      </c>
      <c r="BR19" t="n">
        <v>63959.815</v>
      </c>
      <c r="BS19" t="n">
        <v>52882.557</v>
      </c>
      <c r="BT19" t="n">
        <v>49973.279</v>
      </c>
      <c r="BU19" t="n">
        <v>39890.479</v>
      </c>
      <c r="BV19" t="n">
        <v>47637.669</v>
      </c>
    </row>
    <row r="20">
      <c r="A20" t="inlineStr">
        <is>
          <t>Netuma thalassina</t>
        </is>
      </c>
      <c r="B20" t="inlineStr">
        <is>
          <t>Giant catfish</t>
        </is>
      </c>
      <c r="C20" t="inlineStr">
        <is>
          <t>Large demersals (&gt;=90 cm)</t>
        </is>
      </c>
      <c r="D20" t="inlineStr">
        <is>
          <t>Other fishes &amp; inverts</t>
        </is>
      </c>
      <c r="E20" t="n">
        <v>7748.057</v>
      </c>
      <c r="F20" t="n">
        <v>7910.492</v>
      </c>
      <c r="G20" t="n">
        <v>8211.442999999999</v>
      </c>
      <c r="H20" t="n">
        <v>9496.798000000001</v>
      </c>
      <c r="I20" t="n">
        <v>10440.147</v>
      </c>
      <c r="J20" t="n">
        <v>11524.817</v>
      </c>
      <c r="K20" t="n">
        <v>12296.652</v>
      </c>
      <c r="L20" t="n">
        <v>13209.913</v>
      </c>
      <c r="M20" t="n">
        <v>15103.792</v>
      </c>
      <c r="N20" t="n">
        <v>15495.647</v>
      </c>
      <c r="O20" t="n">
        <v>16716.911</v>
      </c>
      <c r="P20" t="n">
        <v>17951.288</v>
      </c>
      <c r="Q20" t="n">
        <v>18515.268</v>
      </c>
      <c r="R20" t="n">
        <v>20822.43</v>
      </c>
      <c r="S20" t="n">
        <v>23799.106</v>
      </c>
      <c r="T20" t="n">
        <v>25595.137</v>
      </c>
      <c r="U20" t="n">
        <v>27156.419</v>
      </c>
      <c r="V20" t="n">
        <v>27458.936</v>
      </c>
      <c r="W20" t="n">
        <v>27960.51</v>
      </c>
      <c r="X20" t="n">
        <v>29099.418</v>
      </c>
      <c r="Y20" t="n">
        <v>30756.013</v>
      </c>
      <c r="Z20" t="n">
        <v>31928.343</v>
      </c>
      <c r="AA20" t="n">
        <v>34621.129</v>
      </c>
      <c r="AB20" t="n">
        <v>32013.803</v>
      </c>
      <c r="AC20" t="n">
        <v>28398.621</v>
      </c>
      <c r="AD20" t="n">
        <v>25625.188</v>
      </c>
      <c r="AE20" t="n">
        <v>26959.45</v>
      </c>
      <c r="AF20" t="n">
        <v>25902.387</v>
      </c>
      <c r="AG20" t="n">
        <v>24342.863</v>
      </c>
      <c r="AH20" t="n">
        <v>25035.089</v>
      </c>
      <c r="AI20" t="n">
        <v>24142.158</v>
      </c>
      <c r="AJ20" t="n">
        <v>28861.486</v>
      </c>
      <c r="AK20" t="n">
        <v>31877.587</v>
      </c>
      <c r="AL20" t="n">
        <v>39460.622</v>
      </c>
      <c r="AM20" t="n">
        <v>41366.812</v>
      </c>
      <c r="AN20" t="n">
        <v>39226.706</v>
      </c>
      <c r="AO20" t="n">
        <v>40439.786</v>
      </c>
      <c r="AP20" t="n">
        <v>45189.494</v>
      </c>
      <c r="AQ20" t="n">
        <v>48216.761</v>
      </c>
      <c r="AR20" t="n">
        <v>45962.911</v>
      </c>
      <c r="AS20" t="n">
        <v>39008.443</v>
      </c>
      <c r="AT20" t="n">
        <v>40746.46</v>
      </c>
      <c r="AU20" t="n">
        <v>40194.617</v>
      </c>
      <c r="AV20" t="n">
        <v>43815.218</v>
      </c>
      <c r="AW20" t="n">
        <v>38918.204</v>
      </c>
      <c r="AX20" t="n">
        <v>37601.048</v>
      </c>
      <c r="AY20" t="n">
        <v>37620.13</v>
      </c>
      <c r="AZ20" t="n">
        <v>37587.066</v>
      </c>
      <c r="BA20" t="n">
        <v>34487.237</v>
      </c>
      <c r="BB20" t="n">
        <v>33818.883</v>
      </c>
      <c r="BC20" t="n">
        <v>34644.893</v>
      </c>
      <c r="BD20" t="n">
        <v>36375.336</v>
      </c>
      <c r="BE20" t="n">
        <v>34249.636</v>
      </c>
      <c r="BF20" t="n">
        <v>35253.792</v>
      </c>
      <c r="BG20" t="n">
        <v>36382.71</v>
      </c>
      <c r="BH20" t="n">
        <v>36124.977</v>
      </c>
      <c r="BI20" t="n">
        <v>35660.015</v>
      </c>
      <c r="BJ20" t="n">
        <v>33306.029</v>
      </c>
      <c r="BK20" t="n">
        <v>33746.684</v>
      </c>
      <c r="BL20" t="n">
        <v>34957.752</v>
      </c>
      <c r="BM20" t="n">
        <v>34912.756</v>
      </c>
      <c r="BN20" t="n">
        <v>36769.419</v>
      </c>
      <c r="BO20" t="n">
        <v>38438.744</v>
      </c>
      <c r="BP20" t="n">
        <v>38231.468</v>
      </c>
      <c r="BQ20" t="n">
        <v>42001.668</v>
      </c>
      <c r="BR20" t="n">
        <v>42704.039</v>
      </c>
      <c r="BS20" t="n">
        <v>46667.258</v>
      </c>
      <c r="BT20" t="n">
        <v>45741.78</v>
      </c>
      <c r="BU20" t="n">
        <v>42324.663</v>
      </c>
      <c r="BV20" t="n">
        <v>39820.19</v>
      </c>
    </row>
    <row r="21">
      <c r="A21" t="inlineStr">
        <is>
          <t>Leiognathidae</t>
        </is>
      </c>
      <c r="B21" t="inlineStr">
        <is>
          <t>Slipmouths, ponyfishes</t>
        </is>
      </c>
      <c r="C21" t="inlineStr">
        <is>
          <t>Small benthopelagics (&lt;30 cm)</t>
        </is>
      </c>
      <c r="D21" t="inlineStr">
        <is>
          <t>Perch-likes</t>
        </is>
      </c>
      <c r="E21" t="n">
        <v>4550.097</v>
      </c>
      <c r="F21" t="n">
        <v>7555.591</v>
      </c>
      <c r="G21" t="n">
        <v>3875.947</v>
      </c>
      <c r="H21" t="n">
        <v>1876.78</v>
      </c>
      <c r="I21" t="n">
        <v>6118.299</v>
      </c>
      <c r="J21" t="n">
        <v>2099.215</v>
      </c>
      <c r="K21" t="n">
        <v>9074.040999999999</v>
      </c>
      <c r="L21" t="n">
        <v>7421.645</v>
      </c>
      <c r="M21" t="n">
        <v>9135.811</v>
      </c>
      <c r="N21" t="n">
        <v>8430.439</v>
      </c>
      <c r="O21" t="n">
        <v>8797.172</v>
      </c>
      <c r="P21" t="n">
        <v>9839.148999999999</v>
      </c>
      <c r="Q21" t="n">
        <v>11713.478</v>
      </c>
      <c r="R21" t="n">
        <v>10650.229</v>
      </c>
      <c r="S21" t="n">
        <v>16954.291</v>
      </c>
      <c r="T21" t="n">
        <v>20303.965</v>
      </c>
      <c r="U21" t="n">
        <v>23262.316</v>
      </c>
      <c r="V21" t="n">
        <v>24784.099</v>
      </c>
      <c r="W21" t="n">
        <v>17963.465</v>
      </c>
      <c r="X21" t="n">
        <v>28163.552</v>
      </c>
      <c r="Y21" t="n">
        <v>30010.499</v>
      </c>
      <c r="Z21" t="n">
        <v>24204.964</v>
      </c>
      <c r="AA21" t="n">
        <v>23656.379</v>
      </c>
      <c r="AB21" t="n">
        <v>41996.195</v>
      </c>
      <c r="AC21" t="n">
        <v>43484.303</v>
      </c>
      <c r="AD21" t="n">
        <v>31284.134</v>
      </c>
      <c r="AE21" t="n">
        <v>40477.426</v>
      </c>
      <c r="AF21" t="n">
        <v>43667.272</v>
      </c>
      <c r="AG21" t="n">
        <v>41446.773</v>
      </c>
      <c r="AH21" t="n">
        <v>45547.352</v>
      </c>
      <c r="AI21" t="n">
        <v>60893.042</v>
      </c>
      <c r="AJ21" t="n">
        <v>57349.145</v>
      </c>
      <c r="AK21" t="n">
        <v>56015.508</v>
      </c>
      <c r="AL21" t="n">
        <v>69388.493</v>
      </c>
      <c r="AM21" t="n">
        <v>68037.17600000001</v>
      </c>
      <c r="AN21" t="n">
        <v>70960.905</v>
      </c>
      <c r="AO21" t="n">
        <v>87439.857</v>
      </c>
      <c r="AP21" t="n">
        <v>71975.394</v>
      </c>
      <c r="AQ21" t="n">
        <v>66133.11599999999</v>
      </c>
      <c r="AR21" t="n">
        <v>58500.922</v>
      </c>
      <c r="AS21" t="n">
        <v>34611.43</v>
      </c>
      <c r="AT21" t="n">
        <v>37307.86</v>
      </c>
      <c r="AU21" t="n">
        <v>25393.877</v>
      </c>
      <c r="AV21" t="n">
        <v>30778.4</v>
      </c>
      <c r="AW21" t="n">
        <v>23040.419</v>
      </c>
      <c r="AX21" t="n">
        <v>25552.895</v>
      </c>
      <c r="AY21" t="n">
        <v>31099.95</v>
      </c>
      <c r="AZ21" t="n">
        <v>37894.563</v>
      </c>
      <c r="BA21" t="n">
        <v>44103.723</v>
      </c>
      <c r="BB21" t="n">
        <v>43303.982</v>
      </c>
      <c r="BC21" t="n">
        <v>39845.09</v>
      </c>
      <c r="BD21" t="n">
        <v>45953.518</v>
      </c>
      <c r="BE21" t="n">
        <v>50182.192</v>
      </c>
      <c r="BF21" t="n">
        <v>43408.926</v>
      </c>
      <c r="BG21" t="n">
        <v>39059.263</v>
      </c>
      <c r="BH21" t="n">
        <v>30327.116</v>
      </c>
      <c r="BI21" t="n">
        <v>23959.224</v>
      </c>
      <c r="BJ21" t="n">
        <v>26704.422</v>
      </c>
      <c r="BK21" t="n">
        <v>19027.854</v>
      </c>
      <c r="BL21" t="n">
        <v>18308.512</v>
      </c>
      <c r="BM21" t="n">
        <v>17185.343</v>
      </c>
      <c r="BN21" t="n">
        <v>15748.344</v>
      </c>
      <c r="BO21" t="n">
        <v>18721.94</v>
      </c>
      <c r="BP21" t="n">
        <v>14318.836</v>
      </c>
      <c r="BQ21" t="n">
        <v>18061.419</v>
      </c>
      <c r="BR21" t="n">
        <v>11699.238</v>
      </c>
      <c r="BS21" t="n">
        <v>14148.62</v>
      </c>
      <c r="BT21" t="n">
        <v>11636.378</v>
      </c>
      <c r="BU21" t="n">
        <v>12666.629</v>
      </c>
      <c r="BV21" t="n">
        <v>12368.06</v>
      </c>
    </row>
    <row r="22">
      <c r="A22" t="inlineStr">
        <is>
          <t>Decapterus</t>
        </is>
      </c>
      <c r="B22" t="inlineStr">
        <is>
          <t>Scads</t>
        </is>
      </c>
      <c r="C22" t="inlineStr">
        <is>
          <t>Medium pelagics (30 - 89 cm)</t>
        </is>
      </c>
      <c r="D22" t="inlineStr">
        <is>
          <t>Perch-likes</t>
        </is>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1.534</v>
      </c>
      <c r="AD22" t="n">
        <v>1.677</v>
      </c>
      <c r="AE22" t="n">
        <v>2.727</v>
      </c>
      <c r="AF22" t="n">
        <v>3.94</v>
      </c>
      <c r="AG22" t="n">
        <v>0.544</v>
      </c>
      <c r="AH22" t="n">
        <v>5.126</v>
      </c>
      <c r="AI22" t="n">
        <v>10.31</v>
      </c>
      <c r="AJ22" t="n">
        <v>1719.223</v>
      </c>
      <c r="AK22" t="n">
        <v>2193.818</v>
      </c>
      <c r="AL22" t="n">
        <v>6215.928</v>
      </c>
      <c r="AM22" t="n">
        <v>7446.197</v>
      </c>
      <c r="AN22" t="n">
        <v>6237.373</v>
      </c>
      <c r="AO22" t="n">
        <v>48858.772</v>
      </c>
      <c r="AP22" t="n">
        <v>11998.512</v>
      </c>
      <c r="AQ22" t="n">
        <v>37790.991</v>
      </c>
      <c r="AR22" t="n">
        <v>55082.116</v>
      </c>
      <c r="AS22" t="n">
        <v>59763.055</v>
      </c>
      <c r="AT22" t="n">
        <v>103503.9</v>
      </c>
      <c r="AU22" t="n">
        <v>118697.541</v>
      </c>
      <c r="AV22" t="n">
        <v>57908.169</v>
      </c>
      <c r="AW22" t="n">
        <v>48451.166</v>
      </c>
      <c r="AX22" t="n">
        <v>105529.412</v>
      </c>
      <c r="AY22" t="n">
        <v>65080.195</v>
      </c>
      <c r="AZ22" t="n">
        <v>36509.232</v>
      </c>
      <c r="BA22" t="n">
        <v>53518.697</v>
      </c>
      <c r="BB22" t="n">
        <v>30698.709</v>
      </c>
      <c r="BC22" t="n">
        <v>24082.662</v>
      </c>
      <c r="BD22" t="n">
        <v>40333.075</v>
      </c>
      <c r="BE22" t="n">
        <v>34511.801</v>
      </c>
      <c r="BF22" t="n">
        <v>22186.56</v>
      </c>
      <c r="BG22" t="n">
        <v>36426.678</v>
      </c>
      <c r="BH22" t="n">
        <v>49043.571</v>
      </c>
      <c r="BI22" t="n">
        <v>35081.642</v>
      </c>
      <c r="BJ22" t="n">
        <v>38308.74</v>
      </c>
      <c r="BK22" t="n">
        <v>32017.214</v>
      </c>
      <c r="BL22" t="n">
        <v>46304.488</v>
      </c>
      <c r="BM22" t="n">
        <v>39439.317</v>
      </c>
      <c r="BN22" t="n">
        <v>91538.855</v>
      </c>
      <c r="BO22" t="n">
        <v>83205.784</v>
      </c>
      <c r="BP22" t="n">
        <v>119266.328</v>
      </c>
      <c r="BQ22" t="n">
        <v>74952.215</v>
      </c>
      <c r="BR22" t="n">
        <v>81286.91800000001</v>
      </c>
      <c r="BS22" t="n">
        <v>100890.913</v>
      </c>
      <c r="BT22" t="n">
        <v>91322.97500000001</v>
      </c>
      <c r="BU22" t="n">
        <v>93302.66</v>
      </c>
      <c r="BV22" t="n">
        <v>84215.86599999999</v>
      </c>
    </row>
    <row r="23">
      <c r="A23" t="inlineStr">
        <is>
          <t>Engraulidae</t>
        </is>
      </c>
      <c r="B23" t="inlineStr">
        <is>
          <t>Anchovies, round herrings</t>
        </is>
      </c>
      <c r="C23" t="inlineStr">
        <is>
          <t>Small pelagics (&lt;30 cm)</t>
        </is>
      </c>
      <c r="D23" t="inlineStr">
        <is>
          <t>Anchovies</t>
        </is>
      </c>
      <c r="E23" t="n">
        <v>7570.057</v>
      </c>
      <c r="F23" t="n">
        <v>20068.773</v>
      </c>
      <c r="G23" t="n">
        <v>14588.661</v>
      </c>
      <c r="H23" t="n">
        <v>12946.612</v>
      </c>
      <c r="I23" t="n">
        <v>12591.874</v>
      </c>
      <c r="J23" t="n">
        <v>9987.156999999999</v>
      </c>
      <c r="K23" t="n">
        <v>10885.15</v>
      </c>
      <c r="L23" t="n">
        <v>7147.47</v>
      </c>
      <c r="M23" t="n">
        <v>11284.589</v>
      </c>
      <c r="N23" t="n">
        <v>15913.594</v>
      </c>
      <c r="O23" t="n">
        <v>21751.848</v>
      </c>
      <c r="P23" t="n">
        <v>12623.691</v>
      </c>
      <c r="Q23" t="n">
        <v>12545.322</v>
      </c>
      <c r="R23" t="n">
        <v>19420.204</v>
      </c>
      <c r="S23" t="n">
        <v>17511.803</v>
      </c>
      <c r="T23" t="n">
        <v>10670.064</v>
      </c>
      <c r="U23" t="n">
        <v>17353.175</v>
      </c>
      <c r="V23" t="n">
        <v>20204.034</v>
      </c>
      <c r="W23" t="n">
        <v>14089.943</v>
      </c>
      <c r="X23" t="n">
        <v>19170.067</v>
      </c>
      <c r="Y23" t="n">
        <v>17192.846</v>
      </c>
      <c r="Z23" t="n">
        <v>21101.077</v>
      </c>
      <c r="AA23" t="n">
        <v>20565.537</v>
      </c>
      <c r="AB23" t="n">
        <v>19613.282</v>
      </c>
      <c r="AC23" t="n">
        <v>31781.311</v>
      </c>
      <c r="AD23" t="n">
        <v>24407.635</v>
      </c>
      <c r="AE23" t="n">
        <v>22623.061</v>
      </c>
      <c r="AF23" t="n">
        <v>22911.328</v>
      </c>
      <c r="AG23" t="n">
        <v>34353.41</v>
      </c>
      <c r="AH23" t="n">
        <v>20827.411</v>
      </c>
      <c r="AI23" t="n">
        <v>25644.56</v>
      </c>
      <c r="AJ23" t="n">
        <v>31686.45</v>
      </c>
      <c r="AK23" t="n">
        <v>29698.244</v>
      </c>
      <c r="AL23" t="n">
        <v>30382.211</v>
      </c>
      <c r="AM23" t="n">
        <v>31497.971</v>
      </c>
      <c r="AN23" t="n">
        <v>37147.522</v>
      </c>
      <c r="AO23" t="n">
        <v>37952.193</v>
      </c>
      <c r="AP23" t="n">
        <v>31645.3</v>
      </c>
      <c r="AQ23" t="n">
        <v>34049.152</v>
      </c>
      <c r="AR23" t="n">
        <v>41013.242</v>
      </c>
      <c r="AS23" t="n">
        <v>46269.668</v>
      </c>
      <c r="AT23" t="n">
        <v>54061.025</v>
      </c>
      <c r="AU23" t="n">
        <v>41419.485</v>
      </c>
      <c r="AV23" t="n">
        <v>41134.035</v>
      </c>
      <c r="AW23" t="n">
        <v>48335.977</v>
      </c>
      <c r="AX23" t="n">
        <v>47327.377</v>
      </c>
      <c r="AY23" t="n">
        <v>45993.866</v>
      </c>
      <c r="AZ23" t="n">
        <v>46177.482</v>
      </c>
      <c r="BA23" t="n">
        <v>66778.38400000001</v>
      </c>
      <c r="BB23" t="n">
        <v>47606.332</v>
      </c>
      <c r="BC23" t="n">
        <v>49387.739</v>
      </c>
      <c r="BD23" t="n">
        <v>35707.804</v>
      </c>
      <c r="BE23" t="n">
        <v>43773.891</v>
      </c>
      <c r="BF23" t="n">
        <v>38196.531</v>
      </c>
      <c r="BG23" t="n">
        <v>41668.592</v>
      </c>
      <c r="BH23" t="n">
        <v>36960.76</v>
      </c>
      <c r="BI23" t="n">
        <v>31540.075</v>
      </c>
      <c r="BJ23" t="n">
        <v>39374.813</v>
      </c>
      <c r="BK23" t="n">
        <v>33048.39</v>
      </c>
      <c r="BL23" t="n">
        <v>23288.769</v>
      </c>
      <c r="BM23" t="n">
        <v>41945.359</v>
      </c>
      <c r="BN23" t="n">
        <v>30822.047</v>
      </c>
      <c r="BO23" t="n">
        <v>23979.511</v>
      </c>
      <c r="BP23" t="n">
        <v>29612.181</v>
      </c>
      <c r="BQ23" t="n">
        <v>35472.822</v>
      </c>
      <c r="BR23" t="n">
        <v>32520.221</v>
      </c>
      <c r="BS23" t="n">
        <v>30311.287</v>
      </c>
      <c r="BT23" t="n">
        <v>28420.423</v>
      </c>
      <c r="BU23" t="n">
        <v>37105.558</v>
      </c>
      <c r="BV23" t="n">
        <v>32631.194</v>
      </c>
    </row>
    <row r="24">
      <c r="A24" t="inlineStr">
        <is>
          <t>Rastrelliger</t>
        </is>
      </c>
      <c r="B24" t="inlineStr">
        <is>
          <t>Indian mackerels</t>
        </is>
      </c>
      <c r="C24" t="inlineStr">
        <is>
          <t>Medium pelagics (30 - 89 cm)</t>
        </is>
      </c>
      <c r="D24" t="inlineStr">
        <is>
          <t>Perch-likes</t>
        </is>
      </c>
      <c r="E24" t="n">
        <v>82960.101</v>
      </c>
      <c r="F24" t="n">
        <v>101731.709</v>
      </c>
      <c r="G24" t="n">
        <v>76433.402</v>
      </c>
      <c r="H24" t="n">
        <v>69747.21400000001</v>
      </c>
      <c r="I24" t="n">
        <v>27727.004</v>
      </c>
      <c r="J24" t="n">
        <v>21119.536</v>
      </c>
      <c r="K24" t="n">
        <v>14073.215</v>
      </c>
      <c r="L24" t="n">
        <v>86722.254</v>
      </c>
      <c r="M24" t="n">
        <v>122792.411</v>
      </c>
      <c r="N24" t="n">
        <v>60837.063</v>
      </c>
      <c r="O24" t="n">
        <v>129750.024</v>
      </c>
      <c r="P24" t="n">
        <v>27728.904</v>
      </c>
      <c r="Q24" t="n">
        <v>25426.165</v>
      </c>
      <c r="R24" t="n">
        <v>72866.177</v>
      </c>
      <c r="S24" t="n">
        <v>18955.253</v>
      </c>
      <c r="T24" t="n">
        <v>40977.151</v>
      </c>
      <c r="U24" t="n">
        <v>28748.87</v>
      </c>
      <c r="V24" t="n">
        <v>25894.96</v>
      </c>
      <c r="W24" t="n">
        <v>16152.42</v>
      </c>
      <c r="X24" t="n">
        <v>88894.30499999999</v>
      </c>
      <c r="Y24" t="n">
        <v>135382.036</v>
      </c>
      <c r="Z24" t="n">
        <v>199810.433</v>
      </c>
      <c r="AA24" t="n">
        <v>93026.143</v>
      </c>
      <c r="AB24" t="n">
        <v>66068.921</v>
      </c>
      <c r="AC24" t="n">
        <v>31260.533</v>
      </c>
      <c r="AD24" t="n">
        <v>36543.845</v>
      </c>
      <c r="AE24" t="n">
        <v>51287.895</v>
      </c>
      <c r="AF24" t="n">
        <v>55993.615</v>
      </c>
      <c r="AG24" t="n">
        <v>81468.826</v>
      </c>
      <c r="AH24" t="n">
        <v>65106.073</v>
      </c>
      <c r="AI24" t="n">
        <v>43338.968</v>
      </c>
      <c r="AJ24" t="n">
        <v>513.171</v>
      </c>
      <c r="AK24" t="n">
        <v>1286.534</v>
      </c>
      <c r="AL24" t="n">
        <v>1893.069</v>
      </c>
      <c r="AM24" t="n">
        <v>1147.507</v>
      </c>
      <c r="AN24" t="n">
        <v>3083.564</v>
      </c>
      <c r="AO24" t="n">
        <v>4099.294</v>
      </c>
      <c r="AP24" t="n">
        <v>3604.367</v>
      </c>
      <c r="AQ24" t="n">
        <v>3154.726</v>
      </c>
      <c r="AR24" t="n">
        <v>825.134</v>
      </c>
      <c r="AS24" t="n">
        <v>106.03</v>
      </c>
      <c r="AT24" t="n">
        <v>224.816</v>
      </c>
      <c r="AU24" t="n">
        <v>0</v>
      </c>
      <c r="AV24" t="n">
        <v>4.273</v>
      </c>
      <c r="AW24" t="n">
        <v>10.865</v>
      </c>
      <c r="AX24" t="n">
        <v>0</v>
      </c>
      <c r="AY24" t="n">
        <v>0</v>
      </c>
      <c r="AZ24" t="n">
        <v>0</v>
      </c>
      <c r="BA24" t="n">
        <v>0</v>
      </c>
      <c r="BB24" t="n">
        <v>0</v>
      </c>
      <c r="BC24" t="n">
        <v>0</v>
      </c>
      <c r="BD24" t="n">
        <v>4.429</v>
      </c>
      <c r="BE24" t="n">
        <v>3.287</v>
      </c>
      <c r="BF24" t="n">
        <v>0</v>
      </c>
      <c r="BG24" t="n">
        <v>0</v>
      </c>
      <c r="BH24" t="n">
        <v>0</v>
      </c>
      <c r="BI24" t="n">
        <v>0</v>
      </c>
      <c r="BJ24" t="n">
        <v>0</v>
      </c>
      <c r="BK24" t="n">
        <v>0</v>
      </c>
      <c r="BL24" t="n">
        <v>0</v>
      </c>
      <c r="BM24" t="n">
        <v>0</v>
      </c>
      <c r="BN24" t="n">
        <v>0</v>
      </c>
      <c r="BO24" t="n">
        <v>0</v>
      </c>
      <c r="BP24" t="n">
        <v>0</v>
      </c>
      <c r="BQ24" t="n">
        <v>0</v>
      </c>
      <c r="BR24" t="n">
        <v>161.309</v>
      </c>
      <c r="BS24" t="n">
        <v>0</v>
      </c>
      <c r="BT24" t="n">
        <v>9.654999999999999</v>
      </c>
      <c r="BU24" t="n">
        <v>0</v>
      </c>
      <c r="BV24" t="n">
        <v>81.69499999999999</v>
      </c>
    </row>
    <row r="25">
      <c r="A25" t="inlineStr">
        <is>
          <t>Perciformes</t>
        </is>
      </c>
      <c r="B25" t="inlineStr">
        <is>
          <t>Perch-likes</t>
        </is>
      </c>
      <c r="C25" t="inlineStr">
        <is>
          <t>Medium demersals (30 - 89 cm)</t>
        </is>
      </c>
      <c r="D25" t="inlineStr">
        <is>
          <t>Perch-likes</t>
        </is>
      </c>
      <c r="E25" t="n">
        <v>4248.404</v>
      </c>
      <c r="F25" t="n">
        <v>385.583</v>
      </c>
      <c r="G25" t="n">
        <v>7926.994</v>
      </c>
      <c r="H25" t="n">
        <v>362.411</v>
      </c>
      <c r="I25" t="n">
        <v>1287.552</v>
      </c>
      <c r="J25" t="n">
        <v>1979.713</v>
      </c>
      <c r="K25" t="n">
        <v>3949.231</v>
      </c>
      <c r="L25" t="n">
        <v>2571.872</v>
      </c>
      <c r="M25" t="n">
        <v>6905.859</v>
      </c>
      <c r="N25" t="n">
        <v>3726.949</v>
      </c>
      <c r="O25" t="n">
        <v>3838.067</v>
      </c>
      <c r="P25" t="n">
        <v>4975.74</v>
      </c>
      <c r="Q25" t="n">
        <v>4455.626</v>
      </c>
      <c r="R25" t="n">
        <v>3290.57</v>
      </c>
      <c r="S25" t="n">
        <v>5730.044</v>
      </c>
      <c r="T25" t="n">
        <v>2313.503</v>
      </c>
      <c r="U25" t="n">
        <v>4285.532</v>
      </c>
      <c r="V25" t="n">
        <v>3044.129</v>
      </c>
      <c r="W25" t="n">
        <v>3010.015</v>
      </c>
      <c r="X25" t="n">
        <v>4551.321</v>
      </c>
      <c r="Y25" t="n">
        <v>7139.323</v>
      </c>
      <c r="Z25" t="n">
        <v>5564.433</v>
      </c>
      <c r="AA25" t="n">
        <v>7078.094</v>
      </c>
      <c r="AB25" t="n">
        <v>14682.629</v>
      </c>
      <c r="AC25" t="n">
        <v>26230.426</v>
      </c>
      <c r="AD25" t="n">
        <v>21683.728</v>
      </c>
      <c r="AE25" t="n">
        <v>10654.945</v>
      </c>
      <c r="AF25" t="n">
        <v>21435.731</v>
      </c>
      <c r="AG25" t="n">
        <v>37692.006</v>
      </c>
      <c r="AH25" t="n">
        <v>25296.764</v>
      </c>
      <c r="AI25" t="n">
        <v>25945.231</v>
      </c>
      <c r="AJ25" t="n">
        <v>4654.134</v>
      </c>
      <c r="AK25" t="n">
        <v>4509.153</v>
      </c>
      <c r="AL25" t="n">
        <v>7802.97</v>
      </c>
      <c r="AM25" t="n">
        <v>10367.908</v>
      </c>
      <c r="AN25" t="n">
        <v>12041.92</v>
      </c>
      <c r="AO25" t="n">
        <v>14216.063</v>
      </c>
      <c r="AP25" t="n">
        <v>15562.414</v>
      </c>
      <c r="AQ25" t="n">
        <v>13765.902</v>
      </c>
      <c r="AR25" t="n">
        <v>12465.056</v>
      </c>
      <c r="AS25" t="n">
        <v>15872.277</v>
      </c>
      <c r="AT25" t="n">
        <v>15885.785</v>
      </c>
      <c r="AU25" t="n">
        <v>18537.211</v>
      </c>
      <c r="AV25" t="n">
        <v>25430.63</v>
      </c>
      <c r="AW25" t="n">
        <v>29246.203</v>
      </c>
      <c r="AX25" t="n">
        <v>25931.168</v>
      </c>
      <c r="AY25" t="n">
        <v>31178.519</v>
      </c>
      <c r="AZ25" t="n">
        <v>37111.271</v>
      </c>
      <c r="BA25" t="n">
        <v>24481.295</v>
      </c>
      <c r="BB25" t="n">
        <v>23942.448</v>
      </c>
      <c r="BC25" t="n">
        <v>44720.641</v>
      </c>
      <c r="BD25" t="n">
        <v>31927.907</v>
      </c>
      <c r="BE25" t="n">
        <v>35276.858</v>
      </c>
      <c r="BF25" t="n">
        <v>19536.698</v>
      </c>
      <c r="BG25" t="n">
        <v>23290.279</v>
      </c>
      <c r="BH25" t="n">
        <v>20501.227</v>
      </c>
      <c r="BI25" t="n">
        <v>26917.608</v>
      </c>
      <c r="BJ25" t="n">
        <v>28791.48</v>
      </c>
      <c r="BK25" t="n">
        <v>46419.846</v>
      </c>
      <c r="BL25" t="n">
        <v>21694.859</v>
      </c>
      <c r="BM25" t="n">
        <v>18110.475</v>
      </c>
      <c r="BN25" t="n">
        <v>26660.296</v>
      </c>
      <c r="BO25" t="n">
        <v>43838.483</v>
      </c>
      <c r="BP25" t="n">
        <v>70291.923</v>
      </c>
      <c r="BQ25" t="n">
        <v>64093.028</v>
      </c>
      <c r="BR25" t="n">
        <v>94469.13499999999</v>
      </c>
      <c r="BS25" t="n">
        <v>176745.827</v>
      </c>
      <c r="BT25" t="n">
        <v>188984.915</v>
      </c>
      <c r="BU25" t="n">
        <v>97345.86500000001</v>
      </c>
      <c r="BV25" t="n">
        <v>116754.077</v>
      </c>
    </row>
    <row r="26">
      <c r="A26" t="inlineStr">
        <is>
          <t>Soleidae</t>
        </is>
      </c>
      <c r="B26" t="inlineStr">
        <is>
          <t>Soles</t>
        </is>
      </c>
      <c r="C26" t="inlineStr">
        <is>
          <t>Small to medium flatfishes (&lt;90 cm)</t>
        </is>
      </c>
      <c r="D26" t="inlineStr">
        <is>
          <t>Flatfishes</t>
        </is>
      </c>
      <c r="E26" t="n">
        <v>1090.43</v>
      </c>
      <c r="F26" t="n">
        <v>1097.579</v>
      </c>
      <c r="G26" t="n">
        <v>1091.917</v>
      </c>
      <c r="H26" t="n">
        <v>1102.583</v>
      </c>
      <c r="I26" t="n">
        <v>1109.371</v>
      </c>
      <c r="J26" t="n">
        <v>1116.303</v>
      </c>
      <c r="K26" t="n">
        <v>1121.014</v>
      </c>
      <c r="L26" t="n">
        <v>1135.287</v>
      </c>
      <c r="M26" t="n">
        <v>1897.946</v>
      </c>
      <c r="N26" t="n">
        <v>1625.046</v>
      </c>
      <c r="O26" t="n">
        <v>1910.754</v>
      </c>
      <c r="P26" t="n">
        <v>2280.741</v>
      </c>
      <c r="Q26" t="n">
        <v>1947.085</v>
      </c>
      <c r="R26" t="n">
        <v>2786.586</v>
      </c>
      <c r="S26" t="n">
        <v>4031.503</v>
      </c>
      <c r="T26" t="n">
        <v>4562.486</v>
      </c>
      <c r="U26" t="n">
        <v>4576.872</v>
      </c>
      <c r="V26" t="n">
        <v>4745.727</v>
      </c>
      <c r="W26" t="n">
        <v>4423.602</v>
      </c>
      <c r="X26" t="n">
        <v>4693.028</v>
      </c>
      <c r="Y26" t="n">
        <v>4529.523</v>
      </c>
      <c r="Z26" t="n">
        <v>4811.499</v>
      </c>
      <c r="AA26" t="n">
        <v>5608.437</v>
      </c>
      <c r="AB26" t="n">
        <v>5570.412</v>
      </c>
      <c r="AC26" t="n">
        <v>4344.769</v>
      </c>
      <c r="AD26" t="n">
        <v>4714.832</v>
      </c>
      <c r="AE26" t="n">
        <v>5694.226</v>
      </c>
      <c r="AF26" t="n">
        <v>5613.988</v>
      </c>
      <c r="AG26" t="n">
        <v>5209.377</v>
      </c>
      <c r="AH26" t="n">
        <v>5661.7</v>
      </c>
      <c r="AI26" t="n">
        <v>6267.771</v>
      </c>
      <c r="AJ26" t="n">
        <v>17941.531</v>
      </c>
      <c r="AK26" t="n">
        <v>25093.566</v>
      </c>
      <c r="AL26" t="n">
        <v>28937.33</v>
      </c>
      <c r="AM26" t="n">
        <v>46326.384</v>
      </c>
      <c r="AN26" t="n">
        <v>34216.698</v>
      </c>
      <c r="AO26" t="n">
        <v>33637.587</v>
      </c>
      <c r="AP26" t="n">
        <v>33751.47</v>
      </c>
      <c r="AQ26" t="n">
        <v>31094.06</v>
      </c>
      <c r="AR26" t="n">
        <v>36750.611</v>
      </c>
      <c r="AS26" t="n">
        <v>30654.5</v>
      </c>
      <c r="AT26" t="n">
        <v>37000.002</v>
      </c>
      <c r="AU26" t="n">
        <v>65489.821</v>
      </c>
      <c r="AV26" t="n">
        <v>49808.488</v>
      </c>
      <c r="AW26" t="n">
        <v>47422.331</v>
      </c>
      <c r="AX26" t="n">
        <v>39456.42</v>
      </c>
      <c r="AY26" t="n">
        <v>43244.994</v>
      </c>
      <c r="AZ26" t="n">
        <v>55923.767</v>
      </c>
      <c r="BA26" t="n">
        <v>50952.738</v>
      </c>
      <c r="BB26" t="n">
        <v>52314.431</v>
      </c>
      <c r="BC26" t="n">
        <v>57045.674</v>
      </c>
      <c r="BD26" t="n">
        <v>44596.936</v>
      </c>
      <c r="BE26" t="n">
        <v>45535.576</v>
      </c>
      <c r="BF26" t="n">
        <v>47810.939</v>
      </c>
      <c r="BG26" t="n">
        <v>38885.652</v>
      </c>
      <c r="BH26" t="n">
        <v>37082.445</v>
      </c>
      <c r="BI26" t="n">
        <v>39222.908</v>
      </c>
      <c r="BJ26" t="n">
        <v>41403.78</v>
      </c>
      <c r="BK26" t="n">
        <v>38771.072</v>
      </c>
      <c r="BL26" t="n">
        <v>43781.215</v>
      </c>
      <c r="BM26" t="n">
        <v>43431.657</v>
      </c>
      <c r="BN26" t="n">
        <v>56212.398</v>
      </c>
      <c r="BO26" t="n">
        <v>61552.397</v>
      </c>
      <c r="BP26" t="n">
        <v>44237.872</v>
      </c>
      <c r="BQ26" t="n">
        <v>52286.026</v>
      </c>
      <c r="BR26" t="n">
        <v>41680.259</v>
      </c>
      <c r="BS26" t="n">
        <v>38503.284</v>
      </c>
      <c r="BT26" t="n">
        <v>39444.492</v>
      </c>
      <c r="BU26" t="n">
        <v>45498.577</v>
      </c>
      <c r="BV26" t="n">
        <v>40713.974</v>
      </c>
    </row>
    <row r="27">
      <c r="A27" t="inlineStr">
        <is>
          <t>Cephalopoda</t>
        </is>
      </c>
      <c r="B27" t="inlineStr">
        <is>
          <t>Squids, cuttlefishes, octopuses</t>
        </is>
      </c>
      <c r="C27" t="inlineStr">
        <is>
          <t>Cephalopods</t>
        </is>
      </c>
      <c r="D27" t="inlineStr">
        <is>
          <t>Other fishes &amp; inverts</t>
        </is>
      </c>
      <c r="E27" t="n">
        <v>339.219</v>
      </c>
      <c r="F27" t="n">
        <v>314.084</v>
      </c>
      <c r="G27" t="n">
        <v>309.839</v>
      </c>
      <c r="H27" t="n">
        <v>342.072</v>
      </c>
      <c r="I27" t="n">
        <v>347.7</v>
      </c>
      <c r="J27" t="n">
        <v>352.141</v>
      </c>
      <c r="K27" t="n">
        <v>423.475</v>
      </c>
      <c r="L27" t="n">
        <v>515.4059999999999</v>
      </c>
      <c r="M27" t="n">
        <v>2.004</v>
      </c>
      <c r="N27" t="n">
        <v>346.784</v>
      </c>
      <c r="O27" t="n">
        <v>448.666</v>
      </c>
      <c r="P27" t="n">
        <v>83.17400000000001</v>
      </c>
      <c r="Q27" t="n">
        <v>78.227</v>
      </c>
      <c r="R27" t="n">
        <v>220.56</v>
      </c>
      <c r="S27" t="n">
        <v>363.682</v>
      </c>
      <c r="T27" t="n">
        <v>183.317</v>
      </c>
      <c r="U27" t="n">
        <v>744.432</v>
      </c>
      <c r="V27" t="n">
        <v>377.731</v>
      </c>
      <c r="W27" t="n">
        <v>1241.547</v>
      </c>
      <c r="X27" t="n">
        <v>369.779</v>
      </c>
      <c r="Y27" t="n">
        <v>424.059</v>
      </c>
      <c r="Z27" t="n">
        <v>851.15</v>
      </c>
      <c r="AA27" t="n">
        <v>666.117</v>
      </c>
      <c r="AB27" t="n">
        <v>864.465</v>
      </c>
      <c r="AC27" t="n">
        <v>2494.862</v>
      </c>
      <c r="AD27" t="n">
        <v>4672.591</v>
      </c>
      <c r="AE27" t="n">
        <v>8793.116</v>
      </c>
      <c r="AF27" t="n">
        <v>8084.057</v>
      </c>
      <c r="AG27" t="n">
        <v>14408.486</v>
      </c>
      <c r="AH27" t="n">
        <v>12446.347</v>
      </c>
      <c r="AI27" t="n">
        <v>9182.969999999999</v>
      </c>
      <c r="AJ27" t="n">
        <v>7190.584</v>
      </c>
      <c r="AK27" t="n">
        <v>11590.682</v>
      </c>
      <c r="AL27" t="n">
        <v>13601.797</v>
      </c>
      <c r="AM27" t="n">
        <v>16036.511</v>
      </c>
      <c r="AN27" t="n">
        <v>26338.754</v>
      </c>
      <c r="AO27" t="n">
        <v>37653.629</v>
      </c>
      <c r="AP27" t="n">
        <v>29133.425</v>
      </c>
      <c r="AQ27" t="n">
        <v>33863.567</v>
      </c>
      <c r="AR27" t="n">
        <v>48164.007</v>
      </c>
      <c r="AS27" t="n">
        <v>47604.499</v>
      </c>
      <c r="AT27" t="n">
        <v>54764.519</v>
      </c>
      <c r="AU27" t="n">
        <v>73028.486</v>
      </c>
      <c r="AV27" t="n">
        <v>86055.351</v>
      </c>
      <c r="AW27" t="n">
        <v>96002.436</v>
      </c>
      <c r="AX27" t="n">
        <v>99795.306</v>
      </c>
      <c r="AY27" t="n">
        <v>87521.22</v>
      </c>
      <c r="AZ27" t="n">
        <v>101289.165</v>
      </c>
      <c r="BA27" t="n">
        <v>97711.86</v>
      </c>
      <c r="BB27" t="n">
        <v>77488.962</v>
      </c>
      <c r="BC27" t="n">
        <v>99835.42600000001</v>
      </c>
      <c r="BD27" t="n">
        <v>89102.462</v>
      </c>
      <c r="BE27" t="n">
        <v>87213.77</v>
      </c>
      <c r="BF27" t="n">
        <v>98055.02</v>
      </c>
      <c r="BG27" t="n">
        <v>91986.16499999999</v>
      </c>
      <c r="BH27" t="n">
        <v>84013.16899999999</v>
      </c>
      <c r="BI27" t="n">
        <v>256.846</v>
      </c>
      <c r="BJ27" t="n">
        <v>256.846</v>
      </c>
      <c r="BK27" t="n">
        <v>256.846</v>
      </c>
      <c r="BL27" t="n">
        <v>256.846</v>
      </c>
      <c r="BM27" t="n">
        <v>256.846</v>
      </c>
      <c r="BN27" t="n">
        <v>256.846</v>
      </c>
      <c r="BO27" t="n">
        <v>256.846</v>
      </c>
      <c r="BP27" t="n">
        <v>256.846</v>
      </c>
      <c r="BQ27" t="n">
        <v>256.846</v>
      </c>
      <c r="BR27" t="n">
        <v>256.846</v>
      </c>
      <c r="BS27" t="n">
        <v>354.175</v>
      </c>
      <c r="BT27" t="n">
        <v>357.706</v>
      </c>
      <c r="BU27" t="n">
        <v>356.595</v>
      </c>
      <c r="BV27" t="n">
        <v>356.385</v>
      </c>
    </row>
    <row r="28">
      <c r="A28" t="inlineStr">
        <is>
          <t>Stolephorus</t>
        </is>
      </c>
      <c r="B28" t="inlineStr">
        <is>
          <t>Garment anchovies</t>
        </is>
      </c>
      <c r="C28" t="inlineStr">
        <is>
          <t>Small pelagics (&lt;30 cm)</t>
        </is>
      </c>
      <c r="D28" t="inlineStr">
        <is>
          <t>Anchovies</t>
        </is>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10402.241</v>
      </c>
      <c r="AK28" t="n">
        <v>25171.05</v>
      </c>
      <c r="AL28" t="n">
        <v>70271.95299999999</v>
      </c>
      <c r="AM28" t="n">
        <v>54918.198</v>
      </c>
      <c r="AN28" t="n">
        <v>42321.004</v>
      </c>
      <c r="AO28" t="n">
        <v>42341.12</v>
      </c>
      <c r="AP28" t="n">
        <v>24855.155</v>
      </c>
      <c r="AQ28" t="n">
        <v>65766.694</v>
      </c>
      <c r="AR28" t="n">
        <v>54353.299</v>
      </c>
      <c r="AS28" t="n">
        <v>38172.149</v>
      </c>
      <c r="AT28" t="n">
        <v>59315.357</v>
      </c>
      <c r="AU28" t="n">
        <v>56297.113</v>
      </c>
      <c r="AV28" t="n">
        <v>60429.933</v>
      </c>
      <c r="AW28" t="n">
        <v>45696.269</v>
      </c>
      <c r="AX28" t="n">
        <v>52348.735</v>
      </c>
      <c r="AY28" t="n">
        <v>37668.282</v>
      </c>
      <c r="AZ28" t="n">
        <v>34157.542</v>
      </c>
      <c r="BA28" t="n">
        <v>41206.59</v>
      </c>
      <c r="BB28" t="n">
        <v>34648.536</v>
      </c>
      <c r="BC28" t="n">
        <v>31284.514</v>
      </c>
      <c r="BD28" t="n">
        <v>24435.89</v>
      </c>
      <c r="BE28" t="n">
        <v>30124.815</v>
      </c>
      <c r="BF28" t="n">
        <v>29330.934</v>
      </c>
      <c r="BG28" t="n">
        <v>32957.912</v>
      </c>
      <c r="BH28" t="n">
        <v>20680.796</v>
      </c>
      <c r="BI28" t="n">
        <v>23854.484</v>
      </c>
      <c r="BJ28" t="n">
        <v>37529.575</v>
      </c>
      <c r="BK28" t="n">
        <v>63753.394</v>
      </c>
      <c r="BL28" t="n">
        <v>36068.165</v>
      </c>
      <c r="BM28" t="n">
        <v>58016.796</v>
      </c>
      <c r="BN28" t="n">
        <v>44432.625</v>
      </c>
      <c r="BO28" t="n">
        <v>50546.957</v>
      </c>
      <c r="BP28" t="n">
        <v>53415.703</v>
      </c>
      <c r="BQ28" t="n">
        <v>40021.17</v>
      </c>
      <c r="BR28" t="n">
        <v>45870.864</v>
      </c>
      <c r="BS28" t="n">
        <v>42523.114</v>
      </c>
      <c r="BT28" t="n">
        <v>37972.125</v>
      </c>
      <c r="BU28" t="n">
        <v>58417.923</v>
      </c>
      <c r="BV28" t="n">
        <v>43167.411</v>
      </c>
    </row>
    <row r="29">
      <c r="A29" t="inlineStr">
        <is>
          <t>Penaeus semisulcatus</t>
        </is>
      </c>
      <c r="B29" t="inlineStr">
        <is>
          <t>Green tiger prawn</t>
        </is>
      </c>
      <c r="C29" t="inlineStr">
        <is>
          <t>Shrimps</t>
        </is>
      </c>
      <c r="D29" t="inlineStr">
        <is>
          <t>Crustaceans</t>
        </is>
      </c>
      <c r="E29" t="n">
        <v>17521.761</v>
      </c>
      <c r="F29" t="n">
        <v>17619.928</v>
      </c>
      <c r="G29" t="n">
        <v>17685.904</v>
      </c>
      <c r="H29" t="n">
        <v>17678.015</v>
      </c>
      <c r="I29" t="n">
        <v>17961.974</v>
      </c>
      <c r="J29" t="n">
        <v>18045.764</v>
      </c>
      <c r="K29" t="n">
        <v>18175.393</v>
      </c>
      <c r="L29" t="n">
        <v>18706.735</v>
      </c>
      <c r="M29" t="n">
        <v>18845.445</v>
      </c>
      <c r="N29" t="n">
        <v>19287.84</v>
      </c>
      <c r="O29" t="n">
        <v>19519.055</v>
      </c>
      <c r="P29" t="n">
        <v>20758.044</v>
      </c>
      <c r="Q29" t="n">
        <v>21357.979</v>
      </c>
      <c r="R29" t="n">
        <v>23920.688</v>
      </c>
      <c r="S29" t="n">
        <v>24508.059</v>
      </c>
      <c r="T29" t="n">
        <v>22423.892</v>
      </c>
      <c r="U29" t="n">
        <v>24980.342</v>
      </c>
      <c r="V29" t="n">
        <v>22959.804</v>
      </c>
      <c r="W29" t="n">
        <v>22049.156</v>
      </c>
      <c r="X29" t="n">
        <v>22510.274</v>
      </c>
      <c r="Y29" t="n">
        <v>21447.168</v>
      </c>
      <c r="Z29" t="n">
        <v>22714.175</v>
      </c>
      <c r="AA29" t="n">
        <v>21943.752</v>
      </c>
      <c r="AB29" t="n">
        <v>22152.857</v>
      </c>
      <c r="AC29" t="n">
        <v>19073.065</v>
      </c>
      <c r="AD29" t="n">
        <v>18968.267</v>
      </c>
      <c r="AE29" t="n">
        <v>20008.279</v>
      </c>
      <c r="AF29" t="n">
        <v>21688.365</v>
      </c>
      <c r="AG29" t="n">
        <v>23411.126</v>
      </c>
      <c r="AH29" t="n">
        <v>26889.017</v>
      </c>
      <c r="AI29" t="n">
        <v>23295.823</v>
      </c>
      <c r="AJ29" t="n">
        <v>28857.227</v>
      </c>
      <c r="AK29" t="n">
        <v>20561.293</v>
      </c>
      <c r="AL29" t="n">
        <v>21507.161</v>
      </c>
      <c r="AM29" t="n">
        <v>22524.103</v>
      </c>
      <c r="AN29" t="n">
        <v>21449.281</v>
      </c>
      <c r="AO29" t="n">
        <v>21082.322</v>
      </c>
      <c r="AP29" t="n">
        <v>23021.6</v>
      </c>
      <c r="AQ29" t="n">
        <v>19322.262</v>
      </c>
      <c r="AR29" t="n">
        <v>20364.776</v>
      </c>
      <c r="AS29" t="n">
        <v>23514.449</v>
      </c>
      <c r="AT29" t="n">
        <v>29053.069</v>
      </c>
      <c r="AU29" t="n">
        <v>26072.39</v>
      </c>
      <c r="AV29" t="n">
        <v>24856.725</v>
      </c>
      <c r="AW29" t="n">
        <v>42306.088</v>
      </c>
      <c r="AX29" t="n">
        <v>42215.816</v>
      </c>
      <c r="AY29" t="n">
        <v>40330.648</v>
      </c>
      <c r="AZ29" t="n">
        <v>49780.617</v>
      </c>
      <c r="BA29" t="n">
        <v>43118.663</v>
      </c>
      <c r="BB29" t="n">
        <v>34487.275</v>
      </c>
      <c r="BC29" t="n">
        <v>31787.631</v>
      </c>
      <c r="BD29" t="n">
        <v>28905.99</v>
      </c>
      <c r="BE29" t="n">
        <v>26459.866</v>
      </c>
      <c r="BF29" t="n">
        <v>21288.906</v>
      </c>
      <c r="BG29" t="n">
        <v>23269.298</v>
      </c>
      <c r="BH29" t="n">
        <v>21705.89</v>
      </c>
      <c r="BI29" t="n">
        <v>21560.396</v>
      </c>
      <c r="BJ29" t="n">
        <v>21523.782</v>
      </c>
      <c r="BK29" t="n">
        <v>17866.751</v>
      </c>
      <c r="BL29" t="n">
        <v>18243.1</v>
      </c>
      <c r="BM29" t="n">
        <v>16885.057</v>
      </c>
      <c r="BN29" t="n">
        <v>16503.258</v>
      </c>
      <c r="BO29" t="n">
        <v>17654.437</v>
      </c>
      <c r="BP29" t="n">
        <v>18475.178</v>
      </c>
      <c r="BQ29" t="n">
        <v>18472.752</v>
      </c>
      <c r="BR29" t="n">
        <v>18396.062</v>
      </c>
      <c r="BS29" t="n">
        <v>19060.032</v>
      </c>
      <c r="BT29" t="n">
        <v>19812.749</v>
      </c>
      <c r="BU29" t="n">
        <v>20481.217</v>
      </c>
      <c r="BV29" t="n">
        <v>20702.399</v>
      </c>
    </row>
    <row r="30">
      <c r="A30" t="inlineStr">
        <is>
          <t>Trichiurus lepturus</t>
        </is>
      </c>
      <c r="B30" t="inlineStr">
        <is>
          <t>Largehead hairtail</t>
        </is>
      </c>
      <c r="C30" t="inlineStr">
        <is>
          <t>Large benthopelagics (&gt;=90 cm)</t>
        </is>
      </c>
      <c r="D30" t="inlineStr">
        <is>
          <t>Perch-likes</t>
        </is>
      </c>
      <c r="E30" t="n">
        <v>3407.026</v>
      </c>
      <c r="F30" t="n">
        <v>3432.57</v>
      </c>
      <c r="G30" t="n">
        <v>3435.992</v>
      </c>
      <c r="H30" t="n">
        <v>3500.664</v>
      </c>
      <c r="I30" t="n">
        <v>3527.903</v>
      </c>
      <c r="J30" t="n">
        <v>3558.037</v>
      </c>
      <c r="K30" t="n">
        <v>3544.208</v>
      </c>
      <c r="L30" t="n">
        <v>3599.622</v>
      </c>
      <c r="M30" t="n">
        <v>3613.239</v>
      </c>
      <c r="N30" t="n">
        <v>3660.062</v>
      </c>
      <c r="O30" t="n">
        <v>3707.747</v>
      </c>
      <c r="P30" t="n">
        <v>3713.928</v>
      </c>
      <c r="Q30" t="n">
        <v>3797.046</v>
      </c>
      <c r="R30" t="n">
        <v>3898.658</v>
      </c>
      <c r="S30" t="n">
        <v>3840.393</v>
      </c>
      <c r="T30" t="n">
        <v>4038.45</v>
      </c>
      <c r="U30" t="n">
        <v>4423.618</v>
      </c>
      <c r="V30" t="n">
        <v>4376.445</v>
      </c>
      <c r="W30" t="n">
        <v>4130.468</v>
      </c>
      <c r="X30" t="n">
        <v>4426.454</v>
      </c>
      <c r="Y30" t="n">
        <v>4796.816</v>
      </c>
      <c r="Z30" t="n">
        <v>4511.546</v>
      </c>
      <c r="AA30" t="n">
        <v>4666.923</v>
      </c>
      <c r="AB30" t="n">
        <v>5053.73</v>
      </c>
      <c r="AC30" t="n">
        <v>6126.402</v>
      </c>
      <c r="AD30" t="n">
        <v>6006.666</v>
      </c>
      <c r="AE30" t="n">
        <v>6071.062</v>
      </c>
      <c r="AF30" t="n">
        <v>6779.562</v>
      </c>
      <c r="AG30" t="n">
        <v>6147.902</v>
      </c>
      <c r="AH30" t="n">
        <v>6332.613</v>
      </c>
      <c r="AI30" t="n">
        <v>7502.183</v>
      </c>
      <c r="AJ30" t="n">
        <v>10733.963</v>
      </c>
      <c r="AK30" t="n">
        <v>13368.292</v>
      </c>
      <c r="AL30" t="n">
        <v>10304.591</v>
      </c>
      <c r="AM30" t="n">
        <v>12740.905</v>
      </c>
      <c r="AN30" t="n">
        <v>15280.132</v>
      </c>
      <c r="AO30" t="n">
        <v>13587.545</v>
      </c>
      <c r="AP30" t="n">
        <v>12845.067</v>
      </c>
      <c r="AQ30" t="n">
        <v>13320.456</v>
      </c>
      <c r="AR30" t="n">
        <v>13748.746</v>
      </c>
      <c r="AS30" t="n">
        <v>13117.738</v>
      </c>
      <c r="AT30" t="n">
        <v>15239.845</v>
      </c>
      <c r="AU30" t="n">
        <v>16786.908</v>
      </c>
      <c r="AV30" t="n">
        <v>14971.248</v>
      </c>
      <c r="AW30" t="n">
        <v>19536.685</v>
      </c>
      <c r="AX30" t="n">
        <v>19566.205</v>
      </c>
      <c r="AY30" t="n">
        <v>22339.801</v>
      </c>
      <c r="AZ30" t="n">
        <v>31716.606</v>
      </c>
      <c r="BA30" t="n">
        <v>28884.962</v>
      </c>
      <c r="BB30" t="n">
        <v>48263.563</v>
      </c>
      <c r="BC30" t="n">
        <v>40807.134</v>
      </c>
      <c r="BD30" t="n">
        <v>38763.941</v>
      </c>
      <c r="BE30" t="n">
        <v>40211.877</v>
      </c>
      <c r="BF30" t="n">
        <v>35565.307</v>
      </c>
      <c r="BG30" t="n">
        <v>34828.907</v>
      </c>
      <c r="BH30" t="n">
        <v>33981.922</v>
      </c>
      <c r="BI30" t="n">
        <v>34373.99</v>
      </c>
      <c r="BJ30" t="n">
        <v>32132.846</v>
      </c>
      <c r="BK30" t="n">
        <v>35209.16</v>
      </c>
      <c r="BL30" t="n">
        <v>35379.754</v>
      </c>
      <c r="BM30" t="n">
        <v>35941.371</v>
      </c>
      <c r="BN30" t="n">
        <v>42589.735</v>
      </c>
      <c r="BO30" t="n">
        <v>43851.373</v>
      </c>
      <c r="BP30" t="n">
        <v>45495.729</v>
      </c>
      <c r="BQ30" t="n">
        <v>39350.496</v>
      </c>
      <c r="BR30" t="n">
        <v>45223.797</v>
      </c>
      <c r="BS30" t="n">
        <v>75669.518</v>
      </c>
      <c r="BT30" t="n">
        <v>76505.67200000001</v>
      </c>
      <c r="BU30" t="n">
        <v>80495.01700000001</v>
      </c>
      <c r="BV30" t="n">
        <v>74234.103</v>
      </c>
    </row>
    <row r="31">
      <c r="A31" t="inlineStr">
        <is>
          <t>Sepiidae</t>
        </is>
      </c>
      <c r="B31" t="inlineStr">
        <is>
          <t>Cuttlefishes</t>
        </is>
      </c>
      <c r="C31" t="inlineStr">
        <is>
          <t>Cephalopods</t>
        </is>
      </c>
      <c r="D31" t="inlineStr">
        <is>
          <t>Other fishes &amp; inverts</t>
        </is>
      </c>
      <c r="E31" t="n">
        <v>2880.925</v>
      </c>
      <c r="F31" t="n">
        <v>2878.309</v>
      </c>
      <c r="G31" t="n">
        <v>3391.946</v>
      </c>
      <c r="H31" t="n">
        <v>3479.64</v>
      </c>
      <c r="I31" t="n">
        <v>3492.323</v>
      </c>
      <c r="J31" t="n">
        <v>4056.84</v>
      </c>
      <c r="K31" t="n">
        <v>2697.412</v>
      </c>
      <c r="L31" t="n">
        <v>2816.887</v>
      </c>
      <c r="M31" t="n">
        <v>2697.888</v>
      </c>
      <c r="N31" t="n">
        <v>3060.741</v>
      </c>
      <c r="O31" t="n">
        <v>2836.156</v>
      </c>
      <c r="P31" t="n">
        <v>2972.87</v>
      </c>
      <c r="Q31" t="n">
        <v>3062.864</v>
      </c>
      <c r="R31" t="n">
        <v>3088.419</v>
      </c>
      <c r="S31" t="n">
        <v>3339.246</v>
      </c>
      <c r="T31" t="n">
        <v>3313.116</v>
      </c>
      <c r="U31" t="n">
        <v>3413.585</v>
      </c>
      <c r="V31" t="n">
        <v>3612.252</v>
      </c>
      <c r="W31" t="n">
        <v>3613.424</v>
      </c>
      <c r="X31" t="n">
        <v>3568.999</v>
      </c>
      <c r="Y31" t="n">
        <v>3958.681</v>
      </c>
      <c r="Z31" t="n">
        <v>3514.711</v>
      </c>
      <c r="AA31" t="n">
        <v>4101.123</v>
      </c>
      <c r="AB31" t="n">
        <v>5402.05</v>
      </c>
      <c r="AC31" t="n">
        <v>6248.617</v>
      </c>
      <c r="AD31" t="n">
        <v>5844.376</v>
      </c>
      <c r="AE31" t="n">
        <v>7118.825</v>
      </c>
      <c r="AF31" t="n">
        <v>7250.048</v>
      </c>
      <c r="AG31" t="n">
        <v>6464.115</v>
      </c>
      <c r="AH31" t="n">
        <v>7026.983</v>
      </c>
      <c r="AI31" t="n">
        <v>8729.508</v>
      </c>
      <c r="AJ31" t="n">
        <v>7680.582</v>
      </c>
      <c r="AK31" t="n">
        <v>6359.522</v>
      </c>
      <c r="AL31" t="n">
        <v>6632.74</v>
      </c>
      <c r="AM31" t="n">
        <v>8436.16</v>
      </c>
      <c r="AN31" t="n">
        <v>8822.51</v>
      </c>
      <c r="AO31" t="n">
        <v>9642.353999999999</v>
      </c>
      <c r="AP31" t="n">
        <v>4946.03</v>
      </c>
      <c r="AQ31" t="n">
        <v>4750.911</v>
      </c>
      <c r="AR31" t="n">
        <v>7559.115</v>
      </c>
      <c r="AS31" t="n">
        <v>6700.362</v>
      </c>
      <c r="AT31" t="n">
        <v>4796.846</v>
      </c>
      <c r="AU31" t="n">
        <v>4249.654</v>
      </c>
      <c r="AV31" t="n">
        <v>4574.611</v>
      </c>
      <c r="AW31" t="n">
        <v>3003.937</v>
      </c>
      <c r="AX31" t="n">
        <v>3184.784</v>
      </c>
      <c r="AY31" t="n">
        <v>4531.668</v>
      </c>
      <c r="AZ31" t="n">
        <v>7032.019</v>
      </c>
      <c r="BA31" t="n">
        <v>8686.523999999999</v>
      </c>
      <c r="BB31" t="n">
        <v>8562.031000000001</v>
      </c>
      <c r="BC31" t="n">
        <v>7586.954</v>
      </c>
      <c r="BD31" t="n">
        <v>9753.99</v>
      </c>
      <c r="BE31" t="n">
        <v>11989.332</v>
      </c>
      <c r="BF31" t="n">
        <v>21935.49</v>
      </c>
      <c r="BG31" t="n">
        <v>20944.452</v>
      </c>
      <c r="BH31" t="n">
        <v>18021.964</v>
      </c>
      <c r="BI31" t="n">
        <v>84053.43799999999</v>
      </c>
      <c r="BJ31" t="n">
        <v>60642.668</v>
      </c>
      <c r="BK31" t="n">
        <v>73964.57799999999</v>
      </c>
      <c r="BL31" t="n">
        <v>59413.161</v>
      </c>
      <c r="BM31" t="n">
        <v>67140.11599999999</v>
      </c>
      <c r="BN31" t="n">
        <v>62470.936</v>
      </c>
      <c r="BO31" t="n">
        <v>87804.296</v>
      </c>
      <c r="BP31" t="n">
        <v>85634.902</v>
      </c>
      <c r="BQ31" t="n">
        <v>84878.163</v>
      </c>
      <c r="BR31" t="n">
        <v>92503.41099999999</v>
      </c>
      <c r="BS31" t="n">
        <v>80059.17999999999</v>
      </c>
      <c r="BT31" t="n">
        <v>83856.27800000001</v>
      </c>
      <c r="BU31" t="n">
        <v>65127.031</v>
      </c>
      <c r="BV31" t="n">
        <v>75386.42200000001</v>
      </c>
    </row>
    <row r="32">
      <c r="A32" t="inlineStr">
        <is>
          <t>Serranidae</t>
        </is>
      </c>
      <c r="B32" t="inlineStr">
        <is>
          <t>Basses, groupers, hinds</t>
        </is>
      </c>
      <c r="C32" t="inlineStr">
        <is>
          <t>Medium reef assoc. fish (30 - 89 cm)</t>
        </is>
      </c>
      <c r="D32" t="inlineStr">
        <is>
          <t>Perch-likes</t>
        </is>
      </c>
      <c r="E32" t="n">
        <v>2781.828</v>
      </c>
      <c r="F32" t="n">
        <v>2790.087</v>
      </c>
      <c r="G32" t="n">
        <v>3118.243</v>
      </c>
      <c r="H32" t="n">
        <v>3400.651</v>
      </c>
      <c r="I32" t="n">
        <v>3515.817</v>
      </c>
      <c r="J32" t="n">
        <v>4076.452</v>
      </c>
      <c r="K32" t="n">
        <v>4094.565</v>
      </c>
      <c r="L32" t="n">
        <v>4309.999</v>
      </c>
      <c r="M32" t="n">
        <v>4318.691</v>
      </c>
      <c r="N32" t="n">
        <v>4777.947</v>
      </c>
      <c r="O32" t="n">
        <v>4870.624</v>
      </c>
      <c r="P32" t="n">
        <v>5024.296</v>
      </c>
      <c r="Q32" t="n">
        <v>5456.387</v>
      </c>
      <c r="R32" t="n">
        <v>5504.874</v>
      </c>
      <c r="S32" t="n">
        <v>5449.854</v>
      </c>
      <c r="T32" t="n">
        <v>5951.295</v>
      </c>
      <c r="U32" t="n">
        <v>6448.355</v>
      </c>
      <c r="V32" t="n">
        <v>6178.99</v>
      </c>
      <c r="W32" t="n">
        <v>6083.853</v>
      </c>
      <c r="X32" t="n">
        <v>6459.926</v>
      </c>
      <c r="Y32" t="n">
        <v>6972.257</v>
      </c>
      <c r="Z32" t="n">
        <v>7168.107</v>
      </c>
      <c r="AA32" t="n">
        <v>7500.361</v>
      </c>
      <c r="AB32" t="n">
        <v>7779.111</v>
      </c>
      <c r="AC32" t="n">
        <v>8595.331</v>
      </c>
      <c r="AD32" t="n">
        <v>8710.303</v>
      </c>
      <c r="AE32" t="n">
        <v>8576.437</v>
      </c>
      <c r="AF32" t="n">
        <v>8420.540999999999</v>
      </c>
      <c r="AG32" t="n">
        <v>8251.521000000001</v>
      </c>
      <c r="AH32" t="n">
        <v>8231.302</v>
      </c>
      <c r="AI32" t="n">
        <v>7674.198</v>
      </c>
      <c r="AJ32" t="n">
        <v>8627.109</v>
      </c>
      <c r="AK32" t="n">
        <v>8476.743</v>
      </c>
      <c r="AL32" t="n">
        <v>11352.579</v>
      </c>
      <c r="AM32" t="n">
        <v>13364.409</v>
      </c>
      <c r="AN32" t="n">
        <v>12963.902</v>
      </c>
      <c r="AO32" t="n">
        <v>12219.307</v>
      </c>
      <c r="AP32" t="n">
        <v>15110.905</v>
      </c>
      <c r="AQ32" t="n">
        <v>18971.955</v>
      </c>
      <c r="AR32" t="n">
        <v>17585.501</v>
      </c>
      <c r="AS32" t="n">
        <v>16762.654</v>
      </c>
      <c r="AT32" t="n">
        <v>15954.567</v>
      </c>
      <c r="AU32" t="n">
        <v>19309.812</v>
      </c>
      <c r="AV32" t="n">
        <v>20639.779</v>
      </c>
      <c r="AW32" t="n">
        <v>20515.287</v>
      </c>
      <c r="AX32" t="n">
        <v>23910.814</v>
      </c>
      <c r="AY32" t="n">
        <v>25859.784</v>
      </c>
      <c r="AZ32" t="n">
        <v>25332.661</v>
      </c>
      <c r="BA32" t="n">
        <v>29583.299</v>
      </c>
      <c r="BB32" t="n">
        <v>26820.216</v>
      </c>
      <c r="BC32" t="n">
        <v>37999.038</v>
      </c>
      <c r="BD32" t="n">
        <v>48596.749</v>
      </c>
      <c r="BE32" t="n">
        <v>46993.452</v>
      </c>
      <c r="BF32" t="n">
        <v>35755.011</v>
      </c>
      <c r="BG32" t="n">
        <v>37101.956</v>
      </c>
      <c r="BH32" t="n">
        <v>35449.191</v>
      </c>
      <c r="BI32" t="n">
        <v>38589.784</v>
      </c>
      <c r="BJ32" t="n">
        <v>32800.799</v>
      </c>
      <c r="BK32" t="n">
        <v>30718.179</v>
      </c>
      <c r="BL32" t="n">
        <v>30096.512</v>
      </c>
      <c r="BM32" t="n">
        <v>34662.98</v>
      </c>
      <c r="BN32" t="n">
        <v>35122.132</v>
      </c>
      <c r="BO32" t="n">
        <v>55526.271</v>
      </c>
      <c r="BP32" t="n">
        <v>56191.255</v>
      </c>
      <c r="BQ32" t="n">
        <v>41202.667</v>
      </c>
      <c r="BR32" t="n">
        <v>51847.703</v>
      </c>
      <c r="BS32" t="n">
        <v>50955.57</v>
      </c>
      <c r="BT32" t="n">
        <v>61856.749</v>
      </c>
      <c r="BU32" t="n">
        <v>56509.69</v>
      </c>
      <c r="BV32" t="n">
        <v>50351.75</v>
      </c>
    </row>
    <row r="33">
      <c r="A33" t="inlineStr">
        <is>
          <t>Thryssa</t>
        </is>
      </c>
      <c r="B33" t="inlineStr">
        <is>
          <t>Thryssas</t>
        </is>
      </c>
      <c r="C33" t="inlineStr">
        <is>
          <t>Small pelagics (&lt;30 cm)</t>
        </is>
      </c>
      <c r="D33" t="inlineStr">
        <is>
          <t>Anchovies</t>
        </is>
      </c>
      <c r="E33" t="n">
        <v>4152.577</v>
      </c>
      <c r="F33" t="n">
        <v>10798.561</v>
      </c>
      <c r="G33" t="n">
        <v>7483.455</v>
      </c>
      <c r="H33" t="n">
        <v>5467.204</v>
      </c>
      <c r="I33" t="n">
        <v>5767.425</v>
      </c>
      <c r="J33" t="n">
        <v>4440.522</v>
      </c>
      <c r="K33" t="n">
        <v>4757.574</v>
      </c>
      <c r="L33" t="n">
        <v>2121.733</v>
      </c>
      <c r="M33" t="n">
        <v>2680.688</v>
      </c>
      <c r="N33" t="n">
        <v>6310.086</v>
      </c>
      <c r="O33" t="n">
        <v>4084.055</v>
      </c>
      <c r="P33" t="n">
        <v>3026.038</v>
      </c>
      <c r="Q33" t="n">
        <v>2531.095</v>
      </c>
      <c r="R33" t="n">
        <v>3605.881</v>
      </c>
      <c r="S33" t="n">
        <v>4265.183</v>
      </c>
      <c r="T33" t="n">
        <v>3840.355</v>
      </c>
      <c r="U33" t="n">
        <v>6739.233</v>
      </c>
      <c r="V33" t="n">
        <v>4905.938</v>
      </c>
      <c r="W33" t="n">
        <v>3234.573</v>
      </c>
      <c r="X33" t="n">
        <v>3071.87</v>
      </c>
      <c r="Y33" t="n">
        <v>7610.972</v>
      </c>
      <c r="Z33" t="n">
        <v>5034.616</v>
      </c>
      <c r="AA33" t="n">
        <v>4764.877</v>
      </c>
      <c r="AB33" t="n">
        <v>5868.7</v>
      </c>
      <c r="AC33" t="n">
        <v>4168.571</v>
      </c>
      <c r="AD33" t="n">
        <v>3785.101</v>
      </c>
      <c r="AE33" t="n">
        <v>6235.126</v>
      </c>
      <c r="AF33" t="n">
        <v>5277.303</v>
      </c>
      <c r="AG33" t="n">
        <v>7229.993</v>
      </c>
      <c r="AH33" t="n">
        <v>7468.183</v>
      </c>
      <c r="AI33" t="n">
        <v>6921.732</v>
      </c>
      <c r="AJ33" t="n">
        <v>4716.761</v>
      </c>
      <c r="AK33" t="n">
        <v>11665.552</v>
      </c>
      <c r="AL33" t="n">
        <v>7386.779</v>
      </c>
      <c r="AM33" t="n">
        <v>9922.880999999999</v>
      </c>
      <c r="AN33" t="n">
        <v>17185.368</v>
      </c>
      <c r="AO33" t="n">
        <v>17142.139</v>
      </c>
      <c r="AP33" t="n">
        <v>17512.596</v>
      </c>
      <c r="AQ33" t="n">
        <v>32633.509</v>
      </c>
      <c r="AR33" t="n">
        <v>16821.549</v>
      </c>
      <c r="AS33" t="n">
        <v>26647.381</v>
      </c>
      <c r="AT33" t="n">
        <v>32970.138</v>
      </c>
      <c r="AU33" t="n">
        <v>50744.328</v>
      </c>
      <c r="AV33" t="n">
        <v>48041.8</v>
      </c>
      <c r="AW33" t="n">
        <v>44452.584</v>
      </c>
      <c r="AX33" t="n">
        <v>43012.875</v>
      </c>
      <c r="AY33" t="n">
        <v>40400.281</v>
      </c>
      <c r="AZ33" t="n">
        <v>45800.587</v>
      </c>
      <c r="BA33" t="n">
        <v>43330.057</v>
      </c>
      <c r="BB33" t="n">
        <v>30841.048</v>
      </c>
      <c r="BC33" t="n">
        <v>30268.463</v>
      </c>
      <c r="BD33" t="n">
        <v>33084.276</v>
      </c>
      <c r="BE33" t="n">
        <v>30656.25</v>
      </c>
      <c r="BF33" t="n">
        <v>30789.432</v>
      </c>
      <c r="BG33" t="n">
        <v>25404.224</v>
      </c>
      <c r="BH33" t="n">
        <v>35581.47</v>
      </c>
      <c r="BI33" t="n">
        <v>27822.526</v>
      </c>
      <c r="BJ33" t="n">
        <v>27717.377</v>
      </c>
      <c r="BK33" t="n">
        <v>27977.802</v>
      </c>
      <c r="BL33" t="n">
        <v>22096.16</v>
      </c>
      <c r="BM33" t="n">
        <v>26250.405</v>
      </c>
      <c r="BN33" t="n">
        <v>22368.168</v>
      </c>
      <c r="BO33" t="n">
        <v>27021.101</v>
      </c>
      <c r="BP33" t="n">
        <v>27510.965</v>
      </c>
      <c r="BQ33" t="n">
        <v>29929.238</v>
      </c>
      <c r="BR33" t="n">
        <v>32615.338</v>
      </c>
      <c r="BS33" t="n">
        <v>35109.149</v>
      </c>
      <c r="BT33" t="n">
        <v>27063.473</v>
      </c>
      <c r="BU33" t="n">
        <v>39981.478</v>
      </c>
      <c r="BV33" t="n">
        <v>37279.244</v>
      </c>
    </row>
    <row r="34">
      <c r="A34" t="inlineStr">
        <is>
          <t>Katsuwonus pelamis</t>
        </is>
      </c>
      <c r="B34" t="inlineStr">
        <is>
          <t>Skipjack tuna</t>
        </is>
      </c>
      <c r="C34" t="inlineStr">
        <is>
          <t>Large pelagics (&gt;=90 cm)</t>
        </is>
      </c>
      <c r="D34" t="inlineStr">
        <is>
          <t>Tuna &amp; billfishes</t>
        </is>
      </c>
      <c r="E34" t="n">
        <v>641.4299999999999</v>
      </c>
      <c r="F34" t="n">
        <v>736.115</v>
      </c>
      <c r="G34" t="n">
        <v>768.072</v>
      </c>
      <c r="H34" t="n">
        <v>773.715</v>
      </c>
      <c r="I34" t="n">
        <v>802.207</v>
      </c>
      <c r="J34" t="n">
        <v>839.765</v>
      </c>
      <c r="K34" t="n">
        <v>821.173</v>
      </c>
      <c r="L34" t="n">
        <v>858.16</v>
      </c>
      <c r="M34" t="n">
        <v>866.932</v>
      </c>
      <c r="N34" t="n">
        <v>916.688</v>
      </c>
      <c r="O34" t="n">
        <v>982.617</v>
      </c>
      <c r="P34" t="n">
        <v>1184.233</v>
      </c>
      <c r="Q34" t="n">
        <v>565.139</v>
      </c>
      <c r="R34" t="n">
        <v>882.433</v>
      </c>
      <c r="S34" t="n">
        <v>635.8099999999999</v>
      </c>
      <c r="T34" t="n">
        <v>846.426</v>
      </c>
      <c r="U34" t="n">
        <v>994.579</v>
      </c>
      <c r="V34" t="n">
        <v>1044.832</v>
      </c>
      <c r="W34" t="n">
        <v>1258.679</v>
      </c>
      <c r="X34" t="n">
        <v>1190.562</v>
      </c>
      <c r="Y34" t="n">
        <v>1072.496</v>
      </c>
      <c r="Z34" t="n">
        <v>1055.977</v>
      </c>
      <c r="AA34" t="n">
        <v>912.39</v>
      </c>
      <c r="AB34" t="n">
        <v>1413.025</v>
      </c>
      <c r="AC34" t="n">
        <v>1715.867</v>
      </c>
      <c r="AD34" t="n">
        <v>2359.664</v>
      </c>
      <c r="AE34" t="n">
        <v>1776.715</v>
      </c>
      <c r="AF34" t="n">
        <v>1694.881</v>
      </c>
      <c r="AG34" t="n">
        <v>2248.676</v>
      </c>
      <c r="AH34" t="n">
        <v>3223.043</v>
      </c>
      <c r="AI34" t="n">
        <v>2254.825</v>
      </c>
      <c r="AJ34" t="n">
        <v>2744.107</v>
      </c>
      <c r="AK34" t="n">
        <v>3763.9</v>
      </c>
      <c r="AL34" t="n">
        <v>4326.892</v>
      </c>
      <c r="AM34" t="n">
        <v>5467.302</v>
      </c>
      <c r="AN34" t="n">
        <v>4997.036</v>
      </c>
      <c r="AO34" t="n">
        <v>6291.773</v>
      </c>
      <c r="AP34" t="n">
        <v>7819.06</v>
      </c>
      <c r="AQ34" t="n">
        <v>7842.323</v>
      </c>
      <c r="AR34" t="n">
        <v>8770.001</v>
      </c>
      <c r="AS34" t="n">
        <v>6977.653</v>
      </c>
      <c r="AT34" t="n">
        <v>6965.498</v>
      </c>
      <c r="AU34" t="n">
        <v>6369.653</v>
      </c>
      <c r="AV34" t="n">
        <v>6825.107</v>
      </c>
      <c r="AW34" t="n">
        <v>10755.908</v>
      </c>
      <c r="AX34" t="n">
        <v>8461.089</v>
      </c>
      <c r="AY34" t="n">
        <v>8736.173000000001</v>
      </c>
      <c r="AZ34" t="n">
        <v>8235.898999999999</v>
      </c>
      <c r="BA34" t="n">
        <v>11920.488</v>
      </c>
      <c r="BB34" t="n">
        <v>8205.01</v>
      </c>
      <c r="BC34" t="n">
        <v>26185.666</v>
      </c>
      <c r="BD34" t="n">
        <v>32510.595</v>
      </c>
      <c r="BE34" t="n">
        <v>25470.103</v>
      </c>
      <c r="BF34" t="n">
        <v>34365.892</v>
      </c>
      <c r="BG34" t="n">
        <v>51581.086</v>
      </c>
      <c r="BH34" t="n">
        <v>56605.58</v>
      </c>
      <c r="BI34" t="n">
        <v>82083.658</v>
      </c>
      <c r="BJ34" t="n">
        <v>48148.504</v>
      </c>
      <c r="BK34" t="n">
        <v>46527.35</v>
      </c>
      <c r="BL34" t="n">
        <v>54107.742</v>
      </c>
      <c r="BM34" t="n">
        <v>27010.29</v>
      </c>
      <c r="BN34" t="n">
        <v>19539.491</v>
      </c>
      <c r="BO34" t="n">
        <v>19960.888</v>
      </c>
      <c r="BP34" t="n">
        <v>20802.461</v>
      </c>
      <c r="BQ34" t="n">
        <v>21310.633</v>
      </c>
      <c r="BR34" t="n">
        <v>24977.686</v>
      </c>
      <c r="BS34" t="n">
        <v>31686.302</v>
      </c>
      <c r="BT34" t="n">
        <v>46176.931</v>
      </c>
      <c r="BU34" t="n">
        <v>183552.366</v>
      </c>
      <c r="BV34" t="n">
        <v>243529.14</v>
      </c>
    </row>
    <row r="35">
      <c r="A35" t="inlineStr">
        <is>
          <t>Synodontidae</t>
        </is>
      </c>
      <c r="B35" t="inlineStr">
        <is>
          <t>Lizardfishes, sauries</t>
        </is>
      </c>
      <c r="C35" t="inlineStr">
        <is>
          <t>Medium demersals (30 - 89 cm)</t>
        </is>
      </c>
      <c r="D35" t="inlineStr">
        <is>
          <t>Other fishes &amp; inverts</t>
        </is>
      </c>
      <c r="E35" t="n">
        <v>432.416</v>
      </c>
      <c r="F35" t="n">
        <v>512.184</v>
      </c>
      <c r="G35" t="n">
        <v>515.933</v>
      </c>
      <c r="H35" t="n">
        <v>559.6950000000001</v>
      </c>
      <c r="I35" t="n">
        <v>391.46</v>
      </c>
      <c r="J35" t="n">
        <v>469.344</v>
      </c>
      <c r="K35" t="n">
        <v>811.568</v>
      </c>
      <c r="L35" t="n">
        <v>32.391</v>
      </c>
      <c r="M35" t="n">
        <v>35.407</v>
      </c>
      <c r="N35" t="n">
        <v>254.72</v>
      </c>
      <c r="O35" t="n">
        <v>50.412</v>
      </c>
      <c r="P35" t="n">
        <v>50.714</v>
      </c>
      <c r="Q35" t="n">
        <v>418.353</v>
      </c>
      <c r="R35" t="n">
        <v>168.067</v>
      </c>
      <c r="S35" t="n">
        <v>630.443</v>
      </c>
      <c r="T35" t="n">
        <v>308.062</v>
      </c>
      <c r="U35" t="n">
        <v>1713.438</v>
      </c>
      <c r="V35" t="n">
        <v>386.014</v>
      </c>
      <c r="W35" t="n">
        <v>899.417</v>
      </c>
      <c r="X35" t="n">
        <v>1078.694</v>
      </c>
      <c r="Y35" t="n">
        <v>1615.882</v>
      </c>
      <c r="Z35" t="n">
        <v>2235.208</v>
      </c>
      <c r="AA35" t="n">
        <v>3649.233</v>
      </c>
      <c r="AB35" t="n">
        <v>3041.554</v>
      </c>
      <c r="AC35" t="n">
        <v>11462.04</v>
      </c>
      <c r="AD35" t="n">
        <v>13555.493</v>
      </c>
      <c r="AE35" t="n">
        <v>4645.884</v>
      </c>
      <c r="AF35" t="n">
        <v>7628.472</v>
      </c>
      <c r="AG35" t="n">
        <v>9340.977999999999</v>
      </c>
      <c r="AH35" t="n">
        <v>8690.594999999999</v>
      </c>
      <c r="AI35" t="n">
        <v>9827.172</v>
      </c>
      <c r="AJ35" t="n">
        <v>9069.191999999999</v>
      </c>
      <c r="AK35" t="n">
        <v>8952.474</v>
      </c>
      <c r="AL35" t="n">
        <v>12160.554</v>
      </c>
      <c r="AM35" t="n">
        <v>12467.404</v>
      </c>
      <c r="AN35" t="n">
        <v>11430.925</v>
      </c>
      <c r="AO35" t="n">
        <v>11909.812</v>
      </c>
      <c r="AP35" t="n">
        <v>11745.717</v>
      </c>
      <c r="AQ35" t="n">
        <v>22600.444</v>
      </c>
      <c r="AR35" t="n">
        <v>17371.102</v>
      </c>
      <c r="AS35" t="n">
        <v>19754.087</v>
      </c>
      <c r="AT35" t="n">
        <v>21232.566</v>
      </c>
      <c r="AU35" t="n">
        <v>22533.713</v>
      </c>
      <c r="AV35" t="n">
        <v>20833.256</v>
      </c>
      <c r="AW35" t="n">
        <v>24072.139</v>
      </c>
      <c r="AX35" t="n">
        <v>27188.648</v>
      </c>
      <c r="AY35" t="n">
        <v>20424.204</v>
      </c>
      <c r="AZ35" t="n">
        <v>17305.022</v>
      </c>
      <c r="BA35" t="n">
        <v>23320.244</v>
      </c>
      <c r="BB35" t="n">
        <v>15705.158</v>
      </c>
      <c r="BC35" t="n">
        <v>24909.175</v>
      </c>
      <c r="BD35" t="n">
        <v>22079.827</v>
      </c>
      <c r="BE35" t="n">
        <v>19784.969</v>
      </c>
      <c r="BF35" t="n">
        <v>25434.061</v>
      </c>
      <c r="BG35" t="n">
        <v>30442.492</v>
      </c>
      <c r="BH35" t="n">
        <v>25639.748</v>
      </c>
      <c r="BI35" t="n">
        <v>25401.788</v>
      </c>
      <c r="BJ35" t="n">
        <v>24154.861</v>
      </c>
      <c r="BK35" t="n">
        <v>42990.697</v>
      </c>
      <c r="BL35" t="n">
        <v>46434.1</v>
      </c>
      <c r="BM35" t="n">
        <v>44434.655</v>
      </c>
      <c r="BN35" t="n">
        <v>42770.058</v>
      </c>
      <c r="BO35" t="n">
        <v>55360.12</v>
      </c>
      <c r="BP35" t="n">
        <v>47311.818</v>
      </c>
      <c r="BQ35" t="n">
        <v>45175.497</v>
      </c>
      <c r="BR35" t="n">
        <v>66922.952</v>
      </c>
      <c r="BS35" t="n">
        <v>87001.961</v>
      </c>
      <c r="BT35" t="n">
        <v>51562.608</v>
      </c>
      <c r="BU35" t="n">
        <v>57859.447</v>
      </c>
      <c r="BV35" t="n">
        <v>58709.752</v>
      </c>
    </row>
    <row r="36">
      <c r="A36" t="inlineStr">
        <is>
          <t>Otolithes ruber</t>
        </is>
      </c>
      <c r="B36" t="inlineStr">
        <is>
          <t>Tigertooth croaker</t>
        </is>
      </c>
      <c r="C36" t="inlineStr">
        <is>
          <t>Medium benthopelagics (30 - 89 cm)</t>
        </is>
      </c>
      <c r="D36" t="inlineStr">
        <is>
          <t>Perch-likes</t>
        </is>
      </c>
      <c r="E36" t="n">
        <v>3255.43</v>
      </c>
      <c r="F36" t="n">
        <v>3270.951</v>
      </c>
      <c r="G36" t="n">
        <v>3252.631</v>
      </c>
      <c r="H36" t="n">
        <v>3266.754</v>
      </c>
      <c r="I36" t="n">
        <v>3281.329</v>
      </c>
      <c r="J36" t="n">
        <v>3294.47</v>
      </c>
      <c r="K36" t="n">
        <v>3258.768</v>
      </c>
      <c r="L36" t="n">
        <v>3289.382</v>
      </c>
      <c r="M36" t="n">
        <v>6016.834</v>
      </c>
      <c r="N36" t="n">
        <v>5000.547</v>
      </c>
      <c r="O36" t="n">
        <v>6003.166</v>
      </c>
      <c r="P36" t="n">
        <v>7339.847</v>
      </c>
      <c r="Q36" t="n">
        <v>6077.758</v>
      </c>
      <c r="R36" t="n">
        <v>8967.182000000001</v>
      </c>
      <c r="S36" t="n">
        <v>13409.328</v>
      </c>
      <c r="T36" t="n">
        <v>14668.812</v>
      </c>
      <c r="U36" t="n">
        <v>14798.392</v>
      </c>
      <c r="V36" t="n">
        <v>13778.466</v>
      </c>
      <c r="W36" t="n">
        <v>12883.558</v>
      </c>
      <c r="X36" t="n">
        <v>14188.394</v>
      </c>
      <c r="Y36" t="n">
        <v>14007.671</v>
      </c>
      <c r="Z36" t="n">
        <v>15370.155</v>
      </c>
      <c r="AA36" t="n">
        <v>17823.481</v>
      </c>
      <c r="AB36" t="n">
        <v>16281.715</v>
      </c>
      <c r="AC36" t="n">
        <v>14270.026</v>
      </c>
      <c r="AD36" t="n">
        <v>15241.833</v>
      </c>
      <c r="AE36" t="n">
        <v>18163.931</v>
      </c>
      <c r="AF36" t="n">
        <v>16874.071</v>
      </c>
      <c r="AG36" t="n">
        <v>16200.155</v>
      </c>
      <c r="AH36" t="n">
        <v>18592.396</v>
      </c>
      <c r="AI36" t="n">
        <v>18708.708</v>
      </c>
      <c r="AJ36" t="n">
        <v>21977.15</v>
      </c>
      <c r="AK36" t="n">
        <v>20872.252</v>
      </c>
      <c r="AL36" t="n">
        <v>29136.171</v>
      </c>
      <c r="AM36" t="n">
        <v>30623.555</v>
      </c>
      <c r="AN36" t="n">
        <v>28716.357</v>
      </c>
      <c r="AO36" t="n">
        <v>29578.413</v>
      </c>
      <c r="AP36" t="n">
        <v>31721.845</v>
      </c>
      <c r="AQ36" t="n">
        <v>31294.246</v>
      </c>
      <c r="AR36" t="n">
        <v>28759.37</v>
      </c>
      <c r="AS36" t="n">
        <v>27005.462</v>
      </c>
      <c r="AT36" t="n">
        <v>25535.776</v>
      </c>
      <c r="AU36" t="n">
        <v>24144.711</v>
      </c>
      <c r="AV36" t="n">
        <v>27107.559</v>
      </c>
      <c r="AW36" t="n">
        <v>25428.895</v>
      </c>
      <c r="AX36" t="n">
        <v>24025.866</v>
      </c>
      <c r="AY36" t="n">
        <v>25106.092</v>
      </c>
      <c r="AZ36" t="n">
        <v>31366.061</v>
      </c>
      <c r="BA36" t="n">
        <v>27377.134</v>
      </c>
      <c r="BB36" t="n">
        <v>24001.319</v>
      </c>
      <c r="BC36" t="n">
        <v>26893.777</v>
      </c>
      <c r="BD36" t="n">
        <v>22633.702</v>
      </c>
      <c r="BE36" t="n">
        <v>19499.369</v>
      </c>
      <c r="BF36" t="n">
        <v>20823.993</v>
      </c>
      <c r="BG36" t="n">
        <v>22187.431</v>
      </c>
      <c r="BH36" t="n">
        <v>17728.509</v>
      </c>
      <c r="BI36" t="n">
        <v>20231.815</v>
      </c>
      <c r="BJ36" t="n">
        <v>19540.478</v>
      </c>
      <c r="BK36" t="n">
        <v>20208.768</v>
      </c>
      <c r="BL36" t="n">
        <v>17405.848</v>
      </c>
      <c r="BM36" t="n">
        <v>16554.093</v>
      </c>
      <c r="BN36" t="n">
        <v>15952.446</v>
      </c>
      <c r="BO36" t="n">
        <v>17221.459</v>
      </c>
      <c r="BP36" t="n">
        <v>17103.82</v>
      </c>
      <c r="BQ36" t="n">
        <v>17517.459</v>
      </c>
      <c r="BR36" t="n">
        <v>16686.68</v>
      </c>
      <c r="BS36" t="n">
        <v>17025.087</v>
      </c>
      <c r="BT36" t="n">
        <v>17225.959</v>
      </c>
      <c r="BU36" t="n">
        <v>16825.216</v>
      </c>
      <c r="BV36" t="n">
        <v>16570.294</v>
      </c>
    </row>
    <row r="37">
      <c r="A37" t="inlineStr">
        <is>
          <t>Thunnus tonggol</t>
        </is>
      </c>
      <c r="B37" t="inlineStr">
        <is>
          <t>Longtail tuna</t>
        </is>
      </c>
      <c r="C37" t="inlineStr">
        <is>
          <t>Large pelagics (&gt;=90 cm)</t>
        </is>
      </c>
      <c r="D37" t="inlineStr">
        <is>
          <t>Tuna &amp; billfishes</t>
        </is>
      </c>
      <c r="E37" t="n">
        <v>2490.681</v>
      </c>
      <c r="F37" t="n">
        <v>2477.653</v>
      </c>
      <c r="G37" t="n">
        <v>2767.724</v>
      </c>
      <c r="H37" t="n">
        <v>3037.914</v>
      </c>
      <c r="I37" t="n">
        <v>3099.933</v>
      </c>
      <c r="J37" t="n">
        <v>3647.152</v>
      </c>
      <c r="K37" t="n">
        <v>3522.543</v>
      </c>
      <c r="L37" t="n">
        <v>3614.913</v>
      </c>
      <c r="M37" t="n">
        <v>3621.957</v>
      </c>
      <c r="N37" t="n">
        <v>4041.232</v>
      </c>
      <c r="O37" t="n">
        <v>4083.659</v>
      </c>
      <c r="P37" t="n">
        <v>4248.151</v>
      </c>
      <c r="Q37" t="n">
        <v>4741.687</v>
      </c>
      <c r="R37" t="n">
        <v>5008.84</v>
      </c>
      <c r="S37" t="n">
        <v>5319.781</v>
      </c>
      <c r="T37" t="n">
        <v>5718.12</v>
      </c>
      <c r="U37" t="n">
        <v>6384.767</v>
      </c>
      <c r="V37" t="n">
        <v>6377.992</v>
      </c>
      <c r="W37" t="n">
        <v>6425.67</v>
      </c>
      <c r="X37" t="n">
        <v>6516.781</v>
      </c>
      <c r="Y37" t="n">
        <v>7090.379</v>
      </c>
      <c r="Z37" t="n">
        <v>6946.796</v>
      </c>
      <c r="AA37" t="n">
        <v>7422.856</v>
      </c>
      <c r="AB37" t="n">
        <v>7695.503</v>
      </c>
      <c r="AC37" t="n">
        <v>8749.933000000001</v>
      </c>
      <c r="AD37" t="n">
        <v>9232.115</v>
      </c>
      <c r="AE37" t="n">
        <v>9757.659</v>
      </c>
      <c r="AF37" t="n">
        <v>9595.83</v>
      </c>
      <c r="AG37" t="n">
        <v>8969.312</v>
      </c>
      <c r="AH37" t="n">
        <v>9455.369000000001</v>
      </c>
      <c r="AI37" t="n">
        <v>8590.569</v>
      </c>
      <c r="AJ37" t="n">
        <v>8852.196</v>
      </c>
      <c r="AK37" t="n">
        <v>8203.043</v>
      </c>
      <c r="AL37" t="n">
        <v>14106.373</v>
      </c>
      <c r="AM37" t="n">
        <v>13910.475</v>
      </c>
      <c r="AN37" t="n">
        <v>13575.479</v>
      </c>
      <c r="AO37" t="n">
        <v>13256.224</v>
      </c>
      <c r="AP37" t="n">
        <v>14417.389</v>
      </c>
      <c r="AQ37" t="n">
        <v>16774.827</v>
      </c>
      <c r="AR37" t="n">
        <v>15024.682</v>
      </c>
      <c r="AS37" t="n">
        <v>14320.038</v>
      </c>
      <c r="AT37" t="n">
        <v>14276.897</v>
      </c>
      <c r="AU37" t="n">
        <v>13988.289</v>
      </c>
      <c r="AV37" t="n">
        <v>14546.088</v>
      </c>
      <c r="AW37" t="n">
        <v>15260.344</v>
      </c>
      <c r="AX37" t="n">
        <v>17674.373</v>
      </c>
      <c r="AY37" t="n">
        <v>16450.649</v>
      </c>
      <c r="AZ37" t="n">
        <v>17438.341</v>
      </c>
      <c r="BA37" t="n">
        <v>17115.464</v>
      </c>
      <c r="BB37" t="n">
        <v>19499.174</v>
      </c>
      <c r="BC37" t="n">
        <v>19325.311</v>
      </c>
      <c r="BD37" t="n">
        <v>18269.475</v>
      </c>
      <c r="BE37" t="n">
        <v>23967.099</v>
      </c>
      <c r="BF37" t="n">
        <v>27093.022</v>
      </c>
      <c r="BG37" t="n">
        <v>24386.963</v>
      </c>
      <c r="BH37" t="n">
        <v>23995.411</v>
      </c>
      <c r="BI37" t="n">
        <v>25667.18</v>
      </c>
      <c r="BJ37" t="n">
        <v>23709.344</v>
      </c>
      <c r="BK37" t="n">
        <v>20248.738</v>
      </c>
      <c r="BL37" t="n">
        <v>26296.568</v>
      </c>
      <c r="BM37" t="n">
        <v>25029.369</v>
      </c>
      <c r="BN37" t="n">
        <v>55458.112</v>
      </c>
      <c r="BO37" t="n">
        <v>61687.054</v>
      </c>
      <c r="BP37" t="n">
        <v>54282.247</v>
      </c>
      <c r="BQ37" t="n">
        <v>49722.567</v>
      </c>
      <c r="BR37" t="n">
        <v>51274.059</v>
      </c>
      <c r="BS37" t="n">
        <v>49472.918</v>
      </c>
      <c r="BT37" t="n">
        <v>52195.549</v>
      </c>
      <c r="BU37" t="n">
        <v>41676.252</v>
      </c>
      <c r="BV37" t="n">
        <v>33414.752</v>
      </c>
    </row>
    <row r="38">
      <c r="A38" t="inlineStr">
        <is>
          <t>Scombridae</t>
        </is>
      </c>
      <c r="B38" t="inlineStr">
        <is>
          <t>Mackerels, tunas, bonitos</t>
        </is>
      </c>
      <c r="C38" t="inlineStr">
        <is>
          <t>Medium pelagics (30 - 89 cm)</t>
        </is>
      </c>
      <c r="D38" t="inlineStr">
        <is>
          <t>Perch-likes</t>
        </is>
      </c>
      <c r="E38" t="n">
        <v>7015.419</v>
      </c>
      <c r="F38" t="n">
        <v>4771.525</v>
      </c>
      <c r="G38" t="n">
        <v>5208.604</v>
      </c>
      <c r="H38" t="n">
        <v>5488.814</v>
      </c>
      <c r="I38" t="n">
        <v>6293.579</v>
      </c>
      <c r="J38" t="n">
        <v>7710.891</v>
      </c>
      <c r="K38" t="n">
        <v>7727.936</v>
      </c>
      <c r="L38" t="n">
        <v>7296.255</v>
      </c>
      <c r="M38" t="n">
        <v>8249.895</v>
      </c>
      <c r="N38" t="n">
        <v>8604.244000000001</v>
      </c>
      <c r="O38" t="n">
        <v>11334.823</v>
      </c>
      <c r="P38" t="n">
        <v>11418.708</v>
      </c>
      <c r="Q38" t="n">
        <v>7582.466</v>
      </c>
      <c r="R38" t="n">
        <v>9309.965</v>
      </c>
      <c r="S38" t="n">
        <v>8523.028</v>
      </c>
      <c r="T38" t="n">
        <v>9500.062</v>
      </c>
      <c r="U38" t="n">
        <v>9835.498</v>
      </c>
      <c r="V38" t="n">
        <v>10643.381</v>
      </c>
      <c r="W38" t="n">
        <v>10913.624</v>
      </c>
      <c r="X38" t="n">
        <v>10255.046</v>
      </c>
      <c r="Y38" t="n">
        <v>10127.758</v>
      </c>
      <c r="Z38" t="n">
        <v>12560.745</v>
      </c>
      <c r="AA38" t="n">
        <v>12595.144</v>
      </c>
      <c r="AB38" t="n">
        <v>12440.018</v>
      </c>
      <c r="AC38" t="n">
        <v>15839.695</v>
      </c>
      <c r="AD38" t="n">
        <v>15599.05</v>
      </c>
      <c r="AE38" t="n">
        <v>23323.132</v>
      </c>
      <c r="AF38" t="n">
        <v>16672.277</v>
      </c>
      <c r="AG38" t="n">
        <v>18509.719</v>
      </c>
      <c r="AH38" t="n">
        <v>28490.189</v>
      </c>
      <c r="AI38" t="n">
        <v>22181.724</v>
      </c>
      <c r="AJ38" t="n">
        <v>9880.602000000001</v>
      </c>
      <c r="AK38" t="n">
        <v>12167.704</v>
      </c>
      <c r="AL38" t="n">
        <v>13109.709</v>
      </c>
      <c r="AM38" t="n">
        <v>11640.505</v>
      </c>
      <c r="AN38" t="n">
        <v>15660.225</v>
      </c>
      <c r="AO38" t="n">
        <v>15332.4</v>
      </c>
      <c r="AP38" t="n">
        <v>24521.706</v>
      </c>
      <c r="AQ38" t="n">
        <v>25404.564</v>
      </c>
      <c r="AR38" t="n">
        <v>14227.081</v>
      </c>
      <c r="AS38" t="n">
        <v>16456.416</v>
      </c>
      <c r="AT38" t="n">
        <v>14005.711</v>
      </c>
      <c r="AU38" t="n">
        <v>13667.291</v>
      </c>
      <c r="AV38" t="n">
        <v>18338.268</v>
      </c>
      <c r="AW38" t="n">
        <v>14737.945</v>
      </c>
      <c r="AX38" t="n">
        <v>14964.232</v>
      </c>
      <c r="AY38" t="n">
        <v>14564.413</v>
      </c>
      <c r="AZ38" t="n">
        <v>17260.061</v>
      </c>
      <c r="BA38" t="n">
        <v>15811.375</v>
      </c>
      <c r="BB38" t="n">
        <v>20030.335</v>
      </c>
      <c r="BC38" t="n">
        <v>19275.877</v>
      </c>
      <c r="BD38" t="n">
        <v>15955.469</v>
      </c>
      <c r="BE38" t="n">
        <v>15506.973</v>
      </c>
      <c r="BF38" t="n">
        <v>18250.312</v>
      </c>
      <c r="BG38" t="n">
        <v>20067.252</v>
      </c>
      <c r="BH38" t="n">
        <v>18292.252</v>
      </c>
      <c r="BI38" t="n">
        <v>19120.71</v>
      </c>
      <c r="BJ38" t="n">
        <v>23843.415</v>
      </c>
      <c r="BK38" t="n">
        <v>24828.685</v>
      </c>
      <c r="BL38" t="n">
        <v>18556.324</v>
      </c>
      <c r="BM38" t="n">
        <v>17323.453</v>
      </c>
      <c r="BN38" t="n">
        <v>19022.254</v>
      </c>
      <c r="BO38" t="n">
        <v>22747.343</v>
      </c>
      <c r="BP38" t="n">
        <v>21531.319</v>
      </c>
      <c r="BQ38" t="n">
        <v>23240.737</v>
      </c>
      <c r="BR38" t="n">
        <v>26616.185</v>
      </c>
      <c r="BS38" t="n">
        <v>30570.216</v>
      </c>
      <c r="BT38" t="n">
        <v>27824.424</v>
      </c>
      <c r="BU38" t="n">
        <v>31056.476</v>
      </c>
      <c r="BV38" t="n">
        <v>27457.209</v>
      </c>
    </row>
    <row r="39">
      <c r="A39" t="inlineStr">
        <is>
          <t>Teuthida</t>
        </is>
      </c>
      <c r="B39" t="inlineStr">
        <is>
          <t>Squids</t>
        </is>
      </c>
      <c r="C39" t="inlineStr">
        <is>
          <t>Cephalopods</t>
        </is>
      </c>
      <c r="D39" t="inlineStr">
        <is>
          <t>Other fishes &amp; inverts</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12.137</v>
      </c>
      <c r="AB39" t="n">
        <v>0</v>
      </c>
      <c r="AC39" t="n">
        <v>0</v>
      </c>
      <c r="AD39" t="n">
        <v>0</v>
      </c>
      <c r="AE39" t="n">
        <v>6.147</v>
      </c>
      <c r="AF39" t="n">
        <v>46.071</v>
      </c>
      <c r="AG39" t="n">
        <v>77.79300000000001</v>
      </c>
      <c r="AH39" t="n">
        <v>112.117</v>
      </c>
      <c r="AI39" t="n">
        <v>154.7</v>
      </c>
      <c r="AJ39" t="n">
        <v>114.369</v>
      </c>
      <c r="AK39" t="n">
        <v>95.46899999999999</v>
      </c>
      <c r="AL39" t="n">
        <v>191.112</v>
      </c>
      <c r="AM39" t="n">
        <v>128.74</v>
      </c>
      <c r="AN39" t="n">
        <v>240.814</v>
      </c>
      <c r="AO39" t="n">
        <v>0</v>
      </c>
      <c r="AP39" t="n">
        <v>3.502</v>
      </c>
      <c r="AQ39" t="n">
        <v>1.961</v>
      </c>
      <c r="AR39" t="n">
        <v>7.309</v>
      </c>
      <c r="AS39" t="n">
        <v>104.463</v>
      </c>
      <c r="AT39" t="n">
        <v>305.39</v>
      </c>
      <c r="AU39" t="n">
        <v>183.607</v>
      </c>
      <c r="AV39" t="n">
        <v>42.888</v>
      </c>
      <c r="AW39" t="n">
        <v>73.955</v>
      </c>
      <c r="AX39" t="n">
        <v>354.366</v>
      </c>
      <c r="AY39" t="n">
        <v>426.768</v>
      </c>
      <c r="AZ39" t="n">
        <v>848.3150000000001</v>
      </c>
      <c r="BA39" t="n">
        <v>1607.932</v>
      </c>
      <c r="BB39" t="n">
        <v>1160.171</v>
      </c>
      <c r="BC39" t="n">
        <v>973.9400000000001</v>
      </c>
      <c r="BD39" t="n">
        <v>656.967</v>
      </c>
      <c r="BE39" t="n">
        <v>616.545</v>
      </c>
      <c r="BF39" t="n">
        <v>1699.81</v>
      </c>
      <c r="BG39" t="n">
        <v>2218.779</v>
      </c>
      <c r="BH39" t="n">
        <v>1848.315</v>
      </c>
      <c r="BI39" t="n">
        <v>54251.28</v>
      </c>
      <c r="BJ39" t="n">
        <v>33455.761</v>
      </c>
      <c r="BK39" t="n">
        <v>76056.208</v>
      </c>
      <c r="BL39" t="n">
        <v>46060.025</v>
      </c>
      <c r="BM39" t="n">
        <v>78722.63099999999</v>
      </c>
      <c r="BN39" t="n">
        <v>62793.097</v>
      </c>
      <c r="BO39" t="n">
        <v>79893.51700000001</v>
      </c>
      <c r="BP39" t="n">
        <v>87897.36</v>
      </c>
      <c r="BQ39" t="n">
        <v>74207.291</v>
      </c>
      <c r="BR39" t="n">
        <v>73304.95</v>
      </c>
      <c r="BS39" t="n">
        <v>88047.56</v>
      </c>
      <c r="BT39" t="n">
        <v>95938.145</v>
      </c>
      <c r="BU39" t="n">
        <v>87321.933</v>
      </c>
      <c r="BV39" t="n">
        <v>79150.822</v>
      </c>
    </row>
    <row r="40">
      <c r="A40" t="inlineStr">
        <is>
          <t>Portunus pelagicus</t>
        </is>
      </c>
      <c r="B40" t="inlineStr">
        <is>
          <t>Blue swimming crab</t>
        </is>
      </c>
      <c r="C40" t="inlineStr">
        <is>
          <t>Lobsters, crabs</t>
        </is>
      </c>
      <c r="D40" t="inlineStr">
        <is>
          <t>Crustaceans</t>
        </is>
      </c>
      <c r="E40" t="n">
        <v>11950.336</v>
      </c>
      <c r="F40" t="n">
        <v>12018.024</v>
      </c>
      <c r="G40" t="n">
        <v>11928.654</v>
      </c>
      <c r="H40" t="n">
        <v>11990.677</v>
      </c>
      <c r="I40" t="n">
        <v>12050.575</v>
      </c>
      <c r="J40" t="n">
        <v>12108.349</v>
      </c>
      <c r="K40" t="n">
        <v>12138.986</v>
      </c>
      <c r="L40" t="n">
        <v>12268.227</v>
      </c>
      <c r="M40" t="n">
        <v>12363.985</v>
      </c>
      <c r="N40" t="n">
        <v>12534.171</v>
      </c>
      <c r="O40" t="n">
        <v>12625.276</v>
      </c>
      <c r="P40" t="n">
        <v>12744.034</v>
      </c>
      <c r="Q40" t="n">
        <v>12860.322</v>
      </c>
      <c r="R40" t="n">
        <v>13050.902</v>
      </c>
      <c r="S40" t="n">
        <v>13178.362</v>
      </c>
      <c r="T40" t="n">
        <v>13176.871</v>
      </c>
      <c r="U40" t="n">
        <v>13224.388</v>
      </c>
      <c r="V40" t="n">
        <v>13336.412</v>
      </c>
      <c r="W40" t="n">
        <v>13268.978</v>
      </c>
      <c r="X40" t="n">
        <v>13447.469</v>
      </c>
      <c r="Y40" t="n">
        <v>13555.771</v>
      </c>
      <c r="Z40" t="n">
        <v>13584.426</v>
      </c>
      <c r="AA40" t="n">
        <v>13802.171</v>
      </c>
      <c r="AB40" t="n">
        <v>13937.462</v>
      </c>
      <c r="AC40" t="n">
        <v>11655.203</v>
      </c>
      <c r="AD40" t="n">
        <v>12437.269</v>
      </c>
      <c r="AE40" t="n">
        <v>13289.475</v>
      </c>
      <c r="AF40" t="n">
        <v>14153.121</v>
      </c>
      <c r="AG40" t="n">
        <v>14067.319</v>
      </c>
      <c r="AH40" t="n">
        <v>13902.346</v>
      </c>
      <c r="AI40" t="n">
        <v>15076.376</v>
      </c>
      <c r="AJ40" t="n">
        <v>15193.364</v>
      </c>
      <c r="AK40" t="n">
        <v>12636.865</v>
      </c>
      <c r="AL40" t="n">
        <v>12857.472</v>
      </c>
      <c r="AM40" t="n">
        <v>13141.837</v>
      </c>
      <c r="AN40" t="n">
        <v>13447.241</v>
      </c>
      <c r="AO40" t="n">
        <v>13495.237</v>
      </c>
      <c r="AP40" t="n">
        <v>15517.072</v>
      </c>
      <c r="AQ40" t="n">
        <v>15803.811</v>
      </c>
      <c r="AR40" t="n">
        <v>16002.318</v>
      </c>
      <c r="AS40" t="n">
        <v>15057.075</v>
      </c>
      <c r="AT40" t="n">
        <v>17183.426</v>
      </c>
      <c r="AU40" t="n">
        <v>16942.087</v>
      </c>
      <c r="AV40" t="n">
        <v>15226.755</v>
      </c>
      <c r="AW40" t="n">
        <v>25190.034</v>
      </c>
      <c r="AX40" t="n">
        <v>25084.547</v>
      </c>
      <c r="AY40" t="n">
        <v>23671.134</v>
      </c>
      <c r="AZ40" t="n">
        <v>32653.312</v>
      </c>
      <c r="BA40" t="n">
        <v>26143.603</v>
      </c>
      <c r="BB40" t="n">
        <v>23842.995</v>
      </c>
      <c r="BC40" t="n">
        <v>21527.485</v>
      </c>
      <c r="BD40" t="n">
        <v>20667.734</v>
      </c>
      <c r="BE40" t="n">
        <v>17678.062</v>
      </c>
      <c r="BF40" t="n">
        <v>13343.282</v>
      </c>
      <c r="BG40" t="n">
        <v>13357.478</v>
      </c>
      <c r="BH40" t="n">
        <v>13100.771</v>
      </c>
      <c r="BI40" t="n">
        <v>11362.32</v>
      </c>
      <c r="BJ40" t="n">
        <v>11456.91</v>
      </c>
      <c r="BK40" t="n">
        <v>9161.793</v>
      </c>
      <c r="BL40" t="n">
        <v>10556.347</v>
      </c>
      <c r="BM40" t="n">
        <v>7905.047</v>
      </c>
      <c r="BN40" t="n">
        <v>9246.671</v>
      </c>
      <c r="BO40" t="n">
        <v>9638.434999999999</v>
      </c>
      <c r="BP40" t="n">
        <v>9199.949000000001</v>
      </c>
      <c r="BQ40" t="n">
        <v>10174.714</v>
      </c>
      <c r="BR40" t="n">
        <v>11215.407</v>
      </c>
      <c r="BS40" t="n">
        <v>11586.349</v>
      </c>
      <c r="BT40" t="n">
        <v>10925.196</v>
      </c>
      <c r="BU40" t="n">
        <v>12077.125</v>
      </c>
      <c r="BV40" t="n">
        <v>11587.998</v>
      </c>
    </row>
    <row r="41">
      <c r="A41" t="inlineStr">
        <is>
          <t>Coryphaena hippurus</t>
        </is>
      </c>
      <c r="B41" t="inlineStr">
        <is>
          <t>Common dolphinfish</t>
        </is>
      </c>
      <c r="C41" t="inlineStr">
        <is>
          <t>Large pelagics (&gt;=90 cm)</t>
        </is>
      </c>
      <c r="D41" t="inlineStr">
        <is>
          <t>Perch-likes</t>
        </is>
      </c>
      <c r="E41" t="n">
        <v>2664.164</v>
      </c>
      <c r="F41" t="n">
        <v>2676.737</v>
      </c>
      <c r="G41" t="n">
        <v>2698.408</v>
      </c>
      <c r="H41" t="n">
        <v>2872.05</v>
      </c>
      <c r="I41" t="n">
        <v>2968.128</v>
      </c>
      <c r="J41" t="n">
        <v>3067.556</v>
      </c>
      <c r="K41" t="n">
        <v>2960.74</v>
      </c>
      <c r="L41" t="n">
        <v>3251.962</v>
      </c>
      <c r="M41" t="n">
        <v>3509.191</v>
      </c>
      <c r="N41" t="n">
        <v>3564.251</v>
      </c>
      <c r="O41" t="n">
        <v>4290.879</v>
      </c>
      <c r="P41" t="n">
        <v>3900.481</v>
      </c>
      <c r="Q41" t="n">
        <v>4894.094</v>
      </c>
      <c r="R41" t="n">
        <v>6820.602</v>
      </c>
      <c r="S41" t="n">
        <v>8769.796</v>
      </c>
      <c r="T41" t="n">
        <v>9137.971</v>
      </c>
      <c r="U41" t="n">
        <v>12229.239</v>
      </c>
      <c r="V41" t="n">
        <v>11704.238</v>
      </c>
      <c r="W41" t="n">
        <v>11742.563</v>
      </c>
      <c r="X41" t="n">
        <v>10757.633</v>
      </c>
      <c r="Y41" t="n">
        <v>12979.771</v>
      </c>
      <c r="Z41" t="n">
        <v>7944.652</v>
      </c>
      <c r="AA41" t="n">
        <v>9166.914000000001</v>
      </c>
      <c r="AB41" t="n">
        <v>10618.519</v>
      </c>
      <c r="AC41" t="n">
        <v>13620.781</v>
      </c>
      <c r="AD41" t="n">
        <v>14828.887</v>
      </c>
      <c r="AE41" t="n">
        <v>14096.174</v>
      </c>
      <c r="AF41" t="n">
        <v>13215.405</v>
      </c>
      <c r="AG41" t="n">
        <v>8411.927</v>
      </c>
      <c r="AH41" t="n">
        <v>12858.604</v>
      </c>
      <c r="AI41" t="n">
        <v>7391.366</v>
      </c>
      <c r="AJ41" t="n">
        <v>9839.254999999999</v>
      </c>
      <c r="AK41" t="n">
        <v>10239.163</v>
      </c>
      <c r="AL41" t="n">
        <v>11547.061</v>
      </c>
      <c r="AM41" t="n">
        <v>11557.362</v>
      </c>
      <c r="AN41" t="n">
        <v>12018.197</v>
      </c>
      <c r="AO41" t="n">
        <v>10924.335</v>
      </c>
      <c r="AP41" t="n">
        <v>10041.132</v>
      </c>
      <c r="AQ41" t="n">
        <v>15118.291</v>
      </c>
      <c r="AR41" t="n">
        <v>17017.243</v>
      </c>
      <c r="AS41" t="n">
        <v>13627.733</v>
      </c>
      <c r="AT41" t="n">
        <v>15176.399</v>
      </c>
      <c r="AU41" t="n">
        <v>13786.088</v>
      </c>
      <c r="AV41" t="n">
        <v>13231.758</v>
      </c>
      <c r="AW41" t="n">
        <v>13474.524</v>
      </c>
      <c r="AX41" t="n">
        <v>12120.207</v>
      </c>
      <c r="AY41" t="n">
        <v>10742.3</v>
      </c>
      <c r="AZ41" t="n">
        <v>11142.666</v>
      </c>
      <c r="BA41" t="n">
        <v>11434.827</v>
      </c>
      <c r="BB41" t="n">
        <v>17416.26</v>
      </c>
      <c r="BC41" t="n">
        <v>14354.348</v>
      </c>
      <c r="BD41" t="n">
        <v>17551.139</v>
      </c>
      <c r="BE41" t="n">
        <v>18768.912</v>
      </c>
      <c r="BF41" t="n">
        <v>20755.519</v>
      </c>
      <c r="BG41" t="n">
        <v>21085.093</v>
      </c>
      <c r="BH41" t="n">
        <v>18797.518</v>
      </c>
      <c r="BI41" t="n">
        <v>18837.019</v>
      </c>
      <c r="BJ41" t="n">
        <v>20733.406</v>
      </c>
      <c r="BK41" t="n">
        <v>22581.679</v>
      </c>
      <c r="BL41" t="n">
        <v>23406.16</v>
      </c>
      <c r="BM41" t="n">
        <v>24358.68</v>
      </c>
      <c r="BN41" t="n">
        <v>24900.734</v>
      </c>
      <c r="BO41" t="n">
        <v>27384.081</v>
      </c>
      <c r="BP41" t="n">
        <v>28412.257</v>
      </c>
      <c r="BQ41" t="n">
        <v>30089.64</v>
      </c>
      <c r="BR41" t="n">
        <v>31623.11</v>
      </c>
      <c r="BS41" t="n">
        <v>32485.613</v>
      </c>
      <c r="BT41" t="n">
        <v>34962.024</v>
      </c>
      <c r="BU41" t="n">
        <v>36791.744</v>
      </c>
      <c r="BV41" t="n">
        <v>37268.175</v>
      </c>
    </row>
    <row r="42">
      <c r="A42" t="inlineStr">
        <is>
          <t>Mugilidae</t>
        </is>
      </c>
      <c r="B42" t="inlineStr">
        <is>
          <t>Mullets, grey mullets</t>
        </is>
      </c>
      <c r="C42" t="inlineStr">
        <is>
          <t>Medium reef assoc. fish (30 - 89 cm)</t>
        </is>
      </c>
      <c r="D42" t="inlineStr">
        <is>
          <t>Perch-likes</t>
        </is>
      </c>
      <c r="E42" t="n">
        <v>484.943</v>
      </c>
      <c r="F42" t="n">
        <v>484.408</v>
      </c>
      <c r="G42" t="n">
        <v>508.993</v>
      </c>
      <c r="H42" t="n">
        <v>597.032</v>
      </c>
      <c r="I42" t="n">
        <v>640.227</v>
      </c>
      <c r="J42" t="n">
        <v>664.261</v>
      </c>
      <c r="K42" t="n">
        <v>644.447</v>
      </c>
      <c r="L42" t="n">
        <v>725.025</v>
      </c>
      <c r="M42" t="n">
        <v>1187.466</v>
      </c>
      <c r="N42" t="n">
        <v>1014.91</v>
      </c>
      <c r="O42" t="n">
        <v>1247.837</v>
      </c>
      <c r="P42" t="n">
        <v>1431.797</v>
      </c>
      <c r="Q42" t="n">
        <v>1309.383</v>
      </c>
      <c r="R42" t="n">
        <v>1839.143</v>
      </c>
      <c r="S42" t="n">
        <v>2648.054</v>
      </c>
      <c r="T42" t="n">
        <v>2926.939</v>
      </c>
      <c r="U42" t="n">
        <v>3038.103</v>
      </c>
      <c r="V42" t="n">
        <v>2850.5</v>
      </c>
      <c r="W42" t="n">
        <v>2730.337</v>
      </c>
      <c r="X42" t="n">
        <v>2918.952</v>
      </c>
      <c r="Y42" t="n">
        <v>3688.209</v>
      </c>
      <c r="Z42" t="n">
        <v>3723.898</v>
      </c>
      <c r="AA42" t="n">
        <v>6161.843</v>
      </c>
      <c r="AB42" t="n">
        <v>6598.614</v>
      </c>
      <c r="AC42" t="n">
        <v>7787.493</v>
      </c>
      <c r="AD42" t="n">
        <v>8283.082</v>
      </c>
      <c r="AE42" t="n">
        <v>9827.946</v>
      </c>
      <c r="AF42" t="n">
        <v>14115.473</v>
      </c>
      <c r="AG42" t="n">
        <v>12387.459</v>
      </c>
      <c r="AH42" t="n">
        <v>12345.801</v>
      </c>
      <c r="AI42" t="n">
        <v>9500.809999999999</v>
      </c>
      <c r="AJ42" t="n">
        <v>12358.548</v>
      </c>
      <c r="AK42" t="n">
        <v>14519.013</v>
      </c>
      <c r="AL42" t="n">
        <v>14958.253</v>
      </c>
      <c r="AM42" t="n">
        <v>16409.924</v>
      </c>
      <c r="AN42" t="n">
        <v>16229.164</v>
      </c>
      <c r="AO42" t="n">
        <v>17233.372</v>
      </c>
      <c r="AP42" t="n">
        <v>16880.664</v>
      </c>
      <c r="AQ42" t="n">
        <v>17310.44</v>
      </c>
      <c r="AR42" t="n">
        <v>16566.991</v>
      </c>
      <c r="AS42" t="n">
        <v>17065.674</v>
      </c>
      <c r="AT42" t="n">
        <v>15522.601</v>
      </c>
      <c r="AU42" t="n">
        <v>19576.707</v>
      </c>
      <c r="AV42" t="n">
        <v>32709.958</v>
      </c>
      <c r="AW42" t="n">
        <v>29293.665</v>
      </c>
      <c r="AX42" t="n">
        <v>27623.365</v>
      </c>
      <c r="AY42" t="n">
        <v>29769.008</v>
      </c>
      <c r="AZ42" t="n">
        <v>32964.233</v>
      </c>
      <c r="BA42" t="n">
        <v>34592.067</v>
      </c>
      <c r="BB42" t="n">
        <v>30278.85</v>
      </c>
      <c r="BC42" t="n">
        <v>22422.345</v>
      </c>
      <c r="BD42" t="n">
        <v>23067.192</v>
      </c>
      <c r="BE42" t="n">
        <v>23079.367</v>
      </c>
      <c r="BF42" t="n">
        <v>16707.322</v>
      </c>
      <c r="BG42" t="n">
        <v>18427.748</v>
      </c>
      <c r="BH42" t="n">
        <v>17389.537</v>
      </c>
      <c r="BI42" t="n">
        <v>22182.603</v>
      </c>
      <c r="BJ42" t="n">
        <v>23711.667</v>
      </c>
      <c r="BK42" t="n">
        <v>21123.934</v>
      </c>
      <c r="BL42" t="n">
        <v>22878.658</v>
      </c>
      <c r="BM42" t="n">
        <v>24819.883</v>
      </c>
      <c r="BN42" t="n">
        <v>22472.823</v>
      </c>
      <c r="BO42" t="n">
        <v>19167.202</v>
      </c>
      <c r="BP42" t="n">
        <v>18582.988</v>
      </c>
      <c r="BQ42" t="n">
        <v>21551.655</v>
      </c>
      <c r="BR42" t="n">
        <v>21552.07</v>
      </c>
      <c r="BS42" t="n">
        <v>18886.594</v>
      </c>
      <c r="BT42" t="n">
        <v>21358.977</v>
      </c>
      <c r="BU42" t="n">
        <v>21737.717</v>
      </c>
      <c r="BV42" t="n">
        <v>22213.172</v>
      </c>
    </row>
    <row r="43">
      <c r="A43" t="inlineStr">
        <is>
          <t>Tenualosa ilisha</t>
        </is>
      </c>
      <c r="B43" t="inlineStr">
        <is>
          <t>Hilsa shad</t>
        </is>
      </c>
      <c r="C43" t="inlineStr">
        <is>
          <t>Medium pelagics (30 - 89 cm)</t>
        </is>
      </c>
      <c r="D43" t="inlineStr">
        <is>
          <t>Herring-likes</t>
        </is>
      </c>
      <c r="E43" t="n">
        <v>2537.208</v>
      </c>
      <c r="F43" t="n">
        <v>1842.707</v>
      </c>
      <c r="G43" t="n">
        <v>1801.49</v>
      </c>
      <c r="H43" t="n">
        <v>14031.27</v>
      </c>
      <c r="I43" t="n">
        <v>14699.591</v>
      </c>
      <c r="J43" t="n">
        <v>15800.571</v>
      </c>
      <c r="K43" t="n">
        <v>17501.897</v>
      </c>
      <c r="L43" t="n">
        <v>8421.528</v>
      </c>
      <c r="M43" t="n">
        <v>11695.059</v>
      </c>
      <c r="N43" t="n">
        <v>11533.911</v>
      </c>
      <c r="O43" t="n">
        <v>15121.4</v>
      </c>
      <c r="P43" t="n">
        <v>11497.002</v>
      </c>
      <c r="Q43" t="n">
        <v>6236.974</v>
      </c>
      <c r="R43" t="n">
        <v>8914.739</v>
      </c>
      <c r="S43" t="n">
        <v>9378.508</v>
      </c>
      <c r="T43" t="n">
        <v>8837.717000000001</v>
      </c>
      <c r="U43" t="n">
        <v>11040.462</v>
      </c>
      <c r="V43" t="n">
        <v>9054.08</v>
      </c>
      <c r="W43" t="n">
        <v>11717.611</v>
      </c>
      <c r="X43" t="n">
        <v>12814.026</v>
      </c>
      <c r="Y43" t="n">
        <v>17110.521</v>
      </c>
      <c r="Z43" t="n">
        <v>16306.75</v>
      </c>
      <c r="AA43" t="n">
        <v>14564.271</v>
      </c>
      <c r="AB43" t="n">
        <v>20841.512</v>
      </c>
      <c r="AC43" t="n">
        <v>23464.974</v>
      </c>
      <c r="AD43" t="n">
        <v>23525.983</v>
      </c>
      <c r="AE43" t="n">
        <v>23394.637</v>
      </c>
      <c r="AF43" t="n">
        <v>22390.067</v>
      </c>
      <c r="AG43" t="n">
        <v>23389.177</v>
      </c>
      <c r="AH43" t="n">
        <v>23775.75</v>
      </c>
      <c r="AI43" t="n">
        <v>19522.408</v>
      </c>
      <c r="AJ43" t="n">
        <v>10605.784</v>
      </c>
      <c r="AK43" t="n">
        <v>12822.262</v>
      </c>
      <c r="AL43" t="n">
        <v>11251.114</v>
      </c>
      <c r="AM43" t="n">
        <v>10927.074</v>
      </c>
      <c r="AN43" t="n">
        <v>11330.247</v>
      </c>
      <c r="AO43" t="n">
        <v>12467.855</v>
      </c>
      <c r="AP43" t="n">
        <v>14379.374</v>
      </c>
      <c r="AQ43" t="n">
        <v>14058.642</v>
      </c>
      <c r="AR43" t="n">
        <v>18268.21</v>
      </c>
      <c r="AS43" t="n">
        <v>16400.725</v>
      </c>
      <c r="AT43" t="n">
        <v>12624.896</v>
      </c>
      <c r="AU43" t="n">
        <v>14773.774</v>
      </c>
      <c r="AV43" t="n">
        <v>16554.928</v>
      </c>
      <c r="AW43" t="n">
        <v>15268.102</v>
      </c>
      <c r="AX43" t="n">
        <v>17274.653</v>
      </c>
      <c r="AY43" t="n">
        <v>20117.213</v>
      </c>
      <c r="AZ43" t="n">
        <v>20801.07</v>
      </c>
      <c r="BA43" t="n">
        <v>24217.669</v>
      </c>
      <c r="BB43" t="n">
        <v>22761.531</v>
      </c>
      <c r="BC43" t="n">
        <v>21593.339</v>
      </c>
      <c r="BD43" t="n">
        <v>24604.52</v>
      </c>
      <c r="BE43" t="n">
        <v>27588.481</v>
      </c>
      <c r="BF43" t="n">
        <v>11430.961</v>
      </c>
      <c r="BG43" t="n">
        <v>6026.55</v>
      </c>
      <c r="BH43" t="n">
        <v>7949.971</v>
      </c>
      <c r="BI43" t="n">
        <v>9223.437</v>
      </c>
      <c r="BJ43" t="n">
        <v>9728.432000000001</v>
      </c>
      <c r="BK43" t="n">
        <v>7841.948</v>
      </c>
      <c r="BL43" t="n">
        <v>7938.664</v>
      </c>
      <c r="BM43" t="n">
        <v>11267.669</v>
      </c>
      <c r="BN43" t="n">
        <v>7507.188</v>
      </c>
      <c r="BO43" t="n">
        <v>9224.190000000001</v>
      </c>
      <c r="BP43" t="n">
        <v>6538.907</v>
      </c>
      <c r="BQ43" t="n">
        <v>8536.357</v>
      </c>
      <c r="BR43" t="n">
        <v>5640.59</v>
      </c>
      <c r="BS43" t="n">
        <v>7577.653</v>
      </c>
      <c r="BT43" t="n">
        <v>6262.648</v>
      </c>
      <c r="BU43" t="n">
        <v>7504.001</v>
      </c>
      <c r="BV43" t="n">
        <v>7192.956</v>
      </c>
    </row>
    <row r="44">
      <c r="A44" t="inlineStr">
        <is>
          <t>Platycaranx chrysophrys</t>
        </is>
      </c>
      <c r="B44" t="inlineStr">
        <is>
          <t>Longnose trevally</t>
        </is>
      </c>
      <c r="C44" t="inlineStr">
        <is>
          <t>Small pelagics (&lt;30 cm)</t>
        </is>
      </c>
      <c r="D44" t="inlineStr">
        <is>
          <t>Perch-likes</t>
        </is>
      </c>
      <c r="E44" t="n">
        <v>297.342</v>
      </c>
      <c r="F44" t="n">
        <v>299.098</v>
      </c>
      <c r="G44" t="n">
        <v>296.961</v>
      </c>
      <c r="H44" t="n">
        <v>298.579</v>
      </c>
      <c r="I44" t="n">
        <v>300.146</v>
      </c>
      <c r="J44" t="n">
        <v>301.662</v>
      </c>
      <c r="K44" t="n">
        <v>302.705</v>
      </c>
      <c r="L44" t="n">
        <v>305.996</v>
      </c>
      <c r="M44" t="n">
        <v>2835.637</v>
      </c>
      <c r="N44" t="n">
        <v>1854.297</v>
      </c>
      <c r="O44" t="n">
        <v>2771.049</v>
      </c>
      <c r="P44" t="n">
        <v>3996.767</v>
      </c>
      <c r="Q44" t="n">
        <v>2794.703</v>
      </c>
      <c r="R44" t="n">
        <v>5454.879</v>
      </c>
      <c r="S44" t="n">
        <v>9613.843000000001</v>
      </c>
      <c r="T44" t="n">
        <v>10749.784</v>
      </c>
      <c r="U44" t="n">
        <v>10851.065</v>
      </c>
      <c r="V44" t="n">
        <v>9843.706</v>
      </c>
      <c r="W44" t="n">
        <v>8903.763999999999</v>
      </c>
      <c r="X44" t="n">
        <v>10172.435</v>
      </c>
      <c r="Y44" t="n">
        <v>10034.255</v>
      </c>
      <c r="Z44" t="n">
        <v>11277.502</v>
      </c>
      <c r="AA44" t="n">
        <v>13515.38</v>
      </c>
      <c r="AB44" t="n">
        <v>12090.457</v>
      </c>
      <c r="AC44" t="n">
        <v>8830.778</v>
      </c>
      <c r="AD44" t="n">
        <v>9599.956</v>
      </c>
      <c r="AE44" t="n">
        <v>12236.036</v>
      </c>
      <c r="AF44" t="n">
        <v>10890.205</v>
      </c>
      <c r="AG44" t="n">
        <v>10206.159</v>
      </c>
      <c r="AH44" t="n">
        <v>12524.158</v>
      </c>
      <c r="AI44" t="n">
        <v>13279.082</v>
      </c>
      <c r="AJ44" t="n">
        <v>20123.758</v>
      </c>
      <c r="AK44" t="n">
        <v>18911.479</v>
      </c>
      <c r="AL44" t="n">
        <v>31205.968</v>
      </c>
      <c r="AM44" t="n">
        <v>27634.827</v>
      </c>
      <c r="AN44" t="n">
        <v>26298.961</v>
      </c>
      <c r="AO44" t="n">
        <v>25881.53</v>
      </c>
      <c r="AP44" t="n">
        <v>24331.27</v>
      </c>
      <c r="AQ44" t="n">
        <v>23541.237</v>
      </c>
      <c r="AR44" t="n">
        <v>20232.547</v>
      </c>
      <c r="AS44" t="n">
        <v>18677.001</v>
      </c>
      <c r="AT44" t="n">
        <v>17328.951</v>
      </c>
      <c r="AU44" t="n">
        <v>14952.567</v>
      </c>
      <c r="AV44" t="n">
        <v>18864.727</v>
      </c>
      <c r="AW44" t="n">
        <v>16603.3</v>
      </c>
      <c r="AX44" t="n">
        <v>15412.249</v>
      </c>
      <c r="AY44" t="n">
        <v>15988.92</v>
      </c>
      <c r="AZ44" t="n">
        <v>18455.44</v>
      </c>
      <c r="BA44" t="n">
        <v>17872.185</v>
      </c>
      <c r="BB44" t="n">
        <v>19160.834</v>
      </c>
      <c r="BC44" t="n">
        <v>20263.347</v>
      </c>
      <c r="BD44" t="n">
        <v>19902.867</v>
      </c>
      <c r="BE44" t="n">
        <v>18692.65</v>
      </c>
      <c r="BF44" t="n">
        <v>40725.351</v>
      </c>
      <c r="BG44" t="n">
        <v>17245.904</v>
      </c>
      <c r="BH44" t="n">
        <v>11129.134</v>
      </c>
      <c r="BI44" t="n">
        <v>12457.776</v>
      </c>
      <c r="BJ44" t="n">
        <v>12180.642</v>
      </c>
      <c r="BK44" t="n">
        <v>12667.604</v>
      </c>
      <c r="BL44" t="n">
        <v>17444.053</v>
      </c>
      <c r="BM44" t="n">
        <v>15254.804</v>
      </c>
      <c r="BN44" t="n">
        <v>14338.98</v>
      </c>
      <c r="BO44" t="n">
        <v>14101.697</v>
      </c>
      <c r="BP44" t="n">
        <v>13898.124</v>
      </c>
      <c r="BQ44" t="n">
        <v>13541.564</v>
      </c>
      <c r="BR44" t="n">
        <v>13286.58</v>
      </c>
      <c r="BS44" t="n">
        <v>10707.237</v>
      </c>
      <c r="BT44" t="n">
        <v>10601.133</v>
      </c>
      <c r="BU44" t="n">
        <v>10227.833</v>
      </c>
      <c r="BV44" t="n">
        <v>9301.874</v>
      </c>
    </row>
    <row r="45">
      <c r="A45" t="inlineStr">
        <is>
          <t>Alopias superciliosus</t>
        </is>
      </c>
      <c r="B45" t="inlineStr">
        <is>
          <t>Bigeye thresher</t>
        </is>
      </c>
      <c r="C45" t="inlineStr">
        <is>
          <t>Large sharks (&gt;=90 cm)</t>
        </is>
      </c>
      <c r="D45" t="inlineStr">
        <is>
          <t>Sharks &amp; rays</t>
        </is>
      </c>
      <c r="E45" t="n">
        <v>2171.792</v>
      </c>
      <c r="F45" t="n">
        <v>2171.792</v>
      </c>
      <c r="G45" t="n">
        <v>2171.792</v>
      </c>
      <c r="H45" t="n">
        <v>2297.088</v>
      </c>
      <c r="I45" t="n">
        <v>2380.619</v>
      </c>
      <c r="J45" t="n">
        <v>2464.149</v>
      </c>
      <c r="K45" t="n">
        <v>2338.853</v>
      </c>
      <c r="L45" t="n">
        <v>2610.327</v>
      </c>
      <c r="M45" t="n">
        <v>2881.802</v>
      </c>
      <c r="N45" t="n">
        <v>2923.567</v>
      </c>
      <c r="O45" t="n">
        <v>3646.69</v>
      </c>
      <c r="P45" t="n">
        <v>3256.026</v>
      </c>
      <c r="Q45" t="n">
        <v>4223.986</v>
      </c>
      <c r="R45" t="n">
        <v>6210.546</v>
      </c>
      <c r="S45" t="n">
        <v>8211.688</v>
      </c>
      <c r="T45" t="n">
        <v>8566.162</v>
      </c>
      <c r="U45" t="n">
        <v>11699.39</v>
      </c>
      <c r="V45" t="n">
        <v>11144.105</v>
      </c>
      <c r="W45" t="n">
        <v>11157.493</v>
      </c>
      <c r="X45" t="n">
        <v>10092.324</v>
      </c>
      <c r="Y45" t="n">
        <v>12857.26</v>
      </c>
      <c r="Z45" t="n">
        <v>7625.987</v>
      </c>
      <c r="AA45" t="n">
        <v>9052.516</v>
      </c>
      <c r="AB45" t="n">
        <v>10717.503</v>
      </c>
      <c r="AC45" t="n">
        <v>14037.024</v>
      </c>
      <c r="AD45" t="n">
        <v>15244.518</v>
      </c>
      <c r="AE45" t="n">
        <v>14370.693</v>
      </c>
      <c r="AF45" t="n">
        <v>13591.297</v>
      </c>
      <c r="AG45" t="n">
        <v>7809.047</v>
      </c>
      <c r="AH45" t="n">
        <v>12533.345</v>
      </c>
      <c r="AI45" t="n">
        <v>6781.169</v>
      </c>
      <c r="AJ45" t="n">
        <v>9138.359</v>
      </c>
      <c r="AK45" t="n">
        <v>9501.823</v>
      </c>
      <c r="AL45" t="n">
        <v>10910.225</v>
      </c>
      <c r="AM45" t="n">
        <v>10945.913</v>
      </c>
      <c r="AN45" t="n">
        <v>11396.794</v>
      </c>
      <c r="AO45" t="n">
        <v>10318.777</v>
      </c>
      <c r="AP45" t="n">
        <v>9411.332</v>
      </c>
      <c r="AQ45" t="n">
        <v>14648.169</v>
      </c>
      <c r="AR45" t="n">
        <v>16624.253</v>
      </c>
      <c r="AS45" t="n">
        <v>13118.349</v>
      </c>
      <c r="AT45" t="n">
        <v>16509.705</v>
      </c>
      <c r="AU45" t="n">
        <v>14316.129</v>
      </c>
      <c r="AV45" t="n">
        <v>12845.034</v>
      </c>
      <c r="AW45" t="n">
        <v>14018.391</v>
      </c>
      <c r="AX45" t="n">
        <v>11694.398</v>
      </c>
      <c r="AY45" t="n">
        <v>10352.279</v>
      </c>
      <c r="AZ45" t="n">
        <v>10879.936</v>
      </c>
      <c r="BA45" t="n">
        <v>11607.93</v>
      </c>
      <c r="BB45" t="n">
        <v>17906.763</v>
      </c>
      <c r="BC45" t="n">
        <v>14593.166</v>
      </c>
      <c r="BD45" t="n">
        <v>17664.892</v>
      </c>
      <c r="BE45" t="n">
        <v>17953.05</v>
      </c>
      <c r="BF45" t="n">
        <v>18922.875</v>
      </c>
      <c r="BG45" t="n">
        <v>19560.068</v>
      </c>
      <c r="BH45" t="n">
        <v>17180.078</v>
      </c>
      <c r="BI45" t="n">
        <v>17114.769</v>
      </c>
      <c r="BJ45" t="n">
        <v>19270.286</v>
      </c>
      <c r="BK45" t="n">
        <v>21159.597</v>
      </c>
      <c r="BL45" t="n">
        <v>21934.011</v>
      </c>
      <c r="BM45" t="n">
        <v>22664.872</v>
      </c>
      <c r="BN45" t="n">
        <v>23023.304</v>
      </c>
      <c r="BO45" t="n">
        <v>23488.465</v>
      </c>
      <c r="BP45" t="n">
        <v>23720.655</v>
      </c>
      <c r="BQ45" t="n">
        <v>24196.661</v>
      </c>
      <c r="BR45" t="n">
        <v>24671.365</v>
      </c>
      <c r="BS45" t="n">
        <v>24561.838</v>
      </c>
      <c r="BT45" t="n">
        <v>25034.263</v>
      </c>
      <c r="BU45" t="n">
        <v>25314.299</v>
      </c>
      <c r="BV45" t="n">
        <v>25711.153</v>
      </c>
    </row>
    <row r="46">
      <c r="A46" t="inlineStr">
        <is>
          <t>Parastromateus niger</t>
        </is>
      </c>
      <c r="B46" t="inlineStr">
        <is>
          <t>Black pomfret</t>
        </is>
      </c>
      <c r="C46" t="inlineStr">
        <is>
          <t>Medium benthopelagics (30 - 89 cm)</t>
        </is>
      </c>
      <c r="D46" t="inlineStr">
        <is>
          <t>Perch-likes</t>
        </is>
      </c>
      <c r="E46" t="n">
        <v>1789.957</v>
      </c>
      <c r="F46" t="n">
        <v>1807.205</v>
      </c>
      <c r="G46" t="n">
        <v>1818.622</v>
      </c>
      <c r="H46" t="n">
        <v>1871.61</v>
      </c>
      <c r="I46" t="n">
        <v>1891.036</v>
      </c>
      <c r="J46" t="n">
        <v>1913.261</v>
      </c>
      <c r="K46" t="n">
        <v>1912.776</v>
      </c>
      <c r="L46" t="n">
        <v>1951.289</v>
      </c>
      <c r="M46" t="n">
        <v>1956.653</v>
      </c>
      <c r="N46" t="n">
        <v>1985.21</v>
      </c>
      <c r="O46" t="n">
        <v>2021.647</v>
      </c>
      <c r="P46" t="n">
        <v>2019.11</v>
      </c>
      <c r="Q46" t="n">
        <v>4009.502</v>
      </c>
      <c r="R46" t="n">
        <v>4042.213</v>
      </c>
      <c r="S46" t="n">
        <v>3087.301</v>
      </c>
      <c r="T46" t="n">
        <v>3124.364</v>
      </c>
      <c r="U46" t="n">
        <v>5126.034</v>
      </c>
      <c r="V46" t="n">
        <v>5184.349</v>
      </c>
      <c r="W46" t="n">
        <v>5275.287</v>
      </c>
      <c r="X46" t="n">
        <v>6283.238</v>
      </c>
      <c r="Y46" t="n">
        <v>5629.924</v>
      </c>
      <c r="Z46" t="n">
        <v>5712.369</v>
      </c>
      <c r="AA46" t="n">
        <v>7032.995</v>
      </c>
      <c r="AB46" t="n">
        <v>6946.358</v>
      </c>
      <c r="AC46" t="n">
        <v>7102.517</v>
      </c>
      <c r="AD46" t="n">
        <v>7411.707</v>
      </c>
      <c r="AE46" t="n">
        <v>8082.684</v>
      </c>
      <c r="AF46" t="n">
        <v>9943.156999999999</v>
      </c>
      <c r="AG46" t="n">
        <v>7939.477</v>
      </c>
      <c r="AH46" t="n">
        <v>10439.582</v>
      </c>
      <c r="AI46" t="n">
        <v>7061.761</v>
      </c>
      <c r="AJ46" t="n">
        <v>14184.698</v>
      </c>
      <c r="AK46" t="n">
        <v>17698.331</v>
      </c>
      <c r="AL46" t="n">
        <v>19596.679</v>
      </c>
      <c r="AM46" t="n">
        <v>19787.954</v>
      </c>
      <c r="AN46" t="n">
        <v>20573.036</v>
      </c>
      <c r="AO46" t="n">
        <v>21985.649</v>
      </c>
      <c r="AP46" t="n">
        <v>22203.416</v>
      </c>
      <c r="AQ46" t="n">
        <v>24270.991</v>
      </c>
      <c r="AR46" t="n">
        <v>19823.56</v>
      </c>
      <c r="AS46" t="n">
        <v>16800.295</v>
      </c>
      <c r="AT46" t="n">
        <v>17434.603</v>
      </c>
      <c r="AU46" t="n">
        <v>14308.862</v>
      </c>
      <c r="AV46" t="n">
        <v>16050.676</v>
      </c>
      <c r="AW46" t="n">
        <v>18237.073</v>
      </c>
      <c r="AX46" t="n">
        <v>21728.005</v>
      </c>
      <c r="AY46" t="n">
        <v>17199.723</v>
      </c>
      <c r="AZ46" t="n">
        <v>18539.626</v>
      </c>
      <c r="BA46" t="n">
        <v>21809.594</v>
      </c>
      <c r="BB46" t="n">
        <v>17101.037</v>
      </c>
      <c r="BC46" t="n">
        <v>15515.367</v>
      </c>
      <c r="BD46" t="n">
        <v>15805.113</v>
      </c>
      <c r="BE46" t="n">
        <v>15341.612</v>
      </c>
      <c r="BF46" t="n">
        <v>18116.016</v>
      </c>
      <c r="BG46" t="n">
        <v>17180.088</v>
      </c>
      <c r="BH46" t="n">
        <v>14847.055</v>
      </c>
      <c r="BI46" t="n">
        <v>15557.647</v>
      </c>
      <c r="BJ46" t="n">
        <v>14187.291</v>
      </c>
      <c r="BK46" t="n">
        <v>17607.217</v>
      </c>
      <c r="BL46" t="n">
        <v>15599.745</v>
      </c>
      <c r="BM46" t="n">
        <v>18650.353</v>
      </c>
      <c r="BN46" t="n">
        <v>16228.417</v>
      </c>
      <c r="BO46" t="n">
        <v>16733.276</v>
      </c>
      <c r="BP46" t="n">
        <v>20636.959</v>
      </c>
      <c r="BQ46" t="n">
        <v>22095.007</v>
      </c>
      <c r="BR46" t="n">
        <v>23411.035</v>
      </c>
      <c r="BS46" t="n">
        <v>25867.703</v>
      </c>
      <c r="BT46" t="n">
        <v>24280.089</v>
      </c>
      <c r="BU46" t="n">
        <v>25948.896</v>
      </c>
      <c r="BV46" t="n">
        <v>26280.496</v>
      </c>
    </row>
    <row r="47">
      <c r="A47" t="inlineStr">
        <is>
          <t>Isurus oxyrinchus</t>
        </is>
      </c>
      <c r="B47" t="inlineStr">
        <is>
          <t>Shortfin mako</t>
        </is>
      </c>
      <c r="C47" t="inlineStr">
        <is>
          <t>Large sharks (&gt;=90 cm)</t>
        </is>
      </c>
      <c r="D47" t="inlineStr">
        <is>
          <t>Sharks &amp; rays</t>
        </is>
      </c>
      <c r="E47" t="n">
        <v>2147.172</v>
      </c>
      <c r="F47" t="n">
        <v>2147.666</v>
      </c>
      <c r="G47" t="n">
        <v>2148.169</v>
      </c>
      <c r="H47" t="n">
        <v>2271.163</v>
      </c>
      <c r="I47" t="n">
        <v>2353.341</v>
      </c>
      <c r="J47" t="n">
        <v>2435.53</v>
      </c>
      <c r="K47" t="n">
        <v>2313.595</v>
      </c>
      <c r="L47" t="n">
        <v>2579.526</v>
      </c>
      <c r="M47" t="n">
        <v>2845.469</v>
      </c>
      <c r="N47" t="n">
        <v>2886.875</v>
      </c>
      <c r="O47" t="n">
        <v>3594.341</v>
      </c>
      <c r="P47" t="n">
        <v>3213.059</v>
      </c>
      <c r="Q47" t="n">
        <v>4159.885</v>
      </c>
      <c r="R47" t="n">
        <v>6102.434</v>
      </c>
      <c r="S47" t="n">
        <v>8059.254</v>
      </c>
      <c r="T47" t="n">
        <v>8406.42</v>
      </c>
      <c r="U47" t="n">
        <v>11469.912</v>
      </c>
      <c r="V47" t="n">
        <v>10930.131</v>
      </c>
      <c r="W47" t="n">
        <v>10944.598</v>
      </c>
      <c r="X47" t="n">
        <v>9904.843000000001</v>
      </c>
      <c r="Y47" t="n">
        <v>12625.807</v>
      </c>
      <c r="Z47" t="n">
        <v>7514.545</v>
      </c>
      <c r="AA47" t="n">
        <v>8914.700000000001</v>
      </c>
      <c r="AB47" t="n">
        <v>10550.998</v>
      </c>
      <c r="AC47" t="n">
        <v>13801.915</v>
      </c>
      <c r="AD47" t="n">
        <v>14978.539</v>
      </c>
      <c r="AE47" t="n">
        <v>14121.913</v>
      </c>
      <c r="AF47" t="n">
        <v>13370.229</v>
      </c>
      <c r="AG47" t="n">
        <v>7689.444</v>
      </c>
      <c r="AH47" t="n">
        <v>12314.815</v>
      </c>
      <c r="AI47" t="n">
        <v>6689.588</v>
      </c>
      <c r="AJ47" t="n">
        <v>8989.196</v>
      </c>
      <c r="AK47" t="n">
        <v>9342.837</v>
      </c>
      <c r="AL47" t="n">
        <v>10729.845</v>
      </c>
      <c r="AM47" t="n">
        <v>10795.292</v>
      </c>
      <c r="AN47" t="n">
        <v>11216.537</v>
      </c>
      <c r="AO47" t="n">
        <v>10205.988</v>
      </c>
      <c r="AP47" t="n">
        <v>9289.949000000001</v>
      </c>
      <c r="AQ47" t="n">
        <v>14428.232</v>
      </c>
      <c r="AR47" t="n">
        <v>16343.026</v>
      </c>
      <c r="AS47" t="n">
        <v>12896.043</v>
      </c>
      <c r="AT47" t="n">
        <v>16155.216</v>
      </c>
      <c r="AU47" t="n">
        <v>13929.292</v>
      </c>
      <c r="AV47" t="n">
        <v>12515.507</v>
      </c>
      <c r="AW47" t="n">
        <v>13556.271</v>
      </c>
      <c r="AX47" t="n">
        <v>11448.87</v>
      </c>
      <c r="AY47" t="n">
        <v>10106.505</v>
      </c>
      <c r="AZ47" t="n">
        <v>10555.226</v>
      </c>
      <c r="BA47" t="n">
        <v>11022.205</v>
      </c>
      <c r="BB47" t="n">
        <v>17057.879</v>
      </c>
      <c r="BC47" t="n">
        <v>13807.935</v>
      </c>
      <c r="BD47" t="n">
        <v>16919.091</v>
      </c>
      <c r="BE47" t="n">
        <v>17324.918</v>
      </c>
      <c r="BF47" t="n">
        <v>18307.515</v>
      </c>
      <c r="BG47" t="n">
        <v>19014.901</v>
      </c>
      <c r="BH47" t="n">
        <v>16792.062</v>
      </c>
      <c r="BI47" t="n">
        <v>16797.707</v>
      </c>
      <c r="BJ47" t="n">
        <v>18955.634</v>
      </c>
      <c r="BK47" t="n">
        <v>20870.298</v>
      </c>
      <c r="BL47" t="n">
        <v>21736.812</v>
      </c>
      <c r="BM47" t="n">
        <v>22699.133</v>
      </c>
      <c r="BN47" t="n">
        <v>22980.115</v>
      </c>
      <c r="BO47" t="n">
        <v>23601.579</v>
      </c>
      <c r="BP47" t="n">
        <v>23751.648</v>
      </c>
      <c r="BQ47" t="n">
        <v>24213.75</v>
      </c>
      <c r="BR47" t="n">
        <v>24803.283</v>
      </c>
      <c r="BS47" t="n">
        <v>24477.045</v>
      </c>
      <c r="BT47" t="n">
        <v>24930.592</v>
      </c>
      <c r="BU47" t="n">
        <v>25115.775</v>
      </c>
      <c r="BV47" t="n">
        <v>25338.116</v>
      </c>
    </row>
    <row r="48">
      <c r="A48" t="inlineStr">
        <is>
          <t>Scomberomorus guttatus</t>
        </is>
      </c>
      <c r="B48" t="inlineStr">
        <is>
          <t>Indo-Pacific king mackerel</t>
        </is>
      </c>
      <c r="C48" t="inlineStr">
        <is>
          <t>Medium pelagics (30 - 89 cm)</t>
        </is>
      </c>
      <c r="D48" t="inlineStr">
        <is>
          <t>Perch-likes</t>
        </is>
      </c>
      <c r="E48" t="n">
        <v>2659.93</v>
      </c>
      <c r="F48" t="n">
        <v>2672.823</v>
      </c>
      <c r="G48" t="n">
        <v>2677.656</v>
      </c>
      <c r="H48" t="n">
        <v>2766.649</v>
      </c>
      <c r="I48" t="n">
        <v>2784.612</v>
      </c>
      <c r="J48" t="n">
        <v>2805.642</v>
      </c>
      <c r="K48" t="n">
        <v>2794.744</v>
      </c>
      <c r="L48" t="n">
        <v>2856.172</v>
      </c>
      <c r="M48" t="n">
        <v>2835.697</v>
      </c>
      <c r="N48" t="n">
        <v>2870.612</v>
      </c>
      <c r="O48" t="n">
        <v>2917.751</v>
      </c>
      <c r="P48" t="n">
        <v>2908.335</v>
      </c>
      <c r="Q48" t="n">
        <v>3037.044</v>
      </c>
      <c r="R48" t="n">
        <v>3081.752</v>
      </c>
      <c r="S48" t="n">
        <v>3085.286</v>
      </c>
      <c r="T48" t="n">
        <v>3111.404</v>
      </c>
      <c r="U48" t="n">
        <v>3250.291</v>
      </c>
      <c r="V48" t="n">
        <v>3252.049</v>
      </c>
      <c r="W48" t="n">
        <v>3285.063</v>
      </c>
      <c r="X48" t="n">
        <v>3325.372</v>
      </c>
      <c r="Y48" t="n">
        <v>3317.559</v>
      </c>
      <c r="Z48" t="n">
        <v>3336.078</v>
      </c>
      <c r="AA48" t="n">
        <v>3486.472</v>
      </c>
      <c r="AB48" t="n">
        <v>3556.253</v>
      </c>
      <c r="AC48" t="n">
        <v>3596.082</v>
      </c>
      <c r="AD48" t="n">
        <v>3700.645</v>
      </c>
      <c r="AE48" t="n">
        <v>3799.369</v>
      </c>
      <c r="AF48" t="n">
        <v>4136.133</v>
      </c>
      <c r="AG48" t="n">
        <v>4026.123</v>
      </c>
      <c r="AH48" t="n">
        <v>4081.245</v>
      </c>
      <c r="AI48" t="n">
        <v>5038.821</v>
      </c>
      <c r="AJ48" t="n">
        <v>13080.276</v>
      </c>
      <c r="AK48" t="n">
        <v>15138.341</v>
      </c>
      <c r="AL48" t="n">
        <v>15834.198</v>
      </c>
      <c r="AM48" t="n">
        <v>17613.786</v>
      </c>
      <c r="AN48" t="n">
        <v>19709.868</v>
      </c>
      <c r="AO48" t="n">
        <v>11513.14</v>
      </c>
      <c r="AP48" t="n">
        <v>15350.009</v>
      </c>
      <c r="AQ48" t="n">
        <v>18851.175</v>
      </c>
      <c r="AR48" t="n">
        <v>22394.528</v>
      </c>
      <c r="AS48" t="n">
        <v>17458.529</v>
      </c>
      <c r="AT48" t="n">
        <v>23615.62</v>
      </c>
      <c r="AU48" t="n">
        <v>20019.772</v>
      </c>
      <c r="AV48" t="n">
        <v>22853.115</v>
      </c>
      <c r="AW48" t="n">
        <v>20125.687</v>
      </c>
      <c r="AX48" t="n">
        <v>24327.464</v>
      </c>
      <c r="AY48" t="n">
        <v>20764.304</v>
      </c>
      <c r="AZ48" t="n">
        <v>20870.953</v>
      </c>
      <c r="BA48" t="n">
        <v>30724.512</v>
      </c>
      <c r="BB48" t="n">
        <v>18246.284</v>
      </c>
      <c r="BC48" t="n">
        <v>20369.373</v>
      </c>
      <c r="BD48" t="n">
        <v>18032.657</v>
      </c>
      <c r="BE48" t="n">
        <v>20518.747</v>
      </c>
      <c r="BF48" t="n">
        <v>16853.28</v>
      </c>
      <c r="BG48" t="n">
        <v>17575.615</v>
      </c>
      <c r="BH48" t="n">
        <v>15490.103</v>
      </c>
      <c r="BI48" t="n">
        <v>15838.234</v>
      </c>
      <c r="BJ48" t="n">
        <v>22799.207</v>
      </c>
      <c r="BK48" t="n">
        <v>24935.024</v>
      </c>
      <c r="BL48" t="n">
        <v>19864.768</v>
      </c>
      <c r="BM48" t="n">
        <v>16982.935</v>
      </c>
      <c r="BN48" t="n">
        <v>18621.6</v>
      </c>
      <c r="BO48" t="n">
        <v>18022.261</v>
      </c>
      <c r="BP48" t="n">
        <v>17293.823</v>
      </c>
      <c r="BQ48" t="n">
        <v>21109.933</v>
      </c>
      <c r="BR48" t="n">
        <v>20141.216</v>
      </c>
      <c r="BS48" t="n">
        <v>20775.355</v>
      </c>
      <c r="BT48" t="n">
        <v>20841.605</v>
      </c>
      <c r="BU48" t="n">
        <v>24815.664</v>
      </c>
      <c r="BV48" t="n">
        <v>26024.869</v>
      </c>
    </row>
    <row r="49">
      <c r="A49" t="inlineStr">
        <is>
          <t>Lactarius lactarius</t>
        </is>
      </c>
      <c r="B49" t="inlineStr">
        <is>
          <t>False trevally</t>
        </is>
      </c>
      <c r="C49" t="inlineStr">
        <is>
          <t>Medium pelagics (30 - 89 cm)</t>
        </is>
      </c>
      <c r="D49" t="inlineStr">
        <is>
          <t>Perch-likes</t>
        </is>
      </c>
      <c r="E49" t="n">
        <v>4450.658</v>
      </c>
      <c r="F49" t="n">
        <v>7523.904</v>
      </c>
      <c r="G49" t="n">
        <v>3760.258</v>
      </c>
      <c r="H49" t="n">
        <v>1701.631</v>
      </c>
      <c r="I49" t="n">
        <v>6004.912</v>
      </c>
      <c r="J49" t="n">
        <v>1879.239</v>
      </c>
      <c r="K49" t="n">
        <v>3797.853</v>
      </c>
      <c r="L49" t="n">
        <v>4165.763</v>
      </c>
      <c r="M49" t="n">
        <v>5057.662</v>
      </c>
      <c r="N49" t="n">
        <v>4773.496</v>
      </c>
      <c r="O49" t="n">
        <v>8909.968999999999</v>
      </c>
      <c r="P49" t="n">
        <v>3717.617</v>
      </c>
      <c r="Q49" t="n">
        <v>3110.207</v>
      </c>
      <c r="R49" t="n">
        <v>5577.825</v>
      </c>
      <c r="S49" t="n">
        <v>6292.442</v>
      </c>
      <c r="T49" t="n">
        <v>7577.461</v>
      </c>
      <c r="U49" t="n">
        <v>8541.290999999999</v>
      </c>
      <c r="V49" t="n">
        <v>10505.156</v>
      </c>
      <c r="W49" t="n">
        <v>7078.035</v>
      </c>
      <c r="X49" t="n">
        <v>7581.208</v>
      </c>
      <c r="Y49" t="n">
        <v>8113.352</v>
      </c>
      <c r="Z49" t="n">
        <v>9992.428</v>
      </c>
      <c r="AA49" t="n">
        <v>12303.08</v>
      </c>
      <c r="AB49" t="n">
        <v>16941.051</v>
      </c>
      <c r="AC49" t="n">
        <v>11347.476</v>
      </c>
      <c r="AD49" t="n">
        <v>13021.2</v>
      </c>
      <c r="AE49" t="n">
        <v>16416.32</v>
      </c>
      <c r="AF49" t="n">
        <v>15214.755</v>
      </c>
      <c r="AG49" t="n">
        <v>11967.532</v>
      </c>
      <c r="AH49" t="n">
        <v>9099.343000000001</v>
      </c>
      <c r="AI49" t="n">
        <v>12753.871</v>
      </c>
      <c r="AJ49" t="n">
        <v>15603.885</v>
      </c>
      <c r="AK49" t="n">
        <v>20458.908</v>
      </c>
      <c r="AL49" t="n">
        <v>30744.324</v>
      </c>
      <c r="AM49" t="n">
        <v>25940.707</v>
      </c>
      <c r="AN49" t="n">
        <v>36286.013</v>
      </c>
      <c r="AO49" t="n">
        <v>26659.28</v>
      </c>
      <c r="AP49" t="n">
        <v>22693.046</v>
      </c>
      <c r="AQ49" t="n">
        <v>21959.796</v>
      </c>
      <c r="AR49" t="n">
        <v>15761.284</v>
      </c>
      <c r="AS49" t="n">
        <v>16409.768</v>
      </c>
      <c r="AT49" t="n">
        <v>18174.346</v>
      </c>
      <c r="AU49" t="n">
        <v>13042.692</v>
      </c>
      <c r="AV49" t="n">
        <v>12200.219</v>
      </c>
      <c r="AW49" t="n">
        <v>12804.567</v>
      </c>
      <c r="AX49" t="n">
        <v>12648.955</v>
      </c>
      <c r="AY49" t="n">
        <v>12957.445</v>
      </c>
      <c r="AZ49" t="n">
        <v>13771.513</v>
      </c>
      <c r="BA49" t="n">
        <v>15277.73</v>
      </c>
      <c r="BB49" t="n">
        <v>10339.845</v>
      </c>
      <c r="BC49" t="n">
        <v>11329.435</v>
      </c>
      <c r="BD49" t="n">
        <v>10157.915</v>
      </c>
      <c r="BE49" t="n">
        <v>8382.018</v>
      </c>
      <c r="BF49" t="n">
        <v>8447.494000000001</v>
      </c>
      <c r="BG49" t="n">
        <v>8875.731</v>
      </c>
      <c r="BH49" t="n">
        <v>6959.64</v>
      </c>
      <c r="BI49" t="n">
        <v>8368.808999999999</v>
      </c>
      <c r="BJ49" t="n">
        <v>9125.944</v>
      </c>
      <c r="BK49" t="n">
        <v>11587.118</v>
      </c>
      <c r="BL49" t="n">
        <v>16830.005</v>
      </c>
      <c r="BM49" t="n">
        <v>14905.167</v>
      </c>
      <c r="BN49" t="n">
        <v>12710.785</v>
      </c>
      <c r="BO49" t="n">
        <v>11558.64</v>
      </c>
      <c r="BP49" t="n">
        <v>10601.82</v>
      </c>
      <c r="BQ49" t="n">
        <v>10323.886</v>
      </c>
      <c r="BR49" t="n">
        <v>10741.911</v>
      </c>
      <c r="BS49" t="n">
        <v>9698.969999999999</v>
      </c>
      <c r="BT49" t="n">
        <v>6439.324</v>
      </c>
      <c r="BU49" t="n">
        <v>10148.529</v>
      </c>
      <c r="BV49" t="n">
        <v>8474.615</v>
      </c>
    </row>
    <row r="50">
      <c r="A50" t="inlineStr">
        <is>
          <t>Sparidae</t>
        </is>
      </c>
      <c r="B50" t="inlineStr">
        <is>
          <t>Porgies, seabreams</t>
        </is>
      </c>
      <c r="C50" t="inlineStr">
        <is>
          <t>Medium benthopelagics (30 - 89 cm)</t>
        </is>
      </c>
      <c r="D50" t="inlineStr">
        <is>
          <t>Perch-likes</t>
        </is>
      </c>
      <c r="E50" t="n">
        <v>2575.198</v>
      </c>
      <c r="F50" t="n">
        <v>2580.965</v>
      </c>
      <c r="G50" t="n">
        <v>2763.311</v>
      </c>
      <c r="H50" t="n">
        <v>2962.531</v>
      </c>
      <c r="I50" t="n">
        <v>3006.657</v>
      </c>
      <c r="J50" t="n">
        <v>3313.123</v>
      </c>
      <c r="K50" t="n">
        <v>3382.14</v>
      </c>
      <c r="L50" t="n">
        <v>3437.125</v>
      </c>
      <c r="M50" t="n">
        <v>3474.604</v>
      </c>
      <c r="N50" t="n">
        <v>3661.261</v>
      </c>
      <c r="O50" t="n">
        <v>3722.743</v>
      </c>
      <c r="P50" t="n">
        <v>3766.195</v>
      </c>
      <c r="Q50" t="n">
        <v>4005.449</v>
      </c>
      <c r="R50" t="n">
        <v>4075.912</v>
      </c>
      <c r="S50" t="n">
        <v>4115.307</v>
      </c>
      <c r="T50" t="n">
        <v>4256.569</v>
      </c>
      <c r="U50" t="n">
        <v>4485.203</v>
      </c>
      <c r="V50" t="n">
        <v>5906.576</v>
      </c>
      <c r="W50" t="n">
        <v>4812.441</v>
      </c>
      <c r="X50" t="n">
        <v>5631.513</v>
      </c>
      <c r="Y50" t="n">
        <v>7518.999</v>
      </c>
      <c r="Z50" t="n">
        <v>6150.777</v>
      </c>
      <c r="AA50" t="n">
        <v>6919.067</v>
      </c>
      <c r="AB50" t="n">
        <v>7499.686</v>
      </c>
      <c r="AC50" t="n">
        <v>7331.751</v>
      </c>
      <c r="AD50" t="n">
        <v>7305.372</v>
      </c>
      <c r="AE50" t="n">
        <v>7975.664</v>
      </c>
      <c r="AF50" t="n">
        <v>8072.396</v>
      </c>
      <c r="AG50" t="n">
        <v>8790.069</v>
      </c>
      <c r="AH50" t="n">
        <v>10309.958</v>
      </c>
      <c r="AI50" t="n">
        <v>6991.317</v>
      </c>
      <c r="AJ50" t="n">
        <v>8688.846</v>
      </c>
      <c r="AK50" t="n">
        <v>12326.9</v>
      </c>
      <c r="AL50" t="n">
        <v>12755.965</v>
      </c>
      <c r="AM50" t="n">
        <v>12977.559</v>
      </c>
      <c r="AN50" t="n">
        <v>15928.901</v>
      </c>
      <c r="AO50" t="n">
        <v>16118.668</v>
      </c>
      <c r="AP50" t="n">
        <v>15602.007</v>
      </c>
      <c r="AQ50" t="n">
        <v>17213.364</v>
      </c>
      <c r="AR50" t="n">
        <v>15364.253</v>
      </c>
      <c r="AS50" t="n">
        <v>16784.181</v>
      </c>
      <c r="AT50" t="n">
        <v>17046.427</v>
      </c>
      <c r="AU50" t="n">
        <v>15883.433</v>
      </c>
      <c r="AV50" t="n">
        <v>16042.007</v>
      </c>
      <c r="AW50" t="n">
        <v>15063.044</v>
      </c>
      <c r="AX50" t="n">
        <v>16804.206</v>
      </c>
      <c r="AY50" t="n">
        <v>16228.955</v>
      </c>
      <c r="AZ50" t="n">
        <v>16246.972</v>
      </c>
      <c r="BA50" t="n">
        <v>11083.486</v>
      </c>
      <c r="BB50" t="n">
        <v>14849.37</v>
      </c>
      <c r="BC50" t="n">
        <v>14595.037</v>
      </c>
      <c r="BD50" t="n">
        <v>13861.62</v>
      </c>
      <c r="BE50" t="n">
        <v>21150.002</v>
      </c>
      <c r="BF50" t="n">
        <v>16605.746</v>
      </c>
      <c r="BG50" t="n">
        <v>19585.14</v>
      </c>
      <c r="BH50" t="n">
        <v>17537.417</v>
      </c>
      <c r="BI50" t="n">
        <v>15686.776</v>
      </c>
      <c r="BJ50" t="n">
        <v>16052.989</v>
      </c>
      <c r="BK50" t="n">
        <v>17202.671</v>
      </c>
      <c r="BL50" t="n">
        <v>19937.073</v>
      </c>
      <c r="BM50" t="n">
        <v>20458.15</v>
      </c>
      <c r="BN50" t="n">
        <v>12214.431</v>
      </c>
      <c r="BO50" t="n">
        <v>11223.109</v>
      </c>
      <c r="BP50" t="n">
        <v>13007.733</v>
      </c>
      <c r="BQ50" t="n">
        <v>15270.424</v>
      </c>
      <c r="BR50" t="n">
        <v>17211.914</v>
      </c>
      <c r="BS50" t="n">
        <v>21235.675</v>
      </c>
      <c r="BT50" t="n">
        <v>16972.566</v>
      </c>
      <c r="BU50" t="n">
        <v>15428.911</v>
      </c>
      <c r="BV50" t="n">
        <v>12499.483</v>
      </c>
    </row>
    <row r="51">
      <c r="A51" t="inlineStr">
        <is>
          <t>Scomberoides commersonnianus</t>
        </is>
      </c>
      <c r="B51" t="inlineStr">
        <is>
          <t>Talang queenfish</t>
        </is>
      </c>
      <c r="C51" t="inlineStr">
        <is>
          <t>Large reef assoc. fish (&gt;=90 cm)</t>
        </is>
      </c>
      <c r="D51" t="inlineStr">
        <is>
          <t>Perch-likes</t>
        </is>
      </c>
      <c r="E51" t="n">
        <v>2703.815</v>
      </c>
      <c r="F51" t="n">
        <v>2733.294</v>
      </c>
      <c r="G51" t="n">
        <v>2772.702</v>
      </c>
      <c r="H51" t="n">
        <v>2866.432</v>
      </c>
      <c r="I51" t="n">
        <v>2925.121</v>
      </c>
      <c r="J51" t="n">
        <v>2981.636</v>
      </c>
      <c r="K51" t="n">
        <v>2965.293</v>
      </c>
      <c r="L51" t="n">
        <v>3097.252</v>
      </c>
      <c r="M51" t="n">
        <v>3179.68</v>
      </c>
      <c r="N51" t="n">
        <v>3243.227</v>
      </c>
      <c r="O51" t="n">
        <v>3467.734</v>
      </c>
      <c r="P51" t="n">
        <v>3445.224</v>
      </c>
      <c r="Q51" t="n">
        <v>3035.111</v>
      </c>
      <c r="R51" t="n">
        <v>3585.772</v>
      </c>
      <c r="S51" t="n">
        <v>4067.344</v>
      </c>
      <c r="T51" t="n">
        <v>4215.823</v>
      </c>
      <c r="U51" t="n">
        <v>4121.358</v>
      </c>
      <c r="V51" t="n">
        <v>4687.748</v>
      </c>
      <c r="W51" t="n">
        <v>4212.066</v>
      </c>
      <c r="X51" t="n">
        <v>3074.497</v>
      </c>
      <c r="Y51" t="n">
        <v>4755.494</v>
      </c>
      <c r="Z51" t="n">
        <v>3667.723</v>
      </c>
      <c r="AA51" t="n">
        <v>3717.32</v>
      </c>
      <c r="AB51" t="n">
        <v>4234.796</v>
      </c>
      <c r="AC51" t="n">
        <v>4834.384</v>
      </c>
      <c r="AD51" t="n">
        <v>5286.701</v>
      </c>
      <c r="AE51" t="n">
        <v>5707.371</v>
      </c>
      <c r="AF51" t="n">
        <v>5440.391</v>
      </c>
      <c r="AG51" t="n">
        <v>4834.028</v>
      </c>
      <c r="AH51" t="n">
        <v>5169.767</v>
      </c>
      <c r="AI51" t="n">
        <v>4754.281</v>
      </c>
      <c r="AJ51" t="n">
        <v>4798.232</v>
      </c>
      <c r="AK51" t="n">
        <v>5726.963</v>
      </c>
      <c r="AL51" t="n">
        <v>5876.753</v>
      </c>
      <c r="AM51" t="n">
        <v>6001.375</v>
      </c>
      <c r="AN51" t="n">
        <v>6100.058</v>
      </c>
      <c r="AO51" t="n">
        <v>6625.596</v>
      </c>
      <c r="AP51" t="n">
        <v>7573.703</v>
      </c>
      <c r="AQ51" t="n">
        <v>8020.712</v>
      </c>
      <c r="AR51" t="n">
        <v>8301.385</v>
      </c>
      <c r="AS51" t="n">
        <v>7696.028</v>
      </c>
      <c r="AT51" t="n">
        <v>9477.154</v>
      </c>
      <c r="AU51" t="n">
        <v>9847.467000000001</v>
      </c>
      <c r="AV51" t="n">
        <v>9202.975</v>
      </c>
      <c r="AW51" t="n">
        <v>9822.063</v>
      </c>
      <c r="AX51" t="n">
        <v>9662.558000000001</v>
      </c>
      <c r="AY51" t="n">
        <v>9668.852000000001</v>
      </c>
      <c r="AZ51" t="n">
        <v>12841.308</v>
      </c>
      <c r="BA51" t="n">
        <v>8695.360000000001</v>
      </c>
      <c r="BB51" t="n">
        <v>10715.131</v>
      </c>
      <c r="BC51" t="n">
        <v>11396.274</v>
      </c>
      <c r="BD51" t="n">
        <v>12317.977</v>
      </c>
      <c r="BE51" t="n">
        <v>12995.132</v>
      </c>
      <c r="BF51" t="n">
        <v>14027.158</v>
      </c>
      <c r="BG51" t="n">
        <v>16892.766</v>
      </c>
      <c r="BH51" t="n">
        <v>15902.469</v>
      </c>
      <c r="BI51" t="n">
        <v>18645.515</v>
      </c>
      <c r="BJ51" t="n">
        <v>17808.515</v>
      </c>
      <c r="BK51" t="n">
        <v>20876.376</v>
      </c>
      <c r="BL51" t="n">
        <v>16583.901</v>
      </c>
      <c r="BM51" t="n">
        <v>17645.063</v>
      </c>
      <c r="BN51" t="n">
        <v>19912.464</v>
      </c>
      <c r="BO51" t="n">
        <v>21725.453</v>
      </c>
      <c r="BP51" t="n">
        <v>25006.763</v>
      </c>
      <c r="BQ51" t="n">
        <v>24880.039</v>
      </c>
      <c r="BR51" t="n">
        <v>32662.713</v>
      </c>
      <c r="BS51" t="n">
        <v>33318.245</v>
      </c>
      <c r="BT51" t="n">
        <v>39043.402</v>
      </c>
      <c r="BU51" t="n">
        <v>48433.582</v>
      </c>
      <c r="BV51" t="n">
        <v>43941.162</v>
      </c>
    </row>
    <row r="52">
      <c r="A52" t="inlineStr">
        <is>
          <t>Sphyraena barracuda</t>
        </is>
      </c>
      <c r="B52" t="inlineStr">
        <is>
          <t>Great barracuda</t>
        </is>
      </c>
      <c r="C52" t="inlineStr">
        <is>
          <t>Large pelagics (&gt;=90 cm)</t>
        </is>
      </c>
      <c r="D52" t="inlineStr">
        <is>
          <t>Perch-likes</t>
        </is>
      </c>
      <c r="E52" t="n">
        <v>2830.341</v>
      </c>
      <c r="F52" t="n">
        <v>2892.949</v>
      </c>
      <c r="G52" t="n">
        <v>2974.777</v>
      </c>
      <c r="H52" t="n">
        <v>3120.563</v>
      </c>
      <c r="I52" t="n">
        <v>3193.003</v>
      </c>
      <c r="J52" t="n">
        <v>3273.321</v>
      </c>
      <c r="K52" t="n">
        <v>3333.657</v>
      </c>
      <c r="L52" t="n">
        <v>3438.705</v>
      </c>
      <c r="M52" t="n">
        <v>3561.137</v>
      </c>
      <c r="N52" t="n">
        <v>3605.66</v>
      </c>
      <c r="O52" t="n">
        <v>3747.934</v>
      </c>
      <c r="P52" t="n">
        <v>3800.07</v>
      </c>
      <c r="Q52" t="n">
        <v>3929.144</v>
      </c>
      <c r="R52" t="n">
        <v>4095.786</v>
      </c>
      <c r="S52" t="n">
        <v>4312.366</v>
      </c>
      <c r="T52" t="n">
        <v>4460.176</v>
      </c>
      <c r="U52" t="n">
        <v>4671.242</v>
      </c>
      <c r="V52" t="n">
        <v>4713.486</v>
      </c>
      <c r="W52" t="n">
        <v>4814.656</v>
      </c>
      <c r="X52" t="n">
        <v>4962.989</v>
      </c>
      <c r="Y52" t="n">
        <v>5058.387</v>
      </c>
      <c r="Z52" t="n">
        <v>5151.378</v>
      </c>
      <c r="AA52" t="n">
        <v>4831.679</v>
      </c>
      <c r="AB52" t="n">
        <v>4869.005</v>
      </c>
      <c r="AC52" t="n">
        <v>5077.903</v>
      </c>
      <c r="AD52" t="n">
        <v>5118.254</v>
      </c>
      <c r="AE52" t="n">
        <v>5223.52</v>
      </c>
      <c r="AF52" t="n">
        <v>5358.447</v>
      </c>
      <c r="AG52" t="n">
        <v>6456.619</v>
      </c>
      <c r="AH52" t="n">
        <v>7304.402</v>
      </c>
      <c r="AI52" t="n">
        <v>6296.877</v>
      </c>
      <c r="AJ52" t="n">
        <v>8942.938</v>
      </c>
      <c r="AK52" t="n">
        <v>9062.084000000001</v>
      </c>
      <c r="AL52" t="n">
        <v>9961.897999999999</v>
      </c>
      <c r="AM52" t="n">
        <v>9439.358</v>
      </c>
      <c r="AN52" t="n">
        <v>9468.422</v>
      </c>
      <c r="AO52" t="n">
        <v>9198.901</v>
      </c>
      <c r="AP52" t="n">
        <v>8999.662</v>
      </c>
      <c r="AQ52" t="n">
        <v>8940.385</v>
      </c>
      <c r="AR52" t="n">
        <v>9053.210999999999</v>
      </c>
      <c r="AS52" t="n">
        <v>8210.665999999999</v>
      </c>
      <c r="AT52" t="n">
        <v>7763.015</v>
      </c>
      <c r="AU52" t="n">
        <v>8435.496999999999</v>
      </c>
      <c r="AV52" t="n">
        <v>9531.433999999999</v>
      </c>
      <c r="AW52" t="n">
        <v>9154.066999999999</v>
      </c>
      <c r="AX52" t="n">
        <v>8956.772000000001</v>
      </c>
      <c r="AY52" t="n">
        <v>9500.192999999999</v>
      </c>
      <c r="AZ52" t="n">
        <v>9204.357</v>
      </c>
      <c r="BA52" t="n">
        <v>9270.273999999999</v>
      </c>
      <c r="BB52" t="n">
        <v>10214.246</v>
      </c>
      <c r="BC52" t="n">
        <v>12124.795</v>
      </c>
      <c r="BD52" t="n">
        <v>11762.943</v>
      </c>
      <c r="BE52" t="n">
        <v>12667.505</v>
      </c>
      <c r="BF52" t="n">
        <v>13919.953</v>
      </c>
      <c r="BG52" t="n">
        <v>14991.394</v>
      </c>
      <c r="BH52" t="n">
        <v>15644.878</v>
      </c>
      <c r="BI52" t="n">
        <v>16076.566</v>
      </c>
      <c r="BJ52" t="n">
        <v>17016.429</v>
      </c>
      <c r="BK52" t="n">
        <v>20001.485</v>
      </c>
      <c r="BL52" t="n">
        <v>20495.578</v>
      </c>
      <c r="BM52" t="n">
        <v>20282.349</v>
      </c>
      <c r="BN52" t="n">
        <v>24412.421</v>
      </c>
      <c r="BO52" t="n">
        <v>27320.901</v>
      </c>
      <c r="BP52" t="n">
        <v>28180.739</v>
      </c>
      <c r="BQ52" t="n">
        <v>25948.37</v>
      </c>
      <c r="BR52" t="n">
        <v>27376.261</v>
      </c>
      <c r="BS52" t="n">
        <v>26917.966</v>
      </c>
      <c r="BT52" t="n">
        <v>29750.123</v>
      </c>
      <c r="BU52" t="n">
        <v>33393.97</v>
      </c>
      <c r="BV52" t="n">
        <v>30840.749</v>
      </c>
    </row>
    <row r="53">
      <c r="A53" t="inlineStr">
        <is>
          <t>Lethrinus nebulosus</t>
        </is>
      </c>
      <c r="B53" t="inlineStr">
        <is>
          <t>Spangled emperor</t>
        </is>
      </c>
      <c r="C53" t="inlineStr">
        <is>
          <t>Medium demersals (30 - 89 cm)</t>
        </is>
      </c>
      <c r="D53" t="inlineStr">
        <is>
          <t>Perch-likes</t>
        </is>
      </c>
      <c r="E53" t="n">
        <v>2853.954</v>
      </c>
      <c r="F53" t="n">
        <v>2851.429</v>
      </c>
      <c r="G53" t="n">
        <v>3206.687</v>
      </c>
      <c r="H53" t="n">
        <v>3544.283</v>
      </c>
      <c r="I53" t="n">
        <v>3545.805</v>
      </c>
      <c r="J53" t="n">
        <v>4224.822</v>
      </c>
      <c r="K53" t="n">
        <v>4220.487</v>
      </c>
      <c r="L53" t="n">
        <v>4237.178</v>
      </c>
      <c r="M53" t="n">
        <v>4236.089</v>
      </c>
      <c r="N53" t="n">
        <v>4578.986</v>
      </c>
      <c r="O53" t="n">
        <v>4610.278</v>
      </c>
      <c r="P53" t="n">
        <v>4634.784</v>
      </c>
      <c r="Q53" t="n">
        <v>4986.809</v>
      </c>
      <c r="R53" t="n">
        <v>5013.098</v>
      </c>
      <c r="S53" t="n">
        <v>4998.789</v>
      </c>
      <c r="T53" t="n">
        <v>5364.814</v>
      </c>
      <c r="U53" t="n">
        <v>5753.705</v>
      </c>
      <c r="V53" t="n">
        <v>5772.411</v>
      </c>
      <c r="W53" t="n">
        <v>5785.267</v>
      </c>
      <c r="X53" t="n">
        <v>6099.682</v>
      </c>
      <c r="Y53" t="n">
        <v>6563.523</v>
      </c>
      <c r="Z53" t="n">
        <v>6875.682</v>
      </c>
      <c r="AA53" t="n">
        <v>7179.507</v>
      </c>
      <c r="AB53" t="n">
        <v>7505.757</v>
      </c>
      <c r="AC53" t="n">
        <v>8044.502</v>
      </c>
      <c r="AD53" t="n">
        <v>8358.023999999999</v>
      </c>
      <c r="AE53" t="n">
        <v>8264.102999999999</v>
      </c>
      <c r="AF53" t="n">
        <v>8211.516</v>
      </c>
      <c r="AG53" t="n">
        <v>7861.943</v>
      </c>
      <c r="AH53" t="n">
        <v>7755.321</v>
      </c>
      <c r="AI53" t="n">
        <v>7711.86</v>
      </c>
      <c r="AJ53" t="n">
        <v>7306.565</v>
      </c>
      <c r="AK53" t="n">
        <v>7579.704</v>
      </c>
      <c r="AL53" t="n">
        <v>8751.539000000001</v>
      </c>
      <c r="AM53" t="n">
        <v>8590.074000000001</v>
      </c>
      <c r="AN53" t="n">
        <v>7852.45</v>
      </c>
      <c r="AO53" t="n">
        <v>8013.696</v>
      </c>
      <c r="AP53" t="n">
        <v>9742.397000000001</v>
      </c>
      <c r="AQ53" t="n">
        <v>12893.201</v>
      </c>
      <c r="AR53" t="n">
        <v>10158.85</v>
      </c>
      <c r="AS53" t="n">
        <v>9737.075000000001</v>
      </c>
      <c r="AT53" t="n">
        <v>9751.797</v>
      </c>
      <c r="AU53" t="n">
        <v>9650.205</v>
      </c>
      <c r="AV53" t="n">
        <v>9272.103999999999</v>
      </c>
      <c r="AW53" t="n">
        <v>9248.046</v>
      </c>
      <c r="AX53" t="n">
        <v>10484</v>
      </c>
      <c r="AY53" t="n">
        <v>9309.67</v>
      </c>
      <c r="AZ53" t="n">
        <v>8928.141</v>
      </c>
      <c r="BA53" t="n">
        <v>9246.241</v>
      </c>
      <c r="BB53" t="n">
        <v>9868.721</v>
      </c>
      <c r="BC53" t="n">
        <v>10759.337</v>
      </c>
      <c r="BD53" t="n">
        <v>10637.567</v>
      </c>
      <c r="BE53" t="n">
        <v>12301.451</v>
      </c>
      <c r="BF53" t="n">
        <v>14528.07</v>
      </c>
      <c r="BG53" t="n">
        <v>15865.75</v>
      </c>
      <c r="BH53" t="n">
        <v>15403.875</v>
      </c>
      <c r="BI53" t="n">
        <v>14491.359</v>
      </c>
      <c r="BJ53" t="n">
        <v>18084.975</v>
      </c>
      <c r="BK53" t="n">
        <v>18504.159</v>
      </c>
      <c r="BL53" t="n">
        <v>18054.691</v>
      </c>
      <c r="BM53" t="n">
        <v>19465.103</v>
      </c>
      <c r="BN53" t="n">
        <v>18541.615</v>
      </c>
      <c r="BO53" t="n">
        <v>21240.48</v>
      </c>
      <c r="BP53" t="n">
        <v>24048.465</v>
      </c>
      <c r="BQ53" t="n">
        <v>21965.665</v>
      </c>
      <c r="BR53" t="n">
        <v>23782.788</v>
      </c>
      <c r="BS53" t="n">
        <v>26170.534</v>
      </c>
      <c r="BT53" t="n">
        <v>28097.904</v>
      </c>
      <c r="BU53" t="n">
        <v>26176.363</v>
      </c>
      <c r="BV53" t="n">
        <v>26837.734</v>
      </c>
    </row>
    <row r="54">
      <c r="A54" t="inlineStr">
        <is>
          <t>Lethrinidae</t>
        </is>
      </c>
      <c r="B54" t="inlineStr">
        <is>
          <t>Emperors, scavengers</t>
        </is>
      </c>
      <c r="C54" t="inlineStr">
        <is>
          <t>Medium reef assoc. fish (30 - 89 cm)</t>
        </is>
      </c>
      <c r="D54" t="inlineStr">
        <is>
          <t>Perch-likes</t>
        </is>
      </c>
      <c r="E54" t="n">
        <v>1638.606</v>
      </c>
      <c r="F54" t="n">
        <v>1632.335</v>
      </c>
      <c r="G54" t="n">
        <v>1838.958</v>
      </c>
      <c r="H54" t="n">
        <v>1898.582</v>
      </c>
      <c r="I54" t="n">
        <v>2004.378</v>
      </c>
      <c r="J54" t="n">
        <v>2196.021</v>
      </c>
      <c r="K54" t="n">
        <v>2211.239</v>
      </c>
      <c r="L54" t="n">
        <v>2460.44</v>
      </c>
      <c r="M54" t="n">
        <v>2449.648</v>
      </c>
      <c r="N54" t="n">
        <v>2849.739</v>
      </c>
      <c r="O54" t="n">
        <v>2886.551</v>
      </c>
      <c r="P54" t="n">
        <v>3449.465</v>
      </c>
      <c r="Q54" t="n">
        <v>3885.935</v>
      </c>
      <c r="R54" t="n">
        <v>3979.043</v>
      </c>
      <c r="S54" t="n">
        <v>3672.858</v>
      </c>
      <c r="T54" t="n">
        <v>3681.411</v>
      </c>
      <c r="U54" t="n">
        <v>3878.739</v>
      </c>
      <c r="V54" t="n">
        <v>3588.28</v>
      </c>
      <c r="W54" t="n">
        <v>3383.905</v>
      </c>
      <c r="X54" t="n">
        <v>3360.926</v>
      </c>
      <c r="Y54" t="n">
        <v>3567.711</v>
      </c>
      <c r="Z54" t="n">
        <v>3842.131</v>
      </c>
      <c r="AA54" t="n">
        <v>3986.987</v>
      </c>
      <c r="AB54" t="n">
        <v>4529.658</v>
      </c>
      <c r="AC54" t="n">
        <v>4910.064</v>
      </c>
      <c r="AD54" t="n">
        <v>4823.57</v>
      </c>
      <c r="AE54" t="n">
        <v>4711.809</v>
      </c>
      <c r="AF54" t="n">
        <v>4670.933</v>
      </c>
      <c r="AG54" t="n">
        <v>4828.719</v>
      </c>
      <c r="AH54" t="n">
        <v>5130.211</v>
      </c>
      <c r="AI54" t="n">
        <v>5515.051</v>
      </c>
      <c r="AJ54" t="n">
        <v>6173.228</v>
      </c>
      <c r="AK54" t="n">
        <v>5187.905</v>
      </c>
      <c r="AL54" t="n">
        <v>8231.883</v>
      </c>
      <c r="AM54" t="n">
        <v>9639.338</v>
      </c>
      <c r="AN54" t="n">
        <v>8981.947</v>
      </c>
      <c r="AO54" t="n">
        <v>9114.825999999999</v>
      </c>
      <c r="AP54" t="n">
        <v>11676.897</v>
      </c>
      <c r="AQ54" t="n">
        <v>12069.72</v>
      </c>
      <c r="AR54" t="n">
        <v>11409.937</v>
      </c>
      <c r="AS54" t="n">
        <v>11554.053</v>
      </c>
      <c r="AT54" t="n">
        <v>11474.063</v>
      </c>
      <c r="AU54" t="n">
        <v>13020.204</v>
      </c>
      <c r="AV54" t="n">
        <v>12624.171</v>
      </c>
      <c r="AW54" t="n">
        <v>13576.684</v>
      </c>
      <c r="AX54" t="n">
        <v>13954.717</v>
      </c>
      <c r="AY54" t="n">
        <v>15754.495</v>
      </c>
      <c r="AZ54" t="n">
        <v>17990.297</v>
      </c>
      <c r="BA54" t="n">
        <v>17410.229</v>
      </c>
      <c r="BB54" t="n">
        <v>17355.865</v>
      </c>
      <c r="BC54" t="n">
        <v>16316.181</v>
      </c>
      <c r="BD54" t="n">
        <v>22532.912</v>
      </c>
      <c r="BE54" t="n">
        <v>20867.437</v>
      </c>
      <c r="BF54" t="n">
        <v>23739.085</v>
      </c>
      <c r="BG54" t="n">
        <v>26009.871</v>
      </c>
      <c r="BH54" t="n">
        <v>24564.966</v>
      </c>
      <c r="BI54" t="n">
        <v>28010.367</v>
      </c>
      <c r="BJ54" t="n">
        <v>15851.244</v>
      </c>
      <c r="BK54" t="n">
        <v>16982.225</v>
      </c>
      <c r="BL54" t="n">
        <v>22453.452</v>
      </c>
      <c r="BM54" t="n">
        <v>16608.031</v>
      </c>
      <c r="BN54" t="n">
        <v>17532.505</v>
      </c>
      <c r="BO54" t="n">
        <v>18906.986</v>
      </c>
      <c r="BP54" t="n">
        <v>19565.535</v>
      </c>
      <c r="BQ54" t="n">
        <v>19816.614</v>
      </c>
      <c r="BR54" t="n">
        <v>18585.225</v>
      </c>
      <c r="BS54" t="n">
        <v>19204.832</v>
      </c>
      <c r="BT54" t="n">
        <v>18064.65</v>
      </c>
      <c r="BU54" t="n">
        <v>17391.377</v>
      </c>
      <c r="BV54" t="n">
        <v>17566.194</v>
      </c>
    </row>
    <row r="55">
      <c r="A55" t="inlineStr">
        <is>
          <t>Sardinella sindensis</t>
        </is>
      </c>
      <c r="B55" t="inlineStr">
        <is>
          <t>Sind sardinella</t>
        </is>
      </c>
      <c r="C55" t="inlineStr">
        <is>
          <t>Small pelagics (&lt;30 cm)</t>
        </is>
      </c>
      <c r="D55" t="inlineStr">
        <is>
          <t>Herring-likes</t>
        </is>
      </c>
      <c r="E55" t="n">
        <v>542.328</v>
      </c>
      <c r="F55" t="n">
        <v>555.8869999999999</v>
      </c>
      <c r="G55" t="n">
        <v>569.4450000000001</v>
      </c>
      <c r="H55" t="n">
        <v>4538.69</v>
      </c>
      <c r="I55" t="n">
        <v>4814.672</v>
      </c>
      <c r="J55" t="n">
        <v>5163.765</v>
      </c>
      <c r="K55" t="n">
        <v>5902.137</v>
      </c>
      <c r="L55" t="n">
        <v>2161.858</v>
      </c>
      <c r="M55" t="n">
        <v>3555.185</v>
      </c>
      <c r="N55" t="n">
        <v>3631.243</v>
      </c>
      <c r="O55" t="n">
        <v>4321.058</v>
      </c>
      <c r="P55" t="n">
        <v>4294.332</v>
      </c>
      <c r="Q55" t="n">
        <v>1666.237</v>
      </c>
      <c r="R55" t="n">
        <v>2564.671</v>
      </c>
      <c r="S55" t="n">
        <v>3585.951</v>
      </c>
      <c r="T55" t="n">
        <v>4136.907</v>
      </c>
      <c r="U55" t="n">
        <v>5148.276</v>
      </c>
      <c r="V55" t="n">
        <v>4733.11</v>
      </c>
      <c r="W55" t="n">
        <v>3622.646</v>
      </c>
      <c r="X55" t="n">
        <v>4203.66</v>
      </c>
      <c r="Y55" t="n">
        <v>4650.315</v>
      </c>
      <c r="Z55" t="n">
        <v>3913.668</v>
      </c>
      <c r="AA55" t="n">
        <v>4391.394</v>
      </c>
      <c r="AB55" t="n">
        <v>4958.685</v>
      </c>
      <c r="AC55" t="n">
        <v>3897.544</v>
      </c>
      <c r="AD55" t="n">
        <v>4056.698</v>
      </c>
      <c r="AE55" t="n">
        <v>4465.054</v>
      </c>
      <c r="AF55" t="n">
        <v>6293.739</v>
      </c>
      <c r="AG55" t="n">
        <v>19580.643</v>
      </c>
      <c r="AH55" t="n">
        <v>10835.378</v>
      </c>
      <c r="AI55" t="n">
        <v>14264.423</v>
      </c>
      <c r="AJ55" t="n">
        <v>14901.928</v>
      </c>
      <c r="AK55" t="n">
        <v>12632.686</v>
      </c>
      <c r="AL55" t="n">
        <v>2720.779</v>
      </c>
      <c r="AM55" t="n">
        <v>2954.96</v>
      </c>
      <c r="AN55" t="n">
        <v>3861.86</v>
      </c>
      <c r="AO55" t="n">
        <v>4694.838</v>
      </c>
      <c r="AP55" t="n">
        <v>10942.861</v>
      </c>
      <c r="AQ55" t="n">
        <v>12279.58</v>
      </c>
      <c r="AR55" t="n">
        <v>11870.476</v>
      </c>
      <c r="AS55" t="n">
        <v>23916.767</v>
      </c>
      <c r="AT55" t="n">
        <v>23679.437</v>
      </c>
      <c r="AU55" t="n">
        <v>26076.462</v>
      </c>
      <c r="AV55" t="n">
        <v>32846.438</v>
      </c>
      <c r="AW55" t="n">
        <v>20479.779</v>
      </c>
      <c r="AX55" t="n">
        <v>20744.005</v>
      </c>
      <c r="AY55" t="n">
        <v>18821.986</v>
      </c>
      <c r="AZ55" t="n">
        <v>19015.969</v>
      </c>
      <c r="BA55" t="n">
        <v>16641.664</v>
      </c>
      <c r="BB55" t="n">
        <v>14703.754</v>
      </c>
      <c r="BC55" t="n">
        <v>14317.626</v>
      </c>
      <c r="BD55" t="n">
        <v>13898.824</v>
      </c>
      <c r="BE55" t="n">
        <v>13743.249</v>
      </c>
      <c r="BF55" t="n">
        <v>13354.514</v>
      </c>
      <c r="BG55" t="n">
        <v>17464.585</v>
      </c>
      <c r="BH55" t="n">
        <v>14607.649</v>
      </c>
      <c r="BI55" t="n">
        <v>15992.277</v>
      </c>
      <c r="BJ55" t="n">
        <v>15190.001</v>
      </c>
      <c r="BK55" t="n">
        <v>14895.745</v>
      </c>
      <c r="BL55" t="n">
        <v>13238.239</v>
      </c>
      <c r="BM55" t="n">
        <v>13128.563</v>
      </c>
      <c r="BN55" t="n">
        <v>13449.135</v>
      </c>
      <c r="BO55" t="n">
        <v>14513.814</v>
      </c>
      <c r="BP55" t="n">
        <v>14458.912</v>
      </c>
      <c r="BQ55" t="n">
        <v>14136.394</v>
      </c>
      <c r="BR55" t="n">
        <v>13826.155</v>
      </c>
      <c r="BS55" t="n">
        <v>13502.958</v>
      </c>
      <c r="BT55" t="n">
        <v>13195.3</v>
      </c>
      <c r="BU55" t="n">
        <v>12870.148</v>
      </c>
      <c r="BV55" t="n">
        <v>12522.804</v>
      </c>
    </row>
    <row r="56">
      <c r="A56" t="inlineStr">
        <is>
          <t>Sphyraena</t>
        </is>
      </c>
      <c r="B56" t="inlineStr">
        <is>
          <t>Barracudas, sennets</t>
        </is>
      </c>
      <c r="C56" t="inlineStr">
        <is>
          <t>Large pelagics (&gt;=90 cm)</t>
        </is>
      </c>
      <c r="D56" t="inlineStr">
        <is>
          <t>Perch-likes</t>
        </is>
      </c>
      <c r="E56" t="n">
        <v>1318.153</v>
      </c>
      <c r="F56" t="n">
        <v>1120.252</v>
      </c>
      <c r="G56" t="n">
        <v>1952.601</v>
      </c>
      <c r="H56" t="n">
        <v>1186.79</v>
      </c>
      <c r="I56" t="n">
        <v>3278.648</v>
      </c>
      <c r="J56" t="n">
        <v>1509.892</v>
      </c>
      <c r="K56" t="n">
        <v>3186.168</v>
      </c>
      <c r="L56" t="n">
        <v>1621.567</v>
      </c>
      <c r="M56" t="n">
        <v>1791.9</v>
      </c>
      <c r="N56" t="n">
        <v>1995.534</v>
      </c>
      <c r="O56" t="n">
        <v>2878.989</v>
      </c>
      <c r="P56" t="n">
        <v>1905.951</v>
      </c>
      <c r="Q56" t="n">
        <v>1810.479</v>
      </c>
      <c r="R56" t="n">
        <v>2027.968</v>
      </c>
      <c r="S56" t="n">
        <v>2377.067</v>
      </c>
      <c r="T56" t="n">
        <v>2763.559</v>
      </c>
      <c r="U56" t="n">
        <v>2366.376</v>
      </c>
      <c r="V56" t="n">
        <v>4763.931</v>
      </c>
      <c r="W56" t="n">
        <v>2439.462</v>
      </c>
      <c r="X56" t="n">
        <v>2341.067</v>
      </c>
      <c r="Y56" t="n">
        <v>2136.897</v>
      </c>
      <c r="Z56" t="n">
        <v>2370.485</v>
      </c>
      <c r="AA56" t="n">
        <v>3492.867</v>
      </c>
      <c r="AB56" t="n">
        <v>5071.414</v>
      </c>
      <c r="AC56" t="n">
        <v>6520.21</v>
      </c>
      <c r="AD56" t="n">
        <v>3028.58</v>
      </c>
      <c r="AE56" t="n">
        <v>3106.726</v>
      </c>
      <c r="AF56" t="n">
        <v>3042.243</v>
      </c>
      <c r="AG56" t="n">
        <v>4395.76</v>
      </c>
      <c r="AH56" t="n">
        <v>3919.011</v>
      </c>
      <c r="AI56" t="n">
        <v>2735.4</v>
      </c>
      <c r="AJ56" t="n">
        <v>2853.913</v>
      </c>
      <c r="AK56" t="n">
        <v>3406.194</v>
      </c>
      <c r="AL56" t="n">
        <v>4443.778</v>
      </c>
      <c r="AM56" t="n">
        <v>4075.462</v>
      </c>
      <c r="AN56" t="n">
        <v>3677.035</v>
      </c>
      <c r="AO56" t="n">
        <v>4164.601</v>
      </c>
      <c r="AP56" t="n">
        <v>4226.939</v>
      </c>
      <c r="AQ56" t="n">
        <v>7137.106</v>
      </c>
      <c r="AR56" t="n">
        <v>8790.263000000001</v>
      </c>
      <c r="AS56" t="n">
        <v>9827.744000000001</v>
      </c>
      <c r="AT56" t="n">
        <v>12299.4</v>
      </c>
      <c r="AU56" t="n">
        <v>11726.57</v>
      </c>
      <c r="AV56" t="n">
        <v>9688.735000000001</v>
      </c>
      <c r="AW56" t="n">
        <v>10171.776</v>
      </c>
      <c r="AX56" t="n">
        <v>13700.249</v>
      </c>
      <c r="AY56" t="n">
        <v>12845.957</v>
      </c>
      <c r="AZ56" t="n">
        <v>12414.03</v>
      </c>
      <c r="BA56" t="n">
        <v>21818.195</v>
      </c>
      <c r="BB56" t="n">
        <v>12755.643</v>
      </c>
      <c r="BC56" t="n">
        <v>15169.565</v>
      </c>
      <c r="BD56" t="n">
        <v>18468.63</v>
      </c>
      <c r="BE56" t="n">
        <v>15522.521</v>
      </c>
      <c r="BF56" t="n">
        <v>15741.204</v>
      </c>
      <c r="BG56" t="n">
        <v>16079.045</v>
      </c>
      <c r="BH56" t="n">
        <v>19011.486</v>
      </c>
      <c r="BI56" t="n">
        <v>19269.88</v>
      </c>
      <c r="BJ56" t="n">
        <v>19690.316</v>
      </c>
      <c r="BK56" t="n">
        <v>22967.854</v>
      </c>
      <c r="BL56" t="n">
        <v>20013.917</v>
      </c>
      <c r="BM56" t="n">
        <v>25247.996</v>
      </c>
      <c r="BN56" t="n">
        <v>21558.757</v>
      </c>
      <c r="BO56" t="n">
        <v>28332.516</v>
      </c>
      <c r="BP56" t="n">
        <v>23734.108</v>
      </c>
      <c r="BQ56" t="n">
        <v>20797.916</v>
      </c>
      <c r="BR56" t="n">
        <v>29981.168</v>
      </c>
      <c r="BS56" t="n">
        <v>30064.821</v>
      </c>
      <c r="BT56" t="n">
        <v>27802.583</v>
      </c>
      <c r="BU56" t="n">
        <v>32729.904</v>
      </c>
      <c r="BV56" t="n">
        <v>40473.895</v>
      </c>
    </row>
    <row r="57">
      <c r="A57" t="inlineStr">
        <is>
          <t>Scyphozoa</t>
        </is>
      </c>
      <c r="B57" t="inlineStr">
        <is>
          <t>True jellyfishes</t>
        </is>
      </c>
      <c r="C57" t="inlineStr">
        <is>
          <t>Jellyfish</t>
        </is>
      </c>
      <c r="D57" t="inlineStr">
        <is>
          <t>Other fishes &amp; inverts</t>
        </is>
      </c>
      <c r="E57" t="n">
        <v>8052.723</v>
      </c>
      <c r="F57" t="n">
        <v>8095.102</v>
      </c>
      <c r="G57" t="n">
        <v>8039.096</v>
      </c>
      <c r="H57" t="n">
        <v>8077.93</v>
      </c>
      <c r="I57" t="n">
        <v>8115.432</v>
      </c>
      <c r="J57" t="n">
        <v>8151.605</v>
      </c>
      <c r="K57" t="n">
        <v>8130.324</v>
      </c>
      <c r="L57" t="n">
        <v>8211.271000000001</v>
      </c>
      <c r="M57" t="n">
        <v>8271.129000000001</v>
      </c>
      <c r="N57" t="n">
        <v>8377.617</v>
      </c>
      <c r="O57" t="n">
        <v>8434.564</v>
      </c>
      <c r="P57" t="n">
        <v>8508.763000000001</v>
      </c>
      <c r="Q57" t="n">
        <v>8581.422</v>
      </c>
      <c r="R57" t="n">
        <v>8700.627</v>
      </c>
      <c r="S57" t="n">
        <v>8707.65</v>
      </c>
      <c r="T57" t="n">
        <v>8738.841</v>
      </c>
      <c r="U57" t="n">
        <v>8772.482</v>
      </c>
      <c r="V57" t="n">
        <v>8868.716</v>
      </c>
      <c r="W57" t="n">
        <v>8927.396000000001</v>
      </c>
      <c r="X57" t="n">
        <v>8942.433000000001</v>
      </c>
      <c r="Y57" t="n">
        <v>8946.162</v>
      </c>
      <c r="Z57" t="n">
        <v>8971.196</v>
      </c>
      <c r="AA57" t="n">
        <v>9069.242</v>
      </c>
      <c r="AB57" t="n">
        <v>9065.83</v>
      </c>
      <c r="AC57" t="n">
        <v>9425.892</v>
      </c>
      <c r="AD57" t="n">
        <v>9883.666999999999</v>
      </c>
      <c r="AE57" t="n">
        <v>10284.336</v>
      </c>
      <c r="AF57" t="n">
        <v>10759.925</v>
      </c>
      <c r="AG57" t="n">
        <v>10741.788</v>
      </c>
      <c r="AH57" t="n">
        <v>10561.98</v>
      </c>
      <c r="AI57" t="n">
        <v>10287.447</v>
      </c>
      <c r="AJ57" t="n">
        <v>10349.251</v>
      </c>
      <c r="AK57" t="n">
        <v>10632.056</v>
      </c>
      <c r="AL57" t="n">
        <v>10567.824</v>
      </c>
      <c r="AM57" t="n">
        <v>10725.042</v>
      </c>
      <c r="AN57" t="n">
        <v>10796.693</v>
      </c>
      <c r="AO57" t="n">
        <v>11661.932</v>
      </c>
      <c r="AP57" t="n">
        <v>14850.976</v>
      </c>
      <c r="AQ57" t="n">
        <v>15559.114</v>
      </c>
      <c r="AR57" t="n">
        <v>16057.436</v>
      </c>
      <c r="AS57" t="n">
        <v>15345.016</v>
      </c>
      <c r="AT57" t="n">
        <v>16124.586</v>
      </c>
      <c r="AU57" t="n">
        <v>17370.294</v>
      </c>
      <c r="AV57" t="n">
        <v>16271.863</v>
      </c>
      <c r="AW57" t="n">
        <v>21559.673</v>
      </c>
      <c r="AX57" t="n">
        <v>21852.688</v>
      </c>
      <c r="AY57" t="n">
        <v>20765.336</v>
      </c>
      <c r="AZ57" t="n">
        <v>18735.736</v>
      </c>
      <c r="BA57" t="n">
        <v>14626.269</v>
      </c>
      <c r="BB57" t="n">
        <v>13299.813</v>
      </c>
      <c r="BC57" t="n">
        <v>12053.21</v>
      </c>
      <c r="BD57" t="n">
        <v>11491.627</v>
      </c>
      <c r="BE57" t="n">
        <v>9664.081</v>
      </c>
      <c r="BF57" t="n">
        <v>7187.079</v>
      </c>
      <c r="BG57" t="n">
        <v>8688.272000000001</v>
      </c>
      <c r="BH57" t="n">
        <v>9883.105</v>
      </c>
      <c r="BI57" t="n">
        <v>6643.339</v>
      </c>
      <c r="BJ57" t="n">
        <v>16516.116</v>
      </c>
      <c r="BK57" t="n">
        <v>6310.112</v>
      </c>
      <c r="BL57" t="n">
        <v>18562.056</v>
      </c>
      <c r="BM57" t="n">
        <v>12044.884</v>
      </c>
      <c r="BN57" t="n">
        <v>1620.464</v>
      </c>
      <c r="BO57" t="n">
        <v>18807.037</v>
      </c>
      <c r="BP57" t="n">
        <v>2019.444</v>
      </c>
      <c r="BQ57" t="n">
        <v>190.976</v>
      </c>
      <c r="BR57" t="n">
        <v>190.976</v>
      </c>
      <c r="BS57" t="n">
        <v>1601.639</v>
      </c>
      <c r="BT57" t="n">
        <v>1604.333</v>
      </c>
      <c r="BU57" t="n">
        <v>1606.891</v>
      </c>
      <c r="BV57" t="n">
        <v>1609.511</v>
      </c>
    </row>
    <row r="58">
      <c r="A58" t="inlineStr">
        <is>
          <t>Euthynnus affinis</t>
        </is>
      </c>
      <c r="B58" t="inlineStr">
        <is>
          <t>Kawakawa</t>
        </is>
      </c>
      <c r="C58" t="inlineStr">
        <is>
          <t>Large pelagics (&gt;=90 cm)</t>
        </is>
      </c>
      <c r="D58" t="inlineStr">
        <is>
          <t>Tuna &amp; billfishes</t>
        </is>
      </c>
      <c r="E58" t="n">
        <v>2600.596</v>
      </c>
      <c r="F58" t="n">
        <v>2599.654</v>
      </c>
      <c r="G58" t="n">
        <v>3009.721</v>
      </c>
      <c r="H58" t="n">
        <v>3137.164</v>
      </c>
      <c r="I58" t="n">
        <v>3146.355</v>
      </c>
      <c r="J58" t="n">
        <v>3670.143</v>
      </c>
      <c r="K58" t="n">
        <v>2646.503</v>
      </c>
      <c r="L58" t="n">
        <v>2733.823</v>
      </c>
      <c r="M58" t="n">
        <v>2653.196</v>
      </c>
      <c r="N58" t="n">
        <v>2972.042</v>
      </c>
      <c r="O58" t="n">
        <v>2834.514</v>
      </c>
      <c r="P58" t="n">
        <v>2787.462</v>
      </c>
      <c r="Q58" t="n">
        <v>2873.456</v>
      </c>
      <c r="R58" t="n">
        <v>2919.257</v>
      </c>
      <c r="S58" t="n">
        <v>3165.201</v>
      </c>
      <c r="T58" t="n">
        <v>3230.707</v>
      </c>
      <c r="U58" t="n">
        <v>3350.247</v>
      </c>
      <c r="V58" t="n">
        <v>3453.958</v>
      </c>
      <c r="W58" t="n">
        <v>3389.845</v>
      </c>
      <c r="X58" t="n">
        <v>3370.604</v>
      </c>
      <c r="Y58" t="n">
        <v>3420.584</v>
      </c>
      <c r="Z58" t="n">
        <v>3242.021</v>
      </c>
      <c r="AA58" t="n">
        <v>3583.554</v>
      </c>
      <c r="AB58" t="n">
        <v>4416.136</v>
      </c>
      <c r="AC58" t="n">
        <v>4990.386</v>
      </c>
      <c r="AD58" t="n">
        <v>4667.731</v>
      </c>
      <c r="AE58" t="n">
        <v>5285.477</v>
      </c>
      <c r="AF58" t="n">
        <v>5129.077</v>
      </c>
      <c r="AG58" t="n">
        <v>5053.554</v>
      </c>
      <c r="AH58" t="n">
        <v>5612.668</v>
      </c>
      <c r="AI58" t="n">
        <v>6674.913</v>
      </c>
      <c r="AJ58" t="n">
        <v>8452.858</v>
      </c>
      <c r="AK58" t="n">
        <v>7518.537</v>
      </c>
      <c r="AL58" t="n">
        <v>8778.647999999999</v>
      </c>
      <c r="AM58" t="n">
        <v>8189.846</v>
      </c>
      <c r="AN58" t="n">
        <v>9183.866</v>
      </c>
      <c r="AO58" t="n">
        <v>9194.538</v>
      </c>
      <c r="AP58" t="n">
        <v>6565.899</v>
      </c>
      <c r="AQ58" t="n">
        <v>9993.346</v>
      </c>
      <c r="AR58" t="n">
        <v>14928.637</v>
      </c>
      <c r="AS58" t="n">
        <v>18434.39</v>
      </c>
      <c r="AT58" t="n">
        <v>12397.228</v>
      </c>
      <c r="AU58" t="n">
        <v>12697.99</v>
      </c>
      <c r="AV58" t="n">
        <v>9974.683000000001</v>
      </c>
      <c r="AW58" t="n">
        <v>8216.654</v>
      </c>
      <c r="AX58" t="n">
        <v>11013.119</v>
      </c>
      <c r="AY58" t="n">
        <v>9415.040000000001</v>
      </c>
      <c r="AZ58" t="n">
        <v>10356.759</v>
      </c>
      <c r="BA58" t="n">
        <v>9916.196</v>
      </c>
      <c r="BB58" t="n">
        <v>11548.827</v>
      </c>
      <c r="BC58" t="n">
        <v>11736.093</v>
      </c>
      <c r="BD58" t="n">
        <v>12896.214</v>
      </c>
      <c r="BE58" t="n">
        <v>15154.72</v>
      </c>
      <c r="BF58" t="n">
        <v>19942.371</v>
      </c>
      <c r="BG58" t="n">
        <v>19731.08</v>
      </c>
      <c r="BH58" t="n">
        <v>19177.679</v>
      </c>
      <c r="BI58" t="n">
        <v>20199.571</v>
      </c>
      <c r="BJ58" t="n">
        <v>20396.639</v>
      </c>
      <c r="BK58" t="n">
        <v>17245.124</v>
      </c>
      <c r="BL58" t="n">
        <v>14929.19</v>
      </c>
      <c r="BM58" t="n">
        <v>16131.383</v>
      </c>
      <c r="BN58" t="n">
        <v>17873.682</v>
      </c>
      <c r="BO58" t="n">
        <v>25040.158</v>
      </c>
      <c r="BP58" t="n">
        <v>26632.713</v>
      </c>
      <c r="BQ58" t="n">
        <v>26394.892</v>
      </c>
      <c r="BR58" t="n">
        <v>25251.228</v>
      </c>
      <c r="BS58" t="n">
        <v>25917.594</v>
      </c>
      <c r="BT58" t="n">
        <v>22839.509</v>
      </c>
      <c r="BU58" t="n">
        <v>24331.895</v>
      </c>
      <c r="BV58" t="n">
        <v>19336.703</v>
      </c>
    </row>
    <row r="59">
      <c r="A59" t="inlineStr">
        <is>
          <t>Dendrobranchiata</t>
        </is>
      </c>
      <c r="B59" t="inlineStr">
        <is>
          <t>Shrimps and prawns</t>
        </is>
      </c>
      <c r="C59" t="inlineStr">
        <is>
          <t>Shrimps</t>
        </is>
      </c>
      <c r="D59" t="inlineStr">
        <is>
          <t>Crustaceans</t>
        </is>
      </c>
      <c r="E59" t="n">
        <v>9826.829</v>
      </c>
      <c r="F59" t="n">
        <v>10033.193</v>
      </c>
      <c r="G59" t="n">
        <v>10239.557</v>
      </c>
      <c r="H59" t="n">
        <v>10445.92</v>
      </c>
      <c r="I59" t="n">
        <v>11150.141</v>
      </c>
      <c r="J59" t="n">
        <v>11356.505</v>
      </c>
      <c r="K59" t="n">
        <v>11562.868</v>
      </c>
      <c r="L59" t="n">
        <v>12167.517</v>
      </c>
      <c r="M59" t="n">
        <v>12373.881</v>
      </c>
      <c r="N59" t="n">
        <v>12580.245</v>
      </c>
      <c r="O59" t="n">
        <v>12985.946</v>
      </c>
      <c r="P59" t="n">
        <v>13192.505</v>
      </c>
      <c r="Q59" t="n">
        <v>11316.153</v>
      </c>
      <c r="R59" t="n">
        <v>11524.299</v>
      </c>
      <c r="S59" t="n">
        <v>12130.973</v>
      </c>
      <c r="T59" t="n">
        <v>12339.167</v>
      </c>
      <c r="U59" t="n">
        <v>12547.118</v>
      </c>
      <c r="V59" t="n">
        <v>12755.068</v>
      </c>
      <c r="W59" t="n">
        <v>12963.018</v>
      </c>
      <c r="X59" t="n">
        <v>13170.969</v>
      </c>
      <c r="Y59" t="n">
        <v>13179.63</v>
      </c>
      <c r="Z59" t="n">
        <v>13985.581</v>
      </c>
      <c r="AA59" t="n">
        <v>14063.04</v>
      </c>
      <c r="AB59" t="n">
        <v>14834.677</v>
      </c>
      <c r="AC59" t="n">
        <v>12513.911</v>
      </c>
      <c r="AD59" t="n">
        <v>12990.365</v>
      </c>
      <c r="AE59" t="n">
        <v>12389.472</v>
      </c>
      <c r="AF59" t="n">
        <v>12353.149</v>
      </c>
      <c r="AG59" t="n">
        <v>10487.592</v>
      </c>
      <c r="AH59" t="n">
        <v>10602.748</v>
      </c>
      <c r="AI59" t="n">
        <v>10571.689</v>
      </c>
      <c r="AJ59" t="n">
        <v>9933.264999999999</v>
      </c>
      <c r="AK59" t="n">
        <v>10833.823</v>
      </c>
      <c r="AL59" t="n">
        <v>11805.526</v>
      </c>
      <c r="AM59" t="n">
        <v>10729.201</v>
      </c>
      <c r="AN59" t="n">
        <v>10712.762</v>
      </c>
      <c r="AO59" t="n">
        <v>10074.541</v>
      </c>
      <c r="AP59" t="n">
        <v>10876.961</v>
      </c>
      <c r="AQ59" t="n">
        <v>13136.299</v>
      </c>
      <c r="AR59" t="n">
        <v>11112.239</v>
      </c>
      <c r="AS59" t="n">
        <v>10089.335</v>
      </c>
      <c r="AT59" t="n">
        <v>8457.385</v>
      </c>
      <c r="AU59" t="n">
        <v>11557.402</v>
      </c>
      <c r="AV59" t="n">
        <v>10499.264</v>
      </c>
      <c r="AW59" t="n">
        <v>9763.389999999999</v>
      </c>
      <c r="AX59" t="n">
        <v>9408.119000000001</v>
      </c>
      <c r="AY59" t="n">
        <v>10133.482</v>
      </c>
      <c r="AZ59" t="n">
        <v>9858.156999999999</v>
      </c>
      <c r="BA59" t="n">
        <v>9391.663</v>
      </c>
      <c r="BB59" t="n">
        <v>8522.034</v>
      </c>
      <c r="BC59" t="n">
        <v>7452.408</v>
      </c>
      <c r="BD59" t="n">
        <v>7083.526</v>
      </c>
      <c r="BE59" t="n">
        <v>6859.447</v>
      </c>
      <c r="BF59" t="n">
        <v>6498.694</v>
      </c>
      <c r="BG59" t="n">
        <v>6715.271</v>
      </c>
      <c r="BH59" t="n">
        <v>6303.984</v>
      </c>
      <c r="BI59" t="n">
        <v>6062.171</v>
      </c>
      <c r="BJ59" t="n">
        <v>5865.251</v>
      </c>
      <c r="BK59" t="n">
        <v>5667.713</v>
      </c>
      <c r="BL59" t="n">
        <v>5470.444</v>
      </c>
      <c r="BM59" t="n">
        <v>5273.202</v>
      </c>
      <c r="BN59" t="n">
        <v>5075.96</v>
      </c>
      <c r="BO59" t="n">
        <v>4878.718</v>
      </c>
      <c r="BP59" t="n">
        <v>4881.296</v>
      </c>
      <c r="BQ59" t="n">
        <v>4878.718</v>
      </c>
      <c r="BR59" t="n">
        <v>4878.718</v>
      </c>
      <c r="BS59" t="n">
        <v>4878.718</v>
      </c>
      <c r="BT59" t="n">
        <v>4879.523</v>
      </c>
      <c r="BU59" t="n">
        <v>4878.718</v>
      </c>
      <c r="BV59" t="n">
        <v>4051.982</v>
      </c>
    </row>
    <row r="60">
      <c r="A60" t="inlineStr">
        <is>
          <t>Marine pelagic fishes not identified</t>
        </is>
      </c>
      <c r="B60" t="inlineStr">
        <is>
          <t>Pelagic fishes</t>
        </is>
      </c>
      <c r="C60" t="inlineStr">
        <is>
          <t>Medium pelagics (30 - 89 cm)</t>
        </is>
      </c>
      <c r="D60" t="inlineStr">
        <is>
          <t>Other fishes &amp; inverts</t>
        </is>
      </c>
      <c r="E60" t="n">
        <v>0.612</v>
      </c>
      <c r="F60" t="n">
        <v>0.644</v>
      </c>
      <c r="G60" t="n">
        <v>10.693</v>
      </c>
      <c r="H60" t="n">
        <v>32.358</v>
      </c>
      <c r="I60" t="n">
        <v>64.19499999999999</v>
      </c>
      <c r="J60" t="n">
        <v>44.459</v>
      </c>
      <c r="K60" t="n">
        <v>66.13800000000001</v>
      </c>
      <c r="L60" t="n">
        <v>20.688</v>
      </c>
      <c r="M60" t="n">
        <v>14.269</v>
      </c>
      <c r="N60" t="n">
        <v>44.067</v>
      </c>
      <c r="O60" t="n">
        <v>73.499</v>
      </c>
      <c r="P60" t="n">
        <v>44.6</v>
      </c>
      <c r="Q60" t="n">
        <v>12.776</v>
      </c>
      <c r="R60" t="n">
        <v>41.279</v>
      </c>
      <c r="S60" t="n">
        <v>62.657</v>
      </c>
      <c r="T60" t="n">
        <v>33.411</v>
      </c>
      <c r="U60" t="n">
        <v>44.583</v>
      </c>
      <c r="V60" t="n">
        <v>56.137</v>
      </c>
      <c r="W60" t="n">
        <v>42.537</v>
      </c>
      <c r="X60" t="n">
        <v>96.414</v>
      </c>
      <c r="Y60" t="n">
        <v>181.716</v>
      </c>
      <c r="Z60" t="n">
        <v>22.853</v>
      </c>
      <c r="AA60" t="n">
        <v>19.818</v>
      </c>
      <c r="AB60" t="n">
        <v>9.795</v>
      </c>
      <c r="AC60" t="n">
        <v>17.281</v>
      </c>
      <c r="AD60" t="n">
        <v>154.212</v>
      </c>
      <c r="AE60" t="n">
        <v>10.336</v>
      </c>
      <c r="AF60" t="n">
        <v>18.362</v>
      </c>
      <c r="AG60" t="n">
        <v>62.254</v>
      </c>
      <c r="AH60" t="n">
        <v>360.31</v>
      </c>
      <c r="AI60" t="n">
        <v>131.072</v>
      </c>
      <c r="AJ60" t="n">
        <v>152.935</v>
      </c>
      <c r="AK60" t="n">
        <v>58.392</v>
      </c>
      <c r="AL60" t="n">
        <v>166.216</v>
      </c>
      <c r="AM60" t="n">
        <v>1084.199</v>
      </c>
      <c r="AN60" t="n">
        <v>156.699</v>
      </c>
      <c r="AO60" t="n">
        <v>714.744</v>
      </c>
      <c r="AP60" t="n">
        <v>689.133</v>
      </c>
      <c r="AQ60" t="n">
        <v>171.372</v>
      </c>
      <c r="AR60" t="n">
        <v>554.803</v>
      </c>
      <c r="AS60" t="n">
        <v>840.748</v>
      </c>
      <c r="AT60" t="n">
        <v>1162.731</v>
      </c>
      <c r="AU60" t="n">
        <v>4440.145</v>
      </c>
      <c r="AV60" t="n">
        <v>4580.452</v>
      </c>
      <c r="AW60" t="n">
        <v>7486.985</v>
      </c>
      <c r="AX60" t="n">
        <v>1205.15</v>
      </c>
      <c r="AY60" t="n">
        <v>3688.678</v>
      </c>
      <c r="AZ60" t="n">
        <v>9761.553</v>
      </c>
      <c r="BA60" t="n">
        <v>7823.731</v>
      </c>
      <c r="BB60" t="n">
        <v>17988.574</v>
      </c>
      <c r="BC60" t="n">
        <v>211.288</v>
      </c>
      <c r="BD60" t="n">
        <v>1112.296</v>
      </c>
      <c r="BE60" t="n">
        <v>19040.56</v>
      </c>
      <c r="BF60" t="n">
        <v>19870.761</v>
      </c>
      <c r="BG60" t="n">
        <v>19695.079</v>
      </c>
      <c r="BH60" t="n">
        <v>47660.607</v>
      </c>
      <c r="BI60" t="n">
        <v>40571.627</v>
      </c>
      <c r="BJ60" t="n">
        <v>32819.123</v>
      </c>
      <c r="BK60" t="n">
        <v>10768.27</v>
      </c>
      <c r="BL60" t="n">
        <v>2192.437</v>
      </c>
      <c r="BM60" t="n">
        <v>6898.435</v>
      </c>
      <c r="BN60" t="n">
        <v>18371.639</v>
      </c>
      <c r="BO60" t="n">
        <v>32783.472</v>
      </c>
      <c r="BP60" t="n">
        <v>48383.987</v>
      </c>
      <c r="BQ60" t="n">
        <v>58529.024</v>
      </c>
      <c r="BR60" t="n">
        <v>50915.702</v>
      </c>
      <c r="BS60" t="n">
        <v>37329.457</v>
      </c>
      <c r="BT60" t="n">
        <v>55257.701</v>
      </c>
      <c r="BU60" t="n">
        <v>62881.294</v>
      </c>
      <c r="BV60" t="n">
        <v>52625.48</v>
      </c>
    </row>
    <row r="61">
      <c r="A61" t="inlineStr">
        <is>
          <t>Pampus</t>
        </is>
      </c>
      <c r="B61" t="inlineStr">
        <is>
          <t>Silver pomfrets</t>
        </is>
      </c>
      <c r="C61" t="inlineStr">
        <is>
          <t>Medium benthopelagics (30 - 89 cm)</t>
        </is>
      </c>
      <c r="D61" t="inlineStr">
        <is>
          <t>Perch-likes</t>
        </is>
      </c>
      <c r="E61" t="n">
        <v>68.066</v>
      </c>
      <c r="F61" t="n">
        <v>68.066</v>
      </c>
      <c r="G61" t="n">
        <v>68.066</v>
      </c>
      <c r="H61" t="n">
        <v>68.066</v>
      </c>
      <c r="I61" t="n">
        <v>136.133</v>
      </c>
      <c r="J61" t="n">
        <v>136.133</v>
      </c>
      <c r="K61" t="n">
        <v>136.133</v>
      </c>
      <c r="L61" t="n">
        <v>217.847</v>
      </c>
      <c r="M61" t="n">
        <v>217.847</v>
      </c>
      <c r="N61" t="n">
        <v>217.847</v>
      </c>
      <c r="O61" t="n">
        <v>258.653</v>
      </c>
      <c r="P61" t="n">
        <v>258.653</v>
      </c>
      <c r="Q61" t="n">
        <v>258.653</v>
      </c>
      <c r="R61" t="n">
        <v>258.653</v>
      </c>
      <c r="S61" t="n">
        <v>272.3</v>
      </c>
      <c r="T61" t="n">
        <v>272.3</v>
      </c>
      <c r="U61" t="n">
        <v>272.3</v>
      </c>
      <c r="V61" t="n">
        <v>340.332</v>
      </c>
      <c r="W61" t="n">
        <v>340.332</v>
      </c>
      <c r="X61" t="n">
        <v>340.332</v>
      </c>
      <c r="Y61" t="n">
        <v>394.82</v>
      </c>
      <c r="Z61" t="n">
        <v>394.82</v>
      </c>
      <c r="AA61" t="n">
        <v>394.82</v>
      </c>
      <c r="AB61" t="n">
        <v>493.525</v>
      </c>
      <c r="AC61" t="n">
        <v>970.269</v>
      </c>
      <c r="AD61" t="n">
        <v>1086.741</v>
      </c>
      <c r="AE61" t="n">
        <v>602.1</v>
      </c>
      <c r="AF61" t="n">
        <v>567.553</v>
      </c>
      <c r="AG61" t="n">
        <v>655.401</v>
      </c>
      <c r="AH61" t="n">
        <v>665.271</v>
      </c>
      <c r="AI61" t="n">
        <v>720.546</v>
      </c>
      <c r="AJ61" t="n">
        <v>32040.549</v>
      </c>
      <c r="AK61" t="n">
        <v>29165.177</v>
      </c>
      <c r="AL61" t="n">
        <v>30370.341</v>
      </c>
      <c r="AM61" t="n">
        <v>26097.603</v>
      </c>
      <c r="AN61" t="n">
        <v>18828.787</v>
      </c>
      <c r="AO61" t="n">
        <v>14027.684</v>
      </c>
      <c r="AP61" t="n">
        <v>15601.893</v>
      </c>
      <c r="AQ61" t="n">
        <v>21588.667</v>
      </c>
      <c r="AR61" t="n">
        <v>20750.339</v>
      </c>
      <c r="AS61" t="n">
        <v>16528.441</v>
      </c>
      <c r="AT61" t="n">
        <v>20234.726</v>
      </c>
      <c r="AU61" t="n">
        <v>16398.752</v>
      </c>
      <c r="AV61" t="n">
        <v>17429.53</v>
      </c>
      <c r="AW61" t="n">
        <v>13100.456</v>
      </c>
      <c r="AX61" t="n">
        <v>13695.385</v>
      </c>
      <c r="AY61" t="n">
        <v>14793.152</v>
      </c>
      <c r="AZ61" t="n">
        <v>22003.863</v>
      </c>
      <c r="BA61" t="n">
        <v>25436.434</v>
      </c>
      <c r="BB61" t="n">
        <v>16397.755</v>
      </c>
      <c r="BC61" t="n">
        <v>16076.229</v>
      </c>
      <c r="BD61" t="n">
        <v>15443.58</v>
      </c>
      <c r="BE61" t="n">
        <v>13056.411</v>
      </c>
      <c r="BF61" t="n">
        <v>10486.168</v>
      </c>
      <c r="BG61" t="n">
        <v>8919.923000000001</v>
      </c>
      <c r="BH61" t="n">
        <v>11753.864</v>
      </c>
      <c r="BI61" t="n">
        <v>12173.412</v>
      </c>
      <c r="BJ61" t="n">
        <v>14894.474</v>
      </c>
      <c r="BK61" t="n">
        <v>14072.937</v>
      </c>
      <c r="BL61" t="n">
        <v>11517.117</v>
      </c>
      <c r="BM61" t="n">
        <v>9693.428</v>
      </c>
      <c r="BN61" t="n">
        <v>13466.452</v>
      </c>
      <c r="BO61" t="n">
        <v>11865.52</v>
      </c>
      <c r="BP61" t="n">
        <v>15737.602</v>
      </c>
      <c r="BQ61" t="n">
        <v>18001.635</v>
      </c>
      <c r="BR61" t="n">
        <v>12257.116</v>
      </c>
      <c r="BS61" t="n">
        <v>13149.936</v>
      </c>
      <c r="BT61" t="n">
        <v>12595.279</v>
      </c>
      <c r="BU61" t="n">
        <v>11534.327</v>
      </c>
      <c r="BV61" t="n">
        <v>12893.305</v>
      </c>
    </row>
    <row r="62">
      <c r="A62" t="inlineStr">
        <is>
          <t>Bramidae</t>
        </is>
      </c>
      <c r="B62" t="inlineStr">
        <is>
          <t>Pomfrets</t>
        </is>
      </c>
      <c r="C62" t="inlineStr">
        <is>
          <t>Medium pelagics (30 - 89 cm)</t>
        </is>
      </c>
      <c r="D62" t="inlineStr">
        <is>
          <t>Perch-likes</t>
        </is>
      </c>
      <c r="E62" t="n">
        <v>1830.811</v>
      </c>
      <c r="F62" t="n">
        <v>6762.858</v>
      </c>
      <c r="G62" t="n">
        <v>3119.925</v>
      </c>
      <c r="H62" t="n">
        <v>17725.3</v>
      </c>
      <c r="I62" t="n">
        <v>16556.835</v>
      </c>
      <c r="J62" t="n">
        <v>11019.98</v>
      </c>
      <c r="K62" t="n">
        <v>9087.537</v>
      </c>
      <c r="L62" t="n">
        <v>12489.664</v>
      </c>
      <c r="M62" t="n">
        <v>12615.553</v>
      </c>
      <c r="N62" t="n">
        <v>13681.17</v>
      </c>
      <c r="O62" t="n">
        <v>16708.341</v>
      </c>
      <c r="P62" t="n">
        <v>12630.228</v>
      </c>
      <c r="Q62" t="n">
        <v>19083.189</v>
      </c>
      <c r="R62" t="n">
        <v>12622.909</v>
      </c>
      <c r="S62" t="n">
        <v>14422.89</v>
      </c>
      <c r="T62" t="n">
        <v>14070.353</v>
      </c>
      <c r="U62" t="n">
        <v>14887.222</v>
      </c>
      <c r="V62" t="n">
        <v>23228.898</v>
      </c>
      <c r="W62" t="n">
        <v>21929.69</v>
      </c>
      <c r="X62" t="n">
        <v>20442.484</v>
      </c>
      <c r="Y62" t="n">
        <v>13923.721</v>
      </c>
      <c r="Z62" t="n">
        <v>16430.612</v>
      </c>
      <c r="AA62" t="n">
        <v>14401.383</v>
      </c>
      <c r="AB62" t="n">
        <v>16287.664</v>
      </c>
      <c r="AC62" t="n">
        <v>17071.214</v>
      </c>
      <c r="AD62" t="n">
        <v>16121.487</v>
      </c>
      <c r="AE62" t="n">
        <v>22042.76</v>
      </c>
      <c r="AF62" t="n">
        <v>31334.35</v>
      </c>
      <c r="AG62" t="n">
        <v>32457.773</v>
      </c>
      <c r="AH62" t="n">
        <v>26301.525</v>
      </c>
      <c r="AI62" t="n">
        <v>24423.14</v>
      </c>
      <c r="AJ62" t="n">
        <v>86.252</v>
      </c>
      <c r="AK62" t="n">
        <v>308.777</v>
      </c>
      <c r="AL62" t="n">
        <v>327.69</v>
      </c>
      <c r="AM62" t="n">
        <v>378.954</v>
      </c>
      <c r="AN62" t="n">
        <v>1263.708</v>
      </c>
      <c r="AO62" t="n">
        <v>565.576</v>
      </c>
      <c r="AP62" t="n">
        <v>3955.521</v>
      </c>
      <c r="AQ62" t="n">
        <v>3920.395</v>
      </c>
      <c r="AR62" t="n">
        <v>3642.717</v>
      </c>
      <c r="AS62" t="n">
        <v>3397.738</v>
      </c>
      <c r="AT62" t="n">
        <v>3171.153</v>
      </c>
      <c r="AU62" t="n">
        <v>2828.389</v>
      </c>
      <c r="AV62" t="n">
        <v>3372.132</v>
      </c>
      <c r="AW62" t="n">
        <v>3172.054</v>
      </c>
      <c r="AX62" t="n">
        <v>4400.684</v>
      </c>
      <c r="AY62" t="n">
        <v>3095.094</v>
      </c>
      <c r="AZ62" t="n">
        <v>3981.225</v>
      </c>
      <c r="BA62" t="n">
        <v>4178.267</v>
      </c>
      <c r="BB62" t="n">
        <v>4683.001</v>
      </c>
      <c r="BC62" t="n">
        <v>3906.598</v>
      </c>
      <c r="BD62" t="n">
        <v>3400.989</v>
      </c>
      <c r="BE62" t="n">
        <v>3452.746</v>
      </c>
      <c r="BF62" t="n">
        <v>4442.13</v>
      </c>
      <c r="BG62" t="n">
        <v>4696.188</v>
      </c>
      <c r="BH62" t="n">
        <v>3850.325</v>
      </c>
      <c r="BI62" t="n">
        <v>3873.632</v>
      </c>
      <c r="BJ62" t="n">
        <v>3719.769</v>
      </c>
      <c r="BK62" t="n">
        <v>3726.411</v>
      </c>
      <c r="BL62" t="n">
        <v>3400.342</v>
      </c>
      <c r="BM62" t="n">
        <v>1712.399</v>
      </c>
      <c r="BN62" t="n">
        <v>4199.567</v>
      </c>
      <c r="BO62" t="n">
        <v>4785.4</v>
      </c>
      <c r="BP62" t="n">
        <v>4858.434</v>
      </c>
      <c r="BQ62" t="n">
        <v>5072.826</v>
      </c>
      <c r="BR62" t="n">
        <v>4819.914</v>
      </c>
      <c r="BS62" t="n">
        <v>4810.146</v>
      </c>
      <c r="BT62" t="n">
        <v>5026.55</v>
      </c>
      <c r="BU62" t="n">
        <v>5229.754</v>
      </c>
      <c r="BV62" t="n">
        <v>4024.829</v>
      </c>
    </row>
    <row r="63">
      <c r="A63" t="inlineStr">
        <is>
          <t>Scomberoides lysan</t>
        </is>
      </c>
      <c r="B63" t="inlineStr">
        <is>
          <t>Doublespotted queenfish</t>
        </is>
      </c>
      <c r="C63" t="inlineStr">
        <is>
          <t>Medium reef assoc. fish (30 - 89 cm)</t>
        </is>
      </c>
      <c r="D63" t="inlineStr">
        <is>
          <t>Perch-likes</t>
        </is>
      </c>
      <c r="E63" t="n">
        <v>1663.018</v>
      </c>
      <c r="F63" t="n">
        <v>1700.57</v>
      </c>
      <c r="G63" t="n">
        <v>1757.052</v>
      </c>
      <c r="H63" t="n">
        <v>1876.005</v>
      </c>
      <c r="I63" t="n">
        <v>1921.347</v>
      </c>
      <c r="J63" t="n">
        <v>1973.521</v>
      </c>
      <c r="K63" t="n">
        <v>2015.203</v>
      </c>
      <c r="L63" t="n">
        <v>2091.015</v>
      </c>
      <c r="M63" t="n">
        <v>3092.766</v>
      </c>
      <c r="N63" t="n">
        <v>2751.143</v>
      </c>
      <c r="O63" t="n">
        <v>3190.046</v>
      </c>
      <c r="P63" t="n">
        <v>3657.434</v>
      </c>
      <c r="Q63" t="n">
        <v>3324.79</v>
      </c>
      <c r="R63" t="n">
        <v>4418.435</v>
      </c>
      <c r="S63" t="n">
        <v>6130.615</v>
      </c>
      <c r="T63" t="n">
        <v>6648.909</v>
      </c>
      <c r="U63" t="n">
        <v>6863.434</v>
      </c>
      <c r="V63" t="n">
        <v>6497.827</v>
      </c>
      <c r="W63" t="n">
        <v>6194.73</v>
      </c>
      <c r="X63" t="n">
        <v>6790.842</v>
      </c>
      <c r="Y63" t="n">
        <v>7346.811</v>
      </c>
      <c r="Z63" t="n">
        <v>8055.852</v>
      </c>
      <c r="AA63" t="n">
        <v>9037.501</v>
      </c>
      <c r="AB63" t="n">
        <v>8951.659</v>
      </c>
      <c r="AC63" t="n">
        <v>7759.872</v>
      </c>
      <c r="AD63" t="n">
        <v>8143.563</v>
      </c>
      <c r="AE63" t="n">
        <v>9223.58</v>
      </c>
      <c r="AF63" t="n">
        <v>9408.540000000001</v>
      </c>
      <c r="AG63" t="n">
        <v>8237.803</v>
      </c>
      <c r="AH63" t="n">
        <v>9724.315000000001</v>
      </c>
      <c r="AI63" t="n">
        <v>9875.353999999999</v>
      </c>
      <c r="AJ63" t="n">
        <v>11186.969</v>
      </c>
      <c r="AK63" t="n">
        <v>10701.909</v>
      </c>
      <c r="AL63" t="n">
        <v>14076.845</v>
      </c>
      <c r="AM63" t="n">
        <v>14687.208</v>
      </c>
      <c r="AN63" t="n">
        <v>14186.945</v>
      </c>
      <c r="AO63" t="n">
        <v>14214.8</v>
      </c>
      <c r="AP63" t="n">
        <v>14018.535</v>
      </c>
      <c r="AQ63" t="n">
        <v>13993.633</v>
      </c>
      <c r="AR63" t="n">
        <v>13073.874</v>
      </c>
      <c r="AS63" t="n">
        <v>12009.251</v>
      </c>
      <c r="AT63" t="n">
        <v>14116.476</v>
      </c>
      <c r="AU63" t="n">
        <v>12564.115</v>
      </c>
      <c r="AV63" t="n">
        <v>12871.046</v>
      </c>
      <c r="AW63" t="n">
        <v>12216.726</v>
      </c>
      <c r="AX63" t="n">
        <v>11014.901</v>
      </c>
      <c r="AY63" t="n">
        <v>11475.571</v>
      </c>
      <c r="AZ63" t="n">
        <v>12028.126</v>
      </c>
      <c r="BA63" t="n">
        <v>11883.206</v>
      </c>
      <c r="BB63" t="n">
        <v>12045.114</v>
      </c>
      <c r="BC63" t="n">
        <v>12120.329</v>
      </c>
      <c r="BD63" t="n">
        <v>12108.91</v>
      </c>
      <c r="BE63" t="n">
        <v>11584.319</v>
      </c>
      <c r="BF63" t="n">
        <v>12309.366</v>
      </c>
      <c r="BG63" t="n">
        <v>12336.627</v>
      </c>
      <c r="BH63" t="n">
        <v>10817.483</v>
      </c>
      <c r="BI63" t="n">
        <v>10766.723</v>
      </c>
      <c r="BJ63" t="n">
        <v>10526.744</v>
      </c>
      <c r="BK63" t="n">
        <v>10856.496</v>
      </c>
      <c r="BL63" t="n">
        <v>11508.539</v>
      </c>
      <c r="BM63" t="n">
        <v>10813.041</v>
      </c>
      <c r="BN63" t="n">
        <v>10643.105</v>
      </c>
      <c r="BO63" t="n">
        <v>11752.669</v>
      </c>
      <c r="BP63" t="n">
        <v>10226.912</v>
      </c>
      <c r="BQ63" t="n">
        <v>10388.658</v>
      </c>
      <c r="BR63" t="n">
        <v>10522.234</v>
      </c>
      <c r="BS63" t="n">
        <v>9375.49</v>
      </c>
      <c r="BT63" t="n">
        <v>9482.808999999999</v>
      </c>
      <c r="BU63" t="n">
        <v>9171.978999999999</v>
      </c>
      <c r="BV63" t="n">
        <v>10036.374</v>
      </c>
    </row>
    <row r="64">
      <c r="A64" t="inlineStr">
        <is>
          <t>Nemipterus japonicus</t>
        </is>
      </c>
      <c r="B64" t="inlineStr">
        <is>
          <t>Japanese threadfin bream</t>
        </is>
      </c>
      <c r="C64" t="inlineStr">
        <is>
          <t>Small demersals (&lt;30 cm)</t>
        </is>
      </c>
      <c r="D64" t="inlineStr">
        <is>
          <t>Perch-likes</t>
        </is>
      </c>
      <c r="E64" t="n">
        <v>2936.834</v>
      </c>
      <c r="F64" t="n">
        <v>2952.654</v>
      </c>
      <c r="G64" t="n">
        <v>2935.642</v>
      </c>
      <c r="H64" t="n">
        <v>2954.258</v>
      </c>
      <c r="I64" t="n">
        <v>2968.717</v>
      </c>
      <c r="J64" t="n">
        <v>2983.051</v>
      </c>
      <c r="K64" t="n">
        <v>2968.59</v>
      </c>
      <c r="L64" t="n">
        <v>2999.366</v>
      </c>
      <c r="M64" t="n">
        <v>3530.401</v>
      </c>
      <c r="N64" t="n">
        <v>3369.495</v>
      </c>
      <c r="O64" t="n">
        <v>3577.157</v>
      </c>
      <c r="P64" t="n">
        <v>3848.564</v>
      </c>
      <c r="Q64" t="n">
        <v>3636.653</v>
      </c>
      <c r="R64" t="n">
        <v>4216.117</v>
      </c>
      <c r="S64" t="n">
        <v>5045.331</v>
      </c>
      <c r="T64" t="n">
        <v>5295.609</v>
      </c>
      <c r="U64" t="n">
        <v>5336.472</v>
      </c>
      <c r="V64" t="n">
        <v>5174.562</v>
      </c>
      <c r="W64" t="n">
        <v>5034.726</v>
      </c>
      <c r="X64" t="n">
        <v>5279.703</v>
      </c>
      <c r="Y64" t="n">
        <v>5682.396</v>
      </c>
      <c r="Z64" t="n">
        <v>5987.599</v>
      </c>
      <c r="AA64" t="n">
        <v>6586.7</v>
      </c>
      <c r="AB64" t="n">
        <v>6500.404</v>
      </c>
      <c r="AC64" t="n">
        <v>6486.063</v>
      </c>
      <c r="AD64" t="n">
        <v>6767</v>
      </c>
      <c r="AE64" t="n">
        <v>7343.588</v>
      </c>
      <c r="AF64" t="n">
        <v>7486.901</v>
      </c>
      <c r="AG64" t="n">
        <v>6612.067</v>
      </c>
      <c r="AH64" t="n">
        <v>7187.808</v>
      </c>
      <c r="AI64" t="n">
        <v>6970.574</v>
      </c>
      <c r="AJ64" t="n">
        <v>7477.058</v>
      </c>
      <c r="AK64" t="n">
        <v>7542.594</v>
      </c>
      <c r="AL64" t="n">
        <v>9142.679</v>
      </c>
      <c r="AM64" t="n">
        <v>9497.811</v>
      </c>
      <c r="AN64" t="n">
        <v>9166.293</v>
      </c>
      <c r="AO64" t="n">
        <v>9699.407999999999</v>
      </c>
      <c r="AP64" t="n">
        <v>11109.097</v>
      </c>
      <c r="AQ64" t="n">
        <v>11297.739</v>
      </c>
      <c r="AR64" t="n">
        <v>11011.573</v>
      </c>
      <c r="AS64" t="n">
        <v>10348.436</v>
      </c>
      <c r="AT64" t="n">
        <v>12145.07</v>
      </c>
      <c r="AU64" t="n">
        <v>12129.739</v>
      </c>
      <c r="AV64" t="n">
        <v>11798.768</v>
      </c>
      <c r="AW64" t="n">
        <v>13204.856</v>
      </c>
      <c r="AX64" t="n">
        <v>12439.546</v>
      </c>
      <c r="AY64" t="n">
        <v>12430.442</v>
      </c>
      <c r="AZ64" t="n">
        <v>15324.746</v>
      </c>
      <c r="BA64" t="n">
        <v>14864.996</v>
      </c>
      <c r="BB64" t="n">
        <v>12916.617</v>
      </c>
      <c r="BC64" t="n">
        <v>13351.452</v>
      </c>
      <c r="BD64" t="n">
        <v>13635.43</v>
      </c>
      <c r="BE64" t="n">
        <v>13887.636</v>
      </c>
      <c r="BF64" t="n">
        <v>12398.651</v>
      </c>
      <c r="BG64" t="n">
        <v>12853.403</v>
      </c>
      <c r="BH64" t="n">
        <v>13079.861</v>
      </c>
      <c r="BI64" t="n">
        <v>14005.298</v>
      </c>
      <c r="BJ64" t="n">
        <v>11296.384</v>
      </c>
      <c r="BK64" t="n">
        <v>10026.464</v>
      </c>
      <c r="BL64" t="n">
        <v>11356.263</v>
      </c>
      <c r="BM64" t="n">
        <v>11518.355</v>
      </c>
      <c r="BN64" t="n">
        <v>11895.248</v>
      </c>
      <c r="BO64" t="n">
        <v>11270.137</v>
      </c>
      <c r="BP64" t="n">
        <v>11571.955</v>
      </c>
      <c r="BQ64" t="n">
        <v>10685.168</v>
      </c>
      <c r="BR64" t="n">
        <v>12012.415</v>
      </c>
      <c r="BS64" t="n">
        <v>12794.314</v>
      </c>
      <c r="BT64" t="n">
        <v>14634.648</v>
      </c>
      <c r="BU64" t="n">
        <v>13666.171</v>
      </c>
      <c r="BV64" t="n">
        <v>14164.111</v>
      </c>
    </row>
    <row r="65">
      <c r="A65" t="inlineStr">
        <is>
          <t>Thryssa dussumieri</t>
        </is>
      </c>
      <c r="B65" t="inlineStr">
        <is>
          <t>Dussumier's thryssa</t>
        </is>
      </c>
      <c r="C65" t="inlineStr">
        <is>
          <t>Small pelagics (&lt;30 cm)</t>
        </is>
      </c>
      <c r="D65" t="inlineStr">
        <is>
          <t>Anchovies</t>
        </is>
      </c>
      <c r="E65" t="n">
        <v>853.439</v>
      </c>
      <c r="F65" t="n">
        <v>850.772</v>
      </c>
      <c r="G65" t="n">
        <v>848.105</v>
      </c>
      <c r="H65" t="n">
        <v>6581.752</v>
      </c>
      <c r="I65" t="n">
        <v>6801.76</v>
      </c>
      <c r="J65" t="n">
        <v>7110.247</v>
      </c>
      <c r="K65" t="n">
        <v>7925.037</v>
      </c>
      <c r="L65" t="n">
        <v>2832.003</v>
      </c>
      <c r="M65" t="n">
        <v>4160.144</v>
      </c>
      <c r="N65" t="n">
        <v>4294.911</v>
      </c>
      <c r="O65" t="n">
        <v>4901.122</v>
      </c>
      <c r="P65" t="n">
        <v>4591.016</v>
      </c>
      <c r="Q65" t="n">
        <v>1584.055</v>
      </c>
      <c r="R65" t="n">
        <v>2222.172</v>
      </c>
      <c r="S65" t="n">
        <v>2797.811</v>
      </c>
      <c r="T65" t="n">
        <v>3195.349</v>
      </c>
      <c r="U65" t="n">
        <v>4371.961</v>
      </c>
      <c r="V65" t="n">
        <v>4068.998</v>
      </c>
      <c r="W65" t="n">
        <v>3077.631</v>
      </c>
      <c r="X65" t="n">
        <v>3669.461</v>
      </c>
      <c r="Y65" t="n">
        <v>4200.146</v>
      </c>
      <c r="Z65" t="n">
        <v>3469.568</v>
      </c>
      <c r="AA65" t="n">
        <v>3906.193</v>
      </c>
      <c r="AB65" t="n">
        <v>4592.102</v>
      </c>
      <c r="AC65" t="n">
        <v>3674.8</v>
      </c>
      <c r="AD65" t="n">
        <v>3856.851</v>
      </c>
      <c r="AE65" t="n">
        <v>4244.732</v>
      </c>
      <c r="AF65" t="n">
        <v>6317.735</v>
      </c>
      <c r="AG65" t="n">
        <v>20953.305</v>
      </c>
      <c r="AH65" t="n">
        <v>11461.089</v>
      </c>
      <c r="AI65" t="n">
        <v>15457.338</v>
      </c>
      <c r="AJ65" t="n">
        <v>16336.336</v>
      </c>
      <c r="AK65" t="n">
        <v>14034.53</v>
      </c>
      <c r="AL65" t="n">
        <v>2177.719</v>
      </c>
      <c r="AM65" t="n">
        <v>2414.995</v>
      </c>
      <c r="AN65" t="n">
        <v>3624.203</v>
      </c>
      <c r="AO65" t="n">
        <v>4753.47</v>
      </c>
      <c r="AP65" t="n">
        <v>12774.299</v>
      </c>
      <c r="AQ65" t="n">
        <v>14778.733</v>
      </c>
      <c r="AR65" t="n">
        <v>15394.934</v>
      </c>
      <c r="AS65" t="n">
        <v>31129.797</v>
      </c>
      <c r="AT65" t="n">
        <v>29953.222</v>
      </c>
      <c r="AU65" t="n">
        <v>32198.847</v>
      </c>
      <c r="AV65" t="n">
        <v>39264.486</v>
      </c>
      <c r="AW65" t="n">
        <v>23524.702</v>
      </c>
      <c r="AX65" t="n">
        <v>23121.922</v>
      </c>
      <c r="AY65" t="n">
        <v>20164.753</v>
      </c>
      <c r="AZ65" t="n">
        <v>19603.195</v>
      </c>
      <c r="BA65" t="n">
        <v>16510.226</v>
      </c>
      <c r="BB65" t="n">
        <v>13946.96</v>
      </c>
      <c r="BC65" t="n">
        <v>13592.472</v>
      </c>
      <c r="BD65" t="n">
        <v>12412.834</v>
      </c>
      <c r="BE65" t="n">
        <v>11522.849</v>
      </c>
      <c r="BF65" t="n">
        <v>10625.737</v>
      </c>
      <c r="BG65" t="n">
        <v>12774.834</v>
      </c>
      <c r="BH65" t="n">
        <v>9689.111000000001</v>
      </c>
      <c r="BI65" t="n">
        <v>9469.422</v>
      </c>
      <c r="BJ65" t="n">
        <v>7853.781</v>
      </c>
      <c r="BK65" t="n">
        <v>6529.305</v>
      </c>
      <c r="BL65" t="n">
        <v>4705.839</v>
      </c>
      <c r="BM65" t="n">
        <v>3563.768</v>
      </c>
      <c r="BN65" t="n">
        <v>2506.794</v>
      </c>
      <c r="BO65" t="n">
        <v>1666.238</v>
      </c>
      <c r="BP65" t="n">
        <v>1274.753</v>
      </c>
      <c r="BQ65" t="n">
        <v>1213.488</v>
      </c>
      <c r="BR65" t="n">
        <v>1153.411</v>
      </c>
      <c r="BS65" t="n">
        <v>1100.737</v>
      </c>
      <c r="BT65" t="n">
        <v>1048.865</v>
      </c>
      <c r="BU65" t="n">
        <v>997.151</v>
      </c>
      <c r="BV65" t="n">
        <v>945.575</v>
      </c>
    </row>
    <row r="66">
      <c r="A66" t="inlineStr">
        <is>
          <t>Pomadasys stridens</t>
        </is>
      </c>
      <c r="B66" t="inlineStr">
        <is>
          <t>Striped piggy</t>
        </is>
      </c>
      <c r="C66" t="inlineStr">
        <is>
          <t>Small reef assoc. fish (&lt;30 cm)</t>
        </is>
      </c>
      <c r="D66" t="inlineStr">
        <is>
          <t>Perch-likes</t>
        </is>
      </c>
      <c r="E66" t="n">
        <v>7901.155</v>
      </c>
      <c r="F66" t="n">
        <v>7946.319</v>
      </c>
      <c r="G66" t="n">
        <v>7886.667</v>
      </c>
      <c r="H66" t="n">
        <v>7928.051</v>
      </c>
      <c r="I66" t="n">
        <v>7968.017</v>
      </c>
      <c r="J66" t="n">
        <v>8006.566</v>
      </c>
      <c r="K66" t="n">
        <v>8032.311</v>
      </c>
      <c r="L66" t="n">
        <v>8118.558</v>
      </c>
      <c r="M66" t="n">
        <v>8182.41</v>
      </c>
      <c r="N66" t="n">
        <v>8295.936</v>
      </c>
      <c r="O66" t="n">
        <v>8356.683999999999</v>
      </c>
      <c r="P66" t="n">
        <v>8435.856</v>
      </c>
      <c r="Q66" t="n">
        <v>8513.384</v>
      </c>
      <c r="R66" t="n">
        <v>8640.495999999999</v>
      </c>
      <c r="S66" t="n">
        <v>8735.107</v>
      </c>
      <c r="T66" t="n">
        <v>8729.768</v>
      </c>
      <c r="U66" t="n">
        <v>8760.877</v>
      </c>
      <c r="V66" t="n">
        <v>8820.02</v>
      </c>
      <c r="W66" t="n">
        <v>8737.736999999999</v>
      </c>
      <c r="X66" t="n">
        <v>8860.040999999999</v>
      </c>
      <c r="Y66" t="n">
        <v>8921.993</v>
      </c>
      <c r="Z66" t="n">
        <v>8924.495000000001</v>
      </c>
      <c r="AA66" t="n">
        <v>9048.282999999999</v>
      </c>
      <c r="AB66" t="n">
        <v>9059.156999999999</v>
      </c>
      <c r="AC66" t="n">
        <v>7290.699</v>
      </c>
      <c r="AD66" t="n">
        <v>7783.557</v>
      </c>
      <c r="AE66" t="n">
        <v>8280.284</v>
      </c>
      <c r="AF66" t="n">
        <v>8785.073</v>
      </c>
      <c r="AG66" t="n">
        <v>8644.049999999999</v>
      </c>
      <c r="AH66" t="n">
        <v>8521.304</v>
      </c>
      <c r="AI66" t="n">
        <v>9203.343000000001</v>
      </c>
      <c r="AJ66" t="n">
        <v>9322.152</v>
      </c>
      <c r="AK66" t="n">
        <v>7529.382</v>
      </c>
      <c r="AL66" t="n">
        <v>7672.503</v>
      </c>
      <c r="AM66" t="n">
        <v>7749.272</v>
      </c>
      <c r="AN66" t="n">
        <v>7844.182</v>
      </c>
      <c r="AO66" t="n">
        <v>7613.356</v>
      </c>
      <c r="AP66" t="n">
        <v>8810.558999999999</v>
      </c>
      <c r="AQ66" t="n">
        <v>8996.513999999999</v>
      </c>
      <c r="AR66" t="n">
        <v>9131.814</v>
      </c>
      <c r="AS66" t="n">
        <v>8926.404</v>
      </c>
      <c r="AT66" t="n">
        <v>10292.936</v>
      </c>
      <c r="AU66" t="n">
        <v>10137.224</v>
      </c>
      <c r="AV66" t="n">
        <v>8889.873</v>
      </c>
      <c r="AW66" t="n">
        <v>15799.907</v>
      </c>
      <c r="AX66" t="n">
        <v>15534.297</v>
      </c>
      <c r="AY66" t="n">
        <v>14524.952</v>
      </c>
      <c r="AZ66" t="n">
        <v>19964.134</v>
      </c>
      <c r="BA66" t="n">
        <v>15583.372</v>
      </c>
      <c r="BB66" t="n">
        <v>14168.355</v>
      </c>
      <c r="BC66" t="n">
        <v>12838.813</v>
      </c>
      <c r="BD66" t="n">
        <v>12238.846</v>
      </c>
      <c r="BE66" t="n">
        <v>10292.283</v>
      </c>
      <c r="BF66" t="n">
        <v>7653.759</v>
      </c>
      <c r="BG66" t="n">
        <v>7869.118</v>
      </c>
      <c r="BH66" t="n">
        <v>7244.372</v>
      </c>
      <c r="BI66" t="n">
        <v>6690.217</v>
      </c>
      <c r="BJ66" t="n">
        <v>6042.962</v>
      </c>
      <c r="BK66" t="n">
        <v>5280.969</v>
      </c>
      <c r="BL66" t="n">
        <v>4954.009</v>
      </c>
      <c r="BM66" t="n">
        <v>4056.616</v>
      </c>
      <c r="BN66" t="n">
        <v>5369.635</v>
      </c>
      <c r="BO66" t="n">
        <v>5004.43</v>
      </c>
      <c r="BP66" t="n">
        <v>5218.48</v>
      </c>
      <c r="BQ66" t="n">
        <v>5363.769</v>
      </c>
      <c r="BR66" t="n">
        <v>5325.483</v>
      </c>
      <c r="BS66" t="n">
        <v>5336.746</v>
      </c>
      <c r="BT66" t="n">
        <v>5576.435</v>
      </c>
      <c r="BU66" t="n">
        <v>6141.56</v>
      </c>
      <c r="BV66" t="n">
        <v>5917.515</v>
      </c>
    </row>
    <row r="67">
      <c r="A67" t="inlineStr">
        <is>
          <t>Epinephelus</t>
        </is>
      </c>
      <c r="B67" t="inlineStr">
        <is>
          <t>Seabasses, hinds</t>
        </is>
      </c>
      <c r="C67" t="inlineStr">
        <is>
          <t>Medium reef assoc. fish (30 - 89 cm)</t>
        </is>
      </c>
      <c r="D67" t="inlineStr">
        <is>
          <t>Perch-likes</t>
        </is>
      </c>
      <c r="E67" t="n">
        <v>796.751</v>
      </c>
      <c r="F67" t="n">
        <v>809.508</v>
      </c>
      <c r="G67" t="n">
        <v>834.468</v>
      </c>
      <c r="H67" t="n">
        <v>892.461</v>
      </c>
      <c r="I67" t="n">
        <v>912.922</v>
      </c>
      <c r="J67" t="n">
        <v>938.926</v>
      </c>
      <c r="K67" t="n">
        <v>955.304</v>
      </c>
      <c r="L67" t="n">
        <v>989.444</v>
      </c>
      <c r="M67" t="n">
        <v>988.956</v>
      </c>
      <c r="N67" t="n">
        <v>1011.199</v>
      </c>
      <c r="O67" t="n">
        <v>1049.197</v>
      </c>
      <c r="P67" t="n">
        <v>1043.768</v>
      </c>
      <c r="Q67" t="n">
        <v>2077.092</v>
      </c>
      <c r="R67" t="n">
        <v>2107.311</v>
      </c>
      <c r="S67" t="n">
        <v>1857.63</v>
      </c>
      <c r="T67" t="n">
        <v>2352.351</v>
      </c>
      <c r="U67" t="n">
        <v>3255.862</v>
      </c>
      <c r="V67" t="n">
        <v>2518.275</v>
      </c>
      <c r="W67" t="n">
        <v>3297.132</v>
      </c>
      <c r="X67" t="n">
        <v>4116.869</v>
      </c>
      <c r="Y67" t="n">
        <v>3751.068</v>
      </c>
      <c r="Z67" t="n">
        <v>3980.602</v>
      </c>
      <c r="AA67" t="n">
        <v>4071.242</v>
      </c>
      <c r="AB67" t="n">
        <v>4221.137</v>
      </c>
      <c r="AC67" t="n">
        <v>2339.201</v>
      </c>
      <c r="AD67" t="n">
        <v>1930.729</v>
      </c>
      <c r="AE67" t="n">
        <v>2055.368</v>
      </c>
      <c r="AF67" t="n">
        <v>2623.219</v>
      </c>
      <c r="AG67" t="n">
        <v>2953.896</v>
      </c>
      <c r="AH67" t="n">
        <v>4416.024</v>
      </c>
      <c r="AI67" t="n">
        <v>2615.067</v>
      </c>
      <c r="AJ67" t="n">
        <v>5248.836</v>
      </c>
      <c r="AK67" t="n">
        <v>7297.594</v>
      </c>
      <c r="AL67" t="n">
        <v>5577.409</v>
      </c>
      <c r="AM67" t="n">
        <v>6237.745</v>
      </c>
      <c r="AN67" t="n">
        <v>7000.818</v>
      </c>
      <c r="AO67" t="n">
        <v>6788.749</v>
      </c>
      <c r="AP67" t="n">
        <v>5884.526</v>
      </c>
      <c r="AQ67" t="n">
        <v>6667.782</v>
      </c>
      <c r="AR67" t="n">
        <v>6695.478</v>
      </c>
      <c r="AS67" t="n">
        <v>6741.447</v>
      </c>
      <c r="AT67" t="n">
        <v>6684.286</v>
      </c>
      <c r="AU67" t="n">
        <v>7533.295</v>
      </c>
      <c r="AV67" t="n">
        <v>8778.119000000001</v>
      </c>
      <c r="AW67" t="n">
        <v>10597.371</v>
      </c>
      <c r="AX67" t="n">
        <v>11379.94</v>
      </c>
      <c r="AY67" t="n">
        <v>12578.822</v>
      </c>
      <c r="AZ67" t="n">
        <v>13393.212</v>
      </c>
      <c r="BA67" t="n">
        <v>16768.462</v>
      </c>
      <c r="BB67" t="n">
        <v>20509.04</v>
      </c>
      <c r="BC67" t="n">
        <v>18973.635</v>
      </c>
      <c r="BD67" t="n">
        <v>18937.457</v>
      </c>
      <c r="BE67" t="n">
        <v>19844.649</v>
      </c>
      <c r="BF67" t="n">
        <v>18128.686</v>
      </c>
      <c r="BG67" t="n">
        <v>16649.96</v>
      </c>
      <c r="BH67" t="n">
        <v>16476.696</v>
      </c>
      <c r="BI67" t="n">
        <v>17620.023</v>
      </c>
      <c r="BJ67" t="n">
        <v>17965.83</v>
      </c>
      <c r="BK67" t="n">
        <v>16915.731</v>
      </c>
      <c r="BL67" t="n">
        <v>18474.638</v>
      </c>
      <c r="BM67" t="n">
        <v>16903.217</v>
      </c>
      <c r="BN67" t="n">
        <v>17202.274</v>
      </c>
      <c r="BO67" t="n">
        <v>17139.54</v>
      </c>
      <c r="BP67" t="n">
        <v>19635.822</v>
      </c>
      <c r="BQ67" t="n">
        <v>18759.218</v>
      </c>
      <c r="BR67" t="n">
        <v>21527.982</v>
      </c>
      <c r="BS67" t="n">
        <v>18765.454</v>
      </c>
      <c r="BT67" t="n">
        <v>18850.868</v>
      </c>
      <c r="BU67" t="n">
        <v>18707.429</v>
      </c>
      <c r="BV67" t="n">
        <v>15164.639</v>
      </c>
    </row>
    <row r="68">
      <c r="A68" t="inlineStr">
        <is>
          <t>Mullidae</t>
        </is>
      </c>
      <c r="B68" t="inlineStr">
        <is>
          <t>Goatfishes</t>
        </is>
      </c>
      <c r="C68" t="inlineStr">
        <is>
          <t>Medium reef assoc. fish (30 - 89 cm)</t>
        </is>
      </c>
      <c r="D68" t="inlineStr">
        <is>
          <t>Perch-likes</t>
        </is>
      </c>
      <c r="E68" t="n">
        <v>2055.978</v>
      </c>
      <c r="F68" t="n">
        <v>1523.073</v>
      </c>
      <c r="G68" t="n">
        <v>2282.494</v>
      </c>
      <c r="H68" t="n">
        <v>2050.175</v>
      </c>
      <c r="I68" t="n">
        <v>2562.175</v>
      </c>
      <c r="J68" t="n">
        <v>1836.169</v>
      </c>
      <c r="K68" t="n">
        <v>6574.941</v>
      </c>
      <c r="L68" t="n">
        <v>3361.339</v>
      </c>
      <c r="M68" t="n">
        <v>3346.951</v>
      </c>
      <c r="N68" t="n">
        <v>2134.777</v>
      </c>
      <c r="O68" t="n">
        <v>2817.33</v>
      </c>
      <c r="P68" t="n">
        <v>3050.065</v>
      </c>
      <c r="Q68" t="n">
        <v>3160.744</v>
      </c>
      <c r="R68" t="n">
        <v>3127.231</v>
      </c>
      <c r="S68" t="n">
        <v>6967.925</v>
      </c>
      <c r="T68" t="n">
        <v>4322.612</v>
      </c>
      <c r="U68" t="n">
        <v>7219.599</v>
      </c>
      <c r="V68" t="n">
        <v>4213.958</v>
      </c>
      <c r="W68" t="n">
        <v>5165.863</v>
      </c>
      <c r="X68" t="n">
        <v>6045.276</v>
      </c>
      <c r="Y68" t="n">
        <v>4695</v>
      </c>
      <c r="Z68" t="n">
        <v>7085.505</v>
      </c>
      <c r="AA68" t="n">
        <v>7978.772</v>
      </c>
      <c r="AB68" t="n">
        <v>6922.245</v>
      </c>
      <c r="AC68" t="n">
        <v>9910.736999999999</v>
      </c>
      <c r="AD68" t="n">
        <v>4145.457</v>
      </c>
      <c r="AE68" t="n">
        <v>8456.484</v>
      </c>
      <c r="AF68" t="n">
        <v>5678.551</v>
      </c>
      <c r="AG68" t="n">
        <v>4976.156</v>
      </c>
      <c r="AH68" t="n">
        <v>4887.328</v>
      </c>
      <c r="AI68" t="n">
        <v>4846.996</v>
      </c>
      <c r="AJ68" t="n">
        <v>5778.76</v>
      </c>
      <c r="AK68" t="n">
        <v>6227.714</v>
      </c>
      <c r="AL68" t="n">
        <v>7909.936</v>
      </c>
      <c r="AM68" t="n">
        <v>7131.392</v>
      </c>
      <c r="AN68" t="n">
        <v>8743.786</v>
      </c>
      <c r="AO68" t="n">
        <v>8601.618</v>
      </c>
      <c r="AP68" t="n">
        <v>10109.867</v>
      </c>
      <c r="AQ68" t="n">
        <v>23050.648</v>
      </c>
      <c r="AR68" t="n">
        <v>21261.941</v>
      </c>
      <c r="AS68" t="n">
        <v>14661.494</v>
      </c>
      <c r="AT68" t="n">
        <v>28013.125</v>
      </c>
      <c r="AU68" t="n">
        <v>15878.929</v>
      </c>
      <c r="AV68" t="n">
        <v>10722.656</v>
      </c>
      <c r="AW68" t="n">
        <v>9421.09</v>
      </c>
      <c r="AX68" t="n">
        <v>9651.001</v>
      </c>
      <c r="AY68" t="n">
        <v>9561.117</v>
      </c>
      <c r="AZ68" t="n">
        <v>9686.157999999999</v>
      </c>
      <c r="BA68" t="n">
        <v>15211.2</v>
      </c>
      <c r="BB68" t="n">
        <v>11773.606</v>
      </c>
      <c r="BC68" t="n">
        <v>11142.831</v>
      </c>
      <c r="BD68" t="n">
        <v>8330.075999999999</v>
      </c>
      <c r="BE68" t="n">
        <v>8618.549999999999</v>
      </c>
      <c r="BF68" t="n">
        <v>7484.685</v>
      </c>
      <c r="BG68" t="n">
        <v>8978.558000000001</v>
      </c>
      <c r="BH68" t="n">
        <v>9518.790999999999</v>
      </c>
      <c r="BI68" t="n">
        <v>9537.862999999999</v>
      </c>
      <c r="BJ68" t="n">
        <v>8522.016</v>
      </c>
      <c r="BK68" t="n">
        <v>10320.198</v>
      </c>
      <c r="BL68" t="n">
        <v>9683.530000000001</v>
      </c>
      <c r="BM68" t="n">
        <v>10707.86</v>
      </c>
      <c r="BN68" t="n">
        <v>13293.524</v>
      </c>
      <c r="BO68" t="n">
        <v>13896.333</v>
      </c>
      <c r="BP68" t="n">
        <v>14552.493</v>
      </c>
      <c r="BQ68" t="n">
        <v>12683.069</v>
      </c>
      <c r="BR68" t="n">
        <v>16247.326</v>
      </c>
      <c r="BS68" t="n">
        <v>16694.787</v>
      </c>
      <c r="BT68" t="n">
        <v>10681.544</v>
      </c>
      <c r="BU68" t="n">
        <v>9551.581</v>
      </c>
      <c r="BV68" t="n">
        <v>12162.722</v>
      </c>
    </row>
    <row r="69">
      <c r="A69" t="inlineStr">
        <is>
          <t>Siganidae</t>
        </is>
      </c>
      <c r="B69" t="inlineStr">
        <is>
          <t>Rabbitfishes</t>
        </is>
      </c>
      <c r="C69" t="inlineStr">
        <is>
          <t>Medium reef assoc. fish (30 - 89 cm)</t>
        </is>
      </c>
      <c r="D69" t="inlineStr">
        <is>
          <t>Perch-likes</t>
        </is>
      </c>
      <c r="E69" t="n">
        <v>6809.972</v>
      </c>
      <c r="F69" t="n">
        <v>6810.045</v>
      </c>
      <c r="G69" t="n">
        <v>6825.049</v>
      </c>
      <c r="H69" t="n">
        <v>6832.909</v>
      </c>
      <c r="I69" t="n">
        <v>6841.577</v>
      </c>
      <c r="J69" t="n">
        <v>6844.955</v>
      </c>
      <c r="K69" t="n">
        <v>6844.721</v>
      </c>
      <c r="L69" t="n">
        <v>6879.029</v>
      </c>
      <c r="M69" t="n">
        <v>6878.854</v>
      </c>
      <c r="N69" t="n">
        <v>6910.172</v>
      </c>
      <c r="O69" t="n">
        <v>6948.887</v>
      </c>
      <c r="P69" t="n">
        <v>6948.344</v>
      </c>
      <c r="Q69" t="n">
        <v>6976.803</v>
      </c>
      <c r="R69" t="n">
        <v>6989.321</v>
      </c>
      <c r="S69" t="n">
        <v>6988.618</v>
      </c>
      <c r="T69" t="n">
        <v>7011.767</v>
      </c>
      <c r="U69" t="n">
        <v>7052.543</v>
      </c>
      <c r="V69" t="n">
        <v>7090.751</v>
      </c>
      <c r="W69" t="n">
        <v>7089.988</v>
      </c>
      <c r="X69" t="n">
        <v>7130.715</v>
      </c>
      <c r="Y69" t="n">
        <v>7300.302</v>
      </c>
      <c r="Z69" t="n">
        <v>7329.346</v>
      </c>
      <c r="AA69" t="n">
        <v>7362.544</v>
      </c>
      <c r="AB69" t="n">
        <v>7372.649</v>
      </c>
      <c r="AC69" t="n">
        <v>7461.63</v>
      </c>
      <c r="AD69" t="n">
        <v>7462.772</v>
      </c>
      <c r="AE69" t="n">
        <v>7450.393</v>
      </c>
      <c r="AF69" t="n">
        <v>7545.616</v>
      </c>
      <c r="AG69" t="n">
        <v>7444.084</v>
      </c>
      <c r="AH69" t="n">
        <v>7411.117</v>
      </c>
      <c r="AI69" t="n">
        <v>7682.315</v>
      </c>
      <c r="AJ69" t="n">
        <v>7848.01</v>
      </c>
      <c r="AK69" t="n">
        <v>7924.908</v>
      </c>
      <c r="AL69" t="n">
        <v>7919.907</v>
      </c>
      <c r="AM69" t="n">
        <v>8531.011</v>
      </c>
      <c r="AN69" t="n">
        <v>9094.686</v>
      </c>
      <c r="AO69" t="n">
        <v>8704.843999999999</v>
      </c>
      <c r="AP69" t="n">
        <v>8592.938</v>
      </c>
      <c r="AQ69" t="n">
        <v>8324.768</v>
      </c>
      <c r="AR69" t="n">
        <v>8572.959000000001</v>
      </c>
      <c r="AS69" t="n">
        <v>8356.724</v>
      </c>
      <c r="AT69" t="n">
        <v>8744.201999999999</v>
      </c>
      <c r="AU69" t="n">
        <v>8408.226000000001</v>
      </c>
      <c r="AV69" t="n">
        <v>8448.51</v>
      </c>
      <c r="AW69" t="n">
        <v>8367.109</v>
      </c>
      <c r="AX69" t="n">
        <v>8573.698</v>
      </c>
      <c r="AY69" t="n">
        <v>9308.879000000001</v>
      </c>
      <c r="AZ69" t="n">
        <v>8776.063</v>
      </c>
      <c r="BA69" t="n">
        <v>8738.013000000001</v>
      </c>
      <c r="BB69" t="n">
        <v>8423.262000000001</v>
      </c>
      <c r="BC69" t="n">
        <v>9407.360000000001</v>
      </c>
      <c r="BD69" t="n">
        <v>10097.352</v>
      </c>
      <c r="BE69" t="n">
        <v>10034.281</v>
      </c>
      <c r="BF69" t="n">
        <v>10051.165</v>
      </c>
      <c r="BG69" t="n">
        <v>9607.319</v>
      </c>
      <c r="BH69" t="n">
        <v>9846.237999999999</v>
      </c>
      <c r="BI69" t="n">
        <v>10529.746</v>
      </c>
      <c r="BJ69" t="n">
        <v>9303.315000000001</v>
      </c>
      <c r="BK69" t="n">
        <v>9045.915999999999</v>
      </c>
      <c r="BL69" t="n">
        <v>9192.628000000001</v>
      </c>
      <c r="BM69" t="n">
        <v>9760.091</v>
      </c>
      <c r="BN69" t="n">
        <v>9327.912</v>
      </c>
      <c r="BO69" t="n">
        <v>9828.005999999999</v>
      </c>
      <c r="BP69" t="n">
        <v>11174.478</v>
      </c>
      <c r="BQ69" t="n">
        <v>12126.642</v>
      </c>
      <c r="BR69" t="n">
        <v>11516.297</v>
      </c>
      <c r="BS69" t="n">
        <v>11180.332</v>
      </c>
      <c r="BT69" t="n">
        <v>11245.428</v>
      </c>
      <c r="BU69" t="n">
        <v>11681.01</v>
      </c>
      <c r="BV69" t="n">
        <v>11511.67</v>
      </c>
    </row>
    <row r="70">
      <c r="A70" t="inlineStr">
        <is>
          <t>Nematalosa nasus</t>
        </is>
      </c>
      <c r="B70" t="inlineStr">
        <is>
          <t>Bloch's gizzard shad</t>
        </is>
      </c>
      <c r="C70" t="inlineStr">
        <is>
          <t>Small pelagics (&lt;30 cm)</t>
        </is>
      </c>
      <c r="D70" t="inlineStr">
        <is>
          <t>Herring-likes</t>
        </is>
      </c>
      <c r="E70" t="n">
        <v>873.266</v>
      </c>
      <c r="F70" t="n">
        <v>877.949</v>
      </c>
      <c r="G70" t="n">
        <v>871.766</v>
      </c>
      <c r="H70" t="n">
        <v>1243.402</v>
      </c>
      <c r="I70" t="n">
        <v>1263.014</v>
      </c>
      <c r="J70" t="n">
        <v>1288.279</v>
      </c>
      <c r="K70" t="n">
        <v>1345.084</v>
      </c>
      <c r="L70" t="n">
        <v>1025.346</v>
      </c>
      <c r="M70" t="n">
        <v>4136.702</v>
      </c>
      <c r="N70" t="n">
        <v>3053.659</v>
      </c>
      <c r="O70" t="n">
        <v>4213.772</v>
      </c>
      <c r="P70" t="n">
        <v>5602.212</v>
      </c>
      <c r="Q70" t="n">
        <v>4056.417</v>
      </c>
      <c r="R70" t="n">
        <v>7192.235</v>
      </c>
      <c r="S70" t="n">
        <v>11860.526</v>
      </c>
      <c r="T70" t="n">
        <v>13204.792</v>
      </c>
      <c r="U70" t="n">
        <v>11750.285</v>
      </c>
      <c r="V70" t="n">
        <v>9612.254000000001</v>
      </c>
      <c r="W70" t="n">
        <v>7296.684</v>
      </c>
      <c r="X70" t="n">
        <v>6642.436</v>
      </c>
      <c r="Y70" t="n">
        <v>5011.27</v>
      </c>
      <c r="Z70" t="n">
        <v>5474.121</v>
      </c>
      <c r="AA70" t="n">
        <v>6423.231</v>
      </c>
      <c r="AB70" t="n">
        <v>5954.911</v>
      </c>
      <c r="AC70" t="n">
        <v>4553.589</v>
      </c>
      <c r="AD70" t="n">
        <v>4973.18</v>
      </c>
      <c r="AE70" t="n">
        <v>6025.167</v>
      </c>
      <c r="AF70" t="n">
        <v>5946.566</v>
      </c>
      <c r="AG70" t="n">
        <v>7562.025</v>
      </c>
      <c r="AH70" t="n">
        <v>7387.571</v>
      </c>
      <c r="AI70" t="n">
        <v>8419.33</v>
      </c>
      <c r="AJ70" t="n">
        <v>9451.875</v>
      </c>
      <c r="AK70" t="n">
        <v>8398.315000000001</v>
      </c>
      <c r="AL70" t="n">
        <v>9907.842000000001</v>
      </c>
      <c r="AM70" t="n">
        <v>10640.834</v>
      </c>
      <c r="AN70" t="n">
        <v>10382.98</v>
      </c>
      <c r="AO70" t="n">
        <v>10347.689</v>
      </c>
      <c r="AP70" t="n">
        <v>11782.791</v>
      </c>
      <c r="AQ70" t="n">
        <v>11964.796</v>
      </c>
      <c r="AR70" t="n">
        <v>11202.265</v>
      </c>
      <c r="AS70" t="n">
        <v>14464.234</v>
      </c>
      <c r="AT70" t="n">
        <v>14063.475</v>
      </c>
      <c r="AU70" t="n">
        <v>13797.398</v>
      </c>
      <c r="AV70" t="n">
        <v>17277.623</v>
      </c>
      <c r="AW70" t="n">
        <v>13405.666</v>
      </c>
      <c r="AX70" t="n">
        <v>12871.379</v>
      </c>
      <c r="AY70" t="n">
        <v>12808.657</v>
      </c>
      <c r="AZ70" t="n">
        <v>13901.498</v>
      </c>
      <c r="BA70" t="n">
        <v>12284.7</v>
      </c>
      <c r="BB70" t="n">
        <v>11829.177</v>
      </c>
      <c r="BC70" t="n">
        <v>11370.305</v>
      </c>
      <c r="BD70" t="n">
        <v>11505.571</v>
      </c>
      <c r="BE70" t="n">
        <v>10764.08</v>
      </c>
      <c r="BF70" t="n">
        <v>6517.889</v>
      </c>
      <c r="BG70" t="n">
        <v>8301.275</v>
      </c>
      <c r="BH70" t="n">
        <v>7182.178</v>
      </c>
      <c r="BI70" t="n">
        <v>8125.128</v>
      </c>
      <c r="BJ70" t="n">
        <v>8010.529</v>
      </c>
      <c r="BK70" t="n">
        <v>8204.744000000001</v>
      </c>
      <c r="BL70" t="n">
        <v>7756.155</v>
      </c>
      <c r="BM70" t="n">
        <v>7915.958</v>
      </c>
      <c r="BN70" t="n">
        <v>8484.632</v>
      </c>
      <c r="BO70" t="n">
        <v>9550.105</v>
      </c>
      <c r="BP70" t="n">
        <v>9919.148999999999</v>
      </c>
      <c r="BQ70" t="n">
        <v>9968.904</v>
      </c>
      <c r="BR70" t="n">
        <v>10157.041</v>
      </c>
      <c r="BS70" t="n">
        <v>10243.532</v>
      </c>
      <c r="BT70" t="n">
        <v>10482.708</v>
      </c>
      <c r="BU70" t="n">
        <v>10634.213</v>
      </c>
      <c r="BV70" t="n">
        <v>10576.325</v>
      </c>
    </row>
    <row r="71">
      <c r="A71" t="inlineStr">
        <is>
          <t>Scomberoides</t>
        </is>
      </c>
      <c r="B71" t="inlineStr">
        <is>
          <t>Queenfishes</t>
        </is>
      </c>
      <c r="C71" t="inlineStr">
        <is>
          <t>Medium pelagics (30 - 89 cm)</t>
        </is>
      </c>
      <c r="D71" t="inlineStr">
        <is>
          <t>Perch-likes</t>
        </is>
      </c>
      <c r="E71" t="n">
        <v>126.022</v>
      </c>
      <c r="F71" t="n">
        <v>126.255</v>
      </c>
      <c r="G71" t="n">
        <v>144.399</v>
      </c>
      <c r="H71" t="n">
        <v>163.643</v>
      </c>
      <c r="I71" t="n">
        <v>163.274</v>
      </c>
      <c r="J71" t="n">
        <v>200.941</v>
      </c>
      <c r="K71" t="n">
        <v>201.216</v>
      </c>
      <c r="L71" t="n">
        <v>202.356</v>
      </c>
      <c r="M71" t="n">
        <v>202.543</v>
      </c>
      <c r="N71" t="n">
        <v>221.325</v>
      </c>
      <c r="O71" t="n">
        <v>221.844</v>
      </c>
      <c r="P71" t="n">
        <v>222.603</v>
      </c>
      <c r="Q71" t="n">
        <v>1199.643</v>
      </c>
      <c r="R71" t="n">
        <v>1200.932</v>
      </c>
      <c r="S71" t="n">
        <v>1203.369</v>
      </c>
      <c r="T71" t="n">
        <v>1223.962</v>
      </c>
      <c r="U71" t="n">
        <v>2678.509</v>
      </c>
      <c r="V71" t="n">
        <v>1723.605</v>
      </c>
      <c r="W71" t="n">
        <v>2683.453</v>
      </c>
      <c r="X71" t="n">
        <v>5091.033</v>
      </c>
      <c r="Y71" t="n">
        <v>3196.076</v>
      </c>
      <c r="Z71" t="n">
        <v>5607.522</v>
      </c>
      <c r="AA71" t="n">
        <v>6200.782</v>
      </c>
      <c r="AB71" t="n">
        <v>4592.489</v>
      </c>
      <c r="AC71" t="n">
        <v>7007.329</v>
      </c>
      <c r="AD71" t="n">
        <v>7185.383</v>
      </c>
      <c r="AE71" t="n">
        <v>6263.007</v>
      </c>
      <c r="AF71" t="n">
        <v>7709.465</v>
      </c>
      <c r="AG71" t="n">
        <v>6247.473</v>
      </c>
      <c r="AH71" t="n">
        <v>9148.666999999999</v>
      </c>
      <c r="AI71" t="n">
        <v>8333.942999999999</v>
      </c>
      <c r="AJ71" t="n">
        <v>5958.396</v>
      </c>
      <c r="AK71" t="n">
        <v>7629.891</v>
      </c>
      <c r="AL71" t="n">
        <v>10768.789</v>
      </c>
      <c r="AM71" t="n">
        <v>13031.456</v>
      </c>
      <c r="AN71" t="n">
        <v>13562.142</v>
      </c>
      <c r="AO71" t="n">
        <v>14455.582</v>
      </c>
      <c r="AP71" t="n">
        <v>11804.786</v>
      </c>
      <c r="AQ71" t="n">
        <v>15288.568</v>
      </c>
      <c r="AR71" t="n">
        <v>14724.443</v>
      </c>
      <c r="AS71" t="n">
        <v>13478.547</v>
      </c>
      <c r="AT71" t="n">
        <v>9881.567999999999</v>
      </c>
      <c r="AU71" t="n">
        <v>9746.541999999999</v>
      </c>
      <c r="AV71" t="n">
        <v>13065.655</v>
      </c>
      <c r="AW71" t="n">
        <v>13717.212</v>
      </c>
      <c r="AX71" t="n">
        <v>16395.495</v>
      </c>
      <c r="AY71" t="n">
        <v>15804.864</v>
      </c>
      <c r="AZ71" t="n">
        <v>18710.057</v>
      </c>
      <c r="BA71" t="n">
        <v>18422.328</v>
      </c>
      <c r="BB71" t="n">
        <v>17584.249</v>
      </c>
      <c r="BC71" t="n">
        <v>16439.904</v>
      </c>
      <c r="BD71" t="n">
        <v>16216.781</v>
      </c>
      <c r="BE71" t="n">
        <v>16326.068</v>
      </c>
      <c r="BF71" t="n">
        <v>12738.473</v>
      </c>
      <c r="BG71" t="n">
        <v>7025.378</v>
      </c>
      <c r="BH71" t="n">
        <v>6446.356</v>
      </c>
      <c r="BI71" t="n">
        <v>8136.935</v>
      </c>
      <c r="BJ71" t="n">
        <v>10221.436</v>
      </c>
      <c r="BK71" t="n">
        <v>11905.533</v>
      </c>
      <c r="BL71" t="n">
        <v>10870.429</v>
      </c>
      <c r="BM71" t="n">
        <v>12406.836</v>
      </c>
      <c r="BN71" t="n">
        <v>5812.043</v>
      </c>
      <c r="BO71" t="n">
        <v>9136.709999999999</v>
      </c>
      <c r="BP71" t="n">
        <v>6780.49</v>
      </c>
      <c r="BQ71" t="n">
        <v>7440.773</v>
      </c>
      <c r="BR71" t="n">
        <v>7164.74</v>
      </c>
      <c r="BS71" t="n">
        <v>11680.496</v>
      </c>
      <c r="BT71" t="n">
        <v>11447.669</v>
      </c>
      <c r="BU71" t="n">
        <v>11014.647</v>
      </c>
      <c r="BV71" t="n">
        <v>10329.158</v>
      </c>
    </row>
    <row r="72">
      <c r="A72" t="inlineStr">
        <is>
          <t>Sepia</t>
        </is>
      </c>
      <c r="B72" t="inlineStr">
        <is>
          <t>Sepia cuttlefishes</t>
        </is>
      </c>
      <c r="C72" t="inlineStr">
        <is>
          <t>Cephalopods</t>
        </is>
      </c>
      <c r="D72" t="inlineStr">
        <is>
          <t>Other fishes &amp; inverts</t>
        </is>
      </c>
      <c r="E72" t="n">
        <v>2738.011</v>
      </c>
      <c r="F72" t="n">
        <v>2800.349</v>
      </c>
      <c r="G72" t="n">
        <v>2890.487</v>
      </c>
      <c r="H72" t="n">
        <v>3075.234</v>
      </c>
      <c r="I72" t="n">
        <v>3149.431</v>
      </c>
      <c r="J72" t="n">
        <v>3234.394</v>
      </c>
      <c r="K72" t="n">
        <v>3303.704</v>
      </c>
      <c r="L72" t="n">
        <v>3423.533</v>
      </c>
      <c r="M72" t="n">
        <v>3443.108</v>
      </c>
      <c r="N72" t="n">
        <v>3518.929</v>
      </c>
      <c r="O72" t="n">
        <v>3645.5</v>
      </c>
      <c r="P72" t="n">
        <v>3628.376</v>
      </c>
      <c r="Q72" t="n">
        <v>3845.029</v>
      </c>
      <c r="R72" t="n">
        <v>3925.586</v>
      </c>
      <c r="S72" t="n">
        <v>4032.974</v>
      </c>
      <c r="T72" t="n">
        <v>4145.983</v>
      </c>
      <c r="U72" t="n">
        <v>4415.169</v>
      </c>
      <c r="V72" t="n">
        <v>4473.485</v>
      </c>
      <c r="W72" t="n">
        <v>4582.665</v>
      </c>
      <c r="X72" t="n">
        <v>4732.505</v>
      </c>
      <c r="Y72" t="n">
        <v>5080.079</v>
      </c>
      <c r="Z72" t="n">
        <v>5090.66</v>
      </c>
      <c r="AA72" t="n">
        <v>4776.13</v>
      </c>
      <c r="AB72" t="n">
        <v>4936.8</v>
      </c>
      <c r="AC72" t="n">
        <v>4697.895</v>
      </c>
      <c r="AD72" t="n">
        <v>4621.87</v>
      </c>
      <c r="AE72" t="n">
        <v>4542.606</v>
      </c>
      <c r="AF72" t="n">
        <v>4867.638</v>
      </c>
      <c r="AG72" t="n">
        <v>4363.748</v>
      </c>
      <c r="AH72" t="n">
        <v>4563.853</v>
      </c>
      <c r="AI72" t="n">
        <v>4325.832</v>
      </c>
      <c r="AJ72" t="n">
        <v>4283.328</v>
      </c>
      <c r="AK72" t="n">
        <v>4445.028</v>
      </c>
      <c r="AL72" t="n">
        <v>4549.735</v>
      </c>
      <c r="AM72" t="n">
        <v>4318.253</v>
      </c>
      <c r="AN72" t="n">
        <v>4247.913</v>
      </c>
      <c r="AO72" t="n">
        <v>4133.499</v>
      </c>
      <c r="AP72" t="n">
        <v>3892.295</v>
      </c>
      <c r="AQ72" t="n">
        <v>3892.214</v>
      </c>
      <c r="AR72" t="n">
        <v>3852.033</v>
      </c>
      <c r="AS72" t="n">
        <v>5482.173</v>
      </c>
      <c r="AT72" t="n">
        <v>6940.862</v>
      </c>
      <c r="AU72" t="n">
        <v>6888.363</v>
      </c>
      <c r="AV72" t="n">
        <v>6953.672</v>
      </c>
      <c r="AW72" t="n">
        <v>7694.015</v>
      </c>
      <c r="AX72" t="n">
        <v>6588.041</v>
      </c>
      <c r="AY72" t="n">
        <v>7485.481</v>
      </c>
      <c r="AZ72" t="n">
        <v>8900.648999999999</v>
      </c>
      <c r="BA72" t="n">
        <v>8137.719</v>
      </c>
      <c r="BB72" t="n">
        <v>10385.279</v>
      </c>
      <c r="BC72" t="n">
        <v>10589.091</v>
      </c>
      <c r="BD72" t="n">
        <v>10688.826</v>
      </c>
      <c r="BE72" t="n">
        <v>10887.967</v>
      </c>
      <c r="BF72" t="n">
        <v>10970.541</v>
      </c>
      <c r="BG72" t="n">
        <v>10026.764</v>
      </c>
      <c r="BH72" t="n">
        <v>9321.661</v>
      </c>
      <c r="BI72" t="n">
        <v>9369.532999999999</v>
      </c>
      <c r="BJ72" t="n">
        <v>8856.862999999999</v>
      </c>
      <c r="BK72" t="n">
        <v>9167.989</v>
      </c>
      <c r="BL72" t="n">
        <v>10139.15</v>
      </c>
      <c r="BM72" t="n">
        <v>9934.514999999999</v>
      </c>
      <c r="BN72" t="n">
        <v>13261.997</v>
      </c>
      <c r="BO72" t="n">
        <v>15194.541</v>
      </c>
      <c r="BP72" t="n">
        <v>16328.279</v>
      </c>
      <c r="BQ72" t="n">
        <v>18574.678</v>
      </c>
      <c r="BR72" t="n">
        <v>16153.003</v>
      </c>
      <c r="BS72" t="n">
        <v>15341.473</v>
      </c>
      <c r="BT72" t="n">
        <v>15932.601</v>
      </c>
      <c r="BU72" t="n">
        <v>16022.912</v>
      </c>
      <c r="BV72" t="n">
        <v>16656.423</v>
      </c>
    </row>
    <row r="73">
      <c r="A73" t="inlineStr">
        <is>
          <t>Chirocentrus</t>
        </is>
      </c>
      <c r="B73" t="inlineStr">
        <is>
          <t>Wolf herrings</t>
        </is>
      </c>
      <c r="C73" t="inlineStr">
        <is>
          <t>Large pelagics (&gt;=90 cm)</t>
        </is>
      </c>
      <c r="D73" t="inlineStr">
        <is>
          <t>Herring-likes</t>
        </is>
      </c>
      <c r="E73" t="n">
        <v>3755.378</v>
      </c>
      <c r="F73" t="n">
        <v>93.164</v>
      </c>
      <c r="G73" t="n">
        <v>370.467</v>
      </c>
      <c r="H73" t="n">
        <v>113.657</v>
      </c>
      <c r="I73" t="n">
        <v>453.893</v>
      </c>
      <c r="J73" t="n">
        <v>1003.185</v>
      </c>
      <c r="K73" t="n">
        <v>3674.859</v>
      </c>
      <c r="L73" t="n">
        <v>2166.028</v>
      </c>
      <c r="M73" t="n">
        <v>2158.071</v>
      </c>
      <c r="N73" t="n">
        <v>2539.714</v>
      </c>
      <c r="O73" t="n">
        <v>1435.27</v>
      </c>
      <c r="P73" t="n">
        <v>1397.91</v>
      </c>
      <c r="Q73" t="n">
        <v>1274.105</v>
      </c>
      <c r="R73" t="n">
        <v>1843.969</v>
      </c>
      <c r="S73" t="n">
        <v>2150.68</v>
      </c>
      <c r="T73" t="n">
        <v>1934.907</v>
      </c>
      <c r="U73" t="n">
        <v>2245.423</v>
      </c>
      <c r="V73" t="n">
        <v>2646.14</v>
      </c>
      <c r="W73" t="n">
        <v>2279.808</v>
      </c>
      <c r="X73" t="n">
        <v>2711.033</v>
      </c>
      <c r="Y73" t="n">
        <v>2638.718</v>
      </c>
      <c r="Z73" t="n">
        <v>4230.878</v>
      </c>
      <c r="AA73" t="n">
        <v>4476.43</v>
      </c>
      <c r="AB73" t="n">
        <v>4257.901</v>
      </c>
      <c r="AC73" t="n">
        <v>4495.686</v>
      </c>
      <c r="AD73" t="n">
        <v>6342.508</v>
      </c>
      <c r="AE73" t="n">
        <v>5637.661</v>
      </c>
      <c r="AF73" t="n">
        <v>7298.028</v>
      </c>
      <c r="AG73" t="n">
        <v>6585.62</v>
      </c>
      <c r="AH73" t="n">
        <v>5226.15</v>
      </c>
      <c r="AI73" t="n">
        <v>7178.034</v>
      </c>
      <c r="AJ73" t="n">
        <v>7223.015</v>
      </c>
      <c r="AK73" t="n">
        <v>9509.439</v>
      </c>
      <c r="AL73" t="n">
        <v>10121.807</v>
      </c>
      <c r="AM73" t="n">
        <v>11201.14</v>
      </c>
      <c r="AN73" t="n">
        <v>13375.122</v>
      </c>
      <c r="AO73" t="n">
        <v>9094.782999999999</v>
      </c>
      <c r="AP73" t="n">
        <v>9978.332</v>
      </c>
      <c r="AQ73" t="n">
        <v>7043.066</v>
      </c>
      <c r="AR73" t="n">
        <v>7881.038</v>
      </c>
      <c r="AS73" t="n">
        <v>6951.215</v>
      </c>
      <c r="AT73" t="n">
        <v>9807.596</v>
      </c>
      <c r="AU73" t="n">
        <v>11067.934</v>
      </c>
      <c r="AV73" t="n">
        <v>11103.627</v>
      </c>
      <c r="AW73" t="n">
        <v>11607.042</v>
      </c>
      <c r="AX73" t="n">
        <v>9012.42</v>
      </c>
      <c r="AY73" t="n">
        <v>8822.353999999999</v>
      </c>
      <c r="AZ73" t="n">
        <v>13014.672</v>
      </c>
      <c r="BA73" t="n">
        <v>13745.904</v>
      </c>
      <c r="BB73" t="n">
        <v>9420.368</v>
      </c>
      <c r="BC73" t="n">
        <v>7643.523</v>
      </c>
      <c r="BD73" t="n">
        <v>8561.451999999999</v>
      </c>
      <c r="BE73" t="n">
        <v>10273.656</v>
      </c>
      <c r="BF73" t="n">
        <v>7882.616</v>
      </c>
      <c r="BG73" t="n">
        <v>7228.619</v>
      </c>
      <c r="BH73" t="n">
        <v>8478.842000000001</v>
      </c>
      <c r="BI73" t="n">
        <v>8857.163</v>
      </c>
      <c r="BJ73" t="n">
        <v>8809.964</v>
      </c>
      <c r="BK73" t="n">
        <v>11657.63</v>
      </c>
      <c r="BL73" t="n">
        <v>6318.712</v>
      </c>
      <c r="BM73" t="n">
        <v>8202.946</v>
      </c>
      <c r="BN73" t="n">
        <v>8128.5</v>
      </c>
      <c r="BO73" t="n">
        <v>8655.907999999999</v>
      </c>
      <c r="BP73" t="n">
        <v>9018.615</v>
      </c>
      <c r="BQ73" t="n">
        <v>12037.473</v>
      </c>
      <c r="BR73" t="n">
        <v>10048.78</v>
      </c>
      <c r="BS73" t="n">
        <v>10380.331</v>
      </c>
      <c r="BT73" t="n">
        <v>8613.444</v>
      </c>
      <c r="BU73" t="n">
        <v>10751.119</v>
      </c>
      <c r="BV73" t="n">
        <v>17808.424</v>
      </c>
    </row>
    <row r="74">
      <c r="A74" t="inlineStr">
        <is>
          <t>Myliobatidae</t>
        </is>
      </c>
      <c r="B74" t="inlineStr">
        <is>
          <t>Eagle/manta rays</t>
        </is>
      </c>
      <c r="C74" t="inlineStr">
        <is>
          <t>Large rays (&gt;=90 cm)</t>
        </is>
      </c>
      <c r="D74" t="inlineStr">
        <is>
          <t>Sharks &amp; rays</t>
        </is>
      </c>
      <c r="E74" t="n">
        <v>2255.836</v>
      </c>
      <c r="F74" t="n">
        <v>2303.676</v>
      </c>
      <c r="G74" t="n">
        <v>2370.021</v>
      </c>
      <c r="H74" t="n">
        <v>2501.041</v>
      </c>
      <c r="I74" t="n">
        <v>2558.128</v>
      </c>
      <c r="J74" t="n">
        <v>2622.369</v>
      </c>
      <c r="K74" t="n">
        <v>2679.783</v>
      </c>
      <c r="L74" t="n">
        <v>2783.28</v>
      </c>
      <c r="M74" t="n">
        <v>2809.999</v>
      </c>
      <c r="N74" t="n">
        <v>2871.056</v>
      </c>
      <c r="O74" t="n">
        <v>2975.891</v>
      </c>
      <c r="P74" t="n">
        <v>2970.58</v>
      </c>
      <c r="Q74" t="n">
        <v>4233.911</v>
      </c>
      <c r="R74" t="n">
        <v>4417.307</v>
      </c>
      <c r="S74" t="n">
        <v>5157.642</v>
      </c>
      <c r="T74" t="n">
        <v>5280.725</v>
      </c>
      <c r="U74" t="n">
        <v>5443.223</v>
      </c>
      <c r="V74" t="n">
        <v>5488.847</v>
      </c>
      <c r="W74" t="n">
        <v>5961.639</v>
      </c>
      <c r="X74" t="n">
        <v>6211.741</v>
      </c>
      <c r="Y74" t="n">
        <v>5238.723</v>
      </c>
      <c r="Z74" t="n">
        <v>6132.406</v>
      </c>
      <c r="AA74" t="n">
        <v>7858.866</v>
      </c>
      <c r="AB74" t="n">
        <v>9691.355</v>
      </c>
      <c r="AC74" t="n">
        <v>6341.17</v>
      </c>
      <c r="AD74" t="n">
        <v>6525.183</v>
      </c>
      <c r="AE74" t="n">
        <v>7322.724</v>
      </c>
      <c r="AF74" t="n">
        <v>9828.816999999999</v>
      </c>
      <c r="AG74" t="n">
        <v>12053.747</v>
      </c>
      <c r="AH74" t="n">
        <v>12442.741</v>
      </c>
      <c r="AI74" t="n">
        <v>11414.265</v>
      </c>
      <c r="AJ74" t="n">
        <v>12211.367</v>
      </c>
      <c r="AK74" t="n">
        <v>14037.436</v>
      </c>
      <c r="AL74" t="n">
        <v>5765.931</v>
      </c>
      <c r="AM74" t="n">
        <v>5897.757</v>
      </c>
      <c r="AN74" t="n">
        <v>6611.562</v>
      </c>
      <c r="AO74" t="n">
        <v>6197.912</v>
      </c>
      <c r="AP74" t="n">
        <v>5983.384</v>
      </c>
      <c r="AQ74" t="n">
        <v>5962.555</v>
      </c>
      <c r="AR74" t="n">
        <v>6854.1</v>
      </c>
      <c r="AS74" t="n">
        <v>7781.16</v>
      </c>
      <c r="AT74" t="n">
        <v>8112.085</v>
      </c>
      <c r="AU74" t="n">
        <v>7804.224</v>
      </c>
      <c r="AV74" t="n">
        <v>7757.449</v>
      </c>
      <c r="AW74" t="n">
        <v>8180.448</v>
      </c>
      <c r="AX74" t="n">
        <v>8108.271</v>
      </c>
      <c r="AY74" t="n">
        <v>7848.411</v>
      </c>
      <c r="AZ74" t="n">
        <v>7825.583</v>
      </c>
      <c r="BA74" t="n">
        <v>8134.157</v>
      </c>
      <c r="BB74" t="n">
        <v>8737.157999999999</v>
      </c>
      <c r="BC74" t="n">
        <v>8867.929</v>
      </c>
      <c r="BD74" t="n">
        <v>8975.968999999999</v>
      </c>
      <c r="BE74" t="n">
        <v>9084.189</v>
      </c>
      <c r="BF74" t="n">
        <v>7722.746</v>
      </c>
      <c r="BG74" t="n">
        <v>7227.486</v>
      </c>
      <c r="BH74" t="n">
        <v>7027.61</v>
      </c>
      <c r="BI74" t="n">
        <v>6872.887</v>
      </c>
      <c r="BJ74" t="n">
        <v>6598.462</v>
      </c>
      <c r="BK74" t="n">
        <v>6647.915</v>
      </c>
      <c r="BL74" t="n">
        <v>6548.675</v>
      </c>
      <c r="BM74" t="n">
        <v>5189.015</v>
      </c>
      <c r="BN74" t="n">
        <v>6649.879</v>
      </c>
      <c r="BO74" t="n">
        <v>6484.511</v>
      </c>
      <c r="BP74" t="n">
        <v>6600.047</v>
      </c>
      <c r="BQ74" t="n">
        <v>6676.521</v>
      </c>
      <c r="BR74" t="n">
        <v>6667.849</v>
      </c>
      <c r="BS74" t="n">
        <v>6606.534</v>
      </c>
      <c r="BT74" t="n">
        <v>6814.262</v>
      </c>
      <c r="BU74" t="n">
        <v>7091.218</v>
      </c>
      <c r="BV74" t="n">
        <v>6932.83</v>
      </c>
    </row>
    <row r="75">
      <c r="A75" t="inlineStr">
        <is>
          <t>Sepia pharaonis</t>
        </is>
      </c>
      <c r="B75" t="inlineStr">
        <is>
          <t>Pharaoh cuttlefish</t>
        </is>
      </c>
      <c r="C75" t="inlineStr">
        <is>
          <t>Cephalopods</t>
        </is>
      </c>
      <c r="D75" t="inlineStr">
        <is>
          <t>Other fishes &amp; inverts</t>
        </is>
      </c>
      <c r="E75" t="n">
        <v>1335.171</v>
      </c>
      <c r="F75" t="n">
        <v>1336.298</v>
      </c>
      <c r="G75" t="n">
        <v>1443.329</v>
      </c>
      <c r="H75" t="n">
        <v>1553.957</v>
      </c>
      <c r="I75" t="n">
        <v>1554.975</v>
      </c>
      <c r="J75" t="n">
        <v>1774.059</v>
      </c>
      <c r="K75" t="n">
        <v>1743.524</v>
      </c>
      <c r="L75" t="n">
        <v>1746.529</v>
      </c>
      <c r="M75" t="n">
        <v>1746.968</v>
      </c>
      <c r="N75" t="n">
        <v>1858.002</v>
      </c>
      <c r="O75" t="n">
        <v>1859.431</v>
      </c>
      <c r="P75" t="n">
        <v>1859.55</v>
      </c>
      <c r="Q75" t="n">
        <v>1972.35</v>
      </c>
      <c r="R75" t="n">
        <v>1975.096</v>
      </c>
      <c r="S75" t="n">
        <v>1921.79</v>
      </c>
      <c r="T75" t="n">
        <v>2052.71</v>
      </c>
      <c r="U75" t="n">
        <v>2162.704</v>
      </c>
      <c r="V75" t="n">
        <v>2189.859</v>
      </c>
      <c r="W75" t="n">
        <v>2273.752</v>
      </c>
      <c r="X75" t="n">
        <v>2304.563</v>
      </c>
      <c r="Y75" t="n">
        <v>2361.574</v>
      </c>
      <c r="Z75" t="n">
        <v>2468.234</v>
      </c>
      <c r="AA75" t="n">
        <v>2553.782</v>
      </c>
      <c r="AB75" t="n">
        <v>2636.276</v>
      </c>
      <c r="AC75" t="n">
        <v>3977.061</v>
      </c>
      <c r="AD75" t="n">
        <v>4078.602</v>
      </c>
      <c r="AE75" t="n">
        <v>3994.566</v>
      </c>
      <c r="AF75" t="n">
        <v>3953.39</v>
      </c>
      <c r="AG75" t="n">
        <v>3979.027</v>
      </c>
      <c r="AH75" t="n">
        <v>3891.347</v>
      </c>
      <c r="AI75" t="n">
        <v>3294.607</v>
      </c>
      <c r="AJ75" t="n">
        <v>3224.154</v>
      </c>
      <c r="AK75" t="n">
        <v>4572.27</v>
      </c>
      <c r="AL75" t="n">
        <v>4870.067</v>
      </c>
      <c r="AM75" t="n">
        <v>4864.679</v>
      </c>
      <c r="AN75" t="n">
        <v>4593.644</v>
      </c>
      <c r="AO75" t="n">
        <v>5259.437</v>
      </c>
      <c r="AP75" t="n">
        <v>7073.704</v>
      </c>
      <c r="AQ75" t="n">
        <v>8591.242</v>
      </c>
      <c r="AR75" t="n">
        <v>7727.855</v>
      </c>
      <c r="AS75" t="n">
        <v>7644.435</v>
      </c>
      <c r="AT75" t="n">
        <v>8035.1</v>
      </c>
      <c r="AU75" t="n">
        <v>8974.084999999999</v>
      </c>
      <c r="AV75" t="n">
        <v>10117.553</v>
      </c>
      <c r="AW75" t="n">
        <v>9204.984</v>
      </c>
      <c r="AX75" t="n">
        <v>11178.778</v>
      </c>
      <c r="AY75" t="n">
        <v>9759.567999999999</v>
      </c>
      <c r="AZ75" t="n">
        <v>12359.375</v>
      </c>
      <c r="BA75" t="n">
        <v>7256.651</v>
      </c>
      <c r="BB75" t="n">
        <v>7209.003</v>
      </c>
      <c r="BC75" t="n">
        <v>9052.120999999999</v>
      </c>
      <c r="BD75" t="n">
        <v>12970.963</v>
      </c>
      <c r="BE75" t="n">
        <v>11612.037</v>
      </c>
      <c r="BF75" t="n">
        <v>14899.634</v>
      </c>
      <c r="BG75" t="n">
        <v>14468.302</v>
      </c>
      <c r="BH75" t="n">
        <v>14813.618</v>
      </c>
      <c r="BI75" t="n">
        <v>11827.748</v>
      </c>
      <c r="BJ75" t="n">
        <v>13025.627</v>
      </c>
      <c r="BK75" t="n">
        <v>13026.741</v>
      </c>
      <c r="BL75" t="n">
        <v>8795.522999999999</v>
      </c>
      <c r="BM75" t="n">
        <v>13072.278</v>
      </c>
      <c r="BN75" t="n">
        <v>8074.286</v>
      </c>
      <c r="BO75" t="n">
        <v>7183.001</v>
      </c>
      <c r="BP75" t="n">
        <v>6936.028</v>
      </c>
      <c r="BQ75" t="n">
        <v>8168.815</v>
      </c>
      <c r="BR75" t="n">
        <v>5770.116</v>
      </c>
      <c r="BS75" t="n">
        <v>8077.874</v>
      </c>
      <c r="BT75" t="n">
        <v>8212.469999999999</v>
      </c>
      <c r="BU75" t="n">
        <v>9721.671</v>
      </c>
      <c r="BV75" t="n">
        <v>8853.706</v>
      </c>
    </row>
    <row r="76">
      <c r="A76" t="inlineStr">
        <is>
          <t>Polynemidae</t>
        </is>
      </c>
      <c r="B76" t="inlineStr">
        <is>
          <t>Threadfins</t>
        </is>
      </c>
      <c r="C76" t="inlineStr">
        <is>
          <t>Small demersals (&lt;30 cm)</t>
        </is>
      </c>
      <c r="D76" t="inlineStr">
        <is>
          <t>Perch-likes</t>
        </is>
      </c>
      <c r="E76" t="n">
        <v>7000.461</v>
      </c>
      <c r="F76" t="n">
        <v>669.217</v>
      </c>
      <c r="G76" t="n">
        <v>620.833</v>
      </c>
      <c r="H76" t="n">
        <v>814.056</v>
      </c>
      <c r="I76" t="n">
        <v>1356.557</v>
      </c>
      <c r="J76" t="n">
        <v>11637.196</v>
      </c>
      <c r="K76" t="n">
        <v>8382.758</v>
      </c>
      <c r="L76" t="n">
        <v>14729.533</v>
      </c>
      <c r="M76" t="n">
        <v>5527.686</v>
      </c>
      <c r="N76" t="n">
        <v>7344.569</v>
      </c>
      <c r="O76" t="n">
        <v>5915.531</v>
      </c>
      <c r="P76" t="n">
        <v>5184.7</v>
      </c>
      <c r="Q76" t="n">
        <v>1974.553</v>
      </c>
      <c r="R76" t="n">
        <v>2998.891</v>
      </c>
      <c r="S76" t="n">
        <v>1369.494</v>
      </c>
      <c r="T76" t="n">
        <v>947.293</v>
      </c>
      <c r="U76" t="n">
        <v>3813.9</v>
      </c>
      <c r="V76" t="n">
        <v>1844.054</v>
      </c>
      <c r="W76" t="n">
        <v>1155.329</v>
      </c>
      <c r="X76" t="n">
        <v>1399.14</v>
      </c>
      <c r="Y76" t="n">
        <v>4831.296</v>
      </c>
      <c r="Z76" t="n">
        <v>4468.798</v>
      </c>
      <c r="AA76" t="n">
        <v>4411.609</v>
      </c>
      <c r="AB76" t="n">
        <v>6524.68</v>
      </c>
      <c r="AC76" t="n">
        <v>7782.801</v>
      </c>
      <c r="AD76" t="n">
        <v>11135.678</v>
      </c>
      <c r="AE76" t="n">
        <v>10949.425</v>
      </c>
      <c r="AF76" t="n">
        <v>1717.198</v>
      </c>
      <c r="AG76" t="n">
        <v>2769.527</v>
      </c>
      <c r="AH76" t="n">
        <v>2864.628</v>
      </c>
      <c r="AI76" t="n">
        <v>3171.687</v>
      </c>
      <c r="AJ76" t="n">
        <v>2885.866</v>
      </c>
      <c r="AK76" t="n">
        <v>4660.881</v>
      </c>
      <c r="AL76" t="n">
        <v>4727.961</v>
      </c>
      <c r="AM76" t="n">
        <v>5311.565</v>
      </c>
      <c r="AN76" t="n">
        <v>7277.692</v>
      </c>
      <c r="AO76" t="n">
        <v>5890.757</v>
      </c>
      <c r="AP76" t="n">
        <v>6975.399</v>
      </c>
      <c r="AQ76" t="n">
        <v>3534.697</v>
      </c>
      <c r="AR76" t="n">
        <v>5596.817</v>
      </c>
      <c r="AS76" t="n">
        <v>4809.101</v>
      </c>
      <c r="AT76" t="n">
        <v>6031.72</v>
      </c>
      <c r="AU76" t="n">
        <v>6093.451</v>
      </c>
      <c r="AV76" t="n">
        <v>4046.898</v>
      </c>
      <c r="AW76" t="n">
        <v>6408.846</v>
      </c>
      <c r="AX76" t="n">
        <v>9199.848</v>
      </c>
      <c r="AY76" t="n">
        <v>6365.969</v>
      </c>
      <c r="AZ76" t="n">
        <v>9597.786</v>
      </c>
      <c r="BA76" t="n">
        <v>8719.695</v>
      </c>
      <c r="BB76" t="n">
        <v>6563.624</v>
      </c>
      <c r="BC76" t="n">
        <v>7295.105</v>
      </c>
      <c r="BD76" t="n">
        <v>6441.865</v>
      </c>
      <c r="BE76" t="n">
        <v>8478.661</v>
      </c>
      <c r="BF76" t="n">
        <v>9174.615</v>
      </c>
      <c r="BG76" t="n">
        <v>7162.674</v>
      </c>
      <c r="BH76" t="n">
        <v>6857.695</v>
      </c>
      <c r="BI76" t="n">
        <v>6253.339</v>
      </c>
      <c r="BJ76" t="n">
        <v>6438.824</v>
      </c>
      <c r="BK76" t="n">
        <v>7623.087</v>
      </c>
      <c r="BL76" t="n">
        <v>6649.575</v>
      </c>
      <c r="BM76" t="n">
        <v>4103.382</v>
      </c>
      <c r="BN76" t="n">
        <v>4717.479</v>
      </c>
      <c r="BO76" t="n">
        <v>5900.495</v>
      </c>
      <c r="BP76" t="n">
        <v>6722.289</v>
      </c>
      <c r="BQ76" t="n">
        <v>6262.168</v>
      </c>
      <c r="BR76" t="n">
        <v>8201.569</v>
      </c>
      <c r="BS76" t="n">
        <v>6901.974</v>
      </c>
      <c r="BT76" t="n">
        <v>7050.388</v>
      </c>
      <c r="BU76" t="n">
        <v>5850.729</v>
      </c>
      <c r="BV76" t="n">
        <v>6502.723</v>
      </c>
    </row>
    <row r="77">
      <c r="A77" t="inlineStr">
        <is>
          <t>Anguilliformes</t>
        </is>
      </c>
      <c r="B77" t="inlineStr">
        <is>
          <t>Eels, morays</t>
        </is>
      </c>
      <c r="C77" t="inlineStr">
        <is>
          <t>Large demersals (&gt;=90 cm)</t>
        </is>
      </c>
      <c r="D77" t="inlineStr">
        <is>
          <t>Other fishes &amp; inverts</t>
        </is>
      </c>
      <c r="E77" t="n">
        <v>5601.404</v>
      </c>
      <c r="F77" t="n">
        <v>5211.591</v>
      </c>
      <c r="G77" t="n">
        <v>5123.602</v>
      </c>
      <c r="H77" t="n">
        <v>5731.397</v>
      </c>
      <c r="I77" t="n">
        <v>5783.65</v>
      </c>
      <c r="J77" t="n">
        <v>12081.352</v>
      </c>
      <c r="K77" t="n">
        <v>3231.6</v>
      </c>
      <c r="L77" t="n">
        <v>6195.795</v>
      </c>
      <c r="M77" t="n">
        <v>9031.316999999999</v>
      </c>
      <c r="N77" t="n">
        <v>5743.305</v>
      </c>
      <c r="O77" t="n">
        <v>5764.392</v>
      </c>
      <c r="P77" t="n">
        <v>10165.272</v>
      </c>
      <c r="Q77" t="n">
        <v>7784.316</v>
      </c>
      <c r="R77" t="n">
        <v>7516.257</v>
      </c>
      <c r="S77" t="n">
        <v>1985.718</v>
      </c>
      <c r="T77" t="n">
        <v>2025.39</v>
      </c>
      <c r="U77" t="n">
        <v>2137.359</v>
      </c>
      <c r="V77" t="n">
        <v>2226.456</v>
      </c>
      <c r="W77" t="n">
        <v>2837.558</v>
      </c>
      <c r="X77" t="n">
        <v>2486.058</v>
      </c>
      <c r="Y77" t="n">
        <v>6304.779</v>
      </c>
      <c r="Z77" t="n">
        <v>3658.697</v>
      </c>
      <c r="AA77" t="n">
        <v>4292.73</v>
      </c>
      <c r="AB77" t="n">
        <v>3405.771</v>
      </c>
      <c r="AC77" t="n">
        <v>3151.161</v>
      </c>
      <c r="AD77" t="n">
        <v>3726.051</v>
      </c>
      <c r="AE77" t="n">
        <v>7405.153</v>
      </c>
      <c r="AF77" t="n">
        <v>12244.563</v>
      </c>
      <c r="AG77" t="n">
        <v>7325.773</v>
      </c>
      <c r="AH77" t="n">
        <v>6659.962</v>
      </c>
      <c r="AI77" t="n">
        <v>11636.028</v>
      </c>
      <c r="AJ77" t="n">
        <v>4466.204</v>
      </c>
      <c r="AK77" t="n">
        <v>6638.286</v>
      </c>
      <c r="AL77" t="n">
        <v>7446.95</v>
      </c>
      <c r="AM77" t="n">
        <v>5936.731</v>
      </c>
      <c r="AN77" t="n">
        <v>7026.405</v>
      </c>
      <c r="AO77" t="n">
        <v>6687.759</v>
      </c>
      <c r="AP77" t="n">
        <v>5192.655</v>
      </c>
      <c r="AQ77" t="n">
        <v>2942.461</v>
      </c>
      <c r="AR77" t="n">
        <v>3471.058</v>
      </c>
      <c r="AS77" t="n">
        <v>3422.18</v>
      </c>
      <c r="AT77" t="n">
        <v>4809.235</v>
      </c>
      <c r="AU77" t="n">
        <v>3980.665</v>
      </c>
      <c r="AV77" t="n">
        <v>4199.985</v>
      </c>
      <c r="AW77" t="n">
        <v>4245.109</v>
      </c>
      <c r="AX77" t="n">
        <v>4144.46</v>
      </c>
      <c r="AY77" t="n">
        <v>4930.368</v>
      </c>
      <c r="AZ77" t="n">
        <v>5330.929</v>
      </c>
      <c r="BA77" t="n">
        <v>7402.165</v>
      </c>
      <c r="BB77" t="n">
        <v>8088.675</v>
      </c>
      <c r="BC77" t="n">
        <v>5995.466</v>
      </c>
      <c r="BD77" t="n">
        <v>5588.788</v>
      </c>
      <c r="BE77" t="n">
        <v>5647.969</v>
      </c>
      <c r="BF77" t="n">
        <v>5715.579</v>
      </c>
      <c r="BG77" t="n">
        <v>4342.439</v>
      </c>
      <c r="BH77" t="n">
        <v>4509.484</v>
      </c>
      <c r="BI77" t="n">
        <v>5497.868</v>
      </c>
      <c r="BJ77" t="n">
        <v>6493.642</v>
      </c>
      <c r="BK77" t="n">
        <v>5490.356</v>
      </c>
      <c r="BL77" t="n">
        <v>4753.355</v>
      </c>
      <c r="BM77" t="n">
        <v>3998.703</v>
      </c>
      <c r="BN77" t="n">
        <v>4000.78</v>
      </c>
      <c r="BO77" t="n">
        <v>5461.37</v>
      </c>
      <c r="BP77" t="n">
        <v>4837.297</v>
      </c>
      <c r="BQ77" t="n">
        <v>4897.077</v>
      </c>
      <c r="BR77" t="n">
        <v>6344.775</v>
      </c>
      <c r="BS77" t="n">
        <v>6981.491</v>
      </c>
      <c r="BT77" t="n">
        <v>7158.575</v>
      </c>
      <c r="BU77" t="n">
        <v>6772.461</v>
      </c>
      <c r="BV77" t="n">
        <v>6126.18</v>
      </c>
    </row>
    <row r="78">
      <c r="A78" t="inlineStr">
        <is>
          <t>Pampus argenteus</t>
        </is>
      </c>
      <c r="B78" t="inlineStr">
        <is>
          <t>Silver pomfret</t>
        </is>
      </c>
      <c r="C78" t="inlineStr">
        <is>
          <t>Medium benthopelagics (30 - 89 cm)</t>
        </is>
      </c>
      <c r="D78" t="inlineStr">
        <is>
          <t>Perch-likes</t>
        </is>
      </c>
      <c r="E78" t="n">
        <v>2274.465</v>
      </c>
      <c r="F78" t="n">
        <v>2205.077</v>
      </c>
      <c r="G78" t="n">
        <v>2211.107</v>
      </c>
      <c r="H78" t="n">
        <v>2256.594</v>
      </c>
      <c r="I78" t="n">
        <v>2263.438</v>
      </c>
      <c r="J78" t="n">
        <v>2284.713</v>
      </c>
      <c r="K78" t="n">
        <v>2350.322</v>
      </c>
      <c r="L78" t="n">
        <v>2326.911</v>
      </c>
      <c r="M78" t="n">
        <v>2397.037</v>
      </c>
      <c r="N78" t="n">
        <v>2428.284</v>
      </c>
      <c r="O78" t="n">
        <v>2462.223</v>
      </c>
      <c r="P78" t="n">
        <v>2466.591</v>
      </c>
      <c r="Q78" t="n">
        <v>2537.338</v>
      </c>
      <c r="R78" t="n">
        <v>2619.7</v>
      </c>
      <c r="S78" t="n">
        <v>2602.708</v>
      </c>
      <c r="T78" t="n">
        <v>2534.934</v>
      </c>
      <c r="U78" t="n">
        <v>2717.114</v>
      </c>
      <c r="V78" t="n">
        <v>3152.075</v>
      </c>
      <c r="W78" t="n">
        <v>2795.184</v>
      </c>
      <c r="X78" t="n">
        <v>2817.374</v>
      </c>
      <c r="Y78" t="n">
        <v>2831.922</v>
      </c>
      <c r="Z78" t="n">
        <v>2949.763</v>
      </c>
      <c r="AA78" t="n">
        <v>3070.887</v>
      </c>
      <c r="AB78" t="n">
        <v>3628.159</v>
      </c>
      <c r="AC78" t="n">
        <v>4379.157</v>
      </c>
      <c r="AD78" t="n">
        <v>4388.673</v>
      </c>
      <c r="AE78" t="n">
        <v>4574.717</v>
      </c>
      <c r="AF78" t="n">
        <v>4844.992</v>
      </c>
      <c r="AG78" t="n">
        <v>4678.321</v>
      </c>
      <c r="AH78" t="n">
        <v>4829.336</v>
      </c>
      <c r="AI78" t="n">
        <v>4578.689</v>
      </c>
      <c r="AJ78" t="n">
        <v>4249.3</v>
      </c>
      <c r="AK78" t="n">
        <v>5059.178</v>
      </c>
      <c r="AL78" t="n">
        <v>5119.516</v>
      </c>
      <c r="AM78" t="n">
        <v>5260.071</v>
      </c>
      <c r="AN78" t="n">
        <v>5395.36</v>
      </c>
      <c r="AO78" t="n">
        <v>5945.26</v>
      </c>
      <c r="AP78" t="n">
        <v>7186.835</v>
      </c>
      <c r="AQ78" t="n">
        <v>7640.578</v>
      </c>
      <c r="AR78" t="n">
        <v>8081.683</v>
      </c>
      <c r="AS78" t="n">
        <v>7545.479</v>
      </c>
      <c r="AT78" t="n">
        <v>8104.452</v>
      </c>
      <c r="AU78" t="n">
        <v>8682.623</v>
      </c>
      <c r="AV78" t="n">
        <v>8400.861000000001</v>
      </c>
      <c r="AW78" t="n">
        <v>9218.079</v>
      </c>
      <c r="AX78" t="n">
        <v>9486.987999999999</v>
      </c>
      <c r="AY78" t="n">
        <v>9453.959000000001</v>
      </c>
      <c r="AZ78" t="n">
        <v>11153.491</v>
      </c>
      <c r="BA78" t="n">
        <v>10948.877</v>
      </c>
      <c r="BB78" t="n">
        <v>10996.975</v>
      </c>
      <c r="BC78" t="n">
        <v>10974.422</v>
      </c>
      <c r="BD78" t="n">
        <v>8846.647999999999</v>
      </c>
      <c r="BE78" t="n">
        <v>7942.104</v>
      </c>
      <c r="BF78" t="n">
        <v>6702.449</v>
      </c>
      <c r="BG78" t="n">
        <v>6945.125</v>
      </c>
      <c r="BH78" t="n">
        <v>7345.385</v>
      </c>
      <c r="BI78" t="n">
        <v>7560.834</v>
      </c>
      <c r="BJ78" t="n">
        <v>6554.894</v>
      </c>
      <c r="BK78" t="n">
        <v>6138.734</v>
      </c>
      <c r="BL78" t="n">
        <v>6814.992</v>
      </c>
      <c r="BM78" t="n">
        <v>6453.114</v>
      </c>
      <c r="BN78" t="n">
        <v>6727.419</v>
      </c>
      <c r="BO78" t="n">
        <v>7410.629</v>
      </c>
      <c r="BP78" t="n">
        <v>6791.605</v>
      </c>
      <c r="BQ78" t="n">
        <v>8086.249</v>
      </c>
      <c r="BR78" t="n">
        <v>7291.375</v>
      </c>
      <c r="BS78" t="n">
        <v>6931.818</v>
      </c>
      <c r="BT78" t="n">
        <v>6728.51</v>
      </c>
      <c r="BU78" t="n">
        <v>7396.731</v>
      </c>
      <c r="BV78" t="n">
        <v>7246.863</v>
      </c>
    </row>
    <row r="79">
      <c r="A79" t="inlineStr">
        <is>
          <t>Photopectoralis bindus</t>
        </is>
      </c>
      <c r="B79" t="inlineStr">
        <is>
          <t>Orangefin ponyfish</t>
        </is>
      </c>
      <c r="C79" t="inlineStr">
        <is>
          <t>Large reef assoc. fish (&gt;=90 cm)</t>
        </is>
      </c>
      <c r="D79" t="inlineStr">
        <is>
          <t>Perch-likes</t>
        </is>
      </c>
      <c r="E79" t="n">
        <v>5321.983</v>
      </c>
      <c r="F79" t="n">
        <v>5352.408</v>
      </c>
      <c r="G79" t="n">
        <v>5312.231</v>
      </c>
      <c r="H79" t="n">
        <v>5340.11</v>
      </c>
      <c r="I79" t="n">
        <v>5367.033</v>
      </c>
      <c r="J79" t="n">
        <v>5393.002</v>
      </c>
      <c r="K79" t="n">
        <v>5410.346</v>
      </c>
      <c r="L79" t="n">
        <v>5468.442</v>
      </c>
      <c r="M79" t="n">
        <v>5511.474</v>
      </c>
      <c r="N79" t="n">
        <v>5587.965</v>
      </c>
      <c r="O79" t="n">
        <v>5628.906</v>
      </c>
      <c r="P79" t="n">
        <v>5682.27</v>
      </c>
      <c r="Q79" t="n">
        <v>5734.527</v>
      </c>
      <c r="R79" t="n">
        <v>5820.183</v>
      </c>
      <c r="S79" t="n">
        <v>5883.947</v>
      </c>
      <c r="T79" t="n">
        <v>5880.385</v>
      </c>
      <c r="U79" t="n">
        <v>5901.373</v>
      </c>
      <c r="V79" t="n">
        <v>5941.245</v>
      </c>
      <c r="W79" t="n">
        <v>5885.851</v>
      </c>
      <c r="X79" t="n">
        <v>5968.242</v>
      </c>
      <c r="Y79" t="n">
        <v>6009.981</v>
      </c>
      <c r="Z79" t="n">
        <v>6011.673</v>
      </c>
      <c r="AA79" t="n">
        <v>6095.065</v>
      </c>
      <c r="AB79" t="n">
        <v>6102.396</v>
      </c>
      <c r="AC79" t="n">
        <v>4911.146</v>
      </c>
      <c r="AD79" t="n">
        <v>5243.725</v>
      </c>
      <c r="AE79" t="n">
        <v>5578.91</v>
      </c>
      <c r="AF79" t="n">
        <v>5919.527</v>
      </c>
      <c r="AG79" t="n">
        <v>5825.068</v>
      </c>
      <c r="AH79" t="n">
        <v>5742.922</v>
      </c>
      <c r="AI79" t="n">
        <v>6202.88</v>
      </c>
      <c r="AJ79" t="n">
        <v>6283.554</v>
      </c>
      <c r="AK79" t="n">
        <v>5076.556</v>
      </c>
      <c r="AL79" t="n">
        <v>5173.583</v>
      </c>
      <c r="AM79" t="n">
        <v>5225.911</v>
      </c>
      <c r="AN79" t="n">
        <v>5290.452</v>
      </c>
      <c r="AO79" t="n">
        <v>5135.668</v>
      </c>
      <c r="AP79" t="n">
        <v>5942.848</v>
      </c>
      <c r="AQ79" t="n">
        <v>6068.078</v>
      </c>
      <c r="AR79" t="n">
        <v>6159.164</v>
      </c>
      <c r="AS79" t="n">
        <v>6020.617</v>
      </c>
      <c r="AT79" t="n">
        <v>6940.964</v>
      </c>
      <c r="AU79" t="n">
        <v>6835.818</v>
      </c>
      <c r="AV79" t="n">
        <v>5995.372</v>
      </c>
      <c r="AW79" t="n">
        <v>10649.89</v>
      </c>
      <c r="AX79" t="n">
        <v>10470.718</v>
      </c>
      <c r="AY79" t="n">
        <v>9790.637000000001</v>
      </c>
      <c r="AZ79" t="n">
        <v>13453.998</v>
      </c>
      <c r="BA79" t="n">
        <v>10502.458</v>
      </c>
      <c r="BB79" t="n">
        <v>9548.739</v>
      </c>
      <c r="BC79" t="n">
        <v>8652.681</v>
      </c>
      <c r="BD79" t="n">
        <v>8248.043</v>
      </c>
      <c r="BE79" t="n">
        <v>6936.737</v>
      </c>
      <c r="BF79" t="n">
        <v>5159.276</v>
      </c>
      <c r="BG79" t="n">
        <v>5308.6</v>
      </c>
      <c r="BH79" t="n">
        <v>4893.225</v>
      </c>
      <c r="BI79" t="n">
        <v>4522.47</v>
      </c>
      <c r="BJ79" t="n">
        <v>4091.225</v>
      </c>
      <c r="BK79" t="n">
        <v>3585.042</v>
      </c>
      <c r="BL79" t="n">
        <v>3359.97</v>
      </c>
      <c r="BM79" t="n">
        <v>2751.574</v>
      </c>
      <c r="BN79" t="n">
        <v>1565.008</v>
      </c>
      <c r="BO79" t="n">
        <v>1562.447</v>
      </c>
      <c r="BP79" t="n">
        <v>1565.776</v>
      </c>
      <c r="BQ79" t="n">
        <v>1564.979</v>
      </c>
      <c r="BR79" t="n">
        <v>1565.656</v>
      </c>
      <c r="BS79" t="n">
        <v>1565.016</v>
      </c>
      <c r="BT79" t="n">
        <v>1565.016</v>
      </c>
      <c r="BU79" t="n">
        <v>1565.015</v>
      </c>
      <c r="BV79" t="n">
        <v>1563.798</v>
      </c>
    </row>
    <row r="80">
      <c r="A80" t="inlineStr">
        <is>
          <t>Mugil cephalus</t>
        </is>
      </c>
      <c r="B80" t="inlineStr">
        <is>
          <t>Flathead grey mullet</t>
        </is>
      </c>
      <c r="C80" t="inlineStr">
        <is>
          <t>Large benthopelagics (&gt;=90 cm)</t>
        </is>
      </c>
      <c r="D80" t="inlineStr">
        <is>
          <t>Perch-likes</t>
        </is>
      </c>
      <c r="E80" t="n">
        <v>0.043</v>
      </c>
      <c r="F80" t="n">
        <v>0.043</v>
      </c>
      <c r="G80" t="n">
        <v>0.043</v>
      </c>
      <c r="H80" t="n">
        <v>0.043</v>
      </c>
      <c r="I80" t="n">
        <v>0.08599999999999999</v>
      </c>
      <c r="J80" t="n">
        <v>0.08599999999999999</v>
      </c>
      <c r="K80" t="n">
        <v>0.08599999999999999</v>
      </c>
      <c r="L80" t="n">
        <v>0.137</v>
      </c>
      <c r="M80" t="n">
        <v>1489.411</v>
      </c>
      <c r="N80" t="n">
        <v>908.564</v>
      </c>
      <c r="O80" t="n">
        <v>1447.448</v>
      </c>
      <c r="P80" t="n">
        <v>2167.977</v>
      </c>
      <c r="Q80" t="n">
        <v>1457.841</v>
      </c>
      <c r="R80" t="n">
        <v>3022.648</v>
      </c>
      <c r="S80" t="n">
        <v>5471.415</v>
      </c>
      <c r="T80" t="n">
        <v>6140.883</v>
      </c>
      <c r="U80" t="n">
        <v>6199.824</v>
      </c>
      <c r="V80" t="n">
        <v>5604.781</v>
      </c>
      <c r="W80" t="n">
        <v>5052.52</v>
      </c>
      <c r="X80" t="n">
        <v>5797.324</v>
      </c>
      <c r="Y80" t="n">
        <v>5714.421</v>
      </c>
      <c r="Z80" t="n">
        <v>6446.866</v>
      </c>
      <c r="AA80" t="n">
        <v>7786.764</v>
      </c>
      <c r="AB80" t="n">
        <v>6944.07</v>
      </c>
      <c r="AC80" t="n">
        <v>5191.051</v>
      </c>
      <c r="AD80" t="n">
        <v>5663.948</v>
      </c>
      <c r="AE80" t="n">
        <v>7187.239</v>
      </c>
      <c r="AF80" t="n">
        <v>6398.371</v>
      </c>
      <c r="AG80" t="n">
        <v>6047.744</v>
      </c>
      <c r="AH80" t="n">
        <v>7246.279</v>
      </c>
      <c r="AI80" t="n">
        <v>7671.432</v>
      </c>
      <c r="AJ80" t="n">
        <v>9501.866</v>
      </c>
      <c r="AK80" t="n">
        <v>8157.743</v>
      </c>
      <c r="AL80" t="n">
        <v>12762.734</v>
      </c>
      <c r="AM80" t="n">
        <v>13618.687</v>
      </c>
      <c r="AN80" t="n">
        <v>12448.459</v>
      </c>
      <c r="AO80" t="n">
        <v>12338.087</v>
      </c>
      <c r="AP80" t="n">
        <v>12092.371</v>
      </c>
      <c r="AQ80" t="n">
        <v>11557.869</v>
      </c>
      <c r="AR80" t="n">
        <v>9944.796</v>
      </c>
      <c r="AS80" t="n">
        <v>9285.876</v>
      </c>
      <c r="AT80" t="n">
        <v>8522.789000000001</v>
      </c>
      <c r="AU80" t="n">
        <v>7048.893</v>
      </c>
      <c r="AV80" t="n">
        <v>8773.125</v>
      </c>
      <c r="AW80" t="n">
        <v>7238.52</v>
      </c>
      <c r="AX80" t="n">
        <v>6225.077</v>
      </c>
      <c r="AY80" t="n">
        <v>6904.198</v>
      </c>
      <c r="AZ80" t="n">
        <v>7462.128</v>
      </c>
      <c r="BA80" t="n">
        <v>6573.592</v>
      </c>
      <c r="BB80" t="n">
        <v>6316.048</v>
      </c>
      <c r="BC80" t="n">
        <v>6508.327</v>
      </c>
      <c r="BD80" t="n">
        <v>6413.781</v>
      </c>
      <c r="BE80" t="n">
        <v>5588.081</v>
      </c>
      <c r="BF80" t="n">
        <v>6228.784</v>
      </c>
      <c r="BG80" t="n">
        <v>6601.023</v>
      </c>
      <c r="BH80" t="n">
        <v>4524.16</v>
      </c>
      <c r="BI80" t="n">
        <v>4411.534</v>
      </c>
      <c r="BJ80" t="n">
        <v>4221.688</v>
      </c>
      <c r="BK80" t="n">
        <v>4522.338</v>
      </c>
      <c r="BL80" t="n">
        <v>5049.898</v>
      </c>
      <c r="BM80" t="n">
        <v>4628.193</v>
      </c>
      <c r="BN80" t="n">
        <v>4425.147</v>
      </c>
      <c r="BO80" t="n">
        <v>4251.35</v>
      </c>
      <c r="BP80" t="n">
        <v>4046.084</v>
      </c>
      <c r="BQ80" t="n">
        <v>3820.573</v>
      </c>
      <c r="BR80" t="n">
        <v>3648.02</v>
      </c>
      <c r="BS80" t="n">
        <v>3424.168</v>
      </c>
      <c r="BT80" t="n">
        <v>3246.871</v>
      </c>
      <c r="BU80" t="n">
        <v>3023.538</v>
      </c>
      <c r="BV80" t="n">
        <v>2731.567</v>
      </c>
    </row>
    <row r="81">
      <c r="A81" t="inlineStr">
        <is>
          <t>Batoidea</t>
        </is>
      </c>
      <c r="B81" t="inlineStr">
        <is>
          <t>Batoids, skates, rays, sawfishes</t>
        </is>
      </c>
      <c r="C81" t="inlineStr">
        <is>
          <t>Large rays (&gt;=90 cm)</t>
        </is>
      </c>
      <c r="D81" t="inlineStr">
        <is>
          <t>Sharks &amp; rays</t>
        </is>
      </c>
      <c r="E81" t="n">
        <v>232.468</v>
      </c>
      <c r="F81" t="n">
        <v>233.76</v>
      </c>
      <c r="G81" t="n">
        <v>235.051</v>
      </c>
      <c r="H81" t="n">
        <v>236.343</v>
      </c>
      <c r="I81" t="n">
        <v>237.634</v>
      </c>
      <c r="J81" t="n">
        <v>238.926</v>
      </c>
      <c r="K81" t="n">
        <v>240.217</v>
      </c>
      <c r="L81" t="n">
        <v>241.509</v>
      </c>
      <c r="M81" t="n">
        <v>242.8</v>
      </c>
      <c r="N81" t="n">
        <v>244.092</v>
      </c>
      <c r="O81" t="n">
        <v>247.624</v>
      </c>
      <c r="P81" t="n">
        <v>249.191</v>
      </c>
      <c r="Q81" t="n">
        <v>250.764</v>
      </c>
      <c r="R81" t="n">
        <v>265.727</v>
      </c>
      <c r="S81" t="n">
        <v>279.878</v>
      </c>
      <c r="T81" t="n">
        <v>334.889</v>
      </c>
      <c r="U81" t="n">
        <v>357.113</v>
      </c>
      <c r="V81" t="n">
        <v>345.124</v>
      </c>
      <c r="W81" t="n">
        <v>366.944</v>
      </c>
      <c r="X81" t="n">
        <v>393.402</v>
      </c>
      <c r="Y81" t="n">
        <v>400.536</v>
      </c>
      <c r="Z81" t="n">
        <v>418.26</v>
      </c>
      <c r="AA81" t="n">
        <v>522.556</v>
      </c>
      <c r="AB81" t="n">
        <v>541.2089999999999</v>
      </c>
      <c r="AC81" t="n">
        <v>579.439</v>
      </c>
      <c r="AD81" t="n">
        <v>662.772</v>
      </c>
      <c r="AE81" t="n">
        <v>662.58</v>
      </c>
      <c r="AF81" t="n">
        <v>652.63</v>
      </c>
      <c r="AG81" t="n">
        <v>550.4880000000001</v>
      </c>
      <c r="AH81" t="n">
        <v>697.2569999999999</v>
      </c>
      <c r="AI81" t="n">
        <v>585.282</v>
      </c>
      <c r="AJ81" t="n">
        <v>8735.825999999999</v>
      </c>
      <c r="AK81" t="n">
        <v>11176.297</v>
      </c>
      <c r="AL81" t="n">
        <v>11577.872</v>
      </c>
      <c r="AM81" t="n">
        <v>11030.848</v>
      </c>
      <c r="AN81" t="n">
        <v>9895.954</v>
      </c>
      <c r="AO81" t="n">
        <v>9855.615</v>
      </c>
      <c r="AP81" t="n">
        <v>8126.527</v>
      </c>
      <c r="AQ81" t="n">
        <v>7797.85</v>
      </c>
      <c r="AR81" t="n">
        <v>9518.322</v>
      </c>
      <c r="AS81" t="n">
        <v>14697.949</v>
      </c>
      <c r="AT81" t="n">
        <v>7193.072</v>
      </c>
      <c r="AU81" t="n">
        <v>6871.851</v>
      </c>
      <c r="AV81" t="n">
        <v>6917.776</v>
      </c>
      <c r="AW81" t="n">
        <v>8553.950999999999</v>
      </c>
      <c r="AX81" t="n">
        <v>8816.321</v>
      </c>
      <c r="AY81" t="n">
        <v>8713.066000000001</v>
      </c>
      <c r="AZ81" t="n">
        <v>10159.834</v>
      </c>
      <c r="BA81" t="n">
        <v>11040.37</v>
      </c>
      <c r="BB81" t="n">
        <v>8071.731</v>
      </c>
      <c r="BC81" t="n">
        <v>8740.453</v>
      </c>
      <c r="BD81" t="n">
        <v>8760.313</v>
      </c>
      <c r="BE81" t="n">
        <v>8126.062</v>
      </c>
      <c r="BF81" t="n">
        <v>8446.437</v>
      </c>
      <c r="BG81" t="n">
        <v>9155.198</v>
      </c>
      <c r="BH81" t="n">
        <v>7902.213</v>
      </c>
      <c r="BI81" t="n">
        <v>8244.414000000001</v>
      </c>
      <c r="BJ81" t="n">
        <v>7721.555</v>
      </c>
      <c r="BK81" t="n">
        <v>8826.548000000001</v>
      </c>
      <c r="BL81" t="n">
        <v>9531.129000000001</v>
      </c>
      <c r="BM81" t="n">
        <v>7815.328</v>
      </c>
      <c r="BN81" t="n">
        <v>9818.450999999999</v>
      </c>
      <c r="BO81" t="n">
        <v>10678.385</v>
      </c>
      <c r="BP81" t="n">
        <v>9774.610000000001</v>
      </c>
      <c r="BQ81" t="n">
        <v>10288.29</v>
      </c>
      <c r="BR81" t="n">
        <v>12534.861</v>
      </c>
      <c r="BS81" t="n">
        <v>14462.651</v>
      </c>
      <c r="BT81" t="n">
        <v>9701.316999999999</v>
      </c>
      <c r="BU81" t="n">
        <v>10197.725</v>
      </c>
      <c r="BV81" t="n">
        <v>10916.375</v>
      </c>
    </row>
    <row r="82">
      <c r="A82" t="inlineStr">
        <is>
          <t>Rhinobatidae</t>
        </is>
      </c>
      <c r="B82" t="inlineStr">
        <is>
          <t>Guitarfishes, fanrays</t>
        </is>
      </c>
      <c r="C82" t="inlineStr">
        <is>
          <t>Large rays (&gt;=90 cm)</t>
        </is>
      </c>
      <c r="D82" t="inlineStr">
        <is>
          <t>Sharks &amp; rays</t>
        </is>
      </c>
      <c r="E82" t="n">
        <v>1380.531</v>
      </c>
      <c r="F82" t="n">
        <v>1410.525</v>
      </c>
      <c r="G82" t="n">
        <v>1457.984</v>
      </c>
      <c r="H82" t="n">
        <v>1645.795</v>
      </c>
      <c r="I82" t="n">
        <v>1759.141</v>
      </c>
      <c r="J82" t="n">
        <v>1879.12</v>
      </c>
      <c r="K82" t="n">
        <v>1972.552</v>
      </c>
      <c r="L82" t="n">
        <v>2098.576</v>
      </c>
      <c r="M82" t="n">
        <v>2183.361</v>
      </c>
      <c r="N82" t="n">
        <v>2273.98</v>
      </c>
      <c r="O82" t="n">
        <v>2397.854</v>
      </c>
      <c r="P82" t="n">
        <v>2446.355</v>
      </c>
      <c r="Q82" t="n">
        <v>3782.32</v>
      </c>
      <c r="R82" t="n">
        <v>4042.496</v>
      </c>
      <c r="S82" t="n">
        <v>4863.417</v>
      </c>
      <c r="T82" t="n">
        <v>5066.589</v>
      </c>
      <c r="U82" t="n">
        <v>5233.902</v>
      </c>
      <c r="V82" t="n">
        <v>5298.174</v>
      </c>
      <c r="W82" t="n">
        <v>5784.776</v>
      </c>
      <c r="X82" t="n">
        <v>5977.884</v>
      </c>
      <c r="Y82" t="n">
        <v>5099.41</v>
      </c>
      <c r="Z82" t="n">
        <v>5964.623</v>
      </c>
      <c r="AA82" t="n">
        <v>7974.576</v>
      </c>
      <c r="AB82" t="n">
        <v>9581.618</v>
      </c>
      <c r="AC82" t="n">
        <v>6037.251</v>
      </c>
      <c r="AD82" t="n">
        <v>5849.233</v>
      </c>
      <c r="AE82" t="n">
        <v>6603.716</v>
      </c>
      <c r="AF82" t="n">
        <v>9019.593999999999</v>
      </c>
      <c r="AG82" t="n">
        <v>11108.628</v>
      </c>
      <c r="AH82" t="n">
        <v>11311.081</v>
      </c>
      <c r="AI82" t="n">
        <v>10986.358</v>
      </c>
      <c r="AJ82" t="n">
        <v>12025.884</v>
      </c>
      <c r="AK82" t="n">
        <v>14221.031</v>
      </c>
      <c r="AL82" t="n">
        <v>6070.028</v>
      </c>
      <c r="AM82" t="n">
        <v>6351.947</v>
      </c>
      <c r="AN82" t="n">
        <v>6973.531</v>
      </c>
      <c r="AO82" t="n">
        <v>6710.92</v>
      </c>
      <c r="AP82" t="n">
        <v>7022.912</v>
      </c>
      <c r="AQ82" t="n">
        <v>7232.86</v>
      </c>
      <c r="AR82" t="n">
        <v>6963.906</v>
      </c>
      <c r="AS82" t="n">
        <v>7360.727</v>
      </c>
      <c r="AT82" t="n">
        <v>7861.893</v>
      </c>
      <c r="AU82" t="n">
        <v>7663.609</v>
      </c>
      <c r="AV82" t="n">
        <v>7793.423</v>
      </c>
      <c r="AW82" t="n">
        <v>7805.644</v>
      </c>
      <c r="AX82" t="n">
        <v>7477.031</v>
      </c>
      <c r="AY82" t="n">
        <v>7146.41</v>
      </c>
      <c r="AZ82" t="n">
        <v>7023.937</v>
      </c>
      <c r="BA82" t="n">
        <v>7075.569</v>
      </c>
      <c r="BB82" t="n">
        <v>7542.39</v>
      </c>
      <c r="BC82" t="n">
        <v>6787.911</v>
      </c>
      <c r="BD82" t="n">
        <v>6762.878</v>
      </c>
      <c r="BE82" t="n">
        <v>6807.382</v>
      </c>
      <c r="BF82" t="n">
        <v>5387.067</v>
      </c>
      <c r="BG82" t="n">
        <v>4829.043</v>
      </c>
      <c r="BH82" t="n">
        <v>4570.426</v>
      </c>
      <c r="BI82" t="n">
        <v>4355.795</v>
      </c>
      <c r="BJ82" t="n">
        <v>3743.26</v>
      </c>
      <c r="BK82" t="n">
        <v>3711.9</v>
      </c>
      <c r="BL82" t="n">
        <v>3536.359</v>
      </c>
      <c r="BM82" t="n">
        <v>2166.756</v>
      </c>
      <c r="BN82" t="n">
        <v>2173.414</v>
      </c>
      <c r="BO82" t="n">
        <v>2162.127</v>
      </c>
      <c r="BP82" t="n">
        <v>2133.605</v>
      </c>
      <c r="BQ82" t="n">
        <v>2123.265</v>
      </c>
      <c r="BR82" t="n">
        <v>2085.427</v>
      </c>
      <c r="BS82" t="n">
        <v>2063.62</v>
      </c>
      <c r="BT82" t="n">
        <v>2063.375</v>
      </c>
      <c r="BU82" t="n">
        <v>2047.834</v>
      </c>
      <c r="BV82" t="n">
        <v>1982.342</v>
      </c>
    </row>
    <row r="83">
      <c r="A83" t="inlineStr">
        <is>
          <t>Psettodes erumei</t>
        </is>
      </c>
      <c r="B83" t="inlineStr">
        <is>
          <t>Indian halibut</t>
        </is>
      </c>
      <c r="C83" t="inlineStr">
        <is>
          <t>Small to medium flatfishes (&lt;90 cm)</t>
        </is>
      </c>
      <c r="D83" t="inlineStr">
        <is>
          <t>Flatfishes</t>
        </is>
      </c>
      <c r="E83" t="n">
        <v>3143.95</v>
      </c>
      <c r="F83" t="n">
        <v>3161.958</v>
      </c>
      <c r="G83" t="n">
        <v>3142.929</v>
      </c>
      <c r="H83" t="n">
        <v>3163.698</v>
      </c>
      <c r="I83" t="n">
        <v>3180.093</v>
      </c>
      <c r="J83" t="n">
        <v>3197.353</v>
      </c>
      <c r="K83" t="n">
        <v>3194.555</v>
      </c>
      <c r="L83" t="n">
        <v>3229.724</v>
      </c>
      <c r="M83" t="n">
        <v>3252.913</v>
      </c>
      <c r="N83" t="n">
        <v>3297.242</v>
      </c>
      <c r="O83" t="n">
        <v>3322.557</v>
      </c>
      <c r="P83" t="n">
        <v>3350.561</v>
      </c>
      <c r="Q83" t="n">
        <v>3385.75</v>
      </c>
      <c r="R83" t="n">
        <v>3434.769</v>
      </c>
      <c r="S83" t="n">
        <v>3453.591</v>
      </c>
      <c r="T83" t="n">
        <v>3463.206</v>
      </c>
      <c r="U83" t="n">
        <v>3483.902</v>
      </c>
      <c r="V83" t="n">
        <v>3516.992</v>
      </c>
      <c r="W83" t="n">
        <v>3521.877</v>
      </c>
      <c r="X83" t="n">
        <v>3546.793</v>
      </c>
      <c r="Y83" t="n">
        <v>3629.859</v>
      </c>
      <c r="Z83" t="n">
        <v>3641.737</v>
      </c>
      <c r="AA83" t="n">
        <v>3698.18</v>
      </c>
      <c r="AB83" t="n">
        <v>3735.511</v>
      </c>
      <c r="AC83" t="n">
        <v>3581.959</v>
      </c>
      <c r="AD83" t="n">
        <v>3756.157</v>
      </c>
      <c r="AE83" t="n">
        <v>3914.736</v>
      </c>
      <c r="AF83" t="n">
        <v>4154.857</v>
      </c>
      <c r="AG83" t="n">
        <v>3996.653</v>
      </c>
      <c r="AH83" t="n">
        <v>3964.591</v>
      </c>
      <c r="AI83" t="n">
        <v>3977.329</v>
      </c>
      <c r="AJ83" t="n">
        <v>3990.279</v>
      </c>
      <c r="AK83" t="n">
        <v>3809.424</v>
      </c>
      <c r="AL83" t="n">
        <v>3827.791</v>
      </c>
      <c r="AM83" t="n">
        <v>3882.892</v>
      </c>
      <c r="AN83" t="n">
        <v>3918.599</v>
      </c>
      <c r="AO83" t="n">
        <v>4116.704</v>
      </c>
      <c r="AP83" t="n">
        <v>5034.93</v>
      </c>
      <c r="AQ83" t="n">
        <v>5237.685</v>
      </c>
      <c r="AR83" t="n">
        <v>5376.275</v>
      </c>
      <c r="AS83" t="n">
        <v>5155.484</v>
      </c>
      <c r="AT83" t="n">
        <v>5931.694</v>
      </c>
      <c r="AU83" t="n">
        <v>6227.793</v>
      </c>
      <c r="AV83" t="n">
        <v>5657.826</v>
      </c>
      <c r="AW83" t="n">
        <v>8071.327</v>
      </c>
      <c r="AX83" t="n">
        <v>7865.764</v>
      </c>
      <c r="AY83" t="n">
        <v>7511.012</v>
      </c>
      <c r="AZ83" t="n">
        <v>10025.975</v>
      </c>
      <c r="BA83" t="n">
        <v>8751.713</v>
      </c>
      <c r="BB83" t="n">
        <v>7689.668</v>
      </c>
      <c r="BC83" t="n">
        <v>7842.873</v>
      </c>
      <c r="BD83" t="n">
        <v>7318.333</v>
      </c>
      <c r="BE83" t="n">
        <v>6480.763</v>
      </c>
      <c r="BF83" t="n">
        <v>5453.463</v>
      </c>
      <c r="BG83" t="n">
        <v>6076.705</v>
      </c>
      <c r="BH83" t="n">
        <v>6706.749</v>
      </c>
      <c r="BI83" t="n">
        <v>5812.245</v>
      </c>
      <c r="BJ83" t="n">
        <v>6550.409</v>
      </c>
      <c r="BK83" t="n">
        <v>6538.842</v>
      </c>
      <c r="BL83" t="n">
        <v>5501.524</v>
      </c>
      <c r="BM83" t="n">
        <v>5070.19</v>
      </c>
      <c r="BN83" t="n">
        <v>7806.564</v>
      </c>
      <c r="BO83" t="n">
        <v>8689.028</v>
      </c>
      <c r="BP83" t="n">
        <v>8858.128000000001</v>
      </c>
      <c r="BQ83" t="n">
        <v>8273.457</v>
      </c>
      <c r="BR83" t="n">
        <v>9138.201999999999</v>
      </c>
      <c r="BS83" t="n">
        <v>8020.497</v>
      </c>
      <c r="BT83" t="n">
        <v>8382.299000000001</v>
      </c>
      <c r="BU83" t="n">
        <v>9811.941999999999</v>
      </c>
      <c r="BV83" t="n">
        <v>9210.307000000001</v>
      </c>
    </row>
    <row r="84">
      <c r="A84" t="inlineStr">
        <is>
          <t>Saurida tumbil</t>
        </is>
      </c>
      <c r="B84" t="inlineStr">
        <is>
          <t>Greater lizardfish</t>
        </is>
      </c>
      <c r="C84" t="inlineStr">
        <is>
          <t>Medium demersals (30 - 89 cm)</t>
        </is>
      </c>
      <c r="D84" t="inlineStr">
        <is>
          <t>Other fishes &amp; inverts</t>
        </is>
      </c>
      <c r="E84" t="n">
        <v>647.783</v>
      </c>
      <c r="F84" t="n">
        <v>654.035</v>
      </c>
      <c r="G84" t="n">
        <v>669.0890000000001</v>
      </c>
      <c r="H84" t="n">
        <v>715.126</v>
      </c>
      <c r="I84" t="n">
        <v>723.99</v>
      </c>
      <c r="J84" t="n">
        <v>735.966</v>
      </c>
      <c r="K84" t="n">
        <v>718.505</v>
      </c>
      <c r="L84" t="n">
        <v>741.083</v>
      </c>
      <c r="M84" t="n">
        <v>1097.072</v>
      </c>
      <c r="N84" t="n">
        <v>959.537</v>
      </c>
      <c r="O84" t="n">
        <v>1115.268</v>
      </c>
      <c r="P84" t="n">
        <v>1272.893</v>
      </c>
      <c r="Q84" t="n">
        <v>1151.967</v>
      </c>
      <c r="R84" t="n">
        <v>1549.511</v>
      </c>
      <c r="S84" t="n">
        <v>2135.455</v>
      </c>
      <c r="T84" t="n">
        <v>2340.047</v>
      </c>
      <c r="U84" t="n">
        <v>2462.781</v>
      </c>
      <c r="V84" t="n">
        <v>2357.565</v>
      </c>
      <c r="W84" t="n">
        <v>2333.894</v>
      </c>
      <c r="X84" t="n">
        <v>2540.565</v>
      </c>
      <c r="Y84" t="n">
        <v>2660.178</v>
      </c>
      <c r="Z84" t="n">
        <v>2879.801</v>
      </c>
      <c r="AA84" t="n">
        <v>3260.1</v>
      </c>
      <c r="AB84" t="n">
        <v>3098.366</v>
      </c>
      <c r="AC84" t="n">
        <v>3601.343</v>
      </c>
      <c r="AD84" t="n">
        <v>3695.27</v>
      </c>
      <c r="AE84" t="n">
        <v>4051.155</v>
      </c>
      <c r="AF84" t="n">
        <v>3955.553</v>
      </c>
      <c r="AG84" t="n">
        <v>3628.378</v>
      </c>
      <c r="AH84" t="n">
        <v>4040.499</v>
      </c>
      <c r="AI84" t="n">
        <v>3604.264</v>
      </c>
      <c r="AJ84" t="n">
        <v>4039.788</v>
      </c>
      <c r="AK84" t="n">
        <v>4729.076</v>
      </c>
      <c r="AL84" t="n">
        <v>5897.154</v>
      </c>
      <c r="AM84" t="n">
        <v>6147.462</v>
      </c>
      <c r="AN84" t="n">
        <v>5828.122</v>
      </c>
      <c r="AO84" t="n">
        <v>6403.149</v>
      </c>
      <c r="AP84" t="n">
        <v>7472.994</v>
      </c>
      <c r="AQ84" t="n">
        <v>7606.949</v>
      </c>
      <c r="AR84" t="n">
        <v>7338.006</v>
      </c>
      <c r="AS84" t="n">
        <v>6928.212</v>
      </c>
      <c r="AT84" t="n">
        <v>7021.835</v>
      </c>
      <c r="AU84" t="n">
        <v>7311.449</v>
      </c>
      <c r="AV84" t="n">
        <v>7726.745</v>
      </c>
      <c r="AW84" t="n">
        <v>6839.673</v>
      </c>
      <c r="AX84" t="n">
        <v>6731.208</v>
      </c>
      <c r="AY84" t="n">
        <v>7088.618</v>
      </c>
      <c r="AZ84" t="n">
        <v>8520.001</v>
      </c>
      <c r="BA84" t="n">
        <v>9562.377</v>
      </c>
      <c r="BB84" t="n">
        <v>7305.21</v>
      </c>
      <c r="BC84" t="n">
        <v>7232.413</v>
      </c>
      <c r="BD84" t="n">
        <v>7839.088</v>
      </c>
      <c r="BE84" t="n">
        <v>7970.744</v>
      </c>
      <c r="BF84" t="n">
        <v>7014.955</v>
      </c>
      <c r="BG84" t="n">
        <v>6159.657</v>
      </c>
      <c r="BH84" t="n">
        <v>7102.341</v>
      </c>
      <c r="BI84" t="n">
        <v>6731.547</v>
      </c>
      <c r="BJ84" t="n">
        <v>5518.815</v>
      </c>
      <c r="BK84" t="n">
        <v>5690.762</v>
      </c>
      <c r="BL84" t="n">
        <v>6455.109</v>
      </c>
      <c r="BM84" t="n">
        <v>6655.772</v>
      </c>
      <c r="BN84" t="n">
        <v>6224.457</v>
      </c>
      <c r="BO84" t="n">
        <v>7733.295</v>
      </c>
      <c r="BP84" t="n">
        <v>9638.559999999999</v>
      </c>
      <c r="BQ84" t="n">
        <v>7855.689</v>
      </c>
      <c r="BR84" t="n">
        <v>8931.237999999999</v>
      </c>
      <c r="BS84" t="n">
        <v>8467.380999999999</v>
      </c>
      <c r="BT84" t="n">
        <v>9417.954</v>
      </c>
      <c r="BU84" t="n">
        <v>9608.856</v>
      </c>
      <c r="BV84" t="n">
        <v>9538.700999999999</v>
      </c>
    </row>
    <row r="85">
      <c r="A85" t="inlineStr">
        <is>
          <t>Anodontostoma chacunda</t>
        </is>
      </c>
      <c r="B85" t="inlineStr">
        <is>
          <t>Chacunda gizzard shad</t>
        </is>
      </c>
      <c r="C85" t="inlineStr">
        <is>
          <t>Small pelagics (&lt;30 cm)</t>
        </is>
      </c>
      <c r="D85" t="inlineStr">
        <is>
          <t>Herring-likes</t>
        </is>
      </c>
      <c r="E85" t="n">
        <v>1450.455</v>
      </c>
      <c r="F85" t="n">
        <v>1458.439</v>
      </c>
      <c r="G85" t="n">
        <v>1447.899</v>
      </c>
      <c r="H85" t="n">
        <v>1822.311</v>
      </c>
      <c r="I85" t="n">
        <v>1844.832</v>
      </c>
      <c r="J85" t="n">
        <v>1872.9</v>
      </c>
      <c r="K85" t="n">
        <v>1931.551</v>
      </c>
      <c r="L85" t="n">
        <v>1618.336</v>
      </c>
      <c r="M85" t="n">
        <v>1716.578</v>
      </c>
      <c r="N85" t="n">
        <v>1746.315</v>
      </c>
      <c r="O85" t="n">
        <v>1797.638</v>
      </c>
      <c r="P85" t="n">
        <v>1792.329</v>
      </c>
      <c r="Q85" t="n">
        <v>1608.975</v>
      </c>
      <c r="R85" t="n">
        <v>1673.967</v>
      </c>
      <c r="S85" t="n">
        <v>1729.35</v>
      </c>
      <c r="T85" t="n">
        <v>1755.475</v>
      </c>
      <c r="U85" t="n">
        <v>1840.208</v>
      </c>
      <c r="V85" t="n">
        <v>1831.359</v>
      </c>
      <c r="W85" t="n">
        <v>1751.142</v>
      </c>
      <c r="X85" t="n">
        <v>1813.337</v>
      </c>
      <c r="Y85" t="n">
        <v>1861.001</v>
      </c>
      <c r="Z85" t="n">
        <v>1836.716</v>
      </c>
      <c r="AA85" t="n">
        <v>1919.267</v>
      </c>
      <c r="AB85" t="n">
        <v>2010.65</v>
      </c>
      <c r="AC85" t="n">
        <v>1643.171</v>
      </c>
      <c r="AD85" t="n">
        <v>1776.414</v>
      </c>
      <c r="AE85" t="n">
        <v>1936.228</v>
      </c>
      <c r="AF85" t="n">
        <v>2303.842</v>
      </c>
      <c r="AG85" t="n">
        <v>4177.503</v>
      </c>
      <c r="AH85" t="n">
        <v>3043.639</v>
      </c>
      <c r="AI85" t="n">
        <v>3819.987</v>
      </c>
      <c r="AJ85" t="n">
        <v>4093.65</v>
      </c>
      <c r="AK85" t="n">
        <v>3543.251</v>
      </c>
      <c r="AL85" t="n">
        <v>1717.491</v>
      </c>
      <c r="AM85" t="n">
        <v>1789.918</v>
      </c>
      <c r="AN85" t="n">
        <v>2046.266</v>
      </c>
      <c r="AO85" t="n">
        <v>2249.931</v>
      </c>
      <c r="AP85" t="n">
        <v>4091.741</v>
      </c>
      <c r="AQ85" t="n">
        <v>4646.143</v>
      </c>
      <c r="AR85" t="n">
        <v>4961.4</v>
      </c>
      <c r="AS85" t="n">
        <v>8544.135</v>
      </c>
      <c r="AT85" t="n">
        <v>8725.498</v>
      </c>
      <c r="AU85" t="n">
        <v>9447.555</v>
      </c>
      <c r="AV85" t="n">
        <v>11207.888</v>
      </c>
      <c r="AW85" t="n">
        <v>8759.062</v>
      </c>
      <c r="AX85" t="n">
        <v>8812.106</v>
      </c>
      <c r="AY85" t="n">
        <v>8046.85</v>
      </c>
      <c r="AZ85" t="n">
        <v>9052.825999999999</v>
      </c>
      <c r="BA85" t="n">
        <v>7586.118</v>
      </c>
      <c r="BB85" t="n">
        <v>6749.291</v>
      </c>
      <c r="BC85" t="n">
        <v>6406.451</v>
      </c>
      <c r="BD85" t="n">
        <v>6397.585</v>
      </c>
      <c r="BE85" t="n">
        <v>6251.639</v>
      </c>
      <c r="BF85" t="n">
        <v>5997.051</v>
      </c>
      <c r="BG85" t="n">
        <v>7795.41</v>
      </c>
      <c r="BH85" t="n">
        <v>6920.309</v>
      </c>
      <c r="BI85" t="n">
        <v>7683.013</v>
      </c>
      <c r="BJ85" t="n">
        <v>7561.181</v>
      </c>
      <c r="BK85" t="n">
        <v>7627.397</v>
      </c>
      <c r="BL85" t="n">
        <v>7123.127</v>
      </c>
      <c r="BM85" t="n">
        <v>7154.773</v>
      </c>
      <c r="BN85" t="n">
        <v>7836.666</v>
      </c>
      <c r="BO85" t="n">
        <v>8640.457</v>
      </c>
      <c r="BP85" t="n">
        <v>8978.718000000001</v>
      </c>
      <c r="BQ85" t="n">
        <v>9160.01</v>
      </c>
      <c r="BR85" t="n">
        <v>9301.936</v>
      </c>
      <c r="BS85" t="n">
        <v>9446.021000000001</v>
      </c>
      <c r="BT85" t="n">
        <v>9626.629999999999</v>
      </c>
      <c r="BU85" t="n">
        <v>9874.644</v>
      </c>
      <c r="BV85" t="n">
        <v>10024.263</v>
      </c>
    </row>
    <row r="86">
      <c r="A86" t="inlineStr">
        <is>
          <t>Mytilidae</t>
        </is>
      </c>
      <c r="B86" t="inlineStr">
        <is>
          <t>Sea mussels</t>
        </is>
      </c>
      <c r="C86" t="inlineStr">
        <is>
          <t>Other demersal invertebrates</t>
        </is>
      </c>
      <c r="D86" t="inlineStr">
        <is>
          <t>Molluscs</t>
        </is>
      </c>
      <c r="E86" t="n">
        <v>1473.519</v>
      </c>
      <c r="F86" t="n">
        <v>1506.114</v>
      </c>
      <c r="G86" t="n">
        <v>1538.709</v>
      </c>
      <c r="H86" t="n">
        <v>1571.305</v>
      </c>
      <c r="I86" t="n">
        <v>1603.9</v>
      </c>
      <c r="J86" t="n">
        <v>1636.495</v>
      </c>
      <c r="K86" t="n">
        <v>1669.091</v>
      </c>
      <c r="L86" t="n">
        <v>1701.686</v>
      </c>
      <c r="M86" t="n">
        <v>1734.281</v>
      </c>
      <c r="N86" t="n">
        <v>1766.877</v>
      </c>
      <c r="O86" t="n">
        <v>1799.472</v>
      </c>
      <c r="P86" t="n">
        <v>1832.067</v>
      </c>
      <c r="Q86" t="n">
        <v>1535.665</v>
      </c>
      <c r="R86" t="n">
        <v>1568.511</v>
      </c>
      <c r="S86" t="n">
        <v>1601.357</v>
      </c>
      <c r="T86" t="n">
        <v>1634.203</v>
      </c>
      <c r="U86" t="n">
        <v>1667.049</v>
      </c>
      <c r="V86" t="n">
        <v>1699.895</v>
      </c>
      <c r="W86" t="n">
        <v>1732.741</v>
      </c>
      <c r="X86" t="n">
        <v>1834.667</v>
      </c>
      <c r="Y86" t="n">
        <v>1936.593</v>
      </c>
      <c r="Z86" t="n">
        <v>2038.519</v>
      </c>
      <c r="AA86" t="n">
        <v>2140.445</v>
      </c>
      <c r="AB86" t="n">
        <v>2242.371</v>
      </c>
      <c r="AC86" t="n">
        <v>2344.296</v>
      </c>
      <c r="AD86" t="n">
        <v>2446.222</v>
      </c>
      <c r="AE86" t="n">
        <v>2548.148</v>
      </c>
      <c r="AF86" t="n">
        <v>2650.074</v>
      </c>
      <c r="AG86" t="n">
        <v>2752</v>
      </c>
      <c r="AH86" t="n">
        <v>2853.926</v>
      </c>
      <c r="AI86" t="n">
        <v>2955.852</v>
      </c>
      <c r="AJ86" t="n">
        <v>3057.778</v>
      </c>
      <c r="AK86" t="n">
        <v>3159.704</v>
      </c>
      <c r="AL86" t="n">
        <v>3261.63</v>
      </c>
      <c r="AM86" t="n">
        <v>3363.556</v>
      </c>
      <c r="AN86" t="n">
        <v>3465.482</v>
      </c>
      <c r="AO86" t="n">
        <v>3603.507</v>
      </c>
      <c r="AP86" t="n">
        <v>3741.532</v>
      </c>
      <c r="AQ86" t="n">
        <v>3879.557</v>
      </c>
      <c r="AR86" t="n">
        <v>4017.582</v>
      </c>
      <c r="AS86" t="n">
        <v>4155.608</v>
      </c>
      <c r="AT86" t="n">
        <v>5280.899</v>
      </c>
      <c r="AU86" t="n">
        <v>6406.19</v>
      </c>
      <c r="AV86" t="n">
        <v>7531.482</v>
      </c>
      <c r="AW86" t="n">
        <v>8656.772999999999</v>
      </c>
      <c r="AX86" t="n">
        <v>9782.065000000001</v>
      </c>
      <c r="AY86" t="n">
        <v>10907.356</v>
      </c>
      <c r="AZ86" t="n">
        <v>10907.356</v>
      </c>
      <c r="BA86" t="n">
        <v>10907.356</v>
      </c>
      <c r="BB86" t="n">
        <v>10907.356</v>
      </c>
      <c r="BC86" t="n">
        <v>10907.356</v>
      </c>
      <c r="BD86" t="n">
        <v>10548.102</v>
      </c>
      <c r="BE86" t="n">
        <v>10188.848</v>
      </c>
      <c r="BF86" t="n">
        <v>9829.593999999999</v>
      </c>
      <c r="BG86" t="n">
        <v>9470.34</v>
      </c>
      <c r="BH86" t="n">
        <v>9111.085999999999</v>
      </c>
      <c r="BI86" t="n">
        <v>8751.832</v>
      </c>
      <c r="BJ86" t="n">
        <v>8392.578</v>
      </c>
      <c r="BK86" t="n">
        <v>8033.324</v>
      </c>
      <c r="BL86" t="n">
        <v>7674.07</v>
      </c>
      <c r="BM86" t="n">
        <v>7314.816</v>
      </c>
      <c r="BN86" t="n">
        <v>6955.562</v>
      </c>
      <c r="BO86" t="n">
        <v>6596.308</v>
      </c>
      <c r="BP86" t="n">
        <v>6237.054</v>
      </c>
      <c r="BQ86" t="n">
        <v>7701.786</v>
      </c>
      <c r="BR86" t="n">
        <v>5235.418</v>
      </c>
      <c r="BS86" t="n">
        <v>4780.991</v>
      </c>
      <c r="BT86" t="n">
        <v>5865.051</v>
      </c>
      <c r="BU86" t="n">
        <v>7500.082</v>
      </c>
      <c r="BV86" t="n">
        <v>5115.269</v>
      </c>
    </row>
    <row r="87">
      <c r="A87" t="inlineStr">
        <is>
          <t>Caranx ignobilis</t>
        </is>
      </c>
      <c r="B87" t="inlineStr">
        <is>
          <t>Giant trevally</t>
        </is>
      </c>
      <c r="C87" t="inlineStr">
        <is>
          <t>Large reef assoc. fish (&gt;=90 cm)</t>
        </is>
      </c>
      <c r="D87" t="inlineStr">
        <is>
          <t>Perch-likes</t>
        </is>
      </c>
      <c r="E87" t="n">
        <v>387.539</v>
      </c>
      <c r="F87" t="n">
        <v>387.608</v>
      </c>
      <c r="G87" t="n">
        <v>389.734</v>
      </c>
      <c r="H87" t="n">
        <v>392.561</v>
      </c>
      <c r="I87" t="n">
        <v>393.664</v>
      </c>
      <c r="J87" t="n">
        <v>393.724</v>
      </c>
      <c r="K87" t="n">
        <v>368.036</v>
      </c>
      <c r="L87" t="n">
        <v>374.501</v>
      </c>
      <c r="M87" t="n">
        <v>374.78</v>
      </c>
      <c r="N87" t="n">
        <v>377.138</v>
      </c>
      <c r="O87" t="n">
        <v>385.111</v>
      </c>
      <c r="P87" t="n">
        <v>396.905</v>
      </c>
      <c r="Q87" t="n">
        <v>409.214</v>
      </c>
      <c r="R87" t="n">
        <v>411.677</v>
      </c>
      <c r="S87" t="n">
        <v>358.778</v>
      </c>
      <c r="T87" t="n">
        <v>377.676</v>
      </c>
      <c r="U87" t="n">
        <v>383.023</v>
      </c>
      <c r="V87" t="n">
        <v>404.346</v>
      </c>
      <c r="W87" t="n">
        <v>480.727</v>
      </c>
      <c r="X87" t="n">
        <v>423.455</v>
      </c>
      <c r="Y87" t="n">
        <v>386.739</v>
      </c>
      <c r="Z87" t="n">
        <v>403.178</v>
      </c>
      <c r="AA87" t="n">
        <v>413.966</v>
      </c>
      <c r="AB87" t="n">
        <v>413.951</v>
      </c>
      <c r="AC87" t="n">
        <v>1593.314</v>
      </c>
      <c r="AD87" t="n">
        <v>1587.684</v>
      </c>
      <c r="AE87" t="n">
        <v>1550.752</v>
      </c>
      <c r="AF87" t="n">
        <v>1551.149</v>
      </c>
      <c r="AG87" t="n">
        <v>1624.231</v>
      </c>
      <c r="AH87" t="n">
        <v>1587.082</v>
      </c>
      <c r="AI87" t="n">
        <v>1059.527</v>
      </c>
      <c r="AJ87" t="n">
        <v>1055.512</v>
      </c>
      <c r="AK87" t="n">
        <v>2205.95</v>
      </c>
      <c r="AL87" t="n">
        <v>2048.671</v>
      </c>
      <c r="AM87" t="n">
        <v>2109.407</v>
      </c>
      <c r="AN87" t="n">
        <v>2123.389</v>
      </c>
      <c r="AO87" t="n">
        <v>2786.412</v>
      </c>
      <c r="AP87" t="n">
        <v>4033.734</v>
      </c>
      <c r="AQ87" t="n">
        <v>4357.915</v>
      </c>
      <c r="AR87" t="n">
        <v>4631.965</v>
      </c>
      <c r="AS87" t="n">
        <v>4384.2</v>
      </c>
      <c r="AT87" t="n">
        <v>4428.426</v>
      </c>
      <c r="AU87" t="n">
        <v>5098.15</v>
      </c>
      <c r="AV87" t="n">
        <v>5091.752</v>
      </c>
      <c r="AW87" t="n">
        <v>4200.356</v>
      </c>
      <c r="AX87" t="n">
        <v>4490.955</v>
      </c>
      <c r="AY87" t="n">
        <v>4462.825</v>
      </c>
      <c r="AZ87" t="n">
        <v>4748.923</v>
      </c>
      <c r="BA87" t="n">
        <v>5604.517</v>
      </c>
      <c r="BB87" t="n">
        <v>4459.889</v>
      </c>
      <c r="BC87" t="n">
        <v>6208.577</v>
      </c>
      <c r="BD87" t="n">
        <v>5246.701</v>
      </c>
      <c r="BE87" t="n">
        <v>5881.667</v>
      </c>
      <c r="BF87" t="n">
        <v>6510.774</v>
      </c>
      <c r="BG87" t="n">
        <v>6925.71</v>
      </c>
      <c r="BH87" t="n">
        <v>9699.67</v>
      </c>
      <c r="BI87" t="n">
        <v>9847.815000000001</v>
      </c>
      <c r="BJ87" t="n">
        <v>9678.853999999999</v>
      </c>
      <c r="BK87" t="n">
        <v>10609.529</v>
      </c>
      <c r="BL87" t="n">
        <v>8515.537</v>
      </c>
      <c r="BM87" t="n">
        <v>10518.311</v>
      </c>
      <c r="BN87" t="n">
        <v>11378.902</v>
      </c>
      <c r="BO87" t="n">
        <v>14093.569</v>
      </c>
      <c r="BP87" t="n">
        <v>14630.384</v>
      </c>
      <c r="BQ87" t="n">
        <v>14675.554</v>
      </c>
      <c r="BR87" t="n">
        <v>16783.236</v>
      </c>
      <c r="BS87" t="n">
        <v>20467.817</v>
      </c>
      <c r="BT87" t="n">
        <v>18977.454</v>
      </c>
      <c r="BU87" t="n">
        <v>19841.276</v>
      </c>
      <c r="BV87" t="n">
        <v>19580.076</v>
      </c>
    </row>
    <row r="88">
      <c r="A88" t="inlineStr">
        <is>
          <t>Portunidae</t>
        </is>
      </c>
      <c r="B88" t="inlineStr">
        <is>
          <t>Swimming crabs</t>
        </is>
      </c>
      <c r="C88" t="inlineStr">
        <is>
          <t>Lobsters, crabs</t>
        </is>
      </c>
      <c r="D88" t="inlineStr">
        <is>
          <t>Crustaceans</t>
        </is>
      </c>
      <c r="E88" t="n">
        <v>2806.462</v>
      </c>
      <c r="F88" t="n">
        <v>2806.462</v>
      </c>
      <c r="G88" t="n">
        <v>2806.462</v>
      </c>
      <c r="H88" t="n">
        <v>2806.462</v>
      </c>
      <c r="I88" t="n">
        <v>2806.462</v>
      </c>
      <c r="J88" t="n">
        <v>2806.462</v>
      </c>
      <c r="K88" t="n">
        <v>2806.462</v>
      </c>
      <c r="L88" t="n">
        <v>2806.462</v>
      </c>
      <c r="M88" t="n">
        <v>2806.462</v>
      </c>
      <c r="N88" t="n">
        <v>2806.462</v>
      </c>
      <c r="O88" t="n">
        <v>2806.462</v>
      </c>
      <c r="P88" t="n">
        <v>2806.462</v>
      </c>
      <c r="Q88" t="n">
        <v>2806.462</v>
      </c>
      <c r="R88" t="n">
        <v>2806.462</v>
      </c>
      <c r="S88" t="n">
        <v>2806.462</v>
      </c>
      <c r="T88" t="n">
        <v>2806.462</v>
      </c>
      <c r="U88" t="n">
        <v>2806.462</v>
      </c>
      <c r="V88" t="n">
        <v>2806.462</v>
      </c>
      <c r="W88" t="n">
        <v>2806.462</v>
      </c>
      <c r="X88" t="n">
        <v>2806.462</v>
      </c>
      <c r="Y88" t="n">
        <v>2806.462</v>
      </c>
      <c r="Z88" t="n">
        <v>2806.462</v>
      </c>
      <c r="AA88" t="n">
        <v>2806.462</v>
      </c>
      <c r="AB88" t="n">
        <v>2806.462</v>
      </c>
      <c r="AC88" t="n">
        <v>2806.462</v>
      </c>
      <c r="AD88" t="n">
        <v>2806.462</v>
      </c>
      <c r="AE88" t="n">
        <v>2806.462</v>
      </c>
      <c r="AF88" t="n">
        <v>2806.462</v>
      </c>
      <c r="AG88" t="n">
        <v>2806.462</v>
      </c>
      <c r="AH88" t="n">
        <v>2806.462</v>
      </c>
      <c r="AI88" t="n">
        <v>2806.462</v>
      </c>
      <c r="AJ88" t="n">
        <v>2806.462</v>
      </c>
      <c r="AK88" t="n">
        <v>2806.462</v>
      </c>
      <c r="AL88" t="n">
        <v>2806.462</v>
      </c>
      <c r="AM88" t="n">
        <v>2806.462</v>
      </c>
      <c r="AN88" t="n">
        <v>2806.462</v>
      </c>
      <c r="AO88" t="n">
        <v>2827.007</v>
      </c>
      <c r="AP88" t="n">
        <v>2870.052</v>
      </c>
      <c r="AQ88" t="n">
        <v>3212.457</v>
      </c>
      <c r="AR88" t="n">
        <v>4026.404</v>
      </c>
      <c r="AS88" t="n">
        <v>3162.564</v>
      </c>
      <c r="AT88" t="n">
        <v>3188</v>
      </c>
      <c r="AU88" t="n">
        <v>3233.98</v>
      </c>
      <c r="AV88" t="n">
        <v>3276.047</v>
      </c>
      <c r="AW88" t="n">
        <v>3379.639</v>
      </c>
      <c r="AX88" t="n">
        <v>3601.713</v>
      </c>
      <c r="AY88" t="n">
        <v>5874.307</v>
      </c>
      <c r="AZ88" t="n">
        <v>6654.143</v>
      </c>
      <c r="BA88" t="n">
        <v>8317.199000000001</v>
      </c>
      <c r="BB88" t="n">
        <v>7756.91</v>
      </c>
      <c r="BC88" t="n">
        <v>7655.842</v>
      </c>
      <c r="BD88" t="n">
        <v>7560.328</v>
      </c>
      <c r="BE88" t="n">
        <v>8557.607</v>
      </c>
      <c r="BF88" t="n">
        <v>7259.42</v>
      </c>
      <c r="BG88" t="n">
        <v>7627.386</v>
      </c>
      <c r="BH88" t="n">
        <v>7080.834</v>
      </c>
      <c r="BI88" t="n">
        <v>6882.635</v>
      </c>
      <c r="BJ88" t="n">
        <v>6715.812</v>
      </c>
      <c r="BK88" t="n">
        <v>6764.874</v>
      </c>
      <c r="BL88" t="n">
        <v>7492.955</v>
      </c>
      <c r="BM88" t="n">
        <v>7350.675</v>
      </c>
      <c r="BN88" t="n">
        <v>11111.418</v>
      </c>
      <c r="BO88" t="n">
        <v>11678.789</v>
      </c>
      <c r="BP88" t="n">
        <v>11721.096</v>
      </c>
      <c r="BQ88" t="n">
        <v>8683.440000000001</v>
      </c>
      <c r="BR88" t="n">
        <v>8927.370999999999</v>
      </c>
      <c r="BS88" t="n">
        <v>8366.092000000001</v>
      </c>
      <c r="BT88" t="n">
        <v>8642.393</v>
      </c>
      <c r="BU88" t="n">
        <v>8780.209999999999</v>
      </c>
      <c r="BV88" t="n">
        <v>9351.052</v>
      </c>
    </row>
    <row r="89">
      <c r="A89" t="inlineStr">
        <is>
          <t>Chirocentrus nudus</t>
        </is>
      </c>
      <c r="B89" t="inlineStr">
        <is>
          <t>Whitefin wolf-herring</t>
        </is>
      </c>
      <c r="C89" t="inlineStr">
        <is>
          <t>Large pelagics (&gt;=90 cm)</t>
        </is>
      </c>
      <c r="D89" t="inlineStr">
        <is>
          <t>Herring-likes</t>
        </is>
      </c>
      <c r="E89" t="n">
        <v>1756.249</v>
      </c>
      <c r="F89" t="n">
        <v>1763.976</v>
      </c>
      <c r="G89" t="n">
        <v>1755.389</v>
      </c>
      <c r="H89" t="n">
        <v>1761.716</v>
      </c>
      <c r="I89" t="n">
        <v>1769.302</v>
      </c>
      <c r="J89" t="n">
        <v>1775.896</v>
      </c>
      <c r="K89" t="n">
        <v>1751.265</v>
      </c>
      <c r="L89" t="n">
        <v>1767.829</v>
      </c>
      <c r="M89" t="n">
        <v>1778.969</v>
      </c>
      <c r="N89" t="n">
        <v>1800.045</v>
      </c>
      <c r="O89" t="n">
        <v>1810.648</v>
      </c>
      <c r="P89" t="n">
        <v>1832.724</v>
      </c>
      <c r="Q89" t="n">
        <v>1849.401</v>
      </c>
      <c r="R89" t="n">
        <v>1872.807</v>
      </c>
      <c r="S89" t="n">
        <v>1831.85</v>
      </c>
      <c r="T89" t="n">
        <v>1852.446</v>
      </c>
      <c r="U89" t="n">
        <v>1861.564</v>
      </c>
      <c r="V89" t="n">
        <v>1894.356</v>
      </c>
      <c r="W89" t="n">
        <v>1967.153</v>
      </c>
      <c r="X89" t="n">
        <v>1922.238</v>
      </c>
      <c r="Y89" t="n">
        <v>1897.406</v>
      </c>
      <c r="Z89" t="n">
        <v>1914.788</v>
      </c>
      <c r="AA89" t="n">
        <v>1924.057</v>
      </c>
      <c r="AB89" t="n">
        <v>1918.8</v>
      </c>
      <c r="AC89" t="n">
        <v>2945.046</v>
      </c>
      <c r="AD89" t="n">
        <v>3023.868</v>
      </c>
      <c r="AE89" t="n">
        <v>3065.826</v>
      </c>
      <c r="AF89" t="n">
        <v>3152.953</v>
      </c>
      <c r="AG89" t="n">
        <v>3206.215</v>
      </c>
      <c r="AH89" t="n">
        <v>3142.781</v>
      </c>
      <c r="AI89" t="n">
        <v>2660.451</v>
      </c>
      <c r="AJ89" t="n">
        <v>2654.307</v>
      </c>
      <c r="AK89" t="n">
        <v>3644.317</v>
      </c>
      <c r="AL89" t="n">
        <v>3551.475</v>
      </c>
      <c r="AM89" t="n">
        <v>3631.826</v>
      </c>
      <c r="AN89" t="n">
        <v>3643.705</v>
      </c>
      <c r="AO89" t="n">
        <v>4331.717</v>
      </c>
      <c r="AP89" t="n">
        <v>5879.344</v>
      </c>
      <c r="AQ89" t="n">
        <v>6264.554</v>
      </c>
      <c r="AR89" t="n">
        <v>6531.198</v>
      </c>
      <c r="AS89" t="n">
        <v>6160.048</v>
      </c>
      <c r="AT89" t="n">
        <v>6050.936</v>
      </c>
      <c r="AU89" t="n">
        <v>6933.283</v>
      </c>
      <c r="AV89" t="n">
        <v>6775.389</v>
      </c>
      <c r="AW89" t="n">
        <v>7132.648</v>
      </c>
      <c r="AX89" t="n">
        <v>7440.238</v>
      </c>
      <c r="AY89" t="n">
        <v>7179.403</v>
      </c>
      <c r="AZ89" t="n">
        <v>9099.898999999999</v>
      </c>
      <c r="BA89" t="n">
        <v>7763.74</v>
      </c>
      <c r="BB89" t="n">
        <v>8576.008</v>
      </c>
      <c r="BC89" t="n">
        <v>8337.646000000001</v>
      </c>
      <c r="BD89" t="n">
        <v>6297.616</v>
      </c>
      <c r="BE89" t="n">
        <v>6081.189</v>
      </c>
      <c r="BF89" t="n">
        <v>6451.48</v>
      </c>
      <c r="BG89" t="n">
        <v>6413.672</v>
      </c>
      <c r="BH89" t="n">
        <v>7539.714</v>
      </c>
      <c r="BI89" t="n">
        <v>5024.487</v>
      </c>
      <c r="BJ89" t="n">
        <v>5759.663</v>
      </c>
      <c r="BK89" t="n">
        <v>6087.768</v>
      </c>
      <c r="BL89" t="n">
        <v>6778.095</v>
      </c>
      <c r="BM89" t="n">
        <v>8703.643</v>
      </c>
      <c r="BN89" t="n">
        <v>6753.333</v>
      </c>
      <c r="BO89" t="n">
        <v>7403.236</v>
      </c>
      <c r="BP89" t="n">
        <v>7527.819</v>
      </c>
      <c r="BQ89" t="n">
        <v>9158.331</v>
      </c>
      <c r="BR89" t="n">
        <v>9936.272999999999</v>
      </c>
      <c r="BS89" t="n">
        <v>6915.92</v>
      </c>
      <c r="BT89" t="n">
        <v>8302.233</v>
      </c>
      <c r="BU89" t="n">
        <v>7496.329</v>
      </c>
      <c r="BV89" t="n">
        <v>7896.268</v>
      </c>
    </row>
    <row r="90">
      <c r="A90" t="inlineStr">
        <is>
          <t>Carcharhinus sorrah</t>
        </is>
      </c>
      <c r="B90" t="inlineStr">
        <is>
          <t>Spottail shark</t>
        </is>
      </c>
      <c r="C90" t="inlineStr">
        <is>
          <t>Large sharks (&gt;=90 cm)</t>
        </is>
      </c>
      <c r="D90" t="inlineStr">
        <is>
          <t>Sharks &amp; rays</t>
        </is>
      </c>
      <c r="E90" t="n">
        <v>868.9640000000001</v>
      </c>
      <c r="F90" t="n">
        <v>873.193</v>
      </c>
      <c r="G90" t="n">
        <v>877.495</v>
      </c>
      <c r="H90" t="n">
        <v>881.883</v>
      </c>
      <c r="I90" t="n">
        <v>886.3579999999999</v>
      </c>
      <c r="J90" t="n">
        <v>890.922</v>
      </c>
      <c r="K90" t="n">
        <v>847.99</v>
      </c>
      <c r="L90" t="n">
        <v>852.724</v>
      </c>
      <c r="M90" t="n">
        <v>857.943</v>
      </c>
      <c r="N90" t="n">
        <v>863.251</v>
      </c>
      <c r="O90" t="n">
        <v>868.652</v>
      </c>
      <c r="P90" t="n">
        <v>874.395</v>
      </c>
      <c r="Q90" t="n">
        <v>880.227</v>
      </c>
      <c r="R90" t="n">
        <v>886.152</v>
      </c>
      <c r="S90" t="n">
        <v>805.9690000000001</v>
      </c>
      <c r="T90" t="n">
        <v>850.352</v>
      </c>
      <c r="U90" t="n">
        <v>861.323</v>
      </c>
      <c r="V90" t="n">
        <v>918.748</v>
      </c>
      <c r="W90" t="n">
        <v>1077.201</v>
      </c>
      <c r="X90" t="n">
        <v>985.198</v>
      </c>
      <c r="Y90" t="n">
        <v>941.2569999999999</v>
      </c>
      <c r="Z90" t="n">
        <v>979.0650000000001</v>
      </c>
      <c r="AA90" t="n">
        <v>973.583</v>
      </c>
      <c r="AB90" t="n">
        <v>972.9059999999999</v>
      </c>
      <c r="AC90" t="n">
        <v>3131.462</v>
      </c>
      <c r="AD90" t="n">
        <v>3110</v>
      </c>
      <c r="AE90" t="n">
        <v>3053.121</v>
      </c>
      <c r="AF90" t="n">
        <v>3067.745</v>
      </c>
      <c r="AG90" t="n">
        <v>3196.427</v>
      </c>
      <c r="AH90" t="n">
        <v>3134.647</v>
      </c>
      <c r="AI90" t="n">
        <v>2174.401</v>
      </c>
      <c r="AJ90" t="n">
        <v>2138.895</v>
      </c>
      <c r="AK90" t="n">
        <v>4218.12</v>
      </c>
      <c r="AL90" t="n">
        <v>4087.854</v>
      </c>
      <c r="AM90" t="n">
        <v>4450.019</v>
      </c>
      <c r="AN90" t="n">
        <v>4287.905</v>
      </c>
      <c r="AO90" t="n">
        <v>5814.912</v>
      </c>
      <c r="AP90" t="n">
        <v>7760.067</v>
      </c>
      <c r="AQ90" t="n">
        <v>8498.419</v>
      </c>
      <c r="AR90" t="n">
        <v>8747.526</v>
      </c>
      <c r="AS90" t="n">
        <v>8067.102</v>
      </c>
      <c r="AT90" t="n">
        <v>7537.691</v>
      </c>
      <c r="AU90" t="n">
        <v>9164.591</v>
      </c>
      <c r="AV90" t="n">
        <v>9417.495000000001</v>
      </c>
      <c r="AW90" t="n">
        <v>8250.349</v>
      </c>
      <c r="AX90" t="n">
        <v>8940.242</v>
      </c>
      <c r="AY90" t="n">
        <v>8916.438</v>
      </c>
      <c r="AZ90" t="n">
        <v>11519.828</v>
      </c>
      <c r="BA90" t="n">
        <v>9768.831</v>
      </c>
      <c r="BB90" t="n">
        <v>9589.285</v>
      </c>
      <c r="BC90" t="n">
        <v>10787.381</v>
      </c>
      <c r="BD90" t="n">
        <v>10607.268</v>
      </c>
      <c r="BE90" t="n">
        <v>9557.106</v>
      </c>
      <c r="BF90" t="n">
        <v>13002.734</v>
      </c>
      <c r="BG90" t="n">
        <v>14452.999</v>
      </c>
      <c r="BH90" t="n">
        <v>15089.162</v>
      </c>
      <c r="BI90" t="n">
        <v>14294.197</v>
      </c>
      <c r="BJ90" t="n">
        <v>12381.338</v>
      </c>
      <c r="BK90" t="n">
        <v>11025.587</v>
      </c>
      <c r="BL90" t="n">
        <v>10623.611</v>
      </c>
      <c r="BM90" t="n">
        <v>10126.287</v>
      </c>
      <c r="BN90" t="n">
        <v>417.806</v>
      </c>
      <c r="BO90" t="n">
        <v>1047.067</v>
      </c>
      <c r="BP90" t="n">
        <v>1142.8</v>
      </c>
      <c r="BQ90" t="n">
        <v>748.71</v>
      </c>
      <c r="BR90" t="n">
        <v>1215.29</v>
      </c>
      <c r="BS90" t="n">
        <v>657.515</v>
      </c>
      <c r="BT90" t="n">
        <v>547.837</v>
      </c>
      <c r="BU90" t="n">
        <v>859.134</v>
      </c>
      <c r="BV90" t="n">
        <v>773.128</v>
      </c>
    </row>
    <row r="91">
      <c r="A91" t="inlineStr">
        <is>
          <t>Lutjanidae</t>
        </is>
      </c>
      <c r="B91" t="inlineStr">
        <is>
          <t>Snappers</t>
        </is>
      </c>
      <c r="C91" t="inlineStr">
        <is>
          <t>Medium reef assoc. fish (30 - 89 cm)</t>
        </is>
      </c>
      <c r="D91" t="inlineStr">
        <is>
          <t>Perch-likes</t>
        </is>
      </c>
      <c r="E91" t="n">
        <v>1349.877</v>
      </c>
      <c r="F91" t="n">
        <v>1351.313</v>
      </c>
      <c r="G91" t="n">
        <v>1375.216</v>
      </c>
      <c r="H91" t="n">
        <v>1389.744</v>
      </c>
      <c r="I91" t="n">
        <v>1522.722</v>
      </c>
      <c r="J91" t="n">
        <v>1546.428</v>
      </c>
      <c r="K91" t="n">
        <v>1546.261</v>
      </c>
      <c r="L91" t="n">
        <v>1769.576</v>
      </c>
      <c r="M91" t="n">
        <v>1768.95</v>
      </c>
      <c r="N91" t="n">
        <v>2112.342</v>
      </c>
      <c r="O91" t="n">
        <v>2157.183</v>
      </c>
      <c r="P91" t="n">
        <v>2176.41</v>
      </c>
      <c r="Q91" t="n">
        <v>2366.68</v>
      </c>
      <c r="R91" t="n">
        <v>2372.375</v>
      </c>
      <c r="S91" t="n">
        <v>2361.982</v>
      </c>
      <c r="T91" t="n">
        <v>2824.881</v>
      </c>
      <c r="U91" t="n">
        <v>2601.307</v>
      </c>
      <c r="V91" t="n">
        <v>2652.719</v>
      </c>
      <c r="W91" t="n">
        <v>2589.72</v>
      </c>
      <c r="X91" t="n">
        <v>2728.949</v>
      </c>
      <c r="Y91" t="n">
        <v>2898.235</v>
      </c>
      <c r="Z91" t="n">
        <v>2876.864</v>
      </c>
      <c r="AA91" t="n">
        <v>2943.003</v>
      </c>
      <c r="AB91" t="n">
        <v>3791.733</v>
      </c>
      <c r="AC91" t="n">
        <v>4741.961</v>
      </c>
      <c r="AD91" t="n">
        <v>3812.154</v>
      </c>
      <c r="AE91" t="n">
        <v>3747.945</v>
      </c>
      <c r="AF91" t="n">
        <v>3926.956</v>
      </c>
      <c r="AG91" t="n">
        <v>3700.631</v>
      </c>
      <c r="AH91" t="n">
        <v>3542.956</v>
      </c>
      <c r="AI91" t="n">
        <v>3776.676</v>
      </c>
      <c r="AJ91" t="n">
        <v>4683.337</v>
      </c>
      <c r="AK91" t="n">
        <v>5186.728</v>
      </c>
      <c r="AL91" t="n">
        <v>5995.506</v>
      </c>
      <c r="AM91" t="n">
        <v>5299.801</v>
      </c>
      <c r="AN91" t="n">
        <v>5189.909</v>
      </c>
      <c r="AO91" t="n">
        <v>5143.865</v>
      </c>
      <c r="AP91" t="n">
        <v>5328.654</v>
      </c>
      <c r="AQ91" t="n">
        <v>6280.131</v>
      </c>
      <c r="AR91" t="n">
        <v>6259.37</v>
      </c>
      <c r="AS91" t="n">
        <v>5882.366</v>
      </c>
      <c r="AT91" t="n">
        <v>4817.599</v>
      </c>
      <c r="AU91" t="n">
        <v>4666.36</v>
      </c>
      <c r="AV91" t="n">
        <v>4815.3</v>
      </c>
      <c r="AW91" t="n">
        <v>5500.531</v>
      </c>
      <c r="AX91" t="n">
        <v>5062.703</v>
      </c>
      <c r="AY91" t="n">
        <v>5806.431</v>
      </c>
      <c r="AZ91" t="n">
        <v>7351.384</v>
      </c>
      <c r="BA91" t="n">
        <v>7489.105</v>
      </c>
      <c r="BB91" t="n">
        <v>7604.53</v>
      </c>
      <c r="BC91" t="n">
        <v>7874.903</v>
      </c>
      <c r="BD91" t="n">
        <v>6040.581</v>
      </c>
      <c r="BE91" t="n">
        <v>7132.229</v>
      </c>
      <c r="BF91" t="n">
        <v>5405.469</v>
      </c>
      <c r="BG91" t="n">
        <v>5522.456</v>
      </c>
      <c r="BH91" t="n">
        <v>5195.367</v>
      </c>
      <c r="BI91" t="n">
        <v>5936.114</v>
      </c>
      <c r="BJ91" t="n">
        <v>4164.544</v>
      </c>
      <c r="BK91" t="n">
        <v>5517.142</v>
      </c>
      <c r="BL91" t="n">
        <v>4616.259</v>
      </c>
      <c r="BM91" t="n">
        <v>4384.573</v>
      </c>
      <c r="BN91" t="n">
        <v>5589.907</v>
      </c>
      <c r="BO91" t="n">
        <v>6582.252</v>
      </c>
      <c r="BP91" t="n">
        <v>6928.872</v>
      </c>
      <c r="BQ91" t="n">
        <v>7811.659</v>
      </c>
      <c r="BR91" t="n">
        <v>6757.67</v>
      </c>
      <c r="BS91" t="n">
        <v>8201.914000000001</v>
      </c>
      <c r="BT91" t="n">
        <v>7514.967</v>
      </c>
      <c r="BU91" t="n">
        <v>7497.347</v>
      </c>
      <c r="BV91" t="n">
        <v>6894.274</v>
      </c>
    </row>
    <row r="92">
      <c r="A92" t="inlineStr">
        <is>
          <t>Sardinella gibbosa</t>
        </is>
      </c>
      <c r="B92" t="inlineStr">
        <is>
          <t>Goldstripe sardinella</t>
        </is>
      </c>
      <c r="C92" t="inlineStr">
        <is>
          <t>Small pelagics (&lt;30 cm)</t>
        </is>
      </c>
      <c r="D92" t="inlineStr">
        <is>
          <t>Herring-likes</t>
        </is>
      </c>
      <c r="E92" t="n">
        <v>1002.555</v>
      </c>
      <c r="F92" t="n">
        <v>1007.981</v>
      </c>
      <c r="G92" t="n">
        <v>1000.816</v>
      </c>
      <c r="H92" t="n">
        <v>1368.226</v>
      </c>
      <c r="I92" t="n">
        <v>1388.289</v>
      </c>
      <c r="J92" t="n">
        <v>1413.903</v>
      </c>
      <c r="K92" t="n">
        <v>1470.409</v>
      </c>
      <c r="L92" t="n">
        <v>1156.478</v>
      </c>
      <c r="M92" t="n">
        <v>1395.767</v>
      </c>
      <c r="N92" t="n">
        <v>1365.592</v>
      </c>
      <c r="O92" t="n">
        <v>1466.726</v>
      </c>
      <c r="P92" t="n">
        <v>1524.772</v>
      </c>
      <c r="Q92" t="n">
        <v>1273.981</v>
      </c>
      <c r="R92" t="n">
        <v>1480.009</v>
      </c>
      <c r="S92" t="n">
        <v>1752.693</v>
      </c>
      <c r="T92" t="n">
        <v>1842.417</v>
      </c>
      <c r="U92" t="n">
        <v>1850.123</v>
      </c>
      <c r="V92" t="n">
        <v>1735.515</v>
      </c>
      <c r="W92" t="n">
        <v>1552.507</v>
      </c>
      <c r="X92" t="n">
        <v>1573.082</v>
      </c>
      <c r="Y92" t="n">
        <v>1535.89</v>
      </c>
      <c r="Z92" t="n">
        <v>1535.316</v>
      </c>
      <c r="AA92" t="n">
        <v>1652.381</v>
      </c>
      <c r="AB92" t="n">
        <v>1715.008</v>
      </c>
      <c r="AC92" t="n">
        <v>1392.174</v>
      </c>
      <c r="AD92" t="n">
        <v>1512.452</v>
      </c>
      <c r="AE92" t="n">
        <v>1688.03</v>
      </c>
      <c r="AF92" t="n">
        <v>2003.703</v>
      </c>
      <c r="AG92" t="n">
        <v>3848.203</v>
      </c>
      <c r="AH92" t="n">
        <v>2781.32</v>
      </c>
      <c r="AI92" t="n">
        <v>3525.433</v>
      </c>
      <c r="AJ92" t="n">
        <v>3826.163</v>
      </c>
      <c r="AK92" t="n">
        <v>3349.542</v>
      </c>
      <c r="AL92" t="n">
        <v>1700.781</v>
      </c>
      <c r="AM92" t="n">
        <v>1800.235</v>
      </c>
      <c r="AN92" t="n">
        <v>2023.602</v>
      </c>
      <c r="AO92" t="n">
        <v>2224.823</v>
      </c>
      <c r="AP92" t="n">
        <v>3962.646</v>
      </c>
      <c r="AQ92" t="n">
        <v>4482.551</v>
      </c>
      <c r="AR92" t="n">
        <v>4734.86</v>
      </c>
      <c r="AS92" t="n">
        <v>8261.089</v>
      </c>
      <c r="AT92" t="n">
        <v>8348.291999999999</v>
      </c>
      <c r="AU92" t="n">
        <v>9017.610000000001</v>
      </c>
      <c r="AV92" t="n">
        <v>10896.681</v>
      </c>
      <c r="AW92" t="n">
        <v>8053.043</v>
      </c>
      <c r="AX92" t="n">
        <v>8086.024</v>
      </c>
      <c r="AY92" t="n">
        <v>7404.095</v>
      </c>
      <c r="AZ92" t="n">
        <v>8123.204</v>
      </c>
      <c r="BA92" t="n">
        <v>6884.045</v>
      </c>
      <c r="BB92" t="n">
        <v>6145.685</v>
      </c>
      <c r="BC92" t="n">
        <v>5867.039</v>
      </c>
      <c r="BD92" t="n">
        <v>5884.431</v>
      </c>
      <c r="BE92" t="n">
        <v>5813.807</v>
      </c>
      <c r="BF92" t="n">
        <v>5550.996</v>
      </c>
      <c r="BG92" t="n">
        <v>7314.455</v>
      </c>
      <c r="BH92" t="n">
        <v>6473.316</v>
      </c>
      <c r="BI92" t="n">
        <v>7253.334</v>
      </c>
      <c r="BJ92" t="n">
        <v>7167.057</v>
      </c>
      <c r="BK92" t="n">
        <v>7274.415</v>
      </c>
      <c r="BL92" t="n">
        <v>6798.077</v>
      </c>
      <c r="BM92" t="n">
        <v>6915.573</v>
      </c>
      <c r="BN92" t="n">
        <v>7537.691</v>
      </c>
      <c r="BO92" t="n">
        <v>8381.860000000001</v>
      </c>
      <c r="BP92" t="n">
        <v>8726.029</v>
      </c>
      <c r="BQ92" t="n">
        <v>8914.704</v>
      </c>
      <c r="BR92" t="n">
        <v>9080.838</v>
      </c>
      <c r="BS92" t="n">
        <v>9239.394</v>
      </c>
      <c r="BT92" t="n">
        <v>9427.092000000001</v>
      </c>
      <c r="BU92" t="n">
        <v>9637.973</v>
      </c>
      <c r="BV92" t="n">
        <v>9738.945</v>
      </c>
    </row>
    <row r="93">
      <c r="A93" t="inlineStr">
        <is>
          <t>Sillago sihama</t>
        </is>
      </c>
      <c r="B93" t="inlineStr">
        <is>
          <t>Silver sillago</t>
        </is>
      </c>
      <c r="C93" t="inlineStr">
        <is>
          <t>Medium demersals (30 - 89 cm)</t>
        </is>
      </c>
      <c r="D93" t="inlineStr">
        <is>
          <t>Perch-likes</t>
        </is>
      </c>
      <c r="E93" t="n">
        <v>705.322</v>
      </c>
      <c r="F93" t="n">
        <v>712.092</v>
      </c>
      <c r="G93" t="n">
        <v>714.45</v>
      </c>
      <c r="H93" t="n">
        <v>732.9640000000001</v>
      </c>
      <c r="I93" t="n">
        <v>740.333</v>
      </c>
      <c r="J93" t="n">
        <v>748.596</v>
      </c>
      <c r="K93" t="n">
        <v>754.357</v>
      </c>
      <c r="L93" t="n">
        <v>769.143</v>
      </c>
      <c r="M93" t="n">
        <v>1628.729</v>
      </c>
      <c r="N93" t="n">
        <v>1306.827</v>
      </c>
      <c r="O93" t="n">
        <v>1630.127</v>
      </c>
      <c r="P93" t="n">
        <v>2045.395</v>
      </c>
      <c r="Q93" t="n">
        <v>1660.994</v>
      </c>
      <c r="R93" t="n">
        <v>2574.464</v>
      </c>
      <c r="S93" t="n">
        <v>3996.583</v>
      </c>
      <c r="T93" t="n">
        <v>4389.289</v>
      </c>
      <c r="U93" t="n">
        <v>4448.876</v>
      </c>
      <c r="V93" t="n">
        <v>4113.264</v>
      </c>
      <c r="W93" t="n">
        <v>3797.652</v>
      </c>
      <c r="X93" t="n">
        <v>4245.662</v>
      </c>
      <c r="Y93" t="n">
        <v>4488.61</v>
      </c>
      <c r="Z93" t="n">
        <v>4943.494</v>
      </c>
      <c r="AA93" t="n">
        <v>5622.735</v>
      </c>
      <c r="AB93" t="n">
        <v>5655.101</v>
      </c>
      <c r="AC93" t="n">
        <v>4074.749</v>
      </c>
      <c r="AD93" t="n">
        <v>4436.943</v>
      </c>
      <c r="AE93" t="n">
        <v>5370.44</v>
      </c>
      <c r="AF93" t="n">
        <v>5246.065</v>
      </c>
      <c r="AG93" t="n">
        <v>4727.637</v>
      </c>
      <c r="AH93" t="n">
        <v>5649.983</v>
      </c>
      <c r="AI93" t="n">
        <v>5740.204</v>
      </c>
      <c r="AJ93" t="n">
        <v>7065.862</v>
      </c>
      <c r="AK93" t="n">
        <v>6705.214</v>
      </c>
      <c r="AL93" t="n">
        <v>9344.798000000001</v>
      </c>
      <c r="AM93" t="n">
        <v>9960.115</v>
      </c>
      <c r="AN93" t="n">
        <v>8978.388999999999</v>
      </c>
      <c r="AO93" t="n">
        <v>9008.403</v>
      </c>
      <c r="AP93" t="n">
        <v>8979.406000000001</v>
      </c>
      <c r="AQ93" t="n">
        <v>8679.304</v>
      </c>
      <c r="AR93" t="n">
        <v>7803.099</v>
      </c>
      <c r="AS93" t="n">
        <v>7290.311</v>
      </c>
      <c r="AT93" t="n">
        <v>6854.537</v>
      </c>
      <c r="AU93" t="n">
        <v>5908.161</v>
      </c>
      <c r="AV93" t="n">
        <v>6778.101</v>
      </c>
      <c r="AW93" t="n">
        <v>6379.967</v>
      </c>
      <c r="AX93" t="n">
        <v>5855.775</v>
      </c>
      <c r="AY93" t="n">
        <v>6030.26</v>
      </c>
      <c r="AZ93" t="n">
        <v>6640.147</v>
      </c>
      <c r="BA93" t="n">
        <v>5732.245</v>
      </c>
      <c r="BB93" t="n">
        <v>5434.254</v>
      </c>
      <c r="BC93" t="n">
        <v>5477.956</v>
      </c>
      <c r="BD93" t="n">
        <v>5375.547</v>
      </c>
      <c r="BE93" t="n">
        <v>4764.874</v>
      </c>
      <c r="BF93" t="n">
        <v>5105.184</v>
      </c>
      <c r="BG93" t="n">
        <v>5403.507</v>
      </c>
      <c r="BH93" t="n">
        <v>4063.068</v>
      </c>
      <c r="BI93" t="n">
        <v>3921.618</v>
      </c>
      <c r="BJ93" t="n">
        <v>3722.247</v>
      </c>
      <c r="BK93" t="n">
        <v>3843.931</v>
      </c>
      <c r="BL93" t="n">
        <v>4052.339</v>
      </c>
      <c r="BM93" t="n">
        <v>3650.934</v>
      </c>
      <c r="BN93" t="n">
        <v>3569.558</v>
      </c>
      <c r="BO93" t="n">
        <v>3410.326</v>
      </c>
      <c r="BP93" t="n">
        <v>3270.521</v>
      </c>
      <c r="BQ93" t="n">
        <v>3092.612</v>
      </c>
      <c r="BR93" t="n">
        <v>2963.768</v>
      </c>
      <c r="BS93" t="n">
        <v>2942.115</v>
      </c>
      <c r="BT93" t="n">
        <v>2819.028</v>
      </c>
      <c r="BU93" t="n">
        <v>2732.986</v>
      </c>
      <c r="BV93" t="n">
        <v>2475.23</v>
      </c>
    </row>
    <row r="94">
      <c r="A94" t="inlineStr">
        <is>
          <t>Rachycentron canadum</t>
        </is>
      </c>
      <c r="B94" t="inlineStr">
        <is>
          <t>Cobia</t>
        </is>
      </c>
      <c r="C94" t="inlineStr">
        <is>
          <t>Large pelagics (&gt;=90 cm)</t>
        </is>
      </c>
      <c r="D94" t="inlineStr">
        <is>
          <t>Perch-likes</t>
        </is>
      </c>
      <c r="E94" t="n">
        <v>141.846</v>
      </c>
      <c r="F94" t="n">
        <v>141.795</v>
      </c>
      <c r="G94" t="n">
        <v>154.304</v>
      </c>
      <c r="H94" t="n">
        <v>199.624</v>
      </c>
      <c r="I94" t="n">
        <v>201.681</v>
      </c>
      <c r="J94" t="n">
        <v>215.499</v>
      </c>
      <c r="K94" t="n">
        <v>211.099</v>
      </c>
      <c r="L94" t="n">
        <v>227.239</v>
      </c>
      <c r="M94" t="n">
        <v>208.678</v>
      </c>
      <c r="N94" t="n">
        <v>212.704</v>
      </c>
      <c r="O94" t="n">
        <v>229.755</v>
      </c>
      <c r="P94" t="n">
        <v>201.46</v>
      </c>
      <c r="Q94" t="n">
        <v>1218.154</v>
      </c>
      <c r="R94" t="n">
        <v>1221.055</v>
      </c>
      <c r="S94" t="n">
        <v>1225.778</v>
      </c>
      <c r="T94" t="n">
        <v>1245.908</v>
      </c>
      <c r="U94" t="n">
        <v>1797.087</v>
      </c>
      <c r="V94" t="n">
        <v>1794.373</v>
      </c>
      <c r="W94" t="n">
        <v>1814.169</v>
      </c>
      <c r="X94" t="n">
        <v>3280.972</v>
      </c>
      <c r="Y94" t="n">
        <v>2007.24</v>
      </c>
      <c r="Z94" t="n">
        <v>1912.006</v>
      </c>
      <c r="AA94" t="n">
        <v>1387.713</v>
      </c>
      <c r="AB94" t="n">
        <v>1892.312</v>
      </c>
      <c r="AC94" t="n">
        <v>1560.53</v>
      </c>
      <c r="AD94" t="n">
        <v>1352.076</v>
      </c>
      <c r="AE94" t="n">
        <v>1413.489</v>
      </c>
      <c r="AF94" t="n">
        <v>1406.682</v>
      </c>
      <c r="AG94" t="n">
        <v>1752.51</v>
      </c>
      <c r="AH94" t="n">
        <v>2397.511</v>
      </c>
      <c r="AI94" t="n">
        <v>1006.892</v>
      </c>
      <c r="AJ94" t="n">
        <v>1809.322</v>
      </c>
      <c r="AK94" t="n">
        <v>2566.606</v>
      </c>
      <c r="AL94" t="n">
        <v>3165.936</v>
      </c>
      <c r="AM94" t="n">
        <v>3072.154</v>
      </c>
      <c r="AN94" t="n">
        <v>2775.774</v>
      </c>
      <c r="AO94" t="n">
        <v>2725.338</v>
      </c>
      <c r="AP94" t="n">
        <v>2573.667</v>
      </c>
      <c r="AQ94" t="n">
        <v>2442.636</v>
      </c>
      <c r="AR94" t="n">
        <v>2714.511</v>
      </c>
      <c r="AS94" t="n">
        <v>2180.129</v>
      </c>
      <c r="AT94" t="n">
        <v>1851.706</v>
      </c>
      <c r="AU94" t="n">
        <v>2251.96</v>
      </c>
      <c r="AV94" t="n">
        <v>2553.948</v>
      </c>
      <c r="AW94" t="n">
        <v>2648.351</v>
      </c>
      <c r="AX94" t="n">
        <v>3525.139</v>
      </c>
      <c r="AY94" t="n">
        <v>2997.948</v>
      </c>
      <c r="AZ94" t="n">
        <v>3298.506</v>
      </c>
      <c r="BA94" t="n">
        <v>2615.061</v>
      </c>
      <c r="BB94" t="n">
        <v>2902.081</v>
      </c>
      <c r="BC94" t="n">
        <v>4792.182</v>
      </c>
      <c r="BD94" t="n">
        <v>5225.899</v>
      </c>
      <c r="BE94" t="n">
        <v>5608.968</v>
      </c>
      <c r="BF94" t="n">
        <v>4727.345</v>
      </c>
      <c r="BG94" t="n">
        <v>4183.65</v>
      </c>
      <c r="BH94" t="n">
        <v>4126.606</v>
      </c>
      <c r="BI94" t="n">
        <v>4496.3</v>
      </c>
      <c r="BJ94" t="n">
        <v>4469.599</v>
      </c>
      <c r="BK94" t="n">
        <v>4366.34</v>
      </c>
      <c r="BL94" t="n">
        <v>4701.149</v>
      </c>
      <c r="BM94" t="n">
        <v>12840.857</v>
      </c>
      <c r="BN94" t="n">
        <v>13533.725</v>
      </c>
      <c r="BO94" t="n">
        <v>16423.363</v>
      </c>
      <c r="BP94" t="n">
        <v>16700.896</v>
      </c>
      <c r="BQ94" t="n">
        <v>16469.5</v>
      </c>
      <c r="BR94" t="n">
        <v>19736.804</v>
      </c>
      <c r="BS94" t="n">
        <v>19962.673</v>
      </c>
      <c r="BT94" t="n">
        <v>22140.011</v>
      </c>
      <c r="BU94" t="n">
        <v>21641.302</v>
      </c>
      <c r="BV94" t="n">
        <v>17654.194</v>
      </c>
    </row>
    <row r="95">
      <c r="A95" t="inlineStr">
        <is>
          <t>Pleuronectiformes</t>
        </is>
      </c>
      <c r="B95" t="inlineStr">
        <is>
          <t>Flatfishes</t>
        </is>
      </c>
      <c r="C95" t="inlineStr">
        <is>
          <t>Small to medium flatfishes (&lt;90 cm)</t>
        </is>
      </c>
      <c r="D95" t="inlineStr">
        <is>
          <t>Flatfishes</t>
        </is>
      </c>
      <c r="E95" t="n">
        <v>29662.113</v>
      </c>
      <c r="F95" t="n">
        <v>1854.907</v>
      </c>
      <c r="G95" t="n">
        <v>6269.738</v>
      </c>
      <c r="H95" t="n">
        <v>4817.773</v>
      </c>
      <c r="I95" t="n">
        <v>1343.042</v>
      </c>
      <c r="J95" t="n">
        <v>4884.74</v>
      </c>
      <c r="K95" t="n">
        <v>9067.538</v>
      </c>
      <c r="L95" t="n">
        <v>3358.894</v>
      </c>
      <c r="M95" t="n">
        <v>12710.483</v>
      </c>
      <c r="N95" t="n">
        <v>9952.648999999999</v>
      </c>
      <c r="O95" t="n">
        <v>13297.499</v>
      </c>
      <c r="P95" t="n">
        <v>6309.034</v>
      </c>
      <c r="Q95" t="n">
        <v>16510.711</v>
      </c>
      <c r="R95" t="n">
        <v>8120.826</v>
      </c>
      <c r="S95" t="n">
        <v>4737.886</v>
      </c>
      <c r="T95" t="n">
        <v>8948.634</v>
      </c>
      <c r="U95" t="n">
        <v>6536.611</v>
      </c>
      <c r="V95" t="n">
        <v>5059.412</v>
      </c>
      <c r="W95" t="n">
        <v>10152.556</v>
      </c>
      <c r="X95" t="n">
        <v>11204.484</v>
      </c>
      <c r="Y95" t="n">
        <v>12549.445</v>
      </c>
      <c r="Z95" t="n">
        <v>10559.811</v>
      </c>
      <c r="AA95" t="n">
        <v>8986.162</v>
      </c>
      <c r="AB95" t="n">
        <v>13651.517</v>
      </c>
      <c r="AC95" t="n">
        <v>17446.111</v>
      </c>
      <c r="AD95" t="n">
        <v>10918.391</v>
      </c>
      <c r="AE95" t="n">
        <v>8984.504999999999</v>
      </c>
      <c r="AF95" t="n">
        <v>9410.837</v>
      </c>
      <c r="AG95" t="n">
        <v>12042.3</v>
      </c>
      <c r="AH95" t="n">
        <v>9173.433000000001</v>
      </c>
      <c r="AI95" t="n">
        <v>11083.782</v>
      </c>
      <c r="AJ95" t="n">
        <v>837.813</v>
      </c>
      <c r="AK95" t="n">
        <v>35.446</v>
      </c>
      <c r="AL95" t="n">
        <v>141.56</v>
      </c>
      <c r="AM95" t="n">
        <v>28.767</v>
      </c>
      <c r="AN95" t="n">
        <v>30.231</v>
      </c>
      <c r="AO95" t="n">
        <v>49.877</v>
      </c>
      <c r="AP95" t="n">
        <v>509.303</v>
      </c>
      <c r="AQ95" t="n">
        <v>47.085</v>
      </c>
      <c r="AR95" t="n">
        <v>176.402</v>
      </c>
      <c r="AS95" t="n">
        <v>496.72</v>
      </c>
      <c r="AT95" t="n">
        <v>1575.178</v>
      </c>
      <c r="AU95" t="n">
        <v>886.157</v>
      </c>
      <c r="AV95" t="n">
        <v>185.716</v>
      </c>
      <c r="AW95" t="n">
        <v>156.082</v>
      </c>
      <c r="AX95" t="n">
        <v>189.518</v>
      </c>
      <c r="AY95" t="n">
        <v>63.637</v>
      </c>
      <c r="AZ95" t="n">
        <v>152.529</v>
      </c>
      <c r="BA95" t="n">
        <v>68.617</v>
      </c>
      <c r="BB95" t="n">
        <v>50.368</v>
      </c>
      <c r="BC95" t="n">
        <v>59.894</v>
      </c>
      <c r="BD95" t="n">
        <v>97.504</v>
      </c>
      <c r="BE95" t="n">
        <v>48.883</v>
      </c>
      <c r="BF95" t="n">
        <v>22.083</v>
      </c>
      <c r="BG95" t="n">
        <v>90.59999999999999</v>
      </c>
      <c r="BH95" t="n">
        <v>98.95099999999999</v>
      </c>
      <c r="BI95" t="n">
        <v>72.616</v>
      </c>
      <c r="BJ95" t="n">
        <v>143.431</v>
      </c>
      <c r="BK95" t="n">
        <v>85.58499999999999</v>
      </c>
      <c r="BL95" t="n">
        <v>85.997</v>
      </c>
      <c r="BM95" t="n">
        <v>95.289</v>
      </c>
      <c r="BN95" t="n">
        <v>63.938</v>
      </c>
      <c r="BO95" t="n">
        <v>52.745</v>
      </c>
      <c r="BP95" t="n">
        <v>184.947</v>
      </c>
      <c r="BQ95" t="n">
        <v>241.741</v>
      </c>
      <c r="BR95" t="n">
        <v>100.907</v>
      </c>
      <c r="BS95" t="n">
        <v>142.141</v>
      </c>
      <c r="BT95" t="n">
        <v>187.879</v>
      </c>
      <c r="BU95" t="n">
        <v>175.945</v>
      </c>
      <c r="BV95" t="n">
        <v>265.183</v>
      </c>
    </row>
    <row r="96">
      <c r="A96" t="inlineStr">
        <is>
          <t>Upeneus vittatus</t>
        </is>
      </c>
      <c r="B96" t="inlineStr">
        <is>
          <t>Yellowstriped goatfish</t>
        </is>
      </c>
      <c r="C96" t="inlineStr">
        <is>
          <t>Small reef assoc. fish (&lt;30 cm)</t>
        </is>
      </c>
      <c r="D96" t="inlineStr">
        <is>
          <t>Perch-likes</t>
        </is>
      </c>
      <c r="E96" t="n">
        <v>0</v>
      </c>
      <c r="F96" t="n">
        <v>0</v>
      </c>
      <c r="G96" t="n">
        <v>0</v>
      </c>
      <c r="H96" t="n">
        <v>0</v>
      </c>
      <c r="I96" t="n">
        <v>0</v>
      </c>
      <c r="J96" t="n">
        <v>0</v>
      </c>
      <c r="K96" t="n">
        <v>0</v>
      </c>
      <c r="L96" t="n">
        <v>0</v>
      </c>
      <c r="M96" t="n">
        <v>1160.136</v>
      </c>
      <c r="N96" t="n">
        <v>706.6609999999999</v>
      </c>
      <c r="O96" t="n">
        <v>1126.135</v>
      </c>
      <c r="P96" t="n">
        <v>1688.256</v>
      </c>
      <c r="Q96" t="n">
        <v>1133.929</v>
      </c>
      <c r="R96" t="n">
        <v>2354.154</v>
      </c>
      <c r="S96" t="n">
        <v>4266.436</v>
      </c>
      <c r="T96" t="n">
        <v>4788.482</v>
      </c>
      <c r="U96" t="n">
        <v>4857.214</v>
      </c>
      <c r="V96" t="n">
        <v>4406.304</v>
      </c>
      <c r="W96" t="n">
        <v>3991.555</v>
      </c>
      <c r="X96" t="n">
        <v>4602.288</v>
      </c>
      <c r="Y96" t="n">
        <v>4558.429</v>
      </c>
      <c r="Z96" t="n">
        <v>5142.73</v>
      </c>
      <c r="AA96" t="n">
        <v>6192.499</v>
      </c>
      <c r="AB96" t="n">
        <v>5522.318</v>
      </c>
      <c r="AC96" t="n">
        <v>4019.446</v>
      </c>
      <c r="AD96" t="n">
        <v>4372.188</v>
      </c>
      <c r="AE96" t="n">
        <v>5603.989</v>
      </c>
      <c r="AF96" t="n">
        <v>4960.631</v>
      </c>
      <c r="AG96" t="n">
        <v>4641.448</v>
      </c>
      <c r="AH96" t="n">
        <v>5732.633</v>
      </c>
      <c r="AI96" t="n">
        <v>6075.242</v>
      </c>
      <c r="AJ96" t="n">
        <v>7497.067</v>
      </c>
      <c r="AK96" t="n">
        <v>6413.333</v>
      </c>
      <c r="AL96" t="n">
        <v>10065.427</v>
      </c>
      <c r="AM96" t="n">
        <v>10649.73</v>
      </c>
      <c r="AN96" t="n">
        <v>9792.532999999999</v>
      </c>
      <c r="AO96" t="n">
        <v>9721.714</v>
      </c>
      <c r="AP96" t="n">
        <v>9594.183999999999</v>
      </c>
      <c r="AQ96" t="n">
        <v>9149.290999999999</v>
      </c>
      <c r="AR96" t="n">
        <v>7853.226</v>
      </c>
      <c r="AS96" t="n">
        <v>7333.691</v>
      </c>
      <c r="AT96" t="n">
        <v>6758.679</v>
      </c>
      <c r="AU96" t="n">
        <v>5553.056</v>
      </c>
      <c r="AV96" t="n">
        <v>6919.533</v>
      </c>
      <c r="AW96" t="n">
        <v>5702.976</v>
      </c>
      <c r="AX96" t="n">
        <v>4863.237</v>
      </c>
      <c r="AY96" t="n">
        <v>5449.658</v>
      </c>
      <c r="AZ96" t="n">
        <v>5871.348</v>
      </c>
      <c r="BA96" t="n">
        <v>5161.937</v>
      </c>
      <c r="BB96" t="n">
        <v>4935.699</v>
      </c>
      <c r="BC96" t="n">
        <v>5165.124</v>
      </c>
      <c r="BD96" t="n">
        <v>5090.933</v>
      </c>
      <c r="BE96" t="n">
        <v>4436.174</v>
      </c>
      <c r="BF96" t="n">
        <v>4995.584</v>
      </c>
      <c r="BG96" t="n">
        <v>5295.036</v>
      </c>
      <c r="BH96" t="n">
        <v>3628.088</v>
      </c>
      <c r="BI96" t="n">
        <v>3538.425</v>
      </c>
      <c r="BJ96" t="n">
        <v>3386.119</v>
      </c>
      <c r="BK96" t="n">
        <v>3627.742</v>
      </c>
      <c r="BL96" t="n">
        <v>4050.922</v>
      </c>
      <c r="BM96" t="n">
        <v>3710.262</v>
      </c>
      <c r="BN96" t="n">
        <v>3546.716</v>
      </c>
      <c r="BO96" t="n">
        <v>3407.05</v>
      </c>
      <c r="BP96" t="n">
        <v>3242.387</v>
      </c>
      <c r="BQ96" t="n">
        <v>3061.719</v>
      </c>
      <c r="BR96" t="n">
        <v>2921.022</v>
      </c>
      <c r="BS96" t="n">
        <v>2742.788</v>
      </c>
      <c r="BT96" t="n">
        <v>2599.407</v>
      </c>
      <c r="BU96" t="n">
        <v>2419.093</v>
      </c>
      <c r="BV96" t="n">
        <v>2187.389</v>
      </c>
    </row>
    <row r="97">
      <c r="A97" t="inlineStr">
        <is>
          <t>Pomadasys kaakan</t>
        </is>
      </c>
      <c r="B97" t="inlineStr">
        <is>
          <t>Javelin grunter</t>
        </is>
      </c>
      <c r="C97" t="inlineStr">
        <is>
          <t>Medium reef assoc. fish (30 - 89 cm)</t>
        </is>
      </c>
      <c r="D97" t="inlineStr">
        <is>
          <t>Perch-likes</t>
        </is>
      </c>
      <c r="E97" t="n">
        <v>1531.63</v>
      </c>
      <c r="F97" t="n">
        <v>1539.828</v>
      </c>
      <c r="G97" t="n">
        <v>1532.891</v>
      </c>
      <c r="H97" t="n">
        <v>1544.557</v>
      </c>
      <c r="I97" t="n">
        <v>1552.276</v>
      </c>
      <c r="J97" t="n">
        <v>1560.111</v>
      </c>
      <c r="K97" t="n">
        <v>1546.48</v>
      </c>
      <c r="L97" t="n">
        <v>1562.719</v>
      </c>
      <c r="M97" t="n">
        <v>1572.308</v>
      </c>
      <c r="N97" t="n">
        <v>1591.348</v>
      </c>
      <c r="O97" t="n">
        <v>1603.975</v>
      </c>
      <c r="P97" t="n">
        <v>1614.883</v>
      </c>
      <c r="Q97" t="n">
        <v>1633.331</v>
      </c>
      <c r="R97" t="n">
        <v>1654.765</v>
      </c>
      <c r="S97" t="n">
        <v>1637.749</v>
      </c>
      <c r="T97" t="n">
        <v>1655.175</v>
      </c>
      <c r="U97" t="n">
        <v>1670.048</v>
      </c>
      <c r="V97" t="n">
        <v>1697.419</v>
      </c>
      <c r="W97" t="n">
        <v>1745.067</v>
      </c>
      <c r="X97" t="n">
        <v>1725.565</v>
      </c>
      <c r="Y97" t="n">
        <v>1712.064</v>
      </c>
      <c r="Z97" t="n">
        <v>1745.551</v>
      </c>
      <c r="AA97" t="n">
        <v>1773.21</v>
      </c>
      <c r="AB97" t="n">
        <v>1796.337</v>
      </c>
      <c r="AC97" t="n">
        <v>2387.016</v>
      </c>
      <c r="AD97" t="n">
        <v>2482.281</v>
      </c>
      <c r="AE97" t="n">
        <v>2554.661</v>
      </c>
      <c r="AF97" t="n">
        <v>2677.657</v>
      </c>
      <c r="AG97" t="n">
        <v>2724.584</v>
      </c>
      <c r="AH97" t="n">
        <v>2717.803</v>
      </c>
      <c r="AI97" t="n">
        <v>2446.233</v>
      </c>
      <c r="AJ97" t="n">
        <v>2484.413</v>
      </c>
      <c r="AK97" t="n">
        <v>3093.022</v>
      </c>
      <c r="AL97" t="n">
        <v>3067.6</v>
      </c>
      <c r="AM97" t="n">
        <v>3144.452</v>
      </c>
      <c r="AN97" t="n">
        <v>3194.116</v>
      </c>
      <c r="AO97" t="n">
        <v>3643.741</v>
      </c>
      <c r="AP97" t="n">
        <v>4703.039</v>
      </c>
      <c r="AQ97" t="n">
        <v>5006.73</v>
      </c>
      <c r="AR97" t="n">
        <v>5211.059</v>
      </c>
      <c r="AS97" t="n">
        <v>4923.092</v>
      </c>
      <c r="AT97" t="n">
        <v>4947.793</v>
      </c>
      <c r="AU97" t="n">
        <v>5504.6</v>
      </c>
      <c r="AV97" t="n">
        <v>5366.061</v>
      </c>
      <c r="AW97" t="n">
        <v>5912.492</v>
      </c>
      <c r="AX97" t="n">
        <v>6158.336</v>
      </c>
      <c r="AY97" t="n">
        <v>5951.569</v>
      </c>
      <c r="AZ97" t="n">
        <v>7613.556</v>
      </c>
      <c r="BA97" t="n">
        <v>7300.537</v>
      </c>
      <c r="BB97" t="n">
        <v>6525.649</v>
      </c>
      <c r="BC97" t="n">
        <v>6120.831</v>
      </c>
      <c r="BD97" t="n">
        <v>5312.143</v>
      </c>
      <c r="BE97" t="n">
        <v>5362.654</v>
      </c>
      <c r="BF97" t="n">
        <v>6265.485</v>
      </c>
      <c r="BG97" t="n">
        <v>6209.41</v>
      </c>
      <c r="BH97" t="n">
        <v>5967.239</v>
      </c>
      <c r="BI97" t="n">
        <v>6479.803</v>
      </c>
      <c r="BJ97" t="n">
        <v>5843.273</v>
      </c>
      <c r="BK97" t="n">
        <v>6385.723</v>
      </c>
      <c r="BL97" t="n">
        <v>6126.235</v>
      </c>
      <c r="BM97" t="n">
        <v>7278.624</v>
      </c>
      <c r="BN97" t="n">
        <v>7548.44</v>
      </c>
      <c r="BO97" t="n">
        <v>8267.813</v>
      </c>
      <c r="BP97" t="n">
        <v>7349.386</v>
      </c>
      <c r="BQ97" t="n">
        <v>8321.748</v>
      </c>
      <c r="BR97" t="n">
        <v>8430.141</v>
      </c>
      <c r="BS97" t="n">
        <v>8515.894</v>
      </c>
      <c r="BT97" t="n">
        <v>9288.425999999999</v>
      </c>
      <c r="BU97" t="n">
        <v>11604.129</v>
      </c>
      <c r="BV97" t="n">
        <v>10463.578</v>
      </c>
    </row>
    <row r="98">
      <c r="A98" t="inlineStr">
        <is>
          <t>Haemulidae</t>
        </is>
      </c>
      <c r="B98" t="inlineStr">
        <is>
          <t>Grunts, sweetlips, bonnetmouths</t>
        </is>
      </c>
      <c r="C98" t="inlineStr">
        <is>
          <t>Medium demersals (30 - 89 cm)</t>
        </is>
      </c>
      <c r="D98" t="inlineStr">
        <is>
          <t>Perch-likes</t>
        </is>
      </c>
      <c r="E98" t="n">
        <v>276.105</v>
      </c>
      <c r="F98" t="n">
        <v>275.988</v>
      </c>
      <c r="G98" t="n">
        <v>302.924</v>
      </c>
      <c r="H98" t="n">
        <v>327.712</v>
      </c>
      <c r="I98" t="n">
        <v>367.036</v>
      </c>
      <c r="J98" t="n">
        <v>410.037</v>
      </c>
      <c r="K98" t="n">
        <v>409.522</v>
      </c>
      <c r="L98" t="n">
        <v>463.474</v>
      </c>
      <c r="M98" t="n">
        <v>460.978</v>
      </c>
      <c r="N98" t="n">
        <v>497.199</v>
      </c>
      <c r="O98" t="n">
        <v>523.532</v>
      </c>
      <c r="P98" t="n">
        <v>527.333</v>
      </c>
      <c r="Q98" t="n">
        <v>560.953</v>
      </c>
      <c r="R98" t="n">
        <v>563.329</v>
      </c>
      <c r="S98" t="n">
        <v>1434.93</v>
      </c>
      <c r="T98" t="n">
        <v>914.595</v>
      </c>
      <c r="U98" t="n">
        <v>6815.315</v>
      </c>
      <c r="V98" t="n">
        <v>767.566</v>
      </c>
      <c r="W98" t="n">
        <v>885.3680000000001</v>
      </c>
      <c r="X98" t="n">
        <v>1030.123</v>
      </c>
      <c r="Y98" t="n">
        <v>1316.89</v>
      </c>
      <c r="Z98" t="n">
        <v>1465.94</v>
      </c>
      <c r="AA98" t="n">
        <v>1763.213</v>
      </c>
      <c r="AB98" t="n">
        <v>2336.535</v>
      </c>
      <c r="AC98" t="n">
        <v>2979.677</v>
      </c>
      <c r="AD98" t="n">
        <v>3261.901</v>
      </c>
      <c r="AE98" t="n">
        <v>4185.171</v>
      </c>
      <c r="AF98" t="n">
        <v>4637.151</v>
      </c>
      <c r="AG98" t="n">
        <v>4449.3</v>
      </c>
      <c r="AH98" t="n">
        <v>4878.342</v>
      </c>
      <c r="AI98" t="n">
        <v>6440.828</v>
      </c>
      <c r="AJ98" t="n">
        <v>6248.609</v>
      </c>
      <c r="AK98" t="n">
        <v>5449.245</v>
      </c>
      <c r="AL98" t="n">
        <v>6706.888</v>
      </c>
      <c r="AM98" t="n">
        <v>7773.776</v>
      </c>
      <c r="AN98" t="n">
        <v>9382.116</v>
      </c>
      <c r="AO98" t="n">
        <v>9177.618</v>
      </c>
      <c r="AP98" t="n">
        <v>8968.985000000001</v>
      </c>
      <c r="AQ98" t="n">
        <v>8262.956</v>
      </c>
      <c r="AR98" t="n">
        <v>7276.797</v>
      </c>
      <c r="AS98" t="n">
        <v>3472.625</v>
      </c>
      <c r="AT98" t="n">
        <v>4547.55</v>
      </c>
      <c r="AU98" t="n">
        <v>3350.501</v>
      </c>
      <c r="AV98" t="n">
        <v>3831.683</v>
      </c>
      <c r="AW98" t="n">
        <v>3682.301</v>
      </c>
      <c r="AX98" t="n">
        <v>3918.982</v>
      </c>
      <c r="AY98" t="n">
        <v>4872.914</v>
      </c>
      <c r="AZ98" t="n">
        <v>4979.812</v>
      </c>
      <c r="BA98" t="n">
        <v>6099.957</v>
      </c>
      <c r="BB98" t="n">
        <v>6088.642</v>
      </c>
      <c r="BC98" t="n">
        <v>6728.534</v>
      </c>
      <c r="BD98" t="n">
        <v>8688.221</v>
      </c>
      <c r="BE98" t="n">
        <v>8218.450999999999</v>
      </c>
      <c r="BF98" t="n">
        <v>6975.904</v>
      </c>
      <c r="BG98" t="n">
        <v>6304.495</v>
      </c>
      <c r="BH98" t="n">
        <v>5990.995</v>
      </c>
      <c r="BI98" t="n">
        <v>6307.704</v>
      </c>
      <c r="BJ98" t="n">
        <v>5334.364</v>
      </c>
      <c r="BK98" t="n">
        <v>4714.84</v>
      </c>
      <c r="BL98" t="n">
        <v>4722.879</v>
      </c>
      <c r="BM98" t="n">
        <v>5020.411</v>
      </c>
      <c r="BN98" t="n">
        <v>5892.178</v>
      </c>
      <c r="BO98" t="n">
        <v>6363.664</v>
      </c>
      <c r="BP98" t="n">
        <v>5974.373</v>
      </c>
      <c r="BQ98" t="n">
        <v>6954.914</v>
      </c>
      <c r="BR98" t="n">
        <v>7177.212</v>
      </c>
      <c r="BS98" t="n">
        <v>6698.457</v>
      </c>
      <c r="BT98" t="n">
        <v>6751.751</v>
      </c>
      <c r="BU98" t="n">
        <v>6581.842</v>
      </c>
      <c r="BV98" t="n">
        <v>6719.656</v>
      </c>
    </row>
    <row r="99">
      <c r="A99" t="inlineStr">
        <is>
          <t>Dussumieria acuta</t>
        </is>
      </c>
      <c r="B99" t="inlineStr">
        <is>
          <t>Rainbow sardine</t>
        </is>
      </c>
      <c r="C99" t="inlineStr">
        <is>
          <t>Small pelagics (&lt;30 cm)</t>
        </is>
      </c>
      <c r="D99" t="inlineStr">
        <is>
          <t>Herring-likes</t>
        </is>
      </c>
      <c r="E99" t="n">
        <v>819.782</v>
      </c>
      <c r="F99" t="n">
        <v>824.159</v>
      </c>
      <c r="G99" t="n">
        <v>818.38</v>
      </c>
      <c r="H99" t="n">
        <v>1190.45</v>
      </c>
      <c r="I99" t="n">
        <v>1209.821</v>
      </c>
      <c r="J99" t="n">
        <v>1234.866</v>
      </c>
      <c r="K99" t="n">
        <v>1291.602</v>
      </c>
      <c r="L99" t="n">
        <v>970.639</v>
      </c>
      <c r="M99" t="n">
        <v>1064.006</v>
      </c>
      <c r="N99" t="n">
        <v>1084.698</v>
      </c>
      <c r="O99" t="n">
        <v>1131.272</v>
      </c>
      <c r="P99" t="n">
        <v>1119.582</v>
      </c>
      <c r="Q99" t="n">
        <v>929.513</v>
      </c>
      <c r="R99" t="n">
        <v>984.458</v>
      </c>
      <c r="S99" t="n">
        <v>1032.38</v>
      </c>
      <c r="T99" t="n">
        <v>1058.993</v>
      </c>
      <c r="U99" t="n">
        <v>1141.443</v>
      </c>
      <c r="V99" t="n">
        <v>1127.812</v>
      </c>
      <c r="W99" t="n">
        <v>1053.984</v>
      </c>
      <c r="X99" t="n">
        <v>1106.518</v>
      </c>
      <c r="Y99" t="n">
        <v>1149.33</v>
      </c>
      <c r="Z99" t="n">
        <v>1124.779</v>
      </c>
      <c r="AA99" t="n">
        <v>1197.604</v>
      </c>
      <c r="AB99" t="n">
        <v>1288.351</v>
      </c>
      <c r="AC99" t="n">
        <v>1061.937</v>
      </c>
      <c r="AD99" t="n">
        <v>1155.909</v>
      </c>
      <c r="AE99" t="n">
        <v>1276.211</v>
      </c>
      <c r="AF99" t="n">
        <v>1604.21</v>
      </c>
      <c r="AG99" t="n">
        <v>3494.085</v>
      </c>
      <c r="AH99" t="n">
        <v>2367.078</v>
      </c>
      <c r="AI99" t="n">
        <v>3090.661</v>
      </c>
      <c r="AJ99" t="n">
        <v>3355.448</v>
      </c>
      <c r="AK99" t="n">
        <v>2947.537</v>
      </c>
      <c r="AL99" t="n">
        <v>1105.446</v>
      </c>
      <c r="AM99" t="n">
        <v>1171.852</v>
      </c>
      <c r="AN99" t="n">
        <v>1421.205</v>
      </c>
      <c r="AO99" t="n">
        <v>1643.902</v>
      </c>
      <c r="AP99" t="n">
        <v>3394.351</v>
      </c>
      <c r="AQ99" t="n">
        <v>3935.272</v>
      </c>
      <c r="AR99" t="n">
        <v>4240.494</v>
      </c>
      <c r="AS99" t="n">
        <v>7849.13</v>
      </c>
      <c r="AT99" t="n">
        <v>7921.222</v>
      </c>
      <c r="AU99" t="n">
        <v>8657.706</v>
      </c>
      <c r="AV99" t="n">
        <v>10522.85</v>
      </c>
      <c r="AW99" t="n">
        <v>7512.664</v>
      </c>
      <c r="AX99" t="n">
        <v>7587.204</v>
      </c>
      <c r="AY99" t="n">
        <v>6901.018</v>
      </c>
      <c r="AZ99" t="n">
        <v>7472.839</v>
      </c>
      <c r="BA99" t="n">
        <v>6354.045</v>
      </c>
      <c r="BB99" t="n">
        <v>5628.645</v>
      </c>
      <c r="BC99" t="n">
        <v>5391.669</v>
      </c>
      <c r="BD99" t="n">
        <v>5430.946</v>
      </c>
      <c r="BE99" t="n">
        <v>5440.963</v>
      </c>
      <c r="BF99" t="n">
        <v>5397.629</v>
      </c>
      <c r="BG99" t="n">
        <v>7183.428</v>
      </c>
      <c r="BH99" t="n">
        <v>6356.235</v>
      </c>
      <c r="BI99" t="n">
        <v>7165.471</v>
      </c>
      <c r="BJ99" t="n">
        <v>7095.35</v>
      </c>
      <c r="BK99" t="n">
        <v>7222.961</v>
      </c>
      <c r="BL99" t="n">
        <v>6743.652</v>
      </c>
      <c r="BM99" t="n">
        <v>6793.316</v>
      </c>
      <c r="BN99" t="n">
        <v>7337.617</v>
      </c>
      <c r="BO99" t="n">
        <v>8130.001</v>
      </c>
      <c r="BP99" t="n">
        <v>8415.727000000001</v>
      </c>
      <c r="BQ99" t="n">
        <v>8552.549000000001</v>
      </c>
      <c r="BR99" t="n">
        <v>8665.333000000001</v>
      </c>
      <c r="BS99" t="n">
        <v>8776.99</v>
      </c>
      <c r="BT99" t="n">
        <v>8907.528</v>
      </c>
      <c r="BU99" t="n">
        <v>9060.897000000001</v>
      </c>
      <c r="BV99" t="n">
        <v>9132.108</v>
      </c>
    </row>
    <row r="100">
      <c r="A100" t="inlineStr">
        <is>
          <t>Terapon jarbua</t>
        </is>
      </c>
      <c r="B100" t="inlineStr">
        <is>
          <t>Jarbua terapon</t>
        </is>
      </c>
      <c r="C100" t="inlineStr">
        <is>
          <t>Medium demersals (30 - 89 cm)</t>
        </is>
      </c>
      <c r="D100" t="inlineStr">
        <is>
          <t>Perch-likes</t>
        </is>
      </c>
      <c r="E100" t="n">
        <v>107.6</v>
      </c>
      <c r="F100" t="n">
        <v>108.214</v>
      </c>
      <c r="G100" t="n">
        <v>107.57</v>
      </c>
      <c r="H100" t="n">
        <v>108.049</v>
      </c>
      <c r="I100" t="n">
        <v>108.676</v>
      </c>
      <c r="J100" t="n">
        <v>109.2</v>
      </c>
      <c r="K100" t="n">
        <v>109.591</v>
      </c>
      <c r="L100" t="n">
        <v>110.971</v>
      </c>
      <c r="M100" t="n">
        <v>1146.306</v>
      </c>
      <c r="N100" t="n">
        <v>744.553</v>
      </c>
      <c r="O100" t="n">
        <v>1119.676</v>
      </c>
      <c r="P100" t="n">
        <v>1622.149</v>
      </c>
      <c r="Q100" t="n">
        <v>1130.275</v>
      </c>
      <c r="R100" t="n">
        <v>2219.09</v>
      </c>
      <c r="S100" t="n">
        <v>3920.852</v>
      </c>
      <c r="T100" t="n">
        <v>4385.516</v>
      </c>
      <c r="U100" t="n">
        <v>4426.934</v>
      </c>
      <c r="V100" t="n">
        <v>4013.901</v>
      </c>
      <c r="W100" t="n">
        <v>3628.865</v>
      </c>
      <c r="X100" t="n">
        <v>4147.836</v>
      </c>
      <c r="Y100" t="n">
        <v>4091.097</v>
      </c>
      <c r="Z100" t="n">
        <v>4600.119</v>
      </c>
      <c r="AA100" t="n">
        <v>5515.866</v>
      </c>
      <c r="AB100" t="n">
        <v>4932.666</v>
      </c>
      <c r="AC100" t="n">
        <v>3601.136</v>
      </c>
      <c r="AD100" t="n">
        <v>3915.039</v>
      </c>
      <c r="AE100" t="n">
        <v>4993.17</v>
      </c>
      <c r="AF100" t="n">
        <v>4441.294</v>
      </c>
      <c r="AG100" t="n">
        <v>4161.958</v>
      </c>
      <c r="AH100" t="n">
        <v>5111.214</v>
      </c>
      <c r="AI100" t="n">
        <v>5419.338</v>
      </c>
      <c r="AJ100" t="n">
        <v>6654.295</v>
      </c>
      <c r="AK100" t="n">
        <v>5689.34</v>
      </c>
      <c r="AL100" t="n">
        <v>8875.357</v>
      </c>
      <c r="AM100" t="n">
        <v>9389.084999999999</v>
      </c>
      <c r="AN100" t="n">
        <v>8645.956</v>
      </c>
      <c r="AO100" t="n">
        <v>8578.862999999999</v>
      </c>
      <c r="AP100" t="n">
        <v>8481.076999999999</v>
      </c>
      <c r="AQ100" t="n">
        <v>8096.056</v>
      </c>
      <c r="AR100" t="n">
        <v>6969.386</v>
      </c>
      <c r="AS100" t="n">
        <v>6513.386</v>
      </c>
      <c r="AT100" t="n">
        <v>6032.479</v>
      </c>
      <c r="AU100" t="n">
        <v>4980.213</v>
      </c>
      <c r="AV100" t="n">
        <v>6157.779</v>
      </c>
      <c r="AW100" t="n">
        <v>5192.771</v>
      </c>
      <c r="AX100" t="n">
        <v>4458.146</v>
      </c>
      <c r="AY100" t="n">
        <v>4954.109</v>
      </c>
      <c r="AZ100" t="n">
        <v>5396.368</v>
      </c>
      <c r="BA100" t="n">
        <v>4719.373</v>
      </c>
      <c r="BB100" t="n">
        <v>4507.882</v>
      </c>
      <c r="BC100" t="n">
        <v>4684.681</v>
      </c>
      <c r="BD100" t="n">
        <v>4611.756</v>
      </c>
      <c r="BE100" t="n">
        <v>4013.927</v>
      </c>
      <c r="BF100" t="n">
        <v>4421.739</v>
      </c>
      <c r="BG100" t="n">
        <v>4679.841</v>
      </c>
      <c r="BH100" t="n">
        <v>3237.145</v>
      </c>
      <c r="BI100" t="n">
        <v>3156.614</v>
      </c>
      <c r="BJ100" t="n">
        <v>3008.844</v>
      </c>
      <c r="BK100" t="n">
        <v>3209.106</v>
      </c>
      <c r="BL100" t="n">
        <v>3569.791</v>
      </c>
      <c r="BM100" t="n">
        <v>3265.182</v>
      </c>
      <c r="BN100" t="n">
        <v>3143.364</v>
      </c>
      <c r="BO100" t="n">
        <v>3018.012</v>
      </c>
      <c r="BP100" t="n">
        <v>2879.782</v>
      </c>
      <c r="BQ100" t="n">
        <v>2725.168</v>
      </c>
      <c r="BR100" t="n">
        <v>2605.095</v>
      </c>
      <c r="BS100" t="n">
        <v>2450.449</v>
      </c>
      <c r="BT100" t="n">
        <v>2326.067</v>
      </c>
      <c r="BU100" t="n">
        <v>2179.599</v>
      </c>
      <c r="BV100" t="n">
        <v>1974.426</v>
      </c>
    </row>
    <row r="101">
      <c r="A101" t="inlineStr">
        <is>
          <t>Auxis</t>
        </is>
      </c>
      <c r="B101" t="inlineStr">
        <is>
          <t>Bullet and frigate tunas</t>
        </is>
      </c>
      <c r="C101" t="inlineStr">
        <is>
          <t>Medium pelagics (30 - 89 cm)</t>
        </is>
      </c>
      <c r="D101" t="inlineStr">
        <is>
          <t>Tuna &amp; billfishes</t>
        </is>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4.248</v>
      </c>
      <c r="Z101" t="n">
        <v>11.698</v>
      </c>
      <c r="AA101" t="n">
        <v>10.303</v>
      </c>
      <c r="AB101" t="n">
        <v>54.853</v>
      </c>
      <c r="AC101" t="n">
        <v>27.637</v>
      </c>
      <c r="AD101" t="n">
        <v>64.35299999999999</v>
      </c>
      <c r="AE101" t="n">
        <v>47.296</v>
      </c>
      <c r="AF101" t="n">
        <v>15.379</v>
      </c>
      <c r="AG101" t="n">
        <v>21.041</v>
      </c>
      <c r="AH101" t="n">
        <v>2.252</v>
      </c>
      <c r="AI101" t="n">
        <v>0.976</v>
      </c>
      <c r="AJ101" t="n">
        <v>1124.016</v>
      </c>
      <c r="AK101" t="n">
        <v>1528.208</v>
      </c>
      <c r="AL101" t="n">
        <v>2115.976</v>
      </c>
      <c r="AM101" t="n">
        <v>1532.84</v>
      </c>
      <c r="AN101" t="n">
        <v>3027.388</v>
      </c>
      <c r="AO101" t="n">
        <v>7928.789</v>
      </c>
      <c r="AP101" t="n">
        <v>4418.359</v>
      </c>
      <c r="AQ101" t="n">
        <v>5690.876</v>
      </c>
      <c r="AR101" t="n">
        <v>6613.22</v>
      </c>
      <c r="AS101" t="n">
        <v>6615.35</v>
      </c>
      <c r="AT101" t="n">
        <v>4765.855</v>
      </c>
      <c r="AU101" t="n">
        <v>7341.946</v>
      </c>
      <c r="AV101" t="n">
        <v>3235.283</v>
      </c>
      <c r="AW101" t="n">
        <v>9930.734</v>
      </c>
      <c r="AX101" t="n">
        <v>4182.703</v>
      </c>
      <c r="AY101" t="n">
        <v>11969.312</v>
      </c>
      <c r="AZ101" t="n">
        <v>8215.138000000001</v>
      </c>
      <c r="BA101" t="n">
        <v>6339.003</v>
      </c>
      <c r="BB101" t="n">
        <v>6180.712</v>
      </c>
      <c r="BC101" t="n">
        <v>6893.063</v>
      </c>
      <c r="BD101" t="n">
        <v>8948.309999999999</v>
      </c>
      <c r="BE101" t="n">
        <v>8518.041999999999</v>
      </c>
      <c r="BF101" t="n">
        <v>11415.3</v>
      </c>
      <c r="BG101" t="n">
        <v>6112.498</v>
      </c>
      <c r="BH101" t="n">
        <v>5231.371</v>
      </c>
      <c r="BI101" t="n">
        <v>13893.692</v>
      </c>
      <c r="BJ101" t="n">
        <v>9130.754999999999</v>
      </c>
      <c r="BK101" t="n">
        <v>7099.479</v>
      </c>
      <c r="BL101" t="n">
        <v>5281.992</v>
      </c>
      <c r="BM101" t="n">
        <v>7735.508</v>
      </c>
      <c r="BN101" t="n">
        <v>7803.73</v>
      </c>
      <c r="BO101" t="n">
        <v>6114.551</v>
      </c>
      <c r="BP101" t="n">
        <v>4706.479</v>
      </c>
      <c r="BQ101" t="n">
        <v>6533.122</v>
      </c>
      <c r="BR101" t="n">
        <v>5106.528</v>
      </c>
      <c r="BS101" t="n">
        <v>10981.848</v>
      </c>
      <c r="BT101" t="n">
        <v>15010.252</v>
      </c>
      <c r="BU101" t="n">
        <v>13211.782</v>
      </c>
      <c r="BV101" t="n">
        <v>9494.071</v>
      </c>
    </row>
    <row r="102">
      <c r="A102" t="inlineStr">
        <is>
          <t>Epinephelus coioides</t>
        </is>
      </c>
      <c r="B102" t="inlineStr">
        <is>
          <t>Orange-spotted grouper</t>
        </is>
      </c>
      <c r="C102" t="inlineStr">
        <is>
          <t>Large reef assoc. fish (&gt;=90 cm)</t>
        </is>
      </c>
      <c r="D102" t="inlineStr">
        <is>
          <t>Perch-likes</t>
        </is>
      </c>
      <c r="E102" t="n">
        <v>1473.936</v>
      </c>
      <c r="F102" t="n">
        <v>1480.933</v>
      </c>
      <c r="G102" t="n">
        <v>1473.249</v>
      </c>
      <c r="H102" t="n">
        <v>1478.916</v>
      </c>
      <c r="I102" t="n">
        <v>1485.849</v>
      </c>
      <c r="J102" t="n">
        <v>1491.821</v>
      </c>
      <c r="K102" t="n">
        <v>1478.076</v>
      </c>
      <c r="L102" t="n">
        <v>1493.252</v>
      </c>
      <c r="M102" t="n">
        <v>1503.278</v>
      </c>
      <c r="N102" t="n">
        <v>1522.445</v>
      </c>
      <c r="O102" t="n">
        <v>1531.986</v>
      </c>
      <c r="P102" t="n">
        <v>1552.563</v>
      </c>
      <c r="Q102" t="n">
        <v>1567.825</v>
      </c>
      <c r="R102" t="n">
        <v>1589.058</v>
      </c>
      <c r="S102" t="n">
        <v>1566.99</v>
      </c>
      <c r="T102" t="n">
        <v>1578.444</v>
      </c>
      <c r="U102" t="n">
        <v>1585.785</v>
      </c>
      <c r="V102" t="n">
        <v>1607.276</v>
      </c>
      <c r="W102" t="n">
        <v>1646.957</v>
      </c>
      <c r="X102" t="n">
        <v>1625.241</v>
      </c>
      <c r="Y102" t="n">
        <v>1613.122</v>
      </c>
      <c r="Z102" t="n">
        <v>1624.697</v>
      </c>
      <c r="AA102" t="n">
        <v>1636.567</v>
      </c>
      <c r="AB102" t="n">
        <v>1634.525</v>
      </c>
      <c r="AC102" t="n">
        <v>2178.577</v>
      </c>
      <c r="AD102" t="n">
        <v>2250.729</v>
      </c>
      <c r="AE102" t="n">
        <v>2301.271</v>
      </c>
      <c r="AF102" t="n">
        <v>2379.845</v>
      </c>
      <c r="AG102" t="n">
        <v>2407.549</v>
      </c>
      <c r="AH102" t="n">
        <v>2363.563</v>
      </c>
      <c r="AI102" t="n">
        <v>2101.623</v>
      </c>
      <c r="AJ102" t="n">
        <v>2104.783</v>
      </c>
      <c r="AK102" t="n">
        <v>2624.785</v>
      </c>
      <c r="AL102" t="n">
        <v>2576.608</v>
      </c>
      <c r="AM102" t="n">
        <v>2630.495</v>
      </c>
      <c r="AN102" t="n">
        <v>2641.35</v>
      </c>
      <c r="AO102" t="n">
        <v>3053.688</v>
      </c>
      <c r="AP102" t="n">
        <v>4064.373</v>
      </c>
      <c r="AQ102" t="n">
        <v>4310.01</v>
      </c>
      <c r="AR102" t="n">
        <v>4481.038</v>
      </c>
      <c r="AS102" t="n">
        <v>4249.187</v>
      </c>
      <c r="AT102" t="n">
        <v>4241.16</v>
      </c>
      <c r="AU102" t="n">
        <v>4784.347</v>
      </c>
      <c r="AV102" t="n">
        <v>4632.123</v>
      </c>
      <c r="AW102" t="n">
        <v>5206.657</v>
      </c>
      <c r="AX102" t="n">
        <v>5389.501</v>
      </c>
      <c r="AY102" t="n">
        <v>5195.359</v>
      </c>
      <c r="AZ102" t="n">
        <v>6630.396</v>
      </c>
      <c r="BA102" t="n">
        <v>5620.225</v>
      </c>
      <c r="BB102" t="n">
        <v>6700.321</v>
      </c>
      <c r="BC102" t="n">
        <v>5264.037</v>
      </c>
      <c r="BD102" t="n">
        <v>4535.458</v>
      </c>
      <c r="BE102" t="n">
        <v>3882.537</v>
      </c>
      <c r="BF102" t="n">
        <v>3548.773</v>
      </c>
      <c r="BG102" t="n">
        <v>3852.729</v>
      </c>
      <c r="BH102" t="n">
        <v>3341.25</v>
      </c>
      <c r="BI102" t="n">
        <v>3583.626</v>
      </c>
      <c r="BJ102" t="n">
        <v>5476.29</v>
      </c>
      <c r="BK102" t="n">
        <v>5463.237</v>
      </c>
      <c r="BL102" t="n">
        <v>5058.269</v>
      </c>
      <c r="BM102" t="n">
        <v>5564.851</v>
      </c>
      <c r="BN102" t="n">
        <v>6721.92</v>
      </c>
      <c r="BO102" t="n">
        <v>7108.496</v>
      </c>
      <c r="BP102" t="n">
        <v>6959.556</v>
      </c>
      <c r="BQ102" t="n">
        <v>8128.071</v>
      </c>
      <c r="BR102" t="n">
        <v>9491.808999999999</v>
      </c>
      <c r="BS102" t="n">
        <v>10239.474</v>
      </c>
      <c r="BT102" t="n">
        <v>11398.041</v>
      </c>
      <c r="BU102" t="n">
        <v>11736.801</v>
      </c>
      <c r="BV102" t="n">
        <v>11581.627</v>
      </c>
    </row>
    <row r="103">
      <c r="A103" t="inlineStr">
        <is>
          <t>Platycephalus indicus</t>
        </is>
      </c>
      <c r="B103" t="inlineStr">
        <is>
          <t>Bartail flathead</t>
        </is>
      </c>
      <c r="C103" t="inlineStr">
        <is>
          <t>Medium demersals (30 - 89 cm)</t>
        </is>
      </c>
      <c r="D103" t="inlineStr">
        <is>
          <t>Scorpionfishes</t>
        </is>
      </c>
      <c r="E103" t="n">
        <v>2886.102</v>
      </c>
      <c r="F103" t="n">
        <v>2902.22</v>
      </c>
      <c r="G103" t="n">
        <v>2880.955</v>
      </c>
      <c r="H103" t="n">
        <v>2895.723</v>
      </c>
      <c r="I103" t="n">
        <v>2909.986</v>
      </c>
      <c r="J103" t="n">
        <v>2923.744</v>
      </c>
      <c r="K103" t="n">
        <v>2928.059</v>
      </c>
      <c r="L103" t="n">
        <v>2958.826</v>
      </c>
      <c r="M103" t="n">
        <v>2981.658</v>
      </c>
      <c r="N103" t="n">
        <v>3022.206</v>
      </c>
      <c r="O103" t="n">
        <v>3043.929</v>
      </c>
      <c r="P103" t="n">
        <v>3072.257</v>
      </c>
      <c r="Q103" t="n">
        <v>3099.996</v>
      </c>
      <c r="R103" t="n">
        <v>3145.418</v>
      </c>
      <c r="S103" t="n">
        <v>3170.414</v>
      </c>
      <c r="T103" t="n">
        <v>3172.515</v>
      </c>
      <c r="U103" t="n">
        <v>3184.18</v>
      </c>
      <c r="V103" t="n">
        <v>3209.781</v>
      </c>
      <c r="W103" t="n">
        <v>3195.296</v>
      </c>
      <c r="X103" t="n">
        <v>3228.093</v>
      </c>
      <c r="Y103" t="n">
        <v>3244.291</v>
      </c>
      <c r="Z103" t="n">
        <v>3247.664</v>
      </c>
      <c r="AA103" t="n">
        <v>3289.858</v>
      </c>
      <c r="AB103" t="n">
        <v>3292.272</v>
      </c>
      <c r="AC103" t="n">
        <v>2881.387</v>
      </c>
      <c r="AD103" t="n">
        <v>3057.051</v>
      </c>
      <c r="AE103" t="n">
        <v>3227.482</v>
      </c>
      <c r="AF103" t="n">
        <v>3408.124</v>
      </c>
      <c r="AG103" t="n">
        <v>3370.076</v>
      </c>
      <c r="AH103" t="n">
        <v>3319.028</v>
      </c>
      <c r="AI103" t="n">
        <v>3462.943</v>
      </c>
      <c r="AJ103" t="n">
        <v>3500.856</v>
      </c>
      <c r="AK103" t="n">
        <v>3076.581</v>
      </c>
      <c r="AL103" t="n">
        <v>3107.748</v>
      </c>
      <c r="AM103" t="n">
        <v>3146.383</v>
      </c>
      <c r="AN103" t="n">
        <v>3180.417</v>
      </c>
      <c r="AO103" t="n">
        <v>3218.945</v>
      </c>
      <c r="AP103" t="n">
        <v>3869.735</v>
      </c>
      <c r="AQ103" t="n">
        <v>3995.026</v>
      </c>
      <c r="AR103" t="n">
        <v>4083.556</v>
      </c>
      <c r="AS103" t="n">
        <v>3958.829</v>
      </c>
      <c r="AT103" t="n">
        <v>4386.006</v>
      </c>
      <c r="AU103" t="n">
        <v>4482.203</v>
      </c>
      <c r="AV103" t="n">
        <v>4050.563</v>
      </c>
      <c r="AW103" t="n">
        <v>6381.676</v>
      </c>
      <c r="AX103" t="n">
        <v>6348.141</v>
      </c>
      <c r="AY103" t="n">
        <v>5981.015</v>
      </c>
      <c r="AZ103" t="n">
        <v>7969.898</v>
      </c>
      <c r="BA103" t="n">
        <v>6307.107</v>
      </c>
      <c r="BB103" t="n">
        <v>5790.15</v>
      </c>
      <c r="BC103" t="n">
        <v>5922.426</v>
      </c>
      <c r="BD103" t="n">
        <v>5360.092</v>
      </c>
      <c r="BE103" t="n">
        <v>4784.277</v>
      </c>
      <c r="BF103" t="n">
        <v>3977.663</v>
      </c>
      <c r="BG103" t="n">
        <v>3974.251</v>
      </c>
      <c r="BH103" t="n">
        <v>3968.519</v>
      </c>
      <c r="BI103" t="n">
        <v>3611.061</v>
      </c>
      <c r="BJ103" t="n">
        <v>3323.111</v>
      </c>
      <c r="BK103" t="n">
        <v>3249.315</v>
      </c>
      <c r="BL103" t="n">
        <v>3195.897</v>
      </c>
      <c r="BM103" t="n">
        <v>2833.541</v>
      </c>
      <c r="BN103" t="n">
        <v>3527.171</v>
      </c>
      <c r="BO103" t="n">
        <v>3452.85</v>
      </c>
      <c r="BP103" t="n">
        <v>3641.631</v>
      </c>
      <c r="BQ103" t="n">
        <v>4150.099</v>
      </c>
      <c r="BR103" t="n">
        <v>4066.337</v>
      </c>
      <c r="BS103" t="n">
        <v>4136.84</v>
      </c>
      <c r="BT103" t="n">
        <v>4711.758</v>
      </c>
      <c r="BU103" t="n">
        <v>4515.682</v>
      </c>
      <c r="BV103" t="n">
        <v>4639.236</v>
      </c>
    </row>
    <row r="104">
      <c r="A104" t="inlineStr">
        <is>
          <t>Pomadasys</t>
        </is>
      </c>
      <c r="B104" t="inlineStr">
        <is>
          <t>Grunters</t>
        </is>
      </c>
      <c r="C104" t="inlineStr">
        <is>
          <t>Medium demersals (30 - 89 cm)</t>
        </is>
      </c>
      <c r="D104" t="inlineStr">
        <is>
          <t>Perch-likes</t>
        </is>
      </c>
      <c r="E104" t="n">
        <v>79.724</v>
      </c>
      <c r="F104" t="n">
        <v>80.18000000000001</v>
      </c>
      <c r="G104" t="n">
        <v>79.578</v>
      </c>
      <c r="H104" t="n">
        <v>79.995</v>
      </c>
      <c r="I104" t="n">
        <v>80.399</v>
      </c>
      <c r="J104" t="n">
        <v>80.788</v>
      </c>
      <c r="K104" t="n">
        <v>81.048</v>
      </c>
      <c r="L104" t="n">
        <v>81.91800000000001</v>
      </c>
      <c r="M104" t="n">
        <v>82.557</v>
      </c>
      <c r="N104" t="n">
        <v>83.703</v>
      </c>
      <c r="O104" t="n">
        <v>84.316</v>
      </c>
      <c r="P104" t="n">
        <v>85.11499999999999</v>
      </c>
      <c r="Q104" t="n">
        <v>1810.403</v>
      </c>
      <c r="R104" t="n">
        <v>1237.18</v>
      </c>
      <c r="S104" t="n">
        <v>1238.463</v>
      </c>
      <c r="T104" t="n">
        <v>1238.738</v>
      </c>
      <c r="U104" t="n">
        <v>2486.281</v>
      </c>
      <c r="V104" t="n">
        <v>1528.135</v>
      </c>
      <c r="W104" t="n">
        <v>2487.417</v>
      </c>
      <c r="X104" t="n">
        <v>2969.323</v>
      </c>
      <c r="Y104" t="n">
        <v>2298.595</v>
      </c>
      <c r="Z104" t="n">
        <v>2491.355</v>
      </c>
      <c r="AA104" t="n">
        <v>3261.925</v>
      </c>
      <c r="AB104" t="n">
        <v>3262.938</v>
      </c>
      <c r="AC104" t="n">
        <v>3437.305</v>
      </c>
      <c r="AD104" t="n">
        <v>3981.749</v>
      </c>
      <c r="AE104" t="n">
        <v>3892.653</v>
      </c>
      <c r="AF104" t="n">
        <v>3617.844</v>
      </c>
      <c r="AG104" t="n">
        <v>2471.777</v>
      </c>
      <c r="AH104" t="n">
        <v>3360.295</v>
      </c>
      <c r="AI104" t="n">
        <v>1376.069</v>
      </c>
      <c r="AJ104" t="n">
        <v>4267.759</v>
      </c>
      <c r="AK104" t="n">
        <v>4953.042</v>
      </c>
      <c r="AL104" t="n">
        <v>5441.701</v>
      </c>
      <c r="AM104" t="n">
        <v>5820.376</v>
      </c>
      <c r="AN104" t="n">
        <v>7873.423</v>
      </c>
      <c r="AO104" t="n">
        <v>8041.095</v>
      </c>
      <c r="AP104" t="n">
        <v>7204.296</v>
      </c>
      <c r="AQ104" t="n">
        <v>8093.052</v>
      </c>
      <c r="AR104" t="n">
        <v>6606.924</v>
      </c>
      <c r="AS104" t="n">
        <v>5311.692</v>
      </c>
      <c r="AT104" t="n">
        <v>4846.694</v>
      </c>
      <c r="AU104" t="n">
        <v>4423.972</v>
      </c>
      <c r="AV104" t="n">
        <v>5300.847</v>
      </c>
      <c r="AW104" t="n">
        <v>4824.161</v>
      </c>
      <c r="AX104" t="n">
        <v>5483.204</v>
      </c>
      <c r="AY104" t="n">
        <v>5214.336</v>
      </c>
      <c r="AZ104" t="n">
        <v>5983.16</v>
      </c>
      <c r="BA104" t="n">
        <v>6141.522</v>
      </c>
      <c r="BB104" t="n">
        <v>7980.385</v>
      </c>
      <c r="BC104" t="n">
        <v>9713.132</v>
      </c>
      <c r="BD104" t="n">
        <v>9505.808000000001</v>
      </c>
      <c r="BE104" t="n">
        <v>9580.063</v>
      </c>
      <c r="BF104" t="n">
        <v>5066.565</v>
      </c>
      <c r="BG104" t="n">
        <v>5082.064</v>
      </c>
      <c r="BH104" t="n">
        <v>4501.395</v>
      </c>
      <c r="BI104" t="n">
        <v>3804.071</v>
      </c>
      <c r="BJ104" t="n">
        <v>3759.057</v>
      </c>
      <c r="BK104" t="n">
        <v>3817.749</v>
      </c>
      <c r="BL104" t="n">
        <v>1410.337</v>
      </c>
      <c r="BM104" t="n">
        <v>1963.567</v>
      </c>
      <c r="BN104" t="n">
        <v>2167.062</v>
      </c>
      <c r="BO104" t="n">
        <v>2676.751</v>
      </c>
      <c r="BP104" t="n">
        <v>2826.71</v>
      </c>
      <c r="BQ104" t="n">
        <v>3934.712</v>
      </c>
      <c r="BR104" t="n">
        <v>4030.197</v>
      </c>
      <c r="BS104" t="n">
        <v>3823.805</v>
      </c>
      <c r="BT104" t="n">
        <v>4019.292</v>
      </c>
      <c r="BU104" t="n">
        <v>4371.953</v>
      </c>
      <c r="BV104" t="n">
        <v>3395.181</v>
      </c>
    </row>
    <row r="105">
      <c r="A105" t="inlineStr">
        <is>
          <t>Argyrops spinifer</t>
        </is>
      </c>
      <c r="B105" t="inlineStr">
        <is>
          <t>King soldier bream</t>
        </is>
      </c>
      <c r="C105" t="inlineStr">
        <is>
          <t>Medium demersals (30 - 89 cm)</t>
        </is>
      </c>
      <c r="D105" t="inlineStr">
        <is>
          <t>Perch-likes</t>
        </is>
      </c>
      <c r="E105" t="n">
        <v>1180.765</v>
      </c>
      <c r="F105" t="n">
        <v>1205.717</v>
      </c>
      <c r="G105" t="n">
        <v>1304.753</v>
      </c>
      <c r="H105" t="n">
        <v>1338.44</v>
      </c>
      <c r="I105" t="n">
        <v>1400.07</v>
      </c>
      <c r="J105" t="n">
        <v>1433.081</v>
      </c>
      <c r="K105" t="n">
        <v>1477.18</v>
      </c>
      <c r="L105" t="n">
        <v>1602.96</v>
      </c>
      <c r="M105" t="n">
        <v>1614.584</v>
      </c>
      <c r="N105" t="n">
        <v>1709.807</v>
      </c>
      <c r="O105" t="n">
        <v>1757.444</v>
      </c>
      <c r="P105" t="n">
        <v>2109.017</v>
      </c>
      <c r="Q105" t="n">
        <v>2318.44</v>
      </c>
      <c r="R105" t="n">
        <v>2409.919</v>
      </c>
      <c r="S105" t="n">
        <v>2272.386</v>
      </c>
      <c r="T105" t="n">
        <v>2204.567</v>
      </c>
      <c r="U105" t="n">
        <v>2320.863</v>
      </c>
      <c r="V105" t="n">
        <v>2157.866</v>
      </c>
      <c r="W105" t="n">
        <v>2078.772</v>
      </c>
      <c r="X105" t="n">
        <v>2118.986</v>
      </c>
      <c r="Y105" t="n">
        <v>2147.167</v>
      </c>
      <c r="Z105" t="n">
        <v>2251.797</v>
      </c>
      <c r="AA105" t="n">
        <v>2108.465</v>
      </c>
      <c r="AB105" t="n">
        <v>2217.672</v>
      </c>
      <c r="AC105" t="n">
        <v>2134.21</v>
      </c>
      <c r="AD105" t="n">
        <v>2032.001</v>
      </c>
      <c r="AE105" t="n">
        <v>2042.961</v>
      </c>
      <c r="AF105" t="n">
        <v>2107.461</v>
      </c>
      <c r="AG105" t="n">
        <v>2322.342</v>
      </c>
      <c r="AH105" t="n">
        <v>2505.724</v>
      </c>
      <c r="AI105" t="n">
        <v>2574.626</v>
      </c>
      <c r="AJ105" t="n">
        <v>2723.106</v>
      </c>
      <c r="AK105" t="n">
        <v>2723.425</v>
      </c>
      <c r="AL105" t="n">
        <v>3435.184</v>
      </c>
      <c r="AM105" t="n">
        <v>3817.99</v>
      </c>
      <c r="AN105" t="n">
        <v>3701.8</v>
      </c>
      <c r="AO105" t="n">
        <v>3586.727</v>
      </c>
      <c r="AP105" t="n">
        <v>3687.233</v>
      </c>
      <c r="AQ105" t="n">
        <v>3723.183</v>
      </c>
      <c r="AR105" t="n">
        <v>3798.438</v>
      </c>
      <c r="AS105" t="n">
        <v>3581.62</v>
      </c>
      <c r="AT105" t="n">
        <v>3505.668</v>
      </c>
      <c r="AU105" t="n">
        <v>3783.404</v>
      </c>
      <c r="AV105" t="n">
        <v>3795.059</v>
      </c>
      <c r="AW105" t="n">
        <v>4171.165</v>
      </c>
      <c r="AX105" t="n">
        <v>4303.522</v>
      </c>
      <c r="AY105" t="n">
        <v>4377.083</v>
      </c>
      <c r="AZ105" t="n">
        <v>4504.617</v>
      </c>
      <c r="BA105" t="n">
        <v>4632.661</v>
      </c>
      <c r="BB105" t="n">
        <v>4577.086</v>
      </c>
      <c r="BC105" t="n">
        <v>4905.17</v>
      </c>
      <c r="BD105" t="n">
        <v>6132.179</v>
      </c>
      <c r="BE105" t="n">
        <v>5286.681</v>
      </c>
      <c r="BF105" t="n">
        <v>6494.236</v>
      </c>
      <c r="BG105" t="n">
        <v>6751.84</v>
      </c>
      <c r="BH105" t="n">
        <v>7207.667</v>
      </c>
      <c r="BI105" t="n">
        <v>8144.16</v>
      </c>
      <c r="BJ105" t="n">
        <v>5191.481</v>
      </c>
      <c r="BK105" t="n">
        <v>5166.48</v>
      </c>
      <c r="BL105" t="n">
        <v>5708.123</v>
      </c>
      <c r="BM105" t="n">
        <v>5219.654</v>
      </c>
      <c r="BN105" t="n">
        <v>5243.999</v>
      </c>
      <c r="BO105" t="n">
        <v>5190.668</v>
      </c>
      <c r="BP105" t="n">
        <v>5464.551</v>
      </c>
      <c r="BQ105" t="n">
        <v>4881.85</v>
      </c>
      <c r="BR105" t="n">
        <v>4471.937</v>
      </c>
      <c r="BS105" t="n">
        <v>4578.197</v>
      </c>
      <c r="BT105" t="n">
        <v>5277.967</v>
      </c>
      <c r="BU105" t="n">
        <v>4924.59</v>
      </c>
      <c r="BV105" t="n">
        <v>4872.84</v>
      </c>
    </row>
    <row r="106">
      <c r="A106" t="inlineStr">
        <is>
          <t>Chirocentrus dorab</t>
        </is>
      </c>
      <c r="B106" t="inlineStr">
        <is>
          <t>Dorab wolf-herring</t>
        </is>
      </c>
      <c r="C106" t="inlineStr">
        <is>
          <t>Large benthopelagics (&gt;=90 cm)</t>
        </is>
      </c>
      <c r="D106" t="inlineStr">
        <is>
          <t>Herring-likes</t>
        </is>
      </c>
      <c r="E106" t="n">
        <v>619.335</v>
      </c>
      <c r="F106" t="n">
        <v>606.405</v>
      </c>
      <c r="G106" t="n">
        <v>627.929</v>
      </c>
      <c r="H106" t="n">
        <v>681.149</v>
      </c>
      <c r="I106" t="n">
        <v>693.251</v>
      </c>
      <c r="J106" t="n">
        <v>712.27</v>
      </c>
      <c r="K106" t="n">
        <v>747.033</v>
      </c>
      <c r="L106" t="n">
        <v>759.703</v>
      </c>
      <c r="M106" t="n">
        <v>773.5359999999999</v>
      </c>
      <c r="N106" t="n">
        <v>788.263</v>
      </c>
      <c r="O106" t="n">
        <v>820.145</v>
      </c>
      <c r="P106" t="n">
        <v>805.133</v>
      </c>
      <c r="Q106" t="n">
        <v>872.04</v>
      </c>
      <c r="R106" t="n">
        <v>902.814</v>
      </c>
      <c r="S106" t="n">
        <v>924.989</v>
      </c>
      <c r="T106" t="n">
        <v>921.42</v>
      </c>
      <c r="U106" t="n">
        <v>1017.143</v>
      </c>
      <c r="V106" t="n">
        <v>1341.54</v>
      </c>
      <c r="W106" t="n">
        <v>1059.836</v>
      </c>
      <c r="X106" t="n">
        <v>1061.711</v>
      </c>
      <c r="Y106" t="n">
        <v>1056.23</v>
      </c>
      <c r="Z106" t="n">
        <v>2051.481</v>
      </c>
      <c r="AA106" t="n">
        <v>2894.823</v>
      </c>
      <c r="AB106" t="n">
        <v>2154.848</v>
      </c>
      <c r="AC106" t="n">
        <v>2858.944</v>
      </c>
      <c r="AD106" t="n">
        <v>2981.72</v>
      </c>
      <c r="AE106" t="n">
        <v>4358.269</v>
      </c>
      <c r="AF106" t="n">
        <v>6658.917</v>
      </c>
      <c r="AG106" t="n">
        <v>3427.923</v>
      </c>
      <c r="AH106" t="n">
        <v>5431.407</v>
      </c>
      <c r="AI106" t="n">
        <v>8499.856</v>
      </c>
      <c r="AJ106" t="n">
        <v>10623.539</v>
      </c>
      <c r="AK106" t="n">
        <v>11641.384</v>
      </c>
      <c r="AL106" t="n">
        <v>7393.886</v>
      </c>
      <c r="AM106" t="n">
        <v>7907.128</v>
      </c>
      <c r="AN106" t="n">
        <v>10752.132</v>
      </c>
      <c r="AO106" t="n">
        <v>8481.115</v>
      </c>
      <c r="AP106" t="n">
        <v>7405.081</v>
      </c>
      <c r="AQ106" t="n">
        <v>6853.762</v>
      </c>
      <c r="AR106" t="n">
        <v>7097.562</v>
      </c>
      <c r="AS106" t="n">
        <v>4580.444</v>
      </c>
      <c r="AT106" t="n">
        <v>2168.78</v>
      </c>
      <c r="AU106" t="n">
        <v>2201.402</v>
      </c>
      <c r="AV106" t="n">
        <v>2574.228</v>
      </c>
      <c r="AW106" t="n">
        <v>2925.449</v>
      </c>
      <c r="AX106" t="n">
        <v>4306.76</v>
      </c>
      <c r="AY106" t="n">
        <v>4019.741</v>
      </c>
      <c r="AZ106" t="n">
        <v>4411.742</v>
      </c>
      <c r="BA106" t="n">
        <v>4698.241</v>
      </c>
      <c r="BB106" t="n">
        <v>5093.08</v>
      </c>
      <c r="BC106" t="n">
        <v>5591.966</v>
      </c>
      <c r="BD106" t="n">
        <v>5749.815</v>
      </c>
      <c r="BE106" t="n">
        <v>5828.338</v>
      </c>
      <c r="BF106" t="n">
        <v>3705.317</v>
      </c>
      <c r="BG106" t="n">
        <v>3667.737</v>
      </c>
      <c r="BH106" t="n">
        <v>2655.52</v>
      </c>
      <c r="BI106" t="n">
        <v>2711.712</v>
      </c>
      <c r="BJ106" t="n">
        <v>2558.273</v>
      </c>
      <c r="BK106" t="n">
        <v>2527.17</v>
      </c>
      <c r="BL106" t="n">
        <v>2378.887</v>
      </c>
      <c r="BM106" t="n">
        <v>2445.553</v>
      </c>
      <c r="BN106" t="n">
        <v>2428.032</v>
      </c>
      <c r="BO106" t="n">
        <v>2738.873</v>
      </c>
      <c r="BP106" t="n">
        <v>2664.915</v>
      </c>
      <c r="BQ106" t="n">
        <v>3629.691</v>
      </c>
      <c r="BR106" t="n">
        <v>3737.928</v>
      </c>
      <c r="BS106" t="n">
        <v>2638.232</v>
      </c>
      <c r="BT106" t="n">
        <v>2755.111</v>
      </c>
      <c r="BU106" t="n">
        <v>4317.696</v>
      </c>
      <c r="BV106" t="n">
        <v>3734.474</v>
      </c>
    </row>
    <row r="107">
      <c r="A107" t="inlineStr">
        <is>
          <t>Lethrinus</t>
        </is>
      </c>
      <c r="B107" t="inlineStr">
        <is>
          <t>Emperors</t>
        </is>
      </c>
      <c r="C107" t="inlineStr">
        <is>
          <t>Medium reef assoc. fish (30 - 89 cm)</t>
        </is>
      </c>
      <c r="D107" t="inlineStr">
        <is>
          <t>Perch-likes</t>
        </is>
      </c>
      <c r="E107" t="n">
        <v>1074.418</v>
      </c>
      <c r="F107" t="n">
        <v>1099.156</v>
      </c>
      <c r="G107" t="n">
        <v>1133.208</v>
      </c>
      <c r="H107" t="n">
        <v>1198.671</v>
      </c>
      <c r="I107" t="n">
        <v>1227.706</v>
      </c>
      <c r="J107" t="n">
        <v>1260.433</v>
      </c>
      <c r="K107" t="n">
        <v>1288.12</v>
      </c>
      <c r="L107" t="n">
        <v>1332.653</v>
      </c>
      <c r="M107" t="n">
        <v>1344.177</v>
      </c>
      <c r="N107" t="n">
        <v>1374.448</v>
      </c>
      <c r="O107" t="n">
        <v>1421.676</v>
      </c>
      <c r="P107" t="n">
        <v>1420.524</v>
      </c>
      <c r="Q107" t="n">
        <v>1496.857</v>
      </c>
      <c r="R107" t="n">
        <v>1528.354</v>
      </c>
      <c r="S107" t="n">
        <v>1568.88</v>
      </c>
      <c r="T107" t="n">
        <v>1611.416</v>
      </c>
      <c r="U107" t="n">
        <v>1705.639</v>
      </c>
      <c r="V107" t="n">
        <v>1730.293</v>
      </c>
      <c r="W107" t="n">
        <v>1771.927</v>
      </c>
      <c r="X107" t="n">
        <v>1827.163</v>
      </c>
      <c r="Y107" t="n">
        <v>2577.594</v>
      </c>
      <c r="Z107" t="n">
        <v>2611.176</v>
      </c>
      <c r="AA107" t="n">
        <v>2624.704</v>
      </c>
      <c r="AB107" t="n">
        <v>2942.564</v>
      </c>
      <c r="AC107" t="n">
        <v>3018.093</v>
      </c>
      <c r="AD107" t="n">
        <v>2927.969</v>
      </c>
      <c r="AE107" t="n">
        <v>2760.309</v>
      </c>
      <c r="AF107" t="n">
        <v>3184.411</v>
      </c>
      <c r="AG107" t="n">
        <v>1884.181</v>
      </c>
      <c r="AH107" t="n">
        <v>2166.179</v>
      </c>
      <c r="AI107" t="n">
        <v>1929.234</v>
      </c>
      <c r="AJ107" t="n">
        <v>1691.355</v>
      </c>
      <c r="AK107" t="n">
        <v>1731.082</v>
      </c>
      <c r="AL107" t="n">
        <v>1804.123</v>
      </c>
      <c r="AM107" t="n">
        <v>1750.58</v>
      </c>
      <c r="AN107" t="n">
        <v>1678.523</v>
      </c>
      <c r="AO107" t="n">
        <v>1655.334</v>
      </c>
      <c r="AP107" t="n">
        <v>2571.404</v>
      </c>
      <c r="AQ107" t="n">
        <v>2303.058</v>
      </c>
      <c r="AR107" t="n">
        <v>2260.704</v>
      </c>
      <c r="AS107" t="n">
        <v>1947.275</v>
      </c>
      <c r="AT107" t="n">
        <v>5084.908</v>
      </c>
      <c r="AU107" t="n">
        <v>4538.305</v>
      </c>
      <c r="AV107" t="n">
        <v>3986.035</v>
      </c>
      <c r="AW107" t="n">
        <v>4515.636</v>
      </c>
      <c r="AX107" t="n">
        <v>3706.17</v>
      </c>
      <c r="AY107" t="n">
        <v>3688.032</v>
      </c>
      <c r="AZ107" t="n">
        <v>4215.075</v>
      </c>
      <c r="BA107" t="n">
        <v>5018.423</v>
      </c>
      <c r="BB107" t="n">
        <v>6134.388</v>
      </c>
      <c r="BC107" t="n">
        <v>7845.898</v>
      </c>
      <c r="BD107" t="n">
        <v>7780.496</v>
      </c>
      <c r="BE107" t="n">
        <v>7895.305</v>
      </c>
      <c r="BF107" t="n">
        <v>5672.52</v>
      </c>
      <c r="BG107" t="n">
        <v>5101.588</v>
      </c>
      <c r="BH107" t="n">
        <v>5032.23</v>
      </c>
      <c r="BI107" t="n">
        <v>4891.674</v>
      </c>
      <c r="BJ107" t="n">
        <v>4726.404</v>
      </c>
      <c r="BK107" t="n">
        <v>4893.333</v>
      </c>
      <c r="BL107" t="n">
        <v>5254.573</v>
      </c>
      <c r="BM107" t="n">
        <v>5167.323</v>
      </c>
      <c r="BN107" t="n">
        <v>5115.37</v>
      </c>
      <c r="BO107" t="n">
        <v>5684.748</v>
      </c>
      <c r="BP107" t="n">
        <v>5726.622</v>
      </c>
      <c r="BQ107" t="n">
        <v>6732.559</v>
      </c>
      <c r="BR107" t="n">
        <v>7292.334</v>
      </c>
      <c r="BS107" t="n">
        <v>6598.572</v>
      </c>
      <c r="BT107" t="n">
        <v>5795.412</v>
      </c>
      <c r="BU107" t="n">
        <v>7444.733</v>
      </c>
      <c r="BV107" t="n">
        <v>6959.002</v>
      </c>
    </row>
    <row r="108">
      <c r="A108" t="inlineStr">
        <is>
          <t>Lutjanus johnii</t>
        </is>
      </c>
      <c r="B108" t="inlineStr">
        <is>
          <t>John's snapper</t>
        </is>
      </c>
      <c r="C108" t="inlineStr">
        <is>
          <t>Medium reef assoc. fish (30 - 89 cm)</t>
        </is>
      </c>
      <c r="D108" t="inlineStr">
        <is>
          <t>Perch-likes</t>
        </is>
      </c>
      <c r="E108" t="n">
        <v>599.0309999999999</v>
      </c>
      <c r="F108" t="n">
        <v>603.58</v>
      </c>
      <c r="G108" t="n">
        <v>605.131</v>
      </c>
      <c r="H108" t="n">
        <v>617.498</v>
      </c>
      <c r="I108" t="n">
        <v>622.441</v>
      </c>
      <c r="J108" t="n">
        <v>627.978</v>
      </c>
      <c r="K108" t="n">
        <v>622.913</v>
      </c>
      <c r="L108" t="n">
        <v>632.819</v>
      </c>
      <c r="M108" t="n">
        <v>635.092</v>
      </c>
      <c r="N108" t="n">
        <v>643.29</v>
      </c>
      <c r="O108" t="n">
        <v>652.362</v>
      </c>
      <c r="P108" t="n">
        <v>653.168</v>
      </c>
      <c r="Q108" t="n">
        <v>669.275</v>
      </c>
      <c r="R108" t="n">
        <v>678.582</v>
      </c>
      <c r="S108" t="n">
        <v>671.939</v>
      </c>
      <c r="T108" t="n">
        <v>684.396</v>
      </c>
      <c r="U108" t="n">
        <v>702.532</v>
      </c>
      <c r="V108" t="n">
        <v>715.155</v>
      </c>
      <c r="W108" t="n">
        <v>743.573</v>
      </c>
      <c r="X108" t="n">
        <v>736.966</v>
      </c>
      <c r="Y108" t="n">
        <v>1020.955</v>
      </c>
      <c r="Z108" t="n">
        <v>1098.282</v>
      </c>
      <c r="AA108" t="n">
        <v>1205.191</v>
      </c>
      <c r="AB108" t="n">
        <v>1383.144</v>
      </c>
      <c r="AC108" t="n">
        <v>1812.858</v>
      </c>
      <c r="AD108" t="n">
        <v>1862.582</v>
      </c>
      <c r="AE108" t="n">
        <v>1871.528</v>
      </c>
      <c r="AF108" t="n">
        <v>2117.506</v>
      </c>
      <c r="AG108" t="n">
        <v>1695.701</v>
      </c>
      <c r="AH108" t="n">
        <v>1858.595</v>
      </c>
      <c r="AI108" t="n">
        <v>1702.641</v>
      </c>
      <c r="AJ108" t="n">
        <v>1683.145</v>
      </c>
      <c r="AK108" t="n">
        <v>2095.908</v>
      </c>
      <c r="AL108" t="n">
        <v>2188.116</v>
      </c>
      <c r="AM108" t="n">
        <v>2261.087</v>
      </c>
      <c r="AN108" t="n">
        <v>2299.764</v>
      </c>
      <c r="AO108" t="n">
        <v>2567.011</v>
      </c>
      <c r="AP108" t="n">
        <v>3041.618</v>
      </c>
      <c r="AQ108" t="n">
        <v>3263.581</v>
      </c>
      <c r="AR108" t="n">
        <v>3449.023</v>
      </c>
      <c r="AS108" t="n">
        <v>3340.609</v>
      </c>
      <c r="AT108" t="n">
        <v>4583.355</v>
      </c>
      <c r="AU108" t="n">
        <v>4705.221</v>
      </c>
      <c r="AV108" t="n">
        <v>4234.132</v>
      </c>
      <c r="AW108" t="n">
        <v>4587.932</v>
      </c>
      <c r="AX108" t="n">
        <v>4302.498</v>
      </c>
      <c r="AY108" t="n">
        <v>4298.743</v>
      </c>
      <c r="AZ108" t="n">
        <v>5175.035</v>
      </c>
      <c r="BA108" t="n">
        <v>5121.667</v>
      </c>
      <c r="BB108" t="n">
        <v>5094.127</v>
      </c>
      <c r="BC108" t="n">
        <v>5476.434</v>
      </c>
      <c r="BD108" t="n">
        <v>5256.898</v>
      </c>
      <c r="BE108" t="n">
        <v>4765.77</v>
      </c>
      <c r="BF108" t="n">
        <v>5590.981</v>
      </c>
      <c r="BG108" t="n">
        <v>5967.707</v>
      </c>
      <c r="BH108" t="n">
        <v>5876.826</v>
      </c>
      <c r="BI108" t="n">
        <v>6415.147</v>
      </c>
      <c r="BJ108" t="n">
        <v>5296.023</v>
      </c>
      <c r="BK108" t="n">
        <v>5438.608</v>
      </c>
      <c r="BL108" t="n">
        <v>5730.964</v>
      </c>
      <c r="BM108" t="n">
        <v>6340.728</v>
      </c>
      <c r="BN108" t="n">
        <v>6045.114</v>
      </c>
      <c r="BO108" t="n">
        <v>6775.639</v>
      </c>
      <c r="BP108" t="n">
        <v>6652.451</v>
      </c>
      <c r="BQ108" t="n">
        <v>7430.308</v>
      </c>
      <c r="BR108" t="n">
        <v>8842.083000000001</v>
      </c>
      <c r="BS108" t="n">
        <v>9976.388999999999</v>
      </c>
      <c r="BT108" t="n">
        <v>9628.066000000001</v>
      </c>
      <c r="BU108" t="n">
        <v>10834.059</v>
      </c>
      <c r="BV108" t="n">
        <v>10422.42</v>
      </c>
    </row>
    <row r="109">
      <c r="A109" t="inlineStr">
        <is>
          <t>Sardinella albella</t>
        </is>
      </c>
      <c r="B109" t="inlineStr">
        <is>
          <t>White sardinella</t>
        </is>
      </c>
      <c r="C109" t="inlineStr">
        <is>
          <t>Small reef assoc. fish (&lt;30 cm)</t>
        </is>
      </c>
      <c r="D109" t="inlineStr">
        <is>
          <t>Herring-likes</t>
        </is>
      </c>
      <c r="E109" t="n">
        <v>54.081</v>
      </c>
      <c r="F109" t="n">
        <v>54.081</v>
      </c>
      <c r="G109" t="n">
        <v>54.081</v>
      </c>
      <c r="H109" t="n">
        <v>421.018</v>
      </c>
      <c r="I109" t="n">
        <v>436.468</v>
      </c>
      <c r="J109" t="n">
        <v>457.712</v>
      </c>
      <c r="K109" t="n">
        <v>511.788</v>
      </c>
      <c r="L109" t="n">
        <v>183.471</v>
      </c>
      <c r="M109" t="n">
        <v>270.378</v>
      </c>
      <c r="N109" t="n">
        <v>280.035</v>
      </c>
      <c r="O109" t="n">
        <v>320.592</v>
      </c>
      <c r="P109" t="n">
        <v>301.279</v>
      </c>
      <c r="Q109" t="n">
        <v>104.289</v>
      </c>
      <c r="R109" t="n">
        <v>146.777</v>
      </c>
      <c r="S109" t="n">
        <v>185.402</v>
      </c>
      <c r="T109" t="n">
        <v>212.44</v>
      </c>
      <c r="U109" t="n">
        <v>291.622</v>
      </c>
      <c r="V109" t="n">
        <v>272.31</v>
      </c>
      <c r="W109" t="n">
        <v>206.646</v>
      </c>
      <c r="X109" t="n">
        <v>247.203</v>
      </c>
      <c r="Y109" t="n">
        <v>283.897</v>
      </c>
      <c r="Z109" t="n">
        <v>259.177</v>
      </c>
      <c r="AA109" t="n">
        <v>319.819</v>
      </c>
      <c r="AB109" t="n">
        <v>409.237</v>
      </c>
      <c r="AC109" t="n">
        <v>354.358</v>
      </c>
      <c r="AD109" t="n">
        <v>400.382</v>
      </c>
      <c r="AE109" t="n">
        <v>472.282</v>
      </c>
      <c r="AF109" t="n">
        <v>750.466</v>
      </c>
      <c r="AG109" t="n">
        <v>2648.171</v>
      </c>
      <c r="AH109" t="n">
        <v>1536.424</v>
      </c>
      <c r="AI109" t="n">
        <v>2191.881</v>
      </c>
      <c r="AJ109" t="n">
        <v>2444.316</v>
      </c>
      <c r="AK109" t="n">
        <v>2210.78</v>
      </c>
      <c r="AL109" t="n">
        <v>360.418</v>
      </c>
      <c r="AM109" t="n">
        <v>419.148</v>
      </c>
      <c r="AN109" t="n">
        <v>658.516</v>
      </c>
      <c r="AO109" t="n">
        <v>902.782</v>
      </c>
      <c r="AP109" t="n">
        <v>2532.185</v>
      </c>
      <c r="AQ109" t="n">
        <v>3053.492</v>
      </c>
      <c r="AR109" t="n">
        <v>3344.716</v>
      </c>
      <c r="AS109" t="n">
        <v>6962.206</v>
      </c>
      <c r="AT109" t="n">
        <v>6902.066</v>
      </c>
      <c r="AU109" t="n">
        <v>7651.381</v>
      </c>
      <c r="AV109" t="n">
        <v>9631.362999999999</v>
      </c>
      <c r="AW109" t="n">
        <v>5962.83</v>
      </c>
      <c r="AX109" t="n">
        <v>6062.831</v>
      </c>
      <c r="AY109" t="n">
        <v>5476.264</v>
      </c>
      <c r="AZ109" t="n">
        <v>5520.935</v>
      </c>
      <c r="BA109" t="n">
        <v>4828.689</v>
      </c>
      <c r="BB109" t="n">
        <v>4242.18</v>
      </c>
      <c r="BC109" t="n">
        <v>4134.357</v>
      </c>
      <c r="BD109" t="n">
        <v>4231.457</v>
      </c>
      <c r="BE109" t="n">
        <v>4429.51</v>
      </c>
      <c r="BF109" t="n">
        <v>4641.224</v>
      </c>
      <c r="BG109" t="n">
        <v>6400.796</v>
      </c>
      <c r="BH109" t="n">
        <v>5636.512</v>
      </c>
      <c r="BI109" t="n">
        <v>6496.846</v>
      </c>
      <c r="BJ109" t="n">
        <v>6489.525</v>
      </c>
      <c r="BK109" t="n">
        <v>6690.383</v>
      </c>
      <c r="BL109" t="n">
        <v>6244.154</v>
      </c>
      <c r="BM109" t="n">
        <v>6471.329</v>
      </c>
      <c r="BN109" t="n">
        <v>6941.302</v>
      </c>
      <c r="BO109" t="n">
        <v>7835.927</v>
      </c>
      <c r="BP109" t="n">
        <v>8158.471</v>
      </c>
      <c r="BQ109" t="n">
        <v>8334.349</v>
      </c>
      <c r="BR109" t="n">
        <v>8502.933999999999</v>
      </c>
      <c r="BS109" t="n">
        <v>8664.481</v>
      </c>
      <c r="BT109" t="n">
        <v>8821.754000000001</v>
      </c>
      <c r="BU109" t="n">
        <v>8969.004999999999</v>
      </c>
      <c r="BV109" t="n">
        <v>9104.843999999999</v>
      </c>
    </row>
    <row r="110">
      <c r="A110" t="inlineStr">
        <is>
          <t>Glaucostegus granulatus</t>
        </is>
      </c>
      <c r="B110" t="inlineStr">
        <is>
          <t>Granulated guitarfish</t>
        </is>
      </c>
      <c r="C110" t="inlineStr">
        <is>
          <t>Large rays (&gt;=90 cm)</t>
        </is>
      </c>
      <c r="D110" t="inlineStr">
        <is>
          <t>Sharks &amp; rays</t>
        </is>
      </c>
      <c r="E110" t="n">
        <v>0</v>
      </c>
      <c r="F110" t="n">
        <v>0</v>
      </c>
      <c r="G110" t="n">
        <v>0</v>
      </c>
      <c r="H110" t="n">
        <v>0</v>
      </c>
      <c r="I110" t="n">
        <v>0</v>
      </c>
      <c r="J110" t="n">
        <v>0</v>
      </c>
      <c r="K110" t="n">
        <v>0</v>
      </c>
      <c r="L110" t="n">
        <v>0</v>
      </c>
      <c r="M110" t="n">
        <v>894.722</v>
      </c>
      <c r="N110" t="n">
        <v>545.7619999999999</v>
      </c>
      <c r="O110" t="n">
        <v>869.496</v>
      </c>
      <c r="P110" t="n">
        <v>1302.374</v>
      </c>
      <c r="Q110" t="n">
        <v>875.74</v>
      </c>
      <c r="R110" t="n">
        <v>1815.84</v>
      </c>
      <c r="S110" t="n">
        <v>3286.999</v>
      </c>
      <c r="T110" t="n">
        <v>3689.201</v>
      </c>
      <c r="U110" t="n">
        <v>3725.722</v>
      </c>
      <c r="V110" t="n">
        <v>3368.101</v>
      </c>
      <c r="W110" t="n">
        <v>3036.216</v>
      </c>
      <c r="X110" t="n">
        <v>3483.811</v>
      </c>
      <c r="Y110" t="n">
        <v>3433.97</v>
      </c>
      <c r="Z110" t="n">
        <v>3874.137</v>
      </c>
      <c r="AA110" t="n">
        <v>4664.953</v>
      </c>
      <c r="AB110" t="n">
        <v>4160.09</v>
      </c>
      <c r="AC110" t="n">
        <v>3028.87</v>
      </c>
      <c r="AD110" t="n">
        <v>3294.887</v>
      </c>
      <c r="AE110" t="n">
        <v>4221.817</v>
      </c>
      <c r="AF110" t="n">
        <v>3738.464</v>
      </c>
      <c r="AG110" t="n">
        <v>3497.979</v>
      </c>
      <c r="AH110" t="n">
        <v>4320.417</v>
      </c>
      <c r="AI110" t="n">
        <v>4578.708</v>
      </c>
      <c r="AJ110" t="n">
        <v>5645.928</v>
      </c>
      <c r="AK110" t="n">
        <v>4832.235</v>
      </c>
      <c r="AL110" t="n">
        <v>7587.035</v>
      </c>
      <c r="AM110" t="n">
        <v>8029.089</v>
      </c>
      <c r="AN110" t="n">
        <v>7385.398</v>
      </c>
      <c r="AO110" t="n">
        <v>7330.023</v>
      </c>
      <c r="AP110" t="n">
        <v>7231.746</v>
      </c>
      <c r="AQ110" t="n">
        <v>6896.681</v>
      </c>
      <c r="AR110" t="n">
        <v>5920.346</v>
      </c>
      <c r="AS110" t="n">
        <v>5528.649</v>
      </c>
      <c r="AT110" t="n">
        <v>5096.623</v>
      </c>
      <c r="AU110" t="n">
        <v>4187.55</v>
      </c>
      <c r="AV110" t="n">
        <v>5220.925</v>
      </c>
      <c r="AW110" t="n">
        <v>4304.114</v>
      </c>
      <c r="AX110" t="n">
        <v>3671.44</v>
      </c>
      <c r="AY110" t="n">
        <v>4112.211</v>
      </c>
      <c r="AZ110" t="n">
        <v>4430.895</v>
      </c>
      <c r="BA110" t="n">
        <v>3896.294</v>
      </c>
      <c r="BB110" t="n">
        <v>3730.104</v>
      </c>
      <c r="BC110" t="n">
        <v>3898.352</v>
      </c>
      <c r="BD110" t="n">
        <v>3841.721</v>
      </c>
      <c r="BE110" t="n">
        <v>3347.144</v>
      </c>
      <c r="BF110" t="n">
        <v>3730.911</v>
      </c>
      <c r="BG110" t="n">
        <v>3953.874</v>
      </c>
      <c r="BH110" t="n">
        <v>2709.877</v>
      </c>
      <c r="BI110" t="n">
        <v>2642.417</v>
      </c>
      <c r="BJ110" t="n">
        <v>2528.703</v>
      </c>
      <c r="BK110" t="n">
        <v>2708.786</v>
      </c>
      <c r="BL110" t="n">
        <v>3024.783</v>
      </c>
      <c r="BM110" t="n">
        <v>2774.894</v>
      </c>
      <c r="BN110" t="n">
        <v>2647.621</v>
      </c>
      <c r="BO110" t="n">
        <v>2546.617</v>
      </c>
      <c r="BP110" t="n">
        <v>2422.176</v>
      </c>
      <c r="BQ110" t="n">
        <v>2288.419</v>
      </c>
      <c r="BR110" t="n">
        <v>2183.841</v>
      </c>
      <c r="BS110" t="n">
        <v>2049.027</v>
      </c>
      <c r="BT110" t="n">
        <v>1943.151</v>
      </c>
      <c r="BU110" t="n">
        <v>1810.457</v>
      </c>
      <c r="BV110" t="n">
        <v>1636.661</v>
      </c>
    </row>
    <row r="111">
      <c r="A111" t="inlineStr">
        <is>
          <t>Monacanthidae</t>
        </is>
      </c>
      <c r="B111" t="inlineStr">
        <is>
          <t>Filefishes</t>
        </is>
      </c>
      <c r="C111" t="inlineStr">
        <is>
          <t>Medium reef assoc. fish (30 - 89 cm)</t>
        </is>
      </c>
      <c r="D111" t="inlineStr">
        <is>
          <t>Other fishes &amp; inverts</t>
        </is>
      </c>
      <c r="E111" t="n">
        <v>782.2430000000001</v>
      </c>
      <c r="F111" t="n">
        <v>1434.633</v>
      </c>
      <c r="G111" t="n">
        <v>1220.85</v>
      </c>
      <c r="H111" t="n">
        <v>820.652</v>
      </c>
      <c r="I111" t="n">
        <v>2268.107</v>
      </c>
      <c r="J111" t="n">
        <v>2039.517</v>
      </c>
      <c r="K111" t="n">
        <v>1768.303</v>
      </c>
      <c r="L111" t="n">
        <v>1737.091</v>
      </c>
      <c r="M111" t="n">
        <v>2111.458</v>
      </c>
      <c r="N111" t="n">
        <v>1446.581</v>
      </c>
      <c r="O111" t="n">
        <v>1589.403</v>
      </c>
      <c r="P111" t="n">
        <v>1617.25</v>
      </c>
      <c r="Q111" t="n">
        <v>540.9829999999999</v>
      </c>
      <c r="R111" t="n">
        <v>911.611</v>
      </c>
      <c r="S111" t="n">
        <v>539.009</v>
      </c>
      <c r="T111" t="n">
        <v>316.956</v>
      </c>
      <c r="U111" t="n">
        <v>827.04</v>
      </c>
      <c r="V111" t="n">
        <v>871.057</v>
      </c>
      <c r="W111" t="n">
        <v>206.037</v>
      </c>
      <c r="X111" t="n">
        <v>965.923</v>
      </c>
      <c r="Y111" t="n">
        <v>606.174</v>
      </c>
      <c r="Z111" t="n">
        <v>141.214</v>
      </c>
      <c r="AA111" t="n">
        <v>1283.804</v>
      </c>
      <c r="AB111" t="n">
        <v>758.028</v>
      </c>
      <c r="AC111" t="n">
        <v>423.347</v>
      </c>
      <c r="AD111" t="n">
        <v>336.504</v>
      </c>
      <c r="AE111" t="n">
        <v>582.564</v>
      </c>
      <c r="AF111" t="n">
        <v>1729.336</v>
      </c>
      <c r="AG111" t="n">
        <v>840.7329999999999</v>
      </c>
      <c r="AH111" t="n">
        <v>1215.015</v>
      </c>
      <c r="AI111" t="n">
        <v>1672.09</v>
      </c>
      <c r="AJ111" t="n">
        <v>3654.405</v>
      </c>
      <c r="AK111" t="n">
        <v>4237.652</v>
      </c>
      <c r="AL111" t="n">
        <v>4429.751</v>
      </c>
      <c r="AM111" t="n">
        <v>5368.174</v>
      </c>
      <c r="AN111" t="n">
        <v>4988.33</v>
      </c>
      <c r="AO111" t="n">
        <v>2816.178</v>
      </c>
      <c r="AP111" t="n">
        <v>3727.955</v>
      </c>
      <c r="AQ111" t="n">
        <v>2490.053</v>
      </c>
      <c r="AR111" t="n">
        <v>2228.352</v>
      </c>
      <c r="AS111" t="n">
        <v>1953.891</v>
      </c>
      <c r="AT111" t="n">
        <v>2438.385</v>
      </c>
      <c r="AU111" t="n">
        <v>2890.276</v>
      </c>
      <c r="AV111" t="n">
        <v>2482.644</v>
      </c>
      <c r="AW111" t="n">
        <v>2390.597</v>
      </c>
      <c r="AX111" t="n">
        <v>4148.145</v>
      </c>
      <c r="AY111" t="n">
        <v>2762.588</v>
      </c>
      <c r="AZ111" t="n">
        <v>4884.602</v>
      </c>
      <c r="BA111" t="n">
        <v>4091.906</v>
      </c>
      <c r="BB111" t="n">
        <v>2662.101</v>
      </c>
      <c r="BC111" t="n">
        <v>4722.03</v>
      </c>
      <c r="BD111" t="n">
        <v>4127.891</v>
      </c>
      <c r="BE111" t="n">
        <v>3336.927</v>
      </c>
      <c r="BF111" t="n">
        <v>6197.746</v>
      </c>
      <c r="BG111" t="n">
        <v>6625.566</v>
      </c>
      <c r="BH111" t="n">
        <v>6127.128</v>
      </c>
      <c r="BI111" t="n">
        <v>4913.873</v>
      </c>
      <c r="BJ111" t="n">
        <v>5841.392</v>
      </c>
      <c r="BK111" t="n">
        <v>6359.712</v>
      </c>
      <c r="BL111" t="n">
        <v>3651.576</v>
      </c>
      <c r="BM111" t="n">
        <v>4720.188</v>
      </c>
      <c r="BN111" t="n">
        <v>4078.617</v>
      </c>
      <c r="BO111" t="n">
        <v>5008.064</v>
      </c>
      <c r="BP111" t="n">
        <v>5655.722</v>
      </c>
      <c r="BQ111" t="n">
        <v>9653.621999999999</v>
      </c>
      <c r="BR111" t="n">
        <v>9062.004000000001</v>
      </c>
      <c r="BS111" t="n">
        <v>10314.396</v>
      </c>
      <c r="BT111" t="n">
        <v>9209.135</v>
      </c>
      <c r="BU111" t="n">
        <v>10544.79</v>
      </c>
      <c r="BV111" t="n">
        <v>9253.243</v>
      </c>
    </row>
    <row r="112">
      <c r="A112" t="inlineStr">
        <is>
          <t>Lutjanus argentimaculatus</t>
        </is>
      </c>
      <c r="B112" t="inlineStr">
        <is>
          <t>Mangrove red snapper</t>
        </is>
      </c>
      <c r="C112" t="inlineStr">
        <is>
          <t>Large reef assoc. fish (&gt;=90 cm)</t>
        </is>
      </c>
      <c r="D112" t="inlineStr">
        <is>
          <t>Perch-likes</t>
        </is>
      </c>
      <c r="E112" t="n">
        <v>295.646</v>
      </c>
      <c r="F112" t="n">
        <v>301.827</v>
      </c>
      <c r="G112" t="n">
        <v>314.195</v>
      </c>
      <c r="H112" t="n">
        <v>348.201</v>
      </c>
      <c r="I112" t="n">
        <v>356.374</v>
      </c>
      <c r="J112" t="n">
        <v>366.773</v>
      </c>
      <c r="K112" t="n">
        <v>373.28</v>
      </c>
      <c r="L112" t="n">
        <v>391.193</v>
      </c>
      <c r="M112" t="n">
        <v>385.627</v>
      </c>
      <c r="N112" t="n">
        <v>392.777</v>
      </c>
      <c r="O112" t="n">
        <v>411.321</v>
      </c>
      <c r="P112" t="n">
        <v>398.344</v>
      </c>
      <c r="Q112" t="n">
        <v>1393.706</v>
      </c>
      <c r="R112" t="n">
        <v>1402.799</v>
      </c>
      <c r="S112" t="n">
        <v>1417.784</v>
      </c>
      <c r="T112" t="n">
        <v>1433.769</v>
      </c>
      <c r="U112" t="n">
        <v>1581.331</v>
      </c>
      <c r="V112" t="n">
        <v>1584.271</v>
      </c>
      <c r="W112" t="n">
        <v>1980.899</v>
      </c>
      <c r="X112" t="n">
        <v>2960.216</v>
      </c>
      <c r="Y112" t="n">
        <v>2670.054</v>
      </c>
      <c r="Z112" t="n">
        <v>3017.847</v>
      </c>
      <c r="AA112" t="n">
        <v>3057.213</v>
      </c>
      <c r="AB112" t="n">
        <v>3422.993</v>
      </c>
      <c r="AC112" t="n">
        <v>2381.025</v>
      </c>
      <c r="AD112" t="n">
        <v>2712.133</v>
      </c>
      <c r="AE112" t="n">
        <v>2792.662</v>
      </c>
      <c r="AF112" t="n">
        <v>3258.924</v>
      </c>
      <c r="AG112" t="n">
        <v>3166.606</v>
      </c>
      <c r="AH112" t="n">
        <v>4394.935</v>
      </c>
      <c r="AI112" t="n">
        <v>2155.248</v>
      </c>
      <c r="AJ112" t="n">
        <v>3471.344</v>
      </c>
      <c r="AK112" t="n">
        <v>4757.02</v>
      </c>
      <c r="AL112" t="n">
        <v>4411.839</v>
      </c>
      <c r="AM112" t="n">
        <v>4770.803</v>
      </c>
      <c r="AN112" t="n">
        <v>4917.561</v>
      </c>
      <c r="AO112" t="n">
        <v>4860.075</v>
      </c>
      <c r="AP112" t="n">
        <v>4395.203</v>
      </c>
      <c r="AQ112" t="n">
        <v>4287.473</v>
      </c>
      <c r="AR112" t="n">
        <v>4356.648</v>
      </c>
      <c r="AS112" t="n">
        <v>3450.133</v>
      </c>
      <c r="AT112" t="n">
        <v>2846.236</v>
      </c>
      <c r="AU112" t="n">
        <v>2934.504</v>
      </c>
      <c r="AV112" t="n">
        <v>3878.292</v>
      </c>
      <c r="AW112" t="n">
        <v>4244.194</v>
      </c>
      <c r="AX112" t="n">
        <v>5009.262</v>
      </c>
      <c r="AY112" t="n">
        <v>3914.649</v>
      </c>
      <c r="AZ112" t="n">
        <v>4321.513</v>
      </c>
      <c r="BA112" t="n">
        <v>5088.83</v>
      </c>
      <c r="BB112" t="n">
        <v>5168.112</v>
      </c>
      <c r="BC112" t="n">
        <v>5043.61</v>
      </c>
      <c r="BD112" t="n">
        <v>5033.938</v>
      </c>
      <c r="BE112" t="n">
        <v>5231.49</v>
      </c>
      <c r="BF112" t="n">
        <v>4553.349</v>
      </c>
      <c r="BG112" t="n">
        <v>4703.414</v>
      </c>
      <c r="BH112" t="n">
        <v>4717.103</v>
      </c>
      <c r="BI112" t="n">
        <v>4681.848</v>
      </c>
      <c r="BJ112" t="n">
        <v>4688.601</v>
      </c>
      <c r="BK112" t="n">
        <v>4917.758</v>
      </c>
      <c r="BL112" t="n">
        <v>4957.791</v>
      </c>
      <c r="BM112" t="n">
        <v>4858.945</v>
      </c>
      <c r="BN112" t="n">
        <v>4577.636</v>
      </c>
      <c r="BO112" t="n">
        <v>4718.393</v>
      </c>
      <c r="BP112" t="n">
        <v>4855.587</v>
      </c>
      <c r="BQ112" t="n">
        <v>4425.602</v>
      </c>
      <c r="BR112" t="n">
        <v>4566.921</v>
      </c>
      <c r="BS112" t="n">
        <v>4466.481</v>
      </c>
      <c r="BT112" t="n">
        <v>4625.741</v>
      </c>
      <c r="BU112" t="n">
        <v>4711.105</v>
      </c>
      <c r="BV112" t="n">
        <v>4676.92</v>
      </c>
    </row>
    <row r="113">
      <c r="A113" t="inlineStr">
        <is>
          <t>Chiloscyllium arabicum</t>
        </is>
      </c>
      <c r="B113" t="inlineStr">
        <is>
          <t>Arabian carpetshark</t>
        </is>
      </c>
      <c r="C113" t="inlineStr">
        <is>
          <t>Small to medium sharks (&lt;90 cm)</t>
        </is>
      </c>
      <c r="D113" t="inlineStr">
        <is>
          <t>Sharks &amp; rays</t>
        </is>
      </c>
      <c r="E113" t="n">
        <v>2793.037</v>
      </c>
      <c r="F113" t="n">
        <v>2807.995</v>
      </c>
      <c r="G113" t="n">
        <v>2788.295</v>
      </c>
      <c r="H113" t="n">
        <v>2801.999</v>
      </c>
      <c r="I113" t="n">
        <v>2815.234</v>
      </c>
      <c r="J113" t="n">
        <v>2828.001</v>
      </c>
      <c r="K113" t="n">
        <v>2823.616</v>
      </c>
      <c r="L113" t="n">
        <v>2852.148</v>
      </c>
      <c r="M113" t="n">
        <v>2873.398</v>
      </c>
      <c r="N113" t="n">
        <v>2911.07</v>
      </c>
      <c r="O113" t="n">
        <v>2931.29</v>
      </c>
      <c r="P113" t="n">
        <v>2957.677</v>
      </c>
      <c r="Q113" t="n">
        <v>2983.517</v>
      </c>
      <c r="R113" t="n">
        <v>3025.748</v>
      </c>
      <c r="S113" t="n">
        <v>3033.823</v>
      </c>
      <c r="T113" t="n">
        <v>3042.642</v>
      </c>
      <c r="U113" t="n">
        <v>3054.41</v>
      </c>
      <c r="V113" t="n">
        <v>3085.88</v>
      </c>
      <c r="W113" t="n">
        <v>3098.022</v>
      </c>
      <c r="X113" t="n">
        <v>3109.778</v>
      </c>
      <c r="Y113" t="n">
        <v>3114.629</v>
      </c>
      <c r="Z113" t="n">
        <v>3122.023</v>
      </c>
      <c r="AA113" t="n">
        <v>3157.765</v>
      </c>
      <c r="AB113" t="n">
        <v>3157.477</v>
      </c>
      <c r="AC113" t="n">
        <v>3155.213</v>
      </c>
      <c r="AD113" t="n">
        <v>3317.402</v>
      </c>
      <c r="AE113" t="n">
        <v>3463.351</v>
      </c>
      <c r="AF113" t="n">
        <v>3631.4</v>
      </c>
      <c r="AG113" t="n">
        <v>3616.828</v>
      </c>
      <c r="AH113" t="n">
        <v>3556.589</v>
      </c>
      <c r="AI113" t="n">
        <v>3518.506</v>
      </c>
      <c r="AJ113" t="n">
        <v>3545.455</v>
      </c>
      <c r="AK113" t="n">
        <v>3522.138</v>
      </c>
      <c r="AL113" t="n">
        <v>3516.274</v>
      </c>
      <c r="AM113" t="n">
        <v>3570.944</v>
      </c>
      <c r="AN113" t="n">
        <v>3602.284</v>
      </c>
      <c r="AO113" t="n">
        <v>3845.509</v>
      </c>
      <c r="AP113" t="n">
        <v>4833.731</v>
      </c>
      <c r="AQ113" t="n">
        <v>5051.43</v>
      </c>
      <c r="AR113" t="n">
        <v>5203.064</v>
      </c>
      <c r="AS113" t="n">
        <v>4989.184</v>
      </c>
      <c r="AT113" t="n">
        <v>5291.4</v>
      </c>
      <c r="AU113" t="n">
        <v>5636.136</v>
      </c>
      <c r="AV113" t="n">
        <v>5247.251</v>
      </c>
      <c r="AW113" t="n">
        <v>7169.737</v>
      </c>
      <c r="AX113" t="n">
        <v>7235.416</v>
      </c>
      <c r="AY113" t="n">
        <v>6861.556</v>
      </c>
      <c r="AZ113" t="n">
        <v>6604.554</v>
      </c>
      <c r="BA113" t="n">
        <v>5155.992</v>
      </c>
      <c r="BB113" t="n">
        <v>4687.988</v>
      </c>
      <c r="BC113" t="n">
        <v>4248.251</v>
      </c>
      <c r="BD113" t="n">
        <v>4049.754</v>
      </c>
      <c r="BE113" t="n">
        <v>3406.02</v>
      </c>
      <c r="BF113" t="n">
        <v>2533.469</v>
      </c>
      <c r="BG113" t="n">
        <v>2604.569</v>
      </c>
      <c r="BH113" t="n">
        <v>2397.88</v>
      </c>
      <c r="BI113" t="n">
        <v>2214.532</v>
      </c>
      <c r="BJ113" t="n">
        <v>2000.366</v>
      </c>
      <c r="BK113" t="n">
        <v>1748.413</v>
      </c>
      <c r="BL113" t="n">
        <v>1640.078</v>
      </c>
      <c r="BM113" t="n">
        <v>1343.13</v>
      </c>
      <c r="BN113" t="n">
        <v>760.997</v>
      </c>
      <c r="BO113" t="n">
        <v>760.997</v>
      </c>
      <c r="BP113" t="n">
        <v>760.997</v>
      </c>
      <c r="BQ113" t="n">
        <v>760.997</v>
      </c>
      <c r="BR113" t="n">
        <v>760.997</v>
      </c>
      <c r="BS113" t="n">
        <v>760.997</v>
      </c>
      <c r="BT113" t="n">
        <v>760.997</v>
      </c>
      <c r="BU113" t="n">
        <v>760.997</v>
      </c>
      <c r="BV113" t="n">
        <v>760.997</v>
      </c>
    </row>
    <row r="114">
      <c r="A114" t="inlineStr">
        <is>
          <t>Trichiuridae</t>
        </is>
      </c>
      <c r="B114" t="inlineStr">
        <is>
          <t>Cutlassfishes</t>
        </is>
      </c>
      <c r="C114" t="inlineStr">
        <is>
          <t>Large benthopelagics (&gt;=90 cm)</t>
        </is>
      </c>
      <c r="D114" t="inlineStr">
        <is>
          <t>Perch-likes</t>
        </is>
      </c>
      <c r="E114" t="n">
        <v>0.04</v>
      </c>
      <c r="F114" t="n">
        <v>0.04</v>
      </c>
      <c r="G114" t="n">
        <v>0.04</v>
      </c>
      <c r="H114" t="n">
        <v>0.04</v>
      </c>
      <c r="I114" t="n">
        <v>0.05</v>
      </c>
      <c r="J114" t="n">
        <v>0.05</v>
      </c>
      <c r="K114" t="n">
        <v>0.05</v>
      </c>
      <c r="L114" t="n">
        <v>0.05</v>
      </c>
      <c r="M114" t="n">
        <v>0.05</v>
      </c>
      <c r="N114" t="n">
        <v>0.05</v>
      </c>
      <c r="O114" t="n">
        <v>0.05</v>
      </c>
      <c r="P114" t="n">
        <v>0.06</v>
      </c>
      <c r="Q114" t="n">
        <v>7.859</v>
      </c>
      <c r="R114" t="n">
        <v>77.09999999999999</v>
      </c>
      <c r="S114" t="n">
        <v>103.715</v>
      </c>
      <c r="T114" t="n">
        <v>488.686</v>
      </c>
      <c r="U114" t="n">
        <v>665.85</v>
      </c>
      <c r="V114" t="n">
        <v>1718.582</v>
      </c>
      <c r="W114" t="n">
        <v>1808.024</v>
      </c>
      <c r="X114" t="n">
        <v>1863.293</v>
      </c>
      <c r="Y114" t="n">
        <v>1814.134</v>
      </c>
      <c r="Z114" t="n">
        <v>1678.059</v>
      </c>
      <c r="AA114" t="n">
        <v>2079.887</v>
      </c>
      <c r="AB114" t="n">
        <v>2587.151</v>
      </c>
      <c r="AC114" t="n">
        <v>2085.375</v>
      </c>
      <c r="AD114" t="n">
        <v>2237.4</v>
      </c>
      <c r="AE114" t="n">
        <v>2714.187</v>
      </c>
      <c r="AF114" t="n">
        <v>2901.616</v>
      </c>
      <c r="AG114" t="n">
        <v>2360.77</v>
      </c>
      <c r="AH114" t="n">
        <v>2007.635</v>
      </c>
      <c r="AI114" t="n">
        <v>2626.513</v>
      </c>
      <c r="AJ114" t="n">
        <v>2624.505</v>
      </c>
      <c r="AK114" t="n">
        <v>2658.918</v>
      </c>
      <c r="AL114" t="n">
        <v>2842.239</v>
      </c>
      <c r="AM114" t="n">
        <v>3837.047</v>
      </c>
      <c r="AN114" t="n">
        <v>5743.632</v>
      </c>
      <c r="AO114" t="n">
        <v>6181.282</v>
      </c>
      <c r="AP114" t="n">
        <v>5196.169</v>
      </c>
      <c r="AQ114" t="n">
        <v>5360.959</v>
      </c>
      <c r="AR114" t="n">
        <v>4919.019</v>
      </c>
      <c r="AS114" t="n">
        <v>4016.401</v>
      </c>
      <c r="AT114" t="n">
        <v>4921.062</v>
      </c>
      <c r="AU114" t="n">
        <v>3120.163</v>
      </c>
      <c r="AV114" t="n">
        <v>2954.113</v>
      </c>
      <c r="AW114" t="n">
        <v>2248.924</v>
      </c>
      <c r="AX114" t="n">
        <v>3027.6</v>
      </c>
      <c r="AY114" t="n">
        <v>4145.815</v>
      </c>
      <c r="AZ114" t="n">
        <v>5275.884</v>
      </c>
      <c r="BA114" t="n">
        <v>5231.142</v>
      </c>
      <c r="BB114" t="n">
        <v>5439.532</v>
      </c>
      <c r="BC114" t="n">
        <v>6883.434</v>
      </c>
      <c r="BD114" t="n">
        <v>5447.954</v>
      </c>
      <c r="BE114" t="n">
        <v>6347.894</v>
      </c>
      <c r="BF114" t="n">
        <v>5676.64</v>
      </c>
      <c r="BG114" t="n">
        <v>5569.725</v>
      </c>
      <c r="BH114" t="n">
        <v>5108.022</v>
      </c>
      <c r="BI114" t="n">
        <v>4836.423</v>
      </c>
      <c r="BJ114" t="n">
        <v>5306.938</v>
      </c>
      <c r="BK114" t="n">
        <v>4942.884</v>
      </c>
      <c r="BL114" t="n">
        <v>5694.947</v>
      </c>
      <c r="BM114" t="n">
        <v>4939.529</v>
      </c>
      <c r="BN114" t="n">
        <v>5054.512</v>
      </c>
      <c r="BO114" t="n">
        <v>5088.174</v>
      </c>
      <c r="BP114" t="n">
        <v>5242.413</v>
      </c>
      <c r="BQ114" t="n">
        <v>5248.108</v>
      </c>
      <c r="BR114" t="n">
        <v>5265.467</v>
      </c>
      <c r="BS114" t="n">
        <v>5327.382</v>
      </c>
      <c r="BT114" t="n">
        <v>5397.04</v>
      </c>
      <c r="BU114" t="n">
        <v>5472.362</v>
      </c>
      <c r="BV114" t="n">
        <v>5549.854</v>
      </c>
    </row>
    <row r="115">
      <c r="A115" t="inlineStr">
        <is>
          <t>Himantura uarnak</t>
        </is>
      </c>
      <c r="B115" t="inlineStr">
        <is>
          <t>Honeycomb stingray</t>
        </is>
      </c>
      <c r="C115" t="inlineStr">
        <is>
          <t>Large rays (&gt;=90 cm)</t>
        </is>
      </c>
      <c r="D115" t="inlineStr">
        <is>
          <t>Sharks &amp; rays</t>
        </is>
      </c>
      <c r="E115" t="n">
        <v>1894.424</v>
      </c>
      <c r="F115" t="n">
        <v>1905.253</v>
      </c>
      <c r="G115" t="n">
        <v>1890.95</v>
      </c>
      <c r="H115" t="n">
        <v>1900.872</v>
      </c>
      <c r="I115" t="n">
        <v>1910.455</v>
      </c>
      <c r="J115" t="n">
        <v>1919.697</v>
      </c>
      <c r="K115" t="n">
        <v>1925.87</v>
      </c>
      <c r="L115" t="n">
        <v>1946.549</v>
      </c>
      <c r="M115" t="n">
        <v>2850.916</v>
      </c>
      <c r="N115" t="n">
        <v>2552.74</v>
      </c>
      <c r="O115" t="n">
        <v>2895.269</v>
      </c>
      <c r="P115" t="n">
        <v>3326.576</v>
      </c>
      <c r="Q115" t="n">
        <v>2945.483</v>
      </c>
      <c r="R115" t="n">
        <v>3883.391</v>
      </c>
      <c r="S115" t="n">
        <v>5267.124</v>
      </c>
      <c r="T115" t="n">
        <v>5654.066</v>
      </c>
      <c r="U115" t="n">
        <v>5208.701</v>
      </c>
      <c r="V115" t="n">
        <v>4596.877</v>
      </c>
      <c r="W115" t="n">
        <v>3916.83</v>
      </c>
      <c r="X115" t="n">
        <v>3737.706</v>
      </c>
      <c r="Y115" t="n">
        <v>3259.283</v>
      </c>
      <c r="Z115" t="n">
        <v>3403.458</v>
      </c>
      <c r="AA115" t="n">
        <v>3691.09</v>
      </c>
      <c r="AB115" t="n">
        <v>3529.018</v>
      </c>
      <c r="AC115" t="n">
        <v>2762.365</v>
      </c>
      <c r="AD115" t="n">
        <v>2975.505</v>
      </c>
      <c r="AE115" t="n">
        <v>3368.133</v>
      </c>
      <c r="AF115" t="n">
        <v>3368.522</v>
      </c>
      <c r="AG115" t="n">
        <v>3255.233</v>
      </c>
      <c r="AH115" t="n">
        <v>3506.042</v>
      </c>
      <c r="AI115" t="n">
        <v>3759.374</v>
      </c>
      <c r="AJ115" t="n">
        <v>4013.954</v>
      </c>
      <c r="AK115" t="n">
        <v>3397.339</v>
      </c>
      <c r="AL115" t="n">
        <v>4417.729</v>
      </c>
      <c r="AM115" t="n">
        <v>4632.396</v>
      </c>
      <c r="AN115" t="n">
        <v>4505.667</v>
      </c>
      <c r="AO115" t="n">
        <v>4374.915</v>
      </c>
      <c r="AP115" t="n">
        <v>4567.596</v>
      </c>
      <c r="AQ115" t="n">
        <v>4506.368</v>
      </c>
      <c r="AR115" t="n">
        <v>4224.132</v>
      </c>
      <c r="AS115" t="n">
        <v>4039.319</v>
      </c>
      <c r="AT115" t="n">
        <v>4259.929</v>
      </c>
      <c r="AU115" t="n">
        <v>3904.936</v>
      </c>
      <c r="AV115" t="n">
        <v>4052.445</v>
      </c>
      <c r="AW115" t="n">
        <v>5403.241</v>
      </c>
      <c r="AX115" t="n">
        <v>5132.997</v>
      </c>
      <c r="AY115" t="n">
        <v>5005.139</v>
      </c>
      <c r="AZ115" t="n">
        <v>6440.971</v>
      </c>
      <c r="BA115" t="n">
        <v>5212.774</v>
      </c>
      <c r="BB115" t="n">
        <v>4940.236</v>
      </c>
      <c r="BC115" t="n">
        <v>4545.671</v>
      </c>
      <c r="BD115" t="n">
        <v>4362.499</v>
      </c>
      <c r="BE115" t="n">
        <v>3698.241</v>
      </c>
      <c r="BF115" t="n">
        <v>2120.633</v>
      </c>
      <c r="BG115" t="n">
        <v>2169.841</v>
      </c>
      <c r="BH115" t="n">
        <v>1952.04</v>
      </c>
      <c r="BI115" t="n">
        <v>1799.791</v>
      </c>
      <c r="BJ115" t="n">
        <v>1636.902</v>
      </c>
      <c r="BK115" t="n">
        <v>1457.336</v>
      </c>
      <c r="BL115" t="n">
        <v>1401.663</v>
      </c>
      <c r="BM115" t="n">
        <v>1191.484</v>
      </c>
      <c r="BN115" t="n">
        <v>776.828</v>
      </c>
      <c r="BO115" t="n">
        <v>796.812</v>
      </c>
      <c r="BP115" t="n">
        <v>796.54</v>
      </c>
      <c r="BQ115" t="n">
        <v>782.444</v>
      </c>
      <c r="BR115" t="n">
        <v>806.575</v>
      </c>
      <c r="BS115" t="n">
        <v>791.3440000000001</v>
      </c>
      <c r="BT115" t="n">
        <v>813.109</v>
      </c>
      <c r="BU115" t="n">
        <v>799.183</v>
      </c>
      <c r="BV115" t="n">
        <v>733.866</v>
      </c>
    </row>
    <row r="116">
      <c r="A116" t="inlineStr">
        <is>
          <t>Saurida</t>
        </is>
      </c>
      <c r="B116" t="inlineStr">
        <is>
          <t>Lizardfishes</t>
        </is>
      </c>
      <c r="C116" t="inlineStr">
        <is>
          <t>Medium demersals (30 - 89 cm)</t>
        </is>
      </c>
      <c r="D116" t="inlineStr">
        <is>
          <t>Other fishes &amp; inverts</t>
        </is>
      </c>
      <c r="E116" t="n">
        <v>2710.427</v>
      </c>
      <c r="F116" t="n">
        <v>2725.922</v>
      </c>
      <c r="G116" t="n">
        <v>2705.46</v>
      </c>
      <c r="H116" t="n">
        <v>2719.658</v>
      </c>
      <c r="I116" t="n">
        <v>2733.37</v>
      </c>
      <c r="J116" t="n">
        <v>2746.595</v>
      </c>
      <c r="K116" t="n">
        <v>2755.429</v>
      </c>
      <c r="L116" t="n">
        <v>2785.016</v>
      </c>
      <c r="M116" t="n">
        <v>2806.931</v>
      </c>
      <c r="N116" t="n">
        <v>2845.887</v>
      </c>
      <c r="O116" t="n">
        <v>2866.737</v>
      </c>
      <c r="P116" t="n">
        <v>2893.914</v>
      </c>
      <c r="Q116" t="n">
        <v>2920.527</v>
      </c>
      <c r="R116" t="n">
        <v>2964.15</v>
      </c>
      <c r="S116" t="n">
        <v>2996.623</v>
      </c>
      <c r="T116" t="n">
        <v>2994.808</v>
      </c>
      <c r="U116" t="n">
        <v>3005.496</v>
      </c>
      <c r="V116" t="n">
        <v>3025.802</v>
      </c>
      <c r="W116" t="n">
        <v>2997.589</v>
      </c>
      <c r="X116" t="n">
        <v>3039.55</v>
      </c>
      <c r="Y116" t="n">
        <v>3060.807</v>
      </c>
      <c r="Z116" t="n">
        <v>3072.896</v>
      </c>
      <c r="AA116" t="n">
        <v>3117.409</v>
      </c>
      <c r="AB116" t="n">
        <v>3143.666</v>
      </c>
      <c r="AC116" t="n">
        <v>2528.347</v>
      </c>
      <c r="AD116" t="n">
        <v>2676.995</v>
      </c>
      <c r="AE116" t="n">
        <v>2868.078</v>
      </c>
      <c r="AF116" t="n">
        <v>3034.204</v>
      </c>
      <c r="AG116" t="n">
        <v>2971.173</v>
      </c>
      <c r="AH116" t="n">
        <v>2929.229</v>
      </c>
      <c r="AI116" t="n">
        <v>3162.467</v>
      </c>
      <c r="AJ116" t="n">
        <v>3207.252</v>
      </c>
      <c r="AK116" t="n">
        <v>2591.846</v>
      </c>
      <c r="AL116" t="n">
        <v>2640.157</v>
      </c>
      <c r="AM116" t="n">
        <v>2667.141</v>
      </c>
      <c r="AN116" t="n">
        <v>2703.756</v>
      </c>
      <c r="AO116" t="n">
        <v>2625.743</v>
      </c>
      <c r="AP116" t="n">
        <v>3034.123</v>
      </c>
      <c r="AQ116" t="n">
        <v>3098.069</v>
      </c>
      <c r="AR116" t="n">
        <v>3147.121</v>
      </c>
      <c r="AS116" t="n">
        <v>3086.837</v>
      </c>
      <c r="AT116" t="n">
        <v>3551.11</v>
      </c>
      <c r="AU116" t="n">
        <v>3510.198</v>
      </c>
      <c r="AV116" t="n">
        <v>3100.589</v>
      </c>
      <c r="AW116" t="n">
        <v>5478.323</v>
      </c>
      <c r="AX116" t="n">
        <v>5383.709</v>
      </c>
      <c r="AY116" t="n">
        <v>5025.529</v>
      </c>
      <c r="AZ116" t="n">
        <v>6884.986</v>
      </c>
      <c r="BA116" t="n">
        <v>5489.241</v>
      </c>
      <c r="BB116" t="n">
        <v>4911.603</v>
      </c>
      <c r="BC116" t="n">
        <v>4473.899</v>
      </c>
      <c r="BD116" t="n">
        <v>4224.901</v>
      </c>
      <c r="BE116" t="n">
        <v>3555.831</v>
      </c>
      <c r="BF116" t="n">
        <v>2652.768</v>
      </c>
      <c r="BG116" t="n">
        <v>2739.68</v>
      </c>
      <c r="BH116" t="n">
        <v>2502.867</v>
      </c>
      <c r="BI116" t="n">
        <v>2309.691</v>
      </c>
      <c r="BJ116" t="n">
        <v>2097.237</v>
      </c>
      <c r="BK116" t="n">
        <v>1856.866</v>
      </c>
      <c r="BL116" t="n">
        <v>1745.601</v>
      </c>
      <c r="BM116" t="n">
        <v>1432.742</v>
      </c>
      <c r="BN116" t="n">
        <v>1872.959</v>
      </c>
      <c r="BO116" t="n">
        <v>2920.407</v>
      </c>
      <c r="BP116" t="n">
        <v>3126.677</v>
      </c>
      <c r="BQ116" t="n">
        <v>3029.193</v>
      </c>
      <c r="BR116" t="n">
        <v>2811.412</v>
      </c>
      <c r="BS116" t="n">
        <v>2684.669</v>
      </c>
      <c r="BT116" t="n">
        <v>2645.413</v>
      </c>
      <c r="BU116" t="n">
        <v>2839.323</v>
      </c>
      <c r="BV116" t="n">
        <v>2762.446</v>
      </c>
    </row>
    <row r="117">
      <c r="A117" t="inlineStr">
        <is>
          <t>Planiliza klunzingeri</t>
        </is>
      </c>
      <c r="B117" t="inlineStr">
        <is>
          <t>Klunzinger's mullet</t>
        </is>
      </c>
      <c r="C117" t="inlineStr">
        <is>
          <t>Small demersals (&lt;30 cm)</t>
        </is>
      </c>
      <c r="D117" t="inlineStr">
        <is>
          <t>Perch-likes</t>
        </is>
      </c>
      <c r="E117" t="n">
        <v>642.837</v>
      </c>
      <c r="F117" t="n">
        <v>642.941</v>
      </c>
      <c r="G117" t="n">
        <v>643.029</v>
      </c>
      <c r="H117" t="n">
        <v>643.117</v>
      </c>
      <c r="I117" t="n">
        <v>643.202</v>
      </c>
      <c r="J117" t="n">
        <v>643.287</v>
      </c>
      <c r="K117" t="n">
        <v>597.415</v>
      </c>
      <c r="L117" t="n">
        <v>597.481</v>
      </c>
      <c r="M117" t="n">
        <v>598.032</v>
      </c>
      <c r="N117" t="n">
        <v>598.573</v>
      </c>
      <c r="O117" t="n">
        <v>599.104</v>
      </c>
      <c r="P117" t="n">
        <v>599.936</v>
      </c>
      <c r="Q117" t="n">
        <v>600.75</v>
      </c>
      <c r="R117" t="n">
        <v>601.548</v>
      </c>
      <c r="S117" t="n">
        <v>518.9299999999999</v>
      </c>
      <c r="T117" t="n">
        <v>556.705</v>
      </c>
      <c r="U117" t="n">
        <v>562.044</v>
      </c>
      <c r="V117" t="n">
        <v>604.588</v>
      </c>
      <c r="W117" t="n">
        <v>745.002</v>
      </c>
      <c r="X117" t="n">
        <v>642.708</v>
      </c>
      <c r="Y117" t="n">
        <v>586.971</v>
      </c>
      <c r="Z117" t="n">
        <v>610.408</v>
      </c>
      <c r="AA117" t="n">
        <v>591.91</v>
      </c>
      <c r="AB117" t="n">
        <v>578.0650000000001</v>
      </c>
      <c r="AC117" t="n">
        <v>2656.177</v>
      </c>
      <c r="AD117" t="n">
        <v>2652.374</v>
      </c>
      <c r="AE117" t="n">
        <v>2586.059</v>
      </c>
      <c r="AF117" t="n">
        <v>2589.087</v>
      </c>
      <c r="AG117" t="n">
        <v>2701.451</v>
      </c>
      <c r="AH117" t="n">
        <v>2629.216</v>
      </c>
      <c r="AI117" t="n">
        <v>1687.586</v>
      </c>
      <c r="AJ117" t="n">
        <v>1643.367</v>
      </c>
      <c r="AK117" t="n">
        <v>3675.427</v>
      </c>
      <c r="AL117" t="n">
        <v>3487.013</v>
      </c>
      <c r="AM117" t="n">
        <v>3593.341</v>
      </c>
      <c r="AN117" t="n">
        <v>3595.23</v>
      </c>
      <c r="AO117" t="n">
        <v>4739</v>
      </c>
      <c r="AP117" t="n">
        <v>6848.339</v>
      </c>
      <c r="AQ117" t="n">
        <v>7407.459</v>
      </c>
      <c r="AR117" t="n">
        <v>7788.169</v>
      </c>
      <c r="AS117" t="n">
        <v>7270.603</v>
      </c>
      <c r="AT117" t="n">
        <v>6733.859</v>
      </c>
      <c r="AU117" t="n">
        <v>8144.488</v>
      </c>
      <c r="AV117" t="n">
        <v>8231.004000000001</v>
      </c>
      <c r="AW117" t="n">
        <v>6926.896</v>
      </c>
      <c r="AX117" t="n">
        <v>7473.153</v>
      </c>
      <c r="AY117" t="n">
        <v>7335.308</v>
      </c>
      <c r="AZ117" t="n">
        <v>0</v>
      </c>
      <c r="BA117" t="n">
        <v>0</v>
      </c>
      <c r="BB117" t="n">
        <v>0</v>
      </c>
      <c r="BC117" t="n">
        <v>6124.902</v>
      </c>
      <c r="BD117" t="n">
        <v>11131.35</v>
      </c>
      <c r="BE117" t="n">
        <v>8901.323</v>
      </c>
      <c r="BF117" t="n">
        <v>7656.324</v>
      </c>
      <c r="BG117" t="n">
        <v>2867.234</v>
      </c>
      <c r="BH117" t="n">
        <v>701.978</v>
      </c>
      <c r="BI117" t="n">
        <v>6057.777</v>
      </c>
      <c r="BJ117" t="n">
        <v>4880.16</v>
      </c>
      <c r="BK117" t="n">
        <v>7201.585</v>
      </c>
      <c r="BL117" t="n">
        <v>4887.078</v>
      </c>
      <c r="BM117" t="n">
        <v>1185.435</v>
      </c>
      <c r="BN117" t="n">
        <v>101.834</v>
      </c>
      <c r="BO117" t="n">
        <v>1340.654</v>
      </c>
      <c r="BP117" t="n">
        <v>1950.674</v>
      </c>
      <c r="BQ117" t="n">
        <v>2882.015</v>
      </c>
      <c r="BR117" t="n">
        <v>2878.06</v>
      </c>
      <c r="BS117" t="n">
        <v>3677.901</v>
      </c>
      <c r="BT117" t="n">
        <v>734.592</v>
      </c>
      <c r="BU117" t="n">
        <v>1213.114</v>
      </c>
      <c r="BV117" t="n">
        <v>973.852</v>
      </c>
    </row>
    <row r="118">
      <c r="A118" t="inlineStr">
        <is>
          <t>Scomberomorus</t>
        </is>
      </c>
      <c r="B118" t="inlineStr">
        <is>
          <t>Spanish mackerels</t>
        </is>
      </c>
      <c r="C118" t="inlineStr">
        <is>
          <t>Large pelagics (&gt;=90 cm)</t>
        </is>
      </c>
      <c r="D118" t="inlineStr">
        <is>
          <t>Perch-likes</t>
        </is>
      </c>
      <c r="E118" t="n">
        <v>923.645</v>
      </c>
      <c r="F118" t="n">
        <v>1729.188</v>
      </c>
      <c r="G118" t="n">
        <v>609.596</v>
      </c>
      <c r="H118" t="n">
        <v>331.208</v>
      </c>
      <c r="I118" t="n">
        <v>1693.522</v>
      </c>
      <c r="J118" t="n">
        <v>1910.508</v>
      </c>
      <c r="K118" t="n">
        <v>7130.967</v>
      </c>
      <c r="L118" t="n">
        <v>3901.059</v>
      </c>
      <c r="M118" t="n">
        <v>3363.118</v>
      </c>
      <c r="N118" t="n">
        <v>2920.294</v>
      </c>
      <c r="O118" t="n">
        <v>4400.431</v>
      </c>
      <c r="P118" t="n">
        <v>4094.674</v>
      </c>
      <c r="Q118" t="n">
        <v>2513.452</v>
      </c>
      <c r="R118" t="n">
        <v>3291.886</v>
      </c>
      <c r="S118" t="n">
        <v>4614.016</v>
      </c>
      <c r="T118" t="n">
        <v>4018.502</v>
      </c>
      <c r="U118" t="n">
        <v>3617.516</v>
      </c>
      <c r="V118" t="n">
        <v>3677.241</v>
      </c>
      <c r="W118" t="n">
        <v>6658.695</v>
      </c>
      <c r="X118" t="n">
        <v>5444.083</v>
      </c>
      <c r="Y118" t="n">
        <v>5939.2</v>
      </c>
      <c r="Z118" t="n">
        <v>9497.335999999999</v>
      </c>
      <c r="AA118" t="n">
        <v>8953.713</v>
      </c>
      <c r="AB118" t="n">
        <v>9090.875</v>
      </c>
      <c r="AC118" t="n">
        <v>8948.742</v>
      </c>
      <c r="AD118" t="n">
        <v>8891.457</v>
      </c>
      <c r="AE118" t="n">
        <v>11710.377</v>
      </c>
      <c r="AF118" t="n">
        <v>10639.979</v>
      </c>
      <c r="AG118" t="n">
        <v>12227.22</v>
      </c>
      <c r="AH118" t="n">
        <v>15792.007</v>
      </c>
      <c r="AI118" t="n">
        <v>13951.74</v>
      </c>
      <c r="AJ118" t="n">
        <v>261.659</v>
      </c>
      <c r="AK118" t="n">
        <v>289.957</v>
      </c>
      <c r="AL118" t="n">
        <v>182.739</v>
      </c>
      <c r="AM118" t="n">
        <v>261.132</v>
      </c>
      <c r="AN118" t="n">
        <v>282.409</v>
      </c>
      <c r="AO118" t="n">
        <v>439.246</v>
      </c>
      <c r="AP118" t="n">
        <v>387.657</v>
      </c>
      <c r="AQ118" t="n">
        <v>219.109</v>
      </c>
      <c r="AR118" t="n">
        <v>236.456</v>
      </c>
      <c r="AS118" t="n">
        <v>382.594</v>
      </c>
      <c r="AT118" t="n">
        <v>374.061</v>
      </c>
      <c r="AU118" t="n">
        <v>288.367</v>
      </c>
      <c r="AV118" t="n">
        <v>211.592</v>
      </c>
      <c r="AW118" t="n">
        <v>267.9</v>
      </c>
      <c r="AX118" t="n">
        <v>301.064</v>
      </c>
      <c r="AY118" t="n">
        <v>287.462</v>
      </c>
      <c r="AZ118" t="n">
        <v>360.221</v>
      </c>
      <c r="BA118" t="n">
        <v>362.208</v>
      </c>
      <c r="BB118" t="n">
        <v>421.963</v>
      </c>
      <c r="BC118" t="n">
        <v>479.433</v>
      </c>
      <c r="BD118" t="n">
        <v>422.739</v>
      </c>
      <c r="BE118" t="n">
        <v>521.38</v>
      </c>
      <c r="BF118" t="n">
        <v>468.246</v>
      </c>
      <c r="BG118" t="n">
        <v>428.73</v>
      </c>
      <c r="BH118" t="n">
        <v>426.962</v>
      </c>
      <c r="BI118" t="n">
        <v>918.145</v>
      </c>
      <c r="BJ118" t="n">
        <v>841.497</v>
      </c>
      <c r="BK118" t="n">
        <v>394.467</v>
      </c>
      <c r="BL118" t="n">
        <v>333.22</v>
      </c>
      <c r="BM118" t="n">
        <v>403.605</v>
      </c>
      <c r="BN118" t="n">
        <v>429.024</v>
      </c>
      <c r="BO118" t="n">
        <v>513.304</v>
      </c>
      <c r="BP118" t="n">
        <v>388.079</v>
      </c>
      <c r="BQ118" t="n">
        <v>490.969</v>
      </c>
      <c r="BR118" t="n">
        <v>425.478</v>
      </c>
      <c r="BS118" t="n">
        <v>494.227</v>
      </c>
      <c r="BT118" t="n">
        <v>505.237</v>
      </c>
      <c r="BU118" t="n">
        <v>497.638</v>
      </c>
      <c r="BV118" t="n">
        <v>245.942</v>
      </c>
    </row>
    <row r="119">
      <c r="A119" t="inlineStr">
        <is>
          <t>Istiophorus platypterus</t>
        </is>
      </c>
      <c r="B119" t="inlineStr">
        <is>
          <t>Indo-Pacific sailfish</t>
        </is>
      </c>
      <c r="C119" t="inlineStr">
        <is>
          <t>Large pelagics (&gt;=90 cm)</t>
        </is>
      </c>
      <c r="D119" t="inlineStr">
        <is>
          <t>Tuna &amp; billfishes</t>
        </is>
      </c>
      <c r="E119" t="n">
        <v>488.477</v>
      </c>
      <c r="F119" t="n">
        <v>488.259</v>
      </c>
      <c r="G119" t="n">
        <v>545.064</v>
      </c>
      <c r="H119" t="n">
        <v>579.385</v>
      </c>
      <c r="I119" t="n">
        <v>584.9160000000001</v>
      </c>
      <c r="J119" t="n">
        <v>665.727</v>
      </c>
      <c r="K119" t="n">
        <v>539.023</v>
      </c>
      <c r="L119" t="n">
        <v>569.712</v>
      </c>
      <c r="M119" t="n">
        <v>577.963</v>
      </c>
      <c r="N119" t="n">
        <v>624.994</v>
      </c>
      <c r="O119" t="n">
        <v>664.831</v>
      </c>
      <c r="P119" t="n">
        <v>631.0069999999999</v>
      </c>
      <c r="Q119" t="n">
        <v>719.784</v>
      </c>
      <c r="R119" t="n">
        <v>877.096</v>
      </c>
      <c r="S119" t="n">
        <v>1065.437</v>
      </c>
      <c r="T119" t="n">
        <v>1106.154</v>
      </c>
      <c r="U119" t="n">
        <v>1370.928</v>
      </c>
      <c r="V119" t="n">
        <v>1337.494</v>
      </c>
      <c r="W119" t="n">
        <v>1329.681</v>
      </c>
      <c r="X119" t="n">
        <v>1257.51</v>
      </c>
      <c r="Y119" t="n">
        <v>1432.352</v>
      </c>
      <c r="Z119" t="n">
        <v>996.2910000000001</v>
      </c>
      <c r="AA119" t="n">
        <v>1141.558</v>
      </c>
      <c r="AB119" t="n">
        <v>1341.76</v>
      </c>
      <c r="AC119" t="n">
        <v>1653.596</v>
      </c>
      <c r="AD119" t="n">
        <v>1727.11</v>
      </c>
      <c r="AE119" t="n">
        <v>1739.034</v>
      </c>
      <c r="AF119" t="n">
        <v>1621.421</v>
      </c>
      <c r="AG119" t="n">
        <v>1213.365</v>
      </c>
      <c r="AH119" t="n">
        <v>1041.304</v>
      </c>
      <c r="AI119" t="n">
        <v>831.569</v>
      </c>
      <c r="AJ119" t="n">
        <v>1046.845</v>
      </c>
      <c r="AK119" t="n">
        <v>1074.366</v>
      </c>
      <c r="AL119" t="n">
        <v>1024.61</v>
      </c>
      <c r="AM119" t="n">
        <v>1155.001</v>
      </c>
      <c r="AN119" t="n">
        <v>607.855</v>
      </c>
      <c r="AO119" t="n">
        <v>1153.822</v>
      </c>
      <c r="AP119" t="n">
        <v>1148.475</v>
      </c>
      <c r="AQ119" t="n">
        <v>2053.349</v>
      </c>
      <c r="AR119" t="n">
        <v>2308.508</v>
      </c>
      <c r="AS119" t="n">
        <v>2243.469</v>
      </c>
      <c r="AT119" t="n">
        <v>3298.228</v>
      </c>
      <c r="AU119" t="n">
        <v>3370.58</v>
      </c>
      <c r="AV119" t="n">
        <v>1743.999</v>
      </c>
      <c r="AW119" t="n">
        <v>2880.042</v>
      </c>
      <c r="AX119" t="n">
        <v>1891.233</v>
      </c>
      <c r="AY119" t="n">
        <v>1697.218</v>
      </c>
      <c r="AZ119" t="n">
        <v>1071.582</v>
      </c>
      <c r="BA119" t="n">
        <v>1107.455</v>
      </c>
      <c r="BB119" t="n">
        <v>1712.761</v>
      </c>
      <c r="BC119" t="n">
        <v>1369.316</v>
      </c>
      <c r="BD119" t="n">
        <v>2122.727</v>
      </c>
      <c r="BE119" t="n">
        <v>2622.264</v>
      </c>
      <c r="BF119" t="n">
        <v>3633.701</v>
      </c>
      <c r="BG119" t="n">
        <v>5186.71</v>
      </c>
      <c r="BH119" t="n">
        <v>4683.627</v>
      </c>
      <c r="BI119" t="n">
        <v>3837.238</v>
      </c>
      <c r="BJ119" t="n">
        <v>2567.748</v>
      </c>
      <c r="BK119" t="n">
        <v>2910.667</v>
      </c>
      <c r="BL119" t="n">
        <v>2833.894</v>
      </c>
      <c r="BM119" t="n">
        <v>3668.414</v>
      </c>
      <c r="BN119" t="n">
        <v>7611.906</v>
      </c>
      <c r="BO119" t="n">
        <v>10164.686</v>
      </c>
      <c r="BP119" t="n">
        <v>11216.785</v>
      </c>
      <c r="BQ119" t="n">
        <v>11800.73</v>
      </c>
      <c r="BR119" t="n">
        <v>12543.833</v>
      </c>
      <c r="BS119" t="n">
        <v>10573.049</v>
      </c>
      <c r="BT119" t="n">
        <v>10484.883</v>
      </c>
      <c r="BU119" t="n">
        <v>12783.871</v>
      </c>
      <c r="BV119" t="n">
        <v>10466.484</v>
      </c>
    </row>
    <row r="120">
      <c r="A120" t="inlineStr">
        <is>
          <t>Megalaspis cordyla</t>
        </is>
      </c>
      <c r="B120" t="inlineStr">
        <is>
          <t>Torpedo scad</t>
        </is>
      </c>
      <c r="C120" t="inlineStr">
        <is>
          <t>Medium pelagics (30 - 89 cm)</t>
        </is>
      </c>
      <c r="D120" t="inlineStr">
        <is>
          <t>Perch-likes</t>
        </is>
      </c>
      <c r="E120" t="n">
        <v>132.352</v>
      </c>
      <c r="F120" t="n">
        <v>133.108</v>
      </c>
      <c r="G120" t="n">
        <v>132.109</v>
      </c>
      <c r="H120" t="n">
        <v>132.802</v>
      </c>
      <c r="I120" t="n">
        <v>133.472</v>
      </c>
      <c r="J120" t="n">
        <v>134.117</v>
      </c>
      <c r="K120" t="n">
        <v>134.549</v>
      </c>
      <c r="L120" t="n">
        <v>135.993</v>
      </c>
      <c r="M120" t="n">
        <v>137.063</v>
      </c>
      <c r="N120" t="n">
        <v>138.965</v>
      </c>
      <c r="O120" t="n">
        <v>139.982</v>
      </c>
      <c r="P120" t="n">
        <v>141.308</v>
      </c>
      <c r="Q120" t="n">
        <v>142.607</v>
      </c>
      <c r="R120" t="n">
        <v>144.736</v>
      </c>
      <c r="S120" t="n">
        <v>146.321</v>
      </c>
      <c r="T120" t="n">
        <v>146.232</v>
      </c>
      <c r="U120" t="n">
        <v>146.753</v>
      </c>
      <c r="V120" t="n">
        <v>147.744</v>
      </c>
      <c r="W120" t="n">
        <v>146.365</v>
      </c>
      <c r="X120" t="n">
        <v>148.414</v>
      </c>
      <c r="Y120" t="n">
        <v>885.672</v>
      </c>
      <c r="Z120" t="n">
        <v>924.248</v>
      </c>
      <c r="AA120" t="n">
        <v>1104.419</v>
      </c>
      <c r="AB120" t="n">
        <v>1412.656</v>
      </c>
      <c r="AC120" t="n">
        <v>1582.316</v>
      </c>
      <c r="AD120" t="n">
        <v>1550.813</v>
      </c>
      <c r="AE120" t="n">
        <v>1469.075</v>
      </c>
      <c r="AF120" t="n">
        <v>1753.368</v>
      </c>
      <c r="AG120" t="n">
        <v>461.825</v>
      </c>
      <c r="AH120" t="n">
        <v>757.252</v>
      </c>
      <c r="AI120" t="n">
        <v>557.495</v>
      </c>
      <c r="AJ120" t="n">
        <v>317.613</v>
      </c>
      <c r="AK120" t="n">
        <v>321.837</v>
      </c>
      <c r="AL120" t="n">
        <v>641.083</v>
      </c>
      <c r="AM120" t="n">
        <v>892.547</v>
      </c>
      <c r="AN120" t="n">
        <v>803.557</v>
      </c>
      <c r="AO120" t="n">
        <v>765.9690000000001</v>
      </c>
      <c r="AP120" t="n">
        <v>3821.268</v>
      </c>
      <c r="AQ120" t="n">
        <v>3416.376</v>
      </c>
      <c r="AR120" t="n">
        <v>3452.446</v>
      </c>
      <c r="AS120" t="n">
        <v>3482.818</v>
      </c>
      <c r="AT120" t="n">
        <v>6582.26</v>
      </c>
      <c r="AU120" t="n">
        <v>7844.526</v>
      </c>
      <c r="AV120" t="n">
        <v>7982.357</v>
      </c>
      <c r="AW120" t="n">
        <v>6608.416</v>
      </c>
      <c r="AX120" t="n">
        <v>8107.948</v>
      </c>
      <c r="AY120" t="n">
        <v>5115.133</v>
      </c>
      <c r="AZ120" t="n">
        <v>4635.73</v>
      </c>
      <c r="BA120" t="n">
        <v>4290.291</v>
      </c>
      <c r="BB120" t="n">
        <v>4844.587</v>
      </c>
      <c r="BC120" t="n">
        <v>5192.899</v>
      </c>
      <c r="BD120" t="n">
        <v>5074.538</v>
      </c>
      <c r="BE120" t="n">
        <v>4383.225</v>
      </c>
      <c r="BF120" t="n">
        <v>4166.677</v>
      </c>
      <c r="BG120" t="n">
        <v>5443.026</v>
      </c>
      <c r="BH120" t="n">
        <v>5410.96</v>
      </c>
      <c r="BI120" t="n">
        <v>4783.701</v>
      </c>
      <c r="BJ120" t="n">
        <v>7049.071</v>
      </c>
      <c r="BK120" t="n">
        <v>6873.781</v>
      </c>
      <c r="BL120" t="n">
        <v>6663.74</v>
      </c>
      <c r="BM120" t="n">
        <v>4151.348</v>
      </c>
      <c r="BN120" t="n">
        <v>4697.731</v>
      </c>
      <c r="BO120" t="n">
        <v>4535.264</v>
      </c>
      <c r="BP120" t="n">
        <v>4307.227</v>
      </c>
      <c r="BQ120" t="n">
        <v>4813.923</v>
      </c>
      <c r="BR120" t="n">
        <v>5108.479</v>
      </c>
      <c r="BS120" t="n">
        <v>5369.782</v>
      </c>
      <c r="BT120" t="n">
        <v>5835.166</v>
      </c>
      <c r="BU120" t="n">
        <v>5916.033</v>
      </c>
      <c r="BV120" t="n">
        <v>5048.155</v>
      </c>
    </row>
    <row r="121">
      <c r="A121" t="inlineStr">
        <is>
          <t>Placuna placenta</t>
        </is>
      </c>
      <c r="B121" t="inlineStr">
        <is>
          <t>Windowpane oyster</t>
        </is>
      </c>
      <c r="C121" t="inlineStr">
        <is>
          <t>Other demersal invertebrates</t>
        </is>
      </c>
      <c r="D121" t="inlineStr">
        <is>
          <t>Molluscs</t>
        </is>
      </c>
      <c r="E121" t="n">
        <v>2366.603</v>
      </c>
      <c r="F121" t="n">
        <v>2366.603</v>
      </c>
      <c r="G121" t="n">
        <v>2366.603</v>
      </c>
      <c r="H121" t="n">
        <v>2366.603</v>
      </c>
      <c r="I121" t="n">
        <v>2366.603</v>
      </c>
      <c r="J121" t="n">
        <v>2366.603</v>
      </c>
      <c r="K121" t="n">
        <v>2366.603</v>
      </c>
      <c r="L121" t="n">
        <v>2366.603</v>
      </c>
      <c r="M121" t="n">
        <v>2366.603</v>
      </c>
      <c r="N121" t="n">
        <v>2366.603</v>
      </c>
      <c r="O121" t="n">
        <v>2366.603</v>
      </c>
      <c r="P121" t="n">
        <v>2366.603</v>
      </c>
      <c r="Q121" t="n">
        <v>2366.603</v>
      </c>
      <c r="R121" t="n">
        <v>2366.603</v>
      </c>
      <c r="S121" t="n">
        <v>2366.603</v>
      </c>
      <c r="T121" t="n">
        <v>2366.603</v>
      </c>
      <c r="U121" t="n">
        <v>2366.603</v>
      </c>
      <c r="V121" t="n">
        <v>2366.603</v>
      </c>
      <c r="W121" t="n">
        <v>2366.603</v>
      </c>
      <c r="X121" t="n">
        <v>2477.973</v>
      </c>
      <c r="Y121" t="n">
        <v>2589.343</v>
      </c>
      <c r="Z121" t="n">
        <v>2700.712</v>
      </c>
      <c r="AA121" t="n">
        <v>2812.082</v>
      </c>
      <c r="AB121" t="n">
        <v>2923.451</v>
      </c>
      <c r="AC121" t="n">
        <v>3034.821</v>
      </c>
      <c r="AD121" t="n">
        <v>3146.19</v>
      </c>
      <c r="AE121" t="n">
        <v>3257.56</v>
      </c>
      <c r="AF121" t="n">
        <v>3368.93</v>
      </c>
      <c r="AG121" t="n">
        <v>3480.299</v>
      </c>
      <c r="AH121" t="n">
        <v>3591.669</v>
      </c>
      <c r="AI121" t="n">
        <v>3703.038</v>
      </c>
      <c r="AJ121" t="n">
        <v>3814.408</v>
      </c>
      <c r="AK121" t="n">
        <v>3925.777</v>
      </c>
      <c r="AL121" t="n">
        <v>4037.147</v>
      </c>
      <c r="AM121" t="n">
        <v>4148.517</v>
      </c>
      <c r="AN121" t="n">
        <v>4259.886</v>
      </c>
      <c r="AO121" t="n">
        <v>4259.886</v>
      </c>
      <c r="AP121" t="n">
        <v>4259.886</v>
      </c>
      <c r="AQ121" t="n">
        <v>4259.886</v>
      </c>
      <c r="AR121" t="n">
        <v>4259.886</v>
      </c>
      <c r="AS121" t="n">
        <v>4259.886</v>
      </c>
      <c r="AT121" t="n">
        <v>4259.886</v>
      </c>
      <c r="AU121" t="n">
        <v>4259.886</v>
      </c>
      <c r="AV121" t="n">
        <v>4259.886</v>
      </c>
      <c r="AW121" t="n">
        <v>4259.886</v>
      </c>
      <c r="AX121" t="n">
        <v>4259.886</v>
      </c>
      <c r="AY121" t="n">
        <v>4259.886</v>
      </c>
      <c r="AZ121" t="n">
        <v>4259.886</v>
      </c>
      <c r="BA121" t="n">
        <v>4259.886</v>
      </c>
      <c r="BB121" t="n">
        <v>4259.886</v>
      </c>
      <c r="BC121" t="n">
        <v>4259.886</v>
      </c>
      <c r="BD121" t="n">
        <v>3908.353</v>
      </c>
      <c r="BE121" t="n">
        <v>3556.819</v>
      </c>
      <c r="BF121" t="n">
        <v>3205.286</v>
      </c>
      <c r="BG121" t="n">
        <v>2853.752</v>
      </c>
      <c r="BH121" t="n">
        <v>2502.218</v>
      </c>
      <c r="BI121" t="n">
        <v>2150.685</v>
      </c>
      <c r="BJ121" t="n">
        <v>1799.151</v>
      </c>
      <c r="BK121" t="n">
        <v>1447.618</v>
      </c>
      <c r="BL121" t="n">
        <v>1096.084</v>
      </c>
      <c r="BM121" t="n">
        <v>744.551</v>
      </c>
      <c r="BN121" t="n">
        <v>393.017</v>
      </c>
      <c r="BO121" t="n">
        <v>393.017</v>
      </c>
      <c r="BP121" t="n">
        <v>393.017</v>
      </c>
      <c r="BQ121" t="n">
        <v>393.017</v>
      </c>
      <c r="BR121" t="n">
        <v>267.16</v>
      </c>
      <c r="BS121" t="n">
        <v>243.971</v>
      </c>
      <c r="BT121" t="n">
        <v>299.29</v>
      </c>
      <c r="BU121" t="n">
        <v>382.724</v>
      </c>
      <c r="BV121" t="n">
        <v>261.029</v>
      </c>
    </row>
    <row r="122">
      <c r="A122" t="inlineStr">
        <is>
          <t>Lutjanus</t>
        </is>
      </c>
      <c r="B122" t="inlineStr">
        <is>
          <t>Snappers</t>
        </is>
      </c>
      <c r="C122" t="inlineStr">
        <is>
          <t>Medium reef assoc. fish (30 - 89 cm)</t>
        </is>
      </c>
      <c r="D122" t="inlineStr">
        <is>
          <t>Perch-likes</t>
        </is>
      </c>
      <c r="E122" t="n">
        <v>318.92</v>
      </c>
      <c r="F122" t="n">
        <v>320.503</v>
      </c>
      <c r="G122" t="n">
        <v>350.859</v>
      </c>
      <c r="H122" t="n">
        <v>384.884</v>
      </c>
      <c r="I122" t="n">
        <v>388.268</v>
      </c>
      <c r="J122" t="n">
        <v>445.262</v>
      </c>
      <c r="K122" t="n">
        <v>450.336</v>
      </c>
      <c r="L122" t="n">
        <v>455.127</v>
      </c>
      <c r="M122" t="n">
        <v>457.329</v>
      </c>
      <c r="N122" t="n">
        <v>488.17</v>
      </c>
      <c r="O122" t="n">
        <v>495.218</v>
      </c>
      <c r="P122" t="n">
        <v>498.79</v>
      </c>
      <c r="Q122" t="n">
        <v>535.359</v>
      </c>
      <c r="R122" t="n">
        <v>542.65</v>
      </c>
      <c r="S122" t="n">
        <v>550.961</v>
      </c>
      <c r="T122" t="n">
        <v>584.35</v>
      </c>
      <c r="U122" t="n">
        <v>622.261</v>
      </c>
      <c r="V122" t="n">
        <v>628.7619999999999</v>
      </c>
      <c r="W122" t="n">
        <v>638.725</v>
      </c>
      <c r="X122" t="n">
        <v>668.878</v>
      </c>
      <c r="Y122" t="n">
        <v>994.184</v>
      </c>
      <c r="Z122" t="n">
        <v>1076.812</v>
      </c>
      <c r="AA122" t="n">
        <v>1187.821</v>
      </c>
      <c r="AB122" t="n">
        <v>1377.229</v>
      </c>
      <c r="AC122" t="n">
        <v>1509.933</v>
      </c>
      <c r="AD122" t="n">
        <v>1546.625</v>
      </c>
      <c r="AE122" t="n">
        <v>1563.007</v>
      </c>
      <c r="AF122" t="n">
        <v>1753.323</v>
      </c>
      <c r="AG122" t="n">
        <v>1284.875</v>
      </c>
      <c r="AH122" t="n">
        <v>1429.392</v>
      </c>
      <c r="AI122" t="n">
        <v>1393.712</v>
      </c>
      <c r="AJ122" t="n">
        <v>1348.705</v>
      </c>
      <c r="AK122" t="n">
        <v>1454.802</v>
      </c>
      <c r="AL122" t="n">
        <v>1686.624</v>
      </c>
      <c r="AM122" t="n">
        <v>1763.214</v>
      </c>
      <c r="AN122" t="n">
        <v>1724.233</v>
      </c>
      <c r="AO122" t="n">
        <v>1832.743</v>
      </c>
      <c r="AP122" t="n">
        <v>1897.908</v>
      </c>
      <c r="AQ122" t="n">
        <v>2274.12</v>
      </c>
      <c r="AR122" t="n">
        <v>2065.226</v>
      </c>
      <c r="AS122" t="n">
        <v>2056.161</v>
      </c>
      <c r="AT122" t="n">
        <v>3378.544</v>
      </c>
      <c r="AU122" t="n">
        <v>3266.457</v>
      </c>
      <c r="AV122" t="n">
        <v>2867.07</v>
      </c>
      <c r="AW122" t="n">
        <v>3236.18</v>
      </c>
      <c r="AX122" t="n">
        <v>3016.536</v>
      </c>
      <c r="AY122" t="n">
        <v>3037.454</v>
      </c>
      <c r="AZ122" t="n">
        <v>3255.325</v>
      </c>
      <c r="BA122" t="n">
        <v>3632.593</v>
      </c>
      <c r="BB122" t="n">
        <v>3931.095</v>
      </c>
      <c r="BC122" t="n">
        <v>4063.411</v>
      </c>
      <c r="BD122" t="n">
        <v>4182.672</v>
      </c>
      <c r="BE122" t="n">
        <v>4039.917</v>
      </c>
      <c r="BF122" t="n">
        <v>4410.089</v>
      </c>
      <c r="BG122" t="n">
        <v>4557.324</v>
      </c>
      <c r="BH122" t="n">
        <v>4447.755</v>
      </c>
      <c r="BI122" t="n">
        <v>4491.072</v>
      </c>
      <c r="BJ122" t="n">
        <v>4465.078</v>
      </c>
      <c r="BK122" t="n">
        <v>5277.788</v>
      </c>
      <c r="BL122" t="n">
        <v>5445.004</v>
      </c>
      <c r="BM122" t="n">
        <v>5824.333</v>
      </c>
      <c r="BN122" t="n">
        <v>6268.123</v>
      </c>
      <c r="BO122" t="n">
        <v>6041.122</v>
      </c>
      <c r="BP122" t="n">
        <v>6209.926</v>
      </c>
      <c r="BQ122" t="n">
        <v>7418.777</v>
      </c>
      <c r="BR122" t="n">
        <v>7546.215</v>
      </c>
      <c r="BS122" t="n">
        <v>6650.609</v>
      </c>
      <c r="BT122" t="n">
        <v>6874.689</v>
      </c>
      <c r="BU122" t="n">
        <v>6588.203</v>
      </c>
      <c r="BV122" t="n">
        <v>7416.316</v>
      </c>
    </row>
    <row r="123">
      <c r="A123" t="inlineStr">
        <is>
          <t>Metapenaeus affinis</t>
        </is>
      </c>
      <c r="B123" t="inlineStr">
        <is>
          <t>Jinga shrimp</t>
        </is>
      </c>
      <c r="C123" t="inlineStr">
        <is>
          <t>Shrimps</t>
        </is>
      </c>
      <c r="D123" t="inlineStr">
        <is>
          <t>Crustaceans</t>
        </is>
      </c>
      <c r="E123" t="n">
        <v>2718.067</v>
      </c>
      <c r="F123" t="n">
        <v>2733.92</v>
      </c>
      <c r="G123" t="n">
        <v>2712.974</v>
      </c>
      <c r="H123" t="n">
        <v>2727.5</v>
      </c>
      <c r="I123" t="n">
        <v>2741.529</v>
      </c>
      <c r="J123" t="n">
        <v>2755.061</v>
      </c>
      <c r="K123" t="n">
        <v>2768.094</v>
      </c>
      <c r="L123" t="n">
        <v>2798.373</v>
      </c>
      <c r="M123" t="n">
        <v>2820.774</v>
      </c>
      <c r="N123" t="n">
        <v>2860.617</v>
      </c>
      <c r="O123" t="n">
        <v>2881.93</v>
      </c>
      <c r="P123" t="n">
        <v>2909.704</v>
      </c>
      <c r="Q123" t="n">
        <v>2936.901</v>
      </c>
      <c r="R123" t="n">
        <v>2981.508</v>
      </c>
      <c r="S123" t="n">
        <v>3021.943</v>
      </c>
      <c r="T123" t="n">
        <v>3016.896</v>
      </c>
      <c r="U123" t="n">
        <v>3027.406</v>
      </c>
      <c r="V123" t="n">
        <v>3044.536</v>
      </c>
      <c r="W123" t="n">
        <v>3003.528</v>
      </c>
      <c r="X123" t="n">
        <v>3055.346</v>
      </c>
      <c r="Y123" t="n">
        <v>3081.972</v>
      </c>
      <c r="Z123" t="n">
        <v>3080.83</v>
      </c>
      <c r="AA123" t="n">
        <v>3125.913</v>
      </c>
      <c r="AB123" t="n">
        <v>3130.941</v>
      </c>
      <c r="AC123" t="n">
        <v>2329.994</v>
      </c>
      <c r="AD123" t="n">
        <v>2503.562</v>
      </c>
      <c r="AE123" t="n">
        <v>2683.903</v>
      </c>
      <c r="AF123" t="n">
        <v>2861.07</v>
      </c>
      <c r="AG123" t="n">
        <v>2801.807</v>
      </c>
      <c r="AH123" t="n">
        <v>2764.938</v>
      </c>
      <c r="AI123" t="n">
        <v>3086.062</v>
      </c>
      <c r="AJ123" t="n">
        <v>3131.982</v>
      </c>
      <c r="AK123" t="n">
        <v>2326.913</v>
      </c>
      <c r="AL123" t="n">
        <v>2394.03</v>
      </c>
      <c r="AM123" t="n">
        <v>2412.379</v>
      </c>
      <c r="AN123" t="n">
        <v>2446.162</v>
      </c>
      <c r="AO123" t="n">
        <v>2266.896</v>
      </c>
      <c r="AP123" t="n">
        <v>2504.418</v>
      </c>
      <c r="AQ123" t="n">
        <v>2521.518</v>
      </c>
      <c r="AR123" t="n">
        <v>2536.011</v>
      </c>
      <c r="AS123" t="n">
        <v>2509.06</v>
      </c>
      <c r="AT123" t="n">
        <v>3034.947</v>
      </c>
      <c r="AU123" t="n">
        <v>2857.515</v>
      </c>
      <c r="AV123" t="n">
        <v>2412.236</v>
      </c>
      <c r="AW123" t="n">
        <v>4949.837</v>
      </c>
      <c r="AX123" t="n">
        <v>4808.905</v>
      </c>
      <c r="AY123" t="n">
        <v>4466.827</v>
      </c>
      <c r="AZ123" t="n">
        <v>5844.067</v>
      </c>
      <c r="BA123" t="n">
        <v>4724.715</v>
      </c>
      <c r="BB123" t="n">
        <v>4469.602</v>
      </c>
      <c r="BC123" t="n">
        <v>3967.536</v>
      </c>
      <c r="BD123" t="n">
        <v>3582.023</v>
      </c>
      <c r="BE123" t="n">
        <v>2931.781</v>
      </c>
      <c r="BF123" t="n">
        <v>2263.743</v>
      </c>
      <c r="BG123" t="n">
        <v>2401.494</v>
      </c>
      <c r="BH123" t="n">
        <v>2133.06</v>
      </c>
      <c r="BI123" t="n">
        <v>1942.809</v>
      </c>
      <c r="BJ123" t="n">
        <v>1559.876</v>
      </c>
      <c r="BK123" t="n">
        <v>1208.711</v>
      </c>
      <c r="BL123" t="n">
        <v>1081.044</v>
      </c>
      <c r="BM123" t="n">
        <v>943.875</v>
      </c>
      <c r="BN123" t="n">
        <v>807.212</v>
      </c>
      <c r="BO123" t="n">
        <v>807.212</v>
      </c>
      <c r="BP123" t="n">
        <v>807.212</v>
      </c>
      <c r="BQ123" t="n">
        <v>807.212</v>
      </c>
      <c r="BR123" t="n">
        <v>807.212</v>
      </c>
      <c r="BS123" t="n">
        <v>807.212</v>
      </c>
      <c r="BT123" t="n">
        <v>807.212</v>
      </c>
      <c r="BU123" t="n">
        <v>807.212</v>
      </c>
      <c r="BV123" t="n">
        <v>807.212</v>
      </c>
    </row>
    <row r="124">
      <c r="A124" t="inlineStr">
        <is>
          <t>Muraenesox cinereus</t>
        </is>
      </c>
      <c r="B124" t="inlineStr">
        <is>
          <t>Daggertooth pike conger</t>
        </is>
      </c>
      <c r="C124" t="inlineStr">
        <is>
          <t>Large demersals (&gt;=90 cm)</t>
        </is>
      </c>
      <c r="D124" t="inlineStr">
        <is>
          <t>Other fishes &amp; inverts</t>
        </is>
      </c>
      <c r="E124" t="n">
        <v>971.308</v>
      </c>
      <c r="F124" t="n">
        <v>986.063</v>
      </c>
      <c r="G124" t="n">
        <v>1004.549</v>
      </c>
      <c r="H124" t="n">
        <v>1059.437</v>
      </c>
      <c r="I124" t="n">
        <v>1077.126</v>
      </c>
      <c r="J124" t="n">
        <v>1098.067</v>
      </c>
      <c r="K124" t="n">
        <v>1112.867</v>
      </c>
      <c r="L124" t="n">
        <v>1147.288</v>
      </c>
      <c r="M124" t="n">
        <v>1146.854</v>
      </c>
      <c r="N124" t="n">
        <v>1167.389</v>
      </c>
      <c r="O124" t="n">
        <v>1201.832</v>
      </c>
      <c r="P124" t="n">
        <v>1191.023</v>
      </c>
      <c r="Q124" t="n">
        <v>1257.732</v>
      </c>
      <c r="R124" t="n">
        <v>1281.22</v>
      </c>
      <c r="S124" t="n">
        <v>1311.697</v>
      </c>
      <c r="T124" t="n">
        <v>1338.697</v>
      </c>
      <c r="U124" t="n">
        <v>1419.539</v>
      </c>
      <c r="V124" t="n">
        <v>1431.144</v>
      </c>
      <c r="W124" t="n">
        <v>1452.245</v>
      </c>
      <c r="X124" t="n">
        <v>1496.925</v>
      </c>
      <c r="Y124" t="n">
        <v>1647.66</v>
      </c>
      <c r="Z124" t="n">
        <v>1728.877</v>
      </c>
      <c r="AA124" t="n">
        <v>1784.21</v>
      </c>
      <c r="AB124" t="n">
        <v>1944.357</v>
      </c>
      <c r="AC124" t="n">
        <v>1899.403</v>
      </c>
      <c r="AD124" t="n">
        <v>1984.713</v>
      </c>
      <c r="AE124" t="n">
        <v>2014.151</v>
      </c>
      <c r="AF124" t="n">
        <v>2294.455</v>
      </c>
      <c r="AG124" t="n">
        <v>2080.583</v>
      </c>
      <c r="AH124" t="n">
        <v>2317.75</v>
      </c>
      <c r="AI124" t="n">
        <v>2259.494</v>
      </c>
      <c r="AJ124" t="n">
        <v>2348.767</v>
      </c>
      <c r="AK124" t="n">
        <v>2422.707</v>
      </c>
      <c r="AL124" t="n">
        <v>2538.198</v>
      </c>
      <c r="AM124" t="n">
        <v>2596.332</v>
      </c>
      <c r="AN124" t="n">
        <v>2700.746</v>
      </c>
      <c r="AO124" t="n">
        <v>2731.596</v>
      </c>
      <c r="AP124" t="n">
        <v>2765.797</v>
      </c>
      <c r="AQ124" t="n">
        <v>2922.161</v>
      </c>
      <c r="AR124" t="n">
        <v>3003.063</v>
      </c>
      <c r="AS124" t="n">
        <v>2765.326</v>
      </c>
      <c r="AT124" t="n">
        <v>3590.501</v>
      </c>
      <c r="AU124" t="n">
        <v>3487.453</v>
      </c>
      <c r="AV124" t="n">
        <v>3188.653</v>
      </c>
      <c r="AW124" t="n">
        <v>3709.638</v>
      </c>
      <c r="AX124" t="n">
        <v>3549.031</v>
      </c>
      <c r="AY124" t="n">
        <v>3494.613</v>
      </c>
      <c r="AZ124" t="n">
        <v>3868.744</v>
      </c>
      <c r="BA124" t="n">
        <v>3897.539</v>
      </c>
      <c r="BB124" t="n">
        <v>4018.172</v>
      </c>
      <c r="BC124" t="n">
        <v>3952.604</v>
      </c>
      <c r="BD124" t="n">
        <v>3930.877</v>
      </c>
      <c r="BE124" t="n">
        <v>3831.03</v>
      </c>
      <c r="BF124" t="n">
        <v>3788.318</v>
      </c>
      <c r="BG124" t="n">
        <v>3824.592</v>
      </c>
      <c r="BH124" t="n">
        <v>3766.635</v>
      </c>
      <c r="BI124" t="n">
        <v>3748.799</v>
      </c>
      <c r="BJ124" t="n">
        <v>3680.078</v>
      </c>
      <c r="BK124" t="n">
        <v>3713.541</v>
      </c>
      <c r="BL124" t="n">
        <v>3844.855</v>
      </c>
      <c r="BM124" t="n">
        <v>3682.671</v>
      </c>
      <c r="BN124" t="n">
        <v>3758.434</v>
      </c>
      <c r="BO124" t="n">
        <v>3828.396</v>
      </c>
      <c r="BP124" t="n">
        <v>3775.369</v>
      </c>
      <c r="BQ124" t="n">
        <v>3911.899</v>
      </c>
      <c r="BR124" t="n">
        <v>4038.426</v>
      </c>
      <c r="BS124" t="n">
        <v>3722.476</v>
      </c>
      <c r="BT124" t="n">
        <v>3862.3</v>
      </c>
      <c r="BU124" t="n">
        <v>3871.381</v>
      </c>
      <c r="BV124" t="n">
        <v>3930.23</v>
      </c>
    </row>
    <row r="125">
      <c r="A125" t="inlineStr">
        <is>
          <t>Muraenesocidae</t>
        </is>
      </c>
      <c r="B125" t="inlineStr">
        <is>
          <t>Pike congers</t>
        </is>
      </c>
      <c r="C125" t="inlineStr">
        <is>
          <t>Large demersals (&gt;=90 cm)</t>
        </is>
      </c>
      <c r="D125" t="inlineStr">
        <is>
          <t>Other fishes &amp; inverts</t>
        </is>
      </c>
      <c r="E125" t="n">
        <v>186.15</v>
      </c>
      <c r="F125" t="n">
        <v>187.214</v>
      </c>
      <c r="G125" t="n">
        <v>185.808</v>
      </c>
      <c r="H125" t="n">
        <v>186.783</v>
      </c>
      <c r="I125" t="n">
        <v>187.725</v>
      </c>
      <c r="J125" t="n">
        <v>188.633</v>
      </c>
      <c r="K125" t="n">
        <v>189.24</v>
      </c>
      <c r="L125" t="n">
        <v>191.272</v>
      </c>
      <c r="M125" t="n">
        <v>192.776</v>
      </c>
      <c r="N125" t="n">
        <v>195.45</v>
      </c>
      <c r="O125" t="n">
        <v>196.882</v>
      </c>
      <c r="P125" t="n">
        <v>198.747</v>
      </c>
      <c r="Q125" t="n">
        <v>200.573</v>
      </c>
      <c r="R125" t="n">
        <v>203.568</v>
      </c>
      <c r="S125" t="n">
        <v>205.797</v>
      </c>
      <c r="T125" t="n">
        <v>205.671</v>
      </c>
      <c r="U125" t="n">
        <v>206.403</v>
      </c>
      <c r="V125" t="n">
        <v>207.797</v>
      </c>
      <c r="W125" t="n">
        <v>205.858</v>
      </c>
      <c r="X125" t="n">
        <v>208.739</v>
      </c>
      <c r="Y125" t="n">
        <v>210.199</v>
      </c>
      <c r="Z125" t="n">
        <v>210.258</v>
      </c>
      <c r="AA125" t="n">
        <v>213.174</v>
      </c>
      <c r="AB125" t="n">
        <v>213.43</v>
      </c>
      <c r="AC125" t="n">
        <v>171.766</v>
      </c>
      <c r="AD125" t="n">
        <v>183.366</v>
      </c>
      <c r="AE125" t="n">
        <v>195.057</v>
      </c>
      <c r="AF125" t="n">
        <v>206.938</v>
      </c>
      <c r="AG125" t="n">
        <v>1452.414</v>
      </c>
      <c r="AH125" t="n">
        <v>600.164</v>
      </c>
      <c r="AI125" t="n">
        <v>556.1079999999999</v>
      </c>
      <c r="AJ125" t="n">
        <v>3191.285</v>
      </c>
      <c r="AK125" t="n">
        <v>3979.043</v>
      </c>
      <c r="AL125" t="n">
        <v>2393.136</v>
      </c>
      <c r="AM125" t="n">
        <v>2506.645</v>
      </c>
      <c r="AN125" t="n">
        <v>3394.753</v>
      </c>
      <c r="AO125" t="n">
        <v>3029.068</v>
      </c>
      <c r="AP125" t="n">
        <v>3004.887</v>
      </c>
      <c r="AQ125" t="n">
        <v>2729.987</v>
      </c>
      <c r="AR125" t="n">
        <v>2845.795</v>
      </c>
      <c r="AS125" t="n">
        <v>2646.131</v>
      </c>
      <c r="AT125" t="n">
        <v>7406.585</v>
      </c>
      <c r="AU125" t="n">
        <v>8320.120999999999</v>
      </c>
      <c r="AV125" t="n">
        <v>9405.513999999999</v>
      </c>
      <c r="AW125" t="n">
        <v>5923.381</v>
      </c>
      <c r="AX125" t="n">
        <v>4915.474</v>
      </c>
      <c r="AY125" t="n">
        <v>5097.811</v>
      </c>
      <c r="AZ125" t="n">
        <v>5939.052</v>
      </c>
      <c r="BA125" t="n">
        <v>5826.916</v>
      </c>
      <c r="BB125" t="n">
        <v>8466.299999999999</v>
      </c>
      <c r="BC125" t="n">
        <v>6062.491</v>
      </c>
      <c r="BD125" t="n">
        <v>5947.671</v>
      </c>
      <c r="BE125" t="n">
        <v>6002.356</v>
      </c>
      <c r="BF125" t="n">
        <v>4587.71</v>
      </c>
      <c r="BG125" t="n">
        <v>4784.642</v>
      </c>
      <c r="BH125" t="n">
        <v>4312.289</v>
      </c>
      <c r="BI125" t="n">
        <v>3021.981</v>
      </c>
      <c r="BJ125" t="n">
        <v>2873.881</v>
      </c>
      <c r="BK125" t="n">
        <v>2879.181</v>
      </c>
      <c r="BL125" t="n">
        <v>5356.713</v>
      </c>
      <c r="BM125" t="n">
        <v>3605.615</v>
      </c>
      <c r="BN125" t="n">
        <v>3694.167</v>
      </c>
      <c r="BO125" t="n">
        <v>3715.772</v>
      </c>
      <c r="BP125" t="n">
        <v>3768.211</v>
      </c>
      <c r="BQ125" t="n">
        <v>3836.095</v>
      </c>
      <c r="BR125" t="n">
        <v>2783.616</v>
      </c>
      <c r="BS125" t="n">
        <v>2915.3</v>
      </c>
      <c r="BT125" t="n">
        <v>2946.38</v>
      </c>
      <c r="BU125" t="n">
        <v>3007.427</v>
      </c>
      <c r="BV125" t="n">
        <v>2108.348</v>
      </c>
    </row>
    <row r="126">
      <c r="A126" t="inlineStr">
        <is>
          <t>Auxis thazard</t>
        </is>
      </c>
      <c r="B126" t="inlineStr">
        <is>
          <t>Frigate tuna</t>
        </is>
      </c>
      <c r="C126" t="inlineStr">
        <is>
          <t>Medium pelagics (30 - 89 cm)</t>
        </is>
      </c>
      <c r="D126" t="inlineStr">
        <is>
          <t>Tuna &amp; billfishes</t>
        </is>
      </c>
      <c r="E126" t="n">
        <v>388.279</v>
      </c>
      <c r="F126" t="n">
        <v>395.27</v>
      </c>
      <c r="G126" t="n">
        <v>436.337</v>
      </c>
      <c r="H126" t="n">
        <v>480.567</v>
      </c>
      <c r="I126" t="n">
        <v>485.411</v>
      </c>
      <c r="J126" t="n">
        <v>555.458</v>
      </c>
      <c r="K126" t="n">
        <v>493.851</v>
      </c>
      <c r="L126" t="n">
        <v>479.926</v>
      </c>
      <c r="M126" t="n">
        <v>488.723</v>
      </c>
      <c r="N126" t="n">
        <v>527.264</v>
      </c>
      <c r="O126" t="n">
        <v>555.817</v>
      </c>
      <c r="P126" t="n">
        <v>483.109</v>
      </c>
      <c r="Q126" t="n">
        <v>513.943</v>
      </c>
      <c r="R126" t="n">
        <v>568.125</v>
      </c>
      <c r="S126" t="n">
        <v>626.5309999999999</v>
      </c>
      <c r="T126" t="n">
        <v>669.25</v>
      </c>
      <c r="U126" t="n">
        <v>766.92</v>
      </c>
      <c r="V126" t="n">
        <v>764.021</v>
      </c>
      <c r="W126" t="n">
        <v>767.167</v>
      </c>
      <c r="X126" t="n">
        <v>756.85</v>
      </c>
      <c r="Y126" t="n">
        <v>743.578</v>
      </c>
      <c r="Z126" t="n">
        <v>560.224</v>
      </c>
      <c r="AA126" t="n">
        <v>604.932</v>
      </c>
      <c r="AB126" t="n">
        <v>852.4400000000001</v>
      </c>
      <c r="AC126" t="n">
        <v>939.86</v>
      </c>
      <c r="AD126" t="n">
        <v>932.5170000000001</v>
      </c>
      <c r="AE126" t="n">
        <v>929.035</v>
      </c>
      <c r="AF126" t="n">
        <v>905.8339999999999</v>
      </c>
      <c r="AG126" t="n">
        <v>844.85</v>
      </c>
      <c r="AH126" t="n">
        <v>1004.184</v>
      </c>
      <c r="AI126" t="n">
        <v>939.275</v>
      </c>
      <c r="AJ126" t="n">
        <v>857.167</v>
      </c>
      <c r="AK126" t="n">
        <v>913.612</v>
      </c>
      <c r="AL126" t="n">
        <v>1182.288</v>
      </c>
      <c r="AM126" t="n">
        <v>1217.745</v>
      </c>
      <c r="AN126" t="n">
        <v>1270.224</v>
      </c>
      <c r="AO126" t="n">
        <v>1020.834</v>
      </c>
      <c r="AP126" t="n">
        <v>1223.794</v>
      </c>
      <c r="AQ126" t="n">
        <v>1655.63</v>
      </c>
      <c r="AR126" t="n">
        <v>1223.211</v>
      </c>
      <c r="AS126" t="n">
        <v>1301.762</v>
      </c>
      <c r="AT126" t="n">
        <v>1421.825</v>
      </c>
      <c r="AU126" t="n">
        <v>1545.283</v>
      </c>
      <c r="AV126" t="n">
        <v>1659.95</v>
      </c>
      <c r="AW126" t="n">
        <v>1601.301</v>
      </c>
      <c r="AX126" t="n">
        <v>1854.156</v>
      </c>
      <c r="AY126" t="n">
        <v>1822.881</v>
      </c>
      <c r="AZ126" t="n">
        <v>1865.285</v>
      </c>
      <c r="BA126" t="n">
        <v>1943.502</v>
      </c>
      <c r="BB126" t="n">
        <v>2316.298</v>
      </c>
      <c r="BC126" t="n">
        <v>2450.73</v>
      </c>
      <c r="BD126" t="n">
        <v>2924.016</v>
      </c>
      <c r="BE126" t="n">
        <v>2721.231</v>
      </c>
      <c r="BF126" t="n">
        <v>3341.215</v>
      </c>
      <c r="BG126" t="n">
        <v>3889.494</v>
      </c>
      <c r="BH126" t="n">
        <v>4120.961</v>
      </c>
      <c r="BI126" t="n">
        <v>4738.712</v>
      </c>
      <c r="BJ126" t="n">
        <v>6375.728</v>
      </c>
      <c r="BK126" t="n">
        <v>7542.398</v>
      </c>
      <c r="BL126" t="n">
        <v>5972.446</v>
      </c>
      <c r="BM126" t="n">
        <v>6094.786</v>
      </c>
      <c r="BN126" t="n">
        <v>4299.636</v>
      </c>
      <c r="BO126" t="n">
        <v>5070.722</v>
      </c>
      <c r="BP126" t="n">
        <v>5012.797</v>
      </c>
      <c r="BQ126" t="n">
        <v>5641.031</v>
      </c>
      <c r="BR126" t="n">
        <v>5921.718</v>
      </c>
      <c r="BS126" t="n">
        <v>5556.499</v>
      </c>
      <c r="BT126" t="n">
        <v>5454.315</v>
      </c>
      <c r="BU126" t="n">
        <v>6556.937</v>
      </c>
      <c r="BV126" t="n">
        <v>16143.522</v>
      </c>
    </row>
    <row r="127">
      <c r="A127" t="inlineStr">
        <is>
          <t>Lutjanus malabaricus</t>
        </is>
      </c>
      <c r="B127" t="inlineStr">
        <is>
          <t>Malabar blood snapper</t>
        </is>
      </c>
      <c r="C127" t="inlineStr">
        <is>
          <t>Medium reef assoc. fish (30 - 89 cm)</t>
        </is>
      </c>
      <c r="D127" t="inlineStr">
        <is>
          <t>Perch-likes</t>
        </is>
      </c>
      <c r="E127" t="n">
        <v>282.3</v>
      </c>
      <c r="F127" t="n">
        <v>287.499</v>
      </c>
      <c r="G127" t="n">
        <v>296.108</v>
      </c>
      <c r="H127" t="n">
        <v>317.348</v>
      </c>
      <c r="I127" t="n">
        <v>323.819</v>
      </c>
      <c r="J127" t="n">
        <v>331.612</v>
      </c>
      <c r="K127" t="n">
        <v>334.817</v>
      </c>
      <c r="L127" t="n">
        <v>347.104</v>
      </c>
      <c r="M127" t="n">
        <v>345.958</v>
      </c>
      <c r="N127" t="n">
        <v>352.247</v>
      </c>
      <c r="O127" t="n">
        <v>365.04</v>
      </c>
      <c r="P127" t="n">
        <v>359.509</v>
      </c>
      <c r="Q127" t="n">
        <v>384.85</v>
      </c>
      <c r="R127" t="n">
        <v>392.09</v>
      </c>
      <c r="S127" t="n">
        <v>398.391</v>
      </c>
      <c r="T127" t="n">
        <v>411.383</v>
      </c>
      <c r="U127" t="n">
        <v>443.45</v>
      </c>
      <c r="V127" t="n">
        <v>449.68</v>
      </c>
      <c r="W127" t="n">
        <v>467.344</v>
      </c>
      <c r="X127" t="n">
        <v>478.086</v>
      </c>
      <c r="Y127" t="n">
        <v>768.7</v>
      </c>
      <c r="Z127" t="n">
        <v>836.676</v>
      </c>
      <c r="AA127" t="n">
        <v>924.465</v>
      </c>
      <c r="AB127" t="n">
        <v>1101.524</v>
      </c>
      <c r="AC127" t="n">
        <v>1291.163</v>
      </c>
      <c r="AD127" t="n">
        <v>1310.498</v>
      </c>
      <c r="AE127" t="n">
        <v>1299.807</v>
      </c>
      <c r="AF127" t="n">
        <v>1527.237</v>
      </c>
      <c r="AG127" t="n">
        <v>1083.142</v>
      </c>
      <c r="AH127" t="n">
        <v>1258.81</v>
      </c>
      <c r="AI127" t="n">
        <v>1191.075</v>
      </c>
      <c r="AJ127" t="n">
        <v>1166.266</v>
      </c>
      <c r="AK127" t="n">
        <v>1363.201</v>
      </c>
      <c r="AL127" t="n">
        <v>1467.858</v>
      </c>
      <c r="AM127" t="n">
        <v>1519.385</v>
      </c>
      <c r="AN127" t="n">
        <v>1537.061</v>
      </c>
      <c r="AO127" t="n">
        <v>1652.458</v>
      </c>
      <c r="AP127" t="n">
        <v>1752.175</v>
      </c>
      <c r="AQ127" t="n">
        <v>1882.02</v>
      </c>
      <c r="AR127" t="n">
        <v>1989.859</v>
      </c>
      <c r="AS127" t="n">
        <v>1946.421</v>
      </c>
      <c r="AT127" t="n">
        <v>3209.91</v>
      </c>
      <c r="AU127" t="n">
        <v>3143.481</v>
      </c>
      <c r="AV127" t="n">
        <v>2719.924</v>
      </c>
      <c r="AW127" t="n">
        <v>2960.489</v>
      </c>
      <c r="AX127" t="n">
        <v>2612.231</v>
      </c>
      <c r="AY127" t="n">
        <v>2677.752</v>
      </c>
      <c r="AZ127" t="n">
        <v>2979.633</v>
      </c>
      <c r="BA127" t="n">
        <v>3889.223</v>
      </c>
      <c r="BB127" t="n">
        <v>3373.237</v>
      </c>
      <c r="BC127" t="n">
        <v>3627.304</v>
      </c>
      <c r="BD127" t="n">
        <v>3688.08</v>
      </c>
      <c r="BE127" t="n">
        <v>3602.524</v>
      </c>
      <c r="BF127" t="n">
        <v>4051.83</v>
      </c>
      <c r="BG127" t="n">
        <v>3808.075</v>
      </c>
      <c r="BH127" t="n">
        <v>4078.699</v>
      </c>
      <c r="BI127" t="n">
        <v>4051.191</v>
      </c>
      <c r="BJ127" t="n">
        <v>4321.476</v>
      </c>
      <c r="BK127" t="n">
        <v>4075.296</v>
      </c>
      <c r="BL127" t="n">
        <v>4393.984</v>
      </c>
      <c r="BM127" t="n">
        <v>4163.132</v>
      </c>
      <c r="BN127" t="n">
        <v>4625.301</v>
      </c>
      <c r="BO127" t="n">
        <v>4720.668</v>
      </c>
      <c r="BP127" t="n">
        <v>4701.987</v>
      </c>
      <c r="BQ127" t="n">
        <v>5957.915</v>
      </c>
      <c r="BR127" t="n">
        <v>6088.984</v>
      </c>
      <c r="BS127" t="n">
        <v>5421.503</v>
      </c>
      <c r="BT127" t="n">
        <v>5636.218</v>
      </c>
      <c r="BU127" t="n">
        <v>6073.635</v>
      </c>
      <c r="BV127" t="n">
        <v>6033.266</v>
      </c>
    </row>
    <row r="128">
      <c r="A128" t="inlineStr">
        <is>
          <t>Congresox talabonoides</t>
        </is>
      </c>
      <c r="B128" t="inlineStr">
        <is>
          <t>Indian pike conger</t>
        </is>
      </c>
      <c r="C128" t="inlineStr">
        <is>
          <t>Large demersals (&gt;=90 cm)</t>
        </is>
      </c>
      <c r="D128" t="inlineStr">
        <is>
          <t>Other fishes &amp; inverts</t>
        </is>
      </c>
      <c r="E128" t="n">
        <v>587.898</v>
      </c>
      <c r="F128" t="n">
        <v>600.712</v>
      </c>
      <c r="G128" t="n">
        <v>622.799</v>
      </c>
      <c r="H128" t="n">
        <v>677.039</v>
      </c>
      <c r="I128" t="n">
        <v>693.1369999999999</v>
      </c>
      <c r="J128" t="n">
        <v>712.651</v>
      </c>
      <c r="K128" t="n">
        <v>726.519</v>
      </c>
      <c r="L128" t="n">
        <v>757.4059999999999</v>
      </c>
      <c r="M128" t="n">
        <v>753.648</v>
      </c>
      <c r="N128" t="n">
        <v>768.853</v>
      </c>
      <c r="O128" t="n">
        <v>801.085</v>
      </c>
      <c r="P128" t="n">
        <v>785.873</v>
      </c>
      <c r="Q128" t="n">
        <v>850.383</v>
      </c>
      <c r="R128" t="n">
        <v>867.917</v>
      </c>
      <c r="S128" t="n">
        <v>894.318</v>
      </c>
      <c r="T128" t="n">
        <v>922.333</v>
      </c>
      <c r="U128" t="n">
        <v>1003.77</v>
      </c>
      <c r="V128" t="n">
        <v>1012.624</v>
      </c>
      <c r="W128" t="n">
        <v>1038.57</v>
      </c>
      <c r="X128" t="n">
        <v>1078.125</v>
      </c>
      <c r="Y128" t="n">
        <v>1229.418</v>
      </c>
      <c r="Z128" t="n">
        <v>1312.683</v>
      </c>
      <c r="AA128" t="n">
        <v>1362.988</v>
      </c>
      <c r="AB128" t="n">
        <v>1526.746</v>
      </c>
      <c r="AC128" t="n">
        <v>1518.925</v>
      </c>
      <c r="AD128" t="n">
        <v>1564.248</v>
      </c>
      <c r="AE128" t="n">
        <v>1604.116</v>
      </c>
      <c r="AF128" t="n">
        <v>1870.464</v>
      </c>
      <c r="AG128" t="n">
        <v>1659.713</v>
      </c>
      <c r="AH128" t="n">
        <v>1868.454</v>
      </c>
      <c r="AI128" t="n">
        <v>1830.772</v>
      </c>
      <c r="AJ128" t="n">
        <v>1916.415</v>
      </c>
      <c r="AK128" t="n">
        <v>2095.761</v>
      </c>
      <c r="AL128" t="n">
        <v>2208.544</v>
      </c>
      <c r="AM128" t="n">
        <v>2263.15</v>
      </c>
      <c r="AN128" t="n">
        <v>2366.819</v>
      </c>
      <c r="AO128" t="n">
        <v>2403.855</v>
      </c>
      <c r="AP128" t="n">
        <v>2381.276</v>
      </c>
      <c r="AQ128" t="n">
        <v>2532.335</v>
      </c>
      <c r="AR128" t="n">
        <v>2606.157</v>
      </c>
      <c r="AS128" t="n">
        <v>2370.521</v>
      </c>
      <c r="AT128" t="n">
        <v>3138.396</v>
      </c>
      <c r="AU128" t="n">
        <v>3034.836</v>
      </c>
      <c r="AV128" t="n">
        <v>2800.476</v>
      </c>
      <c r="AW128" t="n">
        <v>2980.394</v>
      </c>
      <c r="AX128" t="n">
        <v>2822.6</v>
      </c>
      <c r="AY128" t="n">
        <v>2828.481</v>
      </c>
      <c r="AZ128" t="n">
        <v>2929.811</v>
      </c>
      <c r="BA128" t="n">
        <v>3189.323</v>
      </c>
      <c r="BB128" t="n">
        <v>3377.314</v>
      </c>
      <c r="BC128" t="n">
        <v>3386.004</v>
      </c>
      <c r="BD128" t="n">
        <v>3390.199</v>
      </c>
      <c r="BE128" t="n">
        <v>3388.629</v>
      </c>
      <c r="BF128" t="n">
        <v>3480.781</v>
      </c>
      <c r="BG128" t="n">
        <v>3508.308</v>
      </c>
      <c r="BH128" t="n">
        <v>3477.268</v>
      </c>
      <c r="BI128" t="n">
        <v>3491.691</v>
      </c>
      <c r="BJ128" t="n">
        <v>3454.906</v>
      </c>
      <c r="BK128" t="n">
        <v>3533.337</v>
      </c>
      <c r="BL128" t="n">
        <v>3682.251</v>
      </c>
      <c r="BM128" t="n">
        <v>3566.044</v>
      </c>
      <c r="BN128" t="n">
        <v>3577.491</v>
      </c>
      <c r="BO128" t="n">
        <v>3668.281</v>
      </c>
      <c r="BP128" t="n">
        <v>3603.293</v>
      </c>
      <c r="BQ128" t="n">
        <v>3735.643</v>
      </c>
      <c r="BR128" t="n">
        <v>3867.459</v>
      </c>
      <c r="BS128" t="n">
        <v>3542.389</v>
      </c>
      <c r="BT128" t="n">
        <v>3671.95</v>
      </c>
      <c r="BU128" t="n">
        <v>3651.967</v>
      </c>
      <c r="BV128" t="n">
        <v>3723.902</v>
      </c>
    </row>
    <row r="129">
      <c r="A129" t="inlineStr">
        <is>
          <t>Lethrinus lentjan</t>
        </is>
      </c>
      <c r="B129" t="inlineStr">
        <is>
          <t>Pink ear emperor</t>
        </is>
      </c>
      <c r="C129" t="inlineStr">
        <is>
          <t>Medium demersals (30 - 89 cm)</t>
        </is>
      </c>
      <c r="D129" t="inlineStr">
        <is>
          <t>Perch-likes</t>
        </is>
      </c>
      <c r="E129" t="n">
        <v>548.246</v>
      </c>
      <c r="F129" t="n">
        <v>547.795</v>
      </c>
      <c r="G129" t="n">
        <v>612.186</v>
      </c>
      <c r="H129" t="n">
        <v>580.341</v>
      </c>
      <c r="I129" t="n">
        <v>611.241</v>
      </c>
      <c r="J129" t="n">
        <v>610.76</v>
      </c>
      <c r="K129" t="n">
        <v>625.865</v>
      </c>
      <c r="L129" t="n">
        <v>707.221</v>
      </c>
      <c r="M129" t="n">
        <v>706.979</v>
      </c>
      <c r="N129" t="n">
        <v>769.9160000000001</v>
      </c>
      <c r="O129" t="n">
        <v>778.794</v>
      </c>
      <c r="P129" t="n">
        <v>1121.225</v>
      </c>
      <c r="Q129" t="n">
        <v>1250.324</v>
      </c>
      <c r="R129" t="n">
        <v>1318.333</v>
      </c>
      <c r="S129" t="n">
        <v>1148.409</v>
      </c>
      <c r="T129" t="n">
        <v>1076.694</v>
      </c>
      <c r="U129" t="n">
        <v>1155.58</v>
      </c>
      <c r="V129" t="n">
        <v>959.813</v>
      </c>
      <c r="W129" t="n">
        <v>850.152</v>
      </c>
      <c r="X129" t="n">
        <v>802.644</v>
      </c>
      <c r="Y129" t="n">
        <v>896.326</v>
      </c>
      <c r="Z129" t="n">
        <v>980.412</v>
      </c>
      <c r="AA129" t="n">
        <v>965.867</v>
      </c>
      <c r="AB129" t="n">
        <v>1259.002</v>
      </c>
      <c r="AC129" t="n">
        <v>1110.765</v>
      </c>
      <c r="AD129" t="n">
        <v>1015.06</v>
      </c>
      <c r="AE129" t="n">
        <v>1037.626</v>
      </c>
      <c r="AF129" t="n">
        <v>1038.515</v>
      </c>
      <c r="AG129" t="n">
        <v>1168.25</v>
      </c>
      <c r="AH129" t="n">
        <v>1334.567</v>
      </c>
      <c r="AI129" t="n">
        <v>1555.987</v>
      </c>
      <c r="AJ129" t="n">
        <v>1601.937</v>
      </c>
      <c r="AK129" t="n">
        <v>1455.89</v>
      </c>
      <c r="AL129" t="n">
        <v>1724.989</v>
      </c>
      <c r="AM129" t="n">
        <v>1929.397</v>
      </c>
      <c r="AN129" t="n">
        <v>1767.603</v>
      </c>
      <c r="AO129" t="n">
        <v>1691.294</v>
      </c>
      <c r="AP129" t="n">
        <v>1742.485</v>
      </c>
      <c r="AQ129" t="n">
        <v>1514.015</v>
      </c>
      <c r="AR129" t="n">
        <v>1593.842</v>
      </c>
      <c r="AS129" t="n">
        <v>1327.654</v>
      </c>
      <c r="AT129" t="n">
        <v>1228.204</v>
      </c>
      <c r="AU129" t="n">
        <v>1654.803</v>
      </c>
      <c r="AV129" t="n">
        <v>1581.783</v>
      </c>
      <c r="AW129" t="n">
        <v>1690.295</v>
      </c>
      <c r="AX129" t="n">
        <v>1828.024</v>
      </c>
      <c r="AY129" t="n">
        <v>2054.461</v>
      </c>
      <c r="AZ129" t="n">
        <v>2226.203</v>
      </c>
      <c r="BA129" t="n">
        <v>2324.691</v>
      </c>
      <c r="BB129" t="n">
        <v>2403.689</v>
      </c>
      <c r="BC129" t="n">
        <v>2389.505</v>
      </c>
      <c r="BD129" t="n">
        <v>2654.974</v>
      </c>
      <c r="BE129" t="n">
        <v>2654.534</v>
      </c>
      <c r="BF129" t="n">
        <v>2941.716</v>
      </c>
      <c r="BG129" t="n">
        <v>2832.964</v>
      </c>
      <c r="BH129" t="n">
        <v>2679.923</v>
      </c>
      <c r="BI129" t="n">
        <v>2915.864</v>
      </c>
      <c r="BJ129" t="n">
        <v>3825.403</v>
      </c>
      <c r="BK129" t="n">
        <v>3709.679</v>
      </c>
      <c r="BL129" t="n">
        <v>8990.795</v>
      </c>
      <c r="BM129" t="n">
        <v>8191.649</v>
      </c>
      <c r="BN129" t="n">
        <v>7361.006</v>
      </c>
      <c r="BO129" t="n">
        <v>7002.975</v>
      </c>
      <c r="BP129" t="n">
        <v>6943.546</v>
      </c>
      <c r="BQ129" t="n">
        <v>5199.638</v>
      </c>
      <c r="BR129" t="n">
        <v>3591.527</v>
      </c>
      <c r="BS129" t="n">
        <v>3707.273</v>
      </c>
      <c r="BT129" t="n">
        <v>3999.254</v>
      </c>
      <c r="BU129" t="n">
        <v>3948.322</v>
      </c>
      <c r="BV129" t="n">
        <v>3909.769</v>
      </c>
    </row>
    <row r="130">
      <c r="A130" t="inlineStr">
        <is>
          <t>Parapenaeopsis stylifera</t>
        </is>
      </c>
      <c r="B130" t="inlineStr">
        <is>
          <t>Kiddi shrimp</t>
        </is>
      </c>
      <c r="C130" t="inlineStr">
        <is>
          <t>Shrimps</t>
        </is>
      </c>
      <c r="D130" t="inlineStr">
        <is>
          <t>Crustaceans</t>
        </is>
      </c>
      <c r="E130" t="n">
        <v>2229.559</v>
      </c>
      <c r="F130" t="n">
        <v>2242.564</v>
      </c>
      <c r="G130" t="n">
        <v>2225.383</v>
      </c>
      <c r="H130" t="n">
        <v>2237.299</v>
      </c>
      <c r="I130" t="n">
        <v>2248.808</v>
      </c>
      <c r="J130" t="n">
        <v>2259.908</v>
      </c>
      <c r="K130" t="n">
        <v>2270.6</v>
      </c>
      <c r="L130" t="n">
        <v>2295.437</v>
      </c>
      <c r="M130" t="n">
        <v>2313.818</v>
      </c>
      <c r="N130" t="n">
        <v>2346.505</v>
      </c>
      <c r="O130" t="n">
        <v>2363.993</v>
      </c>
      <c r="P130" t="n">
        <v>2386.783</v>
      </c>
      <c r="Q130" t="n">
        <v>2409.1</v>
      </c>
      <c r="R130" t="n">
        <v>2445.699</v>
      </c>
      <c r="S130" t="n">
        <v>2478.875</v>
      </c>
      <c r="T130" t="n">
        <v>2474.692</v>
      </c>
      <c r="U130" t="n">
        <v>2483.316</v>
      </c>
      <c r="V130" t="n">
        <v>2497.368</v>
      </c>
      <c r="W130" t="n">
        <v>2463.732</v>
      </c>
      <c r="X130" t="n">
        <v>2506.237</v>
      </c>
      <c r="Y130" t="n">
        <v>2528.113</v>
      </c>
      <c r="Z130" t="n">
        <v>2527.177</v>
      </c>
      <c r="AA130" t="n">
        <v>2564.157</v>
      </c>
      <c r="AB130" t="n">
        <v>2568.282</v>
      </c>
      <c r="AC130" t="n">
        <v>1911.273</v>
      </c>
      <c r="AD130" t="n">
        <v>2053.91</v>
      </c>
      <c r="AE130" t="n">
        <v>2202.102</v>
      </c>
      <c r="AF130" t="n">
        <v>2347.691</v>
      </c>
      <c r="AG130" t="n">
        <v>2299.334</v>
      </c>
      <c r="AH130" t="n">
        <v>2269.345</v>
      </c>
      <c r="AI130" t="n">
        <v>2533.015</v>
      </c>
      <c r="AJ130" t="n">
        <v>2570.95</v>
      </c>
      <c r="AK130" t="n">
        <v>1910.826</v>
      </c>
      <c r="AL130" t="n">
        <v>1966.145</v>
      </c>
      <c r="AM130" t="n">
        <v>1981.46</v>
      </c>
      <c r="AN130" t="n">
        <v>2009.434</v>
      </c>
      <c r="AO130" t="n">
        <v>1862.703</v>
      </c>
      <c r="AP130" t="n">
        <v>2057.874</v>
      </c>
      <c r="AQ130" t="n">
        <v>2071.881</v>
      </c>
      <c r="AR130" t="n">
        <v>2083.744</v>
      </c>
      <c r="AS130" t="n">
        <v>2061.547</v>
      </c>
      <c r="AT130" t="n">
        <v>2492.842</v>
      </c>
      <c r="AU130" t="n">
        <v>2347.199</v>
      </c>
      <c r="AV130" t="n">
        <v>1981.847</v>
      </c>
      <c r="AW130" t="n">
        <v>4063.322</v>
      </c>
      <c r="AX130" t="n">
        <v>3947.621</v>
      </c>
      <c r="AY130" t="n">
        <v>3666.946</v>
      </c>
      <c r="AZ130" t="n">
        <v>4796.527</v>
      </c>
      <c r="BA130" t="n">
        <v>3878.023</v>
      </c>
      <c r="BB130" t="n">
        <v>3668.515</v>
      </c>
      <c r="BC130" t="n">
        <v>3256.495</v>
      </c>
      <c r="BD130" t="n">
        <v>2940.104</v>
      </c>
      <c r="BE130" t="n">
        <v>2406.713</v>
      </c>
      <c r="BF130" t="n">
        <v>1858.616</v>
      </c>
      <c r="BG130" t="n">
        <v>1971.534</v>
      </c>
      <c r="BH130" t="n">
        <v>1751.341</v>
      </c>
      <c r="BI130" t="n">
        <v>1595.248</v>
      </c>
      <c r="BJ130" t="n">
        <v>1281.195</v>
      </c>
      <c r="BK130" t="n">
        <v>993.2859999999999</v>
      </c>
      <c r="BL130" t="n">
        <v>888.385</v>
      </c>
      <c r="BM130" t="n">
        <v>775.693</v>
      </c>
      <c r="BN130" t="n">
        <v>663.454</v>
      </c>
      <c r="BO130" t="n">
        <v>663.454</v>
      </c>
      <c r="BP130" t="n">
        <v>663.454</v>
      </c>
      <c r="BQ130" t="n">
        <v>663.454</v>
      </c>
      <c r="BR130" t="n">
        <v>663.454</v>
      </c>
      <c r="BS130" t="n">
        <v>663.454</v>
      </c>
      <c r="BT130" t="n">
        <v>663.454</v>
      </c>
      <c r="BU130" t="n">
        <v>663.454</v>
      </c>
      <c r="BV130" t="n">
        <v>663.454</v>
      </c>
    </row>
    <row r="131">
      <c r="A131" t="inlineStr">
        <is>
          <t>Aetobatus narinari</t>
        </is>
      </c>
      <c r="B131" t="inlineStr">
        <is>
          <t>Spotted eagle ray</t>
        </is>
      </c>
      <c r="C131" t="inlineStr">
        <is>
          <t>Large rays (&gt;=90 cm)</t>
        </is>
      </c>
      <c r="D131" t="inlineStr">
        <is>
          <t>Sharks &amp; rays</t>
        </is>
      </c>
      <c r="E131" t="n">
        <v>1883.265</v>
      </c>
      <c r="F131" t="n">
        <v>1894.031</v>
      </c>
      <c r="G131" t="n">
        <v>1879.814</v>
      </c>
      <c r="H131" t="n">
        <v>1889.679</v>
      </c>
      <c r="I131" t="n">
        <v>1899.206</v>
      </c>
      <c r="J131" t="n">
        <v>1908.395</v>
      </c>
      <c r="K131" t="n">
        <v>1914.532</v>
      </c>
      <c r="L131" t="n">
        <v>1935.09</v>
      </c>
      <c r="M131" t="n">
        <v>1950.316</v>
      </c>
      <c r="N131" t="n">
        <v>1977.382</v>
      </c>
      <c r="O131" t="n">
        <v>1991.868</v>
      </c>
      <c r="P131" t="n">
        <v>2010.748</v>
      </c>
      <c r="Q131" t="n">
        <v>2029.237</v>
      </c>
      <c r="R131" t="n">
        <v>2059.545</v>
      </c>
      <c r="S131" t="n">
        <v>2082.106</v>
      </c>
      <c r="T131" t="n">
        <v>2080.843</v>
      </c>
      <c r="U131" t="n">
        <v>2088.267</v>
      </c>
      <c r="V131" t="n">
        <v>2102.374</v>
      </c>
      <c r="W131" t="n">
        <v>2082.769</v>
      </c>
      <c r="X131" t="n">
        <v>2111.924</v>
      </c>
      <c r="Y131" t="n">
        <v>2126.693</v>
      </c>
      <c r="Z131" t="n">
        <v>2127.291</v>
      </c>
      <c r="AA131" t="n">
        <v>2156.799</v>
      </c>
      <c r="AB131" t="n">
        <v>2159.393</v>
      </c>
      <c r="AC131" t="n">
        <v>1737.856</v>
      </c>
      <c r="AD131" t="n">
        <v>1855.446</v>
      </c>
      <c r="AE131" t="n">
        <v>1973.958</v>
      </c>
      <c r="AF131" t="n">
        <v>2094.393</v>
      </c>
      <c r="AG131" t="n">
        <v>2060.875</v>
      </c>
      <c r="AH131" t="n">
        <v>2031.715</v>
      </c>
      <c r="AI131" t="n">
        <v>2194.384</v>
      </c>
      <c r="AJ131" t="n">
        <v>2222.831</v>
      </c>
      <c r="AK131" t="n">
        <v>1795.621</v>
      </c>
      <c r="AL131" t="n">
        <v>1829.856</v>
      </c>
      <c r="AM131" t="n">
        <v>1848.274</v>
      </c>
      <c r="AN131" t="n">
        <v>1871.014</v>
      </c>
      <c r="AO131" t="n">
        <v>1816.123</v>
      </c>
      <c r="AP131" t="n">
        <v>2101.629</v>
      </c>
      <c r="AQ131" t="n">
        <v>2145.949</v>
      </c>
      <c r="AR131" t="n">
        <v>2178.19</v>
      </c>
      <c r="AS131" t="n">
        <v>2129.196</v>
      </c>
      <c r="AT131" t="n">
        <v>2454.901</v>
      </c>
      <c r="AU131" t="n">
        <v>2417.731</v>
      </c>
      <c r="AV131" t="n">
        <v>2120.365</v>
      </c>
      <c r="AW131" t="n">
        <v>3767.42</v>
      </c>
      <c r="AX131" t="n">
        <v>3704.058</v>
      </c>
      <c r="AY131" t="n">
        <v>3463.426</v>
      </c>
      <c r="AZ131" t="n">
        <v>4759.864</v>
      </c>
      <c r="BA131" t="n">
        <v>3715.688</v>
      </c>
      <c r="BB131" t="n">
        <v>3378.393</v>
      </c>
      <c r="BC131" t="n">
        <v>3061.466</v>
      </c>
      <c r="BD131" t="n">
        <v>2918.447</v>
      </c>
      <c r="BE131" t="n">
        <v>2454.415</v>
      </c>
      <c r="BF131" t="n">
        <v>1825.441</v>
      </c>
      <c r="BG131" t="n">
        <v>1876.732</v>
      </c>
      <c r="BH131" t="n">
        <v>1727.762</v>
      </c>
      <c r="BI131" t="n">
        <v>1595.62</v>
      </c>
      <c r="BJ131" t="n">
        <v>1441.273</v>
      </c>
      <c r="BK131" t="n">
        <v>1259.619</v>
      </c>
      <c r="BL131" t="n">
        <v>1181.607</v>
      </c>
      <c r="BM131" t="n">
        <v>967.6079999999999</v>
      </c>
      <c r="BN131" t="n">
        <v>1280.733</v>
      </c>
      <c r="BO131" t="n">
        <v>1193.685</v>
      </c>
      <c r="BP131" t="n">
        <v>1244.724</v>
      </c>
      <c r="BQ131" t="n">
        <v>1279.378</v>
      </c>
      <c r="BR131" t="n">
        <v>1270.261</v>
      </c>
      <c r="BS131" t="n">
        <v>1272.96</v>
      </c>
      <c r="BT131" t="n">
        <v>1330.123</v>
      </c>
      <c r="BU131" t="n">
        <v>1464.906</v>
      </c>
      <c r="BV131" t="n">
        <v>1411.495</v>
      </c>
    </row>
    <row r="132">
      <c r="A132" t="inlineStr">
        <is>
          <t>Pastinachus sephen</t>
        </is>
      </c>
      <c r="B132" t="inlineStr">
        <is>
          <t>Cowtail stingray</t>
        </is>
      </c>
      <c r="C132" t="inlineStr">
        <is>
          <t>Large rays (&gt;=90 cm)</t>
        </is>
      </c>
      <c r="D132" t="inlineStr">
        <is>
          <t>Sharks &amp; rays</t>
        </is>
      </c>
      <c r="E132" t="n">
        <v>1894.001</v>
      </c>
      <c r="F132" t="n">
        <v>1904.829</v>
      </c>
      <c r="G132" t="n">
        <v>1890.531</v>
      </c>
      <c r="H132" t="n">
        <v>1900.453</v>
      </c>
      <c r="I132" t="n">
        <v>1910.035</v>
      </c>
      <c r="J132" t="n">
        <v>1919.277</v>
      </c>
      <c r="K132" t="n">
        <v>1925.45</v>
      </c>
      <c r="L132" t="n">
        <v>1946.126</v>
      </c>
      <c r="M132" t="n">
        <v>1961.443</v>
      </c>
      <c r="N132" t="n">
        <v>1988.668</v>
      </c>
      <c r="O132" t="n">
        <v>2003.242</v>
      </c>
      <c r="P132" t="n">
        <v>2022.238</v>
      </c>
      <c r="Q132" t="n">
        <v>2040.84</v>
      </c>
      <c r="R132" t="n">
        <v>2071.328</v>
      </c>
      <c r="S132" t="n">
        <v>2094.026</v>
      </c>
      <c r="T132" t="n">
        <v>2092.762</v>
      </c>
      <c r="U132" t="n">
        <v>2100.284</v>
      </c>
      <c r="V132" t="n">
        <v>2114.484</v>
      </c>
      <c r="W132" t="n">
        <v>2094.778</v>
      </c>
      <c r="X132" t="n">
        <v>2124.103</v>
      </c>
      <c r="Y132" t="n">
        <v>2138.96</v>
      </c>
      <c r="Z132" t="n">
        <v>2139.564</v>
      </c>
      <c r="AA132" t="n">
        <v>2169.245</v>
      </c>
      <c r="AB132" t="n">
        <v>2171.856</v>
      </c>
      <c r="AC132" t="n">
        <v>1747.888</v>
      </c>
      <c r="AD132" t="n">
        <v>1866.135</v>
      </c>
      <c r="AE132" t="n">
        <v>1985.309</v>
      </c>
      <c r="AF132" t="n">
        <v>2106.416</v>
      </c>
      <c r="AG132" t="n">
        <v>2072.666</v>
      </c>
      <c r="AH132" t="n">
        <v>2043.299</v>
      </c>
      <c r="AI132" t="n">
        <v>2206.864</v>
      </c>
      <c r="AJ132" t="n">
        <v>2235.475</v>
      </c>
      <c r="AK132" t="n">
        <v>1805.796</v>
      </c>
      <c r="AL132" t="n">
        <v>1840.22</v>
      </c>
      <c r="AM132" t="n">
        <v>1858.733</v>
      </c>
      <c r="AN132" t="n">
        <v>1881.592</v>
      </c>
      <c r="AO132" t="n">
        <v>1826.347</v>
      </c>
      <c r="AP132" t="n">
        <v>2113.459</v>
      </c>
      <c r="AQ132" t="n">
        <v>2158.041</v>
      </c>
      <c r="AR132" t="n">
        <v>2190.471</v>
      </c>
      <c r="AS132" t="n">
        <v>2141.211</v>
      </c>
      <c r="AT132" t="n">
        <v>2468.818</v>
      </c>
      <c r="AU132" t="n">
        <v>2431.421</v>
      </c>
      <c r="AV132" t="n">
        <v>2132.344</v>
      </c>
      <c r="AW132" t="n">
        <v>3788.921</v>
      </c>
      <c r="AX132" t="n">
        <v>3725.182</v>
      </c>
      <c r="AY132" t="n">
        <v>3483.163</v>
      </c>
      <c r="AZ132" t="n">
        <v>4787.065</v>
      </c>
      <c r="BA132" t="n">
        <v>3737.049</v>
      </c>
      <c r="BB132" t="n">
        <v>3397.903</v>
      </c>
      <c r="BC132" t="n">
        <v>3079.223</v>
      </c>
      <c r="BD132" t="n">
        <v>2935.466</v>
      </c>
      <c r="BE132" t="n">
        <v>2468.757</v>
      </c>
      <c r="BF132" t="n">
        <v>1836.153</v>
      </c>
      <c r="BG132" t="n">
        <v>1887.734</v>
      </c>
      <c r="BH132" t="n">
        <v>1737.873</v>
      </c>
      <c r="BI132" t="n">
        <v>1604.943</v>
      </c>
      <c r="BJ132" t="n">
        <v>1449.628</v>
      </c>
      <c r="BK132" t="n">
        <v>1266.866</v>
      </c>
      <c r="BL132" t="n">
        <v>1188.422</v>
      </c>
      <c r="BM132" t="n">
        <v>973.164</v>
      </c>
      <c r="BN132" t="n">
        <v>551.019</v>
      </c>
      <c r="BO132" t="n">
        <v>551.019</v>
      </c>
      <c r="BP132" t="n">
        <v>551.019</v>
      </c>
      <c r="BQ132" t="n">
        <v>551.019</v>
      </c>
      <c r="BR132" t="n">
        <v>551.019</v>
      </c>
      <c r="BS132" t="n">
        <v>551.019</v>
      </c>
      <c r="BT132" t="n">
        <v>551.019</v>
      </c>
      <c r="BU132" t="n">
        <v>551.019</v>
      </c>
      <c r="BV132" t="n">
        <v>551.019</v>
      </c>
    </row>
    <row r="133">
      <c r="A133" t="inlineStr">
        <is>
          <t>Aetomylaeus nichofii</t>
        </is>
      </c>
      <c r="B133" t="inlineStr">
        <is>
          <t>Banded eagle ray</t>
        </is>
      </c>
      <c r="C133" t="inlineStr">
        <is>
          <t>Small to medium rays (&lt;90 cm)</t>
        </is>
      </c>
      <c r="D133" t="inlineStr">
        <is>
          <t>Sharks &amp; rays</t>
        </is>
      </c>
      <c r="E133" t="n">
        <v>1889.313</v>
      </c>
      <c r="F133" t="n">
        <v>1900.115</v>
      </c>
      <c r="G133" t="n">
        <v>1885.852</v>
      </c>
      <c r="H133" t="n">
        <v>1895.749</v>
      </c>
      <c r="I133" t="n">
        <v>1905.308</v>
      </c>
      <c r="J133" t="n">
        <v>1914.527</v>
      </c>
      <c r="K133" t="n">
        <v>1920.685</v>
      </c>
      <c r="L133" t="n">
        <v>1941.309</v>
      </c>
      <c r="M133" t="n">
        <v>1956.588</v>
      </c>
      <c r="N133" t="n">
        <v>1983.746</v>
      </c>
      <c r="O133" t="n">
        <v>1998.283</v>
      </c>
      <c r="P133" t="n">
        <v>2017.231</v>
      </c>
      <c r="Q133" t="n">
        <v>2035.787</v>
      </c>
      <c r="R133" t="n">
        <v>2066.199</v>
      </c>
      <c r="S133" t="n">
        <v>2088.84</v>
      </c>
      <c r="T133" t="n">
        <v>2087.58</v>
      </c>
      <c r="U133" t="n">
        <v>2095.082</v>
      </c>
      <c r="V133" t="n">
        <v>2109.247</v>
      </c>
      <c r="W133" t="n">
        <v>2089.59</v>
      </c>
      <c r="X133" t="n">
        <v>2118.842</v>
      </c>
      <c r="Y133" t="n">
        <v>2133.662</v>
      </c>
      <c r="Z133" t="n">
        <v>2134.264</v>
      </c>
      <c r="AA133" t="n">
        <v>2163.872</v>
      </c>
      <c r="AB133" t="n">
        <v>2166.476</v>
      </c>
      <c r="AC133" t="n">
        <v>1743.558</v>
      </c>
      <c r="AD133" t="n">
        <v>1861.525</v>
      </c>
      <c r="AE133" t="n">
        <v>1980.417</v>
      </c>
      <c r="AF133" t="n">
        <v>2101.237</v>
      </c>
      <c r="AG133" t="n">
        <v>2067.584</v>
      </c>
      <c r="AH133" t="n">
        <v>2038.302</v>
      </c>
      <c r="AI133" t="n">
        <v>2201.476</v>
      </c>
      <c r="AJ133" t="n">
        <v>2230.028</v>
      </c>
      <c r="AK133" t="n">
        <v>1801.426</v>
      </c>
      <c r="AL133" t="n">
        <v>1835.777</v>
      </c>
      <c r="AM133" t="n">
        <v>1854.257</v>
      </c>
      <c r="AN133" t="n">
        <v>1877.071</v>
      </c>
      <c r="AO133" t="n">
        <v>1821.98</v>
      </c>
      <c r="AP133" t="n">
        <v>2108.398</v>
      </c>
      <c r="AQ133" t="n">
        <v>2152.868</v>
      </c>
      <c r="AR133" t="n">
        <v>2185.216</v>
      </c>
      <c r="AS133" t="n">
        <v>2136.074</v>
      </c>
      <c r="AT133" t="n">
        <v>2462.864</v>
      </c>
      <c r="AU133" t="n">
        <v>2425.556</v>
      </c>
      <c r="AV133" t="n">
        <v>2127.216</v>
      </c>
      <c r="AW133" t="n">
        <v>3779.682</v>
      </c>
      <c r="AX133" t="n">
        <v>3716.098</v>
      </c>
      <c r="AY133" t="n">
        <v>3474.676</v>
      </c>
      <c r="AZ133" t="n">
        <v>4775.335</v>
      </c>
      <c r="BA133" t="n">
        <v>3727.882</v>
      </c>
      <c r="BB133" t="n">
        <v>3389.55</v>
      </c>
      <c r="BC133" t="n">
        <v>3071.638</v>
      </c>
      <c r="BD133" t="n">
        <v>2928.215</v>
      </c>
      <c r="BE133" t="n">
        <v>2462.663</v>
      </c>
      <c r="BF133" t="n">
        <v>1831.626</v>
      </c>
      <c r="BG133" t="n">
        <v>1883.078</v>
      </c>
      <c r="BH133" t="n">
        <v>1733.593</v>
      </c>
      <c r="BI133" t="n">
        <v>1600.996</v>
      </c>
      <c r="BJ133" t="n">
        <v>1446.073</v>
      </c>
      <c r="BK133" t="n">
        <v>1263.779</v>
      </c>
      <c r="BL133" t="n">
        <v>1185.52</v>
      </c>
      <c r="BM133" t="n">
        <v>970.797</v>
      </c>
      <c r="BN133" t="n">
        <v>549.718</v>
      </c>
      <c r="BO133" t="n">
        <v>549.718</v>
      </c>
      <c r="BP133" t="n">
        <v>549.718</v>
      </c>
      <c r="BQ133" t="n">
        <v>549.718</v>
      </c>
      <c r="BR133" t="n">
        <v>549.718</v>
      </c>
      <c r="BS133" t="n">
        <v>549.718</v>
      </c>
      <c r="BT133" t="n">
        <v>549.718</v>
      </c>
      <c r="BU133" t="n">
        <v>549.718</v>
      </c>
      <c r="BV133" t="n">
        <v>549.718</v>
      </c>
    </row>
    <row r="134">
      <c r="A134" t="inlineStr">
        <is>
          <t>Aetomylaeus maculatus</t>
        </is>
      </c>
      <c r="B134" t="inlineStr">
        <is>
          <t>Mottled eagle ray</t>
        </is>
      </c>
      <c r="C134" t="inlineStr">
        <is>
          <t>Large rays (&gt;=90 cm)</t>
        </is>
      </c>
      <c r="D134" t="inlineStr">
        <is>
          <t>Sharks &amp; rays</t>
        </is>
      </c>
      <c r="E134" t="n">
        <v>1879.413</v>
      </c>
      <c r="F134" t="n">
        <v>1890.155</v>
      </c>
      <c r="G134" t="n">
        <v>1875.966</v>
      </c>
      <c r="H134" t="n">
        <v>1885.81</v>
      </c>
      <c r="I134" t="n">
        <v>1895.317</v>
      </c>
      <c r="J134" t="n">
        <v>1904.486</v>
      </c>
      <c r="K134" t="n">
        <v>1910.61</v>
      </c>
      <c r="L134" t="n">
        <v>1931.125</v>
      </c>
      <c r="M134" t="n">
        <v>1946.313</v>
      </c>
      <c r="N134" t="n">
        <v>1973.317</v>
      </c>
      <c r="O134" t="n">
        <v>1987.767</v>
      </c>
      <c r="P134" t="n">
        <v>2006.599</v>
      </c>
      <c r="Q134" t="n">
        <v>2025.04</v>
      </c>
      <c r="R134" t="n">
        <v>2055.275</v>
      </c>
      <c r="S134" t="n">
        <v>2077.78</v>
      </c>
      <c r="T134" t="n">
        <v>2076.509</v>
      </c>
      <c r="U134" t="n">
        <v>2083.909</v>
      </c>
      <c r="V134" t="n">
        <v>2097.977</v>
      </c>
      <c r="W134" t="n">
        <v>2078.404</v>
      </c>
      <c r="X134" t="n">
        <v>2107.496</v>
      </c>
      <c r="Y134" t="n">
        <v>2122.232</v>
      </c>
      <c r="Z134" t="n">
        <v>2122.828</v>
      </c>
      <c r="AA134" t="n">
        <v>2152.272</v>
      </c>
      <c r="AB134" t="n">
        <v>2154.859</v>
      </c>
      <c r="AC134" t="n">
        <v>1734.203</v>
      </c>
      <c r="AD134" t="n">
        <v>1851.394</v>
      </c>
      <c r="AE134" t="n">
        <v>1969.506</v>
      </c>
      <c r="AF134" t="n">
        <v>2089.535</v>
      </c>
      <c r="AG134" t="n">
        <v>2055.948</v>
      </c>
      <c r="AH134" t="n">
        <v>2026.708</v>
      </c>
      <c r="AI134" t="n">
        <v>2188.899</v>
      </c>
      <c r="AJ134" t="n">
        <v>2217.117</v>
      </c>
      <c r="AK134" t="n">
        <v>1790.635</v>
      </c>
      <c r="AL134" t="n">
        <v>1824.635</v>
      </c>
      <c r="AM134" t="n">
        <v>1842.853</v>
      </c>
      <c r="AN134" t="n">
        <v>1865.386</v>
      </c>
      <c r="AO134" t="n">
        <v>1810.427</v>
      </c>
      <c r="AP134" t="n">
        <v>2095.144</v>
      </c>
      <c r="AQ134" t="n">
        <v>2139.379</v>
      </c>
      <c r="AR134" t="n">
        <v>2171.566</v>
      </c>
      <c r="AS134" t="n">
        <v>2122.722</v>
      </c>
      <c r="AT134" t="n">
        <v>2447.787</v>
      </c>
      <c r="AU134" t="n">
        <v>2410.764</v>
      </c>
      <c r="AV134" t="n">
        <v>2114.077</v>
      </c>
      <c r="AW134" t="n">
        <v>3757.75</v>
      </c>
      <c r="AX134" t="n">
        <v>3694.586</v>
      </c>
      <c r="AY134" t="n">
        <v>3454.505</v>
      </c>
      <c r="AZ134" t="n">
        <v>4748.355</v>
      </c>
      <c r="BA134" t="n">
        <v>3706.464</v>
      </c>
      <c r="BB134" t="n">
        <v>3369.978</v>
      </c>
      <c r="BC134" t="n">
        <v>3053.804</v>
      </c>
      <c r="BD134" t="n">
        <v>2911.18</v>
      </c>
      <c r="BE134" t="n">
        <v>2448.15</v>
      </c>
      <c r="BF134" t="n">
        <v>1820.531</v>
      </c>
      <c r="BG134" t="n">
        <v>1871.76</v>
      </c>
      <c r="BH134" t="n">
        <v>1723.135</v>
      </c>
      <c r="BI134" t="n">
        <v>1591.306</v>
      </c>
      <c r="BJ134" t="n">
        <v>1437.324</v>
      </c>
      <c r="BK134" t="n">
        <v>1256.015</v>
      </c>
      <c r="BL134" t="n">
        <v>1178.272</v>
      </c>
      <c r="BM134" t="n">
        <v>964.801</v>
      </c>
      <c r="BN134" t="n">
        <v>546.0700000000001</v>
      </c>
      <c r="BO134" t="n">
        <v>546.0700000000001</v>
      </c>
      <c r="BP134" t="n">
        <v>546.0700000000001</v>
      </c>
      <c r="BQ134" t="n">
        <v>546.0700000000001</v>
      </c>
      <c r="BR134" t="n">
        <v>546.0700000000001</v>
      </c>
      <c r="BS134" t="n">
        <v>546.0700000000001</v>
      </c>
      <c r="BT134" t="n">
        <v>546.0700000000001</v>
      </c>
      <c r="BU134" t="n">
        <v>546.0700000000001</v>
      </c>
      <c r="BV134" t="n">
        <v>546.0700000000001</v>
      </c>
    </row>
    <row r="135">
      <c r="A135" t="inlineStr">
        <is>
          <t>Argyrosomus heinii</t>
        </is>
      </c>
      <c r="B135" t="inlineStr">
        <is>
          <t>Arabian sea meagre</t>
        </is>
      </c>
      <c r="C135" t="inlineStr">
        <is>
          <t>Medium benthopelagics (30 - 89 cm)</t>
        </is>
      </c>
      <c r="D135" t="inlineStr">
        <is>
          <t>Perch-likes</t>
        </is>
      </c>
      <c r="E135" t="n">
        <v>387.395</v>
      </c>
      <c r="F135" t="n">
        <v>387.395</v>
      </c>
      <c r="G135" t="n">
        <v>451.795</v>
      </c>
      <c r="H135" t="n">
        <v>516.196</v>
      </c>
      <c r="I135" t="n">
        <v>516.196</v>
      </c>
      <c r="J135" t="n">
        <v>645.221</v>
      </c>
      <c r="K135" t="n">
        <v>645.211</v>
      </c>
      <c r="L135" t="n">
        <v>645.202</v>
      </c>
      <c r="M135" t="n">
        <v>645.192</v>
      </c>
      <c r="N135" t="n">
        <v>709.563</v>
      </c>
      <c r="O135" t="n">
        <v>709.566</v>
      </c>
      <c r="P135" t="n">
        <v>709.571</v>
      </c>
      <c r="Q135" t="n">
        <v>773.965</v>
      </c>
      <c r="R135" t="n">
        <v>773.975</v>
      </c>
      <c r="S135" t="n">
        <v>773.982</v>
      </c>
      <c r="T135" t="n">
        <v>839.365</v>
      </c>
      <c r="U135" t="n">
        <v>903.7569999999999</v>
      </c>
      <c r="V135" t="n">
        <v>903.927</v>
      </c>
      <c r="W135" t="n">
        <v>903.938</v>
      </c>
      <c r="X135" t="n">
        <v>957.415</v>
      </c>
      <c r="Y135" t="n">
        <v>1011.899</v>
      </c>
      <c r="Z135" t="n">
        <v>1066.387</v>
      </c>
      <c r="AA135" t="n">
        <v>1120.878</v>
      </c>
      <c r="AB135" t="n">
        <v>1174.378</v>
      </c>
      <c r="AC135" t="n">
        <v>1229.015</v>
      </c>
      <c r="AD135" t="n">
        <v>1283.516</v>
      </c>
      <c r="AE135" t="n">
        <v>1251.06</v>
      </c>
      <c r="AF135" t="n">
        <v>1216.433</v>
      </c>
      <c r="AG135" t="n">
        <v>1182.784</v>
      </c>
      <c r="AH135" t="n">
        <v>1149.117</v>
      </c>
      <c r="AI135" t="n">
        <v>1160.23</v>
      </c>
      <c r="AJ135" t="n">
        <v>1173.568</v>
      </c>
      <c r="AK135" t="n">
        <v>1295.954</v>
      </c>
      <c r="AL135" t="n">
        <v>1594.781</v>
      </c>
      <c r="AM135" t="n">
        <v>1599.728</v>
      </c>
      <c r="AN135" t="n">
        <v>1516.599</v>
      </c>
      <c r="AO135" t="n">
        <v>1542.679</v>
      </c>
      <c r="AP135" t="n">
        <v>1727.809</v>
      </c>
      <c r="AQ135" t="n">
        <v>2548.376</v>
      </c>
      <c r="AR135" t="n">
        <v>1800.586</v>
      </c>
      <c r="AS135" t="n">
        <v>2017.376</v>
      </c>
      <c r="AT135" t="n">
        <v>1972.583</v>
      </c>
      <c r="AU135" t="n">
        <v>1905.345</v>
      </c>
      <c r="AV135" t="n">
        <v>1874.447</v>
      </c>
      <c r="AW135" t="n">
        <v>1909.403</v>
      </c>
      <c r="AX135" t="n">
        <v>2476.071</v>
      </c>
      <c r="AY135" t="n">
        <v>2274.562</v>
      </c>
      <c r="AZ135" t="n">
        <v>2370.582</v>
      </c>
      <c r="BA135" t="n">
        <v>1760.297</v>
      </c>
      <c r="BB135" t="n">
        <v>1836.777</v>
      </c>
      <c r="BC135" t="n">
        <v>1912.019</v>
      </c>
      <c r="BD135" t="n">
        <v>1859.339</v>
      </c>
      <c r="BE135" t="n">
        <v>4123.502</v>
      </c>
      <c r="BF135" t="n">
        <v>4089.768</v>
      </c>
      <c r="BG135" t="n">
        <v>4656.133</v>
      </c>
      <c r="BH135" t="n">
        <v>4101.31</v>
      </c>
      <c r="BI135" t="n">
        <v>3962.008</v>
      </c>
      <c r="BJ135" t="n">
        <v>4225.412</v>
      </c>
      <c r="BK135" t="n">
        <v>2649.307</v>
      </c>
      <c r="BL135" t="n">
        <v>2988.131</v>
      </c>
      <c r="BM135" t="n">
        <v>4452.171</v>
      </c>
      <c r="BN135" t="n">
        <v>4889.172</v>
      </c>
      <c r="BO135" t="n">
        <v>6841.331</v>
      </c>
      <c r="BP135" t="n">
        <v>8770.378000000001</v>
      </c>
      <c r="BQ135" t="n">
        <v>7204.836</v>
      </c>
      <c r="BR135" t="n">
        <v>7034.934</v>
      </c>
      <c r="BS135" t="n">
        <v>4.881</v>
      </c>
      <c r="BT135" t="n">
        <v>4.905</v>
      </c>
      <c r="BU135" t="n">
        <v>2.283</v>
      </c>
      <c r="BV135" t="n">
        <v>2.202</v>
      </c>
    </row>
    <row r="136">
      <c r="A136" t="inlineStr">
        <is>
          <t>Protonibea diacanthus</t>
        </is>
      </c>
      <c r="B136" t="inlineStr">
        <is>
          <t>Blackspotted croaker</t>
        </is>
      </c>
      <c r="C136" t="inlineStr">
        <is>
          <t>Small pelagics (&lt;30 cm)</t>
        </is>
      </c>
      <c r="D136" t="inlineStr">
        <is>
          <t>Perch-likes</t>
        </is>
      </c>
      <c r="E136" t="n">
        <v>1131.281</v>
      </c>
      <c r="F136" t="n">
        <v>1155.939</v>
      </c>
      <c r="G136" t="n">
        <v>1198.44</v>
      </c>
      <c r="H136" t="n">
        <v>1302.813</v>
      </c>
      <c r="I136" t="n">
        <v>1333.792</v>
      </c>
      <c r="J136" t="n">
        <v>1371.341</v>
      </c>
      <c r="K136" t="n">
        <v>1398.028</v>
      </c>
      <c r="L136" t="n">
        <v>1457.462</v>
      </c>
      <c r="M136" t="n">
        <v>1450.23</v>
      </c>
      <c r="N136" t="n">
        <v>1479.489</v>
      </c>
      <c r="O136" t="n">
        <v>1541.514</v>
      </c>
      <c r="P136" t="n">
        <v>1512.241</v>
      </c>
      <c r="Q136" t="n">
        <v>1636.376</v>
      </c>
      <c r="R136" t="n">
        <v>1670.117</v>
      </c>
      <c r="S136" t="n">
        <v>1720.92</v>
      </c>
      <c r="T136" t="n">
        <v>1774.829</v>
      </c>
      <c r="U136" t="n">
        <v>1931.537</v>
      </c>
      <c r="V136" t="n">
        <v>1948.573</v>
      </c>
      <c r="W136" t="n">
        <v>1998.502</v>
      </c>
      <c r="X136" t="n">
        <v>2074.617</v>
      </c>
      <c r="Y136" t="n">
        <v>2073.79</v>
      </c>
      <c r="Z136" t="n">
        <v>2165.858</v>
      </c>
      <c r="AA136" t="n">
        <v>2142.748</v>
      </c>
      <c r="AB136" t="n">
        <v>2278.64</v>
      </c>
      <c r="AC136" t="n">
        <v>2154.235</v>
      </c>
      <c r="AD136" t="n">
        <v>2219.565</v>
      </c>
      <c r="AE136" t="n">
        <v>2305.466</v>
      </c>
      <c r="AF136" t="n">
        <v>2587.777</v>
      </c>
      <c r="AG136" t="n">
        <v>2637.603</v>
      </c>
      <c r="AH136" t="n">
        <v>2854.536</v>
      </c>
      <c r="AI136" t="n">
        <v>2809.806</v>
      </c>
      <c r="AJ136" t="n">
        <v>2989.253</v>
      </c>
      <c r="AK136" t="n">
        <v>3229.837</v>
      </c>
      <c r="AL136" t="n">
        <v>3335.173</v>
      </c>
      <c r="AM136" t="n">
        <v>3377.771</v>
      </c>
      <c r="AN136" t="n">
        <v>3510.041</v>
      </c>
      <c r="AO136" t="n">
        <v>3514.169</v>
      </c>
      <c r="AP136" t="n">
        <v>3462.097</v>
      </c>
      <c r="AQ136" t="n">
        <v>3655.651</v>
      </c>
      <c r="AR136" t="n">
        <v>3726.91</v>
      </c>
      <c r="AS136" t="n">
        <v>3388.164</v>
      </c>
      <c r="AT136" t="n">
        <v>3503.462</v>
      </c>
      <c r="AU136" t="n">
        <v>3410.196</v>
      </c>
      <c r="AV136" t="n">
        <v>3421.951</v>
      </c>
      <c r="AW136" t="n">
        <v>3442.772</v>
      </c>
      <c r="AX136" t="n">
        <v>3669.912</v>
      </c>
      <c r="AY136" t="n">
        <v>3609.29</v>
      </c>
      <c r="AZ136" t="n">
        <v>3629.159</v>
      </c>
      <c r="BA136" t="n">
        <v>3620.392</v>
      </c>
      <c r="BB136" t="n">
        <v>3744.021</v>
      </c>
      <c r="BC136" t="n">
        <v>884.578</v>
      </c>
      <c r="BD136" t="n">
        <v>829.854</v>
      </c>
      <c r="BE136" t="n">
        <v>825.548</v>
      </c>
      <c r="BF136" t="n">
        <v>732.961</v>
      </c>
      <c r="BG136" t="n">
        <v>618.03</v>
      </c>
      <c r="BH136" t="n">
        <v>526.577</v>
      </c>
      <c r="BI136" t="n">
        <v>507.673</v>
      </c>
      <c r="BJ136" t="n">
        <v>473.516</v>
      </c>
      <c r="BK136" t="n">
        <v>457.625</v>
      </c>
      <c r="BL136" t="n">
        <v>427.183</v>
      </c>
      <c r="BM136" t="n">
        <v>390.917</v>
      </c>
      <c r="BN136" t="n">
        <v>388.993</v>
      </c>
      <c r="BO136" t="n">
        <v>407.037</v>
      </c>
      <c r="BP136" t="n">
        <v>392.396</v>
      </c>
      <c r="BQ136" t="n">
        <v>370.661</v>
      </c>
      <c r="BR136" t="n">
        <v>349.107</v>
      </c>
      <c r="BS136" t="n">
        <v>327.775</v>
      </c>
      <c r="BT136" t="n">
        <v>306.785</v>
      </c>
      <c r="BU136" t="n">
        <v>309.675</v>
      </c>
      <c r="BV136" t="n">
        <v>313.98</v>
      </c>
    </row>
    <row r="137">
      <c r="A137" t="inlineStr">
        <is>
          <t>Bregmaceros mcclellandi</t>
        </is>
      </c>
      <c r="B137" t="inlineStr">
        <is>
          <t>Unicorn cod</t>
        </is>
      </c>
      <c r="C137" t="inlineStr">
        <is>
          <t>Small pelagics (&lt;30 cm)</t>
        </is>
      </c>
      <c r="D137" t="inlineStr">
        <is>
          <t>Cod-likes</t>
        </is>
      </c>
      <c r="E137" t="n">
        <v>2208.736</v>
      </c>
      <c r="F137" t="n">
        <v>4846.952</v>
      </c>
      <c r="G137" t="n">
        <v>3215.448</v>
      </c>
      <c r="H137" t="n">
        <v>14618.493</v>
      </c>
      <c r="I137" t="n">
        <v>9815.572</v>
      </c>
      <c r="J137" t="n">
        <v>3204.337</v>
      </c>
      <c r="K137" t="n">
        <v>1316.33</v>
      </c>
      <c r="L137" t="n">
        <v>1141.649</v>
      </c>
      <c r="M137" t="n">
        <v>3894.842</v>
      </c>
      <c r="N137" t="n">
        <v>3831.359</v>
      </c>
      <c r="O137" t="n">
        <v>6108.381</v>
      </c>
      <c r="P137" t="n">
        <v>3910.88</v>
      </c>
      <c r="Q137" t="n">
        <v>3177.432</v>
      </c>
      <c r="R137" t="n">
        <v>5416.486</v>
      </c>
      <c r="S137" t="n">
        <v>3730.645</v>
      </c>
      <c r="T137" t="n">
        <v>5512.342</v>
      </c>
      <c r="U137" t="n">
        <v>2665.935</v>
      </c>
      <c r="V137" t="n">
        <v>2112.543</v>
      </c>
      <c r="W137" t="n">
        <v>1830.009</v>
      </c>
      <c r="X137" t="n">
        <v>1687.803</v>
      </c>
      <c r="Y137" t="n">
        <v>2201.725</v>
      </c>
      <c r="Z137" t="n">
        <v>4361.778</v>
      </c>
      <c r="AA137" t="n">
        <v>5511.62</v>
      </c>
      <c r="AB137" t="n">
        <v>4233.228</v>
      </c>
      <c r="AC137" t="n">
        <v>1882.046</v>
      </c>
      <c r="AD137" t="n">
        <v>1049.832</v>
      </c>
      <c r="AE137" t="n">
        <v>382.453</v>
      </c>
      <c r="AF137" t="n">
        <v>30.203</v>
      </c>
      <c r="AG137" t="n">
        <v>185.173</v>
      </c>
      <c r="AH137" t="n">
        <v>642.394</v>
      </c>
      <c r="AI137" t="n">
        <v>923.215</v>
      </c>
      <c r="AJ137" t="n">
        <v>467.447</v>
      </c>
      <c r="AK137" t="n">
        <v>69.57599999999999</v>
      </c>
      <c r="AL137" t="n">
        <v>149.204</v>
      </c>
      <c r="AM137" t="n">
        <v>2672.484</v>
      </c>
      <c r="AN137" t="n">
        <v>742.8630000000001</v>
      </c>
      <c r="AO137" t="n">
        <v>419.808</v>
      </c>
      <c r="AP137" t="n">
        <v>909.615</v>
      </c>
      <c r="AQ137" t="n">
        <v>890.788</v>
      </c>
      <c r="AR137" t="n">
        <v>568.573</v>
      </c>
      <c r="AS137" t="n">
        <v>260.929</v>
      </c>
      <c r="AT137" t="n">
        <v>1563.128</v>
      </c>
      <c r="AU137" t="n">
        <v>1257.649</v>
      </c>
      <c r="AV137" t="n">
        <v>989.439</v>
      </c>
      <c r="AW137" t="n">
        <v>466.78</v>
      </c>
      <c r="AX137" t="n">
        <v>150.811</v>
      </c>
      <c r="AY137" t="n">
        <v>323.825</v>
      </c>
      <c r="AZ137" t="n">
        <v>538.865</v>
      </c>
      <c r="BA137" t="n">
        <v>424.661</v>
      </c>
      <c r="BB137" t="n">
        <v>346.867</v>
      </c>
      <c r="BC137" t="n">
        <v>536.514</v>
      </c>
      <c r="BD137" t="n">
        <v>533.1900000000001</v>
      </c>
      <c r="BE137" t="n">
        <v>975.205</v>
      </c>
      <c r="BF137" t="n">
        <v>971.434</v>
      </c>
      <c r="BG137" t="n">
        <v>873.967</v>
      </c>
      <c r="BH137" t="n">
        <v>769.021</v>
      </c>
      <c r="BI137" t="n">
        <v>677.909</v>
      </c>
      <c r="BJ137" t="n">
        <v>565.431</v>
      </c>
      <c r="BK137" t="n">
        <v>846.549</v>
      </c>
      <c r="BL137" t="n">
        <v>786.005</v>
      </c>
      <c r="BM137" t="n">
        <v>363.259</v>
      </c>
      <c r="BN137" t="n">
        <v>438.671</v>
      </c>
      <c r="BO137" t="n">
        <v>1140.528</v>
      </c>
      <c r="BP137" t="n">
        <v>951.389</v>
      </c>
      <c r="BQ137" t="n">
        <v>423.263</v>
      </c>
      <c r="BR137" t="n">
        <v>277.435</v>
      </c>
      <c r="BS137" t="n">
        <v>116.688</v>
      </c>
      <c r="BT137" t="n">
        <v>348.23</v>
      </c>
      <c r="BU137" t="n">
        <v>90.101</v>
      </c>
      <c r="BV137" t="n">
        <v>224.605</v>
      </c>
    </row>
    <row r="138">
      <c r="A138" t="inlineStr">
        <is>
          <t>Acanthopagrus bifasciatus</t>
        </is>
      </c>
      <c r="B138" t="inlineStr">
        <is>
          <t>Twobar seabream</t>
        </is>
      </c>
      <c r="C138" t="inlineStr">
        <is>
          <t>Medium reef assoc. fish (30 - 89 cm)</t>
        </is>
      </c>
      <c r="D138" t="inlineStr">
        <is>
          <t>Perch-likes</t>
        </is>
      </c>
      <c r="E138" t="n">
        <v>153.896</v>
      </c>
      <c r="F138" t="n">
        <v>153.912</v>
      </c>
      <c r="G138" t="n">
        <v>170.423</v>
      </c>
      <c r="H138" t="n">
        <v>162.436</v>
      </c>
      <c r="I138" t="n">
        <v>170.451</v>
      </c>
      <c r="J138" t="n">
        <v>170.465</v>
      </c>
      <c r="K138" t="n">
        <v>165.336</v>
      </c>
      <c r="L138" t="n">
        <v>185.844</v>
      </c>
      <c r="M138" t="n">
        <v>185.933</v>
      </c>
      <c r="N138" t="n">
        <v>202.023</v>
      </c>
      <c r="O138" t="n">
        <v>203.095</v>
      </c>
      <c r="P138" t="n">
        <v>290.492</v>
      </c>
      <c r="Q138" t="n">
        <v>323.384</v>
      </c>
      <c r="R138" t="n">
        <v>338.777</v>
      </c>
      <c r="S138" t="n">
        <v>278.199</v>
      </c>
      <c r="T138" t="n">
        <v>258.777</v>
      </c>
      <c r="U138" t="n">
        <v>266.55</v>
      </c>
      <c r="V138" t="n">
        <v>229.48</v>
      </c>
      <c r="W138" t="n">
        <v>227.362</v>
      </c>
      <c r="X138" t="n">
        <v>204.702</v>
      </c>
      <c r="Y138" t="n">
        <v>202.851</v>
      </c>
      <c r="Z138" t="n">
        <v>228.903</v>
      </c>
      <c r="AA138" t="n">
        <v>225.878</v>
      </c>
      <c r="AB138" t="n">
        <v>241.779</v>
      </c>
      <c r="AC138" t="n">
        <v>655.229</v>
      </c>
      <c r="AD138" t="n">
        <v>627.831</v>
      </c>
      <c r="AE138" t="n">
        <v>614.657</v>
      </c>
      <c r="AF138" t="n">
        <v>612.164</v>
      </c>
      <c r="AG138" t="n">
        <v>682.439</v>
      </c>
      <c r="AH138" t="n">
        <v>697.833</v>
      </c>
      <c r="AI138" t="n">
        <v>541.556</v>
      </c>
      <c r="AJ138" t="n">
        <v>578.0890000000001</v>
      </c>
      <c r="AK138" t="n">
        <v>969.248</v>
      </c>
      <c r="AL138" t="n">
        <v>973.574</v>
      </c>
      <c r="AM138" t="n">
        <v>1017.366</v>
      </c>
      <c r="AN138" t="n">
        <v>1003.518</v>
      </c>
      <c r="AO138" t="n">
        <v>1278.142</v>
      </c>
      <c r="AP138" t="n">
        <v>1587.825</v>
      </c>
      <c r="AQ138" t="n">
        <v>1671.666</v>
      </c>
      <c r="AR138" t="n">
        <v>1809.356</v>
      </c>
      <c r="AS138" t="n">
        <v>1653.812</v>
      </c>
      <c r="AT138" t="n">
        <v>1563.632</v>
      </c>
      <c r="AU138" t="n">
        <v>1946.609</v>
      </c>
      <c r="AV138" t="n">
        <v>1906.154</v>
      </c>
      <c r="AW138" t="n">
        <v>1729.129</v>
      </c>
      <c r="AX138" t="n">
        <v>1915.416</v>
      </c>
      <c r="AY138" t="n">
        <v>1922.554</v>
      </c>
      <c r="AZ138" t="n">
        <v>2099.188</v>
      </c>
      <c r="BA138" t="n">
        <v>2063.656</v>
      </c>
      <c r="BB138" t="n">
        <v>1976.403</v>
      </c>
      <c r="BC138" t="n">
        <v>2962.193</v>
      </c>
      <c r="BD138" t="n">
        <v>2151.071</v>
      </c>
      <c r="BE138" t="n">
        <v>3436.894</v>
      </c>
      <c r="BF138" t="n">
        <v>2892.279</v>
      </c>
      <c r="BG138" t="n">
        <v>2895.746</v>
      </c>
      <c r="BH138" t="n">
        <v>2687.197</v>
      </c>
      <c r="BI138" t="n">
        <v>3180.832</v>
      </c>
      <c r="BJ138" t="n">
        <v>3489.232</v>
      </c>
      <c r="BK138" t="n">
        <v>3644.111</v>
      </c>
      <c r="BL138" t="n">
        <v>3465.224</v>
      </c>
      <c r="BM138" t="n">
        <v>3674.29</v>
      </c>
      <c r="BN138" t="n">
        <v>4347.261</v>
      </c>
      <c r="BO138" t="n">
        <v>4718.059</v>
      </c>
      <c r="BP138" t="n">
        <v>5394.56</v>
      </c>
      <c r="BQ138" t="n">
        <v>5584.531</v>
      </c>
      <c r="BR138" t="n">
        <v>6382.632</v>
      </c>
      <c r="BS138" t="n">
        <v>6887.149</v>
      </c>
      <c r="BT138" t="n">
        <v>7648.621</v>
      </c>
      <c r="BU138" t="n">
        <v>7513.805</v>
      </c>
      <c r="BV138" t="n">
        <v>7539.414</v>
      </c>
    </row>
    <row r="139">
      <c r="A139" t="inlineStr">
        <is>
          <t>Upeneus sulphureus</t>
        </is>
      </c>
      <c r="B139" t="inlineStr">
        <is>
          <t>Sulphur goatfish</t>
        </is>
      </c>
      <c r="C139" t="inlineStr">
        <is>
          <t>Small demersals (&lt;30 cm)</t>
        </is>
      </c>
      <c r="D139" t="inlineStr">
        <is>
          <t>Perch-likes</t>
        </is>
      </c>
      <c r="E139" t="n">
        <v>1123.21</v>
      </c>
      <c r="F139" t="n">
        <v>1125.275</v>
      </c>
      <c r="G139" t="n">
        <v>1186.053</v>
      </c>
      <c r="H139" t="n">
        <v>1251.449</v>
      </c>
      <c r="I139" t="n">
        <v>1316.78</v>
      </c>
      <c r="J139" t="n">
        <v>1382.046</v>
      </c>
      <c r="K139" t="n">
        <v>1446.727</v>
      </c>
      <c r="L139" t="n">
        <v>1514.174</v>
      </c>
      <c r="M139" t="n">
        <v>1580.598</v>
      </c>
      <c r="N139" t="n">
        <v>1649.294</v>
      </c>
      <c r="O139" t="n">
        <v>1715.886</v>
      </c>
      <c r="P139" t="n">
        <v>1846.526</v>
      </c>
      <c r="Q139" t="n">
        <v>1977.092</v>
      </c>
      <c r="R139" t="n">
        <v>2173.427</v>
      </c>
      <c r="S139" t="n">
        <v>2368.276</v>
      </c>
      <c r="T139" t="n">
        <v>2622.059</v>
      </c>
      <c r="U139" t="n">
        <v>2941.013</v>
      </c>
      <c r="V139" t="n">
        <v>3134.24</v>
      </c>
      <c r="W139" t="n">
        <v>2546.255</v>
      </c>
      <c r="X139" t="n">
        <v>1846.964</v>
      </c>
      <c r="Y139" t="n">
        <v>1151.266</v>
      </c>
      <c r="Z139" t="n">
        <v>1176.798</v>
      </c>
      <c r="AA139" t="n">
        <v>1207.876</v>
      </c>
      <c r="AB139" t="n">
        <v>1233.794</v>
      </c>
      <c r="AC139" t="n">
        <v>1168.215</v>
      </c>
      <c r="AD139" t="n">
        <v>1251.786</v>
      </c>
      <c r="AE139" t="n">
        <v>1271.4</v>
      </c>
      <c r="AF139" t="n">
        <v>1128.182</v>
      </c>
      <c r="AG139" t="n">
        <v>1063.236</v>
      </c>
      <c r="AH139" t="n">
        <v>981.104</v>
      </c>
      <c r="AI139" t="n">
        <v>1186.915</v>
      </c>
      <c r="AJ139" t="n">
        <v>1247.994</v>
      </c>
      <c r="AK139" t="n">
        <v>1287.169</v>
      </c>
      <c r="AL139" t="n">
        <v>1529.543</v>
      </c>
      <c r="AM139" t="n">
        <v>1889.937</v>
      </c>
      <c r="AN139" t="n">
        <v>2305.142</v>
      </c>
      <c r="AO139" t="n">
        <v>2212.517</v>
      </c>
      <c r="AP139" t="n">
        <v>2180.812</v>
      </c>
      <c r="AQ139" t="n">
        <v>1953.186</v>
      </c>
      <c r="AR139" t="n">
        <v>1837.946</v>
      </c>
      <c r="AS139" t="n">
        <v>1526.926</v>
      </c>
      <c r="AT139" t="n">
        <v>1938.68</v>
      </c>
      <c r="AU139" t="n">
        <v>2079.608</v>
      </c>
      <c r="AV139" t="n">
        <v>2382.58</v>
      </c>
      <c r="AW139" t="n">
        <v>3268.816</v>
      </c>
      <c r="AX139" t="n">
        <v>3806.782</v>
      </c>
      <c r="AY139" t="n">
        <v>4106.199</v>
      </c>
      <c r="AZ139" t="n">
        <v>3583.44</v>
      </c>
      <c r="BA139" t="n">
        <v>2763.43</v>
      </c>
      <c r="BB139" t="n">
        <v>1950.333</v>
      </c>
      <c r="BC139" t="n">
        <v>1515.575</v>
      </c>
      <c r="BD139" t="n">
        <v>1392.524</v>
      </c>
      <c r="BE139" t="n">
        <v>1346.657</v>
      </c>
      <c r="BF139" t="n">
        <v>1170.07</v>
      </c>
      <c r="BG139" t="n">
        <v>1246.498</v>
      </c>
      <c r="BH139" t="n">
        <v>1447.669</v>
      </c>
      <c r="BI139" t="n">
        <v>1669.432</v>
      </c>
      <c r="BJ139" t="n">
        <v>1922.21</v>
      </c>
      <c r="BK139" t="n">
        <v>2232.274</v>
      </c>
      <c r="BL139" t="n">
        <v>2242.973</v>
      </c>
      <c r="BM139" t="n">
        <v>2022.514</v>
      </c>
      <c r="BN139" t="n">
        <v>1793.715</v>
      </c>
      <c r="BO139" t="n">
        <v>1858.63</v>
      </c>
      <c r="BP139" t="n">
        <v>1927.524</v>
      </c>
      <c r="BQ139" t="n">
        <v>1896.002</v>
      </c>
      <c r="BR139" t="n">
        <v>1847.157</v>
      </c>
      <c r="BS139" t="n">
        <v>1621.649</v>
      </c>
      <c r="BT139" t="n">
        <v>1877.995</v>
      </c>
      <c r="BU139" t="n">
        <v>1903.837</v>
      </c>
      <c r="BV139" t="n">
        <v>1893.583</v>
      </c>
    </row>
    <row r="140">
      <c r="A140" t="inlineStr">
        <is>
          <t>Auxis rochei</t>
        </is>
      </c>
      <c r="B140" t="inlineStr">
        <is>
          <t>Bullet tuna</t>
        </is>
      </c>
      <c r="C140" t="inlineStr">
        <is>
          <t>Medium pelagics (30 - 89 cm)</t>
        </is>
      </c>
      <c r="D140" t="inlineStr">
        <is>
          <t>Tuna &amp; billfishes</t>
        </is>
      </c>
      <c r="E140" t="n">
        <v>119.35</v>
      </c>
      <c r="F140" t="n">
        <v>135.567</v>
      </c>
      <c r="G140" t="n">
        <v>136.046</v>
      </c>
      <c r="H140" t="n">
        <v>174.776</v>
      </c>
      <c r="I140" t="n">
        <v>176.664</v>
      </c>
      <c r="J140" t="n">
        <v>176.935</v>
      </c>
      <c r="K140" t="n">
        <v>178.751</v>
      </c>
      <c r="L140" t="n">
        <v>90.28700000000001</v>
      </c>
      <c r="M140" t="n">
        <v>91.19499999999999</v>
      </c>
      <c r="N140" t="n">
        <v>93.708</v>
      </c>
      <c r="O140" t="n">
        <v>97.767</v>
      </c>
      <c r="P140" t="n">
        <v>145.126</v>
      </c>
      <c r="Q140" t="n">
        <v>141.621</v>
      </c>
      <c r="R140" t="n">
        <v>143.803</v>
      </c>
      <c r="S140" t="n">
        <v>145.89</v>
      </c>
      <c r="T140" t="n">
        <v>218.238</v>
      </c>
      <c r="U140" t="n">
        <v>253.932</v>
      </c>
      <c r="V140" t="n">
        <v>244.675</v>
      </c>
      <c r="W140" t="n">
        <v>258.067</v>
      </c>
      <c r="X140" t="n">
        <v>253.669</v>
      </c>
      <c r="Y140" t="n">
        <v>145.559</v>
      </c>
      <c r="Z140" t="n">
        <v>146.353</v>
      </c>
      <c r="AA140" t="n">
        <v>162.205</v>
      </c>
      <c r="AB140" t="n">
        <v>311.404</v>
      </c>
      <c r="AC140" t="n">
        <v>283.623</v>
      </c>
      <c r="AD140" t="n">
        <v>194.626</v>
      </c>
      <c r="AE140" t="n">
        <v>132.619</v>
      </c>
      <c r="AF140" t="n">
        <v>158.997</v>
      </c>
      <c r="AG140" t="n">
        <v>104.22</v>
      </c>
      <c r="AH140" t="n">
        <v>122.518</v>
      </c>
      <c r="AI140" t="n">
        <v>105.24</v>
      </c>
      <c r="AJ140" t="n">
        <v>95.32899999999999</v>
      </c>
      <c r="AK140" t="n">
        <v>131.026</v>
      </c>
      <c r="AL140" t="n">
        <v>194.753</v>
      </c>
      <c r="AM140" t="n">
        <v>168.979</v>
      </c>
      <c r="AN140" t="n">
        <v>155.436</v>
      </c>
      <c r="AO140" t="n">
        <v>403.053</v>
      </c>
      <c r="AP140" t="n">
        <v>480.286</v>
      </c>
      <c r="AQ140" t="n">
        <v>466.145</v>
      </c>
      <c r="AR140" t="n">
        <v>317.17</v>
      </c>
      <c r="AS140" t="n">
        <v>313.906</v>
      </c>
      <c r="AT140" t="n">
        <v>671.633</v>
      </c>
      <c r="AU140" t="n">
        <v>545.581</v>
      </c>
      <c r="AV140" t="n">
        <v>826.949</v>
      </c>
      <c r="AW140" t="n">
        <v>487.337</v>
      </c>
      <c r="AX140" t="n">
        <v>3364.682</v>
      </c>
      <c r="AY140" t="n">
        <v>1215.67</v>
      </c>
      <c r="AZ140" t="n">
        <v>739.346</v>
      </c>
      <c r="BA140" t="n">
        <v>835.47</v>
      </c>
      <c r="BB140" t="n">
        <v>815.456</v>
      </c>
      <c r="BC140" t="n">
        <v>1059.317</v>
      </c>
      <c r="BD140" t="n">
        <v>835.619</v>
      </c>
      <c r="BE140" t="n">
        <v>897.24</v>
      </c>
      <c r="BF140" t="n">
        <v>1441.467</v>
      </c>
      <c r="BG140" t="n">
        <v>1706.377</v>
      </c>
      <c r="BH140" t="n">
        <v>1955.919</v>
      </c>
      <c r="BI140" t="n">
        <v>2673.19</v>
      </c>
      <c r="BJ140" t="n">
        <v>5533.039</v>
      </c>
      <c r="BK140" t="n">
        <v>7393.148</v>
      </c>
      <c r="BL140" t="n">
        <v>5499.794</v>
      </c>
      <c r="BM140" t="n">
        <v>6347.339</v>
      </c>
      <c r="BN140" t="n">
        <v>6076.391</v>
      </c>
      <c r="BO140" t="n">
        <v>8216.942999999999</v>
      </c>
      <c r="BP140" t="n">
        <v>6869.645</v>
      </c>
      <c r="BQ140" t="n">
        <v>13452.127</v>
      </c>
      <c r="BR140" t="n">
        <v>10597.052</v>
      </c>
      <c r="BS140" t="n">
        <v>10757.37</v>
      </c>
      <c r="BT140" t="n">
        <v>10225.69</v>
      </c>
      <c r="BU140" t="n">
        <v>9278.054</v>
      </c>
      <c r="BV140" t="n">
        <v>15.381</v>
      </c>
    </row>
    <row r="141">
      <c r="A141" t="inlineStr">
        <is>
          <t>Grammoplites suppositus</t>
        </is>
      </c>
      <c r="B141" t="inlineStr">
        <is>
          <t>Spotfin flathead</t>
        </is>
      </c>
      <c r="C141" t="inlineStr">
        <is>
          <t>Small demersals (&lt;30 cm)</t>
        </is>
      </c>
      <c r="D141" t="inlineStr">
        <is>
          <t>Scorpionfishes</t>
        </is>
      </c>
      <c r="E141" t="n">
        <v>1610.513</v>
      </c>
      <c r="F141" t="n">
        <v>1619.709</v>
      </c>
      <c r="G141" t="n">
        <v>1608.877</v>
      </c>
      <c r="H141" t="n">
        <v>1616.648</v>
      </c>
      <c r="I141" t="n">
        <v>1625.441</v>
      </c>
      <c r="J141" t="n">
        <v>1633.29</v>
      </c>
      <c r="K141" t="n">
        <v>1638.86</v>
      </c>
      <c r="L141" t="n">
        <v>1658.057</v>
      </c>
      <c r="M141" t="n">
        <v>1671.066</v>
      </c>
      <c r="N141" t="n">
        <v>1695.498</v>
      </c>
      <c r="O141" t="n">
        <v>1707.874</v>
      </c>
      <c r="P141" t="n">
        <v>1731.151</v>
      </c>
      <c r="Q141" t="n">
        <v>1749.631</v>
      </c>
      <c r="R141" t="n">
        <v>1776.733</v>
      </c>
      <c r="S141" t="n">
        <v>1792.395</v>
      </c>
      <c r="T141" t="n">
        <v>1789.08</v>
      </c>
      <c r="U141" t="n">
        <v>1795.857</v>
      </c>
      <c r="V141" t="n">
        <v>1804.107</v>
      </c>
      <c r="W141" t="n">
        <v>1784.915</v>
      </c>
      <c r="X141" t="n">
        <v>1809.504</v>
      </c>
      <c r="Y141" t="n">
        <v>1822.342</v>
      </c>
      <c r="Z141" t="n">
        <v>1824.606</v>
      </c>
      <c r="AA141" t="n">
        <v>1849.866</v>
      </c>
      <c r="AB141" t="n">
        <v>1853.609</v>
      </c>
      <c r="AC141" t="n">
        <v>1493.646</v>
      </c>
      <c r="AD141" t="n">
        <v>1592.021</v>
      </c>
      <c r="AE141" t="n">
        <v>1693.263</v>
      </c>
      <c r="AF141" t="n">
        <v>1795.744</v>
      </c>
      <c r="AG141" t="n">
        <v>1771.411</v>
      </c>
      <c r="AH141" t="n">
        <v>1749.026</v>
      </c>
      <c r="AI141" t="n">
        <v>1890.473</v>
      </c>
      <c r="AJ141" t="n">
        <v>1917.083</v>
      </c>
      <c r="AK141" t="n">
        <v>1550.891</v>
      </c>
      <c r="AL141" t="n">
        <v>1584.39</v>
      </c>
      <c r="AM141" t="n">
        <v>1601.442</v>
      </c>
      <c r="AN141" t="n">
        <v>1618.03</v>
      </c>
      <c r="AO141" t="n">
        <v>1571.613</v>
      </c>
      <c r="AP141" t="n">
        <v>1811.97</v>
      </c>
      <c r="AQ141" t="n">
        <v>1847.932</v>
      </c>
      <c r="AR141" t="n">
        <v>1875.88</v>
      </c>
      <c r="AS141" t="n">
        <v>1830.569</v>
      </c>
      <c r="AT141" t="n">
        <v>2108.056</v>
      </c>
      <c r="AU141" t="n">
        <v>2081.492</v>
      </c>
      <c r="AV141" t="n">
        <v>1827.635</v>
      </c>
      <c r="AW141" t="n">
        <v>3241.205</v>
      </c>
      <c r="AX141" t="n">
        <v>3189.451</v>
      </c>
      <c r="AY141" t="n">
        <v>2985.339</v>
      </c>
      <c r="AZ141" t="n">
        <v>4092.501</v>
      </c>
      <c r="BA141" t="n">
        <v>3204.221</v>
      </c>
      <c r="BB141" t="n">
        <v>2914.724</v>
      </c>
      <c r="BC141" t="n">
        <v>2646.942</v>
      </c>
      <c r="BD141" t="n">
        <v>2530.078</v>
      </c>
      <c r="BE141" t="n">
        <v>2136.174</v>
      </c>
      <c r="BF141" t="n">
        <v>1599.416</v>
      </c>
      <c r="BG141" t="n">
        <v>1649.828</v>
      </c>
      <c r="BH141" t="n">
        <v>1527.58</v>
      </c>
      <c r="BI141" t="n">
        <v>1423.344</v>
      </c>
      <c r="BJ141" t="n">
        <v>1255.054</v>
      </c>
      <c r="BK141" t="n">
        <v>1124.894</v>
      </c>
      <c r="BL141" t="n">
        <v>1057.141</v>
      </c>
      <c r="BM141" t="n">
        <v>872.402</v>
      </c>
      <c r="BN141" t="n">
        <v>1141.338</v>
      </c>
      <c r="BO141" t="n">
        <v>1067.536</v>
      </c>
      <c r="BP141" t="n">
        <v>1116.052</v>
      </c>
      <c r="BQ141" t="n">
        <v>1143.251</v>
      </c>
      <c r="BR141" t="n">
        <v>1135.088</v>
      </c>
      <c r="BS141" t="n">
        <v>1137.365</v>
      </c>
      <c r="BT141" t="n">
        <v>1197.107</v>
      </c>
      <c r="BU141" t="n">
        <v>1311.265</v>
      </c>
      <c r="BV141" t="n">
        <v>1258.662</v>
      </c>
    </row>
    <row r="142">
      <c r="A142" t="inlineStr">
        <is>
          <t>Scolopsis taeniata</t>
        </is>
      </c>
      <c r="B142" t="inlineStr">
        <is>
          <t>Black-streaked monocle bream</t>
        </is>
      </c>
      <c r="C142" t="inlineStr">
        <is>
          <t>Small reef assoc. fish (&lt;30 cm)</t>
        </is>
      </c>
      <c r="D142" t="inlineStr">
        <is>
          <t>Perch-likes</t>
        </is>
      </c>
      <c r="E142" t="n">
        <v>869.478</v>
      </c>
      <c r="F142" t="n">
        <v>870.024</v>
      </c>
      <c r="G142" t="n">
        <v>942.528</v>
      </c>
      <c r="H142" t="n">
        <v>1001.237</v>
      </c>
      <c r="I142" t="n">
        <v>1070.63</v>
      </c>
      <c r="J142" t="n">
        <v>1134.303</v>
      </c>
      <c r="K142" t="n">
        <v>1200.323</v>
      </c>
      <c r="L142" t="n">
        <v>1278.242</v>
      </c>
      <c r="M142" t="n">
        <v>1342.219</v>
      </c>
      <c r="N142" t="n">
        <v>1419.153</v>
      </c>
      <c r="O142" t="n">
        <v>1483.386</v>
      </c>
      <c r="P142" t="n">
        <v>1665.202</v>
      </c>
      <c r="Q142" t="n">
        <v>1814.177</v>
      </c>
      <c r="R142" t="n">
        <v>2014.531</v>
      </c>
      <c r="S142" t="n">
        <v>2177.748</v>
      </c>
      <c r="T142" t="n">
        <v>2414.175</v>
      </c>
      <c r="U142" t="n">
        <v>2733.916</v>
      </c>
      <c r="V142" t="n">
        <v>2895.743</v>
      </c>
      <c r="W142" t="n">
        <v>2294.401</v>
      </c>
      <c r="X142" t="n">
        <v>1591.68</v>
      </c>
      <c r="Y142" t="n">
        <v>898.62</v>
      </c>
      <c r="Z142" t="n">
        <v>937.982</v>
      </c>
      <c r="AA142" t="n">
        <v>965.147</v>
      </c>
      <c r="AB142" t="n">
        <v>1002.168</v>
      </c>
      <c r="AC142" t="n">
        <v>1003.124</v>
      </c>
      <c r="AD142" t="n">
        <v>1053.135</v>
      </c>
      <c r="AE142" t="n">
        <v>1053.798</v>
      </c>
      <c r="AF142" t="n">
        <v>890.227</v>
      </c>
      <c r="AG142" t="n">
        <v>862.15</v>
      </c>
      <c r="AH142" t="n">
        <v>802.87</v>
      </c>
      <c r="AI142" t="n">
        <v>1003.028</v>
      </c>
      <c r="AJ142" t="n">
        <v>1077.107</v>
      </c>
      <c r="AK142" t="n">
        <v>1156.685</v>
      </c>
      <c r="AL142" t="n">
        <v>1450.512</v>
      </c>
      <c r="AM142" t="n">
        <v>1821.877</v>
      </c>
      <c r="AN142" t="n">
        <v>2208.638</v>
      </c>
      <c r="AO142" t="n">
        <v>2128.776</v>
      </c>
      <c r="AP142" t="n">
        <v>2038.228</v>
      </c>
      <c r="AQ142" t="n">
        <v>1793.65</v>
      </c>
      <c r="AR142" t="n">
        <v>1678.519</v>
      </c>
      <c r="AS142" t="n">
        <v>1352.582</v>
      </c>
      <c r="AT142" t="n">
        <v>1708.766</v>
      </c>
      <c r="AU142" t="n">
        <v>1895.521</v>
      </c>
      <c r="AV142" t="n">
        <v>2243.434</v>
      </c>
      <c r="AW142" t="n">
        <v>2950.519</v>
      </c>
      <c r="AX142" t="n">
        <v>3511.283</v>
      </c>
      <c r="AY142" t="n">
        <v>3861.033</v>
      </c>
      <c r="AZ142" t="n">
        <v>3162.065</v>
      </c>
      <c r="BA142" t="n">
        <v>2522.916</v>
      </c>
      <c r="BB142" t="n">
        <v>1751.71</v>
      </c>
      <c r="BC142" t="n">
        <v>1402.725</v>
      </c>
      <c r="BD142" t="n">
        <v>1302.05</v>
      </c>
      <c r="BE142" t="n">
        <v>1510.13</v>
      </c>
      <c r="BF142" t="n">
        <v>1388.896</v>
      </c>
      <c r="BG142" t="n">
        <v>1271.899</v>
      </c>
      <c r="BH142" t="n">
        <v>1484.331</v>
      </c>
      <c r="BI142" t="n">
        <v>2099.61</v>
      </c>
      <c r="BJ142" t="n">
        <v>2490.375</v>
      </c>
      <c r="BK142" t="n">
        <v>2524.226</v>
      </c>
      <c r="BL142" t="n">
        <v>2583.061</v>
      </c>
      <c r="BM142" t="n">
        <v>2346.331</v>
      </c>
      <c r="BN142" t="n">
        <v>2086.803</v>
      </c>
      <c r="BO142" t="n">
        <v>2168.041</v>
      </c>
      <c r="BP142" t="n">
        <v>2270.72</v>
      </c>
      <c r="BQ142" t="n">
        <v>2214.767</v>
      </c>
      <c r="BR142" t="n">
        <v>2167.17</v>
      </c>
      <c r="BS142" t="n">
        <v>1943.246</v>
      </c>
      <c r="BT142" t="n">
        <v>2434.052</v>
      </c>
      <c r="BU142" t="n">
        <v>2377.293</v>
      </c>
      <c r="BV142" t="n">
        <v>2417.844</v>
      </c>
    </row>
    <row r="143">
      <c r="A143" t="inlineStr">
        <is>
          <t>Sparidentex hasta</t>
        </is>
      </c>
      <c r="B143" t="inlineStr">
        <is>
          <t>Sobaity seabream</t>
        </is>
      </c>
      <c r="C143" t="inlineStr">
        <is>
          <t>Medium demersals (30 - 89 cm)</t>
        </is>
      </c>
      <c r="D143" t="inlineStr">
        <is>
          <t>Perch-likes</t>
        </is>
      </c>
      <c r="E143" t="n">
        <v>1090.241</v>
      </c>
      <c r="F143" t="n">
        <v>1115.401</v>
      </c>
      <c r="G143" t="n">
        <v>1153.952</v>
      </c>
      <c r="H143" t="n">
        <v>1218.038</v>
      </c>
      <c r="I143" t="n">
        <v>1249.838</v>
      </c>
      <c r="J143" t="n">
        <v>1282.792</v>
      </c>
      <c r="K143" t="n">
        <v>1311.532</v>
      </c>
      <c r="L143" t="n">
        <v>1361.935</v>
      </c>
      <c r="M143" t="n">
        <v>1374.382</v>
      </c>
      <c r="N143" t="n">
        <v>1408.389</v>
      </c>
      <c r="O143" t="n">
        <v>1459.008</v>
      </c>
      <c r="P143" t="n">
        <v>1476.109</v>
      </c>
      <c r="Q143" t="n">
        <v>1560.093</v>
      </c>
      <c r="R143" t="n">
        <v>1599.057</v>
      </c>
      <c r="S143" t="n">
        <v>1632.56</v>
      </c>
      <c r="T143" t="n">
        <v>1673.438</v>
      </c>
      <c r="U143" t="n">
        <v>1775.404</v>
      </c>
      <c r="V143" t="n">
        <v>1795.819</v>
      </c>
      <c r="W143" t="n">
        <v>1835.331</v>
      </c>
      <c r="X143" t="n">
        <v>1894.799</v>
      </c>
      <c r="Y143" t="n">
        <v>1917.333</v>
      </c>
      <c r="Z143" t="n">
        <v>1919.642</v>
      </c>
      <c r="AA143" t="n">
        <v>1759.179</v>
      </c>
      <c r="AB143" t="n">
        <v>1776.579</v>
      </c>
      <c r="AC143" t="n">
        <v>1673.573</v>
      </c>
      <c r="AD143" t="n">
        <v>1653.988</v>
      </c>
      <c r="AE143" t="n">
        <v>1648.242</v>
      </c>
      <c r="AF143" t="n">
        <v>1715.391</v>
      </c>
      <c r="AG143" t="n">
        <v>1699.347</v>
      </c>
      <c r="AH143" t="n">
        <v>1736.138</v>
      </c>
      <c r="AI143" t="n">
        <v>1685.396</v>
      </c>
      <c r="AJ143" t="n">
        <v>1709.378</v>
      </c>
      <c r="AK143" t="n">
        <v>1738.123</v>
      </c>
      <c r="AL143" t="n">
        <v>1717.477</v>
      </c>
      <c r="AM143" t="n">
        <v>1667.209</v>
      </c>
      <c r="AN143" t="n">
        <v>1652.266</v>
      </c>
      <c r="AO143" t="n">
        <v>1591.773</v>
      </c>
      <c r="AP143" t="n">
        <v>1487.409</v>
      </c>
      <c r="AQ143" t="n">
        <v>1475.133</v>
      </c>
      <c r="AR143" t="n">
        <v>1471.154</v>
      </c>
      <c r="AS143" t="n">
        <v>1229.644</v>
      </c>
      <c r="AT143" t="n">
        <v>1275.757</v>
      </c>
      <c r="AU143" t="n">
        <v>1285.564</v>
      </c>
      <c r="AV143" t="n">
        <v>1365.82</v>
      </c>
      <c r="AW143" t="n">
        <v>1392.424</v>
      </c>
      <c r="AX143" t="n">
        <v>1526.258</v>
      </c>
      <c r="AY143" t="n">
        <v>1569.407</v>
      </c>
      <c r="AZ143" t="n">
        <v>1571.406</v>
      </c>
      <c r="BA143" t="n">
        <v>1610.98</v>
      </c>
      <c r="BB143" t="n">
        <v>1680.059</v>
      </c>
      <c r="BC143" t="n">
        <v>1683.092</v>
      </c>
      <c r="BD143" t="n">
        <v>1670.43</v>
      </c>
      <c r="BE143" t="n">
        <v>1733.023</v>
      </c>
      <c r="BF143" t="n">
        <v>1730.869</v>
      </c>
      <c r="BG143" t="n">
        <v>1733.252</v>
      </c>
      <c r="BH143" t="n">
        <v>1761.227</v>
      </c>
      <c r="BI143" t="n">
        <v>1799.627</v>
      </c>
      <c r="BJ143" t="n">
        <v>1869.958</v>
      </c>
      <c r="BK143" t="n">
        <v>1924.99</v>
      </c>
      <c r="BL143" t="n">
        <v>2028.486</v>
      </c>
      <c r="BM143" t="n">
        <v>2033.24</v>
      </c>
      <c r="BN143" t="n">
        <v>1967.979</v>
      </c>
      <c r="BO143" t="n">
        <v>2145.735</v>
      </c>
      <c r="BP143" t="n">
        <v>2056.705</v>
      </c>
      <c r="BQ143" t="n">
        <v>2054.742</v>
      </c>
      <c r="BR143" t="n">
        <v>2048.425</v>
      </c>
      <c r="BS143" t="n">
        <v>2046.979</v>
      </c>
      <c r="BT143" t="n">
        <v>1956.203</v>
      </c>
      <c r="BU143" t="n">
        <v>2003.457</v>
      </c>
      <c r="BV143" t="n">
        <v>1998.62</v>
      </c>
    </row>
    <row r="144">
      <c r="A144" t="inlineStr">
        <is>
          <t>Loliginidae</t>
        </is>
      </c>
      <c r="B144" t="inlineStr">
        <is>
          <t>Common pencil squids</t>
        </is>
      </c>
      <c r="C144" t="inlineStr">
        <is>
          <t>Cephalopods</t>
        </is>
      </c>
      <c r="D144" t="inlineStr">
        <is>
          <t>Other fishes &amp; inverts</t>
        </is>
      </c>
      <c r="E144" t="n">
        <v>0.18</v>
      </c>
      <c r="F144" t="n">
        <v>0.185</v>
      </c>
      <c r="G144" t="n">
        <v>0.19</v>
      </c>
      <c r="H144" t="n">
        <v>0.194</v>
      </c>
      <c r="I144" t="n">
        <v>0.199</v>
      </c>
      <c r="J144" t="n">
        <v>0.204</v>
      </c>
      <c r="K144" t="n">
        <v>0.208</v>
      </c>
      <c r="L144" t="n">
        <v>0.213</v>
      </c>
      <c r="M144" t="n">
        <v>0.218</v>
      </c>
      <c r="N144" t="n">
        <v>0.222</v>
      </c>
      <c r="O144" t="n">
        <v>0.227</v>
      </c>
      <c r="P144" t="n">
        <v>0.232</v>
      </c>
      <c r="Q144" t="n">
        <v>0.236</v>
      </c>
      <c r="R144" t="n">
        <v>0.241</v>
      </c>
      <c r="S144" t="n">
        <v>0.246</v>
      </c>
      <c r="T144" t="n">
        <v>0.25</v>
      </c>
      <c r="U144" t="n">
        <v>0.255</v>
      </c>
      <c r="V144" t="n">
        <v>0.259</v>
      </c>
      <c r="W144" t="n">
        <v>0.273</v>
      </c>
      <c r="X144" t="n">
        <v>0.286</v>
      </c>
      <c r="Y144" t="n">
        <v>2.302</v>
      </c>
      <c r="Z144" t="n">
        <v>2.216</v>
      </c>
      <c r="AA144" t="n">
        <v>2.294</v>
      </c>
      <c r="AB144" t="n">
        <v>5.059</v>
      </c>
      <c r="AC144" t="n">
        <v>9.565</v>
      </c>
      <c r="AD144" t="n">
        <v>13.372</v>
      </c>
      <c r="AE144" t="n">
        <v>8.805999999999999</v>
      </c>
      <c r="AF144" t="n">
        <v>38.309</v>
      </c>
      <c r="AG144" t="n">
        <v>41.89</v>
      </c>
      <c r="AH144" t="n">
        <v>35.258</v>
      </c>
      <c r="AI144" t="n">
        <v>36.18</v>
      </c>
      <c r="AJ144" t="n">
        <v>115.592</v>
      </c>
      <c r="AK144" t="n">
        <v>121.959</v>
      </c>
      <c r="AL144" t="n">
        <v>151.348</v>
      </c>
      <c r="AM144" t="n">
        <v>47.172</v>
      </c>
      <c r="AN144" t="n">
        <v>269.091</v>
      </c>
      <c r="AO144" t="n">
        <v>298.683</v>
      </c>
      <c r="AP144" t="n">
        <v>643.792</v>
      </c>
      <c r="AQ144" t="n">
        <v>765.346</v>
      </c>
      <c r="AR144" t="n">
        <v>708.332</v>
      </c>
      <c r="AS144" t="n">
        <v>2452.692</v>
      </c>
      <c r="AT144" t="n">
        <v>4278.435</v>
      </c>
      <c r="AU144" t="n">
        <v>3992.638</v>
      </c>
      <c r="AV144" t="n">
        <v>4396.315</v>
      </c>
      <c r="AW144" t="n">
        <v>4075.829</v>
      </c>
      <c r="AX144" t="n">
        <v>3225.253</v>
      </c>
      <c r="AY144" t="n">
        <v>2745.889</v>
      </c>
      <c r="AZ144" t="n">
        <v>4540.294</v>
      </c>
      <c r="BA144" t="n">
        <v>3415.883</v>
      </c>
      <c r="BB144" t="n">
        <v>5110.446</v>
      </c>
      <c r="BC144" t="n">
        <v>4186.796</v>
      </c>
      <c r="BD144" t="n">
        <v>4107.344</v>
      </c>
      <c r="BE144" t="n">
        <v>3317.966</v>
      </c>
      <c r="BF144" t="n">
        <v>2323.627</v>
      </c>
      <c r="BG144" t="n">
        <v>3494.862</v>
      </c>
      <c r="BH144" t="n">
        <v>2975.474</v>
      </c>
      <c r="BI144" t="n">
        <v>3079.651</v>
      </c>
      <c r="BJ144" t="n">
        <v>3146.102</v>
      </c>
      <c r="BK144" t="n">
        <v>3220.278</v>
      </c>
      <c r="BL144" t="n">
        <v>3314.081</v>
      </c>
      <c r="BM144" t="n">
        <v>3583.513</v>
      </c>
      <c r="BN144" t="n">
        <v>3502.832</v>
      </c>
      <c r="BO144" t="n">
        <v>3437.751</v>
      </c>
      <c r="BP144" t="n">
        <v>3507.397</v>
      </c>
      <c r="BQ144" t="n">
        <v>4096.344</v>
      </c>
      <c r="BR144" t="n">
        <v>4189.661</v>
      </c>
      <c r="BS144" t="n">
        <v>4300.087</v>
      </c>
      <c r="BT144" t="n">
        <v>4332.783</v>
      </c>
      <c r="BU144" t="n">
        <v>4780.048</v>
      </c>
      <c r="BV144" t="n">
        <v>4199.482</v>
      </c>
    </row>
    <row r="145">
      <c r="A145" t="inlineStr">
        <is>
          <t>Plectorhinchus</t>
        </is>
      </c>
      <c r="B145" t="inlineStr">
        <is>
          <t>Sweetlips</t>
        </is>
      </c>
      <c r="C145" t="inlineStr">
        <is>
          <t>Medium reef assoc. fish (30 - 89 cm)</t>
        </is>
      </c>
      <c r="D145" t="inlineStr">
        <is>
          <t>Perch-likes</t>
        </is>
      </c>
      <c r="E145" t="n">
        <v>551.3630000000001</v>
      </c>
      <c r="F145" t="n">
        <v>551.725</v>
      </c>
      <c r="G145" t="n">
        <v>623.7140000000001</v>
      </c>
      <c r="H145" t="n">
        <v>696.658</v>
      </c>
      <c r="I145" t="n">
        <v>697.628</v>
      </c>
      <c r="J145" t="n">
        <v>843.191</v>
      </c>
      <c r="K145" t="n">
        <v>842.837</v>
      </c>
      <c r="L145" t="n">
        <v>844.248</v>
      </c>
      <c r="M145" t="n">
        <v>845.073</v>
      </c>
      <c r="N145" t="n">
        <v>920.521</v>
      </c>
      <c r="O145" t="n">
        <v>921.7140000000001</v>
      </c>
      <c r="P145" t="n">
        <v>922.991</v>
      </c>
      <c r="Q145" t="n">
        <v>997.1660000000001</v>
      </c>
      <c r="R145" t="n">
        <v>1000.493</v>
      </c>
      <c r="S145" t="n">
        <v>1002.354</v>
      </c>
      <c r="T145" t="n">
        <v>1074.368</v>
      </c>
      <c r="U145" t="n">
        <v>1148.789</v>
      </c>
      <c r="V145" t="n">
        <v>1150.221</v>
      </c>
      <c r="W145" t="n">
        <v>1149.849</v>
      </c>
      <c r="X145" t="n">
        <v>1212.625</v>
      </c>
      <c r="Y145" t="n">
        <v>1275.806</v>
      </c>
      <c r="Z145" t="n">
        <v>1337.515</v>
      </c>
      <c r="AA145" t="n">
        <v>1402.626</v>
      </c>
      <c r="AB145" t="n">
        <v>1465.467</v>
      </c>
      <c r="AC145" t="n">
        <v>1502.801</v>
      </c>
      <c r="AD145" t="n">
        <v>1571.697</v>
      </c>
      <c r="AE145" t="n">
        <v>1549.872</v>
      </c>
      <c r="AF145" t="n">
        <v>1522.272</v>
      </c>
      <c r="AG145" t="n">
        <v>1483.668</v>
      </c>
      <c r="AH145" t="n">
        <v>1444.604</v>
      </c>
      <c r="AI145" t="n">
        <v>1408.843</v>
      </c>
      <c r="AJ145" t="n">
        <v>1366.74</v>
      </c>
      <c r="AK145" t="n">
        <v>1420.466</v>
      </c>
      <c r="AL145" t="n">
        <v>1701.974</v>
      </c>
      <c r="AM145" t="n">
        <v>1654.947</v>
      </c>
      <c r="AN145" t="n">
        <v>1504.435</v>
      </c>
      <c r="AO145" t="n">
        <v>1533.218</v>
      </c>
      <c r="AP145" t="n">
        <v>1821.879</v>
      </c>
      <c r="AQ145" t="n">
        <v>2545.402</v>
      </c>
      <c r="AR145" t="n">
        <v>1862.268</v>
      </c>
      <c r="AS145" t="n">
        <v>1870.052</v>
      </c>
      <c r="AT145" t="n">
        <v>1912.014</v>
      </c>
      <c r="AU145" t="n">
        <v>1828.522</v>
      </c>
      <c r="AV145" t="n">
        <v>1761.578</v>
      </c>
      <c r="AW145" t="n">
        <v>1924.856</v>
      </c>
      <c r="AX145" t="n">
        <v>2225.052</v>
      </c>
      <c r="AY145" t="n">
        <v>1946.592</v>
      </c>
      <c r="AZ145" t="n">
        <v>2009.339</v>
      </c>
      <c r="BA145" t="n">
        <v>1799.781</v>
      </c>
      <c r="BB145" t="n">
        <v>1893.538</v>
      </c>
      <c r="BC145" t="n">
        <v>2017.971</v>
      </c>
      <c r="BD145" t="n">
        <v>848.478</v>
      </c>
      <c r="BE145" t="n">
        <v>1204.677</v>
      </c>
      <c r="BF145" t="n">
        <v>1148.686</v>
      </c>
      <c r="BG145" t="n">
        <v>1654.955</v>
      </c>
      <c r="BH145" t="n">
        <v>1136.142</v>
      </c>
      <c r="BI145" t="n">
        <v>1182.207</v>
      </c>
      <c r="BJ145" t="n">
        <v>1019.331</v>
      </c>
      <c r="BK145" t="n">
        <v>2102.845</v>
      </c>
      <c r="BL145" t="n">
        <v>1541.447</v>
      </c>
      <c r="BM145" t="n">
        <v>2216.257</v>
      </c>
      <c r="BN145" t="n">
        <v>3613.669</v>
      </c>
      <c r="BO145" t="n">
        <v>3096.615</v>
      </c>
      <c r="BP145" t="n">
        <v>3611.853</v>
      </c>
      <c r="BQ145" t="n">
        <v>4019.213</v>
      </c>
      <c r="BR145" t="n">
        <v>3998.865</v>
      </c>
      <c r="BS145" t="n">
        <v>3729.126</v>
      </c>
      <c r="BT145" t="n">
        <v>3456.644</v>
      </c>
      <c r="BU145" t="n">
        <v>2001.2</v>
      </c>
      <c r="BV145" t="n">
        <v>2001.797</v>
      </c>
    </row>
    <row r="146">
      <c r="A146" t="inlineStr">
        <is>
          <t>Gerres oyena</t>
        </is>
      </c>
      <c r="B146" t="inlineStr">
        <is>
          <t>Common silver-biddy</t>
        </is>
      </c>
      <c r="C146" t="inlineStr">
        <is>
          <t>Small demersals (&lt;30 cm)</t>
        </is>
      </c>
      <c r="D146" t="inlineStr">
        <is>
          <t>Perch-likes</t>
        </is>
      </c>
      <c r="E146" t="n">
        <v>773.282</v>
      </c>
      <c r="F146" t="n">
        <v>773.282</v>
      </c>
      <c r="G146" t="n">
        <v>846.47</v>
      </c>
      <c r="H146" t="n">
        <v>904.662</v>
      </c>
      <c r="I146" t="n">
        <v>972.85</v>
      </c>
      <c r="J146" t="n">
        <v>1036.041</v>
      </c>
      <c r="K146" t="n">
        <v>1101.73</v>
      </c>
      <c r="L146" t="n">
        <v>1177.417</v>
      </c>
      <c r="M146" t="n">
        <v>1240.612</v>
      </c>
      <c r="N146" t="n">
        <v>1313.799</v>
      </c>
      <c r="O146" t="n">
        <v>1377.304</v>
      </c>
      <c r="P146" t="n">
        <v>1558.221</v>
      </c>
      <c r="Q146" t="n">
        <v>1705.178</v>
      </c>
      <c r="R146" t="n">
        <v>1904.841</v>
      </c>
      <c r="S146" t="n">
        <v>2067.171</v>
      </c>
      <c r="T146" t="n">
        <v>2309.751</v>
      </c>
      <c r="U146" t="n">
        <v>2641.277</v>
      </c>
      <c r="V146" t="n">
        <v>2796.701</v>
      </c>
      <c r="W146" t="n">
        <v>2198.42</v>
      </c>
      <c r="X146" t="n">
        <v>1483.378</v>
      </c>
      <c r="Y146" t="n">
        <v>800.26</v>
      </c>
      <c r="Z146" t="n">
        <v>837.861</v>
      </c>
      <c r="AA146" t="n">
        <v>857.837</v>
      </c>
      <c r="AB146" t="n">
        <v>949.8579999999999</v>
      </c>
      <c r="AC146" t="n">
        <v>922.081</v>
      </c>
      <c r="AD146" t="n">
        <v>964.75</v>
      </c>
      <c r="AE146" t="n">
        <v>961.942</v>
      </c>
      <c r="AF146" t="n">
        <v>786.6319999999999</v>
      </c>
      <c r="AG146" t="n">
        <v>766.653</v>
      </c>
      <c r="AH146" t="n">
        <v>705.165</v>
      </c>
      <c r="AI146" t="n">
        <v>886.103</v>
      </c>
      <c r="AJ146" t="n">
        <v>967.8099999999999</v>
      </c>
      <c r="AK146" t="n">
        <v>1077.964</v>
      </c>
      <c r="AL146" t="n">
        <v>1358.93</v>
      </c>
      <c r="AM146" t="n">
        <v>1721.868</v>
      </c>
      <c r="AN146" t="n">
        <v>2108.54</v>
      </c>
      <c r="AO146" t="n">
        <v>2023.235</v>
      </c>
      <c r="AP146" t="n">
        <v>1938.14</v>
      </c>
      <c r="AQ146" t="n">
        <v>1662.565</v>
      </c>
      <c r="AR146" t="n">
        <v>1558.457</v>
      </c>
      <c r="AS146" t="n">
        <v>1232.439</v>
      </c>
      <c r="AT146" t="n">
        <v>1576.321</v>
      </c>
      <c r="AU146" t="n">
        <v>1809.433</v>
      </c>
      <c r="AV146" t="n">
        <v>2158.684</v>
      </c>
      <c r="AW146" t="n">
        <v>2725.23</v>
      </c>
      <c r="AX146" t="n">
        <v>3290.131</v>
      </c>
      <c r="AY146" t="n">
        <v>3669.82</v>
      </c>
      <c r="AZ146" t="n">
        <v>2940.34</v>
      </c>
      <c r="BA146" t="n">
        <v>2322.384</v>
      </c>
      <c r="BB146" t="n">
        <v>1581.172</v>
      </c>
      <c r="BC146" t="n">
        <v>1120.733</v>
      </c>
      <c r="BD146" t="n">
        <v>1075.947</v>
      </c>
      <c r="BE146" t="n">
        <v>1067.677</v>
      </c>
      <c r="BF146" t="n">
        <v>1059.619</v>
      </c>
      <c r="BG146" t="n">
        <v>1216.107</v>
      </c>
      <c r="BH146" t="n">
        <v>1518.522</v>
      </c>
      <c r="BI146" t="n">
        <v>1772.618</v>
      </c>
      <c r="BJ146" t="n">
        <v>2030.506</v>
      </c>
      <c r="BK146" t="n">
        <v>2361.366</v>
      </c>
      <c r="BL146" t="n">
        <v>2368.911</v>
      </c>
      <c r="BM146" t="n">
        <v>2180.441</v>
      </c>
      <c r="BN146" t="n">
        <v>1905.227</v>
      </c>
      <c r="BO146" t="n">
        <v>1990.353</v>
      </c>
      <c r="BP146" t="n">
        <v>2087.539</v>
      </c>
      <c r="BQ146" t="n">
        <v>2030.949</v>
      </c>
      <c r="BR146" t="n">
        <v>1981.094</v>
      </c>
      <c r="BS146" t="n">
        <v>1755.978</v>
      </c>
      <c r="BT146" t="n">
        <v>2082.741</v>
      </c>
      <c r="BU146" t="n">
        <v>1991.521</v>
      </c>
      <c r="BV146" t="n">
        <v>1986.526</v>
      </c>
    </row>
    <row r="147">
      <c r="A147" t="inlineStr">
        <is>
          <t>Caranx</t>
        </is>
      </c>
      <c r="B147" t="inlineStr">
        <is>
          <t>Jacks</t>
        </is>
      </c>
      <c r="C147" t="inlineStr">
        <is>
          <t>Medium reef assoc. fish (30 - 89 cm)</t>
        </is>
      </c>
      <c r="D147" t="inlineStr">
        <is>
          <t>Perch-likes</t>
        </is>
      </c>
      <c r="E147" t="n">
        <v>579.352</v>
      </c>
      <c r="F147" t="n">
        <v>589.972</v>
      </c>
      <c r="G147" t="n">
        <v>600.756</v>
      </c>
      <c r="H147" t="n">
        <v>611.696</v>
      </c>
      <c r="I147" t="n">
        <v>622.859</v>
      </c>
      <c r="J147" t="n">
        <v>634.168</v>
      </c>
      <c r="K147" t="n">
        <v>652.201</v>
      </c>
      <c r="L147" t="n">
        <v>677.248</v>
      </c>
      <c r="M147" t="n">
        <v>692.21</v>
      </c>
      <c r="N147" t="n">
        <v>707.595</v>
      </c>
      <c r="O147" t="n">
        <v>723.426</v>
      </c>
      <c r="P147" t="n">
        <v>740.524</v>
      </c>
      <c r="Q147" t="n">
        <v>762.037</v>
      </c>
      <c r="R147" t="n">
        <v>795.26</v>
      </c>
      <c r="S147" t="n">
        <v>797.234</v>
      </c>
      <c r="T147" t="n">
        <v>825.285</v>
      </c>
      <c r="U147" t="n">
        <v>859.231</v>
      </c>
      <c r="V147" t="n">
        <v>879.498</v>
      </c>
      <c r="W147" t="n">
        <v>911.5359999999999</v>
      </c>
      <c r="X147" t="n">
        <v>932.837</v>
      </c>
      <c r="Y147" t="n">
        <v>930.98</v>
      </c>
      <c r="Z147" t="n">
        <v>962.747</v>
      </c>
      <c r="AA147" t="n">
        <v>991.478</v>
      </c>
      <c r="AB147" t="n">
        <v>1044.399</v>
      </c>
      <c r="AC147" t="n">
        <v>1062.251</v>
      </c>
      <c r="AD147" t="n">
        <v>1082.361</v>
      </c>
      <c r="AE147" t="n">
        <v>1119.783</v>
      </c>
      <c r="AF147" t="n">
        <v>1101.178</v>
      </c>
      <c r="AG147" t="n">
        <v>1117.049</v>
      </c>
      <c r="AH147" t="n">
        <v>1160.891</v>
      </c>
      <c r="AI147" t="n">
        <v>361.617</v>
      </c>
      <c r="AJ147" t="n">
        <v>397.151</v>
      </c>
      <c r="AK147" t="n">
        <v>389.945</v>
      </c>
      <c r="AL147" t="n">
        <v>373.376</v>
      </c>
      <c r="AM147" t="n">
        <v>365.844</v>
      </c>
      <c r="AN147" t="n">
        <v>380.178</v>
      </c>
      <c r="AO147" t="n">
        <v>391.825</v>
      </c>
      <c r="AP147" t="n">
        <v>401.535</v>
      </c>
      <c r="AQ147" t="n">
        <v>396.833</v>
      </c>
      <c r="AR147" t="n">
        <v>1526.901</v>
      </c>
      <c r="AS147" t="n">
        <v>1552.107</v>
      </c>
      <c r="AT147" t="n">
        <v>1591.8</v>
      </c>
      <c r="AU147" t="n">
        <v>1597.962</v>
      </c>
      <c r="AV147" t="n">
        <v>1611.624</v>
      </c>
      <c r="AW147" t="n">
        <v>1665.66</v>
      </c>
      <c r="AX147" t="n">
        <v>1681.349</v>
      </c>
      <c r="AY147" t="n">
        <v>1716.413</v>
      </c>
      <c r="AZ147" t="n">
        <v>1752.421</v>
      </c>
      <c r="BA147" t="n">
        <v>1826.356</v>
      </c>
      <c r="BB147" t="n">
        <v>1849.098</v>
      </c>
      <c r="BC147" t="n">
        <v>1850.662</v>
      </c>
      <c r="BD147" t="n">
        <v>1940.015</v>
      </c>
      <c r="BE147" t="n">
        <v>1914.355</v>
      </c>
      <c r="BF147" t="n">
        <v>1911.6</v>
      </c>
      <c r="BG147" t="n">
        <v>2018.796</v>
      </c>
      <c r="BH147" t="n">
        <v>2022.275</v>
      </c>
      <c r="BI147" t="n">
        <v>2039.439</v>
      </c>
      <c r="BJ147" t="n">
        <v>2076.281</v>
      </c>
      <c r="BK147" t="n">
        <v>2039.12</v>
      </c>
      <c r="BL147" t="n">
        <v>1995.193</v>
      </c>
      <c r="BM147" t="n">
        <v>1974.217</v>
      </c>
      <c r="BN147" t="n">
        <v>4370.662</v>
      </c>
      <c r="BO147" t="n">
        <v>5482.014</v>
      </c>
      <c r="BP147" t="n">
        <v>5692.301</v>
      </c>
      <c r="BQ147" t="n">
        <v>5312.144</v>
      </c>
      <c r="BR147" t="n">
        <v>4838.443</v>
      </c>
      <c r="BS147" t="n">
        <v>4509.795</v>
      </c>
      <c r="BT147" t="n">
        <v>4351.135</v>
      </c>
      <c r="BU147" t="n">
        <v>4423.651</v>
      </c>
      <c r="BV147" t="n">
        <v>4383.747</v>
      </c>
    </row>
    <row r="148">
      <c r="A148" t="inlineStr">
        <is>
          <t>Siganus</t>
        </is>
      </c>
      <c r="B148" t="inlineStr">
        <is>
          <t>Spinefoots</t>
        </is>
      </c>
      <c r="C148" t="inlineStr">
        <is>
          <t>Medium reef assoc. fish (30 - 89 cm)</t>
        </is>
      </c>
      <c r="D148" t="inlineStr">
        <is>
          <t>Perch-likes</t>
        </is>
      </c>
      <c r="E148" t="n">
        <v>109.99</v>
      </c>
      <c r="F148" t="n">
        <v>109.99</v>
      </c>
      <c r="G148" t="n">
        <v>183.317</v>
      </c>
      <c r="H148" t="n">
        <v>146.654</v>
      </c>
      <c r="I148" t="n">
        <v>183.317</v>
      </c>
      <c r="J148" t="n">
        <v>183.317</v>
      </c>
      <c r="K148" t="n">
        <v>201.649</v>
      </c>
      <c r="L148" t="n">
        <v>293.308</v>
      </c>
      <c r="M148" t="n">
        <v>293.308</v>
      </c>
      <c r="N148" t="n">
        <v>366.635</v>
      </c>
      <c r="O148" t="n">
        <v>366.635</v>
      </c>
      <c r="P148" t="n">
        <v>766.473</v>
      </c>
      <c r="Q148" t="n">
        <v>916.74</v>
      </c>
      <c r="R148" t="n">
        <v>985.8049999999999</v>
      </c>
      <c r="S148" t="n">
        <v>784.101</v>
      </c>
      <c r="T148" t="n">
        <v>666.278</v>
      </c>
      <c r="U148" t="n">
        <v>693.91</v>
      </c>
      <c r="V148" t="n">
        <v>500.868</v>
      </c>
      <c r="W148" t="n">
        <v>364.193</v>
      </c>
      <c r="X148" t="n">
        <v>346.524</v>
      </c>
      <c r="Y148" t="n">
        <v>356.641</v>
      </c>
      <c r="Z148" t="n">
        <v>451.008</v>
      </c>
      <c r="AA148" t="n">
        <v>459.47</v>
      </c>
      <c r="AB148" t="n">
        <v>550.083</v>
      </c>
      <c r="AC148" t="n">
        <v>540.597</v>
      </c>
      <c r="AD148" t="n">
        <v>419.542</v>
      </c>
      <c r="AE148" t="n">
        <v>414.911</v>
      </c>
      <c r="AF148" t="n">
        <v>387.467</v>
      </c>
      <c r="AG148" t="n">
        <v>610.997</v>
      </c>
      <c r="AH148" t="n">
        <v>755.948</v>
      </c>
      <c r="AI148" t="n">
        <v>874.745</v>
      </c>
      <c r="AJ148" t="n">
        <v>1015.45</v>
      </c>
      <c r="AK148" t="n">
        <v>1013.254</v>
      </c>
      <c r="AL148" t="n">
        <v>1249.054</v>
      </c>
      <c r="AM148" t="n">
        <v>1332.898</v>
      </c>
      <c r="AN148" t="n">
        <v>1184.412</v>
      </c>
      <c r="AO148" t="n">
        <v>1203.09</v>
      </c>
      <c r="AP148" t="n">
        <v>949.163</v>
      </c>
      <c r="AQ148" t="n">
        <v>830.638</v>
      </c>
      <c r="AR148" t="n">
        <v>841.901</v>
      </c>
      <c r="AS148" t="n">
        <v>647.645</v>
      </c>
      <c r="AT148" t="n">
        <v>609.04</v>
      </c>
      <c r="AU148" t="n">
        <v>880.015</v>
      </c>
      <c r="AV148" t="n">
        <v>886.938</v>
      </c>
      <c r="AW148" t="n">
        <v>1312.035</v>
      </c>
      <c r="AX148" t="n">
        <v>1387.662</v>
      </c>
      <c r="AY148" t="n">
        <v>1493.04</v>
      </c>
      <c r="AZ148" t="n">
        <v>2731.521</v>
      </c>
      <c r="BA148" t="n">
        <v>2089.687</v>
      </c>
      <c r="BB148" t="n">
        <v>2066.632</v>
      </c>
      <c r="BC148" t="n">
        <v>2457.16</v>
      </c>
      <c r="BD148" t="n">
        <v>2741.156</v>
      </c>
      <c r="BE148" t="n">
        <v>3169.352</v>
      </c>
      <c r="BF148" t="n">
        <v>2851.776</v>
      </c>
      <c r="BG148" t="n">
        <v>3111.69</v>
      </c>
      <c r="BH148" t="n">
        <v>3681.118</v>
      </c>
      <c r="BI148" t="n">
        <v>3643.058</v>
      </c>
      <c r="BJ148" t="n">
        <v>2756.463</v>
      </c>
      <c r="BK148" t="n">
        <v>3324.748</v>
      </c>
      <c r="BL148" t="n">
        <v>3435.839</v>
      </c>
      <c r="BM148" t="n">
        <v>3732.597</v>
      </c>
      <c r="BN148" t="n">
        <v>3465.741</v>
      </c>
      <c r="BO148" t="n">
        <v>4696.595</v>
      </c>
      <c r="BP148" t="n">
        <v>4390.287</v>
      </c>
      <c r="BQ148" t="n">
        <v>4245.879</v>
      </c>
      <c r="BR148" t="n">
        <v>3979.414</v>
      </c>
      <c r="BS148" t="n">
        <v>4087.426</v>
      </c>
      <c r="BT148" t="n">
        <v>4628.54</v>
      </c>
      <c r="BU148" t="n">
        <v>4840.015</v>
      </c>
      <c r="BV148" t="n">
        <v>4772.098</v>
      </c>
    </row>
    <row r="149">
      <c r="A149" t="inlineStr">
        <is>
          <t>Sphyraenidae</t>
        </is>
      </c>
      <c r="B149" t="inlineStr">
        <is>
          <t>Barracudas</t>
        </is>
      </c>
      <c r="C149" t="inlineStr">
        <is>
          <t>Medium reef assoc. fish (30 - 89 cm)</t>
        </is>
      </c>
      <c r="D149" t="inlineStr">
        <is>
          <t>Perch-likes</t>
        </is>
      </c>
      <c r="E149" t="n">
        <v>352.43</v>
      </c>
      <c r="F149" t="n">
        <v>353.02</v>
      </c>
      <c r="G149" t="n">
        <v>371.749</v>
      </c>
      <c r="H149" t="n">
        <v>389.401</v>
      </c>
      <c r="I149" t="n">
        <v>446.01</v>
      </c>
      <c r="J149" t="n">
        <v>481.954</v>
      </c>
      <c r="K149" t="n">
        <v>480.602</v>
      </c>
      <c r="L149" t="n">
        <v>576.913</v>
      </c>
      <c r="M149" t="n">
        <v>575.897</v>
      </c>
      <c r="N149" t="n">
        <v>786.36</v>
      </c>
      <c r="O149" t="n">
        <v>784.698</v>
      </c>
      <c r="P149" t="n">
        <v>781.221</v>
      </c>
      <c r="Q149" t="n">
        <v>891.234</v>
      </c>
      <c r="R149" t="n">
        <v>886.466</v>
      </c>
      <c r="S149" t="n">
        <v>881.896</v>
      </c>
      <c r="T149" t="n">
        <v>952.471</v>
      </c>
      <c r="U149" t="n">
        <v>965.006</v>
      </c>
      <c r="V149" t="n">
        <v>1000.752</v>
      </c>
      <c r="W149" t="n">
        <v>996.317</v>
      </c>
      <c r="X149" t="n">
        <v>1021.839</v>
      </c>
      <c r="Y149" t="n">
        <v>1028.079</v>
      </c>
      <c r="Z149" t="n">
        <v>1095.675</v>
      </c>
      <c r="AA149" t="n">
        <v>1122.336</v>
      </c>
      <c r="AB149" t="n">
        <v>1121.822</v>
      </c>
      <c r="AC149" t="n">
        <v>1614.413</v>
      </c>
      <c r="AD149" t="n">
        <v>1672.63</v>
      </c>
      <c r="AE149" t="n">
        <v>1562.017</v>
      </c>
      <c r="AF149" t="n">
        <v>1552.016</v>
      </c>
      <c r="AG149" t="n">
        <v>1549.084</v>
      </c>
      <c r="AH149" t="n">
        <v>1530.765</v>
      </c>
      <c r="AI149" t="n">
        <v>1606.429</v>
      </c>
      <c r="AJ149" t="n">
        <v>1584.87</v>
      </c>
      <c r="AK149" t="n">
        <v>1675.628</v>
      </c>
      <c r="AL149" t="n">
        <v>1253.375</v>
      </c>
      <c r="AM149" t="n">
        <v>1109.402</v>
      </c>
      <c r="AN149" t="n">
        <v>1072.286</v>
      </c>
      <c r="AO149" t="n">
        <v>1342.433</v>
      </c>
      <c r="AP149" t="n">
        <v>1581.36</v>
      </c>
      <c r="AQ149" t="n">
        <v>1701.514</v>
      </c>
      <c r="AR149" t="n">
        <v>1704.138</v>
      </c>
      <c r="AS149" t="n">
        <v>1644.412</v>
      </c>
      <c r="AT149" t="n">
        <v>1579.313</v>
      </c>
      <c r="AU149" t="n">
        <v>1582.629</v>
      </c>
      <c r="AV149" t="n">
        <v>1626.04</v>
      </c>
      <c r="AW149" t="n">
        <v>1769.142</v>
      </c>
      <c r="AX149" t="n">
        <v>1825.476</v>
      </c>
      <c r="AY149" t="n">
        <v>1457.791</v>
      </c>
      <c r="AZ149" t="n">
        <v>1547.705</v>
      </c>
      <c r="BA149" t="n">
        <v>1547.117</v>
      </c>
      <c r="BB149" t="n">
        <v>1554.506</v>
      </c>
      <c r="BC149" t="n">
        <v>1496.101</v>
      </c>
      <c r="BD149" t="n">
        <v>739.419</v>
      </c>
      <c r="BE149" t="n">
        <v>911.984</v>
      </c>
      <c r="BF149" t="n">
        <v>752.619</v>
      </c>
      <c r="BG149" t="n">
        <v>717.09</v>
      </c>
      <c r="BH149" t="n">
        <v>897.278</v>
      </c>
      <c r="BI149" t="n">
        <v>861.5650000000001</v>
      </c>
      <c r="BJ149" t="n">
        <v>1465.9</v>
      </c>
      <c r="BK149" t="n">
        <v>1773.804</v>
      </c>
      <c r="BL149" t="n">
        <v>1715.776</v>
      </c>
      <c r="BM149" t="n">
        <v>2196.219</v>
      </c>
      <c r="BN149" t="n">
        <v>3895.578</v>
      </c>
      <c r="BO149" t="n">
        <v>5642.409</v>
      </c>
      <c r="BP149" t="n">
        <v>4857.496</v>
      </c>
      <c r="BQ149" t="n">
        <v>4580.021</v>
      </c>
      <c r="BR149" t="n">
        <v>4248.999</v>
      </c>
      <c r="BS149" t="n">
        <v>3940.454</v>
      </c>
      <c r="BT149" t="n">
        <v>3637.259</v>
      </c>
      <c r="BU149" t="n">
        <v>3824.472</v>
      </c>
      <c r="BV149" t="n">
        <v>3711.765</v>
      </c>
    </row>
    <row r="150">
      <c r="A150" t="inlineStr">
        <is>
          <t>Argyrosomus japonicus</t>
        </is>
      </c>
      <c r="B150" t="inlineStr">
        <is>
          <t>Japanese meagre</t>
        </is>
      </c>
      <c r="C150" t="inlineStr">
        <is>
          <t>Large benthopelagics (&gt;=90 cm)</t>
        </is>
      </c>
      <c r="D150" t="inlineStr">
        <is>
          <t>Perch-likes</t>
        </is>
      </c>
      <c r="E150" t="n">
        <v>1131.842</v>
      </c>
      <c r="F150" t="n">
        <v>1156.513</v>
      </c>
      <c r="G150" t="n">
        <v>1199.035</v>
      </c>
      <c r="H150" t="n">
        <v>1303.46</v>
      </c>
      <c r="I150" t="n">
        <v>1334.454</v>
      </c>
      <c r="J150" t="n">
        <v>1372.022</v>
      </c>
      <c r="K150" t="n">
        <v>1398.722</v>
      </c>
      <c r="L150" t="n">
        <v>1458.185</v>
      </c>
      <c r="M150" t="n">
        <v>1450.95</v>
      </c>
      <c r="N150" t="n">
        <v>1480.224</v>
      </c>
      <c r="O150" t="n">
        <v>1542.279</v>
      </c>
      <c r="P150" t="n">
        <v>1512.991</v>
      </c>
      <c r="Q150" t="n">
        <v>1637.188</v>
      </c>
      <c r="R150" t="n">
        <v>1670.946</v>
      </c>
      <c r="S150" t="n">
        <v>1721.774</v>
      </c>
      <c r="T150" t="n">
        <v>1775.71</v>
      </c>
      <c r="U150" t="n">
        <v>1932.496</v>
      </c>
      <c r="V150" t="n">
        <v>1949.54</v>
      </c>
      <c r="W150" t="n">
        <v>1999.494</v>
      </c>
      <c r="X150" t="n">
        <v>2075.647</v>
      </c>
      <c r="Y150" t="n">
        <v>2074.819</v>
      </c>
      <c r="Z150" t="n">
        <v>2109.353</v>
      </c>
      <c r="AA150" t="n">
        <v>2030.028</v>
      </c>
      <c r="AB150" t="n">
        <v>2101.588</v>
      </c>
      <c r="AC150" t="n">
        <v>1941.39</v>
      </c>
      <c r="AD150" t="n">
        <v>1952.661</v>
      </c>
      <c r="AE150" t="n">
        <v>1981.029</v>
      </c>
      <c r="AF150" t="n">
        <v>2162.376</v>
      </c>
      <c r="AG150" t="n">
        <v>2158.549</v>
      </c>
      <c r="AH150" t="n">
        <v>2278.131</v>
      </c>
      <c r="AI150" t="n">
        <v>2201.777</v>
      </c>
      <c r="AJ150" t="n">
        <v>2287.334</v>
      </c>
      <c r="AK150" t="n">
        <v>2412.757</v>
      </c>
      <c r="AL150" t="n">
        <v>2441.008</v>
      </c>
      <c r="AM150" t="n">
        <v>2417.061</v>
      </c>
      <c r="AN150" t="n">
        <v>2448.639</v>
      </c>
      <c r="AO150" t="n">
        <v>2399.97</v>
      </c>
      <c r="AP150" t="n">
        <v>2319.867</v>
      </c>
      <c r="AQ150" t="n">
        <v>2401.793</v>
      </c>
      <c r="AR150" t="n">
        <v>2411.744</v>
      </c>
      <c r="AS150" t="n">
        <v>2194.282</v>
      </c>
      <c r="AT150" t="n">
        <v>2271.98</v>
      </c>
      <c r="AU150" t="n">
        <v>2223.903</v>
      </c>
      <c r="AV150" t="n">
        <v>2239.759</v>
      </c>
      <c r="AW150" t="n">
        <v>2265.159</v>
      </c>
      <c r="AX150" t="n">
        <v>2457.918</v>
      </c>
      <c r="AY150" t="n">
        <v>2436.37</v>
      </c>
      <c r="AZ150" t="n">
        <v>2456.533</v>
      </c>
      <c r="BA150" t="n">
        <v>2446.255</v>
      </c>
      <c r="BB150" t="n">
        <v>2525.129</v>
      </c>
      <c r="BC150" t="n">
        <v>295.006</v>
      </c>
      <c r="BD150" t="n">
        <v>314.928</v>
      </c>
      <c r="BE150" t="n">
        <v>353.982</v>
      </c>
      <c r="BF150" t="n">
        <v>353.083</v>
      </c>
      <c r="BG150" t="n">
        <v>332.95</v>
      </c>
      <c r="BH150" t="n">
        <v>316.103</v>
      </c>
      <c r="BI150" t="n">
        <v>338.617</v>
      </c>
      <c r="BJ150" t="n">
        <v>350.164</v>
      </c>
      <c r="BK150" t="n">
        <v>374.607</v>
      </c>
      <c r="BL150" t="n">
        <v>386.691</v>
      </c>
      <c r="BM150" t="n">
        <v>392.243</v>
      </c>
      <c r="BN150" t="n">
        <v>430.28</v>
      </c>
      <c r="BO150" t="n">
        <v>495.847</v>
      </c>
      <c r="BP150" t="n">
        <v>526.149</v>
      </c>
      <c r="BQ150" t="n">
        <v>547.004</v>
      </c>
      <c r="BR150" t="n">
        <v>567.222</v>
      </c>
      <c r="BS150" t="n">
        <v>586.8099999999999</v>
      </c>
      <c r="BT150" t="n">
        <v>605.949</v>
      </c>
      <c r="BU150" t="n">
        <v>624.24</v>
      </c>
      <c r="BV150" t="n">
        <v>641.571</v>
      </c>
    </row>
    <row r="151">
      <c r="A151" t="inlineStr">
        <is>
          <t>Pteriomorphia</t>
        </is>
      </c>
      <c r="B151" t="inlineStr">
        <is>
          <t>Clams, cockles, arkshells</t>
        </is>
      </c>
      <c r="C151" t="inlineStr">
        <is>
          <t>Other demersal invertebrates</t>
        </is>
      </c>
      <c r="D151" t="inlineStr">
        <is>
          <t>Molluscs</t>
        </is>
      </c>
      <c r="E151" t="n">
        <v>236.449</v>
      </c>
      <c r="F151" t="n">
        <v>241.679</v>
      </c>
      <c r="G151" t="n">
        <v>246.909</v>
      </c>
      <c r="H151" t="n">
        <v>252.14</v>
      </c>
      <c r="I151" t="n">
        <v>257.37</v>
      </c>
      <c r="J151" t="n">
        <v>262.601</v>
      </c>
      <c r="K151" t="n">
        <v>267.831</v>
      </c>
      <c r="L151" t="n">
        <v>273.062</v>
      </c>
      <c r="M151" t="n">
        <v>278.292</v>
      </c>
      <c r="N151" t="n">
        <v>283.522</v>
      </c>
      <c r="O151" t="n">
        <v>288.753</v>
      </c>
      <c r="P151" t="n">
        <v>293.983</v>
      </c>
      <c r="Q151" t="n">
        <v>246.421</v>
      </c>
      <c r="R151" t="n">
        <v>251.692</v>
      </c>
      <c r="S151" t="n">
        <v>256.962</v>
      </c>
      <c r="T151" t="n">
        <v>262.233</v>
      </c>
      <c r="U151" t="n">
        <v>267.504</v>
      </c>
      <c r="V151" t="n">
        <v>272.774</v>
      </c>
      <c r="W151" t="n">
        <v>259.6</v>
      </c>
      <c r="X151" t="n">
        <v>271.816</v>
      </c>
      <c r="Y151" t="n">
        <v>284.033</v>
      </c>
      <c r="Z151" t="n">
        <v>296.249</v>
      </c>
      <c r="AA151" t="n">
        <v>308.466</v>
      </c>
      <c r="AB151" t="n">
        <v>320.682</v>
      </c>
      <c r="AC151" t="n">
        <v>332.899</v>
      </c>
      <c r="AD151" t="n">
        <v>345.115</v>
      </c>
      <c r="AE151" t="n">
        <v>357.332</v>
      </c>
      <c r="AF151" t="n">
        <v>369.548</v>
      </c>
      <c r="AG151" t="n">
        <v>381.765</v>
      </c>
      <c r="AH151" t="n">
        <v>393.981</v>
      </c>
      <c r="AI151" t="n">
        <v>406.198</v>
      </c>
      <c r="AJ151" t="n">
        <v>418.414</v>
      </c>
      <c r="AK151" t="n">
        <v>430.631</v>
      </c>
      <c r="AL151" t="n">
        <v>442.847</v>
      </c>
      <c r="AM151" t="n">
        <v>455.063</v>
      </c>
      <c r="AN151" t="n">
        <v>467.28</v>
      </c>
      <c r="AO151" t="n">
        <v>555.072</v>
      </c>
      <c r="AP151" t="n">
        <v>642.864</v>
      </c>
      <c r="AQ151" t="n">
        <v>730.6559999999999</v>
      </c>
      <c r="AR151" t="n">
        <v>818.448</v>
      </c>
      <c r="AS151" t="n">
        <v>906.24</v>
      </c>
      <c r="AT151" t="n">
        <v>994.032</v>
      </c>
      <c r="AU151" t="n">
        <v>1081.824</v>
      </c>
      <c r="AV151" t="n">
        <v>1169.616</v>
      </c>
      <c r="AW151" t="n">
        <v>1257.408</v>
      </c>
      <c r="AX151" t="n">
        <v>1345.2</v>
      </c>
      <c r="AY151" t="n">
        <v>1432.992</v>
      </c>
      <c r="AZ151" t="n">
        <v>1432.992</v>
      </c>
      <c r="BA151" t="n">
        <v>1432.992</v>
      </c>
      <c r="BB151" t="n">
        <v>1432.992</v>
      </c>
      <c r="BC151" t="n">
        <v>1432.992</v>
      </c>
      <c r="BD151" t="n">
        <v>1338.904</v>
      </c>
      <c r="BE151" t="n">
        <v>1244.816</v>
      </c>
      <c r="BF151" t="n">
        <v>1150.728</v>
      </c>
      <c r="BG151" t="n">
        <v>1056.64</v>
      </c>
      <c r="BH151" t="n">
        <v>962.552</v>
      </c>
      <c r="BI151" t="n">
        <v>868.4640000000001</v>
      </c>
      <c r="BJ151" t="n">
        <v>774.376</v>
      </c>
      <c r="BK151" t="n">
        <v>680.288</v>
      </c>
      <c r="BL151" t="n">
        <v>586.2</v>
      </c>
      <c r="BM151" t="n">
        <v>492.112</v>
      </c>
      <c r="BN151" t="n">
        <v>398.024</v>
      </c>
      <c r="BO151" t="n">
        <v>303.937</v>
      </c>
      <c r="BP151" t="n">
        <v>209.849</v>
      </c>
      <c r="BQ151" t="n">
        <v>14790.416</v>
      </c>
      <c r="BR151" t="n">
        <v>10054.033</v>
      </c>
      <c r="BS151" t="n">
        <v>9181.357</v>
      </c>
      <c r="BT151" t="n">
        <v>11263.173</v>
      </c>
      <c r="BU151" t="n">
        <v>14403.068</v>
      </c>
      <c r="BV151" t="n">
        <v>9823.300999999999</v>
      </c>
    </row>
    <row r="152">
      <c r="A152" t="inlineStr">
        <is>
          <t>Thunnus obesus</t>
        </is>
      </c>
      <c r="B152" t="inlineStr">
        <is>
          <t>Bigeye tuna</t>
        </is>
      </c>
      <c r="C152" t="inlineStr">
        <is>
          <t>Large pelagics (&gt;=90 cm)</t>
        </is>
      </c>
      <c r="D152" t="inlineStr">
        <is>
          <t>Tuna &amp; billfishes</t>
        </is>
      </c>
      <c r="E152" t="n">
        <v>0</v>
      </c>
      <c r="F152" t="n">
        <v>0</v>
      </c>
      <c r="G152" t="n">
        <v>3</v>
      </c>
      <c r="H152" t="n">
        <v>17.589</v>
      </c>
      <c r="I152" t="n">
        <v>62.624</v>
      </c>
      <c r="J152" t="n">
        <v>62.248</v>
      </c>
      <c r="K152" t="n">
        <v>75.834</v>
      </c>
      <c r="L152" t="n">
        <v>17.265</v>
      </c>
      <c r="M152" t="n">
        <v>5.465</v>
      </c>
      <c r="N152" t="n">
        <v>68.89400000000001</v>
      </c>
      <c r="O152" t="n">
        <v>101.521</v>
      </c>
      <c r="P152" t="n">
        <v>90.56999999999999</v>
      </c>
      <c r="Q152" t="n">
        <v>22.321</v>
      </c>
      <c r="R152" t="n">
        <v>6.428</v>
      </c>
      <c r="S152" t="n">
        <v>127.773</v>
      </c>
      <c r="T152" t="n">
        <v>20.298</v>
      </c>
      <c r="U152" t="n">
        <v>6.376</v>
      </c>
      <c r="V152" t="n">
        <v>21.712</v>
      </c>
      <c r="W152" t="n">
        <v>5.809</v>
      </c>
      <c r="X152" t="n">
        <v>184.106</v>
      </c>
      <c r="Y152" t="n">
        <v>192.206</v>
      </c>
      <c r="Z152" t="n">
        <v>12.776</v>
      </c>
      <c r="AA152" t="n">
        <v>32.298</v>
      </c>
      <c r="AB152" t="n">
        <v>37.282</v>
      </c>
      <c r="AC152" t="n">
        <v>0.162</v>
      </c>
      <c r="AD152" t="n">
        <v>389.239</v>
      </c>
      <c r="AE152" t="n">
        <v>75.348</v>
      </c>
      <c r="AF152" t="n">
        <v>65.63800000000001</v>
      </c>
      <c r="AG152" t="n">
        <v>115.467</v>
      </c>
      <c r="AH152" t="n">
        <v>338.107</v>
      </c>
      <c r="AI152" t="n">
        <v>203.44</v>
      </c>
      <c r="AJ152" t="n">
        <v>50.624</v>
      </c>
      <c r="AK152" t="n">
        <v>168.842</v>
      </c>
      <c r="AL152" t="n">
        <v>537.476</v>
      </c>
      <c r="AM152" t="n">
        <v>350.384</v>
      </c>
      <c r="AN152" t="n">
        <v>370.072</v>
      </c>
      <c r="AO152" t="n">
        <v>809.678</v>
      </c>
      <c r="AP152" t="n">
        <v>696.477</v>
      </c>
      <c r="AQ152" t="n">
        <v>292.247</v>
      </c>
      <c r="AR152" t="n">
        <v>120.539</v>
      </c>
      <c r="AS152" t="n">
        <v>96.124</v>
      </c>
      <c r="AT152" t="n">
        <v>56.706</v>
      </c>
      <c r="AU152" t="n">
        <v>352.441</v>
      </c>
      <c r="AV152" t="n">
        <v>1839.035</v>
      </c>
      <c r="AW152" t="n">
        <v>1123.106</v>
      </c>
      <c r="AX152" t="n">
        <v>543.675</v>
      </c>
      <c r="AY152" t="n">
        <v>1290.981</v>
      </c>
      <c r="AZ152" t="n">
        <v>602.9930000000001</v>
      </c>
      <c r="BA152" t="n">
        <v>1069.945</v>
      </c>
      <c r="BB152" t="n">
        <v>898.513</v>
      </c>
      <c r="BC152" t="n">
        <v>1216.232</v>
      </c>
      <c r="BD152" t="n">
        <v>571.032</v>
      </c>
      <c r="BE152" t="n">
        <v>599.958</v>
      </c>
      <c r="BF152" t="n">
        <v>517.099</v>
      </c>
      <c r="BG152" t="n">
        <v>2234.648</v>
      </c>
      <c r="BH152" t="n">
        <v>1534.383</v>
      </c>
      <c r="BI152" t="n">
        <v>3213.518</v>
      </c>
      <c r="BJ152" t="n">
        <v>2468.839</v>
      </c>
      <c r="BK152" t="n">
        <v>2139.674</v>
      </c>
      <c r="BL152" t="n">
        <v>3533.027</v>
      </c>
      <c r="BM152" t="n">
        <v>2123.691</v>
      </c>
      <c r="BN152" t="n">
        <v>3539.379</v>
      </c>
      <c r="BO152" t="n">
        <v>1694.767</v>
      </c>
      <c r="BP152" t="n">
        <v>1909.846</v>
      </c>
      <c r="BQ152" t="n">
        <v>2577.591</v>
      </c>
      <c r="BR152" t="n">
        <v>2645.231</v>
      </c>
      <c r="BS152" t="n">
        <v>3077.256</v>
      </c>
      <c r="BT152" t="n">
        <v>3855.488</v>
      </c>
      <c r="BU152" t="n">
        <v>30137.262</v>
      </c>
      <c r="BV152" t="n">
        <v>22130.328</v>
      </c>
    </row>
    <row r="153">
      <c r="A153" t="inlineStr">
        <is>
          <t>Pampus chinensis</t>
        </is>
      </c>
      <c r="B153" t="inlineStr">
        <is>
          <t>Chinese silver pomfret</t>
        </is>
      </c>
      <c r="C153" t="inlineStr">
        <is>
          <t>Medium benthopelagics (30 - 89 cm)</t>
        </is>
      </c>
      <c r="D153" t="inlineStr">
        <is>
          <t>Perch-likes</t>
        </is>
      </c>
      <c r="E153" t="n">
        <v>563.49</v>
      </c>
      <c r="F153" t="n">
        <v>575.772</v>
      </c>
      <c r="G153" t="n">
        <v>596.942</v>
      </c>
      <c r="H153" t="n">
        <v>648.9299999999999</v>
      </c>
      <c r="I153" t="n">
        <v>664.361</v>
      </c>
      <c r="J153" t="n">
        <v>683.064</v>
      </c>
      <c r="K153" t="n">
        <v>696.357</v>
      </c>
      <c r="L153" t="n">
        <v>725.961</v>
      </c>
      <c r="M153" t="n">
        <v>722.3579999999999</v>
      </c>
      <c r="N153" t="n">
        <v>736.933</v>
      </c>
      <c r="O153" t="n">
        <v>767.827</v>
      </c>
      <c r="P153" t="n">
        <v>753.246</v>
      </c>
      <c r="Q153" t="n">
        <v>815.078</v>
      </c>
      <c r="R153" t="n">
        <v>831.884</v>
      </c>
      <c r="S153" t="n">
        <v>857.189</v>
      </c>
      <c r="T153" t="n">
        <v>884.0410000000001</v>
      </c>
      <c r="U153" t="n">
        <v>962.097</v>
      </c>
      <c r="V153" t="n">
        <v>970.583</v>
      </c>
      <c r="W153" t="n">
        <v>995.452</v>
      </c>
      <c r="X153" t="n">
        <v>1033.365</v>
      </c>
      <c r="Y153" t="n">
        <v>1178.1</v>
      </c>
      <c r="Z153" t="n">
        <v>1178.937</v>
      </c>
      <c r="AA153" t="n">
        <v>1153.526</v>
      </c>
      <c r="AB153" t="n">
        <v>1225.241</v>
      </c>
      <c r="AC153" t="n">
        <v>1162.543</v>
      </c>
      <c r="AD153" t="n">
        <v>1130.108</v>
      </c>
      <c r="AE153" t="n">
        <v>1087.537</v>
      </c>
      <c r="AF153" t="n">
        <v>1216.07</v>
      </c>
      <c r="AG153" t="n">
        <v>933.761</v>
      </c>
      <c r="AH153" t="n">
        <v>1007.136</v>
      </c>
      <c r="AI153" t="n">
        <v>914.83</v>
      </c>
      <c r="AJ153" t="n">
        <v>1058.512</v>
      </c>
      <c r="AK153" t="n">
        <v>1049.546</v>
      </c>
      <c r="AL153" t="n">
        <v>1015.452</v>
      </c>
      <c r="AM153" t="n">
        <v>1271.234</v>
      </c>
      <c r="AN153" t="n">
        <v>917.783</v>
      </c>
      <c r="AO153" t="n">
        <v>989.732</v>
      </c>
      <c r="AP153" t="n">
        <v>875.288</v>
      </c>
      <c r="AQ153" t="n">
        <v>804.682</v>
      </c>
      <c r="AR153" t="n">
        <v>861</v>
      </c>
      <c r="AS153" t="n">
        <v>728.201</v>
      </c>
      <c r="AT153" t="n">
        <v>1287.896</v>
      </c>
      <c r="AU153" t="n">
        <v>1322.621</v>
      </c>
      <c r="AV153" t="n">
        <v>1795.527</v>
      </c>
      <c r="AW153" t="n">
        <v>2132.557</v>
      </c>
      <c r="AX153" t="n">
        <v>1320.758</v>
      </c>
      <c r="AY153" t="n">
        <v>1190.627</v>
      </c>
      <c r="AZ153" t="n">
        <v>1542.138</v>
      </c>
      <c r="BA153" t="n">
        <v>1619.277</v>
      </c>
      <c r="BB153" t="n">
        <v>1973.065</v>
      </c>
      <c r="BC153" t="n">
        <v>1733.863</v>
      </c>
      <c r="BD153" t="n">
        <v>1983.427</v>
      </c>
      <c r="BE153" t="n">
        <v>2041.468</v>
      </c>
      <c r="BF153" t="n">
        <v>2291.195</v>
      </c>
      <c r="BG153" t="n">
        <v>2223.782</v>
      </c>
      <c r="BH153" t="n">
        <v>2682.504</v>
      </c>
      <c r="BI153" t="n">
        <v>2641.827</v>
      </c>
      <c r="BJ153" t="n">
        <v>2478.272</v>
      </c>
      <c r="BK153" t="n">
        <v>2758.615</v>
      </c>
      <c r="BL153" t="n">
        <v>2161.412</v>
      </c>
      <c r="BM153" t="n">
        <v>2026.336</v>
      </c>
      <c r="BN153" t="n">
        <v>2327.367</v>
      </c>
      <c r="BO153" t="n">
        <v>2294.471</v>
      </c>
      <c r="BP153" t="n">
        <v>3133.005</v>
      </c>
      <c r="BQ153" t="n">
        <v>3165.828</v>
      </c>
      <c r="BR153" t="n">
        <v>3356.674</v>
      </c>
      <c r="BS153" t="n">
        <v>3095.18</v>
      </c>
      <c r="BT153" t="n">
        <v>3019.494</v>
      </c>
      <c r="BU153" t="n">
        <v>3966.918</v>
      </c>
      <c r="BV153" t="n">
        <v>3387.4</v>
      </c>
    </row>
    <row r="154">
      <c r="A154" t="inlineStr">
        <is>
          <t>Istiophoridae</t>
        </is>
      </c>
      <c r="B154" t="inlineStr">
        <is>
          <t>Billfishes</t>
        </is>
      </c>
      <c r="C154" t="inlineStr">
        <is>
          <t>Large pelagics (&gt;=90 cm)</t>
        </is>
      </c>
      <c r="D154" t="inlineStr">
        <is>
          <t>Tuna &amp; billfishes</t>
        </is>
      </c>
      <c r="E154" t="n">
        <v>118.04</v>
      </c>
      <c r="F154" t="n">
        <v>118.275</v>
      </c>
      <c r="G154" t="n">
        <v>123.276</v>
      </c>
      <c r="H154" t="n">
        <v>128.187</v>
      </c>
      <c r="I154" t="n">
        <v>128.815</v>
      </c>
      <c r="J154" t="n">
        <v>138.3</v>
      </c>
      <c r="K154" t="n">
        <v>139.226</v>
      </c>
      <c r="L154" t="n">
        <v>137.853</v>
      </c>
      <c r="M154" t="n">
        <v>137.958</v>
      </c>
      <c r="N154" t="n">
        <v>143.881</v>
      </c>
      <c r="O154" t="n">
        <v>149.578</v>
      </c>
      <c r="P154" t="n">
        <v>147.445</v>
      </c>
      <c r="Q154" t="n">
        <v>150.947</v>
      </c>
      <c r="R154" t="n">
        <v>151.668</v>
      </c>
      <c r="S154" t="n">
        <v>152.777</v>
      </c>
      <c r="T154" t="n">
        <v>157.267</v>
      </c>
      <c r="U154" t="n">
        <v>161.386</v>
      </c>
      <c r="V154" t="n">
        <v>160.927</v>
      </c>
      <c r="W154" t="n">
        <v>161.088</v>
      </c>
      <c r="X154" t="n">
        <v>170.803</v>
      </c>
      <c r="Y154" t="n">
        <v>222.114</v>
      </c>
      <c r="Z154" t="n">
        <v>173.43</v>
      </c>
      <c r="AA154" t="n">
        <v>187.161</v>
      </c>
      <c r="AB154" t="n">
        <v>184.252</v>
      </c>
      <c r="AC154" t="n">
        <v>187.108</v>
      </c>
      <c r="AD154" t="n">
        <v>327.998</v>
      </c>
      <c r="AE154" t="n">
        <v>193.177</v>
      </c>
      <c r="AF154" t="n">
        <v>194.043</v>
      </c>
      <c r="AG154" t="n">
        <v>194.027</v>
      </c>
      <c r="AH154" t="n">
        <v>746.83</v>
      </c>
      <c r="AI154" t="n">
        <v>560.414</v>
      </c>
      <c r="AJ154" t="n">
        <v>523.313</v>
      </c>
      <c r="AK154" t="n">
        <v>762.51</v>
      </c>
      <c r="AL154" t="n">
        <v>764.446</v>
      </c>
      <c r="AM154" t="n">
        <v>757.134</v>
      </c>
      <c r="AN154" t="n">
        <v>1232.424</v>
      </c>
      <c r="AO154" t="n">
        <v>762.798</v>
      </c>
      <c r="AP154" t="n">
        <v>765.099</v>
      </c>
      <c r="AQ154" t="n">
        <v>842.611</v>
      </c>
      <c r="AR154" t="n">
        <v>1497.966</v>
      </c>
      <c r="AS154" t="n">
        <v>1254.786</v>
      </c>
      <c r="AT154" t="n">
        <v>1610.064</v>
      </c>
      <c r="AU154" t="n">
        <v>1491.196</v>
      </c>
      <c r="AV154" t="n">
        <v>1488.561</v>
      </c>
      <c r="AW154" t="n">
        <v>1728.846</v>
      </c>
      <c r="AX154" t="n">
        <v>1590.247</v>
      </c>
      <c r="AY154" t="n">
        <v>2154.225</v>
      </c>
      <c r="AZ154" t="n">
        <v>1923.261</v>
      </c>
      <c r="BA154" t="n">
        <v>1634.263</v>
      </c>
      <c r="BB154" t="n">
        <v>1780.057</v>
      </c>
      <c r="BC154" t="n">
        <v>1886.759</v>
      </c>
      <c r="BD154" t="n">
        <v>1404.884</v>
      </c>
      <c r="BE154" t="n">
        <v>1632.774</v>
      </c>
      <c r="BF154" t="n">
        <v>2212.768</v>
      </c>
      <c r="BG154" t="n">
        <v>2518.684</v>
      </c>
      <c r="BH154" t="n">
        <v>3628.869</v>
      </c>
      <c r="BI154" t="n">
        <v>3867.655</v>
      </c>
      <c r="BJ154" t="n">
        <v>3745.986</v>
      </c>
      <c r="BK154" t="n">
        <v>3847.079</v>
      </c>
      <c r="BL154" t="n">
        <v>2922.67</v>
      </c>
      <c r="BM154" t="n">
        <v>3521.688</v>
      </c>
      <c r="BN154" t="n">
        <v>3953.749</v>
      </c>
      <c r="BO154" t="n">
        <v>3841.075</v>
      </c>
      <c r="BP154" t="n">
        <v>4855.446</v>
      </c>
      <c r="BQ154" t="n">
        <v>5576.642</v>
      </c>
      <c r="BR154" t="n">
        <v>5843.844</v>
      </c>
      <c r="BS154" t="n">
        <v>5572.738</v>
      </c>
      <c r="BT154" t="n">
        <v>5183.652</v>
      </c>
      <c r="BU154" t="n">
        <v>3047.797</v>
      </c>
      <c r="BV154" t="n">
        <v>2773.843</v>
      </c>
    </row>
    <row r="155">
      <c r="A155" t="inlineStr">
        <is>
          <t>Gerreidae</t>
        </is>
      </c>
      <c r="B155" t="inlineStr">
        <is>
          <t>Mojarras, silverbellies</t>
        </is>
      </c>
      <c r="C155" t="inlineStr">
        <is>
          <t>Small benthopelagics (&lt;30 cm)</t>
        </is>
      </c>
      <c r="D155" t="inlineStr">
        <is>
          <t>Perch-likes</t>
        </is>
      </c>
      <c r="E155" t="n">
        <v>310.301</v>
      </c>
      <c r="F155" t="n">
        <v>311.996</v>
      </c>
      <c r="G155" t="n">
        <v>309.961</v>
      </c>
      <c r="H155" t="n">
        <v>313.554</v>
      </c>
      <c r="I155" t="n">
        <v>323.725</v>
      </c>
      <c r="J155" t="n">
        <v>324.985</v>
      </c>
      <c r="K155" t="n">
        <v>325.811</v>
      </c>
      <c r="L155" t="n">
        <v>346</v>
      </c>
      <c r="M155" t="n">
        <v>348.172</v>
      </c>
      <c r="N155" t="n">
        <v>381.846</v>
      </c>
      <c r="O155" t="n">
        <v>388.345</v>
      </c>
      <c r="P155" t="n">
        <v>390.721</v>
      </c>
      <c r="Q155" t="n">
        <v>412.474</v>
      </c>
      <c r="R155" t="n">
        <v>416.279</v>
      </c>
      <c r="S155" t="n">
        <v>419.04</v>
      </c>
      <c r="T155" t="n">
        <v>427.387</v>
      </c>
      <c r="U155" t="n">
        <v>428.07</v>
      </c>
      <c r="V155" t="n">
        <v>490.909</v>
      </c>
      <c r="W155" t="n">
        <v>544.987</v>
      </c>
      <c r="X155" t="n">
        <v>606.394</v>
      </c>
      <c r="Y155" t="n">
        <v>669.894</v>
      </c>
      <c r="Z155" t="n">
        <v>726.117</v>
      </c>
      <c r="AA155" t="n">
        <v>856.092</v>
      </c>
      <c r="AB155" t="n">
        <v>1093.512</v>
      </c>
      <c r="AC155" t="n">
        <v>1329.015</v>
      </c>
      <c r="AD155" t="n">
        <v>1437.212</v>
      </c>
      <c r="AE155" t="n">
        <v>1846.91</v>
      </c>
      <c r="AF155" t="n">
        <v>2014.318</v>
      </c>
      <c r="AG155" t="n">
        <v>2018.205</v>
      </c>
      <c r="AH155" t="n">
        <v>2276.935</v>
      </c>
      <c r="AI155" t="n">
        <v>3056.565</v>
      </c>
      <c r="AJ155" t="n">
        <v>2985.554</v>
      </c>
      <c r="AK155" t="n">
        <v>2623.052</v>
      </c>
      <c r="AL155" t="n">
        <v>2827.32</v>
      </c>
      <c r="AM155" t="n">
        <v>3333.454</v>
      </c>
      <c r="AN155" t="n">
        <v>3815.383</v>
      </c>
      <c r="AO155" t="n">
        <v>4151.265</v>
      </c>
      <c r="AP155" t="n">
        <v>3868.229</v>
      </c>
      <c r="AQ155" t="n">
        <v>3358.281</v>
      </c>
      <c r="AR155" t="n">
        <v>3343.057</v>
      </c>
      <c r="AS155" t="n">
        <v>1902.588</v>
      </c>
      <c r="AT155" t="n">
        <v>2108.484</v>
      </c>
      <c r="AU155" t="n">
        <v>1522.752</v>
      </c>
      <c r="AV155" t="n">
        <v>1545.647</v>
      </c>
      <c r="AW155" t="n">
        <v>1655.395</v>
      </c>
      <c r="AX155" t="n">
        <v>1872.739</v>
      </c>
      <c r="AY155" t="n">
        <v>2053.662</v>
      </c>
      <c r="AZ155" t="n">
        <v>2773.772</v>
      </c>
      <c r="BA155" t="n">
        <v>3113.526</v>
      </c>
      <c r="BB155" t="n">
        <v>2917.158</v>
      </c>
      <c r="BC155" t="n">
        <v>2737.176</v>
      </c>
      <c r="BD155" t="n">
        <v>3304.333</v>
      </c>
      <c r="BE155" t="n">
        <v>3123.235</v>
      </c>
      <c r="BF155" t="n">
        <v>1778.959</v>
      </c>
      <c r="BG155" t="n">
        <v>1555.602</v>
      </c>
      <c r="BH155" t="n">
        <v>1032.138</v>
      </c>
      <c r="BI155" t="n">
        <v>767.952</v>
      </c>
      <c r="BJ155" t="n">
        <v>985.828</v>
      </c>
      <c r="BK155" t="n">
        <v>585.425</v>
      </c>
      <c r="BL155" t="n">
        <v>737.092</v>
      </c>
      <c r="BM155" t="n">
        <v>628.36</v>
      </c>
      <c r="BN155" t="n">
        <v>647.9640000000001</v>
      </c>
      <c r="BO155" t="n">
        <v>740.758</v>
      </c>
      <c r="BP155" t="n">
        <v>475.077</v>
      </c>
      <c r="BQ155" t="n">
        <v>1038.767</v>
      </c>
      <c r="BR155" t="n">
        <v>884.124</v>
      </c>
      <c r="BS155" t="n">
        <v>885.345</v>
      </c>
      <c r="BT155" t="n">
        <v>813.774</v>
      </c>
      <c r="BU155" t="n">
        <v>1011.607</v>
      </c>
      <c r="BV155" t="n">
        <v>964.963</v>
      </c>
    </row>
    <row r="156">
      <c r="A156" t="inlineStr">
        <is>
          <t>Acanthopagrus berda</t>
        </is>
      </c>
      <c r="B156" t="inlineStr">
        <is>
          <t>Goldsilk seabream</t>
        </is>
      </c>
      <c r="C156" t="inlineStr">
        <is>
          <t>Medium demersals (30 - 89 cm)</t>
        </is>
      </c>
      <c r="D156" t="inlineStr">
        <is>
          <t>Perch-likes</t>
        </is>
      </c>
      <c r="E156" t="n">
        <v>1088.397</v>
      </c>
      <c r="F156" t="n">
        <v>1113.417</v>
      </c>
      <c r="G156" t="n">
        <v>1148.914</v>
      </c>
      <c r="H156" t="n">
        <v>1214.624</v>
      </c>
      <c r="I156" t="n">
        <v>1244.49</v>
      </c>
      <c r="J156" t="n">
        <v>1277.591</v>
      </c>
      <c r="K156" t="n">
        <v>1305.844</v>
      </c>
      <c r="L156" t="n">
        <v>1352.192</v>
      </c>
      <c r="M156" t="n">
        <v>1363.847</v>
      </c>
      <c r="N156" t="n">
        <v>1395.465</v>
      </c>
      <c r="O156" t="n">
        <v>1443.341</v>
      </c>
      <c r="P156" t="n">
        <v>1447.637</v>
      </c>
      <c r="Q156" t="n">
        <v>1526.892</v>
      </c>
      <c r="R156" t="n">
        <v>1559.728</v>
      </c>
      <c r="S156" t="n">
        <v>1597.954</v>
      </c>
      <c r="T156" t="n">
        <v>1639.315</v>
      </c>
      <c r="U156" t="n">
        <v>1735.106</v>
      </c>
      <c r="V156" t="n">
        <v>1757.243</v>
      </c>
      <c r="W156" t="n">
        <v>1797.477</v>
      </c>
      <c r="X156" t="n">
        <v>1853.268</v>
      </c>
      <c r="Y156" t="n">
        <v>1871.475</v>
      </c>
      <c r="Z156" t="n">
        <v>1888.567</v>
      </c>
      <c r="AA156" t="n">
        <v>1738.712</v>
      </c>
      <c r="AB156" t="n">
        <v>1770.01</v>
      </c>
      <c r="AC156" t="n">
        <v>1682.3</v>
      </c>
      <c r="AD156" t="n">
        <v>1684.378</v>
      </c>
      <c r="AE156" t="n">
        <v>1698.646</v>
      </c>
      <c r="AF156" t="n">
        <v>1779.905</v>
      </c>
      <c r="AG156" t="n">
        <v>1791.009</v>
      </c>
      <c r="AH156" t="n">
        <v>1850.64</v>
      </c>
      <c r="AI156" t="n">
        <v>1806.103</v>
      </c>
      <c r="AJ156" t="n">
        <v>1844.752</v>
      </c>
      <c r="AK156" t="n">
        <v>1907.016</v>
      </c>
      <c r="AL156" t="n">
        <v>1915.407</v>
      </c>
      <c r="AM156" t="n">
        <v>1868.893</v>
      </c>
      <c r="AN156" t="n">
        <v>1849.844</v>
      </c>
      <c r="AO156" t="n">
        <v>1795.856</v>
      </c>
      <c r="AP156" t="n">
        <v>1711.572</v>
      </c>
      <c r="AQ156" t="n">
        <v>1749.326</v>
      </c>
      <c r="AR156" t="n">
        <v>1754.53</v>
      </c>
      <c r="AS156" t="n">
        <v>1620.135</v>
      </c>
      <c r="AT156" t="n">
        <v>1631.676</v>
      </c>
      <c r="AU156" t="n">
        <v>1572.912</v>
      </c>
      <c r="AV156" t="n">
        <v>1545.606</v>
      </c>
      <c r="AW156" t="n">
        <v>1538.153</v>
      </c>
      <c r="AX156" t="n">
        <v>1640.126</v>
      </c>
      <c r="AY156" t="n">
        <v>1595.015</v>
      </c>
      <c r="AZ156" t="n">
        <v>1576.56</v>
      </c>
      <c r="BA156" t="n">
        <v>1555.934</v>
      </c>
      <c r="BB156" t="n">
        <v>1573.003</v>
      </c>
      <c r="BC156" t="n">
        <v>1564.976</v>
      </c>
      <c r="BD156" t="n">
        <v>1514.041</v>
      </c>
      <c r="BE156" t="n">
        <v>1502.339</v>
      </c>
      <c r="BF156" t="n">
        <v>1419.971</v>
      </c>
      <c r="BG156" t="n">
        <v>1357.316</v>
      </c>
      <c r="BH156" t="n">
        <v>1312.058</v>
      </c>
      <c r="BI156" t="n">
        <v>1257.786</v>
      </c>
      <c r="BJ156" t="n">
        <v>1257.631</v>
      </c>
      <c r="BK156" t="n">
        <v>1212.44</v>
      </c>
      <c r="BL156" t="n">
        <v>1157.51</v>
      </c>
      <c r="BM156" t="n">
        <v>1035.079</v>
      </c>
      <c r="BN156" t="n">
        <v>942.928</v>
      </c>
      <c r="BO156" t="n">
        <v>866.977</v>
      </c>
      <c r="BP156" t="n">
        <v>796.735</v>
      </c>
      <c r="BQ156" t="n">
        <v>752.245</v>
      </c>
      <c r="BR156" t="n">
        <v>677.371</v>
      </c>
      <c r="BS156" t="n">
        <v>605.556</v>
      </c>
      <c r="BT156" t="n">
        <v>547.407</v>
      </c>
      <c r="BU156" t="n">
        <v>484.359</v>
      </c>
      <c r="BV156" t="n">
        <v>412.16</v>
      </c>
    </row>
    <row r="157">
      <c r="A157" t="inlineStr">
        <is>
          <t>Pelates quadrilineatus</t>
        </is>
      </c>
      <c r="B157" t="inlineStr">
        <is>
          <t>Fourlined terapon</t>
        </is>
      </c>
      <c r="C157" t="inlineStr">
        <is>
          <t>Small pelagics (&lt;30 cm)</t>
        </is>
      </c>
      <c r="D157" t="inlineStr">
        <is>
          <t>Perch-likes</t>
        </is>
      </c>
      <c r="E157" t="n">
        <v>758.475</v>
      </c>
      <c r="F157" t="n">
        <v>758.475</v>
      </c>
      <c r="G157" t="n">
        <v>821.682</v>
      </c>
      <c r="H157" t="n">
        <v>884.888</v>
      </c>
      <c r="I157" t="n">
        <v>948.0940000000001</v>
      </c>
      <c r="J157" t="n">
        <v>1011.3</v>
      </c>
      <c r="K157" t="n">
        <v>1074.507</v>
      </c>
      <c r="L157" t="n">
        <v>1137.713</v>
      </c>
      <c r="M157" t="n">
        <v>1200.919</v>
      </c>
      <c r="N157" t="n">
        <v>1264.125</v>
      </c>
      <c r="O157" t="n">
        <v>1327.64</v>
      </c>
      <c r="P157" t="n">
        <v>1454.062</v>
      </c>
      <c r="Q157" t="n">
        <v>1580.485</v>
      </c>
      <c r="R157" t="n">
        <v>1770.113</v>
      </c>
      <c r="S157" t="n">
        <v>1959.741</v>
      </c>
      <c r="T157" t="n">
        <v>2212.575</v>
      </c>
      <c r="U157" t="n">
        <v>2528.614</v>
      </c>
      <c r="V157" t="n">
        <v>2718.242</v>
      </c>
      <c r="W157" t="n">
        <v>2136.753</v>
      </c>
      <c r="X157" t="n">
        <v>1435.174</v>
      </c>
      <c r="Y157" t="n">
        <v>739.917</v>
      </c>
      <c r="Z157" t="n">
        <v>765.2140000000001</v>
      </c>
      <c r="AA157" t="n">
        <v>790.513</v>
      </c>
      <c r="AB157" t="n">
        <v>815.8150000000001</v>
      </c>
      <c r="AC157" t="n">
        <v>831.008</v>
      </c>
      <c r="AD157" t="n">
        <v>891.7140000000001</v>
      </c>
      <c r="AE157" t="n">
        <v>888.586</v>
      </c>
      <c r="AF157" t="n">
        <v>723.022</v>
      </c>
      <c r="AG157" t="n">
        <v>664.753</v>
      </c>
      <c r="AH157" t="n">
        <v>588.547</v>
      </c>
      <c r="AI157" t="n">
        <v>762.318</v>
      </c>
      <c r="AJ157" t="n">
        <v>817.65</v>
      </c>
      <c r="AK157" t="n">
        <v>938.159</v>
      </c>
      <c r="AL157" t="n">
        <v>1172.833</v>
      </c>
      <c r="AM157" t="n">
        <v>1527.993</v>
      </c>
      <c r="AN157" t="n">
        <v>1936.882</v>
      </c>
      <c r="AO157" t="n">
        <v>1855.136</v>
      </c>
      <c r="AP157" t="n">
        <v>1769.046</v>
      </c>
      <c r="AQ157" t="n">
        <v>1534.029</v>
      </c>
      <c r="AR157" t="n">
        <v>1413.177</v>
      </c>
      <c r="AS157" t="n">
        <v>1112.975</v>
      </c>
      <c r="AT157" t="n">
        <v>1460.636</v>
      </c>
      <c r="AU157" t="n">
        <v>1608.01</v>
      </c>
      <c r="AV157" t="n">
        <v>1966.335</v>
      </c>
      <c r="AW157" t="n">
        <v>2534.032</v>
      </c>
      <c r="AX157" t="n">
        <v>3081.584</v>
      </c>
      <c r="AY157" t="n">
        <v>3424.508</v>
      </c>
      <c r="AZ157" t="n">
        <v>2656.981</v>
      </c>
      <c r="BA157" t="n">
        <v>2040.331</v>
      </c>
      <c r="BB157" t="n">
        <v>1298.591</v>
      </c>
      <c r="BC157" t="n">
        <v>923.572</v>
      </c>
      <c r="BD157" t="n">
        <v>828.441</v>
      </c>
      <c r="BE157" t="n">
        <v>871.359</v>
      </c>
      <c r="BF157" t="n">
        <v>815.686</v>
      </c>
      <c r="BG157" t="n">
        <v>912.5700000000001</v>
      </c>
      <c r="BH157" t="n">
        <v>1166.849</v>
      </c>
      <c r="BI157" t="n">
        <v>1361.377</v>
      </c>
      <c r="BJ157" t="n">
        <v>1643.344</v>
      </c>
      <c r="BK157" t="n">
        <v>2061.579</v>
      </c>
      <c r="BL157" t="n">
        <v>2047.628</v>
      </c>
      <c r="BM157" t="n">
        <v>1841.468</v>
      </c>
      <c r="BN157" t="n">
        <v>1544.175</v>
      </c>
      <c r="BO157" t="n">
        <v>1627.348</v>
      </c>
      <c r="BP157" t="n">
        <v>1704.923</v>
      </c>
      <c r="BQ157" t="n">
        <v>1645.217</v>
      </c>
      <c r="BR157" t="n">
        <v>1598.353</v>
      </c>
      <c r="BS157" t="n">
        <v>1373.452</v>
      </c>
      <c r="BT157" t="n">
        <v>1617.591</v>
      </c>
      <c r="BU157" t="n">
        <v>1617.591</v>
      </c>
      <c r="BV157" t="n">
        <v>1617.591</v>
      </c>
    </row>
    <row r="158">
      <c r="A158" t="inlineStr">
        <is>
          <t>Rhabdosargus sarba</t>
        </is>
      </c>
      <c r="B158" t="inlineStr">
        <is>
          <t>Goldlined seabream</t>
        </is>
      </c>
      <c r="C158" t="inlineStr">
        <is>
          <t>Medium demersals (30 - 89 cm)</t>
        </is>
      </c>
      <c r="D158" t="inlineStr">
        <is>
          <t>Perch-likes</t>
        </is>
      </c>
      <c r="E158" t="n">
        <v>1039.319</v>
      </c>
      <c r="F158" t="n">
        <v>1063.942</v>
      </c>
      <c r="G158" t="n">
        <v>1093.564</v>
      </c>
      <c r="H158" t="n">
        <v>1139.192</v>
      </c>
      <c r="I158" t="n">
        <v>1167.074</v>
      </c>
      <c r="J158" t="n">
        <v>1197.19</v>
      </c>
      <c r="K158" t="n">
        <v>1225.203</v>
      </c>
      <c r="L158" t="n">
        <v>1262.018</v>
      </c>
      <c r="M158" t="n">
        <v>1282.835</v>
      </c>
      <c r="N158" t="n">
        <v>1313.422</v>
      </c>
      <c r="O158" t="n">
        <v>1352.967</v>
      </c>
      <c r="P158" t="n">
        <v>1365.862</v>
      </c>
      <c r="Q158" t="n">
        <v>1417.853</v>
      </c>
      <c r="R158" t="n">
        <v>1448.033</v>
      </c>
      <c r="S158" t="n">
        <v>1483.175</v>
      </c>
      <c r="T158" t="n">
        <v>1519.767</v>
      </c>
      <c r="U158" t="n">
        <v>1582.203</v>
      </c>
      <c r="V158" t="n">
        <v>1610.507</v>
      </c>
      <c r="W158" t="n">
        <v>1647.741</v>
      </c>
      <c r="X158" t="n">
        <v>1692.207</v>
      </c>
      <c r="Y158" t="n">
        <v>1718.18</v>
      </c>
      <c r="Z158" t="n">
        <v>1713.962</v>
      </c>
      <c r="AA158" t="n">
        <v>1524.334</v>
      </c>
      <c r="AB158" t="n">
        <v>1523.524</v>
      </c>
      <c r="AC158" t="n">
        <v>1463.962</v>
      </c>
      <c r="AD158" t="n">
        <v>1453.24</v>
      </c>
      <c r="AE158" t="n">
        <v>1448.707</v>
      </c>
      <c r="AF158" t="n">
        <v>1467.288</v>
      </c>
      <c r="AG158" t="n">
        <v>1467.553</v>
      </c>
      <c r="AH158" t="n">
        <v>1479.965</v>
      </c>
      <c r="AI158" t="n">
        <v>1436.224</v>
      </c>
      <c r="AJ158" t="n">
        <v>1431.328</v>
      </c>
      <c r="AK158" t="n">
        <v>1445.342</v>
      </c>
      <c r="AL158" t="n">
        <v>1424.911</v>
      </c>
      <c r="AM158" t="n">
        <v>1356.574</v>
      </c>
      <c r="AN158" t="n">
        <v>1303.929</v>
      </c>
      <c r="AO158" t="n">
        <v>1232.903</v>
      </c>
      <c r="AP158" t="n">
        <v>1155.743</v>
      </c>
      <c r="AQ158" t="n">
        <v>1153.936</v>
      </c>
      <c r="AR158" t="n">
        <v>1127.718</v>
      </c>
      <c r="AS158" t="n">
        <v>1029.532</v>
      </c>
      <c r="AT158" t="n">
        <v>1055.714</v>
      </c>
      <c r="AU158" t="n">
        <v>1035.404</v>
      </c>
      <c r="AV158" t="n">
        <v>1044.208</v>
      </c>
      <c r="AW158" t="n">
        <v>1060.714</v>
      </c>
      <c r="AX158" t="n">
        <v>1166.473</v>
      </c>
      <c r="AY158" t="n">
        <v>1162.512</v>
      </c>
      <c r="AZ158" t="n">
        <v>1176.249</v>
      </c>
      <c r="BA158" t="n">
        <v>1175.042</v>
      </c>
      <c r="BB158" t="n">
        <v>1218.697</v>
      </c>
      <c r="BC158" t="n">
        <v>1251.82</v>
      </c>
      <c r="BD158" t="n">
        <v>1283.054</v>
      </c>
      <c r="BE158" t="n">
        <v>1321.284</v>
      </c>
      <c r="BF158" t="n">
        <v>1349.822</v>
      </c>
      <c r="BG158" t="n">
        <v>1377.873</v>
      </c>
      <c r="BH158" t="n">
        <v>1410.867</v>
      </c>
      <c r="BI158" t="n">
        <v>1452.919</v>
      </c>
      <c r="BJ158" t="n">
        <v>1494.983</v>
      </c>
      <c r="BK158" t="n">
        <v>1540.126</v>
      </c>
      <c r="BL158" t="n">
        <v>1585.986</v>
      </c>
      <c r="BM158" t="n">
        <v>1577.997</v>
      </c>
      <c r="BN158" t="n">
        <v>1572.312</v>
      </c>
      <c r="BO158" t="n">
        <v>1566.577</v>
      </c>
      <c r="BP158" t="n">
        <v>1561.111</v>
      </c>
      <c r="BQ158" t="n">
        <v>1560.282</v>
      </c>
      <c r="BR158" t="n">
        <v>1560.143</v>
      </c>
      <c r="BS158" t="n">
        <v>1559.383</v>
      </c>
      <c r="BT158" t="n">
        <v>1558.655</v>
      </c>
      <c r="BU158" t="n">
        <v>1557.948</v>
      </c>
      <c r="BV158" t="n">
        <v>1557.244</v>
      </c>
    </row>
    <row r="159">
      <c r="A159" t="inlineStr">
        <is>
          <t>Rhizostomeae</t>
        </is>
      </c>
      <c r="B159" t="inlineStr">
        <is>
          <t>Oral arm jellyfishes</t>
        </is>
      </c>
      <c r="C159" t="inlineStr">
        <is>
          <t>Jellyfish</t>
        </is>
      </c>
      <c r="D159" t="inlineStr">
        <is>
          <t>Other fishes &amp; inverts</t>
        </is>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907.66</v>
      </c>
      <c r="AN159" t="n">
        <v>19.58</v>
      </c>
      <c r="AO159" t="n">
        <v>0</v>
      </c>
      <c r="AP159" t="n">
        <v>0</v>
      </c>
      <c r="AQ159" t="n">
        <v>13.986</v>
      </c>
      <c r="AR159" t="n">
        <v>14.279</v>
      </c>
      <c r="AS159" t="n">
        <v>0</v>
      </c>
      <c r="AT159" t="n">
        <v>0</v>
      </c>
      <c r="AU159" t="n">
        <v>0</v>
      </c>
      <c r="AV159" t="n">
        <v>0</v>
      </c>
      <c r="AW159" t="n">
        <v>0</v>
      </c>
      <c r="AX159" t="n">
        <v>20.979</v>
      </c>
      <c r="AY159" t="n">
        <v>185.744</v>
      </c>
      <c r="AZ159" t="n">
        <v>153.521</v>
      </c>
      <c r="BA159" t="n">
        <v>0</v>
      </c>
      <c r="BB159" t="n">
        <v>41.957</v>
      </c>
      <c r="BC159" t="n">
        <v>10801.155</v>
      </c>
      <c r="BD159" t="n">
        <v>14378.697</v>
      </c>
      <c r="BE159" t="n">
        <v>1274.097</v>
      </c>
      <c r="BF159" t="n">
        <v>8481.312</v>
      </c>
      <c r="BG159" t="n">
        <v>2857.278</v>
      </c>
      <c r="BH159" t="n">
        <v>2384.562</v>
      </c>
      <c r="BI159" t="n">
        <v>499.289</v>
      </c>
      <c r="BJ159" t="n">
        <v>2152.399</v>
      </c>
      <c r="BK159" t="n">
        <v>292.301</v>
      </c>
      <c r="BL159" t="n">
        <v>2685.254</v>
      </c>
      <c r="BM159" t="n">
        <v>634.951</v>
      </c>
      <c r="BN159" t="n">
        <v>9940.731</v>
      </c>
      <c r="BO159" t="n">
        <v>1647.515</v>
      </c>
      <c r="BP159" t="n">
        <v>5738.332</v>
      </c>
      <c r="BQ159" t="n">
        <v>3265.661</v>
      </c>
      <c r="BR159" t="n">
        <v>1197.176</v>
      </c>
      <c r="BS159" t="n">
        <v>462.927</v>
      </c>
      <c r="BT159" t="n">
        <v>4129.178</v>
      </c>
      <c r="BU159" t="n">
        <v>6647.802</v>
      </c>
      <c r="BV159" t="n">
        <v>13295.604</v>
      </c>
    </row>
    <row r="160">
      <c r="A160" t="inlineStr">
        <is>
          <t>Hemiramphus</t>
        </is>
      </c>
      <c r="B160" t="inlineStr">
        <is>
          <t>Halfbeaks</t>
        </is>
      </c>
      <c r="C160" t="inlineStr">
        <is>
          <t>Medium pelagics (30 - 89 cm)</t>
        </is>
      </c>
      <c r="D160" t="inlineStr">
        <is>
          <t>Other fishes &amp; inverts</t>
        </is>
      </c>
      <c r="E160" t="n">
        <v>365.073</v>
      </c>
      <c r="F160" t="n">
        <v>253.003</v>
      </c>
      <c r="G160" t="n">
        <v>427.505</v>
      </c>
      <c r="H160" t="n">
        <v>506.08</v>
      </c>
      <c r="I160" t="n">
        <v>385.037</v>
      </c>
      <c r="J160" t="n">
        <v>276.662</v>
      </c>
      <c r="K160" t="n">
        <v>629.999</v>
      </c>
      <c r="L160" t="n">
        <v>521.325</v>
      </c>
      <c r="M160" t="n">
        <v>384.196</v>
      </c>
      <c r="N160" t="n">
        <v>292.275</v>
      </c>
      <c r="O160" t="n">
        <v>335.496</v>
      </c>
      <c r="P160" t="n">
        <v>574.182</v>
      </c>
      <c r="Q160" t="n">
        <v>249.296</v>
      </c>
      <c r="R160" t="n">
        <v>547.169</v>
      </c>
      <c r="S160" t="n">
        <v>281.799</v>
      </c>
      <c r="T160" t="n">
        <v>424.234</v>
      </c>
      <c r="U160" t="n">
        <v>926.309</v>
      </c>
      <c r="V160" t="n">
        <v>835.422</v>
      </c>
      <c r="W160" t="n">
        <v>570.306</v>
      </c>
      <c r="X160" t="n">
        <v>726.078</v>
      </c>
      <c r="Y160" t="n">
        <v>880.946</v>
      </c>
      <c r="Z160" t="n">
        <v>493.073</v>
      </c>
      <c r="AA160" t="n">
        <v>454.096</v>
      </c>
      <c r="AB160" t="n">
        <v>544.5700000000001</v>
      </c>
      <c r="AC160" t="n">
        <v>592.813</v>
      </c>
      <c r="AD160" t="n">
        <v>584.236</v>
      </c>
      <c r="AE160" t="n">
        <v>578.05</v>
      </c>
      <c r="AF160" t="n">
        <v>691.023</v>
      </c>
      <c r="AG160" t="n">
        <v>629.211</v>
      </c>
      <c r="AH160" t="n">
        <v>839.544</v>
      </c>
      <c r="AI160" t="n">
        <v>792.588</v>
      </c>
      <c r="AJ160" t="n">
        <v>955.7380000000001</v>
      </c>
      <c r="AK160" t="n">
        <v>1650.856</v>
      </c>
      <c r="AL160" t="n">
        <v>1331.814</v>
      </c>
      <c r="AM160" t="n">
        <v>655.168</v>
      </c>
      <c r="AN160" t="n">
        <v>1416.089</v>
      </c>
      <c r="AO160" t="n">
        <v>1203.509</v>
      </c>
      <c r="AP160" t="n">
        <v>1261.428</v>
      </c>
      <c r="AQ160" t="n">
        <v>1899.091</v>
      </c>
      <c r="AR160" t="n">
        <v>1250.556</v>
      </c>
      <c r="AS160" t="n">
        <v>1046.859</v>
      </c>
      <c r="AT160" t="n">
        <v>1307.059</v>
      </c>
      <c r="AU160" t="n">
        <v>862.006</v>
      </c>
      <c r="AV160" t="n">
        <v>1036.145</v>
      </c>
      <c r="AW160" t="n">
        <v>1140.966</v>
      </c>
      <c r="AX160" t="n">
        <v>4505.728</v>
      </c>
      <c r="AY160" t="n">
        <v>1033.832</v>
      </c>
      <c r="AZ160" t="n">
        <v>1446.791</v>
      </c>
      <c r="BA160" t="n">
        <v>1317.053</v>
      </c>
      <c r="BB160" t="n">
        <v>1378.43</v>
      </c>
      <c r="BC160" t="n">
        <v>1229.072</v>
      </c>
      <c r="BD160" t="n">
        <v>1569.019</v>
      </c>
      <c r="BE160" t="n">
        <v>2526.215</v>
      </c>
      <c r="BF160" t="n">
        <v>3256.599</v>
      </c>
      <c r="BG160" t="n">
        <v>1476.074</v>
      </c>
      <c r="BH160" t="n">
        <v>1350.423</v>
      </c>
      <c r="BI160" t="n">
        <v>1989.154</v>
      </c>
      <c r="BJ160" t="n">
        <v>2856.107</v>
      </c>
      <c r="BK160" t="n">
        <v>2995.654</v>
      </c>
      <c r="BL160" t="n">
        <v>1467.969</v>
      </c>
      <c r="BM160" t="n">
        <v>1553.9</v>
      </c>
      <c r="BN160" t="n">
        <v>1833.789</v>
      </c>
      <c r="BO160" t="n">
        <v>1700.427</v>
      </c>
      <c r="BP160" t="n">
        <v>1904.543</v>
      </c>
      <c r="BQ160" t="n">
        <v>2832.249</v>
      </c>
      <c r="BR160" t="n">
        <v>1983.534</v>
      </c>
      <c r="BS160" t="n">
        <v>2903.718</v>
      </c>
      <c r="BT160" t="n">
        <v>5390.796</v>
      </c>
      <c r="BU160" t="n">
        <v>4663.396</v>
      </c>
      <c r="BV160" t="n">
        <v>3439.256</v>
      </c>
    </row>
    <row r="161">
      <c r="A161" t="inlineStr">
        <is>
          <t>Terapon</t>
        </is>
      </c>
      <c r="B161" t="inlineStr">
        <is>
          <t>Terapons</t>
        </is>
      </c>
      <c r="C161" t="inlineStr">
        <is>
          <t>Medium demersals (30 - 89 cm)</t>
        </is>
      </c>
      <c r="D161" t="inlineStr">
        <is>
          <t>Perch-likes</t>
        </is>
      </c>
      <c r="E161" t="n">
        <v>0.005</v>
      </c>
      <c r="F161" t="n">
        <v>0.005</v>
      </c>
      <c r="G161" t="n">
        <v>0.005</v>
      </c>
      <c r="H161" t="n">
        <v>0.005</v>
      </c>
      <c r="I161" t="n">
        <v>0.005</v>
      </c>
      <c r="J161" t="n">
        <v>0.005</v>
      </c>
      <c r="K161" t="n">
        <v>0.005</v>
      </c>
      <c r="L161" t="n">
        <v>0.005</v>
      </c>
      <c r="M161" t="n">
        <v>0.011</v>
      </c>
      <c r="N161" t="n">
        <v>0.011</v>
      </c>
      <c r="O161" t="n">
        <v>0.02</v>
      </c>
      <c r="P161" t="n">
        <v>0.04</v>
      </c>
      <c r="Q161" t="n">
        <v>0.048</v>
      </c>
      <c r="R161" t="n">
        <v>0.052</v>
      </c>
      <c r="S161" t="n">
        <v>0.044</v>
      </c>
      <c r="T161" t="n">
        <v>0.044</v>
      </c>
      <c r="U161" t="n">
        <v>0.045</v>
      </c>
      <c r="V161" t="n">
        <v>96.464</v>
      </c>
      <c r="W161" t="n">
        <v>201.076</v>
      </c>
      <c r="X161" t="n">
        <v>305.691</v>
      </c>
      <c r="Y161" t="n">
        <v>416.482</v>
      </c>
      <c r="Z161" t="n">
        <v>503.564</v>
      </c>
      <c r="AA161" t="n">
        <v>725.124</v>
      </c>
      <c r="AB161" t="n">
        <v>1158.599</v>
      </c>
      <c r="AC161" t="n">
        <v>1572.843</v>
      </c>
      <c r="AD161" t="n">
        <v>1757.028</v>
      </c>
      <c r="AE161" t="n">
        <v>2499.559</v>
      </c>
      <c r="AF161" t="n">
        <v>2761.725</v>
      </c>
      <c r="AG161" t="n">
        <v>2779.053</v>
      </c>
      <c r="AH161" t="n">
        <v>3248.312</v>
      </c>
      <c r="AI161" t="n">
        <v>4472.683</v>
      </c>
      <c r="AJ161" t="n">
        <v>4292.726</v>
      </c>
      <c r="AK161" t="n">
        <v>3581.609</v>
      </c>
      <c r="AL161" t="n">
        <v>3839.48</v>
      </c>
      <c r="AM161" t="n">
        <v>4596.898</v>
      </c>
      <c r="AN161" t="n">
        <v>5482.642</v>
      </c>
      <c r="AO161" t="n">
        <v>5999.505</v>
      </c>
      <c r="AP161" t="n">
        <v>5332.453</v>
      </c>
      <c r="AQ161" t="n">
        <v>4406.643</v>
      </c>
      <c r="AR161" t="n">
        <v>4027.829</v>
      </c>
      <c r="AS161" t="n">
        <v>1161.565</v>
      </c>
      <c r="AT161" t="n">
        <v>1369.009</v>
      </c>
      <c r="AU161" t="n">
        <v>389.405</v>
      </c>
      <c r="AV161" t="n">
        <v>770.301</v>
      </c>
      <c r="AW161" t="n">
        <v>271.493</v>
      </c>
      <c r="AX161" t="n">
        <v>717.775</v>
      </c>
      <c r="AY161" t="n">
        <v>1095.446</v>
      </c>
      <c r="AZ161" t="n">
        <v>1698.087</v>
      </c>
      <c r="BA161" t="n">
        <v>2473.811</v>
      </c>
      <c r="BB161" t="n">
        <v>2365.4</v>
      </c>
      <c r="BC161" t="n">
        <v>2107.71</v>
      </c>
      <c r="BD161" t="n">
        <v>2478.734</v>
      </c>
      <c r="BE161" t="n">
        <v>2911.508</v>
      </c>
      <c r="BF161" t="n">
        <v>1891.578</v>
      </c>
      <c r="BG161" t="n">
        <v>1525.285</v>
      </c>
      <c r="BH161" t="n">
        <v>857.496</v>
      </c>
      <c r="BI161" t="n">
        <v>282.097</v>
      </c>
      <c r="BJ161" t="n">
        <v>655.567</v>
      </c>
      <c r="BK161" t="n">
        <v>64.008</v>
      </c>
      <c r="BL161" t="n">
        <v>85.63800000000001</v>
      </c>
      <c r="BM161" t="n">
        <v>102.938</v>
      </c>
      <c r="BN161" t="n">
        <v>138.064</v>
      </c>
      <c r="BO161" t="n">
        <v>233.345</v>
      </c>
      <c r="BP161" t="n">
        <v>340.372</v>
      </c>
      <c r="BQ161" t="n">
        <v>304.87</v>
      </c>
      <c r="BR161" t="n">
        <v>264.45</v>
      </c>
      <c r="BS161" t="n">
        <v>249.118</v>
      </c>
      <c r="BT161" t="n">
        <v>231.075</v>
      </c>
      <c r="BU161" t="n">
        <v>229.922</v>
      </c>
      <c r="BV161" t="n">
        <v>230.187</v>
      </c>
    </row>
    <row r="162">
      <c r="A162" t="inlineStr">
        <is>
          <t>Pterotolithus maculatus</t>
        </is>
      </c>
      <c r="B162" t="inlineStr">
        <is>
          <t>Blotched tiger-toothed croaker</t>
        </is>
      </c>
      <c r="C162" t="inlineStr">
        <is>
          <t>Small pelagics (&lt;30 cm)</t>
        </is>
      </c>
      <c r="D162" t="inlineStr">
        <is>
          <t>Perch-likes</t>
        </is>
      </c>
      <c r="E162" t="n">
        <v>1145.242</v>
      </c>
      <c r="F162" t="n">
        <v>1170.205</v>
      </c>
      <c r="G162" t="n">
        <v>1213.23</v>
      </c>
      <c r="H162" t="n">
        <v>1318.892</v>
      </c>
      <c r="I162" t="n">
        <v>1350.253</v>
      </c>
      <c r="J162" t="n">
        <v>1388.265</v>
      </c>
      <c r="K162" t="n">
        <v>1415.281</v>
      </c>
      <c r="L162" t="n">
        <v>1475.449</v>
      </c>
      <c r="M162" t="n">
        <v>1468.128</v>
      </c>
      <c r="N162" t="n">
        <v>1497.748</v>
      </c>
      <c r="O162" t="n">
        <v>1560.538</v>
      </c>
      <c r="P162" t="n">
        <v>1530.904</v>
      </c>
      <c r="Q162" t="n">
        <v>1656.571</v>
      </c>
      <c r="R162" t="n">
        <v>1690.729</v>
      </c>
      <c r="S162" t="n">
        <v>1742.158</v>
      </c>
      <c r="T162" t="n">
        <v>1796.732</v>
      </c>
      <c r="U162" t="n">
        <v>1955.375</v>
      </c>
      <c r="V162" t="n">
        <v>1972.621</v>
      </c>
      <c r="W162" t="n">
        <v>2023.166</v>
      </c>
      <c r="X162" t="n">
        <v>2100.221</v>
      </c>
      <c r="Y162" t="n">
        <v>2099.384</v>
      </c>
      <c r="Z162" t="n">
        <v>2085.632</v>
      </c>
      <c r="AA162" t="n">
        <v>1962.603</v>
      </c>
      <c r="AB162" t="n">
        <v>1984.888</v>
      </c>
      <c r="AC162" t="n">
        <v>1784.309</v>
      </c>
      <c r="AD162" t="n">
        <v>1747.633</v>
      </c>
      <c r="AE162" t="n">
        <v>1725.07</v>
      </c>
      <c r="AF162" t="n">
        <v>1839.374</v>
      </c>
      <c r="AG162" t="n">
        <v>1780.103</v>
      </c>
      <c r="AH162" t="n">
        <v>1828.219</v>
      </c>
      <c r="AI162" t="n">
        <v>1706.69</v>
      </c>
      <c r="AJ162" t="n">
        <v>1720.749</v>
      </c>
      <c r="AK162" t="n">
        <v>1760.607</v>
      </c>
      <c r="AL162" t="n">
        <v>1720.019</v>
      </c>
      <c r="AM162" t="n">
        <v>1646.405</v>
      </c>
      <c r="AN162" t="n">
        <v>1615.164</v>
      </c>
      <c r="AO162" t="n">
        <v>1524.659</v>
      </c>
      <c r="AP162" t="n">
        <v>1414.227</v>
      </c>
      <c r="AQ162" t="n">
        <v>1403.739</v>
      </c>
      <c r="AR162" t="n">
        <v>1342.899</v>
      </c>
      <c r="AS162" t="n">
        <v>1143.326</v>
      </c>
      <c r="AT162" t="n">
        <v>1258.577</v>
      </c>
      <c r="AU162" t="n">
        <v>1301.072</v>
      </c>
      <c r="AV162" t="n">
        <v>1383.278</v>
      </c>
      <c r="AW162" t="n">
        <v>1472.06</v>
      </c>
      <c r="AX162" t="n">
        <v>1661.029</v>
      </c>
      <c r="AY162" t="n">
        <v>1723.764</v>
      </c>
      <c r="AZ162" t="n">
        <v>1824.404</v>
      </c>
      <c r="BA162" t="n">
        <v>1911.105</v>
      </c>
      <c r="BB162" t="n">
        <v>2072.561</v>
      </c>
      <c r="BC162" t="n">
        <v>447.748</v>
      </c>
      <c r="BD162" t="n">
        <v>449.017</v>
      </c>
      <c r="BE162" t="n">
        <v>477.564</v>
      </c>
      <c r="BF162" t="n">
        <v>453.449</v>
      </c>
      <c r="BG162" t="n">
        <v>409.083</v>
      </c>
      <c r="BH162" t="n">
        <v>373.153</v>
      </c>
      <c r="BI162" t="n">
        <v>385.454</v>
      </c>
      <c r="BJ162" t="n">
        <v>385.572</v>
      </c>
      <c r="BK162" t="n">
        <v>400.099</v>
      </c>
      <c r="BL162" t="n">
        <v>401.566</v>
      </c>
      <c r="BM162" t="n">
        <v>396.601</v>
      </c>
      <c r="BN162" t="n">
        <v>424.979</v>
      </c>
      <c r="BO162" t="n">
        <v>479.303</v>
      </c>
      <c r="BP162" t="n">
        <v>498.593</v>
      </c>
      <c r="BQ162" t="n">
        <v>508.919</v>
      </c>
      <c r="BR162" t="n">
        <v>518.807</v>
      </c>
      <c r="BS162" t="n">
        <v>528.273</v>
      </c>
      <c r="BT162" t="n">
        <v>537.485</v>
      </c>
      <c r="BU162" t="n">
        <v>546.093</v>
      </c>
      <c r="BV162" t="n">
        <v>554.014</v>
      </c>
    </row>
    <row r="163">
      <c r="A163" t="inlineStr">
        <is>
          <t>Flavocaranx bajad</t>
        </is>
      </c>
      <c r="B163" t="inlineStr">
        <is>
          <t>Orangespotted trevally</t>
        </is>
      </c>
      <c r="C163" t="inlineStr">
        <is>
          <t>Medium reef assoc. fish (30 - 89 cm)</t>
        </is>
      </c>
      <c r="D163" t="inlineStr">
        <is>
          <t>Perch-likes</t>
        </is>
      </c>
      <c r="E163" t="n">
        <v>39.244</v>
      </c>
      <c r="F163" t="n">
        <v>39.313</v>
      </c>
      <c r="G163" t="n">
        <v>54.804</v>
      </c>
      <c r="H163" t="n">
        <v>46.999</v>
      </c>
      <c r="I163" t="n">
        <v>59.139</v>
      </c>
      <c r="J163" t="n">
        <v>59.119</v>
      </c>
      <c r="K163" t="n">
        <v>62.962</v>
      </c>
      <c r="L163" t="n">
        <v>89.782</v>
      </c>
      <c r="M163" t="n">
        <v>89.792</v>
      </c>
      <c r="N163" t="n">
        <v>120.147</v>
      </c>
      <c r="O163" t="n">
        <v>120.058</v>
      </c>
      <c r="P163" t="n">
        <v>204.364</v>
      </c>
      <c r="Q163" t="n">
        <v>243.398</v>
      </c>
      <c r="R163" t="n">
        <v>258.181</v>
      </c>
      <c r="S163" t="n">
        <v>215.519</v>
      </c>
      <c r="T163" t="n">
        <v>199.375</v>
      </c>
      <c r="U163" t="n">
        <v>215.122</v>
      </c>
      <c r="V163" t="n">
        <v>168.427</v>
      </c>
      <c r="W163" t="n">
        <v>140.758</v>
      </c>
      <c r="X163" t="n">
        <v>127.052</v>
      </c>
      <c r="Y163" t="n">
        <v>138.516</v>
      </c>
      <c r="Z163" t="n">
        <v>162.486</v>
      </c>
      <c r="AA163" t="n">
        <v>153.588</v>
      </c>
      <c r="AB163" t="n">
        <v>219.972</v>
      </c>
      <c r="AC163" t="n">
        <v>216.645</v>
      </c>
      <c r="AD163" t="n">
        <v>156.788</v>
      </c>
      <c r="AE163" t="n">
        <v>151.797</v>
      </c>
      <c r="AF163" t="n">
        <v>142.757</v>
      </c>
      <c r="AG163" t="n">
        <v>197.59</v>
      </c>
      <c r="AH163" t="n">
        <v>222.738</v>
      </c>
      <c r="AI163" t="n">
        <v>241.344</v>
      </c>
      <c r="AJ163" t="n">
        <v>278.224</v>
      </c>
      <c r="AK163" t="n">
        <v>282.518</v>
      </c>
      <c r="AL163" t="n">
        <v>1007.044</v>
      </c>
      <c r="AM163" t="n">
        <v>1011.098</v>
      </c>
      <c r="AN163" t="n">
        <v>960.005</v>
      </c>
      <c r="AO163" t="n">
        <v>999.194</v>
      </c>
      <c r="AP163" t="n">
        <v>227.508</v>
      </c>
      <c r="AQ163" t="n">
        <v>3217.723</v>
      </c>
      <c r="AR163" t="n">
        <v>3289.496</v>
      </c>
      <c r="AS163" t="n">
        <v>3503.709</v>
      </c>
      <c r="AT163" t="n">
        <v>3253.455</v>
      </c>
      <c r="AU163" t="n">
        <v>3408.177</v>
      </c>
      <c r="AV163" t="n">
        <v>3568.799</v>
      </c>
      <c r="AW163" t="n">
        <v>3774.889</v>
      </c>
      <c r="AX163" t="n">
        <v>3739.689</v>
      </c>
      <c r="AY163" t="n">
        <v>3985.133</v>
      </c>
      <c r="AZ163" t="n">
        <v>4293.296</v>
      </c>
      <c r="BA163" t="n">
        <v>4332.542</v>
      </c>
      <c r="BB163" t="n">
        <v>4415.996</v>
      </c>
      <c r="BC163" t="n">
        <v>3892.06</v>
      </c>
      <c r="BD163" t="n">
        <v>2179.703</v>
      </c>
      <c r="BE163" t="n">
        <v>1674.659</v>
      </c>
      <c r="BF163" t="n">
        <v>2559.05</v>
      </c>
      <c r="BG163" t="n">
        <v>1075.993</v>
      </c>
      <c r="BH163" t="n">
        <v>1127.33</v>
      </c>
      <c r="BI163" t="n">
        <v>1276.289</v>
      </c>
      <c r="BJ163" t="n">
        <v>646.896</v>
      </c>
      <c r="BK163" t="n">
        <v>873.4160000000001</v>
      </c>
      <c r="BL163" t="n">
        <v>1201.161</v>
      </c>
      <c r="BM163" t="n">
        <v>1423.433</v>
      </c>
      <c r="BN163" t="n">
        <v>1228.313</v>
      </c>
      <c r="BO163" t="n">
        <v>1223.034</v>
      </c>
      <c r="BP163" t="n">
        <v>2292.479</v>
      </c>
      <c r="BQ163" t="n">
        <v>2198.457</v>
      </c>
      <c r="BR163" t="n">
        <v>2122.727</v>
      </c>
      <c r="BS163" t="n">
        <v>2405.704</v>
      </c>
      <c r="BT163" t="n">
        <v>2349.426</v>
      </c>
      <c r="BU163" t="n">
        <v>2304.332</v>
      </c>
      <c r="BV163" t="n">
        <v>2423.255</v>
      </c>
    </row>
    <row r="164">
      <c r="A164" t="inlineStr">
        <is>
          <t>Selar crumenophthalmus</t>
        </is>
      </c>
      <c r="B164" t="inlineStr">
        <is>
          <t>Bigeye scad</t>
        </is>
      </c>
      <c r="C164" t="inlineStr">
        <is>
          <t>Medium pelagics (30 - 89 cm)</t>
        </is>
      </c>
      <c r="D164" t="inlineStr">
        <is>
          <t>Perch-likes</t>
        </is>
      </c>
      <c r="E164" t="n">
        <v>902.6420000000001</v>
      </c>
      <c r="F164" t="n">
        <v>902.1900000000001</v>
      </c>
      <c r="G164" t="n">
        <v>965.2809999999999</v>
      </c>
      <c r="H164" t="n">
        <v>1028.373</v>
      </c>
      <c r="I164" t="n">
        <v>1091.464</v>
      </c>
      <c r="J164" t="n">
        <v>1154.555</v>
      </c>
      <c r="K164" t="n">
        <v>1217.647</v>
      </c>
      <c r="L164" t="n">
        <v>1280.738</v>
      </c>
      <c r="M164" t="n">
        <v>1343.83</v>
      </c>
      <c r="N164" t="n">
        <v>1406.921</v>
      </c>
      <c r="O164" t="n">
        <v>1471.56</v>
      </c>
      <c r="P164" t="n">
        <v>1598.345</v>
      </c>
      <c r="Q164" t="n">
        <v>1725.131</v>
      </c>
      <c r="R164" t="n">
        <v>1916.659</v>
      </c>
      <c r="S164" t="n">
        <v>2107.544</v>
      </c>
      <c r="T164" t="n">
        <v>2363.764</v>
      </c>
      <c r="U164" t="n">
        <v>2681.7</v>
      </c>
      <c r="V164" t="n">
        <v>2871.947</v>
      </c>
      <c r="W164" t="n">
        <v>2287.551</v>
      </c>
      <c r="X164" t="n">
        <v>1582.437</v>
      </c>
      <c r="Y164" t="n">
        <v>884.223</v>
      </c>
      <c r="Z164" t="n">
        <v>909.812</v>
      </c>
      <c r="AA164" t="n">
        <v>935.393</v>
      </c>
      <c r="AB164" t="n">
        <v>960.965</v>
      </c>
      <c r="AC164" t="n">
        <v>976.7670000000001</v>
      </c>
      <c r="AD164" t="n">
        <v>1040.069</v>
      </c>
      <c r="AE164" t="n">
        <v>1035.989</v>
      </c>
      <c r="AF164" t="n">
        <v>869.91</v>
      </c>
      <c r="AG164" t="n">
        <v>807.096</v>
      </c>
      <c r="AH164" t="n">
        <v>726.742</v>
      </c>
      <c r="AI164" t="n">
        <v>895.812</v>
      </c>
      <c r="AJ164" t="n">
        <v>948.149</v>
      </c>
      <c r="AK164" t="n">
        <v>1068.479</v>
      </c>
      <c r="AL164" t="n">
        <v>1303.849</v>
      </c>
      <c r="AM164" t="n">
        <v>1659.666</v>
      </c>
      <c r="AN164" t="n">
        <v>2069.551</v>
      </c>
      <c r="AO164" t="n">
        <v>1988.77</v>
      </c>
      <c r="AP164" t="n">
        <v>1899.181</v>
      </c>
      <c r="AQ164" t="n">
        <v>1661.329</v>
      </c>
      <c r="AR164" t="n">
        <v>1529.737</v>
      </c>
      <c r="AS164" t="n">
        <v>1217.842</v>
      </c>
      <c r="AT164" t="n">
        <v>1557.779</v>
      </c>
      <c r="AU164" t="n">
        <v>1696.302</v>
      </c>
      <c r="AV164" t="n">
        <v>2046.922</v>
      </c>
      <c r="AW164" t="n">
        <v>2608.451</v>
      </c>
      <c r="AX164" t="n">
        <v>3150.089</v>
      </c>
      <c r="AY164" t="n">
        <v>3622.088</v>
      </c>
      <c r="AZ164" t="n">
        <v>2864.545</v>
      </c>
      <c r="BA164" t="n">
        <v>2363</v>
      </c>
      <c r="BB164" t="n">
        <v>1639.615</v>
      </c>
      <c r="BC164" t="n">
        <v>364.149</v>
      </c>
      <c r="BD164" t="n">
        <v>277.194</v>
      </c>
      <c r="BE164" t="n">
        <v>386.896</v>
      </c>
      <c r="BF164" t="n">
        <v>697.884</v>
      </c>
      <c r="BG164" t="n">
        <v>444.124</v>
      </c>
      <c r="BH164" t="n">
        <v>583.653</v>
      </c>
      <c r="BI164" t="n">
        <v>542.745</v>
      </c>
      <c r="BJ164" t="n">
        <v>581.059</v>
      </c>
      <c r="BK164" t="n">
        <v>440.053</v>
      </c>
      <c r="BL164" t="n">
        <v>461.945</v>
      </c>
      <c r="BM164" t="n">
        <v>600.617</v>
      </c>
      <c r="BN164" t="n">
        <v>474.851</v>
      </c>
      <c r="BO164" t="n">
        <v>549.0650000000001</v>
      </c>
      <c r="BP164" t="n">
        <v>448.714</v>
      </c>
      <c r="BQ164" t="n">
        <v>493.52</v>
      </c>
      <c r="BR164" t="n">
        <v>588.275</v>
      </c>
      <c r="BS164" t="n">
        <v>715.939</v>
      </c>
      <c r="BT164" t="n">
        <v>894.412</v>
      </c>
      <c r="BU164" t="n">
        <v>886.688</v>
      </c>
      <c r="BV164" t="n">
        <v>886.688</v>
      </c>
    </row>
    <row r="165">
      <c r="A165" t="inlineStr">
        <is>
          <t>Chanos chanos</t>
        </is>
      </c>
      <c r="B165" t="inlineStr">
        <is>
          <t>Milkfish</t>
        </is>
      </c>
      <c r="C165" t="inlineStr">
        <is>
          <t>Large benthopelagics (&gt;=90 cm)</t>
        </is>
      </c>
      <c r="D165" t="inlineStr">
        <is>
          <t>Other fishes &amp; inverts</t>
        </is>
      </c>
      <c r="E165" t="n">
        <v>575.79</v>
      </c>
      <c r="F165" t="n">
        <v>586.365</v>
      </c>
      <c r="G165" t="n">
        <v>597.103</v>
      </c>
      <c r="H165" t="n">
        <v>607.998</v>
      </c>
      <c r="I165" t="n">
        <v>619.123</v>
      </c>
      <c r="J165" t="n">
        <v>630.384</v>
      </c>
      <c r="K165" t="n">
        <v>648.342</v>
      </c>
      <c r="L165" t="n">
        <v>673.304</v>
      </c>
      <c r="M165" t="n">
        <v>688.202</v>
      </c>
      <c r="N165" t="n">
        <v>703.563</v>
      </c>
      <c r="O165" t="n">
        <v>719.327</v>
      </c>
      <c r="P165" t="n">
        <v>735.524</v>
      </c>
      <c r="Q165" t="n">
        <v>752.978</v>
      </c>
      <c r="R165" t="n">
        <v>771.877</v>
      </c>
      <c r="S165" t="n">
        <v>791.246</v>
      </c>
      <c r="T165" t="n">
        <v>805.207</v>
      </c>
      <c r="U165" t="n">
        <v>831.84</v>
      </c>
      <c r="V165" t="n">
        <v>843.409</v>
      </c>
      <c r="W165" t="n">
        <v>863.027</v>
      </c>
      <c r="X165" t="n">
        <v>883.4160000000001</v>
      </c>
      <c r="Y165" t="n">
        <v>895.486</v>
      </c>
      <c r="Z165" t="n">
        <v>939.053</v>
      </c>
      <c r="AA165" t="n">
        <v>958.063</v>
      </c>
      <c r="AB165" t="n">
        <v>977.5410000000001</v>
      </c>
      <c r="AC165" t="n">
        <v>997.495</v>
      </c>
      <c r="AD165" t="n">
        <v>1016.897</v>
      </c>
      <c r="AE165" t="n">
        <v>1021.458</v>
      </c>
      <c r="AF165" t="n">
        <v>1031.894</v>
      </c>
      <c r="AG165" t="n">
        <v>1053.236</v>
      </c>
      <c r="AH165" t="n">
        <v>1098.626</v>
      </c>
      <c r="AI165" t="n">
        <v>282.733</v>
      </c>
      <c r="AJ165" t="n">
        <v>291.377</v>
      </c>
      <c r="AK165" t="n">
        <v>333.353</v>
      </c>
      <c r="AL165" t="n">
        <v>321.011</v>
      </c>
      <c r="AM165" t="n">
        <v>332.282</v>
      </c>
      <c r="AN165" t="n">
        <v>341.964</v>
      </c>
      <c r="AO165" t="n">
        <v>351.832</v>
      </c>
      <c r="AP165" t="n">
        <v>364.497</v>
      </c>
      <c r="AQ165" t="n">
        <v>375.04</v>
      </c>
      <c r="AR165" t="n">
        <v>1489.158</v>
      </c>
      <c r="AS165" t="n">
        <v>1519.482</v>
      </c>
      <c r="AT165" t="n">
        <v>1547.664</v>
      </c>
      <c r="AU165" t="n">
        <v>1569.494</v>
      </c>
      <c r="AV165" t="n">
        <v>1589.341</v>
      </c>
      <c r="AW165" t="n">
        <v>1614.75</v>
      </c>
      <c r="AX165" t="n">
        <v>1629.728</v>
      </c>
      <c r="AY165" t="n">
        <v>1661.74</v>
      </c>
      <c r="AZ165" t="n">
        <v>1689.138</v>
      </c>
      <c r="BA165" t="n">
        <v>1714.11</v>
      </c>
      <c r="BB165" t="n">
        <v>1739.638</v>
      </c>
      <c r="BC165" t="n">
        <v>1758.958</v>
      </c>
      <c r="BD165" t="n">
        <v>1813.399</v>
      </c>
      <c r="BE165" t="n">
        <v>1815.326</v>
      </c>
      <c r="BF165" t="n">
        <v>1828.209</v>
      </c>
      <c r="BG165" t="n">
        <v>1831.997</v>
      </c>
      <c r="BH165" t="n">
        <v>1838.595</v>
      </c>
      <c r="BI165" t="n">
        <v>1855.218</v>
      </c>
      <c r="BJ165" t="n">
        <v>1841.596</v>
      </c>
      <c r="BK165" t="n">
        <v>1875.787</v>
      </c>
      <c r="BL165" t="n">
        <v>1886.122</v>
      </c>
      <c r="BM165" t="n">
        <v>1915.162</v>
      </c>
      <c r="BN165" t="n">
        <v>1969.234</v>
      </c>
      <c r="BO165" t="n">
        <v>2039.952</v>
      </c>
      <c r="BP165" t="n">
        <v>2121.264</v>
      </c>
      <c r="BQ165" t="n">
        <v>2156.904</v>
      </c>
      <c r="BR165" t="n">
        <v>2221.864</v>
      </c>
      <c r="BS165" t="n">
        <v>2219.221</v>
      </c>
      <c r="BT165" t="n">
        <v>2380.031</v>
      </c>
      <c r="BU165" t="n">
        <v>2452.228</v>
      </c>
      <c r="BV165" t="n">
        <v>2439.829</v>
      </c>
    </row>
    <row r="166">
      <c r="A166" t="inlineStr">
        <is>
          <t>Palinuridae</t>
        </is>
      </c>
      <c r="B166" t="inlineStr">
        <is>
          <t>Spiny lobsters</t>
        </is>
      </c>
      <c r="C166" t="inlineStr">
        <is>
          <t>Lobsters, crabs</t>
        </is>
      </c>
      <c r="D166" t="inlineStr">
        <is>
          <t>Crustaceans</t>
        </is>
      </c>
      <c r="E166" t="n">
        <v>341.637</v>
      </c>
      <c r="F166" t="n">
        <v>341.804</v>
      </c>
      <c r="G166" t="n">
        <v>397.783</v>
      </c>
      <c r="H166" t="n">
        <v>453.78</v>
      </c>
      <c r="I166" t="n">
        <v>454.047</v>
      </c>
      <c r="J166" t="n">
        <v>564.779</v>
      </c>
      <c r="K166" t="n">
        <v>565.066</v>
      </c>
      <c r="L166" t="n">
        <v>565.383</v>
      </c>
      <c r="M166" t="n">
        <v>565.681</v>
      </c>
      <c r="N166" t="n">
        <v>621.721</v>
      </c>
      <c r="O166" t="n">
        <v>660.7619999999999</v>
      </c>
      <c r="P166" t="n">
        <v>660.62</v>
      </c>
      <c r="Q166" t="n">
        <v>716.2140000000001</v>
      </c>
      <c r="R166" t="n">
        <v>734.33</v>
      </c>
      <c r="S166" t="n">
        <v>733.6079999999999</v>
      </c>
      <c r="T166" t="n">
        <v>844.208</v>
      </c>
      <c r="U166" t="n">
        <v>898.408</v>
      </c>
      <c r="V166" t="n">
        <v>1191.498</v>
      </c>
      <c r="W166" t="n">
        <v>980.701</v>
      </c>
      <c r="X166" t="n">
        <v>930.364</v>
      </c>
      <c r="Y166" t="n">
        <v>1039.145</v>
      </c>
      <c r="Z166" t="n">
        <v>1081.906</v>
      </c>
      <c r="AA166" t="n">
        <v>1117.8</v>
      </c>
      <c r="AB166" t="n">
        <v>1918.434</v>
      </c>
      <c r="AC166" t="n">
        <v>1947.414</v>
      </c>
      <c r="AD166" t="n">
        <v>2590.179</v>
      </c>
      <c r="AE166" t="n">
        <v>3687.163</v>
      </c>
      <c r="AF166" t="n">
        <v>1880.074</v>
      </c>
      <c r="AG166" t="n">
        <v>1149.868</v>
      </c>
      <c r="AH166" t="n">
        <v>1266.247</v>
      </c>
      <c r="AI166" t="n">
        <v>1762.198</v>
      </c>
      <c r="AJ166" t="n">
        <v>1064.637</v>
      </c>
      <c r="AK166" t="n">
        <v>1064.171</v>
      </c>
      <c r="AL166" t="n">
        <v>1303.779</v>
      </c>
      <c r="AM166" t="n">
        <v>1271.888</v>
      </c>
      <c r="AN166" t="n">
        <v>1086.916</v>
      </c>
      <c r="AO166" t="n">
        <v>1288.784</v>
      </c>
      <c r="AP166" t="n">
        <v>1446.223</v>
      </c>
      <c r="AQ166" t="n">
        <v>1858.376</v>
      </c>
      <c r="AR166" t="n">
        <v>1406.475</v>
      </c>
      <c r="AS166" t="n">
        <v>1361.297</v>
      </c>
      <c r="AT166" t="n">
        <v>1442.418</v>
      </c>
      <c r="AU166" t="n">
        <v>1338.256</v>
      </c>
      <c r="AV166" t="n">
        <v>1190.773</v>
      </c>
      <c r="AW166" t="n">
        <v>1240.111</v>
      </c>
      <c r="AX166" t="n">
        <v>1371.653</v>
      </c>
      <c r="AY166" t="n">
        <v>1166.316</v>
      </c>
      <c r="AZ166" t="n">
        <v>1156.859</v>
      </c>
      <c r="BA166" t="n">
        <v>1206.812</v>
      </c>
      <c r="BB166" t="n">
        <v>1268.556</v>
      </c>
      <c r="BC166" t="n">
        <v>1352.886</v>
      </c>
      <c r="BD166" t="n">
        <v>1299.357</v>
      </c>
      <c r="BE166" t="n">
        <v>1493.671</v>
      </c>
      <c r="BF166" t="n">
        <v>1579.104</v>
      </c>
      <c r="BG166" t="n">
        <v>839.673</v>
      </c>
      <c r="BH166" t="n">
        <v>1403.313</v>
      </c>
      <c r="BI166" t="n">
        <v>1258.304</v>
      </c>
      <c r="BJ166" t="n">
        <v>1140.801</v>
      </c>
      <c r="BK166" t="n">
        <v>611.393</v>
      </c>
      <c r="BL166" t="n">
        <v>192.653</v>
      </c>
      <c r="BM166" t="n">
        <v>1356.359</v>
      </c>
      <c r="BN166" t="n">
        <v>617.174</v>
      </c>
      <c r="BO166" t="n">
        <v>873.77</v>
      </c>
      <c r="BP166" t="n">
        <v>814.308</v>
      </c>
      <c r="BQ166" t="n">
        <v>1075.671</v>
      </c>
      <c r="BR166" t="n">
        <v>1437.391</v>
      </c>
      <c r="BS166" t="n">
        <v>1630.004</v>
      </c>
      <c r="BT166" t="n">
        <v>1765.429</v>
      </c>
      <c r="BU166" t="n">
        <v>2136.321</v>
      </c>
      <c r="BV166" t="n">
        <v>2233.737</v>
      </c>
    </row>
    <row r="167">
      <c r="A167" t="inlineStr">
        <is>
          <t>Sardinella</t>
        </is>
      </c>
      <c r="B167" t="inlineStr">
        <is>
          <t>Sardinellas</t>
        </is>
      </c>
      <c r="C167" t="inlineStr">
        <is>
          <t>Small pelagics (&lt;30 cm)</t>
        </is>
      </c>
      <c r="D167" t="inlineStr">
        <is>
          <t>Herring-likes</t>
        </is>
      </c>
      <c r="E167" t="n">
        <v>576.8680000000001</v>
      </c>
      <c r="F167" t="n">
        <v>580.167</v>
      </c>
      <c r="G167" t="n">
        <v>575.812</v>
      </c>
      <c r="H167" t="n">
        <v>578.835</v>
      </c>
      <c r="I167" t="n">
        <v>581.753</v>
      </c>
      <c r="J167" t="n">
        <v>584.569</v>
      </c>
      <c r="K167" t="n">
        <v>586.449</v>
      </c>
      <c r="L167" t="n">
        <v>592.747</v>
      </c>
      <c r="M167" t="n">
        <v>597.414</v>
      </c>
      <c r="N167" t="n">
        <v>605.7089999999999</v>
      </c>
      <c r="O167" t="n">
        <v>610.149</v>
      </c>
      <c r="P167" t="n">
        <v>615.939</v>
      </c>
      <c r="Q167" t="n">
        <v>621.6079999999999</v>
      </c>
      <c r="R167" t="n">
        <v>631.013</v>
      </c>
      <c r="S167" t="n">
        <v>730.537</v>
      </c>
      <c r="T167" t="n">
        <v>961.962</v>
      </c>
      <c r="U167" t="n">
        <v>871.519</v>
      </c>
      <c r="V167" t="n">
        <v>690.328</v>
      </c>
      <c r="W167" t="n">
        <v>638.038</v>
      </c>
      <c r="X167" t="n">
        <v>646.971</v>
      </c>
      <c r="Y167" t="n">
        <v>651.496</v>
      </c>
      <c r="Z167" t="n">
        <v>651.6799999999999</v>
      </c>
      <c r="AA167" t="n">
        <v>758.914</v>
      </c>
      <c r="AB167" t="n">
        <v>661.6369999999999</v>
      </c>
      <c r="AC167" t="n">
        <v>750.467</v>
      </c>
      <c r="AD167" t="n">
        <v>692.703</v>
      </c>
      <c r="AE167" t="n">
        <v>1014.243</v>
      </c>
      <c r="AF167" t="n">
        <v>1158.404</v>
      </c>
      <c r="AG167" t="n">
        <v>702.05</v>
      </c>
      <c r="AH167" t="n">
        <v>841.043</v>
      </c>
      <c r="AI167" t="n">
        <v>811.746</v>
      </c>
      <c r="AJ167" t="n">
        <v>786.1609999999999</v>
      </c>
      <c r="AK167" t="n">
        <v>1043.094</v>
      </c>
      <c r="AL167" t="n">
        <v>1092.738</v>
      </c>
      <c r="AM167" t="n">
        <v>1754.453</v>
      </c>
      <c r="AN167" t="n">
        <v>1692.411</v>
      </c>
      <c r="AO167" t="n">
        <v>1778.756</v>
      </c>
      <c r="AP167" t="n">
        <v>1721.101</v>
      </c>
      <c r="AQ167" t="n">
        <v>2487.555</v>
      </c>
      <c r="AR167" t="n">
        <v>3841.781</v>
      </c>
      <c r="AS167" t="n">
        <v>1533.848</v>
      </c>
      <c r="AT167" t="n">
        <v>1322.716</v>
      </c>
      <c r="AU167" t="n">
        <v>1319.491</v>
      </c>
      <c r="AV167" t="n">
        <v>1521.163</v>
      </c>
      <c r="AW167" t="n">
        <v>1909.398</v>
      </c>
      <c r="AX167" t="n">
        <v>2665.983</v>
      </c>
      <c r="AY167" t="n">
        <v>2637.888</v>
      </c>
      <c r="AZ167" t="n">
        <v>2928.024</v>
      </c>
      <c r="BA167" t="n">
        <v>2738.996</v>
      </c>
      <c r="BB167" t="n">
        <v>2762.362</v>
      </c>
      <c r="BC167" t="n">
        <v>2427.81</v>
      </c>
      <c r="BD167" t="n">
        <v>2048.862</v>
      </c>
      <c r="BE167" t="n">
        <v>1436.78</v>
      </c>
      <c r="BF167" t="n">
        <v>1062.335</v>
      </c>
      <c r="BG167" t="n">
        <v>1087.98</v>
      </c>
      <c r="BH167" t="n">
        <v>999.7190000000001</v>
      </c>
      <c r="BI167" t="n">
        <v>933.397</v>
      </c>
      <c r="BJ167" t="n">
        <v>911.785</v>
      </c>
      <c r="BK167" t="n">
        <v>729.985</v>
      </c>
      <c r="BL167" t="n">
        <v>688.28</v>
      </c>
      <c r="BM167" t="n">
        <v>661.307</v>
      </c>
      <c r="BN167" t="n">
        <v>755.674</v>
      </c>
      <c r="BO167" t="n">
        <v>751.149</v>
      </c>
      <c r="BP167" t="n">
        <v>658.6130000000001</v>
      </c>
      <c r="BQ167" t="n">
        <v>766.384</v>
      </c>
      <c r="BR167" t="n">
        <v>677.886</v>
      </c>
      <c r="BS167" t="n">
        <v>628.9640000000001</v>
      </c>
      <c r="BT167" t="n">
        <v>620.4160000000001</v>
      </c>
      <c r="BU167" t="n">
        <v>614.874</v>
      </c>
      <c r="BV167" t="n">
        <v>598.506</v>
      </c>
    </row>
    <row r="168">
      <c r="A168" t="inlineStr">
        <is>
          <t>Octopus</t>
        </is>
      </c>
      <c r="B168" t="inlineStr">
        <is>
          <t>Octopuses, pikas</t>
        </is>
      </c>
      <c r="C168" t="inlineStr">
        <is>
          <t>Cephalopods</t>
        </is>
      </c>
      <c r="D168" t="inlineStr">
        <is>
          <t>Other fishes &amp; inverts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9.888</v>
      </c>
      <c r="Y168" t="n">
        <v>8.898999999999999</v>
      </c>
      <c r="Z168" t="n">
        <v>12.855</v>
      </c>
      <c r="AA168" t="n">
        <v>16.887</v>
      </c>
      <c r="AB168" t="n">
        <v>19.768</v>
      </c>
      <c r="AC168" t="n">
        <v>15.625</v>
      </c>
      <c r="AD168" t="n">
        <v>18.859</v>
      </c>
      <c r="AE168" t="n">
        <v>39.364</v>
      </c>
      <c r="AF168" t="n">
        <v>23.045</v>
      </c>
      <c r="AG168" t="n">
        <v>19.481</v>
      </c>
      <c r="AH168" t="n">
        <v>15.426</v>
      </c>
      <c r="AI168" t="n">
        <v>10.895</v>
      </c>
      <c r="AJ168" t="n">
        <v>14.138</v>
      </c>
      <c r="AK168" t="n">
        <v>22.023</v>
      </c>
      <c r="AL168" t="n">
        <v>13.158</v>
      </c>
      <c r="AM168" t="n">
        <v>13.448</v>
      </c>
      <c r="AN168" t="n">
        <v>10.976</v>
      </c>
      <c r="AO168" t="n">
        <v>10.778</v>
      </c>
      <c r="AP168" t="n">
        <v>14.626</v>
      </c>
      <c r="AQ168" t="n">
        <v>13.123</v>
      </c>
      <c r="AR168" t="n">
        <v>14.552</v>
      </c>
      <c r="AS168" t="n">
        <v>14.188</v>
      </c>
      <c r="AT168" t="n">
        <v>13.473</v>
      </c>
      <c r="AU168" t="n">
        <v>13.019</v>
      </c>
      <c r="AV168" t="n">
        <v>13.161</v>
      </c>
      <c r="AW168" t="n">
        <v>22.783</v>
      </c>
      <c r="AX168" t="n">
        <v>17.939</v>
      </c>
      <c r="AY168" t="n">
        <v>18.447</v>
      </c>
      <c r="AZ168" t="n">
        <v>18.585</v>
      </c>
      <c r="BA168" t="n">
        <v>25.891</v>
      </c>
      <c r="BB168" t="n">
        <v>23.778</v>
      </c>
      <c r="BC168" t="n">
        <v>19.012</v>
      </c>
      <c r="BD168" t="n">
        <v>63.358</v>
      </c>
      <c r="BE168" t="n">
        <v>66.084</v>
      </c>
      <c r="BF168" t="n">
        <v>102.125</v>
      </c>
      <c r="BG168" t="n">
        <v>103.701</v>
      </c>
      <c r="BH168" t="n">
        <v>92.51600000000001</v>
      </c>
      <c r="BI168" t="n">
        <v>5761.389</v>
      </c>
      <c r="BJ168" t="n">
        <v>3088.588</v>
      </c>
      <c r="BK168" t="n">
        <v>4606.207</v>
      </c>
      <c r="BL168" t="n">
        <v>4057.044</v>
      </c>
      <c r="BM168" t="n">
        <v>2862.427</v>
      </c>
      <c r="BN168" t="n">
        <v>5079.133</v>
      </c>
      <c r="BO168" t="n">
        <v>7400.454</v>
      </c>
      <c r="BP168" t="n">
        <v>5148.455</v>
      </c>
      <c r="BQ168" t="n">
        <v>4444.617</v>
      </c>
      <c r="BR168" t="n">
        <v>4737.987</v>
      </c>
      <c r="BS168" t="n">
        <v>7901.297</v>
      </c>
      <c r="BT168" t="n">
        <v>6293.721</v>
      </c>
      <c r="BU168" t="n">
        <v>8619.897000000001</v>
      </c>
      <c r="BV168" t="n">
        <v>6059.561</v>
      </c>
    </row>
    <row r="169">
      <c r="A169" t="inlineStr">
        <is>
          <t>Eleutheronema tetradactylum</t>
        </is>
      </c>
      <c r="B169" t="inlineStr">
        <is>
          <t>Fourfinger threadfin</t>
        </is>
      </c>
      <c r="C169" t="inlineStr">
        <is>
          <t>Large demersals (&gt;=90 cm)</t>
        </is>
      </c>
      <c r="D169" t="inlineStr">
        <is>
          <t>Perch-likes</t>
        </is>
      </c>
      <c r="E169" t="n">
        <v>164.116</v>
      </c>
      <c r="F169" t="n">
        <v>166.692</v>
      </c>
      <c r="G169" t="n">
        <v>170.886</v>
      </c>
      <c r="H169" t="n">
        <v>181.51</v>
      </c>
      <c r="I169" t="n">
        <v>184.715</v>
      </c>
      <c r="J169" t="n">
        <v>188.581</v>
      </c>
      <c r="K169" t="n">
        <v>188.758</v>
      </c>
      <c r="L169" t="n">
        <v>194.918</v>
      </c>
      <c r="M169" t="n">
        <v>194.323</v>
      </c>
      <c r="N169" t="n">
        <v>197.502</v>
      </c>
      <c r="O169" t="n">
        <v>203.9</v>
      </c>
      <c r="P169" t="n">
        <v>201.116</v>
      </c>
      <c r="Q169" t="n">
        <v>213.831</v>
      </c>
      <c r="R169" t="n">
        <v>217.498</v>
      </c>
      <c r="S169" t="n">
        <v>218.18</v>
      </c>
      <c r="T169" t="n">
        <v>225.716</v>
      </c>
      <c r="U169" t="n">
        <v>241.896</v>
      </c>
      <c r="V169" t="n">
        <v>246.084</v>
      </c>
      <c r="W169" t="n">
        <v>258.799</v>
      </c>
      <c r="X169" t="n">
        <v>261.004</v>
      </c>
      <c r="Y169" t="n">
        <v>564.2859999999999</v>
      </c>
      <c r="Z169" t="n">
        <v>570.55</v>
      </c>
      <c r="AA169" t="n">
        <v>955.441</v>
      </c>
      <c r="AB169" t="n">
        <v>872.014</v>
      </c>
      <c r="AC169" t="n">
        <v>795.138</v>
      </c>
      <c r="AD169" t="n">
        <v>814.599</v>
      </c>
      <c r="AE169" t="n">
        <v>1015.004</v>
      </c>
      <c r="AF169" t="n">
        <v>891.242</v>
      </c>
      <c r="AG169" t="n">
        <v>947.9349999999999</v>
      </c>
      <c r="AH169" t="n">
        <v>1151.047</v>
      </c>
      <c r="AI169" t="n">
        <v>663.297</v>
      </c>
      <c r="AJ169" t="n">
        <v>2312.665</v>
      </c>
      <c r="AK169" t="n">
        <v>2598.006</v>
      </c>
      <c r="AL169" t="n">
        <v>1686.666</v>
      </c>
      <c r="AM169" t="n">
        <v>2006.98</v>
      </c>
      <c r="AN169" t="n">
        <v>1830.263</v>
      </c>
      <c r="AO169" t="n">
        <v>1926.931</v>
      </c>
      <c r="AP169" t="n">
        <v>1875.491</v>
      </c>
      <c r="AQ169" t="n">
        <v>1754.775</v>
      </c>
      <c r="AR169" t="n">
        <v>2053.335</v>
      </c>
      <c r="AS169" t="n">
        <v>1474.268</v>
      </c>
      <c r="AT169" t="n">
        <v>1264.734</v>
      </c>
      <c r="AU169" t="n">
        <v>1245.535</v>
      </c>
      <c r="AV169" t="n">
        <v>1455.887</v>
      </c>
      <c r="AW169" t="n">
        <v>1301.69</v>
      </c>
      <c r="AX169" t="n">
        <v>1471.398</v>
      </c>
      <c r="AY169" t="n">
        <v>1162.125</v>
      </c>
      <c r="AZ169" t="n">
        <v>2550.791</v>
      </c>
      <c r="BA169" t="n">
        <v>1725.679</v>
      </c>
      <c r="BB169" t="n">
        <v>705.793</v>
      </c>
      <c r="BC169" t="n">
        <v>916.563</v>
      </c>
      <c r="BD169" t="n">
        <v>509.83</v>
      </c>
      <c r="BE169" t="n">
        <v>528.0549999999999</v>
      </c>
      <c r="BF169" t="n">
        <v>910.0309999999999</v>
      </c>
      <c r="BG169" t="n">
        <v>2116.792</v>
      </c>
      <c r="BH169" t="n">
        <v>1509.315</v>
      </c>
      <c r="BI169" t="n">
        <v>1766.734</v>
      </c>
      <c r="BJ169" t="n">
        <v>1710.382</v>
      </c>
      <c r="BK169" t="n">
        <v>1354.201</v>
      </c>
      <c r="BL169" t="n">
        <v>1183.731</v>
      </c>
      <c r="BM169" t="n">
        <v>1467.888</v>
      </c>
      <c r="BN169" t="n">
        <v>1471.856</v>
      </c>
      <c r="BO169" t="n">
        <v>1204.896</v>
      </c>
      <c r="BP169" t="n">
        <v>1186.913</v>
      </c>
      <c r="BQ169" t="n">
        <v>1694.644</v>
      </c>
      <c r="BR169" t="n">
        <v>1882.101</v>
      </c>
      <c r="BS169" t="n">
        <v>2009.616</v>
      </c>
      <c r="BT169" t="n">
        <v>2466.179</v>
      </c>
      <c r="BU169" t="n">
        <v>2301.563</v>
      </c>
      <c r="BV169" t="n">
        <v>2475.02</v>
      </c>
    </row>
    <row r="170">
      <c r="A170" t="inlineStr">
        <is>
          <t>Panulirus homarus</t>
        </is>
      </c>
      <c r="B170" t="inlineStr">
        <is>
          <t>Scalloped spiny lobster</t>
        </is>
      </c>
      <c r="C170" t="inlineStr">
        <is>
          <t>Lobsters, crabs</t>
        </is>
      </c>
      <c r="D170" t="inlineStr">
        <is>
          <t>Crustaceans</t>
        </is>
      </c>
      <c r="E170" t="n">
        <v>695.164</v>
      </c>
      <c r="F170" t="n">
        <v>695.0940000000001</v>
      </c>
      <c r="G170" t="n">
        <v>814</v>
      </c>
      <c r="H170" t="n">
        <v>849.2329999999999</v>
      </c>
      <c r="I170" t="n">
        <v>849.16</v>
      </c>
      <c r="J170" t="n">
        <v>998.562</v>
      </c>
      <c r="K170" t="n">
        <v>692.904</v>
      </c>
      <c r="L170" t="n">
        <v>711.575</v>
      </c>
      <c r="M170" t="n">
        <v>685.681</v>
      </c>
      <c r="N170" t="n">
        <v>772.606</v>
      </c>
      <c r="O170" t="n">
        <v>723.1130000000001</v>
      </c>
      <c r="P170" t="n">
        <v>716.003</v>
      </c>
      <c r="Q170" t="n">
        <v>733.761</v>
      </c>
      <c r="R170" t="n">
        <v>733.669</v>
      </c>
      <c r="S170" t="n">
        <v>851.731</v>
      </c>
      <c r="T170" t="n">
        <v>1156.394</v>
      </c>
      <c r="U170" t="n">
        <v>1269.354</v>
      </c>
      <c r="V170" t="n">
        <v>880.802</v>
      </c>
      <c r="W170" t="n">
        <v>873.385</v>
      </c>
      <c r="X170" t="n">
        <v>881.585</v>
      </c>
      <c r="Y170" t="n">
        <v>899.2140000000001</v>
      </c>
      <c r="Z170" t="n">
        <v>884.197</v>
      </c>
      <c r="AA170" t="n">
        <v>1007.088</v>
      </c>
      <c r="AB170" t="n">
        <v>1264.989</v>
      </c>
      <c r="AC170" t="n">
        <v>1439.435</v>
      </c>
      <c r="AD170" t="n">
        <v>1365.159</v>
      </c>
      <c r="AE170" t="n">
        <v>1618.935</v>
      </c>
      <c r="AF170" t="n">
        <v>1598.298</v>
      </c>
      <c r="AG170" t="n">
        <v>1474.403</v>
      </c>
      <c r="AH170" t="n">
        <v>1524.981</v>
      </c>
      <c r="AI170" t="n">
        <v>1837.052</v>
      </c>
      <c r="AJ170" t="n">
        <v>1638.972</v>
      </c>
      <c r="AK170" t="n">
        <v>1339.736</v>
      </c>
      <c r="AL170" t="n">
        <v>1399.917</v>
      </c>
      <c r="AM170" t="n">
        <v>1494.233</v>
      </c>
      <c r="AN170" t="n">
        <v>1583.287</v>
      </c>
      <c r="AO170" t="n">
        <v>1863.247</v>
      </c>
      <c r="AP170" t="n">
        <v>1890.016</v>
      </c>
      <c r="AQ170" t="n">
        <v>1830.734</v>
      </c>
      <c r="AR170" t="n">
        <v>1792.5</v>
      </c>
      <c r="AS170" t="n">
        <v>2187.186</v>
      </c>
      <c r="AT170" t="n">
        <v>2017.745</v>
      </c>
      <c r="AU170" t="n">
        <v>2293.264</v>
      </c>
      <c r="AV170" t="n">
        <v>1983.656</v>
      </c>
      <c r="AW170" t="n">
        <v>1424.719</v>
      </c>
      <c r="AX170" t="n">
        <v>1964.76</v>
      </c>
      <c r="AY170" t="n">
        <v>1775.887</v>
      </c>
      <c r="AZ170" t="n">
        <v>1548.185</v>
      </c>
      <c r="BA170" t="n">
        <v>889.908</v>
      </c>
      <c r="BB170" t="n">
        <v>916.037</v>
      </c>
      <c r="BC170" t="n">
        <v>891.678</v>
      </c>
      <c r="BD170" t="n">
        <v>963.015</v>
      </c>
      <c r="BE170" t="n">
        <v>1006.764</v>
      </c>
      <c r="BF170" t="n">
        <v>1190.079</v>
      </c>
      <c r="BG170" t="n">
        <v>814.452</v>
      </c>
      <c r="BH170" t="n">
        <v>800.532</v>
      </c>
      <c r="BI170" t="n">
        <v>605.7380000000001</v>
      </c>
      <c r="BJ170" t="n">
        <v>446.764</v>
      </c>
      <c r="BK170" t="n">
        <v>249.17</v>
      </c>
      <c r="BL170" t="n">
        <v>141.748</v>
      </c>
      <c r="BM170" t="n">
        <v>545.4880000000001</v>
      </c>
      <c r="BN170" t="n">
        <v>252.146</v>
      </c>
      <c r="BO170" t="n">
        <v>488.502</v>
      </c>
      <c r="BP170" t="n">
        <v>523.698</v>
      </c>
      <c r="BQ170" t="n">
        <v>607.404</v>
      </c>
      <c r="BR170" t="n">
        <v>661.561</v>
      </c>
      <c r="BS170" t="n">
        <v>685.484</v>
      </c>
      <c r="BT170" t="n">
        <v>411.354</v>
      </c>
      <c r="BU170" t="n">
        <v>446.762</v>
      </c>
      <c r="BV170" t="n">
        <v>686.182</v>
      </c>
    </row>
    <row r="171">
      <c r="A171" t="inlineStr">
        <is>
          <t>Drepane punctata</t>
        </is>
      </c>
      <c r="B171" t="inlineStr">
        <is>
          <t>Spotted sicklefish</t>
        </is>
      </c>
      <c r="C171" t="inlineStr">
        <is>
          <t>Medium reef assoc. fish (30 - 89 cm)</t>
        </is>
      </c>
      <c r="D171" t="inlineStr">
        <is>
          <t>Perch-likes</t>
        </is>
      </c>
      <c r="E171" t="n">
        <v>354.673</v>
      </c>
      <c r="F171" t="n">
        <v>356.061</v>
      </c>
      <c r="G171" t="n">
        <v>354.253</v>
      </c>
      <c r="H171" t="n">
        <v>355.525</v>
      </c>
      <c r="I171" t="n">
        <v>356.754</v>
      </c>
      <c r="J171" t="n">
        <v>357.939</v>
      </c>
      <c r="K171" t="n">
        <v>350.602</v>
      </c>
      <c r="L171" t="n">
        <v>353.239</v>
      </c>
      <c r="M171" t="n">
        <v>355.251</v>
      </c>
      <c r="N171" t="n">
        <v>358.776</v>
      </c>
      <c r="O171" t="n">
        <v>360.691</v>
      </c>
      <c r="P171" t="n">
        <v>363.203</v>
      </c>
      <c r="Q171" t="n">
        <v>365.663</v>
      </c>
      <c r="R171" t="n">
        <v>369.633</v>
      </c>
      <c r="S171" t="n">
        <v>357.893</v>
      </c>
      <c r="T171" t="n">
        <v>364.356</v>
      </c>
      <c r="U171" t="n">
        <v>366.206</v>
      </c>
      <c r="V171" t="n">
        <v>375.467</v>
      </c>
      <c r="W171" t="n">
        <v>397.653</v>
      </c>
      <c r="X171" t="n">
        <v>383.353</v>
      </c>
      <c r="Y171" t="n">
        <v>375.413</v>
      </c>
      <c r="Z171" t="n">
        <v>379.609</v>
      </c>
      <c r="AA171" t="n">
        <v>380.118</v>
      </c>
      <c r="AB171" t="n">
        <v>378.003</v>
      </c>
      <c r="AC171" t="n">
        <v>689.995</v>
      </c>
      <c r="AD171" t="n">
        <v>704.328</v>
      </c>
      <c r="AE171" t="n">
        <v>707.774</v>
      </c>
      <c r="AF171" t="n">
        <v>723.672</v>
      </c>
      <c r="AG171" t="n">
        <v>739.463</v>
      </c>
      <c r="AH171" t="n">
        <v>723.34</v>
      </c>
      <c r="AI171" t="n">
        <v>578.394</v>
      </c>
      <c r="AJ171" t="n">
        <v>573.9109999999999</v>
      </c>
      <c r="AK171" t="n">
        <v>876.566</v>
      </c>
      <c r="AL171" t="n">
        <v>938.692</v>
      </c>
      <c r="AM171" t="n">
        <v>946.268</v>
      </c>
      <c r="AN171" t="n">
        <v>1545.181</v>
      </c>
      <c r="AO171" t="n">
        <v>1062.127</v>
      </c>
      <c r="AP171" t="n">
        <v>1470.869</v>
      </c>
      <c r="AQ171" t="n">
        <v>1574.557</v>
      </c>
      <c r="AR171" t="n">
        <v>1645.785</v>
      </c>
      <c r="AS171" t="n">
        <v>1547.503</v>
      </c>
      <c r="AT171" t="n">
        <v>1495.635</v>
      </c>
      <c r="AU171" t="n">
        <v>1740.356</v>
      </c>
      <c r="AV171" t="n">
        <v>1716.927</v>
      </c>
      <c r="AW171" t="n">
        <v>1701.638</v>
      </c>
      <c r="AX171" t="n">
        <v>1790.313</v>
      </c>
      <c r="AY171" t="n">
        <v>1734.23</v>
      </c>
      <c r="AZ171" t="n">
        <v>3267.859</v>
      </c>
      <c r="BA171" t="n">
        <v>1766.388</v>
      </c>
      <c r="BB171" t="n">
        <v>1625.566</v>
      </c>
      <c r="BC171" t="n">
        <v>2106.865</v>
      </c>
      <c r="BD171" t="n">
        <v>995.71</v>
      </c>
      <c r="BE171" t="n">
        <v>1059.502</v>
      </c>
      <c r="BF171" t="n">
        <v>1301.93</v>
      </c>
      <c r="BG171" t="n">
        <v>1647.272</v>
      </c>
      <c r="BH171" t="n">
        <v>1409.585</v>
      </c>
      <c r="BI171" t="n">
        <v>1091.568</v>
      </c>
      <c r="BJ171" t="n">
        <v>1064.776</v>
      </c>
      <c r="BK171" t="n">
        <v>949.111</v>
      </c>
      <c r="BL171" t="n">
        <v>882.497</v>
      </c>
      <c r="BM171" t="n">
        <v>980.317</v>
      </c>
      <c r="BN171" t="n">
        <v>806.808</v>
      </c>
      <c r="BO171" t="n">
        <v>1536.956</v>
      </c>
      <c r="BP171" t="n">
        <v>1681.622</v>
      </c>
      <c r="BQ171" t="n">
        <v>2075.614</v>
      </c>
      <c r="BR171" t="n">
        <v>2635.886</v>
      </c>
      <c r="BS171" t="n">
        <v>2391.773</v>
      </c>
      <c r="BT171" t="n">
        <v>2187.444</v>
      </c>
      <c r="BU171" t="n">
        <v>1859.887</v>
      </c>
      <c r="BV171" t="n">
        <v>2023.957</v>
      </c>
    </row>
    <row r="172">
      <c r="A172" t="inlineStr">
        <is>
          <t>Lates calcarifer</t>
        </is>
      </c>
      <c r="B172" t="inlineStr">
        <is>
          <t>Barramundi</t>
        </is>
      </c>
      <c r="C172" t="inlineStr">
        <is>
          <t>Large demersals (&gt;=90 cm)</t>
        </is>
      </c>
      <c r="D172" t="inlineStr">
        <is>
          <t>Perch-likes</t>
        </is>
      </c>
      <c r="E172" t="n">
        <v>286.552</v>
      </c>
      <c r="F172" t="n">
        <v>292.798</v>
      </c>
      <c r="G172" t="n">
        <v>303.563</v>
      </c>
      <c r="H172" t="n">
        <v>330.001</v>
      </c>
      <c r="I172" t="n">
        <v>337.848</v>
      </c>
      <c r="J172" t="n">
        <v>347.359</v>
      </c>
      <c r="K172" t="n">
        <v>354.119</v>
      </c>
      <c r="L172" t="n">
        <v>369.173</v>
      </c>
      <c r="M172" t="n">
        <v>367.341</v>
      </c>
      <c r="N172" t="n">
        <v>374.753</v>
      </c>
      <c r="O172" t="n">
        <v>390.463</v>
      </c>
      <c r="P172" t="n">
        <v>383.049</v>
      </c>
      <c r="Q172" t="n">
        <v>414.492</v>
      </c>
      <c r="R172" t="n">
        <v>423.038</v>
      </c>
      <c r="S172" t="n">
        <v>435.907</v>
      </c>
      <c r="T172" t="n">
        <v>449.562</v>
      </c>
      <c r="U172" t="n">
        <v>489.256</v>
      </c>
      <c r="V172" t="n">
        <v>493.571</v>
      </c>
      <c r="W172" t="n">
        <v>506.218</v>
      </c>
      <c r="X172" t="n">
        <v>525.498</v>
      </c>
      <c r="Y172" t="n">
        <v>1109.287</v>
      </c>
      <c r="Z172" t="n">
        <v>1309.364</v>
      </c>
      <c r="AA172" t="n">
        <v>1089.217</v>
      </c>
      <c r="AB172" t="n">
        <v>1394.247</v>
      </c>
      <c r="AC172" t="n">
        <v>1023.403</v>
      </c>
      <c r="AD172" t="n">
        <v>1062.999</v>
      </c>
      <c r="AE172" t="n">
        <v>1051.146</v>
      </c>
      <c r="AF172" t="n">
        <v>1178.578</v>
      </c>
      <c r="AG172" t="n">
        <v>1142.87</v>
      </c>
      <c r="AH172" t="n">
        <v>1049.504</v>
      </c>
      <c r="AI172" t="n">
        <v>965.724</v>
      </c>
      <c r="AJ172" t="n">
        <v>2387.582</v>
      </c>
      <c r="AK172" t="n">
        <v>3510.615</v>
      </c>
      <c r="AL172" t="n">
        <v>2423.877</v>
      </c>
      <c r="AM172" t="n">
        <v>2578.399</v>
      </c>
      <c r="AN172" t="n">
        <v>3174.042</v>
      </c>
      <c r="AO172" t="n">
        <v>2234.426</v>
      </c>
      <c r="AP172" t="n">
        <v>1897.839</v>
      </c>
      <c r="AQ172" t="n">
        <v>1763.125</v>
      </c>
      <c r="AR172" t="n">
        <v>1718.194</v>
      </c>
      <c r="AS172" t="n">
        <v>1251.759</v>
      </c>
      <c r="AT172" t="n">
        <v>774.7</v>
      </c>
      <c r="AU172" t="n">
        <v>771.856</v>
      </c>
      <c r="AV172" t="n">
        <v>773.174</v>
      </c>
      <c r="AW172" t="n">
        <v>789.965</v>
      </c>
      <c r="AX172" t="n">
        <v>858.067</v>
      </c>
      <c r="AY172" t="n">
        <v>905.812</v>
      </c>
      <c r="AZ172" t="n">
        <v>940.5650000000001</v>
      </c>
      <c r="BA172" t="n">
        <v>966.894</v>
      </c>
      <c r="BB172" t="n">
        <v>1047.204</v>
      </c>
      <c r="BC172" t="n">
        <v>874.082</v>
      </c>
      <c r="BD172" t="n">
        <v>887.223</v>
      </c>
      <c r="BE172" t="n">
        <v>918.268</v>
      </c>
      <c r="BF172" t="n">
        <v>917.218</v>
      </c>
      <c r="BG172" t="n">
        <v>906.155</v>
      </c>
      <c r="BH172" t="n">
        <v>902.504</v>
      </c>
      <c r="BI172" t="n">
        <v>928.096</v>
      </c>
      <c r="BJ172" t="n">
        <v>947.467</v>
      </c>
      <c r="BK172" t="n">
        <v>975.489</v>
      </c>
      <c r="BL172" t="n">
        <v>997.322</v>
      </c>
      <c r="BM172" t="n">
        <v>956.596</v>
      </c>
      <c r="BN172" t="n">
        <v>959.28</v>
      </c>
      <c r="BO172" t="n">
        <v>974.2619999999999</v>
      </c>
      <c r="BP172" t="n">
        <v>975.2619999999999</v>
      </c>
      <c r="BQ172" t="n">
        <v>972.946</v>
      </c>
      <c r="BR172" t="n">
        <v>970.576</v>
      </c>
      <c r="BS172" t="n">
        <v>967.847</v>
      </c>
      <c r="BT172" t="n">
        <v>965.136</v>
      </c>
      <c r="BU172" t="n">
        <v>962.332</v>
      </c>
      <c r="BV172" t="n">
        <v>959.419</v>
      </c>
    </row>
    <row r="173">
      <c r="A173" t="inlineStr">
        <is>
          <t>Epinephelus malabaricus</t>
        </is>
      </c>
      <c r="B173" t="inlineStr">
        <is>
          <t>Malabar grouper</t>
        </is>
      </c>
      <c r="C173" t="inlineStr">
        <is>
          <t>Large reef assoc. fish (&gt;=90 cm)</t>
        </is>
      </c>
      <c r="D173" t="inlineStr">
        <is>
          <t>Perch-likes</t>
        </is>
      </c>
      <c r="E173" t="n">
        <v>107.256</v>
      </c>
      <c r="F173" t="n">
        <v>109.725</v>
      </c>
      <c r="G173" t="n">
        <v>113.125</v>
      </c>
      <c r="H173" t="n">
        <v>119.66</v>
      </c>
      <c r="I173" t="n">
        <v>122.558</v>
      </c>
      <c r="J173" t="n">
        <v>125.825</v>
      </c>
      <c r="K173" t="n">
        <v>128.589</v>
      </c>
      <c r="L173" t="n">
        <v>133.035</v>
      </c>
      <c r="M173" t="n">
        <v>134.185</v>
      </c>
      <c r="N173" t="n">
        <v>137.207</v>
      </c>
      <c r="O173" t="n">
        <v>141.922</v>
      </c>
      <c r="P173" t="n">
        <v>141.807</v>
      </c>
      <c r="Q173" t="n">
        <v>149.427</v>
      </c>
      <c r="R173" t="n">
        <v>152.571</v>
      </c>
      <c r="S173" t="n">
        <v>156.617</v>
      </c>
      <c r="T173" t="n">
        <v>160.863</v>
      </c>
      <c r="U173" t="n">
        <v>170.269</v>
      </c>
      <c r="V173" t="n">
        <v>172.73</v>
      </c>
      <c r="W173" t="n">
        <v>176.886</v>
      </c>
      <c r="X173" t="n">
        <v>182.4</v>
      </c>
      <c r="Y173" t="n">
        <v>184.109</v>
      </c>
      <c r="Z173" t="n">
        <v>220.88</v>
      </c>
      <c r="AA173" t="n">
        <v>239.34</v>
      </c>
      <c r="AB173" t="n">
        <v>280.681</v>
      </c>
      <c r="AC173" t="n">
        <v>295.812</v>
      </c>
      <c r="AD173" t="n">
        <v>329.813</v>
      </c>
      <c r="AE173" t="n">
        <v>367.034</v>
      </c>
      <c r="AF173" t="n">
        <v>433.062</v>
      </c>
      <c r="AG173" t="n">
        <v>469.058</v>
      </c>
      <c r="AH173" t="n">
        <v>532.127</v>
      </c>
      <c r="AI173" t="n">
        <v>550.987</v>
      </c>
      <c r="AJ173" t="n">
        <v>610.272</v>
      </c>
      <c r="AK173" t="n">
        <v>684.516</v>
      </c>
      <c r="AL173" t="n">
        <v>733.226</v>
      </c>
      <c r="AM173" t="n">
        <v>767.538</v>
      </c>
      <c r="AN173" t="n">
        <v>822.085</v>
      </c>
      <c r="AO173" t="n">
        <v>847.737</v>
      </c>
      <c r="AP173" t="n">
        <v>858.869</v>
      </c>
      <c r="AQ173" t="n">
        <v>930.851</v>
      </c>
      <c r="AR173" t="n">
        <v>972.698</v>
      </c>
      <c r="AS173" t="n">
        <v>904.857</v>
      </c>
      <c r="AT173" t="n">
        <v>976.586</v>
      </c>
      <c r="AU173" t="n">
        <v>991.681</v>
      </c>
      <c r="AV173" t="n">
        <v>1037.637</v>
      </c>
      <c r="AW173" t="n">
        <v>1087.909</v>
      </c>
      <c r="AX173" t="n">
        <v>1207.242</v>
      </c>
      <c r="AY173" t="n">
        <v>1235.977</v>
      </c>
      <c r="AZ173" t="n">
        <v>1293.428</v>
      </c>
      <c r="BA173" t="n">
        <v>1342.303</v>
      </c>
      <c r="BB173" t="n">
        <v>1443.298</v>
      </c>
      <c r="BC173" t="n">
        <v>1491.747</v>
      </c>
      <c r="BD173" t="n">
        <v>1548.311</v>
      </c>
      <c r="BE173" t="n">
        <v>1628.082</v>
      </c>
      <c r="BF173" t="n">
        <v>1671.904</v>
      </c>
      <c r="BG173" t="n">
        <v>1706.135</v>
      </c>
      <c r="BH173" t="n">
        <v>1751.62</v>
      </c>
      <c r="BI173" t="n">
        <v>1834.053</v>
      </c>
      <c r="BJ173" t="n">
        <v>1912.034</v>
      </c>
      <c r="BK173" t="n">
        <v>2003.094</v>
      </c>
      <c r="BL173" t="n">
        <v>2090.157</v>
      </c>
      <c r="BM173" t="n">
        <v>2137.28</v>
      </c>
      <c r="BN173" t="n">
        <v>2194.139</v>
      </c>
      <c r="BO173" t="n">
        <v>2269.33</v>
      </c>
      <c r="BP173" t="n">
        <v>2321.098</v>
      </c>
      <c r="BQ173" t="n">
        <v>2366.577</v>
      </c>
      <c r="BR173" t="n">
        <v>2411.626</v>
      </c>
      <c r="BS173" t="n">
        <v>2455.424</v>
      </c>
      <c r="BT173" t="n">
        <v>2498.894</v>
      </c>
      <c r="BU173" t="n">
        <v>2541.768</v>
      </c>
      <c r="BV173" t="n">
        <v>2583.971</v>
      </c>
    </row>
    <row r="174">
      <c r="A174" t="inlineStr">
        <is>
          <t>Istiompax indica</t>
        </is>
      </c>
      <c r="B174" t="inlineStr">
        <is>
          <t>Black marlin</t>
        </is>
      </c>
      <c r="C174" t="inlineStr">
        <is>
          <t>Large pelagics (&gt;=90 cm)</t>
        </is>
      </c>
      <c r="D174" t="inlineStr">
        <is>
          <t>Tuna &amp; billfishes</t>
        </is>
      </c>
      <c r="E174" t="n">
        <v>0</v>
      </c>
      <c r="F174" t="n">
        <v>0</v>
      </c>
      <c r="G174" t="n">
        <v>2.744</v>
      </c>
      <c r="H174" t="n">
        <v>9.968</v>
      </c>
      <c r="I174" t="n">
        <v>15.352</v>
      </c>
      <c r="J174" t="n">
        <v>13.609</v>
      </c>
      <c r="K174" t="n">
        <v>21.303</v>
      </c>
      <c r="L174" t="n">
        <v>28.25</v>
      </c>
      <c r="M174" t="n">
        <v>6.2</v>
      </c>
      <c r="N174" t="n">
        <v>18.412</v>
      </c>
      <c r="O174" t="n">
        <v>36.368</v>
      </c>
      <c r="P174" t="n">
        <v>25.518</v>
      </c>
      <c r="Q174" t="n">
        <v>28.545</v>
      </c>
      <c r="R174" t="n">
        <v>5.413</v>
      </c>
      <c r="S174" t="n">
        <v>17.952</v>
      </c>
      <c r="T174" t="n">
        <v>20.199</v>
      </c>
      <c r="U174" t="n">
        <v>4.649</v>
      </c>
      <c r="V174" t="n">
        <v>17.761</v>
      </c>
      <c r="W174" t="n">
        <v>1.36</v>
      </c>
      <c r="X174" t="n">
        <v>45.016</v>
      </c>
      <c r="Y174" t="n">
        <v>94.307</v>
      </c>
      <c r="Z174" t="n">
        <v>1.429</v>
      </c>
      <c r="AA174" t="n">
        <v>6.127</v>
      </c>
      <c r="AB174" t="n">
        <v>4.348</v>
      </c>
      <c r="AC174" t="n">
        <v>0.59</v>
      </c>
      <c r="AD174" t="n">
        <v>30.358</v>
      </c>
      <c r="AE174" t="n">
        <v>1.03</v>
      </c>
      <c r="AF174" t="n">
        <v>1.072</v>
      </c>
      <c r="AG174" t="n">
        <v>3.077</v>
      </c>
      <c r="AH174" t="n">
        <v>16.874</v>
      </c>
      <c r="AI174" t="n">
        <v>11.479</v>
      </c>
      <c r="AJ174" t="n">
        <v>7.936</v>
      </c>
      <c r="AK174" t="n">
        <v>2.452</v>
      </c>
      <c r="AL174" t="n">
        <v>29.586</v>
      </c>
      <c r="AM174" t="n">
        <v>154.348</v>
      </c>
      <c r="AN174" t="n">
        <v>18.732</v>
      </c>
      <c r="AO174" t="n">
        <v>223.859</v>
      </c>
      <c r="AP174" t="n">
        <v>177.949</v>
      </c>
      <c r="AQ174" t="n">
        <v>50.173</v>
      </c>
      <c r="AR174" t="n">
        <v>107.213</v>
      </c>
      <c r="AS174" t="n">
        <v>18.122</v>
      </c>
      <c r="AT174" t="n">
        <v>8.762</v>
      </c>
      <c r="AU174" t="n">
        <v>26.738</v>
      </c>
      <c r="AV174" t="n">
        <v>157.533</v>
      </c>
      <c r="AW174" t="n">
        <v>198.824</v>
      </c>
      <c r="AX174" t="n">
        <v>84.124</v>
      </c>
      <c r="AY174" t="n">
        <v>174.934</v>
      </c>
      <c r="AZ174" t="n">
        <v>339.173</v>
      </c>
      <c r="BA174" t="n">
        <v>183.457</v>
      </c>
      <c r="BB174" t="n">
        <v>590.977</v>
      </c>
      <c r="BC174" t="n">
        <v>566.36</v>
      </c>
      <c r="BD174" t="n">
        <v>644.95</v>
      </c>
      <c r="BE174" t="n">
        <v>965.535</v>
      </c>
      <c r="BF174" t="n">
        <v>1937.048</v>
      </c>
      <c r="BG174" t="n">
        <v>4254.92</v>
      </c>
      <c r="BH174" t="n">
        <v>4702.729</v>
      </c>
      <c r="BI174" t="n">
        <v>4084.097</v>
      </c>
      <c r="BJ174" t="n">
        <v>2340.704</v>
      </c>
      <c r="BK174" t="n">
        <v>2372.738</v>
      </c>
      <c r="BL174" t="n">
        <v>2121.15</v>
      </c>
      <c r="BM174" t="n">
        <v>1164.968</v>
      </c>
      <c r="BN174" t="n">
        <v>2572.524</v>
      </c>
      <c r="BO174" t="n">
        <v>2494.973</v>
      </c>
      <c r="BP174" t="n">
        <v>3431.773</v>
      </c>
      <c r="BQ174" t="n">
        <v>4624.535</v>
      </c>
      <c r="BR174" t="n">
        <v>5040.542</v>
      </c>
      <c r="BS174" t="n">
        <v>4218.556</v>
      </c>
      <c r="BT174" t="n">
        <v>4928.955</v>
      </c>
      <c r="BU174" t="n">
        <v>5060.598</v>
      </c>
      <c r="BV174" t="n">
        <v>5631.1</v>
      </c>
    </row>
    <row r="175">
      <c r="A175" t="inlineStr">
        <is>
          <t>Leiognathus</t>
        </is>
      </c>
      <c r="B175" t="inlineStr">
        <is>
          <t>Ponyfishes</t>
        </is>
      </c>
      <c r="C175" t="inlineStr">
        <is>
          <t>Small benthopelagics (&lt;30 cm)</t>
        </is>
      </c>
      <c r="D175" t="inlineStr">
        <is>
          <t>Perch-likes</t>
        </is>
      </c>
      <c r="E175" t="n">
        <v>925.14</v>
      </c>
      <c r="F175" t="n">
        <v>930.428</v>
      </c>
      <c r="G175" t="n">
        <v>923.446</v>
      </c>
      <c r="H175" t="n">
        <v>928.296</v>
      </c>
      <c r="I175" t="n">
        <v>932.9829999999999</v>
      </c>
      <c r="J175" t="n">
        <v>937.5</v>
      </c>
      <c r="K175" t="n">
        <v>940.547</v>
      </c>
      <c r="L175" t="n">
        <v>950.65</v>
      </c>
      <c r="M175" t="n">
        <v>958.138</v>
      </c>
      <c r="N175" t="n">
        <v>971.444</v>
      </c>
      <c r="O175" t="n">
        <v>978.568</v>
      </c>
      <c r="P175" t="n">
        <v>987.856</v>
      </c>
      <c r="Q175" t="n">
        <v>996.952</v>
      </c>
      <c r="R175" t="n">
        <v>1011.853</v>
      </c>
      <c r="S175" t="n">
        <v>1023.002</v>
      </c>
      <c r="T175" t="n">
        <v>1022.369</v>
      </c>
      <c r="U175" t="n">
        <v>1026.026</v>
      </c>
      <c r="V175" t="n">
        <v>1032.941</v>
      </c>
      <c r="W175" t="n">
        <v>1023.231</v>
      </c>
      <c r="X175" t="n">
        <v>1037.624</v>
      </c>
      <c r="Y175" t="n">
        <v>1044.881</v>
      </c>
      <c r="Z175" t="n">
        <v>1045.162</v>
      </c>
      <c r="AA175" t="n">
        <v>1059.679</v>
      </c>
      <c r="AB175" t="n">
        <v>1060.964</v>
      </c>
      <c r="AC175" t="n">
        <v>852.5890000000001</v>
      </c>
      <c r="AD175" t="n">
        <v>856.785</v>
      </c>
      <c r="AE175" t="n">
        <v>861.443</v>
      </c>
      <c r="AF175" t="n">
        <v>867.004</v>
      </c>
      <c r="AG175" t="n">
        <v>796.829</v>
      </c>
      <c r="AH175" t="n">
        <v>728.922</v>
      </c>
      <c r="AI175" t="n">
        <v>755.657</v>
      </c>
      <c r="AJ175" t="n">
        <v>716.046</v>
      </c>
      <c r="AK175" t="n">
        <v>451.148</v>
      </c>
      <c r="AL175" t="n">
        <v>414.462</v>
      </c>
      <c r="AM175" t="n">
        <v>369.81</v>
      </c>
      <c r="AN175" t="n">
        <v>327.347</v>
      </c>
      <c r="AO175" t="n">
        <v>232.645</v>
      </c>
      <c r="AP175" t="n">
        <v>302.392</v>
      </c>
      <c r="AQ175" t="n">
        <v>328.087</v>
      </c>
      <c r="AR175" t="n">
        <v>348.847</v>
      </c>
      <c r="AS175" t="n">
        <v>344.007</v>
      </c>
      <c r="AT175" t="n">
        <v>523.365</v>
      </c>
      <c r="AU175" t="n">
        <v>523.15</v>
      </c>
      <c r="AV175" t="n">
        <v>395.831</v>
      </c>
      <c r="AW175" t="n">
        <v>1225.061</v>
      </c>
      <c r="AX175" t="n">
        <v>1212.492</v>
      </c>
      <c r="AY175" t="n">
        <v>1100.942</v>
      </c>
      <c r="AZ175" t="n">
        <v>1823.968</v>
      </c>
      <c r="BA175" t="n">
        <v>1533.583</v>
      </c>
      <c r="BB175" t="n">
        <v>1521.602</v>
      </c>
      <c r="BC175" t="n">
        <v>1488.099</v>
      </c>
      <c r="BD175" t="n">
        <v>1554.519</v>
      </c>
      <c r="BE175" t="n">
        <v>1303.328</v>
      </c>
      <c r="BF175" t="n">
        <v>978.345</v>
      </c>
      <c r="BG175" t="n">
        <v>1001.829</v>
      </c>
      <c r="BH175" t="n">
        <v>890.9450000000001</v>
      </c>
      <c r="BI175" t="n">
        <v>796.992</v>
      </c>
      <c r="BJ175" t="n">
        <v>679.838</v>
      </c>
      <c r="BK175" t="n">
        <v>497.893</v>
      </c>
      <c r="BL175" t="n">
        <v>496.638</v>
      </c>
      <c r="BM175" t="n">
        <v>360.048</v>
      </c>
      <c r="BN175" t="n">
        <v>1372.243</v>
      </c>
      <c r="BO175" t="n">
        <v>1195.343</v>
      </c>
      <c r="BP175" t="n">
        <v>1301.013</v>
      </c>
      <c r="BQ175" t="n">
        <v>1373.565</v>
      </c>
      <c r="BR175" t="n">
        <v>1355.289</v>
      </c>
      <c r="BS175" t="n">
        <v>1360.781</v>
      </c>
      <c r="BT175" t="n">
        <v>1475.809</v>
      </c>
      <c r="BU175" t="n">
        <v>1746.778</v>
      </c>
      <c r="BV175" t="n">
        <v>1635.376</v>
      </c>
    </row>
    <row r="176">
      <c r="A176" t="inlineStr">
        <is>
          <t>Alepes</t>
        </is>
      </c>
      <c r="B176" t="inlineStr">
        <is>
          <t>Crevalles</t>
        </is>
      </c>
      <c r="C176" t="inlineStr">
        <is>
          <t>Medium reef assoc. fish (30 - 89 cm)</t>
        </is>
      </c>
      <c r="D176" t="inlineStr">
        <is>
          <t>Perch-likes</t>
        </is>
      </c>
      <c r="E176" t="n">
        <v>856.057</v>
      </c>
      <c r="F176" t="n">
        <v>860.95</v>
      </c>
      <c r="G176" t="n">
        <v>854.487</v>
      </c>
      <c r="H176" t="n">
        <v>858.971</v>
      </c>
      <c r="I176" t="n">
        <v>863.302</v>
      </c>
      <c r="J176" t="n">
        <v>867.478</v>
      </c>
      <c r="K176" t="n">
        <v>870.268</v>
      </c>
      <c r="L176" t="n">
        <v>879.612</v>
      </c>
      <c r="M176" t="n">
        <v>886.53</v>
      </c>
      <c r="N176" t="n">
        <v>898.831</v>
      </c>
      <c r="O176" t="n">
        <v>905.413</v>
      </c>
      <c r="P176" t="n">
        <v>913.991</v>
      </c>
      <c r="Q176" t="n">
        <v>922.391</v>
      </c>
      <c r="R176" t="n">
        <v>936.164</v>
      </c>
      <c r="S176" t="n">
        <v>946.415</v>
      </c>
      <c r="T176" t="n">
        <v>945.837</v>
      </c>
      <c r="U176" t="n">
        <v>949.208</v>
      </c>
      <c r="V176" t="n">
        <v>955.616</v>
      </c>
      <c r="W176" t="n">
        <v>946.701</v>
      </c>
      <c r="X176" t="n">
        <v>959.952</v>
      </c>
      <c r="Y176" t="n">
        <v>966.665</v>
      </c>
      <c r="Z176" t="n">
        <v>966.936</v>
      </c>
      <c r="AA176" t="n">
        <v>980.348</v>
      </c>
      <c r="AB176" t="n">
        <v>981.526</v>
      </c>
      <c r="AC176" t="n">
        <v>789.92</v>
      </c>
      <c r="AD176" t="n">
        <v>843.311</v>
      </c>
      <c r="AE176" t="n">
        <v>897.122</v>
      </c>
      <c r="AF176" t="n">
        <v>951.806</v>
      </c>
      <c r="AG176" t="n">
        <v>936.518</v>
      </c>
      <c r="AH176" t="n">
        <v>926.417</v>
      </c>
      <c r="AI176" t="n">
        <v>1021.332</v>
      </c>
      <c r="AJ176" t="n">
        <v>1009.963</v>
      </c>
      <c r="AK176" t="n">
        <v>815.716</v>
      </c>
      <c r="AL176" t="n">
        <v>832.585</v>
      </c>
      <c r="AM176" t="n">
        <v>849.46</v>
      </c>
      <c r="AN176" t="n">
        <v>852.428</v>
      </c>
      <c r="AO176" t="n">
        <v>824.78</v>
      </c>
      <c r="AP176" t="n">
        <v>954.482</v>
      </c>
      <c r="AQ176" t="n">
        <v>974.63</v>
      </c>
      <c r="AR176" t="n">
        <v>989.29</v>
      </c>
      <c r="AS176" t="n">
        <v>967.038</v>
      </c>
      <c r="AT176" t="n">
        <v>1115.1</v>
      </c>
      <c r="AU176" t="n">
        <v>1098.231</v>
      </c>
      <c r="AV176" t="n">
        <v>963.088</v>
      </c>
      <c r="AW176" t="n">
        <v>1711.767</v>
      </c>
      <c r="AX176" t="n">
        <v>1682.991</v>
      </c>
      <c r="AY176" t="n">
        <v>1573.633</v>
      </c>
      <c r="AZ176" t="n">
        <v>2162.964</v>
      </c>
      <c r="BA176" t="n">
        <v>1688.375</v>
      </c>
      <c r="BB176" t="n">
        <v>1535.097</v>
      </c>
      <c r="BC176" t="n">
        <v>1391.072</v>
      </c>
      <c r="BD176" t="n">
        <v>1326.098</v>
      </c>
      <c r="BE176" t="n">
        <v>1115.189</v>
      </c>
      <c r="BF176" t="n">
        <v>829.3099999999999</v>
      </c>
      <c r="BG176" t="n">
        <v>852.641</v>
      </c>
      <c r="BH176" t="n">
        <v>784.942</v>
      </c>
      <c r="BI176" t="n">
        <v>724.894</v>
      </c>
      <c r="BJ176" t="n">
        <v>654.754</v>
      </c>
      <c r="BK176" t="n">
        <v>572.174</v>
      </c>
      <c r="BL176" t="n">
        <v>536.755</v>
      </c>
      <c r="BM176" t="n">
        <v>439.516</v>
      </c>
      <c r="BN176" t="n">
        <v>581.821</v>
      </c>
      <c r="BO176" t="n">
        <v>542.2430000000001</v>
      </c>
      <c r="BP176" t="n">
        <v>565.441</v>
      </c>
      <c r="BQ176" t="n">
        <v>581.188</v>
      </c>
      <c r="BR176" t="n">
        <v>577.039</v>
      </c>
      <c r="BS176" t="n">
        <v>578.261</v>
      </c>
      <c r="BT176" t="n">
        <v>604.2380000000001</v>
      </c>
      <c r="BU176" t="n">
        <v>665.486</v>
      </c>
      <c r="BV176" t="n">
        <v>641.22</v>
      </c>
    </row>
    <row r="177">
      <c r="A177" t="inlineStr">
        <is>
          <t>Chondrichthyes</t>
        </is>
      </c>
      <c r="B177" t="inlineStr">
        <is>
          <t>Sharks, rays, chimaeras</t>
        </is>
      </c>
      <c r="C177" t="inlineStr">
        <is>
          <t>Large sharks (&gt;=90 cm)</t>
        </is>
      </c>
      <c r="D177" t="inlineStr">
        <is>
          <t>Sharks &amp; rays</t>
        </is>
      </c>
      <c r="E177" t="n">
        <v>0</v>
      </c>
      <c r="F177" t="n">
        <v>0</v>
      </c>
      <c r="G177" t="n">
        <v>0</v>
      </c>
      <c r="H177" t="n">
        <v>0</v>
      </c>
      <c r="I177" t="n">
        <v>0</v>
      </c>
      <c r="J177" t="n">
        <v>0</v>
      </c>
      <c r="K177" t="n">
        <v>0</v>
      </c>
      <c r="L177" t="n">
        <v>0</v>
      </c>
      <c r="M177" t="n">
        <v>0</v>
      </c>
      <c r="N177" t="n">
        <v>0</v>
      </c>
      <c r="O177" t="n">
        <v>0</v>
      </c>
      <c r="P177" t="n">
        <v>0</v>
      </c>
      <c r="Q177" t="n">
        <v>0</v>
      </c>
      <c r="R177" t="n">
        <v>0.028</v>
      </c>
      <c r="S177" t="n">
        <v>0</v>
      </c>
      <c r="T177" t="n">
        <v>100.894</v>
      </c>
      <c r="U177" t="n">
        <v>156.947</v>
      </c>
      <c r="V177" t="n">
        <v>156.947</v>
      </c>
      <c r="W177" t="n">
        <v>56.052</v>
      </c>
      <c r="X177" t="n">
        <v>67.26300000000001</v>
      </c>
      <c r="Y177" t="n">
        <v>269.169</v>
      </c>
      <c r="Z177" t="n">
        <v>224.307</v>
      </c>
      <c r="AA177" t="n">
        <v>591.197</v>
      </c>
      <c r="AB177" t="n">
        <v>326.336</v>
      </c>
      <c r="AC177" t="n">
        <v>439.737</v>
      </c>
      <c r="AD177" t="n">
        <v>265.148</v>
      </c>
      <c r="AE177" t="n">
        <v>201.194</v>
      </c>
      <c r="AF177" t="n">
        <v>150.122</v>
      </c>
      <c r="AG177" t="n">
        <v>115.94</v>
      </c>
      <c r="AH177" t="n">
        <v>167.285</v>
      </c>
      <c r="AI177" t="n">
        <v>187.397</v>
      </c>
      <c r="AJ177" t="n">
        <v>70.39400000000001</v>
      </c>
      <c r="AK177" t="n">
        <v>70.12</v>
      </c>
      <c r="AL177" t="n">
        <v>72.014</v>
      </c>
      <c r="AM177" t="n">
        <v>60.465</v>
      </c>
      <c r="AN177" t="n">
        <v>107.825</v>
      </c>
      <c r="AO177" t="n">
        <v>120.619</v>
      </c>
      <c r="AP177" t="n">
        <v>108.689</v>
      </c>
      <c r="AQ177" t="n">
        <v>90.277</v>
      </c>
      <c r="AR177" t="n">
        <v>132.672</v>
      </c>
      <c r="AS177" t="n">
        <v>141.257</v>
      </c>
      <c r="AT177" t="n">
        <v>70.977</v>
      </c>
      <c r="AU177" t="n">
        <v>71.26300000000001</v>
      </c>
      <c r="AV177" t="n">
        <v>61.638</v>
      </c>
      <c r="AW177" t="n">
        <v>44.091</v>
      </c>
      <c r="AX177" t="n">
        <v>49.175</v>
      </c>
      <c r="AY177" t="n">
        <v>51.975</v>
      </c>
      <c r="AZ177" t="n">
        <v>53.686</v>
      </c>
      <c r="BA177" t="n">
        <v>41.365</v>
      </c>
      <c r="BB177" t="n">
        <v>61.97</v>
      </c>
      <c r="BC177" t="n">
        <v>102.355</v>
      </c>
      <c r="BD177" t="n">
        <v>35.59</v>
      </c>
      <c r="BE177" t="n">
        <v>34.983</v>
      </c>
      <c r="BF177" t="n">
        <v>82.134</v>
      </c>
      <c r="BG177" t="n">
        <v>50.578</v>
      </c>
      <c r="BH177" t="n">
        <v>4485.873</v>
      </c>
      <c r="BI177" t="n">
        <v>4393.732</v>
      </c>
      <c r="BJ177" t="n">
        <v>4365.837</v>
      </c>
      <c r="BK177" t="n">
        <v>3981.361</v>
      </c>
      <c r="BL177" t="n">
        <v>4370.407</v>
      </c>
      <c r="BM177" t="n">
        <v>4082.591</v>
      </c>
      <c r="BN177" t="n">
        <v>3898.795</v>
      </c>
      <c r="BO177" t="n">
        <v>3417.053</v>
      </c>
      <c r="BP177" t="n">
        <v>3255.917</v>
      </c>
      <c r="BQ177" t="n">
        <v>3196.447</v>
      </c>
      <c r="BR177" t="n">
        <v>3052.23</v>
      </c>
      <c r="BS177" t="n">
        <v>3970.55</v>
      </c>
      <c r="BT177" t="n">
        <v>4226.252</v>
      </c>
      <c r="BU177" t="n">
        <v>3634.864</v>
      </c>
      <c r="BV177" t="n">
        <v>3575.751</v>
      </c>
    </row>
    <row r="178">
      <c r="A178" t="inlineStr">
        <is>
          <t>Leiognathus equula</t>
        </is>
      </c>
      <c r="B178" t="inlineStr">
        <is>
          <t>Common ponyfish</t>
        </is>
      </c>
      <c r="C178" t="inlineStr">
        <is>
          <t>Small benthopelagics (&lt;30 cm)</t>
        </is>
      </c>
      <c r="D178" t="inlineStr">
        <is>
          <t>Perch-likes</t>
        </is>
      </c>
      <c r="E178" t="n">
        <v>925.14</v>
      </c>
      <c r="F178" t="n">
        <v>930.428</v>
      </c>
      <c r="G178" t="n">
        <v>923.446</v>
      </c>
      <c r="H178" t="n">
        <v>928.296</v>
      </c>
      <c r="I178" t="n">
        <v>932.9829999999999</v>
      </c>
      <c r="J178" t="n">
        <v>937.5</v>
      </c>
      <c r="K178" t="n">
        <v>940.547</v>
      </c>
      <c r="L178" t="n">
        <v>950.65</v>
      </c>
      <c r="M178" t="n">
        <v>958.138</v>
      </c>
      <c r="N178" t="n">
        <v>971.444</v>
      </c>
      <c r="O178" t="n">
        <v>978.568</v>
      </c>
      <c r="P178" t="n">
        <v>987.856</v>
      </c>
      <c r="Q178" t="n">
        <v>996.952</v>
      </c>
      <c r="R178" t="n">
        <v>1011.853</v>
      </c>
      <c r="S178" t="n">
        <v>1023.002</v>
      </c>
      <c r="T178" t="n">
        <v>1022.369</v>
      </c>
      <c r="U178" t="n">
        <v>1026.026</v>
      </c>
      <c r="V178" t="n">
        <v>1032.941</v>
      </c>
      <c r="W178" t="n">
        <v>1023.231</v>
      </c>
      <c r="X178" t="n">
        <v>1037.624</v>
      </c>
      <c r="Y178" t="n">
        <v>1044.881</v>
      </c>
      <c r="Z178" t="n">
        <v>1045.162</v>
      </c>
      <c r="AA178" t="n">
        <v>1059.679</v>
      </c>
      <c r="AB178" t="n">
        <v>1060.964</v>
      </c>
      <c r="AC178" t="n">
        <v>852.5890000000001</v>
      </c>
      <c r="AD178" t="n">
        <v>856.785</v>
      </c>
      <c r="AE178" t="n">
        <v>861.443</v>
      </c>
      <c r="AF178" t="n">
        <v>867.004</v>
      </c>
      <c r="AG178" t="n">
        <v>796.829</v>
      </c>
      <c r="AH178" t="n">
        <v>728.922</v>
      </c>
      <c r="AI178" t="n">
        <v>755.657</v>
      </c>
      <c r="AJ178" t="n">
        <v>716.046</v>
      </c>
      <c r="AK178" t="n">
        <v>451.148</v>
      </c>
      <c r="AL178" t="n">
        <v>414.462</v>
      </c>
      <c r="AM178" t="n">
        <v>369.81</v>
      </c>
      <c r="AN178" t="n">
        <v>327.347</v>
      </c>
      <c r="AO178" t="n">
        <v>232.645</v>
      </c>
      <c r="AP178" t="n">
        <v>302.392</v>
      </c>
      <c r="AQ178" t="n">
        <v>328.087</v>
      </c>
      <c r="AR178" t="n">
        <v>348.847</v>
      </c>
      <c r="AS178" t="n">
        <v>344.007</v>
      </c>
      <c r="AT178" t="n">
        <v>523.365</v>
      </c>
      <c r="AU178" t="n">
        <v>523.15</v>
      </c>
      <c r="AV178" t="n">
        <v>395.831</v>
      </c>
      <c r="AW178" t="n">
        <v>1225.061</v>
      </c>
      <c r="AX178" t="n">
        <v>1212.492</v>
      </c>
      <c r="AY178" t="n">
        <v>1100.942</v>
      </c>
      <c r="AZ178" t="n">
        <v>1823.968</v>
      </c>
      <c r="BA178" t="n">
        <v>1533.583</v>
      </c>
      <c r="BB178" t="n">
        <v>1521.602</v>
      </c>
      <c r="BC178" t="n">
        <v>1488.099</v>
      </c>
      <c r="BD178" t="n">
        <v>1554.519</v>
      </c>
      <c r="BE178" t="n">
        <v>1303.328</v>
      </c>
      <c r="BF178" t="n">
        <v>978.345</v>
      </c>
      <c r="BG178" t="n">
        <v>1001.829</v>
      </c>
      <c r="BH178" t="n">
        <v>890.9450000000001</v>
      </c>
      <c r="BI178" t="n">
        <v>796.992</v>
      </c>
      <c r="BJ178" t="n">
        <v>679.838</v>
      </c>
      <c r="BK178" t="n">
        <v>497.893</v>
      </c>
      <c r="BL178" t="n">
        <v>496.638</v>
      </c>
      <c r="BM178" t="n">
        <v>360.048</v>
      </c>
      <c r="BN178" t="n">
        <v>686.122</v>
      </c>
      <c r="BO178" t="n">
        <v>597.671</v>
      </c>
      <c r="BP178" t="n">
        <v>650.506</v>
      </c>
      <c r="BQ178" t="n">
        <v>686.782</v>
      </c>
      <c r="BR178" t="n">
        <v>677.644</v>
      </c>
      <c r="BS178" t="n">
        <v>680.39</v>
      </c>
      <c r="BT178" t="n">
        <v>737.905</v>
      </c>
      <c r="BU178" t="n">
        <v>873.389</v>
      </c>
      <c r="BV178" t="n">
        <v>817.688</v>
      </c>
    </row>
    <row r="179">
      <c r="A179" t="inlineStr">
        <is>
          <t>Epinephelus tauvina</t>
        </is>
      </c>
      <c r="B179" t="inlineStr">
        <is>
          <t>Greasy grouper</t>
        </is>
      </c>
      <c r="C179" t="inlineStr">
        <is>
          <t>Medium reef assoc. fish (30 - 89 cm)</t>
        </is>
      </c>
      <c r="D179" t="inlineStr">
        <is>
          <t>Perch-likes</t>
        </is>
      </c>
      <c r="E179" t="n">
        <v>438.01</v>
      </c>
      <c r="F179" t="n">
        <v>447.899</v>
      </c>
      <c r="G179" t="n">
        <v>477.973</v>
      </c>
      <c r="H179" t="n">
        <v>481.118</v>
      </c>
      <c r="I179" t="n">
        <v>501.719</v>
      </c>
      <c r="J179" t="n">
        <v>513.123</v>
      </c>
      <c r="K179" t="n">
        <v>529.346</v>
      </c>
      <c r="L179" t="n">
        <v>566.244</v>
      </c>
      <c r="M179" t="n">
        <v>577.231</v>
      </c>
      <c r="N179" t="n">
        <v>609.024</v>
      </c>
      <c r="O179" t="n">
        <v>622.807</v>
      </c>
      <c r="P179" t="n">
        <v>737.605</v>
      </c>
      <c r="Q179" t="n">
        <v>791.414</v>
      </c>
      <c r="R179" t="n">
        <v>821.093</v>
      </c>
      <c r="S179" t="n">
        <v>780.298</v>
      </c>
      <c r="T179" t="n">
        <v>760.208</v>
      </c>
      <c r="U179" t="n">
        <v>782.8390000000001</v>
      </c>
      <c r="V179" t="n">
        <v>738.984</v>
      </c>
      <c r="W179" t="n">
        <v>716.479</v>
      </c>
      <c r="X179" t="n">
        <v>726.7380000000001</v>
      </c>
      <c r="Y179" t="n">
        <v>742.95</v>
      </c>
      <c r="Z179" t="n">
        <v>774.487</v>
      </c>
      <c r="AA179" t="n">
        <v>699.331</v>
      </c>
      <c r="AB179" t="n">
        <v>726.954</v>
      </c>
      <c r="AC179" t="n">
        <v>720.809</v>
      </c>
      <c r="AD179" t="n">
        <v>692.533</v>
      </c>
      <c r="AE179" t="n">
        <v>697.1420000000001</v>
      </c>
      <c r="AF179" t="n">
        <v>700.761</v>
      </c>
      <c r="AG179" t="n">
        <v>773.657</v>
      </c>
      <c r="AH179" t="n">
        <v>822.655</v>
      </c>
      <c r="AI179" t="n">
        <v>849.9930000000001</v>
      </c>
      <c r="AJ179" t="n">
        <v>889.6180000000001</v>
      </c>
      <c r="AK179" t="n">
        <v>885.619</v>
      </c>
      <c r="AL179" t="n">
        <v>948.78</v>
      </c>
      <c r="AM179" t="n">
        <v>947.4160000000001</v>
      </c>
      <c r="AN179" t="n">
        <v>893.324</v>
      </c>
      <c r="AO179" t="n">
        <v>877.518</v>
      </c>
      <c r="AP179" t="n">
        <v>798.194</v>
      </c>
      <c r="AQ179" t="n">
        <v>782.908</v>
      </c>
      <c r="AR179" t="n">
        <v>787.294</v>
      </c>
      <c r="AS179" t="n">
        <v>687.147</v>
      </c>
      <c r="AT179" t="n">
        <v>685.1950000000001</v>
      </c>
      <c r="AU179" t="n">
        <v>743.902</v>
      </c>
      <c r="AV179" t="n">
        <v>743.29</v>
      </c>
      <c r="AW179" t="n">
        <v>842.999</v>
      </c>
      <c r="AX179" t="n">
        <v>915.821</v>
      </c>
      <c r="AY179" t="n">
        <v>925.077</v>
      </c>
      <c r="AZ179" t="n">
        <v>921.65</v>
      </c>
      <c r="BA179" t="n">
        <v>969.859</v>
      </c>
      <c r="BB179" t="n">
        <v>963.29</v>
      </c>
      <c r="BC179" t="n">
        <v>922.39</v>
      </c>
      <c r="BD179" t="n">
        <v>952.756</v>
      </c>
      <c r="BE179" t="n">
        <v>1088.685</v>
      </c>
      <c r="BF179" t="n">
        <v>1558.354</v>
      </c>
      <c r="BG179" t="n">
        <v>1072.341</v>
      </c>
      <c r="BH179" t="n">
        <v>1055.16</v>
      </c>
      <c r="BI179" t="n">
        <v>918.671</v>
      </c>
      <c r="BJ179" t="n">
        <v>889.95</v>
      </c>
      <c r="BK179" t="n">
        <v>1017.795</v>
      </c>
      <c r="BL179" t="n">
        <v>976.739</v>
      </c>
      <c r="BM179" t="n">
        <v>1035.156</v>
      </c>
      <c r="BN179" t="n">
        <v>1040.304</v>
      </c>
      <c r="BO179" t="n">
        <v>1036.173</v>
      </c>
      <c r="BP179" t="n">
        <v>1078.983</v>
      </c>
      <c r="BQ179" t="n">
        <v>1036.732</v>
      </c>
      <c r="BR179" t="n">
        <v>1017.466</v>
      </c>
      <c r="BS179" t="n">
        <v>1002.036</v>
      </c>
      <c r="BT179" t="n">
        <v>1009.04</v>
      </c>
      <c r="BU179" t="n">
        <v>986.8869999999999</v>
      </c>
      <c r="BV179" t="n">
        <v>964.662</v>
      </c>
    </row>
    <row r="180">
      <c r="A180" t="inlineStr">
        <is>
          <t>Gastropoda</t>
        </is>
      </c>
      <c r="B180" t="inlineStr">
        <is>
          <t>Sea snails</t>
        </is>
      </c>
      <c r="C180" t="inlineStr">
        <is>
          <t>Other demersal invertebrates</t>
        </is>
      </c>
      <c r="D180" t="inlineStr">
        <is>
          <t>Molluscs</t>
        </is>
      </c>
      <c r="E180" t="n">
        <v>280.711</v>
      </c>
      <c r="F180" t="n">
        <v>283.286</v>
      </c>
      <c r="G180" t="n">
        <v>283.042</v>
      </c>
      <c r="H180" t="n">
        <v>285.57</v>
      </c>
      <c r="I180" t="n">
        <v>288.088</v>
      </c>
      <c r="J180" t="n">
        <v>290.597</v>
      </c>
      <c r="K180" t="n">
        <v>292.788</v>
      </c>
      <c r="L180" t="n">
        <v>296.653</v>
      </c>
      <c r="M180" t="n">
        <v>299.942</v>
      </c>
      <c r="N180" t="n">
        <v>304.611</v>
      </c>
      <c r="O180" t="n">
        <v>307.879</v>
      </c>
      <c r="P180" t="n">
        <v>311.682</v>
      </c>
      <c r="Q180" t="n">
        <v>315.473</v>
      </c>
      <c r="R180" t="n">
        <v>320.646</v>
      </c>
      <c r="S180" t="n">
        <v>324.97</v>
      </c>
      <c r="T180" t="n">
        <v>326.615</v>
      </c>
      <c r="U180" t="n">
        <v>329.287</v>
      </c>
      <c r="V180" t="n">
        <v>335.332</v>
      </c>
      <c r="W180" t="n">
        <v>337.535</v>
      </c>
      <c r="X180" t="n">
        <v>345.295</v>
      </c>
      <c r="Y180" t="n">
        <v>351.414</v>
      </c>
      <c r="Z180" t="n">
        <v>355.92</v>
      </c>
      <c r="AA180" t="n">
        <v>363.72</v>
      </c>
      <c r="AB180" t="n">
        <v>368.452</v>
      </c>
      <c r="AC180" t="n">
        <v>324.843</v>
      </c>
      <c r="AD180" t="n">
        <v>342.688</v>
      </c>
      <c r="AE180" t="n">
        <v>360.638</v>
      </c>
      <c r="AF180" t="n">
        <v>378.807</v>
      </c>
      <c r="AG180" t="n">
        <v>379.429</v>
      </c>
      <c r="AH180" t="n">
        <v>380.547</v>
      </c>
      <c r="AI180" t="n">
        <v>403.53</v>
      </c>
      <c r="AJ180" t="n">
        <v>411.214</v>
      </c>
      <c r="AK180" t="n">
        <v>366.965</v>
      </c>
      <c r="AL180" t="n">
        <v>375.309</v>
      </c>
      <c r="AM180" t="n">
        <v>381.851</v>
      </c>
      <c r="AN180" t="n">
        <v>388.885</v>
      </c>
      <c r="AO180" t="n">
        <v>387.072</v>
      </c>
      <c r="AP180" t="n">
        <v>424.057</v>
      </c>
      <c r="AQ180" t="n">
        <v>433.545</v>
      </c>
      <c r="AR180" t="n">
        <v>504.849</v>
      </c>
      <c r="AS180" t="n">
        <v>489.936</v>
      </c>
      <c r="AT180" t="n">
        <v>1376.183</v>
      </c>
      <c r="AU180" t="n">
        <v>1326.909</v>
      </c>
      <c r="AV180" t="n">
        <v>923.921</v>
      </c>
      <c r="AW180" t="n">
        <v>2096.51</v>
      </c>
      <c r="AX180" t="n">
        <v>1162.226</v>
      </c>
      <c r="AY180" t="n">
        <v>2937.748</v>
      </c>
      <c r="AZ180" t="n">
        <v>1581.949</v>
      </c>
      <c r="BA180" t="n">
        <v>1729.789</v>
      </c>
      <c r="BB180" t="n">
        <v>1351.929</v>
      </c>
      <c r="BC180" t="n">
        <v>1144.243</v>
      </c>
      <c r="BD180" t="n">
        <v>983.029</v>
      </c>
      <c r="BE180" t="n">
        <v>1187.557</v>
      </c>
      <c r="BF180" t="n">
        <v>1115.337</v>
      </c>
      <c r="BG180" t="n">
        <v>1719.079</v>
      </c>
      <c r="BH180" t="n">
        <v>1241.963</v>
      </c>
      <c r="BI180" t="n">
        <v>1711.089</v>
      </c>
      <c r="BJ180" t="n">
        <v>1179.232</v>
      </c>
      <c r="BK180" t="n">
        <v>1228.33</v>
      </c>
      <c r="BL180" t="n">
        <v>1060.571</v>
      </c>
      <c r="BM180" t="n">
        <v>963.676</v>
      </c>
      <c r="BN180" t="n">
        <v>968.2190000000001</v>
      </c>
      <c r="BO180" t="n">
        <v>1240.45</v>
      </c>
      <c r="BP180" t="n">
        <v>797.582</v>
      </c>
      <c r="BQ180" t="n">
        <v>1298.048</v>
      </c>
      <c r="BR180" t="n">
        <v>2163.059</v>
      </c>
      <c r="BS180" t="n">
        <v>2362.141</v>
      </c>
      <c r="BT180" t="n">
        <v>1502.567</v>
      </c>
      <c r="BU180" t="n">
        <v>2600.764</v>
      </c>
      <c r="BV180" t="n">
        <v>2170.964</v>
      </c>
    </row>
    <row r="181">
      <c r="A181" t="inlineStr">
        <is>
          <t>Catostylus perezi</t>
        </is>
      </c>
      <c r="B181" t="inlineStr">
        <is>
          <t>Banana jellyfish</t>
        </is>
      </c>
      <c r="C181" t="inlineStr">
        <is>
          <t>Jellyfish</t>
        </is>
      </c>
      <c r="D181" t="inlineStr">
        <is>
          <t>Other fishes &amp; inverts</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2014.388</v>
      </c>
      <c r="BK181" t="n">
        <v>1673.257</v>
      </c>
      <c r="BL181" t="n">
        <v>1861.927</v>
      </c>
      <c r="BM181" t="n">
        <v>1144.409</v>
      </c>
      <c r="BN181" t="n">
        <v>1101.529</v>
      </c>
      <c r="BO181" t="n">
        <v>6098.431</v>
      </c>
      <c r="BP181" t="n">
        <v>4310.829</v>
      </c>
      <c r="BQ181" t="n">
        <v>5391.683</v>
      </c>
      <c r="BR181" t="n">
        <v>5770.369</v>
      </c>
      <c r="BS181" t="n">
        <v>6239.578</v>
      </c>
      <c r="BT181" t="n">
        <v>6352.971</v>
      </c>
      <c r="BU181" t="n">
        <v>6462.552</v>
      </c>
      <c r="BV181" t="n">
        <v>6462.552</v>
      </c>
    </row>
    <row r="182">
      <c r="A182" t="inlineStr">
        <is>
          <t>Gnathanodon speciosus</t>
        </is>
      </c>
      <c r="B182" t="inlineStr">
        <is>
          <t>Golden trevally</t>
        </is>
      </c>
      <c r="C182" t="inlineStr">
        <is>
          <t>Large reef assoc. fish (&gt;=90 cm)</t>
        </is>
      </c>
      <c r="D182" t="inlineStr">
        <is>
          <t>Perch-likes</t>
        </is>
      </c>
      <c r="E182" t="n">
        <v>190.77</v>
      </c>
      <c r="F182" t="n">
        <v>191.764</v>
      </c>
      <c r="G182" t="n">
        <v>208.332</v>
      </c>
      <c r="H182" t="n">
        <v>200.403</v>
      </c>
      <c r="I182" t="n">
        <v>210.146</v>
      </c>
      <c r="J182" t="n">
        <v>211.013</v>
      </c>
      <c r="K182" t="n">
        <v>216.046</v>
      </c>
      <c r="L182" t="n">
        <v>240.009</v>
      </c>
      <c r="M182" t="n">
        <v>241.395</v>
      </c>
      <c r="N182" t="n">
        <v>261.491</v>
      </c>
      <c r="O182" t="n">
        <v>262.817</v>
      </c>
      <c r="P182" t="n">
        <v>361.032</v>
      </c>
      <c r="Q182" t="n">
        <v>399.033</v>
      </c>
      <c r="R182" t="n">
        <v>418.898</v>
      </c>
      <c r="S182" t="n">
        <v>372.431</v>
      </c>
      <c r="T182" t="n">
        <v>349.02</v>
      </c>
      <c r="U182" t="n">
        <v>367.798</v>
      </c>
      <c r="V182" t="n">
        <v>312.753</v>
      </c>
      <c r="W182" t="n">
        <v>279.97</v>
      </c>
      <c r="X182" t="n">
        <v>267.269</v>
      </c>
      <c r="Y182" t="n">
        <v>282.001</v>
      </c>
      <c r="Z182" t="n">
        <v>304.927</v>
      </c>
      <c r="AA182" t="n">
        <v>302.719</v>
      </c>
      <c r="AB182" t="n">
        <v>378.659</v>
      </c>
      <c r="AC182" t="n">
        <v>300.797</v>
      </c>
      <c r="AD182" t="n">
        <v>279.65</v>
      </c>
      <c r="AE182" t="n">
        <v>289.675</v>
      </c>
      <c r="AF182" t="n">
        <v>287.425</v>
      </c>
      <c r="AG182" t="n">
        <v>347.661</v>
      </c>
      <c r="AH182" t="n">
        <v>374.303</v>
      </c>
      <c r="AI182" t="n">
        <v>409.717</v>
      </c>
      <c r="AJ182" t="n">
        <v>451.551</v>
      </c>
      <c r="AK182" t="n">
        <v>396.227</v>
      </c>
      <c r="AL182" t="n">
        <v>662.538</v>
      </c>
      <c r="AM182" t="n">
        <v>861.277</v>
      </c>
      <c r="AN182" t="n">
        <v>869.1420000000001</v>
      </c>
      <c r="AO182" t="n">
        <v>820.583</v>
      </c>
      <c r="AP182" t="n">
        <v>990.318</v>
      </c>
      <c r="AQ182" t="n">
        <v>904.521</v>
      </c>
      <c r="AR182" t="n">
        <v>934.501</v>
      </c>
      <c r="AS182" t="n">
        <v>1100.811</v>
      </c>
      <c r="AT182" t="n">
        <v>700.284</v>
      </c>
      <c r="AU182" t="n">
        <v>1046.954</v>
      </c>
      <c r="AV182" t="n">
        <v>1033.276</v>
      </c>
      <c r="AW182" t="n">
        <v>1133.711</v>
      </c>
      <c r="AX182" t="n">
        <v>1133.569</v>
      </c>
      <c r="AY182" t="n">
        <v>996.942</v>
      </c>
      <c r="AZ182" t="n">
        <v>1167.181</v>
      </c>
      <c r="BA182" t="n">
        <v>1166.33</v>
      </c>
      <c r="BB182" t="n">
        <v>1079.822</v>
      </c>
      <c r="BC182" t="n">
        <v>827.313</v>
      </c>
      <c r="BD182" t="n">
        <v>1320.498</v>
      </c>
      <c r="BE182" t="n">
        <v>1373.985</v>
      </c>
      <c r="BF182" t="n">
        <v>2040.764</v>
      </c>
      <c r="BG182" t="n">
        <v>1333.117</v>
      </c>
      <c r="BH182" t="n">
        <v>1628.665</v>
      </c>
      <c r="BI182" t="n">
        <v>1953.296</v>
      </c>
      <c r="BJ182" t="n">
        <v>972.9450000000001</v>
      </c>
      <c r="BK182" t="n">
        <v>1058.03</v>
      </c>
      <c r="BL182" t="n">
        <v>991.803</v>
      </c>
      <c r="BM182" t="n">
        <v>888.3390000000001</v>
      </c>
      <c r="BN182" t="n">
        <v>851.0069999999999</v>
      </c>
      <c r="BO182" t="n">
        <v>840.803</v>
      </c>
      <c r="BP182" t="n">
        <v>1058.324</v>
      </c>
      <c r="BQ182" t="n">
        <v>1643.479</v>
      </c>
      <c r="BR182" t="n">
        <v>1824.029</v>
      </c>
      <c r="BS182" t="n">
        <v>1762.683</v>
      </c>
      <c r="BT182" t="n">
        <v>1805.782</v>
      </c>
      <c r="BU182" t="n">
        <v>1885.805</v>
      </c>
      <c r="BV182" t="n">
        <v>2052.273</v>
      </c>
    </row>
    <row r="183">
      <c r="A183" t="inlineStr">
        <is>
          <t>Carcharhinus melanopterus</t>
        </is>
      </c>
      <c r="B183" t="inlineStr">
        <is>
          <t>Blacktip reef shark</t>
        </is>
      </c>
      <c r="C183" t="inlineStr">
        <is>
          <t>Large sharks (&gt;=90 cm)</t>
        </is>
      </c>
      <c r="D183" t="inlineStr">
        <is>
          <t>Sharks &amp; rays</t>
        </is>
      </c>
      <c r="E183" t="n">
        <v>171.278</v>
      </c>
      <c r="F183" t="n">
        <v>172.616</v>
      </c>
      <c r="G183" t="n">
        <v>173.963</v>
      </c>
      <c r="H183" t="n">
        <v>175.321</v>
      </c>
      <c r="I183" t="n">
        <v>176.69</v>
      </c>
      <c r="J183" t="n">
        <v>178.069</v>
      </c>
      <c r="K183" t="n">
        <v>179.459</v>
      </c>
      <c r="L183" t="n">
        <v>180.86</v>
      </c>
      <c r="M183" t="n">
        <v>182.272</v>
      </c>
      <c r="N183" t="n">
        <v>183.696</v>
      </c>
      <c r="O183" t="n">
        <v>186.534</v>
      </c>
      <c r="P183" t="n">
        <v>189.429</v>
      </c>
      <c r="Q183" t="n">
        <v>192.355</v>
      </c>
      <c r="R183" t="n">
        <v>203.892</v>
      </c>
      <c r="S183" t="n">
        <v>215.042</v>
      </c>
      <c r="T183" t="n">
        <v>229.099</v>
      </c>
      <c r="U183" t="n">
        <v>241.168</v>
      </c>
      <c r="V183" t="n">
        <v>253.676</v>
      </c>
      <c r="W183" t="n">
        <v>267.478</v>
      </c>
      <c r="X183" t="n">
        <v>281.749</v>
      </c>
      <c r="Y183" t="n">
        <v>296.375</v>
      </c>
      <c r="Z183" t="n">
        <v>312.21</v>
      </c>
      <c r="AA183" t="n">
        <v>331.604</v>
      </c>
      <c r="AB183" t="n">
        <v>344.616</v>
      </c>
      <c r="AC183" t="n">
        <v>368.304</v>
      </c>
      <c r="AD183" t="n">
        <v>387.061</v>
      </c>
      <c r="AE183" t="n">
        <v>403.202</v>
      </c>
      <c r="AF183" t="n">
        <v>431.364</v>
      </c>
      <c r="AG183" t="n">
        <v>434.18</v>
      </c>
      <c r="AH183" t="n">
        <v>448.796</v>
      </c>
      <c r="AI183" t="n">
        <v>465.752</v>
      </c>
      <c r="AJ183" t="n">
        <v>467.621</v>
      </c>
      <c r="AK183" t="n">
        <v>481.775</v>
      </c>
      <c r="AL183" t="n">
        <v>511.126</v>
      </c>
      <c r="AM183" t="n">
        <v>560.599</v>
      </c>
      <c r="AN183" t="n">
        <v>559.477</v>
      </c>
      <c r="AO183" t="n">
        <v>625.9690000000001</v>
      </c>
      <c r="AP183" t="n">
        <v>637.046</v>
      </c>
      <c r="AQ183" t="n">
        <v>682.5890000000001</v>
      </c>
      <c r="AR183" t="n">
        <v>634.0839999999999</v>
      </c>
      <c r="AS183" t="n">
        <v>599.477</v>
      </c>
      <c r="AT183" t="n">
        <v>579.176</v>
      </c>
      <c r="AU183" t="n">
        <v>571.874</v>
      </c>
      <c r="AV183" t="n">
        <v>564.399</v>
      </c>
      <c r="AW183" t="n">
        <v>552.1609999999999</v>
      </c>
      <c r="AX183" t="n">
        <v>534.3390000000001</v>
      </c>
      <c r="AY183" t="n">
        <v>716.446</v>
      </c>
      <c r="AZ183" t="n">
        <v>878.346</v>
      </c>
      <c r="BA183" t="n">
        <v>1035.556</v>
      </c>
      <c r="BB183" t="n">
        <v>1193.04</v>
      </c>
      <c r="BC183" t="n">
        <v>1348.62</v>
      </c>
      <c r="BD183" t="n">
        <v>1468.207</v>
      </c>
      <c r="BE183" t="n">
        <v>1581.968</v>
      </c>
      <c r="BF183" t="n">
        <v>1699.515</v>
      </c>
      <c r="BG183" t="n">
        <v>1677.818</v>
      </c>
      <c r="BH183" t="n">
        <v>1304.43</v>
      </c>
      <c r="BI183" t="n">
        <v>1392.781</v>
      </c>
      <c r="BJ183" t="n">
        <v>1450.365</v>
      </c>
      <c r="BK183" t="n">
        <v>1544.948</v>
      </c>
      <c r="BL183" t="n">
        <v>1629.49</v>
      </c>
      <c r="BM183" t="n">
        <v>1695.223</v>
      </c>
      <c r="BN183" t="n">
        <v>1712.34</v>
      </c>
      <c r="BO183" t="n">
        <v>1728.755</v>
      </c>
      <c r="BP183" t="n">
        <v>1744.726</v>
      </c>
      <c r="BQ183" t="n">
        <v>1759.739</v>
      </c>
      <c r="BR183" t="n">
        <v>1783.187</v>
      </c>
      <c r="BS183" t="n">
        <v>1787.571</v>
      </c>
      <c r="BT183" t="n">
        <v>1814.042</v>
      </c>
      <c r="BU183" t="n">
        <v>1843.111</v>
      </c>
      <c r="BV183" t="n">
        <v>1855.897</v>
      </c>
    </row>
    <row r="184">
      <c r="A184" t="inlineStr">
        <is>
          <t>Tetraodontidae</t>
        </is>
      </c>
      <c r="B184" t="inlineStr">
        <is>
          <t>Puffers, tobies</t>
        </is>
      </c>
      <c r="C184" t="inlineStr">
        <is>
          <t>Large reef assoc. fish (&gt;=90 cm)</t>
        </is>
      </c>
      <c r="D184" t="inlineStr">
        <is>
          <t>Other fishes &amp; inverts</t>
        </is>
      </c>
      <c r="E184" t="n">
        <v>214.56</v>
      </c>
      <c r="F184" t="n">
        <v>215.787</v>
      </c>
      <c r="G184" t="n">
        <v>214.167</v>
      </c>
      <c r="H184" t="n">
        <v>215.291</v>
      </c>
      <c r="I184" t="n">
        <v>216.376</v>
      </c>
      <c r="J184" t="n">
        <v>217.423</v>
      </c>
      <c r="K184" t="n">
        <v>218.122</v>
      </c>
      <c r="L184" t="n">
        <v>220.465</v>
      </c>
      <c r="M184" t="n">
        <v>222.201</v>
      </c>
      <c r="N184" t="n">
        <v>225.285</v>
      </c>
      <c r="O184" t="n">
        <v>226.938</v>
      </c>
      <c r="P184" t="n">
        <v>229.096</v>
      </c>
      <c r="Q184" t="n">
        <v>231.205</v>
      </c>
      <c r="R184" t="n">
        <v>234.659</v>
      </c>
      <c r="S184" t="n">
        <v>237.228</v>
      </c>
      <c r="T184" t="n">
        <v>237.085</v>
      </c>
      <c r="U184" t="n">
        <v>237.931</v>
      </c>
      <c r="V184" t="n">
        <v>267.094</v>
      </c>
      <c r="W184" t="n">
        <v>294.758</v>
      </c>
      <c r="X184" t="n">
        <v>327.978</v>
      </c>
      <c r="Y184" t="n">
        <v>508.326</v>
      </c>
      <c r="Z184" t="n">
        <v>541.013</v>
      </c>
      <c r="AA184" t="n">
        <v>643.312</v>
      </c>
      <c r="AB184" t="n">
        <v>829.0940000000001</v>
      </c>
      <c r="AC184" t="n">
        <v>935.985</v>
      </c>
      <c r="AD184" t="n">
        <v>987.5</v>
      </c>
      <c r="AE184" t="n">
        <v>1181.364</v>
      </c>
      <c r="AF184" t="n">
        <v>1343.324</v>
      </c>
      <c r="AG184" t="n">
        <v>1087.777</v>
      </c>
      <c r="AH184" t="n">
        <v>1268.971</v>
      </c>
      <c r="AI184" t="n">
        <v>1604.46</v>
      </c>
      <c r="AJ184" t="n">
        <v>1507.205</v>
      </c>
      <c r="AK184" t="n">
        <v>1257.288</v>
      </c>
      <c r="AL184" t="n">
        <v>1354.528</v>
      </c>
      <c r="AM184" t="n">
        <v>1575.524</v>
      </c>
      <c r="AN184" t="n">
        <v>1824.03</v>
      </c>
      <c r="AO184" t="n">
        <v>1975.778</v>
      </c>
      <c r="AP184" t="n">
        <v>1807.668</v>
      </c>
      <c r="AQ184" t="n">
        <v>1545.894</v>
      </c>
      <c r="AR184" t="n">
        <v>1443.827</v>
      </c>
      <c r="AS184" t="n">
        <v>596.8049999999999</v>
      </c>
      <c r="AT184" t="n">
        <v>1286.799</v>
      </c>
      <c r="AU184" t="n">
        <v>913.062</v>
      </c>
      <c r="AV184" t="n">
        <v>763.379</v>
      </c>
      <c r="AW184" t="n">
        <v>898.027</v>
      </c>
      <c r="AX184" t="n">
        <v>768.771</v>
      </c>
      <c r="AY184" t="n">
        <v>863.39</v>
      </c>
      <c r="AZ184" t="n">
        <v>1224.316</v>
      </c>
      <c r="BA184" t="n">
        <v>1466.23</v>
      </c>
      <c r="BB184" t="n">
        <v>1438.569</v>
      </c>
      <c r="BC184" t="n">
        <v>1299.239</v>
      </c>
      <c r="BD184" t="n">
        <v>1374.432</v>
      </c>
      <c r="BE184" t="n">
        <v>1416.036</v>
      </c>
      <c r="BF184" t="n">
        <v>1089.916</v>
      </c>
      <c r="BG184" t="n">
        <v>997.14</v>
      </c>
      <c r="BH184" t="n">
        <v>749.829</v>
      </c>
      <c r="BI184" t="n">
        <v>538.857</v>
      </c>
      <c r="BJ184" t="n">
        <v>556.853</v>
      </c>
      <c r="BK184" t="n">
        <v>366.03</v>
      </c>
      <c r="BL184" t="n">
        <v>444.388</v>
      </c>
      <c r="BM184" t="n">
        <v>320.173</v>
      </c>
      <c r="BN184" t="n">
        <v>378.205</v>
      </c>
      <c r="BO184" t="n">
        <v>456.413</v>
      </c>
      <c r="BP184" t="n">
        <v>402.142</v>
      </c>
      <c r="BQ184" t="n">
        <v>505.754</v>
      </c>
      <c r="BR184" t="n">
        <v>602.848</v>
      </c>
      <c r="BS184" t="n">
        <v>301.284</v>
      </c>
      <c r="BT184" t="n">
        <v>407.578</v>
      </c>
      <c r="BU184" t="n">
        <v>399.494</v>
      </c>
      <c r="BV184" t="n">
        <v>450.473</v>
      </c>
    </row>
    <row r="185">
      <c r="A185" t="inlineStr">
        <is>
          <t>Rhabdosargus haffara</t>
        </is>
      </c>
      <c r="B185" t="inlineStr">
        <is>
          <t>Haffara seabream</t>
        </is>
      </c>
      <c r="C185" t="inlineStr">
        <is>
          <t>Medium reef assoc. fish (30 - 89 cm)</t>
        </is>
      </c>
      <c r="D185" t="inlineStr">
        <is>
          <t>Perch-likes</t>
        </is>
      </c>
      <c r="E185" t="n">
        <v>52.468</v>
      </c>
      <c r="F185" t="n">
        <v>52.468</v>
      </c>
      <c r="G185" t="n">
        <v>86.27500000000001</v>
      </c>
      <c r="H185" t="n">
        <v>69.723</v>
      </c>
      <c r="I185" t="n">
        <v>86.27500000000001</v>
      </c>
      <c r="J185" t="n">
        <v>86.27500000000001</v>
      </c>
      <c r="K185" t="n">
        <v>94.551</v>
      </c>
      <c r="L185" t="n">
        <v>136.634</v>
      </c>
      <c r="M185" t="n">
        <v>136.634</v>
      </c>
      <c r="N185" t="n">
        <v>169.738</v>
      </c>
      <c r="O185" t="n">
        <v>171.144</v>
      </c>
      <c r="P185" t="n">
        <v>351.654</v>
      </c>
      <c r="Q185" t="n">
        <v>419.423</v>
      </c>
      <c r="R185" t="n">
        <v>450.682</v>
      </c>
      <c r="S185" t="n">
        <v>359.381</v>
      </c>
      <c r="T185" t="n">
        <v>303.422</v>
      </c>
      <c r="U185" t="n">
        <v>316.41</v>
      </c>
      <c r="V185" t="n">
        <v>221.677</v>
      </c>
      <c r="W185" t="n">
        <v>159.71</v>
      </c>
      <c r="X185" t="n">
        <v>153.887</v>
      </c>
      <c r="Y185" t="n">
        <v>168.753</v>
      </c>
      <c r="Z185" t="n">
        <v>213.034</v>
      </c>
      <c r="AA185" t="n">
        <v>214.382</v>
      </c>
      <c r="AB185" t="n">
        <v>252.967</v>
      </c>
      <c r="AC185" t="n">
        <v>255.355</v>
      </c>
      <c r="AD185" t="n">
        <v>200.288</v>
      </c>
      <c r="AE185" t="n">
        <v>199.506</v>
      </c>
      <c r="AF185" t="n">
        <v>191.174</v>
      </c>
      <c r="AG185" t="n">
        <v>292.227</v>
      </c>
      <c r="AH185" t="n">
        <v>353.29</v>
      </c>
      <c r="AI185" t="n">
        <v>415.612</v>
      </c>
      <c r="AJ185" t="n">
        <v>497.664</v>
      </c>
      <c r="AK185" t="n">
        <v>469.926</v>
      </c>
      <c r="AL185" t="n">
        <v>562.598</v>
      </c>
      <c r="AM185" t="n">
        <v>605.226</v>
      </c>
      <c r="AN185" t="n">
        <v>562.625</v>
      </c>
      <c r="AO185" t="n">
        <v>634.568</v>
      </c>
      <c r="AP185" t="n">
        <v>450.113</v>
      </c>
      <c r="AQ185" t="n">
        <v>397.157</v>
      </c>
      <c r="AR185" t="n">
        <v>488.935</v>
      </c>
      <c r="AS185" t="n">
        <v>387.43</v>
      </c>
      <c r="AT185" t="n">
        <v>404.409</v>
      </c>
      <c r="AU185" t="n">
        <v>591.47</v>
      </c>
      <c r="AV185" t="n">
        <v>511.396</v>
      </c>
      <c r="AW185" t="n">
        <v>677.822</v>
      </c>
      <c r="AX185" t="n">
        <v>807.249</v>
      </c>
      <c r="AY185" t="n">
        <v>869.005</v>
      </c>
      <c r="AZ185" t="n">
        <v>865.826</v>
      </c>
      <c r="BA185" t="n">
        <v>1077.708</v>
      </c>
      <c r="BB185" t="n">
        <v>969.529</v>
      </c>
      <c r="BC185" t="n">
        <v>936.556</v>
      </c>
      <c r="BD185" t="n">
        <v>991.2809999999999</v>
      </c>
      <c r="BE185" t="n">
        <v>1181.271</v>
      </c>
      <c r="BF185" t="n">
        <v>1353.574</v>
      </c>
      <c r="BG185" t="n">
        <v>1434.913</v>
      </c>
      <c r="BH185" t="n">
        <v>1317.111</v>
      </c>
      <c r="BI185" t="n">
        <v>1641.753</v>
      </c>
      <c r="BJ185" t="n">
        <v>1769.352</v>
      </c>
      <c r="BK185" t="n">
        <v>1705.93</v>
      </c>
      <c r="BL185" t="n">
        <v>1816.017</v>
      </c>
      <c r="BM185" t="n">
        <v>1578.57</v>
      </c>
      <c r="BN185" t="n">
        <v>1574.472</v>
      </c>
      <c r="BO185" t="n">
        <v>1746.501</v>
      </c>
      <c r="BP185" t="n">
        <v>1777.759</v>
      </c>
      <c r="BQ185" t="n">
        <v>1799.581</v>
      </c>
      <c r="BR185" t="n">
        <v>1773.744</v>
      </c>
      <c r="BS185" t="n">
        <v>1772.659</v>
      </c>
      <c r="BT185" t="n">
        <v>2481.301</v>
      </c>
      <c r="BU185" t="n">
        <v>2504.076</v>
      </c>
      <c r="BV185" t="n">
        <v>2798.72</v>
      </c>
    </row>
    <row r="186">
      <c r="A186" t="inlineStr">
        <is>
          <t>Gerres</t>
        </is>
      </c>
      <c r="B186" t="inlineStr">
        <is>
          <t>Silver biddies</t>
        </is>
      </c>
      <c r="C186" t="inlineStr">
        <is>
          <t>Small benthopelagics (&lt;30 cm)</t>
        </is>
      </c>
      <c r="D186" t="inlineStr">
        <is>
          <t>Perch-likes</t>
        </is>
      </c>
      <c r="E186" t="n">
        <v>257.384</v>
      </c>
      <c r="F186" t="n">
        <v>258.84</v>
      </c>
      <c r="G186" t="n">
        <v>258.755</v>
      </c>
      <c r="H186" t="n">
        <v>259.17</v>
      </c>
      <c r="I186" t="n">
        <v>261.377</v>
      </c>
      <c r="J186" t="n">
        <v>262.62</v>
      </c>
      <c r="K186" t="n">
        <v>263.909</v>
      </c>
      <c r="L186" t="n">
        <v>268.986</v>
      </c>
      <c r="M186" t="n">
        <v>271.045</v>
      </c>
      <c r="N186" t="n">
        <v>276.543</v>
      </c>
      <c r="O186" t="n">
        <v>278.502</v>
      </c>
      <c r="P186" t="n">
        <v>291.076</v>
      </c>
      <c r="Q186" t="n">
        <v>305.16</v>
      </c>
      <c r="R186" t="n">
        <v>380.375</v>
      </c>
      <c r="S186" t="n">
        <v>405.037</v>
      </c>
      <c r="T186" t="n">
        <v>788.24</v>
      </c>
      <c r="U186" t="n">
        <v>969.761</v>
      </c>
      <c r="V186" t="n">
        <v>1962.413</v>
      </c>
      <c r="W186" t="n">
        <v>1985.972</v>
      </c>
      <c r="X186" t="n">
        <v>1982.029</v>
      </c>
      <c r="Y186" t="n">
        <v>1873.761</v>
      </c>
      <c r="Z186" t="n">
        <v>1689.881</v>
      </c>
      <c r="AA186" t="n">
        <v>1966.998</v>
      </c>
      <c r="AB186" t="n">
        <v>2239.719</v>
      </c>
      <c r="AC186" t="n">
        <v>1432.946</v>
      </c>
      <c r="AD186" t="n">
        <v>1491.524</v>
      </c>
      <c r="AE186" t="n">
        <v>1557.157</v>
      </c>
      <c r="AF186" t="n">
        <v>1607.976</v>
      </c>
      <c r="AG186" t="n">
        <v>1059.936</v>
      </c>
      <c r="AH186" t="n">
        <v>435.448</v>
      </c>
      <c r="AI186" t="n">
        <v>372.806</v>
      </c>
      <c r="AJ186" t="n">
        <v>483.4</v>
      </c>
      <c r="AK186" t="n">
        <v>850.8440000000001</v>
      </c>
      <c r="AL186" t="n">
        <v>888.486</v>
      </c>
      <c r="AM186" t="n">
        <v>984.9299999999999</v>
      </c>
      <c r="AN186" t="n">
        <v>1077.556</v>
      </c>
      <c r="AO186" t="n">
        <v>1070.51</v>
      </c>
      <c r="AP186" t="n">
        <v>767.809</v>
      </c>
      <c r="AQ186" t="n">
        <v>833.634</v>
      </c>
      <c r="AR186" t="n">
        <v>864.761</v>
      </c>
      <c r="AS186" t="n">
        <v>657.0940000000001</v>
      </c>
      <c r="AT186" t="n">
        <v>579.8819999999999</v>
      </c>
      <c r="AU186" t="n">
        <v>730.568</v>
      </c>
      <c r="AV186" t="n">
        <v>706.221</v>
      </c>
      <c r="AW186" t="n">
        <v>681.117</v>
      </c>
      <c r="AX186" t="n">
        <v>651.2809999999999</v>
      </c>
      <c r="AY186" t="n">
        <v>782.586</v>
      </c>
      <c r="AZ186" t="n">
        <v>898.827</v>
      </c>
      <c r="BA186" t="n">
        <v>708.302</v>
      </c>
      <c r="BB186" t="n">
        <v>547.716</v>
      </c>
      <c r="BC186" t="n">
        <v>563.274</v>
      </c>
      <c r="BD186" t="n">
        <v>452.645</v>
      </c>
      <c r="BE186" t="n">
        <v>536.908</v>
      </c>
      <c r="BF186" t="n">
        <v>331.588</v>
      </c>
      <c r="BG186" t="n">
        <v>288.83</v>
      </c>
      <c r="BH186" t="n">
        <v>264.858</v>
      </c>
      <c r="BI186" t="n">
        <v>235.193</v>
      </c>
      <c r="BJ186" t="n">
        <v>235.39</v>
      </c>
      <c r="BK186" t="n">
        <v>210.717</v>
      </c>
      <c r="BL186" t="n">
        <v>203.14</v>
      </c>
      <c r="BM186" t="n">
        <v>171.918</v>
      </c>
      <c r="BN186" t="n">
        <v>206.473</v>
      </c>
      <c r="BO186" t="n">
        <v>195.058</v>
      </c>
      <c r="BP186" t="n">
        <v>205.458</v>
      </c>
      <c r="BQ186" t="n">
        <v>208.461</v>
      </c>
      <c r="BR186" t="n">
        <v>206.96</v>
      </c>
      <c r="BS186" t="n">
        <v>207.314</v>
      </c>
      <c r="BT186" t="n">
        <v>224.489</v>
      </c>
      <c r="BU186" t="n">
        <v>236.264</v>
      </c>
      <c r="BV186" t="n">
        <v>225.111</v>
      </c>
    </row>
    <row r="187">
      <c r="A187" t="inlineStr">
        <is>
          <t>Platycephalidae</t>
        </is>
      </c>
      <c r="B187" t="inlineStr">
        <is>
          <t>Flatheads</t>
        </is>
      </c>
      <c r="C187" t="inlineStr">
        <is>
          <t>Medium demersals (30 - 89 cm)</t>
        </is>
      </c>
      <c r="D187" t="inlineStr">
        <is>
          <t>Scorpionfishes</t>
        </is>
      </c>
      <c r="E187" t="n">
        <v>0.001</v>
      </c>
      <c r="F187" t="n">
        <v>0.001</v>
      </c>
      <c r="G187" t="n">
        <v>0.001</v>
      </c>
      <c r="H187" t="n">
        <v>0.001</v>
      </c>
      <c r="I187" t="n">
        <v>0.001</v>
      </c>
      <c r="J187" t="n">
        <v>0.001</v>
      </c>
      <c r="K187" t="n">
        <v>0.001</v>
      </c>
      <c r="L187" t="n">
        <v>0.001</v>
      </c>
      <c r="M187" t="n">
        <v>0.003</v>
      </c>
      <c r="N187" t="n">
        <v>0.003</v>
      </c>
      <c r="O187" t="n">
        <v>0.006</v>
      </c>
      <c r="P187" t="n">
        <v>0.012</v>
      </c>
      <c r="Q187" t="n">
        <v>3.913</v>
      </c>
      <c r="R187" t="n">
        <v>38.518</v>
      </c>
      <c r="S187" t="n">
        <v>51.814</v>
      </c>
      <c r="T187" t="n">
        <v>265.94</v>
      </c>
      <c r="U187" t="n">
        <v>364.593</v>
      </c>
      <c r="V187" t="n">
        <v>912.713</v>
      </c>
      <c r="W187" t="n">
        <v>982.708</v>
      </c>
      <c r="X187" t="n">
        <v>1039.764</v>
      </c>
      <c r="Y187" t="n">
        <v>1027.72</v>
      </c>
      <c r="Z187" t="n">
        <v>969.991</v>
      </c>
      <c r="AA187" t="n">
        <v>1213.048</v>
      </c>
      <c r="AB187" t="n">
        <v>1381.286</v>
      </c>
      <c r="AC187" t="n">
        <v>1137.503</v>
      </c>
      <c r="AD187" t="n">
        <v>1210.862</v>
      </c>
      <c r="AE187" t="n">
        <v>1424.548</v>
      </c>
      <c r="AF187" t="n">
        <v>1618.133</v>
      </c>
      <c r="AG187" t="n">
        <v>1353.416</v>
      </c>
      <c r="AH187" t="n">
        <v>1155.806</v>
      </c>
      <c r="AI187" t="n">
        <v>1479.944</v>
      </c>
      <c r="AJ187" t="n">
        <v>1481.554</v>
      </c>
      <c r="AK187" t="n">
        <v>1503.378</v>
      </c>
      <c r="AL187" t="n">
        <v>1590.221</v>
      </c>
      <c r="AM187" t="n">
        <v>1851.587</v>
      </c>
      <c r="AN187" t="n">
        <v>2155.818</v>
      </c>
      <c r="AO187" t="n">
        <v>2357.568</v>
      </c>
      <c r="AP187" t="n">
        <v>2034.098</v>
      </c>
      <c r="AQ187" t="n">
        <v>1759.451</v>
      </c>
      <c r="AR187" t="n">
        <v>1670.187</v>
      </c>
      <c r="AS187" t="n">
        <v>769.933</v>
      </c>
      <c r="AT187" t="n">
        <v>771.519</v>
      </c>
      <c r="AU187" t="n">
        <v>588.444</v>
      </c>
      <c r="AV187" t="n">
        <v>723.597</v>
      </c>
      <c r="AW187" t="n">
        <v>547.309</v>
      </c>
      <c r="AX187" t="n">
        <v>523.246</v>
      </c>
      <c r="AY187" t="n">
        <v>673.578</v>
      </c>
      <c r="AZ187" t="n">
        <v>711.6559999999999</v>
      </c>
      <c r="BA187" t="n">
        <v>969.1660000000001</v>
      </c>
      <c r="BB187" t="n">
        <v>864.5</v>
      </c>
      <c r="BC187" t="n">
        <v>806.699</v>
      </c>
      <c r="BD187" t="n">
        <v>886.263</v>
      </c>
      <c r="BE187" t="n">
        <v>1023.479</v>
      </c>
      <c r="BF187" t="n">
        <v>725.9589999999999</v>
      </c>
      <c r="BG187" t="n">
        <v>634.936</v>
      </c>
      <c r="BH187" t="n">
        <v>449.076</v>
      </c>
      <c r="BI187" t="n">
        <v>264.292</v>
      </c>
      <c r="BJ187" t="n">
        <v>331.946</v>
      </c>
      <c r="BK187" t="n">
        <v>111.955</v>
      </c>
      <c r="BL187" t="n">
        <v>128.242</v>
      </c>
      <c r="BM187" t="n">
        <v>108.715</v>
      </c>
      <c r="BN187" t="n">
        <v>110.733</v>
      </c>
      <c r="BO187" t="n">
        <v>136.506</v>
      </c>
      <c r="BP187" t="n">
        <v>150.142</v>
      </c>
      <c r="BQ187" t="n">
        <v>135.601</v>
      </c>
      <c r="BR187" t="n">
        <v>114.702</v>
      </c>
      <c r="BS187" t="n">
        <v>109.803</v>
      </c>
      <c r="BT187" t="n">
        <v>99.17400000000001</v>
      </c>
      <c r="BU187" t="n">
        <v>98.339</v>
      </c>
      <c r="BV187" t="n">
        <v>98.333</v>
      </c>
    </row>
    <row r="188">
      <c r="A188" t="inlineStr">
        <is>
          <t>Cephea</t>
        </is>
      </c>
      <c r="B188" t="inlineStr">
        <is>
          <t>Cepheid jellyfishes</t>
        </is>
      </c>
      <c r="C188" t="inlineStr">
        <is>
          <t>Jellyfish</t>
        </is>
      </c>
      <c r="D188" t="inlineStr">
        <is>
          <t>Other fishes &amp; inverts</t>
        </is>
      </c>
      <c r="E188" t="n">
        <v>0</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89.654</v>
      </c>
      <c r="AH188" t="n">
        <v>99.218</v>
      </c>
      <c r="AI188" t="n">
        <v>3.835</v>
      </c>
      <c r="AJ188" t="n">
        <v>535.379</v>
      </c>
      <c r="AK188" t="n">
        <v>1640.387</v>
      </c>
      <c r="AL188" t="n">
        <v>951.034</v>
      </c>
      <c r="AM188" t="n">
        <v>147.212</v>
      </c>
      <c r="AN188" t="n">
        <v>765.6130000000001</v>
      </c>
      <c r="AO188" t="n">
        <v>1852.576</v>
      </c>
      <c r="AP188" t="n">
        <v>904.741</v>
      </c>
      <c r="AQ188" t="n">
        <v>0</v>
      </c>
      <c r="AR188" t="n">
        <v>0</v>
      </c>
      <c r="AS188" t="n">
        <v>0</v>
      </c>
      <c r="AT188" t="n">
        <v>1.586</v>
      </c>
      <c r="AU188" t="n">
        <v>39.388</v>
      </c>
      <c r="AV188" t="n">
        <v>184.052</v>
      </c>
      <c r="AW188" t="n">
        <v>281.124</v>
      </c>
      <c r="AX188" t="n">
        <v>669.103</v>
      </c>
      <c r="AY188" t="n">
        <v>523.299</v>
      </c>
      <c r="AZ188" t="n">
        <v>807.17</v>
      </c>
      <c r="BA188" t="n">
        <v>221.454</v>
      </c>
      <c r="BB188" t="n">
        <v>2.144</v>
      </c>
      <c r="BC188" t="n">
        <v>48.815</v>
      </c>
      <c r="BD188" t="n">
        <v>38.24</v>
      </c>
      <c r="BE188" t="n">
        <v>0</v>
      </c>
      <c r="BF188" t="n">
        <v>0</v>
      </c>
      <c r="BG188" t="n">
        <v>0</v>
      </c>
      <c r="BH188" t="n">
        <v>1163.872</v>
      </c>
      <c r="BI188" t="n">
        <v>4364.941</v>
      </c>
      <c r="BJ188" t="n">
        <v>1.289</v>
      </c>
      <c r="BK188" t="n">
        <v>4041.045</v>
      </c>
      <c r="BL188" t="n">
        <v>3196.54</v>
      </c>
      <c r="BM188" t="n">
        <v>1117.997</v>
      </c>
      <c r="BN188" t="n">
        <v>3244.595</v>
      </c>
      <c r="BO188" t="n">
        <v>1543.157</v>
      </c>
      <c r="BP188" t="n">
        <v>4217.455</v>
      </c>
      <c r="BQ188" t="n">
        <v>2351.618</v>
      </c>
      <c r="BR188" t="n">
        <v>2608.922</v>
      </c>
      <c r="BS188" t="n">
        <v>1880.215</v>
      </c>
      <c r="BT188" t="n">
        <v>1971.015</v>
      </c>
      <c r="BU188" t="n">
        <v>1971.015</v>
      </c>
      <c r="BV188" t="n">
        <v>1971.015</v>
      </c>
    </row>
    <row r="189">
      <c r="A189" t="inlineStr">
        <is>
          <t>Panulirus polyphagus</t>
        </is>
      </c>
      <c r="B189" t="inlineStr">
        <is>
          <t>Mud spiny lobster</t>
        </is>
      </c>
      <c r="C189" t="inlineStr">
        <is>
          <t>Lobsters, crabs</t>
        </is>
      </c>
      <c r="D189" t="inlineStr">
        <is>
          <t>Crustaceans</t>
        </is>
      </c>
      <c r="E189" t="n">
        <v>112.91</v>
      </c>
      <c r="F189" t="n">
        <v>115.371</v>
      </c>
      <c r="G189" t="n">
        <v>119.613</v>
      </c>
      <c r="H189" t="n">
        <v>130.03</v>
      </c>
      <c r="I189" t="n">
        <v>133.122</v>
      </c>
      <c r="J189" t="n">
        <v>136.87</v>
      </c>
      <c r="K189" t="n">
        <v>139.533</v>
      </c>
      <c r="L189" t="n">
        <v>145.465</v>
      </c>
      <c r="M189" t="n">
        <v>144.744</v>
      </c>
      <c r="N189" t="n">
        <v>147.664</v>
      </c>
      <c r="O189" t="n">
        <v>153.854</v>
      </c>
      <c r="P189" t="n">
        <v>150.933</v>
      </c>
      <c r="Q189" t="n">
        <v>163.322</v>
      </c>
      <c r="R189" t="n">
        <v>166.69</v>
      </c>
      <c r="S189" t="n">
        <v>171.76</v>
      </c>
      <c r="T189" t="n">
        <v>177.141</v>
      </c>
      <c r="U189" t="n">
        <v>192.782</v>
      </c>
      <c r="V189" t="n">
        <v>194.482</v>
      </c>
      <c r="W189" t="n">
        <v>199.465</v>
      </c>
      <c r="X189" t="n">
        <v>207.062</v>
      </c>
      <c r="Y189" t="n">
        <v>497.878</v>
      </c>
      <c r="Z189" t="n">
        <v>511.766</v>
      </c>
      <c r="AA189" t="n">
        <v>570.033</v>
      </c>
      <c r="AB189" t="n">
        <v>693.994</v>
      </c>
      <c r="AC189" t="n">
        <v>746.364</v>
      </c>
      <c r="AD189" t="n">
        <v>713.914</v>
      </c>
      <c r="AE189" t="n">
        <v>648.622</v>
      </c>
      <c r="AF189" t="n">
        <v>804.788</v>
      </c>
      <c r="AG189" t="n">
        <v>291.556</v>
      </c>
      <c r="AH189" t="n">
        <v>395.917</v>
      </c>
      <c r="AI189" t="n">
        <v>318.774</v>
      </c>
      <c r="AJ189" t="n">
        <v>223.149</v>
      </c>
      <c r="AK189" t="n">
        <v>230.991</v>
      </c>
      <c r="AL189" t="n">
        <v>265.81</v>
      </c>
      <c r="AM189" t="n">
        <v>263.364</v>
      </c>
      <c r="AN189" t="n">
        <v>246.009</v>
      </c>
      <c r="AO189" t="n">
        <v>257.345</v>
      </c>
      <c r="AP189" t="n">
        <v>226.657</v>
      </c>
      <c r="AQ189" t="n">
        <v>220.809</v>
      </c>
      <c r="AR189" t="n">
        <v>219.903</v>
      </c>
      <c r="AS189" t="n">
        <v>156.535</v>
      </c>
      <c r="AT189" t="n">
        <v>1354.701</v>
      </c>
      <c r="AU189" t="n">
        <v>1194.511</v>
      </c>
      <c r="AV189" t="n">
        <v>771.5890000000001</v>
      </c>
      <c r="AW189" t="n">
        <v>970.799</v>
      </c>
      <c r="AX189" t="n">
        <v>517.812</v>
      </c>
      <c r="AY189" t="n">
        <v>566.304</v>
      </c>
      <c r="AZ189" t="n">
        <v>672.143</v>
      </c>
      <c r="BA189" t="n">
        <v>968.402</v>
      </c>
      <c r="BB189" t="n">
        <v>1083.967</v>
      </c>
      <c r="BC189" t="n">
        <v>1057.75</v>
      </c>
      <c r="BD189" t="n">
        <v>1036.041</v>
      </c>
      <c r="BE189" t="n">
        <v>995.018</v>
      </c>
      <c r="BF189" t="n">
        <v>1068.494</v>
      </c>
      <c r="BG189" t="n">
        <v>1084.523</v>
      </c>
      <c r="BH189" t="n">
        <v>1036.373</v>
      </c>
      <c r="BI189" t="n">
        <v>1013.006</v>
      </c>
      <c r="BJ189" t="n">
        <v>943.869</v>
      </c>
      <c r="BK189" t="n">
        <v>980.657</v>
      </c>
      <c r="BL189" t="n">
        <v>1087.198</v>
      </c>
      <c r="BM189" t="n">
        <v>1023.851</v>
      </c>
      <c r="BN189" t="n">
        <v>1073.199</v>
      </c>
      <c r="BO189" t="n">
        <v>1178.769</v>
      </c>
      <c r="BP189" t="n">
        <v>1139.544</v>
      </c>
      <c r="BQ189" t="n">
        <v>1290.611</v>
      </c>
      <c r="BR189" t="n">
        <v>1441.325</v>
      </c>
      <c r="BS189" t="n">
        <v>1155.59</v>
      </c>
      <c r="BT189" t="n">
        <v>1305.271</v>
      </c>
      <c r="BU189" t="n">
        <v>1311.942</v>
      </c>
      <c r="BV189" t="n">
        <v>1406.826</v>
      </c>
    </row>
    <row r="190">
      <c r="A190" t="inlineStr">
        <is>
          <t>Decapterus russelli</t>
        </is>
      </c>
      <c r="B190" t="inlineStr">
        <is>
          <t>Indian scad</t>
        </is>
      </c>
      <c r="C190" t="inlineStr">
        <is>
          <t>Medium pelagics (30 - 89 cm)</t>
        </is>
      </c>
      <c r="D190" t="inlineStr">
        <is>
          <t>Perch-likes</t>
        </is>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13.538</v>
      </c>
      <c r="AF190" t="n">
        <v>54.645</v>
      </c>
      <c r="AG190" t="n">
        <v>35.149</v>
      </c>
      <c r="AH190" t="n">
        <v>35.826</v>
      </c>
      <c r="AI190" t="n">
        <v>40.67</v>
      </c>
      <c r="AJ190" t="n">
        <v>94.334</v>
      </c>
      <c r="AK190" t="n">
        <v>108.226</v>
      </c>
      <c r="AL190" t="n">
        <v>355.36</v>
      </c>
      <c r="AM190" t="n">
        <v>619.728</v>
      </c>
      <c r="AN190" t="n">
        <v>348.598</v>
      </c>
      <c r="AO190" t="n">
        <v>99.008</v>
      </c>
      <c r="AP190" t="n">
        <v>623.846</v>
      </c>
      <c r="AQ190" t="n">
        <v>1038.764</v>
      </c>
      <c r="AR190" t="n">
        <v>1159.032</v>
      </c>
      <c r="AS190" t="n">
        <v>1149.69</v>
      </c>
      <c r="AT190" t="n">
        <v>973.615</v>
      </c>
      <c r="AU190" t="n">
        <v>420.079</v>
      </c>
      <c r="AV190" t="n">
        <v>366.224</v>
      </c>
      <c r="AW190" t="n">
        <v>1659.297</v>
      </c>
      <c r="AX190" t="n">
        <v>1153.443</v>
      </c>
      <c r="AY190" t="n">
        <v>1738.643</v>
      </c>
      <c r="AZ190" t="n">
        <v>1585.943</v>
      </c>
      <c r="BA190" t="n">
        <v>1431.931</v>
      </c>
      <c r="BB190" t="n">
        <v>1607.15</v>
      </c>
      <c r="BC190" t="n">
        <v>1604.871</v>
      </c>
      <c r="BD190" t="n">
        <v>1547.326</v>
      </c>
      <c r="BE190" t="n">
        <v>1942.213</v>
      </c>
      <c r="BF190" t="n">
        <v>1754.85</v>
      </c>
      <c r="BG190" t="n">
        <v>1768.74</v>
      </c>
      <c r="BH190" t="n">
        <v>1677.883</v>
      </c>
      <c r="BI190" t="n">
        <v>1198.332</v>
      </c>
      <c r="BJ190" t="n">
        <v>1237.958</v>
      </c>
      <c r="BK190" t="n">
        <v>791.4450000000001</v>
      </c>
      <c r="BL190" t="n">
        <v>868.436</v>
      </c>
      <c r="BM190" t="n">
        <v>719.954</v>
      </c>
      <c r="BN190" t="n">
        <v>597.069</v>
      </c>
      <c r="BO190" t="n">
        <v>837.665</v>
      </c>
      <c r="BP190" t="n">
        <v>563.949</v>
      </c>
      <c r="BQ190" t="n">
        <v>741.5650000000001</v>
      </c>
      <c r="BR190" t="n">
        <v>1285.804</v>
      </c>
      <c r="BS190" t="n">
        <v>1932.871</v>
      </c>
      <c r="BT190" t="n">
        <v>1513.867</v>
      </c>
      <c r="BU190" t="n">
        <v>1513.867</v>
      </c>
      <c r="BV190" t="n">
        <v>1513.867</v>
      </c>
    </row>
    <row r="191">
      <c r="A191" t="inlineStr">
        <is>
          <t>Pristipomoides filamentosus</t>
        </is>
      </c>
      <c r="B191" t="inlineStr">
        <is>
          <t>Crimson jobfish</t>
        </is>
      </c>
      <c r="C191" t="inlineStr">
        <is>
          <t>Medium demersals (30 - 89 cm)</t>
        </is>
      </c>
      <c r="D191" t="inlineStr">
        <is>
          <t>Perch-likes</t>
        </is>
      </c>
      <c r="E191" t="n">
        <v>87.33</v>
      </c>
      <c r="F191" t="n">
        <v>87.33</v>
      </c>
      <c r="G191" t="n">
        <v>102.216</v>
      </c>
      <c r="H191" t="n">
        <v>116.109</v>
      </c>
      <c r="I191" t="n">
        <v>116.109</v>
      </c>
      <c r="J191" t="n">
        <v>145.881</v>
      </c>
      <c r="K191" t="n">
        <v>145.881</v>
      </c>
      <c r="L191" t="n">
        <v>145.881</v>
      </c>
      <c r="M191" t="n">
        <v>145.881</v>
      </c>
      <c r="N191" t="n">
        <v>159.775</v>
      </c>
      <c r="O191" t="n">
        <v>159.775</v>
      </c>
      <c r="P191" t="n">
        <v>159.775</v>
      </c>
      <c r="Q191" t="n">
        <v>174.66</v>
      </c>
      <c r="R191" t="n">
        <v>174.66</v>
      </c>
      <c r="S191" t="n">
        <v>174.66</v>
      </c>
      <c r="T191" t="n">
        <v>189.546</v>
      </c>
      <c r="U191" t="n">
        <v>203.44</v>
      </c>
      <c r="V191" t="n">
        <v>203.44</v>
      </c>
      <c r="W191" t="n">
        <v>203.44</v>
      </c>
      <c r="X191" t="n">
        <v>216.341</v>
      </c>
      <c r="Y191" t="n">
        <v>228.249</v>
      </c>
      <c r="Z191" t="n">
        <v>240.158</v>
      </c>
      <c r="AA191" t="n">
        <v>253.059</v>
      </c>
      <c r="AB191" t="n">
        <v>264.968</v>
      </c>
      <c r="AC191" t="n">
        <v>276.876</v>
      </c>
      <c r="AD191" t="n">
        <v>289.777</v>
      </c>
      <c r="AE191" t="n">
        <v>281.838</v>
      </c>
      <c r="AF191" t="n">
        <v>273.899</v>
      </c>
      <c r="AG191" t="n">
        <v>266.952</v>
      </c>
      <c r="AH191" t="n">
        <v>259.013</v>
      </c>
      <c r="AI191" t="n">
        <v>245.12</v>
      </c>
      <c r="AJ191" t="n">
        <v>230.234</v>
      </c>
      <c r="AK191" t="n">
        <v>241.15</v>
      </c>
      <c r="AL191" t="n">
        <v>290.77</v>
      </c>
      <c r="AM191" t="n">
        <v>273.899</v>
      </c>
      <c r="AN191" t="n">
        <v>237.181</v>
      </c>
      <c r="AO191" t="n">
        <v>241.15</v>
      </c>
      <c r="AP191" t="n">
        <v>302.678</v>
      </c>
      <c r="AQ191" t="n">
        <v>431.689</v>
      </c>
      <c r="AR191" t="n">
        <v>306.648</v>
      </c>
      <c r="AS191" t="n">
        <v>290.77</v>
      </c>
      <c r="AT191" t="n">
        <v>301.686</v>
      </c>
      <c r="AU191" t="n">
        <v>282.831</v>
      </c>
      <c r="AV191" t="n">
        <v>268.937</v>
      </c>
      <c r="AW191" t="n">
        <v>283.823</v>
      </c>
      <c r="AX191" t="n">
        <v>316.572</v>
      </c>
      <c r="AY191" t="n">
        <v>258.021</v>
      </c>
      <c r="AZ191" t="n">
        <v>246.112</v>
      </c>
      <c r="BA191" t="n">
        <v>258.021</v>
      </c>
      <c r="BB191" t="n">
        <v>281.838</v>
      </c>
      <c r="BC191" t="n">
        <v>314.587</v>
      </c>
      <c r="BD191" t="n">
        <v>1196.869</v>
      </c>
      <c r="BE191" t="n">
        <v>2843.974</v>
      </c>
      <c r="BF191" t="n">
        <v>651.999</v>
      </c>
      <c r="BG191" t="n">
        <v>388.024</v>
      </c>
      <c r="BH191" t="n">
        <v>809.789</v>
      </c>
      <c r="BI191" t="n">
        <v>599.402</v>
      </c>
      <c r="BJ191" t="n">
        <v>598.41</v>
      </c>
      <c r="BK191" t="n">
        <v>2005.096</v>
      </c>
      <c r="BL191" t="n">
        <v>2876.67</v>
      </c>
      <c r="BM191" t="n">
        <v>1389.75</v>
      </c>
      <c r="BN191" t="n">
        <v>1630.494</v>
      </c>
      <c r="BO191" t="n">
        <v>2326.918</v>
      </c>
      <c r="BP191" t="n">
        <v>4238.49</v>
      </c>
      <c r="BQ191" t="n">
        <v>2912.616</v>
      </c>
      <c r="BR191" t="n">
        <v>1284.684</v>
      </c>
      <c r="BS191" t="n">
        <v>1229.985</v>
      </c>
      <c r="BT191" t="n">
        <v>1118.871</v>
      </c>
      <c r="BU191" t="n">
        <v>986.977</v>
      </c>
      <c r="BV191" t="n">
        <v>1353.273</v>
      </c>
    </row>
    <row r="192">
      <c r="A192" t="inlineStr">
        <is>
          <t>Lamnidae</t>
        </is>
      </c>
      <c r="B192" t="inlineStr">
        <is>
          <t>Mackerel/white sharks</t>
        </is>
      </c>
      <c r="C192" t="inlineStr">
        <is>
          <t>Large sharks (&gt;=90 cm)</t>
        </is>
      </c>
      <c r="D192" t="inlineStr">
        <is>
          <t>Sharks &amp; rays</t>
        </is>
      </c>
      <c r="E192" t="n">
        <v>122.944</v>
      </c>
      <c r="F192" t="n">
        <v>123.627</v>
      </c>
      <c r="G192" t="n">
        <v>124.31</v>
      </c>
      <c r="H192" t="n">
        <v>124.993</v>
      </c>
      <c r="I192" t="n">
        <v>125.676</v>
      </c>
      <c r="J192" t="n">
        <v>126.359</v>
      </c>
      <c r="K192" t="n">
        <v>127.042</v>
      </c>
      <c r="L192" t="n">
        <v>127.725</v>
      </c>
      <c r="M192" t="n">
        <v>128.408</v>
      </c>
      <c r="N192" t="n">
        <v>129.091</v>
      </c>
      <c r="O192" t="n">
        <v>130.959</v>
      </c>
      <c r="P192" t="n">
        <v>132.864</v>
      </c>
      <c r="Q192" t="n">
        <v>134.786</v>
      </c>
      <c r="R192" t="n">
        <v>143.976</v>
      </c>
      <c r="S192" t="n">
        <v>152.852</v>
      </c>
      <c r="T192" t="n">
        <v>164.173</v>
      </c>
      <c r="U192" t="n">
        <v>173.805</v>
      </c>
      <c r="V192" t="n">
        <v>183.002</v>
      </c>
      <c r="W192" t="n">
        <v>193.294</v>
      </c>
      <c r="X192" t="n">
        <v>203.982</v>
      </c>
      <c r="Y192" t="n">
        <v>215.899</v>
      </c>
      <c r="Z192" t="n">
        <v>227.351</v>
      </c>
      <c r="AA192" t="n">
        <v>239.198</v>
      </c>
      <c r="AB192" t="n">
        <v>251.453</v>
      </c>
      <c r="AC192" t="n">
        <v>267</v>
      </c>
      <c r="AD192" t="n">
        <v>284.589</v>
      </c>
      <c r="AE192" t="n">
        <v>296.898</v>
      </c>
      <c r="AF192" t="n">
        <v>312.978</v>
      </c>
      <c r="AG192" t="n">
        <v>314.224</v>
      </c>
      <c r="AH192" t="n">
        <v>323.181</v>
      </c>
      <c r="AI192" t="n">
        <v>322.444</v>
      </c>
      <c r="AJ192" t="n">
        <v>328.21</v>
      </c>
      <c r="AK192" t="n">
        <v>340.549</v>
      </c>
      <c r="AL192" t="n">
        <v>354.721</v>
      </c>
      <c r="AM192" t="n">
        <v>366.855</v>
      </c>
      <c r="AN192" t="n">
        <v>379.029</v>
      </c>
      <c r="AO192" t="n">
        <v>405.912</v>
      </c>
      <c r="AP192" t="n">
        <v>421.523</v>
      </c>
      <c r="AQ192" t="n">
        <v>441.224</v>
      </c>
      <c r="AR192" t="n">
        <v>426.714</v>
      </c>
      <c r="AS192" t="n">
        <v>409.93</v>
      </c>
      <c r="AT192" t="n">
        <v>394.286</v>
      </c>
      <c r="AU192" t="n">
        <v>374.521</v>
      </c>
      <c r="AV192" t="n">
        <v>350.823</v>
      </c>
      <c r="AW192" t="n">
        <v>324.578</v>
      </c>
      <c r="AX192" t="n">
        <v>295.452</v>
      </c>
      <c r="AY192" t="n">
        <v>434.992</v>
      </c>
      <c r="AZ192" t="n">
        <v>557.399</v>
      </c>
      <c r="BA192" t="n">
        <v>678.4400000000001</v>
      </c>
      <c r="BB192" t="n">
        <v>798.278</v>
      </c>
      <c r="BC192" t="n">
        <v>913.7</v>
      </c>
      <c r="BD192" t="n">
        <v>1029.724</v>
      </c>
      <c r="BE192" t="n">
        <v>1140.317</v>
      </c>
      <c r="BF192" t="n">
        <v>1248.681</v>
      </c>
      <c r="BG192" t="n">
        <v>1249.158</v>
      </c>
      <c r="BH192" t="n">
        <v>936.01</v>
      </c>
      <c r="BI192" t="n">
        <v>1019.115</v>
      </c>
      <c r="BJ192" t="n">
        <v>1099.104</v>
      </c>
      <c r="BK192" t="n">
        <v>1179.119</v>
      </c>
      <c r="BL192" t="n">
        <v>1258.3</v>
      </c>
      <c r="BM192" t="n">
        <v>1335.348</v>
      </c>
      <c r="BN192" t="n">
        <v>1357.15</v>
      </c>
      <c r="BO192" t="n">
        <v>1378.36</v>
      </c>
      <c r="BP192" t="n">
        <v>1398.977</v>
      </c>
      <c r="BQ192" t="n">
        <v>1419.002</v>
      </c>
      <c r="BR192" t="n">
        <v>1438.235</v>
      </c>
      <c r="BS192" t="n">
        <v>1439.395</v>
      </c>
      <c r="BT192" t="n">
        <v>1459.106</v>
      </c>
      <c r="BU192" t="n">
        <v>1479.044</v>
      </c>
      <c r="BV192" t="n">
        <v>1487.194</v>
      </c>
    </row>
    <row r="193">
      <c r="A193" t="inlineStr">
        <is>
          <t>Sphyrnidae</t>
        </is>
      </c>
      <c r="B193" t="inlineStr">
        <is>
          <t>Hammer, bonnet, scoophead sharks</t>
        </is>
      </c>
      <c r="C193" t="inlineStr">
        <is>
          <t>Large sharks (&gt;=90 cm)</t>
        </is>
      </c>
      <c r="D193" t="inlineStr">
        <is>
          <t>Sharks &amp; rays</t>
        </is>
      </c>
      <c r="E193" t="n">
        <v>121.518</v>
      </c>
      <c r="F193" t="n">
        <v>122.193</v>
      </c>
      <c r="G193" t="n">
        <v>122.868</v>
      </c>
      <c r="H193" t="n">
        <v>123.544</v>
      </c>
      <c r="I193" t="n">
        <v>124.219</v>
      </c>
      <c r="J193" t="n">
        <v>124.894</v>
      </c>
      <c r="K193" t="n">
        <v>125.57</v>
      </c>
      <c r="L193" t="n">
        <v>126.245</v>
      </c>
      <c r="M193" t="n">
        <v>126.92</v>
      </c>
      <c r="N193" t="n">
        <v>127.596</v>
      </c>
      <c r="O193" t="n">
        <v>129.442</v>
      </c>
      <c r="P193" t="n">
        <v>131.325</v>
      </c>
      <c r="Q193" t="n">
        <v>133.225</v>
      </c>
      <c r="R193" t="n">
        <v>142.307</v>
      </c>
      <c r="S193" t="n">
        <v>151.083</v>
      </c>
      <c r="T193" t="n">
        <v>162.274</v>
      </c>
      <c r="U193" t="n">
        <v>171.796</v>
      </c>
      <c r="V193" t="n">
        <v>180.889</v>
      </c>
      <c r="W193" t="n">
        <v>191.064</v>
      </c>
      <c r="X193" t="n">
        <v>201.631</v>
      </c>
      <c r="Y193" t="n">
        <v>213.388</v>
      </c>
      <c r="Z193" t="n">
        <v>224.723</v>
      </c>
      <c r="AA193" t="n">
        <v>236.526</v>
      </c>
      <c r="AB193" t="n">
        <v>248.566</v>
      </c>
      <c r="AC193" t="n">
        <v>263.805</v>
      </c>
      <c r="AD193" t="n">
        <v>281.177</v>
      </c>
      <c r="AE193" t="n">
        <v>293.489</v>
      </c>
      <c r="AF193" t="n">
        <v>309.601</v>
      </c>
      <c r="AG193" t="n">
        <v>311.033</v>
      </c>
      <c r="AH193" t="n">
        <v>319.976</v>
      </c>
      <c r="AI193" t="n">
        <v>319.735</v>
      </c>
      <c r="AJ193" t="n">
        <v>325.155</v>
      </c>
      <c r="AK193" t="n">
        <v>337.447</v>
      </c>
      <c r="AL193" t="n">
        <v>351.55</v>
      </c>
      <c r="AM193" t="n">
        <v>363.556</v>
      </c>
      <c r="AN193" t="n">
        <v>375.854</v>
      </c>
      <c r="AO193" t="n">
        <v>402.356</v>
      </c>
      <c r="AP193" t="n">
        <v>418.318</v>
      </c>
      <c r="AQ193" t="n">
        <v>437.72</v>
      </c>
      <c r="AR193" t="n">
        <v>422.976</v>
      </c>
      <c r="AS193" t="n">
        <v>406.562</v>
      </c>
      <c r="AT193" t="n">
        <v>391.037</v>
      </c>
      <c r="AU193" t="n">
        <v>371.376</v>
      </c>
      <c r="AV193" t="n">
        <v>347.963</v>
      </c>
      <c r="AW193" t="n">
        <v>321.865</v>
      </c>
      <c r="AX193" t="n">
        <v>293.175</v>
      </c>
      <c r="AY193" t="n">
        <v>431.219</v>
      </c>
      <c r="AZ193" t="n">
        <v>552.361</v>
      </c>
      <c r="BA193" t="n">
        <v>671.789</v>
      </c>
      <c r="BB193" t="n">
        <v>790.276</v>
      </c>
      <c r="BC193" t="n">
        <v>904.497</v>
      </c>
      <c r="BD193" t="n">
        <v>1019.162</v>
      </c>
      <c r="BE193" t="n">
        <v>1128.437</v>
      </c>
      <c r="BF193" t="n">
        <v>1235.724</v>
      </c>
      <c r="BG193" t="n">
        <v>1236.11</v>
      </c>
      <c r="BH193" t="n">
        <v>927.088</v>
      </c>
      <c r="BI193" t="n">
        <v>1009.54</v>
      </c>
      <c r="BJ193" t="n">
        <v>1088.374</v>
      </c>
      <c r="BK193" t="n">
        <v>1167.341</v>
      </c>
      <c r="BL193" t="n">
        <v>1245.602</v>
      </c>
      <c r="BM193" t="n">
        <v>1321.003</v>
      </c>
      <c r="BN193" t="n">
        <v>1342.549</v>
      </c>
      <c r="BO193" t="n">
        <v>1363.51</v>
      </c>
      <c r="BP193" t="n">
        <v>1383.978</v>
      </c>
      <c r="BQ193" t="n">
        <v>1403.768</v>
      </c>
      <c r="BR193" t="n">
        <v>1422.641</v>
      </c>
      <c r="BS193" t="n">
        <v>1423.776</v>
      </c>
      <c r="BT193" t="n">
        <v>1443.256</v>
      </c>
      <c r="BU193" t="n">
        <v>1463.057</v>
      </c>
      <c r="BV193" t="n">
        <v>1471.069</v>
      </c>
    </row>
    <row r="194">
      <c r="A194" t="inlineStr">
        <is>
          <t>Saccostrea cuccullata</t>
        </is>
      </c>
      <c r="B194" t="inlineStr">
        <is>
          <t>Hooded oyster</t>
        </is>
      </c>
      <c r="C194" t="inlineStr">
        <is>
          <t>Other demersal invertebrates</t>
        </is>
      </c>
      <c r="D194" t="inlineStr">
        <is>
          <t>Molluscs</t>
        </is>
      </c>
      <c r="E194" t="n">
        <v>157.96</v>
      </c>
      <c r="F194" t="n">
        <v>161.184</v>
      </c>
      <c r="G194" t="n">
        <v>164.474</v>
      </c>
      <c r="H194" t="n">
        <v>167.83</v>
      </c>
      <c r="I194" t="n">
        <v>171.255</v>
      </c>
      <c r="J194" t="n">
        <v>174.75</v>
      </c>
      <c r="K194" t="n">
        <v>178.317</v>
      </c>
      <c r="L194" t="n">
        <v>181.956</v>
      </c>
      <c r="M194" t="n">
        <v>185.669</v>
      </c>
      <c r="N194" t="n">
        <v>189.458</v>
      </c>
      <c r="O194" t="n">
        <v>193.325</v>
      </c>
      <c r="P194" t="n">
        <v>197.27</v>
      </c>
      <c r="Q194" t="n">
        <v>201.296</v>
      </c>
      <c r="R194" t="n">
        <v>205.404</v>
      </c>
      <c r="S194" t="n">
        <v>209.596</v>
      </c>
      <c r="T194" t="n">
        <v>213.874</v>
      </c>
      <c r="U194" t="n">
        <v>218.238</v>
      </c>
      <c r="V194" t="n">
        <v>228.847</v>
      </c>
      <c r="W194" t="n">
        <v>239.456</v>
      </c>
      <c r="X194" t="n">
        <v>250.065</v>
      </c>
      <c r="Y194" t="n">
        <v>260.674</v>
      </c>
      <c r="Z194" t="n">
        <v>271.282</v>
      </c>
      <c r="AA194" t="n">
        <v>281.891</v>
      </c>
      <c r="AB194" t="n">
        <v>292.5</v>
      </c>
      <c r="AC194" t="n">
        <v>303.109</v>
      </c>
      <c r="AD194" t="n">
        <v>313.717</v>
      </c>
      <c r="AE194" t="n">
        <v>324.326</v>
      </c>
      <c r="AF194" t="n">
        <v>334.935</v>
      </c>
      <c r="AG194" t="n">
        <v>345.544</v>
      </c>
      <c r="AH194" t="n">
        <v>356.153</v>
      </c>
      <c r="AI194" t="n">
        <v>366.762</v>
      </c>
      <c r="AJ194" t="n">
        <v>377.37</v>
      </c>
      <c r="AK194" t="n">
        <v>387.979</v>
      </c>
      <c r="AL194" t="n">
        <v>398.588</v>
      </c>
      <c r="AM194" t="n">
        <v>409.197</v>
      </c>
      <c r="AN194" t="n">
        <v>419.806</v>
      </c>
      <c r="AO194" t="n">
        <v>430.414</v>
      </c>
      <c r="AP194" t="n">
        <v>441.023</v>
      </c>
      <c r="AQ194" t="n">
        <v>451.632</v>
      </c>
      <c r="AR194" t="n">
        <v>462.241</v>
      </c>
      <c r="AS194" t="n">
        <v>472.85</v>
      </c>
      <c r="AT194" t="n">
        <v>483.458</v>
      </c>
      <c r="AU194" t="n">
        <v>494.067</v>
      </c>
      <c r="AV194" t="n">
        <v>504.676</v>
      </c>
      <c r="AW194" t="n">
        <v>515.285</v>
      </c>
      <c r="AX194" t="n">
        <v>525.894</v>
      </c>
      <c r="AY194" t="n">
        <v>536.502</v>
      </c>
      <c r="AZ194" t="n">
        <v>547.111</v>
      </c>
      <c r="BA194" t="n">
        <v>557.72</v>
      </c>
      <c r="BB194" t="n">
        <v>568.329</v>
      </c>
      <c r="BC194" t="n">
        <v>578.938</v>
      </c>
      <c r="BD194" t="n">
        <v>589.547</v>
      </c>
      <c r="BE194" t="n">
        <v>600.155</v>
      </c>
      <c r="BF194" t="n">
        <v>886.593</v>
      </c>
      <c r="BG194" t="n">
        <v>852.067</v>
      </c>
      <c r="BH194" t="n">
        <v>817.5410000000001</v>
      </c>
      <c r="BI194" t="n">
        <v>783.015</v>
      </c>
      <c r="BJ194" t="n">
        <v>748.489</v>
      </c>
      <c r="BK194" t="n">
        <v>713.963</v>
      </c>
      <c r="BL194" t="n">
        <v>679.437</v>
      </c>
      <c r="BM194" t="n">
        <v>644.9109999999999</v>
      </c>
      <c r="BN194" t="n">
        <v>610.385</v>
      </c>
      <c r="BO194" t="n">
        <v>816.12</v>
      </c>
      <c r="BP194" t="n">
        <v>1021.855</v>
      </c>
      <c r="BQ194" t="n">
        <v>1227.59</v>
      </c>
      <c r="BR194" t="n">
        <v>1391.269</v>
      </c>
      <c r="BS194" t="n">
        <v>1554.948</v>
      </c>
      <c r="BT194" t="n">
        <v>1718.627</v>
      </c>
      <c r="BU194" t="n">
        <v>1882.305</v>
      </c>
      <c r="BV194" t="n">
        <v>2045.984</v>
      </c>
    </row>
    <row r="195">
      <c r="A195" t="inlineStr">
        <is>
          <t>Xiphias gladius</t>
        </is>
      </c>
      <c r="B195" t="inlineStr">
        <is>
          <t>Swordfish</t>
        </is>
      </c>
      <c r="C195" t="inlineStr">
        <is>
          <t>Large pelagics (&gt;=90 cm)</t>
        </is>
      </c>
      <c r="D195" t="inlineStr">
        <is>
          <t>Tuna &amp; billfishes</t>
        </is>
      </c>
      <c r="E195" t="n">
        <v>3.359</v>
      </c>
      <c r="F195" t="n">
        <v>3.428</v>
      </c>
      <c r="G195" t="n">
        <v>3.724</v>
      </c>
      <c r="H195" t="n">
        <v>4.232</v>
      </c>
      <c r="I195" t="n">
        <v>6.705</v>
      </c>
      <c r="J195" t="n">
        <v>5.846</v>
      </c>
      <c r="K195" t="n">
        <v>8.266</v>
      </c>
      <c r="L195" t="n">
        <v>3.869</v>
      </c>
      <c r="M195" t="n">
        <v>4.262</v>
      </c>
      <c r="N195" t="n">
        <v>12.214</v>
      </c>
      <c r="O195" t="n">
        <v>15.218</v>
      </c>
      <c r="P195" t="n">
        <v>15.676</v>
      </c>
      <c r="Q195" t="n">
        <v>4.28</v>
      </c>
      <c r="R195" t="n">
        <v>4.796</v>
      </c>
      <c r="S195" t="n">
        <v>15.217</v>
      </c>
      <c r="T195" t="n">
        <v>4.548</v>
      </c>
      <c r="U195" t="n">
        <v>4.977</v>
      </c>
      <c r="V195" t="n">
        <v>4.866</v>
      </c>
      <c r="W195" t="n">
        <v>5.732</v>
      </c>
      <c r="X195" t="n">
        <v>39.023</v>
      </c>
      <c r="Y195" t="n">
        <v>61.841</v>
      </c>
      <c r="Z195" t="n">
        <v>7.2</v>
      </c>
      <c r="AA195" t="n">
        <v>8.773</v>
      </c>
      <c r="AB195" t="n">
        <v>8.945</v>
      </c>
      <c r="AC195" t="n">
        <v>6.446</v>
      </c>
      <c r="AD195" t="n">
        <v>51.719</v>
      </c>
      <c r="AE195" t="n">
        <v>7.107</v>
      </c>
      <c r="AF195" t="n">
        <v>7.753</v>
      </c>
      <c r="AG195" t="n">
        <v>11.985</v>
      </c>
      <c r="AH195" t="n">
        <v>40.533</v>
      </c>
      <c r="AI195" t="n">
        <v>36.917</v>
      </c>
      <c r="AJ195" t="n">
        <v>94.943</v>
      </c>
      <c r="AK195" t="n">
        <v>79.967</v>
      </c>
      <c r="AL195" t="n">
        <v>119.714</v>
      </c>
      <c r="AM195" t="n">
        <v>88.764</v>
      </c>
      <c r="AN195" t="n">
        <v>101.891</v>
      </c>
      <c r="AO195" t="n">
        <v>305.652</v>
      </c>
      <c r="AP195" t="n">
        <v>261.648</v>
      </c>
      <c r="AQ195" t="n">
        <v>64.97499999999999</v>
      </c>
      <c r="AR195" t="n">
        <v>114.974</v>
      </c>
      <c r="AS195" t="n">
        <v>22.586</v>
      </c>
      <c r="AT195" t="n">
        <v>20.87</v>
      </c>
      <c r="AU195" t="n">
        <v>100.846</v>
      </c>
      <c r="AV195" t="n">
        <v>122.14</v>
      </c>
      <c r="AW195" t="n">
        <v>160.259</v>
      </c>
      <c r="AX195" t="n">
        <v>155.834</v>
      </c>
      <c r="AY195" t="n">
        <v>349.222</v>
      </c>
      <c r="AZ195" t="n">
        <v>268.753</v>
      </c>
      <c r="BA195" t="n">
        <v>674.995</v>
      </c>
      <c r="BB195" t="n">
        <v>827.201</v>
      </c>
      <c r="BC195" t="n">
        <v>355.885</v>
      </c>
      <c r="BD195" t="n">
        <v>244.982</v>
      </c>
      <c r="BE195" t="n">
        <v>143.962</v>
      </c>
      <c r="BF195" t="n">
        <v>324.584</v>
      </c>
      <c r="BG195" t="n">
        <v>978.053</v>
      </c>
      <c r="BH195" t="n">
        <v>593.487</v>
      </c>
      <c r="BI195" t="n">
        <v>796.828</v>
      </c>
      <c r="BJ195" t="n">
        <v>567.924</v>
      </c>
      <c r="BK195" t="n">
        <v>566.289</v>
      </c>
      <c r="BL195" t="n">
        <v>882.819</v>
      </c>
      <c r="BM195" t="n">
        <v>627.615</v>
      </c>
      <c r="BN195" t="n">
        <v>3435.62</v>
      </c>
      <c r="BO195" t="n">
        <v>3115.194</v>
      </c>
      <c r="BP195" t="n">
        <v>3401.737</v>
      </c>
      <c r="BQ195" t="n">
        <v>2968.77</v>
      </c>
      <c r="BR195" t="n">
        <v>2866.885</v>
      </c>
      <c r="BS195" t="n">
        <v>2549.524</v>
      </c>
      <c r="BT195" t="n">
        <v>2052.459</v>
      </c>
      <c r="BU195" t="n">
        <v>2627.913</v>
      </c>
      <c r="BV195" t="n">
        <v>2469.689</v>
      </c>
    </row>
    <row r="196">
      <c r="A196" t="inlineStr">
        <is>
          <t>Hilsa kelee</t>
        </is>
      </c>
      <c r="B196" t="inlineStr">
        <is>
          <t>Kelee shad</t>
        </is>
      </c>
      <c r="C196" t="inlineStr">
        <is>
          <t>Small pelagics (&lt;30 cm)</t>
        </is>
      </c>
      <c r="D196" t="inlineStr">
        <is>
          <t>Herring-likes</t>
        </is>
      </c>
      <c r="E196" t="n">
        <v>0</v>
      </c>
      <c r="F196" t="n">
        <v>0</v>
      </c>
      <c r="G196" t="n">
        <v>0</v>
      </c>
      <c r="H196" t="n">
        <v>0</v>
      </c>
      <c r="I196" t="n">
        <v>0</v>
      </c>
      <c r="J196" t="n">
        <v>0</v>
      </c>
      <c r="K196" t="n">
        <v>0</v>
      </c>
      <c r="L196" t="n">
        <v>0</v>
      </c>
      <c r="M196" t="n">
        <v>391.927</v>
      </c>
      <c r="N196" t="n">
        <v>248.481</v>
      </c>
      <c r="O196" t="n">
        <v>393.059</v>
      </c>
      <c r="P196" t="n">
        <v>574.826</v>
      </c>
      <c r="Q196" t="n">
        <v>398.633</v>
      </c>
      <c r="R196" t="n">
        <v>798.659</v>
      </c>
      <c r="S196" t="n">
        <v>1398.655</v>
      </c>
      <c r="T196" t="n">
        <v>1569.797</v>
      </c>
      <c r="U196" t="n">
        <v>1370.177</v>
      </c>
      <c r="V196" t="n">
        <v>1094.214</v>
      </c>
      <c r="W196" t="n">
        <v>803.124</v>
      </c>
      <c r="X196" t="n">
        <v>711.2329999999999</v>
      </c>
      <c r="Y196" t="n">
        <v>493.78</v>
      </c>
      <c r="Z196" t="n">
        <v>557.073</v>
      </c>
      <c r="AA196" t="n">
        <v>670.787</v>
      </c>
      <c r="AB196" t="n">
        <v>598.191</v>
      </c>
      <c r="AC196" t="n">
        <v>447.144</v>
      </c>
      <c r="AD196" t="n">
        <v>489.011</v>
      </c>
      <c r="AE196" t="n">
        <v>609.5940000000001</v>
      </c>
      <c r="AF196" t="n">
        <v>556.412</v>
      </c>
      <c r="AG196" t="n">
        <v>521.376</v>
      </c>
      <c r="AH196" t="n">
        <v>644.915</v>
      </c>
      <c r="AI196" t="n">
        <v>684.504</v>
      </c>
      <c r="AJ196" t="n">
        <v>784.175</v>
      </c>
      <c r="AK196" t="n">
        <v>701.841</v>
      </c>
      <c r="AL196" t="n">
        <v>1136.538</v>
      </c>
      <c r="AM196" t="n">
        <v>1223.057</v>
      </c>
      <c r="AN196" t="n">
        <v>1157.16</v>
      </c>
      <c r="AO196" t="n">
        <v>1123.919</v>
      </c>
      <c r="AP196" t="n">
        <v>1082.32</v>
      </c>
      <c r="AQ196" t="n">
        <v>1035.674</v>
      </c>
      <c r="AR196" t="n">
        <v>896.954</v>
      </c>
      <c r="AS196" t="n">
        <v>837.194</v>
      </c>
      <c r="AT196" t="n">
        <v>790.008</v>
      </c>
      <c r="AU196" t="n">
        <v>649.973</v>
      </c>
      <c r="AV196" t="n">
        <v>846.84</v>
      </c>
      <c r="AW196" t="n">
        <v>711.949</v>
      </c>
      <c r="AX196" t="n">
        <v>620.889</v>
      </c>
      <c r="AY196" t="n">
        <v>671.21</v>
      </c>
      <c r="AZ196" t="n">
        <v>729.266</v>
      </c>
      <c r="BA196" t="n">
        <v>650.8579999999999</v>
      </c>
      <c r="BB196" t="n">
        <v>680.27</v>
      </c>
      <c r="BC196" t="n">
        <v>646.856</v>
      </c>
      <c r="BD196" t="n">
        <v>629.516</v>
      </c>
      <c r="BE196" t="n">
        <v>542.436</v>
      </c>
      <c r="BF196" t="n">
        <v>125.857</v>
      </c>
      <c r="BG196" t="n">
        <v>124.788</v>
      </c>
      <c r="BH196" t="n">
        <v>94.809</v>
      </c>
      <c r="BI196" t="n">
        <v>86.26600000000001</v>
      </c>
      <c r="BJ196" t="n">
        <v>82.873</v>
      </c>
      <c r="BK196" t="n">
        <v>84.259</v>
      </c>
      <c r="BL196" t="n">
        <v>94.274</v>
      </c>
      <c r="BM196" t="n">
        <v>96.774</v>
      </c>
      <c r="BN196" t="n">
        <v>96.101</v>
      </c>
      <c r="BO196" t="n">
        <v>108.405</v>
      </c>
      <c r="BP196" t="n">
        <v>107.873</v>
      </c>
      <c r="BQ196" t="n">
        <v>101.234</v>
      </c>
      <c r="BR196" t="n">
        <v>112.335</v>
      </c>
      <c r="BS196" t="n">
        <v>106.019</v>
      </c>
      <c r="BT196" t="n">
        <v>115.56</v>
      </c>
      <c r="BU196" t="n">
        <v>108.978</v>
      </c>
      <c r="BV196" t="n">
        <v>79.905</v>
      </c>
    </row>
    <row r="197">
      <c r="A197" t="inlineStr">
        <is>
          <t>Sphyraena obtusata</t>
        </is>
      </c>
      <c r="B197" t="inlineStr">
        <is>
          <t>Obtuse barracuda</t>
        </is>
      </c>
      <c r="C197" t="inlineStr">
        <is>
          <t>Medium reef assoc. fish (30 - 89 cm)</t>
        </is>
      </c>
      <c r="D197" t="inlineStr">
        <is>
          <t>Perch-likes</t>
        </is>
      </c>
      <c r="E197" t="n">
        <v>463.443</v>
      </c>
      <c r="F197" t="n">
        <v>466.092</v>
      </c>
      <c r="G197" t="n">
        <v>462.593</v>
      </c>
      <c r="H197" t="n">
        <v>465.021</v>
      </c>
      <c r="I197" t="n">
        <v>467.365</v>
      </c>
      <c r="J197" t="n">
        <v>469.626</v>
      </c>
      <c r="K197" t="n">
        <v>471.136</v>
      </c>
      <c r="L197" t="n">
        <v>476.195</v>
      </c>
      <c r="M197" t="n">
        <v>479.941</v>
      </c>
      <c r="N197" t="n">
        <v>486.6</v>
      </c>
      <c r="O197" t="n">
        <v>490.163</v>
      </c>
      <c r="P197" t="n">
        <v>494.807</v>
      </c>
      <c r="Q197" t="n">
        <v>499.355</v>
      </c>
      <c r="R197" t="n">
        <v>506.811</v>
      </c>
      <c r="S197" t="n">
        <v>512.361</v>
      </c>
      <c r="T197" t="n">
        <v>512.048</v>
      </c>
      <c r="U197" t="n">
        <v>513.873</v>
      </c>
      <c r="V197" t="n">
        <v>517.342</v>
      </c>
      <c r="W197" t="n">
        <v>512.516</v>
      </c>
      <c r="X197" t="n">
        <v>519.6900000000001</v>
      </c>
      <c r="Y197" t="n">
        <v>523.324</v>
      </c>
      <c r="Z197" t="n">
        <v>523.471</v>
      </c>
      <c r="AA197" t="n">
        <v>530.732</v>
      </c>
      <c r="AB197" t="n">
        <v>531.369</v>
      </c>
      <c r="AC197" t="n">
        <v>427.638</v>
      </c>
      <c r="AD197" t="n">
        <v>456.495</v>
      </c>
      <c r="AE197" t="n">
        <v>485.578</v>
      </c>
      <c r="AF197" t="n">
        <v>515.133</v>
      </c>
      <c r="AG197" t="n">
        <v>506.808</v>
      </c>
      <c r="AH197" t="n">
        <v>499.555</v>
      </c>
      <c r="AI197" t="n">
        <v>539.508</v>
      </c>
      <c r="AJ197" t="n">
        <v>546.424</v>
      </c>
      <c r="AK197" t="n">
        <v>441.215</v>
      </c>
      <c r="AL197" t="n">
        <v>449.557</v>
      </c>
      <c r="AM197" t="n">
        <v>454.008</v>
      </c>
      <c r="AN197" t="n">
        <v>459.522</v>
      </c>
      <c r="AO197" t="n">
        <v>445.916</v>
      </c>
      <c r="AP197" t="n">
        <v>516.068</v>
      </c>
      <c r="AQ197" t="n">
        <v>526.98</v>
      </c>
      <c r="AR197" t="n">
        <v>534.921</v>
      </c>
      <c r="AS197" t="n">
        <v>522.891</v>
      </c>
      <c r="AT197" t="n">
        <v>603.0650000000001</v>
      </c>
      <c r="AU197" t="n">
        <v>593.949</v>
      </c>
      <c r="AV197" t="n">
        <v>520.804</v>
      </c>
      <c r="AW197" t="n">
        <v>926.134</v>
      </c>
      <c r="AX197" t="n">
        <v>910.573</v>
      </c>
      <c r="AY197" t="n">
        <v>851.376</v>
      </c>
      <c r="AZ197" t="n">
        <v>1170.498</v>
      </c>
      <c r="BA197" t="n">
        <v>913.765</v>
      </c>
      <c r="BB197" t="n">
        <v>830.92</v>
      </c>
      <c r="BC197" t="n">
        <v>753.057</v>
      </c>
      <c r="BD197" t="n">
        <v>718.002</v>
      </c>
      <c r="BE197" t="n">
        <v>603.802</v>
      </c>
      <c r="BF197" t="n">
        <v>449.023</v>
      </c>
      <c r="BG197" t="n">
        <v>461.653</v>
      </c>
      <c r="BH197" t="n">
        <v>424.97</v>
      </c>
      <c r="BI197" t="n">
        <v>392.436</v>
      </c>
      <c r="BJ197" t="n">
        <v>354.429</v>
      </c>
      <c r="BK197" t="n">
        <v>309.641</v>
      </c>
      <c r="BL197" t="n">
        <v>290.5</v>
      </c>
      <c r="BM197" t="n">
        <v>237.831</v>
      </c>
      <c r="BN197" t="n">
        <v>315.027</v>
      </c>
      <c r="BO197" t="n">
        <v>293.561</v>
      </c>
      <c r="BP197" t="n">
        <v>306.145</v>
      </c>
      <c r="BQ197" t="n">
        <v>314.687</v>
      </c>
      <c r="BR197" t="n">
        <v>312.437</v>
      </c>
      <c r="BS197" t="n">
        <v>313.1</v>
      </c>
      <c r="BT197" t="n">
        <v>327.19</v>
      </c>
      <c r="BU197" t="n">
        <v>360.408</v>
      </c>
      <c r="BV197" t="n">
        <v>347.237</v>
      </c>
    </row>
    <row r="198">
      <c r="A198" t="inlineStr">
        <is>
          <t>Platycaranx malabaricus</t>
        </is>
      </c>
      <c r="B198" t="inlineStr">
        <is>
          <t>Malabar trevally</t>
        </is>
      </c>
      <c r="C198" t="inlineStr">
        <is>
          <t>Medium reef assoc. fish (30 - 89 cm)</t>
        </is>
      </c>
      <c r="D198" t="inlineStr">
        <is>
          <t>Perch-likes</t>
        </is>
      </c>
      <c r="E198" t="n">
        <v>257.291</v>
      </c>
      <c r="F198" t="n">
        <v>258.745</v>
      </c>
      <c r="G198" t="n">
        <v>258.753</v>
      </c>
      <c r="H198" t="n">
        <v>259.121</v>
      </c>
      <c r="I198" t="n">
        <v>261.372</v>
      </c>
      <c r="J198" t="n">
        <v>262.613</v>
      </c>
      <c r="K198" t="n">
        <v>263.924</v>
      </c>
      <c r="L198" t="n">
        <v>269.111</v>
      </c>
      <c r="M198" t="n">
        <v>271.144</v>
      </c>
      <c r="N198" t="n">
        <v>276.728</v>
      </c>
      <c r="O198" t="n">
        <v>278.685</v>
      </c>
      <c r="P198" t="n">
        <v>291.747</v>
      </c>
      <c r="Q198" t="n">
        <v>298.202</v>
      </c>
      <c r="R198" t="n">
        <v>304.169</v>
      </c>
      <c r="S198" t="n">
        <v>301.936</v>
      </c>
      <c r="T198" t="n">
        <v>299.223</v>
      </c>
      <c r="U198" t="n">
        <v>302.202</v>
      </c>
      <c r="V198" t="n">
        <v>306.989</v>
      </c>
      <c r="W198" t="n">
        <v>310.733</v>
      </c>
      <c r="X198" t="n">
        <v>322.786</v>
      </c>
      <c r="Y198" t="n">
        <v>337.064</v>
      </c>
      <c r="Z198" t="n">
        <v>347.747</v>
      </c>
      <c r="AA198" t="n">
        <v>371.837</v>
      </c>
      <c r="AB198" t="n">
        <v>420.936</v>
      </c>
      <c r="AC198" t="n">
        <v>398.148</v>
      </c>
      <c r="AD198" t="n">
        <v>427.914</v>
      </c>
      <c r="AE198" t="n">
        <v>513.52</v>
      </c>
      <c r="AF198" t="n">
        <v>553.0170000000001</v>
      </c>
      <c r="AG198" t="n">
        <v>557.04</v>
      </c>
      <c r="AH198" t="n">
        <v>600.098</v>
      </c>
      <c r="AI198" t="n">
        <v>739.176</v>
      </c>
      <c r="AJ198" t="n">
        <v>730.4450000000001</v>
      </c>
      <c r="AK198" t="n">
        <v>604.067</v>
      </c>
      <c r="AL198" t="n">
        <v>640.583</v>
      </c>
      <c r="AM198" t="n">
        <v>715.708</v>
      </c>
      <c r="AN198" t="n">
        <v>797.53</v>
      </c>
      <c r="AO198" t="n">
        <v>838.407</v>
      </c>
      <c r="AP198" t="n">
        <v>812.2380000000001</v>
      </c>
      <c r="AQ198" t="n">
        <v>725.5700000000001</v>
      </c>
      <c r="AR198" t="n">
        <v>696.571</v>
      </c>
      <c r="AS198" t="n">
        <v>416.459</v>
      </c>
      <c r="AT198" t="n">
        <v>479.151</v>
      </c>
      <c r="AU198" t="n">
        <v>394.899</v>
      </c>
      <c r="AV198" t="n">
        <v>389.591</v>
      </c>
      <c r="AW198" t="n">
        <v>569.429</v>
      </c>
      <c r="AX198" t="n">
        <v>606.176</v>
      </c>
      <c r="AY198" t="n">
        <v>614.062</v>
      </c>
      <c r="AZ198" t="n">
        <v>849.736</v>
      </c>
      <c r="BA198" t="n">
        <v>783.727</v>
      </c>
      <c r="BB198" t="n">
        <v>849.706</v>
      </c>
      <c r="BC198" t="n">
        <v>813.562</v>
      </c>
      <c r="BD198" t="n">
        <v>897.351</v>
      </c>
      <c r="BE198" t="n">
        <v>853.224</v>
      </c>
      <c r="BF198" t="n">
        <v>663.746</v>
      </c>
      <c r="BG198" t="n">
        <v>441.538</v>
      </c>
      <c r="BH198" t="n">
        <v>760.634</v>
      </c>
      <c r="BI198" t="n">
        <v>712.867</v>
      </c>
      <c r="BJ198" t="n">
        <v>652.873</v>
      </c>
      <c r="BK198" t="n">
        <v>611.188</v>
      </c>
      <c r="BL198" t="n">
        <v>457.494</v>
      </c>
      <c r="BM198" t="n">
        <v>462.735</v>
      </c>
      <c r="BN198" t="n">
        <v>679.855</v>
      </c>
      <c r="BO198" t="n">
        <v>535.302</v>
      </c>
      <c r="BP198" t="n">
        <v>545.706</v>
      </c>
      <c r="BQ198" t="n">
        <v>475.682</v>
      </c>
      <c r="BR198" t="n">
        <v>328.39</v>
      </c>
      <c r="BS198" t="n">
        <v>456.447</v>
      </c>
      <c r="BT198" t="n">
        <v>514.13</v>
      </c>
      <c r="BU198" t="n">
        <v>398.231</v>
      </c>
      <c r="BV198" t="n">
        <v>488.083</v>
      </c>
    </row>
    <row r="199">
      <c r="A199" t="inlineStr">
        <is>
          <t>Moolgarda seheli</t>
        </is>
      </c>
      <c r="B199" t="inlineStr">
        <is>
          <t>Bluespot mullet</t>
        </is>
      </c>
      <c r="C199" t="inlineStr">
        <is>
          <t>Medium reef assoc. fish (30 - 89 cm)</t>
        </is>
      </c>
      <c r="D199" t="inlineStr">
        <is>
          <t>Perch-likes</t>
        </is>
      </c>
      <c r="E199" t="n">
        <v>10.283</v>
      </c>
      <c r="F199" t="n">
        <v>10.283</v>
      </c>
      <c r="G199" t="n">
        <v>17.138</v>
      </c>
      <c r="H199" t="n">
        <v>13.711</v>
      </c>
      <c r="I199" t="n">
        <v>17.138</v>
      </c>
      <c r="J199" t="n">
        <v>17.138</v>
      </c>
      <c r="K199" t="n">
        <v>18.852</v>
      </c>
      <c r="L199" t="n">
        <v>27.421</v>
      </c>
      <c r="M199" t="n">
        <v>27.421</v>
      </c>
      <c r="N199" t="n">
        <v>34.276</v>
      </c>
      <c r="O199" t="n">
        <v>34.276</v>
      </c>
      <c r="P199" t="n">
        <v>71.657</v>
      </c>
      <c r="Q199" t="n">
        <v>85.691</v>
      </c>
      <c r="R199" t="n">
        <v>92.018</v>
      </c>
      <c r="S199" t="n">
        <v>73.111</v>
      </c>
      <c r="T199" t="n">
        <v>61.378</v>
      </c>
      <c r="U199" t="n">
        <v>63.63</v>
      </c>
      <c r="V199" t="n">
        <v>43.722</v>
      </c>
      <c r="W199" t="n">
        <v>30.89</v>
      </c>
      <c r="X199" t="n">
        <v>29.247</v>
      </c>
      <c r="Y199" t="n">
        <v>30.403</v>
      </c>
      <c r="Z199" t="n">
        <v>39.573</v>
      </c>
      <c r="AA199" t="n">
        <v>39.852</v>
      </c>
      <c r="AB199" t="n">
        <v>47.843</v>
      </c>
      <c r="AC199" t="n">
        <v>48.337</v>
      </c>
      <c r="AD199" t="n">
        <v>36.934</v>
      </c>
      <c r="AE199" t="n">
        <v>36.408</v>
      </c>
      <c r="AF199" t="n">
        <v>33.774</v>
      </c>
      <c r="AG199" t="n">
        <v>55.7</v>
      </c>
      <c r="AH199" t="n">
        <v>68.345</v>
      </c>
      <c r="AI199" t="n">
        <v>80.88800000000001</v>
      </c>
      <c r="AJ199" t="n">
        <v>92.337</v>
      </c>
      <c r="AK199" t="n">
        <v>84.958</v>
      </c>
      <c r="AL199" t="n">
        <v>106.602</v>
      </c>
      <c r="AM199" t="n">
        <v>112.885</v>
      </c>
      <c r="AN199" t="n">
        <v>97.431</v>
      </c>
      <c r="AO199" t="n">
        <v>99.15600000000001</v>
      </c>
      <c r="AP199" t="n">
        <v>80.03700000000001</v>
      </c>
      <c r="AQ199" t="n">
        <v>70.161</v>
      </c>
      <c r="AR199" t="n">
        <v>72.35899999999999</v>
      </c>
      <c r="AS199" t="n">
        <v>54.428</v>
      </c>
      <c r="AT199" t="n">
        <v>50.858</v>
      </c>
      <c r="AU199" t="n">
        <v>78.239</v>
      </c>
      <c r="AV199" t="n">
        <v>79.191</v>
      </c>
      <c r="AW199" t="n">
        <v>114.654</v>
      </c>
      <c r="AX199" t="n">
        <v>127.284</v>
      </c>
      <c r="AY199" t="n">
        <v>134.894</v>
      </c>
      <c r="AZ199" t="n">
        <v>134.508</v>
      </c>
      <c r="BA199" t="n">
        <v>154.4</v>
      </c>
      <c r="BB199" t="n">
        <v>147.897</v>
      </c>
      <c r="BC199" t="n">
        <v>163.852</v>
      </c>
      <c r="BD199" t="n">
        <v>192.291</v>
      </c>
      <c r="BE199" t="n">
        <v>205.119</v>
      </c>
      <c r="BF199" t="n">
        <v>207.696</v>
      </c>
      <c r="BG199" t="n">
        <v>203.977</v>
      </c>
      <c r="BH199" t="n">
        <v>197.644</v>
      </c>
      <c r="BI199" t="n">
        <v>166.023</v>
      </c>
      <c r="BJ199" t="n">
        <v>380.515</v>
      </c>
      <c r="BK199" t="n">
        <v>253.275</v>
      </c>
      <c r="BL199" t="n">
        <v>247.839</v>
      </c>
      <c r="BM199" t="n">
        <v>237.739</v>
      </c>
      <c r="BN199" t="n">
        <v>3557.276</v>
      </c>
      <c r="BO199" t="n">
        <v>4530.61</v>
      </c>
      <c r="BP199" t="n">
        <v>4411.422</v>
      </c>
      <c r="BQ199" t="n">
        <v>3825.634</v>
      </c>
      <c r="BR199" t="n">
        <v>3351.683</v>
      </c>
      <c r="BS199" t="n">
        <v>3203.441</v>
      </c>
      <c r="BT199" t="n">
        <v>2339.492</v>
      </c>
      <c r="BU199" t="n">
        <v>2005.017</v>
      </c>
      <c r="BV199" t="n">
        <v>2177.34</v>
      </c>
    </row>
    <row r="200">
      <c r="A200" t="inlineStr">
        <is>
          <t>Epinephelus areolatus</t>
        </is>
      </c>
      <c r="B200" t="inlineStr">
        <is>
          <t>Areolate grouper</t>
        </is>
      </c>
      <c r="C200" t="inlineStr">
        <is>
          <t>Medium reef assoc. fish (30 - 89 cm)</t>
        </is>
      </c>
      <c r="D200" t="inlineStr">
        <is>
          <t>Perch-likes</t>
        </is>
      </c>
      <c r="E200" t="n">
        <v>300.724</v>
      </c>
      <c r="F200" t="n">
        <v>299.89</v>
      </c>
      <c r="G200" t="n">
        <v>303.955</v>
      </c>
      <c r="H200" t="n">
        <v>300.676</v>
      </c>
      <c r="I200" t="n">
        <v>302.296</v>
      </c>
      <c r="J200" t="n">
        <v>301.47</v>
      </c>
      <c r="K200" t="n">
        <v>301.87</v>
      </c>
      <c r="L200" t="n">
        <v>307.17</v>
      </c>
      <c r="M200" t="n">
        <v>306.35</v>
      </c>
      <c r="N200" t="n">
        <v>310.43</v>
      </c>
      <c r="O200" t="n">
        <v>312.166</v>
      </c>
      <c r="P200" t="n">
        <v>338.347</v>
      </c>
      <c r="Q200" t="n">
        <v>347.852</v>
      </c>
      <c r="R200" t="n">
        <v>354.327</v>
      </c>
      <c r="S200" t="n">
        <v>341.451</v>
      </c>
      <c r="T200" t="n">
        <v>337.394</v>
      </c>
      <c r="U200" t="n">
        <v>339.568</v>
      </c>
      <c r="V200" t="n">
        <v>324.857</v>
      </c>
      <c r="W200" t="n">
        <v>316.408</v>
      </c>
      <c r="X200" t="n">
        <v>315.979</v>
      </c>
      <c r="Y200" t="n">
        <v>318.669</v>
      </c>
      <c r="Z200" t="n">
        <v>325.862</v>
      </c>
      <c r="AA200" t="n">
        <v>326.681</v>
      </c>
      <c r="AB200" t="n">
        <v>332.985</v>
      </c>
      <c r="AC200" t="n">
        <v>375.959</v>
      </c>
      <c r="AD200" t="n">
        <v>375.924</v>
      </c>
      <c r="AE200" t="n">
        <v>402.095</v>
      </c>
      <c r="AF200" t="n">
        <v>433.837</v>
      </c>
      <c r="AG200" t="n">
        <v>349.817</v>
      </c>
      <c r="AH200" t="n">
        <v>474.481</v>
      </c>
      <c r="AI200" t="n">
        <v>611.3819999999999</v>
      </c>
      <c r="AJ200" t="n">
        <v>487.331</v>
      </c>
      <c r="AK200" t="n">
        <v>450.843</v>
      </c>
      <c r="AL200" t="n">
        <v>512.9880000000001</v>
      </c>
      <c r="AM200" t="n">
        <v>714.22</v>
      </c>
      <c r="AN200" t="n">
        <v>651.586</v>
      </c>
      <c r="AO200" t="n">
        <v>511.08</v>
      </c>
      <c r="AP200" t="n">
        <v>663.24</v>
      </c>
      <c r="AQ200" t="n">
        <v>585.116</v>
      </c>
      <c r="AR200" t="n">
        <v>512.029</v>
      </c>
      <c r="AS200" t="n">
        <v>400.044</v>
      </c>
      <c r="AT200" t="n">
        <v>293.169</v>
      </c>
      <c r="AU200" t="n">
        <v>238.033</v>
      </c>
      <c r="AV200" t="n">
        <v>222.771</v>
      </c>
      <c r="AW200" t="n">
        <v>233.011</v>
      </c>
      <c r="AX200" t="n">
        <v>226.72</v>
      </c>
      <c r="AY200" t="n">
        <v>276.808</v>
      </c>
      <c r="AZ200" t="n">
        <v>323.896</v>
      </c>
      <c r="BA200" t="n">
        <v>386.226</v>
      </c>
      <c r="BB200" t="n">
        <v>431.398</v>
      </c>
      <c r="BC200" t="n">
        <v>495.216</v>
      </c>
      <c r="BD200" t="n">
        <v>508.521</v>
      </c>
      <c r="BE200" t="n">
        <v>595.693</v>
      </c>
      <c r="BF200" t="n">
        <v>665.3630000000001</v>
      </c>
      <c r="BG200" t="n">
        <v>751.933</v>
      </c>
      <c r="BH200" t="n">
        <v>600.795</v>
      </c>
      <c r="BI200" t="n">
        <v>605.194</v>
      </c>
      <c r="BJ200" t="n">
        <v>625.884</v>
      </c>
      <c r="BK200" t="n">
        <v>637.95</v>
      </c>
      <c r="BL200" t="n">
        <v>717.263</v>
      </c>
      <c r="BM200" t="n">
        <v>792.662</v>
      </c>
      <c r="BN200" t="n">
        <v>808.659</v>
      </c>
      <c r="BO200" t="n">
        <v>818.086</v>
      </c>
      <c r="BP200" t="n">
        <v>853.861</v>
      </c>
      <c r="BQ200" t="n">
        <v>845.48</v>
      </c>
      <c r="BR200" t="n">
        <v>851.2140000000001</v>
      </c>
      <c r="BS200" t="n">
        <v>853.593</v>
      </c>
      <c r="BT200" t="n">
        <v>835.021</v>
      </c>
      <c r="BU200" t="n">
        <v>808.933</v>
      </c>
      <c r="BV200" t="n">
        <v>863.174</v>
      </c>
    </row>
    <row r="201">
      <c r="A201" t="inlineStr">
        <is>
          <t>Carcharhinus limbatus</t>
        </is>
      </c>
      <c r="B201" t="inlineStr">
        <is>
          <t>Blacktip shark</t>
        </is>
      </c>
      <c r="C201" t="inlineStr">
        <is>
          <t>Large sharks (&gt;=90 cm)</t>
        </is>
      </c>
      <c r="D201" t="inlineStr">
        <is>
          <t>Sharks &amp; rays</t>
        </is>
      </c>
      <c r="E201" t="n">
        <v>164.071</v>
      </c>
      <c r="F201" t="n">
        <v>167.419</v>
      </c>
      <c r="G201" t="n">
        <v>170.836</v>
      </c>
      <c r="H201" t="n">
        <v>174.322</v>
      </c>
      <c r="I201" t="n">
        <v>177.88</v>
      </c>
      <c r="J201" t="n">
        <v>181.51</v>
      </c>
      <c r="K201" t="n">
        <v>185.214</v>
      </c>
      <c r="L201" t="n">
        <v>188.994</v>
      </c>
      <c r="M201" t="n">
        <v>192.851</v>
      </c>
      <c r="N201" t="n">
        <v>196.787</v>
      </c>
      <c r="O201" t="n">
        <v>200.803</v>
      </c>
      <c r="P201" t="n">
        <v>204.901</v>
      </c>
      <c r="Q201" t="n">
        <v>209.083</v>
      </c>
      <c r="R201" t="n">
        <v>213.35</v>
      </c>
      <c r="S201" t="n">
        <v>217.704</v>
      </c>
      <c r="T201" t="n">
        <v>222.147</v>
      </c>
      <c r="U201" t="n">
        <v>226.68</v>
      </c>
      <c r="V201" t="n">
        <v>237.7</v>
      </c>
      <c r="W201" t="n">
        <v>248.719</v>
      </c>
      <c r="X201" t="n">
        <v>259.738</v>
      </c>
      <c r="Y201" t="n">
        <v>270.757</v>
      </c>
      <c r="Z201" t="n">
        <v>281.776</v>
      </c>
      <c r="AA201" t="n">
        <v>292.796</v>
      </c>
      <c r="AB201" t="n">
        <v>303.815</v>
      </c>
      <c r="AC201" t="n">
        <v>314.834</v>
      </c>
      <c r="AD201" t="n">
        <v>300.788</v>
      </c>
      <c r="AE201" t="n">
        <v>310.239</v>
      </c>
      <c r="AF201" t="n">
        <v>319.644</v>
      </c>
      <c r="AG201" t="n">
        <v>329.002</v>
      </c>
      <c r="AH201" t="n">
        <v>338.312</v>
      </c>
      <c r="AI201" t="n">
        <v>347.575</v>
      </c>
      <c r="AJ201" t="n">
        <v>356.792</v>
      </c>
      <c r="AK201" t="n">
        <v>343.68</v>
      </c>
      <c r="AL201" t="n">
        <v>397.976</v>
      </c>
      <c r="AM201" t="n">
        <v>604.718</v>
      </c>
      <c r="AN201" t="n">
        <v>475.318</v>
      </c>
      <c r="AO201" t="n">
        <v>759.922</v>
      </c>
      <c r="AP201" t="n">
        <v>570.104</v>
      </c>
      <c r="AQ201" t="n">
        <v>701.8579999999999</v>
      </c>
      <c r="AR201" t="n">
        <v>585.498</v>
      </c>
      <c r="AS201" t="n">
        <v>469.686</v>
      </c>
      <c r="AT201" t="n">
        <v>486.581</v>
      </c>
      <c r="AU201" t="n">
        <v>621.247</v>
      </c>
      <c r="AV201" t="n">
        <v>755.258</v>
      </c>
      <c r="AW201" t="n">
        <v>888.615</v>
      </c>
      <c r="AX201" t="n">
        <v>988.595</v>
      </c>
      <c r="AY201" t="n">
        <v>1088.079</v>
      </c>
      <c r="AZ201" t="n">
        <v>1187.067</v>
      </c>
      <c r="BA201" t="n">
        <v>1285.56</v>
      </c>
      <c r="BB201" t="n">
        <v>1383.557</v>
      </c>
      <c r="BC201" t="n">
        <v>1481.058</v>
      </c>
      <c r="BD201" t="n">
        <v>1360.164</v>
      </c>
      <c r="BE201" t="n">
        <v>1239.847</v>
      </c>
      <c r="BF201" t="n">
        <v>1120.108</v>
      </c>
      <c r="BG201" t="n">
        <v>1000.946</v>
      </c>
      <c r="BH201" t="n">
        <v>882.362</v>
      </c>
      <c r="BI201" t="n">
        <v>697.764</v>
      </c>
      <c r="BJ201" t="n">
        <v>514.076</v>
      </c>
      <c r="BK201" t="n">
        <v>518.552</v>
      </c>
      <c r="BL201" t="n">
        <v>457.864</v>
      </c>
      <c r="BM201" t="n">
        <v>396.658</v>
      </c>
      <c r="BN201" t="n">
        <v>337.422</v>
      </c>
      <c r="BO201" t="n">
        <v>278.294</v>
      </c>
      <c r="BP201" t="n">
        <v>219.204</v>
      </c>
      <c r="BQ201" t="n">
        <v>160.114</v>
      </c>
      <c r="BR201" t="n">
        <v>181.463</v>
      </c>
      <c r="BS201" t="n">
        <v>202.812</v>
      </c>
      <c r="BT201" t="n">
        <v>224.16</v>
      </c>
      <c r="BU201" t="n">
        <v>245.573</v>
      </c>
      <c r="BV201" t="n">
        <v>266.857</v>
      </c>
    </row>
    <row r="202">
      <c r="A202" t="inlineStr">
        <is>
          <t>Siganus canaliculatus</t>
        </is>
      </c>
      <c r="B202" t="inlineStr">
        <is>
          <t>White-spotted spinefoot</t>
        </is>
      </c>
      <c r="C202" t="inlineStr">
        <is>
          <t>Small reef assoc. fish (&lt;30 cm)</t>
        </is>
      </c>
      <c r="D202" t="inlineStr">
        <is>
          <t>Perch-likes</t>
        </is>
      </c>
      <c r="E202" t="n">
        <v>36.288</v>
      </c>
      <c r="F202" t="n">
        <v>36.231</v>
      </c>
      <c r="G202" t="n">
        <v>43.51</v>
      </c>
      <c r="H202" t="n">
        <v>48.379</v>
      </c>
      <c r="I202" t="n">
        <v>48.362</v>
      </c>
      <c r="J202" t="n">
        <v>61.416</v>
      </c>
      <c r="K202" t="n">
        <v>61.387</v>
      </c>
      <c r="L202" t="n">
        <v>60.386</v>
      </c>
      <c r="M202" t="n">
        <v>60.357</v>
      </c>
      <c r="N202" t="n">
        <v>67.471</v>
      </c>
      <c r="O202" t="n">
        <v>67.47199999999999</v>
      </c>
      <c r="P202" t="n">
        <v>67.48999999999999</v>
      </c>
      <c r="Q202" t="n">
        <v>73.414</v>
      </c>
      <c r="R202" t="n">
        <v>73.72499999999999</v>
      </c>
      <c r="S202" t="n">
        <v>73.762</v>
      </c>
      <c r="T202" t="n">
        <v>79.67100000000001</v>
      </c>
      <c r="U202" t="n">
        <v>85.83799999999999</v>
      </c>
      <c r="V202" t="n">
        <v>85.849</v>
      </c>
      <c r="W202" t="n">
        <v>85.88200000000001</v>
      </c>
      <c r="X202" t="n">
        <v>91.02</v>
      </c>
      <c r="Y202" t="n">
        <v>96.199</v>
      </c>
      <c r="Z202" t="n">
        <v>101.14</v>
      </c>
      <c r="AA202" t="n">
        <v>106.337</v>
      </c>
      <c r="AB202" t="n">
        <v>112.505</v>
      </c>
      <c r="AC202" t="n">
        <v>117.437</v>
      </c>
      <c r="AD202" t="n">
        <v>122.668</v>
      </c>
      <c r="AE202" t="n">
        <v>121.608</v>
      </c>
      <c r="AF202" t="n">
        <v>118.818</v>
      </c>
      <c r="AG202" t="n">
        <v>115.979</v>
      </c>
      <c r="AH202" t="n">
        <v>113.076</v>
      </c>
      <c r="AI202" t="n">
        <v>108.168</v>
      </c>
      <c r="AJ202" t="n">
        <v>102.16</v>
      </c>
      <c r="AK202" t="n">
        <v>106.499</v>
      </c>
      <c r="AL202" t="n">
        <v>129.064</v>
      </c>
      <c r="AM202" t="n">
        <v>122.273</v>
      </c>
      <c r="AN202" t="n">
        <v>106.927</v>
      </c>
      <c r="AO202" t="n">
        <v>108.084</v>
      </c>
      <c r="AP202" t="n">
        <v>133.139</v>
      </c>
      <c r="AQ202" t="n">
        <v>185.495</v>
      </c>
      <c r="AR202" t="n">
        <v>138.275</v>
      </c>
      <c r="AS202" t="n">
        <v>131.29</v>
      </c>
      <c r="AT202" t="n">
        <v>134.437</v>
      </c>
      <c r="AU202" t="n">
        <v>126.61</v>
      </c>
      <c r="AV202" t="n">
        <v>123.629</v>
      </c>
      <c r="AW202" t="n">
        <v>128.028</v>
      </c>
      <c r="AX202" t="n">
        <v>143.483</v>
      </c>
      <c r="AY202" t="n">
        <v>118.93</v>
      </c>
      <c r="AZ202" t="n">
        <v>117.059</v>
      </c>
      <c r="BA202" t="n">
        <v>118.618</v>
      </c>
      <c r="BB202" t="n">
        <v>129.125</v>
      </c>
      <c r="BC202" t="n">
        <v>143.539</v>
      </c>
      <c r="BD202" t="n">
        <v>419.374</v>
      </c>
      <c r="BE202" t="n">
        <v>680.395</v>
      </c>
      <c r="BF202" t="n">
        <v>802.564</v>
      </c>
      <c r="BG202" t="n">
        <v>899.987</v>
      </c>
      <c r="BH202" t="n">
        <v>1253.008</v>
      </c>
      <c r="BI202" t="n">
        <v>762.308</v>
      </c>
      <c r="BJ202" t="n">
        <v>948.346</v>
      </c>
      <c r="BK202" t="n">
        <v>912.057</v>
      </c>
      <c r="BL202" t="n">
        <v>1055.153</v>
      </c>
      <c r="BM202" t="n">
        <v>555.216</v>
      </c>
      <c r="BN202" t="n">
        <v>1102.642</v>
      </c>
      <c r="BO202" t="n">
        <v>847.527</v>
      </c>
      <c r="BP202" t="n">
        <v>1077.498</v>
      </c>
      <c r="BQ202" t="n">
        <v>1041.59</v>
      </c>
      <c r="BR202" t="n">
        <v>3228.826</v>
      </c>
      <c r="BS202" t="n">
        <v>3548.349</v>
      </c>
      <c r="BT202" t="n">
        <v>2004.032</v>
      </c>
      <c r="BU202" t="n">
        <v>2013.867</v>
      </c>
      <c r="BV202" t="n">
        <v>4201.767</v>
      </c>
    </row>
    <row r="203">
      <c r="A203" t="inlineStr">
        <is>
          <t>Panulirus</t>
        </is>
      </c>
      <c r="B203" t="inlineStr">
        <is>
          <t>Spiny lobsters</t>
        </is>
      </c>
      <c r="C203" t="inlineStr">
        <is>
          <t>Lobsters, crabs</t>
        </is>
      </c>
      <c r="D203" t="inlineStr">
        <is>
          <t>Crustaceans</t>
        </is>
      </c>
      <c r="E203" t="n">
        <v>2.484</v>
      </c>
      <c r="F203" t="n">
        <v>2.548</v>
      </c>
      <c r="G203" t="n">
        <v>2.612</v>
      </c>
      <c r="H203" t="n">
        <v>2.676</v>
      </c>
      <c r="I203" t="n">
        <v>2.74</v>
      </c>
      <c r="J203" t="n">
        <v>2.804</v>
      </c>
      <c r="K203" t="n">
        <v>2.868</v>
      </c>
      <c r="L203" t="n">
        <v>2.932</v>
      </c>
      <c r="M203" t="n">
        <v>2.996</v>
      </c>
      <c r="N203" t="n">
        <v>3.06</v>
      </c>
      <c r="O203" t="n">
        <v>3.124</v>
      </c>
      <c r="P203" t="n">
        <v>3.188</v>
      </c>
      <c r="Q203" t="n">
        <v>3.252</v>
      </c>
      <c r="R203" t="n">
        <v>3.316</v>
      </c>
      <c r="S203" t="n">
        <v>3.38</v>
      </c>
      <c r="T203" t="n">
        <v>3.444</v>
      </c>
      <c r="U203" t="n">
        <v>3.508</v>
      </c>
      <c r="V203" t="n">
        <v>3.572</v>
      </c>
      <c r="W203" t="n">
        <v>3.752</v>
      </c>
      <c r="X203" t="n">
        <v>3.932</v>
      </c>
      <c r="Y203" t="n">
        <v>4.112</v>
      </c>
      <c r="Z203" t="n">
        <v>100.102</v>
      </c>
      <c r="AA203" t="n">
        <v>387.752</v>
      </c>
      <c r="AB203" t="n">
        <v>387.996</v>
      </c>
      <c r="AC203" t="n">
        <v>216.679</v>
      </c>
      <c r="AD203" t="n">
        <v>243.738</v>
      </c>
      <c r="AE203" t="n">
        <v>272.723</v>
      </c>
      <c r="AF203" t="n">
        <v>223.057</v>
      </c>
      <c r="AG203" t="n">
        <v>217.823</v>
      </c>
      <c r="AH203" t="n">
        <v>71.611</v>
      </c>
      <c r="AI203" t="n">
        <v>58.15</v>
      </c>
      <c r="AJ203" t="n">
        <v>277.47</v>
      </c>
      <c r="AK203" t="n">
        <v>165.373</v>
      </c>
      <c r="AL203" t="n">
        <v>907.125</v>
      </c>
      <c r="AM203" t="n">
        <v>913.808</v>
      </c>
      <c r="AN203" t="n">
        <v>324.673</v>
      </c>
      <c r="AO203" t="n">
        <v>269.068</v>
      </c>
      <c r="AP203" t="n">
        <v>329.941</v>
      </c>
      <c r="AQ203" t="n">
        <v>350.912</v>
      </c>
      <c r="AR203" t="n">
        <v>471.238</v>
      </c>
      <c r="AS203" t="n">
        <v>507.093</v>
      </c>
      <c r="AT203" t="n">
        <v>767.543</v>
      </c>
      <c r="AU203" t="n">
        <v>482.089</v>
      </c>
      <c r="AV203" t="n">
        <v>486.58</v>
      </c>
      <c r="AW203" t="n">
        <v>642.145</v>
      </c>
      <c r="AX203" t="n">
        <v>590.296</v>
      </c>
      <c r="AY203" t="n">
        <v>694.871</v>
      </c>
      <c r="AZ203" t="n">
        <v>734.3440000000001</v>
      </c>
      <c r="BA203" t="n">
        <v>750.503</v>
      </c>
      <c r="BB203" t="n">
        <v>1033.243</v>
      </c>
      <c r="BC203" t="n">
        <v>774.496</v>
      </c>
      <c r="BD203" t="n">
        <v>725.865</v>
      </c>
      <c r="BE203" t="n">
        <v>769.665</v>
      </c>
      <c r="BF203" t="n">
        <v>718.812</v>
      </c>
      <c r="BG203" t="n">
        <v>687.157</v>
      </c>
      <c r="BH203" t="n">
        <v>552.604</v>
      </c>
      <c r="BI203" t="n">
        <v>577.2</v>
      </c>
      <c r="BJ203" t="n">
        <v>566.985</v>
      </c>
      <c r="BK203" t="n">
        <v>578.489</v>
      </c>
      <c r="BL203" t="n">
        <v>490.271</v>
      </c>
      <c r="BM203" t="n">
        <v>986.967</v>
      </c>
      <c r="BN203" t="n">
        <v>1035.972</v>
      </c>
      <c r="BO203" t="n">
        <v>1195.069</v>
      </c>
      <c r="BP203" t="n">
        <v>1300.426</v>
      </c>
      <c r="BQ203" t="n">
        <v>1061.7</v>
      </c>
      <c r="BR203" t="n">
        <v>1205.589</v>
      </c>
      <c r="BS203" t="n">
        <v>1396.397</v>
      </c>
      <c r="BT203" t="n">
        <v>1573.53</v>
      </c>
      <c r="BU203" t="n">
        <v>1729.127</v>
      </c>
      <c r="BV203" t="n">
        <v>1433.867</v>
      </c>
    </row>
    <row r="204">
      <c r="A204" t="inlineStr">
        <is>
          <t>Rhynchobatus djiddensis</t>
        </is>
      </c>
      <c r="B204" t="inlineStr">
        <is>
          <t>Giant guitarfish</t>
        </is>
      </c>
      <c r="C204" t="inlineStr">
        <is>
          <t>Large rays (&gt;=90 cm)</t>
        </is>
      </c>
      <c r="D204" t="inlineStr">
        <is>
          <t>Sharks &amp; rays</t>
        </is>
      </c>
      <c r="E204" t="n">
        <v>294.106</v>
      </c>
      <c r="F204" t="n">
        <v>295.643</v>
      </c>
      <c r="G204" t="n">
        <v>293.618</v>
      </c>
      <c r="H204" t="n">
        <v>295.026</v>
      </c>
      <c r="I204" t="n">
        <v>296.386</v>
      </c>
      <c r="J204" t="n">
        <v>297.698</v>
      </c>
      <c r="K204" t="n">
        <v>296.745</v>
      </c>
      <c r="L204" t="n">
        <v>299.677</v>
      </c>
      <c r="M204" t="n">
        <v>301.86</v>
      </c>
      <c r="N204" t="n">
        <v>305.731</v>
      </c>
      <c r="O204" t="n">
        <v>307.807</v>
      </c>
      <c r="P204" t="n">
        <v>310.517</v>
      </c>
      <c r="Q204" t="n">
        <v>313.171</v>
      </c>
      <c r="R204" t="n">
        <v>317.51</v>
      </c>
      <c r="S204" t="n">
        <v>317.436</v>
      </c>
      <c r="T204" t="n">
        <v>318.741</v>
      </c>
      <c r="U204" t="n">
        <v>319.999</v>
      </c>
      <c r="V204" t="n">
        <v>323.682</v>
      </c>
      <c r="W204" t="n">
        <v>326.43</v>
      </c>
      <c r="X204" t="n">
        <v>326.537</v>
      </c>
      <c r="Y204" t="n">
        <v>326.434</v>
      </c>
      <c r="Z204" t="n">
        <v>327.444</v>
      </c>
      <c r="AA204" t="n">
        <v>330.917</v>
      </c>
      <c r="AB204" t="n">
        <v>330.737</v>
      </c>
      <c r="AC204" t="n">
        <v>352.799</v>
      </c>
      <c r="AD204" t="n">
        <v>369.402</v>
      </c>
      <c r="AE204" t="n">
        <v>383.665</v>
      </c>
      <c r="AF204" t="n">
        <v>400.943</v>
      </c>
      <c r="AG204" t="n">
        <v>400.699</v>
      </c>
      <c r="AH204" t="n">
        <v>393.788</v>
      </c>
      <c r="AI204" t="n">
        <v>379.764</v>
      </c>
      <c r="AJ204" t="n">
        <v>381.966</v>
      </c>
      <c r="AK204" t="n">
        <v>401.239</v>
      </c>
      <c r="AL204" t="n">
        <v>398.416</v>
      </c>
      <c r="AM204" t="n">
        <v>404.943</v>
      </c>
      <c r="AN204" t="n">
        <v>407.938</v>
      </c>
      <c r="AO204" t="n">
        <v>444.829</v>
      </c>
      <c r="AP204" t="n">
        <v>569.193</v>
      </c>
      <c r="AQ204" t="n">
        <v>597.447</v>
      </c>
      <c r="AR204" t="n">
        <v>617.1180000000001</v>
      </c>
      <c r="AS204" t="n">
        <v>589.386</v>
      </c>
      <c r="AT204" t="n">
        <v>614.92</v>
      </c>
      <c r="AU204" t="n">
        <v>665.741</v>
      </c>
      <c r="AV204" t="n">
        <v>626.563</v>
      </c>
      <c r="AW204" t="n">
        <v>811.0119999999999</v>
      </c>
      <c r="AX204" t="n">
        <v>823.766</v>
      </c>
      <c r="AY204" t="n">
        <v>783.686</v>
      </c>
      <c r="AZ204" t="n">
        <v>1554.018</v>
      </c>
      <c r="BA204" t="n">
        <v>1119.619</v>
      </c>
      <c r="BB204" t="n">
        <v>591.107</v>
      </c>
      <c r="BC204" t="n">
        <v>476.313</v>
      </c>
      <c r="BD204" t="n">
        <v>471.835</v>
      </c>
      <c r="BE204" t="n">
        <v>393.735</v>
      </c>
      <c r="BF204" t="n">
        <v>393.493</v>
      </c>
      <c r="BG204" t="n">
        <v>423.649</v>
      </c>
      <c r="BH204" t="n">
        <v>370.603</v>
      </c>
      <c r="BI204" t="n">
        <v>299.089</v>
      </c>
      <c r="BJ204" t="n">
        <v>234.34</v>
      </c>
      <c r="BK204" t="n">
        <v>239.234</v>
      </c>
      <c r="BL204" t="n">
        <v>271.834</v>
      </c>
      <c r="BM204" t="n">
        <v>235.354</v>
      </c>
      <c r="BN204" t="n">
        <v>316.851</v>
      </c>
      <c r="BO204" t="n">
        <v>356.115</v>
      </c>
      <c r="BP204" t="n">
        <v>391.227</v>
      </c>
      <c r="BQ204" t="n">
        <v>355.437</v>
      </c>
      <c r="BR204" t="n">
        <v>420.721</v>
      </c>
      <c r="BS204" t="n">
        <v>474.779</v>
      </c>
      <c r="BT204" t="n">
        <v>519.711</v>
      </c>
      <c r="BU204" t="n">
        <v>510.121</v>
      </c>
      <c r="BV204" t="n">
        <v>514.426</v>
      </c>
    </row>
    <row r="205">
      <c r="A205" t="inlineStr">
        <is>
          <t>Isurus paucus</t>
        </is>
      </c>
      <c r="B205" t="inlineStr">
        <is>
          <t>Longfin mako</t>
        </is>
      </c>
      <c r="C205" t="inlineStr">
        <is>
          <t>Large sharks (&gt;=90 cm)</t>
        </is>
      </c>
      <c r="D205" t="inlineStr">
        <is>
          <t>Sharks &amp; rays</t>
        </is>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458.985</v>
      </c>
      <c r="Z205" t="n">
        <v>482.984</v>
      </c>
      <c r="AA205" t="n">
        <v>593.982</v>
      </c>
      <c r="AB205" t="n">
        <v>785.978</v>
      </c>
      <c r="AC205" t="n">
        <v>899.677</v>
      </c>
      <c r="AD205" t="n">
        <v>854.109</v>
      </c>
      <c r="AE205" t="n">
        <v>754.573</v>
      </c>
      <c r="AF205" t="n">
        <v>983.048</v>
      </c>
      <c r="AG205" t="n">
        <v>182.996</v>
      </c>
      <c r="AH205" t="n">
        <v>340.072</v>
      </c>
      <c r="AI205" t="n">
        <v>237.325</v>
      </c>
      <c r="AJ205" t="n">
        <v>84.358</v>
      </c>
      <c r="AK205" t="n">
        <v>90.538</v>
      </c>
      <c r="AL205" t="n">
        <v>151.764</v>
      </c>
      <c r="AM205" t="n">
        <v>159.371</v>
      </c>
      <c r="AN205" t="n">
        <v>136.88</v>
      </c>
      <c r="AO205" t="n">
        <v>168.777</v>
      </c>
      <c r="AP205" t="n">
        <v>137.55</v>
      </c>
      <c r="AQ205" t="n">
        <v>129.956</v>
      </c>
      <c r="AR205" t="n">
        <v>137.983</v>
      </c>
      <c r="AS205" t="n">
        <v>69.087</v>
      </c>
      <c r="AT205" t="n">
        <v>1919.147</v>
      </c>
      <c r="AU205" t="n">
        <v>1639.883</v>
      </c>
      <c r="AV205" t="n">
        <v>939.888</v>
      </c>
      <c r="AW205" t="n">
        <v>1218.873</v>
      </c>
      <c r="AX205" t="n">
        <v>441.23</v>
      </c>
      <c r="AY205" t="n">
        <v>485.299</v>
      </c>
      <c r="AZ205" t="n">
        <v>613.306</v>
      </c>
      <c r="BA205" t="n">
        <v>1047.306</v>
      </c>
      <c r="BB205" t="n">
        <v>1177.444</v>
      </c>
      <c r="BC205" t="n">
        <v>1085.286</v>
      </c>
      <c r="BD205" t="n">
        <v>1005.425</v>
      </c>
      <c r="BE205" t="n">
        <v>885.9</v>
      </c>
      <c r="BF205" t="n">
        <v>957.912</v>
      </c>
      <c r="BG205" t="n">
        <v>936.932</v>
      </c>
      <c r="BH205" t="n">
        <v>799.857</v>
      </c>
      <c r="BI205" t="n">
        <v>689.241</v>
      </c>
      <c r="BJ205" t="n">
        <v>486.255</v>
      </c>
      <c r="BK205" t="n">
        <v>466.676</v>
      </c>
      <c r="BL205" t="n">
        <v>584.501</v>
      </c>
      <c r="BM205" t="n">
        <v>393.764</v>
      </c>
      <c r="BN205" t="n">
        <v>420.607</v>
      </c>
      <c r="BO205" t="n">
        <v>553.4400000000001</v>
      </c>
      <c r="BP205" t="n">
        <v>405.518</v>
      </c>
      <c r="BQ205" t="n">
        <v>639.984</v>
      </c>
      <c r="BR205" t="n">
        <v>874.263</v>
      </c>
      <c r="BS205" t="n">
        <v>233.975</v>
      </c>
      <c r="BT205" t="n">
        <v>467.656</v>
      </c>
      <c r="BU205" t="n">
        <v>414.604</v>
      </c>
      <c r="BV205" t="n">
        <v>538.874</v>
      </c>
    </row>
    <row r="206">
      <c r="A206" t="inlineStr">
        <is>
          <t>Diagramma pictum</t>
        </is>
      </c>
      <c r="B206" t="inlineStr">
        <is>
          <t>Painted sweetlips</t>
        </is>
      </c>
      <c r="C206" t="inlineStr">
        <is>
          <t>Large reef assoc. fish (&gt;=90 cm)</t>
        </is>
      </c>
      <c r="D206" t="inlineStr">
        <is>
          <t>Perch-likes</t>
        </is>
      </c>
      <c r="E206" t="n">
        <v>286.352</v>
      </c>
      <c r="F206" t="n">
        <v>288.047</v>
      </c>
      <c r="G206" t="n">
        <v>286.943</v>
      </c>
      <c r="H206" t="n">
        <v>288.048</v>
      </c>
      <c r="I206" t="n">
        <v>290.024</v>
      </c>
      <c r="J206" t="n">
        <v>291.492</v>
      </c>
      <c r="K206" t="n">
        <v>292.738</v>
      </c>
      <c r="L206" t="n">
        <v>297.053</v>
      </c>
      <c r="M206" t="n">
        <v>299.426</v>
      </c>
      <c r="N206" t="n">
        <v>304.486</v>
      </c>
      <c r="O206" t="n">
        <v>306.753</v>
      </c>
      <c r="P206" t="n">
        <v>314.696</v>
      </c>
      <c r="Q206" t="n">
        <v>319.448</v>
      </c>
      <c r="R206" t="n">
        <v>324.929</v>
      </c>
      <c r="S206" t="n">
        <v>325.871</v>
      </c>
      <c r="T206" t="n">
        <v>324.23</v>
      </c>
      <c r="U206" t="n">
        <v>325.762</v>
      </c>
      <c r="V206" t="n">
        <v>325.493</v>
      </c>
      <c r="W206" t="n">
        <v>321.152</v>
      </c>
      <c r="X206" t="n">
        <v>325.576</v>
      </c>
      <c r="Y206" t="n">
        <v>328.232</v>
      </c>
      <c r="Z206" t="n">
        <v>329.853</v>
      </c>
      <c r="AA206" t="n">
        <v>334.587</v>
      </c>
      <c r="AB206" t="n">
        <v>336.347</v>
      </c>
      <c r="AC206" t="n">
        <v>366.375</v>
      </c>
      <c r="AD206" t="n">
        <v>390.591</v>
      </c>
      <c r="AE206" t="n">
        <v>471.699</v>
      </c>
      <c r="AF206" t="n">
        <v>562.667</v>
      </c>
      <c r="AG206" t="n">
        <v>356.251</v>
      </c>
      <c r="AH206" t="n">
        <v>629.924</v>
      </c>
      <c r="AI206" t="n">
        <v>968.478</v>
      </c>
      <c r="AJ206" t="n">
        <v>692.526</v>
      </c>
      <c r="AK206" t="n">
        <v>562.198</v>
      </c>
      <c r="AL206" t="n">
        <v>675.46</v>
      </c>
      <c r="AM206" t="n">
        <v>1118.351</v>
      </c>
      <c r="AN206" t="n">
        <v>1014.262</v>
      </c>
      <c r="AO206" t="n">
        <v>671.306</v>
      </c>
      <c r="AP206" t="n">
        <v>1104.359</v>
      </c>
      <c r="AQ206" t="n">
        <v>952.607</v>
      </c>
      <c r="AR206" t="n">
        <v>841.237</v>
      </c>
      <c r="AS206" t="n">
        <v>660.038</v>
      </c>
      <c r="AT206" t="n">
        <v>517.681</v>
      </c>
      <c r="AU206" t="n">
        <v>387.767</v>
      </c>
      <c r="AV206" t="n">
        <v>347.264</v>
      </c>
      <c r="AW206" t="n">
        <v>600.975</v>
      </c>
      <c r="AX206" t="n">
        <v>595.961</v>
      </c>
      <c r="AY206" t="n">
        <v>563.859</v>
      </c>
      <c r="AZ206" t="n">
        <v>759.586</v>
      </c>
      <c r="BA206" t="n">
        <v>609.398</v>
      </c>
      <c r="BB206" t="n">
        <v>562.045</v>
      </c>
      <c r="BC206" t="n">
        <v>501.419</v>
      </c>
      <c r="BD206" t="n">
        <v>473.255</v>
      </c>
      <c r="BE206" t="n">
        <v>483.401</v>
      </c>
      <c r="BF206" t="n">
        <v>318.043</v>
      </c>
      <c r="BG206" t="n">
        <v>354.583</v>
      </c>
      <c r="BH206" t="n">
        <v>314.392</v>
      </c>
      <c r="BI206" t="n">
        <v>257.907</v>
      </c>
      <c r="BJ206" t="n">
        <v>258.231</v>
      </c>
      <c r="BK206" t="n">
        <v>227.572</v>
      </c>
      <c r="BL206" t="n">
        <v>215.716</v>
      </c>
      <c r="BM206" t="n">
        <v>181.835</v>
      </c>
      <c r="BN206" t="n">
        <v>227.686</v>
      </c>
      <c r="BO206" t="n">
        <v>213.592</v>
      </c>
      <c r="BP206" t="n">
        <v>222.138</v>
      </c>
      <c r="BQ206" t="n">
        <v>224.476</v>
      </c>
      <c r="BR206" t="n">
        <v>223.501</v>
      </c>
      <c r="BS206" t="n">
        <v>224.241</v>
      </c>
      <c r="BT206" t="n">
        <v>226.077</v>
      </c>
      <c r="BU206" t="n">
        <v>247.294</v>
      </c>
      <c r="BV206" t="n">
        <v>239.621</v>
      </c>
    </row>
    <row r="207">
      <c r="A207" t="inlineStr">
        <is>
          <t>Alopias vulpinus</t>
        </is>
      </c>
      <c r="B207" t="inlineStr">
        <is>
          <t>Thresher</t>
        </is>
      </c>
      <c r="C207" t="inlineStr">
        <is>
          <t>Large sharks (&gt;=90 cm)</t>
        </is>
      </c>
      <c r="D207" t="inlineStr">
        <is>
          <t>Sharks &amp; rays</t>
        </is>
      </c>
      <c r="E207" t="n">
        <v>93.003</v>
      </c>
      <c r="F207" t="n">
        <v>93.51900000000001</v>
      </c>
      <c r="G207" t="n">
        <v>94.036</v>
      </c>
      <c r="H207" t="n">
        <v>94.553</v>
      </c>
      <c r="I207" t="n">
        <v>95.069</v>
      </c>
      <c r="J207" t="n">
        <v>95.586</v>
      </c>
      <c r="K207" t="n">
        <v>96.10299999999999</v>
      </c>
      <c r="L207" t="n">
        <v>96.619</v>
      </c>
      <c r="M207" t="n">
        <v>97.136</v>
      </c>
      <c r="N207" t="n">
        <v>97.65300000000001</v>
      </c>
      <c r="O207" t="n">
        <v>99.066</v>
      </c>
      <c r="P207" t="n">
        <v>100.507</v>
      </c>
      <c r="Q207" t="n">
        <v>101.961</v>
      </c>
      <c r="R207" t="n">
        <v>108.913</v>
      </c>
      <c r="S207" t="n">
        <v>115.627</v>
      </c>
      <c r="T207" t="n">
        <v>124.191</v>
      </c>
      <c r="U207" t="n">
        <v>131.477</v>
      </c>
      <c r="V207" t="n">
        <v>138.435</v>
      </c>
      <c r="W207" t="n">
        <v>146.22</v>
      </c>
      <c r="X207" t="n">
        <v>154.306</v>
      </c>
      <c r="Y207" t="n">
        <v>163.32</v>
      </c>
      <c r="Z207" t="n">
        <v>171.983</v>
      </c>
      <c r="AA207" t="n">
        <v>180.945</v>
      </c>
      <c r="AB207" t="n">
        <v>190.216</v>
      </c>
      <c r="AC207" t="n">
        <v>202.04</v>
      </c>
      <c r="AD207" t="n">
        <v>215.352</v>
      </c>
      <c r="AE207" t="n">
        <v>224.705</v>
      </c>
      <c r="AF207" t="n">
        <v>236.918</v>
      </c>
      <c r="AG207" t="n">
        <v>237.722</v>
      </c>
      <c r="AH207" t="n">
        <v>244.904</v>
      </c>
      <c r="AI207" t="n">
        <v>245.054</v>
      </c>
      <c r="AJ207" t="n">
        <v>249.41</v>
      </c>
      <c r="AK207" t="n">
        <v>258.712</v>
      </c>
      <c r="AL207" t="n">
        <v>269.783</v>
      </c>
      <c r="AM207" t="n">
        <v>279.33</v>
      </c>
      <c r="AN207" t="n">
        <v>288.453</v>
      </c>
      <c r="AO207" t="n">
        <v>308.294</v>
      </c>
      <c r="AP207" t="n">
        <v>321.203</v>
      </c>
      <c r="AQ207" t="n">
        <v>336.479</v>
      </c>
      <c r="AR207" t="n">
        <v>324.839</v>
      </c>
      <c r="AS207" t="n">
        <v>312.168</v>
      </c>
      <c r="AT207" t="n">
        <v>300.097</v>
      </c>
      <c r="AU207" t="n">
        <v>285.009</v>
      </c>
      <c r="AV207" t="n">
        <v>267.17</v>
      </c>
      <c r="AW207" t="n">
        <v>247.404</v>
      </c>
      <c r="AX207" t="n">
        <v>225.459</v>
      </c>
      <c r="AY207" t="n">
        <v>331.104</v>
      </c>
      <c r="AZ207" t="n">
        <v>423.788</v>
      </c>
      <c r="BA207" t="n">
        <v>515.439</v>
      </c>
      <c r="BB207" t="n">
        <v>606.1799999999999</v>
      </c>
      <c r="BC207" t="n">
        <v>693.688</v>
      </c>
      <c r="BD207" t="n">
        <v>781.482</v>
      </c>
      <c r="BE207" t="n">
        <v>865.199</v>
      </c>
      <c r="BF207" t="n">
        <v>947.508</v>
      </c>
      <c r="BG207" t="n">
        <v>947.629</v>
      </c>
      <c r="BH207" t="n">
        <v>711.552</v>
      </c>
      <c r="BI207" t="n">
        <v>775.362</v>
      </c>
      <c r="BJ207" t="n">
        <v>835.333</v>
      </c>
      <c r="BK207" t="n">
        <v>895.861</v>
      </c>
      <c r="BL207" t="n">
        <v>957.235</v>
      </c>
      <c r="BM207" t="n">
        <v>1014.218</v>
      </c>
      <c r="BN207" t="n">
        <v>1031.548</v>
      </c>
      <c r="BO207" t="n">
        <v>1045.761</v>
      </c>
      <c r="BP207" t="n">
        <v>1061.358</v>
      </c>
      <c r="BQ207" t="n">
        <v>1076.506</v>
      </c>
      <c r="BR207" t="n">
        <v>1090.928</v>
      </c>
      <c r="BS207" t="n">
        <v>1091.805</v>
      </c>
      <c r="BT207" t="n">
        <v>1111.58</v>
      </c>
      <c r="BU207" t="n">
        <v>1121.926</v>
      </c>
      <c r="BV207" t="n">
        <v>1128.091</v>
      </c>
    </row>
    <row r="208">
      <c r="A208" t="inlineStr">
        <is>
          <t>Sphyraena forsteri</t>
        </is>
      </c>
      <c r="B208" t="inlineStr">
        <is>
          <t>Bigeye barracuda</t>
        </is>
      </c>
      <c r="C208" t="inlineStr">
        <is>
          <t>Medium reef assoc. fish (30 - 89 cm)</t>
        </is>
      </c>
      <c r="D208" t="inlineStr">
        <is>
          <t>Perch-likes</t>
        </is>
      </c>
      <c r="E208" t="n">
        <v>403.282</v>
      </c>
      <c r="F208" t="n">
        <v>405.587</v>
      </c>
      <c r="G208" t="n">
        <v>402.542</v>
      </c>
      <c r="H208" t="n">
        <v>404.655</v>
      </c>
      <c r="I208" t="n">
        <v>406.695</v>
      </c>
      <c r="J208" t="n">
        <v>408.663</v>
      </c>
      <c r="K208" t="n">
        <v>409.977</v>
      </c>
      <c r="L208" t="n">
        <v>414.379</v>
      </c>
      <c r="M208" t="n">
        <v>417.64</v>
      </c>
      <c r="N208" t="n">
        <v>423.435</v>
      </c>
      <c r="O208" t="n">
        <v>426.537</v>
      </c>
      <c r="P208" t="n">
        <v>430.58</v>
      </c>
      <c r="Q208" t="n">
        <v>434.539</v>
      </c>
      <c r="R208" t="n">
        <v>441.029</v>
      </c>
      <c r="S208" t="n">
        <v>445.86</v>
      </c>
      <c r="T208" t="n">
        <v>445.59</v>
      </c>
      <c r="U208" t="n">
        <v>447.179</v>
      </c>
      <c r="V208" t="n">
        <v>450.2</v>
      </c>
      <c r="W208" t="n">
        <v>446.002</v>
      </c>
      <c r="X208" t="n">
        <v>452.245</v>
      </c>
      <c r="Y208" t="n">
        <v>455.407</v>
      </c>
      <c r="Z208" t="n">
        <v>455.535</v>
      </c>
      <c r="AA208" t="n">
        <v>461.854</v>
      </c>
      <c r="AB208" t="n">
        <v>462.41</v>
      </c>
      <c r="AC208" t="n">
        <v>372.142</v>
      </c>
      <c r="AD208" t="n">
        <v>397.334</v>
      </c>
      <c r="AE208" t="n">
        <v>422.723</v>
      </c>
      <c r="AF208" t="n">
        <v>448.524</v>
      </c>
      <c r="AG208" t="n">
        <v>441.358</v>
      </c>
      <c r="AH208" t="n">
        <v>435.124</v>
      </c>
      <c r="AI208" t="n">
        <v>469.969</v>
      </c>
      <c r="AJ208" t="n">
        <v>476.072</v>
      </c>
      <c r="AK208" t="n">
        <v>384.6</v>
      </c>
      <c r="AL208" t="n">
        <v>391.942</v>
      </c>
      <c r="AM208" t="n">
        <v>395.897</v>
      </c>
      <c r="AN208" t="n">
        <v>400.778</v>
      </c>
      <c r="AO208" t="n">
        <v>389.037</v>
      </c>
      <c r="AP208" t="n">
        <v>450.19</v>
      </c>
      <c r="AQ208" t="n">
        <v>459.68</v>
      </c>
      <c r="AR208" t="n">
        <v>466.582</v>
      </c>
      <c r="AS208" t="n">
        <v>456.087</v>
      </c>
      <c r="AT208" t="n">
        <v>525.829</v>
      </c>
      <c r="AU208" t="n">
        <v>517.866</v>
      </c>
      <c r="AV208" t="n">
        <v>454.185</v>
      </c>
      <c r="AW208" t="n">
        <v>806.885</v>
      </c>
      <c r="AX208" t="n">
        <v>793.313</v>
      </c>
      <c r="AY208" t="n">
        <v>741.782</v>
      </c>
      <c r="AZ208" t="n">
        <v>1019.385</v>
      </c>
      <c r="BA208" t="n">
        <v>795.746</v>
      </c>
      <c r="BB208" t="n">
        <v>723.489</v>
      </c>
      <c r="BC208" t="n">
        <v>655.6</v>
      </c>
      <c r="BD208" t="n">
        <v>624.949</v>
      </c>
      <c r="BE208" t="n">
        <v>525.585</v>
      </c>
      <c r="BF208" t="n">
        <v>390.898</v>
      </c>
      <c r="BG208" t="n">
        <v>401.881</v>
      </c>
      <c r="BH208" t="n">
        <v>369.987</v>
      </c>
      <c r="BI208" t="n">
        <v>341.695</v>
      </c>
      <c r="BJ208" t="n">
        <v>308.65</v>
      </c>
      <c r="BK208" t="n">
        <v>269.766</v>
      </c>
      <c r="BL208" t="n">
        <v>253.053</v>
      </c>
      <c r="BM208" t="n">
        <v>207.232</v>
      </c>
      <c r="BN208" t="n">
        <v>128.218</v>
      </c>
      <c r="BO208" t="n">
        <v>128.427</v>
      </c>
      <c r="BP208" t="n">
        <v>128.107</v>
      </c>
      <c r="BQ208" t="n">
        <v>127.81</v>
      </c>
      <c r="BR208" t="n">
        <v>127.81</v>
      </c>
      <c r="BS208" t="n">
        <v>127.81</v>
      </c>
      <c r="BT208" t="n">
        <v>127.81</v>
      </c>
      <c r="BU208" t="n">
        <v>127.81</v>
      </c>
      <c r="BV208" t="n">
        <v>127.82</v>
      </c>
    </row>
    <row r="209">
      <c r="A209" t="inlineStr">
        <is>
          <t>Lethrinus olivaceus</t>
        </is>
      </c>
      <c r="B209" t="inlineStr">
        <is>
          <t>Longface emperor</t>
        </is>
      </c>
      <c r="C209" t="inlineStr">
        <is>
          <t>Medium demersals (30 - 89 cm)</t>
        </is>
      </c>
      <c r="D209" t="inlineStr">
        <is>
          <t>Perch-likes</t>
        </is>
      </c>
      <c r="E209" t="n">
        <v>302.61</v>
      </c>
      <c r="F209" t="n">
        <v>302.018</v>
      </c>
      <c r="G209" t="n">
        <v>301.424</v>
      </c>
      <c r="H209" t="n">
        <v>300.845</v>
      </c>
      <c r="I209" t="n">
        <v>300.273</v>
      </c>
      <c r="J209" t="n">
        <v>299.708</v>
      </c>
      <c r="K209" t="n">
        <v>299.15</v>
      </c>
      <c r="L209" t="n">
        <v>298.599</v>
      </c>
      <c r="M209" t="n">
        <v>298.056</v>
      </c>
      <c r="N209" t="n">
        <v>297.52</v>
      </c>
      <c r="O209" t="n">
        <v>299.557</v>
      </c>
      <c r="P209" t="n">
        <v>299.332</v>
      </c>
      <c r="Q209" t="n">
        <v>299.116</v>
      </c>
      <c r="R209" t="n">
        <v>301.364</v>
      </c>
      <c r="S209" t="n">
        <v>302.301</v>
      </c>
      <c r="T209" t="n">
        <v>306.911</v>
      </c>
      <c r="U209" t="n">
        <v>307.796</v>
      </c>
      <c r="V209" t="n">
        <v>308.08</v>
      </c>
      <c r="W209" t="n">
        <v>309.555</v>
      </c>
      <c r="X209" t="n">
        <v>312.332</v>
      </c>
      <c r="Y209" t="n">
        <v>313.727</v>
      </c>
      <c r="Z209" t="n">
        <v>315.295</v>
      </c>
      <c r="AA209" t="n">
        <v>317.904</v>
      </c>
      <c r="AB209" t="n">
        <v>318.442</v>
      </c>
      <c r="AC209" t="n">
        <v>343.384</v>
      </c>
      <c r="AD209" t="n">
        <v>348.893</v>
      </c>
      <c r="AE209" t="n">
        <v>363.818</v>
      </c>
      <c r="AF209" t="n">
        <v>383.558</v>
      </c>
      <c r="AG209" t="n">
        <v>326.007</v>
      </c>
      <c r="AH209" t="n">
        <v>387.078</v>
      </c>
      <c r="AI209" t="n">
        <v>453.203</v>
      </c>
      <c r="AJ209" t="n">
        <v>378.47</v>
      </c>
      <c r="AK209" t="n">
        <v>360.018</v>
      </c>
      <c r="AL209" t="n">
        <v>389.071</v>
      </c>
      <c r="AM209" t="n">
        <v>512.8680000000001</v>
      </c>
      <c r="AN209" t="n">
        <v>473.955</v>
      </c>
      <c r="AO209" t="n">
        <v>419.586</v>
      </c>
      <c r="AP209" t="n">
        <v>492.645</v>
      </c>
      <c r="AQ209" t="n">
        <v>461.763</v>
      </c>
      <c r="AR209" t="n">
        <v>402.379</v>
      </c>
      <c r="AS209" t="n">
        <v>329.463</v>
      </c>
      <c r="AT209" t="n">
        <v>266.078</v>
      </c>
      <c r="AU209" t="n">
        <v>226.516</v>
      </c>
      <c r="AV209" t="n">
        <v>220.315</v>
      </c>
      <c r="AW209" t="n">
        <v>215.137</v>
      </c>
      <c r="AX209" t="n">
        <v>206.866</v>
      </c>
      <c r="AY209" t="n">
        <v>257.976</v>
      </c>
      <c r="AZ209" t="n">
        <v>313.026</v>
      </c>
      <c r="BA209" t="n">
        <v>366.772</v>
      </c>
      <c r="BB209" t="n">
        <v>425.943</v>
      </c>
      <c r="BC209" t="n">
        <v>484.703</v>
      </c>
      <c r="BD209" t="n">
        <v>520.062</v>
      </c>
      <c r="BE209" t="n">
        <v>556.127</v>
      </c>
      <c r="BF209" t="n">
        <v>592.77</v>
      </c>
      <c r="BG209" t="n">
        <v>589.842</v>
      </c>
      <c r="BH209" t="n">
        <v>468.71</v>
      </c>
      <c r="BI209" t="n">
        <v>477.164</v>
      </c>
      <c r="BJ209" t="n">
        <v>486.55</v>
      </c>
      <c r="BK209" t="n">
        <v>512.98</v>
      </c>
      <c r="BL209" t="n">
        <v>534.402</v>
      </c>
      <c r="BM209" t="n">
        <v>553.126</v>
      </c>
      <c r="BN209" t="n">
        <v>556.883</v>
      </c>
      <c r="BO209" t="n">
        <v>557.5599999999999</v>
      </c>
      <c r="BP209" t="n">
        <v>554.514</v>
      </c>
      <c r="BQ209" t="n">
        <v>556.1319999999999</v>
      </c>
      <c r="BR209" t="n">
        <v>565.047</v>
      </c>
      <c r="BS209" t="n">
        <v>569.412</v>
      </c>
      <c r="BT209" t="n">
        <v>578.891</v>
      </c>
      <c r="BU209" t="n">
        <v>565.485</v>
      </c>
      <c r="BV209" t="n">
        <v>566.944</v>
      </c>
    </row>
    <row r="210">
      <c r="A210" t="inlineStr">
        <is>
          <t>Lethrinus borbonicus</t>
        </is>
      </c>
      <c r="B210" t="inlineStr">
        <is>
          <t>Snubnose emperor</t>
        </is>
      </c>
      <c r="C210" t="inlineStr">
        <is>
          <t>Medium reef assoc. fish (30 - 89 cm)</t>
        </is>
      </c>
      <c r="D210" t="inlineStr">
        <is>
          <t>Perch-likes</t>
        </is>
      </c>
      <c r="E210" t="n">
        <v>47.53</v>
      </c>
      <c r="F210" t="n">
        <v>47.865</v>
      </c>
      <c r="G210" t="n">
        <v>67.617</v>
      </c>
      <c r="H210" t="n">
        <v>58.233</v>
      </c>
      <c r="I210" t="n">
        <v>68.992</v>
      </c>
      <c r="J210" t="n">
        <v>69.33799999999999</v>
      </c>
      <c r="K210" t="n">
        <v>74.548</v>
      </c>
      <c r="L210" t="n">
        <v>100.387</v>
      </c>
      <c r="M210" t="n">
        <v>100.76</v>
      </c>
      <c r="N210" t="n">
        <v>122.947</v>
      </c>
      <c r="O210" t="n">
        <v>123.32</v>
      </c>
      <c r="P210" t="n">
        <v>229.601</v>
      </c>
      <c r="Q210" t="n">
        <v>271.042</v>
      </c>
      <c r="R210" t="n">
        <v>290.361</v>
      </c>
      <c r="S210" t="n">
        <v>237.568</v>
      </c>
      <c r="T210" t="n">
        <v>213.724</v>
      </c>
      <c r="U210" t="n">
        <v>235.221</v>
      </c>
      <c r="V210" t="n">
        <v>174.194</v>
      </c>
      <c r="W210" t="n">
        <v>140.984</v>
      </c>
      <c r="X210" t="n">
        <v>123.911</v>
      </c>
      <c r="Y210" t="n">
        <v>140.526</v>
      </c>
      <c r="Z210" t="n">
        <v>166.972</v>
      </c>
      <c r="AA210" t="n">
        <v>161.963</v>
      </c>
      <c r="AB210" t="n">
        <v>251.582</v>
      </c>
      <c r="AC210" t="n">
        <v>207.64</v>
      </c>
      <c r="AD210" t="n">
        <v>172.386</v>
      </c>
      <c r="AE210" t="n">
        <v>171.797</v>
      </c>
      <c r="AF210" t="n">
        <v>158.034</v>
      </c>
      <c r="AG210" t="n">
        <v>228.538</v>
      </c>
      <c r="AH210" t="n">
        <v>260.749</v>
      </c>
      <c r="AI210" t="n">
        <v>283.925</v>
      </c>
      <c r="AJ210" t="n">
        <v>329.509</v>
      </c>
      <c r="AK210" t="n">
        <v>298.801</v>
      </c>
      <c r="AL210" t="n">
        <v>408.94</v>
      </c>
      <c r="AM210" t="n">
        <v>451.178</v>
      </c>
      <c r="AN210" t="n">
        <v>394.564</v>
      </c>
      <c r="AO210" t="n">
        <v>421.716</v>
      </c>
      <c r="AP210" t="n">
        <v>393.067</v>
      </c>
      <c r="AQ210" t="n">
        <v>349.089</v>
      </c>
      <c r="AR210" t="n">
        <v>361.225</v>
      </c>
      <c r="AS210" t="n">
        <v>302.444</v>
      </c>
      <c r="AT210" t="n">
        <v>293.28</v>
      </c>
      <c r="AU210" t="n">
        <v>440.065</v>
      </c>
      <c r="AV210" t="n">
        <v>446.1</v>
      </c>
      <c r="AW210" t="n">
        <v>502.257</v>
      </c>
      <c r="AX210" t="n">
        <v>544.361</v>
      </c>
      <c r="AY210" t="n">
        <v>613.986</v>
      </c>
      <c r="AZ210" t="n">
        <v>673.601</v>
      </c>
      <c r="BA210" t="n">
        <v>703.345</v>
      </c>
      <c r="BB210" t="n">
        <v>713.444</v>
      </c>
      <c r="BC210" t="n">
        <v>687.849</v>
      </c>
      <c r="BD210" t="n">
        <v>795.58</v>
      </c>
      <c r="BE210" t="n">
        <v>918.716</v>
      </c>
      <c r="BF210" t="n">
        <v>773.4160000000001</v>
      </c>
      <c r="BG210" t="n">
        <v>898.679</v>
      </c>
      <c r="BH210" t="n">
        <v>741.9109999999999</v>
      </c>
      <c r="BI210" t="n">
        <v>778.876</v>
      </c>
      <c r="BJ210" t="n">
        <v>445.832</v>
      </c>
      <c r="BK210" t="n">
        <v>449.818</v>
      </c>
      <c r="BL210" t="n">
        <v>583.462</v>
      </c>
      <c r="BM210" t="n">
        <v>583.338</v>
      </c>
      <c r="BN210" t="n">
        <v>592.2619999999999</v>
      </c>
      <c r="BO210" t="n">
        <v>591.361</v>
      </c>
      <c r="BP210" t="n">
        <v>634.546</v>
      </c>
      <c r="BQ210" t="n">
        <v>605.008</v>
      </c>
      <c r="BR210" t="n">
        <v>606.299</v>
      </c>
      <c r="BS210" t="n">
        <v>609.325</v>
      </c>
      <c r="BT210" t="n">
        <v>615.141</v>
      </c>
      <c r="BU210" t="n">
        <v>607.669</v>
      </c>
      <c r="BV210" t="n">
        <v>622.92</v>
      </c>
    </row>
    <row r="211">
      <c r="A211" t="inlineStr">
        <is>
          <t>Sphyraena jello</t>
        </is>
      </c>
      <c r="B211" t="inlineStr">
        <is>
          <t>Pickhandle barracuda</t>
        </is>
      </c>
      <c r="C211" t="inlineStr">
        <is>
          <t>Large reef assoc. fish (&gt;=90 cm)</t>
        </is>
      </c>
      <c r="D211" t="inlineStr">
        <is>
          <t>Perch-likes</t>
        </is>
      </c>
      <c r="E211" t="n">
        <v>341.656</v>
      </c>
      <c r="F211" t="n">
        <v>343.609</v>
      </c>
      <c r="G211" t="n">
        <v>341.029</v>
      </c>
      <c r="H211" t="n">
        <v>342.819</v>
      </c>
      <c r="I211" t="n">
        <v>344.547</v>
      </c>
      <c r="J211" t="n">
        <v>346.214</v>
      </c>
      <c r="K211" t="n">
        <v>347.327</v>
      </c>
      <c r="L211" t="n">
        <v>351.057</v>
      </c>
      <c r="M211" t="n">
        <v>353.818</v>
      </c>
      <c r="N211" t="n">
        <v>358.727</v>
      </c>
      <c r="O211" t="n">
        <v>361.354</v>
      </c>
      <c r="P211" t="n">
        <v>364.778</v>
      </c>
      <c r="Q211" t="n">
        <v>368.131</v>
      </c>
      <c r="R211" t="n">
        <v>373.628</v>
      </c>
      <c r="S211" t="n">
        <v>377.72</v>
      </c>
      <c r="T211" t="n">
        <v>377.489</v>
      </c>
      <c r="U211" t="n">
        <v>378.835</v>
      </c>
      <c r="V211" t="n">
        <v>381.393</v>
      </c>
      <c r="W211" t="n">
        <v>377.835</v>
      </c>
      <c r="X211" t="n">
        <v>383.124</v>
      </c>
      <c r="Y211" t="n">
        <v>385.803</v>
      </c>
      <c r="Z211" t="n">
        <v>385.911</v>
      </c>
      <c r="AA211" t="n">
        <v>391.264</v>
      </c>
      <c r="AB211" t="n">
        <v>391.734</v>
      </c>
      <c r="AC211" t="n">
        <v>315.261</v>
      </c>
      <c r="AD211" t="n">
        <v>336.508</v>
      </c>
      <c r="AE211" t="n">
        <v>357.921</v>
      </c>
      <c r="AF211" t="n">
        <v>379.683</v>
      </c>
      <c r="AG211" t="n">
        <v>373.518</v>
      </c>
      <c r="AH211" t="n">
        <v>368.144</v>
      </c>
      <c r="AI211" t="n">
        <v>397.57</v>
      </c>
      <c r="AJ211" t="n">
        <v>402.643</v>
      </c>
      <c r="AK211" t="n">
        <v>325.053</v>
      </c>
      <c r="AL211" t="n">
        <v>331.176</v>
      </c>
      <c r="AM211" t="n">
        <v>334.43</v>
      </c>
      <c r="AN211" t="n">
        <v>338.469</v>
      </c>
      <c r="AO211" t="n">
        <v>328.404</v>
      </c>
      <c r="AP211" t="n">
        <v>380.086</v>
      </c>
      <c r="AQ211" t="n">
        <v>388.132</v>
      </c>
      <c r="AR211" t="n">
        <v>393.988</v>
      </c>
      <c r="AS211" t="n">
        <v>385.13</v>
      </c>
      <c r="AT211" t="n">
        <v>444.246</v>
      </c>
      <c r="AU211" t="n">
        <v>437.534</v>
      </c>
      <c r="AV211" t="n">
        <v>383.619</v>
      </c>
      <c r="AW211" t="n">
        <v>682.4450000000001</v>
      </c>
      <c r="AX211" t="n">
        <v>670.982</v>
      </c>
      <c r="AY211" t="n">
        <v>627.3440000000001</v>
      </c>
      <c r="AZ211" t="n">
        <v>862.65</v>
      </c>
      <c r="BA211" t="n">
        <v>673.5</v>
      </c>
      <c r="BB211" t="n">
        <v>612.505</v>
      </c>
      <c r="BC211" t="n">
        <v>555.167</v>
      </c>
      <c r="BD211" t="n">
        <v>529.396</v>
      </c>
      <c r="BE211" t="n">
        <v>445.194</v>
      </c>
      <c r="BF211" t="n">
        <v>331.079</v>
      </c>
      <c r="BG211" t="n">
        <v>340.389</v>
      </c>
      <c r="BH211" t="n">
        <v>313.326</v>
      </c>
      <c r="BI211" t="n">
        <v>289.326</v>
      </c>
      <c r="BJ211" t="n">
        <v>261.283</v>
      </c>
      <c r="BK211" t="n">
        <v>228.217</v>
      </c>
      <c r="BL211" t="n">
        <v>214.124</v>
      </c>
      <c r="BM211" t="n">
        <v>175.278</v>
      </c>
      <c r="BN211" t="n">
        <v>232.283</v>
      </c>
      <c r="BO211" t="n">
        <v>216.435</v>
      </c>
      <c r="BP211" t="n">
        <v>225.727</v>
      </c>
      <c r="BQ211" t="n">
        <v>232.035</v>
      </c>
      <c r="BR211" t="n">
        <v>230.375</v>
      </c>
      <c r="BS211" t="n">
        <v>230.865</v>
      </c>
      <c r="BT211" t="n">
        <v>241.268</v>
      </c>
      <c r="BU211" t="n">
        <v>265.794</v>
      </c>
      <c r="BV211" t="n">
        <v>337.08</v>
      </c>
    </row>
    <row r="212">
      <c r="A212" t="inlineStr">
        <is>
          <t>Acanthocybium solandri</t>
        </is>
      </c>
      <c r="B212" t="inlineStr">
        <is>
          <t>Wahoo</t>
        </is>
      </c>
      <c r="C212" t="inlineStr">
        <is>
          <t>Large pelagics (&gt;=90 cm)</t>
        </is>
      </c>
      <c r="D212" t="inlineStr">
        <is>
          <t>Perch-likes</t>
        </is>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301.37</v>
      </c>
      <c r="Z212" t="n">
        <v>317.339</v>
      </c>
      <c r="AA212" t="n">
        <v>390.528</v>
      </c>
      <c r="AB212" t="n">
        <v>517.103</v>
      </c>
      <c r="AC212" t="n">
        <v>592.298</v>
      </c>
      <c r="AD212" t="n">
        <v>562.672</v>
      </c>
      <c r="AE212" t="n">
        <v>497.428</v>
      </c>
      <c r="AF212" t="n">
        <v>648.043</v>
      </c>
      <c r="AG212" t="n">
        <v>120.634</v>
      </c>
      <c r="AH212" t="n">
        <v>224.182</v>
      </c>
      <c r="AI212" t="n">
        <v>157.036</v>
      </c>
      <c r="AJ212" t="n">
        <v>56.198</v>
      </c>
      <c r="AK212" t="n">
        <v>60.698</v>
      </c>
      <c r="AL212" t="n">
        <v>177.357</v>
      </c>
      <c r="AM212" t="n">
        <v>110.053</v>
      </c>
      <c r="AN212" t="n">
        <v>91.09699999999999</v>
      </c>
      <c r="AO212" t="n">
        <v>112.287</v>
      </c>
      <c r="AP212" t="n">
        <v>90.633</v>
      </c>
      <c r="AQ212" t="n">
        <v>85.648</v>
      </c>
      <c r="AR212" t="n">
        <v>361.408</v>
      </c>
      <c r="AS212" t="n">
        <v>46.622</v>
      </c>
      <c r="AT212" t="n">
        <v>1752.006</v>
      </c>
      <c r="AU212" t="n">
        <v>1089.888</v>
      </c>
      <c r="AV212" t="n">
        <v>620.665</v>
      </c>
      <c r="AW212" t="n">
        <v>803.485</v>
      </c>
      <c r="AX212" t="n">
        <v>296.29</v>
      </c>
      <c r="AY212" t="n">
        <v>329.838</v>
      </c>
      <c r="AZ212" t="n">
        <v>413.048</v>
      </c>
      <c r="BA212" t="n">
        <v>696.283</v>
      </c>
      <c r="BB212" t="n">
        <v>792.803</v>
      </c>
      <c r="BC212" t="n">
        <v>781.682</v>
      </c>
      <c r="BD212" t="n">
        <v>842.289</v>
      </c>
      <c r="BE212" t="n">
        <v>639.135</v>
      </c>
      <c r="BF212" t="n">
        <v>717.9829999999999</v>
      </c>
      <c r="BG212" t="n">
        <v>907.299</v>
      </c>
      <c r="BH212" t="n">
        <v>829.064</v>
      </c>
      <c r="BI212" t="n">
        <v>608.1180000000001</v>
      </c>
      <c r="BJ212" t="n">
        <v>458.054</v>
      </c>
      <c r="BK212" t="n">
        <v>479.293</v>
      </c>
      <c r="BL212" t="n">
        <v>733.457</v>
      </c>
      <c r="BM212" t="n">
        <v>471.039</v>
      </c>
      <c r="BN212" t="n">
        <v>433.35</v>
      </c>
      <c r="BO212" t="n">
        <v>577.6</v>
      </c>
      <c r="BP212" t="n">
        <v>410.39</v>
      </c>
      <c r="BQ212" t="n">
        <v>623.2430000000001</v>
      </c>
      <c r="BR212" t="n">
        <v>1334.669</v>
      </c>
      <c r="BS212" t="n">
        <v>443.579</v>
      </c>
      <c r="BT212" t="n">
        <v>576.741</v>
      </c>
      <c r="BU212" t="n">
        <v>513.13</v>
      </c>
      <c r="BV212" t="n">
        <v>829.244</v>
      </c>
    </row>
    <row r="213">
      <c r="A213" t="inlineStr">
        <is>
          <t>Rhizoprionodon acutus</t>
        </is>
      </c>
      <c r="B213" t="inlineStr">
        <is>
          <t>Milk shark</t>
        </is>
      </c>
      <c r="C213" t="inlineStr">
        <is>
          <t>Large sharks (&gt;=90 cm)</t>
        </is>
      </c>
      <c r="D213" t="inlineStr">
        <is>
          <t>Sharks &amp; rays</t>
        </is>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3102.042</v>
      </c>
      <c r="BP213" t="n">
        <v>4335.873</v>
      </c>
      <c r="BQ213" t="n">
        <v>4758.781</v>
      </c>
      <c r="BR213" t="n">
        <v>4529.89</v>
      </c>
      <c r="BS213" t="n">
        <v>3104.11</v>
      </c>
      <c r="BT213" t="n">
        <v>2080.269</v>
      </c>
      <c r="BU213" t="n">
        <v>1659.192</v>
      </c>
      <c r="BV213" t="n">
        <v>1933.54</v>
      </c>
    </row>
    <row r="214">
      <c r="A214" t="inlineStr">
        <is>
          <t>Atule mate</t>
        </is>
      </c>
      <c r="B214" t="inlineStr">
        <is>
          <t>Yellowtail scad</t>
        </is>
      </c>
      <c r="C214" t="inlineStr">
        <is>
          <t>Small pelagics (&lt;30 cm)</t>
        </is>
      </c>
      <c r="D214" t="inlineStr">
        <is>
          <t>Perch-likes</t>
        </is>
      </c>
      <c r="E214" t="n">
        <v>48.606</v>
      </c>
      <c r="F214" t="n">
        <v>48.719</v>
      </c>
      <c r="G214" t="n">
        <v>67.72</v>
      </c>
      <c r="H214" t="n">
        <v>58.249</v>
      </c>
      <c r="I214" t="n">
        <v>67.92400000000001</v>
      </c>
      <c r="J214" t="n">
        <v>68.021</v>
      </c>
      <c r="K214" t="n">
        <v>72.874</v>
      </c>
      <c r="L214" t="n">
        <v>97.029</v>
      </c>
      <c r="M214" t="n">
        <v>97.19</v>
      </c>
      <c r="N214" t="n">
        <v>116.626</v>
      </c>
      <c r="O214" t="n">
        <v>116.779</v>
      </c>
      <c r="P214" t="n">
        <v>221.401</v>
      </c>
      <c r="Q214" t="n">
        <v>260.891</v>
      </c>
      <c r="R214" t="n">
        <v>279.697</v>
      </c>
      <c r="S214" t="n">
        <v>227.429</v>
      </c>
      <c r="T214" t="n">
        <v>201.207</v>
      </c>
      <c r="U214" t="n">
        <v>219.232</v>
      </c>
      <c r="V214" t="n">
        <v>158.905</v>
      </c>
      <c r="W214" t="n">
        <v>124.533</v>
      </c>
      <c r="X214" t="n">
        <v>109.578</v>
      </c>
      <c r="Y214" t="n">
        <v>122.72</v>
      </c>
      <c r="Z214" t="n">
        <v>147.336</v>
      </c>
      <c r="AA214" t="n">
        <v>142.997</v>
      </c>
      <c r="AB214" t="n">
        <v>217.619</v>
      </c>
      <c r="AC214" t="n">
        <v>173.095</v>
      </c>
      <c r="AD214" t="n">
        <v>141.162</v>
      </c>
      <c r="AE214" t="n">
        <v>141.975</v>
      </c>
      <c r="AF214" t="n">
        <v>130.251</v>
      </c>
      <c r="AG214" t="n">
        <v>197.131</v>
      </c>
      <c r="AH214" t="n">
        <v>228.595</v>
      </c>
      <c r="AI214" t="n">
        <v>254.836</v>
      </c>
      <c r="AJ214" t="n">
        <v>296.32</v>
      </c>
      <c r="AK214" t="n">
        <v>271.611</v>
      </c>
      <c r="AL214" t="n">
        <v>346.47</v>
      </c>
      <c r="AM214" t="n">
        <v>362.944</v>
      </c>
      <c r="AN214" t="n">
        <v>320.434</v>
      </c>
      <c r="AO214" t="n">
        <v>318.908</v>
      </c>
      <c r="AP214" t="n">
        <v>295.902</v>
      </c>
      <c r="AQ214" t="n">
        <v>243.901</v>
      </c>
      <c r="AR214" t="n">
        <v>263.201</v>
      </c>
      <c r="AS214" t="n">
        <v>212.837</v>
      </c>
      <c r="AT214" t="n">
        <v>207.741</v>
      </c>
      <c r="AU214" t="n">
        <v>327.348</v>
      </c>
      <c r="AV214" t="n">
        <v>317.026</v>
      </c>
      <c r="AW214" t="n">
        <v>383.4</v>
      </c>
      <c r="AX214" t="n">
        <v>417.112</v>
      </c>
      <c r="AY214" t="n">
        <v>460.314</v>
      </c>
      <c r="AZ214" t="n">
        <v>508.812</v>
      </c>
      <c r="BA214" t="n">
        <v>524.652</v>
      </c>
      <c r="BB214" t="n">
        <v>512.429</v>
      </c>
      <c r="BC214" t="n">
        <v>366.617</v>
      </c>
      <c r="BD214" t="n">
        <v>474.303</v>
      </c>
      <c r="BE214" t="n">
        <v>41.006</v>
      </c>
      <c r="BF214" t="n">
        <v>494.04</v>
      </c>
      <c r="BG214" t="n">
        <v>716.954</v>
      </c>
      <c r="BH214" t="n">
        <v>602.03</v>
      </c>
      <c r="BI214" t="n">
        <v>1029.356</v>
      </c>
      <c r="BJ214" t="n">
        <v>345.247</v>
      </c>
      <c r="BK214" t="n">
        <v>587.9880000000001</v>
      </c>
      <c r="BL214" t="n">
        <v>776.333</v>
      </c>
      <c r="BM214" t="n">
        <v>627.446</v>
      </c>
      <c r="BN214" t="n">
        <v>651.809</v>
      </c>
      <c r="BO214" t="n">
        <v>657.669</v>
      </c>
      <c r="BP214" t="n">
        <v>725.155</v>
      </c>
      <c r="BQ214" t="n">
        <v>693.046</v>
      </c>
      <c r="BR214" t="n">
        <v>687.769</v>
      </c>
      <c r="BS214" t="n">
        <v>687.296</v>
      </c>
      <c r="BT214" t="n">
        <v>1053.478</v>
      </c>
      <c r="BU214" t="n">
        <v>1245.043</v>
      </c>
      <c r="BV214" t="n">
        <v>1446.709</v>
      </c>
    </row>
    <row r="215">
      <c r="A215" t="inlineStr">
        <is>
          <t>Selaroides leptolepis</t>
        </is>
      </c>
      <c r="B215" t="inlineStr">
        <is>
          <t>Yellowstripe scad</t>
        </is>
      </c>
      <c r="C215" t="inlineStr">
        <is>
          <t>Small pelagics (&lt;30 cm)</t>
        </is>
      </c>
      <c r="D215" t="inlineStr">
        <is>
          <t>Perch-likes</t>
        </is>
      </c>
      <c r="E215" t="n">
        <v>25.644</v>
      </c>
      <c r="F215" t="n">
        <v>25.791</v>
      </c>
      <c r="G215" t="n">
        <v>25.597</v>
      </c>
      <c r="H215" t="n">
        <v>25.732</v>
      </c>
      <c r="I215" t="n">
        <v>25.871</v>
      </c>
      <c r="J215" t="n">
        <v>25.996</v>
      </c>
      <c r="K215" t="n">
        <v>26.08</v>
      </c>
      <c r="L215" t="n">
        <v>26.379</v>
      </c>
      <c r="M215" t="n">
        <v>26.586</v>
      </c>
      <c r="N215" t="n">
        <v>26.993</v>
      </c>
      <c r="O215" t="n">
        <v>27.19</v>
      </c>
      <c r="P215" t="n">
        <v>27.447</v>
      </c>
      <c r="Q215" t="n">
        <v>27.709</v>
      </c>
      <c r="R215" t="n">
        <v>28.121</v>
      </c>
      <c r="S215" t="n">
        <v>28.43</v>
      </c>
      <c r="T215" t="n">
        <v>28.422</v>
      </c>
      <c r="U215" t="n">
        <v>28.523</v>
      </c>
      <c r="V215" t="n">
        <v>28.724</v>
      </c>
      <c r="W215" t="n">
        <v>28.455</v>
      </c>
      <c r="X215" t="n">
        <v>28.854</v>
      </c>
      <c r="Y215" t="n">
        <v>29.054</v>
      </c>
      <c r="Z215" t="n">
        <v>29.072</v>
      </c>
      <c r="AA215" t="n">
        <v>29.464</v>
      </c>
      <c r="AB215" t="n">
        <v>29.5</v>
      </c>
      <c r="AC215" t="n">
        <v>23.81</v>
      </c>
      <c r="AD215" t="n">
        <v>78.26900000000001</v>
      </c>
      <c r="AE215" t="n">
        <v>73.77500000000001</v>
      </c>
      <c r="AF215" t="n">
        <v>76.024</v>
      </c>
      <c r="AG215" t="n">
        <v>73.81100000000001</v>
      </c>
      <c r="AH215" t="n">
        <v>71.816</v>
      </c>
      <c r="AI215" t="n">
        <v>72.604</v>
      </c>
      <c r="AJ215" t="n">
        <v>73.88200000000001</v>
      </c>
      <c r="AK215" t="n">
        <v>75.95</v>
      </c>
      <c r="AL215" t="n">
        <v>48.656</v>
      </c>
      <c r="AM215" t="n">
        <v>52.438</v>
      </c>
      <c r="AN215" t="n">
        <v>50.307</v>
      </c>
      <c r="AO215" t="n">
        <v>50.456</v>
      </c>
      <c r="AP215" t="n">
        <v>1183.392</v>
      </c>
      <c r="AQ215" t="n">
        <v>182.341</v>
      </c>
      <c r="AR215" t="n">
        <v>186.419</v>
      </c>
      <c r="AS215" t="n">
        <v>200.25</v>
      </c>
      <c r="AT215" t="n">
        <v>191.336</v>
      </c>
      <c r="AU215" t="n">
        <v>196.57</v>
      </c>
      <c r="AV215" t="n">
        <v>202.533</v>
      </c>
      <c r="AW215" t="n">
        <v>237.393</v>
      </c>
      <c r="AX215" t="n">
        <v>234.411</v>
      </c>
      <c r="AY215" t="n">
        <v>1517.166</v>
      </c>
      <c r="AZ215" t="n">
        <v>1649.658</v>
      </c>
      <c r="BA215" t="n">
        <v>1650.413</v>
      </c>
      <c r="BB215" t="n">
        <v>1686.551</v>
      </c>
      <c r="BC215" t="n">
        <v>1552.636</v>
      </c>
      <c r="BD215" t="n">
        <v>1570.389</v>
      </c>
      <c r="BE215" t="n">
        <v>1352.528</v>
      </c>
      <c r="BF215" t="n">
        <v>2568.441</v>
      </c>
      <c r="BG215" t="n">
        <v>1911.167</v>
      </c>
      <c r="BH215" t="n">
        <v>1788.506</v>
      </c>
      <c r="BI215" t="n">
        <v>1878.283</v>
      </c>
      <c r="BJ215" t="n">
        <v>18.816</v>
      </c>
      <c r="BK215" t="n">
        <v>13.78</v>
      </c>
      <c r="BL215" t="n">
        <v>13.746</v>
      </c>
      <c r="BM215" t="n">
        <v>9.965</v>
      </c>
      <c r="BN215" t="n">
        <v>18.989</v>
      </c>
      <c r="BO215" t="n">
        <v>16.54</v>
      </c>
      <c r="BP215" t="n">
        <v>18.003</v>
      </c>
      <c r="BQ215" t="n">
        <v>19.007</v>
      </c>
      <c r="BR215" t="n">
        <v>18.753</v>
      </c>
      <c r="BS215" t="n">
        <v>18.829</v>
      </c>
      <c r="BT215" t="n">
        <v>20.421</v>
      </c>
      <c r="BU215" t="n">
        <v>24.171</v>
      </c>
      <c r="BV215" t="n">
        <v>22.629</v>
      </c>
    </row>
    <row r="216">
      <c r="A216" t="inlineStr">
        <is>
          <t>Sarda orientalis</t>
        </is>
      </c>
      <c r="B216" t="inlineStr">
        <is>
          <t>Striped bonito</t>
        </is>
      </c>
      <c r="C216" t="inlineStr">
        <is>
          <t>Large pelagics (&gt;=90 cm)</t>
        </is>
      </c>
      <c r="D216" t="inlineStr">
        <is>
          <t>Tuna &amp; billfishes</t>
        </is>
      </c>
      <c r="E216" t="n">
        <v>25.831</v>
      </c>
      <c r="F216" t="n">
        <v>25.831</v>
      </c>
      <c r="G216" t="n">
        <v>30.799</v>
      </c>
      <c r="H216" t="n">
        <v>34.773</v>
      </c>
      <c r="I216" t="n">
        <v>34.773</v>
      </c>
      <c r="J216" t="n">
        <v>43.714</v>
      </c>
      <c r="K216" t="n">
        <v>43.714</v>
      </c>
      <c r="L216" t="n">
        <v>43.714</v>
      </c>
      <c r="M216" t="n">
        <v>43.714</v>
      </c>
      <c r="N216" t="n">
        <v>47.688</v>
      </c>
      <c r="O216" t="n">
        <v>47.688</v>
      </c>
      <c r="P216" t="n">
        <v>47.688</v>
      </c>
      <c r="Q216" t="n">
        <v>52.656</v>
      </c>
      <c r="R216" t="n">
        <v>52.656</v>
      </c>
      <c r="S216" t="n">
        <v>52.656</v>
      </c>
      <c r="T216" t="n">
        <v>56.63</v>
      </c>
      <c r="U216" t="n">
        <v>61.597</v>
      </c>
      <c r="V216" t="n">
        <v>61.597</v>
      </c>
      <c r="W216" t="n">
        <v>61.597</v>
      </c>
      <c r="X216" t="n">
        <v>64.578</v>
      </c>
      <c r="Y216" t="n">
        <v>68.55200000000001</v>
      </c>
      <c r="Z216" t="n">
        <v>72.526</v>
      </c>
      <c r="AA216" t="n">
        <v>75.50700000000001</v>
      </c>
      <c r="AB216" t="n">
        <v>79.48099999999999</v>
      </c>
      <c r="AC216" t="n">
        <v>83.455</v>
      </c>
      <c r="AD216" t="n">
        <v>86.435</v>
      </c>
      <c r="AE216" t="n">
        <v>84.44799999999999</v>
      </c>
      <c r="AF216" t="n">
        <v>82.461</v>
      </c>
      <c r="AG216" t="n">
        <v>80.78700000000001</v>
      </c>
      <c r="AH216" t="n">
        <v>77.845</v>
      </c>
      <c r="AI216" t="n">
        <v>73.822</v>
      </c>
      <c r="AJ216" t="n">
        <v>69.819</v>
      </c>
      <c r="AK216" t="n">
        <v>72.919</v>
      </c>
      <c r="AL216" t="n">
        <v>87.596</v>
      </c>
      <c r="AM216" t="n">
        <v>82.68899999999999</v>
      </c>
      <c r="AN216" t="n">
        <v>72.16500000000001</v>
      </c>
      <c r="AO216" t="n">
        <v>72.526</v>
      </c>
      <c r="AP216" t="n">
        <v>90.40900000000001</v>
      </c>
      <c r="AQ216" t="n">
        <v>129.156</v>
      </c>
      <c r="AR216" t="n">
        <v>107.407</v>
      </c>
      <c r="AS216" t="n">
        <v>87.429</v>
      </c>
      <c r="AT216" t="n">
        <v>90.40900000000001</v>
      </c>
      <c r="AU216" t="n">
        <v>84.44799999999999</v>
      </c>
      <c r="AV216" t="n">
        <v>80.474</v>
      </c>
      <c r="AW216" t="n">
        <v>85.44199999999999</v>
      </c>
      <c r="AX216" t="n">
        <v>94.383</v>
      </c>
      <c r="AY216" t="n">
        <v>77.494</v>
      </c>
      <c r="AZ216" t="n">
        <v>73.52</v>
      </c>
      <c r="BA216" t="n">
        <v>77.494</v>
      </c>
      <c r="BB216" t="n">
        <v>84.44799999999999</v>
      </c>
      <c r="BC216" t="n">
        <v>94.383</v>
      </c>
      <c r="BD216" t="n">
        <v>285.137</v>
      </c>
      <c r="BE216" t="n">
        <v>375.567</v>
      </c>
      <c r="BF216" t="n">
        <v>583.206</v>
      </c>
      <c r="BG216" t="n">
        <v>863.474</v>
      </c>
      <c r="BH216" t="n">
        <v>615.151</v>
      </c>
      <c r="BI216" t="n">
        <v>674.641</v>
      </c>
      <c r="BJ216" t="n">
        <v>688.518</v>
      </c>
      <c r="BK216" t="n">
        <v>578.925</v>
      </c>
      <c r="BL216" t="n">
        <v>161.97</v>
      </c>
      <c r="BM216" t="n">
        <v>180.818</v>
      </c>
      <c r="BN216" t="n">
        <v>559.36</v>
      </c>
      <c r="BO216" t="n">
        <v>485.821</v>
      </c>
      <c r="BP216" t="n">
        <v>305.997</v>
      </c>
      <c r="BQ216" t="n">
        <v>1139.654</v>
      </c>
      <c r="BR216" t="n">
        <v>4518.441</v>
      </c>
      <c r="BS216" t="n">
        <v>4548.47</v>
      </c>
      <c r="BT216" t="n">
        <v>1186.195</v>
      </c>
      <c r="BU216" t="n">
        <v>1098.455</v>
      </c>
      <c r="BV216" t="n">
        <v>544.8630000000001</v>
      </c>
    </row>
    <row r="217">
      <c r="A217" t="inlineStr">
        <is>
          <t>Marine groundfishes not identified</t>
        </is>
      </c>
      <c r="B217" t="inlineStr">
        <is>
          <t>Groundfishes</t>
        </is>
      </c>
      <c r="C217" t="inlineStr">
        <is>
          <t>Medium demersals (30 - 89 cm)</t>
        </is>
      </c>
      <c r="D217" t="inlineStr">
        <is>
          <t>Other fishes &amp; inverts</t>
        </is>
      </c>
      <c r="E217" t="n">
        <v>207.366</v>
      </c>
      <c r="F217" t="n">
        <v>209.207</v>
      </c>
      <c r="G217" t="n">
        <v>208.73</v>
      </c>
      <c r="H217" t="n">
        <v>210.488</v>
      </c>
      <c r="I217" t="n">
        <v>212.213</v>
      </c>
      <c r="J217" t="n">
        <v>213.908</v>
      </c>
      <c r="K217" t="n">
        <v>215.319</v>
      </c>
      <c r="L217" t="n">
        <v>218.068</v>
      </c>
      <c r="M217" t="n">
        <v>220.323</v>
      </c>
      <c r="N217" t="n">
        <v>223.676</v>
      </c>
      <c r="O217" t="n">
        <v>225.863</v>
      </c>
      <c r="P217" t="n">
        <v>228.457</v>
      </c>
      <c r="Q217" t="n">
        <v>231.015</v>
      </c>
      <c r="R217" t="n">
        <v>234.67</v>
      </c>
      <c r="S217" t="n">
        <v>237.606</v>
      </c>
      <c r="T217" t="n">
        <v>238.331</v>
      </c>
      <c r="U217" t="n">
        <v>239.863</v>
      </c>
      <c r="V217" t="n">
        <v>242.015</v>
      </c>
      <c r="W217" t="n">
        <v>242.566</v>
      </c>
      <c r="X217" t="n">
        <v>247.64</v>
      </c>
      <c r="Y217" t="n">
        <v>251.379</v>
      </c>
      <c r="Z217" t="n">
        <v>253.804</v>
      </c>
      <c r="AA217" t="n">
        <v>258.911</v>
      </c>
      <c r="AB217" t="n">
        <v>261.521</v>
      </c>
      <c r="AC217" t="n">
        <v>224.787</v>
      </c>
      <c r="AD217" t="n">
        <v>238.069</v>
      </c>
      <c r="AE217" t="n">
        <v>251.437</v>
      </c>
      <c r="AF217" t="n">
        <v>264.983</v>
      </c>
      <c r="AG217" t="n">
        <v>255.986</v>
      </c>
      <c r="AH217" t="n">
        <v>267.543</v>
      </c>
      <c r="AI217" t="n">
        <v>300.443</v>
      </c>
      <c r="AJ217" t="n">
        <v>326.222</v>
      </c>
      <c r="AK217" t="n">
        <v>291.665</v>
      </c>
      <c r="AL217" t="n">
        <v>344.947</v>
      </c>
      <c r="AM217" t="n">
        <v>316.722</v>
      </c>
      <c r="AN217" t="n">
        <v>297.161</v>
      </c>
      <c r="AO217" t="n">
        <v>240.522</v>
      </c>
      <c r="AP217" t="n">
        <v>551.902</v>
      </c>
      <c r="AQ217" t="n">
        <v>566.799</v>
      </c>
      <c r="AR217" t="n">
        <v>298.813</v>
      </c>
      <c r="AS217" t="n">
        <v>295.666</v>
      </c>
      <c r="AT217" t="n">
        <v>287.229</v>
      </c>
      <c r="AU217" t="n">
        <v>254.373</v>
      </c>
      <c r="AV217" t="n">
        <v>214.927</v>
      </c>
      <c r="AW217" t="n">
        <v>381.111</v>
      </c>
      <c r="AX217" t="n">
        <v>374.882</v>
      </c>
      <c r="AY217" t="n">
        <v>458.592</v>
      </c>
      <c r="AZ217" t="n">
        <v>747.89</v>
      </c>
      <c r="BA217" t="n">
        <v>695.126</v>
      </c>
      <c r="BB217" t="n">
        <v>693.646</v>
      </c>
      <c r="BC217" t="n">
        <v>622.027</v>
      </c>
      <c r="BD217" t="n">
        <v>588.5</v>
      </c>
      <c r="BE217" t="n">
        <v>541.853</v>
      </c>
      <c r="BF217" t="n">
        <v>470.992</v>
      </c>
      <c r="BG217" t="n">
        <v>480.863</v>
      </c>
      <c r="BH217" t="n">
        <v>1145.877</v>
      </c>
      <c r="BI217" t="n">
        <v>437.915</v>
      </c>
      <c r="BJ217" t="n">
        <v>298.226</v>
      </c>
      <c r="BK217" t="n">
        <v>360.909</v>
      </c>
      <c r="BL217" t="n">
        <v>315.546</v>
      </c>
      <c r="BM217" t="n">
        <v>429.438</v>
      </c>
      <c r="BN217" t="n">
        <v>152.541</v>
      </c>
      <c r="BO217" t="n">
        <v>153.221</v>
      </c>
      <c r="BP217" t="n">
        <v>147.798</v>
      </c>
      <c r="BQ217" t="n">
        <v>160.946</v>
      </c>
      <c r="BR217" t="n">
        <v>153.65</v>
      </c>
      <c r="BS217" t="n">
        <v>345.82</v>
      </c>
      <c r="BT217" t="n">
        <v>331.712</v>
      </c>
      <c r="BU217" t="n">
        <v>378.406</v>
      </c>
      <c r="BV217" t="n">
        <v>206.925</v>
      </c>
    </row>
    <row r="218">
      <c r="A218" t="inlineStr">
        <is>
          <t>Epinephelus polylepis</t>
        </is>
      </c>
      <c r="B218" t="inlineStr">
        <is>
          <t>Smallscaled grouper</t>
        </is>
      </c>
      <c r="C218" t="inlineStr">
        <is>
          <t>Medium demersals (30 - 89 cm)</t>
        </is>
      </c>
      <c r="D218" t="inlineStr">
        <is>
          <t>Perch-likes</t>
        </is>
      </c>
      <c r="E218" t="n">
        <v>19.714</v>
      </c>
      <c r="F218" t="n">
        <v>19.714</v>
      </c>
      <c r="G218" t="n">
        <v>26.299</v>
      </c>
      <c r="H218" t="n">
        <v>31.997</v>
      </c>
      <c r="I218" t="n">
        <v>34.826</v>
      </c>
      <c r="J218" t="n">
        <v>35.847</v>
      </c>
      <c r="K218" t="n">
        <v>36.861</v>
      </c>
      <c r="L218" t="n">
        <v>45.993</v>
      </c>
      <c r="M218" t="n">
        <v>42.115</v>
      </c>
      <c r="N218" t="n">
        <v>46.738</v>
      </c>
      <c r="O218" t="n">
        <v>49.835</v>
      </c>
      <c r="P218" t="n">
        <v>70.25</v>
      </c>
      <c r="Q218" t="n">
        <v>90.056</v>
      </c>
      <c r="R218" t="n">
        <v>94.98399999999999</v>
      </c>
      <c r="S218" t="n">
        <v>83.867</v>
      </c>
      <c r="T218" t="n">
        <v>78.014</v>
      </c>
      <c r="U218" t="n">
        <v>92.604</v>
      </c>
      <c r="V218" t="n">
        <v>77.066</v>
      </c>
      <c r="W218" t="n">
        <v>69.804</v>
      </c>
      <c r="X218" t="n">
        <v>73.01300000000001</v>
      </c>
      <c r="Y218" t="n">
        <v>70.11799999999999</v>
      </c>
      <c r="Z218" t="n">
        <v>85.297</v>
      </c>
      <c r="AA218" t="n">
        <v>109.731</v>
      </c>
      <c r="AB218" t="n">
        <v>134.265</v>
      </c>
      <c r="AC218" t="n">
        <v>113.041</v>
      </c>
      <c r="AD218" t="n">
        <v>108.493</v>
      </c>
      <c r="AE218" t="n">
        <v>113.004</v>
      </c>
      <c r="AF218" t="n">
        <v>158.908</v>
      </c>
      <c r="AG218" t="n">
        <v>165.038</v>
      </c>
      <c r="AH218" t="n">
        <v>205.751</v>
      </c>
      <c r="AI218" t="n">
        <v>191.129</v>
      </c>
      <c r="AJ218" t="n">
        <v>225.444</v>
      </c>
      <c r="AK218" t="n">
        <v>254.805</v>
      </c>
      <c r="AL218" t="n">
        <v>276.598</v>
      </c>
      <c r="AM218" t="n">
        <v>299.268</v>
      </c>
      <c r="AN218" t="n">
        <v>332.088</v>
      </c>
      <c r="AO218" t="n">
        <v>343.534</v>
      </c>
      <c r="AP218" t="n">
        <v>324.623</v>
      </c>
      <c r="AQ218" t="n">
        <v>337.131</v>
      </c>
      <c r="AR218" t="n">
        <v>324.73</v>
      </c>
      <c r="AS218" t="n">
        <v>191.064</v>
      </c>
      <c r="AT218" t="n">
        <v>241.482</v>
      </c>
      <c r="AU218" t="n">
        <v>277.378</v>
      </c>
      <c r="AV218" t="n">
        <v>306.492</v>
      </c>
      <c r="AW218" t="n">
        <v>354.12</v>
      </c>
      <c r="AX218" t="n">
        <v>363.723</v>
      </c>
      <c r="AY218" t="n">
        <v>381.306</v>
      </c>
      <c r="AZ218" t="n">
        <v>414.259</v>
      </c>
      <c r="BA218" t="n">
        <v>470.04</v>
      </c>
      <c r="BB218" t="n">
        <v>520.354</v>
      </c>
      <c r="BC218" t="n">
        <v>533.809</v>
      </c>
      <c r="BD218" t="n">
        <v>558.471</v>
      </c>
      <c r="BE218" t="n">
        <v>558.207</v>
      </c>
      <c r="BF218" t="n">
        <v>536.687</v>
      </c>
      <c r="BG218" t="n">
        <v>452.103</v>
      </c>
      <c r="BH218" t="n">
        <v>444.549</v>
      </c>
      <c r="BI218" t="n">
        <v>441.54</v>
      </c>
      <c r="BJ218" t="n">
        <v>471.884</v>
      </c>
      <c r="BK218" t="n">
        <v>528.476</v>
      </c>
      <c r="BL218" t="n">
        <v>540.079</v>
      </c>
      <c r="BM218" t="n">
        <v>586.8920000000001</v>
      </c>
      <c r="BN218" t="n">
        <v>634.318</v>
      </c>
      <c r="BO218" t="n">
        <v>702.251</v>
      </c>
      <c r="BP218" t="n">
        <v>760.4829999999999</v>
      </c>
      <c r="BQ218" t="n">
        <v>772.5309999999999</v>
      </c>
      <c r="BR218" t="n">
        <v>794.124</v>
      </c>
      <c r="BS218" t="n">
        <v>816.827</v>
      </c>
      <c r="BT218" t="n">
        <v>999.756</v>
      </c>
      <c r="BU218" t="n">
        <v>1017.578</v>
      </c>
      <c r="BV218" t="n">
        <v>1031.421</v>
      </c>
    </row>
    <row r="219">
      <c r="A219" t="inlineStr">
        <is>
          <t>Sphyrna</t>
        </is>
      </c>
      <c r="B219" t="inlineStr">
        <is>
          <t>Hammerhead sharks</t>
        </is>
      </c>
      <c r="C219" t="inlineStr">
        <is>
          <t>Large sharks (&gt;=90 cm)</t>
        </is>
      </c>
      <c r="D219" t="inlineStr">
        <is>
          <t>Sharks &amp; rays</t>
        </is>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458.991</v>
      </c>
      <c r="Z219" t="n">
        <v>482.991</v>
      </c>
      <c r="AA219" t="n">
        <v>593.989</v>
      </c>
      <c r="AB219" t="n">
        <v>785.9880000000001</v>
      </c>
      <c r="AC219" t="n">
        <v>899.687</v>
      </c>
      <c r="AD219" t="n">
        <v>854.1180000000001</v>
      </c>
      <c r="AE219" t="n">
        <v>754.58</v>
      </c>
      <c r="AF219" t="n">
        <v>983.057</v>
      </c>
      <c r="AG219" t="n">
        <v>182.998</v>
      </c>
      <c r="AH219" t="n">
        <v>340.076</v>
      </c>
      <c r="AI219" t="n">
        <v>237.327</v>
      </c>
      <c r="AJ219" t="n">
        <v>84.35899999999999</v>
      </c>
      <c r="AK219" t="n">
        <v>90.539</v>
      </c>
      <c r="AL219" t="n">
        <v>151.766</v>
      </c>
      <c r="AM219" t="n">
        <v>159.372</v>
      </c>
      <c r="AN219" t="n">
        <v>136.881</v>
      </c>
      <c r="AO219" t="n">
        <v>168.778</v>
      </c>
      <c r="AP219" t="n">
        <v>137.552</v>
      </c>
      <c r="AQ219" t="n">
        <v>129.957</v>
      </c>
      <c r="AR219" t="n">
        <v>137.984</v>
      </c>
      <c r="AS219" t="n">
        <v>69.08799999999999</v>
      </c>
      <c r="AT219" t="n">
        <v>1855.193</v>
      </c>
      <c r="AU219" t="n">
        <v>1530.572</v>
      </c>
      <c r="AV219" t="n">
        <v>845.903</v>
      </c>
      <c r="AW219" t="n">
        <v>1056.366</v>
      </c>
      <c r="AX219" t="n">
        <v>367.695</v>
      </c>
      <c r="AY219" t="n">
        <v>388.243</v>
      </c>
      <c r="AZ219" t="n">
        <v>470.206</v>
      </c>
      <c r="BA219" t="n">
        <v>768.032</v>
      </c>
      <c r="BB219" t="n">
        <v>824.218</v>
      </c>
      <c r="BC219" t="n">
        <v>723.5309999999999</v>
      </c>
      <c r="BD219" t="n">
        <v>641.051</v>
      </c>
      <c r="BE219" t="n">
        <v>537.24</v>
      </c>
      <c r="BF219" t="n">
        <v>548.853</v>
      </c>
      <c r="BG219" t="n">
        <v>503.213</v>
      </c>
      <c r="BH219" t="n">
        <v>398.333</v>
      </c>
      <c r="BI219" t="n">
        <v>314.182</v>
      </c>
      <c r="BJ219" t="n">
        <v>199.367</v>
      </c>
      <c r="BK219" t="n">
        <v>168.005</v>
      </c>
      <c r="BL219" t="n">
        <v>178.414</v>
      </c>
      <c r="BM219" t="n">
        <v>120.193</v>
      </c>
      <c r="BN219" t="n">
        <v>128.386</v>
      </c>
      <c r="BO219" t="n">
        <v>229.268</v>
      </c>
      <c r="BP219" t="n">
        <v>169.995</v>
      </c>
      <c r="BQ219" t="n">
        <v>217.86</v>
      </c>
      <c r="BR219" t="n">
        <v>300.383</v>
      </c>
      <c r="BS219" t="n">
        <v>76.85599999999999</v>
      </c>
      <c r="BT219" t="n">
        <v>164.478</v>
      </c>
      <c r="BU219" t="n">
        <v>137.601</v>
      </c>
      <c r="BV219" t="n">
        <v>183.286</v>
      </c>
    </row>
    <row r="220">
      <c r="A220" t="inlineStr">
        <is>
          <t>Pomadasys olivaceus</t>
        </is>
      </c>
      <c r="B220" t="inlineStr">
        <is>
          <t>Olive grunt</t>
        </is>
      </c>
      <c r="C220" t="inlineStr">
        <is>
          <t>Medium reef assoc. fish (30 - 89 cm)</t>
        </is>
      </c>
      <c r="D220" t="inlineStr">
        <is>
          <t>Perch-likes</t>
        </is>
      </c>
      <c r="E220" t="n">
        <v>169.694</v>
      </c>
      <c r="F220" t="n">
        <v>173.393</v>
      </c>
      <c r="G220" t="n">
        <v>179.768</v>
      </c>
      <c r="H220" t="n">
        <v>195.424</v>
      </c>
      <c r="I220" t="n">
        <v>200.071</v>
      </c>
      <c r="J220" t="n">
        <v>205.703</v>
      </c>
      <c r="K220" t="n">
        <v>209.706</v>
      </c>
      <c r="L220" t="n">
        <v>218.621</v>
      </c>
      <c r="M220" t="n">
        <v>217.537</v>
      </c>
      <c r="N220" t="n">
        <v>221.926</v>
      </c>
      <c r="O220" t="n">
        <v>231.229</v>
      </c>
      <c r="P220" t="n">
        <v>226.838</v>
      </c>
      <c r="Q220" t="n">
        <v>245.459</v>
      </c>
      <c r="R220" t="n">
        <v>250.52</v>
      </c>
      <c r="S220" t="n">
        <v>258.14</v>
      </c>
      <c r="T220" t="n">
        <v>266.227</v>
      </c>
      <c r="U220" t="n">
        <v>289.733</v>
      </c>
      <c r="V220" t="n">
        <v>292.289</v>
      </c>
      <c r="W220" t="n">
        <v>299.778</v>
      </c>
      <c r="X220" t="n">
        <v>311.196</v>
      </c>
      <c r="Y220" t="n">
        <v>311.071</v>
      </c>
      <c r="Z220" t="n">
        <v>327.523</v>
      </c>
      <c r="AA220" t="n">
        <v>326.517</v>
      </c>
      <c r="AB220" t="n">
        <v>349.748</v>
      </c>
      <c r="AC220" t="n">
        <v>332.93</v>
      </c>
      <c r="AD220" t="n">
        <v>345.269</v>
      </c>
      <c r="AE220" t="n">
        <v>360.859</v>
      </c>
      <c r="AF220" t="n">
        <v>407.441</v>
      </c>
      <c r="AG220" t="n">
        <v>417.624</v>
      </c>
      <c r="AH220" t="n">
        <v>454.4</v>
      </c>
      <c r="AI220" t="n">
        <v>449.573</v>
      </c>
      <c r="AJ220" t="n">
        <v>480.629</v>
      </c>
      <c r="AK220" t="n">
        <v>521.748</v>
      </c>
      <c r="AL220" t="n">
        <v>541.184</v>
      </c>
      <c r="AM220" t="n">
        <v>550.457</v>
      </c>
      <c r="AN220" t="n">
        <v>574.376</v>
      </c>
      <c r="AO220" t="n">
        <v>577.333</v>
      </c>
      <c r="AP220" t="n">
        <v>570.948</v>
      </c>
      <c r="AQ220" t="n">
        <v>605.079</v>
      </c>
      <c r="AR220" t="n">
        <v>619.052</v>
      </c>
      <c r="AS220" t="n">
        <v>564.699</v>
      </c>
      <c r="AT220" t="n">
        <v>598.999</v>
      </c>
      <c r="AU220" t="n">
        <v>598.067</v>
      </c>
      <c r="AV220" t="n">
        <v>615.484</v>
      </c>
      <c r="AW220" t="n">
        <v>635.106</v>
      </c>
      <c r="AX220" t="n">
        <v>695.154</v>
      </c>
      <c r="AY220" t="n">
        <v>701.486</v>
      </c>
      <c r="AZ220" t="n">
        <v>723.355</v>
      </c>
      <c r="BA220" t="n">
        <v>739.607</v>
      </c>
      <c r="BB220" t="n">
        <v>783.8680000000001</v>
      </c>
      <c r="BC220" t="n">
        <v>176.917</v>
      </c>
      <c r="BD220" t="n">
        <v>160.249</v>
      </c>
      <c r="BE220" t="n">
        <v>153.318</v>
      </c>
      <c r="BF220" t="n">
        <v>130.305</v>
      </c>
      <c r="BG220" t="n">
        <v>104.591</v>
      </c>
      <c r="BH220" t="n">
        <v>84.253</v>
      </c>
      <c r="BI220" t="n">
        <v>76.152</v>
      </c>
      <c r="BJ220" t="n">
        <v>65.881</v>
      </c>
      <c r="BK220" t="n">
        <v>58.244</v>
      </c>
      <c r="BL220" t="n">
        <v>48.821</v>
      </c>
      <c r="BM220" t="n">
        <v>37.38</v>
      </c>
      <c r="BN220" t="n">
        <v>30.224</v>
      </c>
      <c r="BO220" t="n">
        <v>23.671</v>
      </c>
      <c r="BP220" t="n">
        <v>14.422</v>
      </c>
      <c r="BQ220" t="n">
        <v>4.902</v>
      </c>
      <c r="BR220" t="n">
        <v>0</v>
      </c>
      <c r="BS220" t="n">
        <v>0</v>
      </c>
      <c r="BT220" t="n">
        <v>0</v>
      </c>
      <c r="BU220" t="n">
        <v>0</v>
      </c>
      <c r="BV220" t="n">
        <v>0</v>
      </c>
    </row>
    <row r="221">
      <c r="A221" t="inlineStr">
        <is>
          <t>Equulites klunzingeri</t>
        </is>
      </c>
      <c r="B221" t="inlineStr">
        <is>
          <t>Klunzinger's ponyfish</t>
        </is>
      </c>
      <c r="C221" t="inlineStr">
        <is>
          <t>Small demersals (&lt;30 cm)</t>
        </is>
      </c>
      <c r="D221" t="inlineStr">
        <is>
          <t>Perch-likes</t>
        </is>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389.161</v>
      </c>
      <c r="BH221" t="n">
        <v>877.621</v>
      </c>
      <c r="BI221" t="n">
        <v>1109.201</v>
      </c>
      <c r="BJ221" t="n">
        <v>1538.161</v>
      </c>
      <c r="BK221" t="n">
        <v>2145.957</v>
      </c>
      <c r="BL221" t="n">
        <v>1755.067</v>
      </c>
      <c r="BM221" t="n">
        <v>1431.655</v>
      </c>
      <c r="BN221" t="n">
        <v>1331.338</v>
      </c>
      <c r="BO221" t="n">
        <v>1105.811</v>
      </c>
      <c r="BP221" t="n">
        <v>1399.674</v>
      </c>
      <c r="BQ221" t="n">
        <v>1329.086</v>
      </c>
      <c r="BR221" t="n">
        <v>1389.081</v>
      </c>
      <c r="BS221" t="n">
        <v>1332.622</v>
      </c>
      <c r="BT221" t="n">
        <v>1332.62</v>
      </c>
      <c r="BU221" t="n">
        <v>1332.617</v>
      </c>
      <c r="BV221" t="n">
        <v>1225.128</v>
      </c>
    </row>
    <row r="222">
      <c r="A222" t="inlineStr">
        <is>
          <t>Carcharhinus dussumieri</t>
        </is>
      </c>
      <c r="B222" t="inlineStr">
        <is>
          <t>Whitecheek shark</t>
        </is>
      </c>
      <c r="C222" t="inlineStr">
        <is>
          <t>Small to medium sharks (&lt;90 cm)</t>
        </is>
      </c>
      <c r="D222" t="inlineStr">
        <is>
          <t>Sharks &amp; rays</t>
        </is>
      </c>
      <c r="E222" t="n">
        <v>214.737</v>
      </c>
      <c r="F222" t="n">
        <v>215.965</v>
      </c>
      <c r="G222" t="n">
        <v>214.344</v>
      </c>
      <c r="H222" t="n">
        <v>215.469</v>
      </c>
      <c r="I222" t="n">
        <v>216.555</v>
      </c>
      <c r="J222" t="n">
        <v>217.603</v>
      </c>
      <c r="K222" t="n">
        <v>218.303</v>
      </c>
      <c r="L222" t="n">
        <v>220.647</v>
      </c>
      <c r="M222" t="n">
        <v>222.384</v>
      </c>
      <c r="N222" t="n">
        <v>225.471</v>
      </c>
      <c r="O222" t="n">
        <v>227.123</v>
      </c>
      <c r="P222" t="n">
        <v>229.277</v>
      </c>
      <c r="Q222" t="n">
        <v>231.386</v>
      </c>
      <c r="R222" t="n">
        <v>234.843</v>
      </c>
      <c r="S222" t="n">
        <v>237.417</v>
      </c>
      <c r="T222" t="n">
        <v>237.274</v>
      </c>
      <c r="U222" t="n">
        <v>238.121</v>
      </c>
      <c r="V222" t="n">
        <v>239.731</v>
      </c>
      <c r="W222" t="n">
        <v>237.496</v>
      </c>
      <c r="X222" t="n">
        <v>240.821</v>
      </c>
      <c r="Y222" t="n">
        <v>242.505</v>
      </c>
      <c r="Z222" t="n">
        <v>242.574</v>
      </c>
      <c r="AA222" t="n">
        <v>245.939</v>
      </c>
      <c r="AB222" t="n">
        <v>246.235</v>
      </c>
      <c r="AC222" t="n">
        <v>198.167</v>
      </c>
      <c r="AD222" t="n">
        <v>211.577</v>
      </c>
      <c r="AE222" t="n">
        <v>225.093</v>
      </c>
      <c r="AF222" t="n">
        <v>238.827</v>
      </c>
      <c r="AG222" t="n">
        <v>235.005</v>
      </c>
      <c r="AH222" t="n">
        <v>231.68</v>
      </c>
      <c r="AI222" t="n">
        <v>250.229</v>
      </c>
      <c r="AJ222" t="n">
        <v>253.476</v>
      </c>
      <c r="AK222" t="n">
        <v>204.765</v>
      </c>
      <c r="AL222" t="n">
        <v>208.671</v>
      </c>
      <c r="AM222" t="n">
        <v>210.774</v>
      </c>
      <c r="AN222" t="n">
        <v>213.369</v>
      </c>
      <c r="AO222" t="n">
        <v>207.111</v>
      </c>
      <c r="AP222" t="n">
        <v>239.668</v>
      </c>
      <c r="AQ222" t="n">
        <v>244.722</v>
      </c>
      <c r="AR222" t="n">
        <v>248.398</v>
      </c>
      <c r="AS222" t="n">
        <v>242.812</v>
      </c>
      <c r="AT222" t="n">
        <v>279.952</v>
      </c>
      <c r="AU222" t="n">
        <v>275.712</v>
      </c>
      <c r="AV222" t="n">
        <v>241.802</v>
      </c>
      <c r="AW222" t="n">
        <v>429.613</v>
      </c>
      <c r="AX222" t="n">
        <v>422.386</v>
      </c>
      <c r="AY222" t="n">
        <v>394.946</v>
      </c>
      <c r="AZ222" t="n">
        <v>542.775</v>
      </c>
      <c r="BA222" t="n">
        <v>423.721</v>
      </c>
      <c r="BB222" t="n">
        <v>385.265</v>
      </c>
      <c r="BC222" t="n">
        <v>349.131</v>
      </c>
      <c r="BD222" t="n">
        <v>332.827</v>
      </c>
      <c r="BE222" t="n">
        <v>279.913</v>
      </c>
      <c r="BF222" t="n">
        <v>208.191</v>
      </c>
      <c r="BG222" t="n">
        <v>214.038</v>
      </c>
      <c r="BH222" t="n">
        <v>197.048</v>
      </c>
      <c r="BI222" t="n">
        <v>181.977</v>
      </c>
      <c r="BJ222" t="n">
        <v>164.371</v>
      </c>
      <c r="BK222" t="n">
        <v>143.653</v>
      </c>
      <c r="BL222" t="n">
        <v>134.757</v>
      </c>
      <c r="BM222" t="n">
        <v>110.351</v>
      </c>
      <c r="BN222" t="n">
        <v>140.331</v>
      </c>
      <c r="BO222" t="n">
        <v>481.893</v>
      </c>
      <c r="BP222" t="n">
        <v>571.37</v>
      </c>
      <c r="BQ222" t="n">
        <v>1240.001</v>
      </c>
      <c r="BR222" t="n">
        <v>635.053</v>
      </c>
      <c r="BS222" t="n">
        <v>952.215</v>
      </c>
      <c r="BT222" t="n">
        <v>686.5890000000001</v>
      </c>
      <c r="BU222" t="n">
        <v>439.109</v>
      </c>
      <c r="BV222" t="n">
        <v>478.113</v>
      </c>
    </row>
    <row r="223">
      <c r="A223" t="inlineStr">
        <is>
          <t>Alepes djedaba</t>
        </is>
      </c>
      <c r="B223" t="inlineStr">
        <is>
          <t>Shrimp scad</t>
        </is>
      </c>
      <c r="C223" t="inlineStr">
        <is>
          <t>Medium reef assoc. fish (30 - 89 cm)</t>
        </is>
      </c>
      <c r="D223" t="inlineStr">
        <is>
          <t>Perch-likes</t>
        </is>
      </c>
      <c r="E223" t="n">
        <v>115.44</v>
      </c>
      <c r="F223" t="n">
        <v>116.054</v>
      </c>
      <c r="G223" t="n">
        <v>120.611</v>
      </c>
      <c r="H223" t="n">
        <v>118.49</v>
      </c>
      <c r="I223" t="n">
        <v>121.717</v>
      </c>
      <c r="J223" t="n">
        <v>122.241</v>
      </c>
      <c r="K223" t="n">
        <v>123.933</v>
      </c>
      <c r="L223" t="n">
        <v>131.815</v>
      </c>
      <c r="M223" t="n">
        <v>132.684</v>
      </c>
      <c r="N223" t="n">
        <v>139.595</v>
      </c>
      <c r="O223" t="n">
        <v>140.422</v>
      </c>
      <c r="P223" t="n">
        <v>170.769</v>
      </c>
      <c r="Q223" t="n">
        <v>182.843</v>
      </c>
      <c r="R223" t="n">
        <v>189.8</v>
      </c>
      <c r="S223" t="n">
        <v>176.387</v>
      </c>
      <c r="T223" t="n">
        <v>169.345</v>
      </c>
      <c r="U223" t="n">
        <v>175.468</v>
      </c>
      <c r="V223" t="n">
        <v>159.043</v>
      </c>
      <c r="W223" t="n">
        <v>148.445</v>
      </c>
      <c r="X223" t="n">
        <v>145.218</v>
      </c>
      <c r="Y223" t="n">
        <v>150.259</v>
      </c>
      <c r="Z223" t="n">
        <v>157.134</v>
      </c>
      <c r="AA223" t="n">
        <v>157.202</v>
      </c>
      <c r="AB223" t="n">
        <v>181.253</v>
      </c>
      <c r="AC223" t="n">
        <v>143.608</v>
      </c>
      <c r="AD223" t="n">
        <v>140.939</v>
      </c>
      <c r="AE223" t="n">
        <v>147.633</v>
      </c>
      <c r="AF223" t="n">
        <v>150.535</v>
      </c>
      <c r="AG223" t="n">
        <v>167.811</v>
      </c>
      <c r="AH223" t="n">
        <v>174.85</v>
      </c>
      <c r="AI223" t="n">
        <v>190.396</v>
      </c>
      <c r="AJ223" t="n">
        <v>204.09</v>
      </c>
      <c r="AK223" t="n">
        <v>174.091</v>
      </c>
      <c r="AL223" t="n">
        <v>197.729</v>
      </c>
      <c r="AM223" t="n">
        <v>203.27</v>
      </c>
      <c r="AN223" t="n">
        <v>192.608</v>
      </c>
      <c r="AO223" t="n">
        <v>188.882</v>
      </c>
      <c r="AP223" t="n">
        <v>199.437</v>
      </c>
      <c r="AQ223" t="n">
        <v>185.833</v>
      </c>
      <c r="AR223" t="n">
        <v>193.72</v>
      </c>
      <c r="AS223" t="n">
        <v>264.386</v>
      </c>
      <c r="AT223" t="n">
        <v>195.227</v>
      </c>
      <c r="AU223" t="n">
        <v>286.43</v>
      </c>
      <c r="AV223" t="n">
        <v>346.274</v>
      </c>
      <c r="AW223" t="n">
        <v>540.349</v>
      </c>
      <c r="AX223" t="n">
        <v>614.033</v>
      </c>
      <c r="AY223" t="n">
        <v>789.328</v>
      </c>
      <c r="AZ223" t="n">
        <v>902.226</v>
      </c>
      <c r="BA223" t="n">
        <v>944.3049999999999</v>
      </c>
      <c r="BB223" t="n">
        <v>961.505</v>
      </c>
      <c r="BC223" t="n">
        <v>932.197</v>
      </c>
      <c r="BD223" t="n">
        <v>1099.971</v>
      </c>
      <c r="BE223" t="n">
        <v>1058.269</v>
      </c>
      <c r="BF223" t="n">
        <v>271.812</v>
      </c>
      <c r="BG223" t="n">
        <v>220.919</v>
      </c>
      <c r="BH223" t="n">
        <v>251.524</v>
      </c>
      <c r="BI223" t="n">
        <v>376.835</v>
      </c>
      <c r="BJ223" t="n">
        <v>267.874</v>
      </c>
      <c r="BK223" t="n">
        <v>244.082</v>
      </c>
      <c r="BL223" t="n">
        <v>225.255</v>
      </c>
      <c r="BM223" t="n">
        <v>220.485</v>
      </c>
      <c r="BN223" t="n">
        <v>213.835</v>
      </c>
      <c r="BO223" t="n">
        <v>320.655</v>
      </c>
      <c r="BP223" t="n">
        <v>282.668</v>
      </c>
      <c r="BQ223" t="n">
        <v>278.965</v>
      </c>
      <c r="BR223" t="n">
        <v>262.414</v>
      </c>
      <c r="BS223" t="n">
        <v>248.422</v>
      </c>
      <c r="BT223" t="n">
        <v>277.592</v>
      </c>
      <c r="BU223" t="n">
        <v>280.955</v>
      </c>
      <c r="BV223" t="n">
        <v>275.372</v>
      </c>
    </row>
    <row r="224">
      <c r="A224" t="inlineStr">
        <is>
          <t>Carcharhinus amblyrhynchos</t>
        </is>
      </c>
      <c r="B224" t="inlineStr">
        <is>
          <t>Blacktail reef shark</t>
        </is>
      </c>
      <c r="C224" t="inlineStr">
        <is>
          <t>Large sharks (&gt;=90 cm)</t>
        </is>
      </c>
      <c r="D224" t="inlineStr">
        <is>
          <t>Sharks &amp; rays</t>
        </is>
      </c>
      <c r="E224" t="n">
        <v>58.66</v>
      </c>
      <c r="F224" t="n">
        <v>59.002</v>
      </c>
      <c r="G224" t="n">
        <v>59.344</v>
      </c>
      <c r="H224" t="n">
        <v>59.687</v>
      </c>
      <c r="I224" t="n">
        <v>60.029</v>
      </c>
      <c r="J224" t="n">
        <v>60.371</v>
      </c>
      <c r="K224" t="n">
        <v>60.713</v>
      </c>
      <c r="L224" t="n">
        <v>61.055</v>
      </c>
      <c r="M224" t="n">
        <v>61.398</v>
      </c>
      <c r="N224" t="n">
        <v>61.74</v>
      </c>
      <c r="O224" t="n">
        <v>62.638</v>
      </c>
      <c r="P224" t="n">
        <v>63.554</v>
      </c>
      <c r="Q224" t="n">
        <v>64.47799999999999</v>
      </c>
      <c r="R224" t="n">
        <v>68.809</v>
      </c>
      <c r="S224" t="n">
        <v>72.977</v>
      </c>
      <c r="T224" t="n">
        <v>78.292</v>
      </c>
      <c r="U224" t="n">
        <v>82.81399999999999</v>
      </c>
      <c r="V224" t="n">
        <v>87.131</v>
      </c>
      <c r="W224" t="n">
        <v>91.95999999999999</v>
      </c>
      <c r="X224" t="n">
        <v>96.976</v>
      </c>
      <c r="Y224" t="n">
        <v>101.919</v>
      </c>
      <c r="Z224" t="n">
        <v>107.683</v>
      </c>
      <c r="AA224" t="n">
        <v>115.458</v>
      </c>
      <c r="AB224" t="n">
        <v>119.371</v>
      </c>
      <c r="AC224" t="n">
        <v>128.575</v>
      </c>
      <c r="AD224" t="n">
        <v>136.808</v>
      </c>
      <c r="AE224" t="n">
        <v>142.334</v>
      </c>
      <c r="AF224" t="n">
        <v>154.171</v>
      </c>
      <c r="AG224" t="n">
        <v>155.53</v>
      </c>
      <c r="AH224" t="n">
        <v>159.828</v>
      </c>
      <c r="AI224" t="n">
        <v>166.36</v>
      </c>
      <c r="AJ224" t="n">
        <v>165.131</v>
      </c>
      <c r="AK224" t="n">
        <v>171.88</v>
      </c>
      <c r="AL224" t="n">
        <v>179.802</v>
      </c>
      <c r="AM224" t="n">
        <v>186.358</v>
      </c>
      <c r="AN224" t="n">
        <v>194.51</v>
      </c>
      <c r="AO224" t="n">
        <v>205.044</v>
      </c>
      <c r="AP224" t="n">
        <v>219.692</v>
      </c>
      <c r="AQ224" t="n">
        <v>228.993</v>
      </c>
      <c r="AR224" t="n">
        <v>216.678</v>
      </c>
      <c r="AS224" t="n">
        <v>210.047</v>
      </c>
      <c r="AT224" t="n">
        <v>201.216</v>
      </c>
      <c r="AU224" t="n">
        <v>190.342</v>
      </c>
      <c r="AV224" t="n">
        <v>179.35</v>
      </c>
      <c r="AW224" t="n">
        <v>166.187</v>
      </c>
      <c r="AX224" t="n">
        <v>153.287</v>
      </c>
      <c r="AY224" t="n">
        <v>219.758</v>
      </c>
      <c r="AZ224" t="n">
        <v>278.273</v>
      </c>
      <c r="BA224" t="n">
        <v>334.375</v>
      </c>
      <c r="BB224" t="n">
        <v>390.959</v>
      </c>
      <c r="BC224" t="n">
        <v>447.017</v>
      </c>
      <c r="BD224" t="n">
        <v>501.384</v>
      </c>
      <c r="BE224" t="n">
        <v>553.377</v>
      </c>
      <c r="BF224" t="n">
        <v>606.855</v>
      </c>
      <c r="BG224" t="n">
        <v>605.3390000000001</v>
      </c>
      <c r="BH224" t="n">
        <v>463.555</v>
      </c>
      <c r="BI224" t="n">
        <v>508.617</v>
      </c>
      <c r="BJ224" t="n">
        <v>542.61</v>
      </c>
      <c r="BK224" t="n">
        <v>579.727</v>
      </c>
      <c r="BL224" t="n">
        <v>616.83</v>
      </c>
      <c r="BM224" t="n">
        <v>646.833</v>
      </c>
      <c r="BN224" t="n">
        <v>657.083</v>
      </c>
      <c r="BO224" t="n">
        <v>667.063</v>
      </c>
      <c r="BP224" t="n">
        <v>676.765</v>
      </c>
      <c r="BQ224" t="n">
        <v>686.1900000000001</v>
      </c>
      <c r="BR224" t="n">
        <v>694.1130000000001</v>
      </c>
      <c r="BS224" t="n">
        <v>694.657</v>
      </c>
      <c r="BT224" t="n">
        <v>703.919</v>
      </c>
      <c r="BU224" t="n">
        <v>714.085</v>
      </c>
      <c r="BV224" t="n">
        <v>717.966</v>
      </c>
    </row>
    <row r="225">
      <c r="A225" t="inlineStr">
        <is>
          <t>Triakidae</t>
        </is>
      </c>
      <c r="B225" t="inlineStr">
        <is>
          <t>Houndsharks</t>
        </is>
      </c>
      <c r="C225" t="inlineStr">
        <is>
          <t>Large sharks (&gt;=90 cm)</t>
        </is>
      </c>
      <c r="D225" t="inlineStr">
        <is>
          <t>Sharks &amp; rays</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296.053</v>
      </c>
      <c r="Z225" t="n">
        <v>311.673</v>
      </c>
      <c r="AA225" t="n">
        <v>383.473</v>
      </c>
      <c r="AB225" t="n">
        <v>507.653</v>
      </c>
      <c r="AC225" t="n">
        <v>581.349</v>
      </c>
      <c r="AD225" t="n">
        <v>552.152</v>
      </c>
      <c r="AE225" t="n">
        <v>488.024</v>
      </c>
      <c r="AF225" t="n">
        <v>635.7910000000001</v>
      </c>
      <c r="AG225" t="n">
        <v>118.354</v>
      </c>
      <c r="AH225" t="n">
        <v>219.944</v>
      </c>
      <c r="AI225" t="n">
        <v>153.491</v>
      </c>
      <c r="AJ225" t="n">
        <v>54.559</v>
      </c>
      <c r="AK225" t="n">
        <v>58.526</v>
      </c>
      <c r="AL225" t="n">
        <v>98.086</v>
      </c>
      <c r="AM225" t="n">
        <v>102.956</v>
      </c>
      <c r="AN225" t="n">
        <v>88.36199999999999</v>
      </c>
      <c r="AO225" t="n">
        <v>109.118</v>
      </c>
      <c r="AP225" t="n">
        <v>88.93300000000001</v>
      </c>
      <c r="AQ225" t="n">
        <v>84.036</v>
      </c>
      <c r="AR225" t="n">
        <v>89.233</v>
      </c>
      <c r="AS225" t="n">
        <v>44.677</v>
      </c>
      <c r="AT225" t="n">
        <v>1241.293</v>
      </c>
      <c r="AU225" t="n">
        <v>1060.666</v>
      </c>
      <c r="AV225" t="n">
        <v>607.9109999999999</v>
      </c>
      <c r="AW225" t="n">
        <v>788.356</v>
      </c>
      <c r="AX225" t="n">
        <v>285.384</v>
      </c>
      <c r="AY225" t="n">
        <v>313.875</v>
      </c>
      <c r="AZ225" t="n">
        <v>396.61</v>
      </c>
      <c r="BA225" t="n">
        <v>677.342</v>
      </c>
      <c r="BB225" t="n">
        <v>761.543</v>
      </c>
      <c r="BC225" t="n">
        <v>701.929</v>
      </c>
      <c r="BD225" t="n">
        <v>639.075</v>
      </c>
      <c r="BE225" t="n">
        <v>552.522</v>
      </c>
      <c r="BF225" t="n">
        <v>585.135</v>
      </c>
      <c r="BG225" t="n">
        <v>559.347</v>
      </c>
      <c r="BH225" t="n">
        <v>465.601</v>
      </c>
      <c r="BI225" t="n">
        <v>390.076</v>
      </c>
      <c r="BJ225" t="n">
        <v>266.65</v>
      </c>
      <c r="BK225" t="n">
        <v>246.963</v>
      </c>
      <c r="BL225" t="n">
        <v>297.044</v>
      </c>
      <c r="BM225" t="n">
        <v>200.112</v>
      </c>
      <c r="BN225" t="n">
        <v>213.755</v>
      </c>
      <c r="BO225" t="n">
        <v>281.263</v>
      </c>
      <c r="BP225" t="n">
        <v>205.526</v>
      </c>
      <c r="BQ225" t="n">
        <v>325.058</v>
      </c>
      <c r="BR225" t="n">
        <v>444.315</v>
      </c>
      <c r="BS225" t="n">
        <v>118.91</v>
      </c>
      <c r="BT225" t="n">
        <v>237.672</v>
      </c>
      <c r="BU225" t="n">
        <v>210.711</v>
      </c>
      <c r="BV225" t="n">
        <v>273.87</v>
      </c>
    </row>
    <row r="226">
      <c r="A226" t="inlineStr">
        <is>
          <t>Scyris indica</t>
        </is>
      </c>
      <c r="B226" t="inlineStr">
        <is>
          <t>Indian threadfish</t>
        </is>
      </c>
      <c r="C226" t="inlineStr">
        <is>
          <t>Large reef assoc. fish (&gt;=90 cm)</t>
        </is>
      </c>
      <c r="D226" t="inlineStr">
        <is>
          <t>Perch-likes</t>
        </is>
      </c>
      <c r="E226" t="n">
        <v>240.212</v>
      </c>
      <c r="F226" t="n">
        <v>241.585</v>
      </c>
      <c r="G226" t="n">
        <v>239.772</v>
      </c>
      <c r="H226" t="n">
        <v>241.03</v>
      </c>
      <c r="I226" t="n">
        <v>242.245</v>
      </c>
      <c r="J226" t="n">
        <v>243.418</v>
      </c>
      <c r="K226" t="n">
        <v>244.201</v>
      </c>
      <c r="L226" t="n">
        <v>246.823</v>
      </c>
      <c r="M226" t="n">
        <v>248.766</v>
      </c>
      <c r="N226" t="n">
        <v>252.219</v>
      </c>
      <c r="O226" t="n">
        <v>254.068</v>
      </c>
      <c r="P226" t="n">
        <v>256.477</v>
      </c>
      <c r="Q226" t="n">
        <v>258.837</v>
      </c>
      <c r="R226" t="n">
        <v>262.704</v>
      </c>
      <c r="S226" t="n">
        <v>265.584</v>
      </c>
      <c r="T226" t="n">
        <v>265.424</v>
      </c>
      <c r="U226" t="n">
        <v>266.372</v>
      </c>
      <c r="V226" t="n">
        <v>268.173</v>
      </c>
      <c r="W226" t="n">
        <v>265.674</v>
      </c>
      <c r="X226" t="n">
        <v>269.393</v>
      </c>
      <c r="Y226" t="n">
        <v>271.277</v>
      </c>
      <c r="Z226" t="n">
        <v>271.353</v>
      </c>
      <c r="AA226" t="n">
        <v>275.118</v>
      </c>
      <c r="AB226" t="n">
        <v>275.449</v>
      </c>
      <c r="AC226" t="n">
        <v>221.679</v>
      </c>
      <c r="AD226" t="n">
        <v>236.697</v>
      </c>
      <c r="AE226" t="n">
        <v>251.834</v>
      </c>
      <c r="AF226" t="n">
        <v>267.215</v>
      </c>
      <c r="AG226" t="n">
        <v>262.957</v>
      </c>
      <c r="AH226" t="n">
        <v>259.255</v>
      </c>
      <c r="AI226" t="n">
        <v>280.021</v>
      </c>
      <c r="AJ226" t="n">
        <v>283.672</v>
      </c>
      <c r="AK226" t="n">
        <v>229.199</v>
      </c>
      <c r="AL226" t="n">
        <v>233.586</v>
      </c>
      <c r="AM226" t="n">
        <v>235.956</v>
      </c>
      <c r="AN226" t="n">
        <v>238.877</v>
      </c>
      <c r="AO226" t="n">
        <v>231.898</v>
      </c>
      <c r="AP226" t="n">
        <v>268.341</v>
      </c>
      <c r="AQ226" t="n">
        <v>273.993</v>
      </c>
      <c r="AR226" t="n">
        <v>278.104</v>
      </c>
      <c r="AS226" t="n">
        <v>271.848</v>
      </c>
      <c r="AT226" t="n">
        <v>313.39</v>
      </c>
      <c r="AU226" t="n">
        <v>308.639</v>
      </c>
      <c r="AV226" t="n">
        <v>270.701</v>
      </c>
      <c r="AW226" t="n">
        <v>480.793</v>
      </c>
      <c r="AX226" t="n">
        <v>472.702</v>
      </c>
      <c r="AY226" t="n">
        <v>442.001</v>
      </c>
      <c r="AZ226" t="n">
        <v>607.3579999999999</v>
      </c>
      <c r="BA226" t="n">
        <v>474.161</v>
      </c>
      <c r="BB226" t="n">
        <v>431.128</v>
      </c>
      <c r="BC226" t="n">
        <v>390.694</v>
      </c>
      <c r="BD226" t="n">
        <v>372.443</v>
      </c>
      <c r="BE226" t="n">
        <v>313.246</v>
      </c>
      <c r="BF226" t="n">
        <v>233.009</v>
      </c>
      <c r="BG226" t="n">
        <v>239.545</v>
      </c>
      <c r="BH226" t="n">
        <v>220.536</v>
      </c>
      <c r="BI226" t="n">
        <v>203.674</v>
      </c>
      <c r="BJ226" t="n">
        <v>183.977</v>
      </c>
      <c r="BK226" t="n">
        <v>160.806</v>
      </c>
      <c r="BL226" t="n">
        <v>150.842</v>
      </c>
      <c r="BM226" t="n">
        <v>123.531</v>
      </c>
      <c r="BN226" t="n">
        <v>76.44499999999999</v>
      </c>
      <c r="BO226" t="n">
        <v>76.569</v>
      </c>
      <c r="BP226" t="n">
        <v>76.379</v>
      </c>
      <c r="BQ226" t="n">
        <v>76.202</v>
      </c>
      <c r="BR226" t="n">
        <v>76.202</v>
      </c>
      <c r="BS226" t="n">
        <v>76.202</v>
      </c>
      <c r="BT226" t="n">
        <v>76.202</v>
      </c>
      <c r="BU226" t="n">
        <v>76.202</v>
      </c>
      <c r="BV226" t="n">
        <v>76.208</v>
      </c>
    </row>
    <row r="227">
      <c r="A227" t="inlineStr">
        <is>
          <t>Echinoidea</t>
        </is>
      </c>
      <c r="B227" t="inlineStr">
        <is>
          <t>Sea urchins, sea hedgehogs</t>
        </is>
      </c>
      <c r="C227" t="inlineStr">
        <is>
          <t>Other demersal invertebrates</t>
        </is>
      </c>
      <c r="D227" t="inlineStr">
        <is>
          <t>Other fishes &amp; inverts</t>
        </is>
      </c>
      <c r="E227" t="n">
        <v>228.54</v>
      </c>
      <c r="F227" t="n">
        <v>229.846</v>
      </c>
      <c r="G227" t="n">
        <v>228.121</v>
      </c>
      <c r="H227" t="n">
        <v>229.318</v>
      </c>
      <c r="I227" t="n">
        <v>230.474</v>
      </c>
      <c r="J227" t="n">
        <v>231.59</v>
      </c>
      <c r="K227" t="n">
        <v>232.335</v>
      </c>
      <c r="L227" t="n">
        <v>234.829</v>
      </c>
      <c r="M227" t="n">
        <v>236.678</v>
      </c>
      <c r="N227" t="n">
        <v>239.963</v>
      </c>
      <c r="O227" t="n">
        <v>241.722</v>
      </c>
      <c r="P227" t="n">
        <v>244.014</v>
      </c>
      <c r="Q227" t="n">
        <v>246.259</v>
      </c>
      <c r="R227" t="n">
        <v>249.938</v>
      </c>
      <c r="S227" t="n">
        <v>252.677</v>
      </c>
      <c r="T227" t="n">
        <v>252.525</v>
      </c>
      <c r="U227" t="n">
        <v>253.427</v>
      </c>
      <c r="V227" t="n">
        <v>255.139</v>
      </c>
      <c r="W227" t="n">
        <v>252.761</v>
      </c>
      <c r="X227" t="n">
        <v>256.3</v>
      </c>
      <c r="Y227" t="n">
        <v>258.092</v>
      </c>
      <c r="Z227" t="n">
        <v>258.165</v>
      </c>
      <c r="AA227" t="n">
        <v>261.746</v>
      </c>
      <c r="AB227" t="n">
        <v>262.061</v>
      </c>
      <c r="AC227" t="n">
        <v>210.904</v>
      </c>
      <c r="AD227" t="n">
        <v>225.175</v>
      </c>
      <c r="AE227" t="n">
        <v>239.557</v>
      </c>
      <c r="AF227" t="n">
        <v>254.172</v>
      </c>
      <c r="AG227" t="n">
        <v>250.103</v>
      </c>
      <c r="AH227" t="n">
        <v>246.563</v>
      </c>
      <c r="AI227" t="n">
        <v>266.302</v>
      </c>
      <c r="AJ227" t="n">
        <v>269.756</v>
      </c>
      <c r="AK227" t="n">
        <v>217.912</v>
      </c>
      <c r="AL227" t="n">
        <v>222.067</v>
      </c>
      <c r="AM227" t="n">
        <v>224.303</v>
      </c>
      <c r="AN227" t="n">
        <v>227.064</v>
      </c>
      <c r="AO227" t="n">
        <v>220.401</v>
      </c>
      <c r="AP227" t="n">
        <v>255.048</v>
      </c>
      <c r="AQ227" t="n">
        <v>260.427</v>
      </c>
      <c r="AR227" t="n">
        <v>264.34</v>
      </c>
      <c r="AS227" t="n">
        <v>258.395</v>
      </c>
      <c r="AT227" t="n">
        <v>297.923</v>
      </c>
      <c r="AU227" t="n">
        <v>293.411</v>
      </c>
      <c r="AV227" t="n">
        <v>257.323</v>
      </c>
      <c r="AW227" t="n">
        <v>457.205</v>
      </c>
      <c r="AX227" t="n">
        <v>449.514</v>
      </c>
      <c r="AY227" t="n">
        <v>420.311</v>
      </c>
      <c r="AZ227" t="n">
        <v>577.645</v>
      </c>
      <c r="BA227" t="n">
        <v>450.948</v>
      </c>
      <c r="BB227" t="n">
        <v>410.027</v>
      </c>
      <c r="BC227" t="n">
        <v>371.574</v>
      </c>
      <c r="BD227" t="n">
        <v>354.229</v>
      </c>
      <c r="BE227" t="n">
        <v>297.912</v>
      </c>
      <c r="BF227" t="n">
        <v>221.579</v>
      </c>
      <c r="BG227" t="n">
        <v>227.802</v>
      </c>
      <c r="BH227" t="n">
        <v>209.718</v>
      </c>
      <c r="BI227" t="n">
        <v>193.677</v>
      </c>
      <c r="BJ227" t="n">
        <v>174.938</v>
      </c>
      <c r="BK227" t="n">
        <v>152.885</v>
      </c>
      <c r="BL227" t="n">
        <v>143.418</v>
      </c>
      <c r="BM227" t="n">
        <v>117.441</v>
      </c>
      <c r="BN227" t="n">
        <v>155.51</v>
      </c>
      <c r="BO227" t="n">
        <v>144.947</v>
      </c>
      <c r="BP227" t="n">
        <v>151.148</v>
      </c>
      <c r="BQ227" t="n">
        <v>155.363</v>
      </c>
      <c r="BR227" t="n">
        <v>154.261</v>
      </c>
      <c r="BS227" t="n">
        <v>154.601</v>
      </c>
      <c r="BT227" t="n">
        <v>161.55</v>
      </c>
      <c r="BU227" t="n">
        <v>177.921</v>
      </c>
      <c r="BV227" t="n">
        <v>171.436</v>
      </c>
    </row>
    <row r="228">
      <c r="A228" t="inlineStr">
        <is>
          <t>Carcharhinus falciformis</t>
        </is>
      </c>
      <c r="B228" t="inlineStr">
        <is>
          <t>Silky shark</t>
        </is>
      </c>
      <c r="C228" t="inlineStr">
        <is>
          <t>Large sharks (&gt;=90 cm)</t>
        </is>
      </c>
      <c r="D228" t="inlineStr">
        <is>
          <t>Sharks &amp; rays</t>
        </is>
      </c>
      <c r="E228" t="n">
        <v>0.263</v>
      </c>
      <c r="F228" t="n">
        <v>0.269</v>
      </c>
      <c r="G228" t="n">
        <v>0.274</v>
      </c>
      <c r="H228" t="n">
        <v>0.28</v>
      </c>
      <c r="I228" t="n">
        <v>0.286</v>
      </c>
      <c r="J228" t="n">
        <v>0.292</v>
      </c>
      <c r="K228" t="n">
        <v>0.298</v>
      </c>
      <c r="L228" t="n">
        <v>0.304</v>
      </c>
      <c r="M228" t="n">
        <v>0.31</v>
      </c>
      <c r="N228" t="n">
        <v>0.316</v>
      </c>
      <c r="O228" t="n">
        <v>0.322</v>
      </c>
      <c r="P228" t="n">
        <v>0.328</v>
      </c>
      <c r="Q228" t="n">
        <v>0.334</v>
      </c>
      <c r="R228" t="n">
        <v>0.339</v>
      </c>
      <c r="S228" t="n">
        <v>0.392</v>
      </c>
      <c r="T228" t="n">
        <v>0.447</v>
      </c>
      <c r="U228" t="n">
        <v>0.504</v>
      </c>
      <c r="V228" t="n">
        <v>0.5629999999999999</v>
      </c>
      <c r="W228" t="n">
        <v>0.623</v>
      </c>
      <c r="X228" t="n">
        <v>0.6840000000000001</v>
      </c>
      <c r="Y228" t="n">
        <v>0.357</v>
      </c>
      <c r="Z228" t="n">
        <v>0.645</v>
      </c>
      <c r="AA228" t="n">
        <v>2.276</v>
      </c>
      <c r="AB228" t="n">
        <v>1.044</v>
      </c>
      <c r="AC228" t="n">
        <v>2.595</v>
      </c>
      <c r="AD228" t="n">
        <v>2.758</v>
      </c>
      <c r="AE228" t="n">
        <v>2.271</v>
      </c>
      <c r="AF228" t="n">
        <v>6.534</v>
      </c>
      <c r="AG228" t="n">
        <v>8.659000000000001</v>
      </c>
      <c r="AH228" t="n">
        <v>7.199</v>
      </c>
      <c r="AI228" t="n">
        <v>10.607</v>
      </c>
      <c r="AJ228" t="n">
        <v>5.636</v>
      </c>
      <c r="AK228" t="n">
        <v>7.489</v>
      </c>
      <c r="AL228" t="n">
        <v>6.699</v>
      </c>
      <c r="AM228" t="n">
        <v>3.914</v>
      </c>
      <c r="AN228" t="n">
        <v>9.131</v>
      </c>
      <c r="AO228" t="n">
        <v>11.614</v>
      </c>
      <c r="AP228" t="n">
        <v>12.744</v>
      </c>
      <c r="AQ228" t="n">
        <v>8.849</v>
      </c>
      <c r="AR228" t="n">
        <v>6.774</v>
      </c>
      <c r="AS228" t="n">
        <v>9.557</v>
      </c>
      <c r="AT228" t="n">
        <v>10.185</v>
      </c>
      <c r="AU228" t="n">
        <v>8.98</v>
      </c>
      <c r="AV228" t="n">
        <v>8.458</v>
      </c>
      <c r="AW228" t="n">
        <v>5.075</v>
      </c>
      <c r="AX228" t="n">
        <v>6.046</v>
      </c>
      <c r="AY228" t="n">
        <v>7.814</v>
      </c>
      <c r="AZ228" t="n">
        <v>10.102</v>
      </c>
      <c r="BA228" t="n">
        <v>6.124</v>
      </c>
      <c r="BB228" t="n">
        <v>5.3</v>
      </c>
      <c r="BC228" t="n">
        <v>7.592</v>
      </c>
      <c r="BD228" t="n">
        <v>6.6</v>
      </c>
      <c r="BE228" t="n">
        <v>5.54</v>
      </c>
      <c r="BF228" t="n">
        <v>7.222</v>
      </c>
      <c r="BG228" t="n">
        <v>6.461</v>
      </c>
      <c r="BH228" t="n">
        <v>6.274</v>
      </c>
      <c r="BI228" t="n">
        <v>6.002</v>
      </c>
      <c r="BJ228" t="n">
        <v>5.488</v>
      </c>
      <c r="BK228" t="n">
        <v>3.755</v>
      </c>
      <c r="BL228" t="n">
        <v>3.798</v>
      </c>
      <c r="BM228" t="n">
        <v>207.464</v>
      </c>
      <c r="BN228" t="n">
        <v>209.777</v>
      </c>
      <c r="BO228" t="n">
        <v>3960.637</v>
      </c>
      <c r="BP228" t="n">
        <v>3352.326</v>
      </c>
      <c r="BQ228" t="n">
        <v>2095.34</v>
      </c>
      <c r="BR228" t="n">
        <v>2648.793</v>
      </c>
      <c r="BS228" t="n">
        <v>996.095</v>
      </c>
      <c r="BT228" t="n">
        <v>1482.336</v>
      </c>
      <c r="BU228" t="n">
        <v>928.09</v>
      </c>
      <c r="BV228" t="n">
        <v>1135.619</v>
      </c>
    </row>
    <row r="229">
      <c r="A229" t="inlineStr">
        <is>
          <t>Atropus armatus</t>
        </is>
      </c>
      <c r="B229" t="inlineStr">
        <is>
          <t>Longfin trevally</t>
        </is>
      </c>
      <c r="C229" t="inlineStr">
        <is>
          <t>Medium reef assoc. fish (30 - 89 cm)</t>
        </is>
      </c>
      <c r="D229" t="inlineStr">
        <is>
          <t>Perch-likes</t>
        </is>
      </c>
      <c r="E229" t="n">
        <v>228.585</v>
      </c>
      <c r="F229" t="n">
        <v>229.892</v>
      </c>
      <c r="G229" t="n">
        <v>228.166</v>
      </c>
      <c r="H229" t="n">
        <v>229.364</v>
      </c>
      <c r="I229" t="n">
        <v>230.52</v>
      </c>
      <c r="J229" t="n">
        <v>231.636</v>
      </c>
      <c r="K229" t="n">
        <v>232.381</v>
      </c>
      <c r="L229" t="n">
        <v>234.876</v>
      </c>
      <c r="M229" t="n">
        <v>236.724</v>
      </c>
      <c r="N229" t="n">
        <v>240.01</v>
      </c>
      <c r="O229" t="n">
        <v>241.769</v>
      </c>
      <c r="P229" t="n">
        <v>244.061</v>
      </c>
      <c r="Q229" t="n">
        <v>246.306</v>
      </c>
      <c r="R229" t="n">
        <v>249.986</v>
      </c>
      <c r="S229" t="n">
        <v>252.725</v>
      </c>
      <c r="T229" t="n">
        <v>252.572</v>
      </c>
      <c r="U229" t="n">
        <v>253.48</v>
      </c>
      <c r="V229" t="n">
        <v>255.194</v>
      </c>
      <c r="W229" t="n">
        <v>252.815</v>
      </c>
      <c r="X229" t="n">
        <v>256.355</v>
      </c>
      <c r="Y229" t="n">
        <v>258.148</v>
      </c>
      <c r="Z229" t="n">
        <v>258.22</v>
      </c>
      <c r="AA229" t="n">
        <v>261.803</v>
      </c>
      <c r="AB229" t="n">
        <v>262.118</v>
      </c>
      <c r="AC229" t="n">
        <v>210.95</v>
      </c>
      <c r="AD229" t="n">
        <v>225.219</v>
      </c>
      <c r="AE229" t="n">
        <v>239.601</v>
      </c>
      <c r="AF229" t="n">
        <v>254.216</v>
      </c>
      <c r="AG229" t="n">
        <v>250.142</v>
      </c>
      <c r="AH229" t="n">
        <v>246.597</v>
      </c>
      <c r="AI229" t="n">
        <v>266.336</v>
      </c>
      <c r="AJ229" t="n">
        <v>269.788</v>
      </c>
      <c r="AK229" t="n">
        <v>217.929</v>
      </c>
      <c r="AL229" t="n">
        <v>222.082</v>
      </c>
      <c r="AM229" t="n">
        <v>224.316</v>
      </c>
      <c r="AN229" t="n">
        <v>227.073</v>
      </c>
      <c r="AO229" t="n">
        <v>220.404</v>
      </c>
      <c r="AP229" t="n">
        <v>255.054</v>
      </c>
      <c r="AQ229" t="n">
        <v>260.435</v>
      </c>
      <c r="AR229" t="n">
        <v>264.348</v>
      </c>
      <c r="AS229" t="n">
        <v>258.404</v>
      </c>
      <c r="AT229" t="n">
        <v>297.942</v>
      </c>
      <c r="AU229" t="n">
        <v>293.43</v>
      </c>
      <c r="AV229" t="n">
        <v>257.335</v>
      </c>
      <c r="AW229" t="n">
        <v>457.265</v>
      </c>
      <c r="AX229" t="n">
        <v>449.573</v>
      </c>
      <c r="AY229" t="n">
        <v>420.364</v>
      </c>
      <c r="AZ229" t="n">
        <v>577.732</v>
      </c>
      <c r="BA229" t="n">
        <v>451.01</v>
      </c>
      <c r="BB229" t="n">
        <v>410.081</v>
      </c>
      <c r="BC229" t="n">
        <v>371.621</v>
      </c>
      <c r="BD229" t="n">
        <v>354.274</v>
      </c>
      <c r="BE229" t="n">
        <v>297.947</v>
      </c>
      <c r="BF229" t="n">
        <v>221.599</v>
      </c>
      <c r="BG229" t="n">
        <v>227.824</v>
      </c>
      <c r="BH229" t="n">
        <v>209.737</v>
      </c>
      <c r="BI229" t="n">
        <v>193.694</v>
      </c>
      <c r="BJ229" t="n">
        <v>174.95</v>
      </c>
      <c r="BK229" t="n">
        <v>152.891</v>
      </c>
      <c r="BL229" t="n">
        <v>143.425</v>
      </c>
      <c r="BM229" t="n">
        <v>117.445</v>
      </c>
      <c r="BN229" t="n">
        <v>72.624</v>
      </c>
      <c r="BO229" t="n">
        <v>72.742</v>
      </c>
      <c r="BP229" t="n">
        <v>72.56100000000001</v>
      </c>
      <c r="BQ229" t="n">
        <v>72.393</v>
      </c>
      <c r="BR229" t="n">
        <v>72.393</v>
      </c>
      <c r="BS229" t="n">
        <v>72.393</v>
      </c>
      <c r="BT229" t="n">
        <v>72.393</v>
      </c>
      <c r="BU229" t="n">
        <v>72.393</v>
      </c>
      <c r="BV229" t="n">
        <v>72.399</v>
      </c>
    </row>
    <row r="230">
      <c r="A230" t="inlineStr">
        <is>
          <t>Scaridae</t>
        </is>
      </c>
      <c r="B230" t="inlineStr">
        <is>
          <t>Parrotfishes</t>
        </is>
      </c>
      <c r="C230" t="inlineStr">
        <is>
          <t>Medium reef assoc. fish (30 - 89 cm)</t>
        </is>
      </c>
      <c r="D230" t="inlineStr">
        <is>
          <t>Perch-likes</t>
        </is>
      </c>
      <c r="E230" t="n">
        <v>6.083</v>
      </c>
      <c r="F230" t="n">
        <v>6.083</v>
      </c>
      <c r="G230" t="n">
        <v>10.139</v>
      </c>
      <c r="H230" t="n">
        <v>8.111000000000001</v>
      </c>
      <c r="I230" t="n">
        <v>10.139</v>
      </c>
      <c r="J230" t="n">
        <v>10.139</v>
      </c>
      <c r="K230" t="n">
        <v>11.153</v>
      </c>
      <c r="L230" t="n">
        <v>16.223</v>
      </c>
      <c r="M230" t="n">
        <v>16.223</v>
      </c>
      <c r="N230" t="n">
        <v>20.278</v>
      </c>
      <c r="O230" t="n">
        <v>20.278</v>
      </c>
      <c r="P230" t="n">
        <v>42.393</v>
      </c>
      <c r="Q230" t="n">
        <v>50.707</v>
      </c>
      <c r="R230" t="n">
        <v>54.557</v>
      </c>
      <c r="S230" t="n">
        <v>43.412</v>
      </c>
      <c r="T230" t="n">
        <v>37.058</v>
      </c>
      <c r="U230" t="n">
        <v>38.662</v>
      </c>
      <c r="V230" t="n">
        <v>28.408</v>
      </c>
      <c r="W230" t="n">
        <v>20.861</v>
      </c>
      <c r="X230" t="n">
        <v>19.882</v>
      </c>
      <c r="Y230" t="n">
        <v>20.393</v>
      </c>
      <c r="Z230" t="n">
        <v>25.534</v>
      </c>
      <c r="AA230" t="n">
        <v>26.118</v>
      </c>
      <c r="AB230" t="n">
        <v>31.239</v>
      </c>
      <c r="AC230" t="n">
        <v>30.401</v>
      </c>
      <c r="AD230" t="n">
        <v>23.725</v>
      </c>
      <c r="AE230" t="n">
        <v>23.49</v>
      </c>
      <c r="AF230" t="n">
        <v>21.987</v>
      </c>
      <c r="AG230" t="n">
        <v>34.117</v>
      </c>
      <c r="AH230" t="n">
        <v>133.174</v>
      </c>
      <c r="AI230" t="n">
        <v>158.177</v>
      </c>
      <c r="AJ230" t="n">
        <v>193.1</v>
      </c>
      <c r="AK230" t="n">
        <v>251.922</v>
      </c>
      <c r="AL230" t="n">
        <v>220.242</v>
      </c>
      <c r="AM230" t="n">
        <v>261.257</v>
      </c>
      <c r="AN230" t="n">
        <v>288.993</v>
      </c>
      <c r="AO230" t="n">
        <v>263.421</v>
      </c>
      <c r="AP230" t="n">
        <v>271.083</v>
      </c>
      <c r="AQ230" t="n">
        <v>271.213</v>
      </c>
      <c r="AR230" t="n">
        <v>229.169</v>
      </c>
      <c r="AS230" t="n">
        <v>242.117</v>
      </c>
      <c r="AT230" t="n">
        <v>186.705</v>
      </c>
      <c r="AU230" t="n">
        <v>173.631</v>
      </c>
      <c r="AV230" t="n">
        <v>180.904</v>
      </c>
      <c r="AW230" t="n">
        <v>204.449</v>
      </c>
      <c r="AX230" t="n">
        <v>250.858</v>
      </c>
      <c r="AY230" t="n">
        <v>257.244</v>
      </c>
      <c r="AZ230" t="n">
        <v>253.941</v>
      </c>
      <c r="BA230" t="n">
        <v>289.506</v>
      </c>
      <c r="BB230" t="n">
        <v>304.782</v>
      </c>
      <c r="BC230" t="n">
        <v>286.455</v>
      </c>
      <c r="BD230" t="n">
        <v>584.443</v>
      </c>
      <c r="BE230" t="n">
        <v>503.439</v>
      </c>
      <c r="BF230" t="n">
        <v>775.489</v>
      </c>
      <c r="BG230" t="n">
        <v>604.904</v>
      </c>
      <c r="BH230" t="n">
        <v>702.914</v>
      </c>
      <c r="BI230" t="n">
        <v>1018.211</v>
      </c>
      <c r="BJ230" t="n">
        <v>707.675</v>
      </c>
      <c r="BK230" t="n">
        <v>600.658</v>
      </c>
      <c r="BL230" t="n">
        <v>540.634</v>
      </c>
      <c r="BM230" t="n">
        <v>466.428</v>
      </c>
      <c r="BN230" t="n">
        <v>466.881</v>
      </c>
      <c r="BO230" t="n">
        <v>485.089</v>
      </c>
      <c r="BP230" t="n">
        <v>445.277</v>
      </c>
      <c r="BQ230" t="n">
        <v>438.081</v>
      </c>
      <c r="BR230" t="n">
        <v>421.653</v>
      </c>
      <c r="BS230" t="n">
        <v>426.508</v>
      </c>
      <c r="BT230" t="n">
        <v>392.219</v>
      </c>
      <c r="BU230" t="n">
        <v>385.95</v>
      </c>
      <c r="BV230" t="n">
        <v>394.411</v>
      </c>
    </row>
    <row r="231">
      <c r="A231" t="inlineStr">
        <is>
          <t>Siganus sutor</t>
        </is>
      </c>
      <c r="B231" t="inlineStr">
        <is>
          <t>Shoemaker spinefoot</t>
        </is>
      </c>
      <c r="C231" t="inlineStr">
        <is>
          <t>Medium reef assoc. fish (30 - 89 cm)</t>
        </is>
      </c>
      <c r="D231" t="inlineStr">
        <is>
          <t>Perch-likes</t>
        </is>
      </c>
      <c r="E231" t="n">
        <v>132.127</v>
      </c>
      <c r="F231" t="n">
        <v>132.587</v>
      </c>
      <c r="G231" t="n">
        <v>131.991</v>
      </c>
      <c r="H231" t="n">
        <v>132.412</v>
      </c>
      <c r="I231" t="n">
        <v>132.819</v>
      </c>
      <c r="J231" t="n">
        <v>133.212</v>
      </c>
      <c r="K231" t="n">
        <v>129.719</v>
      </c>
      <c r="L231" t="n">
        <v>130.591</v>
      </c>
      <c r="M231" t="n">
        <v>131.264</v>
      </c>
      <c r="N231" t="n">
        <v>132.435</v>
      </c>
      <c r="O231" t="n">
        <v>133.075</v>
      </c>
      <c r="P231" t="n">
        <v>133.916</v>
      </c>
      <c r="Q231" t="n">
        <v>134.74</v>
      </c>
      <c r="R231" t="n">
        <v>136.062</v>
      </c>
      <c r="S231" t="n">
        <v>130.259</v>
      </c>
      <c r="T231" t="n">
        <v>133.264</v>
      </c>
      <c r="U231" t="n">
        <v>133.992</v>
      </c>
      <c r="V231" t="n">
        <v>138.031</v>
      </c>
      <c r="W231" t="n">
        <v>148.605</v>
      </c>
      <c r="X231" t="n">
        <v>141.51</v>
      </c>
      <c r="Y231" t="n">
        <v>137.595</v>
      </c>
      <c r="Z231" t="n">
        <v>139.522</v>
      </c>
      <c r="AA231" t="n">
        <v>139.26</v>
      </c>
      <c r="AB231" t="n">
        <v>138.24</v>
      </c>
      <c r="AC231" t="n">
        <v>289.418</v>
      </c>
      <c r="AD231" t="n">
        <v>294.054</v>
      </c>
      <c r="AE231" t="n">
        <v>293.647</v>
      </c>
      <c r="AF231" t="n">
        <v>298.958</v>
      </c>
      <c r="AG231" t="n">
        <v>306.814</v>
      </c>
      <c r="AH231" t="n">
        <v>299.859</v>
      </c>
      <c r="AI231" t="n">
        <v>230.18</v>
      </c>
      <c r="AJ231" t="n">
        <v>227.622</v>
      </c>
      <c r="AK231" t="n">
        <v>374.574</v>
      </c>
      <c r="AL231" t="n">
        <v>360.316</v>
      </c>
      <c r="AM231" t="n">
        <v>369.288</v>
      </c>
      <c r="AN231" t="n">
        <v>369.922</v>
      </c>
      <c r="AO231" t="n">
        <v>459.865</v>
      </c>
      <c r="AP231" t="n">
        <v>643.832</v>
      </c>
      <c r="AQ231" t="n">
        <v>690.919</v>
      </c>
      <c r="AR231" t="n">
        <v>723.277</v>
      </c>
      <c r="AS231" t="n">
        <v>678.703</v>
      </c>
      <c r="AT231" t="n">
        <v>649.283</v>
      </c>
      <c r="AU231" t="n">
        <v>762.9400000000001</v>
      </c>
      <c r="AV231" t="n">
        <v>757.117</v>
      </c>
      <c r="AW231" t="n">
        <v>722.397</v>
      </c>
      <c r="AX231" t="n">
        <v>764.425</v>
      </c>
      <c r="AY231" t="n">
        <v>742.623</v>
      </c>
      <c r="AZ231" t="n">
        <v>201.048</v>
      </c>
      <c r="BA231" t="n">
        <v>156.932</v>
      </c>
      <c r="BB231" t="n">
        <v>142.683</v>
      </c>
      <c r="BC231" t="n">
        <v>129.294</v>
      </c>
      <c r="BD231" t="n">
        <v>123.252</v>
      </c>
      <c r="BE231" t="n">
        <v>103.649</v>
      </c>
      <c r="BF231" t="n">
        <v>77.078</v>
      </c>
      <c r="BG231" t="n">
        <v>79.247</v>
      </c>
      <c r="BH231" t="n">
        <v>72.955</v>
      </c>
      <c r="BI231" t="n">
        <v>67.374</v>
      </c>
      <c r="BJ231" t="n">
        <v>60.856</v>
      </c>
      <c r="BK231" t="n">
        <v>53.182</v>
      </c>
      <c r="BL231" t="n">
        <v>49.89</v>
      </c>
      <c r="BM231" t="n">
        <v>40.852</v>
      </c>
      <c r="BN231" t="n">
        <v>25.259</v>
      </c>
      <c r="BO231" t="n">
        <v>25.301</v>
      </c>
      <c r="BP231" t="n">
        <v>25.238</v>
      </c>
      <c r="BQ231" t="n">
        <v>25.179</v>
      </c>
      <c r="BR231" t="n">
        <v>25.179</v>
      </c>
      <c r="BS231" t="n">
        <v>25.179</v>
      </c>
      <c r="BT231" t="n">
        <v>25.179</v>
      </c>
      <c r="BU231" t="n">
        <v>25.179</v>
      </c>
      <c r="BV231" t="n">
        <v>25.181</v>
      </c>
    </row>
    <row r="232">
      <c r="A232" t="inlineStr">
        <is>
          <t>Coryphaena</t>
        </is>
      </c>
      <c r="B232" t="inlineStr">
        <is>
          <t>Dolphinfishes</t>
        </is>
      </c>
      <c r="C232" t="inlineStr">
        <is>
          <t>Large pelagics (&gt;=90 cm)</t>
        </is>
      </c>
      <c r="D232" t="inlineStr">
        <is>
          <t>Perch-likes</t>
        </is>
      </c>
      <c r="E232" t="n">
        <v>158.21</v>
      </c>
      <c r="F232" t="n">
        <v>159.089</v>
      </c>
      <c r="G232" t="n">
        <v>159.968</v>
      </c>
      <c r="H232" t="n">
        <v>160.847</v>
      </c>
      <c r="I232" t="n">
        <v>161.726</v>
      </c>
      <c r="J232" t="n">
        <v>162.605</v>
      </c>
      <c r="K232" t="n">
        <v>163.484</v>
      </c>
      <c r="L232" t="n">
        <v>164.363</v>
      </c>
      <c r="M232" t="n">
        <v>165.242</v>
      </c>
      <c r="N232" t="n">
        <v>166.121</v>
      </c>
      <c r="O232" t="n">
        <v>168.524</v>
      </c>
      <c r="P232" t="n">
        <v>169.591</v>
      </c>
      <c r="Q232" t="n">
        <v>170.661</v>
      </c>
      <c r="R232" t="n">
        <v>172.18</v>
      </c>
      <c r="S232" t="n">
        <v>172.89</v>
      </c>
      <c r="T232" t="n">
        <v>175.857</v>
      </c>
      <c r="U232" t="n">
        <v>176.52</v>
      </c>
      <c r="V232" t="n">
        <v>176.416</v>
      </c>
      <c r="W232" t="n">
        <v>177.048</v>
      </c>
      <c r="X232" t="n">
        <v>177.694</v>
      </c>
      <c r="Y232" t="n">
        <v>179.027</v>
      </c>
      <c r="Z232" t="n">
        <v>179.601</v>
      </c>
      <c r="AA232" t="n">
        <v>180.156</v>
      </c>
      <c r="AB232" t="n">
        <v>180.691</v>
      </c>
      <c r="AC232" t="n">
        <v>191.004</v>
      </c>
      <c r="AD232" t="n">
        <v>195.147</v>
      </c>
      <c r="AE232" t="n">
        <v>200.638</v>
      </c>
      <c r="AF232" t="n">
        <v>208.793</v>
      </c>
      <c r="AG232" t="n">
        <v>183.111</v>
      </c>
      <c r="AH232" t="n">
        <v>206.276</v>
      </c>
      <c r="AI232" t="n">
        <v>230.611</v>
      </c>
      <c r="AJ232" t="n">
        <v>198.317</v>
      </c>
      <c r="AK232" t="n">
        <v>190.958</v>
      </c>
      <c r="AL232" t="n">
        <v>200.911</v>
      </c>
      <c r="AM232" t="n">
        <v>243.062</v>
      </c>
      <c r="AN232" t="n">
        <v>231.536</v>
      </c>
      <c r="AO232" t="n">
        <v>198.367</v>
      </c>
      <c r="AP232" t="n">
        <v>233.733</v>
      </c>
      <c r="AQ232" t="n">
        <v>214.9</v>
      </c>
      <c r="AR232" t="n">
        <v>189.819</v>
      </c>
      <c r="AS232" t="n">
        <v>159.299</v>
      </c>
      <c r="AT232" t="n">
        <v>127.271</v>
      </c>
      <c r="AU232" t="n">
        <v>101.192</v>
      </c>
      <c r="AV232" t="n">
        <v>88.464</v>
      </c>
      <c r="AW232" t="n">
        <v>76.379</v>
      </c>
      <c r="AX232" t="n">
        <v>64.866</v>
      </c>
      <c r="AY232" t="n">
        <v>89.489</v>
      </c>
      <c r="AZ232" t="n">
        <v>119.453</v>
      </c>
      <c r="BA232" t="n">
        <v>151.373</v>
      </c>
      <c r="BB232" t="n">
        <v>185.392</v>
      </c>
      <c r="BC232" t="n">
        <v>220.813</v>
      </c>
      <c r="BD232" t="n">
        <v>259.053</v>
      </c>
      <c r="BE232" t="n">
        <v>298.658</v>
      </c>
      <c r="BF232" t="n">
        <v>340.435</v>
      </c>
      <c r="BG232" t="n">
        <v>354.832</v>
      </c>
      <c r="BH232" t="n">
        <v>279.561</v>
      </c>
      <c r="BI232" t="n">
        <v>304.085</v>
      </c>
      <c r="BJ232" t="n">
        <v>328.368</v>
      </c>
      <c r="BK232" t="n">
        <v>352.407</v>
      </c>
      <c r="BL232" t="n">
        <v>376.195</v>
      </c>
      <c r="BM232" t="n">
        <v>399.727</v>
      </c>
      <c r="BN232" t="n">
        <v>406.277</v>
      </c>
      <c r="BO232" t="n">
        <v>412.649</v>
      </c>
      <c r="BP232" t="n">
        <v>418.843</v>
      </c>
      <c r="BQ232" t="n">
        <v>424.859</v>
      </c>
      <c r="BR232" t="n">
        <v>430.697</v>
      </c>
      <c r="BS232" t="n">
        <v>428.291</v>
      </c>
      <c r="BT232" t="n">
        <v>434.211</v>
      </c>
      <c r="BU232" t="n">
        <v>440.13</v>
      </c>
      <c r="BV232" t="n">
        <v>440.132</v>
      </c>
    </row>
    <row r="233">
      <c r="A233" t="inlineStr">
        <is>
          <t>Kajikia audax</t>
        </is>
      </c>
      <c r="B233" t="inlineStr">
        <is>
          <t>Striped marlin</t>
        </is>
      </c>
      <c r="C233" t="inlineStr">
        <is>
          <t>Large pelagics (&gt;=90 cm)</t>
        </is>
      </c>
      <c r="D233" t="inlineStr">
        <is>
          <t>Tuna &amp; billfishes</t>
        </is>
      </c>
      <c r="E233" t="n">
        <v>0</v>
      </c>
      <c r="F233" t="n">
        <v>0</v>
      </c>
      <c r="G233" t="n">
        <v>6.31</v>
      </c>
      <c r="H233" t="n">
        <v>21.222</v>
      </c>
      <c r="I233" t="n">
        <v>49.663</v>
      </c>
      <c r="J233" t="n">
        <v>28.583</v>
      </c>
      <c r="K233" t="n">
        <v>81.56100000000001</v>
      </c>
      <c r="L233" t="n">
        <v>0</v>
      </c>
      <c r="M233" t="n">
        <v>1.323</v>
      </c>
      <c r="N233" t="n">
        <v>59.505</v>
      </c>
      <c r="O233" t="n">
        <v>139.35</v>
      </c>
      <c r="P233" t="n">
        <v>155.96</v>
      </c>
      <c r="Q233" t="n">
        <v>0.108</v>
      </c>
      <c r="R233" t="n">
        <v>1.125</v>
      </c>
      <c r="S233" t="n">
        <v>36.57</v>
      </c>
      <c r="T233" t="n">
        <v>0.227</v>
      </c>
      <c r="U233" t="n">
        <v>0.884</v>
      </c>
      <c r="V233" t="n">
        <v>0.305</v>
      </c>
      <c r="W233" t="n">
        <v>1.203</v>
      </c>
      <c r="X233" t="n">
        <v>91.273</v>
      </c>
      <c r="Y233" t="n">
        <v>533.85</v>
      </c>
      <c r="Z233" t="n">
        <v>1.202</v>
      </c>
      <c r="AA233" t="n">
        <v>1.38</v>
      </c>
      <c r="AB233" t="n">
        <v>8.552</v>
      </c>
      <c r="AC233" t="n">
        <v>1.307</v>
      </c>
      <c r="AD233" t="n">
        <v>159.654</v>
      </c>
      <c r="AE233" t="n">
        <v>0.873</v>
      </c>
      <c r="AF233" t="n">
        <v>2.607</v>
      </c>
      <c r="AG233" t="n">
        <v>508.293</v>
      </c>
      <c r="AH233" t="n">
        <v>1084.536</v>
      </c>
      <c r="AI233" t="n">
        <v>360.426</v>
      </c>
      <c r="AJ233" t="n">
        <v>471.015</v>
      </c>
      <c r="AK233" t="n">
        <v>135.165</v>
      </c>
      <c r="AL233" t="n">
        <v>197.209</v>
      </c>
      <c r="AM233" t="n">
        <v>1049.956</v>
      </c>
      <c r="AN233" t="n">
        <v>97.358</v>
      </c>
      <c r="AO233" t="n">
        <v>1459.38</v>
      </c>
      <c r="AP233" t="n">
        <v>977.4690000000001</v>
      </c>
      <c r="AQ233" t="n">
        <v>190.11</v>
      </c>
      <c r="AR233" t="n">
        <v>567.599</v>
      </c>
      <c r="AS233" t="n">
        <v>78.51000000000001</v>
      </c>
      <c r="AT233" t="n">
        <v>11.324</v>
      </c>
      <c r="AU233" t="n">
        <v>180.664</v>
      </c>
      <c r="AV233" t="n">
        <v>340.998</v>
      </c>
      <c r="AW233" t="n">
        <v>171.91</v>
      </c>
      <c r="AX233" t="n">
        <v>84.374</v>
      </c>
      <c r="AY233" t="n">
        <v>465.819</v>
      </c>
      <c r="AZ233" t="n">
        <v>60.9</v>
      </c>
      <c r="BA233" t="n">
        <v>169.492</v>
      </c>
      <c r="BB233" t="n">
        <v>76.194</v>
      </c>
      <c r="BC233" t="n">
        <v>145.477</v>
      </c>
      <c r="BD233" t="n">
        <v>109.901</v>
      </c>
      <c r="BE233" t="n">
        <v>147.277</v>
      </c>
      <c r="BF233" t="n">
        <v>261.523</v>
      </c>
      <c r="BG233" t="n">
        <v>715.301</v>
      </c>
      <c r="BH233" t="n">
        <v>377.138</v>
      </c>
      <c r="BI233" t="n">
        <v>442.349</v>
      </c>
      <c r="BJ233" t="n">
        <v>242.46</v>
      </c>
      <c r="BK233" t="n">
        <v>246.786</v>
      </c>
      <c r="BL233" t="n">
        <v>288.188</v>
      </c>
      <c r="BM233" t="n">
        <v>163.413</v>
      </c>
      <c r="BN233" t="n">
        <v>291.465</v>
      </c>
      <c r="BO233" t="n">
        <v>141.96</v>
      </c>
      <c r="BP233" t="n">
        <v>122.503</v>
      </c>
      <c r="BQ233" t="n">
        <v>151.049</v>
      </c>
      <c r="BR233" t="n">
        <v>616.251</v>
      </c>
      <c r="BS233" t="n">
        <v>264.81</v>
      </c>
      <c r="BT233" t="n">
        <v>273.931</v>
      </c>
      <c r="BU233" t="n">
        <v>389.447</v>
      </c>
      <c r="BV233" t="n">
        <v>241.009</v>
      </c>
    </row>
    <row r="234">
      <c r="A234" t="inlineStr">
        <is>
          <t>Leptomelanosoma indicum</t>
        </is>
      </c>
      <c r="B234" t="inlineStr">
        <is>
          <t>Indian threadfin</t>
        </is>
      </c>
      <c r="C234" t="inlineStr">
        <is>
          <t>Large demersals (&gt;=90 cm)</t>
        </is>
      </c>
      <c r="D234" t="inlineStr">
        <is>
          <t>Perch-likes</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297.604</v>
      </c>
      <c r="Z234" t="n">
        <v>313.37</v>
      </c>
      <c r="AA234" t="n">
        <v>385.638</v>
      </c>
      <c r="AB234" t="n">
        <v>510.621</v>
      </c>
      <c r="AC234" t="n">
        <v>584.867</v>
      </c>
      <c r="AD234" t="n">
        <v>555.605</v>
      </c>
      <c r="AE234" t="n">
        <v>491.175</v>
      </c>
      <c r="AF234" t="n">
        <v>639.896</v>
      </c>
      <c r="AG234" t="n">
        <v>119.118</v>
      </c>
      <c r="AH234" t="n">
        <v>221.364</v>
      </c>
      <c r="AI234" t="n">
        <v>154.482</v>
      </c>
      <c r="AJ234" t="n">
        <v>54.911</v>
      </c>
      <c r="AK234" t="n">
        <v>58.891</v>
      </c>
      <c r="AL234" t="n">
        <v>98.688</v>
      </c>
      <c r="AM234" t="n">
        <v>103.568</v>
      </c>
      <c r="AN234" t="n">
        <v>88.858</v>
      </c>
      <c r="AO234" t="n">
        <v>109.805</v>
      </c>
      <c r="AP234" t="n">
        <v>89.495</v>
      </c>
      <c r="AQ234" t="n">
        <v>84.572</v>
      </c>
      <c r="AR234" t="n">
        <v>89.80500000000001</v>
      </c>
      <c r="AS234" t="n">
        <v>44.964</v>
      </c>
      <c r="AT234" t="n">
        <v>1190.989</v>
      </c>
      <c r="AU234" t="n">
        <v>964.119</v>
      </c>
      <c r="AV234" t="n">
        <v>521.88</v>
      </c>
      <c r="AW234" t="n">
        <v>636.973</v>
      </c>
      <c r="AX234" t="n">
        <v>216.172</v>
      </c>
      <c r="AY234" t="n">
        <v>221.896</v>
      </c>
      <c r="AZ234" t="n">
        <v>260.33</v>
      </c>
      <c r="BA234" t="n">
        <v>410.435</v>
      </c>
      <c r="BB234" t="n">
        <v>423.017</v>
      </c>
      <c r="BC234" t="n">
        <v>354.454</v>
      </c>
      <c r="BD234" t="n">
        <v>339.703</v>
      </c>
      <c r="BE234" t="n">
        <v>310.014</v>
      </c>
      <c r="BF234" t="n">
        <v>347.622</v>
      </c>
      <c r="BG234" t="n">
        <v>353.063</v>
      </c>
      <c r="BH234" t="n">
        <v>313.492</v>
      </c>
      <c r="BI234" t="n">
        <v>281.407</v>
      </c>
      <c r="BJ234" t="n">
        <v>207.163</v>
      </c>
      <c r="BK234" t="n">
        <v>207.855</v>
      </c>
      <c r="BL234" t="n">
        <v>272.735</v>
      </c>
      <c r="BM234" t="n">
        <v>183.737</v>
      </c>
      <c r="BN234" t="n">
        <v>196.264</v>
      </c>
      <c r="BO234" t="n">
        <v>258.249</v>
      </c>
      <c r="BP234" t="n">
        <v>188.71</v>
      </c>
      <c r="BQ234" t="n">
        <v>298.463</v>
      </c>
      <c r="BR234" t="n">
        <v>407.964</v>
      </c>
      <c r="BS234" t="n">
        <v>109.182</v>
      </c>
      <c r="BT234" t="n">
        <v>218.229</v>
      </c>
      <c r="BU234" t="n">
        <v>193.474</v>
      </c>
      <c r="BV234" t="n">
        <v>251.467</v>
      </c>
    </row>
    <row r="235">
      <c r="A235" t="inlineStr">
        <is>
          <t>Gobiidae</t>
        </is>
      </c>
      <c r="B235" t="inlineStr">
        <is>
          <t>Gobies</t>
        </is>
      </c>
      <c r="C235" t="inlineStr">
        <is>
          <t>Small reef assoc. fish (&lt;30 cm)</t>
        </is>
      </c>
      <c r="D235" t="inlineStr">
        <is>
          <t>Perch-likes</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290.255</v>
      </c>
      <c r="Z235" t="n">
        <v>305.46</v>
      </c>
      <c r="AA235" t="n">
        <v>375.693</v>
      </c>
      <c r="AB235" t="n">
        <v>497.175</v>
      </c>
      <c r="AC235" t="n">
        <v>569.147</v>
      </c>
      <c r="AD235" t="n">
        <v>540.369</v>
      </c>
      <c r="AE235" t="n">
        <v>477.439</v>
      </c>
      <c r="AF235" t="n">
        <v>622.001</v>
      </c>
      <c r="AG235" t="n">
        <v>115.786</v>
      </c>
      <c r="AH235" t="n">
        <v>215.173</v>
      </c>
      <c r="AI235" t="n">
        <v>150.162</v>
      </c>
      <c r="AJ235" t="n">
        <v>53.376</v>
      </c>
      <c r="AK235" t="n">
        <v>57.28</v>
      </c>
      <c r="AL235" t="n">
        <v>96.012</v>
      </c>
      <c r="AM235" t="n">
        <v>100.815</v>
      </c>
      <c r="AN235" t="n">
        <v>86.575</v>
      </c>
      <c r="AO235" t="n">
        <v>106.782</v>
      </c>
      <c r="AP235" t="n">
        <v>87.026</v>
      </c>
      <c r="AQ235" t="n">
        <v>82.224</v>
      </c>
      <c r="AR235" t="n">
        <v>87.304</v>
      </c>
      <c r="AS235" t="n">
        <v>43.712</v>
      </c>
      <c r="AT235" t="n">
        <v>1153.579</v>
      </c>
      <c r="AU235" t="n">
        <v>933.836</v>
      </c>
      <c r="AV235" t="n">
        <v>505.483</v>
      </c>
      <c r="AW235" t="n">
        <v>616.9690000000001</v>
      </c>
      <c r="AX235" t="n">
        <v>209.383</v>
      </c>
      <c r="AY235" t="n">
        <v>214.941</v>
      </c>
      <c r="AZ235" t="n">
        <v>252.226</v>
      </c>
      <c r="BA235" t="n">
        <v>397.589</v>
      </c>
      <c r="BB235" t="n">
        <v>409.747</v>
      </c>
      <c r="BC235" t="n">
        <v>343.341</v>
      </c>
      <c r="BD235" t="n">
        <v>329.046</v>
      </c>
      <c r="BE235" t="n">
        <v>300.284</v>
      </c>
      <c r="BF235" t="n">
        <v>336.718</v>
      </c>
      <c r="BG235" t="n">
        <v>349.966</v>
      </c>
      <c r="BH235" t="n">
        <v>321.624</v>
      </c>
      <c r="BI235" t="n">
        <v>295.269</v>
      </c>
      <c r="BJ235" t="n">
        <v>232.15</v>
      </c>
      <c r="BK235" t="n">
        <v>245.264</v>
      </c>
      <c r="BL235" t="n">
        <v>300.098</v>
      </c>
      <c r="BM235" t="n">
        <v>207.276</v>
      </c>
      <c r="BN235" t="n">
        <v>217.355</v>
      </c>
      <c r="BO235" t="n">
        <v>272.764</v>
      </c>
      <c r="BP235" t="n">
        <v>211.431</v>
      </c>
      <c r="BQ235" t="n">
        <v>316.283</v>
      </c>
      <c r="BR235" t="n">
        <v>423.562</v>
      </c>
      <c r="BS235" t="n">
        <v>133.029</v>
      </c>
      <c r="BT235" t="n">
        <v>238.641</v>
      </c>
      <c r="BU235" t="n">
        <v>214.664</v>
      </c>
      <c r="BV235" t="n">
        <v>268.628</v>
      </c>
    </row>
    <row r="236">
      <c r="A236" t="inlineStr">
        <is>
          <t>Epinephelus diacanthus</t>
        </is>
      </c>
      <c r="B236" t="inlineStr">
        <is>
          <t>Spinycheek grouper</t>
        </is>
      </c>
      <c r="C236" t="inlineStr">
        <is>
          <t>Large reef assoc. fish (&gt;=90 cm)</t>
        </is>
      </c>
      <c r="D236" t="inlineStr">
        <is>
          <t>Perch-likes</t>
        </is>
      </c>
      <c r="E236" t="n">
        <v>12.154</v>
      </c>
      <c r="F236" t="n">
        <v>12.154</v>
      </c>
      <c r="G236" t="n">
        <v>13.879</v>
      </c>
      <c r="H236" t="n">
        <v>21.762</v>
      </c>
      <c r="I236" t="n">
        <v>22.173</v>
      </c>
      <c r="J236" t="n">
        <v>23.166</v>
      </c>
      <c r="K236" t="n">
        <v>22.982</v>
      </c>
      <c r="L236" t="n">
        <v>26.014</v>
      </c>
      <c r="M236" t="n">
        <v>22.242</v>
      </c>
      <c r="N236" t="n">
        <v>22.057</v>
      </c>
      <c r="O236" t="n">
        <v>25.07</v>
      </c>
      <c r="P236" t="n">
        <v>19.402</v>
      </c>
      <c r="Q236" t="n">
        <v>29.085</v>
      </c>
      <c r="R236" t="n">
        <v>29.557</v>
      </c>
      <c r="S236" t="n">
        <v>31.655</v>
      </c>
      <c r="T236" t="n">
        <v>33.974</v>
      </c>
      <c r="U236" t="n">
        <v>46.628</v>
      </c>
      <c r="V236" t="n">
        <v>45.108</v>
      </c>
      <c r="W236" t="n">
        <v>46.807</v>
      </c>
      <c r="X236" t="n">
        <v>51.05</v>
      </c>
      <c r="Y236" t="n">
        <v>47.445</v>
      </c>
      <c r="Z236" t="n">
        <v>55.948</v>
      </c>
      <c r="AA236" t="n">
        <v>79.52500000000001</v>
      </c>
      <c r="AB236" t="n">
        <v>97.935</v>
      </c>
      <c r="AC236" t="n">
        <v>76.95099999999999</v>
      </c>
      <c r="AD236" t="n">
        <v>80.31399999999999</v>
      </c>
      <c r="AE236" t="n">
        <v>85.06100000000001</v>
      </c>
      <c r="AF236" t="n">
        <v>131.512</v>
      </c>
      <c r="AG236" t="n">
        <v>122.502</v>
      </c>
      <c r="AH236" t="n">
        <v>153.47</v>
      </c>
      <c r="AI236" t="n">
        <v>130.682</v>
      </c>
      <c r="AJ236" t="n">
        <v>156.243</v>
      </c>
      <c r="AK236" t="n">
        <v>189.842</v>
      </c>
      <c r="AL236" t="n">
        <v>196.262</v>
      </c>
      <c r="AM236" t="n">
        <v>214.022</v>
      </c>
      <c r="AN236" t="n">
        <v>256.501</v>
      </c>
      <c r="AO236" t="n">
        <v>266.457</v>
      </c>
      <c r="AP236" t="n">
        <v>261.118</v>
      </c>
      <c r="AQ236" t="n">
        <v>280.028</v>
      </c>
      <c r="AR236" t="n">
        <v>266.464</v>
      </c>
      <c r="AS236" t="n">
        <v>148.687</v>
      </c>
      <c r="AT236" t="n">
        <v>200.169</v>
      </c>
      <c r="AU236" t="n">
        <v>216.389</v>
      </c>
      <c r="AV236" t="n">
        <v>244.059</v>
      </c>
      <c r="AW236" t="n">
        <v>266.171</v>
      </c>
      <c r="AX236" t="n">
        <v>266.888</v>
      </c>
      <c r="AY236" t="n">
        <v>278.795</v>
      </c>
      <c r="AZ236" t="n">
        <v>311.113</v>
      </c>
      <c r="BA236" t="n">
        <v>351.789</v>
      </c>
      <c r="BB236" t="n">
        <v>405.172</v>
      </c>
      <c r="BC236" t="n">
        <v>386.248</v>
      </c>
      <c r="BD236" t="n">
        <v>383.498</v>
      </c>
      <c r="BE236" t="n">
        <v>404.046</v>
      </c>
      <c r="BF236" t="n">
        <v>380.224</v>
      </c>
      <c r="BG236" t="n">
        <v>340.12</v>
      </c>
      <c r="BH236" t="n">
        <v>307.75</v>
      </c>
      <c r="BI236" t="n">
        <v>315.459</v>
      </c>
      <c r="BJ236" t="n">
        <v>313.25</v>
      </c>
      <c r="BK236" t="n">
        <v>322.787</v>
      </c>
      <c r="BL236" t="n">
        <v>321.812</v>
      </c>
      <c r="BM236" t="n">
        <v>345.925</v>
      </c>
      <c r="BN236" t="n">
        <v>384.328</v>
      </c>
      <c r="BO236" t="n">
        <v>447.922</v>
      </c>
      <c r="BP236" t="n">
        <v>480.114</v>
      </c>
      <c r="BQ236" t="n">
        <v>503.693</v>
      </c>
      <c r="BR236" t="n">
        <v>526.61</v>
      </c>
      <c r="BS236" t="n">
        <v>548.867</v>
      </c>
      <c r="BT236" t="n">
        <v>570.633</v>
      </c>
      <c r="BU236" t="n">
        <v>591.528</v>
      </c>
      <c r="BV236" t="n">
        <v>611.4400000000001</v>
      </c>
    </row>
    <row r="237">
      <c r="A237" t="inlineStr">
        <is>
          <t>Cnidaria</t>
        </is>
      </c>
      <c r="B237" t="inlineStr">
        <is>
          <t>Cnidarians, coelenterates</t>
        </is>
      </c>
      <c r="C237" t="inlineStr">
        <is>
          <t>Jellyfish</t>
        </is>
      </c>
      <c r="D237" t="inlineStr">
        <is>
          <t>Other fishes &amp; inverts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1097.277</v>
      </c>
      <c r="BN237" t="n">
        <v>1058.929</v>
      </c>
      <c r="BO237" t="n">
        <v>1476.921</v>
      </c>
      <c r="BP237" t="n">
        <v>1223.136</v>
      </c>
      <c r="BQ237" t="n">
        <v>1299.925</v>
      </c>
      <c r="BR237" t="n">
        <v>1354.128</v>
      </c>
      <c r="BS237" t="n">
        <v>1460.157</v>
      </c>
      <c r="BT237" t="n">
        <v>1560.021</v>
      </c>
      <c r="BU237" t="n">
        <v>1662.665</v>
      </c>
      <c r="BV237" t="n">
        <v>2478.493</v>
      </c>
    </row>
    <row r="238">
      <c r="A238" t="inlineStr">
        <is>
          <t>Drepane</t>
        </is>
      </c>
      <c r="B238" t="inlineStr">
        <is>
          <t>Sicklefishes</t>
        </is>
      </c>
      <c r="C238" t="inlineStr">
        <is>
          <t>Medium benthopelagics (30 - 89 cm)</t>
        </is>
      </c>
      <c r="D238" t="inlineStr">
        <is>
          <t>Perch-likes</t>
        </is>
      </c>
      <c r="E238" t="n">
        <v>186.48</v>
      </c>
      <c r="F238" t="n">
        <v>187.546</v>
      </c>
      <c r="G238" t="n">
        <v>186.138</v>
      </c>
      <c r="H238" t="n">
        <v>187.115</v>
      </c>
      <c r="I238" t="n">
        <v>188.058</v>
      </c>
      <c r="J238" t="n">
        <v>188.968</v>
      </c>
      <c r="K238" t="n">
        <v>189.576</v>
      </c>
      <c r="L238" t="n">
        <v>191.611</v>
      </c>
      <c r="M238" t="n">
        <v>193.118</v>
      </c>
      <c r="N238" t="n">
        <v>195.798</v>
      </c>
      <c r="O238" t="n">
        <v>197.232</v>
      </c>
      <c r="P238" t="n">
        <v>199.1</v>
      </c>
      <c r="Q238" t="n">
        <v>200.93</v>
      </c>
      <c r="R238" t="n">
        <v>203.93</v>
      </c>
      <c r="S238" t="n">
        <v>206.163</v>
      </c>
      <c r="T238" t="n">
        <v>206.037</v>
      </c>
      <c r="U238" t="n">
        <v>206.771</v>
      </c>
      <c r="V238" t="n">
        <v>208.167</v>
      </c>
      <c r="W238" t="n">
        <v>206.225</v>
      </c>
      <c r="X238" t="n">
        <v>209.112</v>
      </c>
      <c r="Y238" t="n">
        <v>210.574</v>
      </c>
      <c r="Z238" t="n">
        <v>210.633</v>
      </c>
      <c r="AA238" t="n">
        <v>213.555</v>
      </c>
      <c r="AB238" t="n">
        <v>213.811</v>
      </c>
      <c r="AC238" t="n">
        <v>172.073</v>
      </c>
      <c r="AD238" t="n">
        <v>183.704</v>
      </c>
      <c r="AE238" t="n">
        <v>195.427</v>
      </c>
      <c r="AF238" t="n">
        <v>207.34</v>
      </c>
      <c r="AG238" t="n">
        <v>204.011</v>
      </c>
      <c r="AH238" t="n">
        <v>201.113</v>
      </c>
      <c r="AI238" t="n">
        <v>217.209</v>
      </c>
      <c r="AJ238" t="n">
        <v>220.013</v>
      </c>
      <c r="AK238" t="n">
        <v>177.699</v>
      </c>
      <c r="AL238" t="n">
        <v>181.077</v>
      </c>
      <c r="AM238" t="n">
        <v>182.888</v>
      </c>
      <c r="AN238" t="n">
        <v>185.127</v>
      </c>
      <c r="AO238" t="n">
        <v>179.678</v>
      </c>
      <c r="AP238" t="n">
        <v>207.933</v>
      </c>
      <c r="AQ238" t="n">
        <v>212.322</v>
      </c>
      <c r="AR238" t="n">
        <v>215.515</v>
      </c>
      <c r="AS238" t="n">
        <v>210.667</v>
      </c>
      <c r="AT238" t="n">
        <v>242.92</v>
      </c>
      <c r="AU238" t="n">
        <v>239.245</v>
      </c>
      <c r="AV238" t="n">
        <v>209.806</v>
      </c>
      <c r="AW238" t="n">
        <v>372.895</v>
      </c>
      <c r="AX238" t="n">
        <v>366.626</v>
      </c>
      <c r="AY238" t="n">
        <v>342.804</v>
      </c>
      <c r="AZ238" t="n">
        <v>471.181</v>
      </c>
      <c r="BA238" t="n">
        <v>367.799</v>
      </c>
      <c r="BB238" t="n">
        <v>334.41</v>
      </c>
      <c r="BC238" t="n">
        <v>303.036</v>
      </c>
      <c r="BD238" t="n">
        <v>288.882</v>
      </c>
      <c r="BE238" t="n">
        <v>242.938</v>
      </c>
      <c r="BF238" t="n">
        <v>180.663</v>
      </c>
      <c r="BG238" t="n">
        <v>185.745</v>
      </c>
      <c r="BH238" t="n">
        <v>170.997</v>
      </c>
      <c r="BI238" t="n">
        <v>157.916</v>
      </c>
      <c r="BJ238" t="n">
        <v>142.637</v>
      </c>
      <c r="BK238" t="n">
        <v>124.648</v>
      </c>
      <c r="BL238" t="n">
        <v>116.931</v>
      </c>
      <c r="BM238" t="n">
        <v>95.748</v>
      </c>
      <c r="BN238" t="n">
        <v>126.747</v>
      </c>
      <c r="BO238" t="n">
        <v>118.125</v>
      </c>
      <c r="BP238" t="n">
        <v>123.178</v>
      </c>
      <c r="BQ238" t="n">
        <v>126.609</v>
      </c>
      <c r="BR238" t="n">
        <v>125.705</v>
      </c>
      <c r="BS238" t="n">
        <v>125.971</v>
      </c>
      <c r="BT238" t="n">
        <v>131.629</v>
      </c>
      <c r="BU238" t="n">
        <v>144.974</v>
      </c>
      <c r="BV238" t="n">
        <v>139.685</v>
      </c>
    </row>
    <row r="239">
      <c r="A239" t="inlineStr">
        <is>
          <t>Alopias pelagicus</t>
        </is>
      </c>
      <c r="B239" t="inlineStr">
        <is>
          <t>Pelagic thresher</t>
        </is>
      </c>
      <c r="C239" t="inlineStr">
        <is>
          <t>Large sharks (&gt;=90 cm)</t>
        </is>
      </c>
      <c r="D239" t="inlineStr">
        <is>
          <t>Sharks &amp; rays</t>
        </is>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152.996</v>
      </c>
      <c r="Z239" t="n">
        <v>160.996</v>
      </c>
      <c r="AA239" t="n">
        <v>197.996</v>
      </c>
      <c r="AB239" t="n">
        <v>261.995</v>
      </c>
      <c r="AC239" t="n">
        <v>299.895</v>
      </c>
      <c r="AD239" t="n">
        <v>284.705</v>
      </c>
      <c r="AE239" t="n">
        <v>251.526</v>
      </c>
      <c r="AF239" t="n">
        <v>327.685</v>
      </c>
      <c r="AG239" t="n">
        <v>60.999</v>
      </c>
      <c r="AH239" t="n">
        <v>113.358</v>
      </c>
      <c r="AI239" t="n">
        <v>79.10899999999999</v>
      </c>
      <c r="AJ239" t="n">
        <v>28.12</v>
      </c>
      <c r="AK239" t="n">
        <v>30.179</v>
      </c>
      <c r="AL239" t="n">
        <v>50.588</v>
      </c>
      <c r="AM239" t="n">
        <v>53.124</v>
      </c>
      <c r="AN239" t="n">
        <v>45.627</v>
      </c>
      <c r="AO239" t="n">
        <v>56.259</v>
      </c>
      <c r="AP239" t="n">
        <v>45.85</v>
      </c>
      <c r="AQ239" t="n">
        <v>43.319</v>
      </c>
      <c r="AR239" t="n">
        <v>45.995</v>
      </c>
      <c r="AS239" t="n">
        <v>23.029</v>
      </c>
      <c r="AT239" t="n">
        <v>639.72</v>
      </c>
      <c r="AU239" t="n">
        <v>546.631</v>
      </c>
      <c r="AV239" t="n">
        <v>313.295</v>
      </c>
      <c r="AW239" t="n">
        <v>406.294</v>
      </c>
      <c r="AX239" t="n">
        <v>147.078</v>
      </c>
      <c r="AY239" t="n">
        <v>161.767</v>
      </c>
      <c r="AZ239" t="n">
        <v>204.437</v>
      </c>
      <c r="BA239" t="n">
        <v>349.104</v>
      </c>
      <c r="BB239" t="n">
        <v>392.484</v>
      </c>
      <c r="BC239" t="n">
        <v>361.764</v>
      </c>
      <c r="BD239" t="n">
        <v>346.701</v>
      </c>
      <c r="BE239" t="n">
        <v>316.395</v>
      </c>
      <c r="BF239" t="n">
        <v>354.784</v>
      </c>
      <c r="BG239" t="n">
        <v>360.354</v>
      </c>
      <c r="BH239" t="n">
        <v>319.945</v>
      </c>
      <c r="BI239" t="n">
        <v>287.186</v>
      </c>
      <c r="BJ239" t="n">
        <v>211.417</v>
      </c>
      <c r="BK239" t="n">
        <v>212.127</v>
      </c>
      <c r="BL239" t="n">
        <v>279.532</v>
      </c>
      <c r="BM239" t="n">
        <v>413.938</v>
      </c>
      <c r="BN239" t="n">
        <v>412.632</v>
      </c>
      <c r="BO239" t="n">
        <v>495.541</v>
      </c>
      <c r="BP239" t="n">
        <v>439.574</v>
      </c>
      <c r="BQ239" t="n">
        <v>579.573</v>
      </c>
      <c r="BR239" t="n">
        <v>717.314</v>
      </c>
      <c r="BS239" t="n">
        <v>486.412</v>
      </c>
      <c r="BT239" t="n">
        <v>623.688</v>
      </c>
      <c r="BU239" t="n">
        <v>585.2910000000001</v>
      </c>
      <c r="BV239" t="n">
        <v>465.605</v>
      </c>
    </row>
    <row r="240">
      <c r="A240" t="inlineStr">
        <is>
          <t>Brama brama</t>
        </is>
      </c>
      <c r="B240" t="inlineStr">
        <is>
          <t>Atlantic pomfret</t>
        </is>
      </c>
      <c r="C240" t="inlineStr">
        <is>
          <t>Medium bathypelagics (30 - 89 cm)</t>
        </is>
      </c>
      <c r="D240" t="inlineStr">
        <is>
          <t>Perch-likes</t>
        </is>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1582.319</v>
      </c>
      <c r="AV240" t="n">
        <v>2203.159</v>
      </c>
      <c r="AW240" t="n">
        <v>61.44</v>
      </c>
      <c r="AX240" t="n">
        <v>51.32</v>
      </c>
      <c r="AY240" t="n">
        <v>47.72</v>
      </c>
      <c r="AZ240" t="n">
        <v>35.44</v>
      </c>
      <c r="BA240" t="n">
        <v>30.4</v>
      </c>
      <c r="BB240" t="n">
        <v>27.44</v>
      </c>
      <c r="BC240" t="n">
        <v>27.36</v>
      </c>
      <c r="BD240" t="n">
        <v>27.36</v>
      </c>
      <c r="BE240" t="n">
        <v>0</v>
      </c>
      <c r="BF240" t="n">
        <v>0</v>
      </c>
      <c r="BG240" t="n">
        <v>0</v>
      </c>
      <c r="BH240" t="n">
        <v>299.2</v>
      </c>
      <c r="BI240" t="n">
        <v>371.04</v>
      </c>
      <c r="BJ240" t="n">
        <v>16.56</v>
      </c>
      <c r="BK240" t="n">
        <v>16.56</v>
      </c>
      <c r="BL240" t="n">
        <v>12.16</v>
      </c>
      <c r="BM240" t="n">
        <v>684.723</v>
      </c>
      <c r="BN240" t="n">
        <v>680.154</v>
      </c>
      <c r="BO240" t="n">
        <v>877.415</v>
      </c>
      <c r="BP240" t="n">
        <v>776.014</v>
      </c>
      <c r="BQ240" t="n">
        <v>957.482</v>
      </c>
      <c r="BR240" t="n">
        <v>1062.939</v>
      </c>
      <c r="BS240" t="n">
        <v>842.4450000000001</v>
      </c>
      <c r="BT240" t="n">
        <v>973.573</v>
      </c>
      <c r="BU240" t="n">
        <v>864.764</v>
      </c>
      <c r="BV240" t="n">
        <v>1115.942</v>
      </c>
    </row>
    <row r="241">
      <c r="A241" t="inlineStr">
        <is>
          <t>Aprion virescens</t>
        </is>
      </c>
      <c r="B241" t="inlineStr">
        <is>
          <t>Green jobfish</t>
        </is>
      </c>
      <c r="C241" t="inlineStr">
        <is>
          <t>Large reef assoc. fish (&gt;=90 cm)</t>
        </is>
      </c>
      <c r="D241" t="inlineStr">
        <is>
          <t>Perch-likes</t>
        </is>
      </c>
      <c r="E241" t="n">
        <v>146.425</v>
      </c>
      <c r="F241" t="n">
        <v>145.986</v>
      </c>
      <c r="G241" t="n">
        <v>145.52</v>
      </c>
      <c r="H241" t="n">
        <v>145.08</v>
      </c>
      <c r="I241" t="n">
        <v>144.64</v>
      </c>
      <c r="J241" t="n">
        <v>144.201</v>
      </c>
      <c r="K241" t="n">
        <v>143.761</v>
      </c>
      <c r="L241" t="n">
        <v>143.321</v>
      </c>
      <c r="M241" t="n">
        <v>142.881</v>
      </c>
      <c r="N241" t="n">
        <v>142.441</v>
      </c>
      <c r="O241" t="n">
        <v>143.386</v>
      </c>
      <c r="P241" t="n">
        <v>143.116</v>
      </c>
      <c r="Q241" t="n">
        <v>142.847</v>
      </c>
      <c r="R241" t="n">
        <v>143.827</v>
      </c>
      <c r="S241" t="n">
        <v>144.133</v>
      </c>
      <c r="T241" t="n">
        <v>146.297</v>
      </c>
      <c r="U241" t="n">
        <v>146.571</v>
      </c>
      <c r="V241" t="n">
        <v>146.237</v>
      </c>
      <c r="W241" t="n">
        <v>146.495</v>
      </c>
      <c r="X241" t="n">
        <v>150.577</v>
      </c>
      <c r="Y241" t="n">
        <v>147.771</v>
      </c>
      <c r="Z241" t="n">
        <v>148.49</v>
      </c>
      <c r="AA241" t="n">
        <v>152.381</v>
      </c>
      <c r="AB241" t="n">
        <v>150.133</v>
      </c>
      <c r="AC241" t="n">
        <v>167.26</v>
      </c>
      <c r="AD241" t="n">
        <v>171.432</v>
      </c>
      <c r="AE241" t="n">
        <v>182.781</v>
      </c>
      <c r="AF241" t="n">
        <v>196.426</v>
      </c>
      <c r="AG241" t="n">
        <v>157.371</v>
      </c>
      <c r="AH241" t="n">
        <v>202.203</v>
      </c>
      <c r="AI241" t="n">
        <v>251.45</v>
      </c>
      <c r="AJ241" t="n">
        <v>199.451</v>
      </c>
      <c r="AK241" t="n">
        <v>188.715</v>
      </c>
      <c r="AL241" t="n">
        <v>204.865</v>
      </c>
      <c r="AM241" t="n">
        <v>279.792</v>
      </c>
      <c r="AN241" t="n">
        <v>263.539</v>
      </c>
      <c r="AO241" t="n">
        <v>203.37</v>
      </c>
      <c r="AP241" t="n">
        <v>269.529</v>
      </c>
      <c r="AQ241" t="n">
        <v>236.986</v>
      </c>
      <c r="AR241" t="n">
        <v>207.362</v>
      </c>
      <c r="AS241" t="n">
        <v>167.832</v>
      </c>
      <c r="AT241" t="n">
        <v>128.589</v>
      </c>
      <c r="AU241" t="n">
        <v>94.017</v>
      </c>
      <c r="AV241" t="n">
        <v>85.745</v>
      </c>
      <c r="AW241" t="n">
        <v>78.589</v>
      </c>
      <c r="AX241" t="n">
        <v>69.943</v>
      </c>
      <c r="AY241" t="n">
        <v>91.20699999999999</v>
      </c>
      <c r="AZ241" t="n">
        <v>117.677</v>
      </c>
      <c r="BA241" t="n">
        <v>138.492</v>
      </c>
      <c r="BB241" t="n">
        <v>156.125</v>
      </c>
      <c r="BC241" t="n">
        <v>187.172</v>
      </c>
      <c r="BD241" t="n">
        <v>209.234</v>
      </c>
      <c r="BE241" t="n">
        <v>234.104</v>
      </c>
      <c r="BF241" t="n">
        <v>259.945</v>
      </c>
      <c r="BG241" t="n">
        <v>264.754</v>
      </c>
      <c r="BH241" t="n">
        <v>212.108</v>
      </c>
      <c r="BI241" t="n">
        <v>222.689</v>
      </c>
      <c r="BJ241" t="n">
        <v>238.062</v>
      </c>
      <c r="BK241" t="n">
        <v>249.272</v>
      </c>
      <c r="BL241" t="n">
        <v>267.549</v>
      </c>
      <c r="BM241" t="n">
        <v>280.153</v>
      </c>
      <c r="BN241" t="n">
        <v>288.961</v>
      </c>
      <c r="BO241" t="n">
        <v>289.087</v>
      </c>
      <c r="BP241" t="n">
        <v>278.633</v>
      </c>
      <c r="BQ241" t="n">
        <v>282.693</v>
      </c>
      <c r="BR241" t="n">
        <v>283.189</v>
      </c>
      <c r="BS241" t="n">
        <v>284.879</v>
      </c>
      <c r="BT241" t="n">
        <v>288.138</v>
      </c>
      <c r="BU241" t="n">
        <v>280.763</v>
      </c>
      <c r="BV241" t="n">
        <v>278.888</v>
      </c>
    </row>
    <row r="242">
      <c r="A242" t="inlineStr">
        <is>
          <t>Thunnus alalunga</t>
        </is>
      </c>
      <c r="B242" t="inlineStr">
        <is>
          <t>Albacore</t>
        </is>
      </c>
      <c r="C242" t="inlineStr">
        <is>
          <t>Large pelagics (&gt;=90 cm)</t>
        </is>
      </c>
      <c r="D242" t="inlineStr">
        <is>
          <t>Tuna &amp; billfishes</t>
        </is>
      </c>
      <c r="E242" t="n">
        <v>0</v>
      </c>
      <c r="F242" t="n">
        <v>0</v>
      </c>
      <c r="G242" t="n">
        <v>0.249</v>
      </c>
      <c r="H242" t="n">
        <v>3.587</v>
      </c>
      <c r="I242" t="n">
        <v>7.878</v>
      </c>
      <c r="J242" t="n">
        <v>5.648</v>
      </c>
      <c r="K242" t="n">
        <v>9.488</v>
      </c>
      <c r="L242" t="n">
        <v>0</v>
      </c>
      <c r="M242" t="n">
        <v>0.129</v>
      </c>
      <c r="N242" t="n">
        <v>35.776</v>
      </c>
      <c r="O242" t="n">
        <v>30.876</v>
      </c>
      <c r="P242" t="n">
        <v>20.09</v>
      </c>
      <c r="Q242" t="n">
        <v>0</v>
      </c>
      <c r="R242" t="n">
        <v>0.234</v>
      </c>
      <c r="S242" t="n">
        <v>30.73</v>
      </c>
      <c r="T242" t="n">
        <v>0</v>
      </c>
      <c r="U242" t="n">
        <v>0.156</v>
      </c>
      <c r="V242" t="n">
        <v>0</v>
      </c>
      <c r="W242" t="n">
        <v>0.268</v>
      </c>
      <c r="X242" t="n">
        <v>12.36</v>
      </c>
      <c r="Y242" t="n">
        <v>0</v>
      </c>
      <c r="Z242" t="n">
        <v>0</v>
      </c>
      <c r="AA242" t="n">
        <v>0.008999999999999999</v>
      </c>
      <c r="AB242" t="n">
        <v>0</v>
      </c>
      <c r="AC242" t="n">
        <v>4.677</v>
      </c>
      <c r="AD242" t="n">
        <v>0.01</v>
      </c>
      <c r="AE242" t="n">
        <v>0.048</v>
      </c>
      <c r="AF242" t="n">
        <v>0.405</v>
      </c>
      <c r="AG242" t="n">
        <v>0.183</v>
      </c>
      <c r="AH242" t="n">
        <v>5.551</v>
      </c>
      <c r="AI242" t="n">
        <v>0.801</v>
      </c>
      <c r="AJ242" t="n">
        <v>0.002</v>
      </c>
      <c r="AK242" t="n">
        <v>45.948</v>
      </c>
      <c r="AL242" t="n">
        <v>25.024</v>
      </c>
      <c r="AM242" t="n">
        <v>0</v>
      </c>
      <c r="AN242" t="n">
        <v>212.086</v>
      </c>
      <c r="AO242" t="n">
        <v>923.266</v>
      </c>
      <c r="AP242" t="n">
        <v>4051.146</v>
      </c>
      <c r="AQ242" t="n">
        <v>0.005</v>
      </c>
      <c r="AR242" t="n">
        <v>0.024</v>
      </c>
      <c r="AS242" t="n">
        <v>0.007</v>
      </c>
      <c r="AT242" t="n">
        <v>0.014</v>
      </c>
      <c r="AU242" t="n">
        <v>5012.272</v>
      </c>
      <c r="AV242" t="n">
        <v>177.93</v>
      </c>
      <c r="AW242" t="n">
        <v>18.549</v>
      </c>
      <c r="AX242" t="n">
        <v>18.204</v>
      </c>
      <c r="AY242" t="n">
        <v>12.504</v>
      </c>
      <c r="AZ242" t="n">
        <v>19.914</v>
      </c>
      <c r="BA242" t="n">
        <v>13.3</v>
      </c>
      <c r="BB242" t="n">
        <v>1.585</v>
      </c>
      <c r="BC242" t="n">
        <v>0.04</v>
      </c>
      <c r="BD242" t="n">
        <v>3.114</v>
      </c>
      <c r="BE242" t="n">
        <v>0.727</v>
      </c>
      <c r="BF242" t="n">
        <v>10.664</v>
      </c>
      <c r="BG242" t="n">
        <v>82.044</v>
      </c>
      <c r="BH242" t="n">
        <v>67.258</v>
      </c>
      <c r="BI242" t="n">
        <v>90.577</v>
      </c>
      <c r="BJ242" t="n">
        <v>120.354</v>
      </c>
      <c r="BK242" t="n">
        <v>62.27</v>
      </c>
      <c r="BL242" t="n">
        <v>89.071</v>
      </c>
      <c r="BM242" t="n">
        <v>92.40000000000001</v>
      </c>
      <c r="BN242" t="n">
        <v>118.459</v>
      </c>
      <c r="BO242" t="n">
        <v>1.666</v>
      </c>
      <c r="BP242" t="n">
        <v>0.958</v>
      </c>
      <c r="BQ242" t="n">
        <v>250.754</v>
      </c>
      <c r="BR242" t="n">
        <v>11.878</v>
      </c>
      <c r="BS242" t="n">
        <v>11.021</v>
      </c>
      <c r="BT242" t="n">
        <v>93.09</v>
      </c>
      <c r="BU242" t="n">
        <v>147.34</v>
      </c>
      <c r="BV242" t="n">
        <v>386.9</v>
      </c>
    </row>
    <row r="243">
      <c r="A243" t="inlineStr">
        <is>
          <t>Epinephelus chlorostigma</t>
        </is>
      </c>
      <c r="B243" t="inlineStr">
        <is>
          <t>Brownspotted grouper</t>
        </is>
      </c>
      <c r="C243" t="inlineStr">
        <is>
          <t>Medium reef assoc. fish (30 - 89 cm)</t>
        </is>
      </c>
      <c r="D243" t="inlineStr">
        <is>
          <t>Perch-likes</t>
        </is>
      </c>
      <c r="E243" t="n">
        <v>18.657</v>
      </c>
      <c r="F243" t="n">
        <v>19.235</v>
      </c>
      <c r="G243" t="n">
        <v>21.041</v>
      </c>
      <c r="H243" t="n">
        <v>21.323</v>
      </c>
      <c r="I243" t="n">
        <v>22.862</v>
      </c>
      <c r="J243" t="n">
        <v>23.272</v>
      </c>
      <c r="K243" t="n">
        <v>23.796</v>
      </c>
      <c r="L243" t="n">
        <v>26.312</v>
      </c>
      <c r="M243" t="n">
        <v>27.374</v>
      </c>
      <c r="N243" t="n">
        <v>28.491</v>
      </c>
      <c r="O243" t="n">
        <v>31.982</v>
      </c>
      <c r="P243" t="n">
        <v>35.057</v>
      </c>
      <c r="Q243" t="n">
        <v>37.27</v>
      </c>
      <c r="R243" t="n">
        <v>42.287</v>
      </c>
      <c r="S243" t="n">
        <v>43.223</v>
      </c>
      <c r="T243" t="n">
        <v>46.533</v>
      </c>
      <c r="U243" t="n">
        <v>53.518</v>
      </c>
      <c r="V243" t="n">
        <v>57.672</v>
      </c>
      <c r="W243" t="n">
        <v>61.226</v>
      </c>
      <c r="X243" t="n">
        <v>66.38</v>
      </c>
      <c r="Y243" t="n">
        <v>70.76300000000001</v>
      </c>
      <c r="Z243" t="n">
        <v>74.628</v>
      </c>
      <c r="AA243" t="n">
        <v>78.137</v>
      </c>
      <c r="AB243" t="n">
        <v>82.071</v>
      </c>
      <c r="AC243" t="n">
        <v>85.65900000000001</v>
      </c>
      <c r="AD243" t="n">
        <v>87.946</v>
      </c>
      <c r="AE243" t="n">
        <v>91.253</v>
      </c>
      <c r="AF243" t="n">
        <v>101.075</v>
      </c>
      <c r="AG243" t="n">
        <v>96.40600000000001</v>
      </c>
      <c r="AH243" t="n">
        <v>97.777</v>
      </c>
      <c r="AI243" t="n">
        <v>114.36</v>
      </c>
      <c r="AJ243" t="n">
        <v>124.335</v>
      </c>
      <c r="AK243" t="n">
        <v>125.116</v>
      </c>
      <c r="AL243" t="n">
        <v>123.17</v>
      </c>
      <c r="AM243" t="n">
        <v>140.579</v>
      </c>
      <c r="AN243" t="n">
        <v>161.002</v>
      </c>
      <c r="AO243" t="n">
        <v>175.956</v>
      </c>
      <c r="AP243" t="n">
        <v>171.335</v>
      </c>
      <c r="AQ243" t="n">
        <v>167.192</v>
      </c>
      <c r="AR243" t="n">
        <v>190.699</v>
      </c>
      <c r="AS243" t="n">
        <v>111.294</v>
      </c>
      <c r="AT243" t="n">
        <v>106.482</v>
      </c>
      <c r="AU243" t="n">
        <v>116.212</v>
      </c>
      <c r="AV243" t="n">
        <v>186.814</v>
      </c>
      <c r="AW243" t="n">
        <v>176.251</v>
      </c>
      <c r="AX243" t="n">
        <v>194.259</v>
      </c>
      <c r="AY243" t="n">
        <v>232.935</v>
      </c>
      <c r="AZ243" t="n">
        <v>209.123</v>
      </c>
      <c r="BA243" t="n">
        <v>214.096</v>
      </c>
      <c r="BB243" t="n">
        <v>228.49</v>
      </c>
      <c r="BC243" t="n">
        <v>250.297</v>
      </c>
      <c r="BD243" t="n">
        <v>244.527</v>
      </c>
      <c r="BE243" t="n">
        <v>240.252</v>
      </c>
      <c r="BF243" t="n">
        <v>260.413</v>
      </c>
      <c r="BG243" t="n">
        <v>267.253</v>
      </c>
      <c r="BH243" t="n">
        <v>255.126</v>
      </c>
      <c r="BI243" t="n">
        <v>294.871</v>
      </c>
      <c r="BJ243" t="n">
        <v>294.911</v>
      </c>
      <c r="BK243" t="n">
        <v>314.376</v>
      </c>
      <c r="BL243" t="n">
        <v>349.195</v>
      </c>
      <c r="BM243" t="n">
        <v>328.672</v>
      </c>
      <c r="BN243" t="n">
        <v>303.646</v>
      </c>
      <c r="BO243" t="n">
        <v>482.951</v>
      </c>
      <c r="BP243" t="n">
        <v>374.665</v>
      </c>
      <c r="BQ243" t="n">
        <v>388.723</v>
      </c>
      <c r="BR243" t="n">
        <v>388.239</v>
      </c>
      <c r="BS243" t="n">
        <v>388.826</v>
      </c>
      <c r="BT243" t="n">
        <v>391.029</v>
      </c>
      <c r="BU243" t="n">
        <v>384.834</v>
      </c>
      <c r="BV243" t="n">
        <v>420.519</v>
      </c>
    </row>
    <row r="244">
      <c r="A244" t="inlineStr">
        <is>
          <t>Ophichthidae</t>
        </is>
      </c>
      <c r="B244" t="inlineStr">
        <is>
          <t>Snake eels</t>
        </is>
      </c>
      <c r="C244" t="inlineStr">
        <is>
          <t>Medium demersals (30 - 89 cm)</t>
        </is>
      </c>
      <c r="D244" t="inlineStr">
        <is>
          <t>Other fishes &amp; inverts</t>
        </is>
      </c>
      <c r="E244" t="n">
        <v>146.919</v>
      </c>
      <c r="F244" t="n">
        <v>147.759</v>
      </c>
      <c r="G244" t="n">
        <v>146.65</v>
      </c>
      <c r="H244" t="n">
        <v>147.419</v>
      </c>
      <c r="I244" t="n">
        <v>148.162</v>
      </c>
      <c r="J244" t="n">
        <v>148.879</v>
      </c>
      <c r="K244" t="n">
        <v>149.358</v>
      </c>
      <c r="L244" t="n">
        <v>150.962</v>
      </c>
      <c r="M244" t="n">
        <v>152.149</v>
      </c>
      <c r="N244" t="n">
        <v>154.259</v>
      </c>
      <c r="O244" t="n">
        <v>155.389</v>
      </c>
      <c r="P244" t="n">
        <v>156.861</v>
      </c>
      <c r="Q244" t="n">
        <v>158.302</v>
      </c>
      <c r="R244" t="n">
        <v>160.665</v>
      </c>
      <c r="S244" t="n">
        <v>162.424</v>
      </c>
      <c r="T244" t="n">
        <v>162.325</v>
      </c>
      <c r="U244" t="n">
        <v>162.903</v>
      </c>
      <c r="V244" t="n">
        <v>164.003</v>
      </c>
      <c r="W244" t="n">
        <v>162.472</v>
      </c>
      <c r="X244" t="n">
        <v>164.746</v>
      </c>
      <c r="Y244" t="n">
        <v>165.898</v>
      </c>
      <c r="Z244" t="n">
        <v>165.945</v>
      </c>
      <c r="AA244" t="n">
        <v>168.246</v>
      </c>
      <c r="AB244" t="n">
        <v>168.449</v>
      </c>
      <c r="AC244" t="n">
        <v>135.565</v>
      </c>
      <c r="AD244" t="n">
        <v>144.725</v>
      </c>
      <c r="AE244" t="n">
        <v>153.956</v>
      </c>
      <c r="AF244" t="n">
        <v>163.338</v>
      </c>
      <c r="AG244" t="n">
        <v>160.711</v>
      </c>
      <c r="AH244" t="n">
        <v>158.424</v>
      </c>
      <c r="AI244" t="n">
        <v>171.102</v>
      </c>
      <c r="AJ244" t="n">
        <v>173.305</v>
      </c>
      <c r="AK244" t="n">
        <v>139.965</v>
      </c>
      <c r="AL244" t="n">
        <v>142.621</v>
      </c>
      <c r="AM244" t="n">
        <v>144.043</v>
      </c>
      <c r="AN244" t="n">
        <v>145.803</v>
      </c>
      <c r="AO244" t="n">
        <v>141.505</v>
      </c>
      <c r="AP244" t="n">
        <v>163.76</v>
      </c>
      <c r="AQ244" t="n">
        <v>167.218</v>
      </c>
      <c r="AR244" t="n">
        <v>169.734</v>
      </c>
      <c r="AS244" t="n">
        <v>165.916</v>
      </c>
      <c r="AT244" t="n">
        <v>191.328</v>
      </c>
      <c r="AU244" t="n">
        <v>188.434</v>
      </c>
      <c r="AV244" t="n">
        <v>165.242</v>
      </c>
      <c r="AW244" t="n">
        <v>293.732</v>
      </c>
      <c r="AX244" t="n">
        <v>288.795</v>
      </c>
      <c r="AY244" t="n">
        <v>270.028</v>
      </c>
      <c r="AZ244" t="n">
        <v>371.175</v>
      </c>
      <c r="BA244" t="n">
        <v>289.736</v>
      </c>
      <c r="BB244" t="n">
        <v>263.438</v>
      </c>
      <c r="BC244" t="n">
        <v>238.727</v>
      </c>
      <c r="BD244" t="n">
        <v>227.583</v>
      </c>
      <c r="BE244" t="n">
        <v>191.386</v>
      </c>
      <c r="BF244" t="n">
        <v>142.323</v>
      </c>
      <c r="BG244" t="n">
        <v>146.327</v>
      </c>
      <c r="BH244" t="n">
        <v>134.707</v>
      </c>
      <c r="BI244" t="n">
        <v>124.4</v>
      </c>
      <c r="BJ244" t="n">
        <v>112.362</v>
      </c>
      <c r="BK244" t="n">
        <v>98.185</v>
      </c>
      <c r="BL244" t="n">
        <v>92.10899999999999</v>
      </c>
      <c r="BM244" t="n">
        <v>75.42</v>
      </c>
      <c r="BN244" t="n">
        <v>99.84099999999999</v>
      </c>
      <c r="BO244" t="n">
        <v>93.045</v>
      </c>
      <c r="BP244" t="n">
        <v>97.027</v>
      </c>
      <c r="BQ244" t="n">
        <v>99.729</v>
      </c>
      <c r="BR244" t="n">
        <v>99.01600000000001</v>
      </c>
      <c r="BS244" t="n">
        <v>99.224</v>
      </c>
      <c r="BT244" t="n">
        <v>103.682</v>
      </c>
      <c r="BU244" t="n">
        <v>114.196</v>
      </c>
      <c r="BV244" t="n">
        <v>110.027</v>
      </c>
    </row>
    <row r="245">
      <c r="A245" t="inlineStr">
        <is>
          <t>Mollusca</t>
        </is>
      </c>
      <c r="B245" t="inlineStr">
        <is>
          <t>Clams, seasnails, squids, octopuses</t>
        </is>
      </c>
      <c r="C245" t="inlineStr">
        <is>
          <t>Other demersal invertebrates</t>
        </is>
      </c>
      <c r="D245" t="inlineStr">
        <is>
          <t>Molluscs</t>
        </is>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1.812</v>
      </c>
      <c r="AI245" t="n">
        <v>0.5629999999999999</v>
      </c>
      <c r="AJ245" t="n">
        <v>108.177</v>
      </c>
      <c r="AK245" t="n">
        <v>499.171</v>
      </c>
      <c r="AL245" t="n">
        <v>752.312</v>
      </c>
      <c r="AM245" t="n">
        <v>760.562</v>
      </c>
      <c r="AN245" t="n">
        <v>764.217</v>
      </c>
      <c r="AO245" t="n">
        <v>1611.197</v>
      </c>
      <c r="AP245" t="n">
        <v>1555.008</v>
      </c>
      <c r="AQ245" t="n">
        <v>1206.54</v>
      </c>
      <c r="AR245" t="n">
        <v>870.789</v>
      </c>
      <c r="AS245" t="n">
        <v>559.2329999999999</v>
      </c>
      <c r="AT245" t="n">
        <v>547.803</v>
      </c>
      <c r="AU245" t="n">
        <v>547.643</v>
      </c>
      <c r="AV245" t="n">
        <v>269.097</v>
      </c>
      <c r="AW245" t="n">
        <v>116.192</v>
      </c>
      <c r="AX245" t="n">
        <v>165.966</v>
      </c>
      <c r="AY245" t="n">
        <v>151.494</v>
      </c>
      <c r="AZ245" t="n">
        <v>4.457</v>
      </c>
      <c r="BA245" t="n">
        <v>5.214</v>
      </c>
      <c r="BB245" t="n">
        <v>8.855</v>
      </c>
      <c r="BC245" t="n">
        <v>14.268</v>
      </c>
      <c r="BD245" t="n">
        <v>0.098</v>
      </c>
      <c r="BE245" t="n">
        <v>0</v>
      </c>
      <c r="BF245" t="n">
        <v>30.884</v>
      </c>
      <c r="BG245" t="n">
        <v>0.092</v>
      </c>
      <c r="BH245" t="n">
        <v>0</v>
      </c>
      <c r="BI245" t="n">
        <v>0.141</v>
      </c>
      <c r="BJ245" t="n">
        <v>0.002</v>
      </c>
      <c r="BK245" t="n">
        <v>0.002</v>
      </c>
      <c r="BL245" t="n">
        <v>1.453</v>
      </c>
      <c r="BM245" t="n">
        <v>0.003</v>
      </c>
      <c r="BN245" t="n">
        <v>49.847</v>
      </c>
      <c r="BO245" t="n">
        <v>101.637</v>
      </c>
      <c r="BP245" t="n">
        <v>106.522</v>
      </c>
      <c r="BQ245" t="n">
        <v>111.249</v>
      </c>
      <c r="BR245" t="n">
        <v>76.262</v>
      </c>
      <c r="BS245" t="n">
        <v>63.637</v>
      </c>
      <c r="BT245" t="n">
        <v>53.858</v>
      </c>
      <c r="BU245" t="n">
        <v>53.856</v>
      </c>
      <c r="BV245" t="n">
        <v>53.854</v>
      </c>
    </row>
    <row r="246">
      <c r="A246" t="inlineStr">
        <is>
          <t>Lethrinus microdon</t>
        </is>
      </c>
      <c r="B246" t="inlineStr">
        <is>
          <t>Smalltooth emperor</t>
        </is>
      </c>
      <c r="C246" t="inlineStr">
        <is>
          <t>Medium reef assoc. fish (30 - 89 cm)</t>
        </is>
      </c>
      <c r="D246" t="inlineStr">
        <is>
          <t>Perch-likes</t>
        </is>
      </c>
      <c r="E246" t="n">
        <v>25.215</v>
      </c>
      <c r="F246" t="n">
        <v>25.558</v>
      </c>
      <c r="G246" t="n">
        <v>28.433</v>
      </c>
      <c r="H246" t="n">
        <v>27.957</v>
      </c>
      <c r="I246" t="n">
        <v>29.823</v>
      </c>
      <c r="J246" t="n">
        <v>30.177</v>
      </c>
      <c r="K246" t="n">
        <v>30.943</v>
      </c>
      <c r="L246" t="n">
        <v>35.464</v>
      </c>
      <c r="M246" t="n">
        <v>35.843</v>
      </c>
      <c r="N246" t="n">
        <v>40.236</v>
      </c>
      <c r="O246" t="n">
        <v>42.509</v>
      </c>
      <c r="P246" t="n">
        <v>51.736</v>
      </c>
      <c r="Q246" t="n">
        <v>56.64</v>
      </c>
      <c r="R246" t="n">
        <v>59.546</v>
      </c>
      <c r="S246" t="n">
        <v>55.51</v>
      </c>
      <c r="T246" t="n">
        <v>55.553</v>
      </c>
      <c r="U246" t="n">
        <v>60.656</v>
      </c>
      <c r="V246" t="n">
        <v>58.772</v>
      </c>
      <c r="W246" t="n">
        <v>56.971</v>
      </c>
      <c r="X246" t="n">
        <v>60.47</v>
      </c>
      <c r="Y246" t="n">
        <v>73.926</v>
      </c>
      <c r="Z246" t="n">
        <v>78.77</v>
      </c>
      <c r="AA246" t="n">
        <v>81.38500000000001</v>
      </c>
      <c r="AB246" t="n">
        <v>90.407</v>
      </c>
      <c r="AC246" t="n">
        <v>93.68600000000001</v>
      </c>
      <c r="AD246" t="n">
        <v>90.54300000000001</v>
      </c>
      <c r="AE246" t="n">
        <v>90.88500000000001</v>
      </c>
      <c r="AF246" t="n">
        <v>96.708</v>
      </c>
      <c r="AG246" t="n">
        <v>96.92100000000001</v>
      </c>
      <c r="AH246" t="n">
        <v>97.619</v>
      </c>
      <c r="AI246" t="n">
        <v>119.815</v>
      </c>
      <c r="AJ246" t="n">
        <v>124.031</v>
      </c>
      <c r="AK246" t="n">
        <v>99.59399999999999</v>
      </c>
      <c r="AL246" t="n">
        <v>129.628</v>
      </c>
      <c r="AM246" t="n">
        <v>157.716</v>
      </c>
      <c r="AN246" t="n">
        <v>149.118</v>
      </c>
      <c r="AO246" t="n">
        <v>180.074</v>
      </c>
      <c r="AP246" t="n">
        <v>171.943</v>
      </c>
      <c r="AQ246" t="n">
        <v>182.195</v>
      </c>
      <c r="AR246" t="n">
        <v>198.177</v>
      </c>
      <c r="AS246" t="n">
        <v>181.787</v>
      </c>
      <c r="AT246" t="n">
        <v>180.58</v>
      </c>
      <c r="AU246" t="n">
        <v>221.272</v>
      </c>
      <c r="AV246" t="n">
        <v>230.8</v>
      </c>
      <c r="AW246" t="n">
        <v>235.1</v>
      </c>
      <c r="AX246" t="n">
        <v>258.352</v>
      </c>
      <c r="AY246" t="n">
        <v>281.099</v>
      </c>
      <c r="AZ246" t="n">
        <v>274.455</v>
      </c>
      <c r="BA246" t="n">
        <v>287.334</v>
      </c>
      <c r="BB246" t="n">
        <v>314.231</v>
      </c>
      <c r="BC246" t="n">
        <v>317.297</v>
      </c>
      <c r="BD246" t="n">
        <v>426.686</v>
      </c>
      <c r="BE246" t="n">
        <v>425.7</v>
      </c>
      <c r="BF246" t="n">
        <v>433.162</v>
      </c>
      <c r="BG246" t="n">
        <v>267.831</v>
      </c>
      <c r="BH246" t="n">
        <v>315.11</v>
      </c>
      <c r="BI246" t="n">
        <v>313.6</v>
      </c>
      <c r="BJ246" t="n">
        <v>197.413</v>
      </c>
      <c r="BK246" t="n">
        <v>267.705</v>
      </c>
      <c r="BL246" t="n">
        <v>286.779</v>
      </c>
      <c r="BM246" t="n">
        <v>228.003</v>
      </c>
      <c r="BN246" t="n">
        <v>212.908</v>
      </c>
      <c r="BO246" t="n">
        <v>270.632</v>
      </c>
      <c r="BP246" t="n">
        <v>246.03</v>
      </c>
      <c r="BQ246" t="n">
        <v>210.741</v>
      </c>
      <c r="BR246" t="n">
        <v>212.792</v>
      </c>
      <c r="BS246" t="n">
        <v>216.351</v>
      </c>
      <c r="BT246" t="n">
        <v>199.85</v>
      </c>
      <c r="BU246" t="n">
        <v>169.452</v>
      </c>
      <c r="BV246" t="n">
        <v>169.39</v>
      </c>
    </row>
    <row r="247">
      <c r="A247" t="inlineStr">
        <is>
          <t>Lutjanus gibbus</t>
        </is>
      </c>
      <c r="B247" t="inlineStr">
        <is>
          <t>Humpback red snapper</t>
        </is>
      </c>
      <c r="C247" t="inlineStr">
        <is>
          <t>Medium reef assoc. fish (30 - 89 cm)</t>
        </is>
      </c>
      <c r="D247" t="inlineStr">
        <is>
          <t>Perch-likes</t>
        </is>
      </c>
      <c r="E247" t="n">
        <v>24.176</v>
      </c>
      <c r="F247" t="n">
        <v>24.355</v>
      </c>
      <c r="G247" t="n">
        <v>34.212</v>
      </c>
      <c r="H247" t="n">
        <v>29.547</v>
      </c>
      <c r="I247" t="n">
        <v>34.586</v>
      </c>
      <c r="J247" t="n">
        <v>34.777</v>
      </c>
      <c r="K247" t="n">
        <v>37.398</v>
      </c>
      <c r="L247" t="n">
        <v>49.722</v>
      </c>
      <c r="M247" t="n">
        <v>49.924</v>
      </c>
      <c r="N247" t="n">
        <v>59.831</v>
      </c>
      <c r="O247" t="n">
        <v>60.152</v>
      </c>
      <c r="P247" t="n">
        <v>113.286</v>
      </c>
      <c r="Q247" t="n">
        <v>133.41</v>
      </c>
      <c r="R247" t="n">
        <v>142.842</v>
      </c>
      <c r="S247" t="n">
        <v>116.424</v>
      </c>
      <c r="T247" t="n">
        <v>101.858</v>
      </c>
      <c r="U247" t="n">
        <v>108.464</v>
      </c>
      <c r="V247" t="n">
        <v>79.55500000000001</v>
      </c>
      <c r="W247" t="n">
        <v>62.412</v>
      </c>
      <c r="X247" t="n">
        <v>61.583</v>
      </c>
      <c r="Y247" t="n">
        <v>62.775</v>
      </c>
      <c r="Z247" t="n">
        <v>76.54000000000001</v>
      </c>
      <c r="AA247" t="n">
        <v>79.71599999999999</v>
      </c>
      <c r="AB247" t="n">
        <v>103.228</v>
      </c>
      <c r="AC247" t="n">
        <v>93.59399999999999</v>
      </c>
      <c r="AD247" t="n">
        <v>76.77800000000001</v>
      </c>
      <c r="AE247" t="n">
        <v>77.93899999999999</v>
      </c>
      <c r="AF247" t="n">
        <v>73.521</v>
      </c>
      <c r="AG247" t="n">
        <v>107.859</v>
      </c>
      <c r="AH247" t="n">
        <v>125.39</v>
      </c>
      <c r="AI247" t="n">
        <v>140.874</v>
      </c>
      <c r="AJ247" t="n">
        <v>160.928</v>
      </c>
      <c r="AK247" t="n">
        <v>151.6</v>
      </c>
      <c r="AL247" t="n">
        <v>186.994</v>
      </c>
      <c r="AM247" t="n">
        <v>204.991</v>
      </c>
      <c r="AN247" t="n">
        <v>180.181</v>
      </c>
      <c r="AO247" t="n">
        <v>192.72</v>
      </c>
      <c r="AP247" t="n">
        <v>163.653</v>
      </c>
      <c r="AQ247" t="n">
        <v>146.312</v>
      </c>
      <c r="AR247" t="n">
        <v>148.236</v>
      </c>
      <c r="AS247" t="n">
        <v>118.073</v>
      </c>
      <c r="AT247" t="n">
        <v>118.345</v>
      </c>
      <c r="AU247" t="n">
        <v>173.491</v>
      </c>
      <c r="AV247" t="n">
        <v>179.946</v>
      </c>
      <c r="AW247" t="n">
        <v>225.044</v>
      </c>
      <c r="AX247" t="n">
        <v>247.701</v>
      </c>
      <c r="AY247" t="n">
        <v>269.984</v>
      </c>
      <c r="AZ247" t="n">
        <v>288.033</v>
      </c>
      <c r="BA247" t="n">
        <v>311.055</v>
      </c>
      <c r="BB247" t="n">
        <v>299.734</v>
      </c>
      <c r="BC247" t="n">
        <v>370.569</v>
      </c>
      <c r="BD247" t="n">
        <v>271.103</v>
      </c>
      <c r="BE247" t="n">
        <v>375.674</v>
      </c>
      <c r="BF247" t="n">
        <v>304.756</v>
      </c>
      <c r="BG247" t="n">
        <v>348.467</v>
      </c>
      <c r="BH247" t="n">
        <v>248.782</v>
      </c>
      <c r="BI247" t="n">
        <v>226.824</v>
      </c>
      <c r="BJ247" t="n">
        <v>186.937</v>
      </c>
      <c r="BK247" t="n">
        <v>245.188</v>
      </c>
      <c r="BL247" t="n">
        <v>209.673</v>
      </c>
      <c r="BM247" t="n">
        <v>219.316</v>
      </c>
      <c r="BN247" t="n">
        <v>227.376</v>
      </c>
      <c r="BO247" t="n">
        <v>222.745</v>
      </c>
      <c r="BP247" t="n">
        <v>225.023</v>
      </c>
      <c r="BQ247" t="n">
        <v>213.202</v>
      </c>
      <c r="BR247" t="n">
        <v>210.728</v>
      </c>
      <c r="BS247" t="n">
        <v>212.212</v>
      </c>
      <c r="BT247" t="n">
        <v>174.68</v>
      </c>
      <c r="BU247" t="n">
        <v>179.661</v>
      </c>
      <c r="BV247" t="n">
        <v>176.028</v>
      </c>
    </row>
    <row r="248">
      <c r="A248" t="inlineStr">
        <is>
          <t>Caesionidae</t>
        </is>
      </c>
      <c r="B248" t="inlineStr">
        <is>
          <t>Fusiliers</t>
        </is>
      </c>
      <c r="C248" t="inlineStr">
        <is>
          <t>Medium reef assoc. fish (30 - 89 cm)</t>
        </is>
      </c>
      <c r="D248" t="inlineStr">
        <is>
          <t>Perch-likes</t>
        </is>
      </c>
      <c r="E248" t="n">
        <v>0</v>
      </c>
      <c r="F248" t="n">
        <v>0</v>
      </c>
      <c r="G248" t="n">
        <v>0</v>
      </c>
      <c r="H248" t="n">
        <v>0</v>
      </c>
      <c r="I248" t="n">
        <v>0</v>
      </c>
      <c r="J248" t="n">
        <v>0</v>
      </c>
      <c r="K248" t="n">
        <v>0</v>
      </c>
      <c r="L248" t="n">
        <v>0</v>
      </c>
      <c r="M248" t="n">
        <v>0</v>
      </c>
      <c r="N248" t="n">
        <v>0</v>
      </c>
      <c r="O248" t="n">
        <v>0</v>
      </c>
      <c r="P248" t="n">
        <v>0</v>
      </c>
      <c r="Q248" t="n">
        <v>0.028</v>
      </c>
      <c r="R248" t="n">
        <v>0.279</v>
      </c>
      <c r="S248" t="n">
        <v>0.375</v>
      </c>
      <c r="T248" t="n">
        <v>1.769</v>
      </c>
      <c r="U248" t="n">
        <v>2.411</v>
      </c>
      <c r="V248" t="n">
        <v>6.022</v>
      </c>
      <c r="W248" t="n">
        <v>6.128</v>
      </c>
      <c r="X248" t="n">
        <v>6.11</v>
      </c>
      <c r="Y248" t="n">
        <v>5.702</v>
      </c>
      <c r="Z248" t="n">
        <v>5.027</v>
      </c>
      <c r="AA248" t="n">
        <v>6.021</v>
      </c>
      <c r="AB248" t="n">
        <v>6.954</v>
      </c>
      <c r="AC248" t="n">
        <v>4.274</v>
      </c>
      <c r="AD248" t="n">
        <v>4.441</v>
      </c>
      <c r="AE248" t="n">
        <v>4.62</v>
      </c>
      <c r="AF248" t="n">
        <v>4.753</v>
      </c>
      <c r="AG248" t="n">
        <v>2.758</v>
      </c>
      <c r="AH248" t="n">
        <v>4.516</v>
      </c>
      <c r="AI248" t="n">
        <v>1.73</v>
      </c>
      <c r="AJ248" t="n">
        <v>5.037</v>
      </c>
      <c r="AK248" t="n">
        <v>18.956</v>
      </c>
      <c r="AL248" t="n">
        <v>19.735</v>
      </c>
      <c r="AM248" t="n">
        <v>22.751</v>
      </c>
      <c r="AN248" t="n">
        <v>25.803</v>
      </c>
      <c r="AO248" t="n">
        <v>25.845</v>
      </c>
      <c r="AP248" t="n">
        <v>16.879</v>
      </c>
      <c r="AQ248" t="n">
        <v>14.541</v>
      </c>
      <c r="AR248" t="n">
        <v>12.32</v>
      </c>
      <c r="AS248" t="n">
        <v>11.874</v>
      </c>
      <c r="AT248" t="n">
        <v>11.798</v>
      </c>
      <c r="AU248" t="n">
        <v>7.825</v>
      </c>
      <c r="AV248" t="n">
        <v>7.233</v>
      </c>
      <c r="AW248" t="n">
        <v>15.535</v>
      </c>
      <c r="AX248" t="n">
        <v>4.749</v>
      </c>
      <c r="AY248" t="n">
        <v>9.099</v>
      </c>
      <c r="AZ248" t="n">
        <v>8.717000000000001</v>
      </c>
      <c r="BA248" t="n">
        <v>8.842000000000001</v>
      </c>
      <c r="BB248" t="n">
        <v>7.049</v>
      </c>
      <c r="BC248" t="n">
        <v>0.236</v>
      </c>
      <c r="BD248" t="n">
        <v>1.627</v>
      </c>
      <c r="BE248" t="n">
        <v>0.38</v>
      </c>
      <c r="BF248" t="n">
        <v>0.475</v>
      </c>
      <c r="BG248" t="n">
        <v>0</v>
      </c>
      <c r="BH248" t="n">
        <v>0</v>
      </c>
      <c r="BI248" t="n">
        <v>0</v>
      </c>
      <c r="BJ248" t="n">
        <v>0</v>
      </c>
      <c r="BK248" t="n">
        <v>0</v>
      </c>
      <c r="BL248" t="n">
        <v>0</v>
      </c>
      <c r="BM248" t="n">
        <v>0</v>
      </c>
      <c r="BN248" t="n">
        <v>1155.665</v>
      </c>
      <c r="BO248" t="n">
        <v>1652.316</v>
      </c>
      <c r="BP248" t="n">
        <v>1649.334</v>
      </c>
      <c r="BQ248" t="n">
        <v>1417.174</v>
      </c>
      <c r="BR248" t="n">
        <v>1158.65</v>
      </c>
      <c r="BS248" t="n">
        <v>984.342</v>
      </c>
      <c r="BT248" t="n">
        <v>837.056</v>
      </c>
      <c r="BU248" t="n">
        <v>837.026</v>
      </c>
      <c r="BV248" t="n">
        <v>836.995</v>
      </c>
    </row>
    <row r="249">
      <c r="A249" t="inlineStr">
        <is>
          <t>Pomacanthus maculosus</t>
        </is>
      </c>
      <c r="B249" t="inlineStr">
        <is>
          <t>Yellowbar angelfish</t>
        </is>
      </c>
      <c r="C249" t="inlineStr">
        <is>
          <t>Medium reef assoc. fish (30 - 89 cm)</t>
        </is>
      </c>
      <c r="D249" t="inlineStr">
        <is>
          <t>Perch-likes</t>
        </is>
      </c>
      <c r="E249" t="n">
        <v>4.137</v>
      </c>
      <c r="F249" t="n">
        <v>4.149</v>
      </c>
      <c r="G249" t="n">
        <v>5.196</v>
      </c>
      <c r="H249" t="n">
        <v>4.663</v>
      </c>
      <c r="I249" t="n">
        <v>5.892</v>
      </c>
      <c r="J249" t="n">
        <v>5.887</v>
      </c>
      <c r="K249" t="n">
        <v>6.145</v>
      </c>
      <c r="L249" t="n">
        <v>8.65</v>
      </c>
      <c r="M249" t="n">
        <v>8.651</v>
      </c>
      <c r="N249" t="n">
        <v>12.082</v>
      </c>
      <c r="O249" t="n">
        <v>12.067</v>
      </c>
      <c r="P249" t="n">
        <v>17.753</v>
      </c>
      <c r="Q249" t="n">
        <v>21.057</v>
      </c>
      <c r="R249" t="n">
        <v>21.982</v>
      </c>
      <c r="S249" t="n">
        <v>19.056</v>
      </c>
      <c r="T249" t="n">
        <v>17.945</v>
      </c>
      <c r="U249" t="n">
        <v>18.259</v>
      </c>
      <c r="V249" t="n">
        <v>15.669</v>
      </c>
      <c r="W249" t="n">
        <v>13.67</v>
      </c>
      <c r="X249" t="n">
        <v>13.41</v>
      </c>
      <c r="Y249" t="n">
        <v>13.55</v>
      </c>
      <c r="Z249" t="n">
        <v>15.621</v>
      </c>
      <c r="AA249" t="n">
        <v>15.655</v>
      </c>
      <c r="AB249" t="n">
        <v>16.821</v>
      </c>
      <c r="AC249" t="n">
        <v>22.807</v>
      </c>
      <c r="AD249" t="n">
        <v>21.141</v>
      </c>
      <c r="AE249" t="n">
        <v>19.747</v>
      </c>
      <c r="AF249" t="n">
        <v>19.252</v>
      </c>
      <c r="AG249" t="n">
        <v>22.529</v>
      </c>
      <c r="AH249" t="n">
        <v>24.43</v>
      </c>
      <c r="AI249" t="n">
        <v>26.361</v>
      </c>
      <c r="AJ249" t="n">
        <v>28.753</v>
      </c>
      <c r="AK249" t="n">
        <v>18.57</v>
      </c>
      <c r="AL249" t="n">
        <v>47.732</v>
      </c>
      <c r="AM249" t="n">
        <v>54.734</v>
      </c>
      <c r="AN249" t="n">
        <v>51.522</v>
      </c>
      <c r="AO249" t="n">
        <v>53.894</v>
      </c>
      <c r="AP249" t="n">
        <v>60.242</v>
      </c>
      <c r="AQ249" t="n">
        <v>61.425</v>
      </c>
      <c r="AR249" t="n">
        <v>62.715</v>
      </c>
      <c r="AS249" t="n">
        <v>62.863</v>
      </c>
      <c r="AT249" t="n">
        <v>59.824</v>
      </c>
      <c r="AU249" t="n">
        <v>65.306</v>
      </c>
      <c r="AV249" t="n">
        <v>68.283</v>
      </c>
      <c r="AW249" t="n">
        <v>79.718</v>
      </c>
      <c r="AX249" t="n">
        <v>79.45999999999999</v>
      </c>
      <c r="AY249" t="n">
        <v>88.18600000000001</v>
      </c>
      <c r="AZ249" t="n">
        <v>93.249</v>
      </c>
      <c r="BA249" t="n">
        <v>96.684</v>
      </c>
      <c r="BB249" t="n">
        <v>97.355</v>
      </c>
      <c r="BC249" t="n">
        <v>93.745</v>
      </c>
      <c r="BD249" t="n">
        <v>212.774</v>
      </c>
      <c r="BE249" t="n">
        <v>189.374</v>
      </c>
      <c r="BF249" t="n">
        <v>184.564</v>
      </c>
      <c r="BG249" t="n">
        <v>470.658</v>
      </c>
      <c r="BH249" t="n">
        <v>328.482</v>
      </c>
      <c r="BI249" t="n">
        <v>1555.318</v>
      </c>
      <c r="BJ249" t="n">
        <v>838.473</v>
      </c>
      <c r="BK249" t="n">
        <v>365.343</v>
      </c>
      <c r="BL249" t="n">
        <v>445.264</v>
      </c>
      <c r="BM249" t="n">
        <v>415.315</v>
      </c>
      <c r="BN249" t="n">
        <v>309.084</v>
      </c>
      <c r="BO249" t="n">
        <v>407.696</v>
      </c>
      <c r="BP249" t="n">
        <v>318.375</v>
      </c>
      <c r="BQ249" t="n">
        <v>483.796</v>
      </c>
      <c r="BR249" t="n">
        <v>458.869</v>
      </c>
      <c r="BS249" t="n">
        <v>467.566</v>
      </c>
      <c r="BT249" t="n">
        <v>496.65</v>
      </c>
      <c r="BU249" t="n">
        <v>492.081</v>
      </c>
      <c r="BV249" t="n">
        <v>487.956</v>
      </c>
    </row>
    <row r="250">
      <c r="A250" t="inlineStr">
        <is>
          <t>Epinephelus multinotatus</t>
        </is>
      </c>
      <c r="B250" t="inlineStr">
        <is>
          <t>White-blotched grouper</t>
        </is>
      </c>
      <c r="C250" t="inlineStr">
        <is>
          <t>Medium reef assoc. fish (30 - 89 cm)</t>
        </is>
      </c>
      <c r="D250" t="inlineStr">
        <is>
          <t>Perch-likes</t>
        </is>
      </c>
      <c r="E250" t="n">
        <v>17.454</v>
      </c>
      <c r="F250" t="n">
        <v>17.551</v>
      </c>
      <c r="G250" t="n">
        <v>26.128</v>
      </c>
      <c r="H250" t="n">
        <v>21.989</v>
      </c>
      <c r="I250" t="n">
        <v>26.331</v>
      </c>
      <c r="J250" t="n">
        <v>26.436</v>
      </c>
      <c r="K250" t="n">
        <v>28.662</v>
      </c>
      <c r="L250" t="n">
        <v>39.369</v>
      </c>
      <c r="M250" t="n">
        <v>39.481</v>
      </c>
      <c r="N250" t="n">
        <v>48.073</v>
      </c>
      <c r="O250" t="n">
        <v>48.188</v>
      </c>
      <c r="P250" t="n">
        <v>94.53700000000001</v>
      </c>
      <c r="Q250" t="n">
        <v>112.014</v>
      </c>
      <c r="R250" t="n">
        <v>119.963</v>
      </c>
      <c r="S250" t="n">
        <v>96.706</v>
      </c>
      <c r="T250" t="n">
        <v>82.322</v>
      </c>
      <c r="U250" t="n">
        <v>85.239</v>
      </c>
      <c r="V250" t="n">
        <v>60.935</v>
      </c>
      <c r="W250" t="n">
        <v>45.383</v>
      </c>
      <c r="X250" t="n">
        <v>43.67</v>
      </c>
      <c r="Y250" t="n">
        <v>45.418</v>
      </c>
      <c r="Z250" t="n">
        <v>57.077</v>
      </c>
      <c r="AA250" t="n">
        <v>57.74</v>
      </c>
      <c r="AB250" t="n">
        <v>67.94</v>
      </c>
      <c r="AC250" t="n">
        <v>68.87</v>
      </c>
      <c r="AD250" t="n">
        <v>54.361</v>
      </c>
      <c r="AE250" t="n">
        <v>53.985</v>
      </c>
      <c r="AF250" t="n">
        <v>50.999</v>
      </c>
      <c r="AG250" t="n">
        <v>78.38500000000001</v>
      </c>
      <c r="AH250" t="n">
        <v>94.29300000000001</v>
      </c>
      <c r="AI250" t="n">
        <v>110.072</v>
      </c>
      <c r="AJ250" t="n">
        <v>124.499</v>
      </c>
      <c r="AK250" t="n">
        <v>114.994</v>
      </c>
      <c r="AL250" t="n">
        <v>143.329</v>
      </c>
      <c r="AM250" t="n">
        <v>157.069</v>
      </c>
      <c r="AN250" t="n">
        <v>134.22</v>
      </c>
      <c r="AO250" t="n">
        <v>144.57</v>
      </c>
      <c r="AP250" t="n">
        <v>115.445</v>
      </c>
      <c r="AQ250" t="n">
        <v>107.035</v>
      </c>
      <c r="AR250" t="n">
        <v>106.394</v>
      </c>
      <c r="AS250" t="n">
        <v>80.874</v>
      </c>
      <c r="AT250" t="n">
        <v>76.946</v>
      </c>
      <c r="AU250" t="n">
        <v>114.697</v>
      </c>
      <c r="AV250" t="n">
        <v>119.744</v>
      </c>
      <c r="AW250" t="n">
        <v>167.453</v>
      </c>
      <c r="AX250" t="n">
        <v>185.959</v>
      </c>
      <c r="AY250" t="n">
        <v>198.243</v>
      </c>
      <c r="AZ250" t="n">
        <v>200.623</v>
      </c>
      <c r="BA250" t="n">
        <v>228.069</v>
      </c>
      <c r="BB250" t="n">
        <v>223.619</v>
      </c>
      <c r="BC250" t="n">
        <v>268.321</v>
      </c>
      <c r="BD250" t="n">
        <v>449.827</v>
      </c>
      <c r="BE250" t="n">
        <v>207.875</v>
      </c>
      <c r="BF250" t="n">
        <v>221.77</v>
      </c>
      <c r="BG250" t="n">
        <v>253.401</v>
      </c>
      <c r="BH250" t="n">
        <v>349.768</v>
      </c>
      <c r="BI250" t="n">
        <v>228.391</v>
      </c>
      <c r="BJ250" t="n">
        <v>181.608</v>
      </c>
      <c r="BK250" t="n">
        <v>331.728</v>
      </c>
      <c r="BL250" t="n">
        <v>297.585</v>
      </c>
      <c r="BM250" t="n">
        <v>263.098</v>
      </c>
      <c r="BN250" t="n">
        <v>270.103</v>
      </c>
      <c r="BO250" t="n">
        <v>271.244</v>
      </c>
      <c r="BP250" t="n">
        <v>296.894</v>
      </c>
      <c r="BQ250" t="n">
        <v>282.028</v>
      </c>
      <c r="BR250" t="n">
        <v>279.808</v>
      </c>
      <c r="BS250" t="n">
        <v>280.228</v>
      </c>
      <c r="BT250" t="n">
        <v>276.365</v>
      </c>
      <c r="BU250" t="n">
        <v>326.917</v>
      </c>
      <c r="BV250" t="n">
        <v>322.608</v>
      </c>
    </row>
    <row r="251">
      <c r="A251" t="inlineStr">
        <is>
          <t>Mene maculata</t>
        </is>
      </c>
      <c r="B251" t="inlineStr">
        <is>
          <t>Moonfish</t>
        </is>
      </c>
      <c r="C251" t="inlineStr">
        <is>
          <t>Medium reef assoc. fish (30 - 89 cm)</t>
        </is>
      </c>
      <c r="D251" t="inlineStr">
        <is>
          <t>Perch-likes</t>
        </is>
      </c>
      <c r="E251" t="n">
        <v>133.453</v>
      </c>
      <c r="F251" t="n">
        <v>134.216</v>
      </c>
      <c r="G251" t="n">
        <v>133.208</v>
      </c>
      <c r="H251" t="n">
        <v>133.907</v>
      </c>
      <c r="I251" t="n">
        <v>134.582</v>
      </c>
      <c r="J251" t="n">
        <v>135.234</v>
      </c>
      <c r="K251" t="n">
        <v>135.668</v>
      </c>
      <c r="L251" t="n">
        <v>137.125</v>
      </c>
      <c r="M251" t="n">
        <v>138.204</v>
      </c>
      <c r="N251" t="n">
        <v>140.122</v>
      </c>
      <c r="O251" t="n">
        <v>141.149</v>
      </c>
      <c r="P251" t="n">
        <v>142.487</v>
      </c>
      <c r="Q251" t="n">
        <v>143.797</v>
      </c>
      <c r="R251" t="n">
        <v>145.945</v>
      </c>
      <c r="S251" t="n">
        <v>147.544</v>
      </c>
      <c r="T251" t="n">
        <v>147.455</v>
      </c>
      <c r="U251" t="n">
        <v>147.981</v>
      </c>
      <c r="V251" t="n">
        <v>148.981</v>
      </c>
      <c r="W251" t="n">
        <v>147.591</v>
      </c>
      <c r="X251" t="n">
        <v>149.657</v>
      </c>
      <c r="Y251" t="n">
        <v>150.704</v>
      </c>
      <c r="Z251" t="n">
        <v>150.746</v>
      </c>
      <c r="AA251" t="n">
        <v>152.838</v>
      </c>
      <c r="AB251" t="n">
        <v>153.021</v>
      </c>
      <c r="AC251" t="n">
        <v>123.15</v>
      </c>
      <c r="AD251" t="n">
        <v>131.488</v>
      </c>
      <c r="AE251" t="n">
        <v>139.891</v>
      </c>
      <c r="AF251" t="n">
        <v>148.431</v>
      </c>
      <c r="AG251" t="n">
        <v>146.061</v>
      </c>
      <c r="AH251" t="n">
        <v>144</v>
      </c>
      <c r="AI251" t="n">
        <v>155.532</v>
      </c>
      <c r="AJ251" t="n">
        <v>157.553</v>
      </c>
      <c r="AK251" t="n">
        <v>127.285</v>
      </c>
      <c r="AL251" t="n">
        <v>129.717</v>
      </c>
      <c r="AM251" t="n">
        <v>131.027</v>
      </c>
      <c r="AN251" t="n">
        <v>132.644</v>
      </c>
      <c r="AO251" t="n">
        <v>128.761</v>
      </c>
      <c r="AP251" t="n">
        <v>148.999</v>
      </c>
      <c r="AQ251" t="n">
        <v>152.14</v>
      </c>
      <c r="AR251" t="n">
        <v>154.424</v>
      </c>
      <c r="AS251" t="n">
        <v>150.95</v>
      </c>
      <c r="AT251" t="n">
        <v>174.029</v>
      </c>
      <c r="AU251" t="n">
        <v>171.393</v>
      </c>
      <c r="AV251" t="n">
        <v>150.319</v>
      </c>
      <c r="AW251" t="n">
        <v>267.032</v>
      </c>
      <c r="AX251" t="n">
        <v>262.54</v>
      </c>
      <c r="AY251" t="n">
        <v>245.487</v>
      </c>
      <c r="AZ251" t="n">
        <v>337.35</v>
      </c>
      <c r="BA251" t="n">
        <v>263.342</v>
      </c>
      <c r="BB251" t="n">
        <v>239.43</v>
      </c>
      <c r="BC251" t="n">
        <v>216.963</v>
      </c>
      <c r="BD251" t="n">
        <v>206.819</v>
      </c>
      <c r="BE251" t="n">
        <v>173.937</v>
      </c>
      <c r="BF251" t="n">
        <v>129.366</v>
      </c>
      <c r="BG251" t="n">
        <v>133.001</v>
      </c>
      <c r="BH251" t="n">
        <v>122.446</v>
      </c>
      <c r="BI251" t="n">
        <v>113.083</v>
      </c>
      <c r="BJ251" t="n">
        <v>102.148</v>
      </c>
      <c r="BK251" t="n">
        <v>89.28100000000001</v>
      </c>
      <c r="BL251" t="n">
        <v>83.749</v>
      </c>
      <c r="BM251" t="n">
        <v>68.58499999999999</v>
      </c>
      <c r="BN251" t="n">
        <v>90.76300000000001</v>
      </c>
      <c r="BO251" t="n">
        <v>84.598</v>
      </c>
      <c r="BP251" t="n">
        <v>88.21299999999999</v>
      </c>
      <c r="BQ251" t="n">
        <v>90.66800000000001</v>
      </c>
      <c r="BR251" t="n">
        <v>90.02200000000001</v>
      </c>
      <c r="BS251" t="n">
        <v>90.21299999999999</v>
      </c>
      <c r="BT251" t="n">
        <v>94.262</v>
      </c>
      <c r="BU251" t="n">
        <v>103.808</v>
      </c>
      <c r="BV251" t="n">
        <v>100.025</v>
      </c>
    </row>
    <row r="252">
      <c r="A252" t="inlineStr">
        <is>
          <t>Nemipterus</t>
        </is>
      </c>
      <c r="B252" t="inlineStr">
        <is>
          <t>Threadfin breams</t>
        </is>
      </c>
      <c r="C252" t="inlineStr">
        <is>
          <t>Small demersals (&lt;30 cm)</t>
        </is>
      </c>
      <c r="D252" t="inlineStr">
        <is>
          <t>Perch-likes</t>
        </is>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7.227</v>
      </c>
      <c r="W252" t="n">
        <v>15.068</v>
      </c>
      <c r="X252" t="n">
        <v>22.909</v>
      </c>
      <c r="Y252" t="n">
        <v>31.537</v>
      </c>
      <c r="Z252" t="n">
        <v>38.046</v>
      </c>
      <c r="AA252" t="n">
        <v>54.568</v>
      </c>
      <c r="AB252" t="n">
        <v>86.949</v>
      </c>
      <c r="AC252" t="n">
        <v>117.966</v>
      </c>
      <c r="AD252" t="n">
        <v>131.742</v>
      </c>
      <c r="AE252" t="n">
        <v>187.403</v>
      </c>
      <c r="AF252" t="n">
        <v>207.074</v>
      </c>
      <c r="AG252" t="n">
        <v>208.414</v>
      </c>
      <c r="AH252" t="n">
        <v>243.477</v>
      </c>
      <c r="AI252" t="n">
        <v>335.25</v>
      </c>
      <c r="AJ252" t="n">
        <v>321.761</v>
      </c>
      <c r="AK252" t="n">
        <v>268.46</v>
      </c>
      <c r="AL252" t="n">
        <v>288.288</v>
      </c>
      <c r="AM252" t="n">
        <v>344.561</v>
      </c>
      <c r="AN252" t="n">
        <v>412.634</v>
      </c>
      <c r="AO252" t="n">
        <v>451.437</v>
      </c>
      <c r="AP252" t="n">
        <v>400.915</v>
      </c>
      <c r="AQ252" t="n">
        <v>332.411</v>
      </c>
      <c r="AR252" t="n">
        <v>305.72</v>
      </c>
      <c r="AS252" t="n">
        <v>91.06999999999999</v>
      </c>
      <c r="AT252" t="n">
        <v>105.899</v>
      </c>
      <c r="AU252" t="n">
        <v>35.551</v>
      </c>
      <c r="AV252" t="n">
        <v>60.729</v>
      </c>
      <c r="AW252" t="n">
        <v>24.369</v>
      </c>
      <c r="AX252" t="n">
        <v>58.993</v>
      </c>
      <c r="AY252" t="n">
        <v>90.652</v>
      </c>
      <c r="AZ252" t="n">
        <v>136.905</v>
      </c>
      <c r="BA252" t="n">
        <v>200.744</v>
      </c>
      <c r="BB252" t="n">
        <v>194.368</v>
      </c>
      <c r="BC252" t="n">
        <v>202.91</v>
      </c>
      <c r="BD252" t="n">
        <v>228.758</v>
      </c>
      <c r="BE252" t="n">
        <v>280.765</v>
      </c>
      <c r="BF252" t="n">
        <v>182.482</v>
      </c>
      <c r="BG252" t="n">
        <v>480.045</v>
      </c>
      <c r="BH252" t="n">
        <v>238.305</v>
      </c>
      <c r="BI252" t="n">
        <v>253.094</v>
      </c>
      <c r="BJ252" t="n">
        <v>242.995</v>
      </c>
      <c r="BK252" t="n">
        <v>163.833</v>
      </c>
      <c r="BL252" t="n">
        <v>132.955</v>
      </c>
      <c r="BM252" t="n">
        <v>117.613</v>
      </c>
      <c r="BN252" t="n">
        <v>86.851</v>
      </c>
      <c r="BO252" t="n">
        <v>129.877</v>
      </c>
      <c r="BP252" t="n">
        <v>119.216</v>
      </c>
      <c r="BQ252" t="n">
        <v>187.948</v>
      </c>
      <c r="BR252" t="n">
        <v>180.186</v>
      </c>
      <c r="BS252" t="n">
        <v>196.668</v>
      </c>
      <c r="BT252" t="n">
        <v>191.377</v>
      </c>
      <c r="BU252" t="n">
        <v>191.165</v>
      </c>
      <c r="BV252" t="n">
        <v>192.738</v>
      </c>
    </row>
    <row r="253">
      <c r="A253" t="inlineStr">
        <is>
          <t>Pomadasys argenteus</t>
        </is>
      </c>
      <c r="B253" t="inlineStr">
        <is>
          <t>Silver grunt</t>
        </is>
      </c>
      <c r="C253" t="inlineStr">
        <is>
          <t>Medium demersals (30 - 89 cm)</t>
        </is>
      </c>
      <c r="D253" t="inlineStr">
        <is>
          <t>Perch-likes</t>
        </is>
      </c>
      <c r="E253" t="n">
        <v>10.338</v>
      </c>
      <c r="F253" t="n">
        <v>10.338</v>
      </c>
      <c r="G253" t="n">
        <v>14.012</v>
      </c>
      <c r="H253" t="n">
        <v>16.587</v>
      </c>
      <c r="I253" t="n">
        <v>18.196</v>
      </c>
      <c r="J253" t="n">
        <v>18.697</v>
      </c>
      <c r="K253" t="n">
        <v>19.305</v>
      </c>
      <c r="L253" t="n">
        <v>24.34</v>
      </c>
      <c r="M253" t="n">
        <v>22.436</v>
      </c>
      <c r="N253" t="n">
        <v>25.147</v>
      </c>
      <c r="O253" t="n">
        <v>26.667</v>
      </c>
      <c r="P253" t="n">
        <v>39.096</v>
      </c>
      <c r="Q253" t="n">
        <v>49.721</v>
      </c>
      <c r="R253" t="n">
        <v>52.547</v>
      </c>
      <c r="S253" t="n">
        <v>45.872</v>
      </c>
      <c r="T253" t="n">
        <v>42.244</v>
      </c>
      <c r="U253" t="n">
        <v>49.549</v>
      </c>
      <c r="V253" t="n">
        <v>40.64</v>
      </c>
      <c r="W253" t="n">
        <v>36.249</v>
      </c>
      <c r="X253" t="n">
        <v>37.718</v>
      </c>
      <c r="Y253" t="n">
        <v>36.372</v>
      </c>
      <c r="Z253" t="n">
        <v>45.013</v>
      </c>
      <c r="AA253" t="n">
        <v>57.907</v>
      </c>
      <c r="AB253" t="n">
        <v>71.407</v>
      </c>
      <c r="AC253" t="n">
        <v>60.877</v>
      </c>
      <c r="AD253" t="n">
        <v>58.327</v>
      </c>
      <c r="AE253" t="n">
        <v>60.946</v>
      </c>
      <c r="AF253" t="n">
        <v>85.383</v>
      </c>
      <c r="AG253" t="n">
        <v>89.736</v>
      </c>
      <c r="AH253" t="n">
        <v>112.147</v>
      </c>
      <c r="AI253" t="n">
        <v>105.008</v>
      </c>
      <c r="AJ253" t="n">
        <v>124.005</v>
      </c>
      <c r="AK253" t="n">
        <v>139.796</v>
      </c>
      <c r="AL253" t="n">
        <v>152.444</v>
      </c>
      <c r="AM253" t="n">
        <v>165.103</v>
      </c>
      <c r="AN253" t="n">
        <v>182.647</v>
      </c>
      <c r="AO253" t="n">
        <v>189.138</v>
      </c>
      <c r="AP253" t="n">
        <v>178.56</v>
      </c>
      <c r="AQ253" t="n">
        <v>185.296</v>
      </c>
      <c r="AR253" t="n">
        <v>178.796</v>
      </c>
      <c r="AS253" t="n">
        <v>108.053</v>
      </c>
      <c r="AT253" t="n">
        <v>130.385</v>
      </c>
      <c r="AU253" t="n">
        <v>149.361</v>
      </c>
      <c r="AV253" t="n">
        <v>164.476</v>
      </c>
      <c r="AW253" t="n">
        <v>190.472</v>
      </c>
      <c r="AX253" t="n">
        <v>196.016</v>
      </c>
      <c r="AY253" t="n">
        <v>207.65</v>
      </c>
      <c r="AZ253" t="n">
        <v>222.3</v>
      </c>
      <c r="BA253" t="n">
        <v>250.161</v>
      </c>
      <c r="BB253" t="n">
        <v>271.578</v>
      </c>
      <c r="BC253" t="n">
        <v>338.699</v>
      </c>
      <c r="BD253" t="n">
        <v>249.836</v>
      </c>
      <c r="BE253" t="n">
        <v>226.179</v>
      </c>
      <c r="BF253" t="n">
        <v>206.741</v>
      </c>
      <c r="BG253" t="n">
        <v>184.777</v>
      </c>
      <c r="BH253" t="n">
        <v>209.826</v>
      </c>
      <c r="BI253" t="n">
        <v>200.992</v>
      </c>
      <c r="BJ253" t="n">
        <v>258.477</v>
      </c>
      <c r="BK253" t="n">
        <v>243.908</v>
      </c>
      <c r="BL253" t="n">
        <v>249.878</v>
      </c>
      <c r="BM253" t="n">
        <v>239.844</v>
      </c>
      <c r="BN253" t="n">
        <v>238.453</v>
      </c>
      <c r="BO253" t="n">
        <v>236.025</v>
      </c>
      <c r="BP253" t="n">
        <v>247.45</v>
      </c>
      <c r="BQ253" t="n">
        <v>227.185</v>
      </c>
      <c r="BR253" t="n">
        <v>219.497</v>
      </c>
      <c r="BS253" t="n">
        <v>219.787</v>
      </c>
      <c r="BT253" t="n">
        <v>185.812</v>
      </c>
      <c r="BU253" t="n">
        <v>186.599</v>
      </c>
      <c r="BV253" t="n">
        <v>183.792</v>
      </c>
    </row>
    <row r="254">
      <c r="A254" t="inlineStr">
        <is>
          <t>Lethrinus obsoletus</t>
        </is>
      </c>
      <c r="B254" t="inlineStr">
        <is>
          <t>Orange-striped emperor</t>
        </is>
      </c>
      <c r="C254" t="inlineStr">
        <is>
          <t>Medium demersals (30 - 89 cm)</t>
        </is>
      </c>
      <c r="D254" t="inlineStr">
        <is>
          <t>Perch-likes</t>
        </is>
      </c>
      <c r="E254" t="n">
        <v>11.511</v>
      </c>
      <c r="F254" t="n">
        <v>11.511</v>
      </c>
      <c r="G254" t="n">
        <v>19.185</v>
      </c>
      <c r="H254" t="n">
        <v>15.348</v>
      </c>
      <c r="I254" t="n">
        <v>19.185</v>
      </c>
      <c r="J254" t="n">
        <v>19.185</v>
      </c>
      <c r="K254" t="n">
        <v>21.104</v>
      </c>
      <c r="L254" t="n">
        <v>30.697</v>
      </c>
      <c r="M254" t="n">
        <v>30.697</v>
      </c>
      <c r="N254" t="n">
        <v>38.371</v>
      </c>
      <c r="O254" t="n">
        <v>38.371</v>
      </c>
      <c r="P254" t="n">
        <v>80.21599999999999</v>
      </c>
      <c r="Q254" t="n">
        <v>95.974</v>
      </c>
      <c r="R254" t="n">
        <v>103.474</v>
      </c>
      <c r="S254" t="n">
        <v>82.46899999999999</v>
      </c>
      <c r="T254" t="n">
        <v>72.72199999999999</v>
      </c>
      <c r="U254" t="n">
        <v>81.254</v>
      </c>
      <c r="V254" t="n">
        <v>56.461</v>
      </c>
      <c r="W254" t="n">
        <v>42.963</v>
      </c>
      <c r="X254" t="n">
        <v>35.619</v>
      </c>
      <c r="Y254" t="n">
        <v>41.945</v>
      </c>
      <c r="Z254" t="n">
        <v>51.691</v>
      </c>
      <c r="AA254" t="n">
        <v>49.203</v>
      </c>
      <c r="AB254" t="n">
        <v>85.107</v>
      </c>
      <c r="AC254" t="n">
        <v>64.28100000000001</v>
      </c>
      <c r="AD254" t="n">
        <v>50.835</v>
      </c>
      <c r="AE254" t="n">
        <v>50.778</v>
      </c>
      <c r="AF254" t="n">
        <v>44.922</v>
      </c>
      <c r="AG254" t="n">
        <v>72.553</v>
      </c>
      <c r="AH254" t="n">
        <v>84.876</v>
      </c>
      <c r="AI254" t="n">
        <v>93.495</v>
      </c>
      <c r="AJ254" t="n">
        <v>111.057</v>
      </c>
      <c r="AK254" t="n">
        <v>103.01</v>
      </c>
      <c r="AL254" t="n">
        <v>134.477</v>
      </c>
      <c r="AM254" t="n">
        <v>140.877</v>
      </c>
      <c r="AN254" t="n">
        <v>123.784</v>
      </c>
      <c r="AO254" t="n">
        <v>122.732</v>
      </c>
      <c r="AP254" t="n">
        <v>115.452</v>
      </c>
      <c r="AQ254" t="n">
        <v>91.565</v>
      </c>
      <c r="AR254" t="n">
        <v>100.637</v>
      </c>
      <c r="AS254" t="n">
        <v>80.69</v>
      </c>
      <c r="AT254" t="n">
        <v>77.43600000000001</v>
      </c>
      <c r="AU254" t="n">
        <v>130.526</v>
      </c>
      <c r="AV254" t="n">
        <v>126.516</v>
      </c>
      <c r="AW254" t="n">
        <v>140.388</v>
      </c>
      <c r="AX254" t="n">
        <v>154.062</v>
      </c>
      <c r="AY254" t="n">
        <v>175.207</v>
      </c>
      <c r="AZ254" t="n">
        <v>193.587</v>
      </c>
      <c r="BA254" t="n">
        <v>200.934</v>
      </c>
      <c r="BB254" t="n">
        <v>198.408</v>
      </c>
      <c r="BC254" t="n">
        <v>126.092</v>
      </c>
      <c r="BD254" t="n">
        <v>182.307</v>
      </c>
      <c r="BE254" t="n">
        <v>367.655</v>
      </c>
      <c r="BF254" t="n">
        <v>194.617</v>
      </c>
      <c r="BG254" t="n">
        <v>227.067</v>
      </c>
      <c r="BH254" t="n">
        <v>209.14</v>
      </c>
      <c r="BI254" t="n">
        <v>282.184</v>
      </c>
      <c r="BJ254" t="n">
        <v>247.392</v>
      </c>
      <c r="BK254" t="n">
        <v>307.185</v>
      </c>
      <c r="BL254" t="n">
        <v>247.17</v>
      </c>
      <c r="BM254" t="n">
        <v>256.538</v>
      </c>
      <c r="BN254" t="n">
        <v>265.353</v>
      </c>
      <c r="BO254" t="n">
        <v>268.188</v>
      </c>
      <c r="BP254" t="n">
        <v>296.071</v>
      </c>
      <c r="BQ254" t="n">
        <v>282.548</v>
      </c>
      <c r="BR254" t="n">
        <v>280.367</v>
      </c>
      <c r="BS254" t="n">
        <v>280.169</v>
      </c>
      <c r="BT254" t="n">
        <v>303.406</v>
      </c>
      <c r="BU254" t="n">
        <v>274.439</v>
      </c>
      <c r="BV254" t="n">
        <v>270.213</v>
      </c>
    </row>
    <row r="255">
      <c r="A255" t="inlineStr">
        <is>
          <t>Scomberoides tol</t>
        </is>
      </c>
      <c r="B255" t="inlineStr">
        <is>
          <t>Needlescaled queenfish</t>
        </is>
      </c>
      <c r="C255" t="inlineStr">
        <is>
          <t>Medium pelagics (30 - 89 cm)</t>
        </is>
      </c>
      <c r="D255" t="inlineStr">
        <is>
          <t>Perch-likes</t>
        </is>
      </c>
      <c r="E255" t="n">
        <v>12.94</v>
      </c>
      <c r="F255" t="n">
        <v>12.94</v>
      </c>
      <c r="G255" t="n">
        <v>21.567</v>
      </c>
      <c r="H255" t="n">
        <v>17.254</v>
      </c>
      <c r="I255" t="n">
        <v>21.567</v>
      </c>
      <c r="J255" t="n">
        <v>21.567</v>
      </c>
      <c r="K255" t="n">
        <v>23.724</v>
      </c>
      <c r="L255" t="n">
        <v>34.507</v>
      </c>
      <c r="M255" t="n">
        <v>34.507</v>
      </c>
      <c r="N255" t="n">
        <v>43.134</v>
      </c>
      <c r="O255" t="n">
        <v>43.134</v>
      </c>
      <c r="P255" t="n">
        <v>90.17700000000001</v>
      </c>
      <c r="Q255" t="n">
        <v>107.834</v>
      </c>
      <c r="R255" t="n">
        <v>115.77</v>
      </c>
      <c r="S255" t="n">
        <v>92.64400000000001</v>
      </c>
      <c r="T255" t="n">
        <v>77.64700000000001</v>
      </c>
      <c r="U255" t="n">
        <v>80.45399999999999</v>
      </c>
      <c r="V255" t="n">
        <v>54.873</v>
      </c>
      <c r="W255" t="n">
        <v>38.588</v>
      </c>
      <c r="X255" t="n">
        <v>36.51</v>
      </c>
      <c r="Y255" t="n">
        <v>38.033</v>
      </c>
      <c r="Z255" t="n">
        <v>49.737</v>
      </c>
      <c r="AA255" t="n">
        <v>49.998</v>
      </c>
      <c r="AB255" t="n">
        <v>60.066</v>
      </c>
      <c r="AC255" t="n">
        <v>60.96</v>
      </c>
      <c r="AD255" t="n">
        <v>46.485</v>
      </c>
      <c r="AE255" t="n">
        <v>45.809</v>
      </c>
      <c r="AF255" t="n">
        <v>42.457</v>
      </c>
      <c r="AG255" t="n">
        <v>70.523</v>
      </c>
      <c r="AH255" t="n">
        <v>86.788</v>
      </c>
      <c r="AI255" t="n">
        <v>102.8</v>
      </c>
      <c r="AJ255" t="n">
        <v>117.313</v>
      </c>
      <c r="AK255" t="n">
        <v>107.676</v>
      </c>
      <c r="AL255" t="n">
        <v>135.204</v>
      </c>
      <c r="AM255" t="n">
        <v>143.165</v>
      </c>
      <c r="AN255" t="n">
        <v>123.484</v>
      </c>
      <c r="AO255" t="n">
        <v>125.683</v>
      </c>
      <c r="AP255" t="n">
        <v>101.58</v>
      </c>
      <c r="AQ255" t="n">
        <v>89.02800000000001</v>
      </c>
      <c r="AR255" t="n">
        <v>91.842</v>
      </c>
      <c r="AS255" t="n">
        <v>69.089</v>
      </c>
      <c r="AT255" t="n">
        <v>64.59</v>
      </c>
      <c r="AU255" t="n">
        <v>99.503</v>
      </c>
      <c r="AV255" t="n">
        <v>100.713</v>
      </c>
      <c r="AW255" t="n">
        <v>145.952</v>
      </c>
      <c r="AX255" t="n">
        <v>162.181</v>
      </c>
      <c r="AY255" t="n">
        <v>171.809</v>
      </c>
      <c r="AZ255" t="n">
        <v>171.39</v>
      </c>
      <c r="BA255" t="n">
        <v>196.815</v>
      </c>
      <c r="BB255" t="n">
        <v>188.61</v>
      </c>
      <c r="BC255" t="n">
        <v>212.621</v>
      </c>
      <c r="BD255" t="n">
        <v>15.229</v>
      </c>
      <c r="BE255" t="n">
        <v>376.999</v>
      </c>
      <c r="BF255" t="n">
        <v>388.3</v>
      </c>
      <c r="BG255" t="n">
        <v>158.371</v>
      </c>
      <c r="BH255" t="n">
        <v>189.986</v>
      </c>
      <c r="BI255" t="n">
        <v>210.583</v>
      </c>
      <c r="BJ255" t="n">
        <v>174.932</v>
      </c>
      <c r="BK255" t="n">
        <v>225.069</v>
      </c>
      <c r="BL255" t="n">
        <v>251.786</v>
      </c>
      <c r="BM255" t="n">
        <v>305.063</v>
      </c>
      <c r="BN255" t="n">
        <v>315.545</v>
      </c>
      <c r="BO255" t="n">
        <v>318.917</v>
      </c>
      <c r="BP255" t="n">
        <v>352.074</v>
      </c>
      <c r="BQ255" t="n">
        <v>335.993</v>
      </c>
      <c r="BR255" t="n">
        <v>333.399</v>
      </c>
      <c r="BS255" t="n">
        <v>333.164</v>
      </c>
      <c r="BT255" t="n">
        <v>212.983</v>
      </c>
      <c r="BU255" t="n">
        <v>245.879</v>
      </c>
      <c r="BV255" t="n">
        <v>242.267</v>
      </c>
    </row>
    <row r="256">
      <c r="A256" t="inlineStr">
        <is>
          <t>Penaeus monodon</t>
        </is>
      </c>
      <c r="B256" t="inlineStr">
        <is>
          <t>Giant tiger prawn</t>
        </is>
      </c>
      <c r="C256" t="inlineStr">
        <is>
          <t>Shrimps</t>
        </is>
      </c>
      <c r="D256" t="inlineStr">
        <is>
          <t>Crustaceans</t>
        </is>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221.506</v>
      </c>
      <c r="AA256" t="n">
        <v>221.506</v>
      </c>
      <c r="AB256" t="n">
        <v>158.907</v>
      </c>
      <c r="AC256" t="n">
        <v>141.571</v>
      </c>
      <c r="AD256" t="n">
        <v>159.87</v>
      </c>
      <c r="AE256" t="n">
        <v>182.111</v>
      </c>
      <c r="AF256" t="n">
        <v>155.16</v>
      </c>
      <c r="AG256" t="n">
        <v>136.862</v>
      </c>
      <c r="AH256" t="n">
        <v>139.874</v>
      </c>
      <c r="AI256" t="n">
        <v>150.304</v>
      </c>
      <c r="AJ256" t="n">
        <v>146.558</v>
      </c>
      <c r="AK256" t="n">
        <v>132.962</v>
      </c>
      <c r="AL256" t="n">
        <v>252.215</v>
      </c>
      <c r="AM256" t="n">
        <v>313.346</v>
      </c>
      <c r="AN256" t="n">
        <v>296.429</v>
      </c>
      <c r="AO256" t="n">
        <v>304.865</v>
      </c>
      <c r="AP256" t="n">
        <v>321.38</v>
      </c>
      <c r="AQ256" t="n">
        <v>233.725</v>
      </c>
      <c r="AR256" t="n">
        <v>179.784</v>
      </c>
      <c r="AS256" t="n">
        <v>174.055</v>
      </c>
      <c r="AT256" t="n">
        <v>145.638</v>
      </c>
      <c r="AU256" t="n">
        <v>119.693</v>
      </c>
      <c r="AV256" t="n">
        <v>151.553</v>
      </c>
      <c r="AW256" t="n">
        <v>133</v>
      </c>
      <c r="AX256" t="n">
        <v>127.649</v>
      </c>
      <c r="AY256" t="n">
        <v>136.92</v>
      </c>
      <c r="AZ256" t="n">
        <v>135.876</v>
      </c>
      <c r="BA256" t="n">
        <v>117.946</v>
      </c>
      <c r="BB256" t="n">
        <v>133.602</v>
      </c>
      <c r="BC256" t="n">
        <v>134.277</v>
      </c>
      <c r="BD256" t="n">
        <v>135.265</v>
      </c>
      <c r="BE256" t="n">
        <v>150.007</v>
      </c>
      <c r="BF256" t="n">
        <v>166.07</v>
      </c>
      <c r="BG256" t="n">
        <v>154.427</v>
      </c>
      <c r="BH256" t="n">
        <v>142.296</v>
      </c>
      <c r="BI256" t="n">
        <v>145.236</v>
      </c>
      <c r="BJ256" t="n">
        <v>135.485</v>
      </c>
      <c r="BK256" t="n">
        <v>148.822</v>
      </c>
      <c r="BL256" t="n">
        <v>154.548</v>
      </c>
      <c r="BM256" t="n">
        <v>168.795</v>
      </c>
      <c r="BN256" t="n">
        <v>175.642</v>
      </c>
      <c r="BO256" t="n">
        <v>183.371</v>
      </c>
      <c r="BP256" t="n">
        <v>203.283</v>
      </c>
      <c r="BQ256" t="n">
        <v>193.621</v>
      </c>
      <c r="BR256" t="n">
        <v>223.482</v>
      </c>
      <c r="BS256" t="n">
        <v>244.657</v>
      </c>
      <c r="BT256" t="n">
        <v>248.522</v>
      </c>
      <c r="BU256" t="n">
        <v>255.263</v>
      </c>
      <c r="BV256" t="n">
        <v>265.857</v>
      </c>
    </row>
    <row r="257">
      <c r="A257" t="inlineStr">
        <is>
          <t>Sphyrna lewini</t>
        </is>
      </c>
      <c r="B257" t="inlineStr">
        <is>
          <t>Scalloped hammerhead</t>
        </is>
      </c>
      <c r="C257" t="inlineStr">
        <is>
          <t>Large sharks (&gt;=90 cm)</t>
        </is>
      </c>
      <c r="D257" t="inlineStr">
        <is>
          <t>Sharks &amp; rays</t>
        </is>
      </c>
      <c r="E257" t="n">
        <v>43.523</v>
      </c>
      <c r="F257" t="n">
        <v>44.412</v>
      </c>
      <c r="G257" t="n">
        <v>45.318</v>
      </c>
      <c r="H257" t="n">
        <v>46.243</v>
      </c>
      <c r="I257" t="n">
        <v>47.186</v>
      </c>
      <c r="J257" t="n">
        <v>48.149</v>
      </c>
      <c r="K257" t="n">
        <v>49.132</v>
      </c>
      <c r="L257" t="n">
        <v>50.135</v>
      </c>
      <c r="M257" t="n">
        <v>51.158</v>
      </c>
      <c r="N257" t="n">
        <v>52.202</v>
      </c>
      <c r="O257" t="n">
        <v>53.267</v>
      </c>
      <c r="P257" t="n">
        <v>54.354</v>
      </c>
      <c r="Q257" t="n">
        <v>55.464</v>
      </c>
      <c r="R257" t="n">
        <v>56.596</v>
      </c>
      <c r="S257" t="n">
        <v>57.751</v>
      </c>
      <c r="T257" t="n">
        <v>58.929</v>
      </c>
      <c r="U257" t="n">
        <v>60.132</v>
      </c>
      <c r="V257" t="n">
        <v>63.055</v>
      </c>
      <c r="W257" t="n">
        <v>65.97799999999999</v>
      </c>
      <c r="X257" t="n">
        <v>68.901</v>
      </c>
      <c r="Y257" t="n">
        <v>71.824</v>
      </c>
      <c r="Z257" t="n">
        <v>74.747</v>
      </c>
      <c r="AA257" t="n">
        <v>77.67</v>
      </c>
      <c r="AB257" t="n">
        <v>80.593</v>
      </c>
      <c r="AC257" t="n">
        <v>83.51600000000001</v>
      </c>
      <c r="AD257" t="n">
        <v>79.79000000000001</v>
      </c>
      <c r="AE257" t="n">
        <v>82.298</v>
      </c>
      <c r="AF257" t="n">
        <v>84.792</v>
      </c>
      <c r="AG257" t="n">
        <v>87.27500000000001</v>
      </c>
      <c r="AH257" t="n">
        <v>89.745</v>
      </c>
      <c r="AI257" t="n">
        <v>92.202</v>
      </c>
      <c r="AJ257" t="n">
        <v>94.64700000000001</v>
      </c>
      <c r="AK257" t="n">
        <v>91.16800000000001</v>
      </c>
      <c r="AL257" t="n">
        <v>105.572</v>
      </c>
      <c r="AM257" t="n">
        <v>160.414</v>
      </c>
      <c r="AN257" t="n">
        <v>126.088</v>
      </c>
      <c r="AO257" t="n">
        <v>201.586</v>
      </c>
      <c r="AP257" t="n">
        <v>151.232</v>
      </c>
      <c r="AQ257" t="n">
        <v>186.183</v>
      </c>
      <c r="AR257" t="n">
        <v>155.316</v>
      </c>
      <c r="AS257" t="n">
        <v>124.594</v>
      </c>
      <c r="AT257" t="n">
        <v>129.076</v>
      </c>
      <c r="AU257" t="n">
        <v>164.799</v>
      </c>
      <c r="AV257" t="n">
        <v>200.348</v>
      </c>
      <c r="AW257" t="n">
        <v>235.724</v>
      </c>
      <c r="AX257" t="n">
        <v>262.246</v>
      </c>
      <c r="AY257" t="n">
        <v>288.636</v>
      </c>
      <c r="AZ257" t="n">
        <v>314.895</v>
      </c>
      <c r="BA257" t="n">
        <v>341.022</v>
      </c>
      <c r="BB257" t="n">
        <v>367.018</v>
      </c>
      <c r="BC257" t="n">
        <v>392.882</v>
      </c>
      <c r="BD257" t="n">
        <v>360.813</v>
      </c>
      <c r="BE257" t="n">
        <v>328.896</v>
      </c>
      <c r="BF257" t="n">
        <v>297.133</v>
      </c>
      <c r="BG257" t="n">
        <v>265.523</v>
      </c>
      <c r="BH257" t="n">
        <v>236.241</v>
      </c>
      <c r="BI257" t="n">
        <v>186.309</v>
      </c>
      <c r="BJ257" t="n">
        <v>138.834</v>
      </c>
      <c r="BK257" t="n">
        <v>140.247</v>
      </c>
      <c r="BL257" t="n">
        <v>122.192</v>
      </c>
      <c r="BM257" t="n">
        <v>105.684</v>
      </c>
      <c r="BN257" t="n">
        <v>90.226</v>
      </c>
      <c r="BO257" t="n">
        <v>73.85899999999999</v>
      </c>
      <c r="BP257" t="n">
        <v>66.126</v>
      </c>
      <c r="BQ257" t="n">
        <v>42.474</v>
      </c>
      <c r="BR257" t="n">
        <v>48.137</v>
      </c>
      <c r="BS257" t="n">
        <v>54.052</v>
      </c>
      <c r="BT257" t="n">
        <v>59.765</v>
      </c>
      <c r="BU257" t="n">
        <v>65.80200000000001</v>
      </c>
      <c r="BV257" t="n">
        <v>70.842</v>
      </c>
    </row>
    <row r="258">
      <c r="A258" t="inlineStr">
        <is>
          <t>Alectis ciliaris</t>
        </is>
      </c>
      <c r="B258" t="inlineStr">
        <is>
          <t>African pompano</t>
        </is>
      </c>
      <c r="C258" t="inlineStr">
        <is>
          <t>Large pelagics (&gt;=90 cm)</t>
        </is>
      </c>
      <c r="D258" t="inlineStr">
        <is>
          <t>Perch-likes</t>
        </is>
      </c>
      <c r="E258" t="n">
        <v>7.583</v>
      </c>
      <c r="F258" t="n">
        <v>7.623</v>
      </c>
      <c r="G258" t="n">
        <v>7.623</v>
      </c>
      <c r="H258" t="n">
        <v>7.663</v>
      </c>
      <c r="I258" t="n">
        <v>7.703</v>
      </c>
      <c r="J258" t="n">
        <v>7.743</v>
      </c>
      <c r="K258" t="n">
        <v>7.472</v>
      </c>
      <c r="L258" t="n">
        <v>7.511</v>
      </c>
      <c r="M258" t="n">
        <v>7.554</v>
      </c>
      <c r="N258" t="n">
        <v>7.596</v>
      </c>
      <c r="O258" t="n">
        <v>7.806</v>
      </c>
      <c r="P258" t="n">
        <v>7.888</v>
      </c>
      <c r="Q258" t="n">
        <v>7.971</v>
      </c>
      <c r="R258" t="n">
        <v>8.076000000000001</v>
      </c>
      <c r="S258" t="n">
        <v>7.598</v>
      </c>
      <c r="T258" t="n">
        <v>7.951</v>
      </c>
      <c r="U258" t="n">
        <v>8.074999999999999</v>
      </c>
      <c r="V258" t="n">
        <v>8.467000000000001</v>
      </c>
      <c r="W258" t="n">
        <v>9.502000000000001</v>
      </c>
      <c r="X258" t="n">
        <v>14.756</v>
      </c>
      <c r="Y258" t="n">
        <v>8.882</v>
      </c>
      <c r="Z258" t="n">
        <v>9.895</v>
      </c>
      <c r="AA258" t="n">
        <v>15.517</v>
      </c>
      <c r="AB258" t="n">
        <v>11.756</v>
      </c>
      <c r="AC258" t="n">
        <v>26.291</v>
      </c>
      <c r="AD258" t="n">
        <v>26.755</v>
      </c>
      <c r="AE258" t="n">
        <v>28.143</v>
      </c>
      <c r="AF258" t="n">
        <v>28.802</v>
      </c>
      <c r="AG258" t="n">
        <v>31.521</v>
      </c>
      <c r="AH258" t="n">
        <v>31.3</v>
      </c>
      <c r="AI258" t="n">
        <v>25.163</v>
      </c>
      <c r="AJ258" t="n">
        <v>26.32</v>
      </c>
      <c r="AK258" t="n">
        <v>42.477</v>
      </c>
      <c r="AL258" t="n">
        <v>38.858</v>
      </c>
      <c r="AM258" t="n">
        <v>39.533</v>
      </c>
      <c r="AN258" t="n">
        <v>43.936</v>
      </c>
      <c r="AO258" t="n">
        <v>49.528</v>
      </c>
      <c r="AP258" t="n">
        <v>62.69</v>
      </c>
      <c r="AQ258" t="n">
        <v>62.328</v>
      </c>
      <c r="AR258" t="n">
        <v>65.95</v>
      </c>
      <c r="AS258" t="n">
        <v>63.129</v>
      </c>
      <c r="AT258" t="n">
        <v>65.92700000000001</v>
      </c>
      <c r="AU258" t="n">
        <v>73.176</v>
      </c>
      <c r="AV258" t="n">
        <v>76.253</v>
      </c>
      <c r="AW258" t="n">
        <v>71.09699999999999</v>
      </c>
      <c r="AX258" t="n">
        <v>75.494</v>
      </c>
      <c r="AY258" t="n">
        <v>75.105</v>
      </c>
      <c r="AZ258" t="n">
        <v>93.751</v>
      </c>
      <c r="BA258" t="n">
        <v>97.895</v>
      </c>
      <c r="BB258" t="n">
        <v>80.509</v>
      </c>
      <c r="BC258" t="n">
        <v>67.875</v>
      </c>
      <c r="BD258" t="n">
        <v>92.58199999999999</v>
      </c>
      <c r="BE258" t="n">
        <v>121.758</v>
      </c>
      <c r="BF258" t="n">
        <v>154.669</v>
      </c>
      <c r="BG258" t="n">
        <v>157.872</v>
      </c>
      <c r="BH258" t="n">
        <v>319.846</v>
      </c>
      <c r="BI258" t="n">
        <v>85.28</v>
      </c>
      <c r="BJ258" t="n">
        <v>78.089</v>
      </c>
      <c r="BK258" t="n">
        <v>87.253</v>
      </c>
      <c r="BL258" t="n">
        <v>103.004</v>
      </c>
      <c r="BM258" t="n">
        <v>338.945</v>
      </c>
      <c r="BN258" t="n">
        <v>517.985</v>
      </c>
      <c r="BO258" t="n">
        <v>792.855</v>
      </c>
      <c r="BP258" t="n">
        <v>702.557</v>
      </c>
      <c r="BQ258" t="n">
        <v>522.949</v>
      </c>
      <c r="BR258" t="n">
        <v>359.217</v>
      </c>
      <c r="BS258" t="n">
        <v>539.816</v>
      </c>
      <c r="BT258" t="n">
        <v>607.293</v>
      </c>
      <c r="BU258" t="n">
        <v>560.655</v>
      </c>
      <c r="BV258" t="n">
        <v>580.5</v>
      </c>
    </row>
    <row r="259">
      <c r="A259" t="inlineStr">
        <is>
          <t>Gerres longirostris</t>
        </is>
      </c>
      <c r="B259" t="inlineStr">
        <is>
          <t>Strongspine silver-biddy</t>
        </is>
      </c>
      <c r="C259" t="inlineStr">
        <is>
          <t>Medium demersals (30 - 89 cm)</t>
        </is>
      </c>
      <c r="D259" t="inlineStr">
        <is>
          <t>Perch-likes</t>
        </is>
      </c>
      <c r="E259" t="n">
        <v>107.418</v>
      </c>
      <c r="F259" t="n">
        <v>108.032</v>
      </c>
      <c r="G259" t="n">
        <v>107.221</v>
      </c>
      <c r="H259" t="n">
        <v>107.784</v>
      </c>
      <c r="I259" t="n">
        <v>108.327</v>
      </c>
      <c r="J259" t="n">
        <v>108.852</v>
      </c>
      <c r="K259" t="n">
        <v>109.202</v>
      </c>
      <c r="L259" t="n">
        <v>110.374</v>
      </c>
      <c r="M259" t="n">
        <v>111.243</v>
      </c>
      <c r="N259" t="n">
        <v>112.787</v>
      </c>
      <c r="O259" t="n">
        <v>113.614</v>
      </c>
      <c r="P259" t="n">
        <v>114.691</v>
      </c>
      <c r="Q259" t="n">
        <v>115.746</v>
      </c>
      <c r="R259" t="n">
        <v>117.475</v>
      </c>
      <c r="S259" t="n">
        <v>118.762</v>
      </c>
      <c r="T259" t="n">
        <v>118.691</v>
      </c>
      <c r="U259" t="n">
        <v>119.114</v>
      </c>
      <c r="V259" t="n">
        <v>119.919</v>
      </c>
      <c r="W259" t="n">
        <v>118.801</v>
      </c>
      <c r="X259" t="n">
        <v>120.464</v>
      </c>
      <c r="Y259" t="n">
        <v>121.307</v>
      </c>
      <c r="Z259" t="n">
        <v>121.341</v>
      </c>
      <c r="AA259" t="n">
        <v>123.024</v>
      </c>
      <c r="AB259" t="n">
        <v>123.172</v>
      </c>
      <c r="AC259" t="n">
        <v>99.128</v>
      </c>
      <c r="AD259" t="n">
        <v>105.832</v>
      </c>
      <c r="AE259" t="n">
        <v>112.59</v>
      </c>
      <c r="AF259" t="n">
        <v>119.456</v>
      </c>
      <c r="AG259" t="n">
        <v>117.541</v>
      </c>
      <c r="AH259" t="n">
        <v>115.874</v>
      </c>
      <c r="AI259" t="n">
        <v>125.15</v>
      </c>
      <c r="AJ259" t="n">
        <v>126.77</v>
      </c>
      <c r="AK259" t="n">
        <v>102.4</v>
      </c>
      <c r="AL259" t="n">
        <v>104.35</v>
      </c>
      <c r="AM259" t="n">
        <v>105.398</v>
      </c>
      <c r="AN259" t="n">
        <v>106.693</v>
      </c>
      <c r="AO259" t="n">
        <v>103.558</v>
      </c>
      <c r="AP259" t="n">
        <v>119.839</v>
      </c>
      <c r="AQ259" t="n">
        <v>122.367</v>
      </c>
      <c r="AR259" t="n">
        <v>124.207</v>
      </c>
      <c r="AS259" t="n">
        <v>121.413</v>
      </c>
      <c r="AT259" t="n">
        <v>139.993</v>
      </c>
      <c r="AU259" t="n">
        <v>137.873</v>
      </c>
      <c r="AV259" t="n">
        <v>120.912</v>
      </c>
      <c r="AW259" t="n">
        <v>214.861</v>
      </c>
      <c r="AX259" t="n">
        <v>211.247</v>
      </c>
      <c r="AY259" t="n">
        <v>197.522</v>
      </c>
      <c r="AZ259" t="n">
        <v>271.476</v>
      </c>
      <c r="BA259" t="n">
        <v>211.937</v>
      </c>
      <c r="BB259" t="n">
        <v>192.711</v>
      </c>
      <c r="BC259" t="n">
        <v>174.645</v>
      </c>
      <c r="BD259" t="n">
        <v>166.499</v>
      </c>
      <c r="BE259" t="n">
        <v>140.028</v>
      </c>
      <c r="BF259" t="n">
        <v>104.149</v>
      </c>
      <c r="BG259" t="n">
        <v>107.074</v>
      </c>
      <c r="BH259" t="n">
        <v>98.572</v>
      </c>
      <c r="BI259" t="n">
        <v>91.032</v>
      </c>
      <c r="BJ259" t="n">
        <v>82.22199999999999</v>
      </c>
      <c r="BK259" t="n">
        <v>71.852</v>
      </c>
      <c r="BL259" t="n">
        <v>67.404</v>
      </c>
      <c r="BM259" t="n">
        <v>55.193</v>
      </c>
      <c r="BN259" t="n">
        <v>73.078</v>
      </c>
      <c r="BO259" t="n">
        <v>68.11</v>
      </c>
      <c r="BP259" t="n">
        <v>71.024</v>
      </c>
      <c r="BQ259" t="n">
        <v>73.004</v>
      </c>
      <c r="BR259" t="n">
        <v>72.48399999999999</v>
      </c>
      <c r="BS259" t="n">
        <v>72.639</v>
      </c>
      <c r="BT259" t="n">
        <v>75.904</v>
      </c>
      <c r="BU259" t="n">
        <v>83.59999999999999</v>
      </c>
      <c r="BV259" t="n">
        <v>80.547</v>
      </c>
    </row>
    <row r="260">
      <c r="A260" t="inlineStr">
        <is>
          <t>Trachinotus mookalee</t>
        </is>
      </c>
      <c r="B260" t="inlineStr">
        <is>
          <t>Indian pompano</t>
        </is>
      </c>
      <c r="C260" t="inlineStr">
        <is>
          <t>Medium demersals (30 - 89 cm)</t>
        </is>
      </c>
      <c r="D260" t="inlineStr">
        <is>
          <t>Perch-likes</t>
        </is>
      </c>
      <c r="E260" t="n">
        <v>106.957</v>
      </c>
      <c r="F260" t="n">
        <v>107.568</v>
      </c>
      <c r="G260" t="n">
        <v>106.761</v>
      </c>
      <c r="H260" t="n">
        <v>107.321</v>
      </c>
      <c r="I260" t="n">
        <v>107.862</v>
      </c>
      <c r="J260" t="n">
        <v>108.384</v>
      </c>
      <c r="K260" t="n">
        <v>108.732</v>
      </c>
      <c r="L260" t="n">
        <v>109.9</v>
      </c>
      <c r="M260" t="n">
        <v>110.764</v>
      </c>
      <c r="N260" t="n">
        <v>112.301</v>
      </c>
      <c r="O260" t="n">
        <v>113.123</v>
      </c>
      <c r="P260" t="n">
        <v>114.195</v>
      </c>
      <c r="Q260" t="n">
        <v>115.245</v>
      </c>
      <c r="R260" t="n">
        <v>116.965</v>
      </c>
      <c r="S260" t="n">
        <v>118.246</v>
      </c>
      <c r="T260" t="n">
        <v>118.174</v>
      </c>
      <c r="U260" t="n">
        <v>118.595</v>
      </c>
      <c r="V260" t="n">
        <v>119.396</v>
      </c>
      <c r="W260" t="n">
        <v>118.282</v>
      </c>
      <c r="X260" t="n">
        <v>119.937</v>
      </c>
      <c r="Y260" t="n">
        <v>120.776</v>
      </c>
      <c r="Z260" t="n">
        <v>120.81</v>
      </c>
      <c r="AA260" t="n">
        <v>122.486</v>
      </c>
      <c r="AB260" t="n">
        <v>122.633</v>
      </c>
      <c r="AC260" t="n">
        <v>98.693</v>
      </c>
      <c r="AD260" t="n">
        <v>105.365</v>
      </c>
      <c r="AE260" t="n">
        <v>112.088</v>
      </c>
      <c r="AF260" t="n">
        <v>118.921</v>
      </c>
      <c r="AG260" t="n">
        <v>117.011</v>
      </c>
      <c r="AH260" t="n">
        <v>115.349</v>
      </c>
      <c r="AI260" t="n">
        <v>124.581</v>
      </c>
      <c r="AJ260" t="n">
        <v>126.189</v>
      </c>
      <c r="AK260" t="n">
        <v>101.92</v>
      </c>
      <c r="AL260" t="n">
        <v>103.856</v>
      </c>
      <c r="AM260" t="n">
        <v>104.895</v>
      </c>
      <c r="AN260" t="n">
        <v>106.179</v>
      </c>
      <c r="AO260" t="n">
        <v>103.054</v>
      </c>
      <c r="AP260" t="n">
        <v>119.26</v>
      </c>
      <c r="AQ260" t="n">
        <v>121.777</v>
      </c>
      <c r="AR260" t="n">
        <v>123.608</v>
      </c>
      <c r="AS260" t="n">
        <v>120.828</v>
      </c>
      <c r="AT260" t="n">
        <v>139.327</v>
      </c>
      <c r="AU260" t="n">
        <v>137.219</v>
      </c>
      <c r="AV260" t="n">
        <v>120.334</v>
      </c>
      <c r="AW260" t="n">
        <v>213.875</v>
      </c>
      <c r="AX260" t="n">
        <v>210.279</v>
      </c>
      <c r="AY260" t="n">
        <v>196.616</v>
      </c>
      <c r="AZ260" t="n">
        <v>270.246</v>
      </c>
      <c r="BA260" t="n">
        <v>210.944</v>
      </c>
      <c r="BB260" t="n">
        <v>191.79</v>
      </c>
      <c r="BC260" t="n">
        <v>173.792</v>
      </c>
      <c r="BD260" t="n">
        <v>165.671</v>
      </c>
      <c r="BE260" t="n">
        <v>139.321</v>
      </c>
      <c r="BF260" t="n">
        <v>103.604</v>
      </c>
      <c r="BG260" t="n">
        <v>106.519</v>
      </c>
      <c r="BH260" t="n">
        <v>98.062</v>
      </c>
      <c r="BI260" t="n">
        <v>90.56100000000001</v>
      </c>
      <c r="BJ260" t="n">
        <v>81.79900000000001</v>
      </c>
      <c r="BK260" t="n">
        <v>71.48399999999999</v>
      </c>
      <c r="BL260" t="n">
        <v>67.05800000000001</v>
      </c>
      <c r="BM260" t="n">
        <v>54.911</v>
      </c>
      <c r="BN260" t="n">
        <v>72.687</v>
      </c>
      <c r="BO260" t="n">
        <v>67.74299999999999</v>
      </c>
      <c r="BP260" t="n">
        <v>70.64100000000001</v>
      </c>
      <c r="BQ260" t="n">
        <v>72.608</v>
      </c>
      <c r="BR260" t="n">
        <v>72.09</v>
      </c>
      <c r="BS260" t="n">
        <v>72.242</v>
      </c>
      <c r="BT260" t="n">
        <v>75.48699999999999</v>
      </c>
      <c r="BU260" t="n">
        <v>83.137</v>
      </c>
      <c r="BV260" t="n">
        <v>80.105</v>
      </c>
    </row>
    <row r="261">
      <c r="A261" t="inlineStr">
        <is>
          <t>Carcharhinus albimarginatus</t>
        </is>
      </c>
      <c r="B261" t="inlineStr">
        <is>
          <t>Silvertip shark</t>
        </is>
      </c>
      <c r="C261" t="inlineStr">
        <is>
          <t>Large sharks (&gt;=90 cm)</t>
        </is>
      </c>
      <c r="D261" t="inlineStr">
        <is>
          <t>Sharks &amp; rays</t>
        </is>
      </c>
      <c r="E261" t="n">
        <v>39.737</v>
      </c>
      <c r="F261" t="n">
        <v>40.551</v>
      </c>
      <c r="G261" t="n">
        <v>41.38</v>
      </c>
      <c r="H261" t="n">
        <v>42.226</v>
      </c>
      <c r="I261" t="n">
        <v>43.089</v>
      </c>
      <c r="J261" t="n">
        <v>43.969</v>
      </c>
      <c r="K261" t="n">
        <v>44.866</v>
      </c>
      <c r="L261" t="n">
        <v>45.781</v>
      </c>
      <c r="M261" t="n">
        <v>46.714</v>
      </c>
      <c r="N261" t="n">
        <v>47.666</v>
      </c>
      <c r="O261" t="n">
        <v>48.636</v>
      </c>
      <c r="P261" t="n">
        <v>49.626</v>
      </c>
      <c r="Q261" t="n">
        <v>50.635</v>
      </c>
      <c r="R261" t="n">
        <v>51.661</v>
      </c>
      <c r="S261" t="n">
        <v>52.691</v>
      </c>
      <c r="T261" t="n">
        <v>53.741</v>
      </c>
      <c r="U261" t="n">
        <v>54.811</v>
      </c>
      <c r="V261" t="n">
        <v>57.407</v>
      </c>
      <c r="W261" t="n">
        <v>60.002</v>
      </c>
      <c r="X261" t="n">
        <v>62.596</v>
      </c>
      <c r="Y261" t="n">
        <v>64.407</v>
      </c>
      <c r="Z261" t="n">
        <v>67.47199999999999</v>
      </c>
      <c r="AA261" t="n">
        <v>72.75700000000001</v>
      </c>
      <c r="AB261" t="n">
        <v>73.119</v>
      </c>
      <c r="AC261" t="n">
        <v>77.88</v>
      </c>
      <c r="AD261" t="n">
        <v>74.544</v>
      </c>
      <c r="AE261" t="n">
        <v>75.896</v>
      </c>
      <c r="AF261" t="n">
        <v>83.062</v>
      </c>
      <c r="AG261" t="n">
        <v>87.18899999999999</v>
      </c>
      <c r="AH261" t="n">
        <v>87.245</v>
      </c>
      <c r="AI261" t="n">
        <v>92.401</v>
      </c>
      <c r="AJ261" t="n">
        <v>89.26300000000001</v>
      </c>
      <c r="AK261" t="n">
        <v>87.542</v>
      </c>
      <c r="AL261" t="n">
        <v>99.283</v>
      </c>
      <c r="AM261" t="n">
        <v>145.383</v>
      </c>
      <c r="AN261" t="n">
        <v>118.74</v>
      </c>
      <c r="AO261" t="n">
        <v>187.117</v>
      </c>
      <c r="AP261" t="n">
        <v>142.813</v>
      </c>
      <c r="AQ261" t="n">
        <v>170.84</v>
      </c>
      <c r="AR261" t="n">
        <v>141.904</v>
      </c>
      <c r="AS261" t="n">
        <v>116.087</v>
      </c>
      <c r="AT261" t="n">
        <v>120.137</v>
      </c>
      <c r="AU261" t="n">
        <v>150.903</v>
      </c>
      <c r="AV261" t="n">
        <v>181.888</v>
      </c>
      <c r="AW261" t="n">
        <v>211.419</v>
      </c>
      <c r="AX261" t="n">
        <v>235.23</v>
      </c>
      <c r="AY261" t="n">
        <v>259.217</v>
      </c>
      <c r="AZ261" t="n">
        <v>283.215</v>
      </c>
      <c r="BA261" t="n">
        <v>304.678</v>
      </c>
      <c r="BB261" t="n">
        <v>327.423</v>
      </c>
      <c r="BC261" t="n">
        <v>351.21</v>
      </c>
      <c r="BD261" t="n">
        <v>322.404</v>
      </c>
      <c r="BE261" t="n">
        <v>293.708</v>
      </c>
      <c r="BF261" t="n">
        <v>266.166</v>
      </c>
      <c r="BG261" t="n">
        <v>237.853</v>
      </c>
      <c r="BH261" t="n">
        <v>209.889</v>
      </c>
      <c r="BI261" t="n">
        <v>166.359</v>
      </c>
      <c r="BJ261" t="n">
        <v>122.958</v>
      </c>
      <c r="BK261" t="n">
        <v>123.373</v>
      </c>
      <c r="BL261" t="n">
        <v>108.974</v>
      </c>
      <c r="BM261" t="n">
        <v>93.262</v>
      </c>
      <c r="BN261" t="n">
        <v>79.467</v>
      </c>
      <c r="BO261" t="n">
        <v>65.46299999999999</v>
      </c>
      <c r="BP261" t="n">
        <v>51.563</v>
      </c>
      <c r="BQ261" t="n">
        <v>37.664</v>
      </c>
      <c r="BR261" t="n">
        <v>42.686</v>
      </c>
      <c r="BS261" t="n">
        <v>47.707</v>
      </c>
      <c r="BT261" t="n">
        <v>52.729</v>
      </c>
      <c r="BU261" t="n">
        <v>57.751</v>
      </c>
      <c r="BV261" t="n">
        <v>62.773</v>
      </c>
    </row>
    <row r="262">
      <c r="A262" t="inlineStr">
        <is>
          <t>Lutjanus bohar</t>
        </is>
      </c>
      <c r="B262" t="inlineStr">
        <is>
          <t>Two-spot red snapper</t>
        </is>
      </c>
      <c r="C262" t="inlineStr">
        <is>
          <t>Medium reef assoc. fish (30 - 89 cm)</t>
        </is>
      </c>
      <c r="D262" t="inlineStr">
        <is>
          <t>Perch-likes</t>
        </is>
      </c>
      <c r="E262" t="n">
        <v>16.805</v>
      </c>
      <c r="F262" t="n">
        <v>16.984</v>
      </c>
      <c r="G262" t="n">
        <v>21.844</v>
      </c>
      <c r="H262" t="n">
        <v>19.677</v>
      </c>
      <c r="I262" t="n">
        <v>22.217</v>
      </c>
      <c r="J262" t="n">
        <v>22.408</v>
      </c>
      <c r="K262" t="n">
        <v>23.779</v>
      </c>
      <c r="L262" t="n">
        <v>29.856</v>
      </c>
      <c r="M262" t="n">
        <v>30.058</v>
      </c>
      <c r="N262" t="n">
        <v>34.966</v>
      </c>
      <c r="O262" t="n">
        <v>35.305</v>
      </c>
      <c r="P262" t="n">
        <v>61.195</v>
      </c>
      <c r="Q262" t="n">
        <v>71.054</v>
      </c>
      <c r="R262" t="n">
        <v>75.754</v>
      </c>
      <c r="S262" t="n">
        <v>63.069</v>
      </c>
      <c r="T262" t="n">
        <v>56.087</v>
      </c>
      <c r="U262" t="n">
        <v>59.407</v>
      </c>
      <c r="V262" t="n">
        <v>45.725</v>
      </c>
      <c r="W262" t="n">
        <v>37.683</v>
      </c>
      <c r="X262" t="n">
        <v>39.63</v>
      </c>
      <c r="Y262" t="n">
        <v>38.537</v>
      </c>
      <c r="Z262" t="n">
        <v>45.767</v>
      </c>
      <c r="AA262" t="n">
        <v>49.54</v>
      </c>
      <c r="AB262" t="n">
        <v>59.511</v>
      </c>
      <c r="AC262" t="n">
        <v>55.639</v>
      </c>
      <c r="AD262" t="n">
        <v>47.334</v>
      </c>
      <c r="AE262" t="n">
        <v>48.733</v>
      </c>
      <c r="AF262" t="n">
        <v>46.951</v>
      </c>
      <c r="AG262" t="n">
        <v>64.42700000000001</v>
      </c>
      <c r="AH262" t="n">
        <v>73.268</v>
      </c>
      <c r="AI262" t="n">
        <v>81.199</v>
      </c>
      <c r="AJ262" t="n">
        <v>91.533</v>
      </c>
      <c r="AK262" t="n">
        <v>87.539</v>
      </c>
      <c r="AL262" t="n">
        <v>105.191</v>
      </c>
      <c r="AM262" t="n">
        <v>118.754</v>
      </c>
      <c r="AN262" t="n">
        <v>105.115</v>
      </c>
      <c r="AO262" t="n">
        <v>117.252</v>
      </c>
      <c r="AP262" t="n">
        <v>98.047</v>
      </c>
      <c r="AQ262" t="n">
        <v>91.55</v>
      </c>
      <c r="AR262" t="n">
        <v>89.953</v>
      </c>
      <c r="AS262" t="n">
        <v>72.774</v>
      </c>
      <c r="AT262" t="n">
        <v>75.435</v>
      </c>
      <c r="AU262" t="n">
        <v>104.228</v>
      </c>
      <c r="AV262" t="n">
        <v>111.44</v>
      </c>
      <c r="AW262" t="n">
        <v>138.091</v>
      </c>
      <c r="AX262" t="n">
        <v>151.685</v>
      </c>
      <c r="AY262" t="n">
        <v>164.805</v>
      </c>
      <c r="AZ262" t="n">
        <v>177.891</v>
      </c>
      <c r="BA262" t="n">
        <v>190.735</v>
      </c>
      <c r="BB262" t="n">
        <v>182.661</v>
      </c>
      <c r="BC262" t="n">
        <v>169.166</v>
      </c>
      <c r="BD262" t="n">
        <v>189.729</v>
      </c>
      <c r="BE262" t="n">
        <v>193.143</v>
      </c>
      <c r="BF262" t="n">
        <v>224.647</v>
      </c>
      <c r="BG262" t="n">
        <v>248.056</v>
      </c>
      <c r="BH262" t="n">
        <v>186.103</v>
      </c>
      <c r="BI262" t="n">
        <v>213.387</v>
      </c>
      <c r="BJ262" t="n">
        <v>195.327</v>
      </c>
      <c r="BK262" t="n">
        <v>212.078</v>
      </c>
      <c r="BL262" t="n">
        <v>242.325</v>
      </c>
      <c r="BM262" t="n">
        <v>225.253</v>
      </c>
      <c r="BN262" t="n">
        <v>233.501</v>
      </c>
      <c r="BO262" t="n">
        <v>228.938</v>
      </c>
      <c r="BP262" t="n">
        <v>231.859</v>
      </c>
      <c r="BQ262" t="n">
        <v>219.727</v>
      </c>
      <c r="BR262" t="n">
        <v>217.202</v>
      </c>
      <c r="BS262" t="n">
        <v>218.682</v>
      </c>
      <c r="BT262" t="n">
        <v>208.633</v>
      </c>
      <c r="BU262" t="n">
        <v>231.918</v>
      </c>
      <c r="BV262" t="n">
        <v>238.049</v>
      </c>
    </row>
    <row r="263">
      <c r="A263" t="inlineStr">
        <is>
          <t>Rachycentridae</t>
        </is>
      </c>
      <c r="B263" t="inlineStr">
        <is>
          <t>Cobias</t>
        </is>
      </c>
      <c r="C263" t="inlineStr">
        <is>
          <t>Large pelagics (&gt;=90 cm)</t>
        </is>
      </c>
      <c r="D263" t="inlineStr">
        <is>
          <t>Perch-likes</t>
        </is>
      </c>
      <c r="E263" t="n">
        <v>18.023</v>
      </c>
      <c r="F263" t="n">
        <v>17.964</v>
      </c>
      <c r="G263" t="n">
        <v>24.625</v>
      </c>
      <c r="H263" t="n">
        <v>23.269</v>
      </c>
      <c r="I263" t="n">
        <v>25.83</v>
      </c>
      <c r="J263" t="n">
        <v>28.446</v>
      </c>
      <c r="K263" t="n">
        <v>29.658</v>
      </c>
      <c r="L263" t="n">
        <v>36.19</v>
      </c>
      <c r="M263" t="n">
        <v>36.052</v>
      </c>
      <c r="N263" t="n">
        <v>42.556</v>
      </c>
      <c r="O263" t="n">
        <v>42.42</v>
      </c>
      <c r="P263" t="n">
        <v>71.26600000000001</v>
      </c>
      <c r="Q263" t="n">
        <v>83.262</v>
      </c>
      <c r="R263" t="n">
        <v>88.17</v>
      </c>
      <c r="S263" t="n">
        <v>73.40000000000001</v>
      </c>
      <c r="T263" t="n">
        <v>66.29600000000001</v>
      </c>
      <c r="U263" t="n">
        <v>69.48999999999999</v>
      </c>
      <c r="V263" t="n">
        <v>56.357</v>
      </c>
      <c r="W263" t="n">
        <v>46.287</v>
      </c>
      <c r="X263" t="n">
        <v>45.75</v>
      </c>
      <c r="Y263" t="n">
        <v>47.112</v>
      </c>
      <c r="Z263" t="n">
        <v>54.487</v>
      </c>
      <c r="AA263" t="n">
        <v>56.087</v>
      </c>
      <c r="AB263" t="n">
        <v>63.629</v>
      </c>
      <c r="AC263" t="n">
        <v>62.793</v>
      </c>
      <c r="AD263" t="n">
        <v>54.703</v>
      </c>
      <c r="AE263" t="n">
        <v>53.646</v>
      </c>
      <c r="AF263" t="n">
        <v>50.902</v>
      </c>
      <c r="AG263" t="n">
        <v>65.72799999999999</v>
      </c>
      <c r="AH263" t="n">
        <v>76.001</v>
      </c>
      <c r="AI263" t="n">
        <v>82.575</v>
      </c>
      <c r="AJ263" t="n">
        <v>92.601</v>
      </c>
      <c r="AK263" t="n">
        <v>97.05200000000001</v>
      </c>
      <c r="AL263" t="n">
        <v>117.459</v>
      </c>
      <c r="AM263" t="n">
        <v>123.064</v>
      </c>
      <c r="AN263" t="n">
        <v>110.588</v>
      </c>
      <c r="AO263" t="n">
        <v>111.93</v>
      </c>
      <c r="AP263" t="n">
        <v>94.389</v>
      </c>
      <c r="AQ263" t="n">
        <v>92.557</v>
      </c>
      <c r="AR263" t="n">
        <v>85.01600000000001</v>
      </c>
      <c r="AS263" t="n">
        <v>79.003</v>
      </c>
      <c r="AT263" t="n">
        <v>71.81699999999999</v>
      </c>
      <c r="AU263" t="n">
        <v>90.72499999999999</v>
      </c>
      <c r="AV263" t="n">
        <v>91.82599999999999</v>
      </c>
      <c r="AW263" t="n">
        <v>128.251</v>
      </c>
      <c r="AX263" t="n">
        <v>133.147</v>
      </c>
      <c r="AY263" t="n">
        <v>145.543</v>
      </c>
      <c r="AZ263" t="n">
        <v>143.333</v>
      </c>
      <c r="BA263" t="n">
        <v>162.153</v>
      </c>
      <c r="BB263" t="n">
        <v>156.503</v>
      </c>
      <c r="BC263" t="n">
        <v>164.88</v>
      </c>
      <c r="BD263" t="n">
        <v>187.732</v>
      </c>
      <c r="BE263" t="n">
        <v>213.827</v>
      </c>
      <c r="BF263" t="n">
        <v>197.546</v>
      </c>
      <c r="BG263" t="n">
        <v>164.056</v>
      </c>
      <c r="BH263" t="n">
        <v>226.603</v>
      </c>
      <c r="BI263" t="n">
        <v>269.503</v>
      </c>
      <c r="BJ263" t="n">
        <v>178.705</v>
      </c>
      <c r="BK263" t="n">
        <v>224.435</v>
      </c>
      <c r="BL263" t="n">
        <v>216.915</v>
      </c>
      <c r="BM263" t="n">
        <v>220.321</v>
      </c>
      <c r="BN263" t="n">
        <v>222.937</v>
      </c>
      <c r="BO263" t="n">
        <v>222.777</v>
      </c>
      <c r="BP263" t="n">
        <v>242.979</v>
      </c>
      <c r="BQ263" t="n">
        <v>235.754</v>
      </c>
      <c r="BR263" t="n">
        <v>231.592</v>
      </c>
      <c r="BS263" t="n">
        <v>234.334</v>
      </c>
      <c r="BT263" t="n">
        <v>78.407</v>
      </c>
      <c r="BU263" t="n">
        <v>82.121</v>
      </c>
      <c r="BV263" t="n">
        <v>83.361</v>
      </c>
    </row>
    <row r="264">
      <c r="A264" t="inlineStr">
        <is>
          <t>Penaeus</t>
        </is>
      </c>
      <c r="B264" t="inlineStr">
        <is>
          <t>Tiger prawns</t>
        </is>
      </c>
      <c r="C264" t="inlineStr">
        <is>
          <t>Shrimps</t>
        </is>
      </c>
      <c r="D264" t="inlineStr">
        <is>
          <t>Crustaceans</t>
        </is>
      </c>
      <c r="E264" t="n">
        <v>42.698</v>
      </c>
      <c r="F264" t="n">
        <v>42.361</v>
      </c>
      <c r="G264" t="n">
        <v>48.04</v>
      </c>
      <c r="H264" t="n">
        <v>53.601</v>
      </c>
      <c r="I264" t="n">
        <v>53.115</v>
      </c>
      <c r="J264" t="n">
        <v>64.34399999999999</v>
      </c>
      <c r="K264" t="n">
        <v>63.74</v>
      </c>
      <c r="L264" t="n">
        <v>63.145</v>
      </c>
      <c r="M264" t="n">
        <v>62.541</v>
      </c>
      <c r="N264" t="n">
        <v>67.556</v>
      </c>
      <c r="O264" t="n">
        <v>66.902</v>
      </c>
      <c r="P264" t="n">
        <v>66.13800000000001</v>
      </c>
      <c r="Q264" t="n">
        <v>70.797</v>
      </c>
      <c r="R264" t="n">
        <v>69.974</v>
      </c>
      <c r="S264" t="n">
        <v>69.142</v>
      </c>
      <c r="T264" t="n">
        <v>99.83499999999999</v>
      </c>
      <c r="U264" t="n">
        <v>115.432</v>
      </c>
      <c r="V264" t="n">
        <v>133.814</v>
      </c>
      <c r="W264" t="n">
        <v>137.883</v>
      </c>
      <c r="X264" t="n">
        <v>140.576</v>
      </c>
      <c r="Y264" t="n">
        <v>109.365</v>
      </c>
      <c r="Z264" t="n">
        <v>112.682</v>
      </c>
      <c r="AA264" t="n">
        <v>124.846</v>
      </c>
      <c r="AB264" t="n">
        <v>226.567</v>
      </c>
      <c r="AC264" t="n">
        <v>99.749</v>
      </c>
      <c r="AD264" t="n">
        <v>115.341</v>
      </c>
      <c r="AE264" t="n">
        <v>119.725</v>
      </c>
      <c r="AF264" t="n">
        <v>149.06</v>
      </c>
      <c r="AG264" t="n">
        <v>146.051</v>
      </c>
      <c r="AH264" t="n">
        <v>129.327</v>
      </c>
      <c r="AI264" t="n">
        <v>103.534</v>
      </c>
      <c r="AJ264" t="n">
        <v>128.033</v>
      </c>
      <c r="AK264" t="n">
        <v>135.236</v>
      </c>
      <c r="AL264" t="n">
        <v>141.614</v>
      </c>
      <c r="AM264" t="n">
        <v>124.777</v>
      </c>
      <c r="AN264" t="n">
        <v>114.77</v>
      </c>
      <c r="AO264" t="n">
        <v>120.321</v>
      </c>
      <c r="AP264" t="n">
        <v>134.391</v>
      </c>
      <c r="AQ264" t="n">
        <v>164.209</v>
      </c>
      <c r="AR264" t="n">
        <v>121.389</v>
      </c>
      <c r="AS264" t="n">
        <v>113.972</v>
      </c>
      <c r="AT264" t="n">
        <v>147.842</v>
      </c>
      <c r="AU264" t="n">
        <v>123.057</v>
      </c>
      <c r="AV264" t="n">
        <v>115.524</v>
      </c>
      <c r="AW264" t="n">
        <v>115.91</v>
      </c>
      <c r="AX264" t="n">
        <v>120.541</v>
      </c>
      <c r="AY264" t="n">
        <v>106.642</v>
      </c>
      <c r="AZ264" t="n">
        <v>104.41</v>
      </c>
      <c r="BA264" t="n">
        <v>91.45399999999999</v>
      </c>
      <c r="BB264" t="n">
        <v>105.095</v>
      </c>
      <c r="BC264" t="n">
        <v>103.578</v>
      </c>
      <c r="BD264" t="n">
        <v>152.703</v>
      </c>
      <c r="BE264" t="n">
        <v>101.458</v>
      </c>
      <c r="BF264" t="n">
        <v>93.023</v>
      </c>
      <c r="BG264" t="n">
        <v>101.764</v>
      </c>
      <c r="BH264" t="n">
        <v>102.81</v>
      </c>
      <c r="BI264" t="n">
        <v>89.712</v>
      </c>
      <c r="BJ264" t="n">
        <v>90.709</v>
      </c>
      <c r="BK264" t="n">
        <v>67.20699999999999</v>
      </c>
      <c r="BL264" t="n">
        <v>100.836</v>
      </c>
      <c r="BM264" t="n">
        <v>114.702</v>
      </c>
      <c r="BN264" t="n">
        <v>123.945</v>
      </c>
      <c r="BO264" t="n">
        <v>95.88500000000001</v>
      </c>
      <c r="BP264" t="n">
        <v>89.358</v>
      </c>
      <c r="BQ264" t="n">
        <v>131.964</v>
      </c>
      <c r="BR264" t="n">
        <v>91.54300000000001</v>
      </c>
      <c r="BS264" t="n">
        <v>98.28</v>
      </c>
      <c r="BT264" t="n">
        <v>257.016</v>
      </c>
      <c r="BU264" t="n">
        <v>139.364</v>
      </c>
      <c r="BV264" t="n">
        <v>128.634</v>
      </c>
    </row>
    <row r="265">
      <c r="A265" t="inlineStr">
        <is>
          <t>Plectorhinchus gaterinus</t>
        </is>
      </c>
      <c r="B265" t="inlineStr">
        <is>
          <t>Blackspotted rubberlip</t>
        </is>
      </c>
      <c r="C265" t="inlineStr">
        <is>
          <t>Medium reef assoc. fish (30 - 89 cm)</t>
        </is>
      </c>
      <c r="D265" t="inlineStr">
        <is>
          <t>Perch-likes</t>
        </is>
      </c>
      <c r="E265" t="n">
        <v>10.906</v>
      </c>
      <c r="F265" t="n">
        <v>10.906</v>
      </c>
      <c r="G265" t="n">
        <v>18.176</v>
      </c>
      <c r="H265" t="n">
        <v>14.541</v>
      </c>
      <c r="I265" t="n">
        <v>18.176</v>
      </c>
      <c r="J265" t="n">
        <v>18.176</v>
      </c>
      <c r="K265" t="n">
        <v>19.994</v>
      </c>
      <c r="L265" t="n">
        <v>29.082</v>
      </c>
      <c r="M265" t="n">
        <v>29.082</v>
      </c>
      <c r="N265" t="n">
        <v>36.353</v>
      </c>
      <c r="O265" t="n">
        <v>36.353</v>
      </c>
      <c r="P265" t="n">
        <v>75.997</v>
      </c>
      <c r="Q265" t="n">
        <v>90.881</v>
      </c>
      <c r="R265" t="n">
        <v>97.592</v>
      </c>
      <c r="S265" t="n">
        <v>77.54000000000001</v>
      </c>
      <c r="T265" t="n">
        <v>65.096</v>
      </c>
      <c r="U265" t="n">
        <v>67.485</v>
      </c>
      <c r="V265" t="n">
        <v>46.37</v>
      </c>
      <c r="W265" t="n">
        <v>32.761</v>
      </c>
      <c r="X265" t="n">
        <v>31.018</v>
      </c>
      <c r="Y265" t="n">
        <v>32.245</v>
      </c>
      <c r="Z265" t="n">
        <v>41.97</v>
      </c>
      <c r="AA265" t="n">
        <v>42.266</v>
      </c>
      <c r="AB265" t="n">
        <v>50.741</v>
      </c>
      <c r="AC265" t="n">
        <v>51.265</v>
      </c>
      <c r="AD265" t="n">
        <v>39.171</v>
      </c>
      <c r="AE265" t="n">
        <v>38.614</v>
      </c>
      <c r="AF265" t="n">
        <v>35.82</v>
      </c>
      <c r="AG265" t="n">
        <v>59.074</v>
      </c>
      <c r="AH265" t="n">
        <v>72.485</v>
      </c>
      <c r="AI265" t="n">
        <v>85.78700000000001</v>
      </c>
      <c r="AJ265" t="n">
        <v>97.93000000000001</v>
      </c>
      <c r="AK265" t="n">
        <v>90.104</v>
      </c>
      <c r="AL265" t="n">
        <v>113.059</v>
      </c>
      <c r="AM265" t="n">
        <v>119.723</v>
      </c>
      <c r="AN265" t="n">
        <v>103.333</v>
      </c>
      <c r="AO265" t="n">
        <v>105.162</v>
      </c>
      <c r="AP265" t="n">
        <v>84.88500000000001</v>
      </c>
      <c r="AQ265" t="n">
        <v>74.411</v>
      </c>
      <c r="AR265" t="n">
        <v>76.742</v>
      </c>
      <c r="AS265" t="n">
        <v>57.725</v>
      </c>
      <c r="AT265" t="n">
        <v>53.939</v>
      </c>
      <c r="AU265" t="n">
        <v>82.97799999999999</v>
      </c>
      <c r="AV265" t="n">
        <v>83.988</v>
      </c>
      <c r="AW265" t="n">
        <v>121.599</v>
      </c>
      <c r="AX265" t="n">
        <v>134.994</v>
      </c>
      <c r="AY265" t="n">
        <v>143.065</v>
      </c>
      <c r="AZ265" t="n">
        <v>142.655</v>
      </c>
      <c r="BA265" t="n">
        <v>163.753</v>
      </c>
      <c r="BB265" t="n">
        <v>156.856</v>
      </c>
      <c r="BC265" t="n">
        <v>193.924</v>
      </c>
      <c r="BD265" t="n">
        <v>161.845</v>
      </c>
      <c r="BE265" t="n">
        <v>240.158</v>
      </c>
      <c r="BF265" t="n">
        <v>233.856</v>
      </c>
      <c r="BG265" t="n">
        <v>248.057</v>
      </c>
      <c r="BH265" t="n">
        <v>171.153</v>
      </c>
      <c r="BI265" t="n">
        <v>203.167</v>
      </c>
      <c r="BJ265" t="n">
        <v>194.411</v>
      </c>
      <c r="BK265" t="n">
        <v>215.279</v>
      </c>
      <c r="BL265" t="n">
        <v>198.236</v>
      </c>
      <c r="BM265" t="n">
        <v>192.808</v>
      </c>
      <c r="BN265" t="n">
        <v>199.433</v>
      </c>
      <c r="BO265" t="n">
        <v>201.564</v>
      </c>
      <c r="BP265" t="n">
        <v>222.52</v>
      </c>
      <c r="BQ265" t="n">
        <v>212.356</v>
      </c>
      <c r="BR265" t="n">
        <v>210.717</v>
      </c>
      <c r="BS265" t="n">
        <v>210.569</v>
      </c>
      <c r="BT265" t="n">
        <v>193.859</v>
      </c>
      <c r="BU265" t="n">
        <v>203.959</v>
      </c>
      <c r="BV265" t="n">
        <v>205.001</v>
      </c>
    </row>
    <row r="266">
      <c r="A266" t="inlineStr">
        <is>
          <t>Variola louti</t>
        </is>
      </c>
      <c r="B266" t="inlineStr">
        <is>
          <t>Yellow-edged lyretail</t>
        </is>
      </c>
      <c r="C266" t="inlineStr">
        <is>
          <t>Medium reef assoc. fish (30 - 89 cm)</t>
        </is>
      </c>
      <c r="D266" t="inlineStr">
        <is>
          <t>Perch-likes</t>
        </is>
      </c>
      <c r="E266" t="n">
        <v>10.742</v>
      </c>
      <c r="F266" t="n">
        <v>10.839</v>
      </c>
      <c r="G266" t="n">
        <v>14.943</v>
      </c>
      <c r="H266" t="n">
        <v>13.041</v>
      </c>
      <c r="I266" t="n">
        <v>15.147</v>
      </c>
      <c r="J266" t="n">
        <v>15.251</v>
      </c>
      <c r="K266" t="n">
        <v>16.36</v>
      </c>
      <c r="L266" t="n">
        <v>21.476</v>
      </c>
      <c r="M266" t="n">
        <v>21.587</v>
      </c>
      <c r="N266" t="n">
        <v>25.706</v>
      </c>
      <c r="O266" t="n">
        <v>25.822</v>
      </c>
      <c r="P266" t="n">
        <v>47.783</v>
      </c>
      <c r="Q266" t="n">
        <v>56.104</v>
      </c>
      <c r="R266" t="n">
        <v>59.925</v>
      </c>
      <c r="S266" t="n">
        <v>49.002</v>
      </c>
      <c r="T266" t="n">
        <v>42.274</v>
      </c>
      <c r="U266" t="n">
        <v>43.721</v>
      </c>
      <c r="V266" t="n">
        <v>32.406</v>
      </c>
      <c r="W266" t="n">
        <v>25.226</v>
      </c>
      <c r="X266" t="n">
        <v>24.584</v>
      </c>
      <c r="Y266" t="n">
        <v>25.577</v>
      </c>
      <c r="Z266" t="n">
        <v>31.254</v>
      </c>
      <c r="AA266" t="n">
        <v>31.735</v>
      </c>
      <c r="AB266" t="n">
        <v>36.721</v>
      </c>
      <c r="AC266" t="n">
        <v>37.328</v>
      </c>
      <c r="AD266" t="n">
        <v>30.26</v>
      </c>
      <c r="AE266" t="n">
        <v>30.225</v>
      </c>
      <c r="AF266" t="n">
        <v>28.958</v>
      </c>
      <c r="AG266" t="n">
        <v>42.04</v>
      </c>
      <c r="AH266" t="n">
        <v>49.697</v>
      </c>
      <c r="AI266" t="n">
        <v>57.293</v>
      </c>
      <c r="AJ266" t="n">
        <v>64.25</v>
      </c>
      <c r="AK266" t="n">
        <v>59.559</v>
      </c>
      <c r="AL266" t="n">
        <v>73.773</v>
      </c>
      <c r="AM266" t="n">
        <v>83.41</v>
      </c>
      <c r="AN266" t="n">
        <v>70.646</v>
      </c>
      <c r="AO266" t="n">
        <v>79.86499999999999</v>
      </c>
      <c r="AP266" t="n">
        <v>63.217</v>
      </c>
      <c r="AQ266" t="n">
        <v>61.247</v>
      </c>
      <c r="AR266" t="n">
        <v>59.174</v>
      </c>
      <c r="AS266" t="n">
        <v>45.355</v>
      </c>
      <c r="AT266" t="n">
        <v>43.757</v>
      </c>
      <c r="AU266" t="n">
        <v>63.641</v>
      </c>
      <c r="AV266" t="n">
        <v>68.06399999999999</v>
      </c>
      <c r="AW266" t="n">
        <v>92.78100000000001</v>
      </c>
      <c r="AX266" t="n">
        <v>103.525</v>
      </c>
      <c r="AY266" t="n">
        <v>110.812</v>
      </c>
      <c r="AZ266" t="n">
        <v>113.664</v>
      </c>
      <c r="BA266" t="n">
        <v>127.637</v>
      </c>
      <c r="BB266" t="n">
        <v>127.562</v>
      </c>
      <c r="BC266" t="n">
        <v>146.714</v>
      </c>
      <c r="BD266" t="n">
        <v>133.168</v>
      </c>
      <c r="BE266" t="n">
        <v>209.833</v>
      </c>
      <c r="BF266" t="n">
        <v>128.446</v>
      </c>
      <c r="BG266" t="n">
        <v>152.717</v>
      </c>
      <c r="BH266" t="n">
        <v>204.066</v>
      </c>
      <c r="BI266" t="n">
        <v>233.178</v>
      </c>
      <c r="BJ266" t="n">
        <v>222.075</v>
      </c>
      <c r="BK266" t="n">
        <v>236.664</v>
      </c>
      <c r="BL266" t="n">
        <v>257.223</v>
      </c>
      <c r="BM266" t="n">
        <v>243.114</v>
      </c>
      <c r="BN266" t="n">
        <v>249.567</v>
      </c>
      <c r="BO266" t="n">
        <v>250.499</v>
      </c>
      <c r="BP266" t="n">
        <v>273.84</v>
      </c>
      <c r="BQ266" t="n">
        <v>260.149</v>
      </c>
      <c r="BR266" t="n">
        <v>257.662</v>
      </c>
      <c r="BS266" t="n">
        <v>258.032</v>
      </c>
      <c r="BT266" t="n">
        <v>250.524</v>
      </c>
      <c r="BU266" t="n">
        <v>250.089</v>
      </c>
      <c r="BV266" t="n">
        <v>247.31</v>
      </c>
    </row>
    <row r="267">
      <c r="A267" t="inlineStr">
        <is>
          <t>Lutjanus russellii</t>
        </is>
      </c>
      <c r="B267" t="inlineStr">
        <is>
          <t>Russell's snapper</t>
        </is>
      </c>
      <c r="C267" t="inlineStr">
        <is>
          <t>Medium reef assoc. fish (30 - 89 cm)</t>
        </is>
      </c>
      <c r="D267" t="inlineStr">
        <is>
          <t>Perch-likes</t>
        </is>
      </c>
      <c r="E267" t="n">
        <v>74.77800000000001</v>
      </c>
      <c r="F267" t="n">
        <v>75.316</v>
      </c>
      <c r="G267" t="n">
        <v>74.964</v>
      </c>
      <c r="H267" t="n">
        <v>75.476</v>
      </c>
      <c r="I267" t="n">
        <v>75.979</v>
      </c>
      <c r="J267" t="n">
        <v>76.473</v>
      </c>
      <c r="K267" t="n">
        <v>76.86199999999999</v>
      </c>
      <c r="L267" t="n">
        <v>77.76900000000001</v>
      </c>
      <c r="M267" t="n">
        <v>78.48999999999999</v>
      </c>
      <c r="N267" t="n">
        <v>79.637</v>
      </c>
      <c r="O267" t="n">
        <v>80.33799999999999</v>
      </c>
      <c r="P267" t="n">
        <v>81.2</v>
      </c>
      <c r="Q267" t="n">
        <v>82.05200000000001</v>
      </c>
      <c r="R267" t="n">
        <v>83.33</v>
      </c>
      <c r="S267" t="n">
        <v>84.33499999999999</v>
      </c>
      <c r="T267" t="n">
        <v>84.49299999999999</v>
      </c>
      <c r="U267" t="n">
        <v>84.96599999999999</v>
      </c>
      <c r="V267" t="n">
        <v>85.974</v>
      </c>
      <c r="W267" t="n">
        <v>85.77800000000001</v>
      </c>
      <c r="X267" t="n">
        <v>87.32299999999999</v>
      </c>
      <c r="Y267" t="n">
        <v>88.355</v>
      </c>
      <c r="Z267" t="n">
        <v>88.881</v>
      </c>
      <c r="AA267" t="n">
        <v>90.43899999999999</v>
      </c>
      <c r="AB267" t="n">
        <v>91.036</v>
      </c>
      <c r="AC267" t="n">
        <v>76.482</v>
      </c>
      <c r="AD267" t="n">
        <v>80.041</v>
      </c>
      <c r="AE267" t="n">
        <v>84.708</v>
      </c>
      <c r="AF267" t="n">
        <v>89.44199999999999</v>
      </c>
      <c r="AG267" t="n">
        <v>88.67400000000001</v>
      </c>
      <c r="AH267" t="n">
        <v>88.059</v>
      </c>
      <c r="AI267" t="n">
        <v>94.295</v>
      </c>
      <c r="AJ267" t="n">
        <v>95.73399999999999</v>
      </c>
      <c r="AK267" t="n">
        <v>79.875</v>
      </c>
      <c r="AL267" t="n">
        <v>83.583</v>
      </c>
      <c r="AM267" t="n">
        <v>93.7</v>
      </c>
      <c r="AN267" t="n">
        <v>88.59399999999999</v>
      </c>
      <c r="AO267" t="n">
        <v>99.655</v>
      </c>
      <c r="AP267" t="n">
        <v>101.172</v>
      </c>
      <c r="AQ267" t="n">
        <v>108.782</v>
      </c>
      <c r="AR267" t="n">
        <v>104.61</v>
      </c>
      <c r="AS267" t="n">
        <v>97.562</v>
      </c>
      <c r="AT267" t="n">
        <v>109.969</v>
      </c>
      <c r="AU267" t="n">
        <v>114.801</v>
      </c>
      <c r="AV267" t="n">
        <v>110.309</v>
      </c>
      <c r="AW267" t="n">
        <v>175.245</v>
      </c>
      <c r="AX267" t="n">
        <v>177.555</v>
      </c>
      <c r="AY267" t="n">
        <v>173.51</v>
      </c>
      <c r="AZ267" t="n">
        <v>224.348</v>
      </c>
      <c r="BA267" t="n">
        <v>191.553</v>
      </c>
      <c r="BB267" t="n">
        <v>180.361</v>
      </c>
      <c r="BC267" t="n">
        <v>173.245</v>
      </c>
      <c r="BD267" t="n">
        <v>162.921</v>
      </c>
      <c r="BE267" t="n">
        <v>141.156</v>
      </c>
      <c r="BF267" t="n">
        <v>113.516</v>
      </c>
      <c r="BG267" t="n">
        <v>110.203</v>
      </c>
      <c r="BH267" t="n">
        <v>99.76300000000001</v>
      </c>
      <c r="BI267" t="n">
        <v>87.08</v>
      </c>
      <c r="BJ267" t="n">
        <v>73.645</v>
      </c>
      <c r="BK267" t="n">
        <v>67.34699999999999</v>
      </c>
      <c r="BL267" t="n">
        <v>61.941</v>
      </c>
      <c r="BM267" t="n">
        <v>51.646</v>
      </c>
      <c r="BN267" t="n">
        <v>60.286</v>
      </c>
      <c r="BO267" t="n">
        <v>54.632</v>
      </c>
      <c r="BP267" t="n">
        <v>53.91</v>
      </c>
      <c r="BQ267" t="n">
        <v>52.603</v>
      </c>
      <c r="BR267" t="n">
        <v>53.197</v>
      </c>
      <c r="BS267" t="n">
        <v>54.213</v>
      </c>
      <c r="BT267" t="n">
        <v>57.175</v>
      </c>
      <c r="BU267" t="n">
        <v>62.908</v>
      </c>
      <c r="BV267" t="n">
        <v>61.918</v>
      </c>
    </row>
    <row r="268">
      <c r="A268" t="inlineStr">
        <is>
          <t>Etelis</t>
        </is>
      </c>
      <c r="B268" t="inlineStr">
        <is>
          <t>Snappers</t>
        </is>
      </c>
      <c r="C268" t="inlineStr">
        <is>
          <t>Medium bathydemersals (30 - 89 cm)</t>
        </is>
      </c>
      <c r="D268" t="inlineStr">
        <is>
          <t>Perch-likes</t>
        </is>
      </c>
      <c r="E268" t="n">
        <v>54.093</v>
      </c>
      <c r="F268" t="n">
        <v>54.394</v>
      </c>
      <c r="G268" t="n">
        <v>54.694</v>
      </c>
      <c r="H268" t="n">
        <v>54.995</v>
      </c>
      <c r="I268" t="n">
        <v>55.295</v>
      </c>
      <c r="J268" t="n">
        <v>55.596</v>
      </c>
      <c r="K268" t="n">
        <v>55.896</v>
      </c>
      <c r="L268" t="n">
        <v>56.197</v>
      </c>
      <c r="M268" t="n">
        <v>56.497</v>
      </c>
      <c r="N268" t="n">
        <v>56.798</v>
      </c>
      <c r="O268" t="n">
        <v>57.62</v>
      </c>
      <c r="P268" t="n">
        <v>57.984</v>
      </c>
      <c r="Q268" t="n">
        <v>58.35</v>
      </c>
      <c r="R268" t="n">
        <v>58.87</v>
      </c>
      <c r="S268" t="n">
        <v>59.112</v>
      </c>
      <c r="T268" t="n">
        <v>60.127</v>
      </c>
      <c r="U268" t="n">
        <v>60.353</v>
      </c>
      <c r="V268" t="n">
        <v>60.318</v>
      </c>
      <c r="W268" t="n">
        <v>60.534</v>
      </c>
      <c r="X268" t="n">
        <v>60.755</v>
      </c>
      <c r="Y268" t="n">
        <v>61.211</v>
      </c>
      <c r="Z268" t="n">
        <v>61.407</v>
      </c>
      <c r="AA268" t="n">
        <v>61.597</v>
      </c>
      <c r="AB268" t="n">
        <v>61.78</v>
      </c>
      <c r="AC268" t="n">
        <v>79.428</v>
      </c>
      <c r="AD268" t="n">
        <v>82.15900000000001</v>
      </c>
      <c r="AE268" t="n">
        <v>93.7</v>
      </c>
      <c r="AF268" t="n">
        <v>107.657</v>
      </c>
      <c r="AG268" t="n">
        <v>67.614</v>
      </c>
      <c r="AH268" t="n">
        <v>117.707</v>
      </c>
      <c r="AI268" t="n">
        <v>173.749</v>
      </c>
      <c r="AJ268" t="n">
        <v>119.627</v>
      </c>
      <c r="AK268" t="n">
        <v>107.125</v>
      </c>
      <c r="AL268" t="n">
        <v>126.379</v>
      </c>
      <c r="AM268" t="n">
        <v>207.038</v>
      </c>
      <c r="AN268" t="n">
        <v>187.533</v>
      </c>
      <c r="AO268" t="n">
        <v>123.821</v>
      </c>
      <c r="AP268" t="n">
        <v>196.756</v>
      </c>
      <c r="AQ268" t="n">
        <v>165.777</v>
      </c>
      <c r="AR268" t="n">
        <v>139.895</v>
      </c>
      <c r="AS268" t="n">
        <v>103.746</v>
      </c>
      <c r="AT268" t="n">
        <v>63.639</v>
      </c>
      <c r="AU268" t="n">
        <v>34.598</v>
      </c>
      <c r="AV268" t="n">
        <v>30.247</v>
      </c>
      <c r="AW268" t="n">
        <v>26.115</v>
      </c>
      <c r="AX268" t="n">
        <v>22.178</v>
      </c>
      <c r="AY268" t="n">
        <v>30.597</v>
      </c>
      <c r="AZ268" t="n">
        <v>40.842</v>
      </c>
      <c r="BA268" t="n">
        <v>51.756</v>
      </c>
      <c r="BB268" t="n">
        <v>63.387</v>
      </c>
      <c r="BC268" t="n">
        <v>75.498</v>
      </c>
      <c r="BD268" t="n">
        <v>88.572</v>
      </c>
      <c r="BE268" t="n">
        <v>102.114</v>
      </c>
      <c r="BF268" t="n">
        <v>116.398</v>
      </c>
      <c r="BG268" t="n">
        <v>121.306</v>
      </c>
      <c r="BH268" t="n">
        <v>95.584</v>
      </c>
      <c r="BI268" t="n">
        <v>103.969</v>
      </c>
      <c r="BJ268" t="n">
        <v>112.272</v>
      </c>
      <c r="BK268" t="n">
        <v>120.491</v>
      </c>
      <c r="BL268" t="n">
        <v>128.624</v>
      </c>
      <c r="BM268" t="n">
        <v>136.67</v>
      </c>
      <c r="BN268" t="n">
        <v>138.909</v>
      </c>
      <c r="BO268" t="n">
        <v>141.088</v>
      </c>
      <c r="BP268" t="n">
        <v>143.206</v>
      </c>
      <c r="BQ268" t="n">
        <v>145.263</v>
      </c>
      <c r="BR268" t="n">
        <v>147.259</v>
      </c>
      <c r="BS268" t="n">
        <v>146.436</v>
      </c>
      <c r="BT268" t="n">
        <v>148.46</v>
      </c>
      <c r="BU268" t="n">
        <v>150.484</v>
      </c>
      <c r="BV268" t="n">
        <v>150.484</v>
      </c>
    </row>
    <row r="269">
      <c r="A269" t="inlineStr">
        <is>
          <t>Spratelloides gracilis</t>
        </is>
      </c>
      <c r="B269" t="inlineStr">
        <is>
          <t>Silver-stripe round herring</t>
        </is>
      </c>
      <c r="C269" t="inlineStr">
        <is>
          <t>Small pelagics (&lt;30 cm)</t>
        </is>
      </c>
      <c r="D269" t="inlineStr">
        <is>
          <t>Herring-likes</t>
        </is>
      </c>
      <c r="E269" t="n">
        <v>20.573</v>
      </c>
      <c r="F269" t="n">
        <v>20.573</v>
      </c>
      <c r="G269" t="n">
        <v>20.573</v>
      </c>
      <c r="H269" t="n">
        <v>23.378</v>
      </c>
      <c r="I269" t="n">
        <v>23.378</v>
      </c>
      <c r="J269" t="n">
        <v>24.313</v>
      </c>
      <c r="K269" t="n">
        <v>24.313</v>
      </c>
      <c r="L269" t="n">
        <v>24.308</v>
      </c>
      <c r="M269" t="n">
        <v>24.308</v>
      </c>
      <c r="N269" t="n">
        <v>24.308</v>
      </c>
      <c r="O269" t="n">
        <v>20.568</v>
      </c>
      <c r="P269" t="n">
        <v>20.573</v>
      </c>
      <c r="Q269" t="n">
        <v>20.573</v>
      </c>
      <c r="R269" t="n">
        <v>20.573</v>
      </c>
      <c r="S269" t="n">
        <v>20.573</v>
      </c>
      <c r="T269" t="n">
        <v>32.914</v>
      </c>
      <c r="U269" t="n">
        <v>40.019</v>
      </c>
      <c r="V269" t="n">
        <v>45.063</v>
      </c>
      <c r="W269" t="n">
        <v>42.445</v>
      </c>
      <c r="X269" t="n">
        <v>46.746</v>
      </c>
      <c r="Y269" t="n">
        <v>62.739</v>
      </c>
      <c r="Z269" t="n">
        <v>60.809</v>
      </c>
      <c r="AA269" t="n">
        <v>43.474</v>
      </c>
      <c r="AB269" t="n">
        <v>60.972</v>
      </c>
      <c r="AC269" t="n">
        <v>61.841</v>
      </c>
      <c r="AD269" t="n">
        <v>43.401</v>
      </c>
      <c r="AE269" t="n">
        <v>52.223</v>
      </c>
      <c r="AF269" t="n">
        <v>42.507</v>
      </c>
      <c r="AG269" t="n">
        <v>37.799</v>
      </c>
      <c r="AH269" t="n">
        <v>46.74</v>
      </c>
      <c r="AI269" t="n">
        <v>56.806</v>
      </c>
      <c r="AJ269" t="n">
        <v>55.115</v>
      </c>
      <c r="AK269" t="n">
        <v>42.139</v>
      </c>
      <c r="AL269" t="n">
        <v>52.351</v>
      </c>
      <c r="AM269" t="n">
        <v>68.215</v>
      </c>
      <c r="AN269" t="n">
        <v>76.285</v>
      </c>
      <c r="AO269" t="n">
        <v>76.875</v>
      </c>
      <c r="AP269" t="n">
        <v>76.123</v>
      </c>
      <c r="AQ269" t="n">
        <v>100.95</v>
      </c>
      <c r="AR269" t="n">
        <v>106.017</v>
      </c>
      <c r="AS269" t="n">
        <v>119.886</v>
      </c>
      <c r="AT269" t="n">
        <v>124.64</v>
      </c>
      <c r="AU269" t="n">
        <v>137.052</v>
      </c>
      <c r="AV269" t="n">
        <v>156.567</v>
      </c>
      <c r="AW269" t="n">
        <v>178.704</v>
      </c>
      <c r="AX269" t="n">
        <v>173.984</v>
      </c>
      <c r="AY269" t="n">
        <v>168.691</v>
      </c>
      <c r="AZ269" t="n">
        <v>158.91</v>
      </c>
      <c r="BA269" t="n">
        <v>178.961</v>
      </c>
      <c r="BB269" t="n">
        <v>194.477</v>
      </c>
      <c r="BC269" t="n">
        <v>165.06</v>
      </c>
      <c r="BD269" t="n">
        <v>179.177</v>
      </c>
      <c r="BE269" t="n">
        <v>230.711</v>
      </c>
      <c r="BF269" t="n">
        <v>211.832</v>
      </c>
      <c r="BG269" t="n">
        <v>216.396</v>
      </c>
      <c r="BH269" t="n">
        <v>252.305</v>
      </c>
      <c r="BI269" t="n">
        <v>260.311</v>
      </c>
      <c r="BJ269" t="n">
        <v>195.622</v>
      </c>
      <c r="BK269" t="n">
        <v>181.905</v>
      </c>
      <c r="BL269" t="n">
        <v>148.143</v>
      </c>
      <c r="BM269" t="n">
        <v>120.738</v>
      </c>
      <c r="BN269" t="n">
        <v>151.077</v>
      </c>
      <c r="BO269" t="n">
        <v>136.812</v>
      </c>
      <c r="BP269" t="n">
        <v>108.249</v>
      </c>
      <c r="BQ269" t="n">
        <v>107.638</v>
      </c>
      <c r="BR269" t="n">
        <v>92.43600000000001</v>
      </c>
      <c r="BS269" t="n">
        <v>95.881</v>
      </c>
      <c r="BT269" t="n">
        <v>95.881</v>
      </c>
      <c r="BU269" t="n">
        <v>95.881</v>
      </c>
      <c r="BV269" t="n">
        <v>51.308</v>
      </c>
    </row>
    <row r="270">
      <c r="A270" t="inlineStr">
        <is>
          <t>Plectropomus areolatus</t>
        </is>
      </c>
      <c r="B270" t="inlineStr">
        <is>
          <t>Squaretail coralgrouper</t>
        </is>
      </c>
      <c r="C270" t="inlineStr">
        <is>
          <t>Medium reef assoc. fish (30 - 89 cm)</t>
        </is>
      </c>
      <c r="D270" t="inlineStr">
        <is>
          <t>Perch-likes</t>
        </is>
      </c>
      <c r="E270" t="n">
        <v>6.967</v>
      </c>
      <c r="F270" t="n">
        <v>6.967</v>
      </c>
      <c r="G270" t="n">
        <v>11.612</v>
      </c>
      <c r="H270" t="n">
        <v>9.289999999999999</v>
      </c>
      <c r="I270" t="n">
        <v>11.612</v>
      </c>
      <c r="J270" t="n">
        <v>11.612</v>
      </c>
      <c r="K270" t="n">
        <v>12.773</v>
      </c>
      <c r="L270" t="n">
        <v>18.579</v>
      </c>
      <c r="M270" t="n">
        <v>18.579</v>
      </c>
      <c r="N270" t="n">
        <v>23.224</v>
      </c>
      <c r="O270" t="n">
        <v>23.224</v>
      </c>
      <c r="P270" t="n">
        <v>48.552</v>
      </c>
      <c r="Q270" t="n">
        <v>58.06</v>
      </c>
      <c r="R270" t="n">
        <v>62.348</v>
      </c>
      <c r="S270" t="n">
        <v>49.537</v>
      </c>
      <c r="T270" t="n">
        <v>41.587</v>
      </c>
      <c r="U270" t="n">
        <v>43.113</v>
      </c>
      <c r="V270" t="n">
        <v>29.624</v>
      </c>
      <c r="W270" t="n">
        <v>20.929</v>
      </c>
      <c r="X270" t="n">
        <v>19.816</v>
      </c>
      <c r="Y270" t="n">
        <v>20.6</v>
      </c>
      <c r="Z270" t="n">
        <v>26.813</v>
      </c>
      <c r="AA270" t="n">
        <v>27.002</v>
      </c>
      <c r="AB270" t="n">
        <v>32.416</v>
      </c>
      <c r="AC270" t="n">
        <v>32.751</v>
      </c>
      <c r="AD270" t="n">
        <v>25.025</v>
      </c>
      <c r="AE270" t="n">
        <v>24.669</v>
      </c>
      <c r="AF270" t="n">
        <v>22.884</v>
      </c>
      <c r="AG270" t="n">
        <v>37.74</v>
      </c>
      <c r="AH270" t="n">
        <v>46.308</v>
      </c>
      <c r="AI270" t="n">
        <v>54.806</v>
      </c>
      <c r="AJ270" t="n">
        <v>62.564</v>
      </c>
      <c r="AK270" t="n">
        <v>57.564</v>
      </c>
      <c r="AL270" t="n">
        <v>72.229</v>
      </c>
      <c r="AM270" t="n">
        <v>76.486</v>
      </c>
      <c r="AN270" t="n">
        <v>66.015</v>
      </c>
      <c r="AO270" t="n">
        <v>67.184</v>
      </c>
      <c r="AP270" t="n">
        <v>54.23</v>
      </c>
      <c r="AQ270" t="n">
        <v>47.538</v>
      </c>
      <c r="AR270" t="n">
        <v>49.027</v>
      </c>
      <c r="AS270" t="n">
        <v>36.878</v>
      </c>
      <c r="AT270" t="n">
        <v>34.459</v>
      </c>
      <c r="AU270" t="n">
        <v>53.011</v>
      </c>
      <c r="AV270" t="n">
        <v>53.656</v>
      </c>
      <c r="AW270" t="n">
        <v>78.127</v>
      </c>
      <c r="AX270" t="n">
        <v>88.122</v>
      </c>
      <c r="AY270" t="n">
        <v>93.18600000000001</v>
      </c>
      <c r="AZ270" t="n">
        <v>93.59</v>
      </c>
      <c r="BA270" t="n">
        <v>105.59</v>
      </c>
      <c r="BB270" t="n">
        <v>101.589</v>
      </c>
      <c r="BC270" t="n">
        <v>144.231</v>
      </c>
      <c r="BD270" t="n">
        <v>126.283</v>
      </c>
      <c r="BE270" t="n">
        <v>140.295</v>
      </c>
      <c r="BF270" t="n">
        <v>78.18899999999999</v>
      </c>
      <c r="BG270" t="n">
        <v>204.2</v>
      </c>
      <c r="BH270" t="n">
        <v>203.406</v>
      </c>
      <c r="BI270" t="n">
        <v>216.206</v>
      </c>
      <c r="BJ270" t="n">
        <v>181.835</v>
      </c>
      <c r="BK270" t="n">
        <v>242.438</v>
      </c>
      <c r="BL270" t="n">
        <v>234.536</v>
      </c>
      <c r="BM270" t="n">
        <v>222.309</v>
      </c>
      <c r="BN270" t="n">
        <v>230.187</v>
      </c>
      <c r="BO270" t="n">
        <v>232.501</v>
      </c>
      <c r="BP270" t="n">
        <v>256.284</v>
      </c>
      <c r="BQ270" t="n">
        <v>244.617</v>
      </c>
      <c r="BR270" t="n">
        <v>243.538</v>
      </c>
      <c r="BS270" t="n">
        <v>243.169</v>
      </c>
      <c r="BT270" t="n">
        <v>237.444</v>
      </c>
      <c r="BU270" t="n">
        <v>227.756</v>
      </c>
      <c r="BV270" t="n">
        <v>224.484</v>
      </c>
    </row>
    <row r="271">
      <c r="A271" t="inlineStr">
        <is>
          <t>Plectropomus pessuliferus</t>
        </is>
      </c>
      <c r="B271" t="inlineStr">
        <is>
          <t>Roving coralgrouper</t>
        </is>
      </c>
      <c r="C271" t="inlineStr">
        <is>
          <t>Large reef assoc. fish (&gt;=90 cm)</t>
        </is>
      </c>
      <c r="D271" t="inlineStr">
        <is>
          <t>Perch-likes</t>
        </is>
      </c>
      <c r="E271" t="n">
        <v>7.564</v>
      </c>
      <c r="F271" t="n">
        <v>7.564</v>
      </c>
      <c r="G271" t="n">
        <v>12.606</v>
      </c>
      <c r="H271" t="n">
        <v>10.085</v>
      </c>
      <c r="I271" t="n">
        <v>12.606</v>
      </c>
      <c r="J271" t="n">
        <v>12.606</v>
      </c>
      <c r="K271" t="n">
        <v>13.867</v>
      </c>
      <c r="L271" t="n">
        <v>20.17</v>
      </c>
      <c r="M271" t="n">
        <v>20.17</v>
      </c>
      <c r="N271" t="n">
        <v>25.213</v>
      </c>
      <c r="O271" t="n">
        <v>25.213</v>
      </c>
      <c r="P271" t="n">
        <v>52.709</v>
      </c>
      <c r="Q271" t="n">
        <v>63.032</v>
      </c>
      <c r="R271" t="n">
        <v>67.68600000000001</v>
      </c>
      <c r="S271" t="n">
        <v>53.779</v>
      </c>
      <c r="T271" t="n">
        <v>45.148</v>
      </c>
      <c r="U271" t="n">
        <v>46.805</v>
      </c>
      <c r="V271" t="n">
        <v>32.161</v>
      </c>
      <c r="W271" t="n">
        <v>22.722</v>
      </c>
      <c r="X271" t="n">
        <v>21.513</v>
      </c>
      <c r="Y271" t="n">
        <v>22.364</v>
      </c>
      <c r="Z271" t="n">
        <v>29.109</v>
      </c>
      <c r="AA271" t="n">
        <v>29.314</v>
      </c>
      <c r="AB271" t="n">
        <v>35.192</v>
      </c>
      <c r="AC271" t="n">
        <v>35.555</v>
      </c>
      <c r="AD271" t="n">
        <v>27.167</v>
      </c>
      <c r="AE271" t="n">
        <v>26.781</v>
      </c>
      <c r="AF271" t="n">
        <v>24.844</v>
      </c>
      <c r="AG271" t="n">
        <v>40.971</v>
      </c>
      <c r="AH271" t="n">
        <v>50.273</v>
      </c>
      <c r="AI271" t="n">
        <v>59.499</v>
      </c>
      <c r="AJ271" t="n">
        <v>67.92100000000001</v>
      </c>
      <c r="AK271" t="n">
        <v>62.493</v>
      </c>
      <c r="AL271" t="n">
        <v>78.413</v>
      </c>
      <c r="AM271" t="n">
        <v>83.035</v>
      </c>
      <c r="AN271" t="n">
        <v>71.66800000000001</v>
      </c>
      <c r="AO271" t="n">
        <v>72.93600000000001</v>
      </c>
      <c r="AP271" t="n">
        <v>58.873</v>
      </c>
      <c r="AQ271" t="n">
        <v>51.609</v>
      </c>
      <c r="AR271" t="n">
        <v>53.226</v>
      </c>
      <c r="AS271" t="n">
        <v>40.036</v>
      </c>
      <c r="AT271" t="n">
        <v>37.41</v>
      </c>
      <c r="AU271" t="n">
        <v>57.55</v>
      </c>
      <c r="AV271" t="n">
        <v>58.251</v>
      </c>
      <c r="AW271" t="n">
        <v>84.77200000000001</v>
      </c>
      <c r="AX271" t="n">
        <v>95.48</v>
      </c>
      <c r="AY271" t="n">
        <v>100.986</v>
      </c>
      <c r="AZ271" t="n">
        <v>101.358</v>
      </c>
      <c r="BA271" t="n">
        <v>114.534</v>
      </c>
      <c r="BB271" t="n">
        <v>110.15</v>
      </c>
      <c r="BC271" t="n">
        <v>150.078</v>
      </c>
      <c r="BD271" t="n">
        <v>113.337</v>
      </c>
      <c r="BE271" t="n">
        <v>189.848</v>
      </c>
      <c r="BF271" t="n">
        <v>120.138</v>
      </c>
      <c r="BG271" t="n">
        <v>173.266</v>
      </c>
      <c r="BH271" t="n">
        <v>205.035</v>
      </c>
      <c r="BI271" t="n">
        <v>203.037</v>
      </c>
      <c r="BJ271" t="n">
        <v>183.319</v>
      </c>
      <c r="BK271" t="n">
        <v>195.273</v>
      </c>
      <c r="BL271" t="n">
        <v>194.168</v>
      </c>
      <c r="BM271" t="n">
        <v>184.008</v>
      </c>
      <c r="BN271" t="n">
        <v>190.566</v>
      </c>
      <c r="BO271" t="n">
        <v>192.46</v>
      </c>
      <c r="BP271" t="n">
        <v>212.084</v>
      </c>
      <c r="BQ271" t="n">
        <v>202.436</v>
      </c>
      <c r="BR271" t="n">
        <v>201.671</v>
      </c>
      <c r="BS271" t="n">
        <v>201.334</v>
      </c>
      <c r="BT271" t="n">
        <v>190.185</v>
      </c>
      <c r="BU271" t="n">
        <v>200.096</v>
      </c>
      <c r="BV271" t="n">
        <v>197.222</v>
      </c>
    </row>
    <row r="272">
      <c r="A272" t="inlineStr">
        <is>
          <t>Xiphiidae</t>
        </is>
      </c>
      <c r="B272" t="inlineStr">
        <is>
          <t>Swordfishes</t>
        </is>
      </c>
      <c r="C272" t="inlineStr">
        <is>
          <t>Large pelagics (&gt;=90 cm)</t>
        </is>
      </c>
      <c r="D272" t="inlineStr">
        <is>
          <t>Tuna &amp; billfishes</t>
        </is>
      </c>
      <c r="E272" t="n">
        <v>60.981</v>
      </c>
      <c r="F272" t="n">
        <v>61.32</v>
      </c>
      <c r="G272" t="n">
        <v>61.659</v>
      </c>
      <c r="H272" t="n">
        <v>61.998</v>
      </c>
      <c r="I272" t="n">
        <v>62.336</v>
      </c>
      <c r="J272" t="n">
        <v>62.675</v>
      </c>
      <c r="K272" t="n">
        <v>63.014</v>
      </c>
      <c r="L272" t="n">
        <v>63.353</v>
      </c>
      <c r="M272" t="n">
        <v>63.692</v>
      </c>
      <c r="N272" t="n">
        <v>64.03</v>
      </c>
      <c r="O272" t="n">
        <v>64.95699999999999</v>
      </c>
      <c r="P272" t="n">
        <v>65.36799999999999</v>
      </c>
      <c r="Q272" t="n">
        <v>65.78100000000001</v>
      </c>
      <c r="R272" t="n">
        <v>66.366</v>
      </c>
      <c r="S272" t="n">
        <v>66.64</v>
      </c>
      <c r="T272" t="n">
        <v>67.783</v>
      </c>
      <c r="U272" t="n">
        <v>68.039</v>
      </c>
      <c r="V272" t="n">
        <v>67.999</v>
      </c>
      <c r="W272" t="n">
        <v>68.24299999999999</v>
      </c>
      <c r="X272" t="n">
        <v>68.491</v>
      </c>
      <c r="Y272" t="n">
        <v>69.005</v>
      </c>
      <c r="Z272" t="n">
        <v>69.226</v>
      </c>
      <c r="AA272" t="n">
        <v>69.44</v>
      </c>
      <c r="AB272" t="n">
        <v>69.64700000000001</v>
      </c>
      <c r="AC272" t="n">
        <v>70.04600000000001</v>
      </c>
      <c r="AD272" t="n">
        <v>71.31</v>
      </c>
      <c r="AE272" t="n">
        <v>70.98</v>
      </c>
      <c r="AF272" t="n">
        <v>71.29600000000001</v>
      </c>
      <c r="AG272" t="n">
        <v>69.312</v>
      </c>
      <c r="AH272" t="n">
        <v>67.563</v>
      </c>
      <c r="AI272" t="n">
        <v>64.861</v>
      </c>
      <c r="AJ272" t="n">
        <v>63.321</v>
      </c>
      <c r="AK272" t="n">
        <v>63.012</v>
      </c>
      <c r="AL272" t="n">
        <v>62.836</v>
      </c>
      <c r="AM272" t="n">
        <v>62.311</v>
      </c>
      <c r="AN272" t="n">
        <v>61.808</v>
      </c>
      <c r="AO272" t="n">
        <v>62.283</v>
      </c>
      <c r="AP272" t="n">
        <v>60.51</v>
      </c>
      <c r="AQ272" t="n">
        <v>59.464</v>
      </c>
      <c r="AR272" t="n">
        <v>54.178</v>
      </c>
      <c r="AS272" t="n">
        <v>48.925</v>
      </c>
      <c r="AT272" t="n">
        <v>43.961</v>
      </c>
      <c r="AU272" t="n">
        <v>39.004</v>
      </c>
      <c r="AV272" t="n">
        <v>34.098</v>
      </c>
      <c r="AW272" t="n">
        <v>29.44</v>
      </c>
      <c r="AX272" t="n">
        <v>25.002</v>
      </c>
      <c r="AY272" t="n">
        <v>34.493</v>
      </c>
      <c r="AZ272" t="n">
        <v>46.043</v>
      </c>
      <c r="BA272" t="n">
        <v>58.346</v>
      </c>
      <c r="BB272" t="n">
        <v>71.458</v>
      </c>
      <c r="BC272" t="n">
        <v>85.11199999999999</v>
      </c>
      <c r="BD272" t="n">
        <v>99.851</v>
      </c>
      <c r="BE272" t="n">
        <v>115.116</v>
      </c>
      <c r="BF272" t="n">
        <v>131.219</v>
      </c>
      <c r="BG272" t="n">
        <v>136.753</v>
      </c>
      <c r="BH272" t="n">
        <v>107.756</v>
      </c>
      <c r="BI272" t="n">
        <v>117.208</v>
      </c>
      <c r="BJ272" t="n">
        <v>126.568</v>
      </c>
      <c r="BK272" t="n">
        <v>135.834</v>
      </c>
      <c r="BL272" t="n">
        <v>145.003</v>
      </c>
      <c r="BM272" t="n">
        <v>154.073</v>
      </c>
      <c r="BN272" t="n">
        <v>156.597</v>
      </c>
      <c r="BO272" t="n">
        <v>159.054</v>
      </c>
      <c r="BP272" t="n">
        <v>161.441</v>
      </c>
      <c r="BQ272" t="n">
        <v>163.76</v>
      </c>
      <c r="BR272" t="n">
        <v>166.01</v>
      </c>
      <c r="BS272" t="n">
        <v>165.083</v>
      </c>
      <c r="BT272" t="n">
        <v>167.364</v>
      </c>
      <c r="BU272" t="n">
        <v>169.646</v>
      </c>
      <c r="BV272" t="n">
        <v>169.647</v>
      </c>
    </row>
    <row r="273">
      <c r="A273" t="inlineStr">
        <is>
          <t>Carcharhinus plumbeus</t>
        </is>
      </c>
      <c r="B273" t="inlineStr">
        <is>
          <t>Sandbar shark</t>
        </is>
      </c>
      <c r="C273" t="inlineStr">
        <is>
          <t>Large sharks (&gt;=90 cm)</t>
        </is>
      </c>
      <c r="D273" t="inlineStr">
        <is>
          <t>Sharks &amp; rays</t>
        </is>
      </c>
      <c r="E273" t="n">
        <v>28.94</v>
      </c>
      <c r="F273" t="n">
        <v>29.531</v>
      </c>
      <c r="G273" t="n">
        <v>30.133</v>
      </c>
      <c r="H273" t="n">
        <v>30.748</v>
      </c>
      <c r="I273" t="n">
        <v>31.376</v>
      </c>
      <c r="J273" t="n">
        <v>32.016</v>
      </c>
      <c r="K273" t="n">
        <v>32.67</v>
      </c>
      <c r="L273" t="n">
        <v>33.336</v>
      </c>
      <c r="M273" t="n">
        <v>34.017</v>
      </c>
      <c r="N273" t="n">
        <v>34.711</v>
      </c>
      <c r="O273" t="n">
        <v>35.419</v>
      </c>
      <c r="P273" t="n">
        <v>36.142</v>
      </c>
      <c r="Q273" t="n">
        <v>36.88</v>
      </c>
      <c r="R273" t="n">
        <v>37.632</v>
      </c>
      <c r="S273" t="n">
        <v>38.4</v>
      </c>
      <c r="T273" t="n">
        <v>39.184</v>
      </c>
      <c r="U273" t="n">
        <v>39.984</v>
      </c>
      <c r="V273" t="n">
        <v>41.927</v>
      </c>
      <c r="W273" t="n">
        <v>43.871</v>
      </c>
      <c r="X273" t="n">
        <v>45.815</v>
      </c>
      <c r="Y273" t="n">
        <v>47.758</v>
      </c>
      <c r="Z273" t="n">
        <v>49.702</v>
      </c>
      <c r="AA273" t="n">
        <v>51.646</v>
      </c>
      <c r="AB273" t="n">
        <v>53.589</v>
      </c>
      <c r="AC273" t="n">
        <v>55.533</v>
      </c>
      <c r="AD273" t="n">
        <v>53.055</v>
      </c>
      <c r="AE273" t="n">
        <v>54.723</v>
      </c>
      <c r="AF273" t="n">
        <v>56.381</v>
      </c>
      <c r="AG273" t="n">
        <v>58.032</v>
      </c>
      <c r="AH273" t="n">
        <v>59.674</v>
      </c>
      <c r="AI273" t="n">
        <v>61.308</v>
      </c>
      <c r="AJ273" t="n">
        <v>62.934</v>
      </c>
      <c r="AK273" t="n">
        <v>60.621</v>
      </c>
      <c r="AL273" t="n">
        <v>70.19799999999999</v>
      </c>
      <c r="AM273" t="n">
        <v>106.665</v>
      </c>
      <c r="AN273" t="n">
        <v>83.84099999999999</v>
      </c>
      <c r="AO273" t="n">
        <v>134.041</v>
      </c>
      <c r="AP273" t="n">
        <v>100.56</v>
      </c>
      <c r="AQ273" t="n">
        <v>123.8</v>
      </c>
      <c r="AR273" t="n">
        <v>103.275</v>
      </c>
      <c r="AS273" t="n">
        <v>82.84699999999999</v>
      </c>
      <c r="AT273" t="n">
        <v>85.827</v>
      </c>
      <c r="AU273" t="n">
        <v>109.581</v>
      </c>
      <c r="AV273" t="n">
        <v>133.219</v>
      </c>
      <c r="AW273" t="n">
        <v>156.741</v>
      </c>
      <c r="AX273" t="n">
        <v>174.377</v>
      </c>
      <c r="AY273" t="n">
        <v>191.924</v>
      </c>
      <c r="AZ273" t="n">
        <v>209.385</v>
      </c>
      <c r="BA273" t="n">
        <v>226.758</v>
      </c>
      <c r="BB273" t="n">
        <v>244.043</v>
      </c>
      <c r="BC273" t="n">
        <v>261.241</v>
      </c>
      <c r="BD273" t="n">
        <v>239.917</v>
      </c>
      <c r="BE273" t="n">
        <v>218.694</v>
      </c>
      <c r="BF273" t="n">
        <v>197.574</v>
      </c>
      <c r="BG273" t="n">
        <v>176.555</v>
      </c>
      <c r="BH273" t="n">
        <v>155.638</v>
      </c>
      <c r="BI273" t="n">
        <v>123.077</v>
      </c>
      <c r="BJ273" t="n">
        <v>90.67700000000001</v>
      </c>
      <c r="BK273" t="n">
        <v>91.467</v>
      </c>
      <c r="BL273" t="n">
        <v>80.762</v>
      </c>
      <c r="BM273" t="n">
        <v>69.93300000000001</v>
      </c>
      <c r="BN273" t="n">
        <v>59.511</v>
      </c>
      <c r="BO273" t="n">
        <v>49.088</v>
      </c>
      <c r="BP273" t="n">
        <v>38.665</v>
      </c>
      <c r="BQ273" t="n">
        <v>28.242</v>
      </c>
      <c r="BR273" t="n">
        <v>32.008</v>
      </c>
      <c r="BS273" t="n">
        <v>35.774</v>
      </c>
      <c r="BT273" t="n">
        <v>39.539</v>
      </c>
      <c r="BU273" t="n">
        <v>43.305</v>
      </c>
      <c r="BV273" t="n">
        <v>47.071</v>
      </c>
    </row>
    <row r="274">
      <c r="A274" t="inlineStr">
        <is>
          <t>Turrum fulvoguttatum</t>
        </is>
      </c>
      <c r="B274" t="inlineStr">
        <is>
          <t>Yellowspotted trevally</t>
        </is>
      </c>
      <c r="C274" t="inlineStr">
        <is>
          <t>Large reef assoc. fish (&gt;=90 cm)</t>
        </is>
      </c>
      <c r="D274" t="inlineStr">
        <is>
          <t>Perch-likes</t>
        </is>
      </c>
      <c r="E274" t="n">
        <v>7.867</v>
      </c>
      <c r="F274" t="n">
        <v>7.867</v>
      </c>
      <c r="G274" t="n">
        <v>13.112</v>
      </c>
      <c r="H274" t="n">
        <v>10.489</v>
      </c>
      <c r="I274" t="n">
        <v>13.112</v>
      </c>
      <c r="J274" t="n">
        <v>13.112</v>
      </c>
      <c r="K274" t="n">
        <v>14.423</v>
      </c>
      <c r="L274" t="n">
        <v>20.979</v>
      </c>
      <c r="M274" t="n">
        <v>20.979</v>
      </c>
      <c r="N274" t="n">
        <v>26.223</v>
      </c>
      <c r="O274" t="n">
        <v>26.223</v>
      </c>
      <c r="P274" t="n">
        <v>54.821</v>
      </c>
      <c r="Q274" t="n">
        <v>65.58799999999999</v>
      </c>
      <c r="R274" t="n">
        <v>70.69199999999999</v>
      </c>
      <c r="S274" t="n">
        <v>56.328</v>
      </c>
      <c r="T274" t="n">
        <v>49.487</v>
      </c>
      <c r="U274" t="n">
        <v>55.001</v>
      </c>
      <c r="V274" t="n">
        <v>38.189</v>
      </c>
      <c r="W274" t="n">
        <v>28.918</v>
      </c>
      <c r="X274" t="n">
        <v>24.191</v>
      </c>
      <c r="Y274" t="n">
        <v>28.248</v>
      </c>
      <c r="Z274" t="n">
        <v>34.936</v>
      </c>
      <c r="AA274" t="n">
        <v>33.384</v>
      </c>
      <c r="AB274" t="n">
        <v>56.495</v>
      </c>
      <c r="AC274" t="n">
        <v>43.393</v>
      </c>
      <c r="AD274" t="n">
        <v>34.24</v>
      </c>
      <c r="AE274" t="n">
        <v>34.173</v>
      </c>
      <c r="AF274" t="n">
        <v>30.325</v>
      </c>
      <c r="AG274" t="n">
        <v>49.045</v>
      </c>
      <c r="AH274" t="n">
        <v>57.564</v>
      </c>
      <c r="AI274" t="n">
        <v>63.74</v>
      </c>
      <c r="AJ274" t="n">
        <v>75.492</v>
      </c>
      <c r="AK274" t="n">
        <v>69.98099999999999</v>
      </c>
      <c r="AL274" t="n">
        <v>91.104</v>
      </c>
      <c r="AM274" t="n">
        <v>95.497</v>
      </c>
      <c r="AN274" t="n">
        <v>83.81</v>
      </c>
      <c r="AO274" t="n">
        <v>83.255</v>
      </c>
      <c r="AP274" t="n">
        <v>77.535</v>
      </c>
      <c r="AQ274" t="n">
        <v>61.889</v>
      </c>
      <c r="AR274" t="n">
        <v>67.739</v>
      </c>
      <c r="AS274" t="n">
        <v>54.1</v>
      </c>
      <c r="AT274" t="n">
        <v>51.837</v>
      </c>
      <c r="AU274" t="n">
        <v>86.934</v>
      </c>
      <c r="AV274" t="n">
        <v>84.462</v>
      </c>
      <c r="AW274" t="n">
        <v>95.307</v>
      </c>
      <c r="AX274" t="n">
        <v>104.677</v>
      </c>
      <c r="AY274" t="n">
        <v>118.461</v>
      </c>
      <c r="AZ274" t="n">
        <v>129.867</v>
      </c>
      <c r="BA274" t="n">
        <v>135.739</v>
      </c>
      <c r="BB274" t="n">
        <v>133.839</v>
      </c>
      <c r="BC274" t="n">
        <v>61.917</v>
      </c>
      <c r="BD274" t="n">
        <v>60.867</v>
      </c>
      <c r="BE274" t="n">
        <v>188.215</v>
      </c>
      <c r="BF274" t="n">
        <v>111.536</v>
      </c>
      <c r="BG274" t="n">
        <v>101.773</v>
      </c>
      <c r="BH274" t="n">
        <v>166.86</v>
      </c>
      <c r="BI274" t="n">
        <v>134.134</v>
      </c>
      <c r="BJ274" t="n">
        <v>99.44499999999999</v>
      </c>
      <c r="BK274" t="n">
        <v>125.665</v>
      </c>
      <c r="BL274" t="n">
        <v>125.304</v>
      </c>
      <c r="BM274" t="n">
        <v>121.002</v>
      </c>
      <c r="BN274" t="n">
        <v>125.16</v>
      </c>
      <c r="BO274" t="n">
        <v>126.497</v>
      </c>
      <c r="BP274" t="n">
        <v>139.649</v>
      </c>
      <c r="BQ274" t="n">
        <v>133.271</v>
      </c>
      <c r="BR274" t="n">
        <v>132.242</v>
      </c>
      <c r="BS274" t="n">
        <v>132.149</v>
      </c>
      <c r="BT274" t="n">
        <v>207.697</v>
      </c>
      <c r="BU274" t="n">
        <v>223.754</v>
      </c>
      <c r="BV274" t="n">
        <v>218.736</v>
      </c>
    </row>
    <row r="275">
      <c r="A275" t="inlineStr">
        <is>
          <t>Thenus orientalis</t>
        </is>
      </c>
      <c r="B275" t="inlineStr">
        <is>
          <t>Flathead lobster</t>
        </is>
      </c>
      <c r="C275" t="inlineStr">
        <is>
          <t>Lobsters, crabs</t>
        </is>
      </c>
      <c r="D275" t="inlineStr">
        <is>
          <t>Crustaceans</t>
        </is>
      </c>
      <c r="E275" t="n">
        <v>28.53</v>
      </c>
      <c r="F275" t="n">
        <v>28.678</v>
      </c>
      <c r="G275" t="n">
        <v>29.614</v>
      </c>
      <c r="H275" t="n">
        <v>29.384</v>
      </c>
      <c r="I275" t="n">
        <v>30.081</v>
      </c>
      <c r="J275" t="n">
        <v>30.208</v>
      </c>
      <c r="K275" t="n">
        <v>30.575</v>
      </c>
      <c r="L275" t="n">
        <v>32.483</v>
      </c>
      <c r="M275" t="n">
        <v>32.694</v>
      </c>
      <c r="N275" t="n">
        <v>34.199</v>
      </c>
      <c r="O275" t="n">
        <v>34.808</v>
      </c>
      <c r="P275" t="n">
        <v>41.239</v>
      </c>
      <c r="Q275" t="n">
        <v>44.22</v>
      </c>
      <c r="R275" t="n">
        <v>45.683</v>
      </c>
      <c r="S275" t="n">
        <v>43.88</v>
      </c>
      <c r="T275" t="n">
        <v>41.784</v>
      </c>
      <c r="U275" t="n">
        <v>42.311</v>
      </c>
      <c r="V275" t="n">
        <v>39.157</v>
      </c>
      <c r="W275" t="n">
        <v>36.589</v>
      </c>
      <c r="X275" t="n">
        <v>36.705</v>
      </c>
      <c r="Y275" t="n">
        <v>36.919</v>
      </c>
      <c r="Z275" t="n">
        <v>38.598</v>
      </c>
      <c r="AA275" t="n">
        <v>40.106</v>
      </c>
      <c r="AB275" t="n">
        <v>45.369</v>
      </c>
      <c r="AC275" t="n">
        <v>37.728</v>
      </c>
      <c r="AD275" t="n">
        <v>35.999</v>
      </c>
      <c r="AE275" t="n">
        <v>37.462</v>
      </c>
      <c r="AF275" t="n">
        <v>39.255</v>
      </c>
      <c r="AG275" t="n">
        <v>43.007</v>
      </c>
      <c r="AH275" t="n">
        <v>46.66</v>
      </c>
      <c r="AI275" t="n">
        <v>54.227</v>
      </c>
      <c r="AJ275" t="n">
        <v>59.963</v>
      </c>
      <c r="AK275" t="n">
        <v>61.112</v>
      </c>
      <c r="AL275" t="n">
        <v>65.22</v>
      </c>
      <c r="AM275" t="n">
        <v>84.884</v>
      </c>
      <c r="AN275" t="n">
        <v>90.34999999999999</v>
      </c>
      <c r="AO275" t="n">
        <v>102.948</v>
      </c>
      <c r="AP275" t="n">
        <v>92.26900000000001</v>
      </c>
      <c r="AQ275" t="n">
        <v>81.748</v>
      </c>
      <c r="AR275" t="n">
        <v>201.375</v>
      </c>
      <c r="AS275" t="n">
        <v>115.843</v>
      </c>
      <c r="AT275" t="n">
        <v>151.06</v>
      </c>
      <c r="AU275" t="n">
        <v>189.596</v>
      </c>
      <c r="AV275" t="n">
        <v>284.955</v>
      </c>
      <c r="AW275" t="n">
        <v>245.111</v>
      </c>
      <c r="AX275" t="n">
        <v>233.194</v>
      </c>
      <c r="AY275" t="n">
        <v>206.288</v>
      </c>
      <c r="AZ275" t="n">
        <v>163.381</v>
      </c>
      <c r="BA275" t="n">
        <v>147.944</v>
      </c>
      <c r="BB275" t="n">
        <v>93.95099999999999</v>
      </c>
      <c r="BC275" t="n">
        <v>80.694</v>
      </c>
      <c r="BD275" t="n">
        <v>99.315</v>
      </c>
      <c r="BE275" t="n">
        <v>94.29300000000001</v>
      </c>
      <c r="BF275" t="n">
        <v>81.509</v>
      </c>
      <c r="BG275" t="n">
        <v>83.617</v>
      </c>
      <c r="BH275" t="n">
        <v>120.149</v>
      </c>
      <c r="BI275" t="n">
        <v>119.244</v>
      </c>
      <c r="BJ275" t="n">
        <v>76.863</v>
      </c>
      <c r="BK275" t="n">
        <v>91.81100000000001</v>
      </c>
      <c r="BL275" t="n">
        <v>87.986</v>
      </c>
      <c r="BM275" t="n">
        <v>72.328</v>
      </c>
      <c r="BN275" t="n">
        <v>80.71299999999999</v>
      </c>
      <c r="BO275" t="n">
        <v>74.40000000000001</v>
      </c>
      <c r="BP275" t="n">
        <v>81.137</v>
      </c>
      <c r="BQ275" t="n">
        <v>77.904</v>
      </c>
      <c r="BR275" t="n">
        <v>73.167</v>
      </c>
      <c r="BS275" t="n">
        <v>75.126</v>
      </c>
      <c r="BT275" t="n">
        <v>34.615</v>
      </c>
      <c r="BU275" t="n">
        <v>43.5</v>
      </c>
      <c r="BV275" t="n">
        <v>43.432</v>
      </c>
    </row>
    <row r="276">
      <c r="A276" t="inlineStr">
        <is>
          <t>Lutjanus quinquelineatus</t>
        </is>
      </c>
      <c r="B276" t="inlineStr">
        <is>
          <t>Five-lined snapper</t>
        </is>
      </c>
      <c r="C276" t="inlineStr">
        <is>
          <t>Medium reef assoc. fish (30 - 89 cm)</t>
        </is>
      </c>
      <c r="D276" t="inlineStr">
        <is>
          <t>Perch-likes</t>
        </is>
      </c>
      <c r="E276" t="n">
        <v>16.359</v>
      </c>
      <c r="F276" t="n">
        <v>16.428</v>
      </c>
      <c r="G276" t="n">
        <v>19.092</v>
      </c>
      <c r="H276" t="n">
        <v>17.778</v>
      </c>
      <c r="I276" t="n">
        <v>19.218</v>
      </c>
      <c r="J276" t="n">
        <v>19.278</v>
      </c>
      <c r="K276" t="n">
        <v>20.007</v>
      </c>
      <c r="L276" t="n">
        <v>23.585</v>
      </c>
      <c r="M276" t="n">
        <v>23.684</v>
      </c>
      <c r="N276" t="n">
        <v>26.615</v>
      </c>
      <c r="O276" t="n">
        <v>26.709</v>
      </c>
      <c r="P276" t="n">
        <v>41.86</v>
      </c>
      <c r="Q276" t="n">
        <v>47.627</v>
      </c>
      <c r="R276" t="n">
        <v>50.416</v>
      </c>
      <c r="S276" t="n">
        <v>42.98</v>
      </c>
      <c r="T276" t="n">
        <v>38.647</v>
      </c>
      <c r="U276" t="n">
        <v>40.297</v>
      </c>
      <c r="V276" t="n">
        <v>32.094</v>
      </c>
      <c r="W276" t="n">
        <v>26.908</v>
      </c>
      <c r="X276" t="n">
        <v>25.8</v>
      </c>
      <c r="Y276" t="n">
        <v>26.943</v>
      </c>
      <c r="Z276" t="n">
        <v>30.573</v>
      </c>
      <c r="AA276" t="n">
        <v>30.553</v>
      </c>
      <c r="AB276" t="n">
        <v>36.904</v>
      </c>
      <c r="AC276" t="n">
        <v>31.891</v>
      </c>
      <c r="AD276" t="n">
        <v>27.848</v>
      </c>
      <c r="AE276" t="n">
        <v>28.326</v>
      </c>
      <c r="AF276" t="n">
        <v>27.57</v>
      </c>
      <c r="AG276" t="n">
        <v>36.382</v>
      </c>
      <c r="AH276" t="n">
        <v>40.922</v>
      </c>
      <c r="AI276" t="n">
        <v>46.25</v>
      </c>
      <c r="AJ276" t="n">
        <v>51.445</v>
      </c>
      <c r="AK276" t="n">
        <v>45.588</v>
      </c>
      <c r="AL276" t="n">
        <v>55.207</v>
      </c>
      <c r="AM276" t="n">
        <v>57.637</v>
      </c>
      <c r="AN276" t="n">
        <v>51.453</v>
      </c>
      <c r="AO276" t="n">
        <v>51.478</v>
      </c>
      <c r="AP276" t="n">
        <v>47.343</v>
      </c>
      <c r="AQ276" t="n">
        <v>42.397</v>
      </c>
      <c r="AR276" t="n">
        <v>44.468</v>
      </c>
      <c r="AS276" t="n">
        <v>36.983</v>
      </c>
      <c r="AT276" t="n">
        <v>37.775</v>
      </c>
      <c r="AU276" t="n">
        <v>51.168</v>
      </c>
      <c r="AV276" t="n">
        <v>49.06</v>
      </c>
      <c r="AW276" t="n">
        <v>71.044</v>
      </c>
      <c r="AX276" t="n">
        <v>75.684</v>
      </c>
      <c r="AY276" t="n">
        <v>78.67100000000001</v>
      </c>
      <c r="AZ276" t="n">
        <v>89.137</v>
      </c>
      <c r="BA276" t="n">
        <v>88.655</v>
      </c>
      <c r="BB276" t="n">
        <v>84.429</v>
      </c>
      <c r="BC276" t="n">
        <v>63.959</v>
      </c>
      <c r="BD276" t="n">
        <v>74.363</v>
      </c>
      <c r="BE276" t="n">
        <v>18.7</v>
      </c>
      <c r="BF276" t="n">
        <v>138.89</v>
      </c>
      <c r="BG276" t="n">
        <v>176.77</v>
      </c>
      <c r="BH276" t="n">
        <v>198.309</v>
      </c>
      <c r="BI276" t="n">
        <v>185.53</v>
      </c>
      <c r="BJ276" t="n">
        <v>233.914</v>
      </c>
      <c r="BK276" t="n">
        <v>241.63</v>
      </c>
      <c r="BL276" t="n">
        <v>181.085</v>
      </c>
      <c r="BM276" t="n">
        <v>169.988</v>
      </c>
      <c r="BN276" t="n">
        <v>177.764</v>
      </c>
      <c r="BO276" t="n">
        <v>179.007</v>
      </c>
      <c r="BP276" t="n">
        <v>197.188</v>
      </c>
      <c r="BQ276" t="n">
        <v>188.769</v>
      </c>
      <c r="BR276" t="n">
        <v>187.315</v>
      </c>
      <c r="BS276" t="n">
        <v>187.206</v>
      </c>
      <c r="BT276" t="n">
        <v>181.494</v>
      </c>
      <c r="BU276" t="n">
        <v>200.433</v>
      </c>
      <c r="BV276" t="n">
        <v>197.093</v>
      </c>
    </row>
    <row r="277">
      <c r="A277" t="inlineStr">
        <is>
          <t>Metapenaeus</t>
        </is>
      </c>
      <c r="B277" t="inlineStr">
        <is>
          <t>Indo-Pacific prawns</t>
        </is>
      </c>
      <c r="C277" t="inlineStr">
        <is>
          <t>Shrimps</t>
        </is>
      </c>
      <c r="D277" t="inlineStr">
        <is>
          <t>Crustaceans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1.606</v>
      </c>
      <c r="AA277" t="n">
        <v>1.661</v>
      </c>
      <c r="AB277" t="n">
        <v>3.983</v>
      </c>
      <c r="AC277" t="n">
        <v>3.886</v>
      </c>
      <c r="AD277" t="n">
        <v>11.084</v>
      </c>
      <c r="AE277" t="n">
        <v>103.408</v>
      </c>
      <c r="AF277" t="n">
        <v>20.916</v>
      </c>
      <c r="AG277" t="n">
        <v>13.326</v>
      </c>
      <c r="AH277" t="n">
        <v>17.968</v>
      </c>
      <c r="AI277" t="n">
        <v>0.008</v>
      </c>
      <c r="AJ277" t="n">
        <v>7.553</v>
      </c>
      <c r="AK277" t="n">
        <v>3.271</v>
      </c>
      <c r="AL277" t="n">
        <v>3.388</v>
      </c>
      <c r="AM277" t="n">
        <v>4.369</v>
      </c>
      <c r="AN277" t="n">
        <v>5.207</v>
      </c>
      <c r="AO277" t="n">
        <v>7.984</v>
      </c>
      <c r="AP277" t="n">
        <v>8.779999999999999</v>
      </c>
      <c r="AQ277" t="n">
        <v>9.494999999999999</v>
      </c>
      <c r="AR277" t="n">
        <v>8.053000000000001</v>
      </c>
      <c r="AS277" t="n">
        <v>8.039999999999999</v>
      </c>
      <c r="AT277" t="n">
        <v>9.644</v>
      </c>
      <c r="AU277" t="n">
        <v>6.367</v>
      </c>
      <c r="AV277" t="n">
        <v>5.994</v>
      </c>
      <c r="AW277" t="n">
        <v>6.774</v>
      </c>
      <c r="AX277" t="n">
        <v>17.222</v>
      </c>
      <c r="AY277" t="n">
        <v>13.404</v>
      </c>
      <c r="AZ277" t="n">
        <v>13.602</v>
      </c>
      <c r="BA277" t="n">
        <v>9.331</v>
      </c>
      <c r="BB277" t="n">
        <v>9.765000000000001</v>
      </c>
      <c r="BC277" t="n">
        <v>4.549</v>
      </c>
      <c r="BD277" t="n">
        <v>7.977</v>
      </c>
      <c r="BE277" t="n">
        <v>6.9</v>
      </c>
      <c r="BF277" t="n">
        <v>12.191</v>
      </c>
      <c r="BG277" t="n">
        <v>12.499</v>
      </c>
      <c r="BH277" t="n">
        <v>16.419</v>
      </c>
      <c r="BI277" t="n">
        <v>16.706</v>
      </c>
      <c r="BJ277" t="n">
        <v>12.898</v>
      </c>
      <c r="BK277" t="n">
        <v>7.327</v>
      </c>
      <c r="BL277" t="n">
        <v>8.552</v>
      </c>
      <c r="BM277" t="n">
        <v>8.214</v>
      </c>
      <c r="BN277" t="n">
        <v>393.718</v>
      </c>
      <c r="BO277" t="n">
        <v>422.1</v>
      </c>
      <c r="BP277" t="n">
        <v>453.474</v>
      </c>
      <c r="BQ277" t="n">
        <v>500.362</v>
      </c>
      <c r="BR277" t="n">
        <v>528.256</v>
      </c>
      <c r="BS277" t="n">
        <v>561.112</v>
      </c>
      <c r="BT277" t="n">
        <v>616.676</v>
      </c>
      <c r="BU277" t="n">
        <v>660.442</v>
      </c>
      <c r="BV277" t="n">
        <v>658.917</v>
      </c>
    </row>
    <row r="278">
      <c r="A278" t="inlineStr">
        <is>
          <t>Galeocerdo cuvier</t>
        </is>
      </c>
      <c r="B278" t="inlineStr">
        <is>
          <t>Tiger shark</t>
        </is>
      </c>
      <c r="C278" t="inlineStr">
        <is>
          <t>Large sharks (&gt;=90 cm)</t>
        </is>
      </c>
      <c r="D278" t="inlineStr">
        <is>
          <t>Sharks &amp; rays</t>
        </is>
      </c>
      <c r="E278" t="n">
        <v>26.683</v>
      </c>
      <c r="F278" t="n">
        <v>27.121</v>
      </c>
      <c r="G278" t="n">
        <v>27.569</v>
      </c>
      <c r="H278" t="n">
        <v>28.028</v>
      </c>
      <c r="I278" t="n">
        <v>28.497</v>
      </c>
      <c r="J278" t="n">
        <v>28.976</v>
      </c>
      <c r="K278" t="n">
        <v>29.467</v>
      </c>
      <c r="L278" t="n">
        <v>29.968</v>
      </c>
      <c r="M278" t="n">
        <v>30.481</v>
      </c>
      <c r="N278" t="n">
        <v>31.006</v>
      </c>
      <c r="O278" t="n">
        <v>31.542</v>
      </c>
      <c r="P278" t="n">
        <v>32.09</v>
      </c>
      <c r="Q278" t="n">
        <v>32.651</v>
      </c>
      <c r="R278" t="n">
        <v>33.224</v>
      </c>
      <c r="S278" t="n">
        <v>33.814</v>
      </c>
      <c r="T278" t="n">
        <v>34.417</v>
      </c>
      <c r="U278" t="n">
        <v>35.033</v>
      </c>
      <c r="V278" t="n">
        <v>36.603</v>
      </c>
      <c r="W278" t="n">
        <v>38.174</v>
      </c>
      <c r="X278" t="n">
        <v>39.744</v>
      </c>
      <c r="Y278" t="n">
        <v>41.285</v>
      </c>
      <c r="Z278" t="n">
        <v>42.855</v>
      </c>
      <c r="AA278" t="n">
        <v>44.529</v>
      </c>
      <c r="AB278" t="n">
        <v>45.983</v>
      </c>
      <c r="AC278" t="n">
        <v>47.651</v>
      </c>
      <c r="AD278" t="n">
        <v>45.526</v>
      </c>
      <c r="AE278" t="n">
        <v>46.806</v>
      </c>
      <c r="AF278" t="n">
        <v>48.445</v>
      </c>
      <c r="AG278" t="n">
        <v>49.912</v>
      </c>
      <c r="AH278" t="n">
        <v>51.097</v>
      </c>
      <c r="AI278" t="n">
        <v>52.649</v>
      </c>
      <c r="AJ278" t="n">
        <v>53.551</v>
      </c>
      <c r="AK278" t="n">
        <v>51.693</v>
      </c>
      <c r="AL278" t="n">
        <v>59.545</v>
      </c>
      <c r="AM278" t="n">
        <v>89.66200000000001</v>
      </c>
      <c r="AN278" t="n">
        <v>70.962</v>
      </c>
      <c r="AO278" t="n">
        <v>112.934</v>
      </c>
      <c r="AP278" t="n">
        <v>85.03400000000001</v>
      </c>
      <c r="AQ278" t="n">
        <v>104.039</v>
      </c>
      <c r="AR278" t="n">
        <v>86.69499999999999</v>
      </c>
      <c r="AS278" t="n">
        <v>69.806</v>
      </c>
      <c r="AT278" t="n">
        <v>72.339</v>
      </c>
      <c r="AU278" t="n">
        <v>93.182</v>
      </c>
      <c r="AV278" t="n">
        <v>111.879</v>
      </c>
      <c r="AW278" t="n">
        <v>131.133</v>
      </c>
      <c r="AX278" t="n">
        <v>145.846</v>
      </c>
      <c r="AY278" t="n">
        <v>160.925</v>
      </c>
      <c r="AZ278" t="n">
        <v>175.441</v>
      </c>
      <c r="BA278" t="n">
        <v>189.524</v>
      </c>
      <c r="BB278" t="n">
        <v>203.872</v>
      </c>
      <c r="BC278" t="n">
        <v>218.386</v>
      </c>
      <c r="BD278" t="n">
        <v>200.611</v>
      </c>
      <c r="BE278" t="n">
        <v>182.891</v>
      </c>
      <c r="BF278" t="n">
        <v>165.396</v>
      </c>
      <c r="BG278" t="n">
        <v>147.966</v>
      </c>
      <c r="BH278" t="n">
        <v>130.253</v>
      </c>
      <c r="BI278" t="n">
        <v>103.095</v>
      </c>
      <c r="BJ278" t="n">
        <v>76.03700000000001</v>
      </c>
      <c r="BK278" t="n">
        <v>76.56399999999999</v>
      </c>
      <c r="BL278" t="n">
        <v>67.596</v>
      </c>
      <c r="BM278" t="n">
        <v>58.678</v>
      </c>
      <c r="BN278" t="n">
        <v>49.647</v>
      </c>
      <c r="BO278" t="n">
        <v>40.953</v>
      </c>
      <c r="BP278" t="n">
        <v>32.289</v>
      </c>
      <c r="BQ278" t="n">
        <v>23.566</v>
      </c>
      <c r="BR278" t="n">
        <v>26.694</v>
      </c>
      <c r="BS278" t="n">
        <v>29.825</v>
      </c>
      <c r="BT278" t="n">
        <v>33.031</v>
      </c>
      <c r="BU278" t="n">
        <v>36.104</v>
      </c>
      <c r="BV278" t="n">
        <v>39.244</v>
      </c>
    </row>
    <row r="279">
      <c r="A279" t="inlineStr">
        <is>
          <t>Carcharhinus</t>
        </is>
      </c>
      <c r="B279" t="inlineStr">
        <is>
          <t>Sharp-nosed sharks</t>
        </is>
      </c>
      <c r="C279" t="inlineStr">
        <is>
          <t>Large sharks (&gt;=90 cm)</t>
        </is>
      </c>
      <c r="D279" t="inlineStr">
        <is>
          <t>Sharks &amp; rays</t>
        </is>
      </c>
      <c r="E279" t="n">
        <v>24.185</v>
      </c>
      <c r="F279" t="n">
        <v>24.679</v>
      </c>
      <c r="G279" t="n">
        <v>25.183</v>
      </c>
      <c r="H279" t="n">
        <v>25.697</v>
      </c>
      <c r="I279" t="n">
        <v>26.221</v>
      </c>
      <c r="J279" t="n">
        <v>26.756</v>
      </c>
      <c r="K279" t="n">
        <v>27.302</v>
      </c>
      <c r="L279" t="n">
        <v>27.86</v>
      </c>
      <c r="M279" t="n">
        <v>28.428</v>
      </c>
      <c r="N279" t="n">
        <v>29.008</v>
      </c>
      <c r="O279" t="n">
        <v>29.6</v>
      </c>
      <c r="P279" t="n">
        <v>30.204</v>
      </c>
      <c r="Q279" t="n">
        <v>30.821</v>
      </c>
      <c r="R279" t="n">
        <v>31.45</v>
      </c>
      <c r="S279" t="n">
        <v>32.094</v>
      </c>
      <c r="T279" t="n">
        <v>32.752</v>
      </c>
      <c r="U279" t="n">
        <v>33.423</v>
      </c>
      <c r="V279" t="n">
        <v>35.049</v>
      </c>
      <c r="W279" t="n">
        <v>36.676</v>
      </c>
      <c r="X279" t="n">
        <v>38.303</v>
      </c>
      <c r="Y279" t="n">
        <v>39.908</v>
      </c>
      <c r="Z279" t="n">
        <v>41.547</v>
      </c>
      <c r="AA279" t="n">
        <v>43.261</v>
      </c>
      <c r="AB279" t="n">
        <v>44.816</v>
      </c>
      <c r="AC279" t="n">
        <v>46.525</v>
      </c>
      <c r="AD279" t="n">
        <v>44.465</v>
      </c>
      <c r="AE279" t="n">
        <v>45.83</v>
      </c>
      <c r="AF279" t="n">
        <v>47.452</v>
      </c>
      <c r="AG279" t="n">
        <v>48.948</v>
      </c>
      <c r="AH279" t="n">
        <v>50.239</v>
      </c>
      <c r="AI279" t="n">
        <v>51.792</v>
      </c>
      <c r="AJ279" t="n">
        <v>52.875</v>
      </c>
      <c r="AK279" t="n">
        <v>51.046</v>
      </c>
      <c r="AL279" t="n">
        <v>59.001</v>
      </c>
      <c r="AM279" t="n">
        <v>89.304</v>
      </c>
      <c r="AN279" t="n">
        <v>70.529</v>
      </c>
      <c r="AO279" t="n">
        <v>112.595</v>
      </c>
      <c r="AP279" t="n">
        <v>84.693</v>
      </c>
      <c r="AQ279" t="n">
        <v>103.888</v>
      </c>
      <c r="AR279" t="n">
        <v>86.631</v>
      </c>
      <c r="AS279" t="n">
        <v>69.723</v>
      </c>
      <c r="AT279" t="n">
        <v>72.247</v>
      </c>
      <c r="AU279" t="n">
        <v>92.01900000000001</v>
      </c>
      <c r="AV279" t="n">
        <v>111.733</v>
      </c>
      <c r="AW279" t="n">
        <v>131.192</v>
      </c>
      <c r="AX279" t="n">
        <v>145.975</v>
      </c>
      <c r="AY279" t="n">
        <v>160.729</v>
      </c>
      <c r="AZ279" t="n">
        <v>175.438</v>
      </c>
      <c r="BA279" t="n">
        <v>189.728</v>
      </c>
      <c r="BB279" t="n">
        <v>204.119</v>
      </c>
      <c r="BC279" t="n">
        <v>218.61</v>
      </c>
      <c r="BD279" t="n">
        <v>200.745</v>
      </c>
      <c r="BE279" t="n">
        <v>182.961</v>
      </c>
      <c r="BF279" t="n">
        <v>165.414</v>
      </c>
      <c r="BG279" t="n">
        <v>147.817</v>
      </c>
      <c r="BH279" t="n">
        <v>130.337</v>
      </c>
      <c r="BI279" t="n">
        <v>103.126</v>
      </c>
      <c r="BJ279" t="n">
        <v>76.03700000000001</v>
      </c>
      <c r="BK279" t="n">
        <v>76.601</v>
      </c>
      <c r="BL279" t="n">
        <v>67.629</v>
      </c>
      <c r="BM279" t="n">
        <v>58.461</v>
      </c>
      <c r="BN279" t="n">
        <v>55.48</v>
      </c>
      <c r="BO279" t="n">
        <v>46.897</v>
      </c>
      <c r="BP279" t="n">
        <v>38.036</v>
      </c>
      <c r="BQ279" t="n">
        <v>29.153</v>
      </c>
      <c r="BR279" t="n">
        <v>32.292</v>
      </c>
      <c r="BS279" t="n">
        <v>35.432</v>
      </c>
      <c r="BT279" t="n">
        <v>38.577</v>
      </c>
      <c r="BU279" t="n">
        <v>41.722</v>
      </c>
      <c r="BV279" t="n">
        <v>44.873</v>
      </c>
    </row>
    <row r="280">
      <c r="A280" t="inlineStr">
        <is>
          <t>Uroteuthis duvaucelii</t>
        </is>
      </c>
      <c r="B280" t="inlineStr">
        <is>
          <t>Indian squid</t>
        </is>
      </c>
      <c r="C280" t="inlineStr">
        <is>
          <t>Cephalopods</t>
        </is>
      </c>
      <c r="D280" t="inlineStr">
        <is>
          <t>Other fishes &amp; inverts</t>
        </is>
      </c>
      <c r="E280" t="n">
        <v>67.40600000000001</v>
      </c>
      <c r="F280" t="n">
        <v>67.791</v>
      </c>
      <c r="G280" t="n">
        <v>67.282</v>
      </c>
      <c r="H280" t="n">
        <v>67.636</v>
      </c>
      <c r="I280" t="n">
        <v>67.977</v>
      </c>
      <c r="J280" t="n">
        <v>68.30500000000001</v>
      </c>
      <c r="K280" t="n">
        <v>68.52500000000001</v>
      </c>
      <c r="L280" t="n">
        <v>69.261</v>
      </c>
      <c r="M280" t="n">
        <v>69.806</v>
      </c>
      <c r="N280" t="n">
        <v>70.77500000000001</v>
      </c>
      <c r="O280" t="n">
        <v>71.29300000000001</v>
      </c>
      <c r="P280" t="n">
        <v>71.96899999999999</v>
      </c>
      <c r="Q280" t="n">
        <v>72.631</v>
      </c>
      <c r="R280" t="n">
        <v>73.71599999999999</v>
      </c>
      <c r="S280" t="n">
        <v>74.524</v>
      </c>
      <c r="T280" t="n">
        <v>74.479</v>
      </c>
      <c r="U280" t="n">
        <v>74.745</v>
      </c>
      <c r="V280" t="n">
        <v>75.25</v>
      </c>
      <c r="W280" t="n">
        <v>74.548</v>
      </c>
      <c r="X280" t="n">
        <v>75.592</v>
      </c>
      <c r="Y280" t="n">
        <v>76.12</v>
      </c>
      <c r="Z280" t="n">
        <v>76.142</v>
      </c>
      <c r="AA280" t="n">
        <v>77.19799999999999</v>
      </c>
      <c r="AB280" t="n">
        <v>77.291</v>
      </c>
      <c r="AC280" t="n">
        <v>62.203</v>
      </c>
      <c r="AD280" t="n">
        <v>66.416</v>
      </c>
      <c r="AE280" t="n">
        <v>70.663</v>
      </c>
      <c r="AF280" t="n">
        <v>74.97799999999999</v>
      </c>
      <c r="AG280" t="n">
        <v>73.782</v>
      </c>
      <c r="AH280" t="n">
        <v>72.742</v>
      </c>
      <c r="AI280" t="n">
        <v>78.569</v>
      </c>
      <c r="AJ280" t="n">
        <v>79.592</v>
      </c>
      <c r="AK280" t="n">
        <v>64.30500000000001</v>
      </c>
      <c r="AL280" t="n">
        <v>65.535</v>
      </c>
      <c r="AM280" t="n">
        <v>66.199</v>
      </c>
      <c r="AN280" t="n">
        <v>67.017</v>
      </c>
      <c r="AO280" t="n">
        <v>65.05800000000001</v>
      </c>
      <c r="AP280" t="n">
        <v>75.283</v>
      </c>
      <c r="AQ280" t="n">
        <v>76.869</v>
      </c>
      <c r="AR280" t="n">
        <v>78.02200000000001</v>
      </c>
      <c r="AS280" t="n">
        <v>76.267</v>
      </c>
      <c r="AT280" t="n">
        <v>87.92400000000001</v>
      </c>
      <c r="AU280" t="n">
        <v>86.592</v>
      </c>
      <c r="AV280" t="n">
        <v>75.947</v>
      </c>
      <c r="AW280" t="n">
        <v>134.899</v>
      </c>
      <c r="AX280" t="n">
        <v>132.629</v>
      </c>
      <c r="AY280" t="n">
        <v>124.015</v>
      </c>
      <c r="AZ280" t="n">
        <v>170.413</v>
      </c>
      <c r="BA280" t="n">
        <v>133.028</v>
      </c>
      <c r="BB280" t="n">
        <v>120.947</v>
      </c>
      <c r="BC280" t="n">
        <v>109.597</v>
      </c>
      <c r="BD280" t="n">
        <v>104.471</v>
      </c>
      <c r="BE280" t="n">
        <v>87.86199999999999</v>
      </c>
      <c r="BF280" t="n">
        <v>65.349</v>
      </c>
      <c r="BG280" t="n">
        <v>67.185</v>
      </c>
      <c r="BH280" t="n">
        <v>61.854</v>
      </c>
      <c r="BI280" t="n">
        <v>57.125</v>
      </c>
      <c r="BJ280" t="n">
        <v>51.601</v>
      </c>
      <c r="BK280" t="n">
        <v>45.104</v>
      </c>
      <c r="BL280" t="n">
        <v>42.308</v>
      </c>
      <c r="BM280" t="n">
        <v>34.649</v>
      </c>
      <c r="BN280" t="n">
        <v>19.636</v>
      </c>
      <c r="BO280" t="n">
        <v>19.636</v>
      </c>
      <c r="BP280" t="n">
        <v>19.636</v>
      </c>
      <c r="BQ280" t="n">
        <v>19.636</v>
      </c>
      <c r="BR280" t="n">
        <v>19.636</v>
      </c>
      <c r="BS280" t="n">
        <v>19.636</v>
      </c>
      <c r="BT280" t="n">
        <v>19.636</v>
      </c>
      <c r="BU280" t="n">
        <v>19.636</v>
      </c>
      <c r="BV280" t="n">
        <v>19.636</v>
      </c>
    </row>
    <row r="281">
      <c r="A281" t="inlineStr">
        <is>
          <t>Carcharhinus amblyrhynchoides</t>
        </is>
      </c>
      <c r="B281" t="inlineStr">
        <is>
          <t>Graceful shark</t>
        </is>
      </c>
      <c r="C281" t="inlineStr">
        <is>
          <t>Large sharks (&gt;=90 cm)</t>
        </is>
      </c>
      <c r="D281" t="inlineStr">
        <is>
          <t>Sharks &amp; rays</t>
        </is>
      </c>
      <c r="E281" t="n">
        <v>24.104</v>
      </c>
      <c r="F281" t="n">
        <v>24.596</v>
      </c>
      <c r="G281" t="n">
        <v>25.098</v>
      </c>
      <c r="H281" t="n">
        <v>25.61</v>
      </c>
      <c r="I281" t="n">
        <v>26.133</v>
      </c>
      <c r="J281" t="n">
        <v>26.666</v>
      </c>
      <c r="K281" t="n">
        <v>27.21</v>
      </c>
      <c r="L281" t="n">
        <v>27.766</v>
      </c>
      <c r="M281" t="n">
        <v>28.332</v>
      </c>
      <c r="N281" t="n">
        <v>28.91</v>
      </c>
      <c r="O281" t="n">
        <v>29.5</v>
      </c>
      <c r="P281" t="n">
        <v>30.102</v>
      </c>
      <c r="Q281" t="n">
        <v>30.717</v>
      </c>
      <c r="R281" t="n">
        <v>31.344</v>
      </c>
      <c r="S281" t="n">
        <v>31.983</v>
      </c>
      <c r="T281" t="n">
        <v>32.636</v>
      </c>
      <c r="U281" t="n">
        <v>33.302</v>
      </c>
      <c r="V281" t="n">
        <v>34.921</v>
      </c>
      <c r="W281" t="n">
        <v>36.54</v>
      </c>
      <c r="X281" t="n">
        <v>38.159</v>
      </c>
      <c r="Y281" t="n">
        <v>39.777</v>
      </c>
      <c r="Z281" t="n">
        <v>41.396</v>
      </c>
      <c r="AA281" t="n">
        <v>43.015</v>
      </c>
      <c r="AB281" t="n">
        <v>44.634</v>
      </c>
      <c r="AC281" t="n">
        <v>46.253</v>
      </c>
      <c r="AD281" t="n">
        <v>44.189</v>
      </c>
      <c r="AE281" t="n">
        <v>45.578</v>
      </c>
      <c r="AF281" t="n">
        <v>46.959</v>
      </c>
      <c r="AG281" t="n">
        <v>48.334</v>
      </c>
      <c r="AH281" t="n">
        <v>49.702</v>
      </c>
      <c r="AI281" t="n">
        <v>51.063</v>
      </c>
      <c r="AJ281" t="n">
        <v>52.417</v>
      </c>
      <c r="AK281" t="n">
        <v>50.491</v>
      </c>
      <c r="AL281" t="n">
        <v>58.467</v>
      </c>
      <c r="AM281" t="n">
        <v>88.84</v>
      </c>
      <c r="AN281" t="n">
        <v>69.83</v>
      </c>
      <c r="AO281" t="n">
        <v>111.642</v>
      </c>
      <c r="AP281" t="n">
        <v>83.755</v>
      </c>
      <c r="AQ281" t="n">
        <v>103.111</v>
      </c>
      <c r="AR281" t="n">
        <v>86.017</v>
      </c>
      <c r="AS281" t="n">
        <v>69.002</v>
      </c>
      <c r="AT281" t="n">
        <v>71.485</v>
      </c>
      <c r="AU281" t="n">
        <v>91.26900000000001</v>
      </c>
      <c r="AV281" t="n">
        <v>110.956</v>
      </c>
      <c r="AW281" t="n">
        <v>130.548</v>
      </c>
      <c r="AX281" t="n">
        <v>145.236</v>
      </c>
      <c r="AY281" t="n">
        <v>159.852</v>
      </c>
      <c r="AZ281" t="n">
        <v>174.394</v>
      </c>
      <c r="BA281" t="n">
        <v>188.864</v>
      </c>
      <c r="BB281" t="n">
        <v>203.261</v>
      </c>
      <c r="BC281" t="n">
        <v>217.585</v>
      </c>
      <c r="BD281" t="n">
        <v>199.824</v>
      </c>
      <c r="BE281" t="n">
        <v>182.148</v>
      </c>
      <c r="BF281" t="n">
        <v>164.557</v>
      </c>
      <c r="BG281" t="n">
        <v>147.051</v>
      </c>
      <c r="BH281" t="n">
        <v>129.629</v>
      </c>
      <c r="BI281" t="n">
        <v>102.51</v>
      </c>
      <c r="BJ281" t="n">
        <v>75.524</v>
      </c>
      <c r="BK281" t="n">
        <v>76.181</v>
      </c>
      <c r="BL281" t="n">
        <v>67.26600000000001</v>
      </c>
      <c r="BM281" t="n">
        <v>58.247</v>
      </c>
      <c r="BN281" t="n">
        <v>49.566</v>
      </c>
      <c r="BO281" t="n">
        <v>40.885</v>
      </c>
      <c r="BP281" t="n">
        <v>32.204</v>
      </c>
      <c r="BQ281" t="n">
        <v>23.523</v>
      </c>
      <c r="BR281" t="n">
        <v>26.659</v>
      </c>
      <c r="BS281" t="n">
        <v>29.795</v>
      </c>
      <c r="BT281" t="n">
        <v>32.932</v>
      </c>
      <c r="BU281" t="n">
        <v>36.068</v>
      </c>
      <c r="BV281" t="n">
        <v>39.204</v>
      </c>
    </row>
    <row r="282">
      <c r="A282" t="inlineStr">
        <is>
          <t>Scarus persicus</t>
        </is>
      </c>
      <c r="B282" t="inlineStr">
        <is>
          <t>Gulf parrotfish</t>
        </is>
      </c>
      <c r="C282" t="inlineStr">
        <is>
          <t>Medium benthopelagics (30 - 89 cm)</t>
        </is>
      </c>
      <c r="D282" t="inlineStr">
        <is>
          <t>Perch-likes</t>
        </is>
      </c>
      <c r="E282" t="n">
        <v>3.385</v>
      </c>
      <c r="F282" t="n">
        <v>3.385</v>
      </c>
      <c r="G282" t="n">
        <v>3.385</v>
      </c>
      <c r="H282" t="n">
        <v>3.386</v>
      </c>
      <c r="I282" t="n">
        <v>3.386</v>
      </c>
      <c r="J282" t="n">
        <v>3.386</v>
      </c>
      <c r="K282" t="n">
        <v>3.145</v>
      </c>
      <c r="L282" t="n">
        <v>3.145</v>
      </c>
      <c r="M282" t="n">
        <v>3.147</v>
      </c>
      <c r="N282" t="n">
        <v>3.149</v>
      </c>
      <c r="O282" t="n">
        <v>3.151</v>
      </c>
      <c r="P282" t="n">
        <v>3.154</v>
      </c>
      <c r="Q282" t="n">
        <v>3.157</v>
      </c>
      <c r="R282" t="n">
        <v>3.16</v>
      </c>
      <c r="S282" t="n">
        <v>2.725</v>
      </c>
      <c r="T282" t="n">
        <v>2.922</v>
      </c>
      <c r="U282" t="n">
        <v>2.949</v>
      </c>
      <c r="V282" t="n">
        <v>3.171</v>
      </c>
      <c r="W282" t="n">
        <v>3.906</v>
      </c>
      <c r="X282" t="n">
        <v>3.37</v>
      </c>
      <c r="Y282" t="n">
        <v>3.077</v>
      </c>
      <c r="Z282" t="n">
        <v>3.2</v>
      </c>
      <c r="AA282" t="n">
        <v>3.102</v>
      </c>
      <c r="AB282" t="n">
        <v>3.03</v>
      </c>
      <c r="AC282" t="n">
        <v>13.921</v>
      </c>
      <c r="AD282" t="n">
        <v>13.9</v>
      </c>
      <c r="AE282" t="n">
        <v>13.551</v>
      </c>
      <c r="AF282" t="n">
        <v>13.566</v>
      </c>
      <c r="AG282" t="n">
        <v>14.163</v>
      </c>
      <c r="AH282" t="n">
        <v>13.793</v>
      </c>
      <c r="AI282" t="n">
        <v>8.859</v>
      </c>
      <c r="AJ282" t="n">
        <v>8.619</v>
      </c>
      <c r="AK282" t="n">
        <v>19.255</v>
      </c>
      <c r="AL282" t="n">
        <v>18.247</v>
      </c>
      <c r="AM282" t="n">
        <v>18.779</v>
      </c>
      <c r="AN282" t="n">
        <v>18.763</v>
      </c>
      <c r="AO282" t="n">
        <v>24.716</v>
      </c>
      <c r="AP282" t="n">
        <v>35.792</v>
      </c>
      <c r="AQ282" t="n">
        <v>38.708</v>
      </c>
      <c r="AR282" t="n">
        <v>40.705</v>
      </c>
      <c r="AS282" t="n">
        <v>37.97</v>
      </c>
      <c r="AT282" t="n">
        <v>35.182</v>
      </c>
      <c r="AU282" t="n">
        <v>42.604</v>
      </c>
      <c r="AV282" t="n">
        <v>43.041</v>
      </c>
      <c r="AW282" t="n">
        <v>36.303</v>
      </c>
      <c r="AX282" t="n">
        <v>39.181</v>
      </c>
      <c r="AY282" t="n">
        <v>38.43</v>
      </c>
      <c r="AZ282" t="n">
        <v>68.351</v>
      </c>
      <c r="BA282" t="n">
        <v>47.543</v>
      </c>
      <c r="BB282" t="n">
        <v>39.612</v>
      </c>
      <c r="BC282" t="n">
        <v>29.704</v>
      </c>
      <c r="BD282" t="n">
        <v>37.619</v>
      </c>
      <c r="BE282" t="n">
        <v>47.51</v>
      </c>
      <c r="BF282" t="n">
        <v>77.18899999999999</v>
      </c>
      <c r="BG282" t="n">
        <v>56.403</v>
      </c>
      <c r="BH282" t="n">
        <v>42.549</v>
      </c>
      <c r="BI282" t="n">
        <v>161.292</v>
      </c>
      <c r="BJ282" t="n">
        <v>48.486</v>
      </c>
      <c r="BK282" t="n">
        <v>73.223</v>
      </c>
      <c r="BL282" t="n">
        <v>112.804</v>
      </c>
      <c r="BM282" t="n">
        <v>313.674</v>
      </c>
      <c r="BN282" t="n">
        <v>151.394</v>
      </c>
      <c r="BO282" t="n">
        <v>437.361</v>
      </c>
      <c r="BP282" t="n">
        <v>177.121</v>
      </c>
      <c r="BQ282" t="n">
        <v>263.208</v>
      </c>
      <c r="BR282" t="n">
        <v>354.243</v>
      </c>
      <c r="BS282" t="n">
        <v>436.371</v>
      </c>
      <c r="BT282" t="n">
        <v>387.886</v>
      </c>
      <c r="BU282" t="n">
        <v>335.442</v>
      </c>
      <c r="BV282" t="n">
        <v>361.169</v>
      </c>
    </row>
    <row r="283">
      <c r="A283" t="inlineStr">
        <is>
          <t>Lutjanus fulviflamma</t>
        </is>
      </c>
      <c r="B283" t="inlineStr">
        <is>
          <t>Dory snapper</t>
        </is>
      </c>
      <c r="C283" t="inlineStr">
        <is>
          <t>Medium reef assoc. fish (30 - 89 cm)</t>
        </is>
      </c>
      <c r="D283" t="inlineStr">
        <is>
          <t>Perch-likes</t>
        </is>
      </c>
      <c r="E283" t="n">
        <v>47.227</v>
      </c>
      <c r="F283" t="n">
        <v>47.608</v>
      </c>
      <c r="G283" t="n">
        <v>47.464</v>
      </c>
      <c r="H283" t="n">
        <v>47.832</v>
      </c>
      <c r="I283" t="n">
        <v>48.195</v>
      </c>
      <c r="J283" t="n">
        <v>48.555</v>
      </c>
      <c r="K283" t="n">
        <v>48.854</v>
      </c>
      <c r="L283" t="n">
        <v>49.461</v>
      </c>
      <c r="M283" t="n">
        <v>49.958</v>
      </c>
      <c r="N283" t="n">
        <v>50.709</v>
      </c>
      <c r="O283" t="n">
        <v>51.198</v>
      </c>
      <c r="P283" t="n">
        <v>51.783</v>
      </c>
      <c r="Q283" t="n">
        <v>52.364</v>
      </c>
      <c r="R283" t="n">
        <v>53.199</v>
      </c>
      <c r="S283" t="n">
        <v>53.873</v>
      </c>
      <c r="T283" t="n">
        <v>54.05</v>
      </c>
      <c r="U283" t="n">
        <v>54.414</v>
      </c>
      <c r="V283" t="n">
        <v>55.215</v>
      </c>
      <c r="W283" t="n">
        <v>55.305</v>
      </c>
      <c r="X283" t="n">
        <v>56.424</v>
      </c>
      <c r="Y283" t="n">
        <v>57.24</v>
      </c>
      <c r="Z283" t="n">
        <v>57.757</v>
      </c>
      <c r="AA283" t="n">
        <v>58.883</v>
      </c>
      <c r="AB283" t="n">
        <v>59.442</v>
      </c>
      <c r="AC283" t="n">
        <v>51.055</v>
      </c>
      <c r="AD283" t="n">
        <v>52.89</v>
      </c>
      <c r="AE283" t="n">
        <v>55.819</v>
      </c>
      <c r="AF283" t="n">
        <v>58.786</v>
      </c>
      <c r="AG283" t="n">
        <v>58.504</v>
      </c>
      <c r="AH283" t="n">
        <v>58.313</v>
      </c>
      <c r="AI283" t="n">
        <v>62.165</v>
      </c>
      <c r="AJ283" t="n">
        <v>63.183</v>
      </c>
      <c r="AK283" t="n">
        <v>53.569</v>
      </c>
      <c r="AL283" t="n">
        <v>56.772</v>
      </c>
      <c r="AM283" t="n">
        <v>66.61499999999999</v>
      </c>
      <c r="AN283" t="n">
        <v>61.172</v>
      </c>
      <c r="AO283" t="n">
        <v>73.029</v>
      </c>
      <c r="AP283" t="n">
        <v>70.364</v>
      </c>
      <c r="AQ283" t="n">
        <v>77.32599999999999</v>
      </c>
      <c r="AR283" t="n">
        <v>72.684</v>
      </c>
      <c r="AS283" t="n">
        <v>66.354</v>
      </c>
      <c r="AT283" t="n">
        <v>73.997</v>
      </c>
      <c r="AU283" t="n">
        <v>79.374</v>
      </c>
      <c r="AV283" t="n">
        <v>79.23399999999999</v>
      </c>
      <c r="AW283" t="n">
        <v>120.074</v>
      </c>
      <c r="AX283" t="n">
        <v>123.312</v>
      </c>
      <c r="AY283" t="n">
        <v>122.789</v>
      </c>
      <c r="AZ283" t="n">
        <v>154.663</v>
      </c>
      <c r="BA283" t="n">
        <v>137.148</v>
      </c>
      <c r="BB283" t="n">
        <v>130.895</v>
      </c>
      <c r="BC283" t="n">
        <v>128.417</v>
      </c>
      <c r="BD283" t="n">
        <v>120.19</v>
      </c>
      <c r="BE283" t="n">
        <v>105.215</v>
      </c>
      <c r="BF283" t="n">
        <v>86.77800000000001</v>
      </c>
      <c r="BG283" t="n">
        <v>82.71599999999999</v>
      </c>
      <c r="BH283" t="n">
        <v>74.45699999999999</v>
      </c>
      <c r="BI283" t="n">
        <v>63.709</v>
      </c>
      <c r="BJ283" t="n">
        <v>52.534</v>
      </c>
      <c r="BK283" t="n">
        <v>48.891</v>
      </c>
      <c r="BL283" t="n">
        <v>44.63</v>
      </c>
      <c r="BM283" t="n">
        <v>37.468</v>
      </c>
      <c r="BN283" t="n">
        <v>41.526</v>
      </c>
      <c r="BO283" t="n">
        <v>37.145</v>
      </c>
      <c r="BP283" t="n">
        <v>35.677</v>
      </c>
      <c r="BQ283" t="n">
        <v>33.863</v>
      </c>
      <c r="BR283" t="n">
        <v>34.59</v>
      </c>
      <c r="BS283" t="n">
        <v>35.566</v>
      </c>
      <c r="BT283" t="n">
        <v>37.69</v>
      </c>
      <c r="BU283" t="n">
        <v>41.452</v>
      </c>
      <c r="BV283" t="n">
        <v>41.245</v>
      </c>
    </row>
    <row r="284">
      <c r="A284" t="inlineStr">
        <is>
          <t>Pomadasys argyreus</t>
        </is>
      </c>
      <c r="B284" t="inlineStr">
        <is>
          <t>Bluecheek silver grunt</t>
        </is>
      </c>
      <c r="C284" t="inlineStr">
        <is>
          <t>Small pelagics (&lt;30 cm)</t>
        </is>
      </c>
      <c r="D284" t="inlineStr">
        <is>
          <t>Perch-likes</t>
        </is>
      </c>
      <c r="E284" t="n">
        <v>6.038</v>
      </c>
      <c r="F284" t="n">
        <v>6.038</v>
      </c>
      <c r="G284" t="n">
        <v>6.894</v>
      </c>
      <c r="H284" t="n">
        <v>10.81</v>
      </c>
      <c r="I284" t="n">
        <v>11.014</v>
      </c>
      <c r="J284" t="n">
        <v>11.508</v>
      </c>
      <c r="K284" t="n">
        <v>11.416</v>
      </c>
      <c r="L284" t="n">
        <v>12.923</v>
      </c>
      <c r="M284" t="n">
        <v>11.049</v>
      </c>
      <c r="N284" t="n">
        <v>10.957</v>
      </c>
      <c r="O284" t="n">
        <v>12.453</v>
      </c>
      <c r="P284" t="n">
        <v>9.638</v>
      </c>
      <c r="Q284" t="n">
        <v>14.448</v>
      </c>
      <c r="R284" t="n">
        <v>14.683</v>
      </c>
      <c r="S284" t="n">
        <v>15.724</v>
      </c>
      <c r="T284" t="n">
        <v>16.877</v>
      </c>
      <c r="U284" t="n">
        <v>23.162</v>
      </c>
      <c r="V284" t="n">
        <v>22.408</v>
      </c>
      <c r="W284" t="n">
        <v>23.251</v>
      </c>
      <c r="X284" t="n">
        <v>25.359</v>
      </c>
      <c r="Y284" t="n">
        <v>23.568</v>
      </c>
      <c r="Z284" t="n">
        <v>28.384</v>
      </c>
      <c r="AA284" t="n">
        <v>40.967</v>
      </c>
      <c r="AB284" t="n">
        <v>51.041</v>
      </c>
      <c r="AC284" t="n">
        <v>40.474</v>
      </c>
      <c r="AD284" t="n">
        <v>42.555</v>
      </c>
      <c r="AE284" t="n">
        <v>45.346</v>
      </c>
      <c r="AF284" t="n">
        <v>70.46599999999999</v>
      </c>
      <c r="AG284" t="n">
        <v>65.92400000000001</v>
      </c>
      <c r="AH284" t="n">
        <v>82.89700000000001</v>
      </c>
      <c r="AI284" t="n">
        <v>70.818</v>
      </c>
      <c r="AJ284" t="n">
        <v>84.911</v>
      </c>
      <c r="AK284" t="n">
        <v>103.43</v>
      </c>
      <c r="AL284" t="n">
        <v>107.168</v>
      </c>
      <c r="AM284" t="n">
        <v>117.101</v>
      </c>
      <c r="AN284" t="n">
        <v>140.597</v>
      </c>
      <c r="AO284" t="n">
        <v>146.295</v>
      </c>
      <c r="AP284" t="n">
        <v>143.578</v>
      </c>
      <c r="AQ284" t="n">
        <v>154.187</v>
      </c>
      <c r="AR284" t="n">
        <v>146.903</v>
      </c>
      <c r="AS284" t="n">
        <v>82.06699999999999</v>
      </c>
      <c r="AT284" t="n">
        <v>107.896</v>
      </c>
      <c r="AU284" t="n">
        <v>114.072</v>
      </c>
      <c r="AV284" t="n">
        <v>125.99</v>
      </c>
      <c r="AW284" t="n">
        <v>134.715</v>
      </c>
      <c r="AX284" t="n">
        <v>132.576</v>
      </c>
      <c r="AY284" t="n">
        <v>136.061</v>
      </c>
      <c r="AZ284" t="n">
        <v>149.306</v>
      </c>
      <c r="BA284" t="n">
        <v>166.156</v>
      </c>
      <c r="BB284" t="n">
        <v>188.489</v>
      </c>
      <c r="BC284" t="n">
        <v>177.109</v>
      </c>
      <c r="BD284" t="n">
        <v>160.422</v>
      </c>
      <c r="BE284" t="n">
        <v>153.483</v>
      </c>
      <c r="BF284" t="n">
        <v>130.446</v>
      </c>
      <c r="BG284" t="n">
        <v>104.704</v>
      </c>
      <c r="BH284" t="n">
        <v>84.34399999999999</v>
      </c>
      <c r="BI284" t="n">
        <v>76.23399999999999</v>
      </c>
      <c r="BJ284" t="n">
        <v>65.952</v>
      </c>
      <c r="BK284" t="n">
        <v>58.307</v>
      </c>
      <c r="BL284" t="n">
        <v>48.874</v>
      </c>
      <c r="BM284" t="n">
        <v>37.42</v>
      </c>
      <c r="BN284" t="n">
        <v>30.257</v>
      </c>
      <c r="BO284" t="n">
        <v>23.696</v>
      </c>
      <c r="BP284" t="n">
        <v>14.438</v>
      </c>
      <c r="BQ284" t="n">
        <v>4.907</v>
      </c>
      <c r="BR284" t="n">
        <v>0</v>
      </c>
      <c r="BS284" t="n">
        <v>0</v>
      </c>
      <c r="BT284" t="n">
        <v>0</v>
      </c>
      <c r="BU284" t="n">
        <v>0</v>
      </c>
      <c r="BV284" t="n">
        <v>0</v>
      </c>
    </row>
    <row r="285">
      <c r="A285" t="inlineStr">
        <is>
          <t>Miscellaneous marine crustaceans</t>
        </is>
      </c>
      <c r="B285" t="inlineStr">
        <is>
          <t>Marine crabs, shrimps, lobsters nei</t>
        </is>
      </c>
      <c r="C285" t="inlineStr">
        <is>
          <t>Shrimps</t>
        </is>
      </c>
      <c r="D285" t="inlineStr">
        <is>
          <t>Crustaceans</t>
        </is>
      </c>
      <c r="E285" t="n">
        <v>0</v>
      </c>
      <c r="F285" t="n">
        <v>0</v>
      </c>
      <c r="G285" t="n">
        <v>0</v>
      </c>
      <c r="H285" t="n">
        <v>0</v>
      </c>
      <c r="I285" t="n">
        <v>0</v>
      </c>
      <c r="J285" t="n">
        <v>0</v>
      </c>
      <c r="K285" t="n">
        <v>0</v>
      </c>
      <c r="L285" t="n">
        <v>0</v>
      </c>
      <c r="M285" t="n">
        <v>0</v>
      </c>
      <c r="N285" t="n">
        <v>0</v>
      </c>
      <c r="O285" t="n">
        <v>41.328</v>
      </c>
      <c r="P285" t="n">
        <v>41.522</v>
      </c>
      <c r="Q285" t="n">
        <v>41.714</v>
      </c>
      <c r="R285" t="n">
        <v>63.445</v>
      </c>
      <c r="S285" t="n">
        <v>64.098</v>
      </c>
      <c r="T285" t="n">
        <v>128.704</v>
      </c>
      <c r="U285" t="n">
        <v>129.975</v>
      </c>
      <c r="V285" t="n">
        <v>107.508</v>
      </c>
      <c r="W285" t="n">
        <v>103.993</v>
      </c>
      <c r="X285" t="n">
        <v>105.117</v>
      </c>
      <c r="Y285" t="n">
        <v>117.207</v>
      </c>
      <c r="Z285" t="n">
        <v>116.907</v>
      </c>
      <c r="AA285" t="n">
        <v>116.639</v>
      </c>
      <c r="AB285" t="n">
        <v>159.379</v>
      </c>
      <c r="AC285" t="n">
        <v>165.845</v>
      </c>
      <c r="AD285" t="n">
        <v>167.3</v>
      </c>
      <c r="AE285" t="n">
        <v>142.966</v>
      </c>
      <c r="AF285" t="n">
        <v>184.909</v>
      </c>
      <c r="AG285" t="n">
        <v>48.102</v>
      </c>
      <c r="AH285" t="n">
        <v>114.442</v>
      </c>
      <c r="AI285" t="n">
        <v>225.926</v>
      </c>
      <c r="AJ285" t="n">
        <v>65.194</v>
      </c>
      <c r="AK285" t="n">
        <v>65.271</v>
      </c>
      <c r="AL285" t="n">
        <v>58.948</v>
      </c>
      <c r="AM285" t="n">
        <v>32.898</v>
      </c>
      <c r="AN285" t="n">
        <v>38.422</v>
      </c>
      <c r="AO285" t="n">
        <v>15.539</v>
      </c>
      <c r="AP285" t="n">
        <v>214.89</v>
      </c>
      <c r="AQ285" t="n">
        <v>200.02</v>
      </c>
      <c r="AR285" t="n">
        <v>111.542</v>
      </c>
      <c r="AS285" t="n">
        <v>160.456</v>
      </c>
      <c r="AT285" t="n">
        <v>224.454</v>
      </c>
      <c r="AU285" t="n">
        <v>125.8</v>
      </c>
      <c r="AV285" t="n">
        <v>14.77</v>
      </c>
      <c r="AW285" t="n">
        <v>0</v>
      </c>
      <c r="AX285" t="n">
        <v>2.693</v>
      </c>
      <c r="AY285" t="n">
        <v>36.718</v>
      </c>
      <c r="AZ285" t="n">
        <v>10.55</v>
      </c>
      <c r="BA285" t="n">
        <v>6.244</v>
      </c>
      <c r="BB285" t="n">
        <v>1.262</v>
      </c>
      <c r="BC285" t="n">
        <v>3.477</v>
      </c>
      <c r="BD285" t="n">
        <v>62.72</v>
      </c>
      <c r="BE285" t="n">
        <v>37.032</v>
      </c>
      <c r="BF285" t="n">
        <v>27.374</v>
      </c>
      <c r="BG285" t="n">
        <v>8.69</v>
      </c>
      <c r="BH285" t="n">
        <v>0</v>
      </c>
      <c r="BI285" t="n">
        <v>3.436</v>
      </c>
      <c r="BJ285" t="n">
        <v>5.727</v>
      </c>
      <c r="BK285" t="n">
        <v>5.018</v>
      </c>
      <c r="BL285" t="n">
        <v>9.718</v>
      </c>
      <c r="BM285" t="n">
        <v>25.119</v>
      </c>
      <c r="BN285" t="n">
        <v>81.22199999999999</v>
      </c>
      <c r="BO285" t="n">
        <v>60.694</v>
      </c>
      <c r="BP285" t="n">
        <v>51.878</v>
      </c>
      <c r="BQ285" t="n">
        <v>44.009</v>
      </c>
      <c r="BR285" t="n">
        <v>49.79</v>
      </c>
      <c r="BS285" t="n">
        <v>47.861</v>
      </c>
      <c r="BT285" t="n">
        <v>50.797</v>
      </c>
      <c r="BU285" t="n">
        <v>49.583</v>
      </c>
      <c r="BV285" t="n">
        <v>30.861</v>
      </c>
    </row>
    <row r="286">
      <c r="A286" t="inlineStr">
        <is>
          <t>Cephalopholis hemistiktos</t>
        </is>
      </c>
      <c r="B286" t="inlineStr">
        <is>
          <t>Yellowfin hind</t>
        </is>
      </c>
      <c r="C286" t="inlineStr">
        <is>
          <t>Medium reef assoc. fish (30 - 89 cm)</t>
        </is>
      </c>
      <c r="D286" t="inlineStr">
        <is>
          <t>Perch-likes</t>
        </is>
      </c>
      <c r="E286" t="n">
        <v>5.259</v>
      </c>
      <c r="F286" t="n">
        <v>5.259</v>
      </c>
      <c r="G286" t="n">
        <v>8.765000000000001</v>
      </c>
      <c r="H286" t="n">
        <v>7.012</v>
      </c>
      <c r="I286" t="n">
        <v>8.765000000000001</v>
      </c>
      <c r="J286" t="n">
        <v>8.765000000000001</v>
      </c>
      <c r="K286" t="n">
        <v>9.641</v>
      </c>
      <c r="L286" t="n">
        <v>14.023</v>
      </c>
      <c r="M286" t="n">
        <v>14.023</v>
      </c>
      <c r="N286" t="n">
        <v>17.529</v>
      </c>
      <c r="O286" t="n">
        <v>17.529</v>
      </c>
      <c r="P286" t="n">
        <v>36.646</v>
      </c>
      <c r="Q286" t="n">
        <v>43.823</v>
      </c>
      <c r="R286" t="n">
        <v>47.059</v>
      </c>
      <c r="S286" t="n">
        <v>37.39</v>
      </c>
      <c r="T286" t="n">
        <v>31.389</v>
      </c>
      <c r="U286" t="n">
        <v>32.541</v>
      </c>
      <c r="V286" t="n">
        <v>22.36</v>
      </c>
      <c r="W286" t="n">
        <v>15.797</v>
      </c>
      <c r="X286" t="n">
        <v>14.957</v>
      </c>
      <c r="Y286" t="n">
        <v>15.548</v>
      </c>
      <c r="Z286" t="n">
        <v>20.238</v>
      </c>
      <c r="AA286" t="n">
        <v>20.381</v>
      </c>
      <c r="AB286" t="n">
        <v>24.467</v>
      </c>
      <c r="AC286" t="n">
        <v>24.72</v>
      </c>
      <c r="AD286" t="n">
        <v>18.888</v>
      </c>
      <c r="AE286" t="n">
        <v>18.619</v>
      </c>
      <c r="AF286" t="n">
        <v>17.272</v>
      </c>
      <c r="AG286" t="n">
        <v>28.485</v>
      </c>
      <c r="AH286" t="n">
        <v>34.952</v>
      </c>
      <c r="AI286" t="n">
        <v>41.366</v>
      </c>
      <c r="AJ286" t="n">
        <v>47.222</v>
      </c>
      <c r="AK286" t="n">
        <v>43.448</v>
      </c>
      <c r="AL286" t="n">
        <v>54.517</v>
      </c>
      <c r="AM286" t="n">
        <v>57.73</v>
      </c>
      <c r="AN286" t="n">
        <v>49.827</v>
      </c>
      <c r="AO286" t="n">
        <v>50.709</v>
      </c>
      <c r="AP286" t="n">
        <v>40.931</v>
      </c>
      <c r="AQ286" t="n">
        <v>35.881</v>
      </c>
      <c r="AR286" t="n">
        <v>37.005</v>
      </c>
      <c r="AS286" t="n">
        <v>27.835</v>
      </c>
      <c r="AT286" t="n">
        <v>26.009</v>
      </c>
      <c r="AU286" t="n">
        <v>40.012</v>
      </c>
      <c r="AV286" t="n">
        <v>40.499</v>
      </c>
      <c r="AW286" t="n">
        <v>58.635</v>
      </c>
      <c r="AX286" t="n">
        <v>65.09399999999999</v>
      </c>
      <c r="AY286" t="n">
        <v>68.985</v>
      </c>
      <c r="AZ286" t="n">
        <v>68.788</v>
      </c>
      <c r="BA286" t="n">
        <v>78.961</v>
      </c>
      <c r="BB286" t="n">
        <v>75.63500000000001</v>
      </c>
      <c r="BC286" t="n">
        <v>67.01900000000001</v>
      </c>
      <c r="BD286" t="n">
        <v>118.746</v>
      </c>
      <c r="BE286" t="n">
        <v>132.837</v>
      </c>
      <c r="BF286" t="n">
        <v>75.777</v>
      </c>
      <c r="BG286" t="n">
        <v>127.412</v>
      </c>
      <c r="BH286" t="n">
        <v>107.521</v>
      </c>
      <c r="BI286" t="n">
        <v>127.444</v>
      </c>
      <c r="BJ286" t="n">
        <v>122.7</v>
      </c>
      <c r="BK286" t="n">
        <v>163.282</v>
      </c>
      <c r="BL286" t="n">
        <v>134.69</v>
      </c>
      <c r="BM286" t="n">
        <v>126.697</v>
      </c>
      <c r="BN286" t="n">
        <v>131.051</v>
      </c>
      <c r="BO286" t="n">
        <v>132.451</v>
      </c>
      <c r="BP286" t="n">
        <v>146.222</v>
      </c>
      <c r="BQ286" t="n">
        <v>139.543</v>
      </c>
      <c r="BR286" t="n">
        <v>138.466</v>
      </c>
      <c r="BS286" t="n">
        <v>138.368</v>
      </c>
      <c r="BT286" t="n">
        <v>145.634</v>
      </c>
      <c r="BU286" t="n">
        <v>144.935</v>
      </c>
      <c r="BV286" t="n">
        <v>142.669</v>
      </c>
    </row>
    <row r="287">
      <c r="A287" t="inlineStr">
        <is>
          <t>Platax orbicularis</t>
        </is>
      </c>
      <c r="B287" t="inlineStr">
        <is>
          <t>Orbicular batfish</t>
        </is>
      </c>
      <c r="C287" t="inlineStr">
        <is>
          <t>Medium reef assoc. fish (30 - 89 cm)</t>
        </is>
      </c>
      <c r="D287" t="inlineStr">
        <is>
          <t>Perch-likes</t>
        </is>
      </c>
      <c r="E287" t="n">
        <v>53.46</v>
      </c>
      <c r="F287" t="n">
        <v>53.766</v>
      </c>
      <c r="G287" t="n">
        <v>53.362</v>
      </c>
      <c r="H287" t="n">
        <v>53.642</v>
      </c>
      <c r="I287" t="n">
        <v>53.913</v>
      </c>
      <c r="J287" t="n">
        <v>54.174</v>
      </c>
      <c r="K287" t="n">
        <v>54.348</v>
      </c>
      <c r="L287" t="n">
        <v>54.931</v>
      </c>
      <c r="M287" t="n">
        <v>55.363</v>
      </c>
      <c r="N287" t="n">
        <v>56.131</v>
      </c>
      <c r="O287" t="n">
        <v>56.542</v>
      </c>
      <c r="P287" t="n">
        <v>57.078</v>
      </c>
      <c r="Q287" t="n">
        <v>57.603</v>
      </c>
      <c r="R287" t="n">
        <v>58.463</v>
      </c>
      <c r="S287" t="n">
        <v>59.103</v>
      </c>
      <c r="T287" t="n">
        <v>59.067</v>
      </c>
      <c r="U287" t="n">
        <v>59.277</v>
      </c>
      <c r="V287" t="n">
        <v>59.677</v>
      </c>
      <c r="W287" t="n">
        <v>59.121</v>
      </c>
      <c r="X287" t="n">
        <v>59.948</v>
      </c>
      <c r="Y287" t="n">
        <v>60.367</v>
      </c>
      <c r="Z287" t="n">
        <v>60.384</v>
      </c>
      <c r="AA287" t="n">
        <v>61.222</v>
      </c>
      <c r="AB287" t="n">
        <v>61.296</v>
      </c>
      <c r="AC287" t="n">
        <v>49.33</v>
      </c>
      <c r="AD287" t="n">
        <v>52.663</v>
      </c>
      <c r="AE287" t="n">
        <v>56.023</v>
      </c>
      <c r="AF287" t="n">
        <v>59.437</v>
      </c>
      <c r="AG287" t="n">
        <v>58.482</v>
      </c>
      <c r="AH287" t="n">
        <v>57.65</v>
      </c>
      <c r="AI287" t="n">
        <v>62.263</v>
      </c>
      <c r="AJ287" t="n">
        <v>63.066</v>
      </c>
      <c r="AK287" t="n">
        <v>50.934</v>
      </c>
      <c r="AL287" t="n">
        <v>51.901</v>
      </c>
      <c r="AM287" t="n">
        <v>52.42</v>
      </c>
      <c r="AN287" t="n">
        <v>53.06</v>
      </c>
      <c r="AO287" t="n">
        <v>51.497</v>
      </c>
      <c r="AP287" t="n">
        <v>59.596</v>
      </c>
      <c r="AQ287" t="n">
        <v>60.854</v>
      </c>
      <c r="AR287" t="n">
        <v>61.77</v>
      </c>
      <c r="AS287" t="n">
        <v>60.38</v>
      </c>
      <c r="AT287" t="n">
        <v>69.627</v>
      </c>
      <c r="AU287" t="n">
        <v>68.574</v>
      </c>
      <c r="AV287" t="n">
        <v>60.134</v>
      </c>
      <c r="AW287" t="n">
        <v>106.889</v>
      </c>
      <c r="AX287" t="n">
        <v>105.092</v>
      </c>
      <c r="AY287" t="n">
        <v>98.26300000000001</v>
      </c>
      <c r="AZ287" t="n">
        <v>135.067</v>
      </c>
      <c r="BA287" t="n">
        <v>105.432</v>
      </c>
      <c r="BB287" t="n">
        <v>95.861</v>
      </c>
      <c r="BC287" t="n">
        <v>86.86799999999999</v>
      </c>
      <c r="BD287" t="n">
        <v>82.812</v>
      </c>
      <c r="BE287" t="n">
        <v>69.64100000000001</v>
      </c>
      <c r="BF287" t="n">
        <v>51.788</v>
      </c>
      <c r="BG287" t="n">
        <v>53.245</v>
      </c>
      <c r="BH287" t="n">
        <v>49.017</v>
      </c>
      <c r="BI287" t="n">
        <v>45.267</v>
      </c>
      <c r="BJ287" t="n">
        <v>40.886</v>
      </c>
      <c r="BK287" t="n">
        <v>35.728</v>
      </c>
      <c r="BL287" t="n">
        <v>33.517</v>
      </c>
      <c r="BM287" t="n">
        <v>27.445</v>
      </c>
      <c r="BN287" t="n">
        <v>36.333</v>
      </c>
      <c r="BO287" t="n">
        <v>33.861</v>
      </c>
      <c r="BP287" t="n">
        <v>35.31</v>
      </c>
      <c r="BQ287" t="n">
        <v>36.293</v>
      </c>
      <c r="BR287" t="n">
        <v>36.034</v>
      </c>
      <c r="BS287" t="n">
        <v>36.11</v>
      </c>
      <c r="BT287" t="n">
        <v>37.733</v>
      </c>
      <c r="BU287" t="n">
        <v>41.558</v>
      </c>
      <c r="BV287" t="n">
        <v>40.039</v>
      </c>
    </row>
    <row r="288">
      <c r="A288" t="inlineStr">
        <is>
          <t>Crenidens crenidens</t>
        </is>
      </c>
      <c r="B288" t="inlineStr">
        <is>
          <t>Karanteen seabream</t>
        </is>
      </c>
      <c r="C288" t="inlineStr">
        <is>
          <t>Small demersals (&lt;30 cm)</t>
        </is>
      </c>
      <c r="D288" t="inlineStr">
        <is>
          <t>Perch-likes</t>
        </is>
      </c>
      <c r="E288" t="n">
        <v>8.237</v>
      </c>
      <c r="F288" t="n">
        <v>8.237</v>
      </c>
      <c r="G288" t="n">
        <v>13.728</v>
      </c>
      <c r="H288" t="n">
        <v>10.983</v>
      </c>
      <c r="I288" t="n">
        <v>13.728</v>
      </c>
      <c r="J288" t="n">
        <v>13.728</v>
      </c>
      <c r="K288" t="n">
        <v>15.101</v>
      </c>
      <c r="L288" t="n">
        <v>21.966</v>
      </c>
      <c r="M288" t="n">
        <v>21.966</v>
      </c>
      <c r="N288" t="n">
        <v>27.457</v>
      </c>
      <c r="O288" t="n">
        <v>27.457</v>
      </c>
      <c r="P288" t="n">
        <v>57.401</v>
      </c>
      <c r="Q288" t="n">
        <v>68.642</v>
      </c>
      <c r="R288" t="n">
        <v>73.711</v>
      </c>
      <c r="S288" t="n">
        <v>58.566</v>
      </c>
      <c r="T288" t="n">
        <v>49.166</v>
      </c>
      <c r="U288" t="n">
        <v>50.971</v>
      </c>
      <c r="V288" t="n">
        <v>35.023</v>
      </c>
      <c r="W288" t="n">
        <v>24.744</v>
      </c>
      <c r="X288" t="n">
        <v>23.428</v>
      </c>
      <c r="Y288" t="n">
        <v>24.355</v>
      </c>
      <c r="Z288" t="n">
        <v>31.7</v>
      </c>
      <c r="AA288" t="n">
        <v>31.924</v>
      </c>
      <c r="AB288" t="n">
        <v>38.324</v>
      </c>
      <c r="AC288" t="n">
        <v>38.72</v>
      </c>
      <c r="AD288" t="n">
        <v>29.586</v>
      </c>
      <c r="AE288" t="n">
        <v>29.165</v>
      </c>
      <c r="AF288" t="n">
        <v>27.055</v>
      </c>
      <c r="AG288" t="n">
        <v>44.618</v>
      </c>
      <c r="AH288" t="n">
        <v>54.748</v>
      </c>
      <c r="AI288" t="n">
        <v>64.795</v>
      </c>
      <c r="AJ288" t="n">
        <v>73.96599999999999</v>
      </c>
      <c r="AK288" t="n">
        <v>68.05500000000001</v>
      </c>
      <c r="AL288" t="n">
        <v>85.393</v>
      </c>
      <c r="AM288" t="n">
        <v>90.426</v>
      </c>
      <c r="AN288" t="n">
        <v>78.047</v>
      </c>
      <c r="AO288" t="n">
        <v>79.428</v>
      </c>
      <c r="AP288" t="n">
        <v>64.114</v>
      </c>
      <c r="AQ288" t="n">
        <v>56.202</v>
      </c>
      <c r="AR288" t="n">
        <v>57.963</v>
      </c>
      <c r="AS288" t="n">
        <v>43.6</v>
      </c>
      <c r="AT288" t="n">
        <v>40.74</v>
      </c>
      <c r="AU288" t="n">
        <v>62.673</v>
      </c>
      <c r="AV288" t="n">
        <v>63.436</v>
      </c>
      <c r="AW288" t="n">
        <v>91.84399999999999</v>
      </c>
      <c r="AX288" t="n">
        <v>101.96</v>
      </c>
      <c r="AY288" t="n">
        <v>108.056</v>
      </c>
      <c r="AZ288" t="n">
        <v>107.747</v>
      </c>
      <c r="BA288" t="n">
        <v>123.682</v>
      </c>
      <c r="BB288" t="n">
        <v>118.473</v>
      </c>
      <c r="BC288" t="n">
        <v>21.591</v>
      </c>
      <c r="BD288" t="n">
        <v>0</v>
      </c>
      <c r="BE288" t="n">
        <v>686.296</v>
      </c>
      <c r="BF288" t="n">
        <v>0</v>
      </c>
      <c r="BG288" t="n">
        <v>115.246</v>
      </c>
      <c r="BH288" t="n">
        <v>0</v>
      </c>
      <c r="BI288" t="n">
        <v>0.296</v>
      </c>
      <c r="BJ288" t="n">
        <v>90.705</v>
      </c>
      <c r="BK288" t="n">
        <v>43.22</v>
      </c>
      <c r="BL288" t="n">
        <v>58.754</v>
      </c>
      <c r="BM288" t="n">
        <v>36.972</v>
      </c>
      <c r="BN288" t="n">
        <v>38.242</v>
      </c>
      <c r="BO288" t="n">
        <v>38.651</v>
      </c>
      <c r="BP288" t="n">
        <v>42.669</v>
      </c>
      <c r="BQ288" t="n">
        <v>40.72</v>
      </c>
      <c r="BR288" t="n">
        <v>40.406</v>
      </c>
      <c r="BS288" t="n">
        <v>40.378</v>
      </c>
      <c r="BT288" t="n">
        <v>73.471</v>
      </c>
      <c r="BU288" t="n">
        <v>66.134</v>
      </c>
      <c r="BV288" t="n">
        <v>65.063</v>
      </c>
    </row>
    <row r="289">
      <c r="A289" t="inlineStr">
        <is>
          <t>Hemiramphidae</t>
        </is>
      </c>
      <c r="B289" t="inlineStr">
        <is>
          <t>Halfbeaks, garfishes</t>
        </is>
      </c>
      <c r="C289" t="inlineStr">
        <is>
          <t>Medium pelagics (30 - 89 cm)</t>
        </is>
      </c>
      <c r="D289" t="inlineStr">
        <is>
          <t>Other fishes &amp; inverts</t>
        </is>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15.569</v>
      </c>
      <c r="AN289" t="n">
        <v>20.163</v>
      </c>
      <c r="AO289" t="n">
        <v>23.118</v>
      </c>
      <c r="AP289" t="n">
        <v>6.933</v>
      </c>
      <c r="AQ289" t="n">
        <v>23.067</v>
      </c>
      <c r="AR289" t="n">
        <v>23.041</v>
      </c>
      <c r="AS289" t="n">
        <v>19.066</v>
      </c>
      <c r="AT289" t="n">
        <v>46.094</v>
      </c>
      <c r="AU289" t="n">
        <v>25.713</v>
      </c>
      <c r="AV289" t="n">
        <v>46.439</v>
      </c>
      <c r="AW289" t="n">
        <v>79.09699999999999</v>
      </c>
      <c r="AX289" t="n">
        <v>73.48699999999999</v>
      </c>
      <c r="AY289" t="n">
        <v>87.773</v>
      </c>
      <c r="AZ289" t="n">
        <v>59.071</v>
      </c>
      <c r="BA289" t="n">
        <v>137.34</v>
      </c>
      <c r="BB289" t="n">
        <v>301.992</v>
      </c>
      <c r="BC289" t="n">
        <v>68.42100000000001</v>
      </c>
      <c r="BD289" t="n">
        <v>91.36</v>
      </c>
      <c r="BE289" t="n">
        <v>50.14</v>
      </c>
      <c r="BF289" t="n">
        <v>200.461</v>
      </c>
      <c r="BG289" t="n">
        <v>83.539</v>
      </c>
      <c r="BH289" t="n">
        <v>87.456</v>
      </c>
      <c r="BI289" t="n">
        <v>160.56</v>
      </c>
      <c r="BJ289" t="n">
        <v>109.555</v>
      </c>
      <c r="BK289" t="n">
        <v>90.863</v>
      </c>
      <c r="BL289" t="n">
        <v>169.173</v>
      </c>
      <c r="BM289" t="n">
        <v>134.631</v>
      </c>
      <c r="BN289" t="n">
        <v>29.714</v>
      </c>
      <c r="BO289" t="n">
        <v>113.726</v>
      </c>
      <c r="BP289" t="n">
        <v>130.197</v>
      </c>
      <c r="BQ289" t="n">
        <v>135.672</v>
      </c>
      <c r="BR289" t="n">
        <v>128.24</v>
      </c>
      <c r="BS289" t="n">
        <v>128.778</v>
      </c>
      <c r="BT289" t="n">
        <v>162.741</v>
      </c>
      <c r="BU289" t="n">
        <v>685.759</v>
      </c>
      <c r="BV289" t="n">
        <v>143.213</v>
      </c>
    </row>
    <row r="290">
      <c r="A290" t="inlineStr">
        <is>
          <t>Plectorhinchus schotaf</t>
        </is>
      </c>
      <c r="B290" t="inlineStr">
        <is>
          <t>Minstrel sweetlips</t>
        </is>
      </c>
      <c r="C290" t="inlineStr">
        <is>
          <t>Medium reef assoc. fish (30 - 89 cm)</t>
        </is>
      </c>
      <c r="D290" t="inlineStr">
        <is>
          <t>Perch-likes</t>
        </is>
      </c>
      <c r="E290" t="n">
        <v>8.430999999999999</v>
      </c>
      <c r="F290" t="n">
        <v>8.523</v>
      </c>
      <c r="G290" t="n">
        <v>11.247</v>
      </c>
      <c r="H290" t="n">
        <v>10.027</v>
      </c>
      <c r="I290" t="n">
        <v>11.439</v>
      </c>
      <c r="J290" t="n">
        <v>11.539</v>
      </c>
      <c r="K290" t="n">
        <v>12.297</v>
      </c>
      <c r="L290" t="n">
        <v>15.689</v>
      </c>
      <c r="M290" t="n">
        <v>15.794</v>
      </c>
      <c r="N290" t="n">
        <v>18.532</v>
      </c>
      <c r="O290" t="n">
        <v>18.642</v>
      </c>
      <c r="P290" t="n">
        <v>33.097</v>
      </c>
      <c r="Q290" t="n">
        <v>38.596</v>
      </c>
      <c r="R290" t="n">
        <v>41.14</v>
      </c>
      <c r="S290" t="n">
        <v>34.005</v>
      </c>
      <c r="T290" t="n">
        <v>29.624</v>
      </c>
      <c r="U290" t="n">
        <v>30.612</v>
      </c>
      <c r="V290" t="n">
        <v>23.275</v>
      </c>
      <c r="W290" t="n">
        <v>18.652</v>
      </c>
      <c r="X290" t="n">
        <v>18.323</v>
      </c>
      <c r="Y290" t="n">
        <v>19.068</v>
      </c>
      <c r="Z290" t="n">
        <v>22.888</v>
      </c>
      <c r="AA290" t="n">
        <v>23.296</v>
      </c>
      <c r="AB290" t="n">
        <v>26.664</v>
      </c>
      <c r="AC290" t="n">
        <v>27.155</v>
      </c>
      <c r="AD290" t="n">
        <v>22.395</v>
      </c>
      <c r="AE290" t="n">
        <v>22.452</v>
      </c>
      <c r="AF290" t="n">
        <v>21.698</v>
      </c>
      <c r="AG290" t="n">
        <v>30.367</v>
      </c>
      <c r="AH290" t="n">
        <v>35.473</v>
      </c>
      <c r="AI290" t="n">
        <v>40.539</v>
      </c>
      <c r="AJ290" t="n">
        <v>45.184</v>
      </c>
      <c r="AK290" t="n">
        <v>41.994</v>
      </c>
      <c r="AL290" t="n">
        <v>51.783</v>
      </c>
      <c r="AM290" t="n">
        <v>59.847</v>
      </c>
      <c r="AN290" t="n">
        <v>50.379</v>
      </c>
      <c r="AO290" t="n">
        <v>58.823</v>
      </c>
      <c r="AP290" t="n">
        <v>46.297</v>
      </c>
      <c r="AQ290" t="n">
        <v>46.11</v>
      </c>
      <c r="AR290" t="n">
        <v>43.772</v>
      </c>
      <c r="AS290" t="n">
        <v>33.726</v>
      </c>
      <c r="AT290" t="n">
        <v>32.818</v>
      </c>
      <c r="AU290" t="n">
        <v>47.005</v>
      </c>
      <c r="AV290" t="n">
        <v>51.035</v>
      </c>
      <c r="AW290" t="n">
        <v>68.288</v>
      </c>
      <c r="AX290" t="n">
        <v>75.867</v>
      </c>
      <c r="AY290" t="n">
        <v>81.50700000000001</v>
      </c>
      <c r="AZ290" t="n">
        <v>84.066</v>
      </c>
      <c r="BA290" t="n">
        <v>94.39100000000001</v>
      </c>
      <c r="BB290" t="n">
        <v>95.676</v>
      </c>
      <c r="BC290" t="n">
        <v>66.982</v>
      </c>
      <c r="BD290" t="n">
        <v>82.685</v>
      </c>
      <c r="BE290" t="n">
        <v>114.089</v>
      </c>
      <c r="BF290" t="n">
        <v>148.835</v>
      </c>
      <c r="BG290" t="n">
        <v>176.567</v>
      </c>
      <c r="BH290" t="n">
        <v>141.641</v>
      </c>
      <c r="BI290" t="n">
        <v>155.198</v>
      </c>
      <c r="BJ290" t="n">
        <v>149.35</v>
      </c>
      <c r="BK290" t="n">
        <v>142.955</v>
      </c>
      <c r="BL290" t="n">
        <v>126.954</v>
      </c>
      <c r="BM290" t="n">
        <v>71.58</v>
      </c>
      <c r="BN290" t="n">
        <v>71.977</v>
      </c>
      <c r="BO290" t="n">
        <v>70.968</v>
      </c>
      <c r="BP290" t="n">
        <v>75.84999999999999</v>
      </c>
      <c r="BQ290" t="n">
        <v>70.99299999999999</v>
      </c>
      <c r="BR290" t="n">
        <v>71.086</v>
      </c>
      <c r="BS290" t="n">
        <v>71.645</v>
      </c>
      <c r="BT290" t="n">
        <v>76.679</v>
      </c>
      <c r="BU290" t="n">
        <v>71.27200000000001</v>
      </c>
      <c r="BV290" t="n">
        <v>70.89700000000001</v>
      </c>
    </row>
    <row r="291">
      <c r="A291" t="inlineStr">
        <is>
          <t>Acanthurus dussumieri</t>
        </is>
      </c>
      <c r="B291" t="inlineStr">
        <is>
          <t>Eyestripe surgeonfish</t>
        </is>
      </c>
      <c r="C291" t="inlineStr">
        <is>
          <t>Medium reef assoc. fish (30 - 89 cm)</t>
        </is>
      </c>
      <c r="D291" t="inlineStr">
        <is>
          <t>Perch-likes</t>
        </is>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70.374</v>
      </c>
      <c r="BH291" t="n">
        <v>158.704</v>
      </c>
      <c r="BI291" t="n">
        <v>200.585</v>
      </c>
      <c r="BJ291" t="n">
        <v>278.158</v>
      </c>
      <c r="BK291" t="n">
        <v>388.036</v>
      </c>
      <c r="BL291" t="n">
        <v>317.35</v>
      </c>
      <c r="BM291" t="n">
        <v>258.877</v>
      </c>
      <c r="BN291" t="n">
        <v>240.732</v>
      </c>
      <c r="BO291" t="n">
        <v>199.955</v>
      </c>
      <c r="BP291" t="n">
        <v>253.094</v>
      </c>
      <c r="BQ291" t="n">
        <v>240.323</v>
      </c>
      <c r="BR291" t="n">
        <v>251.18</v>
      </c>
      <c r="BS291" t="n">
        <v>240.972</v>
      </c>
      <c r="BT291" t="n">
        <v>240.973</v>
      </c>
      <c r="BU291" t="n">
        <v>240.975</v>
      </c>
      <c r="BV291" t="n">
        <v>221.539</v>
      </c>
    </row>
    <row r="292">
      <c r="A292" t="inlineStr">
        <is>
          <t>Rajiformes</t>
        </is>
      </c>
      <c r="B292" t="inlineStr">
        <is>
          <t>Skates and rays</t>
        </is>
      </c>
      <c r="C292" t="inlineStr">
        <is>
          <t>Large rays (&gt;=90 cm)</t>
        </is>
      </c>
      <c r="D292" t="inlineStr">
        <is>
          <t>Sharks &amp; rays</t>
        </is>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389.063</v>
      </c>
      <c r="AC292" t="n">
        <v>381.43</v>
      </c>
      <c r="AD292" t="n">
        <v>83.06699999999999</v>
      </c>
      <c r="AE292" t="n">
        <v>8.965</v>
      </c>
      <c r="AF292" t="n">
        <v>109.551</v>
      </c>
      <c r="AG292" t="n">
        <v>104.778</v>
      </c>
      <c r="AH292" t="n">
        <v>157.58</v>
      </c>
      <c r="AI292" t="n">
        <v>67.72</v>
      </c>
      <c r="AJ292" t="n">
        <v>88.571</v>
      </c>
      <c r="AK292" t="n">
        <v>43.207</v>
      </c>
      <c r="AL292" t="n">
        <v>217.02</v>
      </c>
      <c r="AM292" t="n">
        <v>185.695</v>
      </c>
      <c r="AN292" t="n">
        <v>75.97799999999999</v>
      </c>
      <c r="AO292" t="n">
        <v>67.636</v>
      </c>
      <c r="AP292" t="n">
        <v>57.21</v>
      </c>
      <c r="AQ292" t="n">
        <v>137.823</v>
      </c>
      <c r="AR292" t="n">
        <v>22.958</v>
      </c>
      <c r="AS292" t="n">
        <v>20.828</v>
      </c>
      <c r="AT292" t="n">
        <v>116.926</v>
      </c>
      <c r="AU292" t="n">
        <v>138.21</v>
      </c>
      <c r="AV292" t="n">
        <v>146.723</v>
      </c>
      <c r="AW292" t="n">
        <v>241.577</v>
      </c>
      <c r="AX292" t="n">
        <v>9.609</v>
      </c>
      <c r="AY292" t="n">
        <v>35.627</v>
      </c>
      <c r="AZ292" t="n">
        <v>19.673</v>
      </c>
      <c r="BA292" t="n">
        <v>56.775</v>
      </c>
      <c r="BB292" t="n">
        <v>27.956</v>
      </c>
      <c r="BC292" t="n">
        <v>2.416</v>
      </c>
      <c r="BD292" t="n">
        <v>3.969</v>
      </c>
      <c r="BE292" t="n">
        <v>12.113</v>
      </c>
      <c r="BF292" t="n">
        <v>17.814</v>
      </c>
      <c r="BG292" t="n">
        <v>2.706</v>
      </c>
      <c r="BH292" t="n">
        <v>0.167</v>
      </c>
      <c r="BI292" t="n">
        <v>0</v>
      </c>
      <c r="BJ292" t="n">
        <v>0</v>
      </c>
      <c r="BK292" t="n">
        <v>0</v>
      </c>
      <c r="BL292" t="n">
        <v>0</v>
      </c>
      <c r="BM292" t="n">
        <v>51.11</v>
      </c>
      <c r="BN292" t="n">
        <v>56.025</v>
      </c>
      <c r="BO292" t="n">
        <v>64.913</v>
      </c>
      <c r="BP292" t="n">
        <v>89.68300000000001</v>
      </c>
      <c r="BQ292" t="n">
        <v>87.783</v>
      </c>
      <c r="BR292" t="n">
        <v>86.05800000000001</v>
      </c>
      <c r="BS292" t="n">
        <v>100.175</v>
      </c>
      <c r="BT292" t="n">
        <v>52.01</v>
      </c>
      <c r="BU292" t="n">
        <v>45.026</v>
      </c>
      <c r="BV292" t="n">
        <v>40.42</v>
      </c>
    </row>
    <row r="293">
      <c r="A293" t="inlineStr">
        <is>
          <t>Caranx sexfasciatus</t>
        </is>
      </c>
      <c r="B293" t="inlineStr">
        <is>
          <t>Bigeye trevally</t>
        </is>
      </c>
      <c r="C293" t="inlineStr">
        <is>
          <t>Large reef assoc. fish (&gt;=90 cm)</t>
        </is>
      </c>
      <c r="D293" t="inlineStr">
        <is>
          <t>Perch-likes</t>
        </is>
      </c>
      <c r="E293" t="n">
        <v>7.595</v>
      </c>
      <c r="F293" t="n">
        <v>7.692</v>
      </c>
      <c r="G293" t="n">
        <v>9.224</v>
      </c>
      <c r="H293" t="n">
        <v>8.598000000000001</v>
      </c>
      <c r="I293" t="n">
        <v>9.427</v>
      </c>
      <c r="J293" t="n">
        <v>9.531000000000001</v>
      </c>
      <c r="K293" t="n">
        <v>9.999000000000001</v>
      </c>
      <c r="L293" t="n">
        <v>11.923</v>
      </c>
      <c r="M293" t="n">
        <v>12.032</v>
      </c>
      <c r="N293" t="n">
        <v>13.596</v>
      </c>
      <c r="O293" t="n">
        <v>13.792</v>
      </c>
      <c r="P293" t="n">
        <v>21.849</v>
      </c>
      <c r="Q293" t="n">
        <v>24.966</v>
      </c>
      <c r="R293" t="n">
        <v>26.507</v>
      </c>
      <c r="S293" t="n">
        <v>22.661</v>
      </c>
      <c r="T293" t="n">
        <v>20.741</v>
      </c>
      <c r="U293" t="n">
        <v>22.104</v>
      </c>
      <c r="V293" t="n">
        <v>17.886</v>
      </c>
      <c r="W293" t="n">
        <v>15.572</v>
      </c>
      <c r="X293" t="n">
        <v>17.77</v>
      </c>
      <c r="Y293" t="n">
        <v>16.144</v>
      </c>
      <c r="Z293" t="n">
        <v>18.706</v>
      </c>
      <c r="AA293" t="n">
        <v>21.545</v>
      </c>
      <c r="AB293" t="n">
        <v>24.967</v>
      </c>
      <c r="AC293" t="n">
        <v>22.964</v>
      </c>
      <c r="AD293" t="n">
        <v>20.383</v>
      </c>
      <c r="AE293" t="n">
        <v>21.472</v>
      </c>
      <c r="AF293" t="n">
        <v>21.095</v>
      </c>
      <c r="AG293" t="n">
        <v>27.312</v>
      </c>
      <c r="AH293" t="n">
        <v>30.112</v>
      </c>
      <c r="AI293" t="n">
        <v>32.429</v>
      </c>
      <c r="AJ293" t="n">
        <v>36.38</v>
      </c>
      <c r="AK293" t="n">
        <v>35.765</v>
      </c>
      <c r="AL293" t="n">
        <v>41.336</v>
      </c>
      <c r="AM293" t="n">
        <v>47.369</v>
      </c>
      <c r="AN293" t="n">
        <v>43.323</v>
      </c>
      <c r="AO293" t="n">
        <v>48.879</v>
      </c>
      <c r="AP293" t="n">
        <v>41.615</v>
      </c>
      <c r="AQ293" t="n">
        <v>38.947</v>
      </c>
      <c r="AR293" t="n">
        <v>38.05</v>
      </c>
      <c r="AS293" t="n">
        <v>31.926</v>
      </c>
      <c r="AT293" t="n">
        <v>34.843</v>
      </c>
      <c r="AU293" t="n">
        <v>45.373</v>
      </c>
      <c r="AV293" t="n">
        <v>49.31</v>
      </c>
      <c r="AW293" t="n">
        <v>58.528</v>
      </c>
      <c r="AX293" t="n">
        <v>63.813</v>
      </c>
      <c r="AY293" t="n">
        <v>69.565</v>
      </c>
      <c r="AZ293" t="n">
        <v>77.27</v>
      </c>
      <c r="BA293" t="n">
        <v>80.56100000000001</v>
      </c>
      <c r="BB293" t="n">
        <v>76.131</v>
      </c>
      <c r="BC293" t="n">
        <v>68.964</v>
      </c>
      <c r="BD293" t="n">
        <v>69.70099999999999</v>
      </c>
      <c r="BE293" t="n">
        <v>62.847</v>
      </c>
      <c r="BF293" t="n">
        <v>54.399</v>
      </c>
      <c r="BG293" t="n">
        <v>114.031</v>
      </c>
      <c r="BH293" t="n">
        <v>45.327</v>
      </c>
      <c r="BI293" t="n">
        <v>92.863</v>
      </c>
      <c r="BJ293" t="n">
        <v>83.161</v>
      </c>
      <c r="BK293" t="n">
        <v>120.021</v>
      </c>
      <c r="BL293" t="n">
        <v>127.749</v>
      </c>
      <c r="BM293" t="n">
        <v>122.88</v>
      </c>
      <c r="BN293" t="n">
        <v>128.297</v>
      </c>
      <c r="BO293" t="n">
        <v>124.939</v>
      </c>
      <c r="BP293" t="n">
        <v>122.884</v>
      </c>
      <c r="BQ293" t="n">
        <v>116.624</v>
      </c>
      <c r="BR293" t="n">
        <v>114.842</v>
      </c>
      <c r="BS293" t="n">
        <v>115.779</v>
      </c>
      <c r="BT293" t="n">
        <v>104.138</v>
      </c>
      <c r="BU293" t="n">
        <v>101.196</v>
      </c>
      <c r="BV293" t="n">
        <v>308.421</v>
      </c>
    </row>
    <row r="294">
      <c r="A294" t="inlineStr">
        <is>
          <t>Lethrinus mahsena</t>
        </is>
      </c>
      <c r="B294" t="inlineStr">
        <is>
          <t>Sky emperor</t>
        </is>
      </c>
      <c r="C294" t="inlineStr">
        <is>
          <t>Medium reef assoc. fish (30 - 89 cm)</t>
        </is>
      </c>
      <c r="D294" t="inlineStr">
        <is>
          <t>Perch-likes</t>
        </is>
      </c>
      <c r="E294" t="n">
        <v>15.782</v>
      </c>
      <c r="F294" t="n">
        <v>16.104</v>
      </c>
      <c r="G294" t="n">
        <v>16.433</v>
      </c>
      <c r="H294" t="n">
        <v>16.768</v>
      </c>
      <c r="I294" t="n">
        <v>17.11</v>
      </c>
      <c r="J294" t="n">
        <v>17.459</v>
      </c>
      <c r="K294" t="n">
        <v>17.816</v>
      </c>
      <c r="L294" t="n">
        <v>18.179</v>
      </c>
      <c r="M294" t="n">
        <v>18.55</v>
      </c>
      <c r="N294" t="n">
        <v>18.928</v>
      </c>
      <c r="O294" t="n">
        <v>19.315</v>
      </c>
      <c r="P294" t="n">
        <v>19.709</v>
      </c>
      <c r="Q294" t="n">
        <v>20.111</v>
      </c>
      <c r="R294" t="n">
        <v>20.521</v>
      </c>
      <c r="S294" t="n">
        <v>20.939</v>
      </c>
      <c r="T294" t="n">
        <v>21.367</v>
      </c>
      <c r="U294" t="n">
        <v>21.806</v>
      </c>
      <c r="V294" t="n">
        <v>22.865</v>
      </c>
      <c r="W294" t="n">
        <v>23.925</v>
      </c>
      <c r="X294" t="n">
        <v>24.984</v>
      </c>
      <c r="Y294" t="n">
        <v>26.044</v>
      </c>
      <c r="Z294" t="n">
        <v>27.104</v>
      </c>
      <c r="AA294" t="n">
        <v>28.163</v>
      </c>
      <c r="AB294" t="n">
        <v>29.223</v>
      </c>
      <c r="AC294" t="n">
        <v>30.283</v>
      </c>
      <c r="AD294" t="n">
        <v>28.932</v>
      </c>
      <c r="AE294" t="n">
        <v>29.842</v>
      </c>
      <c r="AF294" t="n">
        <v>30.742</v>
      </c>
      <c r="AG294" t="n">
        <v>31.642</v>
      </c>
      <c r="AH294" t="n">
        <v>32.538</v>
      </c>
      <c r="AI294" t="n">
        <v>33.43</v>
      </c>
      <c r="AJ294" t="n">
        <v>34.316</v>
      </c>
      <c r="AK294" t="n">
        <v>33.055</v>
      </c>
      <c r="AL294" t="n">
        <v>38.281</v>
      </c>
      <c r="AM294" t="n">
        <v>58.161</v>
      </c>
      <c r="AN294" t="n">
        <v>45.716</v>
      </c>
      <c r="AO294" t="n">
        <v>73.08499999999999</v>
      </c>
      <c r="AP294" t="n">
        <v>54.83</v>
      </c>
      <c r="AQ294" t="n">
        <v>67.499</v>
      </c>
      <c r="AR294" t="n">
        <v>56.308</v>
      </c>
      <c r="AS294" t="n">
        <v>45.17</v>
      </c>
      <c r="AT294" t="n">
        <v>46.795</v>
      </c>
      <c r="AU294" t="n">
        <v>59.748</v>
      </c>
      <c r="AV294" t="n">
        <v>72.63500000000001</v>
      </c>
      <c r="AW294" t="n">
        <v>85.459</v>
      </c>
      <c r="AX294" t="n">
        <v>95.074</v>
      </c>
      <c r="AY294" t="n">
        <v>104.638</v>
      </c>
      <c r="AZ294" t="n">
        <v>114.171</v>
      </c>
      <c r="BA294" t="n">
        <v>123.649</v>
      </c>
      <c r="BB294" t="n">
        <v>138.807</v>
      </c>
      <c r="BC294" t="n">
        <v>149.225</v>
      </c>
      <c r="BD294" t="n">
        <v>137.636</v>
      </c>
      <c r="BE294" t="n">
        <v>125.993</v>
      </c>
      <c r="BF294" t="n">
        <v>113.84</v>
      </c>
      <c r="BG294" t="n">
        <v>101.743</v>
      </c>
      <c r="BH294" t="n">
        <v>89.703</v>
      </c>
      <c r="BI294" t="n">
        <v>70.947</v>
      </c>
      <c r="BJ294" t="n">
        <v>52.278</v>
      </c>
      <c r="BK294" t="n">
        <v>52.738</v>
      </c>
      <c r="BL294" t="n">
        <v>46.573</v>
      </c>
      <c r="BM294" t="n">
        <v>40.339</v>
      </c>
      <c r="BN294" t="n">
        <v>34.328</v>
      </c>
      <c r="BO294" t="n">
        <v>28.316</v>
      </c>
      <c r="BP294" t="n">
        <v>22.304</v>
      </c>
      <c r="BQ294" t="n">
        <v>16.292</v>
      </c>
      <c r="BR294" t="n">
        <v>18.464</v>
      </c>
      <c r="BS294" t="n">
        <v>20.636</v>
      </c>
      <c r="BT294" t="n">
        <v>22.808</v>
      </c>
      <c r="BU294" t="n">
        <v>24.98</v>
      </c>
      <c r="BV294" t="n">
        <v>95.80800000000001</v>
      </c>
    </row>
    <row r="295">
      <c r="A295" t="inlineStr">
        <is>
          <t>Nebrius ferrugineus</t>
        </is>
      </c>
      <c r="B295" t="inlineStr">
        <is>
          <t>Tawny nurse shark</t>
        </is>
      </c>
      <c r="C295" t="inlineStr">
        <is>
          <t>Large sharks (&gt;=90 cm)</t>
        </is>
      </c>
      <c r="D295" t="inlineStr">
        <is>
          <t>Sharks &amp; rays</t>
        </is>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58.378</v>
      </c>
      <c r="Z295" t="n">
        <v>61.435</v>
      </c>
      <c r="AA295" t="n">
        <v>75.559</v>
      </c>
      <c r="AB295" t="n">
        <v>99.989</v>
      </c>
      <c r="AC295" t="n">
        <v>114.461</v>
      </c>
      <c r="AD295" t="n">
        <v>108.671</v>
      </c>
      <c r="AE295" t="n">
        <v>96.01300000000001</v>
      </c>
      <c r="AF295" t="n">
        <v>125.084</v>
      </c>
      <c r="AG295" t="n">
        <v>23.285</v>
      </c>
      <c r="AH295" t="n">
        <v>43.271</v>
      </c>
      <c r="AI295" t="n">
        <v>30.198</v>
      </c>
      <c r="AJ295" t="n">
        <v>10.734</v>
      </c>
      <c r="AK295" t="n">
        <v>11.519</v>
      </c>
      <c r="AL295" t="n">
        <v>19.309</v>
      </c>
      <c r="AM295" t="n">
        <v>20.275</v>
      </c>
      <c r="AN295" t="n">
        <v>17.412</v>
      </c>
      <c r="AO295" t="n">
        <v>21.474</v>
      </c>
      <c r="AP295" t="n">
        <v>17.501</v>
      </c>
      <c r="AQ295" t="n">
        <v>16.535</v>
      </c>
      <c r="AR295" t="n">
        <v>17.557</v>
      </c>
      <c r="AS295" t="n">
        <v>8.791</v>
      </c>
      <c r="AT295" t="n">
        <v>238.09</v>
      </c>
      <c r="AU295" t="n">
        <v>198.228</v>
      </c>
      <c r="AV295" t="n">
        <v>110.622</v>
      </c>
      <c r="AW295" t="n">
        <v>139.582</v>
      </c>
      <c r="AX295" t="n">
        <v>49.125</v>
      </c>
      <c r="AY295" t="n">
        <v>52.487</v>
      </c>
      <c r="AZ295" t="n">
        <v>64.379</v>
      </c>
      <c r="BA295" t="n">
        <v>106.607</v>
      </c>
      <c r="BB295" t="n">
        <v>116.11</v>
      </c>
      <c r="BC295" t="n">
        <v>103.569</v>
      </c>
      <c r="BD295" t="n">
        <v>95.94799999999999</v>
      </c>
      <c r="BE295" t="n">
        <v>84.542</v>
      </c>
      <c r="BF295" t="n">
        <v>91.414</v>
      </c>
      <c r="BG295" t="n">
        <v>89.41</v>
      </c>
      <c r="BH295" t="n">
        <v>76.331</v>
      </c>
      <c r="BI295" t="n">
        <v>65.77500000000001</v>
      </c>
      <c r="BJ295" t="n">
        <v>46.404</v>
      </c>
      <c r="BK295" t="n">
        <v>44.535</v>
      </c>
      <c r="BL295" t="n">
        <v>55.78</v>
      </c>
      <c r="BM295" t="n">
        <v>37.577</v>
      </c>
      <c r="BN295" t="n">
        <v>40.139</v>
      </c>
      <c r="BO295" t="n">
        <v>52.815</v>
      </c>
      <c r="BP295" t="n">
        <v>38.593</v>
      </c>
      <c r="BQ295" t="n">
        <v>61.039</v>
      </c>
      <c r="BR295" t="n">
        <v>83.432</v>
      </c>
      <c r="BS295" t="n">
        <v>22.329</v>
      </c>
      <c r="BT295" t="n">
        <v>44.629</v>
      </c>
      <c r="BU295" t="n">
        <v>39.566</v>
      </c>
      <c r="BV295" t="n">
        <v>51.426</v>
      </c>
    </row>
    <row r="296">
      <c r="A296" t="inlineStr">
        <is>
          <t>Solenidae</t>
        </is>
      </c>
      <c r="B296" t="inlineStr">
        <is>
          <t>Razor, knife clams</t>
        </is>
      </c>
      <c r="C296" t="inlineStr">
        <is>
          <t>Other demersal invertebrates</t>
        </is>
      </c>
      <c r="D296" t="inlineStr">
        <is>
          <t>Molluscs</t>
        </is>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11.641</v>
      </c>
      <c r="BK296" t="n">
        <v>17.461</v>
      </c>
      <c r="BL296" t="n">
        <v>143.567</v>
      </c>
      <c r="BM296" t="n">
        <v>184.309</v>
      </c>
      <c r="BN296" t="n">
        <v>170.728</v>
      </c>
      <c r="BO296" t="n">
        <v>192.069</v>
      </c>
      <c r="BP296" t="n">
        <v>194.98</v>
      </c>
      <c r="BQ296" t="n">
        <v>181.399</v>
      </c>
      <c r="BR296" t="n">
        <v>189.159</v>
      </c>
      <c r="BS296" t="n">
        <v>377.349</v>
      </c>
      <c r="BT296" t="n">
        <v>398.69</v>
      </c>
      <c r="BU296" t="n">
        <v>571.3579999999999</v>
      </c>
      <c r="BV296" t="n">
        <v>456.892</v>
      </c>
    </row>
    <row r="297">
      <c r="A297" t="inlineStr">
        <is>
          <t>Synanceiidae</t>
        </is>
      </c>
      <c r="B297" t="inlineStr">
        <is>
          <t>Stonefishes</t>
        </is>
      </c>
      <c r="C297" t="inlineStr">
        <is>
          <t>Medium demersals (30 - 89 cm)</t>
        </is>
      </c>
      <c r="D297" t="inlineStr">
        <is>
          <t>Scorpionfishes</t>
        </is>
      </c>
      <c r="E297" t="n">
        <v>7.689</v>
      </c>
      <c r="F297" t="n">
        <v>7.732</v>
      </c>
      <c r="G297" t="n">
        <v>7.674</v>
      </c>
      <c r="H297" t="n">
        <v>7.715</v>
      </c>
      <c r="I297" t="n">
        <v>7.754</v>
      </c>
      <c r="J297" t="n">
        <v>7.791</v>
      </c>
      <c r="K297" t="n">
        <v>7.816</v>
      </c>
      <c r="L297" t="n">
        <v>7.9</v>
      </c>
      <c r="M297" t="n">
        <v>7.962</v>
      </c>
      <c r="N297" t="n">
        <v>8.073</v>
      </c>
      <c r="O297" t="n">
        <v>8.132</v>
      </c>
      <c r="P297" t="n">
        <v>8.209</v>
      </c>
      <c r="Q297" t="n">
        <v>8.284000000000001</v>
      </c>
      <c r="R297" t="n">
        <v>8.407999999999999</v>
      </c>
      <c r="S297" t="n">
        <v>8.5</v>
      </c>
      <c r="T297" t="n">
        <v>8.494999999999999</v>
      </c>
      <c r="U297" t="n">
        <v>8.525</v>
      </c>
      <c r="V297" t="n">
        <v>8.583</v>
      </c>
      <c r="W297" t="n">
        <v>8.503</v>
      </c>
      <c r="X297" t="n">
        <v>8.622</v>
      </c>
      <c r="Y297" t="n">
        <v>8.682</v>
      </c>
      <c r="Z297" t="n">
        <v>8.683999999999999</v>
      </c>
      <c r="AA297" t="n">
        <v>8.805</v>
      </c>
      <c r="AB297" t="n">
        <v>8.815</v>
      </c>
      <c r="AC297" t="n">
        <v>7.094</v>
      </c>
      <c r="AD297" t="n">
        <v>7.574</v>
      </c>
      <c r="AE297" t="n">
        <v>8.057</v>
      </c>
      <c r="AF297" t="n">
        <v>8.548</v>
      </c>
      <c r="AG297" t="n">
        <v>8.411</v>
      </c>
      <c r="AH297" t="n">
        <v>8.292</v>
      </c>
      <c r="AI297" t="n">
        <v>8.955</v>
      </c>
      <c r="AJ297" t="n">
        <v>9.071</v>
      </c>
      <c r="AK297" t="n">
        <v>7.326</v>
      </c>
      <c r="AL297" t="n">
        <v>7.466</v>
      </c>
      <c r="AM297" t="n">
        <v>7.54</v>
      </c>
      <c r="AN297" t="n">
        <v>7.633</v>
      </c>
      <c r="AO297" t="n">
        <v>7.408</v>
      </c>
      <c r="AP297" t="n">
        <v>8.573</v>
      </c>
      <c r="AQ297" t="n">
        <v>8.754</v>
      </c>
      <c r="AR297" t="n">
        <v>8.885999999999999</v>
      </c>
      <c r="AS297" t="n">
        <v>8.686</v>
      </c>
      <c r="AT297" t="n">
        <v>10.015</v>
      </c>
      <c r="AU297" t="n">
        <v>9.864000000000001</v>
      </c>
      <c r="AV297" t="n">
        <v>8.65</v>
      </c>
      <c r="AW297" t="n">
        <v>15.374</v>
      </c>
      <c r="AX297" t="n">
        <v>15.116</v>
      </c>
      <c r="AY297" t="n">
        <v>14.134</v>
      </c>
      <c r="AZ297" t="n">
        <v>19.427</v>
      </c>
      <c r="BA297" t="n">
        <v>15.165</v>
      </c>
      <c r="BB297" t="n">
        <v>13.789</v>
      </c>
      <c r="BC297" t="n">
        <v>12.495</v>
      </c>
      <c r="BD297" t="n">
        <v>11.912</v>
      </c>
      <c r="BE297" t="n">
        <v>10.018</v>
      </c>
      <c r="BF297" t="n">
        <v>7.45</v>
      </c>
      <c r="BG297" t="n">
        <v>52.612</v>
      </c>
      <c r="BH297" t="n">
        <v>108.414</v>
      </c>
      <c r="BI297" t="n">
        <v>134.629</v>
      </c>
      <c r="BJ297" t="n">
        <v>183.538</v>
      </c>
      <c r="BK297" t="n">
        <v>252.981</v>
      </c>
      <c r="BL297" t="n">
        <v>207.519</v>
      </c>
      <c r="BM297" t="n">
        <v>169.299</v>
      </c>
      <c r="BN297" t="n">
        <v>158.989</v>
      </c>
      <c r="BO297" t="n">
        <v>132.586</v>
      </c>
      <c r="BP297" t="n">
        <v>166.74</v>
      </c>
      <c r="BQ297" t="n">
        <v>158.724</v>
      </c>
      <c r="BR297" t="n">
        <v>165.618</v>
      </c>
      <c r="BS297" t="n">
        <v>159.104</v>
      </c>
      <c r="BT297" t="n">
        <v>159.337</v>
      </c>
      <c r="BU297" t="n">
        <v>159.887</v>
      </c>
      <c r="BV297" t="n">
        <v>147.254</v>
      </c>
    </row>
    <row r="298">
      <c r="A298" t="inlineStr">
        <is>
          <t>Istiophorus</t>
        </is>
      </c>
      <c r="B298" t="inlineStr">
        <is>
          <t>Sailfishes</t>
        </is>
      </c>
      <c r="C298" t="inlineStr">
        <is>
          <t>Large pelagics (&gt;=90 cm)</t>
        </is>
      </c>
      <c r="D298" t="inlineStr">
        <is>
          <t>Tuna &amp; billfishes</t>
        </is>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41.562</v>
      </c>
      <c r="AB298" t="n">
        <v>51.129</v>
      </c>
      <c r="AC298" t="n">
        <v>57.91</v>
      </c>
      <c r="AD298" t="n">
        <v>42.998</v>
      </c>
      <c r="AE298" t="n">
        <v>28.81</v>
      </c>
      <c r="AF298" t="n">
        <v>24.339</v>
      </c>
      <c r="AG298" t="n">
        <v>13.807</v>
      </c>
      <c r="AH298" t="n">
        <v>15.793</v>
      </c>
      <c r="AI298" t="n">
        <v>13.231</v>
      </c>
      <c r="AJ298" t="n">
        <v>17.081</v>
      </c>
      <c r="AK298" t="n">
        <v>42.059</v>
      </c>
      <c r="AL298" t="n">
        <v>39.124</v>
      </c>
      <c r="AM298" t="n">
        <v>41.218</v>
      </c>
      <c r="AN298" t="n">
        <v>73.002</v>
      </c>
      <c r="AO298" t="n">
        <v>44.992</v>
      </c>
      <c r="AP298" t="n">
        <v>17.653</v>
      </c>
      <c r="AQ298" t="n">
        <v>16.127</v>
      </c>
      <c r="AR298" t="n">
        <v>19.926</v>
      </c>
      <c r="AS298" t="n">
        <v>11.69</v>
      </c>
      <c r="AT298" t="n">
        <v>20.845</v>
      </c>
      <c r="AU298" t="n">
        <v>12.55</v>
      </c>
      <c r="AV298" t="n">
        <v>13.131</v>
      </c>
      <c r="AW298" t="n">
        <v>22.491</v>
      </c>
      <c r="AX298" t="n">
        <v>33.331</v>
      </c>
      <c r="AY298" t="n">
        <v>50.601</v>
      </c>
      <c r="AZ298" t="n">
        <v>67.70099999999999</v>
      </c>
      <c r="BA298" t="n">
        <v>118</v>
      </c>
      <c r="BB298" t="n">
        <v>126.004</v>
      </c>
      <c r="BC298" t="n">
        <v>112.907</v>
      </c>
      <c r="BD298" t="n">
        <v>164.304</v>
      </c>
      <c r="BE298" t="n">
        <v>131.105</v>
      </c>
      <c r="BF298" t="n">
        <v>120.18</v>
      </c>
      <c r="BG298" t="n">
        <v>73.498</v>
      </c>
      <c r="BH298" t="n">
        <v>90.965</v>
      </c>
      <c r="BI298" t="n">
        <v>109.254</v>
      </c>
      <c r="BJ298" t="n">
        <v>108.207</v>
      </c>
      <c r="BK298" t="n">
        <v>103.982</v>
      </c>
      <c r="BL298" t="n">
        <v>95.113</v>
      </c>
      <c r="BM298" t="n">
        <v>68.47</v>
      </c>
      <c r="BN298" t="n">
        <v>41.776</v>
      </c>
      <c r="BO298" t="n">
        <v>54.03</v>
      </c>
      <c r="BP298" t="n">
        <v>59.007</v>
      </c>
      <c r="BQ298" t="n">
        <v>88.871</v>
      </c>
      <c r="BR298" t="n">
        <v>77.297</v>
      </c>
      <c r="BS298" t="n">
        <v>109.738</v>
      </c>
      <c r="BT298" t="n">
        <v>109.738</v>
      </c>
      <c r="BU298" t="n">
        <v>109.738</v>
      </c>
      <c r="BV298" t="n">
        <v>93.95</v>
      </c>
    </row>
    <row r="299">
      <c r="A299" t="inlineStr">
        <is>
          <t>Sepioteuthis lessoniana</t>
        </is>
      </c>
      <c r="B299" t="inlineStr">
        <is>
          <t>Bigfin reef squid</t>
        </is>
      </c>
      <c r="C299" t="inlineStr">
        <is>
          <t>Cephalopods</t>
        </is>
      </c>
      <c r="D299" t="inlineStr">
        <is>
          <t>Other fishes &amp; inverts</t>
        </is>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158.158</v>
      </c>
      <c r="AZ299" t="n">
        <v>141.51</v>
      </c>
      <c r="BA299" t="n">
        <v>17.545</v>
      </c>
      <c r="BB299" t="n">
        <v>197.186</v>
      </c>
      <c r="BC299" t="n">
        <v>236.168</v>
      </c>
      <c r="BD299" t="n">
        <v>214.395</v>
      </c>
      <c r="BE299" t="n">
        <v>316.521</v>
      </c>
      <c r="BF299" t="n">
        <v>142.377</v>
      </c>
      <c r="BG299" t="n">
        <v>126.341</v>
      </c>
      <c r="BH299" t="n">
        <v>121.536</v>
      </c>
      <c r="BI299" t="n">
        <v>94.274</v>
      </c>
      <c r="BJ299" t="n">
        <v>137.265</v>
      </c>
      <c r="BK299" t="n">
        <v>120.334</v>
      </c>
      <c r="BL299" t="n">
        <v>90.904</v>
      </c>
      <c r="BM299" t="n">
        <v>81.399</v>
      </c>
      <c r="BN299" t="n">
        <v>54.207</v>
      </c>
      <c r="BO299" t="n">
        <v>66.184</v>
      </c>
      <c r="BP299" t="n">
        <v>56.829</v>
      </c>
      <c r="BQ299" t="n">
        <v>43.606</v>
      </c>
      <c r="BR299" t="n">
        <v>43.816</v>
      </c>
      <c r="BS299" t="n">
        <v>53.024</v>
      </c>
      <c r="BT299" t="n">
        <v>69.911</v>
      </c>
      <c r="BU299" t="n">
        <v>69.911</v>
      </c>
      <c r="BV299" t="n">
        <v>69.911</v>
      </c>
    </row>
    <row r="300">
      <c r="A300" t="inlineStr">
        <is>
          <t>Ariomma indica</t>
        </is>
      </c>
      <c r="B300" t="inlineStr">
        <is>
          <t>Indian driftfish</t>
        </is>
      </c>
      <c r="C300" t="inlineStr">
        <is>
          <t>Small benthopelagics (&lt;30 cm)</t>
        </is>
      </c>
      <c r="D300" t="inlineStr">
        <is>
          <t>Perch-likes</t>
        </is>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28.564</v>
      </c>
      <c r="BH300" t="n">
        <v>10.835</v>
      </c>
      <c r="BI300" t="n">
        <v>23.639</v>
      </c>
      <c r="BJ300" t="n">
        <v>126.077</v>
      </c>
      <c r="BK300" t="n">
        <v>38.414</v>
      </c>
      <c r="BL300" t="n">
        <v>25.609</v>
      </c>
      <c r="BM300" t="n">
        <v>61.069</v>
      </c>
      <c r="BN300" t="n">
        <v>25.609</v>
      </c>
      <c r="BO300" t="n">
        <v>24.624</v>
      </c>
      <c r="BP300" t="n">
        <v>215.71</v>
      </c>
      <c r="BQ300" t="n">
        <v>363.457</v>
      </c>
      <c r="BR300" t="n">
        <v>344.743</v>
      </c>
      <c r="BS300" t="n">
        <v>344.743</v>
      </c>
      <c r="BT300" t="n">
        <v>344.743</v>
      </c>
      <c r="BU300" t="n">
        <v>344.743</v>
      </c>
      <c r="BV300" t="n">
        <v>344.743</v>
      </c>
    </row>
    <row r="301">
      <c r="A301" t="inlineStr">
        <is>
          <t>Seriolina nigrofasciata</t>
        </is>
      </c>
      <c r="B301" t="inlineStr">
        <is>
          <t>Blackbanded trevally</t>
        </is>
      </c>
      <c r="C301" t="inlineStr">
        <is>
          <t>Medium reef assoc. fish (30 - 89 cm)</t>
        </is>
      </c>
      <c r="D301" t="inlineStr">
        <is>
          <t>Perch-likes</t>
        </is>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62.957</v>
      </c>
      <c r="AX301" t="n">
        <v>143.881</v>
      </c>
      <c r="AY301" t="n">
        <v>194.733</v>
      </c>
      <c r="AZ301" t="n">
        <v>183.385</v>
      </c>
      <c r="BA301" t="n">
        <v>148.829</v>
      </c>
      <c r="BB301" t="n">
        <v>153.53</v>
      </c>
      <c r="BC301" t="n">
        <v>140.343</v>
      </c>
      <c r="BD301" t="n">
        <v>120.013</v>
      </c>
      <c r="BE301" t="n">
        <v>169.134</v>
      </c>
      <c r="BF301" t="n">
        <v>125.822</v>
      </c>
      <c r="BG301" t="n">
        <v>172.101</v>
      </c>
      <c r="BH301" t="n">
        <v>94.904</v>
      </c>
      <c r="BI301" t="n">
        <v>102.06</v>
      </c>
      <c r="BJ301" t="n">
        <v>90.44499999999999</v>
      </c>
      <c r="BK301" t="n">
        <v>59.58</v>
      </c>
      <c r="BL301" t="n">
        <v>55.664</v>
      </c>
      <c r="BM301" t="n">
        <v>28.587</v>
      </c>
      <c r="BN301" t="n">
        <v>24.504</v>
      </c>
      <c r="BO301" t="n">
        <v>39.595</v>
      </c>
      <c r="BP301" t="n">
        <v>60.544</v>
      </c>
      <c r="BQ301" t="n">
        <v>87.93899999999999</v>
      </c>
      <c r="BR301" t="n">
        <v>72.913</v>
      </c>
      <c r="BS301" t="n">
        <v>79.474</v>
      </c>
      <c r="BT301" t="n">
        <v>84.994</v>
      </c>
      <c r="BU301" t="n">
        <v>84.994</v>
      </c>
      <c r="BV301" t="n">
        <v>84.994</v>
      </c>
    </row>
    <row r="302">
      <c r="A302" t="inlineStr">
        <is>
          <t>Bolbometopon muricatum</t>
        </is>
      </c>
      <c r="B302" t="inlineStr">
        <is>
          <t>Green humphead parrotfish</t>
        </is>
      </c>
      <c r="C302" t="inlineStr">
        <is>
          <t>Large reef assoc. fish (&gt;=90 cm)</t>
        </is>
      </c>
      <c r="D302" t="inlineStr">
        <is>
          <t>Perch-likes</t>
        </is>
      </c>
      <c r="E302" t="n">
        <v>3.868</v>
      </c>
      <c r="F302" t="n">
        <v>3.868</v>
      </c>
      <c r="G302" t="n">
        <v>6.447</v>
      </c>
      <c r="H302" t="n">
        <v>5.158</v>
      </c>
      <c r="I302" t="n">
        <v>6.447</v>
      </c>
      <c r="J302" t="n">
        <v>6.447</v>
      </c>
      <c r="K302" t="n">
        <v>7.092</v>
      </c>
      <c r="L302" t="n">
        <v>10.315</v>
      </c>
      <c r="M302" t="n">
        <v>10.315</v>
      </c>
      <c r="N302" t="n">
        <v>12.894</v>
      </c>
      <c r="O302" t="n">
        <v>12.894</v>
      </c>
      <c r="P302" t="n">
        <v>26.955</v>
      </c>
      <c r="Q302" t="n">
        <v>32.234</v>
      </c>
      <c r="R302" t="n">
        <v>34.615</v>
      </c>
      <c r="S302" t="n">
        <v>27.502</v>
      </c>
      <c r="T302" t="n">
        <v>23.089</v>
      </c>
      <c r="U302" t="n">
        <v>23.936</v>
      </c>
      <c r="V302" t="n">
        <v>16.447</v>
      </c>
      <c r="W302" t="n">
        <v>11.62</v>
      </c>
      <c r="X302" t="n">
        <v>11.002</v>
      </c>
      <c r="Y302" t="n">
        <v>11.437</v>
      </c>
      <c r="Z302" t="n">
        <v>14.886</v>
      </c>
      <c r="AA302" t="n">
        <v>14.991</v>
      </c>
      <c r="AB302" t="n">
        <v>17.997</v>
      </c>
      <c r="AC302" t="n">
        <v>18.183</v>
      </c>
      <c r="AD302" t="n">
        <v>13.893</v>
      </c>
      <c r="AE302" t="n">
        <v>13.696</v>
      </c>
      <c r="AF302" t="n">
        <v>12.705</v>
      </c>
      <c r="AG302" t="n">
        <v>20.953</v>
      </c>
      <c r="AH302" t="n">
        <v>25.709</v>
      </c>
      <c r="AI302" t="n">
        <v>30.428</v>
      </c>
      <c r="AJ302" t="n">
        <v>34.735</v>
      </c>
      <c r="AK302" t="n">
        <v>31.959</v>
      </c>
      <c r="AL302" t="n">
        <v>40.1</v>
      </c>
      <c r="AM302" t="n">
        <v>42.464</v>
      </c>
      <c r="AN302" t="n">
        <v>36.651</v>
      </c>
      <c r="AO302" t="n">
        <v>37.3</v>
      </c>
      <c r="AP302" t="n">
        <v>30.108</v>
      </c>
      <c r="AQ302" t="n">
        <v>26.393</v>
      </c>
      <c r="AR302" t="n">
        <v>27.219</v>
      </c>
      <c r="AS302" t="n">
        <v>20.474</v>
      </c>
      <c r="AT302" t="n">
        <v>19.131</v>
      </c>
      <c r="AU302" t="n">
        <v>29.431</v>
      </c>
      <c r="AV302" t="n">
        <v>29.789</v>
      </c>
      <c r="AW302" t="n">
        <v>43.13</v>
      </c>
      <c r="AX302" t="n">
        <v>47.88</v>
      </c>
      <c r="AY302" t="n">
        <v>50.743</v>
      </c>
      <c r="AZ302" t="n">
        <v>50.598</v>
      </c>
      <c r="BA302" t="n">
        <v>58.081</v>
      </c>
      <c r="BB302" t="n">
        <v>55.635</v>
      </c>
      <c r="BC302" t="n">
        <v>55.083</v>
      </c>
      <c r="BD302" t="n">
        <v>62.033</v>
      </c>
      <c r="BE302" t="n">
        <v>82.628</v>
      </c>
      <c r="BF302" t="n">
        <v>79.274</v>
      </c>
      <c r="BG302" t="n">
        <v>133.893</v>
      </c>
      <c r="BH302" t="n">
        <v>33.794</v>
      </c>
      <c r="BI302" t="n">
        <v>46.781</v>
      </c>
      <c r="BJ302" t="n">
        <v>135.138</v>
      </c>
      <c r="BK302" t="n">
        <v>54.699</v>
      </c>
      <c r="BL302" t="n">
        <v>71.453</v>
      </c>
      <c r="BM302" t="n">
        <v>60.84</v>
      </c>
      <c r="BN302" t="n">
        <v>62.93</v>
      </c>
      <c r="BO302" t="n">
        <v>63.603</v>
      </c>
      <c r="BP302" t="n">
        <v>70.21599999999999</v>
      </c>
      <c r="BQ302" t="n">
        <v>67.008</v>
      </c>
      <c r="BR302" t="n">
        <v>66.491</v>
      </c>
      <c r="BS302" t="n">
        <v>66.444</v>
      </c>
      <c r="BT302" t="n">
        <v>75.53700000000001</v>
      </c>
      <c r="BU302" t="n">
        <v>85.29600000000001</v>
      </c>
      <c r="BV302" t="n">
        <v>83.93300000000001</v>
      </c>
    </row>
    <row r="303">
      <c r="A303" t="inlineStr">
        <is>
          <t>Scombroidei</t>
        </is>
      </c>
      <c r="B303" t="inlineStr">
        <is>
          <t>Tunas, bonitos, billfishes</t>
        </is>
      </c>
      <c r="C303" t="inlineStr">
        <is>
          <t>Large pelagics (&gt;=90 cm)</t>
        </is>
      </c>
      <c r="D303" t="inlineStr">
        <is>
          <t>Tuna &amp; billfishes</t>
        </is>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2.916</v>
      </c>
      <c r="AI303" t="n">
        <v>5.382</v>
      </c>
      <c r="AJ303" t="n">
        <v>19.494</v>
      </c>
      <c r="AK303" t="n">
        <v>27.129</v>
      </c>
      <c r="AL303" t="n">
        <v>9.504</v>
      </c>
      <c r="AM303" t="n">
        <v>11.466</v>
      </c>
      <c r="AN303" t="n">
        <v>21.853</v>
      </c>
      <c r="AO303" t="n">
        <v>35.494</v>
      </c>
      <c r="AP303" t="n">
        <v>38.712</v>
      </c>
      <c r="AQ303" t="n">
        <v>51.247</v>
      </c>
      <c r="AR303" t="n">
        <v>50.861</v>
      </c>
      <c r="AS303" t="n">
        <v>28.136</v>
      </c>
      <c r="AT303" t="n">
        <v>10.799</v>
      </c>
      <c r="AU303" t="n">
        <v>39.767</v>
      </c>
      <c r="AV303" t="n">
        <v>13.698</v>
      </c>
      <c r="AW303" t="n">
        <v>3.455</v>
      </c>
      <c r="AX303" t="n">
        <v>7.993</v>
      </c>
      <c r="AY303" t="n">
        <v>4.952</v>
      </c>
      <c r="AZ303" t="n">
        <v>3.909</v>
      </c>
      <c r="BA303" t="n">
        <v>75.90900000000001</v>
      </c>
      <c r="BB303" t="n">
        <v>54.658</v>
      </c>
      <c r="BC303" t="n">
        <v>22.626</v>
      </c>
      <c r="BD303" t="n">
        <v>2.037</v>
      </c>
      <c r="BE303" t="n">
        <v>27.602</v>
      </c>
      <c r="BF303" t="n">
        <v>6.474</v>
      </c>
      <c r="BG303" t="n">
        <v>64.26300000000001</v>
      </c>
      <c r="BH303" t="n">
        <v>78.122</v>
      </c>
      <c r="BI303" t="n">
        <v>149.22</v>
      </c>
      <c r="BJ303" t="n">
        <v>210.223</v>
      </c>
      <c r="BK303" t="n">
        <v>118.259</v>
      </c>
      <c r="BL303" t="n">
        <v>257.565</v>
      </c>
      <c r="BM303" t="n">
        <v>313.161</v>
      </c>
      <c r="BN303" t="n">
        <v>215.908</v>
      </c>
      <c r="BO303" t="n">
        <v>33.68</v>
      </c>
      <c r="BP303" t="n">
        <v>137.189</v>
      </c>
      <c r="BQ303" t="n">
        <v>4.007</v>
      </c>
      <c r="BR303" t="n">
        <v>29.566</v>
      </c>
      <c r="BS303" t="n">
        <v>5.393</v>
      </c>
      <c r="BT303" t="n">
        <v>118.946</v>
      </c>
      <c r="BU303" t="n">
        <v>118.136</v>
      </c>
      <c r="BV303" t="n">
        <v>115.179</v>
      </c>
    </row>
    <row r="304">
      <c r="A304" t="inlineStr">
        <is>
          <t>Pristidae</t>
        </is>
      </c>
      <c r="B304" t="inlineStr">
        <is>
          <t>Sawfishes</t>
        </is>
      </c>
      <c r="C304" t="inlineStr">
        <is>
          <t>Large rays (&gt;=90 cm)</t>
        </is>
      </c>
      <c r="D304" t="inlineStr">
        <is>
          <t>Sharks &amp; rays</t>
        </is>
      </c>
      <c r="E304" t="n">
        <v>6.097</v>
      </c>
      <c r="F304" t="n">
        <v>6.097</v>
      </c>
      <c r="G304" t="n">
        <v>6.436</v>
      </c>
      <c r="H304" t="n">
        <v>7.987</v>
      </c>
      <c r="I304" t="n">
        <v>8.068</v>
      </c>
      <c r="J304" t="n">
        <v>8.263</v>
      </c>
      <c r="K304" t="n">
        <v>7.963</v>
      </c>
      <c r="L304" t="n">
        <v>8.558999999999999</v>
      </c>
      <c r="M304" t="n">
        <v>7.819</v>
      </c>
      <c r="N304" t="n">
        <v>7.785</v>
      </c>
      <c r="O304" t="n">
        <v>8.379</v>
      </c>
      <c r="P304" t="n">
        <v>7.268</v>
      </c>
      <c r="Q304" t="n">
        <v>9.175000000000001</v>
      </c>
      <c r="R304" t="n">
        <v>9.271000000000001</v>
      </c>
      <c r="S304" t="n">
        <v>9.206</v>
      </c>
      <c r="T304" t="n">
        <v>9.878</v>
      </c>
      <c r="U304" t="n">
        <v>12.395</v>
      </c>
      <c r="V304" t="n">
        <v>12.339</v>
      </c>
      <c r="W304" t="n">
        <v>13.477</v>
      </c>
      <c r="X304" t="n">
        <v>13.724</v>
      </c>
      <c r="Y304" t="n">
        <v>15.599</v>
      </c>
      <c r="Z304" t="n">
        <v>15.92</v>
      </c>
      <c r="AA304" t="n">
        <v>18.739</v>
      </c>
      <c r="AB304" t="n">
        <v>20.922</v>
      </c>
      <c r="AC304" t="n">
        <v>29.835</v>
      </c>
      <c r="AD304" t="n">
        <v>29.048</v>
      </c>
      <c r="AE304" t="n">
        <v>27.774</v>
      </c>
      <c r="AF304" t="n">
        <v>32.702</v>
      </c>
      <c r="AG304" t="n">
        <v>26.695</v>
      </c>
      <c r="AH304" t="n">
        <v>28.971</v>
      </c>
      <c r="AI304" t="n">
        <v>20.546</v>
      </c>
      <c r="AJ304" t="n">
        <v>20.469</v>
      </c>
      <c r="AK304" t="n">
        <v>33.683</v>
      </c>
      <c r="AL304" t="n">
        <v>32.705</v>
      </c>
      <c r="AM304" t="n">
        <v>33.744</v>
      </c>
      <c r="AN304" t="n">
        <v>35.293</v>
      </c>
      <c r="AO304" t="n">
        <v>41.877</v>
      </c>
      <c r="AP304" t="n">
        <v>54.835</v>
      </c>
      <c r="AQ304" t="n">
        <v>73.55500000000001</v>
      </c>
      <c r="AR304" t="n">
        <v>104.142</v>
      </c>
      <c r="AS304" t="n">
        <v>128.401</v>
      </c>
      <c r="AT304" t="n">
        <v>79.01300000000001</v>
      </c>
      <c r="AU304" t="n">
        <v>67.593</v>
      </c>
      <c r="AV304" t="n">
        <v>92.905</v>
      </c>
      <c r="AW304" t="n">
        <v>83.98</v>
      </c>
      <c r="AX304" t="n">
        <v>77.107</v>
      </c>
      <c r="AY304" t="n">
        <v>54.75</v>
      </c>
      <c r="AZ304" t="n">
        <v>105.867</v>
      </c>
      <c r="BA304" t="n">
        <v>55.819</v>
      </c>
      <c r="BB304" t="n">
        <v>49.981</v>
      </c>
      <c r="BC304" t="n">
        <v>58.385</v>
      </c>
      <c r="BD304" t="n">
        <v>62.065</v>
      </c>
      <c r="BE304" t="n">
        <v>43.369</v>
      </c>
      <c r="BF304" t="n">
        <v>88.11799999999999</v>
      </c>
      <c r="BG304" t="n">
        <v>34.427</v>
      </c>
      <c r="BH304" t="n">
        <v>22.335</v>
      </c>
      <c r="BI304" t="n">
        <v>36.436</v>
      </c>
      <c r="BJ304" t="n">
        <v>20.309</v>
      </c>
      <c r="BK304" t="n">
        <v>45.861</v>
      </c>
      <c r="BL304" t="n">
        <v>46.396</v>
      </c>
      <c r="BM304" t="n">
        <v>149.227</v>
      </c>
      <c r="BN304" t="n">
        <v>35.093</v>
      </c>
      <c r="BO304" t="n">
        <v>50.011</v>
      </c>
      <c r="BP304" t="n">
        <v>55.716</v>
      </c>
      <c r="BQ304" t="n">
        <v>20.806</v>
      </c>
      <c r="BR304" t="n">
        <v>21.695</v>
      </c>
      <c r="BS304" t="n">
        <v>14.809</v>
      </c>
      <c r="BT304" t="n">
        <v>12.682</v>
      </c>
      <c r="BU304" t="n">
        <v>13.506</v>
      </c>
      <c r="BV304" t="n">
        <v>13.968</v>
      </c>
    </row>
    <row r="305">
      <c r="A305" t="inlineStr">
        <is>
          <t>Haliotis</t>
        </is>
      </c>
      <c r="B305" t="inlineStr">
        <is>
          <t>Abalones</t>
        </is>
      </c>
      <c r="C305" t="inlineStr">
        <is>
          <t>Other demersal invertebrates</t>
        </is>
      </c>
      <c r="D305" t="inlineStr">
        <is>
          <t>Molluscs</t>
        </is>
      </c>
      <c r="E305" t="n">
        <v>11.907</v>
      </c>
      <c r="F305" t="n">
        <v>11.907</v>
      </c>
      <c r="G305" t="n">
        <v>14.884</v>
      </c>
      <c r="H305" t="n">
        <v>16.869</v>
      </c>
      <c r="I305" t="n">
        <v>16.869</v>
      </c>
      <c r="J305" t="n">
        <v>20.838</v>
      </c>
      <c r="K305" t="n">
        <v>20.838</v>
      </c>
      <c r="L305" t="n">
        <v>20.838</v>
      </c>
      <c r="M305" t="n">
        <v>20.838</v>
      </c>
      <c r="N305" t="n">
        <v>22.823</v>
      </c>
      <c r="O305" t="n">
        <v>22.823</v>
      </c>
      <c r="P305" t="n">
        <v>22.823</v>
      </c>
      <c r="Q305" t="n">
        <v>24.807</v>
      </c>
      <c r="R305" t="n">
        <v>24.807</v>
      </c>
      <c r="S305" t="n">
        <v>24.807</v>
      </c>
      <c r="T305" t="n">
        <v>26.792</v>
      </c>
      <c r="U305" t="n">
        <v>28.776</v>
      </c>
      <c r="V305" t="n">
        <v>28.776</v>
      </c>
      <c r="W305" t="n">
        <v>28.776</v>
      </c>
      <c r="X305" t="n">
        <v>30.761</v>
      </c>
      <c r="Y305" t="n">
        <v>32.746</v>
      </c>
      <c r="Z305" t="n">
        <v>33.738</v>
      </c>
      <c r="AA305" t="n">
        <v>35.722</v>
      </c>
      <c r="AB305" t="n">
        <v>37.707</v>
      </c>
      <c r="AC305" t="n">
        <v>39.692</v>
      </c>
      <c r="AD305" t="n">
        <v>40.684</v>
      </c>
      <c r="AE305" t="n">
        <v>39.692</v>
      </c>
      <c r="AF305" t="n">
        <v>38.699</v>
      </c>
      <c r="AG305" t="n">
        <v>37.707</v>
      </c>
      <c r="AH305" t="n">
        <v>36.715</v>
      </c>
      <c r="AI305" t="n">
        <v>34.73</v>
      </c>
      <c r="AJ305" t="n">
        <v>32.746</v>
      </c>
      <c r="AK305" t="n">
        <v>33.738</v>
      </c>
      <c r="AL305" t="n">
        <v>41.676</v>
      </c>
      <c r="AM305" t="n">
        <v>38.699</v>
      </c>
      <c r="AN305" t="n">
        <v>33.738</v>
      </c>
      <c r="AO305" t="n">
        <v>33.738</v>
      </c>
      <c r="AP305" t="n">
        <v>42.668</v>
      </c>
      <c r="AQ305" t="n">
        <v>61.522</v>
      </c>
      <c r="AR305" t="n">
        <v>43.661</v>
      </c>
      <c r="AS305" t="n">
        <v>41.676</v>
      </c>
      <c r="AT305" t="n">
        <v>42.668</v>
      </c>
      <c r="AU305" t="n">
        <v>39.692</v>
      </c>
      <c r="AV305" t="n">
        <v>38.699</v>
      </c>
      <c r="AW305" t="n">
        <v>40.684</v>
      </c>
      <c r="AX305" t="n">
        <v>44.653</v>
      </c>
      <c r="AY305" t="n">
        <v>36.715</v>
      </c>
      <c r="AZ305" t="n">
        <v>34.73</v>
      </c>
      <c r="BA305" t="n">
        <v>36.715</v>
      </c>
      <c r="BB305" t="n">
        <v>39.692</v>
      </c>
      <c r="BC305" t="n">
        <v>44.653</v>
      </c>
      <c r="BD305" t="n">
        <v>50.607</v>
      </c>
      <c r="BE305" t="n">
        <v>49.614</v>
      </c>
      <c r="BF305" t="n">
        <v>55.568</v>
      </c>
      <c r="BG305" t="n">
        <v>43.661</v>
      </c>
      <c r="BH305" t="n">
        <v>44.653</v>
      </c>
      <c r="BI305" t="n">
        <v>50.607</v>
      </c>
      <c r="BJ305" t="n">
        <v>45.645</v>
      </c>
      <c r="BK305" t="n">
        <v>0</v>
      </c>
      <c r="BL305" t="n">
        <v>0</v>
      </c>
      <c r="BM305" t="n">
        <v>0</v>
      </c>
      <c r="BN305" t="n">
        <v>147.851</v>
      </c>
      <c r="BO305" t="n">
        <v>53.584</v>
      </c>
      <c r="BP305" t="n">
        <v>0</v>
      </c>
      <c r="BQ305" t="n">
        <v>49.614</v>
      </c>
      <c r="BR305" t="n">
        <v>0</v>
      </c>
      <c r="BS305" t="n">
        <v>54.576</v>
      </c>
      <c r="BT305" t="n">
        <v>0</v>
      </c>
      <c r="BU305" t="n">
        <v>0</v>
      </c>
      <c r="BV305" t="n">
        <v>11.907</v>
      </c>
    </row>
    <row r="306">
      <c r="A306" t="inlineStr">
        <is>
          <t>Cheimerius nufar</t>
        </is>
      </c>
      <c r="B306" t="inlineStr">
        <is>
          <t>Santer seabream</t>
        </is>
      </c>
      <c r="C306" t="inlineStr">
        <is>
          <t>Medium reef assoc. fish (30 - 89 cm)</t>
        </is>
      </c>
      <c r="D306" t="inlineStr">
        <is>
          <t>Perch-likes</t>
        </is>
      </c>
      <c r="E306" t="n">
        <v>0.908</v>
      </c>
      <c r="F306" t="n">
        <v>0.908</v>
      </c>
      <c r="G306" t="n">
        <v>1.134</v>
      </c>
      <c r="H306" t="n">
        <v>1.134</v>
      </c>
      <c r="I306" t="n">
        <v>1.134</v>
      </c>
      <c r="J306" t="n">
        <v>1.134</v>
      </c>
      <c r="K306" t="n">
        <v>1.134</v>
      </c>
      <c r="L306" t="n">
        <v>1.361</v>
      </c>
      <c r="M306" t="n">
        <v>1.361</v>
      </c>
      <c r="N306" t="n">
        <v>1.361</v>
      </c>
      <c r="O306" t="n">
        <v>1.815</v>
      </c>
      <c r="P306" t="n">
        <v>1.815</v>
      </c>
      <c r="Q306" t="n">
        <v>1.815</v>
      </c>
      <c r="R306" t="n">
        <v>2.042</v>
      </c>
      <c r="S306" t="n">
        <v>2.042</v>
      </c>
      <c r="T306" t="n">
        <v>2.269</v>
      </c>
      <c r="U306" t="n">
        <v>2.949</v>
      </c>
      <c r="V306" t="n">
        <v>3.403</v>
      </c>
      <c r="W306" t="n">
        <v>3.403</v>
      </c>
      <c r="X306" t="n">
        <v>4.084</v>
      </c>
      <c r="Y306" t="n">
        <v>7.079</v>
      </c>
      <c r="Z306" t="n">
        <v>7.079</v>
      </c>
      <c r="AA306" t="n">
        <v>7.079</v>
      </c>
      <c r="AB306" t="n">
        <v>7.079</v>
      </c>
      <c r="AC306" t="n">
        <v>7.079</v>
      </c>
      <c r="AD306" t="n">
        <v>7.079</v>
      </c>
      <c r="AE306" t="n">
        <v>7.646</v>
      </c>
      <c r="AF306" t="n">
        <v>9.061</v>
      </c>
      <c r="AG306" t="n">
        <v>7.504</v>
      </c>
      <c r="AH306" t="n">
        <v>7.504</v>
      </c>
      <c r="AI306" t="n">
        <v>8.07</v>
      </c>
      <c r="AJ306" t="n">
        <v>16.707</v>
      </c>
      <c r="AK306" t="n">
        <v>19.256</v>
      </c>
      <c r="AL306" t="n">
        <v>15.433</v>
      </c>
      <c r="AM306" t="n">
        <v>19.397</v>
      </c>
      <c r="AN306" t="n">
        <v>29.733</v>
      </c>
      <c r="AO306" t="n">
        <v>50.263</v>
      </c>
      <c r="AP306" t="n">
        <v>20.53</v>
      </c>
      <c r="AQ306" t="n">
        <v>18.831</v>
      </c>
      <c r="AR306" t="n">
        <v>45.024</v>
      </c>
      <c r="AS306" t="n">
        <v>40.21</v>
      </c>
      <c r="AT306" t="n">
        <v>51.254</v>
      </c>
      <c r="AU306" t="n">
        <v>68.952</v>
      </c>
      <c r="AV306" t="n">
        <v>41.626</v>
      </c>
      <c r="AW306" t="n">
        <v>40.069</v>
      </c>
      <c r="AX306" t="n">
        <v>62.156</v>
      </c>
      <c r="AY306" t="n">
        <v>70.226</v>
      </c>
      <c r="AZ306" t="n">
        <v>69.801</v>
      </c>
      <c r="BA306" t="n">
        <v>107.18</v>
      </c>
      <c r="BB306" t="n">
        <v>82.40300000000001</v>
      </c>
      <c r="BC306" t="n">
        <v>83.67700000000001</v>
      </c>
      <c r="BD306" t="n">
        <v>56.776</v>
      </c>
      <c r="BE306" t="n">
        <v>69.09399999999999</v>
      </c>
      <c r="BF306" t="n">
        <v>81.128</v>
      </c>
      <c r="BG306" t="n">
        <v>54.154</v>
      </c>
      <c r="BH306" t="n">
        <v>36.431</v>
      </c>
      <c r="BI306" t="n">
        <v>53.17</v>
      </c>
      <c r="BJ306" t="n">
        <v>85.66200000000001</v>
      </c>
      <c r="BK306" t="n">
        <v>74.831</v>
      </c>
      <c r="BL306" t="n">
        <v>15.754</v>
      </c>
      <c r="BM306" t="n">
        <v>7.877</v>
      </c>
      <c r="BN306" t="n">
        <v>9.846</v>
      </c>
      <c r="BO306" t="n">
        <v>53.17</v>
      </c>
      <c r="BP306" t="n">
        <v>65.97</v>
      </c>
      <c r="BQ306" t="n">
        <v>99.447</v>
      </c>
      <c r="BR306" t="n">
        <v>93.539</v>
      </c>
      <c r="BS306" t="n">
        <v>93.539</v>
      </c>
      <c r="BT306" t="n">
        <v>93.539</v>
      </c>
      <c r="BU306" t="n">
        <v>93.539</v>
      </c>
      <c r="BV306" t="n">
        <v>93.539</v>
      </c>
    </row>
    <row r="307">
      <c r="A307" t="inlineStr">
        <is>
          <t>Sillaginidae</t>
        </is>
      </c>
      <c r="B307" t="inlineStr">
        <is>
          <t>Smelt-whitings</t>
        </is>
      </c>
      <c r="C307" t="inlineStr">
        <is>
          <t>Medium demersals (30 - 89 cm)</t>
        </is>
      </c>
      <c r="D307" t="inlineStr">
        <is>
          <t>Perch-likes</t>
        </is>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40.842</v>
      </c>
      <c r="BH307" t="n">
        <v>92.117</v>
      </c>
      <c r="BI307" t="n">
        <v>116.42</v>
      </c>
      <c r="BJ307" t="n">
        <v>161.437</v>
      </c>
      <c r="BK307" t="n">
        <v>225.216</v>
      </c>
      <c r="BL307" t="n">
        <v>184.193</v>
      </c>
      <c r="BM307" t="n">
        <v>150.244</v>
      </c>
      <c r="BN307" t="n">
        <v>139.711</v>
      </c>
      <c r="BO307" t="n">
        <v>116.056</v>
      </c>
      <c r="BP307" t="n">
        <v>146.896</v>
      </c>
      <c r="BQ307" t="n">
        <v>139.482</v>
      </c>
      <c r="BR307" t="n">
        <v>145.78</v>
      </c>
      <c r="BS307" t="n">
        <v>152.7</v>
      </c>
      <c r="BT307" t="n">
        <v>152.701</v>
      </c>
      <c r="BU307" t="n">
        <v>152.702</v>
      </c>
      <c r="BV307" t="n">
        <v>141.422</v>
      </c>
    </row>
    <row r="308">
      <c r="A308" t="inlineStr">
        <is>
          <t>Lutjanus kasmira</t>
        </is>
      </c>
      <c r="B308" t="inlineStr">
        <is>
          <t>Common bluestripe snapper</t>
        </is>
      </c>
      <c r="C308" t="inlineStr">
        <is>
          <t>Medium reef assoc. fish (30 - 89 cm)</t>
        </is>
      </c>
      <c r="D308" t="inlineStr">
        <is>
          <t>Perch-likes</t>
        </is>
      </c>
      <c r="E308" t="n">
        <v>8.933999999999999</v>
      </c>
      <c r="F308" t="n">
        <v>9.087</v>
      </c>
      <c r="G308" t="n">
        <v>10.196</v>
      </c>
      <c r="H308" t="n">
        <v>9.879</v>
      </c>
      <c r="I308" t="n">
        <v>10.519</v>
      </c>
      <c r="J308" t="n">
        <v>10.685</v>
      </c>
      <c r="K308" t="n">
        <v>11.092</v>
      </c>
      <c r="L308" t="n">
        <v>12.457</v>
      </c>
      <c r="M308" t="n">
        <v>12.633</v>
      </c>
      <c r="N308" t="n">
        <v>13.766</v>
      </c>
      <c r="O308" t="n">
        <v>13.95</v>
      </c>
      <c r="P308" t="n">
        <v>19.335</v>
      </c>
      <c r="Q308" t="n">
        <v>21.481</v>
      </c>
      <c r="R308" t="n">
        <v>22.58</v>
      </c>
      <c r="S308" t="n">
        <v>20.16</v>
      </c>
      <c r="T308" t="n">
        <v>18.932</v>
      </c>
      <c r="U308" t="n">
        <v>19.809</v>
      </c>
      <c r="V308" t="n">
        <v>17.396</v>
      </c>
      <c r="W308" t="n">
        <v>16.167</v>
      </c>
      <c r="X308" t="n">
        <v>16.117</v>
      </c>
      <c r="Y308" t="n">
        <v>17.079</v>
      </c>
      <c r="Z308" t="n">
        <v>18.827</v>
      </c>
      <c r="AA308" t="n">
        <v>19.204</v>
      </c>
      <c r="AB308" t="n">
        <v>22.415</v>
      </c>
      <c r="AC308" t="n">
        <v>21.722</v>
      </c>
      <c r="AD308" t="n">
        <v>19.454</v>
      </c>
      <c r="AE308" t="n">
        <v>19.845</v>
      </c>
      <c r="AF308" t="n">
        <v>19.737</v>
      </c>
      <c r="AG308" t="n">
        <v>23.396</v>
      </c>
      <c r="AH308" t="n">
        <v>25.472</v>
      </c>
      <c r="AI308" t="n">
        <v>27.318</v>
      </c>
      <c r="AJ308" t="n">
        <v>29.613</v>
      </c>
      <c r="AK308" t="n">
        <v>28</v>
      </c>
      <c r="AL308" t="n">
        <v>33.921</v>
      </c>
      <c r="AM308" t="n">
        <v>44.213</v>
      </c>
      <c r="AN308" t="n">
        <v>36.158</v>
      </c>
      <c r="AO308" t="n">
        <v>49.238</v>
      </c>
      <c r="AP308" t="n">
        <v>38.734</v>
      </c>
      <c r="AQ308" t="n">
        <v>42.627</v>
      </c>
      <c r="AR308" t="n">
        <v>38.002</v>
      </c>
      <c r="AS308" t="n">
        <v>30.219</v>
      </c>
      <c r="AT308" t="n">
        <v>30.54</v>
      </c>
      <c r="AU308" t="n">
        <v>41.834</v>
      </c>
      <c r="AV308" t="n">
        <v>47.795</v>
      </c>
      <c r="AW308" t="n">
        <v>57.297</v>
      </c>
      <c r="AX308" t="n">
        <v>63.598</v>
      </c>
      <c r="AY308" t="n">
        <v>69.95399999999999</v>
      </c>
      <c r="AZ308" t="n">
        <v>75.541</v>
      </c>
      <c r="BA308" t="n">
        <v>81.929</v>
      </c>
      <c r="BB308" t="n">
        <v>82.164</v>
      </c>
      <c r="BC308" t="n">
        <v>67.114</v>
      </c>
      <c r="BD308" t="n">
        <v>66.274</v>
      </c>
      <c r="BE308" t="n">
        <v>155.781</v>
      </c>
      <c r="BF308" t="n">
        <v>56.56</v>
      </c>
      <c r="BG308" t="n">
        <v>50.504</v>
      </c>
      <c r="BH308" t="n">
        <v>40.118</v>
      </c>
      <c r="BI308" t="n">
        <v>45.091</v>
      </c>
      <c r="BJ308" t="n">
        <v>34.436</v>
      </c>
      <c r="BK308" t="n">
        <v>30.886</v>
      </c>
      <c r="BL308" t="n">
        <v>30.213</v>
      </c>
      <c r="BM308" t="n">
        <v>26.78</v>
      </c>
      <c r="BN308" t="n">
        <v>24.569</v>
      </c>
      <c r="BO308" t="n">
        <v>22.132</v>
      </c>
      <c r="BP308" t="n">
        <v>20.643</v>
      </c>
      <c r="BQ308" t="n">
        <v>17.587</v>
      </c>
      <c r="BR308" t="n">
        <v>18.424</v>
      </c>
      <c r="BS308" t="n">
        <v>19.335</v>
      </c>
      <c r="BT308" t="n">
        <v>20.108</v>
      </c>
      <c r="BU308" t="n">
        <v>19.819</v>
      </c>
      <c r="BV308" t="n">
        <v>19.911</v>
      </c>
    </row>
    <row r="309">
      <c r="A309" t="inlineStr">
        <is>
          <t>Carcharhiniformes</t>
        </is>
      </c>
      <c r="B309" t="inlineStr">
        <is>
          <t>Ground sharks</t>
        </is>
      </c>
      <c r="C309" t="inlineStr">
        <is>
          <t>Large sharks (&gt;=90 cm)</t>
        </is>
      </c>
      <c r="D309" t="inlineStr">
        <is>
          <t>Sharks &amp; rays</t>
        </is>
      </c>
      <c r="E309" t="n">
        <v>0</v>
      </c>
      <c r="F309" t="n">
        <v>0</v>
      </c>
      <c r="G309" t="n">
        <v>0</v>
      </c>
      <c r="H309" t="n">
        <v>0</v>
      </c>
      <c r="I309" t="n">
        <v>0</v>
      </c>
      <c r="J309" t="n">
        <v>0</v>
      </c>
      <c r="K309" t="n">
        <v>0</v>
      </c>
      <c r="L309" t="n">
        <v>0</v>
      </c>
      <c r="M309" t="n">
        <v>0</v>
      </c>
      <c r="N309" t="n">
        <v>0</v>
      </c>
      <c r="O309" t="n">
        <v>0</v>
      </c>
      <c r="P309" t="n">
        <v>0</v>
      </c>
      <c r="Q309" t="n">
        <v>0</v>
      </c>
      <c r="R309" t="n">
        <v>0.008</v>
      </c>
      <c r="S309" t="n">
        <v>0.008</v>
      </c>
      <c r="T309" t="n">
        <v>0.008</v>
      </c>
      <c r="U309" t="n">
        <v>0.008</v>
      </c>
      <c r="V309" t="n">
        <v>0.008</v>
      </c>
      <c r="W309" t="n">
        <v>0.008</v>
      </c>
      <c r="X309" t="n">
        <v>0.008</v>
      </c>
      <c r="Y309" t="n">
        <v>30.608</v>
      </c>
      <c r="Z309" t="n">
        <v>32.208</v>
      </c>
      <c r="AA309" t="n">
        <v>39.608</v>
      </c>
      <c r="AB309" t="n">
        <v>52.408</v>
      </c>
      <c r="AC309" t="n">
        <v>59.987</v>
      </c>
      <c r="AD309" t="n">
        <v>56.95</v>
      </c>
      <c r="AE309" t="n">
        <v>50.314</v>
      </c>
      <c r="AF309" t="n">
        <v>65.541</v>
      </c>
      <c r="AG309" t="n">
        <v>12.204</v>
      </c>
      <c r="AH309" t="n">
        <v>22.676</v>
      </c>
      <c r="AI309" t="n">
        <v>15.837</v>
      </c>
      <c r="AJ309" t="n">
        <v>5.667</v>
      </c>
      <c r="AK309" t="n">
        <v>6.173</v>
      </c>
      <c r="AL309" t="n">
        <v>10.217</v>
      </c>
      <c r="AM309" t="n">
        <v>10.749</v>
      </c>
      <c r="AN309" t="n">
        <v>9.209</v>
      </c>
      <c r="AO309" t="n">
        <v>11.304</v>
      </c>
      <c r="AP309" t="n">
        <v>9.233000000000001</v>
      </c>
      <c r="AQ309" t="n">
        <v>8.704000000000001</v>
      </c>
      <c r="AR309" t="n">
        <v>9.228999999999999</v>
      </c>
      <c r="AS309" t="n">
        <v>4.646</v>
      </c>
      <c r="AT309" t="n">
        <v>128.007</v>
      </c>
      <c r="AU309" t="n">
        <v>109.327</v>
      </c>
      <c r="AV309" t="n">
        <v>62.659</v>
      </c>
      <c r="AW309" t="n">
        <v>81.259</v>
      </c>
      <c r="AX309" t="n">
        <v>29.416</v>
      </c>
      <c r="AY309" t="n">
        <v>32.354</v>
      </c>
      <c r="AZ309" t="n">
        <v>40.887</v>
      </c>
      <c r="BA309" t="n">
        <v>69.821</v>
      </c>
      <c r="BB309" t="n">
        <v>78.497</v>
      </c>
      <c r="BC309" t="n">
        <v>72.35299999999999</v>
      </c>
      <c r="BD309" t="n">
        <v>69.34</v>
      </c>
      <c r="BE309" t="n">
        <v>63.279</v>
      </c>
      <c r="BF309" t="n">
        <v>70.95699999999999</v>
      </c>
      <c r="BG309" t="n">
        <v>72.071</v>
      </c>
      <c r="BH309" t="n">
        <v>63.989</v>
      </c>
      <c r="BI309" t="n">
        <v>57.437</v>
      </c>
      <c r="BJ309" t="n">
        <v>42.283</v>
      </c>
      <c r="BK309" t="n">
        <v>42.425</v>
      </c>
      <c r="BL309" t="n">
        <v>55.667</v>
      </c>
      <c r="BM309" t="n">
        <v>37.502</v>
      </c>
      <c r="BN309" t="n">
        <v>40.058</v>
      </c>
      <c r="BO309" t="n">
        <v>52.709</v>
      </c>
      <c r="BP309" t="n">
        <v>38.516</v>
      </c>
      <c r="BQ309" t="n">
        <v>60.916</v>
      </c>
      <c r="BR309" t="n">
        <v>83.264</v>
      </c>
      <c r="BS309" t="n">
        <v>22.284</v>
      </c>
      <c r="BT309" t="n">
        <v>44.539</v>
      </c>
      <c r="BU309" t="n">
        <v>39.486</v>
      </c>
      <c r="BV309" t="n">
        <v>51.322</v>
      </c>
    </row>
    <row r="310">
      <c r="A310" t="inlineStr">
        <is>
          <t>Monotaxis grandoculis</t>
        </is>
      </c>
      <c r="B310" t="inlineStr">
        <is>
          <t>Humpnose big-eye bream</t>
        </is>
      </c>
      <c r="C310" t="inlineStr">
        <is>
          <t>Medium reef assoc. fish (30 - 89 cm)</t>
        </is>
      </c>
      <c r="D310" t="inlineStr">
        <is>
          <t>Perch-likes</t>
        </is>
      </c>
      <c r="E310" t="n">
        <v>3.2</v>
      </c>
      <c r="F310" t="n">
        <v>3.2</v>
      </c>
      <c r="G310" t="n">
        <v>5.333</v>
      </c>
      <c r="H310" t="n">
        <v>4.267</v>
      </c>
      <c r="I310" t="n">
        <v>5.333</v>
      </c>
      <c r="J310" t="n">
        <v>5.333</v>
      </c>
      <c r="K310" t="n">
        <v>5.867</v>
      </c>
      <c r="L310" t="n">
        <v>8.532999999999999</v>
      </c>
      <c r="M310" t="n">
        <v>8.532999999999999</v>
      </c>
      <c r="N310" t="n">
        <v>10.667</v>
      </c>
      <c r="O310" t="n">
        <v>10.667</v>
      </c>
      <c r="P310" t="n">
        <v>22.299</v>
      </c>
      <c r="Q310" t="n">
        <v>26.681</v>
      </c>
      <c r="R310" t="n">
        <v>28.78</v>
      </c>
      <c r="S310" t="n">
        <v>22.946</v>
      </c>
      <c r="T310" t="n">
        <v>20.346</v>
      </c>
      <c r="U310" t="n">
        <v>22.912</v>
      </c>
      <c r="V310" t="n">
        <v>15.938</v>
      </c>
      <c r="W310" t="n">
        <v>12.214</v>
      </c>
      <c r="X310" t="n">
        <v>9.994999999999999</v>
      </c>
      <c r="Y310" t="n">
        <v>11.916</v>
      </c>
      <c r="Z310" t="n">
        <v>14.608</v>
      </c>
      <c r="AA310" t="n">
        <v>13.826</v>
      </c>
      <c r="AB310" t="n">
        <v>24.678</v>
      </c>
      <c r="AC310" t="n">
        <v>18.198</v>
      </c>
      <c r="AD310" t="n">
        <v>14.438</v>
      </c>
      <c r="AE310" t="n">
        <v>14.44</v>
      </c>
      <c r="AF310" t="n">
        <v>12.718</v>
      </c>
      <c r="AG310" t="n">
        <v>20.498</v>
      </c>
      <c r="AH310" t="n">
        <v>23.865</v>
      </c>
      <c r="AI310" t="n">
        <v>26.086</v>
      </c>
      <c r="AJ310" t="n">
        <v>31.121</v>
      </c>
      <c r="AK310" t="n">
        <v>28.891</v>
      </c>
      <c r="AL310" t="n">
        <v>37.872</v>
      </c>
      <c r="AM310" t="n">
        <v>39.631</v>
      </c>
      <c r="AN310" t="n">
        <v>34.886</v>
      </c>
      <c r="AO310" t="n">
        <v>34.497</v>
      </c>
      <c r="AP310" t="n">
        <v>32.93</v>
      </c>
      <c r="AQ310" t="n">
        <v>25.875</v>
      </c>
      <c r="AR310" t="n">
        <v>28.611</v>
      </c>
      <c r="AS310" t="n">
        <v>23.069</v>
      </c>
      <c r="AT310" t="n">
        <v>22.189</v>
      </c>
      <c r="AU310" t="n">
        <v>37.673</v>
      </c>
      <c r="AV310" t="n">
        <v>36.394</v>
      </c>
      <c r="AW310" t="n">
        <v>39.415</v>
      </c>
      <c r="AX310" t="n">
        <v>43.202</v>
      </c>
      <c r="AY310" t="n">
        <v>49.488</v>
      </c>
      <c r="AZ310" t="n">
        <v>55.206</v>
      </c>
      <c r="BA310" t="n">
        <v>56.766</v>
      </c>
      <c r="BB310" t="n">
        <v>56.217</v>
      </c>
      <c r="BC310" t="n">
        <v>27.91</v>
      </c>
      <c r="BD310" t="n">
        <v>143.843</v>
      </c>
      <c r="BE310" t="n">
        <v>67.07899999999999</v>
      </c>
      <c r="BF310" t="n">
        <v>28.796</v>
      </c>
      <c r="BG310" t="n">
        <v>26.702</v>
      </c>
      <c r="BH310" t="n">
        <v>35.862</v>
      </c>
      <c r="BI310" t="n">
        <v>82.565</v>
      </c>
      <c r="BJ310" t="n">
        <v>41.165</v>
      </c>
      <c r="BK310" t="n">
        <v>46.196</v>
      </c>
      <c r="BL310" t="n">
        <v>47.422</v>
      </c>
      <c r="BM310" t="n">
        <v>49.219</v>
      </c>
      <c r="BN310" t="n">
        <v>50.911</v>
      </c>
      <c r="BO310" t="n">
        <v>51.455</v>
      </c>
      <c r="BP310" t="n">
        <v>56.804</v>
      </c>
      <c r="BQ310" t="n">
        <v>54.21</v>
      </c>
      <c r="BR310" t="n">
        <v>53.791</v>
      </c>
      <c r="BS310" t="n">
        <v>53.753</v>
      </c>
      <c r="BT310" t="n">
        <v>50.049</v>
      </c>
      <c r="BU310" t="n">
        <v>48.2</v>
      </c>
      <c r="BV310" t="n">
        <v>47.465</v>
      </c>
    </row>
    <row r="311">
      <c r="A311" t="inlineStr">
        <is>
          <t>Caranx melampygus</t>
        </is>
      </c>
      <c r="B311" t="inlineStr">
        <is>
          <t>Bluefin trevally</t>
        </is>
      </c>
      <c r="C311" t="inlineStr">
        <is>
          <t>Large reef assoc. fish (&gt;=90 cm)</t>
        </is>
      </c>
      <c r="D311" t="inlineStr">
        <is>
          <t>Perch-likes</t>
        </is>
      </c>
      <c r="E311" t="n">
        <v>4.223</v>
      </c>
      <c r="F311" t="n">
        <v>4.263</v>
      </c>
      <c r="G311" t="n">
        <v>4.842</v>
      </c>
      <c r="H311" t="n">
        <v>4.662</v>
      </c>
      <c r="I311" t="n">
        <v>4.991</v>
      </c>
      <c r="J311" t="n">
        <v>4.96</v>
      </c>
      <c r="K311" t="n">
        <v>5.144</v>
      </c>
      <c r="L311" t="n">
        <v>6.049</v>
      </c>
      <c r="M311" t="n">
        <v>6.089</v>
      </c>
      <c r="N311" t="n">
        <v>6.707</v>
      </c>
      <c r="O311" t="n">
        <v>6.913</v>
      </c>
      <c r="P311" t="n">
        <v>10.009</v>
      </c>
      <c r="Q311" t="n">
        <v>11.278</v>
      </c>
      <c r="R311" t="n">
        <v>11.945</v>
      </c>
      <c r="S311" t="n">
        <v>10.44</v>
      </c>
      <c r="T311" t="n">
        <v>9.952</v>
      </c>
      <c r="U311" t="n">
        <v>10.557</v>
      </c>
      <c r="V311" t="n">
        <v>8.784000000000001</v>
      </c>
      <c r="W311" t="n">
        <v>7.854</v>
      </c>
      <c r="X311" t="n">
        <v>14.089</v>
      </c>
      <c r="Y311" t="n">
        <v>8.563000000000001</v>
      </c>
      <c r="Z311" t="n">
        <v>10.041</v>
      </c>
      <c r="AA311" t="n">
        <v>16.737</v>
      </c>
      <c r="AB311" t="n">
        <v>14.882</v>
      </c>
      <c r="AC311" t="n">
        <v>13.983</v>
      </c>
      <c r="AD311" t="n">
        <v>13.789</v>
      </c>
      <c r="AE311" t="n">
        <v>16.254</v>
      </c>
      <c r="AF311" t="n">
        <v>16.269</v>
      </c>
      <c r="AG311" t="n">
        <v>21.89</v>
      </c>
      <c r="AH311" t="n">
        <v>21.472</v>
      </c>
      <c r="AI311" t="n">
        <v>22.945</v>
      </c>
      <c r="AJ311" t="n">
        <v>27.809</v>
      </c>
      <c r="AK311" t="n">
        <v>30.602</v>
      </c>
      <c r="AL311" t="n">
        <v>30.207</v>
      </c>
      <c r="AM311" t="n">
        <v>30.814</v>
      </c>
      <c r="AN311" t="n">
        <v>32.185</v>
      </c>
      <c r="AO311" t="n">
        <v>28.534</v>
      </c>
      <c r="AP311" t="n">
        <v>26.326</v>
      </c>
      <c r="AQ311" t="n">
        <v>20.004</v>
      </c>
      <c r="AR311" t="n">
        <v>22.169</v>
      </c>
      <c r="AS311" t="n">
        <v>22.67</v>
      </c>
      <c r="AT311" t="n">
        <v>31.4</v>
      </c>
      <c r="AU311" t="n">
        <v>33.101</v>
      </c>
      <c r="AV311" t="n">
        <v>37.748</v>
      </c>
      <c r="AW311" t="n">
        <v>45.24</v>
      </c>
      <c r="AX311" t="n">
        <v>47.257</v>
      </c>
      <c r="AY311" t="n">
        <v>50.443</v>
      </c>
      <c r="AZ311" t="n">
        <v>62.219</v>
      </c>
      <c r="BA311" t="n">
        <v>58.295</v>
      </c>
      <c r="BB311" t="n">
        <v>44.934</v>
      </c>
      <c r="BC311" t="n">
        <v>57.018</v>
      </c>
      <c r="BD311" t="n">
        <v>69.40900000000001</v>
      </c>
      <c r="BE311" t="n">
        <v>65.117</v>
      </c>
      <c r="BF311" t="n">
        <v>53.17</v>
      </c>
      <c r="BG311" t="n">
        <v>56.322</v>
      </c>
      <c r="BH311" t="n">
        <v>63.586</v>
      </c>
      <c r="BI311" t="n">
        <v>58.96</v>
      </c>
      <c r="BJ311" t="n">
        <v>59.619</v>
      </c>
      <c r="BK311" t="n">
        <v>69.622</v>
      </c>
      <c r="BL311" t="n">
        <v>86.363</v>
      </c>
      <c r="BM311" t="n">
        <v>83.854</v>
      </c>
      <c r="BN311" t="n">
        <v>95.18300000000001</v>
      </c>
      <c r="BO311" t="n">
        <v>85.24299999999999</v>
      </c>
      <c r="BP311" t="n">
        <v>49.79</v>
      </c>
      <c r="BQ311" t="n">
        <v>48.889</v>
      </c>
      <c r="BR311" t="n">
        <v>41.63</v>
      </c>
      <c r="BS311" t="n">
        <v>43.176</v>
      </c>
      <c r="BT311" t="n">
        <v>40.953</v>
      </c>
      <c r="BU311" t="n">
        <v>38.238</v>
      </c>
      <c r="BV311" t="n">
        <v>36.85</v>
      </c>
    </row>
    <row r="312">
      <c r="A312" t="inlineStr">
        <is>
          <t>Balistidae</t>
        </is>
      </c>
      <c r="B312" t="inlineStr">
        <is>
          <t>Triggerfishes</t>
        </is>
      </c>
      <c r="C312" t="inlineStr">
        <is>
          <t>Medium reef assoc. fish (30 - 89 cm)</t>
        </is>
      </c>
      <c r="D312" t="inlineStr">
        <is>
          <t>Other fishes &amp; inverts</t>
        </is>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1173.633</v>
      </c>
      <c r="AR312" t="n">
        <v>0</v>
      </c>
      <c r="AS312" t="n">
        <v>0</v>
      </c>
      <c r="AT312" t="n">
        <v>0</v>
      </c>
      <c r="AU312" t="n">
        <v>0</v>
      </c>
      <c r="AV312" t="n">
        <v>0</v>
      </c>
      <c r="AW312" t="n">
        <v>0</v>
      </c>
      <c r="AX312" t="n">
        <v>0</v>
      </c>
      <c r="AY312" t="n">
        <v>183.68</v>
      </c>
      <c r="AZ312" t="n">
        <v>0</v>
      </c>
      <c r="BA312" t="n">
        <v>0</v>
      </c>
      <c r="BB312" t="n">
        <v>0</v>
      </c>
      <c r="BC312" t="n">
        <v>0</v>
      </c>
      <c r="BD312" t="n">
        <v>0</v>
      </c>
      <c r="BE312" t="n">
        <v>0</v>
      </c>
      <c r="BF312" t="n">
        <v>0</v>
      </c>
      <c r="BG312" t="n">
        <v>14.756</v>
      </c>
      <c r="BH312" t="n">
        <v>33.282</v>
      </c>
      <c r="BI312" t="n">
        <v>42.056</v>
      </c>
      <c r="BJ312" t="n">
        <v>58.318</v>
      </c>
      <c r="BK312" t="n">
        <v>81.36199999999999</v>
      </c>
      <c r="BL312" t="n">
        <v>66.545</v>
      </c>
      <c r="BM312" t="n">
        <v>54.271</v>
      </c>
      <c r="BN312" t="n">
        <v>50.472</v>
      </c>
      <c r="BO312" t="n">
        <v>41.928</v>
      </c>
      <c r="BP312" t="n">
        <v>53.055</v>
      </c>
      <c r="BQ312" t="n">
        <v>50.393</v>
      </c>
      <c r="BR312" t="n">
        <v>52.666</v>
      </c>
      <c r="BS312" t="n">
        <v>50.522</v>
      </c>
      <c r="BT312" t="n">
        <v>50.522</v>
      </c>
      <c r="BU312" t="n">
        <v>50.522</v>
      </c>
      <c r="BV312" t="n">
        <v>46.447</v>
      </c>
    </row>
    <row r="313">
      <c r="A313" t="inlineStr">
        <is>
          <t>Carcharhinus longimanus</t>
        </is>
      </c>
      <c r="B313" t="inlineStr">
        <is>
          <t>Oceanic whitetip shark</t>
        </is>
      </c>
      <c r="C313" t="inlineStr">
        <is>
          <t>Large sharks (&gt;=90 cm)</t>
        </is>
      </c>
      <c r="D313" t="inlineStr">
        <is>
          <t>Sharks &amp; rays</t>
        </is>
      </c>
      <c r="E313" t="n">
        <v>4.849</v>
      </c>
      <c r="F313" t="n">
        <v>4.947</v>
      </c>
      <c r="G313" t="n">
        <v>5.048</v>
      </c>
      <c r="H313" t="n">
        <v>5.152</v>
      </c>
      <c r="I313" t="n">
        <v>5.257</v>
      </c>
      <c r="J313" t="n">
        <v>5.364</v>
      </c>
      <c r="K313" t="n">
        <v>5.473</v>
      </c>
      <c r="L313" t="n">
        <v>5.585</v>
      </c>
      <c r="M313" t="n">
        <v>5.699</v>
      </c>
      <c r="N313" t="n">
        <v>5.815</v>
      </c>
      <c r="O313" t="n">
        <v>5.934</v>
      </c>
      <c r="P313" t="n">
        <v>6.055</v>
      </c>
      <c r="Q313" t="n">
        <v>6.179</v>
      </c>
      <c r="R313" t="n">
        <v>6.305</v>
      </c>
      <c r="S313" t="n">
        <v>6.436</v>
      </c>
      <c r="T313" t="n">
        <v>6.57</v>
      </c>
      <c r="U313" t="n">
        <v>6.707</v>
      </c>
      <c r="V313" t="n">
        <v>7.035</v>
      </c>
      <c r="W313" t="n">
        <v>7.363</v>
      </c>
      <c r="X313" t="n">
        <v>7.692</v>
      </c>
      <c r="Y313" t="n">
        <v>7.997</v>
      </c>
      <c r="Z313" t="n">
        <v>8.337999999999999</v>
      </c>
      <c r="AA313" t="n">
        <v>8.76</v>
      </c>
      <c r="AB313" t="n">
        <v>9.010999999999999</v>
      </c>
      <c r="AC313" t="n">
        <v>9.428000000000001</v>
      </c>
      <c r="AD313" t="n">
        <v>9.023999999999999</v>
      </c>
      <c r="AE313" t="n">
        <v>9.273999999999999</v>
      </c>
      <c r="AF313" t="n">
        <v>9.805</v>
      </c>
      <c r="AG313" t="n">
        <v>10.207</v>
      </c>
      <c r="AH313" t="n">
        <v>10.394</v>
      </c>
      <c r="AI313" t="n">
        <v>10.87</v>
      </c>
      <c r="AJ313" t="n">
        <v>10.846</v>
      </c>
      <c r="AK313" t="n">
        <v>10.57</v>
      </c>
      <c r="AL313" t="n">
        <v>12.122</v>
      </c>
      <c r="AM313" t="n">
        <v>18.046</v>
      </c>
      <c r="AN313" t="n">
        <v>14.545</v>
      </c>
      <c r="AO313" t="n">
        <v>23.076</v>
      </c>
      <c r="AP313" t="n">
        <v>17.552</v>
      </c>
      <c r="AQ313" t="n">
        <v>21.201</v>
      </c>
      <c r="AR313" t="n">
        <v>17.65</v>
      </c>
      <c r="AS313" t="n">
        <v>14.405</v>
      </c>
      <c r="AT313" t="n">
        <v>14.94</v>
      </c>
      <c r="AU313" t="n">
        <v>18.835</v>
      </c>
      <c r="AV313" t="n">
        <v>22.751</v>
      </c>
      <c r="AW313" t="n">
        <v>26.477</v>
      </c>
      <c r="AX313" t="n">
        <v>29.48</v>
      </c>
      <c r="AY313" t="n">
        <v>32.516</v>
      </c>
      <c r="AZ313" t="n">
        <v>35.568</v>
      </c>
      <c r="BA313" t="n">
        <v>38.347</v>
      </c>
      <c r="BB313" t="n">
        <v>41.07</v>
      </c>
      <c r="BC313" t="n">
        <v>47.961</v>
      </c>
      <c r="BD313" t="n">
        <v>40.458</v>
      </c>
      <c r="BE313" t="n">
        <v>36.851</v>
      </c>
      <c r="BF313" t="n">
        <v>33.424</v>
      </c>
      <c r="BG313" t="n">
        <v>29.87</v>
      </c>
      <c r="BH313" t="n">
        <v>26.365</v>
      </c>
      <c r="BI313" t="n">
        <v>20.91</v>
      </c>
      <c r="BJ313" t="n">
        <v>15.469</v>
      </c>
      <c r="BK313" t="n">
        <v>15.498</v>
      </c>
      <c r="BL313" t="n">
        <v>15.965</v>
      </c>
      <c r="BM313" t="n">
        <v>29.742</v>
      </c>
      <c r="BN313" t="n">
        <v>12.899</v>
      </c>
      <c r="BO313" t="n">
        <v>294.345</v>
      </c>
      <c r="BP313" t="n">
        <v>240.179</v>
      </c>
      <c r="BQ313" t="n">
        <v>147.209</v>
      </c>
      <c r="BR313" t="n">
        <v>188.553</v>
      </c>
      <c r="BS313" t="n">
        <v>57.224</v>
      </c>
      <c r="BT313" t="n">
        <v>93.883</v>
      </c>
      <c r="BU313" t="n">
        <v>58.927</v>
      </c>
      <c r="BV313" t="n">
        <v>77.89700000000001</v>
      </c>
    </row>
    <row r="314">
      <c r="A314" t="inlineStr">
        <is>
          <t>Congridae</t>
        </is>
      </c>
      <c r="B314" t="inlineStr">
        <is>
          <t>Conger, garden eels</t>
        </is>
      </c>
      <c r="C314" t="inlineStr">
        <is>
          <t>Large demersals (&gt;=90 cm)</t>
        </is>
      </c>
      <c r="D314" t="inlineStr">
        <is>
          <t>Other fishes &amp; inverts</t>
        </is>
      </c>
      <c r="E314" t="n">
        <v>0</v>
      </c>
      <c r="F314" t="n">
        <v>0</v>
      </c>
      <c r="G314" t="n">
        <v>0</v>
      </c>
      <c r="H314" t="n">
        <v>0</v>
      </c>
      <c r="I314" t="n">
        <v>0</v>
      </c>
      <c r="J314" t="n">
        <v>0</v>
      </c>
      <c r="K314" t="n">
        <v>0</v>
      </c>
      <c r="L314" t="n">
        <v>0</v>
      </c>
      <c r="M314" t="n">
        <v>0</v>
      </c>
      <c r="N314" t="n">
        <v>0</v>
      </c>
      <c r="O314" t="n">
        <v>0</v>
      </c>
      <c r="P314" t="n">
        <v>0</v>
      </c>
      <c r="Q314" t="n">
        <v>0</v>
      </c>
      <c r="R314" t="n">
        <v>0</v>
      </c>
      <c r="S314" t="n">
        <v>0</v>
      </c>
      <c r="T314" t="n">
        <v>0.131</v>
      </c>
      <c r="U314" t="n">
        <v>157.591</v>
      </c>
      <c r="V314" t="n">
        <v>0.13</v>
      </c>
      <c r="W314" t="n">
        <v>0</v>
      </c>
      <c r="X314" t="n">
        <v>52.124</v>
      </c>
      <c r="Y314" t="n">
        <v>162.31</v>
      </c>
      <c r="Z314" t="n">
        <v>0</v>
      </c>
      <c r="AA314" t="n">
        <v>102.827</v>
      </c>
      <c r="AB314" t="n">
        <v>1030.83</v>
      </c>
      <c r="AC314" t="n">
        <v>0</v>
      </c>
      <c r="AD314" t="n">
        <v>87.785</v>
      </c>
      <c r="AE314" t="n">
        <v>235.957</v>
      </c>
      <c r="AF314" t="n">
        <v>92.8</v>
      </c>
      <c r="AG314" t="n">
        <v>0</v>
      </c>
      <c r="AH314" t="n">
        <v>0</v>
      </c>
      <c r="AI314" t="n">
        <v>1.267</v>
      </c>
      <c r="AJ314" t="n">
        <v>0</v>
      </c>
      <c r="AK314" t="n">
        <v>0</v>
      </c>
      <c r="AL314" t="n">
        <v>0.764</v>
      </c>
      <c r="AM314" t="n">
        <v>0</v>
      </c>
      <c r="AN314" t="n">
        <v>0</v>
      </c>
      <c r="AO314" t="n">
        <v>0</v>
      </c>
      <c r="AP314" t="n">
        <v>0</v>
      </c>
      <c r="AQ314" t="n">
        <v>0</v>
      </c>
      <c r="AR314" t="n">
        <v>0.228</v>
      </c>
      <c r="AS314" t="n">
        <v>0</v>
      </c>
      <c r="AT314" t="n">
        <v>0</v>
      </c>
      <c r="AU314" t="n">
        <v>0</v>
      </c>
      <c r="AV314" t="n">
        <v>0</v>
      </c>
      <c r="AW314" t="n">
        <v>0</v>
      </c>
      <c r="AX314" t="n">
        <v>0</v>
      </c>
      <c r="AY314" t="n">
        <v>0</v>
      </c>
      <c r="AZ314" t="n">
        <v>3.219</v>
      </c>
      <c r="BA314" t="n">
        <v>34.339</v>
      </c>
      <c r="BB314" t="n">
        <v>10.194</v>
      </c>
      <c r="BC314" t="n">
        <v>28.437</v>
      </c>
      <c r="BD314" t="n">
        <v>0</v>
      </c>
      <c r="BE314" t="n">
        <v>0</v>
      </c>
      <c r="BF314" t="n">
        <v>3.368</v>
      </c>
      <c r="BG314" t="n">
        <v>11.225</v>
      </c>
      <c r="BH314" t="n">
        <v>0</v>
      </c>
      <c r="BI314" t="n">
        <v>0</v>
      </c>
      <c r="BJ314" t="n">
        <v>1.083</v>
      </c>
      <c r="BK314" t="n">
        <v>6.201</v>
      </c>
      <c r="BL314" t="n">
        <v>44.417</v>
      </c>
      <c r="BM314" t="n">
        <v>0</v>
      </c>
      <c r="BN314" t="n">
        <v>0</v>
      </c>
      <c r="BO314" t="n">
        <v>0</v>
      </c>
      <c r="BP314" t="n">
        <v>0</v>
      </c>
      <c r="BQ314" t="n">
        <v>4.489</v>
      </c>
      <c r="BR314" t="n">
        <v>0</v>
      </c>
      <c r="BS314" t="n">
        <v>0</v>
      </c>
      <c r="BT314" t="n">
        <v>0</v>
      </c>
      <c r="BU314" t="n">
        <v>0</v>
      </c>
      <c r="BV314" t="n">
        <v>0</v>
      </c>
    </row>
    <row r="315">
      <c r="A315" t="inlineStr">
        <is>
          <t>Bothus pantherinus</t>
        </is>
      </c>
      <c r="B315" t="inlineStr">
        <is>
          <t>Leopard flounder</t>
        </is>
      </c>
      <c r="C315" t="inlineStr">
        <is>
          <t>Small to medium flatfishes (&lt;90 cm)</t>
        </is>
      </c>
      <c r="D315" t="inlineStr">
        <is>
          <t>Flatfishes</t>
        </is>
      </c>
      <c r="E315" t="n">
        <v>1.744</v>
      </c>
      <c r="F315" t="n">
        <v>1.744</v>
      </c>
      <c r="G315" t="n">
        <v>2.907</v>
      </c>
      <c r="H315" t="n">
        <v>2.326</v>
      </c>
      <c r="I315" t="n">
        <v>2.907</v>
      </c>
      <c r="J315" t="n">
        <v>2.907</v>
      </c>
      <c r="K315" t="n">
        <v>3.198</v>
      </c>
      <c r="L315" t="n">
        <v>4.651</v>
      </c>
      <c r="M315" t="n">
        <v>4.651</v>
      </c>
      <c r="N315" t="n">
        <v>5.814</v>
      </c>
      <c r="O315" t="n">
        <v>5.814</v>
      </c>
      <c r="P315" t="n">
        <v>12.154</v>
      </c>
      <c r="Q315" t="n">
        <v>14.59</v>
      </c>
      <c r="R315" t="n">
        <v>16.161</v>
      </c>
      <c r="S315" t="n">
        <v>13.145</v>
      </c>
      <c r="T315" t="n">
        <v>13.918</v>
      </c>
      <c r="U315" t="n">
        <v>15.572</v>
      </c>
      <c r="V315" t="n">
        <v>19.354</v>
      </c>
      <c r="W315" t="n">
        <v>17.388</v>
      </c>
      <c r="X315" t="n">
        <v>17.074</v>
      </c>
      <c r="Y315" t="n">
        <v>16.459</v>
      </c>
      <c r="Z315" t="n">
        <v>16.678</v>
      </c>
      <c r="AA315" t="n">
        <v>18.695</v>
      </c>
      <c r="AB315" t="n">
        <v>21.9</v>
      </c>
      <c r="AC315" t="n">
        <v>16.672</v>
      </c>
      <c r="AD315" t="n">
        <v>15.068</v>
      </c>
      <c r="AE315" t="n">
        <v>15.334</v>
      </c>
      <c r="AF315" t="n">
        <v>15.15</v>
      </c>
      <c r="AG315" t="n">
        <v>14.915</v>
      </c>
      <c r="AH315" t="n">
        <v>20.545</v>
      </c>
      <c r="AI315" t="n">
        <v>17.148</v>
      </c>
      <c r="AJ315" t="n">
        <v>25.648</v>
      </c>
      <c r="AK315" t="n">
        <v>51.988</v>
      </c>
      <c r="AL315" t="n">
        <v>57.202</v>
      </c>
      <c r="AM315" t="n">
        <v>64.248</v>
      </c>
      <c r="AN315" t="n">
        <v>67.676</v>
      </c>
      <c r="AO315" t="n">
        <v>68.05200000000001</v>
      </c>
      <c r="AP315" t="n">
        <v>47.035</v>
      </c>
      <c r="AQ315" t="n">
        <v>40.726</v>
      </c>
      <c r="AR315" t="n">
        <v>36.695</v>
      </c>
      <c r="AS315" t="n">
        <v>32.769</v>
      </c>
      <c r="AT315" t="n">
        <v>32.014</v>
      </c>
      <c r="AU315" t="n">
        <v>28.783</v>
      </c>
      <c r="AV315" t="n">
        <v>27.771</v>
      </c>
      <c r="AW315" t="n">
        <v>50.256</v>
      </c>
      <c r="AX315" t="n">
        <v>31.022</v>
      </c>
      <c r="AY315" t="n">
        <v>40.916</v>
      </c>
      <c r="AZ315" t="n">
        <v>40.095</v>
      </c>
      <c r="BA315" t="n">
        <v>43.716</v>
      </c>
      <c r="BB315" t="n">
        <v>39.072</v>
      </c>
      <c r="BC315" t="n">
        <v>28.325</v>
      </c>
      <c r="BD315" t="n">
        <v>35.911</v>
      </c>
      <c r="BE315" t="n">
        <v>35.581</v>
      </c>
      <c r="BF315" t="n">
        <v>36.198</v>
      </c>
      <c r="BG315" t="n">
        <v>21.78</v>
      </c>
      <c r="BH315" t="n">
        <v>49.992</v>
      </c>
      <c r="BI315" t="n">
        <v>71.446</v>
      </c>
      <c r="BJ315" t="n">
        <v>29.899</v>
      </c>
      <c r="BK315" t="n">
        <v>44.939</v>
      </c>
      <c r="BL315" t="n">
        <v>44.022</v>
      </c>
      <c r="BM315" t="n">
        <v>40.332</v>
      </c>
      <c r="BN315" t="n">
        <v>41.709</v>
      </c>
      <c r="BO315" t="n">
        <v>43.145</v>
      </c>
      <c r="BP315" t="n">
        <v>47.528</v>
      </c>
      <c r="BQ315" t="n">
        <v>48.373</v>
      </c>
      <c r="BR315" t="n">
        <v>48.03</v>
      </c>
      <c r="BS315" t="n">
        <v>47.999</v>
      </c>
      <c r="BT315" t="n">
        <v>42.805</v>
      </c>
      <c r="BU315" t="n">
        <v>40.67</v>
      </c>
      <c r="BV315" t="n">
        <v>40.12</v>
      </c>
    </row>
    <row r="316">
      <c r="A316" t="inlineStr">
        <is>
          <t>Parupeneus indicus</t>
        </is>
      </c>
      <c r="B316" t="inlineStr">
        <is>
          <t>Indian goatfish</t>
        </is>
      </c>
      <c r="C316" t="inlineStr">
        <is>
          <t>Medium reef assoc. fish (30 - 89 cm)</t>
        </is>
      </c>
      <c r="D316" t="inlineStr">
        <is>
          <t>Perch-likes</t>
        </is>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26.52</v>
      </c>
      <c r="AD316" t="n">
        <v>28.988</v>
      </c>
      <c r="AE316" t="n">
        <v>47.135</v>
      </c>
      <c r="AF316" t="n">
        <v>68.10899999999999</v>
      </c>
      <c r="AG316" t="n">
        <v>9.403</v>
      </c>
      <c r="AH316" t="n">
        <v>88.596</v>
      </c>
      <c r="AI316" t="n">
        <v>178.211</v>
      </c>
      <c r="AJ316" t="n">
        <v>97.312</v>
      </c>
      <c r="AK316" t="n">
        <v>78.56</v>
      </c>
      <c r="AL316" t="n">
        <v>108.326</v>
      </c>
      <c r="AM316" t="n">
        <v>232.729</v>
      </c>
      <c r="AN316" t="n">
        <v>203.501</v>
      </c>
      <c r="AO316" t="n">
        <v>105.155</v>
      </c>
      <c r="AP316" t="n">
        <v>219.41</v>
      </c>
      <c r="AQ316" t="n">
        <v>173.329</v>
      </c>
      <c r="AR316" t="n">
        <v>140.83</v>
      </c>
      <c r="AS316" t="n">
        <v>92.541</v>
      </c>
      <c r="AT316" t="n">
        <v>37.791</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row>
    <row r="317">
      <c r="A317" t="inlineStr">
        <is>
          <t>Sphyraena putnamae</t>
        </is>
      </c>
      <c r="B317" t="inlineStr">
        <is>
          <t>Sawtooth barracuda</t>
        </is>
      </c>
      <c r="C317" t="inlineStr">
        <is>
          <t>Medium reef assoc. fish (30 - 89 cm)</t>
        </is>
      </c>
      <c r="D317" t="inlineStr">
        <is>
          <t>Perch-likes</t>
        </is>
      </c>
      <c r="E317" t="n">
        <v>4.548</v>
      </c>
      <c r="F317" t="n">
        <v>4.548</v>
      </c>
      <c r="G317" t="n">
        <v>5.684</v>
      </c>
      <c r="H317" t="n">
        <v>5.684</v>
      </c>
      <c r="I317" t="n">
        <v>5.684</v>
      </c>
      <c r="J317" t="n">
        <v>5.684</v>
      </c>
      <c r="K317" t="n">
        <v>5.684</v>
      </c>
      <c r="L317" t="n">
        <v>6.821</v>
      </c>
      <c r="M317" t="n">
        <v>6.821</v>
      </c>
      <c r="N317" t="n">
        <v>6.821</v>
      </c>
      <c r="O317" t="n">
        <v>9.095000000000001</v>
      </c>
      <c r="P317" t="n">
        <v>9.095000000000001</v>
      </c>
      <c r="Q317" t="n">
        <v>9.095000000000001</v>
      </c>
      <c r="R317" t="n">
        <v>10.232</v>
      </c>
      <c r="S317" t="n">
        <v>10.232</v>
      </c>
      <c r="T317" t="n">
        <v>11.369</v>
      </c>
      <c r="U317" t="n">
        <v>14.779</v>
      </c>
      <c r="V317" t="n">
        <v>17.053</v>
      </c>
      <c r="W317" t="n">
        <v>17.053</v>
      </c>
      <c r="X317" t="n">
        <v>20.464</v>
      </c>
      <c r="Y317" t="n">
        <v>35.474</v>
      </c>
      <c r="Z317" t="n">
        <v>35.474</v>
      </c>
      <c r="AA317" t="n">
        <v>35.474</v>
      </c>
      <c r="AB317" t="n">
        <v>35.474</v>
      </c>
      <c r="AC317" t="n">
        <v>35.474</v>
      </c>
      <c r="AD317" t="n">
        <v>40.541</v>
      </c>
      <c r="AE317" t="n">
        <v>38.514</v>
      </c>
      <c r="AF317" t="n">
        <v>45.609</v>
      </c>
      <c r="AG317" t="n">
        <v>38.007</v>
      </c>
      <c r="AH317" t="n">
        <v>34.46</v>
      </c>
      <c r="AI317" t="n">
        <v>61.319</v>
      </c>
      <c r="AJ317" t="n">
        <v>53.717</v>
      </c>
      <c r="AK317" t="n">
        <v>49.663</v>
      </c>
      <c r="AL317" t="n">
        <v>27.872</v>
      </c>
      <c r="AM317" t="n">
        <v>23.311</v>
      </c>
      <c r="AN317" t="n">
        <v>35.98</v>
      </c>
      <c r="AO317" t="n">
        <v>31.419</v>
      </c>
      <c r="AP317" t="n">
        <v>56.251</v>
      </c>
      <c r="AQ317" t="n">
        <v>62.839</v>
      </c>
      <c r="AR317" t="n">
        <v>60.812</v>
      </c>
      <c r="AS317" t="n">
        <v>61.825</v>
      </c>
      <c r="AT317" t="n">
        <v>33.953</v>
      </c>
      <c r="AU317" t="n">
        <v>36.994</v>
      </c>
      <c r="AV317" t="n">
        <v>45.102</v>
      </c>
      <c r="AW317" t="n">
        <v>33.447</v>
      </c>
      <c r="AX317" t="n">
        <v>54.224</v>
      </c>
      <c r="AY317" t="n">
        <v>80.57599999999999</v>
      </c>
      <c r="AZ317" t="n">
        <v>41.555</v>
      </c>
      <c r="BA317" t="n">
        <v>79.05500000000001</v>
      </c>
      <c r="BB317" t="n">
        <v>3.041</v>
      </c>
      <c r="BC317" t="n">
        <v>4.054</v>
      </c>
      <c r="BD317" t="n">
        <v>3.547</v>
      </c>
      <c r="BE317" t="n">
        <v>3.041</v>
      </c>
      <c r="BF317" t="n">
        <v>5.574</v>
      </c>
      <c r="BG317" t="n">
        <v>19.735</v>
      </c>
      <c r="BH317" t="n">
        <v>20.722</v>
      </c>
      <c r="BI317" t="n">
        <v>44.404</v>
      </c>
      <c r="BJ317" t="n">
        <v>33.549</v>
      </c>
      <c r="BK317" t="n">
        <v>132.224</v>
      </c>
      <c r="BL317" t="n">
        <v>9.867000000000001</v>
      </c>
      <c r="BM317" t="n">
        <v>22.695</v>
      </c>
      <c r="BN317" t="n">
        <v>2.96</v>
      </c>
      <c r="BO317" t="n">
        <v>26.642</v>
      </c>
      <c r="BP317" t="n">
        <v>38.483</v>
      </c>
      <c r="BQ317" t="n">
        <v>5.92</v>
      </c>
      <c r="BR317" t="n">
        <v>5.92</v>
      </c>
      <c r="BS317" t="n">
        <v>5.92</v>
      </c>
      <c r="BT317" t="n">
        <v>5.92</v>
      </c>
      <c r="BU317" t="n">
        <v>5.92</v>
      </c>
      <c r="BV317" t="n">
        <v>5.92</v>
      </c>
    </row>
    <row r="318">
      <c r="A318" t="inlineStr">
        <is>
          <t>Turrum coeruleopinnatum</t>
        </is>
      </c>
      <c r="B318" t="inlineStr">
        <is>
          <t>Coastal trevally</t>
        </is>
      </c>
      <c r="C318" t="inlineStr">
        <is>
          <t>Medium reef assoc. fish (30 - 89 cm)</t>
        </is>
      </c>
      <c r="D318" t="inlineStr">
        <is>
          <t>Perch-likes</t>
        </is>
      </c>
      <c r="E318" t="n">
        <v>3.155</v>
      </c>
      <c r="F318" t="n">
        <v>3.193</v>
      </c>
      <c r="G318" t="n">
        <v>3.193</v>
      </c>
      <c r="H318" t="n">
        <v>3.232</v>
      </c>
      <c r="I318" t="n">
        <v>3.27</v>
      </c>
      <c r="J318" t="n">
        <v>3.309</v>
      </c>
      <c r="K318" t="n">
        <v>3.347</v>
      </c>
      <c r="L318" t="n">
        <v>3.386</v>
      </c>
      <c r="M318" t="n">
        <v>3.424</v>
      </c>
      <c r="N318" t="n">
        <v>3.463</v>
      </c>
      <c r="O318" t="n">
        <v>3.665</v>
      </c>
      <c r="P318" t="n">
        <v>3.741</v>
      </c>
      <c r="Q318" t="n">
        <v>3.818</v>
      </c>
      <c r="R318" t="n">
        <v>3.916</v>
      </c>
      <c r="S318" t="n">
        <v>3.995</v>
      </c>
      <c r="T318" t="n">
        <v>4.092</v>
      </c>
      <c r="U318" t="n">
        <v>4.178</v>
      </c>
      <c r="V318" t="n">
        <v>4.282</v>
      </c>
      <c r="W318" t="n">
        <v>4.368</v>
      </c>
      <c r="X318" t="n">
        <v>10.172</v>
      </c>
      <c r="Y318" t="n">
        <v>4.804</v>
      </c>
      <c r="Z318" t="n">
        <v>5.639</v>
      </c>
      <c r="AA318" t="n">
        <v>11.25</v>
      </c>
      <c r="AB318" t="n">
        <v>7.669</v>
      </c>
      <c r="AC318" t="n">
        <v>8.170999999999999</v>
      </c>
      <c r="AD318" t="n">
        <v>8.65</v>
      </c>
      <c r="AE318" t="n">
        <v>10.443</v>
      </c>
      <c r="AF318" t="n">
        <v>11.067</v>
      </c>
      <c r="AG318" t="n">
        <v>12.975</v>
      </c>
      <c r="AH318" t="n">
        <v>13.227</v>
      </c>
      <c r="AI318" t="n">
        <v>13.438</v>
      </c>
      <c r="AJ318" t="n">
        <v>14.866</v>
      </c>
      <c r="AK318" t="n">
        <v>17.266</v>
      </c>
      <c r="AL318" t="n">
        <v>14.993</v>
      </c>
      <c r="AM318" t="n">
        <v>14.973</v>
      </c>
      <c r="AN318" t="n">
        <v>19.282</v>
      </c>
      <c r="AO318" t="n">
        <v>17.243</v>
      </c>
      <c r="AP318" t="n">
        <v>16.18</v>
      </c>
      <c r="AQ318" t="n">
        <v>12.156</v>
      </c>
      <c r="AR318" t="n">
        <v>13.183</v>
      </c>
      <c r="AS318" t="n">
        <v>13.858</v>
      </c>
      <c r="AT318" t="n">
        <v>20.103</v>
      </c>
      <c r="AU318" t="n">
        <v>17.863</v>
      </c>
      <c r="AV318" t="n">
        <v>20.312</v>
      </c>
      <c r="AW318" t="n">
        <v>23.784</v>
      </c>
      <c r="AX318" t="n">
        <v>24.464</v>
      </c>
      <c r="AY318" t="n">
        <v>25.025</v>
      </c>
      <c r="AZ318" t="n">
        <v>31.349</v>
      </c>
      <c r="BA318" t="n">
        <v>28.614</v>
      </c>
      <c r="BB318" t="n">
        <v>20.392</v>
      </c>
      <c r="BC318" t="n">
        <v>32.321</v>
      </c>
      <c r="BD318" t="n">
        <v>29.303</v>
      </c>
      <c r="BE318" t="n">
        <v>30.668</v>
      </c>
      <c r="BF318" t="n">
        <v>32.789</v>
      </c>
      <c r="BG318" t="n">
        <v>33.027</v>
      </c>
      <c r="BH318" t="n">
        <v>37.118</v>
      </c>
      <c r="BI318" t="n">
        <v>30.942</v>
      </c>
      <c r="BJ318" t="n">
        <v>32.642</v>
      </c>
      <c r="BK318" t="n">
        <v>28.995</v>
      </c>
      <c r="BL318" t="n">
        <v>36.622</v>
      </c>
      <c r="BM318" t="n">
        <v>36.399</v>
      </c>
      <c r="BN318" t="n">
        <v>125.543</v>
      </c>
      <c r="BO318" t="n">
        <v>108.824</v>
      </c>
      <c r="BP318" t="n">
        <v>93.386</v>
      </c>
      <c r="BQ318" t="n">
        <v>97.896</v>
      </c>
      <c r="BR318" t="n">
        <v>93.973</v>
      </c>
      <c r="BS318" t="n">
        <v>95.34999999999999</v>
      </c>
      <c r="BT318" t="n">
        <v>101.484</v>
      </c>
      <c r="BU318" t="n">
        <v>118.63</v>
      </c>
      <c r="BV318" t="n">
        <v>108.954</v>
      </c>
    </row>
    <row r="319">
      <c r="A319" t="inlineStr">
        <is>
          <t>Carangoides</t>
        </is>
      </c>
      <c r="B319" t="inlineStr">
        <is>
          <t>Trevallies</t>
        </is>
      </c>
      <c r="C319" t="inlineStr">
        <is>
          <t>Medium reef assoc. fish (30 - 89 cm)</t>
        </is>
      </c>
      <c r="D319" t="inlineStr">
        <is>
          <t>Perch-likes</t>
        </is>
      </c>
      <c r="E319" t="n">
        <v>3.802</v>
      </c>
      <c r="F319" t="n">
        <v>3.88</v>
      </c>
      <c r="G319" t="n">
        <v>3.959</v>
      </c>
      <c r="H319" t="n">
        <v>4.04</v>
      </c>
      <c r="I319" t="n">
        <v>4.122</v>
      </c>
      <c r="J319" t="n">
        <v>4.206</v>
      </c>
      <c r="K319" t="n">
        <v>4.292</v>
      </c>
      <c r="L319" t="n">
        <v>4.38</v>
      </c>
      <c r="M319" t="n">
        <v>4.469</v>
      </c>
      <c r="N319" t="n">
        <v>4.56</v>
      </c>
      <c r="O319" t="n">
        <v>4.653</v>
      </c>
      <c r="P319" t="n">
        <v>4.748</v>
      </c>
      <c r="Q319" t="n">
        <v>4.845</v>
      </c>
      <c r="R319" t="n">
        <v>4.944</v>
      </c>
      <c r="S319" t="n">
        <v>5.045</v>
      </c>
      <c r="T319" t="n">
        <v>5.148</v>
      </c>
      <c r="U319" t="n">
        <v>5.253</v>
      </c>
      <c r="V319" t="n">
        <v>5.509</v>
      </c>
      <c r="W319" t="n">
        <v>5.764</v>
      </c>
      <c r="X319" t="n">
        <v>6.019</v>
      </c>
      <c r="Y319" t="n">
        <v>6.275</v>
      </c>
      <c r="Z319" t="n">
        <v>6.53</v>
      </c>
      <c r="AA319" t="n">
        <v>6.785</v>
      </c>
      <c r="AB319" t="n">
        <v>7.041</v>
      </c>
      <c r="AC319" t="n">
        <v>7.296</v>
      </c>
      <c r="AD319" t="n">
        <v>6.971</v>
      </c>
      <c r="AE319" t="n">
        <v>7.19</v>
      </c>
      <c r="AF319" t="n">
        <v>7.408</v>
      </c>
      <c r="AG319" t="n">
        <v>7.624</v>
      </c>
      <c r="AH319" t="n">
        <v>7.84</v>
      </c>
      <c r="AI319" t="n">
        <v>8.055</v>
      </c>
      <c r="AJ319" t="n">
        <v>8.268000000000001</v>
      </c>
      <c r="AK319" t="n">
        <v>7.965</v>
      </c>
      <c r="AL319" t="n">
        <v>9.223000000000001</v>
      </c>
      <c r="AM319" t="n">
        <v>14.014</v>
      </c>
      <c r="AN319" t="n">
        <v>11.015</v>
      </c>
      <c r="AO319" t="n">
        <v>17.611</v>
      </c>
      <c r="AP319" t="n">
        <v>13.212</v>
      </c>
      <c r="AQ319" t="n">
        <v>16.265</v>
      </c>
      <c r="AR319" t="n">
        <v>13.569</v>
      </c>
      <c r="AS319" t="n">
        <v>10.885</v>
      </c>
      <c r="AT319" t="n">
        <v>11.276</v>
      </c>
      <c r="AU319" t="n">
        <v>14.397</v>
      </c>
      <c r="AV319" t="n">
        <v>17.503</v>
      </c>
      <c r="AW319" t="n">
        <v>20.593</v>
      </c>
      <c r="AX319" t="n">
        <v>22.91</v>
      </c>
      <c r="AY319" t="n">
        <v>25.216</v>
      </c>
      <c r="AZ319" t="n">
        <v>27.509</v>
      </c>
      <c r="BA319" t="n">
        <v>29.792</v>
      </c>
      <c r="BB319" t="n">
        <v>30.338</v>
      </c>
      <c r="BC319" t="n">
        <v>32.568</v>
      </c>
      <c r="BD319" t="n">
        <v>29.996</v>
      </c>
      <c r="BE319" t="n">
        <v>27.421</v>
      </c>
      <c r="BF319" t="n">
        <v>24.77</v>
      </c>
      <c r="BG319" t="n">
        <v>22.132</v>
      </c>
      <c r="BH319" t="n">
        <v>19.508</v>
      </c>
      <c r="BI319" t="n">
        <v>15.425</v>
      </c>
      <c r="BJ319" t="n">
        <v>11.363</v>
      </c>
      <c r="BK319" t="n">
        <v>11.46</v>
      </c>
      <c r="BL319" t="n">
        <v>10.118</v>
      </c>
      <c r="BM319" t="n">
        <v>8.759</v>
      </c>
      <c r="BN319" t="n">
        <v>122.163</v>
      </c>
      <c r="BO319" t="n">
        <v>107.246</v>
      </c>
      <c r="BP319" t="n">
        <v>113.933</v>
      </c>
      <c r="BQ319" t="n">
        <v>118.059</v>
      </c>
      <c r="BR319" t="n">
        <v>117.11</v>
      </c>
      <c r="BS319" t="n">
        <v>118.022</v>
      </c>
      <c r="BT319" t="n">
        <v>127.45</v>
      </c>
      <c r="BU319" t="n">
        <v>149.02</v>
      </c>
      <c r="BV319" t="n">
        <v>141.124</v>
      </c>
    </row>
    <row r="320">
      <c r="A320" t="inlineStr">
        <is>
          <t>Seriola rivoliana</t>
        </is>
      </c>
      <c r="B320" t="inlineStr">
        <is>
          <t>Longfin yellowtail</t>
        </is>
      </c>
      <c r="C320" t="inlineStr">
        <is>
          <t>Large benthopelagics (&gt;=90 cm)</t>
        </is>
      </c>
      <c r="D320" t="inlineStr">
        <is>
          <t>Perch-likes</t>
        </is>
      </c>
      <c r="E320" t="n">
        <v>6.999</v>
      </c>
      <c r="F320" t="n">
        <v>7.115</v>
      </c>
      <c r="G320" t="n">
        <v>7.194</v>
      </c>
      <c r="H320" t="n">
        <v>7.314</v>
      </c>
      <c r="I320" t="n">
        <v>7.435</v>
      </c>
      <c r="J320" t="n">
        <v>7.558</v>
      </c>
      <c r="K320" t="n">
        <v>7.683</v>
      </c>
      <c r="L320" t="n">
        <v>7.809</v>
      </c>
      <c r="M320" t="n">
        <v>7.937</v>
      </c>
      <c r="N320" t="n">
        <v>8.067</v>
      </c>
      <c r="O320" t="n">
        <v>8.366</v>
      </c>
      <c r="P320" t="n">
        <v>8.537000000000001</v>
      </c>
      <c r="Q320" t="n">
        <v>8.712</v>
      </c>
      <c r="R320" t="n">
        <v>8.91</v>
      </c>
      <c r="S320" t="n">
        <v>9.092000000000001</v>
      </c>
      <c r="T320" t="n">
        <v>9.292999999999999</v>
      </c>
      <c r="U320" t="n">
        <v>9.486000000000001</v>
      </c>
      <c r="V320" t="n">
        <v>9.846</v>
      </c>
      <c r="W320" t="n">
        <v>10.188</v>
      </c>
      <c r="X320" t="n">
        <v>16.344</v>
      </c>
      <c r="Y320" t="n">
        <v>11.14</v>
      </c>
      <c r="Z320" t="n">
        <v>12.244</v>
      </c>
      <c r="AA320" t="n">
        <v>18.203</v>
      </c>
      <c r="AB320" t="n">
        <v>14.817</v>
      </c>
      <c r="AC320" t="n">
        <v>15.582</v>
      </c>
      <c r="AD320" t="n">
        <v>15.745</v>
      </c>
      <c r="AE320" t="n">
        <v>17.786</v>
      </c>
      <c r="AF320" t="n">
        <v>18.638</v>
      </c>
      <c r="AG320" t="n">
        <v>20.794</v>
      </c>
      <c r="AH320" t="n">
        <v>21.266</v>
      </c>
      <c r="AI320" t="n">
        <v>21.694</v>
      </c>
      <c r="AJ320" t="n">
        <v>23.36</v>
      </c>
      <c r="AK320" t="n">
        <v>25.497</v>
      </c>
      <c r="AL320" t="n">
        <v>24.44</v>
      </c>
      <c r="AM320" t="n">
        <v>29.195</v>
      </c>
      <c r="AN320" t="n">
        <v>30.587</v>
      </c>
      <c r="AO320" t="n">
        <v>35.089</v>
      </c>
      <c r="AP320" t="n">
        <v>29.623</v>
      </c>
      <c r="AQ320" t="n">
        <v>28.575</v>
      </c>
      <c r="AR320" t="n">
        <v>26.931</v>
      </c>
      <c r="AS320" t="n">
        <v>24.942</v>
      </c>
      <c r="AT320" t="n">
        <v>31.683</v>
      </c>
      <c r="AU320" t="n">
        <v>32.516</v>
      </c>
      <c r="AV320" t="n">
        <v>38.102</v>
      </c>
      <c r="AW320" t="n">
        <v>44.714</v>
      </c>
      <c r="AX320" t="n">
        <v>47.715</v>
      </c>
      <c r="AY320" t="n">
        <v>50.583</v>
      </c>
      <c r="AZ320" t="n">
        <v>59.301</v>
      </c>
      <c r="BA320" t="n">
        <v>58.795</v>
      </c>
      <c r="BB320" t="n">
        <v>50.978</v>
      </c>
      <c r="BC320" t="n">
        <v>65.333</v>
      </c>
      <c r="BD320" t="n">
        <v>59.699</v>
      </c>
      <c r="BE320" t="n">
        <v>58.52</v>
      </c>
      <c r="BF320" t="n">
        <v>58.034</v>
      </c>
      <c r="BG320" t="n">
        <v>55.646</v>
      </c>
      <c r="BH320" t="n">
        <v>57.19</v>
      </c>
      <c r="BI320" t="n">
        <v>46.84</v>
      </c>
      <c r="BJ320" t="n">
        <v>44.52</v>
      </c>
      <c r="BK320" t="n">
        <v>40.908</v>
      </c>
      <c r="BL320" t="n">
        <v>47.326</v>
      </c>
      <c r="BM320" t="n">
        <v>18.162</v>
      </c>
      <c r="BN320" t="n">
        <v>7.43</v>
      </c>
      <c r="BO320" t="n">
        <v>6.129</v>
      </c>
      <c r="BP320" t="n">
        <v>4.828</v>
      </c>
      <c r="BQ320" t="n">
        <v>3.526</v>
      </c>
      <c r="BR320" t="n">
        <v>3.996</v>
      </c>
      <c r="BS320" t="n">
        <v>4.467</v>
      </c>
      <c r="BT320" t="n">
        <v>4.937</v>
      </c>
      <c r="BU320" t="n">
        <v>5.407</v>
      </c>
      <c r="BV320" t="n">
        <v>5.877</v>
      </c>
    </row>
    <row r="321">
      <c r="A321" t="inlineStr">
        <is>
          <t>Encrasicholina heteroloba</t>
        </is>
      </c>
      <c r="B321" t="inlineStr">
        <is>
          <t>Shorthead anchovy</t>
        </is>
      </c>
      <c r="C321" t="inlineStr">
        <is>
          <t>Small pelagics (&lt;30 cm)</t>
        </is>
      </c>
      <c r="D321" t="inlineStr">
        <is>
          <t>Anchovies</t>
        </is>
      </c>
      <c r="E321" t="n">
        <v>5.261</v>
      </c>
      <c r="F321" t="n">
        <v>5.261</v>
      </c>
      <c r="G321" t="n">
        <v>5.261</v>
      </c>
      <c r="H321" t="n">
        <v>5.978</v>
      </c>
      <c r="I321" t="n">
        <v>5.978</v>
      </c>
      <c r="J321" t="n">
        <v>6.217</v>
      </c>
      <c r="K321" t="n">
        <v>6.217</v>
      </c>
      <c r="L321" t="n">
        <v>6.216</v>
      </c>
      <c r="M321" t="n">
        <v>6.216</v>
      </c>
      <c r="N321" t="n">
        <v>6.216</v>
      </c>
      <c r="O321" t="n">
        <v>5.259</v>
      </c>
      <c r="P321" t="n">
        <v>5.261</v>
      </c>
      <c r="Q321" t="n">
        <v>5.261</v>
      </c>
      <c r="R321" t="n">
        <v>5.261</v>
      </c>
      <c r="S321" t="n">
        <v>5.261</v>
      </c>
      <c r="T321" t="n">
        <v>8.416</v>
      </c>
      <c r="U321" t="n">
        <v>10.233</v>
      </c>
      <c r="V321" t="n">
        <v>11.523</v>
      </c>
      <c r="W321" t="n">
        <v>10.854</v>
      </c>
      <c r="X321" t="n">
        <v>11.953</v>
      </c>
      <c r="Y321" t="n">
        <v>16.043</v>
      </c>
      <c r="Z321" t="n">
        <v>15.549</v>
      </c>
      <c r="AA321" t="n">
        <v>11.117</v>
      </c>
      <c r="AB321" t="n">
        <v>15.591</v>
      </c>
      <c r="AC321" t="n">
        <v>15.813</v>
      </c>
      <c r="AD321" t="n">
        <v>11.098</v>
      </c>
      <c r="AE321" t="n">
        <v>13.354</v>
      </c>
      <c r="AF321" t="n">
        <v>10.869</v>
      </c>
      <c r="AG321" t="n">
        <v>9.664999999999999</v>
      </c>
      <c r="AH321" t="n">
        <v>11.952</v>
      </c>
      <c r="AI321" t="n">
        <v>14.526</v>
      </c>
      <c r="AJ321" t="n">
        <v>14.093</v>
      </c>
      <c r="AK321" t="n">
        <v>10.775</v>
      </c>
      <c r="AL321" t="n">
        <v>13.387</v>
      </c>
      <c r="AM321" t="n">
        <v>17.443</v>
      </c>
      <c r="AN321" t="n">
        <v>19.507</v>
      </c>
      <c r="AO321" t="n">
        <v>19.658</v>
      </c>
      <c r="AP321" t="n">
        <v>19.465</v>
      </c>
      <c r="AQ321" t="n">
        <v>25.814</v>
      </c>
      <c r="AR321" t="n">
        <v>27.11</v>
      </c>
      <c r="AS321" t="n">
        <v>30.656</v>
      </c>
      <c r="AT321" t="n">
        <v>31.872</v>
      </c>
      <c r="AU321" t="n">
        <v>35.045</v>
      </c>
      <c r="AV321" t="n">
        <v>40.036</v>
      </c>
      <c r="AW321" t="n">
        <v>45.696</v>
      </c>
      <c r="AX321" t="n">
        <v>44.489</v>
      </c>
      <c r="AY321" t="n">
        <v>43.136</v>
      </c>
      <c r="AZ321" t="n">
        <v>40.635</v>
      </c>
      <c r="BA321" t="n">
        <v>45.762</v>
      </c>
      <c r="BB321" t="n">
        <v>49.73</v>
      </c>
      <c r="BC321" t="n">
        <v>42.207</v>
      </c>
      <c r="BD321" t="n">
        <v>45.817</v>
      </c>
      <c r="BE321" t="n">
        <v>58.995</v>
      </c>
      <c r="BF321" t="n">
        <v>54.167</v>
      </c>
      <c r="BG321" t="n">
        <v>55.335</v>
      </c>
      <c r="BH321" t="n">
        <v>64.517</v>
      </c>
      <c r="BI321" t="n">
        <v>66.56399999999999</v>
      </c>
      <c r="BJ321" t="n">
        <v>50.022</v>
      </c>
      <c r="BK321" t="n">
        <v>46.515</v>
      </c>
      <c r="BL321" t="n">
        <v>37.882</v>
      </c>
      <c r="BM321" t="n">
        <v>30.874</v>
      </c>
      <c r="BN321" t="n">
        <v>38.632</v>
      </c>
      <c r="BO321" t="n">
        <v>34.984</v>
      </c>
      <c r="BP321" t="n">
        <v>27.68</v>
      </c>
      <c r="BQ321" t="n">
        <v>27.524</v>
      </c>
      <c r="BR321" t="n">
        <v>23.637</v>
      </c>
      <c r="BS321" t="n">
        <v>24.518</v>
      </c>
      <c r="BT321" t="n">
        <v>24.518</v>
      </c>
      <c r="BU321" t="n">
        <v>24.518</v>
      </c>
      <c r="BV321" t="n">
        <v>13.12</v>
      </c>
    </row>
    <row r="322">
      <c r="A322" t="inlineStr">
        <is>
          <t>Lethrinus xanthochilus</t>
        </is>
      </c>
      <c r="B322" t="inlineStr">
        <is>
          <t>Yellowlip emperor</t>
        </is>
      </c>
      <c r="C322" t="inlineStr">
        <is>
          <t>Medium reef assoc. fish (30 - 89 cm)</t>
        </is>
      </c>
      <c r="D322" t="inlineStr">
        <is>
          <t>Perch-likes</t>
        </is>
      </c>
      <c r="E322" t="n">
        <v>2.908</v>
      </c>
      <c r="F322" t="n">
        <v>2.916</v>
      </c>
      <c r="G322" t="n">
        <v>4.405</v>
      </c>
      <c r="H322" t="n">
        <v>3.669</v>
      </c>
      <c r="I322" t="n">
        <v>4.421</v>
      </c>
      <c r="J322" t="n">
        <v>4.43</v>
      </c>
      <c r="K322" t="n">
        <v>4.81</v>
      </c>
      <c r="L322" t="n">
        <v>6.68</v>
      </c>
      <c r="M322" t="n">
        <v>6.688</v>
      </c>
      <c r="N322" t="n">
        <v>8.185</v>
      </c>
      <c r="O322" t="n">
        <v>8.228</v>
      </c>
      <c r="P322" t="n">
        <v>16.363</v>
      </c>
      <c r="Q322" t="n">
        <v>19.436</v>
      </c>
      <c r="R322" t="n">
        <v>20.9</v>
      </c>
      <c r="S322" t="n">
        <v>16.838</v>
      </c>
      <c r="T322" t="n">
        <v>14.873</v>
      </c>
      <c r="U322" t="n">
        <v>16.381</v>
      </c>
      <c r="V322" t="n">
        <v>11.662</v>
      </c>
      <c r="W322" t="n">
        <v>9.038</v>
      </c>
      <c r="X322" t="n">
        <v>9.006</v>
      </c>
      <c r="Y322" t="n">
        <v>8.946999999999999</v>
      </c>
      <c r="Z322" t="n">
        <v>11.031</v>
      </c>
      <c r="AA322" t="n">
        <v>11.825</v>
      </c>
      <c r="AB322" t="n">
        <v>17.281</v>
      </c>
      <c r="AC322" t="n">
        <v>13.938</v>
      </c>
      <c r="AD322" t="n">
        <v>11.45</v>
      </c>
      <c r="AE322" t="n">
        <v>11.808</v>
      </c>
      <c r="AF322" t="n">
        <v>10.885</v>
      </c>
      <c r="AG322" t="n">
        <v>16.569</v>
      </c>
      <c r="AH322" t="n">
        <v>19.064</v>
      </c>
      <c r="AI322" t="n">
        <v>20.931</v>
      </c>
      <c r="AJ322" t="n">
        <v>24.513</v>
      </c>
      <c r="AK322" t="n">
        <v>23.459</v>
      </c>
      <c r="AL322" t="n">
        <v>28.878</v>
      </c>
      <c r="AM322" t="n">
        <v>30.133</v>
      </c>
      <c r="AN322" t="n">
        <v>27.732</v>
      </c>
      <c r="AO322" t="n">
        <v>27.175</v>
      </c>
      <c r="AP322" t="n">
        <v>25.145</v>
      </c>
      <c r="AQ322" t="n">
        <v>20.005</v>
      </c>
      <c r="AR322" t="n">
        <v>21.802</v>
      </c>
      <c r="AS322" t="n">
        <v>18.072</v>
      </c>
      <c r="AT322" t="n">
        <v>18.756</v>
      </c>
      <c r="AU322" t="n">
        <v>27.958</v>
      </c>
      <c r="AV322" t="n">
        <v>27.843</v>
      </c>
      <c r="AW322" t="n">
        <v>31.99</v>
      </c>
      <c r="AX322" t="n">
        <v>34.801</v>
      </c>
      <c r="AY322" t="n">
        <v>38.675</v>
      </c>
      <c r="AZ322" t="n">
        <v>43.074</v>
      </c>
      <c r="BA322" t="n">
        <v>44.327</v>
      </c>
      <c r="BB322" t="n">
        <v>41.947</v>
      </c>
      <c r="BC322" t="n">
        <v>49.887</v>
      </c>
      <c r="BD322" t="n">
        <v>70.20999999999999</v>
      </c>
      <c r="BE322" t="n">
        <v>19.745</v>
      </c>
      <c r="BF322" t="n">
        <v>23.881</v>
      </c>
      <c r="BG322" t="n">
        <v>82.068</v>
      </c>
      <c r="BH322" t="n">
        <v>33.846</v>
      </c>
      <c r="BI322" t="n">
        <v>20.023</v>
      </c>
      <c r="BJ322" t="n">
        <v>33.718</v>
      </c>
      <c r="BK322" t="n">
        <v>27.31</v>
      </c>
      <c r="BL322" t="n">
        <v>35.777</v>
      </c>
      <c r="BM322" t="n">
        <v>36.788</v>
      </c>
      <c r="BN322" t="n">
        <v>39.225</v>
      </c>
      <c r="BO322" t="n">
        <v>38.245</v>
      </c>
      <c r="BP322" t="n">
        <v>36.741</v>
      </c>
      <c r="BQ322" t="n">
        <v>35.246</v>
      </c>
      <c r="BR322" t="n">
        <v>34.396</v>
      </c>
      <c r="BS322" t="n">
        <v>34.599</v>
      </c>
      <c r="BT322" t="n">
        <v>28.705</v>
      </c>
      <c r="BU322" t="n">
        <v>30.198</v>
      </c>
      <c r="BV322" t="n">
        <v>29.099</v>
      </c>
    </row>
    <row r="323">
      <c r="A323" t="inlineStr">
        <is>
          <t>Prionace glauca</t>
        </is>
      </c>
      <c r="B323" t="inlineStr">
        <is>
          <t>Blue shark</t>
        </is>
      </c>
      <c r="C323" t="inlineStr">
        <is>
          <t>Large sharks (&gt;=90 cm)</t>
        </is>
      </c>
      <c r="D323" t="inlineStr">
        <is>
          <t>Sharks &amp; rays</t>
        </is>
      </c>
      <c r="E323" t="n">
        <v>0.015</v>
      </c>
      <c r="F323" t="n">
        <v>0.016</v>
      </c>
      <c r="G323" t="n">
        <v>0.016</v>
      </c>
      <c r="H323" t="n">
        <v>0.016</v>
      </c>
      <c r="I323" t="n">
        <v>0.017</v>
      </c>
      <c r="J323" t="n">
        <v>0.017</v>
      </c>
      <c r="K323" t="n">
        <v>0.017</v>
      </c>
      <c r="L323" t="n">
        <v>0.018</v>
      </c>
      <c r="M323" t="n">
        <v>0.018</v>
      </c>
      <c r="N323" t="n">
        <v>0.018</v>
      </c>
      <c r="O323" t="n">
        <v>0.019</v>
      </c>
      <c r="P323" t="n">
        <v>0.019</v>
      </c>
      <c r="Q323" t="n">
        <v>0.019</v>
      </c>
      <c r="R323" t="n">
        <v>0.02</v>
      </c>
      <c r="S323" t="n">
        <v>0.023</v>
      </c>
      <c r="T323" t="n">
        <v>0.026</v>
      </c>
      <c r="U323" t="n">
        <v>0.029</v>
      </c>
      <c r="V323" t="n">
        <v>40.004</v>
      </c>
      <c r="W323" t="n">
        <v>37.001</v>
      </c>
      <c r="X323" t="n">
        <v>32.756</v>
      </c>
      <c r="Y323" t="n">
        <v>11.327</v>
      </c>
      <c r="Z323" t="n">
        <v>8.624000000000001</v>
      </c>
      <c r="AA323" t="n">
        <v>3.43</v>
      </c>
      <c r="AB323" t="n">
        <v>2.36</v>
      </c>
      <c r="AC323" t="n">
        <v>2.982</v>
      </c>
      <c r="AD323" t="n">
        <v>3.327</v>
      </c>
      <c r="AE323" t="n">
        <v>1.315</v>
      </c>
      <c r="AF323" t="n">
        <v>1.362</v>
      </c>
      <c r="AG323" t="n">
        <v>1.327</v>
      </c>
      <c r="AH323" t="n">
        <v>2.442</v>
      </c>
      <c r="AI323" t="n">
        <v>2.091</v>
      </c>
      <c r="AJ323" t="n">
        <v>2.962</v>
      </c>
      <c r="AK323" t="n">
        <v>1.721</v>
      </c>
      <c r="AL323" t="n">
        <v>2.044</v>
      </c>
      <c r="AM323" t="n">
        <v>1.856</v>
      </c>
      <c r="AN323" t="n">
        <v>3.683</v>
      </c>
      <c r="AO323" t="n">
        <v>3.36</v>
      </c>
      <c r="AP323" t="n">
        <v>6.815</v>
      </c>
      <c r="AQ323" t="n">
        <v>12.244</v>
      </c>
      <c r="AR323" t="n">
        <v>12.737</v>
      </c>
      <c r="AS323" t="n">
        <v>3.803</v>
      </c>
      <c r="AT323" t="n">
        <v>6.6</v>
      </c>
      <c r="AU323" t="n">
        <v>1.857</v>
      </c>
      <c r="AV323" t="n">
        <v>2.343</v>
      </c>
      <c r="AW323" t="n">
        <v>1.289</v>
      </c>
      <c r="AX323" t="n">
        <v>4.153</v>
      </c>
      <c r="AY323" t="n">
        <v>2.56</v>
      </c>
      <c r="AZ323" t="n">
        <v>12.154</v>
      </c>
      <c r="BA323" t="n">
        <v>10.931</v>
      </c>
      <c r="BB323" t="n">
        <v>28.576</v>
      </c>
      <c r="BC323" t="n">
        <v>28.597</v>
      </c>
      <c r="BD323" t="n">
        <v>18.748</v>
      </c>
      <c r="BE323" t="n">
        <v>26.294</v>
      </c>
      <c r="BF323" t="n">
        <v>28.002</v>
      </c>
      <c r="BG323" t="n">
        <v>86.495</v>
      </c>
      <c r="BH323" t="n">
        <v>53.696</v>
      </c>
      <c r="BI323" t="n">
        <v>25.55</v>
      </c>
      <c r="BJ323" t="n">
        <v>48.636</v>
      </c>
      <c r="BK323" t="n">
        <v>112.695</v>
      </c>
      <c r="BL323" t="n">
        <v>187.539</v>
      </c>
      <c r="BM323" t="n">
        <v>87.065</v>
      </c>
      <c r="BN323" t="n">
        <v>76.65600000000001</v>
      </c>
      <c r="BO323" t="n">
        <v>55.558</v>
      </c>
      <c r="BP323" t="n">
        <v>68.577</v>
      </c>
      <c r="BQ323" t="n">
        <v>55.995</v>
      </c>
      <c r="BR323" t="n">
        <v>62.518</v>
      </c>
      <c r="BS323" t="n">
        <v>81.218</v>
      </c>
      <c r="BT323" t="n">
        <v>63.815</v>
      </c>
      <c r="BU323" t="n">
        <v>107.723</v>
      </c>
      <c r="BV323" t="n">
        <v>90.877</v>
      </c>
    </row>
    <row r="324">
      <c r="A324" t="inlineStr">
        <is>
          <t>Stromateidae</t>
        </is>
      </c>
      <c r="B324" t="inlineStr">
        <is>
          <t>Butterfishes</t>
        </is>
      </c>
      <c r="C324" t="inlineStr">
        <is>
          <t>Small benthopelagics (&lt;30 cm)</t>
        </is>
      </c>
      <c r="D324" t="inlineStr">
        <is>
          <t>Perch-likes</t>
        </is>
      </c>
      <c r="E324" t="n">
        <v>27.511</v>
      </c>
      <c r="F324" t="n">
        <v>23.683</v>
      </c>
      <c r="G324" t="n">
        <v>24.007</v>
      </c>
      <c r="H324" t="n">
        <v>5.12</v>
      </c>
      <c r="I324" t="n">
        <v>23.892</v>
      </c>
      <c r="J324" t="n">
        <v>24.087</v>
      </c>
      <c r="K324" t="n">
        <v>27.817</v>
      </c>
      <c r="L324" t="n">
        <v>25.033</v>
      </c>
      <c r="M324" t="n">
        <v>8.096</v>
      </c>
      <c r="N324" t="n">
        <v>28.308</v>
      </c>
      <c r="O324" t="n">
        <v>28.482</v>
      </c>
      <c r="P324" t="n">
        <v>28.665</v>
      </c>
      <c r="Q324" t="n">
        <v>29.438</v>
      </c>
      <c r="R324" t="n">
        <v>31.95</v>
      </c>
      <c r="S324" t="n">
        <v>31.601</v>
      </c>
      <c r="T324" t="n">
        <v>26.715</v>
      </c>
      <c r="U324" t="n">
        <v>36.521</v>
      </c>
      <c r="V324" t="n">
        <v>108.205</v>
      </c>
      <c r="W324" t="n">
        <v>27.027</v>
      </c>
      <c r="X324" t="n">
        <v>43.576</v>
      </c>
      <c r="Y324" t="n">
        <v>5.271</v>
      </c>
      <c r="Z324" t="n">
        <v>5.572</v>
      </c>
      <c r="AA324" t="n">
        <v>21.296</v>
      </c>
      <c r="AB324" t="n">
        <v>22.942</v>
      </c>
      <c r="AC324" t="n">
        <v>30.504</v>
      </c>
      <c r="AD324" t="n">
        <v>36.288</v>
      </c>
      <c r="AE324" t="n">
        <v>114.095</v>
      </c>
      <c r="AF324" t="n">
        <v>97.702</v>
      </c>
      <c r="AG324" t="n">
        <v>88.352</v>
      </c>
      <c r="AH324" t="n">
        <v>32.826</v>
      </c>
      <c r="AI324" t="n">
        <v>15.622</v>
      </c>
      <c r="AJ324" t="n">
        <v>13.111</v>
      </c>
      <c r="AK324" t="n">
        <v>12.891</v>
      </c>
      <c r="AL324" t="n">
        <v>12.628</v>
      </c>
      <c r="AM324" t="n">
        <v>16.933</v>
      </c>
      <c r="AN324" t="n">
        <v>32.124</v>
      </c>
      <c r="AO324" t="n">
        <v>11.908</v>
      </c>
      <c r="AP324" t="n">
        <v>179.499</v>
      </c>
      <c r="AQ324" t="n">
        <v>11.49</v>
      </c>
      <c r="AR324" t="n">
        <v>17.853</v>
      </c>
      <c r="AS324" t="n">
        <v>3.449</v>
      </c>
      <c r="AT324" t="n">
        <v>2.345</v>
      </c>
      <c r="AU324" t="n">
        <v>1.976</v>
      </c>
      <c r="AV324" t="n">
        <v>3.028</v>
      </c>
      <c r="AW324" t="n">
        <v>3.868</v>
      </c>
      <c r="AX324" t="n">
        <v>4.299</v>
      </c>
      <c r="AY324" t="n">
        <v>6.755</v>
      </c>
      <c r="AZ324" t="n">
        <v>6.402</v>
      </c>
      <c r="BA324" t="n">
        <v>7.423</v>
      </c>
      <c r="BB324" t="n">
        <v>7.323</v>
      </c>
      <c r="BC324" t="n">
        <v>8.241</v>
      </c>
      <c r="BD324" t="n">
        <v>9.522</v>
      </c>
      <c r="BE324" t="n">
        <v>12.922</v>
      </c>
      <c r="BF324" t="n">
        <v>4.499</v>
      </c>
      <c r="BG324" t="n">
        <v>1.767</v>
      </c>
      <c r="BH324" t="n">
        <v>5.368</v>
      </c>
      <c r="BI324" t="n">
        <v>7.591</v>
      </c>
      <c r="BJ324" t="n">
        <v>7.07</v>
      </c>
      <c r="BK324" t="n">
        <v>3.949</v>
      </c>
      <c r="BL324" t="n">
        <v>20.155</v>
      </c>
      <c r="BM324" t="n">
        <v>4.794</v>
      </c>
      <c r="BN324" t="n">
        <v>9.446</v>
      </c>
      <c r="BO324" t="n">
        <v>34.194</v>
      </c>
      <c r="BP324" t="n">
        <v>13.89</v>
      </c>
      <c r="BQ324" t="n">
        <v>15.521</v>
      </c>
      <c r="BR324" t="n">
        <v>6.625</v>
      </c>
      <c r="BS324" t="n">
        <v>8.647</v>
      </c>
      <c r="BT324" t="n">
        <v>6.483</v>
      </c>
      <c r="BU324" t="n">
        <v>4.197</v>
      </c>
      <c r="BV324" t="n">
        <v>1.925</v>
      </c>
    </row>
    <row r="325">
      <c r="A325" t="inlineStr">
        <is>
          <t>Zeus faber</t>
        </is>
      </c>
      <c r="B325" t="inlineStr">
        <is>
          <t>John dory</t>
        </is>
      </c>
      <c r="C325" t="inlineStr">
        <is>
          <t>Medium benthopelagics (30 - 89 cm)</t>
        </is>
      </c>
      <c r="D325" t="inlineStr">
        <is>
          <t>Other fishes &amp; inverts</t>
        </is>
      </c>
      <c r="E325" t="n">
        <v>0</v>
      </c>
      <c r="F325" t="n">
        <v>0</v>
      </c>
      <c r="G325" t="n">
        <v>0</v>
      </c>
      <c r="H325" t="n">
        <v>0</v>
      </c>
      <c r="I325" t="n">
        <v>0</v>
      </c>
      <c r="J325" t="n">
        <v>0</v>
      </c>
      <c r="K325" t="n">
        <v>0</v>
      </c>
      <c r="L325" t="n">
        <v>0</v>
      </c>
      <c r="M325" t="n">
        <v>0</v>
      </c>
      <c r="N325" t="n">
        <v>0</v>
      </c>
      <c r="O325" t="n">
        <v>0</v>
      </c>
      <c r="P325" t="n">
        <v>0</v>
      </c>
      <c r="Q325" t="n">
        <v>0</v>
      </c>
      <c r="R325" t="n">
        <v>0</v>
      </c>
      <c r="S325" t="n">
        <v>0</v>
      </c>
      <c r="T325" t="n">
        <v>0.139</v>
      </c>
      <c r="U325" t="n">
        <v>55.578</v>
      </c>
      <c r="V325" t="n">
        <v>0.138</v>
      </c>
      <c r="W325" t="n">
        <v>0.138</v>
      </c>
      <c r="X325" t="n">
        <v>0</v>
      </c>
      <c r="Y325" t="n">
        <v>0</v>
      </c>
      <c r="Z325" t="n">
        <v>106.507</v>
      </c>
      <c r="AA325" t="n">
        <v>162.602</v>
      </c>
      <c r="AB325" t="n">
        <v>248.563</v>
      </c>
      <c r="AC325" t="n">
        <v>416.066</v>
      </c>
      <c r="AD325" t="n">
        <v>0</v>
      </c>
      <c r="AE325" t="n">
        <v>613.228</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1.404</v>
      </c>
      <c r="BL325" t="n">
        <v>0</v>
      </c>
      <c r="BM325" t="n">
        <v>0</v>
      </c>
      <c r="BN325" t="n">
        <v>0</v>
      </c>
      <c r="BO325" t="n">
        <v>0</v>
      </c>
      <c r="BP325" t="n">
        <v>0</v>
      </c>
      <c r="BQ325" t="n">
        <v>4.248</v>
      </c>
      <c r="BR325" t="n">
        <v>0</v>
      </c>
      <c r="BS325" t="n">
        <v>0</v>
      </c>
      <c r="BT325" t="n">
        <v>0</v>
      </c>
      <c r="BU325" t="n">
        <v>0</v>
      </c>
      <c r="BV325" t="n">
        <v>0</v>
      </c>
    </row>
    <row r="326">
      <c r="A326" t="inlineStr">
        <is>
          <t>Terapontidae</t>
        </is>
      </c>
      <c r="B326" t="inlineStr">
        <is>
          <t>Grunters, tigerperches</t>
        </is>
      </c>
      <c r="C326" t="inlineStr">
        <is>
          <t>Medium demersals (30 - 89 cm)</t>
        </is>
      </c>
      <c r="D326" t="inlineStr">
        <is>
          <t>Perch-likes</t>
        </is>
      </c>
      <c r="E326" t="n">
        <v>2.169</v>
      </c>
      <c r="F326" t="n">
        <v>2.171</v>
      </c>
      <c r="G326" t="n">
        <v>2.173</v>
      </c>
      <c r="H326" t="n">
        <v>2.392</v>
      </c>
      <c r="I326" t="n">
        <v>2.394</v>
      </c>
      <c r="J326" t="n">
        <v>2.396</v>
      </c>
      <c r="K326" t="n">
        <v>2.397</v>
      </c>
      <c r="L326" t="n">
        <v>2.616</v>
      </c>
      <c r="M326" t="n">
        <v>2.618</v>
      </c>
      <c r="N326" t="n">
        <v>2.621</v>
      </c>
      <c r="O326" t="n">
        <v>3.057</v>
      </c>
      <c r="P326" t="n">
        <v>3.061</v>
      </c>
      <c r="Q326" t="n">
        <v>3.499</v>
      </c>
      <c r="R326" t="n">
        <v>3.505</v>
      </c>
      <c r="S326" t="n">
        <v>3.51</v>
      </c>
      <c r="T326" t="n">
        <v>3.516</v>
      </c>
      <c r="U326" t="n">
        <v>3.522</v>
      </c>
      <c r="V326" t="n">
        <v>3.745</v>
      </c>
      <c r="W326" t="n">
        <v>3.752</v>
      </c>
      <c r="X326" t="n">
        <v>3.759</v>
      </c>
      <c r="Y326" t="n">
        <v>11.545</v>
      </c>
      <c r="Z326" t="n">
        <v>11.554</v>
      </c>
      <c r="AA326" t="n">
        <v>16.646</v>
      </c>
      <c r="AB326" t="n">
        <v>16.657</v>
      </c>
      <c r="AC326" t="n">
        <v>16.668</v>
      </c>
      <c r="AD326" t="n">
        <v>16.679</v>
      </c>
      <c r="AE326" t="n">
        <v>16.688</v>
      </c>
      <c r="AF326" t="n">
        <v>16.696</v>
      </c>
      <c r="AG326" t="n">
        <v>16.705</v>
      </c>
      <c r="AH326" t="n">
        <v>16.718</v>
      </c>
      <c r="AI326" t="n">
        <v>18.544</v>
      </c>
      <c r="AJ326" t="n">
        <v>22.897</v>
      </c>
      <c r="AK326" t="n">
        <v>21.238</v>
      </c>
      <c r="AL326" t="n">
        <v>22.807</v>
      </c>
      <c r="AM326" t="n">
        <v>33.92</v>
      </c>
      <c r="AN326" t="n">
        <v>26.694</v>
      </c>
      <c r="AO326" t="n">
        <v>21.375</v>
      </c>
      <c r="AP326" t="n">
        <v>28.106</v>
      </c>
      <c r="AQ326" t="n">
        <v>32.043</v>
      </c>
      <c r="AR326" t="n">
        <v>45.069</v>
      </c>
      <c r="AS326" t="n">
        <v>60.956</v>
      </c>
      <c r="AT326" t="n">
        <v>85.72</v>
      </c>
      <c r="AU326" t="n">
        <v>85.002</v>
      </c>
      <c r="AV326" t="n">
        <v>75.634</v>
      </c>
      <c r="AW326" t="n">
        <v>13.769</v>
      </c>
      <c r="AX326" t="n">
        <v>11.741</v>
      </c>
      <c r="AY326" t="n">
        <v>12.915</v>
      </c>
      <c r="AZ326" t="n">
        <v>13.631</v>
      </c>
      <c r="BA326" t="n">
        <v>14.225</v>
      </c>
      <c r="BB326" t="n">
        <v>12.149</v>
      </c>
      <c r="BC326" t="n">
        <v>19.117</v>
      </c>
      <c r="BD326" t="n">
        <v>23.426</v>
      </c>
      <c r="BE326" t="n">
        <v>19.222</v>
      </c>
      <c r="BF326" t="n">
        <v>29.649</v>
      </c>
      <c r="BG326" t="n">
        <v>29.252</v>
      </c>
      <c r="BH326" t="n">
        <v>36.316</v>
      </c>
      <c r="BI326" t="n">
        <v>42.602</v>
      </c>
      <c r="BJ326" t="n">
        <v>39.697</v>
      </c>
      <c r="BK326" t="n">
        <v>46.091</v>
      </c>
      <c r="BL326" t="n">
        <v>37.208</v>
      </c>
      <c r="BM326" t="n">
        <v>36.718</v>
      </c>
      <c r="BN326" t="n">
        <v>34.962</v>
      </c>
      <c r="BO326" t="n">
        <v>30.723</v>
      </c>
      <c r="BP326" t="n">
        <v>32.819</v>
      </c>
      <c r="BQ326" t="n">
        <v>42.919</v>
      </c>
      <c r="BR326" t="n">
        <v>40.584</v>
      </c>
      <c r="BS326" t="n">
        <v>41.824</v>
      </c>
      <c r="BT326" t="n">
        <v>41.792</v>
      </c>
      <c r="BU326" t="n">
        <v>40.217</v>
      </c>
      <c r="BV326" t="n">
        <v>46.199</v>
      </c>
    </row>
    <row r="327">
      <c r="A327" t="inlineStr">
        <is>
          <t>Caesio caerulaurea</t>
        </is>
      </c>
      <c r="B327" t="inlineStr">
        <is>
          <t>Blue and gold fusilier</t>
        </is>
      </c>
      <c r="C327" t="inlineStr">
        <is>
          <t>Medium reef assoc. fish (30 - 89 cm)</t>
        </is>
      </c>
      <c r="D327" t="inlineStr">
        <is>
          <t>Perch-likes</t>
        </is>
      </c>
      <c r="E327" t="n">
        <v>5.046</v>
      </c>
      <c r="F327" t="n">
        <v>5.046</v>
      </c>
      <c r="G327" t="n">
        <v>5.046</v>
      </c>
      <c r="H327" t="n">
        <v>5.734</v>
      </c>
      <c r="I327" t="n">
        <v>5.734</v>
      </c>
      <c r="J327" t="n">
        <v>5.963</v>
      </c>
      <c r="K327" t="n">
        <v>5.963</v>
      </c>
      <c r="L327" t="n">
        <v>5.962</v>
      </c>
      <c r="M327" t="n">
        <v>5.962</v>
      </c>
      <c r="N327" t="n">
        <v>5.962</v>
      </c>
      <c r="O327" t="n">
        <v>5.045</v>
      </c>
      <c r="P327" t="n">
        <v>5.046</v>
      </c>
      <c r="Q327" t="n">
        <v>5.046</v>
      </c>
      <c r="R327" t="n">
        <v>5.046</v>
      </c>
      <c r="S327" t="n">
        <v>5.046</v>
      </c>
      <c r="T327" t="n">
        <v>8.073</v>
      </c>
      <c r="U327" t="n">
        <v>9.816000000000001</v>
      </c>
      <c r="V327" t="n">
        <v>11.053</v>
      </c>
      <c r="W327" t="n">
        <v>10.411</v>
      </c>
      <c r="X327" t="n">
        <v>11.466</v>
      </c>
      <c r="Y327" t="n">
        <v>15.389</v>
      </c>
      <c r="Z327" t="n">
        <v>14.915</v>
      </c>
      <c r="AA327" t="n">
        <v>10.663</v>
      </c>
      <c r="AB327" t="n">
        <v>14.955</v>
      </c>
      <c r="AC327" t="n">
        <v>15.169</v>
      </c>
      <c r="AD327" t="n">
        <v>10.645</v>
      </c>
      <c r="AE327" t="n">
        <v>12.809</v>
      </c>
      <c r="AF327" t="n">
        <v>10.426</v>
      </c>
      <c r="AG327" t="n">
        <v>9.271000000000001</v>
      </c>
      <c r="AH327" t="n">
        <v>11.465</v>
      </c>
      <c r="AI327" t="n">
        <v>13.933</v>
      </c>
      <c r="AJ327" t="n">
        <v>13.519</v>
      </c>
      <c r="AK327" t="n">
        <v>10.336</v>
      </c>
      <c r="AL327" t="n">
        <v>12.841</v>
      </c>
      <c r="AM327" t="n">
        <v>16.732</v>
      </c>
      <c r="AN327" t="n">
        <v>18.711</v>
      </c>
      <c r="AO327" t="n">
        <v>18.856</v>
      </c>
      <c r="AP327" t="n">
        <v>18.672</v>
      </c>
      <c r="AQ327" t="n">
        <v>24.761</v>
      </c>
      <c r="AR327" t="n">
        <v>26.004</v>
      </c>
      <c r="AS327" t="n">
        <v>29.406</v>
      </c>
      <c r="AT327" t="n">
        <v>30.572</v>
      </c>
      <c r="AU327" t="n">
        <v>33.616</v>
      </c>
      <c r="AV327" t="n">
        <v>38.403</v>
      </c>
      <c r="AW327" t="n">
        <v>43.833</v>
      </c>
      <c r="AX327" t="n">
        <v>42.675</v>
      </c>
      <c r="AY327" t="n">
        <v>41.377</v>
      </c>
      <c r="AZ327" t="n">
        <v>38.978</v>
      </c>
      <c r="BA327" t="n">
        <v>43.896</v>
      </c>
      <c r="BB327" t="n">
        <v>47.702</v>
      </c>
      <c r="BC327" t="n">
        <v>40.486</v>
      </c>
      <c r="BD327" t="n">
        <v>43.949</v>
      </c>
      <c r="BE327" t="n">
        <v>56.589</v>
      </c>
      <c r="BF327" t="n">
        <v>51.959</v>
      </c>
      <c r="BG327" t="n">
        <v>53.078</v>
      </c>
      <c r="BH327" t="n">
        <v>61.886</v>
      </c>
      <c r="BI327" t="n">
        <v>63.85</v>
      </c>
      <c r="BJ327" t="n">
        <v>47.983</v>
      </c>
      <c r="BK327" t="n">
        <v>44.618</v>
      </c>
      <c r="BL327" t="n">
        <v>36.337</v>
      </c>
      <c r="BM327" t="n">
        <v>29.615</v>
      </c>
      <c r="BN327" t="n">
        <v>37.057</v>
      </c>
      <c r="BO327" t="n">
        <v>33.558</v>
      </c>
      <c r="BP327" t="n">
        <v>26.552</v>
      </c>
      <c r="BQ327" t="n">
        <v>26.402</v>
      </c>
      <c r="BR327" t="n">
        <v>22.673</v>
      </c>
      <c r="BS327" t="n">
        <v>23.518</v>
      </c>
      <c r="BT327" t="n">
        <v>23.518</v>
      </c>
      <c r="BU327" t="n">
        <v>23.518</v>
      </c>
      <c r="BV327" t="n">
        <v>12.585</v>
      </c>
    </row>
    <row r="328">
      <c r="A328" t="inlineStr">
        <is>
          <t>Caesio lunaris</t>
        </is>
      </c>
      <c r="B328" t="inlineStr">
        <is>
          <t>Lunar fusilier</t>
        </is>
      </c>
      <c r="C328" t="inlineStr">
        <is>
          <t>Medium reef assoc. fish (30 - 89 cm)</t>
        </is>
      </c>
      <c r="D328" t="inlineStr">
        <is>
          <t>Perch-likes</t>
        </is>
      </c>
      <c r="E328" t="n">
        <v>5.823</v>
      </c>
      <c r="F328" t="n">
        <v>5.823</v>
      </c>
      <c r="G328" t="n">
        <v>5.823</v>
      </c>
      <c r="H328" t="n">
        <v>6.617</v>
      </c>
      <c r="I328" t="n">
        <v>6.617</v>
      </c>
      <c r="J328" t="n">
        <v>6.882</v>
      </c>
      <c r="K328" t="n">
        <v>6.882</v>
      </c>
      <c r="L328" t="n">
        <v>6.881</v>
      </c>
      <c r="M328" t="n">
        <v>6.881</v>
      </c>
      <c r="N328" t="n">
        <v>6.881</v>
      </c>
      <c r="O328" t="n">
        <v>5.822</v>
      </c>
      <c r="P328" t="n">
        <v>5.823</v>
      </c>
      <c r="Q328" t="n">
        <v>5.823</v>
      </c>
      <c r="R328" t="n">
        <v>5.823</v>
      </c>
      <c r="S328" t="n">
        <v>5.823</v>
      </c>
      <c r="T328" t="n">
        <v>9.317</v>
      </c>
      <c r="U328" t="n">
        <v>11.328</v>
      </c>
      <c r="V328" t="n">
        <v>12.756</v>
      </c>
      <c r="W328" t="n">
        <v>12.015</v>
      </c>
      <c r="X328" t="n">
        <v>13.232</v>
      </c>
      <c r="Y328" t="n">
        <v>17.759</v>
      </c>
      <c r="Z328" t="n">
        <v>17.213</v>
      </c>
      <c r="AA328" t="n">
        <v>12.306</v>
      </c>
      <c r="AB328" t="n">
        <v>17.259</v>
      </c>
      <c r="AC328" t="n">
        <v>17.505</v>
      </c>
      <c r="AD328" t="n">
        <v>12.285</v>
      </c>
      <c r="AE328" t="n">
        <v>14.782</v>
      </c>
      <c r="AF328" t="n">
        <v>12.032</v>
      </c>
      <c r="AG328" t="n">
        <v>10.7</v>
      </c>
      <c r="AH328" t="n">
        <v>13.231</v>
      </c>
      <c r="AI328" t="n">
        <v>16.08</v>
      </c>
      <c r="AJ328" t="n">
        <v>15.601</v>
      </c>
      <c r="AK328" t="n">
        <v>11.928</v>
      </c>
      <c r="AL328" t="n">
        <v>14.819</v>
      </c>
      <c r="AM328" t="n">
        <v>19.309</v>
      </c>
      <c r="AN328" t="n">
        <v>21.594</v>
      </c>
      <c r="AO328" t="n">
        <v>21.761</v>
      </c>
      <c r="AP328" t="n">
        <v>21.548</v>
      </c>
      <c r="AQ328" t="n">
        <v>28.575</v>
      </c>
      <c r="AR328" t="n">
        <v>30.01</v>
      </c>
      <c r="AS328" t="n">
        <v>33.936</v>
      </c>
      <c r="AT328" t="n">
        <v>35.281</v>
      </c>
      <c r="AU328" t="n">
        <v>38.795</v>
      </c>
      <c r="AV328" t="n">
        <v>44.319</v>
      </c>
      <c r="AW328" t="n">
        <v>50.585</v>
      </c>
      <c r="AX328" t="n">
        <v>49.249</v>
      </c>
      <c r="AY328" t="n">
        <v>47.751</v>
      </c>
      <c r="AZ328" t="n">
        <v>44.982</v>
      </c>
      <c r="BA328" t="n">
        <v>50.658</v>
      </c>
      <c r="BB328" t="n">
        <v>55.05</v>
      </c>
      <c r="BC328" t="n">
        <v>46.723</v>
      </c>
      <c r="BD328" t="n">
        <v>50.719</v>
      </c>
      <c r="BE328" t="n">
        <v>65.306</v>
      </c>
      <c r="BF328" t="n">
        <v>59.963</v>
      </c>
      <c r="BG328" t="n">
        <v>61.254</v>
      </c>
      <c r="BH328" t="n">
        <v>71.419</v>
      </c>
      <c r="BI328" t="n">
        <v>73.685</v>
      </c>
      <c r="BJ328" t="n">
        <v>55.374</v>
      </c>
      <c r="BK328" t="n">
        <v>51.491</v>
      </c>
      <c r="BL328" t="n">
        <v>41.934</v>
      </c>
      <c r="BM328" t="n">
        <v>34.177</v>
      </c>
      <c r="BN328" t="n">
        <v>0</v>
      </c>
      <c r="BO328" t="n">
        <v>0</v>
      </c>
      <c r="BP328" t="n">
        <v>0</v>
      </c>
      <c r="BQ328" t="n">
        <v>0</v>
      </c>
      <c r="BR328" t="n">
        <v>0</v>
      </c>
      <c r="BS328" t="n">
        <v>0</v>
      </c>
      <c r="BT328" t="n">
        <v>0</v>
      </c>
      <c r="BU328" t="n">
        <v>0</v>
      </c>
      <c r="BV328" t="n">
        <v>0</v>
      </c>
    </row>
    <row r="329">
      <c r="A329" t="inlineStr">
        <is>
          <t>Aphareus furca</t>
        </is>
      </c>
      <c r="B329" t="inlineStr">
        <is>
          <t>Small toothed jobfish</t>
        </is>
      </c>
      <c r="C329" t="inlineStr">
        <is>
          <t>Medium reef assoc. fish (30 - 89 cm)</t>
        </is>
      </c>
      <c r="D329" t="inlineStr">
        <is>
          <t>Perch-likes</t>
        </is>
      </c>
      <c r="E329" t="n">
        <v>7.505</v>
      </c>
      <c r="F329" t="n">
        <v>7.658</v>
      </c>
      <c r="G329" t="n">
        <v>7.814</v>
      </c>
      <c r="H329" t="n">
        <v>7.974</v>
      </c>
      <c r="I329" t="n">
        <v>8.137</v>
      </c>
      <c r="J329" t="n">
        <v>8.303000000000001</v>
      </c>
      <c r="K329" t="n">
        <v>8.472</v>
      </c>
      <c r="L329" t="n">
        <v>8.645</v>
      </c>
      <c r="M329" t="n">
        <v>8.821</v>
      </c>
      <c r="N329" t="n">
        <v>9.000999999999999</v>
      </c>
      <c r="O329" t="n">
        <v>9.185</v>
      </c>
      <c r="P329" t="n">
        <v>9.372999999999999</v>
      </c>
      <c r="Q329" t="n">
        <v>9.564</v>
      </c>
      <c r="R329" t="n">
        <v>9.759</v>
      </c>
      <c r="S329" t="n">
        <v>9.958</v>
      </c>
      <c r="T329" t="n">
        <v>10.161</v>
      </c>
      <c r="U329" t="n">
        <v>10.369</v>
      </c>
      <c r="V329" t="n">
        <v>10.873</v>
      </c>
      <c r="W329" t="n">
        <v>11.377</v>
      </c>
      <c r="X329" t="n">
        <v>11.881</v>
      </c>
      <c r="Y329" t="n">
        <v>12.385</v>
      </c>
      <c r="Z329" t="n">
        <v>12.889</v>
      </c>
      <c r="AA329" t="n">
        <v>13.393</v>
      </c>
      <c r="AB329" t="n">
        <v>13.897</v>
      </c>
      <c r="AC329" t="n">
        <v>14.401</v>
      </c>
      <c r="AD329" t="n">
        <v>13.759</v>
      </c>
      <c r="AE329" t="n">
        <v>14.191</v>
      </c>
      <c r="AF329" t="n">
        <v>14.621</v>
      </c>
      <c r="AG329" t="n">
        <v>15.049</v>
      </c>
      <c r="AH329" t="n">
        <v>15.475</v>
      </c>
      <c r="AI329" t="n">
        <v>15.899</v>
      </c>
      <c r="AJ329" t="n">
        <v>16.32</v>
      </c>
      <c r="AK329" t="n">
        <v>15.72</v>
      </c>
      <c r="AL329" t="n">
        <v>18.204</v>
      </c>
      <c r="AM329" t="n">
        <v>27.661</v>
      </c>
      <c r="AN329" t="n">
        <v>21.742</v>
      </c>
      <c r="AO329" t="n">
        <v>34.76</v>
      </c>
      <c r="AP329" t="n">
        <v>26.078</v>
      </c>
      <c r="AQ329" t="n">
        <v>32.104</v>
      </c>
      <c r="AR329" t="n">
        <v>26.782</v>
      </c>
      <c r="AS329" t="n">
        <v>21.484</v>
      </c>
      <c r="AT329" t="n">
        <v>22.257</v>
      </c>
      <c r="AU329" t="n">
        <v>28.417</v>
      </c>
      <c r="AV329" t="n">
        <v>34.547</v>
      </c>
      <c r="AW329" t="n">
        <v>40.647</v>
      </c>
      <c r="AX329" t="n">
        <v>45.22</v>
      </c>
      <c r="AY329" t="n">
        <v>49.771</v>
      </c>
      <c r="AZ329" t="n">
        <v>54.298</v>
      </c>
      <c r="BA329" t="n">
        <v>58.804</v>
      </c>
      <c r="BB329" t="n">
        <v>59.662</v>
      </c>
      <c r="BC329" t="n">
        <v>63.867</v>
      </c>
      <c r="BD329" t="n">
        <v>58.654</v>
      </c>
      <c r="BE329" t="n">
        <v>53.466</v>
      </c>
      <c r="BF329" t="n">
        <v>48.295</v>
      </c>
      <c r="BG329" t="n">
        <v>43.151</v>
      </c>
      <c r="BH329" t="n">
        <v>38.033</v>
      </c>
      <c r="BI329" t="n">
        <v>30.071</v>
      </c>
      <c r="BJ329" t="n">
        <v>22.152</v>
      </c>
      <c r="BK329" t="n">
        <v>22.341</v>
      </c>
      <c r="BL329" t="n">
        <v>19.723</v>
      </c>
      <c r="BM329" t="n">
        <v>17.074</v>
      </c>
      <c r="BN329" t="n">
        <v>14.529</v>
      </c>
      <c r="BO329" t="n">
        <v>11.984</v>
      </c>
      <c r="BP329" t="n">
        <v>9.44</v>
      </c>
      <c r="BQ329" t="n">
        <v>6.895</v>
      </c>
      <c r="BR329" t="n">
        <v>7.814</v>
      </c>
      <c r="BS329" t="n">
        <v>8.734</v>
      </c>
      <c r="BT329" t="n">
        <v>9.653</v>
      </c>
      <c r="BU329" t="n">
        <v>10.572</v>
      </c>
      <c r="BV329" t="n">
        <v>11.492</v>
      </c>
    </row>
    <row r="330">
      <c r="A330" t="inlineStr">
        <is>
          <t>Plectorhinchus pictus</t>
        </is>
      </c>
      <c r="B330" t="inlineStr">
        <is>
          <t>Trout sweetlips</t>
        </is>
      </c>
      <c r="C330" t="inlineStr">
        <is>
          <t>Medium reef assoc. fish (30 - 89 cm)</t>
        </is>
      </c>
      <c r="D330" t="inlineStr">
        <is>
          <t>Perch-likes</t>
        </is>
      </c>
      <c r="E330" t="n">
        <v>5.268</v>
      </c>
      <c r="F330" t="n">
        <v>5.359</v>
      </c>
      <c r="G330" t="n">
        <v>5.976</v>
      </c>
      <c r="H330" t="n">
        <v>5.81</v>
      </c>
      <c r="I330" t="n">
        <v>6.169</v>
      </c>
      <c r="J330" t="n">
        <v>6.268</v>
      </c>
      <c r="K330" t="n">
        <v>6.5</v>
      </c>
      <c r="L330" t="n">
        <v>7.257</v>
      </c>
      <c r="M330" t="n">
        <v>7.363</v>
      </c>
      <c r="N330" t="n">
        <v>7.994</v>
      </c>
      <c r="O330" t="n">
        <v>8.103</v>
      </c>
      <c r="P330" t="n">
        <v>11.069</v>
      </c>
      <c r="Q330" t="n">
        <v>12.254</v>
      </c>
      <c r="R330" t="n">
        <v>12.854</v>
      </c>
      <c r="S330" t="n">
        <v>11.53</v>
      </c>
      <c r="T330" t="n">
        <v>10.755</v>
      </c>
      <c r="U330" t="n">
        <v>11.051</v>
      </c>
      <c r="V330" t="n">
        <v>9.832000000000001</v>
      </c>
      <c r="W330" t="n">
        <v>9.154</v>
      </c>
      <c r="X330" t="n">
        <v>9.33</v>
      </c>
      <c r="Y330" t="n">
        <v>9.718999999999999</v>
      </c>
      <c r="Z330" t="n">
        <v>10.72</v>
      </c>
      <c r="AA330" t="n">
        <v>11.042</v>
      </c>
      <c r="AB330" t="n">
        <v>11.953</v>
      </c>
      <c r="AC330" t="n">
        <v>12.292</v>
      </c>
      <c r="AD330" t="n">
        <v>11.038</v>
      </c>
      <c r="AE330" t="n">
        <v>11.256</v>
      </c>
      <c r="AF330" t="n">
        <v>11.312</v>
      </c>
      <c r="AG330" t="n">
        <v>13.242</v>
      </c>
      <c r="AH330" t="n">
        <v>14.461</v>
      </c>
      <c r="AI330" t="n">
        <v>15.672</v>
      </c>
      <c r="AJ330" t="n">
        <v>16.798</v>
      </c>
      <c r="AK330" t="n">
        <v>15.876</v>
      </c>
      <c r="AL330" t="n">
        <v>19.012</v>
      </c>
      <c r="AM330" t="n">
        <v>25.141</v>
      </c>
      <c r="AN330" t="n">
        <v>20.425</v>
      </c>
      <c r="AO330" t="n">
        <v>28.333</v>
      </c>
      <c r="AP330" t="n">
        <v>21.687</v>
      </c>
      <c r="AQ330" t="n">
        <v>24.533</v>
      </c>
      <c r="AR330" t="n">
        <v>21.522</v>
      </c>
      <c r="AS330" t="n">
        <v>16.988</v>
      </c>
      <c r="AT330" t="n">
        <v>17.177</v>
      </c>
      <c r="AU330" t="n">
        <v>22.947</v>
      </c>
      <c r="AV330" t="n">
        <v>26.681</v>
      </c>
      <c r="AW330" t="n">
        <v>33.032</v>
      </c>
      <c r="AX330" t="n">
        <v>36.728</v>
      </c>
      <c r="AY330" t="n">
        <v>40.028</v>
      </c>
      <c r="AZ330" t="n">
        <v>42.703</v>
      </c>
      <c r="BA330" t="n">
        <v>46.913</v>
      </c>
      <c r="BB330" t="n">
        <v>50.194</v>
      </c>
      <c r="BC330" t="n">
        <v>52.478</v>
      </c>
      <c r="BD330" t="n">
        <v>51.298</v>
      </c>
      <c r="BE330" t="n">
        <v>53.176</v>
      </c>
      <c r="BF330" t="n">
        <v>45.986</v>
      </c>
      <c r="BG330" t="n">
        <v>134.19</v>
      </c>
      <c r="BH330" t="n">
        <v>61.262</v>
      </c>
      <c r="BI330" t="n">
        <v>67.292</v>
      </c>
      <c r="BJ330" t="n">
        <v>32.639</v>
      </c>
      <c r="BK330" t="n">
        <v>33.795</v>
      </c>
      <c r="BL330" t="n">
        <v>19.544</v>
      </c>
      <c r="BM330" t="n">
        <v>12.957</v>
      </c>
      <c r="BN330" t="n">
        <v>10.339</v>
      </c>
      <c r="BO330" t="n">
        <v>9.641999999999999</v>
      </c>
      <c r="BP330" t="n">
        <v>8.048</v>
      </c>
      <c r="BQ330" t="n">
        <v>6.333</v>
      </c>
      <c r="BR330" t="n">
        <v>6.932</v>
      </c>
      <c r="BS330" t="n">
        <v>7.537</v>
      </c>
      <c r="BT330" t="n">
        <v>9.016999999999999</v>
      </c>
      <c r="BU330" t="n">
        <v>9.119</v>
      </c>
      <c r="BV330" t="n">
        <v>9.702999999999999</v>
      </c>
    </row>
    <row r="331">
      <c r="A331" t="inlineStr">
        <is>
          <t>Centrolophidae</t>
        </is>
      </c>
      <c r="B331" t="inlineStr">
        <is>
          <t>Medusafishes</t>
        </is>
      </c>
      <c r="C331" t="inlineStr">
        <is>
          <t>Medium benthopelagics (30 - 89 cm)</t>
        </is>
      </c>
      <c r="D331" t="inlineStr">
        <is>
          <t>Perch-likes</t>
        </is>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374.185</v>
      </c>
      <c r="AJ331" t="n">
        <v>138.386</v>
      </c>
      <c r="AK331" t="n">
        <v>10.574</v>
      </c>
      <c r="AL331" t="n">
        <v>34.896</v>
      </c>
      <c r="AM331" t="n">
        <v>0.958</v>
      </c>
      <c r="AN331" t="n">
        <v>0.797</v>
      </c>
      <c r="AO331" t="n">
        <v>0.199</v>
      </c>
      <c r="AP331" t="n">
        <v>106.778</v>
      </c>
      <c r="AQ331" t="n">
        <v>32.667</v>
      </c>
      <c r="AR331" t="n">
        <v>0</v>
      </c>
      <c r="AS331" t="n">
        <v>0.845</v>
      </c>
      <c r="AT331" t="n">
        <v>0</v>
      </c>
      <c r="AU331" t="n">
        <v>80.184</v>
      </c>
      <c r="AV331" t="n">
        <v>42.19</v>
      </c>
      <c r="AW331" t="n">
        <v>102.601</v>
      </c>
      <c r="AX331" t="n">
        <v>67.98</v>
      </c>
      <c r="AY331" t="n">
        <v>35.602</v>
      </c>
      <c r="AZ331" t="n">
        <v>61.673</v>
      </c>
      <c r="BA331" t="n">
        <v>55.365</v>
      </c>
      <c r="BB331" t="n">
        <v>105.545</v>
      </c>
      <c r="BC331" t="n">
        <v>55.405</v>
      </c>
      <c r="BD331" t="n">
        <v>41.909</v>
      </c>
      <c r="BE331" t="n">
        <v>0</v>
      </c>
      <c r="BF331" t="n">
        <v>0</v>
      </c>
      <c r="BG331" t="n">
        <v>1.632</v>
      </c>
      <c r="BH331" t="n">
        <v>8.785</v>
      </c>
      <c r="BI331" t="n">
        <v>5.233</v>
      </c>
      <c r="BJ331" t="n">
        <v>1.086</v>
      </c>
      <c r="BK331" t="n">
        <v>0</v>
      </c>
      <c r="BL331" t="n">
        <v>0</v>
      </c>
      <c r="BM331" t="n">
        <v>0</v>
      </c>
      <c r="BN331" t="n">
        <v>0</v>
      </c>
      <c r="BO331" t="n">
        <v>0</v>
      </c>
      <c r="BP331" t="n">
        <v>0</v>
      </c>
      <c r="BQ331" t="n">
        <v>0</v>
      </c>
      <c r="BR331" t="n">
        <v>0</v>
      </c>
      <c r="BS331" t="n">
        <v>0</v>
      </c>
      <c r="BT331" t="n">
        <v>0</v>
      </c>
      <c r="BU331" t="n">
        <v>0</v>
      </c>
      <c r="BV331" t="n">
        <v>0</v>
      </c>
    </row>
    <row r="332">
      <c r="A332" t="inlineStr">
        <is>
          <t>Lethrinus harak</t>
        </is>
      </c>
      <c r="B332" t="inlineStr">
        <is>
          <t>Thumbprint emperor</t>
        </is>
      </c>
      <c r="C332" t="inlineStr">
        <is>
          <t>Medium reef assoc. fish (30 - 89 cm)</t>
        </is>
      </c>
      <c r="D332" t="inlineStr">
        <is>
          <t>Perch-likes</t>
        </is>
      </c>
      <c r="E332" t="n">
        <v>1.648</v>
      </c>
      <c r="F332" t="n">
        <v>1.656</v>
      </c>
      <c r="G332" t="n">
        <v>2.281</v>
      </c>
      <c r="H332" t="n">
        <v>1.977</v>
      </c>
      <c r="I332" t="n">
        <v>2.298</v>
      </c>
      <c r="J332" t="n">
        <v>2.307</v>
      </c>
      <c r="K332" t="n">
        <v>2.472</v>
      </c>
      <c r="L332" t="n">
        <v>3.261</v>
      </c>
      <c r="M332" t="n">
        <v>3.27</v>
      </c>
      <c r="N332" t="n">
        <v>3.903</v>
      </c>
      <c r="O332" t="n">
        <v>3.948</v>
      </c>
      <c r="P332" t="n">
        <v>7.37</v>
      </c>
      <c r="Q332" t="n">
        <v>8.67</v>
      </c>
      <c r="R332" t="n">
        <v>9.303000000000001</v>
      </c>
      <c r="S332" t="n">
        <v>7.612</v>
      </c>
      <c r="T332" t="n">
        <v>6.846</v>
      </c>
      <c r="U332" t="n">
        <v>7.569</v>
      </c>
      <c r="V332" t="n">
        <v>5.571</v>
      </c>
      <c r="W332" t="n">
        <v>4.494</v>
      </c>
      <c r="X332" t="n">
        <v>5.195</v>
      </c>
      <c r="Y332" t="n">
        <v>4.508</v>
      </c>
      <c r="Z332" t="n">
        <v>5.489</v>
      </c>
      <c r="AA332" t="n">
        <v>6.546</v>
      </c>
      <c r="AB332" t="n">
        <v>8.702999999999999</v>
      </c>
      <c r="AC332" t="n">
        <v>7.088</v>
      </c>
      <c r="AD332" t="n">
        <v>6.101</v>
      </c>
      <c r="AE332" t="n">
        <v>6.501</v>
      </c>
      <c r="AF332" t="n">
        <v>6.161</v>
      </c>
      <c r="AG332" t="n">
        <v>8.843999999999999</v>
      </c>
      <c r="AH332" t="n">
        <v>9.901</v>
      </c>
      <c r="AI332" t="n">
        <v>10.641</v>
      </c>
      <c r="AJ332" t="n">
        <v>12.399</v>
      </c>
      <c r="AK332" t="n">
        <v>12.286</v>
      </c>
      <c r="AL332" t="n">
        <v>14.345</v>
      </c>
      <c r="AM332" t="n">
        <v>14.86</v>
      </c>
      <c r="AN332" t="n">
        <v>14.441</v>
      </c>
      <c r="AO332" t="n">
        <v>13.891</v>
      </c>
      <c r="AP332" t="n">
        <v>13.082</v>
      </c>
      <c r="AQ332" t="n">
        <v>10.211</v>
      </c>
      <c r="AR332" t="n">
        <v>11.191</v>
      </c>
      <c r="AS332" t="n">
        <v>9.720000000000001</v>
      </c>
      <c r="AT332" t="n">
        <v>10.864</v>
      </c>
      <c r="AU332" t="n">
        <v>14.714</v>
      </c>
      <c r="AV332" t="n">
        <v>14.932</v>
      </c>
      <c r="AW332" t="n">
        <v>16.803</v>
      </c>
      <c r="AX332" t="n">
        <v>18.068</v>
      </c>
      <c r="AY332" t="n">
        <v>19.935</v>
      </c>
      <c r="AZ332" t="n">
        <v>22.885</v>
      </c>
      <c r="BA332" t="n">
        <v>22.843</v>
      </c>
      <c r="BB332" t="n">
        <v>20.792</v>
      </c>
      <c r="BC332" t="n">
        <v>33.044</v>
      </c>
      <c r="BD332" t="n">
        <v>26.265</v>
      </c>
      <c r="BE332" t="n">
        <v>13.884</v>
      </c>
      <c r="BF332" t="n">
        <v>22.861</v>
      </c>
      <c r="BG332" t="n">
        <v>23.981</v>
      </c>
      <c r="BH332" t="n">
        <v>20.565</v>
      </c>
      <c r="BI332" t="n">
        <v>33.115</v>
      </c>
      <c r="BJ332" t="n">
        <v>62.65</v>
      </c>
      <c r="BK332" t="n">
        <v>44.333</v>
      </c>
      <c r="BL332" t="n">
        <v>41.938</v>
      </c>
      <c r="BM332" t="n">
        <v>43.164</v>
      </c>
      <c r="BN332" t="n">
        <v>45.883</v>
      </c>
      <c r="BO332" t="n">
        <v>44.899</v>
      </c>
      <c r="BP332" t="n">
        <v>43.789</v>
      </c>
      <c r="BQ332" t="n">
        <v>41.982</v>
      </c>
      <c r="BR332" t="n">
        <v>41.049</v>
      </c>
      <c r="BS332" t="n">
        <v>41.259</v>
      </c>
      <c r="BT332" t="n">
        <v>43.094</v>
      </c>
      <c r="BU332" t="n">
        <v>43.337</v>
      </c>
      <c r="BV332" t="n">
        <v>41.988</v>
      </c>
    </row>
    <row r="333">
      <c r="A333" t="inlineStr">
        <is>
          <t>Inermiidae</t>
        </is>
      </c>
      <c r="B333" t="inlineStr">
        <is>
          <t>Bonnetmouths</t>
        </is>
      </c>
      <c r="C333" t="inlineStr">
        <is>
          <t>Small pelagics (&lt;30 cm)</t>
        </is>
      </c>
      <c r="D333" t="inlineStr">
        <is>
          <t>Perch-likes</t>
        </is>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568.958</v>
      </c>
      <c r="AJ333" t="n">
        <v>44.417</v>
      </c>
      <c r="AK333" t="n">
        <v>31.743</v>
      </c>
      <c r="AL333" t="n">
        <v>42.885</v>
      </c>
      <c r="AM333" t="n">
        <v>4.819</v>
      </c>
      <c r="AN333" t="n">
        <v>15.531</v>
      </c>
      <c r="AO333" t="n">
        <v>1.536</v>
      </c>
      <c r="AP333" t="n">
        <v>45.193</v>
      </c>
      <c r="AQ333" t="n">
        <v>16.502</v>
      </c>
      <c r="AR333" t="n">
        <v>0</v>
      </c>
      <c r="AS333" t="n">
        <v>1.745</v>
      </c>
      <c r="AT333" t="n">
        <v>0</v>
      </c>
      <c r="AU333" t="n">
        <v>61.544</v>
      </c>
      <c r="AV333" t="n">
        <v>120.687</v>
      </c>
      <c r="AW333" t="n">
        <v>49.72</v>
      </c>
      <c r="AX333" t="n">
        <v>31.541</v>
      </c>
      <c r="AY333" t="n">
        <v>6.133</v>
      </c>
      <c r="AZ333" t="n">
        <v>1.533</v>
      </c>
      <c r="BA333" t="n">
        <v>60.234</v>
      </c>
      <c r="BB333" t="n">
        <v>39.645</v>
      </c>
      <c r="BC333" t="n">
        <v>0</v>
      </c>
      <c r="BD333" t="n">
        <v>26.503</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row>
    <row r="334">
      <c r="A334" t="inlineStr">
        <is>
          <t>Epinephelus fuscoguttatus</t>
        </is>
      </c>
      <c r="B334" t="inlineStr">
        <is>
          <t>Brown-marbled grouper</t>
        </is>
      </c>
      <c r="C334" t="inlineStr">
        <is>
          <t>Large reef assoc. fish (&gt;=90 cm)</t>
        </is>
      </c>
      <c r="D334" t="inlineStr">
        <is>
          <t>Perch-likes</t>
        </is>
      </c>
      <c r="E334" t="n">
        <v>1.764</v>
      </c>
      <c r="F334" t="n">
        <v>1.764</v>
      </c>
      <c r="G334" t="n">
        <v>2.94</v>
      </c>
      <c r="H334" t="n">
        <v>2.352</v>
      </c>
      <c r="I334" t="n">
        <v>2.94</v>
      </c>
      <c r="J334" t="n">
        <v>2.94</v>
      </c>
      <c r="K334" t="n">
        <v>3.234</v>
      </c>
      <c r="L334" t="n">
        <v>4.704</v>
      </c>
      <c r="M334" t="n">
        <v>4.704</v>
      </c>
      <c r="N334" t="n">
        <v>5.88</v>
      </c>
      <c r="O334" t="n">
        <v>5.88</v>
      </c>
      <c r="P334" t="n">
        <v>12.292</v>
      </c>
      <c r="Q334" t="n">
        <v>14.699</v>
      </c>
      <c r="R334" t="n">
        <v>15.785</v>
      </c>
      <c r="S334" t="n">
        <v>12.541</v>
      </c>
      <c r="T334" t="n">
        <v>10.529</v>
      </c>
      <c r="U334" t="n">
        <v>10.915</v>
      </c>
      <c r="V334" t="n">
        <v>7.5</v>
      </c>
      <c r="W334" t="n">
        <v>5.299</v>
      </c>
      <c r="X334" t="n">
        <v>5.017</v>
      </c>
      <c r="Y334" t="n">
        <v>5.215</v>
      </c>
      <c r="Z334" t="n">
        <v>6.788</v>
      </c>
      <c r="AA334" t="n">
        <v>6.836</v>
      </c>
      <c r="AB334" t="n">
        <v>8.207000000000001</v>
      </c>
      <c r="AC334" t="n">
        <v>8.292</v>
      </c>
      <c r="AD334" t="n">
        <v>6.336</v>
      </c>
      <c r="AE334" t="n">
        <v>6.245</v>
      </c>
      <c r="AF334" t="n">
        <v>5.794</v>
      </c>
      <c r="AG334" t="n">
        <v>9.555</v>
      </c>
      <c r="AH334" t="n">
        <v>11.724</v>
      </c>
      <c r="AI334" t="n">
        <v>13.875</v>
      </c>
      <c r="AJ334" t="n">
        <v>15.839</v>
      </c>
      <c r="AK334" t="n">
        <v>14.574</v>
      </c>
      <c r="AL334" t="n">
        <v>18.286</v>
      </c>
      <c r="AM334" t="n">
        <v>19.364</v>
      </c>
      <c r="AN334" t="n">
        <v>16.713</v>
      </c>
      <c r="AO334" t="n">
        <v>17.009</v>
      </c>
      <c r="AP334" t="n">
        <v>13.729</v>
      </c>
      <c r="AQ334" t="n">
        <v>12.035</v>
      </c>
      <c r="AR334" t="n">
        <v>12.412</v>
      </c>
      <c r="AS334" t="n">
        <v>9.337</v>
      </c>
      <c r="AT334" t="n">
        <v>8.724</v>
      </c>
      <c r="AU334" t="n">
        <v>13.421</v>
      </c>
      <c r="AV334" t="n">
        <v>13.584</v>
      </c>
      <c r="AW334" t="n">
        <v>20.476</v>
      </c>
      <c r="AX334" t="n">
        <v>25.274</v>
      </c>
      <c r="AY334" t="n">
        <v>26.41</v>
      </c>
      <c r="AZ334" t="n">
        <v>27.562</v>
      </c>
      <c r="BA334" t="n">
        <v>28.269</v>
      </c>
      <c r="BB334" t="n">
        <v>27.895</v>
      </c>
      <c r="BC334" t="n">
        <v>97.977</v>
      </c>
      <c r="BD334" t="n">
        <v>16.42</v>
      </c>
      <c r="BE334" t="n">
        <v>14.08</v>
      </c>
      <c r="BF334" t="n">
        <v>16.433</v>
      </c>
      <c r="BG334" t="n">
        <v>22.161</v>
      </c>
      <c r="BH334" t="n">
        <v>12.83</v>
      </c>
      <c r="BI334" t="n">
        <v>17.103</v>
      </c>
      <c r="BJ334" t="n">
        <v>17.025</v>
      </c>
      <c r="BK334" t="n">
        <v>24.552</v>
      </c>
      <c r="BL334" t="n">
        <v>30.57</v>
      </c>
      <c r="BM334" t="n">
        <v>28.574</v>
      </c>
      <c r="BN334" t="n">
        <v>29.993</v>
      </c>
      <c r="BO334" t="n">
        <v>30.049</v>
      </c>
      <c r="BP334" t="n">
        <v>32.458</v>
      </c>
      <c r="BQ334" t="n">
        <v>31.048</v>
      </c>
      <c r="BR334" t="n">
        <v>32.288</v>
      </c>
      <c r="BS334" t="n">
        <v>31.904</v>
      </c>
      <c r="BT334" t="n">
        <v>33.714</v>
      </c>
      <c r="BU334" t="n">
        <v>30.279</v>
      </c>
      <c r="BV334" t="n">
        <v>30.244</v>
      </c>
    </row>
    <row r="335">
      <c r="A335" t="inlineStr">
        <is>
          <t>Octopodidae</t>
        </is>
      </c>
      <c r="B335" t="inlineStr">
        <is>
          <t>Octopuses</t>
        </is>
      </c>
      <c r="C335" t="inlineStr">
        <is>
          <t>Cephalopods</t>
        </is>
      </c>
      <c r="D335" t="inlineStr">
        <is>
          <t>Other fishes &amp; inverts</t>
        </is>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1.593</v>
      </c>
      <c r="AK335" t="n">
        <v>0.545</v>
      </c>
      <c r="AL335" t="n">
        <v>1.2</v>
      </c>
      <c r="AM335" t="n">
        <v>1.825</v>
      </c>
      <c r="AN335" t="n">
        <v>2.832</v>
      </c>
      <c r="AO335" t="n">
        <v>9.868</v>
      </c>
      <c r="AP335" t="n">
        <v>4.744</v>
      </c>
      <c r="AQ335" t="n">
        <v>5.346</v>
      </c>
      <c r="AR335" t="n">
        <v>13.206</v>
      </c>
      <c r="AS335" t="n">
        <v>25.611</v>
      </c>
      <c r="AT335" t="n">
        <v>39.753</v>
      </c>
      <c r="AU335" t="n">
        <v>39.238</v>
      </c>
      <c r="AV335" t="n">
        <v>44.461</v>
      </c>
      <c r="AW335" t="n">
        <v>55.905</v>
      </c>
      <c r="AX335" t="n">
        <v>35.099</v>
      </c>
      <c r="AY335" t="n">
        <v>58.514</v>
      </c>
      <c r="AZ335" t="n">
        <v>60.146</v>
      </c>
      <c r="BA335" t="n">
        <v>75.06699999999999</v>
      </c>
      <c r="BB335" t="n">
        <v>71.911</v>
      </c>
      <c r="BC335" t="n">
        <v>74.883</v>
      </c>
      <c r="BD335" t="n">
        <v>82.8</v>
      </c>
      <c r="BE335" t="n">
        <v>80.08</v>
      </c>
      <c r="BF335" t="n">
        <v>59.745</v>
      </c>
      <c r="BG335" t="n">
        <v>62.886</v>
      </c>
      <c r="BH335" t="n">
        <v>37.847</v>
      </c>
      <c r="BI335" t="n">
        <v>28.11</v>
      </c>
      <c r="BJ335" t="n">
        <v>30.202</v>
      </c>
      <c r="BK335" t="n">
        <v>22.963</v>
      </c>
      <c r="BL335" t="n">
        <v>20.323</v>
      </c>
      <c r="BM335" t="n">
        <v>10.159</v>
      </c>
      <c r="BN335" t="n">
        <v>9.811999999999999</v>
      </c>
      <c r="BO335" t="n">
        <v>10.455</v>
      </c>
      <c r="BP335" t="n">
        <v>8.853999999999999</v>
      </c>
      <c r="BQ335" t="n">
        <v>8.189</v>
      </c>
      <c r="BR335" t="n">
        <v>3.969</v>
      </c>
      <c r="BS335" t="n">
        <v>4.325</v>
      </c>
      <c r="BT335" t="n">
        <v>6.318</v>
      </c>
      <c r="BU335" t="n">
        <v>6.318</v>
      </c>
      <c r="BV335" t="n">
        <v>6.318</v>
      </c>
    </row>
    <row r="336">
      <c r="A336" t="inlineStr">
        <is>
          <t>Ferdauia orthogrammus</t>
        </is>
      </c>
      <c r="B336" t="inlineStr">
        <is>
          <t>Island trevally</t>
        </is>
      </c>
      <c r="C336" t="inlineStr">
        <is>
          <t>Medium pelagics (30 - 89 cm)</t>
        </is>
      </c>
      <c r="D336" t="inlineStr">
        <is>
          <t>Perch-likes</t>
        </is>
      </c>
      <c r="E336" t="n">
        <v>3.184</v>
      </c>
      <c r="F336" t="n">
        <v>3.223</v>
      </c>
      <c r="G336" t="n">
        <v>3.223</v>
      </c>
      <c r="H336" t="n">
        <v>3.262</v>
      </c>
      <c r="I336" t="n">
        <v>3.301</v>
      </c>
      <c r="J336" t="n">
        <v>3.34</v>
      </c>
      <c r="K336" t="n">
        <v>3.379</v>
      </c>
      <c r="L336" t="n">
        <v>3.417</v>
      </c>
      <c r="M336" t="n">
        <v>3.456</v>
      </c>
      <c r="N336" t="n">
        <v>3.495</v>
      </c>
      <c r="O336" t="n">
        <v>3.699</v>
      </c>
      <c r="P336" t="n">
        <v>3.776</v>
      </c>
      <c r="Q336" t="n">
        <v>3.853</v>
      </c>
      <c r="R336" t="n">
        <v>3.952</v>
      </c>
      <c r="S336" t="n">
        <v>4.033</v>
      </c>
      <c r="T336" t="n">
        <v>4.13</v>
      </c>
      <c r="U336" t="n">
        <v>4.217</v>
      </c>
      <c r="V336" t="n">
        <v>4.322</v>
      </c>
      <c r="W336" t="n">
        <v>4.409</v>
      </c>
      <c r="X336" t="n">
        <v>10.267</v>
      </c>
      <c r="Y336" t="n">
        <v>4.849</v>
      </c>
      <c r="Z336" t="n">
        <v>5.691</v>
      </c>
      <c r="AA336" t="n">
        <v>11.355</v>
      </c>
      <c r="AB336" t="n">
        <v>7.741</v>
      </c>
      <c r="AC336" t="n">
        <v>8.247999999999999</v>
      </c>
      <c r="AD336" t="n">
        <v>8.731</v>
      </c>
      <c r="AE336" t="n">
        <v>10.54</v>
      </c>
      <c r="AF336" t="n">
        <v>11.17</v>
      </c>
      <c r="AG336" t="n">
        <v>13.096</v>
      </c>
      <c r="AH336" t="n">
        <v>13.351</v>
      </c>
      <c r="AI336" t="n">
        <v>13.563</v>
      </c>
      <c r="AJ336" t="n">
        <v>15.005</v>
      </c>
      <c r="AK336" t="n">
        <v>17.427</v>
      </c>
      <c r="AL336" t="n">
        <v>15.133</v>
      </c>
      <c r="AM336" t="n">
        <v>15.112</v>
      </c>
      <c r="AN336" t="n">
        <v>19.461</v>
      </c>
      <c r="AO336" t="n">
        <v>17.403</v>
      </c>
      <c r="AP336" t="n">
        <v>16.331</v>
      </c>
      <c r="AQ336" t="n">
        <v>12.269</v>
      </c>
      <c r="AR336" t="n">
        <v>13.306</v>
      </c>
      <c r="AS336" t="n">
        <v>13.987</v>
      </c>
      <c r="AT336" t="n">
        <v>20.29</v>
      </c>
      <c r="AU336" t="n">
        <v>18.03</v>
      </c>
      <c r="AV336" t="n">
        <v>20.501</v>
      </c>
      <c r="AW336" t="n">
        <v>24.006</v>
      </c>
      <c r="AX336" t="n">
        <v>24.693</v>
      </c>
      <c r="AY336" t="n">
        <v>25.258</v>
      </c>
      <c r="AZ336" t="n">
        <v>31.641</v>
      </c>
      <c r="BA336" t="n">
        <v>28.881</v>
      </c>
      <c r="BB336" t="n">
        <v>20.582</v>
      </c>
      <c r="BC336" t="n">
        <v>32.622</v>
      </c>
      <c r="BD336" t="n">
        <v>29.576</v>
      </c>
      <c r="BE336" t="n">
        <v>30.954</v>
      </c>
      <c r="BF336" t="n">
        <v>33.095</v>
      </c>
      <c r="BG336" t="n">
        <v>33.334</v>
      </c>
      <c r="BH336" t="n">
        <v>37.464</v>
      </c>
      <c r="BI336" t="n">
        <v>31.23</v>
      </c>
      <c r="BJ336" t="n">
        <v>32.947</v>
      </c>
      <c r="BK336" t="n">
        <v>29.265</v>
      </c>
      <c r="BL336" t="n">
        <v>36.964</v>
      </c>
      <c r="BM336" t="n">
        <v>36.738</v>
      </c>
      <c r="BN336" t="n">
        <v>43.534</v>
      </c>
      <c r="BO336" t="n">
        <v>37.395</v>
      </c>
      <c r="BP336" t="n">
        <v>15.409</v>
      </c>
      <c r="BQ336" t="n">
        <v>15.569</v>
      </c>
      <c r="BR336" t="n">
        <v>12.721</v>
      </c>
      <c r="BS336" t="n">
        <v>13.784</v>
      </c>
      <c r="BT336" t="n">
        <v>13.007</v>
      </c>
      <c r="BU336" t="n">
        <v>13.886</v>
      </c>
      <c r="BV336" t="n">
        <v>10.647</v>
      </c>
    </row>
    <row r="337">
      <c r="A337" t="inlineStr">
        <is>
          <t>Makaira</t>
        </is>
      </c>
      <c r="B337" t="inlineStr">
        <is>
          <t>Blue marlins</t>
        </is>
      </c>
      <c r="C337" t="inlineStr">
        <is>
          <t>Large pelagics (&gt;=90 cm)</t>
        </is>
      </c>
      <c r="D337" t="inlineStr">
        <is>
          <t>Tuna &amp; billfishes</t>
        </is>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1.765</v>
      </c>
      <c r="AM337" t="n">
        <v>3.851</v>
      </c>
      <c r="AN337" t="n">
        <v>3.049</v>
      </c>
      <c r="AO337" t="n">
        <v>12.245</v>
      </c>
      <c r="AP337" t="n">
        <v>8.801</v>
      </c>
      <c r="AQ337" t="n">
        <v>4.209</v>
      </c>
      <c r="AR337" t="n">
        <v>3.444</v>
      </c>
      <c r="AS337" t="n">
        <v>2.679</v>
      </c>
      <c r="AT337" t="n">
        <v>4.975</v>
      </c>
      <c r="AU337" t="n">
        <v>5.357</v>
      </c>
      <c r="AV337" t="n">
        <v>15.024</v>
      </c>
      <c r="AW337" t="n">
        <v>1.806</v>
      </c>
      <c r="AX337" t="n">
        <v>57.982</v>
      </c>
      <c r="AY337" t="n">
        <v>38.927</v>
      </c>
      <c r="AZ337" t="n">
        <v>54.187</v>
      </c>
      <c r="BA337" t="n">
        <v>333.553</v>
      </c>
      <c r="BB337" t="n">
        <v>344.723</v>
      </c>
      <c r="BC337" t="n">
        <v>78.708</v>
      </c>
      <c r="BD337" t="n">
        <v>17.323</v>
      </c>
      <c r="BE337" t="n">
        <v>4.803</v>
      </c>
      <c r="BF337" t="n">
        <v>2.546</v>
      </c>
      <c r="BG337" t="n">
        <v>9.701000000000001</v>
      </c>
      <c r="BH337" t="n">
        <v>1.64</v>
      </c>
      <c r="BI337" t="n">
        <v>0.708</v>
      </c>
      <c r="BJ337" t="n">
        <v>0.338</v>
      </c>
      <c r="BK337" t="n">
        <v>1.436</v>
      </c>
      <c r="BL337" t="n">
        <v>0</v>
      </c>
      <c r="BM337" t="n">
        <v>0</v>
      </c>
      <c r="BN337" t="n">
        <v>0</v>
      </c>
      <c r="BO337" t="n">
        <v>0</v>
      </c>
      <c r="BP337" t="n">
        <v>0</v>
      </c>
      <c r="BQ337" t="n">
        <v>0.839</v>
      </c>
      <c r="BR337" t="n">
        <v>1.119</v>
      </c>
      <c r="BS337" t="n">
        <v>8.302</v>
      </c>
      <c r="BT337" t="n">
        <v>10.378</v>
      </c>
      <c r="BU337" t="n">
        <v>18.506</v>
      </c>
      <c r="BV337" t="n">
        <v>3.337</v>
      </c>
    </row>
    <row r="338">
      <c r="A338" t="inlineStr">
        <is>
          <t>Ephippidae</t>
        </is>
      </c>
      <c r="B338" t="inlineStr">
        <is>
          <t>Spade-, batfishes, scats</t>
        </is>
      </c>
      <c r="C338" t="inlineStr">
        <is>
          <t>Medium reef assoc. fish (30 - 89 cm)</t>
        </is>
      </c>
      <c r="D338" t="inlineStr">
        <is>
          <t>Perch-likes</t>
        </is>
      </c>
      <c r="E338" t="n">
        <v>13.3</v>
      </c>
      <c r="F338" t="n">
        <v>13.376</v>
      </c>
      <c r="G338" t="n">
        <v>13.275</v>
      </c>
      <c r="H338" t="n">
        <v>13.345</v>
      </c>
      <c r="I338" t="n">
        <v>13.412</v>
      </c>
      <c r="J338" t="n">
        <v>13.477</v>
      </c>
      <c r="K338" t="n">
        <v>13.52</v>
      </c>
      <c r="L338" t="n">
        <v>13.666</v>
      </c>
      <c r="M338" t="n">
        <v>13.773</v>
      </c>
      <c r="N338" t="n">
        <v>13.964</v>
      </c>
      <c r="O338" t="n">
        <v>14.066</v>
      </c>
      <c r="P338" t="n">
        <v>14.2</v>
      </c>
      <c r="Q338" t="n">
        <v>14.33</v>
      </c>
      <c r="R338" t="n">
        <v>14.544</v>
      </c>
      <c r="S338" t="n">
        <v>14.703</v>
      </c>
      <c r="T338" t="n">
        <v>14.694</v>
      </c>
      <c r="U338" t="n">
        <v>14.747</v>
      </c>
      <c r="V338" t="n">
        <v>14.846</v>
      </c>
      <c r="W338" t="n">
        <v>14.708</v>
      </c>
      <c r="X338" t="n">
        <v>14.914</v>
      </c>
      <c r="Y338" t="n">
        <v>15.018</v>
      </c>
      <c r="Z338" t="n">
        <v>15.022</v>
      </c>
      <c r="AA338" t="n">
        <v>15.231</v>
      </c>
      <c r="AB338" t="n">
        <v>15.249</v>
      </c>
      <c r="AC338" t="n">
        <v>12.272</v>
      </c>
      <c r="AD338" t="n">
        <v>13.102</v>
      </c>
      <c r="AE338" t="n">
        <v>13.938</v>
      </c>
      <c r="AF338" t="n">
        <v>14.787</v>
      </c>
      <c r="AG338" t="n">
        <v>14.55</v>
      </c>
      <c r="AH338" t="n">
        <v>14.343</v>
      </c>
      <c r="AI338" t="n">
        <v>15.491</v>
      </c>
      <c r="AJ338" t="n">
        <v>15.691</v>
      </c>
      <c r="AK338" t="n">
        <v>12.674</v>
      </c>
      <c r="AL338" t="n">
        <v>12.915</v>
      </c>
      <c r="AM338" t="n">
        <v>13.044</v>
      </c>
      <c r="AN338" t="n">
        <v>13.203</v>
      </c>
      <c r="AO338" t="n">
        <v>12.815</v>
      </c>
      <c r="AP338" t="n">
        <v>14.83</v>
      </c>
      <c r="AQ338" t="n">
        <v>15.143</v>
      </c>
      <c r="AR338" t="n">
        <v>15.371</v>
      </c>
      <c r="AS338" t="n">
        <v>15.025</v>
      </c>
      <c r="AT338" t="n">
        <v>17.325</v>
      </c>
      <c r="AU338" t="n">
        <v>17.063</v>
      </c>
      <c r="AV338" t="n">
        <v>14.964</v>
      </c>
      <c r="AW338" t="n">
        <v>26.595</v>
      </c>
      <c r="AX338" t="n">
        <v>26.148</v>
      </c>
      <c r="AY338" t="n">
        <v>24.449</v>
      </c>
      <c r="AZ338" t="n">
        <v>33.605</v>
      </c>
      <c r="BA338" t="n">
        <v>26.232</v>
      </c>
      <c r="BB338" t="n">
        <v>23.85</v>
      </c>
      <c r="BC338" t="n">
        <v>21.613</v>
      </c>
      <c r="BD338" t="n">
        <v>20.603</v>
      </c>
      <c r="BE338" t="n">
        <v>17.326</v>
      </c>
      <c r="BF338" t="n">
        <v>12.885</v>
      </c>
      <c r="BG338" t="n">
        <v>13.247</v>
      </c>
      <c r="BH338" t="n">
        <v>12.196</v>
      </c>
      <c r="BI338" t="n">
        <v>11.263</v>
      </c>
      <c r="BJ338" t="n">
        <v>10.173</v>
      </c>
      <c r="BK338" t="n">
        <v>8.890000000000001</v>
      </c>
      <c r="BL338" t="n">
        <v>8.34</v>
      </c>
      <c r="BM338" t="n">
        <v>6.829</v>
      </c>
      <c r="BN338" t="n">
        <v>9.039999999999999</v>
      </c>
      <c r="BO338" t="n">
        <v>8.425000000000001</v>
      </c>
      <c r="BP338" t="n">
        <v>8.785</v>
      </c>
      <c r="BQ338" t="n">
        <v>9.029999999999999</v>
      </c>
      <c r="BR338" t="n">
        <v>8.965</v>
      </c>
      <c r="BS338" t="n">
        <v>8.984</v>
      </c>
      <c r="BT338" t="n">
        <v>9.388</v>
      </c>
      <c r="BU338" t="n">
        <v>10.34</v>
      </c>
      <c r="BV338" t="n">
        <v>9.962</v>
      </c>
    </row>
    <row r="339">
      <c r="A339" t="inlineStr">
        <is>
          <t>Cephalopholis miniata</t>
        </is>
      </c>
      <c r="B339" t="inlineStr">
        <is>
          <t>Coral hind</t>
        </is>
      </c>
      <c r="C339" t="inlineStr">
        <is>
          <t>Medium reef assoc. fish (30 - 89 cm)</t>
        </is>
      </c>
      <c r="D339" t="inlineStr">
        <is>
          <t>Perch-likes</t>
        </is>
      </c>
      <c r="E339" t="n">
        <v>4.734</v>
      </c>
      <c r="F339" t="n">
        <v>4.83</v>
      </c>
      <c r="G339" t="n">
        <v>4.929</v>
      </c>
      <c r="H339" t="n">
        <v>5.029</v>
      </c>
      <c r="I339" t="n">
        <v>5.132</v>
      </c>
      <c r="J339" t="n">
        <v>5.237</v>
      </c>
      <c r="K339" t="n">
        <v>5.344</v>
      </c>
      <c r="L339" t="n">
        <v>5.453</v>
      </c>
      <c r="M339" t="n">
        <v>5.564</v>
      </c>
      <c r="N339" t="n">
        <v>5.678</v>
      </c>
      <c r="O339" t="n">
        <v>5.793</v>
      </c>
      <c r="P339" t="n">
        <v>5.912</v>
      </c>
      <c r="Q339" t="n">
        <v>6.032</v>
      </c>
      <c r="R339" t="n">
        <v>6.155</v>
      </c>
      <c r="S339" t="n">
        <v>6.281</v>
      </c>
      <c r="T339" t="n">
        <v>6.409</v>
      </c>
      <c r="U339" t="n">
        <v>6.54</v>
      </c>
      <c r="V339" t="n">
        <v>6.858</v>
      </c>
      <c r="W339" t="n">
        <v>7.176</v>
      </c>
      <c r="X339" t="n">
        <v>7.494</v>
      </c>
      <c r="Y339" t="n">
        <v>7.812</v>
      </c>
      <c r="Z339" t="n">
        <v>8.130000000000001</v>
      </c>
      <c r="AA339" t="n">
        <v>8.448</v>
      </c>
      <c r="AB339" t="n">
        <v>8.765000000000001</v>
      </c>
      <c r="AC339" t="n">
        <v>9.083</v>
      </c>
      <c r="AD339" t="n">
        <v>8.678000000000001</v>
      </c>
      <c r="AE339" t="n">
        <v>8.951000000000001</v>
      </c>
      <c r="AF339" t="n">
        <v>9.222</v>
      </c>
      <c r="AG339" t="n">
        <v>9.492000000000001</v>
      </c>
      <c r="AH339" t="n">
        <v>9.760999999999999</v>
      </c>
      <c r="AI339" t="n">
        <v>10.028</v>
      </c>
      <c r="AJ339" t="n">
        <v>10.294</v>
      </c>
      <c r="AK339" t="n">
        <v>9.916</v>
      </c>
      <c r="AL339" t="n">
        <v>11.482</v>
      </c>
      <c r="AM339" t="n">
        <v>17.447</v>
      </c>
      <c r="AN339" t="n">
        <v>13.714</v>
      </c>
      <c r="AO339" t="n">
        <v>21.925</v>
      </c>
      <c r="AP339" t="n">
        <v>16.448</v>
      </c>
      <c r="AQ339" t="n">
        <v>20.25</v>
      </c>
      <c r="AR339" t="n">
        <v>16.892</v>
      </c>
      <c r="AS339" t="n">
        <v>13.551</v>
      </c>
      <c r="AT339" t="n">
        <v>14.039</v>
      </c>
      <c r="AU339" t="n">
        <v>17.924</v>
      </c>
      <c r="AV339" t="n">
        <v>21.79</v>
      </c>
      <c r="AW339" t="n">
        <v>25.822</v>
      </c>
      <c r="AX339" t="n">
        <v>29.306</v>
      </c>
      <c r="AY339" t="n">
        <v>32.138</v>
      </c>
      <c r="AZ339" t="n">
        <v>35.271</v>
      </c>
      <c r="BA339" t="n">
        <v>37.496</v>
      </c>
      <c r="BB339" t="n">
        <v>41.256</v>
      </c>
      <c r="BC339" t="n">
        <v>43.723</v>
      </c>
      <c r="BD339" t="n">
        <v>39.974</v>
      </c>
      <c r="BE339" t="n">
        <v>36.874</v>
      </c>
      <c r="BF339" t="n">
        <v>32.621</v>
      </c>
      <c r="BG339" t="n">
        <v>29.072</v>
      </c>
      <c r="BH339" t="n">
        <v>25.746</v>
      </c>
      <c r="BI339" t="n">
        <v>20.587</v>
      </c>
      <c r="BJ339" t="n">
        <v>15.443</v>
      </c>
      <c r="BK339" t="n">
        <v>15.709</v>
      </c>
      <c r="BL339" t="n">
        <v>14.178</v>
      </c>
      <c r="BM339" t="n">
        <v>12.338</v>
      </c>
      <c r="BN339" t="n">
        <v>10.812</v>
      </c>
      <c r="BO339" t="n">
        <v>9.108000000000001</v>
      </c>
      <c r="BP339" t="n">
        <v>7.349</v>
      </c>
      <c r="BQ339" t="n">
        <v>5.696</v>
      </c>
      <c r="BR339" t="n">
        <v>6.143</v>
      </c>
      <c r="BS339" t="n">
        <v>6.673</v>
      </c>
      <c r="BT339" t="n">
        <v>7.019</v>
      </c>
      <c r="BU339" t="n">
        <v>8.108000000000001</v>
      </c>
      <c r="BV339" t="n">
        <v>8.903</v>
      </c>
    </row>
    <row r="340">
      <c r="A340" t="inlineStr">
        <is>
          <t>Epinephelus fasciatus</t>
        </is>
      </c>
      <c r="B340" t="inlineStr">
        <is>
          <t>Blacktip grouper</t>
        </is>
      </c>
      <c r="C340" t="inlineStr">
        <is>
          <t>Medium reef assoc. fish (30 - 89 cm)</t>
        </is>
      </c>
      <c r="D340" t="inlineStr">
        <is>
          <t>Perch-likes</t>
        </is>
      </c>
      <c r="E340" t="n">
        <v>4.736</v>
      </c>
      <c r="F340" t="n">
        <v>4.833</v>
      </c>
      <c r="G340" t="n">
        <v>4.932</v>
      </c>
      <c r="H340" t="n">
        <v>5.032</v>
      </c>
      <c r="I340" t="n">
        <v>5.135</v>
      </c>
      <c r="J340" t="n">
        <v>5.24</v>
      </c>
      <c r="K340" t="n">
        <v>5.347</v>
      </c>
      <c r="L340" t="n">
        <v>5.456</v>
      </c>
      <c r="M340" t="n">
        <v>5.567</v>
      </c>
      <c r="N340" t="n">
        <v>5.681</v>
      </c>
      <c r="O340" t="n">
        <v>5.797</v>
      </c>
      <c r="P340" t="n">
        <v>5.915</v>
      </c>
      <c r="Q340" t="n">
        <v>6.036</v>
      </c>
      <c r="R340" t="n">
        <v>6.159</v>
      </c>
      <c r="S340" t="n">
        <v>6.285</v>
      </c>
      <c r="T340" t="n">
        <v>6.413</v>
      </c>
      <c r="U340" t="n">
        <v>6.544</v>
      </c>
      <c r="V340" t="n">
        <v>6.862</v>
      </c>
      <c r="W340" t="n">
        <v>7.18</v>
      </c>
      <c r="X340" t="n">
        <v>7.498</v>
      </c>
      <c r="Y340" t="n">
        <v>7.816</v>
      </c>
      <c r="Z340" t="n">
        <v>8.134</v>
      </c>
      <c r="AA340" t="n">
        <v>8.452999999999999</v>
      </c>
      <c r="AB340" t="n">
        <v>8.771000000000001</v>
      </c>
      <c r="AC340" t="n">
        <v>9.089</v>
      </c>
      <c r="AD340" t="n">
        <v>8.683</v>
      </c>
      <c r="AE340" t="n">
        <v>8.956</v>
      </c>
      <c r="AF340" t="n">
        <v>9.228</v>
      </c>
      <c r="AG340" t="n">
        <v>9.497999999999999</v>
      </c>
      <c r="AH340" t="n">
        <v>9.766999999999999</v>
      </c>
      <c r="AI340" t="n">
        <v>10.034</v>
      </c>
      <c r="AJ340" t="n">
        <v>10.3</v>
      </c>
      <c r="AK340" t="n">
        <v>9.920999999999999</v>
      </c>
      <c r="AL340" t="n">
        <v>11.489</v>
      </c>
      <c r="AM340" t="n">
        <v>17.457</v>
      </c>
      <c r="AN340" t="n">
        <v>13.722</v>
      </c>
      <c r="AO340" t="n">
        <v>21.938</v>
      </c>
      <c r="AP340" t="n">
        <v>16.458</v>
      </c>
      <c r="AQ340" t="n">
        <v>20.262</v>
      </c>
      <c r="AR340" t="n">
        <v>16.902</v>
      </c>
      <c r="AS340" t="n">
        <v>13.559</v>
      </c>
      <c r="AT340" t="n">
        <v>14.047</v>
      </c>
      <c r="AU340" t="n">
        <v>17.934</v>
      </c>
      <c r="AV340" t="n">
        <v>21.803</v>
      </c>
      <c r="AW340" t="n">
        <v>25.653</v>
      </c>
      <c r="AX340" t="n">
        <v>28.539</v>
      </c>
      <c r="AY340" t="n">
        <v>31.411</v>
      </c>
      <c r="AZ340" t="n">
        <v>34.269</v>
      </c>
      <c r="BA340" t="n">
        <v>37.112</v>
      </c>
      <c r="BB340" t="n">
        <v>40.705</v>
      </c>
      <c r="BC340" t="n">
        <v>43.234</v>
      </c>
      <c r="BD340" t="n">
        <v>39.391</v>
      </c>
      <c r="BE340" t="n">
        <v>35.62</v>
      </c>
      <c r="BF340" t="n">
        <v>32.179</v>
      </c>
      <c r="BG340" t="n">
        <v>28.756</v>
      </c>
      <c r="BH340" t="n">
        <v>25.349</v>
      </c>
      <c r="BI340" t="n">
        <v>20.045</v>
      </c>
      <c r="BJ340" t="n">
        <v>14.768</v>
      </c>
      <c r="BK340" t="n">
        <v>14.897</v>
      </c>
      <c r="BL340" t="n">
        <v>13.153</v>
      </c>
      <c r="BM340" t="n">
        <v>11.389</v>
      </c>
      <c r="BN340" t="n">
        <v>9.692</v>
      </c>
      <c r="BO340" t="n">
        <v>7.994</v>
      </c>
      <c r="BP340" t="n">
        <v>6.297</v>
      </c>
      <c r="BQ340" t="n">
        <v>4.599</v>
      </c>
      <c r="BR340" t="n">
        <v>5.213</v>
      </c>
      <c r="BS340" t="n">
        <v>5.826</v>
      </c>
      <c r="BT340" t="n">
        <v>6.439</v>
      </c>
      <c r="BU340" t="n">
        <v>7.053</v>
      </c>
      <c r="BV340" t="n">
        <v>7.666</v>
      </c>
    </row>
    <row r="341">
      <c r="A341" t="inlineStr">
        <is>
          <t>Cephalopholis</t>
        </is>
      </c>
      <c r="B341" t="inlineStr">
        <is>
          <t>Hinds</t>
        </is>
      </c>
      <c r="C341" t="inlineStr">
        <is>
          <t>Medium reef assoc. fish (30 - 89 cm)</t>
        </is>
      </c>
      <c r="D341" t="inlineStr">
        <is>
          <t>Perch-likes</t>
        </is>
      </c>
      <c r="E341" t="n">
        <v>4.735</v>
      </c>
      <c r="F341" t="n">
        <v>4.832</v>
      </c>
      <c r="G341" t="n">
        <v>4.931</v>
      </c>
      <c r="H341" t="n">
        <v>5.031</v>
      </c>
      <c r="I341" t="n">
        <v>5.134</v>
      </c>
      <c r="J341" t="n">
        <v>5.239</v>
      </c>
      <c r="K341" t="n">
        <v>5.346</v>
      </c>
      <c r="L341" t="n">
        <v>5.455</v>
      </c>
      <c r="M341" t="n">
        <v>5.566</v>
      </c>
      <c r="N341" t="n">
        <v>5.68</v>
      </c>
      <c r="O341" t="n">
        <v>5.796</v>
      </c>
      <c r="P341" t="n">
        <v>5.914</v>
      </c>
      <c r="Q341" t="n">
        <v>6.035</v>
      </c>
      <c r="R341" t="n">
        <v>6.158</v>
      </c>
      <c r="S341" t="n">
        <v>6.283</v>
      </c>
      <c r="T341" t="n">
        <v>6.412</v>
      </c>
      <c r="U341" t="n">
        <v>6.542</v>
      </c>
      <c r="V341" t="n">
        <v>6.86</v>
      </c>
      <c r="W341" t="n">
        <v>7.178</v>
      </c>
      <c r="X341" t="n">
        <v>7.497</v>
      </c>
      <c r="Y341" t="n">
        <v>7.815</v>
      </c>
      <c r="Z341" t="n">
        <v>8.132999999999999</v>
      </c>
      <c r="AA341" t="n">
        <v>8.451000000000001</v>
      </c>
      <c r="AB341" t="n">
        <v>8.769</v>
      </c>
      <c r="AC341" t="n">
        <v>9.087</v>
      </c>
      <c r="AD341" t="n">
        <v>8.680999999999999</v>
      </c>
      <c r="AE341" t="n">
        <v>8.954000000000001</v>
      </c>
      <c r="AF341" t="n">
        <v>9.226000000000001</v>
      </c>
      <c r="AG341" t="n">
        <v>9.496</v>
      </c>
      <c r="AH341" t="n">
        <v>9.763999999999999</v>
      </c>
      <c r="AI341" t="n">
        <v>10.032</v>
      </c>
      <c r="AJ341" t="n">
        <v>10.298</v>
      </c>
      <c r="AK341" t="n">
        <v>9.919</v>
      </c>
      <c r="AL341" t="n">
        <v>11.486</v>
      </c>
      <c r="AM341" t="n">
        <v>17.453</v>
      </c>
      <c r="AN341" t="n">
        <v>13.719</v>
      </c>
      <c r="AO341" t="n">
        <v>21.933</v>
      </c>
      <c r="AP341" t="n">
        <v>16.454</v>
      </c>
      <c r="AQ341" t="n">
        <v>20.257</v>
      </c>
      <c r="AR341" t="n">
        <v>16.899</v>
      </c>
      <c r="AS341" t="n">
        <v>13.556</v>
      </c>
      <c r="AT341" t="n">
        <v>14.044</v>
      </c>
      <c r="AU341" t="n">
        <v>17.93</v>
      </c>
      <c r="AV341" t="n">
        <v>21.798</v>
      </c>
      <c r="AW341" t="n">
        <v>25.647</v>
      </c>
      <c r="AX341" t="n">
        <v>28.533</v>
      </c>
      <c r="AY341" t="n">
        <v>31.404</v>
      </c>
      <c r="AZ341" t="n">
        <v>34.261</v>
      </c>
      <c r="BA341" t="n">
        <v>37.104</v>
      </c>
      <c r="BB341" t="n">
        <v>40.695</v>
      </c>
      <c r="BC341" t="n">
        <v>43.224</v>
      </c>
      <c r="BD341" t="n">
        <v>39.382</v>
      </c>
      <c r="BE341" t="n">
        <v>35.612</v>
      </c>
      <c r="BF341" t="n">
        <v>32.172</v>
      </c>
      <c r="BG341" t="n">
        <v>28.749</v>
      </c>
      <c r="BH341" t="n">
        <v>25.343</v>
      </c>
      <c r="BI341" t="n">
        <v>20.041</v>
      </c>
      <c r="BJ341" t="n">
        <v>14.765</v>
      </c>
      <c r="BK341" t="n">
        <v>14.893</v>
      </c>
      <c r="BL341" t="n">
        <v>13.15</v>
      </c>
      <c r="BM341" t="n">
        <v>11.387</v>
      </c>
      <c r="BN341" t="n">
        <v>9.689</v>
      </c>
      <c r="BO341" t="n">
        <v>7.992</v>
      </c>
      <c r="BP341" t="n">
        <v>6.295</v>
      </c>
      <c r="BQ341" t="n">
        <v>4.598</v>
      </c>
      <c r="BR341" t="n">
        <v>5.212</v>
      </c>
      <c r="BS341" t="n">
        <v>5.825</v>
      </c>
      <c r="BT341" t="n">
        <v>6.438</v>
      </c>
      <c r="BU341" t="n">
        <v>7.051</v>
      </c>
      <c r="BV341" t="n">
        <v>7.664</v>
      </c>
    </row>
    <row r="342">
      <c r="A342" t="inlineStr">
        <is>
          <t>Ablennes hians</t>
        </is>
      </c>
      <c r="B342" t="inlineStr">
        <is>
          <t>Flat needlefish</t>
        </is>
      </c>
      <c r="C342" t="inlineStr">
        <is>
          <t>Large pelagics (&gt;=90 cm)</t>
        </is>
      </c>
      <c r="D342" t="inlineStr">
        <is>
          <t>Other fishes &amp; inverts</t>
        </is>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16.924</v>
      </c>
      <c r="AO342" t="n">
        <v>0</v>
      </c>
      <c r="AP342" t="n">
        <v>0</v>
      </c>
      <c r="AQ342" t="n">
        <v>0</v>
      </c>
      <c r="AR342" t="n">
        <v>0</v>
      </c>
      <c r="AS342" t="n">
        <v>23.892</v>
      </c>
      <c r="AT342" t="n">
        <v>33.848</v>
      </c>
      <c r="AU342" t="n">
        <v>60.726</v>
      </c>
      <c r="AV342" t="n">
        <v>53.758</v>
      </c>
      <c r="AW342" t="n">
        <v>30.862</v>
      </c>
      <c r="AX342" t="n">
        <v>18.916</v>
      </c>
      <c r="AY342" t="n">
        <v>13.938</v>
      </c>
      <c r="AZ342" t="n">
        <v>24.889</v>
      </c>
      <c r="BA342" t="n">
        <v>11.947</v>
      </c>
      <c r="BB342" t="n">
        <v>1.991</v>
      </c>
      <c r="BC342" t="n">
        <v>0.996</v>
      </c>
      <c r="BD342" t="n">
        <v>1.991</v>
      </c>
      <c r="BE342" t="n">
        <v>0.996</v>
      </c>
      <c r="BF342" t="n">
        <v>3.982</v>
      </c>
      <c r="BG342" t="n">
        <v>4.978</v>
      </c>
      <c r="BH342" t="n">
        <v>5.973</v>
      </c>
      <c r="BI342" t="n">
        <v>22.149</v>
      </c>
      <c r="BJ342" t="n">
        <v>64.467</v>
      </c>
      <c r="BK342" t="n">
        <v>44.854</v>
      </c>
      <c r="BL342" t="n">
        <v>99.754</v>
      </c>
      <c r="BM342" t="n">
        <v>212.779</v>
      </c>
      <c r="BN342" t="n">
        <v>5.973</v>
      </c>
      <c r="BO342" t="n">
        <v>15.873</v>
      </c>
      <c r="BP342" t="n">
        <v>19.701</v>
      </c>
      <c r="BQ342" t="n">
        <v>25.693</v>
      </c>
      <c r="BR342" t="n">
        <v>41.651</v>
      </c>
      <c r="BS342" t="n">
        <v>18.822</v>
      </c>
      <c r="BT342" t="n">
        <v>18.822</v>
      </c>
      <c r="BU342" t="n">
        <v>17.826</v>
      </c>
      <c r="BV342" t="n">
        <v>28.783</v>
      </c>
    </row>
    <row r="343">
      <c r="A343" t="inlineStr">
        <is>
          <t>Seriola</t>
        </is>
      </c>
      <c r="B343" t="inlineStr">
        <is>
          <t>Amberjacks</t>
        </is>
      </c>
      <c r="C343" t="inlineStr">
        <is>
          <t>Large benthopelagics (&gt;=90 cm)</t>
        </is>
      </c>
      <c r="D343" t="inlineStr">
        <is>
          <t>Perch-likes</t>
        </is>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19.327</v>
      </c>
      <c r="AN343" t="n">
        <v>0</v>
      </c>
      <c r="AO343" t="n">
        <v>0</v>
      </c>
      <c r="AP343" t="n">
        <v>0</v>
      </c>
      <c r="AQ343" t="n">
        <v>0</v>
      </c>
      <c r="AR343" t="n">
        <v>0</v>
      </c>
      <c r="AS343" t="n">
        <v>0</v>
      </c>
      <c r="AT343" t="n">
        <v>16.044</v>
      </c>
      <c r="AU343" t="n">
        <v>6.518</v>
      </c>
      <c r="AV343" t="n">
        <v>0</v>
      </c>
      <c r="AW343" t="n">
        <v>0</v>
      </c>
      <c r="AX343" t="n">
        <v>0</v>
      </c>
      <c r="AY343" t="n">
        <v>0</v>
      </c>
      <c r="AZ343" t="n">
        <v>12.033</v>
      </c>
      <c r="BA343" t="n">
        <v>2.865</v>
      </c>
      <c r="BB343" t="n">
        <v>0.573</v>
      </c>
      <c r="BC343" t="n">
        <v>0</v>
      </c>
      <c r="BD343" t="n">
        <v>0</v>
      </c>
      <c r="BE343" t="n">
        <v>0</v>
      </c>
      <c r="BF343" t="n">
        <v>20.161</v>
      </c>
      <c r="BG343" t="n">
        <v>43.159</v>
      </c>
      <c r="BH343" t="n">
        <v>33.236</v>
      </c>
      <c r="BI343" t="n">
        <v>39.262</v>
      </c>
      <c r="BJ343" t="n">
        <v>17.834</v>
      </c>
      <c r="BK343" t="n">
        <v>14.861</v>
      </c>
      <c r="BL343" t="n">
        <v>1.982</v>
      </c>
      <c r="BM343" t="n">
        <v>22.8</v>
      </c>
      <c r="BN343" t="n">
        <v>29.953</v>
      </c>
      <c r="BO343" t="n">
        <v>32.664</v>
      </c>
      <c r="BP343" t="n">
        <v>75.001</v>
      </c>
      <c r="BQ343" t="n">
        <v>98.02200000000001</v>
      </c>
      <c r="BR343" t="n">
        <v>89.994</v>
      </c>
      <c r="BS343" t="n">
        <v>90.726</v>
      </c>
      <c r="BT343" t="n">
        <v>90.191</v>
      </c>
      <c r="BU343" t="n">
        <v>90.79600000000001</v>
      </c>
      <c r="BV343" t="n">
        <v>88.56699999999999</v>
      </c>
    </row>
    <row r="344">
      <c r="A344" t="inlineStr">
        <is>
          <t>Octopoda</t>
        </is>
      </c>
      <c r="B344" t="inlineStr">
        <is>
          <t>Octopuses, argonauts</t>
        </is>
      </c>
      <c r="C344" t="inlineStr">
        <is>
          <t>Cephalopods</t>
        </is>
      </c>
      <c r="D344" t="inlineStr">
        <is>
          <t>Other fishes &amp; inverts</t>
        </is>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10.881</v>
      </c>
      <c r="AF344" t="n">
        <v>3.738</v>
      </c>
      <c r="AG344" t="n">
        <v>11.598</v>
      </c>
      <c r="AH344" t="n">
        <v>0</v>
      </c>
      <c r="AI344" t="n">
        <v>133.22</v>
      </c>
      <c r="AJ344" t="n">
        <v>15.536</v>
      </c>
      <c r="AK344" t="n">
        <v>0</v>
      </c>
      <c r="AL344" t="n">
        <v>151.372</v>
      </c>
      <c r="AM344" t="n">
        <v>1.501</v>
      </c>
      <c r="AN344" t="n">
        <v>7.619</v>
      </c>
      <c r="AO344" t="n">
        <v>0</v>
      </c>
      <c r="AP344" t="n">
        <v>32.423</v>
      </c>
      <c r="AQ344" t="n">
        <v>2.918</v>
      </c>
      <c r="AR344" t="n">
        <v>49.75</v>
      </c>
      <c r="AS344" t="n">
        <v>76.652</v>
      </c>
      <c r="AT344" t="n">
        <v>142.065</v>
      </c>
      <c r="AU344" t="n">
        <v>57.48</v>
      </c>
      <c r="AV344" t="n">
        <v>64.417</v>
      </c>
      <c r="AW344" t="n">
        <v>64.417</v>
      </c>
      <c r="AX344" t="n">
        <v>10.297</v>
      </c>
      <c r="AY344" t="n">
        <v>11.974</v>
      </c>
      <c r="AZ344" t="n">
        <v>9.034000000000001</v>
      </c>
      <c r="BA344" t="n">
        <v>0</v>
      </c>
      <c r="BB344" t="n">
        <v>28.247</v>
      </c>
      <c r="BC344" t="n">
        <v>0.362</v>
      </c>
      <c r="BD344" t="n">
        <v>6.392</v>
      </c>
      <c r="BE344" t="n">
        <v>2.258</v>
      </c>
      <c r="BF344" t="n">
        <v>2.566</v>
      </c>
      <c r="BG344" t="n">
        <v>3.951</v>
      </c>
      <c r="BH344" t="n">
        <v>16.572</v>
      </c>
      <c r="BI344" t="n">
        <v>1.053</v>
      </c>
      <c r="BJ344" t="n">
        <v>0.526</v>
      </c>
      <c r="BK344" t="n">
        <v>0.789</v>
      </c>
      <c r="BL344" t="n">
        <v>0</v>
      </c>
      <c r="BM344" t="n">
        <v>0</v>
      </c>
      <c r="BN344" t="n">
        <v>0.001</v>
      </c>
      <c r="BO344" t="n">
        <v>0.001</v>
      </c>
      <c r="BP344" t="n">
        <v>0.003</v>
      </c>
      <c r="BQ344" t="n">
        <v>0.003</v>
      </c>
      <c r="BR344" t="n">
        <v>0.003</v>
      </c>
      <c r="BS344" t="n">
        <v>0.002</v>
      </c>
      <c r="BT344" t="n">
        <v>0.002</v>
      </c>
      <c r="BU344" t="n">
        <v>0.002</v>
      </c>
      <c r="BV344" t="n">
        <v>0.002</v>
      </c>
    </row>
    <row r="345">
      <c r="A345" t="inlineStr">
        <is>
          <t>Scomberomorus lineolatus</t>
        </is>
      </c>
      <c r="B345" t="inlineStr">
        <is>
          <t>Streaked seerfish</t>
        </is>
      </c>
      <c r="C345" t="inlineStr">
        <is>
          <t>Large pelagics (&gt;=90 cm)</t>
        </is>
      </c>
      <c r="D345" t="inlineStr">
        <is>
          <t>Perch-likes</t>
        </is>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17.558</v>
      </c>
      <c r="AJ345" t="n">
        <v>245.594</v>
      </c>
      <c r="AK345" t="n">
        <v>54.343</v>
      </c>
      <c r="AL345" t="n">
        <v>80.071</v>
      </c>
      <c r="AM345" t="n">
        <v>27.173</v>
      </c>
      <c r="AN345" t="n">
        <v>6.83</v>
      </c>
      <c r="AO345" t="n">
        <v>14.47</v>
      </c>
      <c r="AP345" t="n">
        <v>6.288</v>
      </c>
      <c r="AQ345" t="n">
        <v>54.956</v>
      </c>
      <c r="AR345" t="n">
        <v>5.39</v>
      </c>
      <c r="AS345" t="n">
        <v>0.359</v>
      </c>
      <c r="AT345" t="n">
        <v>4.132</v>
      </c>
      <c r="AU345" t="n">
        <v>92.252</v>
      </c>
      <c r="AV345" t="n">
        <v>32.64</v>
      </c>
      <c r="AW345" t="n">
        <v>6.041</v>
      </c>
      <c r="AX345" t="n">
        <v>7.648</v>
      </c>
      <c r="AY345" t="n">
        <v>26.299</v>
      </c>
      <c r="AZ345" t="n">
        <v>87.041</v>
      </c>
      <c r="BA345" t="n">
        <v>9.627000000000001</v>
      </c>
      <c r="BB345" t="n">
        <v>12.153</v>
      </c>
      <c r="BC345" t="n">
        <v>6.222</v>
      </c>
      <c r="BD345" t="n">
        <v>0.62</v>
      </c>
      <c r="BE345" t="n">
        <v>14.498</v>
      </c>
      <c r="BF345" t="n">
        <v>0</v>
      </c>
      <c r="BG345" t="n">
        <v>2.04</v>
      </c>
      <c r="BH345" t="n">
        <v>0</v>
      </c>
      <c r="BI345" t="n">
        <v>1.013</v>
      </c>
      <c r="BJ345" t="n">
        <v>30.486</v>
      </c>
      <c r="BK345" t="n">
        <v>2.575</v>
      </c>
      <c r="BL345" t="n">
        <v>2.751</v>
      </c>
      <c r="BM345" t="n">
        <v>2.701</v>
      </c>
      <c r="BN345" t="n">
        <v>1.688</v>
      </c>
      <c r="BO345" t="n">
        <v>0</v>
      </c>
      <c r="BP345" t="n">
        <v>0</v>
      </c>
      <c r="BQ345" t="n">
        <v>0</v>
      </c>
      <c r="BR345" t="n">
        <v>0</v>
      </c>
      <c r="BS345" t="n">
        <v>1.994</v>
      </c>
      <c r="BT345" t="n">
        <v>1.011</v>
      </c>
      <c r="BU345" t="n">
        <v>0</v>
      </c>
      <c r="BV345" t="n">
        <v>1.386</v>
      </c>
    </row>
    <row r="346">
      <c r="A346" t="inlineStr">
        <is>
          <t>Gymnosarda unicolor</t>
        </is>
      </c>
      <c r="B346" t="inlineStr">
        <is>
          <t>Dogtooth tuna</t>
        </is>
      </c>
      <c r="C346" t="inlineStr">
        <is>
          <t>Large reef assoc. fish (&gt;=90 cm)</t>
        </is>
      </c>
      <c r="D346" t="inlineStr">
        <is>
          <t>Tuna &amp; billfishes</t>
        </is>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6.504</v>
      </c>
      <c r="Z346" t="n">
        <v>3.518</v>
      </c>
      <c r="AA346" t="n">
        <v>5.109</v>
      </c>
      <c r="AB346" t="n">
        <v>4.63</v>
      </c>
      <c r="AC346" t="n">
        <v>4.966</v>
      </c>
      <c r="AD346" t="n">
        <v>4.877</v>
      </c>
      <c r="AE346" t="n">
        <v>7.479</v>
      </c>
      <c r="AF346" t="n">
        <v>10.725</v>
      </c>
      <c r="AG346" t="n">
        <v>21.08</v>
      </c>
      <c r="AH346" t="n">
        <v>10.327</v>
      </c>
      <c r="AI346" t="n">
        <v>12.028</v>
      </c>
      <c r="AJ346" t="n">
        <v>18.484</v>
      </c>
      <c r="AK346" t="n">
        <v>25.024</v>
      </c>
      <c r="AL346" t="n">
        <v>14.818</v>
      </c>
      <c r="AM346" t="n">
        <v>15.366</v>
      </c>
      <c r="AN346" t="n">
        <v>6.505</v>
      </c>
      <c r="AO346" t="n">
        <v>5.204</v>
      </c>
      <c r="AP346" t="n">
        <v>20.664</v>
      </c>
      <c r="AQ346" t="n">
        <v>3.039</v>
      </c>
      <c r="AR346" t="n">
        <v>4.132</v>
      </c>
      <c r="AS346" t="n">
        <v>9.875</v>
      </c>
      <c r="AT346" t="n">
        <v>8.882</v>
      </c>
      <c r="AU346" t="n">
        <v>11.652</v>
      </c>
      <c r="AV346" t="n">
        <v>21.179</v>
      </c>
      <c r="AW346" t="n">
        <v>13.101</v>
      </c>
      <c r="AX346" t="n">
        <v>14.783</v>
      </c>
      <c r="AY346" t="n">
        <v>21.63</v>
      </c>
      <c r="AZ346" t="n">
        <v>17.19</v>
      </c>
      <c r="BA346" t="n">
        <v>15.844</v>
      </c>
      <c r="BB346" t="n">
        <v>14.355</v>
      </c>
      <c r="BC346" t="n">
        <v>15.192</v>
      </c>
      <c r="BD346" t="n">
        <v>21.785</v>
      </c>
      <c r="BE346" t="n">
        <v>26.556</v>
      </c>
      <c r="BF346" t="n">
        <v>26.35</v>
      </c>
      <c r="BG346" t="n">
        <v>22.714</v>
      </c>
      <c r="BH346" t="n">
        <v>19.099</v>
      </c>
      <c r="BI346" t="n">
        <v>18.41</v>
      </c>
      <c r="BJ346" t="n">
        <v>17.425</v>
      </c>
      <c r="BK346" t="n">
        <v>20.274</v>
      </c>
      <c r="BL346" t="n">
        <v>22.386</v>
      </c>
      <c r="BM346" t="n">
        <v>31.151</v>
      </c>
      <c r="BN346" t="n">
        <v>42.397</v>
      </c>
      <c r="BO346" t="n">
        <v>25.333</v>
      </c>
      <c r="BP346" t="n">
        <v>25.353</v>
      </c>
      <c r="BQ346" t="n">
        <v>39.479</v>
      </c>
      <c r="BR346" t="n">
        <v>8.964</v>
      </c>
      <c r="BS346" t="n">
        <v>35.41</v>
      </c>
      <c r="BT346" t="n">
        <v>31.208</v>
      </c>
      <c r="BU346" t="n">
        <v>30.778</v>
      </c>
      <c r="BV346" t="n">
        <v>26.434</v>
      </c>
    </row>
    <row r="347">
      <c r="A347" t="inlineStr">
        <is>
          <t>Scolopsis</t>
        </is>
      </c>
      <c r="B347" t="inlineStr">
        <is>
          <t>Monocle breams</t>
        </is>
      </c>
      <c r="C347" t="inlineStr">
        <is>
          <t>Small reef assoc. fish (&lt;30 cm)</t>
        </is>
      </c>
      <c r="D347" t="inlineStr">
        <is>
          <t>Perch-likes</t>
        </is>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24.418</v>
      </c>
      <c r="AC347" t="n">
        <v>42.952</v>
      </c>
      <c r="AD347" t="n">
        <v>30.399</v>
      </c>
      <c r="AE347" t="n">
        <v>0</v>
      </c>
      <c r="AF347" t="n">
        <v>37.611</v>
      </c>
      <c r="AG347" t="n">
        <v>1.229</v>
      </c>
      <c r="AH347" t="n">
        <v>6.179</v>
      </c>
      <c r="AI347" t="n">
        <v>8.621</v>
      </c>
      <c r="AJ347" t="n">
        <v>6.974</v>
      </c>
      <c r="AK347" t="n">
        <v>18.761</v>
      </c>
      <c r="AL347" t="n">
        <v>9.372</v>
      </c>
      <c r="AM347" t="n">
        <v>26.782</v>
      </c>
      <c r="AN347" t="n">
        <v>15.768</v>
      </c>
      <c r="AO347" t="n">
        <v>16.336</v>
      </c>
      <c r="AP347" t="n">
        <v>28.636</v>
      </c>
      <c r="AQ347" t="n">
        <v>14.621</v>
      </c>
      <c r="AR347" t="n">
        <v>1.608</v>
      </c>
      <c r="AS347" t="n">
        <v>0</v>
      </c>
      <c r="AT347" t="n">
        <v>0</v>
      </c>
      <c r="AU347" t="n">
        <v>0</v>
      </c>
      <c r="AV347" t="n">
        <v>0.039</v>
      </c>
      <c r="AW347" t="n">
        <v>0.011</v>
      </c>
      <c r="AX347" t="n">
        <v>0.012</v>
      </c>
      <c r="AY347" t="n">
        <v>0.013</v>
      </c>
      <c r="AZ347" t="n">
        <v>0.013</v>
      </c>
      <c r="BA347" t="n">
        <v>0.012</v>
      </c>
      <c r="BB347" t="n">
        <v>0.014</v>
      </c>
      <c r="BC347" t="n">
        <v>0</v>
      </c>
      <c r="BD347" t="n">
        <v>0.015</v>
      </c>
      <c r="BE347" t="n">
        <v>0</v>
      </c>
      <c r="BF347" t="n">
        <v>0</v>
      </c>
      <c r="BG347" t="n">
        <v>0</v>
      </c>
      <c r="BH347" t="n">
        <v>0</v>
      </c>
      <c r="BI347" t="n">
        <v>0</v>
      </c>
      <c r="BJ347" t="n">
        <v>0</v>
      </c>
      <c r="BK347" t="n">
        <v>0</v>
      </c>
      <c r="BL347" t="n">
        <v>0</v>
      </c>
      <c r="BM347" t="n">
        <v>31.709</v>
      </c>
      <c r="BN347" t="n">
        <v>27.732</v>
      </c>
      <c r="BO347" t="n">
        <v>38.16</v>
      </c>
      <c r="BP347" t="n">
        <v>21.338</v>
      </c>
      <c r="BQ347" t="n">
        <v>42.271</v>
      </c>
      <c r="BR347" t="n">
        <v>74.83799999999999</v>
      </c>
      <c r="BS347" t="n">
        <v>66.739</v>
      </c>
      <c r="BT347" t="n">
        <v>86.04600000000001</v>
      </c>
      <c r="BU347" t="n">
        <v>86.04600000000001</v>
      </c>
      <c r="BV347" t="n">
        <v>86.04600000000001</v>
      </c>
    </row>
    <row r="348">
      <c r="A348" t="inlineStr">
        <is>
          <t>Berycidae</t>
        </is>
      </c>
      <c r="B348" t="inlineStr">
        <is>
          <t>Alfonsinos, redfishes</t>
        </is>
      </c>
      <c r="C348" t="inlineStr">
        <is>
          <t>Medium benthopelagics (30 - 89 cm)</t>
        </is>
      </c>
      <c r="D348" t="inlineStr">
        <is>
          <t>Other fishes &amp; inverts</t>
        </is>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6.406</v>
      </c>
      <c r="AJ348" t="n">
        <v>422.387</v>
      </c>
      <c r="AK348" t="n">
        <v>154.128</v>
      </c>
      <c r="AL348" t="n">
        <v>142.581</v>
      </c>
      <c r="AM348" t="n">
        <v>9.539</v>
      </c>
      <c r="AN348" t="n">
        <v>1.345</v>
      </c>
      <c r="AO348" t="n">
        <v>0</v>
      </c>
      <c r="AP348" t="n">
        <v>0.79</v>
      </c>
      <c r="AQ348" t="n">
        <v>6.597</v>
      </c>
      <c r="AR348" t="n">
        <v>6.835</v>
      </c>
      <c r="AS348" t="n">
        <v>0</v>
      </c>
      <c r="AT348" t="n">
        <v>0</v>
      </c>
      <c r="AU348" t="n">
        <v>0</v>
      </c>
      <c r="AV348" t="n">
        <v>0</v>
      </c>
      <c r="AW348" t="n">
        <v>0</v>
      </c>
      <c r="AX348" t="n">
        <v>0</v>
      </c>
      <c r="AY348" t="n">
        <v>0</v>
      </c>
      <c r="AZ348" t="n">
        <v>0</v>
      </c>
      <c r="BA348" t="n">
        <v>0</v>
      </c>
      <c r="BB348" t="n">
        <v>0</v>
      </c>
      <c r="BC348" t="n">
        <v>0</v>
      </c>
      <c r="BD348" t="n">
        <v>90.214</v>
      </c>
      <c r="BE348" t="n">
        <v>3.807</v>
      </c>
      <c r="BF348" t="n">
        <v>0</v>
      </c>
      <c r="BG348" t="n">
        <v>0</v>
      </c>
      <c r="BH348" t="n">
        <v>2.686</v>
      </c>
      <c r="BI348" t="n">
        <v>2.909</v>
      </c>
      <c r="BJ348" t="n">
        <v>0.459</v>
      </c>
      <c r="BK348" t="n">
        <v>0</v>
      </c>
      <c r="BL348" t="n">
        <v>0</v>
      </c>
      <c r="BM348" t="n">
        <v>0</v>
      </c>
      <c r="BN348" t="n">
        <v>0</v>
      </c>
      <c r="BO348" t="n">
        <v>0</v>
      </c>
      <c r="BP348" t="n">
        <v>0</v>
      </c>
      <c r="BQ348" t="n">
        <v>0</v>
      </c>
      <c r="BR348" t="n">
        <v>0</v>
      </c>
      <c r="BS348" t="n">
        <v>0</v>
      </c>
      <c r="BT348" t="n">
        <v>0</v>
      </c>
      <c r="BU348" t="n">
        <v>0</v>
      </c>
      <c r="BV348" t="n">
        <v>0</v>
      </c>
    </row>
    <row r="349">
      <c r="A349" t="inlineStr">
        <is>
          <t>Aluterus monoceros</t>
        </is>
      </c>
      <c r="B349" t="inlineStr">
        <is>
          <t>Unicorn leatherjacket filefish</t>
        </is>
      </c>
      <c r="C349" t="inlineStr">
        <is>
          <t>Medium reef assoc. fish (30 - 89 cm)</t>
        </is>
      </c>
      <c r="D349" t="inlineStr">
        <is>
          <t>Other fishes &amp; inverts</t>
        </is>
      </c>
      <c r="E349" t="n">
        <v>10.706</v>
      </c>
      <c r="F349" t="n">
        <v>10.768</v>
      </c>
      <c r="G349" t="n">
        <v>10.687</v>
      </c>
      <c r="H349" t="n">
        <v>10.743</v>
      </c>
      <c r="I349" t="n">
        <v>10.797</v>
      </c>
      <c r="J349" t="n">
        <v>10.849</v>
      </c>
      <c r="K349" t="n">
        <v>10.884</v>
      </c>
      <c r="L349" t="n">
        <v>11.001</v>
      </c>
      <c r="M349" t="n">
        <v>11.088</v>
      </c>
      <c r="N349" t="n">
        <v>11.241</v>
      </c>
      <c r="O349" t="n">
        <v>11.324</v>
      </c>
      <c r="P349" t="n">
        <v>11.431</v>
      </c>
      <c r="Q349" t="n">
        <v>11.536</v>
      </c>
      <c r="R349" t="n">
        <v>11.708</v>
      </c>
      <c r="S349" t="n">
        <v>11.837</v>
      </c>
      <c r="T349" t="n">
        <v>11.83</v>
      </c>
      <c r="U349" t="n">
        <v>11.872</v>
      </c>
      <c r="V349" t="n">
        <v>11.952</v>
      </c>
      <c r="W349" t="n">
        <v>11.84</v>
      </c>
      <c r="X349" t="n">
        <v>12.006</v>
      </c>
      <c r="Y349" t="n">
        <v>12.09</v>
      </c>
      <c r="Z349" t="n">
        <v>12.094</v>
      </c>
      <c r="AA349" t="n">
        <v>12.261</v>
      </c>
      <c r="AB349" t="n">
        <v>12.276</v>
      </c>
      <c r="AC349" t="n">
        <v>9.880000000000001</v>
      </c>
      <c r="AD349" t="n">
        <v>10.548</v>
      </c>
      <c r="AE349" t="n">
        <v>11.222</v>
      </c>
      <c r="AF349" t="n">
        <v>11.906</v>
      </c>
      <c r="AG349" t="n">
        <v>11.716</v>
      </c>
      <c r="AH349" t="n">
        <v>11.55</v>
      </c>
      <c r="AI349" t="n">
        <v>12.475</v>
      </c>
      <c r="AJ349" t="n">
        <v>12.637</v>
      </c>
      <c r="AK349" t="n">
        <v>10.208</v>
      </c>
      <c r="AL349" t="n">
        <v>10.402</v>
      </c>
      <c r="AM349" t="n">
        <v>10.507</v>
      </c>
      <c r="AN349" t="n">
        <v>10.636</v>
      </c>
      <c r="AO349" t="n">
        <v>10.324</v>
      </c>
      <c r="AP349" t="n">
        <v>11.947</v>
      </c>
      <c r="AQ349" t="n">
        <v>12.199</v>
      </c>
      <c r="AR349" t="n">
        <v>12.383</v>
      </c>
      <c r="AS349" t="n">
        <v>12.104</v>
      </c>
      <c r="AT349" t="n">
        <v>13.956</v>
      </c>
      <c r="AU349" t="n">
        <v>13.744</v>
      </c>
      <c r="AV349" t="n">
        <v>12.054</v>
      </c>
      <c r="AW349" t="n">
        <v>21.417</v>
      </c>
      <c r="AX349" t="n">
        <v>21.057</v>
      </c>
      <c r="AY349" t="n">
        <v>19.689</v>
      </c>
      <c r="AZ349" t="n">
        <v>27.059</v>
      </c>
      <c r="BA349" t="n">
        <v>21.123</v>
      </c>
      <c r="BB349" t="n">
        <v>19.206</v>
      </c>
      <c r="BC349" t="n">
        <v>17.404</v>
      </c>
      <c r="BD349" t="n">
        <v>16.591</v>
      </c>
      <c r="BE349" t="n">
        <v>13.953</v>
      </c>
      <c r="BF349" t="n">
        <v>10.377</v>
      </c>
      <c r="BG349" t="n">
        <v>10.669</v>
      </c>
      <c r="BH349" t="n">
        <v>9.821999999999999</v>
      </c>
      <c r="BI349" t="n">
        <v>9.071</v>
      </c>
      <c r="BJ349" t="n">
        <v>8.193</v>
      </c>
      <c r="BK349" t="n">
        <v>7.161</v>
      </c>
      <c r="BL349" t="n">
        <v>6.717</v>
      </c>
      <c r="BM349" t="n">
        <v>5.501</v>
      </c>
      <c r="BN349" t="n">
        <v>6.994</v>
      </c>
      <c r="BO349" t="n">
        <v>6.493</v>
      </c>
      <c r="BP349" t="n">
        <v>6.792</v>
      </c>
      <c r="BQ349" t="n">
        <v>6.997</v>
      </c>
      <c r="BR349" t="n">
        <v>6.945</v>
      </c>
      <c r="BS349" t="n">
        <v>6.96</v>
      </c>
      <c r="BT349" t="n">
        <v>7.285</v>
      </c>
      <c r="BU349" t="n">
        <v>8.052</v>
      </c>
      <c r="BV349" t="n">
        <v>7.747</v>
      </c>
    </row>
    <row r="350">
      <c r="A350" t="inlineStr">
        <is>
          <t>Caranx lugubris</t>
        </is>
      </c>
      <c r="B350" t="inlineStr">
        <is>
          <t>Black jack</t>
        </is>
      </c>
      <c r="C350" t="inlineStr">
        <is>
          <t>Large benthopelagics (&gt;=90 cm)</t>
        </is>
      </c>
      <c r="D350" t="inlineStr">
        <is>
          <t>Perch-likes</t>
        </is>
      </c>
      <c r="E350" t="n">
        <v>2.215</v>
      </c>
      <c r="F350" t="n">
        <v>2.242</v>
      </c>
      <c r="G350" t="n">
        <v>2.242</v>
      </c>
      <c r="H350" t="n">
        <v>2.269</v>
      </c>
      <c r="I350" t="n">
        <v>2.296</v>
      </c>
      <c r="J350" t="n">
        <v>2.323</v>
      </c>
      <c r="K350" t="n">
        <v>2.35</v>
      </c>
      <c r="L350" t="n">
        <v>2.377</v>
      </c>
      <c r="M350" t="n">
        <v>2.404</v>
      </c>
      <c r="N350" t="n">
        <v>2.431</v>
      </c>
      <c r="O350" t="n">
        <v>2.572</v>
      </c>
      <c r="P350" t="n">
        <v>2.626</v>
      </c>
      <c r="Q350" t="n">
        <v>2.68</v>
      </c>
      <c r="R350" t="n">
        <v>2.748</v>
      </c>
      <c r="S350" t="n">
        <v>2.804</v>
      </c>
      <c r="T350" t="n">
        <v>2.872</v>
      </c>
      <c r="U350" t="n">
        <v>2.933</v>
      </c>
      <c r="V350" t="n">
        <v>3.006</v>
      </c>
      <c r="W350" t="n">
        <v>3.066</v>
      </c>
      <c r="X350" t="n">
        <v>7.14</v>
      </c>
      <c r="Y350" t="n">
        <v>3.372</v>
      </c>
      <c r="Z350" t="n">
        <v>3.958</v>
      </c>
      <c r="AA350" t="n">
        <v>7.896</v>
      </c>
      <c r="AB350" t="n">
        <v>5.383</v>
      </c>
      <c r="AC350" t="n">
        <v>5.736</v>
      </c>
      <c r="AD350" t="n">
        <v>6.072</v>
      </c>
      <c r="AE350" t="n">
        <v>7.33</v>
      </c>
      <c r="AF350" t="n">
        <v>7.768</v>
      </c>
      <c r="AG350" t="n">
        <v>9.106999999999999</v>
      </c>
      <c r="AH350" t="n">
        <v>9.285</v>
      </c>
      <c r="AI350" t="n">
        <v>9.432</v>
      </c>
      <c r="AJ350" t="n">
        <v>10.435</v>
      </c>
      <c r="AK350" t="n">
        <v>12.12</v>
      </c>
      <c r="AL350" t="n">
        <v>10.524</v>
      </c>
      <c r="AM350" t="n">
        <v>10.51</v>
      </c>
      <c r="AN350" t="n">
        <v>13.534</v>
      </c>
      <c r="AO350" t="n">
        <v>12.103</v>
      </c>
      <c r="AP350" t="n">
        <v>11.357</v>
      </c>
      <c r="AQ350" t="n">
        <v>8.532</v>
      </c>
      <c r="AR350" t="n">
        <v>9.253</v>
      </c>
      <c r="AS350" t="n">
        <v>9.727</v>
      </c>
      <c r="AT350" t="n">
        <v>14.111</v>
      </c>
      <c r="AU350" t="n">
        <v>12.539</v>
      </c>
      <c r="AV350" t="n">
        <v>14.257</v>
      </c>
      <c r="AW350" t="n">
        <v>16.695</v>
      </c>
      <c r="AX350" t="n">
        <v>17.172</v>
      </c>
      <c r="AY350" t="n">
        <v>17.565</v>
      </c>
      <c r="AZ350" t="n">
        <v>22.005</v>
      </c>
      <c r="BA350" t="n">
        <v>20.085</v>
      </c>
      <c r="BB350" t="n">
        <v>14.313</v>
      </c>
      <c r="BC350" t="n">
        <v>22.687</v>
      </c>
      <c r="BD350" t="n">
        <v>20.569</v>
      </c>
      <c r="BE350" t="n">
        <v>21.527</v>
      </c>
      <c r="BF350" t="n">
        <v>23.016</v>
      </c>
      <c r="BG350" t="n">
        <v>23.182</v>
      </c>
      <c r="BH350" t="n">
        <v>26.054</v>
      </c>
      <c r="BI350" t="n">
        <v>21.719</v>
      </c>
      <c r="BJ350" t="n">
        <v>22.912</v>
      </c>
      <c r="BK350" t="n">
        <v>20.352</v>
      </c>
      <c r="BL350" t="n">
        <v>25.706</v>
      </c>
      <c r="BM350" t="n">
        <v>25.549</v>
      </c>
      <c r="BN350" t="n">
        <v>30.276</v>
      </c>
      <c r="BO350" t="n">
        <v>26.006</v>
      </c>
      <c r="BP350" t="n">
        <v>10.716</v>
      </c>
      <c r="BQ350" t="n">
        <v>10.827</v>
      </c>
      <c r="BR350" t="n">
        <v>8.847</v>
      </c>
      <c r="BS350" t="n">
        <v>9.586</v>
      </c>
      <c r="BT350" t="n">
        <v>9.045999999999999</v>
      </c>
      <c r="BU350" t="n">
        <v>9.657</v>
      </c>
      <c r="BV350" t="n">
        <v>7.404</v>
      </c>
    </row>
    <row r="351">
      <c r="A351" t="inlineStr">
        <is>
          <t>Aphareus rutilans</t>
        </is>
      </c>
      <c r="B351" t="inlineStr">
        <is>
          <t>Rusty jobfish</t>
        </is>
      </c>
      <c r="C351" t="inlineStr">
        <is>
          <t>Medium reef assoc. fish (30 - 89 cm)</t>
        </is>
      </c>
      <c r="D351" t="inlineStr">
        <is>
          <t>Perch-likes</t>
        </is>
      </c>
      <c r="E351" t="n">
        <v>2.109</v>
      </c>
      <c r="F351" t="n">
        <v>2.134</v>
      </c>
      <c r="G351" t="n">
        <v>2.134</v>
      </c>
      <c r="H351" t="n">
        <v>2.16</v>
      </c>
      <c r="I351" t="n">
        <v>2.186</v>
      </c>
      <c r="J351" t="n">
        <v>2.211</v>
      </c>
      <c r="K351" t="n">
        <v>2.237</v>
      </c>
      <c r="L351" t="n">
        <v>2.263</v>
      </c>
      <c r="M351" t="n">
        <v>2.289</v>
      </c>
      <c r="N351" t="n">
        <v>2.314</v>
      </c>
      <c r="O351" t="n">
        <v>2.449</v>
      </c>
      <c r="P351" t="n">
        <v>2.5</v>
      </c>
      <c r="Q351" t="n">
        <v>2.552</v>
      </c>
      <c r="R351" t="n">
        <v>2.617</v>
      </c>
      <c r="S351" t="n">
        <v>2.67</v>
      </c>
      <c r="T351" t="n">
        <v>2.735</v>
      </c>
      <c r="U351" t="n">
        <v>2.793</v>
      </c>
      <c r="V351" t="n">
        <v>2.862</v>
      </c>
      <c r="W351" t="n">
        <v>2.92</v>
      </c>
      <c r="X351" t="n">
        <v>6.798</v>
      </c>
      <c r="Y351" t="n">
        <v>3.211</v>
      </c>
      <c r="Z351" t="n">
        <v>3.769</v>
      </c>
      <c r="AA351" t="n">
        <v>7.518</v>
      </c>
      <c r="AB351" t="n">
        <v>5.126</v>
      </c>
      <c r="AC351" t="n">
        <v>5.461</v>
      </c>
      <c r="AD351" t="n">
        <v>5.781</v>
      </c>
      <c r="AE351" t="n">
        <v>6.979</v>
      </c>
      <c r="AF351" t="n">
        <v>7.397</v>
      </c>
      <c r="AG351" t="n">
        <v>8.670999999999999</v>
      </c>
      <c r="AH351" t="n">
        <v>8.84</v>
      </c>
      <c r="AI351" t="n">
        <v>8.981</v>
      </c>
      <c r="AJ351" t="n">
        <v>9.936</v>
      </c>
      <c r="AK351" t="n">
        <v>11.539</v>
      </c>
      <c r="AL351" t="n">
        <v>10.02</v>
      </c>
      <c r="AM351" t="n">
        <v>10.007</v>
      </c>
      <c r="AN351" t="n">
        <v>12.886</v>
      </c>
      <c r="AO351" t="n">
        <v>11.524</v>
      </c>
      <c r="AP351" t="n">
        <v>10.813</v>
      </c>
      <c r="AQ351" t="n">
        <v>8.124000000000001</v>
      </c>
      <c r="AR351" t="n">
        <v>8.81</v>
      </c>
      <c r="AS351" t="n">
        <v>9.262</v>
      </c>
      <c r="AT351" t="n">
        <v>13.435</v>
      </c>
      <c r="AU351" t="n">
        <v>11.938</v>
      </c>
      <c r="AV351" t="n">
        <v>13.575</v>
      </c>
      <c r="AW351" t="n">
        <v>15.896</v>
      </c>
      <c r="AX351" t="n">
        <v>16.35</v>
      </c>
      <c r="AY351" t="n">
        <v>16.725</v>
      </c>
      <c r="AZ351" t="n">
        <v>20.951</v>
      </c>
      <c r="BA351" t="n">
        <v>19.123</v>
      </c>
      <c r="BB351" t="n">
        <v>13.628</v>
      </c>
      <c r="BC351" t="n">
        <v>21.643</v>
      </c>
      <c r="BD351" t="n">
        <v>19.668</v>
      </c>
      <c r="BE351" t="n">
        <v>20.622</v>
      </c>
      <c r="BF351" t="n">
        <v>22.081</v>
      </c>
      <c r="BG351" t="n">
        <v>22.281</v>
      </c>
      <c r="BH351" t="n">
        <v>25.105</v>
      </c>
      <c r="BI351" t="n">
        <v>21.2</v>
      </c>
      <c r="BJ351" t="n">
        <v>22.56</v>
      </c>
      <c r="BK351" t="n">
        <v>20.23</v>
      </c>
      <c r="BL351" t="n">
        <v>25.435</v>
      </c>
      <c r="BM351" t="n">
        <v>25.397</v>
      </c>
      <c r="BN351" t="n">
        <v>30.017</v>
      </c>
      <c r="BO351" t="n">
        <v>26.051</v>
      </c>
      <c r="BP351" t="n">
        <v>11.592</v>
      </c>
      <c r="BQ351" t="n">
        <v>11.797</v>
      </c>
      <c r="BR351" t="n">
        <v>8.832000000000001</v>
      </c>
      <c r="BS351" t="n">
        <v>9.536</v>
      </c>
      <c r="BT351" t="n">
        <v>9.022</v>
      </c>
      <c r="BU351" t="n">
        <v>9.603999999999999</v>
      </c>
      <c r="BV351" t="n">
        <v>7.672</v>
      </c>
    </row>
    <row r="352">
      <c r="A352" t="inlineStr">
        <is>
          <t>Macolor niger</t>
        </is>
      </c>
      <c r="B352" t="inlineStr">
        <is>
          <t>Black and white snapper</t>
        </is>
      </c>
      <c r="C352" t="inlineStr">
        <is>
          <t>Medium reef assoc. fish (30 - 89 cm)</t>
        </is>
      </c>
      <c r="D352" t="inlineStr">
        <is>
          <t>Perch-likes</t>
        </is>
      </c>
      <c r="E352" t="n">
        <v>2.103</v>
      </c>
      <c r="F352" t="n">
        <v>2.129</v>
      </c>
      <c r="G352" t="n">
        <v>2.129</v>
      </c>
      <c r="H352" t="n">
        <v>2.155</v>
      </c>
      <c r="I352" t="n">
        <v>2.18</v>
      </c>
      <c r="J352" t="n">
        <v>2.206</v>
      </c>
      <c r="K352" t="n">
        <v>2.232</v>
      </c>
      <c r="L352" t="n">
        <v>2.257</v>
      </c>
      <c r="M352" t="n">
        <v>2.283</v>
      </c>
      <c r="N352" t="n">
        <v>2.309</v>
      </c>
      <c r="O352" t="n">
        <v>2.443</v>
      </c>
      <c r="P352" t="n">
        <v>2.494</v>
      </c>
      <c r="Q352" t="n">
        <v>2.545</v>
      </c>
      <c r="R352" t="n">
        <v>2.61</v>
      </c>
      <c r="S352" t="n">
        <v>2.664</v>
      </c>
      <c r="T352" t="n">
        <v>2.728</v>
      </c>
      <c r="U352" t="n">
        <v>2.786</v>
      </c>
      <c r="V352" t="n">
        <v>2.855</v>
      </c>
      <c r="W352" t="n">
        <v>2.912</v>
      </c>
      <c r="X352" t="n">
        <v>6.781</v>
      </c>
      <c r="Y352" t="n">
        <v>3.203</v>
      </c>
      <c r="Z352" t="n">
        <v>3.759</v>
      </c>
      <c r="AA352" t="n">
        <v>7.5</v>
      </c>
      <c r="AB352" t="n">
        <v>5.113</v>
      </c>
      <c r="AC352" t="n">
        <v>5.448</v>
      </c>
      <c r="AD352" t="n">
        <v>5.767</v>
      </c>
      <c r="AE352" t="n">
        <v>6.962</v>
      </c>
      <c r="AF352" t="n">
        <v>7.378</v>
      </c>
      <c r="AG352" t="n">
        <v>8.65</v>
      </c>
      <c r="AH352" t="n">
        <v>8.818</v>
      </c>
      <c r="AI352" t="n">
        <v>8.959</v>
      </c>
      <c r="AJ352" t="n">
        <v>9.911</v>
      </c>
      <c r="AK352" t="n">
        <v>11.511</v>
      </c>
      <c r="AL352" t="n">
        <v>9.994999999999999</v>
      </c>
      <c r="AM352" t="n">
        <v>9.981999999999999</v>
      </c>
      <c r="AN352" t="n">
        <v>12.854</v>
      </c>
      <c r="AO352" t="n">
        <v>11.495</v>
      </c>
      <c r="AP352" t="n">
        <v>10.786</v>
      </c>
      <c r="AQ352" t="n">
        <v>8.103999999999999</v>
      </c>
      <c r="AR352" t="n">
        <v>8.789</v>
      </c>
      <c r="AS352" t="n">
        <v>9.239000000000001</v>
      </c>
      <c r="AT352" t="n">
        <v>13.402</v>
      </c>
      <c r="AU352" t="n">
        <v>11.909</v>
      </c>
      <c r="AV352" t="n">
        <v>13.541</v>
      </c>
      <c r="AW352" t="n">
        <v>15.856</v>
      </c>
      <c r="AX352" t="n">
        <v>16.31</v>
      </c>
      <c r="AY352" t="n">
        <v>16.683</v>
      </c>
      <c r="AZ352" t="n">
        <v>20.899</v>
      </c>
      <c r="BA352" t="n">
        <v>19.076</v>
      </c>
      <c r="BB352" t="n">
        <v>13.594</v>
      </c>
      <c r="BC352" t="n">
        <v>21.547</v>
      </c>
      <c r="BD352" t="n">
        <v>19.535</v>
      </c>
      <c r="BE352" t="n">
        <v>20.446</v>
      </c>
      <c r="BF352" t="n">
        <v>21.859</v>
      </c>
      <c r="BG352" t="n">
        <v>22.018</v>
      </c>
      <c r="BH352" t="n">
        <v>24.745</v>
      </c>
      <c r="BI352" t="n">
        <v>20.628</v>
      </c>
      <c r="BJ352" t="n">
        <v>21.762</v>
      </c>
      <c r="BK352" t="n">
        <v>19.33</v>
      </c>
      <c r="BL352" t="n">
        <v>24.415</v>
      </c>
      <c r="BM352" t="n">
        <v>24.266</v>
      </c>
      <c r="BN352" t="n">
        <v>28.755</v>
      </c>
      <c r="BO352" t="n">
        <v>24.7</v>
      </c>
      <c r="BP352" t="n">
        <v>10.178</v>
      </c>
      <c r="BQ352" t="n">
        <v>10.283</v>
      </c>
      <c r="BR352" t="n">
        <v>8.401999999999999</v>
      </c>
      <c r="BS352" t="n">
        <v>9.103999999999999</v>
      </c>
      <c r="BT352" t="n">
        <v>8.590999999999999</v>
      </c>
      <c r="BU352" t="n">
        <v>9.172000000000001</v>
      </c>
      <c r="BV352" t="n">
        <v>7.032</v>
      </c>
    </row>
    <row r="353">
      <c r="A353" t="inlineStr">
        <is>
          <t>Macolor macularis</t>
        </is>
      </c>
      <c r="B353" t="inlineStr">
        <is>
          <t>Midnight snapper</t>
        </is>
      </c>
      <c r="C353" t="inlineStr">
        <is>
          <t>Medium reef assoc. fish (30 - 89 cm)</t>
        </is>
      </c>
      <c r="D353" t="inlineStr">
        <is>
          <t>Perch-likes</t>
        </is>
      </c>
      <c r="E353" t="n">
        <v>2.371</v>
      </c>
      <c r="F353" t="n">
        <v>2.4</v>
      </c>
      <c r="G353" t="n">
        <v>2.4</v>
      </c>
      <c r="H353" t="n">
        <v>2.429</v>
      </c>
      <c r="I353" t="n">
        <v>2.458</v>
      </c>
      <c r="J353" t="n">
        <v>2.487</v>
      </c>
      <c r="K353" t="n">
        <v>2.516</v>
      </c>
      <c r="L353" t="n">
        <v>2.545</v>
      </c>
      <c r="M353" t="n">
        <v>2.573</v>
      </c>
      <c r="N353" t="n">
        <v>2.602</v>
      </c>
      <c r="O353" t="n">
        <v>2.754</v>
      </c>
      <c r="P353" t="n">
        <v>2.811</v>
      </c>
      <c r="Q353" t="n">
        <v>2.869</v>
      </c>
      <c r="R353" t="n">
        <v>2.943</v>
      </c>
      <c r="S353" t="n">
        <v>3.003</v>
      </c>
      <c r="T353" t="n">
        <v>3.075</v>
      </c>
      <c r="U353" t="n">
        <v>3.14</v>
      </c>
      <c r="V353" t="n">
        <v>3.218</v>
      </c>
      <c r="W353" t="n">
        <v>3.283</v>
      </c>
      <c r="X353" t="n">
        <v>7.645</v>
      </c>
      <c r="Y353" t="n">
        <v>3.61</v>
      </c>
      <c r="Z353" t="n">
        <v>4.238</v>
      </c>
      <c r="AA353" t="n">
        <v>8.455</v>
      </c>
      <c r="AB353" t="n">
        <v>5.764</v>
      </c>
      <c r="AC353" t="n">
        <v>6.141</v>
      </c>
      <c r="AD353" t="n">
        <v>6.501</v>
      </c>
      <c r="AE353" t="n">
        <v>7.848</v>
      </c>
      <c r="AF353" t="n">
        <v>8.317</v>
      </c>
      <c r="AG353" t="n">
        <v>9.750999999999999</v>
      </c>
      <c r="AH353" t="n">
        <v>9.941000000000001</v>
      </c>
      <c r="AI353" t="n">
        <v>10.099</v>
      </c>
      <c r="AJ353" t="n">
        <v>11.173</v>
      </c>
      <c r="AK353" t="n">
        <v>12.976</v>
      </c>
      <c r="AL353" t="n">
        <v>11.268</v>
      </c>
      <c r="AM353" t="n">
        <v>11.252</v>
      </c>
      <c r="AN353" t="n">
        <v>14.491</v>
      </c>
      <c r="AO353" t="n">
        <v>12.959</v>
      </c>
      <c r="AP353" t="n">
        <v>12.16</v>
      </c>
      <c r="AQ353" t="n">
        <v>9.135999999999999</v>
      </c>
      <c r="AR353" t="n">
        <v>9.907</v>
      </c>
      <c r="AS353" t="n">
        <v>10.415</v>
      </c>
      <c r="AT353" t="n">
        <v>15.108</v>
      </c>
      <c r="AU353" t="n">
        <v>13.425</v>
      </c>
      <c r="AV353" t="n">
        <v>15.265</v>
      </c>
      <c r="AW353" t="n">
        <v>17.875</v>
      </c>
      <c r="AX353" t="n">
        <v>18.386</v>
      </c>
      <c r="AY353" t="n">
        <v>18.807</v>
      </c>
      <c r="AZ353" t="n">
        <v>23.56</v>
      </c>
      <c r="BA353" t="n">
        <v>21.504</v>
      </c>
      <c r="BB353" t="n">
        <v>15.325</v>
      </c>
      <c r="BC353" t="n">
        <v>24.29</v>
      </c>
      <c r="BD353" t="n">
        <v>22.022</v>
      </c>
      <c r="BE353" t="n">
        <v>23.048</v>
      </c>
      <c r="BF353" t="n">
        <v>24.642</v>
      </c>
      <c r="BG353" t="n">
        <v>24.821</v>
      </c>
      <c r="BH353" t="n">
        <v>27.895</v>
      </c>
      <c r="BI353" t="n">
        <v>23.254</v>
      </c>
      <c r="BJ353" t="n">
        <v>24.532</v>
      </c>
      <c r="BK353" t="n">
        <v>21.791</v>
      </c>
      <c r="BL353" t="n">
        <v>27.523</v>
      </c>
      <c r="BM353" t="n">
        <v>6.97</v>
      </c>
      <c r="BN353" t="n">
        <v>0</v>
      </c>
      <c r="BO353" t="n">
        <v>0</v>
      </c>
      <c r="BP353" t="n">
        <v>0</v>
      </c>
      <c r="BQ353" t="n">
        <v>0</v>
      </c>
      <c r="BR353" t="n">
        <v>0</v>
      </c>
      <c r="BS353" t="n">
        <v>0</v>
      </c>
      <c r="BT353" t="n">
        <v>0</v>
      </c>
      <c r="BU353" t="n">
        <v>0</v>
      </c>
      <c r="BV353" t="n">
        <v>0</v>
      </c>
    </row>
    <row r="354">
      <c r="A354" t="inlineStr">
        <is>
          <t>Sillago</t>
        </is>
      </c>
      <c r="B354" t="inlineStr">
        <is>
          <t>Smelt-whitings</t>
        </is>
      </c>
      <c r="C354" t="inlineStr">
        <is>
          <t>Medium demersals (30 - 89 cm)</t>
        </is>
      </c>
      <c r="D354" t="inlineStr">
        <is>
          <t>Perch-likes</t>
        </is>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3.919</v>
      </c>
      <c r="AD354" t="n">
        <v>7.895</v>
      </c>
      <c r="AE354" t="n">
        <v>1.455</v>
      </c>
      <c r="AF354" t="n">
        <v>3.043</v>
      </c>
      <c r="AG354" t="n">
        <v>5.825</v>
      </c>
      <c r="AH354" t="n">
        <v>2.609</v>
      </c>
      <c r="AI354" t="n">
        <v>3.118</v>
      </c>
      <c r="AJ354" t="n">
        <v>3.415</v>
      </c>
      <c r="AK354" t="n">
        <v>1.19</v>
      </c>
      <c r="AL354" t="n">
        <v>1.674</v>
      </c>
      <c r="AM354" t="n">
        <v>1.747</v>
      </c>
      <c r="AN354" t="n">
        <v>5.695</v>
      </c>
      <c r="AO354" t="n">
        <v>6.655</v>
      </c>
      <c r="AP354" t="n">
        <v>6.418</v>
      </c>
      <c r="AQ354" t="n">
        <v>8.112</v>
      </c>
      <c r="AR354" t="n">
        <v>6.108</v>
      </c>
      <c r="AS354" t="n">
        <v>9.021000000000001</v>
      </c>
      <c r="AT354" t="n">
        <v>5.865</v>
      </c>
      <c r="AU354" t="n">
        <v>5.631</v>
      </c>
      <c r="AV354" t="n">
        <v>6.297</v>
      </c>
      <c r="AW354" t="n">
        <v>6.66</v>
      </c>
      <c r="AX354" t="n">
        <v>12.141</v>
      </c>
      <c r="AY354" t="n">
        <v>9.541</v>
      </c>
      <c r="AZ354" t="n">
        <v>11.935</v>
      </c>
      <c r="BA354" t="n">
        <v>11.545</v>
      </c>
      <c r="BB354" t="n">
        <v>24.01</v>
      </c>
      <c r="BC354" t="n">
        <v>22.34</v>
      </c>
      <c r="BD354" t="n">
        <v>28.226</v>
      </c>
      <c r="BE354" t="n">
        <v>35.414</v>
      </c>
      <c r="BF354" t="n">
        <v>43.357</v>
      </c>
      <c r="BG354" t="n">
        <v>34.439</v>
      </c>
      <c r="BH354" t="n">
        <v>40.908</v>
      </c>
      <c r="BI354" t="n">
        <v>47.573</v>
      </c>
      <c r="BJ354" t="n">
        <v>55.949</v>
      </c>
      <c r="BK354" t="n">
        <v>22.566</v>
      </c>
      <c r="BL354" t="n">
        <v>15.383</v>
      </c>
      <c r="BM354" t="n">
        <v>15.274</v>
      </c>
      <c r="BN354" t="n">
        <v>50.839</v>
      </c>
      <c r="BO354" t="n">
        <v>9.576000000000001</v>
      </c>
      <c r="BP354" t="n">
        <v>10.805</v>
      </c>
      <c r="BQ354" t="n">
        <v>17.741</v>
      </c>
      <c r="BR354" t="n">
        <v>15.173</v>
      </c>
      <c r="BS354" t="n">
        <v>1.571</v>
      </c>
      <c r="BT354" t="n">
        <v>2.143</v>
      </c>
      <c r="BU354" t="n">
        <v>2.143</v>
      </c>
      <c r="BV354" t="n">
        <v>2.143</v>
      </c>
    </row>
    <row r="355">
      <c r="A355" t="inlineStr">
        <is>
          <t>Rhincodon typus</t>
        </is>
      </c>
      <c r="B355" t="inlineStr">
        <is>
          <t>Whale shark</t>
        </is>
      </c>
      <c r="C355" t="inlineStr">
        <is>
          <t>Large sharks (&gt;=90 cm)</t>
        </is>
      </c>
      <c r="D355" t="inlineStr">
        <is>
          <t>Sharks &amp; rays</t>
        </is>
      </c>
      <c r="E355" t="n">
        <v>1.968</v>
      </c>
      <c r="F355" t="n">
        <v>1.926</v>
      </c>
      <c r="G355" t="n">
        <v>1.884</v>
      </c>
      <c r="H355" t="n">
        <v>1.842</v>
      </c>
      <c r="I355" t="n">
        <v>1.8</v>
      </c>
      <c r="J355" t="n">
        <v>1.759</v>
      </c>
      <c r="K355" t="n">
        <v>1.717</v>
      </c>
      <c r="L355" t="n">
        <v>1.675</v>
      </c>
      <c r="M355" t="n">
        <v>1.633</v>
      </c>
      <c r="N355" t="n">
        <v>1.592</v>
      </c>
      <c r="O355" t="n">
        <v>1.55</v>
      </c>
      <c r="P355" t="n">
        <v>1.508</v>
      </c>
      <c r="Q355" t="n">
        <v>1.466</v>
      </c>
      <c r="R355" t="n">
        <v>1.424</v>
      </c>
      <c r="S355" t="n">
        <v>1.385</v>
      </c>
      <c r="T355" t="n">
        <v>1.346</v>
      </c>
      <c r="U355" t="n">
        <v>1.308</v>
      </c>
      <c r="V355" t="n">
        <v>1.269</v>
      </c>
      <c r="W355" t="n">
        <v>1.23</v>
      </c>
      <c r="X355" t="n">
        <v>1.192</v>
      </c>
      <c r="Y355" t="n">
        <v>13.37</v>
      </c>
      <c r="Z355" t="n">
        <v>13.972</v>
      </c>
      <c r="AA355" t="n">
        <v>16.973</v>
      </c>
      <c r="AB355" t="n">
        <v>21.964</v>
      </c>
      <c r="AC355" t="n">
        <v>25.033</v>
      </c>
      <c r="AD355" t="n">
        <v>23.772</v>
      </c>
      <c r="AE355" t="n">
        <v>21.033</v>
      </c>
      <c r="AF355" t="n">
        <v>27.323</v>
      </c>
      <c r="AG355" t="n">
        <v>6.058</v>
      </c>
      <c r="AH355" t="n">
        <v>10.105</v>
      </c>
      <c r="AI355" t="n">
        <v>7.511</v>
      </c>
      <c r="AJ355" t="n">
        <v>3.082</v>
      </c>
      <c r="AK355" t="n">
        <v>3.301</v>
      </c>
      <c r="AL355" t="n">
        <v>4.832</v>
      </c>
      <c r="AM355" t="n">
        <v>4.814</v>
      </c>
      <c r="AN355" t="n">
        <v>4.468</v>
      </c>
      <c r="AO355" t="n">
        <v>5.41</v>
      </c>
      <c r="AP355" t="n">
        <v>4.589</v>
      </c>
      <c r="AQ355" t="n">
        <v>4.1</v>
      </c>
      <c r="AR355" t="n">
        <v>4.136</v>
      </c>
      <c r="AS355" t="n">
        <v>2.408</v>
      </c>
      <c r="AT355" t="n">
        <v>49.861</v>
      </c>
      <c r="AU355" t="n">
        <v>41.854</v>
      </c>
      <c r="AV355" t="n">
        <v>22.869</v>
      </c>
      <c r="AW355" t="n">
        <v>27.978</v>
      </c>
      <c r="AX355" t="n">
        <v>9.917999999999999</v>
      </c>
      <c r="AY355" t="n">
        <v>10.733</v>
      </c>
      <c r="AZ355" t="n">
        <v>12.734</v>
      </c>
      <c r="BA355" t="n">
        <v>19.912</v>
      </c>
      <c r="BB355" t="n">
        <v>21.115</v>
      </c>
      <c r="BC355" t="n">
        <v>18.538</v>
      </c>
      <c r="BD355" t="n">
        <v>16.4</v>
      </c>
      <c r="BE355" t="n">
        <v>13.721</v>
      </c>
      <c r="BF355" t="n">
        <v>14.001</v>
      </c>
      <c r="BG355" t="n">
        <v>12.843</v>
      </c>
      <c r="BH355" t="n">
        <v>9.978999999999999</v>
      </c>
      <c r="BI355" t="n">
        <v>7.839</v>
      </c>
      <c r="BJ355" t="n">
        <v>4.988</v>
      </c>
      <c r="BK355" t="n">
        <v>4.054</v>
      </c>
      <c r="BL355" t="n">
        <v>4.099</v>
      </c>
      <c r="BM355" t="n">
        <v>2.625</v>
      </c>
      <c r="BN355" t="n">
        <v>2.804</v>
      </c>
      <c r="BO355" t="n">
        <v>3.69</v>
      </c>
      <c r="BP355" t="n">
        <v>2.696</v>
      </c>
      <c r="BQ355" t="n">
        <v>4.264</v>
      </c>
      <c r="BR355" t="n">
        <v>5.828</v>
      </c>
      <c r="BS355" t="n">
        <v>1.56</v>
      </c>
      <c r="BT355" t="n">
        <v>3.118</v>
      </c>
      <c r="BU355" t="n">
        <v>2.764</v>
      </c>
      <c r="BV355" t="n">
        <v>3.593</v>
      </c>
    </row>
    <row r="356">
      <c r="A356" t="inlineStr">
        <is>
          <t>Penaeus indicus</t>
        </is>
      </c>
      <c r="B356" t="inlineStr">
        <is>
          <t>Indian white prawn</t>
        </is>
      </c>
      <c r="C356" t="inlineStr">
        <is>
          <t>Shrimps</t>
        </is>
      </c>
      <c r="D356" t="inlineStr">
        <is>
          <t>Crustaceans</t>
        </is>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86.057</v>
      </c>
      <c r="AO356" t="n">
        <v>97.774</v>
      </c>
      <c r="AP356" t="n">
        <v>74.607</v>
      </c>
      <c r="AQ356" t="n">
        <v>71.43600000000001</v>
      </c>
      <c r="AR356" t="n">
        <v>92.33199999999999</v>
      </c>
      <c r="AS356" t="n">
        <v>65.90000000000001</v>
      </c>
      <c r="AT356" t="n">
        <v>69.877</v>
      </c>
      <c r="AU356" t="n">
        <v>0</v>
      </c>
      <c r="AV356" t="n">
        <v>0</v>
      </c>
      <c r="AW356" t="n">
        <v>0</v>
      </c>
      <c r="AX356" t="n">
        <v>0</v>
      </c>
      <c r="AY356" t="n">
        <v>0</v>
      </c>
      <c r="AZ356" t="n">
        <v>0</v>
      </c>
      <c r="BA356" t="n">
        <v>0</v>
      </c>
      <c r="BB356" t="n">
        <v>0</v>
      </c>
      <c r="BC356" t="n">
        <v>0</v>
      </c>
      <c r="BD356" t="n">
        <v>0</v>
      </c>
      <c r="BE356" t="n">
        <v>0</v>
      </c>
      <c r="BF356" t="n">
        <v>0</v>
      </c>
      <c r="BG356" t="n">
        <v>0</v>
      </c>
      <c r="BH356" t="n">
        <v>15.455</v>
      </c>
      <c r="BI356" t="n">
        <v>0</v>
      </c>
      <c r="BJ356" t="n">
        <v>7.513</v>
      </c>
      <c r="BK356" t="n">
        <v>0</v>
      </c>
      <c r="BL356" t="n">
        <v>0</v>
      </c>
      <c r="BM356" t="n">
        <v>0</v>
      </c>
      <c r="BN356" t="n">
        <v>0</v>
      </c>
      <c r="BO356" t="n">
        <v>0</v>
      </c>
      <c r="BP356" t="n">
        <v>0</v>
      </c>
      <c r="BQ356" t="n">
        <v>0</v>
      </c>
      <c r="BR356" t="n">
        <v>0</v>
      </c>
      <c r="BS356" t="n">
        <v>0</v>
      </c>
      <c r="BT356" t="n">
        <v>0</v>
      </c>
      <c r="BU356" t="n">
        <v>0</v>
      </c>
      <c r="BV356" t="n">
        <v>0</v>
      </c>
    </row>
    <row r="357">
      <c r="A357" t="inlineStr">
        <is>
          <t>Nemipterus randalli</t>
        </is>
      </c>
      <c r="B357" t="inlineStr">
        <is>
          <t>Randall's threadfin bream</t>
        </is>
      </c>
      <c r="C357" t="inlineStr">
        <is>
          <t>Small demersals (&lt;30 cm)</t>
        </is>
      </c>
      <c r="D357" t="inlineStr">
        <is>
          <t>Perch-likes</t>
        </is>
      </c>
      <c r="E357" t="n">
        <v>1.313</v>
      </c>
      <c r="F357" t="n">
        <v>1.313</v>
      </c>
      <c r="G357" t="n">
        <v>2.188</v>
      </c>
      <c r="H357" t="n">
        <v>1.75</v>
      </c>
      <c r="I357" t="n">
        <v>2.188</v>
      </c>
      <c r="J357" t="n">
        <v>2.188</v>
      </c>
      <c r="K357" t="n">
        <v>2.407</v>
      </c>
      <c r="L357" t="n">
        <v>3.5</v>
      </c>
      <c r="M357" t="n">
        <v>3.5</v>
      </c>
      <c r="N357" t="n">
        <v>4.376</v>
      </c>
      <c r="O357" t="n">
        <v>4.376</v>
      </c>
      <c r="P357" t="n">
        <v>9.147</v>
      </c>
      <c r="Q357" t="n">
        <v>10.939</v>
      </c>
      <c r="R357" t="n">
        <v>11.747</v>
      </c>
      <c r="S357" t="n">
        <v>9.333</v>
      </c>
      <c r="T357" t="n">
        <v>7.835</v>
      </c>
      <c r="U357" t="n">
        <v>8.122999999999999</v>
      </c>
      <c r="V357" t="n">
        <v>5.581</v>
      </c>
      <c r="W357" t="n">
        <v>3.943</v>
      </c>
      <c r="X357" t="n">
        <v>3.734</v>
      </c>
      <c r="Y357" t="n">
        <v>3.881</v>
      </c>
      <c r="Z357" t="n">
        <v>5.052</v>
      </c>
      <c r="AA357" t="n">
        <v>5.087</v>
      </c>
      <c r="AB357" t="n">
        <v>6.107</v>
      </c>
      <c r="AC357" t="n">
        <v>6.17</v>
      </c>
      <c r="AD357" t="n">
        <v>4.715</v>
      </c>
      <c r="AE357" t="n">
        <v>4.648</v>
      </c>
      <c r="AF357" t="n">
        <v>4.311</v>
      </c>
      <c r="AG357" t="n">
        <v>7.11</v>
      </c>
      <c r="AH357" t="n">
        <v>8.725</v>
      </c>
      <c r="AI357" t="n">
        <v>10.326</v>
      </c>
      <c r="AJ357" t="n">
        <v>11.787</v>
      </c>
      <c r="AK357" t="n">
        <v>10.845</v>
      </c>
      <c r="AL357" t="n">
        <v>13.608</v>
      </c>
      <c r="AM357" t="n">
        <v>14.41</v>
      </c>
      <c r="AN357" t="n">
        <v>12.438</v>
      </c>
      <c r="AO357" t="n">
        <v>12.658</v>
      </c>
      <c r="AP357" t="n">
        <v>10.217</v>
      </c>
      <c r="AQ357" t="n">
        <v>8.956</v>
      </c>
      <c r="AR357" t="n">
        <v>9.237</v>
      </c>
      <c r="AS357" t="n">
        <v>6.948</v>
      </c>
      <c r="AT357" t="n">
        <v>6.492</v>
      </c>
      <c r="AU357" t="n">
        <v>9.988</v>
      </c>
      <c r="AV357" t="n">
        <v>10.109</v>
      </c>
      <c r="AW357" t="n">
        <v>14.636</v>
      </c>
      <c r="AX357" t="n">
        <v>16.248</v>
      </c>
      <c r="AY357" t="n">
        <v>17.22</v>
      </c>
      <c r="AZ357" t="n">
        <v>17.171</v>
      </c>
      <c r="BA357" t="n">
        <v>19.71</v>
      </c>
      <c r="BB357" t="n">
        <v>18.88</v>
      </c>
      <c r="BC357" t="n">
        <v>0</v>
      </c>
      <c r="BD357" t="n">
        <v>0</v>
      </c>
      <c r="BE357" t="n">
        <v>23.151</v>
      </c>
      <c r="BF357" t="n">
        <v>57.138</v>
      </c>
      <c r="BG357" t="n">
        <v>26.571</v>
      </c>
      <c r="BH357" t="n">
        <v>0</v>
      </c>
      <c r="BI357" t="n">
        <v>4.391</v>
      </c>
      <c r="BJ357" t="n">
        <v>5.403</v>
      </c>
      <c r="BK357" t="n">
        <v>0</v>
      </c>
      <c r="BL357" t="n">
        <v>0</v>
      </c>
      <c r="BM357" t="n">
        <v>0</v>
      </c>
      <c r="BN357" t="n">
        <v>0</v>
      </c>
      <c r="BO357" t="n">
        <v>0</v>
      </c>
      <c r="BP357" t="n">
        <v>0</v>
      </c>
      <c r="BQ357" t="n">
        <v>0</v>
      </c>
      <c r="BR357" t="n">
        <v>0</v>
      </c>
      <c r="BS357" t="n">
        <v>0</v>
      </c>
      <c r="BT357" t="n">
        <v>0</v>
      </c>
      <c r="BU357" t="n">
        <v>0</v>
      </c>
      <c r="BV357" t="n">
        <v>0</v>
      </c>
    </row>
    <row r="358">
      <c r="A358" t="inlineStr">
        <is>
          <t>Aethaloperca rogaa</t>
        </is>
      </c>
      <c r="B358" t="inlineStr">
        <is>
          <t>Redmouth grouper</t>
        </is>
      </c>
      <c r="C358" t="inlineStr">
        <is>
          <t>Medium reef assoc. fish (30 - 89 cm)</t>
        </is>
      </c>
      <c r="D358" t="inlineStr">
        <is>
          <t>Perch-likes</t>
        </is>
      </c>
      <c r="E358" t="n">
        <v>0.484</v>
      </c>
      <c r="F358" t="n">
        <v>0.484</v>
      </c>
      <c r="G358" t="n">
        <v>0.8070000000000001</v>
      </c>
      <c r="H358" t="n">
        <v>0.646</v>
      </c>
      <c r="I358" t="n">
        <v>0.8070000000000001</v>
      </c>
      <c r="J358" t="n">
        <v>0.8070000000000001</v>
      </c>
      <c r="K358" t="n">
        <v>0.888</v>
      </c>
      <c r="L358" t="n">
        <v>1.291</v>
      </c>
      <c r="M358" t="n">
        <v>1.291</v>
      </c>
      <c r="N358" t="n">
        <v>1.614</v>
      </c>
      <c r="O358" t="n">
        <v>1.614</v>
      </c>
      <c r="P358" t="n">
        <v>3.374</v>
      </c>
      <c r="Q358" t="n">
        <v>4.035</v>
      </c>
      <c r="R358" t="n">
        <v>4.333</v>
      </c>
      <c r="S358" t="n">
        <v>3.443</v>
      </c>
      <c r="T358" t="n">
        <v>2.89</v>
      </c>
      <c r="U358" t="n">
        <v>2.996</v>
      </c>
      <c r="V358" t="n">
        <v>2.059</v>
      </c>
      <c r="W358" t="n">
        <v>1.455</v>
      </c>
      <c r="X358" t="n">
        <v>1.377</v>
      </c>
      <c r="Y358" t="n">
        <v>1.432</v>
      </c>
      <c r="Z358" t="n">
        <v>1.864</v>
      </c>
      <c r="AA358" t="n">
        <v>1.877</v>
      </c>
      <c r="AB358" t="n">
        <v>2.253</v>
      </c>
      <c r="AC358" t="n">
        <v>2.276</v>
      </c>
      <c r="AD358" t="n">
        <v>1.739</v>
      </c>
      <c r="AE358" t="n">
        <v>1.714</v>
      </c>
      <c r="AF358" t="n">
        <v>1.59</v>
      </c>
      <c r="AG358" t="n">
        <v>2.623</v>
      </c>
      <c r="AH358" t="n">
        <v>3.218</v>
      </c>
      <c r="AI358" t="n">
        <v>3.809</v>
      </c>
      <c r="AJ358" t="n">
        <v>4.348</v>
      </c>
      <c r="AK358" t="n">
        <v>4.001</v>
      </c>
      <c r="AL358" t="n">
        <v>5.02</v>
      </c>
      <c r="AM358" t="n">
        <v>5.316</v>
      </c>
      <c r="AN358" t="n">
        <v>4.588</v>
      </c>
      <c r="AO358" t="n">
        <v>4.669</v>
      </c>
      <c r="AP358" t="n">
        <v>3.769</v>
      </c>
      <c r="AQ358" t="n">
        <v>3.304</v>
      </c>
      <c r="AR358" t="n">
        <v>3.407</v>
      </c>
      <c r="AS358" t="n">
        <v>2.563</v>
      </c>
      <c r="AT358" t="n">
        <v>2.395</v>
      </c>
      <c r="AU358" t="n">
        <v>3.684</v>
      </c>
      <c r="AV358" t="n">
        <v>3.729</v>
      </c>
      <c r="AW358" t="n">
        <v>5.583</v>
      </c>
      <c r="AX358" t="n">
        <v>6.777</v>
      </c>
      <c r="AY358" t="n">
        <v>7.097</v>
      </c>
      <c r="AZ358" t="n">
        <v>7.356</v>
      </c>
      <c r="BA358" t="n">
        <v>7.677</v>
      </c>
      <c r="BB358" t="n">
        <v>7.54</v>
      </c>
      <c r="BC358" t="n">
        <v>7.198</v>
      </c>
      <c r="BD358" t="n">
        <v>12.663</v>
      </c>
      <c r="BE358" t="n">
        <v>10.411</v>
      </c>
      <c r="BF358" t="n">
        <v>7.504</v>
      </c>
      <c r="BG358" t="n">
        <v>13.183</v>
      </c>
      <c r="BH358" t="n">
        <v>21.78</v>
      </c>
      <c r="BI358" t="n">
        <v>26.537</v>
      </c>
      <c r="BJ358" t="n">
        <v>13.735</v>
      </c>
      <c r="BK358" t="n">
        <v>18.003</v>
      </c>
      <c r="BL358" t="n">
        <v>21.58</v>
      </c>
      <c r="BM358" t="n">
        <v>20.378</v>
      </c>
      <c r="BN358" t="n">
        <v>21.178</v>
      </c>
      <c r="BO358" t="n">
        <v>21.344</v>
      </c>
      <c r="BP358" t="n">
        <v>23.4</v>
      </c>
      <c r="BQ358" t="n">
        <v>22.348</v>
      </c>
      <c r="BR358" t="n">
        <v>22.512</v>
      </c>
      <c r="BS358" t="n">
        <v>22.414</v>
      </c>
      <c r="BT358" t="n">
        <v>22.246</v>
      </c>
      <c r="BU358" t="n">
        <v>19.328</v>
      </c>
      <c r="BV358" t="n">
        <v>19.131</v>
      </c>
    </row>
    <row r="359">
      <c r="A359" t="inlineStr">
        <is>
          <t>Plotosidae</t>
        </is>
      </c>
      <c r="B359" t="inlineStr">
        <is>
          <t>Eeltail catfishes</t>
        </is>
      </c>
      <c r="C359" t="inlineStr">
        <is>
          <t>Medium reef assoc. fish (30 - 89 cm)</t>
        </is>
      </c>
      <c r="D359" t="inlineStr">
        <is>
          <t>Other fishes &amp; inverts</t>
        </is>
      </c>
      <c r="E359" t="n">
        <v>0.018</v>
      </c>
      <c r="F359" t="n">
        <v>0.02</v>
      </c>
      <c r="G359" t="n">
        <v>0.022</v>
      </c>
      <c r="H359" t="n">
        <v>0.024</v>
      </c>
      <c r="I359" t="n">
        <v>0.025</v>
      </c>
      <c r="J359" t="n">
        <v>0.026</v>
      </c>
      <c r="K359" t="n">
        <v>0.028</v>
      </c>
      <c r="L359" t="n">
        <v>0.029</v>
      </c>
      <c r="M359" t="n">
        <v>0.031</v>
      </c>
      <c r="N359" t="n">
        <v>0.032</v>
      </c>
      <c r="O359" t="n">
        <v>0.035</v>
      </c>
      <c r="P359" t="n">
        <v>0.038</v>
      </c>
      <c r="Q359" t="n">
        <v>0.041</v>
      </c>
      <c r="R359" t="n">
        <v>0.045</v>
      </c>
      <c r="S359" t="n">
        <v>0.05</v>
      </c>
      <c r="T359" t="n">
        <v>0.054</v>
      </c>
      <c r="U359" t="n">
        <v>0.059</v>
      </c>
      <c r="V359" t="n">
        <v>0.063</v>
      </c>
      <c r="W359" t="n">
        <v>0.06900000000000001</v>
      </c>
      <c r="X359" t="n">
        <v>0.074</v>
      </c>
      <c r="Y359" t="n">
        <v>6.745</v>
      </c>
      <c r="Z359" t="n">
        <v>6.752</v>
      </c>
      <c r="AA359" t="n">
        <v>10.092</v>
      </c>
      <c r="AB359" t="n">
        <v>10.101</v>
      </c>
      <c r="AC359" t="n">
        <v>10.109</v>
      </c>
      <c r="AD359" t="n">
        <v>10.117</v>
      </c>
      <c r="AE359" t="n">
        <v>10.124</v>
      </c>
      <c r="AF359" t="n">
        <v>10.13</v>
      </c>
      <c r="AG359" t="n">
        <v>10.137</v>
      </c>
      <c r="AH359" t="n">
        <v>10.147</v>
      </c>
      <c r="AI359" t="n">
        <v>11.347</v>
      </c>
      <c r="AJ359" t="n">
        <v>14.204</v>
      </c>
      <c r="AK359" t="n">
        <v>13.119</v>
      </c>
      <c r="AL359" t="n">
        <v>14.151</v>
      </c>
      <c r="AM359" t="n">
        <v>21.442</v>
      </c>
      <c r="AN359" t="n">
        <v>16.707</v>
      </c>
      <c r="AO359" t="n">
        <v>13.221</v>
      </c>
      <c r="AP359" t="n">
        <v>17.638</v>
      </c>
      <c r="AQ359" t="n">
        <v>20.222</v>
      </c>
      <c r="AR359" t="n">
        <v>27.93</v>
      </c>
      <c r="AS359" t="n">
        <v>38.096</v>
      </c>
      <c r="AT359" t="n">
        <v>53.87</v>
      </c>
      <c r="AU359" t="n">
        <v>53.456</v>
      </c>
      <c r="AV359" t="n">
        <v>47.476</v>
      </c>
      <c r="AW359" t="n">
        <v>0.658</v>
      </c>
      <c r="AX359" t="n">
        <v>0.665</v>
      </c>
      <c r="AY359" t="n">
        <v>0.701</v>
      </c>
      <c r="AZ359" t="n">
        <v>0.894</v>
      </c>
      <c r="BA359" t="n">
        <v>0.828</v>
      </c>
      <c r="BB359" t="n">
        <v>0.747</v>
      </c>
      <c r="BC359" t="n">
        <v>0.736</v>
      </c>
      <c r="BD359" t="n">
        <v>0.735</v>
      </c>
      <c r="BE359" t="n">
        <v>0.668</v>
      </c>
      <c r="BF359" t="n">
        <v>1.228</v>
      </c>
      <c r="BG359" t="n">
        <v>0.772</v>
      </c>
      <c r="BH359" t="n">
        <v>1.497</v>
      </c>
      <c r="BI359" t="n">
        <v>1.189</v>
      </c>
      <c r="BJ359" t="n">
        <v>1.766</v>
      </c>
      <c r="BK359" t="n">
        <v>1.244</v>
      </c>
      <c r="BL359" t="n">
        <v>1.639</v>
      </c>
      <c r="BM359" t="n">
        <v>1.661</v>
      </c>
      <c r="BN359" t="n">
        <v>2.112</v>
      </c>
      <c r="BO359" t="n">
        <v>1.857</v>
      </c>
      <c r="BP359" t="n">
        <v>2.567</v>
      </c>
      <c r="BQ359" t="n">
        <v>2.627</v>
      </c>
      <c r="BR359" t="n">
        <v>3.639</v>
      </c>
      <c r="BS359" t="n">
        <v>3.487</v>
      </c>
      <c r="BT359" t="n">
        <v>4.974</v>
      </c>
      <c r="BU359" t="n">
        <v>4.974</v>
      </c>
      <c r="BV359" t="n">
        <v>4.974</v>
      </c>
    </row>
    <row r="360">
      <c r="A360" t="inlineStr">
        <is>
          <t>Elagatis bipinnulata</t>
        </is>
      </c>
      <c r="B360" t="inlineStr">
        <is>
          <t>Rainbow runner</t>
        </is>
      </c>
      <c r="C360" t="inlineStr">
        <is>
          <t>Large pelagics (&gt;=90 cm)</t>
        </is>
      </c>
      <c r="D360" t="inlineStr">
        <is>
          <t>Perch-likes</t>
        </is>
      </c>
      <c r="E360" t="n">
        <v>2.526</v>
      </c>
      <c r="F360" t="n">
        <v>2.578</v>
      </c>
      <c r="G360" t="n">
        <v>2.63</v>
      </c>
      <c r="H360" t="n">
        <v>2.684</v>
      </c>
      <c r="I360" t="n">
        <v>2.739</v>
      </c>
      <c r="J360" t="n">
        <v>2.794</v>
      </c>
      <c r="K360" t="n">
        <v>2.852</v>
      </c>
      <c r="L360" t="n">
        <v>2.91</v>
      </c>
      <c r="M360" t="n">
        <v>2.969</v>
      </c>
      <c r="N360" t="n">
        <v>3.03</v>
      </c>
      <c r="O360" t="n">
        <v>3.092</v>
      </c>
      <c r="P360" t="n">
        <v>3.155</v>
      </c>
      <c r="Q360" t="n">
        <v>3.219</v>
      </c>
      <c r="R360" t="n">
        <v>3.285</v>
      </c>
      <c r="S360" t="n">
        <v>3.352</v>
      </c>
      <c r="T360" t="n">
        <v>3.42</v>
      </c>
      <c r="U360" t="n">
        <v>3.49</v>
      </c>
      <c r="V360" t="n">
        <v>3.66</v>
      </c>
      <c r="W360" t="n">
        <v>3.829</v>
      </c>
      <c r="X360" t="n">
        <v>3.999</v>
      </c>
      <c r="Y360" t="n">
        <v>4.169</v>
      </c>
      <c r="Z360" t="n">
        <v>4.338</v>
      </c>
      <c r="AA360" t="n">
        <v>4.508</v>
      </c>
      <c r="AB360" t="n">
        <v>4.677</v>
      </c>
      <c r="AC360" t="n">
        <v>4.847</v>
      </c>
      <c r="AD360" t="n">
        <v>4.631</v>
      </c>
      <c r="AE360" t="n">
        <v>4.776</v>
      </c>
      <c r="AF360" t="n">
        <v>4.921</v>
      </c>
      <c r="AG360" t="n">
        <v>5.065</v>
      </c>
      <c r="AH360" t="n">
        <v>5.209</v>
      </c>
      <c r="AI360" t="n">
        <v>5.351</v>
      </c>
      <c r="AJ360" t="n">
        <v>5.493</v>
      </c>
      <c r="AK360" t="n">
        <v>5.291</v>
      </c>
      <c r="AL360" t="n">
        <v>6.127</v>
      </c>
      <c r="AM360" t="n">
        <v>9.31</v>
      </c>
      <c r="AN360" t="n">
        <v>7.318</v>
      </c>
      <c r="AO360" t="n">
        <v>11.7</v>
      </c>
      <c r="AP360" t="n">
        <v>8.776999999999999</v>
      </c>
      <c r="AQ360" t="n">
        <v>10.806</v>
      </c>
      <c r="AR360" t="n">
        <v>9.013999999999999</v>
      </c>
      <c r="AS360" t="n">
        <v>7.231</v>
      </c>
      <c r="AT360" t="n">
        <v>7.491</v>
      </c>
      <c r="AU360" t="n">
        <v>9.565</v>
      </c>
      <c r="AV360" t="n">
        <v>11.628</v>
      </c>
      <c r="AW360" t="n">
        <v>13.681</v>
      </c>
      <c r="AX360" t="n">
        <v>15.22</v>
      </c>
      <c r="AY360" t="n">
        <v>16.752</v>
      </c>
      <c r="AZ360" t="n">
        <v>18.276</v>
      </c>
      <c r="BA360" t="n">
        <v>19.792</v>
      </c>
      <c r="BB360" t="n">
        <v>20.155</v>
      </c>
      <c r="BC360" t="n">
        <v>21.637</v>
      </c>
      <c r="BD360" t="n">
        <v>19.927</v>
      </c>
      <c r="BE360" t="n">
        <v>18.217</v>
      </c>
      <c r="BF360" t="n">
        <v>16.456</v>
      </c>
      <c r="BG360" t="n">
        <v>14.703</v>
      </c>
      <c r="BH360" t="n">
        <v>12.96</v>
      </c>
      <c r="BI360" t="n">
        <v>10.247</v>
      </c>
      <c r="BJ360" t="n">
        <v>7.549</v>
      </c>
      <c r="BK360" t="n">
        <v>7.614</v>
      </c>
      <c r="BL360" t="n">
        <v>6.722</v>
      </c>
      <c r="BM360" t="n">
        <v>5.819</v>
      </c>
      <c r="BN360" t="n">
        <v>4.952</v>
      </c>
      <c r="BO360" t="n">
        <v>4.084</v>
      </c>
      <c r="BP360" t="n">
        <v>3.217</v>
      </c>
      <c r="BQ360" t="n">
        <v>2.35</v>
      </c>
      <c r="BR360" t="n">
        <v>2.663</v>
      </c>
      <c r="BS360" t="n">
        <v>2.977</v>
      </c>
      <c r="BT360" t="n">
        <v>3.29</v>
      </c>
      <c r="BU360" t="n">
        <v>3.603</v>
      </c>
      <c r="BV360" t="n">
        <v>3.917</v>
      </c>
    </row>
    <row r="361">
      <c r="A361" t="inlineStr">
        <is>
          <t>Malacostraca</t>
        </is>
      </c>
      <c r="B361" t="inlineStr">
        <is>
          <t>Lobsters, crabs, shrimps, krill</t>
        </is>
      </c>
      <c r="C361" t="inlineStr">
        <is>
          <t>Shrimps</t>
        </is>
      </c>
      <c r="D361" t="inlineStr">
        <is>
          <t>Crustaceans</t>
        </is>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0.488</v>
      </c>
      <c r="AO361" t="n">
        <v>0</v>
      </c>
      <c r="AP361" t="n">
        <v>0</v>
      </c>
      <c r="AQ361" t="n">
        <v>0.265</v>
      </c>
      <c r="AR361" t="n">
        <v>0</v>
      </c>
      <c r="AS361" t="n">
        <v>0</v>
      </c>
      <c r="AT361" t="n">
        <v>0</v>
      </c>
      <c r="AU361" t="n">
        <v>0</v>
      </c>
      <c r="AV361" t="n">
        <v>0</v>
      </c>
      <c r="AW361" t="n">
        <v>0</v>
      </c>
      <c r="AX361" t="n">
        <v>0</v>
      </c>
      <c r="AY361" t="n">
        <v>10.118</v>
      </c>
      <c r="AZ361" t="n">
        <v>3.014</v>
      </c>
      <c r="BA361" t="n">
        <v>0</v>
      </c>
      <c r="BB361" t="n">
        <v>2.153</v>
      </c>
      <c r="BC361" t="n">
        <v>0</v>
      </c>
      <c r="BD361" t="n">
        <v>77.71599999999999</v>
      </c>
      <c r="BE361" t="n">
        <v>88.69499999999999</v>
      </c>
      <c r="BF361" t="n">
        <v>103.088</v>
      </c>
      <c r="BG361" t="n">
        <v>65.446</v>
      </c>
      <c r="BH361" t="n">
        <v>22.243</v>
      </c>
      <c r="BI361" t="n">
        <v>13.745</v>
      </c>
      <c r="BJ361" t="n">
        <v>8.018000000000001</v>
      </c>
      <c r="BK361" t="n">
        <v>7.954</v>
      </c>
      <c r="BL361" t="n">
        <v>51.544</v>
      </c>
      <c r="BM361" t="n">
        <v>30.352</v>
      </c>
      <c r="BN361" t="n">
        <v>0</v>
      </c>
      <c r="BO361" t="n">
        <v>0</v>
      </c>
      <c r="BP361" t="n">
        <v>0</v>
      </c>
      <c r="BQ361" t="n">
        <v>0</v>
      </c>
      <c r="BR361" t="n">
        <v>0</v>
      </c>
      <c r="BS361" t="n">
        <v>0</v>
      </c>
      <c r="BT361" t="n">
        <v>0</v>
      </c>
      <c r="BU361" t="n">
        <v>0</v>
      </c>
      <c r="BV361" t="n">
        <v>0</v>
      </c>
    </row>
    <row r="362">
      <c r="A362" t="inlineStr">
        <is>
          <t>Veneridae</t>
        </is>
      </c>
      <c r="B362" t="inlineStr">
        <is>
          <t>Venus clams</t>
        </is>
      </c>
      <c r="C362" t="inlineStr">
        <is>
          <t>Other demersal invertebrates</t>
        </is>
      </c>
      <c r="D362" t="inlineStr">
        <is>
          <t>Molluscs</t>
        </is>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15.633</v>
      </c>
      <c r="AM362" t="n">
        <v>0.004</v>
      </c>
      <c r="AN362" t="n">
        <v>4.457</v>
      </c>
      <c r="AO362" t="n">
        <v>22.09</v>
      </c>
      <c r="AP362" t="n">
        <v>11.352</v>
      </c>
      <c r="AQ362" t="n">
        <v>44.286</v>
      </c>
      <c r="AR362" t="n">
        <v>15.106</v>
      </c>
      <c r="AS362" t="n">
        <v>5.692</v>
      </c>
      <c r="AT362" t="n">
        <v>0.39</v>
      </c>
      <c r="AU362" t="n">
        <v>13.189</v>
      </c>
      <c r="AV362" t="n">
        <v>8.302</v>
      </c>
      <c r="AW362" t="n">
        <v>14.738</v>
      </c>
      <c r="AX362" t="n">
        <v>32.785</v>
      </c>
      <c r="AY362" t="n">
        <v>48.025</v>
      </c>
      <c r="AZ362" t="n">
        <v>30.687</v>
      </c>
      <c r="BA362" t="n">
        <v>14.89</v>
      </c>
      <c r="BB362" t="n">
        <v>73.21899999999999</v>
      </c>
      <c r="BC362" t="n">
        <v>63.493</v>
      </c>
      <c r="BD362" t="n">
        <v>52.254</v>
      </c>
      <c r="BE362" t="n">
        <v>0</v>
      </c>
      <c r="BF362" t="n">
        <v>0.754</v>
      </c>
      <c r="BG362" t="n">
        <v>0.629</v>
      </c>
      <c r="BH362" t="n">
        <v>0</v>
      </c>
      <c r="BI362" t="n">
        <v>0</v>
      </c>
      <c r="BJ362" t="n">
        <v>0</v>
      </c>
      <c r="BK362" t="n">
        <v>4.156</v>
      </c>
      <c r="BL362" t="n">
        <v>4.922</v>
      </c>
      <c r="BM362" t="n">
        <v>3.481</v>
      </c>
      <c r="BN362" t="n">
        <v>0</v>
      </c>
      <c r="BO362" t="n">
        <v>0.001</v>
      </c>
      <c r="BP362" t="n">
        <v>0</v>
      </c>
      <c r="BQ362" t="n">
        <v>0.183</v>
      </c>
      <c r="BR362" t="n">
        <v>0</v>
      </c>
      <c r="BS362" t="n">
        <v>0</v>
      </c>
      <c r="BT362" t="n">
        <v>0.003</v>
      </c>
      <c r="BU362" t="n">
        <v>0.003</v>
      </c>
      <c r="BV362" t="n">
        <v>0.003</v>
      </c>
    </row>
    <row r="363">
      <c r="A363" t="inlineStr">
        <is>
          <t>Haliotidae</t>
        </is>
      </c>
      <c r="B363" t="inlineStr">
        <is>
          <t>Abalones, ear shells</t>
        </is>
      </c>
      <c r="C363" t="inlineStr">
        <is>
          <t>Other demersal invertebrates</t>
        </is>
      </c>
      <c r="D363" t="inlineStr">
        <is>
          <t>Molluscs</t>
        </is>
      </c>
      <c r="E363" t="n">
        <v>4.465</v>
      </c>
      <c r="F363" t="n">
        <v>4.425</v>
      </c>
      <c r="G363" t="n">
        <v>5.022</v>
      </c>
      <c r="H363" t="n">
        <v>5.609</v>
      </c>
      <c r="I363" t="n">
        <v>5.549</v>
      </c>
      <c r="J363" t="n">
        <v>6.733</v>
      </c>
      <c r="K363" t="n">
        <v>6.663</v>
      </c>
      <c r="L363" t="n">
        <v>6.593</v>
      </c>
      <c r="M363" t="n">
        <v>6.544</v>
      </c>
      <c r="N363" t="n">
        <v>7.061</v>
      </c>
      <c r="O363" t="n">
        <v>6.991</v>
      </c>
      <c r="P363" t="n">
        <v>6.912</v>
      </c>
      <c r="Q363" t="n">
        <v>7.399</v>
      </c>
      <c r="R363" t="n">
        <v>7.309</v>
      </c>
      <c r="S363" t="n">
        <v>7.23</v>
      </c>
      <c r="T363" t="n">
        <v>7.687</v>
      </c>
      <c r="U363" t="n">
        <v>8.135</v>
      </c>
      <c r="V363" t="n">
        <v>8.045</v>
      </c>
      <c r="W363" t="n">
        <v>7.946</v>
      </c>
      <c r="X363" t="n">
        <v>8.273999999999999</v>
      </c>
      <c r="Y363" t="n">
        <v>8.612</v>
      </c>
      <c r="Z363" t="n">
        <v>8.92</v>
      </c>
      <c r="AA363" t="n">
        <v>9.228999999999999</v>
      </c>
      <c r="AB363" t="n">
        <v>9.526999999999999</v>
      </c>
      <c r="AC363" t="n">
        <v>9.815</v>
      </c>
      <c r="AD363" t="n">
        <v>10.094</v>
      </c>
      <c r="AE363" t="n">
        <v>9.715999999999999</v>
      </c>
      <c r="AF363" t="n">
        <v>9.348000000000001</v>
      </c>
      <c r="AG363" t="n">
        <v>8.99</v>
      </c>
      <c r="AH363" t="n">
        <v>8.632</v>
      </c>
      <c r="AI363" t="n">
        <v>8.095000000000001</v>
      </c>
      <c r="AJ363" t="n">
        <v>7.548</v>
      </c>
      <c r="AK363" t="n">
        <v>7.757</v>
      </c>
      <c r="AL363" t="n">
        <v>9.109</v>
      </c>
      <c r="AM363" t="n">
        <v>8.493</v>
      </c>
      <c r="AN363" t="n">
        <v>7.329</v>
      </c>
      <c r="AO363" t="n">
        <v>7.319</v>
      </c>
      <c r="AP363" t="n">
        <v>8.92</v>
      </c>
      <c r="AQ363" t="n">
        <v>12.331</v>
      </c>
      <c r="AR363" t="n">
        <v>8.561999999999999</v>
      </c>
      <c r="AS363" t="n">
        <v>8.074999999999999</v>
      </c>
      <c r="AT363" t="n">
        <v>8.214</v>
      </c>
      <c r="AU363" t="n">
        <v>7.598</v>
      </c>
      <c r="AV363" t="n">
        <v>7.091</v>
      </c>
      <c r="AW363" t="n">
        <v>7.309</v>
      </c>
      <c r="AX363" t="n">
        <v>7.996</v>
      </c>
      <c r="AY363" t="n">
        <v>6.524</v>
      </c>
      <c r="AZ363" t="n">
        <v>6.086</v>
      </c>
      <c r="BA363" t="n">
        <v>6.176</v>
      </c>
      <c r="BB363" t="n">
        <v>6.613</v>
      </c>
      <c r="BC363" t="n">
        <v>7.15</v>
      </c>
      <c r="BD363" t="n">
        <v>7.896</v>
      </c>
      <c r="BE363" t="n">
        <v>7.648</v>
      </c>
      <c r="BF363" t="n">
        <v>8.334</v>
      </c>
      <c r="BG363" t="n">
        <v>6.394</v>
      </c>
      <c r="BH363" t="n">
        <v>6.424</v>
      </c>
      <c r="BI363" t="n">
        <v>7.11</v>
      </c>
      <c r="BJ363" t="n">
        <v>6.265</v>
      </c>
      <c r="BK363" t="n">
        <v>0</v>
      </c>
      <c r="BL363" t="n">
        <v>0</v>
      </c>
      <c r="BM363" t="n">
        <v>0</v>
      </c>
      <c r="BN363" t="n">
        <v>17.582</v>
      </c>
      <c r="BO363" t="n">
        <v>6.176</v>
      </c>
      <c r="BP363" t="n">
        <v>0</v>
      </c>
      <c r="BQ363" t="n">
        <v>5.42</v>
      </c>
      <c r="BR363" t="n">
        <v>0</v>
      </c>
      <c r="BS363" t="n">
        <v>0</v>
      </c>
      <c r="BT363" t="n">
        <v>0</v>
      </c>
      <c r="BU363" t="n">
        <v>3.657</v>
      </c>
      <c r="BV363" t="n">
        <v>3.621</v>
      </c>
    </row>
    <row r="364">
      <c r="A364" t="inlineStr">
        <is>
          <t>Spratelloides delicatulus</t>
        </is>
      </c>
      <c r="B364" t="inlineStr">
        <is>
          <t>Delicate round herring</t>
        </is>
      </c>
      <c r="C364" t="inlineStr">
        <is>
          <t>Small reef assoc. fish (&lt;30 cm)</t>
        </is>
      </c>
      <c r="D364" t="inlineStr">
        <is>
          <t>Herring-likes</t>
        </is>
      </c>
      <c r="E364" t="n">
        <v>1.577</v>
      </c>
      <c r="F364" t="n">
        <v>1.577</v>
      </c>
      <c r="G364" t="n">
        <v>1.577</v>
      </c>
      <c r="H364" t="n">
        <v>1.792</v>
      </c>
      <c r="I364" t="n">
        <v>1.792</v>
      </c>
      <c r="J364" t="n">
        <v>1.864</v>
      </c>
      <c r="K364" t="n">
        <v>1.864</v>
      </c>
      <c r="L364" t="n">
        <v>1.864</v>
      </c>
      <c r="M364" t="n">
        <v>1.864</v>
      </c>
      <c r="N364" t="n">
        <v>1.864</v>
      </c>
      <c r="O364" t="n">
        <v>1.577</v>
      </c>
      <c r="P364" t="n">
        <v>1.577</v>
      </c>
      <c r="Q364" t="n">
        <v>1.577</v>
      </c>
      <c r="R364" t="n">
        <v>1.577</v>
      </c>
      <c r="S364" t="n">
        <v>1.577</v>
      </c>
      <c r="T364" t="n">
        <v>2.524</v>
      </c>
      <c r="U364" t="n">
        <v>3.068</v>
      </c>
      <c r="V364" t="n">
        <v>3.455</v>
      </c>
      <c r="W364" t="n">
        <v>3.254</v>
      </c>
      <c r="X364" t="n">
        <v>3.584</v>
      </c>
      <c r="Y364" t="n">
        <v>4.81</v>
      </c>
      <c r="Z364" t="n">
        <v>4.662</v>
      </c>
      <c r="AA364" t="n">
        <v>3.333</v>
      </c>
      <c r="AB364" t="n">
        <v>4.675</v>
      </c>
      <c r="AC364" t="n">
        <v>4.741</v>
      </c>
      <c r="AD364" t="n">
        <v>3.328</v>
      </c>
      <c r="AE364" t="n">
        <v>4.004</v>
      </c>
      <c r="AF364" t="n">
        <v>3.259</v>
      </c>
      <c r="AG364" t="n">
        <v>2.898</v>
      </c>
      <c r="AH364" t="n">
        <v>3.584</v>
      </c>
      <c r="AI364" t="n">
        <v>4.355</v>
      </c>
      <c r="AJ364" t="n">
        <v>4.226</v>
      </c>
      <c r="AK364" t="n">
        <v>3.231</v>
      </c>
      <c r="AL364" t="n">
        <v>4.014</v>
      </c>
      <c r="AM364" t="n">
        <v>5.23</v>
      </c>
      <c r="AN364" t="n">
        <v>5.849</v>
      </c>
      <c r="AO364" t="n">
        <v>5.894</v>
      </c>
      <c r="AP364" t="n">
        <v>5.836</v>
      </c>
      <c r="AQ364" t="n">
        <v>7.74</v>
      </c>
      <c r="AR364" t="n">
        <v>8.128</v>
      </c>
      <c r="AS364" t="n">
        <v>9.192</v>
      </c>
      <c r="AT364" t="n">
        <v>9.555999999999999</v>
      </c>
      <c r="AU364" t="n">
        <v>10.508</v>
      </c>
      <c r="AV364" t="n">
        <v>12.004</v>
      </c>
      <c r="AW364" t="n">
        <v>13.702</v>
      </c>
      <c r="AX364" t="n">
        <v>13.34</v>
      </c>
      <c r="AY364" t="n">
        <v>12.934</v>
      </c>
      <c r="AZ364" t="n">
        <v>12.184</v>
      </c>
      <c r="BA364" t="n">
        <v>13.721</v>
      </c>
      <c r="BB364" t="n">
        <v>14.911</v>
      </c>
      <c r="BC364" t="n">
        <v>12.655</v>
      </c>
      <c r="BD364" t="n">
        <v>13.738</v>
      </c>
      <c r="BE364" t="n">
        <v>17.689</v>
      </c>
      <c r="BF364" t="n">
        <v>16.241</v>
      </c>
      <c r="BG364" t="n">
        <v>16.591</v>
      </c>
      <c r="BH364" t="n">
        <v>19.345</v>
      </c>
      <c r="BI364" t="n">
        <v>19.958</v>
      </c>
      <c r="BJ364" t="n">
        <v>14.999</v>
      </c>
      <c r="BK364" t="n">
        <v>13.947</v>
      </c>
      <c r="BL364" t="n">
        <v>11.358</v>
      </c>
      <c r="BM364" t="n">
        <v>9.257</v>
      </c>
      <c r="BN364" t="n">
        <v>0</v>
      </c>
      <c r="BO364" t="n">
        <v>0</v>
      </c>
      <c r="BP364" t="n">
        <v>0</v>
      </c>
      <c r="BQ364" t="n">
        <v>0</v>
      </c>
      <c r="BR364" t="n">
        <v>0</v>
      </c>
      <c r="BS364" t="n">
        <v>0</v>
      </c>
      <c r="BT364" t="n">
        <v>0</v>
      </c>
      <c r="BU364" t="n">
        <v>0</v>
      </c>
      <c r="BV364" t="n">
        <v>0</v>
      </c>
    </row>
    <row r="365">
      <c r="A365" t="inlineStr">
        <is>
          <t>Sphyrna zygaena</t>
        </is>
      </c>
      <c r="B365" t="inlineStr">
        <is>
          <t>Smooth hammerhead</t>
        </is>
      </c>
      <c r="C365" t="inlineStr">
        <is>
          <t>Large sharks (&gt;=90 cm)</t>
        </is>
      </c>
      <c r="D365" t="inlineStr">
        <is>
          <t>Sharks &amp; rays</t>
        </is>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0.002</v>
      </c>
      <c r="BH365" t="n">
        <v>0</v>
      </c>
      <c r="BI365" t="n">
        <v>0</v>
      </c>
      <c r="BJ365" t="n">
        <v>0</v>
      </c>
      <c r="BK365" t="n">
        <v>0</v>
      </c>
      <c r="BL365" t="n">
        <v>0</v>
      </c>
      <c r="BM365" t="n">
        <v>0</v>
      </c>
      <c r="BN365" t="n">
        <v>0</v>
      </c>
      <c r="BO365" t="n">
        <v>127.815</v>
      </c>
      <c r="BP365" t="n">
        <v>68.273</v>
      </c>
      <c r="BQ365" t="n">
        <v>48.929</v>
      </c>
      <c r="BR365" t="n">
        <v>62.909</v>
      </c>
      <c r="BS365" t="n">
        <v>19.971</v>
      </c>
      <c r="BT365" t="n">
        <v>21.968</v>
      </c>
      <c r="BU365" t="n">
        <v>11.983</v>
      </c>
      <c r="BV365" t="n">
        <v>18.973</v>
      </c>
    </row>
    <row r="366">
      <c r="A366" t="inlineStr">
        <is>
          <t>Plectorhinchus sordidus</t>
        </is>
      </c>
      <c r="B366" t="inlineStr">
        <is>
          <t>Sordid rubberlip</t>
        </is>
      </c>
      <c r="C366" t="inlineStr">
        <is>
          <t>Medium reef assoc. fish (30 - 89 cm)</t>
        </is>
      </c>
      <c r="D366" t="inlineStr">
        <is>
          <t>Perch-likes</t>
        </is>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79.657</v>
      </c>
      <c r="BU366" t="n">
        <v>124.464</v>
      </c>
      <c r="BV366" t="n">
        <v>159.315</v>
      </c>
    </row>
    <row r="367">
      <c r="A367" t="inlineStr">
        <is>
          <t>Holothuroidea</t>
        </is>
      </c>
      <c r="B367" t="inlineStr">
        <is>
          <t>Sea cucumbers</t>
        </is>
      </c>
      <c r="C367" t="inlineStr">
        <is>
          <t>Other demersal invertebrates</t>
        </is>
      </c>
      <c r="D367" t="inlineStr">
        <is>
          <t>Other fishes &amp; inverts</t>
        </is>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9.647</v>
      </c>
      <c r="BO367" t="n">
        <v>24.125</v>
      </c>
      <c r="BP367" t="n">
        <v>175.694</v>
      </c>
      <c r="BQ367" t="n">
        <v>34.745</v>
      </c>
      <c r="BR367" t="n">
        <v>27.987</v>
      </c>
      <c r="BS367" t="n">
        <v>23.16</v>
      </c>
      <c r="BT367" t="n">
        <v>19.727</v>
      </c>
      <c r="BU367" t="n">
        <v>19.727</v>
      </c>
      <c r="BV367" t="n">
        <v>19.726</v>
      </c>
    </row>
    <row r="368">
      <c r="A368" t="inlineStr">
        <is>
          <t>Hemiramphus archipelagicus</t>
        </is>
      </c>
      <c r="B368" t="inlineStr">
        <is>
          <t>Jumping halfbeak</t>
        </is>
      </c>
      <c r="C368" t="inlineStr">
        <is>
          <t>Medium pelagics (30 - 89 cm)</t>
        </is>
      </c>
      <c r="D368" t="inlineStr">
        <is>
          <t>Other fishes &amp; inverts</t>
        </is>
      </c>
      <c r="E368" t="n">
        <v>4.6</v>
      </c>
      <c r="F368" t="n">
        <v>4.626</v>
      </c>
      <c r="G368" t="n">
        <v>4.591</v>
      </c>
      <c r="H368" t="n">
        <v>4.615</v>
      </c>
      <c r="I368" t="n">
        <v>4.639</v>
      </c>
      <c r="J368" t="n">
        <v>4.661</v>
      </c>
      <c r="K368" t="n">
        <v>4.676</v>
      </c>
      <c r="L368" t="n">
        <v>4.726</v>
      </c>
      <c r="M368" t="n">
        <v>4.763</v>
      </c>
      <c r="N368" t="n">
        <v>4.83</v>
      </c>
      <c r="O368" t="n">
        <v>4.865</v>
      </c>
      <c r="P368" t="n">
        <v>4.911</v>
      </c>
      <c r="Q368" t="n">
        <v>4.956</v>
      </c>
      <c r="R368" t="n">
        <v>5.03</v>
      </c>
      <c r="S368" t="n">
        <v>5.086</v>
      </c>
      <c r="T368" t="n">
        <v>5.083</v>
      </c>
      <c r="U368" t="n">
        <v>5.101</v>
      </c>
      <c r="V368" t="n">
        <v>5.135</v>
      </c>
      <c r="W368" t="n">
        <v>5.087</v>
      </c>
      <c r="X368" t="n">
        <v>5.159</v>
      </c>
      <c r="Y368" t="n">
        <v>5.195</v>
      </c>
      <c r="Z368" t="n">
        <v>5.196</v>
      </c>
      <c r="AA368" t="n">
        <v>5.268</v>
      </c>
      <c r="AB368" t="n">
        <v>5.275</v>
      </c>
      <c r="AC368" t="n">
        <v>4.245</v>
      </c>
      <c r="AD368" t="n">
        <v>4.532</v>
      </c>
      <c r="AE368" t="n">
        <v>4.822</v>
      </c>
      <c r="AF368" t="n">
        <v>5.116</v>
      </c>
      <c r="AG368" t="n">
        <v>5.034</v>
      </c>
      <c r="AH368" t="n">
        <v>4.963</v>
      </c>
      <c r="AI368" t="n">
        <v>5.36</v>
      </c>
      <c r="AJ368" t="n">
        <v>5.43</v>
      </c>
      <c r="AK368" t="n">
        <v>4.387</v>
      </c>
      <c r="AL368" t="n">
        <v>4.47</v>
      </c>
      <c r="AM368" t="n">
        <v>4.515</v>
      </c>
      <c r="AN368" t="n">
        <v>4.571</v>
      </c>
      <c r="AO368" t="n">
        <v>4.437</v>
      </c>
      <c r="AP368" t="n">
        <v>5.135</v>
      </c>
      <c r="AQ368" t="n">
        <v>5.243</v>
      </c>
      <c r="AR368" t="n">
        <v>5.322</v>
      </c>
      <c r="AS368" t="n">
        <v>5.202</v>
      </c>
      <c r="AT368" t="n">
        <v>5.997</v>
      </c>
      <c r="AU368" t="n">
        <v>5.907</v>
      </c>
      <c r="AV368" t="n">
        <v>5.18</v>
      </c>
      <c r="AW368" t="n">
        <v>9.202999999999999</v>
      </c>
      <c r="AX368" t="n">
        <v>9.048</v>
      </c>
      <c r="AY368" t="n">
        <v>8.461</v>
      </c>
      <c r="AZ368" t="n">
        <v>11.627</v>
      </c>
      <c r="BA368" t="n">
        <v>9.077</v>
      </c>
      <c r="BB368" t="n">
        <v>8.253</v>
      </c>
      <c r="BC368" t="n">
        <v>7.479</v>
      </c>
      <c r="BD368" t="n">
        <v>7.13</v>
      </c>
      <c r="BE368" t="n">
        <v>5.996</v>
      </c>
      <c r="BF368" t="n">
        <v>4.46</v>
      </c>
      <c r="BG368" t="n">
        <v>4.585</v>
      </c>
      <c r="BH368" t="n">
        <v>4.221</v>
      </c>
      <c r="BI368" t="n">
        <v>3.898</v>
      </c>
      <c r="BJ368" t="n">
        <v>3.521</v>
      </c>
      <c r="BK368" t="n">
        <v>3.077</v>
      </c>
      <c r="BL368" t="n">
        <v>2.887</v>
      </c>
      <c r="BM368" t="n">
        <v>2.364</v>
      </c>
      <c r="BN368" t="n">
        <v>3.13</v>
      </c>
      <c r="BO368" t="n">
        <v>2.918</v>
      </c>
      <c r="BP368" t="n">
        <v>3.043</v>
      </c>
      <c r="BQ368" t="n">
        <v>3.127</v>
      </c>
      <c r="BR368" t="n">
        <v>3.105</v>
      </c>
      <c r="BS368" t="n">
        <v>3.112</v>
      </c>
      <c r="BT368" t="n">
        <v>3.252</v>
      </c>
      <c r="BU368" t="n">
        <v>3.581</v>
      </c>
      <c r="BV368" t="n">
        <v>3.45</v>
      </c>
    </row>
    <row r="369">
      <c r="A369" t="inlineStr">
        <is>
          <t>Scorpaenidae</t>
        </is>
      </c>
      <c r="B369" t="inlineStr">
        <is>
          <t>Scorpionfishes, rockfishes</t>
        </is>
      </c>
      <c r="C369" t="inlineStr">
        <is>
          <t>Large reef assoc. fish (&gt;=90 cm)</t>
        </is>
      </c>
      <c r="D369" t="inlineStr">
        <is>
          <t>Scorpionfishes</t>
        </is>
      </c>
      <c r="E369" t="n">
        <v>4.599</v>
      </c>
      <c r="F369" t="n">
        <v>4.626</v>
      </c>
      <c r="G369" t="n">
        <v>4.591</v>
      </c>
      <c r="H369" t="n">
        <v>4.615</v>
      </c>
      <c r="I369" t="n">
        <v>4.638</v>
      </c>
      <c r="J369" t="n">
        <v>4.661</v>
      </c>
      <c r="K369" t="n">
        <v>4.676</v>
      </c>
      <c r="L369" t="n">
        <v>4.726</v>
      </c>
      <c r="M369" t="n">
        <v>4.763</v>
      </c>
      <c r="N369" t="n">
        <v>4.829</v>
      </c>
      <c r="O369" t="n">
        <v>4.865</v>
      </c>
      <c r="P369" t="n">
        <v>4.911</v>
      </c>
      <c r="Q369" t="n">
        <v>4.956</v>
      </c>
      <c r="R369" t="n">
        <v>5.03</v>
      </c>
      <c r="S369" t="n">
        <v>5.085</v>
      </c>
      <c r="T369" t="n">
        <v>5.082</v>
      </c>
      <c r="U369" t="n">
        <v>5.1</v>
      </c>
      <c r="V369" t="n">
        <v>5.135</v>
      </c>
      <c r="W369" t="n">
        <v>5.087</v>
      </c>
      <c r="X369" t="n">
        <v>5.158</v>
      </c>
      <c r="Y369" t="n">
        <v>5.194</v>
      </c>
      <c r="Z369" t="n">
        <v>5.195</v>
      </c>
      <c r="AA369" t="n">
        <v>5.267</v>
      </c>
      <c r="AB369" t="n">
        <v>5.274</v>
      </c>
      <c r="AC369" t="n">
        <v>4.244</v>
      </c>
      <c r="AD369" t="n">
        <v>4.532</v>
      </c>
      <c r="AE369" t="n">
        <v>4.821</v>
      </c>
      <c r="AF369" t="n">
        <v>5.115</v>
      </c>
      <c r="AG369" t="n">
        <v>5.034</v>
      </c>
      <c r="AH369" t="n">
        <v>4.963</v>
      </c>
      <c r="AI369" t="n">
        <v>5.36</v>
      </c>
      <c r="AJ369" t="n">
        <v>5.43</v>
      </c>
      <c r="AK369" t="n">
        <v>4.386</v>
      </c>
      <c r="AL369" t="n">
        <v>4.47</v>
      </c>
      <c r="AM369" t="n">
        <v>4.515</v>
      </c>
      <c r="AN369" t="n">
        <v>4.571</v>
      </c>
      <c r="AO369" t="n">
        <v>4.437</v>
      </c>
      <c r="AP369" t="n">
        <v>5.135</v>
      </c>
      <c r="AQ369" t="n">
        <v>5.243</v>
      </c>
      <c r="AR369" t="n">
        <v>5.321</v>
      </c>
      <c r="AS369" t="n">
        <v>5.202</v>
      </c>
      <c r="AT369" t="n">
        <v>5.997</v>
      </c>
      <c r="AU369" t="n">
        <v>5.906</v>
      </c>
      <c r="AV369" t="n">
        <v>5.18</v>
      </c>
      <c r="AW369" t="n">
        <v>9.202999999999999</v>
      </c>
      <c r="AX369" t="n">
        <v>9.048</v>
      </c>
      <c r="AY369" t="n">
        <v>8.460000000000001</v>
      </c>
      <c r="AZ369" t="n">
        <v>11.626</v>
      </c>
      <c r="BA369" t="n">
        <v>9.076000000000001</v>
      </c>
      <c r="BB369" t="n">
        <v>8.252000000000001</v>
      </c>
      <c r="BC369" t="n">
        <v>7.478</v>
      </c>
      <c r="BD369" t="n">
        <v>7.128</v>
      </c>
      <c r="BE369" t="n">
        <v>5.995</v>
      </c>
      <c r="BF369" t="n">
        <v>4.459</v>
      </c>
      <c r="BG369" t="n">
        <v>4.584</v>
      </c>
      <c r="BH369" t="n">
        <v>4.22</v>
      </c>
      <c r="BI369" t="n">
        <v>3.898</v>
      </c>
      <c r="BJ369" t="n">
        <v>3.521</v>
      </c>
      <c r="BK369" t="n">
        <v>3.077</v>
      </c>
      <c r="BL369" t="n">
        <v>2.886</v>
      </c>
      <c r="BM369" t="n">
        <v>2.364</v>
      </c>
      <c r="BN369" t="n">
        <v>3.128</v>
      </c>
      <c r="BO369" t="n">
        <v>2.916</v>
      </c>
      <c r="BP369" t="n">
        <v>3.04</v>
      </c>
      <c r="BQ369" t="n">
        <v>3.125</v>
      </c>
      <c r="BR369" t="n">
        <v>3.103</v>
      </c>
      <c r="BS369" t="n">
        <v>3.109</v>
      </c>
      <c r="BT369" t="n">
        <v>3.249</v>
      </c>
      <c r="BU369" t="n">
        <v>3.578</v>
      </c>
      <c r="BV369" t="n">
        <v>3.448</v>
      </c>
    </row>
    <row r="370">
      <c r="A370" t="inlineStr">
        <is>
          <t>Chaetodontidae</t>
        </is>
      </c>
      <c r="B370" t="inlineStr">
        <is>
          <t>Butterflyfishes</t>
        </is>
      </c>
      <c r="C370" t="inlineStr">
        <is>
          <t>Small reef assoc. fish (&lt;30 cm)</t>
        </is>
      </c>
      <c r="D370" t="inlineStr">
        <is>
          <t>Perch-likes</t>
        </is>
      </c>
      <c r="E370" t="n">
        <v>4.597</v>
      </c>
      <c r="F370" t="n">
        <v>4.624</v>
      </c>
      <c r="G370" t="n">
        <v>4.589</v>
      </c>
      <c r="H370" t="n">
        <v>4.613</v>
      </c>
      <c r="I370" t="n">
        <v>4.636</v>
      </c>
      <c r="J370" t="n">
        <v>4.659</v>
      </c>
      <c r="K370" t="n">
        <v>4.674</v>
      </c>
      <c r="L370" t="n">
        <v>4.724</v>
      </c>
      <c r="M370" t="n">
        <v>4.761</v>
      </c>
      <c r="N370" t="n">
        <v>4.827</v>
      </c>
      <c r="O370" t="n">
        <v>4.863</v>
      </c>
      <c r="P370" t="n">
        <v>4.909</v>
      </c>
      <c r="Q370" t="n">
        <v>4.954</v>
      </c>
      <c r="R370" t="n">
        <v>5.028</v>
      </c>
      <c r="S370" t="n">
        <v>5.083</v>
      </c>
      <c r="T370" t="n">
        <v>5.08</v>
      </c>
      <c r="U370" t="n">
        <v>5.098</v>
      </c>
      <c r="V370" t="n">
        <v>5.132</v>
      </c>
      <c r="W370" t="n">
        <v>5.085</v>
      </c>
      <c r="X370" t="n">
        <v>5.156</v>
      </c>
      <c r="Y370" t="n">
        <v>5.192</v>
      </c>
      <c r="Z370" t="n">
        <v>5.193</v>
      </c>
      <c r="AA370" t="n">
        <v>5.265</v>
      </c>
      <c r="AB370" t="n">
        <v>5.272</v>
      </c>
      <c r="AC370" t="n">
        <v>4.243</v>
      </c>
      <c r="AD370" t="n">
        <v>4.53</v>
      </c>
      <c r="AE370" t="n">
        <v>4.819</v>
      </c>
      <c r="AF370" t="n">
        <v>5.114</v>
      </c>
      <c r="AG370" t="n">
        <v>5.032</v>
      </c>
      <c r="AH370" t="n">
        <v>4.961</v>
      </c>
      <c r="AI370" t="n">
        <v>5.358</v>
      </c>
      <c r="AJ370" t="n">
        <v>5.428</v>
      </c>
      <c r="AK370" t="n">
        <v>4.385</v>
      </c>
      <c r="AL370" t="n">
        <v>4.469</v>
      </c>
      <c r="AM370" t="n">
        <v>4.515</v>
      </c>
      <c r="AN370" t="n">
        <v>4.57</v>
      </c>
      <c r="AO370" t="n">
        <v>4.437</v>
      </c>
      <c r="AP370" t="n">
        <v>5.134</v>
      </c>
      <c r="AQ370" t="n">
        <v>5.242</v>
      </c>
      <c r="AR370" t="n">
        <v>5.321</v>
      </c>
      <c r="AS370" t="n">
        <v>5.201</v>
      </c>
      <c r="AT370" t="n">
        <v>5.996</v>
      </c>
      <c r="AU370" t="n">
        <v>5.905</v>
      </c>
      <c r="AV370" t="n">
        <v>5.179</v>
      </c>
      <c r="AW370" t="n">
        <v>9.199999999999999</v>
      </c>
      <c r="AX370" t="n">
        <v>9.045</v>
      </c>
      <c r="AY370" t="n">
        <v>8.458</v>
      </c>
      <c r="AZ370" t="n">
        <v>11.622</v>
      </c>
      <c r="BA370" t="n">
        <v>9.073</v>
      </c>
      <c r="BB370" t="n">
        <v>8.249000000000001</v>
      </c>
      <c r="BC370" t="n">
        <v>7.475</v>
      </c>
      <c r="BD370" t="n">
        <v>7.126</v>
      </c>
      <c r="BE370" t="n">
        <v>5.993</v>
      </c>
      <c r="BF370" t="n">
        <v>4.457</v>
      </c>
      <c r="BG370" t="n">
        <v>4.582</v>
      </c>
      <c r="BH370" t="n">
        <v>4.219</v>
      </c>
      <c r="BI370" t="n">
        <v>3.896</v>
      </c>
      <c r="BJ370" t="n">
        <v>3.519</v>
      </c>
      <c r="BK370" t="n">
        <v>3.076</v>
      </c>
      <c r="BL370" t="n">
        <v>2.886</v>
      </c>
      <c r="BM370" t="n">
        <v>2.363</v>
      </c>
      <c r="BN370" t="n">
        <v>3.127</v>
      </c>
      <c r="BO370" t="n">
        <v>2.915</v>
      </c>
      <c r="BP370" t="n">
        <v>3.039</v>
      </c>
      <c r="BQ370" t="n">
        <v>3.124</v>
      </c>
      <c r="BR370" t="n">
        <v>3.102</v>
      </c>
      <c r="BS370" t="n">
        <v>3.108</v>
      </c>
      <c r="BT370" t="n">
        <v>3.248</v>
      </c>
      <c r="BU370" t="n">
        <v>3.577</v>
      </c>
      <c r="BV370" t="n">
        <v>3.446</v>
      </c>
    </row>
    <row r="371">
      <c r="A371" t="inlineStr">
        <is>
          <t>Beryx</t>
        </is>
      </c>
      <c r="B371" t="inlineStr">
        <is>
          <t>Alfonsinos</t>
        </is>
      </c>
      <c r="C371" t="inlineStr">
        <is>
          <t>Medium benthopelagics (30 - 89 cm)</t>
        </is>
      </c>
      <c r="D371" t="inlineStr">
        <is>
          <t>Other fishes &amp; inverts</t>
        </is>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24.376</v>
      </c>
      <c r="BN371" t="n">
        <v>71.666</v>
      </c>
      <c r="BO371" t="n">
        <v>214.655</v>
      </c>
      <c r="BP371" t="n">
        <v>0</v>
      </c>
      <c r="BQ371" t="n">
        <v>1.123</v>
      </c>
      <c r="BR371" t="n">
        <v>0</v>
      </c>
      <c r="BS371" t="n">
        <v>0</v>
      </c>
      <c r="BT371" t="n">
        <v>0</v>
      </c>
      <c r="BU371" t="n">
        <v>0</v>
      </c>
      <c r="BV371" t="n">
        <v>0</v>
      </c>
    </row>
    <row r="372">
      <c r="A372" t="inlineStr">
        <is>
          <t>Scylla serrata</t>
        </is>
      </c>
      <c r="B372" t="inlineStr">
        <is>
          <t>Indo-Pacific swamp crab</t>
        </is>
      </c>
      <c r="C372" t="inlineStr">
        <is>
          <t>Lobsters, crabs</t>
        </is>
      </c>
      <c r="D372" t="inlineStr">
        <is>
          <t>Crustaceans</t>
        </is>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0.139</v>
      </c>
      <c r="AF372" t="n">
        <v>3.131</v>
      </c>
      <c r="AG372" t="n">
        <v>21.843</v>
      </c>
      <c r="AH372" t="n">
        <v>9.025</v>
      </c>
      <c r="AI372" t="n">
        <v>16.284</v>
      </c>
      <c r="AJ372" t="n">
        <v>11.055</v>
      </c>
      <c r="AK372" t="n">
        <v>12.162</v>
      </c>
      <c r="AL372" t="n">
        <v>6.019</v>
      </c>
      <c r="AM372" t="n">
        <v>8.686999999999999</v>
      </c>
      <c r="AN372" t="n">
        <v>8.683999999999999</v>
      </c>
      <c r="AO372" t="n">
        <v>8.153</v>
      </c>
      <c r="AP372" t="n">
        <v>10.369</v>
      </c>
      <c r="AQ372" t="n">
        <v>11.571</v>
      </c>
      <c r="AR372" t="n">
        <v>10.252</v>
      </c>
      <c r="AS372" t="n">
        <v>9.452</v>
      </c>
      <c r="AT372" t="n">
        <v>6.052</v>
      </c>
      <c r="AU372" t="n">
        <v>8.223000000000001</v>
      </c>
      <c r="AV372" t="n">
        <v>6.185</v>
      </c>
      <c r="AW372" t="n">
        <v>11.927</v>
      </c>
      <c r="AX372" t="n">
        <v>11.961</v>
      </c>
      <c r="AY372" t="n">
        <v>7.437</v>
      </c>
      <c r="AZ372" t="n">
        <v>7.178</v>
      </c>
      <c r="BA372" t="n">
        <v>5.079</v>
      </c>
      <c r="BB372" t="n">
        <v>5.929</v>
      </c>
      <c r="BC372" t="n">
        <v>10.776</v>
      </c>
      <c r="BD372" t="n">
        <v>7.691</v>
      </c>
      <c r="BE372" t="n">
        <v>9.856</v>
      </c>
      <c r="BF372" t="n">
        <v>2.08</v>
      </c>
      <c r="BG372" t="n">
        <v>2.48</v>
      </c>
      <c r="BH372" t="n">
        <v>1.528</v>
      </c>
      <c r="BI372" t="n">
        <v>8.170999999999999</v>
      </c>
      <c r="BJ372" t="n">
        <v>4.826</v>
      </c>
      <c r="BK372" t="n">
        <v>1.398</v>
      </c>
      <c r="BL372" t="n">
        <v>2.509</v>
      </c>
      <c r="BM372" t="n">
        <v>2.139</v>
      </c>
      <c r="BN372" t="n">
        <v>3.373</v>
      </c>
      <c r="BO372" t="n">
        <v>1.78</v>
      </c>
      <c r="BP372" t="n">
        <v>3.59</v>
      </c>
      <c r="BQ372" t="n">
        <v>3.045</v>
      </c>
      <c r="BR372" t="n">
        <v>2.093</v>
      </c>
      <c r="BS372" t="n">
        <v>0.85</v>
      </c>
      <c r="BT372" t="n">
        <v>0.743</v>
      </c>
      <c r="BU372" t="n">
        <v>0.743</v>
      </c>
      <c r="BV372" t="n">
        <v>0.743</v>
      </c>
    </row>
    <row r="373">
      <c r="A373" t="inlineStr">
        <is>
          <t>Pomatomus saltatrix</t>
        </is>
      </c>
      <c r="B373" t="inlineStr">
        <is>
          <t>Bluefish</t>
        </is>
      </c>
      <c r="C373" t="inlineStr">
        <is>
          <t>Large pelagics (&gt;=90 cm)</t>
        </is>
      </c>
      <c r="D373" t="inlineStr">
        <is>
          <t>Perch-likes</t>
        </is>
      </c>
      <c r="E373" t="n">
        <v>0</v>
      </c>
      <c r="F373" t="n">
        <v>0</v>
      </c>
      <c r="G373" t="n">
        <v>0</v>
      </c>
      <c r="H373" t="n">
        <v>0</v>
      </c>
      <c r="I373" t="n">
        <v>0</v>
      </c>
      <c r="J373" t="n">
        <v>0</v>
      </c>
      <c r="K373" t="n">
        <v>0</v>
      </c>
      <c r="L373" t="n">
        <v>0</v>
      </c>
      <c r="M373" t="n">
        <v>0</v>
      </c>
      <c r="N373" t="n">
        <v>0</v>
      </c>
      <c r="O373" t="n">
        <v>0</v>
      </c>
      <c r="P373" t="n">
        <v>0</v>
      </c>
      <c r="Q373" t="n">
        <v>0</v>
      </c>
      <c r="R373" t="n">
        <v>0</v>
      </c>
      <c r="S373" t="n">
        <v>0</v>
      </c>
      <c r="T373" t="n">
        <v>0.064</v>
      </c>
      <c r="U373" t="n">
        <v>0</v>
      </c>
      <c r="V373" t="n">
        <v>25.449</v>
      </c>
      <c r="W373" t="n">
        <v>0</v>
      </c>
      <c r="X373" t="n">
        <v>76.348</v>
      </c>
      <c r="Y373" t="n">
        <v>0</v>
      </c>
      <c r="Z373" t="n">
        <v>0</v>
      </c>
      <c r="AA373" t="n">
        <v>0</v>
      </c>
      <c r="AB373" t="n">
        <v>0</v>
      </c>
      <c r="AC373" t="n">
        <v>0</v>
      </c>
      <c r="AD373" t="n">
        <v>0</v>
      </c>
      <c r="AE373" t="n">
        <v>0</v>
      </c>
      <c r="AF373" t="n">
        <v>0</v>
      </c>
      <c r="AG373" t="n">
        <v>0</v>
      </c>
      <c r="AH373" t="n">
        <v>0</v>
      </c>
      <c r="AI373" t="n">
        <v>0</v>
      </c>
      <c r="AJ373" t="n">
        <v>0</v>
      </c>
      <c r="AK373" t="n">
        <v>0</v>
      </c>
      <c r="AL373" t="n">
        <v>25.341</v>
      </c>
      <c r="AM373" t="n">
        <v>3.464</v>
      </c>
      <c r="AN373" t="n">
        <v>41.269</v>
      </c>
      <c r="AO373" t="n">
        <v>0</v>
      </c>
      <c r="AP373" t="n">
        <v>51.569</v>
      </c>
      <c r="AQ373" t="n">
        <v>53.549</v>
      </c>
      <c r="AR373" t="n">
        <v>4.547</v>
      </c>
      <c r="AS373" t="n">
        <v>0</v>
      </c>
      <c r="AT373" t="n">
        <v>0</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row>
    <row r="374">
      <c r="A374" t="inlineStr">
        <is>
          <t>Gadiformes</t>
        </is>
      </c>
      <c r="B374" t="inlineStr">
        <is>
          <t>Cods</t>
        </is>
      </c>
      <c r="C374" t="inlineStr">
        <is>
          <t>Medium benthopelagics (30 - 89 cm)</t>
        </is>
      </c>
      <c r="D374" t="inlineStr">
        <is>
          <t>Cod-likes</t>
        </is>
      </c>
      <c r="E374" t="n">
        <v>0</v>
      </c>
      <c r="F374" t="n">
        <v>0</v>
      </c>
      <c r="G374" t="n">
        <v>0</v>
      </c>
      <c r="H374" t="n">
        <v>0</v>
      </c>
      <c r="I374" t="n">
        <v>0</v>
      </c>
      <c r="J374" t="n">
        <v>0</v>
      </c>
      <c r="K374" t="n">
        <v>0</v>
      </c>
      <c r="L374" t="n">
        <v>0</v>
      </c>
      <c r="M374" t="n">
        <v>0</v>
      </c>
      <c r="N374" t="n">
        <v>0</v>
      </c>
      <c r="O374" t="n">
        <v>0</v>
      </c>
      <c r="P374" t="n">
        <v>0</v>
      </c>
      <c r="Q374" t="n">
        <v>0</v>
      </c>
      <c r="R374" t="n">
        <v>0</v>
      </c>
      <c r="S374" t="n">
        <v>0</v>
      </c>
      <c r="T374" t="n">
        <v>0.029</v>
      </c>
      <c r="U374" t="n">
        <v>0</v>
      </c>
      <c r="V374" t="n">
        <v>0</v>
      </c>
      <c r="W374" t="n">
        <v>35.196</v>
      </c>
      <c r="X374" t="n">
        <v>0</v>
      </c>
      <c r="Y374" t="n">
        <v>0</v>
      </c>
      <c r="Z374" t="n">
        <v>0</v>
      </c>
      <c r="AA374" t="n">
        <v>0</v>
      </c>
      <c r="AB374" t="n">
        <v>0</v>
      </c>
      <c r="AC374" t="n">
        <v>0</v>
      </c>
      <c r="AD374" t="n">
        <v>0</v>
      </c>
      <c r="AE374" t="n">
        <v>0</v>
      </c>
      <c r="AF374" t="n">
        <v>54.87</v>
      </c>
      <c r="AG374" t="n">
        <v>0</v>
      </c>
      <c r="AH374" t="n">
        <v>35.208</v>
      </c>
      <c r="AI374" t="n">
        <v>118.241</v>
      </c>
      <c r="AJ374" t="n">
        <v>0</v>
      </c>
      <c r="AK374" t="n">
        <v>16.813</v>
      </c>
      <c r="AL374" t="n">
        <v>9.061</v>
      </c>
      <c r="AM374" t="n">
        <v>3.473</v>
      </c>
      <c r="AN374" t="n">
        <v>0</v>
      </c>
      <c r="AO374" t="n">
        <v>5.197</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0.802</v>
      </c>
      <c r="BL374" t="n">
        <v>0</v>
      </c>
      <c r="BM374" t="n">
        <v>0</v>
      </c>
      <c r="BN374" t="n">
        <v>0</v>
      </c>
      <c r="BO374" t="n">
        <v>0</v>
      </c>
      <c r="BP374" t="n">
        <v>0</v>
      </c>
      <c r="BQ374" t="n">
        <v>0</v>
      </c>
      <c r="BR374" t="n">
        <v>0</v>
      </c>
      <c r="BS374" t="n">
        <v>0</v>
      </c>
      <c r="BT374" t="n">
        <v>0</v>
      </c>
      <c r="BU374" t="n">
        <v>0</v>
      </c>
      <c r="BV374" t="n">
        <v>0</v>
      </c>
    </row>
    <row r="375">
      <c r="A375" t="inlineStr">
        <is>
          <t>Triaenodon obesus</t>
        </is>
      </c>
      <c r="B375" t="inlineStr">
        <is>
          <t>Whitetip reef shark</t>
        </is>
      </c>
      <c r="C375" t="inlineStr">
        <is>
          <t>Large sharks (&gt;=90 cm)</t>
        </is>
      </c>
      <c r="D375" t="inlineStr">
        <is>
          <t>Sharks &amp; rays</t>
        </is>
      </c>
      <c r="E375" t="n">
        <v>1.593</v>
      </c>
      <c r="F375" t="n">
        <v>1.629</v>
      </c>
      <c r="G375" t="n">
        <v>1.665</v>
      </c>
      <c r="H375" t="n">
        <v>1.701</v>
      </c>
      <c r="I375" t="n">
        <v>1.737</v>
      </c>
      <c r="J375" t="n">
        <v>1.773</v>
      </c>
      <c r="K375" t="n">
        <v>1.809</v>
      </c>
      <c r="L375" t="n">
        <v>1.845</v>
      </c>
      <c r="M375" t="n">
        <v>1.881</v>
      </c>
      <c r="N375" t="n">
        <v>1.917</v>
      </c>
      <c r="O375" t="n">
        <v>1.953</v>
      </c>
      <c r="P375" t="n">
        <v>1.989</v>
      </c>
      <c r="Q375" t="n">
        <v>2.025</v>
      </c>
      <c r="R375" t="n">
        <v>2.055</v>
      </c>
      <c r="S375" t="n">
        <v>2.059</v>
      </c>
      <c r="T375" t="n">
        <v>2.062</v>
      </c>
      <c r="U375" t="n">
        <v>2.063</v>
      </c>
      <c r="V375" t="n">
        <v>2.064</v>
      </c>
      <c r="W375" t="n">
        <v>2.064</v>
      </c>
      <c r="X375" t="n">
        <v>2.062</v>
      </c>
      <c r="Y375" t="n">
        <v>0.984</v>
      </c>
      <c r="Z375" t="n">
        <v>1.63</v>
      </c>
      <c r="AA375" t="n">
        <v>5.307</v>
      </c>
      <c r="AB375" t="n">
        <v>2.253</v>
      </c>
      <c r="AC375" t="n">
        <v>5.197</v>
      </c>
      <c r="AD375" t="n">
        <v>5.14</v>
      </c>
      <c r="AE375" t="n">
        <v>3.947</v>
      </c>
      <c r="AF375" t="n">
        <v>10.616</v>
      </c>
      <c r="AG375" t="n">
        <v>13.173</v>
      </c>
      <c r="AH375" t="n">
        <v>10.273</v>
      </c>
      <c r="AI375" t="n">
        <v>14.217</v>
      </c>
      <c r="AJ375" t="n">
        <v>7.104</v>
      </c>
      <c r="AK375" t="n">
        <v>8.888</v>
      </c>
      <c r="AL375" t="n">
        <v>7.493</v>
      </c>
      <c r="AM375" t="n">
        <v>4.129</v>
      </c>
      <c r="AN375" t="n">
        <v>9.093</v>
      </c>
      <c r="AO375" t="n">
        <v>10.925</v>
      </c>
      <c r="AP375" t="n">
        <v>11.33</v>
      </c>
      <c r="AQ375" t="n">
        <v>7.438</v>
      </c>
      <c r="AR375" t="n">
        <v>5.386</v>
      </c>
      <c r="AS375" t="n">
        <v>7.188</v>
      </c>
      <c r="AT375" t="n">
        <v>7.248</v>
      </c>
      <c r="AU375" t="n">
        <v>6.053</v>
      </c>
      <c r="AV375" t="n">
        <v>5.332</v>
      </c>
      <c r="AW375" t="n">
        <v>2.992</v>
      </c>
      <c r="AX375" t="n">
        <v>3.332</v>
      </c>
      <c r="AY375" t="n">
        <v>4.025</v>
      </c>
      <c r="AZ375" t="n">
        <v>4.86</v>
      </c>
      <c r="BA375" t="n">
        <v>2.752</v>
      </c>
      <c r="BB375" t="n">
        <v>2.382</v>
      </c>
      <c r="BC375" t="n">
        <v>3.411</v>
      </c>
      <c r="BD375" t="n">
        <v>2.965</v>
      </c>
      <c r="BE375" t="n">
        <v>2.489</v>
      </c>
      <c r="BF375" t="n">
        <v>3.245</v>
      </c>
      <c r="BG375" t="n">
        <v>2.903</v>
      </c>
      <c r="BH375" t="n">
        <v>2.818</v>
      </c>
      <c r="BI375" t="n">
        <v>2.689</v>
      </c>
      <c r="BJ375" t="n">
        <v>2.458</v>
      </c>
      <c r="BK375" t="n">
        <v>1.686</v>
      </c>
      <c r="BL375" t="n">
        <v>1.434</v>
      </c>
      <c r="BM375" t="n">
        <v>0</v>
      </c>
      <c r="BN375" t="n">
        <v>0</v>
      </c>
      <c r="BO375" t="n">
        <v>0</v>
      </c>
      <c r="BP375" t="n">
        <v>0</v>
      </c>
      <c r="BQ375" t="n">
        <v>0</v>
      </c>
      <c r="BR375" t="n">
        <v>0</v>
      </c>
      <c r="BS375" t="n">
        <v>0</v>
      </c>
      <c r="BT375" t="n">
        <v>0.018</v>
      </c>
      <c r="BU375" t="n">
        <v>0</v>
      </c>
      <c r="BV375" t="n">
        <v>0</v>
      </c>
    </row>
    <row r="376">
      <c r="A376" t="inlineStr">
        <is>
          <t>Lethrinus rubrioperculatus</t>
        </is>
      </c>
      <c r="B376" t="inlineStr">
        <is>
          <t>Spotcheek emperor</t>
        </is>
      </c>
      <c r="C376" t="inlineStr">
        <is>
          <t>Medium reef assoc. fish (30 - 89 cm)</t>
        </is>
      </c>
      <c r="D376" t="inlineStr">
        <is>
          <t>Perch-likes</t>
        </is>
      </c>
      <c r="E376" t="n">
        <v>0.703</v>
      </c>
      <c r="F376" t="n">
        <v>0.711</v>
      </c>
      <c r="G376" t="n">
        <v>0.711</v>
      </c>
      <c r="H376" t="n">
        <v>0.72</v>
      </c>
      <c r="I376" t="n">
        <v>0.729</v>
      </c>
      <c r="J376" t="n">
        <v>0.737</v>
      </c>
      <c r="K376" t="n">
        <v>0.746</v>
      </c>
      <c r="L376" t="n">
        <v>0.754</v>
      </c>
      <c r="M376" t="n">
        <v>0.763</v>
      </c>
      <c r="N376" t="n">
        <v>0.771</v>
      </c>
      <c r="O376" t="n">
        <v>0.8159999999999999</v>
      </c>
      <c r="P376" t="n">
        <v>0.833</v>
      </c>
      <c r="Q376" t="n">
        <v>0.851</v>
      </c>
      <c r="R376" t="n">
        <v>0.872</v>
      </c>
      <c r="S376" t="n">
        <v>0.89</v>
      </c>
      <c r="T376" t="n">
        <v>0.912</v>
      </c>
      <c r="U376" t="n">
        <v>0.931</v>
      </c>
      <c r="V376" t="n">
        <v>0.954</v>
      </c>
      <c r="W376" t="n">
        <v>0.973</v>
      </c>
      <c r="X376" t="n">
        <v>2.266</v>
      </c>
      <c r="Y376" t="n">
        <v>1.07</v>
      </c>
      <c r="Z376" t="n">
        <v>1.256</v>
      </c>
      <c r="AA376" t="n">
        <v>2.506</v>
      </c>
      <c r="AB376" t="n">
        <v>1.709</v>
      </c>
      <c r="AC376" t="n">
        <v>1.82</v>
      </c>
      <c r="AD376" t="n">
        <v>1.927</v>
      </c>
      <c r="AE376" t="n">
        <v>2.326</v>
      </c>
      <c r="AF376" t="n">
        <v>2.466</v>
      </c>
      <c r="AG376" t="n">
        <v>2.89</v>
      </c>
      <c r="AH376" t="n">
        <v>2.947</v>
      </c>
      <c r="AI376" t="n">
        <v>2.994</v>
      </c>
      <c r="AJ376" t="n">
        <v>3.312</v>
      </c>
      <c r="AK376" t="n">
        <v>3.846</v>
      </c>
      <c r="AL376" t="n">
        <v>3.34</v>
      </c>
      <c r="AM376" t="n">
        <v>3.336</v>
      </c>
      <c r="AN376" t="n">
        <v>4.295</v>
      </c>
      <c r="AO376" t="n">
        <v>3.841</v>
      </c>
      <c r="AP376" t="n">
        <v>3.604</v>
      </c>
      <c r="AQ376" t="n">
        <v>2.708</v>
      </c>
      <c r="AR376" t="n">
        <v>2.937</v>
      </c>
      <c r="AS376" t="n">
        <v>3.087</v>
      </c>
      <c r="AT376" t="n">
        <v>4.478</v>
      </c>
      <c r="AU376" t="n">
        <v>3.979</v>
      </c>
      <c r="AV376" t="n">
        <v>4.525</v>
      </c>
      <c r="AW376" t="n">
        <v>5.299</v>
      </c>
      <c r="AX376" t="n">
        <v>5.45</v>
      </c>
      <c r="AY376" t="n">
        <v>5.575</v>
      </c>
      <c r="AZ376" t="n">
        <v>6.984</v>
      </c>
      <c r="BA376" t="n">
        <v>6.374</v>
      </c>
      <c r="BB376" t="n">
        <v>4.543</v>
      </c>
      <c r="BC376" t="n">
        <v>7.2</v>
      </c>
      <c r="BD376" t="n">
        <v>6.528</v>
      </c>
      <c r="BE376" t="n">
        <v>6.832</v>
      </c>
      <c r="BF376" t="n">
        <v>7.305</v>
      </c>
      <c r="BG376" t="n">
        <v>7.358</v>
      </c>
      <c r="BH376" t="n">
        <v>8.269</v>
      </c>
      <c r="BI376" t="n">
        <v>6.893</v>
      </c>
      <c r="BJ376" t="n">
        <v>7.272</v>
      </c>
      <c r="BK376" t="n">
        <v>6.459</v>
      </c>
      <c r="BL376" t="n">
        <v>8.159000000000001</v>
      </c>
      <c r="BM376" t="n">
        <v>8.109</v>
      </c>
      <c r="BN376" t="n">
        <v>9.609</v>
      </c>
      <c r="BO376" t="n">
        <v>8.254</v>
      </c>
      <c r="BP376" t="n">
        <v>3.401</v>
      </c>
      <c r="BQ376" t="n">
        <v>3.436</v>
      </c>
      <c r="BR376" t="n">
        <v>2.808</v>
      </c>
      <c r="BS376" t="n">
        <v>3.042</v>
      </c>
      <c r="BT376" t="n">
        <v>2.871</v>
      </c>
      <c r="BU376" t="n">
        <v>3.065</v>
      </c>
      <c r="BV376" t="n">
        <v>2.35</v>
      </c>
    </row>
    <row r="377">
      <c r="A377" t="inlineStr">
        <is>
          <t>Caesio</t>
        </is>
      </c>
      <c r="B377" t="inlineStr">
        <is>
          <t>Caesios</t>
        </is>
      </c>
      <c r="C377" t="inlineStr">
        <is>
          <t>Medium reef assoc. fish (30 - 89 cm)</t>
        </is>
      </c>
      <c r="D377" t="inlineStr">
        <is>
          <t>Perch-likes</t>
        </is>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37.156</v>
      </c>
      <c r="BO377" t="n">
        <v>33.648</v>
      </c>
      <c r="BP377" t="n">
        <v>26.623</v>
      </c>
      <c r="BQ377" t="n">
        <v>26.473</v>
      </c>
      <c r="BR377" t="n">
        <v>22.734</v>
      </c>
      <c r="BS377" t="n">
        <v>23.581</v>
      </c>
      <c r="BT377" t="n">
        <v>23.581</v>
      </c>
      <c r="BU377" t="n">
        <v>23.581</v>
      </c>
      <c r="BV377" t="n">
        <v>12.619</v>
      </c>
    </row>
    <row r="378">
      <c r="A378" t="inlineStr">
        <is>
          <t>Isurus</t>
        </is>
      </c>
      <c r="B378" t="inlineStr">
        <is>
          <t>Mako sharks</t>
        </is>
      </c>
      <c r="C378" t="inlineStr">
        <is>
          <t>Large sharks (&gt;=90 cm)</t>
        </is>
      </c>
      <c r="D378" t="inlineStr">
        <is>
          <t>Sharks &amp; rays</t>
        </is>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16.362</v>
      </c>
      <c r="BK378" t="n">
        <v>12.24</v>
      </c>
      <c r="BL378" t="n">
        <v>22.136</v>
      </c>
      <c r="BM378" t="n">
        <v>12.121</v>
      </c>
      <c r="BN378" t="n">
        <v>11.33</v>
      </c>
      <c r="BO378" t="n">
        <v>0.08400000000000001</v>
      </c>
      <c r="BP378" t="n">
        <v>3.208</v>
      </c>
      <c r="BQ378" t="n">
        <v>4.259</v>
      </c>
      <c r="BR378" t="n">
        <v>0.335</v>
      </c>
      <c r="BS378" t="n">
        <v>0.08799999999999999</v>
      </c>
      <c r="BT378" t="n">
        <v>36.077</v>
      </c>
      <c r="BU378" t="n">
        <v>0.32</v>
      </c>
      <c r="BV378" t="n">
        <v>111.262</v>
      </c>
    </row>
    <row r="379">
      <c r="A379" t="inlineStr">
        <is>
          <t>Seriola dumerili</t>
        </is>
      </c>
      <c r="B379" t="inlineStr">
        <is>
          <t>Greater amberjack</t>
        </is>
      </c>
      <c r="C379" t="inlineStr">
        <is>
          <t>Large reef assoc. fish (&gt;=90 cm)</t>
        </is>
      </c>
      <c r="D379" t="inlineStr">
        <is>
          <t>Perch-likes</t>
        </is>
      </c>
      <c r="E379" t="n">
        <v>0</v>
      </c>
      <c r="F379" t="n">
        <v>0</v>
      </c>
      <c r="G379" t="n">
        <v>0</v>
      </c>
      <c r="H379" t="n">
        <v>0</v>
      </c>
      <c r="I379" t="n">
        <v>0</v>
      </c>
      <c r="J379" t="n">
        <v>0</v>
      </c>
      <c r="K379" t="n">
        <v>0</v>
      </c>
      <c r="L379" t="n">
        <v>0</v>
      </c>
      <c r="M379" t="n">
        <v>0</v>
      </c>
      <c r="N379" t="n">
        <v>0</v>
      </c>
      <c r="O379" t="n">
        <v>0</v>
      </c>
      <c r="P379" t="n">
        <v>0.135</v>
      </c>
      <c r="Q379" t="n">
        <v>0.212</v>
      </c>
      <c r="R379" t="n">
        <v>0.291</v>
      </c>
      <c r="S379" t="n">
        <v>0.369</v>
      </c>
      <c r="T379" t="n">
        <v>0.448</v>
      </c>
      <c r="U379" t="n">
        <v>0.525</v>
      </c>
      <c r="V379" t="n">
        <v>0.602</v>
      </c>
      <c r="W379" t="n">
        <v>0.681</v>
      </c>
      <c r="X379" t="n">
        <v>0.755</v>
      </c>
      <c r="Y379" t="n">
        <v>0.835</v>
      </c>
      <c r="Z379" t="n">
        <v>0.917</v>
      </c>
      <c r="AA379" t="n">
        <v>1.001</v>
      </c>
      <c r="AB379" t="n">
        <v>1.085</v>
      </c>
      <c r="AC379" t="n">
        <v>1.168</v>
      </c>
      <c r="AD379" t="n">
        <v>1.259</v>
      </c>
      <c r="AE379" t="n">
        <v>1.45</v>
      </c>
      <c r="AF379" t="n">
        <v>1.549</v>
      </c>
      <c r="AG379" t="n">
        <v>1.642</v>
      </c>
      <c r="AH379" t="n">
        <v>1.727</v>
      </c>
      <c r="AI379" t="n">
        <v>1.801</v>
      </c>
      <c r="AJ379" t="n">
        <v>1.909</v>
      </c>
      <c r="AK379" t="n">
        <v>2.013</v>
      </c>
      <c r="AL379" t="n">
        <v>2.145</v>
      </c>
      <c r="AM379" t="n">
        <v>2.281</v>
      </c>
      <c r="AN379" t="n">
        <v>2.426</v>
      </c>
      <c r="AO379" t="n">
        <v>2.514</v>
      </c>
      <c r="AP379" t="n">
        <v>2.604</v>
      </c>
      <c r="AQ379" t="n">
        <v>2.694</v>
      </c>
      <c r="AR379" t="n">
        <v>2.782</v>
      </c>
      <c r="AS379" t="n">
        <v>2.868</v>
      </c>
      <c r="AT379" t="n">
        <v>2.953</v>
      </c>
      <c r="AU379" t="n">
        <v>3.054</v>
      </c>
      <c r="AV379" t="n">
        <v>3.155</v>
      </c>
      <c r="AW379" t="n">
        <v>3.275</v>
      </c>
      <c r="AX379" t="n">
        <v>3.396</v>
      </c>
      <c r="AY379" t="n">
        <v>3.506</v>
      </c>
      <c r="AZ379" t="n">
        <v>3.669</v>
      </c>
      <c r="BA379" t="n">
        <v>3.825</v>
      </c>
      <c r="BB379" t="n">
        <v>3.97</v>
      </c>
      <c r="BC379" t="n">
        <v>4.122</v>
      </c>
      <c r="BD379" t="n">
        <v>4.092</v>
      </c>
      <c r="BE379" t="n">
        <v>4.222</v>
      </c>
      <c r="BF379" t="n">
        <v>4.356</v>
      </c>
      <c r="BG379" t="n">
        <v>4.493</v>
      </c>
      <c r="BH379" t="n">
        <v>4.628</v>
      </c>
      <c r="BI379" t="n">
        <v>4.887</v>
      </c>
      <c r="BJ379" t="n">
        <v>5.004</v>
      </c>
      <c r="BK379" t="n">
        <v>5.13</v>
      </c>
      <c r="BL379" t="n">
        <v>5.143</v>
      </c>
      <c r="BM379" t="n">
        <v>5.246</v>
      </c>
      <c r="BN379" t="n">
        <v>5.356</v>
      </c>
      <c r="BO379" t="n">
        <v>5.471</v>
      </c>
      <c r="BP379" t="n">
        <v>5.596</v>
      </c>
      <c r="BQ379" t="n">
        <v>5.725</v>
      </c>
      <c r="BR379" t="n">
        <v>5.861</v>
      </c>
      <c r="BS379" t="n">
        <v>5.992</v>
      </c>
      <c r="BT379" t="n">
        <v>6.125</v>
      </c>
      <c r="BU379" t="n">
        <v>6.125</v>
      </c>
      <c r="BV379" t="n">
        <v>40.367</v>
      </c>
    </row>
    <row r="380">
      <c r="A380" t="inlineStr">
        <is>
          <t>Modiolus</t>
        </is>
      </c>
      <c r="B380" t="inlineStr">
        <is>
          <t>Horse mussels</t>
        </is>
      </c>
      <c r="C380" t="inlineStr">
        <is>
          <t>Other demersal invertebrates</t>
        </is>
      </c>
      <c r="D380" t="inlineStr">
        <is>
          <t>Molluscs</t>
        </is>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1.12</v>
      </c>
      <c r="AG380" t="n">
        <v>1.165</v>
      </c>
      <c r="AH380" t="n">
        <v>7.279</v>
      </c>
      <c r="AI380" t="n">
        <v>5.442</v>
      </c>
      <c r="AJ380" t="n">
        <v>6.395</v>
      </c>
      <c r="AK380" t="n">
        <v>10.598</v>
      </c>
      <c r="AL380" t="n">
        <v>17.381</v>
      </c>
      <c r="AM380" t="n">
        <v>10.061</v>
      </c>
      <c r="AN380" t="n">
        <v>8.026999999999999</v>
      </c>
      <c r="AO380" t="n">
        <v>13.06</v>
      </c>
      <c r="AP380" t="n">
        <v>26.381</v>
      </c>
      <c r="AQ380" t="n">
        <v>48.696</v>
      </c>
      <c r="AR380" t="n">
        <v>33.209</v>
      </c>
      <c r="AS380" t="n">
        <v>18.197</v>
      </c>
      <c r="AT380" t="n">
        <v>0</v>
      </c>
      <c r="AU380" t="n">
        <v>0</v>
      </c>
      <c r="AV380" t="n">
        <v>0</v>
      </c>
      <c r="AW380" t="n">
        <v>0</v>
      </c>
      <c r="AX380" t="n">
        <v>0</v>
      </c>
      <c r="AY380" t="n">
        <v>0</v>
      </c>
      <c r="AZ380" t="n">
        <v>0</v>
      </c>
      <c r="BA380" t="n">
        <v>0</v>
      </c>
      <c r="BB380" t="n">
        <v>0</v>
      </c>
      <c r="BC380" t="n">
        <v>0.065</v>
      </c>
      <c r="BD380" t="n">
        <v>0.925</v>
      </c>
      <c r="BE380" t="n">
        <v>0.852</v>
      </c>
      <c r="BF380" t="n">
        <v>0.076</v>
      </c>
      <c r="BG380" t="n">
        <v>0.001</v>
      </c>
      <c r="BH380" t="n">
        <v>0.104</v>
      </c>
      <c r="BI380" t="n">
        <v>0</v>
      </c>
      <c r="BJ380" t="n">
        <v>0</v>
      </c>
      <c r="BK380" t="n">
        <v>0</v>
      </c>
      <c r="BL380" t="n">
        <v>0</v>
      </c>
      <c r="BM380" t="n">
        <v>0</v>
      </c>
      <c r="BN380" t="n">
        <v>0</v>
      </c>
      <c r="BO380" t="n">
        <v>0</v>
      </c>
      <c r="BP380" t="n">
        <v>0</v>
      </c>
      <c r="BQ380" t="n">
        <v>0</v>
      </c>
      <c r="BR380" t="n">
        <v>0</v>
      </c>
      <c r="BS380" t="n">
        <v>0</v>
      </c>
      <c r="BT380" t="n">
        <v>0</v>
      </c>
      <c r="BU380" t="n">
        <v>0</v>
      </c>
      <c r="BV380" t="n">
        <v>0</v>
      </c>
    </row>
    <row r="381">
      <c r="A381" t="inlineStr">
        <is>
          <t>Miscellaneous aquatic invertebrates</t>
        </is>
      </c>
      <c r="B381" t="inlineStr">
        <is>
          <t>Aquatic invertebrates</t>
        </is>
      </c>
      <c r="C381" t="inlineStr">
        <is>
          <t>Other demersal invertebrates</t>
        </is>
      </c>
      <c r="D381" t="inlineStr">
        <is>
          <t>Other fishes &amp; inverts</t>
        </is>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1.209</v>
      </c>
      <c r="AH381" t="n">
        <v>1.598</v>
      </c>
      <c r="AI381" t="n">
        <v>3.886</v>
      </c>
      <c r="AJ381" t="n">
        <v>2.831</v>
      </c>
      <c r="AK381" t="n">
        <v>2.39</v>
      </c>
      <c r="AL381" t="n">
        <v>0.6909999999999999</v>
      </c>
      <c r="AM381" t="n">
        <v>1.47</v>
      </c>
      <c r="AN381" t="n">
        <v>1.214</v>
      </c>
      <c r="AO381" t="n">
        <v>0.408</v>
      </c>
      <c r="AP381" t="n">
        <v>0.998</v>
      </c>
      <c r="AQ381" t="n">
        <v>1.239</v>
      </c>
      <c r="AR381" t="n">
        <v>1.011</v>
      </c>
      <c r="AS381" t="n">
        <v>0</v>
      </c>
      <c r="AT381" t="n">
        <v>0</v>
      </c>
      <c r="AU381" t="n">
        <v>0</v>
      </c>
      <c r="AV381" t="n">
        <v>0</v>
      </c>
      <c r="AW381" t="n">
        <v>0</v>
      </c>
      <c r="AX381" t="n">
        <v>0</v>
      </c>
      <c r="AY381" t="n">
        <v>0</v>
      </c>
      <c r="AZ381" t="n">
        <v>0</v>
      </c>
      <c r="BA381" t="n">
        <v>0</v>
      </c>
      <c r="BB381" t="n">
        <v>0</v>
      </c>
      <c r="BC381" t="n">
        <v>0</v>
      </c>
      <c r="BD381" t="n">
        <v>0</v>
      </c>
      <c r="BE381" t="n">
        <v>0</v>
      </c>
      <c r="BF381" t="n">
        <v>0</v>
      </c>
      <c r="BG381" t="n">
        <v>0</v>
      </c>
      <c r="BH381" t="n">
        <v>0.127</v>
      </c>
      <c r="BI381" t="n">
        <v>0</v>
      </c>
      <c r="BJ381" t="n">
        <v>0</v>
      </c>
      <c r="BK381" t="n">
        <v>0.089</v>
      </c>
      <c r="BL381" t="n">
        <v>0</v>
      </c>
      <c r="BM381" t="n">
        <v>0</v>
      </c>
      <c r="BN381" t="n">
        <v>10.992</v>
      </c>
      <c r="BO381" t="n">
        <v>8.018000000000001</v>
      </c>
      <c r="BP381" t="n">
        <v>41.824</v>
      </c>
      <c r="BQ381" t="n">
        <v>12.786</v>
      </c>
      <c r="BR381" t="n">
        <v>11.925</v>
      </c>
      <c r="BS381" t="n">
        <v>42.592</v>
      </c>
      <c r="BT381" t="n">
        <v>14.354</v>
      </c>
      <c r="BU381" t="n">
        <v>14.354</v>
      </c>
      <c r="BV381" t="n">
        <v>14.354</v>
      </c>
    </row>
    <row r="382">
      <c r="A382" t="inlineStr">
        <is>
          <t>Holothuria atra</t>
        </is>
      </c>
      <c r="B382" t="inlineStr">
        <is>
          <t>Lollyfish</t>
        </is>
      </c>
      <c r="C382" t="inlineStr">
        <is>
          <t>Other demersal invertebrates</t>
        </is>
      </c>
      <c r="D382" t="inlineStr">
        <is>
          <t>Other fishes &amp; inverts</t>
        </is>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0.548</v>
      </c>
      <c r="AK382" t="n">
        <v>0.529</v>
      </c>
      <c r="AL382" t="n">
        <v>0.614</v>
      </c>
      <c r="AM382" t="n">
        <v>0.9360000000000001</v>
      </c>
      <c r="AN382" t="n">
        <v>0.737</v>
      </c>
      <c r="AO382" t="n">
        <v>1.182</v>
      </c>
      <c r="AP382" t="n">
        <v>0.889</v>
      </c>
      <c r="AQ382" t="n">
        <v>1.097</v>
      </c>
      <c r="AR382" t="n">
        <v>0.917</v>
      </c>
      <c r="AS382" t="n">
        <v>0.737</v>
      </c>
      <c r="AT382" t="n">
        <v>0.766</v>
      </c>
      <c r="AU382" t="n">
        <v>0.98</v>
      </c>
      <c r="AV382" t="n">
        <v>1.194</v>
      </c>
      <c r="AW382" t="n">
        <v>1.409</v>
      </c>
      <c r="AX382" t="n">
        <v>1.571</v>
      </c>
      <c r="AY382" t="n">
        <v>5.908</v>
      </c>
      <c r="AZ382" t="n">
        <v>11.914</v>
      </c>
      <c r="BA382" t="n">
        <v>22.931</v>
      </c>
      <c r="BB382" t="n">
        <v>22.675</v>
      </c>
      <c r="BC382" t="n">
        <v>22.42</v>
      </c>
      <c r="BD382" t="n">
        <v>23.901</v>
      </c>
      <c r="BE382" t="n">
        <v>22.877</v>
      </c>
      <c r="BF382" t="n">
        <v>15.174</v>
      </c>
      <c r="BG382" t="n">
        <v>14.15</v>
      </c>
      <c r="BH382" t="n">
        <v>1.437</v>
      </c>
      <c r="BI382" t="n">
        <v>1.139</v>
      </c>
      <c r="BJ382" t="n">
        <v>0.841</v>
      </c>
      <c r="BK382" t="n">
        <v>0.851</v>
      </c>
      <c r="BL382" t="n">
        <v>0.753</v>
      </c>
      <c r="BM382" t="n">
        <v>0.655</v>
      </c>
      <c r="BN382" t="n">
        <v>0.5580000000000001</v>
      </c>
      <c r="BO382" t="n">
        <v>0.46</v>
      </c>
      <c r="BP382" t="n">
        <v>0.362</v>
      </c>
      <c r="BQ382" t="n">
        <v>0.265</v>
      </c>
      <c r="BR382" t="n">
        <v>0.3</v>
      </c>
      <c r="BS382" t="n">
        <v>0.335</v>
      </c>
      <c r="BT382" t="n">
        <v>0.371</v>
      </c>
      <c r="BU382" t="n">
        <v>0.406</v>
      </c>
      <c r="BV382" t="n">
        <v>0.441</v>
      </c>
    </row>
    <row r="383">
      <c r="A383" t="inlineStr">
        <is>
          <t>Gempylidae</t>
        </is>
      </c>
      <c r="B383" t="inlineStr">
        <is>
          <t>Snake mackerels</t>
        </is>
      </c>
      <c r="C383" t="inlineStr">
        <is>
          <t>Large benthopelagics (&gt;=90 cm)</t>
        </is>
      </c>
      <c r="D383" t="inlineStr">
        <is>
          <t>Perch-likes</t>
        </is>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6.837</v>
      </c>
      <c r="BH383" t="n">
        <v>17.332</v>
      </c>
      <c r="BI383" t="n">
        <v>32.635</v>
      </c>
      <c r="BJ383" t="n">
        <v>63.186</v>
      </c>
      <c r="BK383" t="n">
        <v>11.589</v>
      </c>
      <c r="BL383" t="n">
        <v>15.727</v>
      </c>
      <c r="BM383" t="n">
        <v>17.656</v>
      </c>
      <c r="BN383" t="n">
        <v>0</v>
      </c>
      <c r="BO383" t="n">
        <v>0</v>
      </c>
      <c r="BP383" t="n">
        <v>0</v>
      </c>
      <c r="BQ383" t="n">
        <v>0</v>
      </c>
      <c r="BR383" t="n">
        <v>0</v>
      </c>
      <c r="BS383" t="n">
        <v>0</v>
      </c>
      <c r="BT383" t="n">
        <v>0</v>
      </c>
      <c r="BU383" t="n">
        <v>0</v>
      </c>
      <c r="BV383" t="n">
        <v>0</v>
      </c>
    </row>
    <row r="384">
      <c r="A384" t="inlineStr">
        <is>
          <t>Macolor</t>
        </is>
      </c>
      <c r="B384" t="inlineStr">
        <is>
          <t>Snappers</t>
        </is>
      </c>
      <c r="C384" t="inlineStr">
        <is>
          <t>Medium reef assoc. fish (30 - 89 cm)</t>
        </is>
      </c>
      <c r="D384" t="inlineStr">
        <is>
          <t>Perch-likes</t>
        </is>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18.184</v>
      </c>
      <c r="BN384" t="n">
        <v>28.915</v>
      </c>
      <c r="BO384" t="n">
        <v>24.837</v>
      </c>
      <c r="BP384" t="n">
        <v>10.234</v>
      </c>
      <c r="BQ384" t="n">
        <v>10.34</v>
      </c>
      <c r="BR384" t="n">
        <v>8.449</v>
      </c>
      <c r="BS384" t="n">
        <v>9.154999999999999</v>
      </c>
      <c r="BT384" t="n">
        <v>8.638999999999999</v>
      </c>
      <c r="BU384" t="n">
        <v>9.223000000000001</v>
      </c>
      <c r="BV384" t="n">
        <v>7.071</v>
      </c>
    </row>
    <row r="385">
      <c r="A385" t="inlineStr">
        <is>
          <t>Gerres oblongus</t>
        </is>
      </c>
      <c r="B385" t="inlineStr">
        <is>
          <t>Slender silver-biddy</t>
        </is>
      </c>
      <c r="C385" t="inlineStr">
        <is>
          <t>Medium reef assoc. fish (30 - 89 cm)</t>
        </is>
      </c>
      <c r="D385" t="inlineStr">
        <is>
          <t>Perch-likes</t>
        </is>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34.385</v>
      </c>
      <c r="BU385" t="n">
        <v>46.421</v>
      </c>
      <c r="BV385" t="n">
        <v>42.411</v>
      </c>
    </row>
    <row r="386">
      <c r="A386" t="inlineStr">
        <is>
          <t>Zeidae</t>
        </is>
      </c>
      <c r="B386" t="inlineStr">
        <is>
          <t>Dories</t>
        </is>
      </c>
      <c r="C386" t="inlineStr">
        <is>
          <t>Medium bathydemersals (30 - 89 cm)</t>
        </is>
      </c>
      <c r="D386" t="inlineStr">
        <is>
          <t>Other fishes &amp; inverts</t>
        </is>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67.881</v>
      </c>
      <c r="BE386" t="n">
        <v>46.312</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row>
    <row r="387">
      <c r="A387" t="inlineStr">
        <is>
          <t>Holothuriidae</t>
        </is>
      </c>
      <c r="B387" t="inlineStr">
        <is>
          <t>Fleshy sea cucumbers</t>
        </is>
      </c>
      <c r="C387" t="inlineStr">
        <is>
          <t>Other demersal invertebrates</t>
        </is>
      </c>
      <c r="D387" t="inlineStr">
        <is>
          <t>Other fishes &amp; inverts</t>
        </is>
      </c>
      <c r="E387" t="n">
        <v>0.079</v>
      </c>
      <c r="F387" t="n">
        <v>0.079</v>
      </c>
      <c r="G387" t="n">
        <v>0.079</v>
      </c>
      <c r="H387" t="n">
        <v>0.079</v>
      </c>
      <c r="I387" t="n">
        <v>0.079</v>
      </c>
      <c r="J387" t="n">
        <v>0.079</v>
      </c>
      <c r="K387" t="n">
        <v>0.079</v>
      </c>
      <c r="L387" t="n">
        <v>0.079</v>
      </c>
      <c r="M387" t="n">
        <v>0.079</v>
      </c>
      <c r="N387" t="n">
        <v>0.079</v>
      </c>
      <c r="O387" t="n">
        <v>0.079</v>
      </c>
      <c r="P387" t="n">
        <v>0.079</v>
      </c>
      <c r="Q387" t="n">
        <v>0.079</v>
      </c>
      <c r="R387" t="n">
        <v>0.079</v>
      </c>
      <c r="S387" t="n">
        <v>0.079</v>
      </c>
      <c r="T387" t="n">
        <v>0.079</v>
      </c>
      <c r="U387" t="n">
        <v>0.079</v>
      </c>
      <c r="V387" t="n">
        <v>0.079</v>
      </c>
      <c r="W387" t="n">
        <v>0.079</v>
      </c>
      <c r="X387" t="n">
        <v>0.079</v>
      </c>
      <c r="Y387" t="n">
        <v>0.079</v>
      </c>
      <c r="Z387" t="n">
        <v>0.079</v>
      </c>
      <c r="AA387" t="n">
        <v>0.079</v>
      </c>
      <c r="AB387" t="n">
        <v>0.079</v>
      </c>
      <c r="AC387" t="n">
        <v>0.079</v>
      </c>
      <c r="AD387" t="n">
        <v>0.079</v>
      </c>
      <c r="AE387" t="n">
        <v>0.079</v>
      </c>
      <c r="AF387" t="n">
        <v>0</v>
      </c>
      <c r="AG387" t="n">
        <v>0</v>
      </c>
      <c r="AH387" t="n">
        <v>0</v>
      </c>
      <c r="AI387" t="n">
        <v>0</v>
      </c>
      <c r="AJ387" t="n">
        <v>1.1</v>
      </c>
      <c r="AK387" t="n">
        <v>1.062</v>
      </c>
      <c r="AL387" t="n">
        <v>1.233</v>
      </c>
      <c r="AM387" t="n">
        <v>1.877</v>
      </c>
      <c r="AN387" t="n">
        <v>1.479</v>
      </c>
      <c r="AO387" t="n">
        <v>2.37</v>
      </c>
      <c r="AP387" t="n">
        <v>1.782</v>
      </c>
      <c r="AQ387" t="n">
        <v>2.2</v>
      </c>
      <c r="AR387" t="n">
        <v>1.839</v>
      </c>
      <c r="AS387" t="n">
        <v>1.479</v>
      </c>
      <c r="AT387" t="n">
        <v>1.536</v>
      </c>
      <c r="AU387" t="n">
        <v>1.966</v>
      </c>
      <c r="AV387" t="n">
        <v>2.396</v>
      </c>
      <c r="AW387" t="n">
        <v>2.825</v>
      </c>
      <c r="AX387" t="n">
        <v>3.151</v>
      </c>
      <c r="AY387" t="n">
        <v>3.476</v>
      </c>
      <c r="AZ387" t="n">
        <v>3.802</v>
      </c>
      <c r="BA387" t="n">
        <v>4.129</v>
      </c>
      <c r="BB387" t="n">
        <v>4.453</v>
      </c>
      <c r="BC387" t="n">
        <v>4.839</v>
      </c>
      <c r="BD387" t="n">
        <v>4.819</v>
      </c>
      <c r="BE387" t="n">
        <v>6.372</v>
      </c>
      <c r="BF387" t="n">
        <v>5.117</v>
      </c>
      <c r="BG387" t="n">
        <v>5.239</v>
      </c>
      <c r="BH387" t="n">
        <v>4.33</v>
      </c>
      <c r="BI387" t="n">
        <v>3.543</v>
      </c>
      <c r="BJ387" t="n">
        <v>2.946</v>
      </c>
      <c r="BK387" t="n">
        <v>2.965</v>
      </c>
      <c r="BL387" t="n">
        <v>2.769</v>
      </c>
      <c r="BM387" t="n">
        <v>2.573</v>
      </c>
      <c r="BN387" t="n">
        <v>2.377</v>
      </c>
      <c r="BO387" t="n">
        <v>2.181</v>
      </c>
      <c r="BP387" t="n">
        <v>1.985</v>
      </c>
      <c r="BQ387" t="n">
        <v>1.789</v>
      </c>
      <c r="BR387" t="n">
        <v>1.86</v>
      </c>
      <c r="BS387" t="n">
        <v>1.931</v>
      </c>
      <c r="BT387" t="n">
        <v>3.524</v>
      </c>
      <c r="BU387" t="n">
        <v>2.063</v>
      </c>
      <c r="BV387" t="n">
        <v>2.13</v>
      </c>
    </row>
    <row r="388">
      <c r="A388" t="inlineStr">
        <is>
          <t>Pomacentridae</t>
        </is>
      </c>
      <c r="B388" t="inlineStr">
        <is>
          <t>Damselfishes</t>
        </is>
      </c>
      <c r="C388" t="inlineStr">
        <is>
          <t>Small reef assoc. fish (&lt;30 cm)</t>
        </is>
      </c>
      <c r="D388" t="inlineStr">
        <is>
          <t>Perch-likes</t>
        </is>
      </c>
      <c r="E388" t="n">
        <v>0.351</v>
      </c>
      <c r="F388" t="n">
        <v>0.351</v>
      </c>
      <c r="G388" t="n">
        <v>0.351</v>
      </c>
      <c r="H388" t="n">
        <v>0.398</v>
      </c>
      <c r="I388" t="n">
        <v>0.398</v>
      </c>
      <c r="J388" t="n">
        <v>0.414</v>
      </c>
      <c r="K388" t="n">
        <v>0.414</v>
      </c>
      <c r="L388" t="n">
        <v>0.414</v>
      </c>
      <c r="M388" t="n">
        <v>0.414</v>
      </c>
      <c r="N388" t="n">
        <v>0.414</v>
      </c>
      <c r="O388" t="n">
        <v>0.351</v>
      </c>
      <c r="P388" t="n">
        <v>0.351</v>
      </c>
      <c r="Q388" t="n">
        <v>0.351</v>
      </c>
      <c r="R388" t="n">
        <v>0.351</v>
      </c>
      <c r="S388" t="n">
        <v>0.351</v>
      </c>
      <c r="T388" t="n">
        <v>0.5610000000000001</v>
      </c>
      <c r="U388" t="n">
        <v>0.6820000000000001</v>
      </c>
      <c r="V388" t="n">
        <v>0.768</v>
      </c>
      <c r="W388" t="n">
        <v>0.723</v>
      </c>
      <c r="X388" t="n">
        <v>0.797</v>
      </c>
      <c r="Y388" t="n">
        <v>1.069</v>
      </c>
      <c r="Z388" t="n">
        <v>1.036</v>
      </c>
      <c r="AA388" t="n">
        <v>0.741</v>
      </c>
      <c r="AB388" t="n">
        <v>1.039</v>
      </c>
      <c r="AC388" t="n">
        <v>1.054</v>
      </c>
      <c r="AD388" t="n">
        <v>0.74</v>
      </c>
      <c r="AE388" t="n">
        <v>0.89</v>
      </c>
      <c r="AF388" t="n">
        <v>0.724</v>
      </c>
      <c r="AG388" t="n">
        <v>0.644</v>
      </c>
      <c r="AH388" t="n">
        <v>0.797</v>
      </c>
      <c r="AI388" t="n">
        <v>0.968</v>
      </c>
      <c r="AJ388" t="n">
        <v>0.9389999999999999</v>
      </c>
      <c r="AK388" t="n">
        <v>0.718</v>
      </c>
      <c r="AL388" t="n">
        <v>0.892</v>
      </c>
      <c r="AM388" t="n">
        <v>1.163</v>
      </c>
      <c r="AN388" t="n">
        <v>1.3</v>
      </c>
      <c r="AO388" t="n">
        <v>1.31</v>
      </c>
      <c r="AP388" t="n">
        <v>1.297</v>
      </c>
      <c r="AQ388" t="n">
        <v>1.72</v>
      </c>
      <c r="AR388" t="n">
        <v>1.807</v>
      </c>
      <c r="AS388" t="n">
        <v>2.043</v>
      </c>
      <c r="AT388" t="n">
        <v>2.124</v>
      </c>
      <c r="AU388" t="n">
        <v>2.336</v>
      </c>
      <c r="AV388" t="n">
        <v>2.668</v>
      </c>
      <c r="AW388" t="n">
        <v>3.046</v>
      </c>
      <c r="AX388" t="n">
        <v>2.965</v>
      </c>
      <c r="AY388" t="n">
        <v>2.875</v>
      </c>
      <c r="AZ388" t="n">
        <v>2.708</v>
      </c>
      <c r="BA388" t="n">
        <v>3.05</v>
      </c>
      <c r="BB388" t="n">
        <v>3.314</v>
      </c>
      <c r="BC388" t="n">
        <v>2.813</v>
      </c>
      <c r="BD388" t="n">
        <v>3.054</v>
      </c>
      <c r="BE388" t="n">
        <v>3.932</v>
      </c>
      <c r="BF388" t="n">
        <v>3.61</v>
      </c>
      <c r="BG388" t="n">
        <v>3.688</v>
      </c>
      <c r="BH388" t="n">
        <v>4.3</v>
      </c>
      <c r="BI388" t="n">
        <v>4.436</v>
      </c>
      <c r="BJ388" t="n">
        <v>3.334</v>
      </c>
      <c r="BK388" t="n">
        <v>3.1</v>
      </c>
      <c r="BL388" t="n">
        <v>2.525</v>
      </c>
      <c r="BM388" t="n">
        <v>2.058</v>
      </c>
      <c r="BN388" t="n">
        <v>2.575</v>
      </c>
      <c r="BO388" t="n">
        <v>2.332</v>
      </c>
      <c r="BP388" t="n">
        <v>1.845</v>
      </c>
      <c r="BQ388" t="n">
        <v>1.834</v>
      </c>
      <c r="BR388" t="n">
        <v>1.575</v>
      </c>
      <c r="BS388" t="n">
        <v>1.634</v>
      </c>
      <c r="BT388" t="n">
        <v>1.634</v>
      </c>
      <c r="BU388" t="n">
        <v>1.634</v>
      </c>
      <c r="BV388" t="n">
        <v>0.874</v>
      </c>
    </row>
    <row r="389">
      <c r="A389" t="inlineStr">
        <is>
          <t>Platycaranx talamparoides</t>
        </is>
      </c>
      <c r="B389" t="inlineStr">
        <is>
          <t>Imposter trevally</t>
        </is>
      </c>
      <c r="C389" t="inlineStr">
        <is>
          <t>Medium pelagics (30 - 89 cm)</t>
        </is>
      </c>
      <c r="D389" t="inlineStr">
        <is>
          <t>Perch-likes</t>
        </is>
      </c>
      <c r="E389" t="n">
        <v>0</v>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17.955</v>
      </c>
      <c r="BO389" t="n">
        <v>15.856</v>
      </c>
      <c r="BP389" t="n">
        <v>9.728999999999999</v>
      </c>
      <c r="BQ389" t="n">
        <v>9.723000000000001</v>
      </c>
      <c r="BR389" t="n">
        <v>10.509</v>
      </c>
      <c r="BS389" t="n">
        <v>11.08</v>
      </c>
      <c r="BT389" t="n">
        <v>11.027</v>
      </c>
      <c r="BU389" t="n">
        <v>11.552</v>
      </c>
      <c r="BV389" t="n">
        <v>9.989000000000001</v>
      </c>
    </row>
    <row r="390">
      <c r="A390" t="inlineStr">
        <is>
          <t>Tetrapturus angustirostris</t>
        </is>
      </c>
      <c r="B390" t="inlineStr">
        <is>
          <t>Shortbill spearfish</t>
        </is>
      </c>
      <c r="C390" t="inlineStr">
        <is>
          <t>Large pelagics (&gt;=90 cm)</t>
        </is>
      </c>
      <c r="D390" t="inlineStr">
        <is>
          <t>Tuna &amp; billfishes</t>
        </is>
      </c>
      <c r="E390" t="n">
        <v>0</v>
      </c>
      <c r="F390" t="n">
        <v>0</v>
      </c>
      <c r="G390" t="n">
        <v>0.6870000000000001</v>
      </c>
      <c r="H390" t="n">
        <v>1.974</v>
      </c>
      <c r="I390" t="n">
        <v>3.954</v>
      </c>
      <c r="J390" t="n">
        <v>2.646</v>
      </c>
      <c r="K390" t="n">
        <v>5.469</v>
      </c>
      <c r="L390" t="n">
        <v>0.9389999999999999</v>
      </c>
      <c r="M390" t="n">
        <v>0.222</v>
      </c>
      <c r="N390" t="n">
        <v>2.233</v>
      </c>
      <c r="O390" t="n">
        <v>6.28</v>
      </c>
      <c r="P390" t="n">
        <v>4.081</v>
      </c>
      <c r="Q390" t="n">
        <v>0.759</v>
      </c>
      <c r="R390" t="n">
        <v>0.22</v>
      </c>
      <c r="S390" t="n">
        <v>1.477</v>
      </c>
      <c r="T390" t="n">
        <v>0.656</v>
      </c>
      <c r="U390" t="n">
        <v>0.21</v>
      </c>
      <c r="V390" t="n">
        <v>0.672</v>
      </c>
      <c r="W390" t="n">
        <v>0.282</v>
      </c>
      <c r="X390" t="n">
        <v>3.718</v>
      </c>
      <c r="Y390" t="n">
        <v>7.218</v>
      </c>
      <c r="Z390" t="n">
        <v>0.111</v>
      </c>
      <c r="AA390" t="n">
        <v>0.219</v>
      </c>
      <c r="AB390" t="n">
        <v>0.286</v>
      </c>
      <c r="AC390" t="n">
        <v>0.004</v>
      </c>
      <c r="AD390" t="n">
        <v>1.965</v>
      </c>
      <c r="AE390" t="n">
        <v>0</v>
      </c>
      <c r="AF390" t="n">
        <v>0.001</v>
      </c>
      <c r="AG390" t="n">
        <v>0.549</v>
      </c>
      <c r="AH390" t="n">
        <v>6.111</v>
      </c>
      <c r="AI390" t="n">
        <v>0.646</v>
      </c>
      <c r="AJ390" t="n">
        <v>0.392</v>
      </c>
      <c r="AK390" t="n">
        <v>0.175</v>
      </c>
      <c r="AL390" t="n">
        <v>0.513</v>
      </c>
      <c r="AM390" t="n">
        <v>2.315</v>
      </c>
      <c r="AN390" t="n">
        <v>0.267</v>
      </c>
      <c r="AO390" t="n">
        <v>3.337</v>
      </c>
      <c r="AP390" t="n">
        <v>1.275</v>
      </c>
      <c r="AQ390" t="n">
        <v>0.168</v>
      </c>
      <c r="AR390" t="n">
        <v>1.169</v>
      </c>
      <c r="AS390" t="n">
        <v>0.114</v>
      </c>
      <c r="AT390" t="n">
        <v>0.054</v>
      </c>
      <c r="AU390" t="n">
        <v>0.143</v>
      </c>
      <c r="AV390" t="n">
        <v>0.036</v>
      </c>
      <c r="AW390" t="n">
        <v>0.13</v>
      </c>
      <c r="AX390" t="n">
        <v>0.633</v>
      </c>
      <c r="AY390" t="n">
        <v>0.539</v>
      </c>
      <c r="AZ390" t="n">
        <v>0.258</v>
      </c>
      <c r="BA390" t="n">
        <v>0.155</v>
      </c>
      <c r="BB390" t="n">
        <v>0.712</v>
      </c>
      <c r="BC390" t="n">
        <v>0.824</v>
      </c>
      <c r="BD390" t="n">
        <v>1.097</v>
      </c>
      <c r="BE390" t="n">
        <v>1.541</v>
      </c>
      <c r="BF390" t="n">
        <v>6.706</v>
      </c>
      <c r="BG390" t="n">
        <v>1.029</v>
      </c>
      <c r="BH390" t="n">
        <v>0.991</v>
      </c>
      <c r="BI390" t="n">
        <v>1.261</v>
      </c>
      <c r="BJ390" t="n">
        <v>1.828</v>
      </c>
      <c r="BK390" t="n">
        <v>2.444</v>
      </c>
      <c r="BL390" t="n">
        <v>1.272</v>
      </c>
      <c r="BM390" t="n">
        <v>0.329</v>
      </c>
      <c r="BN390" t="n">
        <v>0.328</v>
      </c>
      <c r="BO390" t="n">
        <v>0.027</v>
      </c>
      <c r="BP390" t="n">
        <v>0</v>
      </c>
      <c r="BQ390" t="n">
        <v>0.014</v>
      </c>
      <c r="BR390" t="n">
        <v>0.04</v>
      </c>
      <c r="BS390" t="n">
        <v>0.02</v>
      </c>
      <c r="BT390" t="n">
        <v>0.293</v>
      </c>
      <c r="BU390" t="n">
        <v>0.828</v>
      </c>
      <c r="BV390" t="n">
        <v>2.793</v>
      </c>
    </row>
    <row r="391">
      <c r="A391" t="inlineStr">
        <is>
          <t>Maculabatis gerrardi</t>
        </is>
      </c>
      <c r="B391" t="inlineStr">
        <is>
          <t>Sharpnose stingray</t>
        </is>
      </c>
      <c r="C391" t="inlineStr">
        <is>
          <t>Large rays (&gt;=90 cm)</t>
        </is>
      </c>
      <c r="D391" t="inlineStr">
        <is>
          <t>Sharks &amp; rays</t>
        </is>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35.57</v>
      </c>
      <c r="BU391" t="n">
        <v>28.453</v>
      </c>
      <c r="BV391" t="n">
        <v>23.709</v>
      </c>
    </row>
    <row r="392">
      <c r="A392" t="inlineStr">
        <is>
          <t>Decapterus macarellus</t>
        </is>
      </c>
      <c r="B392" t="inlineStr">
        <is>
          <t>Mackerel scad</t>
        </is>
      </c>
      <c r="C392" t="inlineStr">
        <is>
          <t>Medium pelagics (30 - 89 cm)</t>
        </is>
      </c>
      <c r="D392" t="inlineStr">
        <is>
          <t>Perch-likes</t>
        </is>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30.544</v>
      </c>
      <c r="BS392" t="n">
        <v>5.003</v>
      </c>
      <c r="BT392" t="n">
        <v>6.316</v>
      </c>
      <c r="BU392" t="n">
        <v>24.359</v>
      </c>
      <c r="BV392" t="n">
        <v>16.437</v>
      </c>
    </row>
    <row r="393">
      <c r="A393" t="inlineStr">
        <is>
          <t>Epinephelus polyphekadion</t>
        </is>
      </c>
      <c r="B393" t="inlineStr">
        <is>
          <t>Camouflage grouper</t>
        </is>
      </c>
      <c r="C393" t="inlineStr">
        <is>
          <t>Large reef assoc. fish (&gt;=90 cm)</t>
        </is>
      </c>
      <c r="D393" t="inlineStr">
        <is>
          <t>Perch-likes</t>
        </is>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0.8100000000000001</v>
      </c>
      <c r="AX393" t="n">
        <v>3.447</v>
      </c>
      <c r="AY393" t="n">
        <v>3.278</v>
      </c>
      <c r="AZ393" t="n">
        <v>4.498</v>
      </c>
      <c r="BA393" t="n">
        <v>1.788</v>
      </c>
      <c r="BB393" t="n">
        <v>2.53</v>
      </c>
      <c r="BC393" t="n">
        <v>2.181</v>
      </c>
      <c r="BD393" t="n">
        <v>2.498</v>
      </c>
      <c r="BE393" t="n">
        <v>5.358</v>
      </c>
      <c r="BF393" t="n">
        <v>1.687</v>
      </c>
      <c r="BG393" t="n">
        <v>1.041</v>
      </c>
      <c r="BH393" t="n">
        <v>1.209</v>
      </c>
      <c r="BI393" t="n">
        <v>1.372</v>
      </c>
      <c r="BJ393" t="n">
        <v>1.489</v>
      </c>
      <c r="BK393" t="n">
        <v>1.877</v>
      </c>
      <c r="BL393" t="n">
        <v>2.587</v>
      </c>
      <c r="BM393" t="n">
        <v>2.021</v>
      </c>
      <c r="BN393" t="n">
        <v>2.529</v>
      </c>
      <c r="BO393" t="n">
        <v>2.29</v>
      </c>
      <c r="BP393" t="n">
        <v>1.812</v>
      </c>
      <c r="BQ393" t="n">
        <v>1.802</v>
      </c>
      <c r="BR393" t="n">
        <v>3.271</v>
      </c>
      <c r="BS393" t="n">
        <v>2.906</v>
      </c>
      <c r="BT393" t="n">
        <v>1.735</v>
      </c>
      <c r="BU393" t="n">
        <v>3.827</v>
      </c>
      <c r="BV393" t="n">
        <v>20.75</v>
      </c>
    </row>
    <row r="394">
      <c r="A394" t="inlineStr">
        <is>
          <t>Holothuria fuscogilva</t>
        </is>
      </c>
      <c r="B394" t="inlineStr">
        <is>
          <t>White teatfish</t>
        </is>
      </c>
      <c r="C394" t="inlineStr">
        <is>
          <t>Other demersal invertebrates</t>
        </is>
      </c>
      <c r="D394" t="inlineStr">
        <is>
          <t>Other fishes &amp; inverts</t>
        </is>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0.55</v>
      </c>
      <c r="AK394" t="n">
        <v>0.531</v>
      </c>
      <c r="AL394" t="n">
        <v>0.616</v>
      </c>
      <c r="AM394" t="n">
        <v>0.9389999999999999</v>
      </c>
      <c r="AN394" t="n">
        <v>0.74</v>
      </c>
      <c r="AO394" t="n">
        <v>1.185</v>
      </c>
      <c r="AP394" t="n">
        <v>0.891</v>
      </c>
      <c r="AQ394" t="n">
        <v>1.1</v>
      </c>
      <c r="AR394" t="n">
        <v>0.92</v>
      </c>
      <c r="AS394" t="n">
        <v>0.74</v>
      </c>
      <c r="AT394" t="n">
        <v>0.768</v>
      </c>
      <c r="AU394" t="n">
        <v>0.983</v>
      </c>
      <c r="AV394" t="n">
        <v>1.198</v>
      </c>
      <c r="AW394" t="n">
        <v>1.413</v>
      </c>
      <c r="AX394" t="n">
        <v>1.576</v>
      </c>
      <c r="AY394" t="n">
        <v>1.738</v>
      </c>
      <c r="AZ394" t="n">
        <v>1.901</v>
      </c>
      <c r="BA394" t="n">
        <v>6.334</v>
      </c>
      <c r="BB394" t="n">
        <v>7.351</v>
      </c>
      <c r="BC394" t="n">
        <v>8.368</v>
      </c>
      <c r="BD394" t="n">
        <v>9.459</v>
      </c>
      <c r="BE394" t="n">
        <v>7.135</v>
      </c>
      <c r="BF394" t="n">
        <v>6.091</v>
      </c>
      <c r="BG394" t="n">
        <v>2.485</v>
      </c>
      <c r="BH394" t="n">
        <v>1.441</v>
      </c>
      <c r="BI394" t="n">
        <v>1.143</v>
      </c>
      <c r="BJ394" t="n">
        <v>0.844</v>
      </c>
      <c r="BK394" t="n">
        <v>0.853</v>
      </c>
      <c r="BL394" t="n">
        <v>0.755</v>
      </c>
      <c r="BM394" t="n">
        <v>0.657</v>
      </c>
      <c r="BN394" t="n">
        <v>0.5590000000000001</v>
      </c>
      <c r="BO394" t="n">
        <v>0.461</v>
      </c>
      <c r="BP394" t="n">
        <v>0.364</v>
      </c>
      <c r="BQ394" t="n">
        <v>0.266</v>
      </c>
      <c r="BR394" t="n">
        <v>0.301</v>
      </c>
      <c r="BS394" t="n">
        <v>0.336</v>
      </c>
      <c r="BT394" t="n">
        <v>0.372</v>
      </c>
      <c r="BU394" t="n">
        <v>0.407</v>
      </c>
      <c r="BV394" t="n">
        <v>0.443</v>
      </c>
    </row>
    <row r="395">
      <c r="A395" t="inlineStr">
        <is>
          <t>Thunnus</t>
        </is>
      </c>
      <c r="B395" t="inlineStr">
        <is>
          <t>Tunas</t>
        </is>
      </c>
      <c r="C395" t="inlineStr">
        <is>
          <t>Large pelagics (&gt;=90 cm)</t>
        </is>
      </c>
      <c r="D395" t="inlineStr">
        <is>
          <t>Tuna &amp; billfishes</t>
        </is>
      </c>
      <c r="E395" t="n">
        <v>0</v>
      </c>
      <c r="F395" t="n">
        <v>0</v>
      </c>
      <c r="G395" t="n">
        <v>0</v>
      </c>
      <c r="H395" t="n">
        <v>0</v>
      </c>
      <c r="I395" t="n">
        <v>0.007</v>
      </c>
      <c r="J395" t="n">
        <v>0.008</v>
      </c>
      <c r="K395" t="n">
        <v>0.016</v>
      </c>
      <c r="L395" t="n">
        <v>0</v>
      </c>
      <c r="M395" t="n">
        <v>0.006</v>
      </c>
      <c r="N395" t="n">
        <v>0.006</v>
      </c>
      <c r="O395" t="n">
        <v>0.04</v>
      </c>
      <c r="P395" t="n">
        <v>0.036</v>
      </c>
      <c r="Q395" t="n">
        <v>0</v>
      </c>
      <c r="R395" t="n">
        <v>0.007</v>
      </c>
      <c r="S395" t="n">
        <v>0.006</v>
      </c>
      <c r="T395" t="n">
        <v>0</v>
      </c>
      <c r="U395" t="n">
        <v>0.005</v>
      </c>
      <c r="V395" t="n">
        <v>0</v>
      </c>
      <c r="W395" t="n">
        <v>0.013</v>
      </c>
      <c r="X395" t="n">
        <v>0</v>
      </c>
      <c r="Y395" t="n">
        <v>5.793</v>
      </c>
      <c r="Z395" t="n">
        <v>0</v>
      </c>
      <c r="AA395" t="n">
        <v>0</v>
      </c>
      <c r="AB395" t="n">
        <v>0</v>
      </c>
      <c r="AC395" t="n">
        <v>0</v>
      </c>
      <c r="AD395" t="n">
        <v>0</v>
      </c>
      <c r="AE395" t="n">
        <v>0.996</v>
      </c>
      <c r="AF395" t="n">
        <v>0.795</v>
      </c>
      <c r="AG395" t="n">
        <v>0</v>
      </c>
      <c r="AH395" t="n">
        <v>0.098</v>
      </c>
      <c r="AI395" t="n">
        <v>1.571</v>
      </c>
      <c r="AJ395" t="n">
        <v>0.112</v>
      </c>
      <c r="AK395" t="n">
        <v>0.767</v>
      </c>
      <c r="AL395" t="n">
        <v>0</v>
      </c>
      <c r="AM395" t="n">
        <v>0.005</v>
      </c>
      <c r="AN395" t="n">
        <v>0</v>
      </c>
      <c r="AO395" t="n">
        <v>0</v>
      </c>
      <c r="AP395" t="n">
        <v>0.147</v>
      </c>
      <c r="AQ395" t="n">
        <v>0.911</v>
      </c>
      <c r="AR395" t="n">
        <v>0.104</v>
      </c>
      <c r="AS395" t="n">
        <v>0.035</v>
      </c>
      <c r="AT395" t="n">
        <v>0</v>
      </c>
      <c r="AU395" t="n">
        <v>0.321</v>
      </c>
      <c r="AV395" t="n">
        <v>0.016</v>
      </c>
      <c r="AW395" t="n">
        <v>1.56</v>
      </c>
      <c r="AX395" t="n">
        <v>0.317</v>
      </c>
      <c r="AY395" t="n">
        <v>4.036</v>
      </c>
      <c r="AZ395" t="n">
        <v>4.99</v>
      </c>
      <c r="BA395" t="n">
        <v>9.109999999999999</v>
      </c>
      <c r="BB395" t="n">
        <v>0</v>
      </c>
      <c r="BC395" t="n">
        <v>0.346</v>
      </c>
      <c r="BD395" t="n">
        <v>0</v>
      </c>
      <c r="BE395" t="n">
        <v>0</v>
      </c>
      <c r="BF395" t="n">
        <v>0.925</v>
      </c>
      <c r="BG395" t="n">
        <v>1.463</v>
      </c>
      <c r="BH395" t="n">
        <v>0.054</v>
      </c>
      <c r="BI395" t="n">
        <v>1.322</v>
      </c>
      <c r="BJ395" t="n">
        <v>0.213</v>
      </c>
      <c r="BK395" t="n">
        <v>7.026</v>
      </c>
      <c r="BL395" t="n">
        <v>7.916</v>
      </c>
      <c r="BM395" t="n">
        <v>0.33</v>
      </c>
      <c r="BN395" t="n">
        <v>0.249</v>
      </c>
      <c r="BO395" t="n">
        <v>0.003</v>
      </c>
      <c r="BP395" t="n">
        <v>6.271</v>
      </c>
      <c r="BQ395" t="n">
        <v>9.475</v>
      </c>
      <c r="BR395" t="n">
        <v>4</v>
      </c>
      <c r="BS395" t="n">
        <v>0.1</v>
      </c>
      <c r="BT395" t="n">
        <v>0.038</v>
      </c>
      <c r="BU395" t="n">
        <v>0.135</v>
      </c>
      <c r="BV395" t="n">
        <v>0</v>
      </c>
    </row>
    <row r="396">
      <c r="A396" t="inlineStr">
        <is>
          <t>Myctophidae</t>
        </is>
      </c>
      <c r="B396" t="inlineStr">
        <is>
          <t>Lanternfishes</t>
        </is>
      </c>
      <c r="C396" t="inlineStr">
        <is>
          <t>Small pelagics (&lt;30 cm)</t>
        </is>
      </c>
      <c r="D396" t="inlineStr">
        <is>
          <t>Other fishes &amp; inverts</t>
        </is>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1.53</v>
      </c>
      <c r="AG396" t="n">
        <v>0</v>
      </c>
      <c r="AH396" t="n">
        <v>0</v>
      </c>
      <c r="AI396" t="n">
        <v>0.155</v>
      </c>
      <c r="AJ396" t="n">
        <v>0.37</v>
      </c>
      <c r="AK396" t="n">
        <v>6.391</v>
      </c>
      <c r="AL396" t="n">
        <v>3.087</v>
      </c>
      <c r="AM396" t="n">
        <v>45.521</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row>
    <row r="397">
      <c r="A397" t="inlineStr">
        <is>
          <t>Pristipomoides</t>
        </is>
      </c>
      <c r="B397" t="inlineStr">
        <is>
          <t>Jobfishes</t>
        </is>
      </c>
      <c r="C397" t="inlineStr">
        <is>
          <t>Medium demersals (30 - 89 cm)</t>
        </is>
      </c>
      <c r="D397" t="inlineStr">
        <is>
          <t>Perch-likes</t>
        </is>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48.36</v>
      </c>
    </row>
    <row r="398">
      <c r="A398" t="inlineStr">
        <is>
          <t>Bothidae</t>
        </is>
      </c>
      <c r="B398" t="inlineStr">
        <is>
          <t>Lefteye flounders</t>
        </is>
      </c>
      <c r="C398" t="inlineStr">
        <is>
          <t>Small to medium flatfishes (&lt;90 cm)</t>
        </is>
      </c>
      <c r="D398" t="inlineStr">
        <is>
          <t>Flatfishes</t>
        </is>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0.001</v>
      </c>
      <c r="AJ398" t="n">
        <v>0.001</v>
      </c>
      <c r="AK398" t="n">
        <v>0.001</v>
      </c>
      <c r="AL398" t="n">
        <v>0.001</v>
      </c>
      <c r="AM398" t="n">
        <v>0.001</v>
      </c>
      <c r="AN398" t="n">
        <v>0.001</v>
      </c>
      <c r="AO398" t="n">
        <v>0.001</v>
      </c>
      <c r="AP398" t="n">
        <v>0.001</v>
      </c>
      <c r="AQ398" t="n">
        <v>0.001</v>
      </c>
      <c r="AR398" t="n">
        <v>0.001</v>
      </c>
      <c r="AS398" t="n">
        <v>0.001</v>
      </c>
      <c r="AT398" t="n">
        <v>0.001</v>
      </c>
      <c r="AU398" t="n">
        <v>0.002</v>
      </c>
      <c r="AV398" t="n">
        <v>0.002</v>
      </c>
      <c r="AW398" t="n">
        <v>0.002</v>
      </c>
      <c r="AX398" t="n">
        <v>0.002</v>
      </c>
      <c r="AY398" t="n">
        <v>0</v>
      </c>
      <c r="AZ398" t="n">
        <v>0</v>
      </c>
      <c r="BA398" t="n">
        <v>4.962</v>
      </c>
      <c r="BB398" t="n">
        <v>2.481</v>
      </c>
      <c r="BC398" t="n">
        <v>6.202</v>
      </c>
      <c r="BD398" t="n">
        <v>0.001</v>
      </c>
      <c r="BE398" t="n">
        <v>11.787</v>
      </c>
      <c r="BF398" t="n">
        <v>15.237</v>
      </c>
      <c r="BG398" t="n">
        <v>0.64</v>
      </c>
      <c r="BH398" t="n">
        <v>0.002</v>
      </c>
      <c r="BI398" t="n">
        <v>0.002</v>
      </c>
      <c r="BJ398" t="n">
        <v>0.002</v>
      </c>
      <c r="BK398" t="n">
        <v>0.492</v>
      </c>
      <c r="BL398" t="n">
        <v>0.004</v>
      </c>
      <c r="BM398" t="n">
        <v>0.004</v>
      </c>
      <c r="BN398" t="n">
        <v>0.013</v>
      </c>
      <c r="BO398" t="n">
        <v>0.021</v>
      </c>
      <c r="BP398" t="n">
        <v>0.021</v>
      </c>
      <c r="BQ398" t="n">
        <v>0.021</v>
      </c>
      <c r="BR398" t="n">
        <v>0.021</v>
      </c>
      <c r="BS398" t="n">
        <v>0.021</v>
      </c>
      <c r="BT398" t="n">
        <v>0.006</v>
      </c>
      <c r="BU398" t="n">
        <v>0.008999999999999999</v>
      </c>
      <c r="BV398" t="n">
        <v>0.008</v>
      </c>
    </row>
    <row r="399">
      <c r="A399" t="inlineStr">
        <is>
          <t>Holothuria edulis</t>
        </is>
      </c>
      <c r="B399" t="inlineStr">
        <is>
          <t>Pinkfish</t>
        </is>
      </c>
      <c r="C399" t="inlineStr">
        <is>
          <t>Other demersal invertebrates</t>
        </is>
      </c>
      <c r="D399" t="inlineStr">
        <is>
          <t>Other fishes &amp; inverts</t>
        </is>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0.55</v>
      </c>
      <c r="AK399" t="n">
        <v>0.531</v>
      </c>
      <c r="AL399" t="n">
        <v>0.616</v>
      </c>
      <c r="AM399" t="n">
        <v>0.9379999999999999</v>
      </c>
      <c r="AN399" t="n">
        <v>0.739</v>
      </c>
      <c r="AO399" t="n">
        <v>1.185</v>
      </c>
      <c r="AP399" t="n">
        <v>0.891</v>
      </c>
      <c r="AQ399" t="n">
        <v>1.099</v>
      </c>
      <c r="AR399" t="n">
        <v>0.919</v>
      </c>
      <c r="AS399" t="n">
        <v>0.739</v>
      </c>
      <c r="AT399" t="n">
        <v>0.768</v>
      </c>
      <c r="AU399" t="n">
        <v>0.982</v>
      </c>
      <c r="AV399" t="n">
        <v>1.197</v>
      </c>
      <c r="AW399" t="n">
        <v>1.412</v>
      </c>
      <c r="AX399" t="n">
        <v>1.575</v>
      </c>
      <c r="AY399" t="n">
        <v>1.737</v>
      </c>
      <c r="AZ399" t="n">
        <v>1.9</v>
      </c>
      <c r="BA399" t="n">
        <v>2.063</v>
      </c>
      <c r="BB399" t="n">
        <v>2.226</v>
      </c>
      <c r="BC399" t="n">
        <v>2.388</v>
      </c>
      <c r="BD399" t="n">
        <v>2.199</v>
      </c>
      <c r="BE399" t="n">
        <v>2.009</v>
      </c>
      <c r="BF399" t="n">
        <v>1.82</v>
      </c>
      <c r="BG399" t="n">
        <v>1.63</v>
      </c>
      <c r="BH399" t="n">
        <v>1.441</v>
      </c>
      <c r="BI399" t="n">
        <v>1.142</v>
      </c>
      <c r="BJ399" t="n">
        <v>0.843</v>
      </c>
      <c r="BK399" t="n">
        <v>0.853</v>
      </c>
      <c r="BL399" t="n">
        <v>0.755</v>
      </c>
      <c r="BM399" t="n">
        <v>0.657</v>
      </c>
      <c r="BN399" t="n">
        <v>0.5590000000000001</v>
      </c>
      <c r="BO399" t="n">
        <v>0.461</v>
      </c>
      <c r="BP399" t="n">
        <v>0.363</v>
      </c>
      <c r="BQ399" t="n">
        <v>0.265</v>
      </c>
      <c r="BR399" t="n">
        <v>0.301</v>
      </c>
      <c r="BS399" t="n">
        <v>0.336</v>
      </c>
      <c r="BT399" t="n">
        <v>0.372</v>
      </c>
      <c r="BU399" t="n">
        <v>0.407</v>
      </c>
      <c r="BV399" t="n">
        <v>0.442</v>
      </c>
    </row>
    <row r="400">
      <c r="A400" t="inlineStr">
        <is>
          <t>Holothuria fuscopunctata</t>
        </is>
      </c>
      <c r="B400" t="inlineStr">
        <is>
          <t>Elephant trunkfish</t>
        </is>
      </c>
      <c r="C400" t="inlineStr">
        <is>
          <t>Other demersal invertebrates</t>
        </is>
      </c>
      <c r="D400" t="inlineStr">
        <is>
          <t>Other fishes &amp; inverts</t>
        </is>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0.548</v>
      </c>
      <c r="AK400" t="n">
        <v>0.529</v>
      </c>
      <c r="AL400" t="n">
        <v>0.614</v>
      </c>
      <c r="AM400" t="n">
        <v>0.9350000000000001</v>
      </c>
      <c r="AN400" t="n">
        <v>0.737</v>
      </c>
      <c r="AO400" t="n">
        <v>1.181</v>
      </c>
      <c r="AP400" t="n">
        <v>0.888</v>
      </c>
      <c r="AQ400" t="n">
        <v>1.096</v>
      </c>
      <c r="AR400" t="n">
        <v>0.916</v>
      </c>
      <c r="AS400" t="n">
        <v>0.737</v>
      </c>
      <c r="AT400" t="n">
        <v>0.765</v>
      </c>
      <c r="AU400" t="n">
        <v>0.979</v>
      </c>
      <c r="AV400" t="n">
        <v>1.193</v>
      </c>
      <c r="AW400" t="n">
        <v>1.407</v>
      </c>
      <c r="AX400" t="n">
        <v>1.57</v>
      </c>
      <c r="AY400" t="n">
        <v>1.732</v>
      </c>
      <c r="AZ400" t="n">
        <v>1.894</v>
      </c>
      <c r="BA400" t="n">
        <v>2.056</v>
      </c>
      <c r="BB400" t="n">
        <v>2.218</v>
      </c>
      <c r="BC400" t="n">
        <v>2.38</v>
      </c>
      <c r="BD400" t="n">
        <v>2.191</v>
      </c>
      <c r="BE400" t="n">
        <v>2.003</v>
      </c>
      <c r="BF400" t="n">
        <v>1.814</v>
      </c>
      <c r="BG400" t="n">
        <v>1.625</v>
      </c>
      <c r="BH400" t="n">
        <v>1.436</v>
      </c>
      <c r="BI400" t="n">
        <v>1.138</v>
      </c>
      <c r="BJ400" t="n">
        <v>0.841</v>
      </c>
      <c r="BK400" t="n">
        <v>0.85</v>
      </c>
      <c r="BL400" t="n">
        <v>0.753</v>
      </c>
      <c r="BM400" t="n">
        <v>0.655</v>
      </c>
      <c r="BN400" t="n">
        <v>0.5570000000000001</v>
      </c>
      <c r="BO400" t="n">
        <v>0.46</v>
      </c>
      <c r="BP400" t="n">
        <v>0.362</v>
      </c>
      <c r="BQ400" t="n">
        <v>0.264</v>
      </c>
      <c r="BR400" t="n">
        <v>0.3</v>
      </c>
      <c r="BS400" t="n">
        <v>0.335</v>
      </c>
      <c r="BT400" t="n">
        <v>0.37</v>
      </c>
      <c r="BU400" t="n">
        <v>0.406</v>
      </c>
      <c r="BV400" t="n">
        <v>0.441</v>
      </c>
    </row>
    <row r="401">
      <c r="A401" t="inlineStr">
        <is>
          <t>Holothuria leucospilota</t>
        </is>
      </c>
      <c r="B401" t="inlineStr">
        <is>
          <t>White threads fish</t>
        </is>
      </c>
      <c r="C401" t="inlineStr">
        <is>
          <t>Other demersal invertebrates</t>
        </is>
      </c>
      <c r="D401" t="inlineStr">
        <is>
          <t>Other fishes &amp; inverts</t>
        </is>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0.548</v>
      </c>
      <c r="AK401" t="n">
        <v>0.529</v>
      </c>
      <c r="AL401" t="n">
        <v>0.614</v>
      </c>
      <c r="AM401" t="n">
        <v>0.9350000000000001</v>
      </c>
      <c r="AN401" t="n">
        <v>0.737</v>
      </c>
      <c r="AO401" t="n">
        <v>1.181</v>
      </c>
      <c r="AP401" t="n">
        <v>0.888</v>
      </c>
      <c r="AQ401" t="n">
        <v>1.096</v>
      </c>
      <c r="AR401" t="n">
        <v>0.916</v>
      </c>
      <c r="AS401" t="n">
        <v>0.737</v>
      </c>
      <c r="AT401" t="n">
        <v>0.765</v>
      </c>
      <c r="AU401" t="n">
        <v>0.979</v>
      </c>
      <c r="AV401" t="n">
        <v>1.193</v>
      </c>
      <c r="AW401" t="n">
        <v>1.407</v>
      </c>
      <c r="AX401" t="n">
        <v>1.57</v>
      </c>
      <c r="AY401" t="n">
        <v>1.732</v>
      </c>
      <c r="AZ401" t="n">
        <v>1.894</v>
      </c>
      <c r="BA401" t="n">
        <v>2.056</v>
      </c>
      <c r="BB401" t="n">
        <v>2.218</v>
      </c>
      <c r="BC401" t="n">
        <v>2.38</v>
      </c>
      <c r="BD401" t="n">
        <v>2.191</v>
      </c>
      <c r="BE401" t="n">
        <v>2.002</v>
      </c>
      <c r="BF401" t="n">
        <v>1.814</v>
      </c>
      <c r="BG401" t="n">
        <v>1.625</v>
      </c>
      <c r="BH401" t="n">
        <v>1.436</v>
      </c>
      <c r="BI401" t="n">
        <v>1.138</v>
      </c>
      <c r="BJ401" t="n">
        <v>0.841</v>
      </c>
      <c r="BK401" t="n">
        <v>0.85</v>
      </c>
      <c r="BL401" t="n">
        <v>0.752</v>
      </c>
      <c r="BM401" t="n">
        <v>0.655</v>
      </c>
      <c r="BN401" t="n">
        <v>0.5570000000000001</v>
      </c>
      <c r="BO401" t="n">
        <v>0.46</v>
      </c>
      <c r="BP401" t="n">
        <v>0.362</v>
      </c>
      <c r="BQ401" t="n">
        <v>0.264</v>
      </c>
      <c r="BR401" t="n">
        <v>0.3</v>
      </c>
      <c r="BS401" t="n">
        <v>0.335</v>
      </c>
      <c r="BT401" t="n">
        <v>0.37</v>
      </c>
      <c r="BU401" t="n">
        <v>0.406</v>
      </c>
      <c r="BV401" t="n">
        <v>0.441</v>
      </c>
    </row>
    <row r="402">
      <c r="A402" t="inlineStr">
        <is>
          <t>Hexanchus griseus</t>
        </is>
      </c>
      <c r="B402" t="inlineStr">
        <is>
          <t>Bluntnose sixgill shark</t>
        </is>
      </c>
      <c r="C402" t="inlineStr">
        <is>
          <t>Large sharks (&gt;=90 cm)</t>
        </is>
      </c>
      <c r="D402" t="inlineStr">
        <is>
          <t>Sharks &amp; rays</t>
        </is>
      </c>
      <c r="E402" t="n">
        <v>1.677</v>
      </c>
      <c r="F402" t="n">
        <v>1.64</v>
      </c>
      <c r="G402" t="n">
        <v>1.604</v>
      </c>
      <c r="H402" t="n">
        <v>1.568</v>
      </c>
      <c r="I402" t="n">
        <v>1.532</v>
      </c>
      <c r="J402" t="n">
        <v>1.496</v>
      </c>
      <c r="K402" t="n">
        <v>1.459</v>
      </c>
      <c r="L402" t="n">
        <v>1.423</v>
      </c>
      <c r="M402" t="n">
        <v>1.387</v>
      </c>
      <c r="N402" t="n">
        <v>1.351</v>
      </c>
      <c r="O402" t="n">
        <v>1.315</v>
      </c>
      <c r="P402" t="n">
        <v>1.278</v>
      </c>
      <c r="Q402" t="n">
        <v>1.242</v>
      </c>
      <c r="R402" t="n">
        <v>1.214</v>
      </c>
      <c r="S402" t="n">
        <v>1.177</v>
      </c>
      <c r="T402" t="n">
        <v>1.141</v>
      </c>
      <c r="U402" t="n">
        <v>1.105</v>
      </c>
      <c r="V402" t="n">
        <v>1.069</v>
      </c>
      <c r="W402" t="n">
        <v>1.033</v>
      </c>
      <c r="X402" t="n">
        <v>0.996</v>
      </c>
      <c r="Y402" t="n">
        <v>0.96</v>
      </c>
      <c r="Z402" t="n">
        <v>0.913</v>
      </c>
      <c r="AA402" t="n">
        <v>0.865</v>
      </c>
      <c r="AB402" t="n">
        <v>0.8169999999999999</v>
      </c>
      <c r="AC402" t="n">
        <v>0.77</v>
      </c>
      <c r="AD402" t="n">
        <v>0.722</v>
      </c>
      <c r="AE402" t="n">
        <v>0.675</v>
      </c>
      <c r="AF402" t="n">
        <v>0.623</v>
      </c>
      <c r="AG402" t="n">
        <v>0.575</v>
      </c>
      <c r="AH402" t="n">
        <v>0.528</v>
      </c>
      <c r="AI402" t="n">
        <v>0.49</v>
      </c>
      <c r="AJ402" t="n">
        <v>0.468</v>
      </c>
      <c r="AK402" t="n">
        <v>0.507</v>
      </c>
      <c r="AL402" t="n">
        <v>0.425</v>
      </c>
      <c r="AM402" t="n">
        <v>0.4</v>
      </c>
      <c r="AN402" t="n">
        <v>0.315</v>
      </c>
      <c r="AO402" t="n">
        <v>0.239</v>
      </c>
      <c r="AP402" t="n">
        <v>0.201</v>
      </c>
      <c r="AQ402" t="n">
        <v>0.133</v>
      </c>
      <c r="AR402" t="n">
        <v>0.075</v>
      </c>
      <c r="AS402" t="n">
        <v>0.037</v>
      </c>
      <c r="AT402" t="n">
        <v>0.057</v>
      </c>
      <c r="AU402" t="n">
        <v>0.748</v>
      </c>
      <c r="AV402" t="n">
        <v>0.107</v>
      </c>
      <c r="AW402" t="n">
        <v>0.043</v>
      </c>
      <c r="AX402" t="n">
        <v>0</v>
      </c>
      <c r="AY402" t="n">
        <v>0.207</v>
      </c>
      <c r="AZ402" t="n">
        <v>0.063</v>
      </c>
      <c r="BA402" t="n">
        <v>0</v>
      </c>
      <c r="BB402" t="n">
        <v>0</v>
      </c>
      <c r="BC402" t="n">
        <v>0</v>
      </c>
      <c r="BD402" t="n">
        <v>0.053</v>
      </c>
      <c r="BE402" t="n">
        <v>0.089</v>
      </c>
      <c r="BF402" t="n">
        <v>0.079</v>
      </c>
      <c r="BG402" t="n">
        <v>0.179</v>
      </c>
      <c r="BH402" t="n">
        <v>0.008</v>
      </c>
      <c r="BI402" t="n">
        <v>0.015</v>
      </c>
      <c r="BJ402" t="n">
        <v>0.012</v>
      </c>
      <c r="BK402" t="n">
        <v>0.012</v>
      </c>
      <c r="BL402" t="n">
        <v>0.012</v>
      </c>
      <c r="BM402" t="n">
        <v>0.012</v>
      </c>
      <c r="BN402" t="n">
        <v>0.001</v>
      </c>
      <c r="BO402" t="n">
        <v>0.004</v>
      </c>
      <c r="BP402" t="n">
        <v>0.007</v>
      </c>
      <c r="BQ402" t="n">
        <v>0.003</v>
      </c>
      <c r="BR402" t="n">
        <v>0.001</v>
      </c>
      <c r="BS402" t="n">
        <v>0</v>
      </c>
      <c r="BT402" t="n">
        <v>0</v>
      </c>
      <c r="BU402" t="n">
        <v>0</v>
      </c>
      <c r="BV402" t="n">
        <v>0</v>
      </c>
    </row>
    <row r="403">
      <c r="A403" t="inlineStr">
        <is>
          <t>Scomber</t>
        </is>
      </c>
      <c r="B403" t="inlineStr">
        <is>
          <t>Chub mackerels</t>
        </is>
      </c>
      <c r="C403" t="inlineStr">
        <is>
          <t>Medium pelagics (30 - 89 cm)</t>
        </is>
      </c>
      <c r="D403" t="inlineStr">
        <is>
          <t>Perch-likes</t>
        </is>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5.111</v>
      </c>
      <c r="AJ403" t="n">
        <v>0</v>
      </c>
      <c r="AK403" t="n">
        <v>3.339</v>
      </c>
      <c r="AL403" t="n">
        <v>0</v>
      </c>
      <c r="AM403" t="n">
        <v>26.115</v>
      </c>
      <c r="AN403" t="n">
        <v>0</v>
      </c>
      <c r="AO403" t="n">
        <v>0</v>
      </c>
      <c r="AP403" t="n">
        <v>0</v>
      </c>
      <c r="AQ403" t="n">
        <v>0</v>
      </c>
      <c r="AR403" t="n">
        <v>0</v>
      </c>
      <c r="AS403" t="n">
        <v>0</v>
      </c>
      <c r="AT403" t="n">
        <v>0</v>
      </c>
      <c r="AU403" t="n">
        <v>0</v>
      </c>
      <c r="AV403" t="n">
        <v>0</v>
      </c>
      <c r="AW403" t="n">
        <v>0</v>
      </c>
      <c r="AX403" t="n">
        <v>0</v>
      </c>
      <c r="AY403" t="n">
        <v>0</v>
      </c>
      <c r="AZ403" t="n">
        <v>0</v>
      </c>
      <c r="BA403" t="n">
        <v>0</v>
      </c>
      <c r="BB403" t="n">
        <v>1.898</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row>
    <row r="404">
      <c r="A404" t="inlineStr">
        <is>
          <t>Carcharhinus obscurus</t>
        </is>
      </c>
      <c r="B404" t="inlineStr">
        <is>
          <t>Dusky shark</t>
        </is>
      </c>
      <c r="C404" t="inlineStr">
        <is>
          <t>Large sharks (&gt;=90 cm)</t>
        </is>
      </c>
      <c r="D404" t="inlineStr">
        <is>
          <t>Sharks &amp; rays</t>
        </is>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5.073</v>
      </c>
      <c r="BK404" t="n">
        <v>5.626</v>
      </c>
      <c r="BL404" t="n">
        <v>10.046</v>
      </c>
      <c r="BM404" t="n">
        <v>6.988</v>
      </c>
      <c r="BN404" t="n">
        <v>6.448</v>
      </c>
      <c r="BO404" t="n">
        <v>0</v>
      </c>
      <c r="BP404" t="n">
        <v>0</v>
      </c>
      <c r="BQ404" t="n">
        <v>0</v>
      </c>
      <c r="BR404" t="n">
        <v>0</v>
      </c>
      <c r="BS404" t="n">
        <v>0</v>
      </c>
      <c r="BT404" t="n">
        <v>0</v>
      </c>
      <c r="BU404" t="n">
        <v>0</v>
      </c>
      <c r="BV404" t="n">
        <v>0</v>
      </c>
    </row>
    <row r="405">
      <c r="A405" t="inlineStr">
        <is>
          <t>Panulirus versicolor</t>
        </is>
      </c>
      <c r="B405" t="inlineStr">
        <is>
          <t>Painted spiny lobster</t>
        </is>
      </c>
      <c r="C405" t="inlineStr">
        <is>
          <t>Lobsters, crabs</t>
        </is>
      </c>
      <c r="D405" t="inlineStr">
        <is>
          <t>Crustaceans</t>
        </is>
      </c>
      <c r="E405" t="n">
        <v>0.102</v>
      </c>
      <c r="F405" t="n">
        <v>0.105</v>
      </c>
      <c r="G405" t="n">
        <v>0.107</v>
      </c>
      <c r="H405" t="n">
        <v>0.109</v>
      </c>
      <c r="I405" t="n">
        <v>0.111</v>
      </c>
      <c r="J405" t="n">
        <v>0.113</v>
      </c>
      <c r="K405" t="n">
        <v>0.116</v>
      </c>
      <c r="L405" t="n">
        <v>0.118</v>
      </c>
      <c r="M405" t="n">
        <v>0.12</v>
      </c>
      <c r="N405" t="n">
        <v>0.123</v>
      </c>
      <c r="O405" t="n">
        <v>0.125</v>
      </c>
      <c r="P405" t="n">
        <v>0.128</v>
      </c>
      <c r="Q405" t="n">
        <v>0.131</v>
      </c>
      <c r="R405" t="n">
        <v>0.133</v>
      </c>
      <c r="S405" t="n">
        <v>0.136</v>
      </c>
      <c r="T405" t="n">
        <v>0.139</v>
      </c>
      <c r="U405" t="n">
        <v>0.142</v>
      </c>
      <c r="V405" t="n">
        <v>0.148</v>
      </c>
      <c r="W405" t="n">
        <v>0.155</v>
      </c>
      <c r="X405" t="n">
        <v>0.162</v>
      </c>
      <c r="Y405" t="n">
        <v>0.169</v>
      </c>
      <c r="Z405" t="n">
        <v>0.176</v>
      </c>
      <c r="AA405" t="n">
        <v>0.183</v>
      </c>
      <c r="AB405" t="n">
        <v>0.19</v>
      </c>
      <c r="AC405" t="n">
        <v>0.197</v>
      </c>
      <c r="AD405" t="n">
        <v>0.188</v>
      </c>
      <c r="AE405" t="n">
        <v>0.194</v>
      </c>
      <c r="AF405" t="n">
        <v>0.2</v>
      </c>
      <c r="AG405" t="n">
        <v>0.206</v>
      </c>
      <c r="AH405" t="n">
        <v>0.211</v>
      </c>
      <c r="AI405" t="n">
        <v>0.217</v>
      </c>
      <c r="AJ405" t="n">
        <v>0.222</v>
      </c>
      <c r="AK405" t="n">
        <v>0.214</v>
      </c>
      <c r="AL405" t="n">
        <v>0.248</v>
      </c>
      <c r="AM405" t="n">
        <v>0.377</v>
      </c>
      <c r="AN405" t="n">
        <v>0.296</v>
      </c>
      <c r="AO405" t="n">
        <v>0.878</v>
      </c>
      <c r="AP405" t="n">
        <v>0.659</v>
      </c>
      <c r="AQ405" t="n">
        <v>0.8120000000000001</v>
      </c>
      <c r="AR405" t="n">
        <v>0.678</v>
      </c>
      <c r="AS405" t="n">
        <v>0.545</v>
      </c>
      <c r="AT405" t="n">
        <v>0.5649999999999999</v>
      </c>
      <c r="AU405" t="n">
        <v>0.722</v>
      </c>
      <c r="AV405" t="n">
        <v>0.879</v>
      </c>
      <c r="AW405" t="n">
        <v>1.035</v>
      </c>
      <c r="AX405" t="n">
        <v>1.153</v>
      </c>
      <c r="AY405" t="n">
        <v>1.271</v>
      </c>
      <c r="AZ405" t="n">
        <v>1.388</v>
      </c>
      <c r="BA405" t="n">
        <v>1.505</v>
      </c>
      <c r="BB405" t="n">
        <v>1.621</v>
      </c>
      <c r="BC405" t="n">
        <v>1.738</v>
      </c>
      <c r="BD405" t="n">
        <v>1.598</v>
      </c>
      <c r="BE405" t="n">
        <v>1.458</v>
      </c>
      <c r="BF405" t="n">
        <v>1.319</v>
      </c>
      <c r="BG405" t="n">
        <v>1.18</v>
      </c>
      <c r="BH405" t="n">
        <v>1.041</v>
      </c>
      <c r="BI405" t="n">
        <v>0.824</v>
      </c>
      <c r="BJ405" t="n">
        <v>0.608</v>
      </c>
      <c r="BK405" t="n">
        <v>0.614</v>
      </c>
      <c r="BL405" t="n">
        <v>0.543</v>
      </c>
      <c r="BM405" t="n">
        <v>0.471</v>
      </c>
      <c r="BN405" t="n">
        <v>0.401</v>
      </c>
      <c r="BO405" t="n">
        <v>0.331</v>
      </c>
      <c r="BP405" t="n">
        <v>0.261</v>
      </c>
      <c r="BQ405" t="n">
        <v>0.19</v>
      </c>
      <c r="BR405" t="n">
        <v>0.216</v>
      </c>
      <c r="BS405" t="n">
        <v>0.241</v>
      </c>
      <c r="BT405" t="n">
        <v>0.266</v>
      </c>
      <c r="BU405" t="n">
        <v>0.292</v>
      </c>
      <c r="BV405" t="n">
        <v>0.401</v>
      </c>
    </row>
    <row r="406">
      <c r="A406" t="inlineStr">
        <is>
          <t>Penaeus latisulcatus</t>
        </is>
      </c>
      <c r="B406" t="inlineStr">
        <is>
          <t>Western king prawn</t>
        </is>
      </c>
      <c r="C406" t="inlineStr">
        <is>
          <t>Shrimps</t>
        </is>
      </c>
      <c r="D406" t="inlineStr">
        <is>
          <t>Crustaceans</t>
        </is>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0.251</v>
      </c>
      <c r="AG406" t="n">
        <v>0.147</v>
      </c>
      <c r="AH406" t="n">
        <v>0.133</v>
      </c>
      <c r="AI406" t="n">
        <v>0</v>
      </c>
      <c r="AJ406" t="n">
        <v>0.131</v>
      </c>
      <c r="AK406" t="n">
        <v>0.115</v>
      </c>
      <c r="AL406" t="n">
        <v>0.622</v>
      </c>
      <c r="AM406" t="n">
        <v>0.395</v>
      </c>
      <c r="AN406" t="n">
        <v>0.205</v>
      </c>
      <c r="AO406" t="n">
        <v>0.379</v>
      </c>
      <c r="AP406" t="n">
        <v>0.434</v>
      </c>
      <c r="AQ406" t="n">
        <v>0.31</v>
      </c>
      <c r="AR406" t="n">
        <v>0.31</v>
      </c>
      <c r="AS406" t="n">
        <v>0.285</v>
      </c>
      <c r="AT406" t="n">
        <v>0.37</v>
      </c>
      <c r="AU406" t="n">
        <v>0.392</v>
      </c>
      <c r="AV406" t="n">
        <v>0.772</v>
      </c>
      <c r="AW406" t="n">
        <v>0.385</v>
      </c>
      <c r="AX406" t="n">
        <v>1.542</v>
      </c>
      <c r="AY406" t="n">
        <v>1.511</v>
      </c>
      <c r="AZ406" t="n">
        <v>1.567</v>
      </c>
      <c r="BA406" t="n">
        <v>1.241</v>
      </c>
      <c r="BB406" t="n">
        <v>1.399</v>
      </c>
      <c r="BC406" t="n">
        <v>0.385</v>
      </c>
      <c r="BD406" t="n">
        <v>0.336</v>
      </c>
      <c r="BE406" t="n">
        <v>0.672</v>
      </c>
      <c r="BF406" t="n">
        <v>1.646</v>
      </c>
      <c r="BG406" t="n">
        <v>1.273</v>
      </c>
      <c r="BH406" t="n">
        <v>1.955</v>
      </c>
      <c r="BI406" t="n">
        <v>1.692</v>
      </c>
      <c r="BJ406" t="n">
        <v>1.857</v>
      </c>
      <c r="BK406" t="n">
        <v>1.123</v>
      </c>
      <c r="BL406" t="n">
        <v>0.921</v>
      </c>
      <c r="BM406" t="n">
        <v>0.478</v>
      </c>
      <c r="BN406" t="n">
        <v>0.542</v>
      </c>
      <c r="BO406" t="n">
        <v>0.396</v>
      </c>
      <c r="BP406" t="n">
        <v>0</v>
      </c>
      <c r="BQ406" t="n">
        <v>0.016</v>
      </c>
      <c r="BR406" t="n">
        <v>0.053</v>
      </c>
      <c r="BS406" t="n">
        <v>0.046</v>
      </c>
      <c r="BT406" t="n">
        <v>0.052</v>
      </c>
      <c r="BU406" t="n">
        <v>0.052</v>
      </c>
      <c r="BV406" t="n">
        <v>0.052</v>
      </c>
    </row>
    <row r="407">
      <c r="A407" t="inlineStr">
        <is>
          <t>Alopias</t>
        </is>
      </c>
      <c r="B407" t="inlineStr">
        <is>
          <t>Thresher sharks</t>
        </is>
      </c>
      <c r="C407" t="inlineStr">
        <is>
          <t>Large sharks (&gt;=90 cm)</t>
        </is>
      </c>
      <c r="D407" t="inlineStr">
        <is>
          <t>Sharks &amp; rays</t>
        </is>
      </c>
      <c r="E407" t="n">
        <v>0.015</v>
      </c>
      <c r="F407" t="n">
        <v>0.016</v>
      </c>
      <c r="G407" t="n">
        <v>0.016</v>
      </c>
      <c r="H407" t="n">
        <v>0.016</v>
      </c>
      <c r="I407" t="n">
        <v>0.017</v>
      </c>
      <c r="J407" t="n">
        <v>0.017</v>
      </c>
      <c r="K407" t="n">
        <v>0.018</v>
      </c>
      <c r="L407" t="n">
        <v>0.018</v>
      </c>
      <c r="M407" t="n">
        <v>0.018</v>
      </c>
      <c r="N407" t="n">
        <v>0.019</v>
      </c>
      <c r="O407" t="n">
        <v>0.019</v>
      </c>
      <c r="P407" t="n">
        <v>0.019</v>
      </c>
      <c r="Q407" t="n">
        <v>0.02</v>
      </c>
      <c r="R407" t="n">
        <v>0.02</v>
      </c>
      <c r="S407" t="n">
        <v>0.023</v>
      </c>
      <c r="T407" t="n">
        <v>0.026</v>
      </c>
      <c r="U407" t="n">
        <v>0.03</v>
      </c>
      <c r="V407" t="n">
        <v>0.033</v>
      </c>
      <c r="W407" t="n">
        <v>0.037</v>
      </c>
      <c r="X407" t="n">
        <v>0.04</v>
      </c>
      <c r="Y407" t="n">
        <v>0.021</v>
      </c>
      <c r="Z407" t="n">
        <v>0.038</v>
      </c>
      <c r="AA407" t="n">
        <v>0.134</v>
      </c>
      <c r="AB407" t="n">
        <v>0.061</v>
      </c>
      <c r="AC407" t="n">
        <v>0.153</v>
      </c>
      <c r="AD407" t="n">
        <v>0.162</v>
      </c>
      <c r="AE407" t="n">
        <v>0.134</v>
      </c>
      <c r="AF407" t="n">
        <v>0.384</v>
      </c>
      <c r="AG407" t="n">
        <v>0.509</v>
      </c>
      <c r="AH407" t="n">
        <v>0.423</v>
      </c>
      <c r="AI407" t="n">
        <v>0.624</v>
      </c>
      <c r="AJ407" t="n">
        <v>0.331</v>
      </c>
      <c r="AK407" t="n">
        <v>0.44</v>
      </c>
      <c r="AL407" t="n">
        <v>0.394</v>
      </c>
      <c r="AM407" t="n">
        <v>0.23</v>
      </c>
      <c r="AN407" t="n">
        <v>0.537</v>
      </c>
      <c r="AO407" t="n">
        <v>0.6830000000000001</v>
      </c>
      <c r="AP407" t="n">
        <v>0.749</v>
      </c>
      <c r="AQ407" t="n">
        <v>0.52</v>
      </c>
      <c r="AR407" t="n">
        <v>0.398</v>
      </c>
      <c r="AS407" t="n">
        <v>0.5620000000000001</v>
      </c>
      <c r="AT407" t="n">
        <v>0.599</v>
      </c>
      <c r="AU407" t="n">
        <v>0.528</v>
      </c>
      <c r="AV407" t="n">
        <v>0.497</v>
      </c>
      <c r="AW407" t="n">
        <v>0.298</v>
      </c>
      <c r="AX407" t="n">
        <v>0.356</v>
      </c>
      <c r="AY407" t="n">
        <v>0.46</v>
      </c>
      <c r="AZ407" t="n">
        <v>0.594</v>
      </c>
      <c r="BA407" t="n">
        <v>0.36</v>
      </c>
      <c r="BB407" t="n">
        <v>0.312</v>
      </c>
      <c r="BC407" t="n">
        <v>0.585</v>
      </c>
      <c r="BD407" t="n">
        <v>0.388</v>
      </c>
      <c r="BE407" t="n">
        <v>0.481</v>
      </c>
      <c r="BF407" t="n">
        <v>0.578</v>
      </c>
      <c r="BG407" t="n">
        <v>0.884</v>
      </c>
      <c r="BH407" t="n">
        <v>0.917</v>
      </c>
      <c r="BI407" t="n">
        <v>0.352</v>
      </c>
      <c r="BJ407" t="n">
        <v>0.322</v>
      </c>
      <c r="BK407" t="n">
        <v>0.222</v>
      </c>
      <c r="BL407" t="n">
        <v>0.188</v>
      </c>
      <c r="BM407" t="n">
        <v>0</v>
      </c>
      <c r="BN407" t="n">
        <v>0.04</v>
      </c>
      <c r="BO407" t="n">
        <v>0</v>
      </c>
      <c r="BP407" t="n">
        <v>2.357</v>
      </c>
      <c r="BQ407" t="n">
        <v>2.424</v>
      </c>
      <c r="BR407" t="n">
        <v>0.025</v>
      </c>
      <c r="BS407" t="n">
        <v>0</v>
      </c>
      <c r="BT407" t="n">
        <v>0.412</v>
      </c>
      <c r="BU407" t="n">
        <v>1.681</v>
      </c>
      <c r="BV407" t="n">
        <v>0</v>
      </c>
    </row>
    <row r="408">
      <c r="A408" t="inlineStr">
        <is>
          <t>Platax</t>
        </is>
      </c>
      <c r="B408" t="inlineStr">
        <is>
          <t>Spadefishes</t>
        </is>
      </c>
      <c r="C408" t="inlineStr">
        <is>
          <t>Medium reef assoc. fish (30 - 89 cm)</t>
        </is>
      </c>
      <c r="D408" t="inlineStr">
        <is>
          <t>Perch-likes</t>
        </is>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7.966</v>
      </c>
      <c r="BU408" t="n">
        <v>8.961</v>
      </c>
      <c r="BV408" t="n">
        <v>4.979</v>
      </c>
    </row>
    <row r="409">
      <c r="A409" t="inlineStr">
        <is>
          <t>Plectropomus laevis</t>
        </is>
      </c>
      <c r="B409" t="inlineStr">
        <is>
          <t>Blacksaddled coralgrouper</t>
        </is>
      </c>
      <c r="C409" t="inlineStr">
        <is>
          <t>Large reef assoc. fish (&gt;=90 cm)</t>
        </is>
      </c>
      <c r="D409" t="inlineStr">
        <is>
          <t>Perch-likes</t>
        </is>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0.297</v>
      </c>
      <c r="AX409" t="n">
        <v>1.262</v>
      </c>
      <c r="AY409" t="n">
        <v>1.2</v>
      </c>
      <c r="AZ409" t="n">
        <v>1.647</v>
      </c>
      <c r="BA409" t="n">
        <v>0.654</v>
      </c>
      <c r="BB409" t="n">
        <v>0.926</v>
      </c>
      <c r="BC409" t="n">
        <v>0.799</v>
      </c>
      <c r="BD409" t="n">
        <v>0.914</v>
      </c>
      <c r="BE409" t="n">
        <v>1.962</v>
      </c>
      <c r="BF409" t="n">
        <v>0.618</v>
      </c>
      <c r="BG409" t="n">
        <v>0.381</v>
      </c>
      <c r="BH409" t="n">
        <v>0.443</v>
      </c>
      <c r="BI409" t="n">
        <v>0.502</v>
      </c>
      <c r="BJ409" t="n">
        <v>0.545</v>
      </c>
      <c r="BK409" t="n">
        <v>0.6870000000000001</v>
      </c>
      <c r="BL409" t="n">
        <v>0.947</v>
      </c>
      <c r="BM409" t="n">
        <v>0.74</v>
      </c>
      <c r="BN409" t="n">
        <v>0</v>
      </c>
      <c r="BO409" t="n">
        <v>0</v>
      </c>
      <c r="BP409" t="n">
        <v>0</v>
      </c>
      <c r="BQ409" t="n">
        <v>0</v>
      </c>
      <c r="BR409" t="n">
        <v>0</v>
      </c>
      <c r="BS409" t="n">
        <v>0</v>
      </c>
      <c r="BT409" t="n">
        <v>0</v>
      </c>
      <c r="BU409" t="n">
        <v>0</v>
      </c>
      <c r="BV409" t="n">
        <v>0</v>
      </c>
    </row>
    <row r="410">
      <c r="A410" t="inlineStr">
        <is>
          <t>Cephalopholis argus</t>
        </is>
      </c>
      <c r="B410" t="inlineStr">
        <is>
          <t>Peacock hind</t>
        </is>
      </c>
      <c r="C410" t="inlineStr">
        <is>
          <t>Medium reef assoc. fish (30 - 89 cm)</t>
        </is>
      </c>
      <c r="D410" t="inlineStr">
        <is>
          <t>Perch-likes</t>
        </is>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0.184</v>
      </c>
      <c r="AX410" t="n">
        <v>0.782</v>
      </c>
      <c r="AY410" t="n">
        <v>0.743</v>
      </c>
      <c r="AZ410" t="n">
        <v>1.02</v>
      </c>
      <c r="BA410" t="n">
        <v>0.405</v>
      </c>
      <c r="BB410" t="n">
        <v>0.574</v>
      </c>
      <c r="BC410" t="n">
        <v>0.495</v>
      </c>
      <c r="BD410" t="n">
        <v>0.5659999999999999</v>
      </c>
      <c r="BE410" t="n">
        <v>1.215</v>
      </c>
      <c r="BF410" t="n">
        <v>0.383</v>
      </c>
      <c r="BG410" t="n">
        <v>0.236</v>
      </c>
      <c r="BH410" t="n">
        <v>0.274</v>
      </c>
      <c r="BI410" t="n">
        <v>0.311</v>
      </c>
      <c r="BJ410" t="n">
        <v>0.338</v>
      </c>
      <c r="BK410" t="n">
        <v>0.426</v>
      </c>
      <c r="BL410" t="n">
        <v>0.587</v>
      </c>
      <c r="BM410" t="n">
        <v>0.458</v>
      </c>
      <c r="BN410" t="n">
        <v>0.573</v>
      </c>
      <c r="BO410" t="n">
        <v>0.519</v>
      </c>
      <c r="BP410" t="n">
        <v>0.411</v>
      </c>
      <c r="BQ410" t="n">
        <v>0.409</v>
      </c>
      <c r="BR410" t="n">
        <v>0.742</v>
      </c>
      <c r="BS410" t="n">
        <v>0.659</v>
      </c>
      <c r="BT410" t="n">
        <v>0.394</v>
      </c>
      <c r="BU410" t="n">
        <v>0.868</v>
      </c>
      <c r="BV410" t="n">
        <v>0.952</v>
      </c>
    </row>
    <row r="411">
      <c r="A411" t="inlineStr">
        <is>
          <t>Panulirus penicillatus</t>
        </is>
      </c>
      <c r="B411" t="inlineStr">
        <is>
          <t>Pronghorn spiny lobster</t>
        </is>
      </c>
      <c r="C411" t="inlineStr">
        <is>
          <t>Lobsters, crabs</t>
        </is>
      </c>
      <c r="D411" t="inlineStr">
        <is>
          <t>Crustaceans</t>
        </is>
      </c>
      <c r="E411" t="n">
        <v>0.034</v>
      </c>
      <c r="F411" t="n">
        <v>0.035</v>
      </c>
      <c r="G411" t="n">
        <v>0.036</v>
      </c>
      <c r="H411" t="n">
        <v>0.036</v>
      </c>
      <c r="I411" t="n">
        <v>0.037</v>
      </c>
      <c r="J411" t="n">
        <v>0.038</v>
      </c>
      <c r="K411" t="n">
        <v>0.039</v>
      </c>
      <c r="L411" t="n">
        <v>0.039</v>
      </c>
      <c r="M411" t="n">
        <v>0.04</v>
      </c>
      <c r="N411" t="n">
        <v>0.041</v>
      </c>
      <c r="O411" t="n">
        <v>0.042</v>
      </c>
      <c r="P411" t="n">
        <v>0.043</v>
      </c>
      <c r="Q411" t="n">
        <v>0.044</v>
      </c>
      <c r="R411" t="n">
        <v>0.044</v>
      </c>
      <c r="S411" t="n">
        <v>0.045</v>
      </c>
      <c r="T411" t="n">
        <v>0.046</v>
      </c>
      <c r="U411" t="n">
        <v>0.047</v>
      </c>
      <c r="V411" t="n">
        <v>0.05</v>
      </c>
      <c r="W411" t="n">
        <v>0.052</v>
      </c>
      <c r="X411" t="n">
        <v>0.054</v>
      </c>
      <c r="Y411" t="n">
        <v>0.056</v>
      </c>
      <c r="Z411" t="n">
        <v>0.059</v>
      </c>
      <c r="AA411" t="n">
        <v>0.061</v>
      </c>
      <c r="AB411" t="n">
        <v>0.063</v>
      </c>
      <c r="AC411" t="n">
        <v>0.066</v>
      </c>
      <c r="AD411" t="n">
        <v>0.063</v>
      </c>
      <c r="AE411" t="n">
        <v>0.065</v>
      </c>
      <c r="AF411" t="n">
        <v>0.067</v>
      </c>
      <c r="AG411" t="n">
        <v>0.06900000000000001</v>
      </c>
      <c r="AH411" t="n">
        <v>0.07000000000000001</v>
      </c>
      <c r="AI411" t="n">
        <v>0.07199999999999999</v>
      </c>
      <c r="AJ411" t="n">
        <v>0.074</v>
      </c>
      <c r="AK411" t="n">
        <v>0.07099999999999999</v>
      </c>
      <c r="AL411" t="n">
        <v>0.083</v>
      </c>
      <c r="AM411" t="n">
        <v>0.126</v>
      </c>
      <c r="AN411" t="n">
        <v>0.099</v>
      </c>
      <c r="AO411" t="n">
        <v>0.293</v>
      </c>
      <c r="AP411" t="n">
        <v>0.22</v>
      </c>
      <c r="AQ411" t="n">
        <v>0.271</v>
      </c>
      <c r="AR411" t="n">
        <v>0.226</v>
      </c>
      <c r="AS411" t="n">
        <v>0.182</v>
      </c>
      <c r="AT411" t="n">
        <v>0.188</v>
      </c>
      <c r="AU411" t="n">
        <v>0.241</v>
      </c>
      <c r="AV411" t="n">
        <v>0.293</v>
      </c>
      <c r="AW411" t="n">
        <v>0.345</v>
      </c>
      <c r="AX411" t="n">
        <v>0.384</v>
      </c>
      <c r="AY411" t="n">
        <v>0.424</v>
      </c>
      <c r="AZ411" t="n">
        <v>0.463</v>
      </c>
      <c r="BA411" t="n">
        <v>0.502</v>
      </c>
      <c r="BB411" t="n">
        <v>0.541</v>
      </c>
      <c r="BC411" t="n">
        <v>0.579</v>
      </c>
      <c r="BD411" t="n">
        <v>0.533</v>
      </c>
      <c r="BE411" t="n">
        <v>0.486</v>
      </c>
      <c r="BF411" t="n">
        <v>0.44</v>
      </c>
      <c r="BG411" t="n">
        <v>0.393</v>
      </c>
      <c r="BH411" t="n">
        <v>0.347</v>
      </c>
      <c r="BI411" t="n">
        <v>0.275</v>
      </c>
      <c r="BJ411" t="n">
        <v>0.203</v>
      </c>
      <c r="BK411" t="n">
        <v>0.205</v>
      </c>
      <c r="BL411" t="n">
        <v>0.181</v>
      </c>
      <c r="BM411" t="n">
        <v>0.157</v>
      </c>
      <c r="BN411" t="n">
        <v>0.134</v>
      </c>
      <c r="BO411" t="n">
        <v>0.11</v>
      </c>
      <c r="BP411" t="n">
        <v>0.08699999999999999</v>
      </c>
      <c r="BQ411" t="n">
        <v>0.063</v>
      </c>
      <c r="BR411" t="n">
        <v>0.07199999999999999</v>
      </c>
      <c r="BS411" t="n">
        <v>0.08</v>
      </c>
      <c r="BT411" t="n">
        <v>0.089</v>
      </c>
      <c r="BU411" t="n">
        <v>0.097</v>
      </c>
      <c r="BV411" t="n">
        <v>0.106</v>
      </c>
    </row>
    <row r="412">
      <c r="A412" t="inlineStr">
        <is>
          <t>Loligo</t>
        </is>
      </c>
      <c r="B412" t="inlineStr">
        <is>
          <t>Common squids</t>
        </is>
      </c>
      <c r="C412" t="inlineStr">
        <is>
          <t>Cephalopods</t>
        </is>
      </c>
      <c r="D412" t="inlineStr">
        <is>
          <t>Other fishes &amp; inverts</t>
        </is>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8.5</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0.244</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row>
    <row r="413">
      <c r="A413" t="inlineStr">
        <is>
          <t>Priacanthidae</t>
        </is>
      </c>
      <c r="B413" t="inlineStr">
        <is>
          <t>Bigeyes, catalufas</t>
        </is>
      </c>
      <c r="C413" t="inlineStr">
        <is>
          <t>Medium reef assoc. fish (30 - 89 cm)</t>
        </is>
      </c>
      <c r="D413" t="inlineStr">
        <is>
          <t>Perch-likes</t>
        </is>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0.465</v>
      </c>
      <c r="AI413" t="n">
        <v>0.452</v>
      </c>
      <c r="AJ413" t="n">
        <v>0.519</v>
      </c>
      <c r="AK413" t="n">
        <v>0.5649999999999999</v>
      </c>
      <c r="AL413" t="n">
        <v>0</v>
      </c>
      <c r="AM413" t="n">
        <v>0.779</v>
      </c>
      <c r="AN413" t="n">
        <v>0.592</v>
      </c>
      <c r="AO413" t="n">
        <v>0.6840000000000001</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row>
    <row r="414">
      <c r="A414" t="inlineStr">
        <is>
          <t>Scarus ghobban</t>
        </is>
      </c>
      <c r="B414" t="inlineStr">
        <is>
          <t>Blue-barred parrotfish</t>
        </is>
      </c>
      <c r="C414" t="inlineStr">
        <is>
          <t>Medium reef assoc. fish (30 - 89 cm)</t>
        </is>
      </c>
      <c r="D414" t="inlineStr">
        <is>
          <t>Perch-likes</t>
        </is>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0.006</v>
      </c>
      <c r="BD414" t="n">
        <v>0.013</v>
      </c>
      <c r="BE414" t="n">
        <v>0.019</v>
      </c>
      <c r="BF414" t="n">
        <v>0.026</v>
      </c>
      <c r="BG414" t="n">
        <v>0.032</v>
      </c>
      <c r="BH414" t="n">
        <v>0.046</v>
      </c>
      <c r="BI414" t="n">
        <v>0.08</v>
      </c>
      <c r="BJ414" t="n">
        <v>0.115</v>
      </c>
      <c r="BK414" t="n">
        <v>0.131</v>
      </c>
      <c r="BL414" t="n">
        <v>0.148</v>
      </c>
      <c r="BM414" t="n">
        <v>0.165</v>
      </c>
      <c r="BN414" t="n">
        <v>0.184</v>
      </c>
      <c r="BO414" t="n">
        <v>0.199</v>
      </c>
      <c r="BP414" t="n">
        <v>0.214</v>
      </c>
      <c r="BQ414" t="n">
        <v>0.23</v>
      </c>
      <c r="BR414" t="n">
        <v>0.063</v>
      </c>
      <c r="BS414" t="n">
        <v>0.063</v>
      </c>
      <c r="BT414" t="n">
        <v>0.063</v>
      </c>
      <c r="BU414" t="n">
        <v>0.063</v>
      </c>
      <c r="BV414" t="n">
        <v>0.096</v>
      </c>
    </row>
    <row r="415">
      <c r="A415" t="inlineStr">
        <is>
          <t>Trichiurus</t>
        </is>
      </c>
      <c r="B415" t="inlineStr">
        <is>
          <t>Hairtails</t>
        </is>
      </c>
      <c r="C415" t="inlineStr">
        <is>
          <t>Large benthopelagics (&gt;=90 cm)</t>
        </is>
      </c>
      <c r="D415" t="inlineStr">
        <is>
          <t>Perch-likes</t>
        </is>
      </c>
      <c r="E415" t="n">
        <v>0.002</v>
      </c>
      <c r="F415" t="n">
        <v>0.002</v>
      </c>
      <c r="G415" t="n">
        <v>0.002</v>
      </c>
      <c r="H415" t="n">
        <v>0.002</v>
      </c>
      <c r="I415" t="n">
        <v>0.002</v>
      </c>
      <c r="J415" t="n">
        <v>0.002</v>
      </c>
      <c r="K415" t="n">
        <v>0.002</v>
      </c>
      <c r="L415" t="n">
        <v>0.002</v>
      </c>
      <c r="M415" t="n">
        <v>0.004</v>
      </c>
      <c r="N415" t="n">
        <v>0.004</v>
      </c>
      <c r="O415" t="n">
        <v>0.008</v>
      </c>
      <c r="P415" t="n">
        <v>0.016</v>
      </c>
      <c r="Q415" t="n">
        <v>0.019</v>
      </c>
      <c r="R415" t="n">
        <v>0.021</v>
      </c>
      <c r="S415" t="n">
        <v>0.018</v>
      </c>
      <c r="T415" t="n">
        <v>0.018</v>
      </c>
      <c r="U415" t="n">
        <v>0.018</v>
      </c>
      <c r="V415" t="n">
        <v>0.018</v>
      </c>
      <c r="W415" t="n">
        <v>0.019</v>
      </c>
      <c r="X415" t="n">
        <v>0.02</v>
      </c>
      <c r="Y415" t="n">
        <v>0.019</v>
      </c>
      <c r="Z415" t="n">
        <v>0.017</v>
      </c>
      <c r="AA415" t="n">
        <v>0.016</v>
      </c>
      <c r="AB415" t="n">
        <v>0.013</v>
      </c>
      <c r="AC415" t="n">
        <v>0.008999999999999999</v>
      </c>
      <c r="AD415" t="n">
        <v>0.008</v>
      </c>
      <c r="AE415" t="n">
        <v>0.008</v>
      </c>
      <c r="AF415" t="n">
        <v>0.003</v>
      </c>
      <c r="AG415" t="n">
        <v>0.002</v>
      </c>
      <c r="AH415" t="n">
        <v>0.002</v>
      </c>
      <c r="AI415" t="n">
        <v>0.001</v>
      </c>
      <c r="AJ415" t="n">
        <v>0</v>
      </c>
      <c r="AK415" t="n">
        <v>0</v>
      </c>
      <c r="AL415" t="n">
        <v>0</v>
      </c>
      <c r="AM415" t="n">
        <v>0</v>
      </c>
      <c r="AN415" t="n">
        <v>0</v>
      </c>
      <c r="AO415" t="n">
        <v>0</v>
      </c>
      <c r="AP415" t="n">
        <v>0</v>
      </c>
      <c r="AQ415" t="n">
        <v>0</v>
      </c>
      <c r="AR415" t="n">
        <v>0</v>
      </c>
      <c r="AS415" t="n">
        <v>0</v>
      </c>
      <c r="AT415" t="n">
        <v>0</v>
      </c>
      <c r="AU415" t="n">
        <v>0</v>
      </c>
      <c r="AV415" t="n">
        <v>0</v>
      </c>
      <c r="AW415" t="n">
        <v>0.025</v>
      </c>
      <c r="AX415" t="n">
        <v>0.036</v>
      </c>
      <c r="AY415" t="n">
        <v>0.01</v>
      </c>
      <c r="AZ415" t="n">
        <v>0.001</v>
      </c>
      <c r="BA415" t="n">
        <v>0.008999999999999999</v>
      </c>
      <c r="BB415" t="n">
        <v>0.074</v>
      </c>
      <c r="BC415" t="n">
        <v>0.1</v>
      </c>
      <c r="BD415" t="n">
        <v>0.089</v>
      </c>
      <c r="BE415" t="n">
        <v>0.037</v>
      </c>
      <c r="BF415" t="n">
        <v>0.077</v>
      </c>
      <c r="BG415" t="n">
        <v>0.067</v>
      </c>
      <c r="BH415" t="n">
        <v>0.041</v>
      </c>
      <c r="BI415" t="n">
        <v>0.089</v>
      </c>
      <c r="BJ415" t="n">
        <v>0.006</v>
      </c>
      <c r="BK415" t="n">
        <v>0</v>
      </c>
      <c r="BL415" t="n">
        <v>0.01</v>
      </c>
      <c r="BM415" t="n">
        <v>0.016</v>
      </c>
      <c r="BN415" t="n">
        <v>0.013</v>
      </c>
      <c r="BO415" t="n">
        <v>0.038</v>
      </c>
      <c r="BP415" t="n">
        <v>0.037</v>
      </c>
      <c r="BQ415" t="n">
        <v>0.037</v>
      </c>
      <c r="BR415" t="n">
        <v>0.037</v>
      </c>
      <c r="BS415" t="n">
        <v>0.037</v>
      </c>
      <c r="BT415" t="n">
        <v>0.036</v>
      </c>
      <c r="BU415" t="n">
        <v>0.036</v>
      </c>
      <c r="BV415" t="n">
        <v>0.036</v>
      </c>
    </row>
    <row r="416">
      <c r="A416" t="inlineStr">
        <is>
          <t>Epinephelus coeruleopunctatus</t>
        </is>
      </c>
      <c r="B416" t="inlineStr">
        <is>
          <t>Whitespotted grouper</t>
        </is>
      </c>
      <c r="C416" t="inlineStr">
        <is>
          <t>Medium reef assoc. fish (30 - 89 cm)</t>
        </is>
      </c>
      <c r="D416" t="inlineStr">
        <is>
          <t>Perch-likes</t>
        </is>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0.427</v>
      </c>
      <c r="BU416" t="n">
        <v>0.427</v>
      </c>
      <c r="BV416" t="n">
        <v>0.419</v>
      </c>
    </row>
    <row r="417">
      <c r="A417" t="inlineStr">
        <is>
          <t>Lamniformes</t>
        </is>
      </c>
      <c r="B417" t="inlineStr">
        <is>
          <t>Mackerel sharks</t>
        </is>
      </c>
      <c r="C417" t="inlineStr">
        <is>
          <t>Large sharks (&gt;=90 cm)</t>
        </is>
      </c>
      <c r="D417" t="inlineStr">
        <is>
          <t>Sharks &amp; rays</t>
        </is>
      </c>
      <c r="E417" t="n">
        <v>0</v>
      </c>
      <c r="F417" t="n">
        <v>0</v>
      </c>
      <c r="G417" t="n">
        <v>0</v>
      </c>
      <c r="H417" t="n">
        <v>0</v>
      </c>
      <c r="I417" t="n">
        <v>0</v>
      </c>
      <c r="J417" t="n">
        <v>0</v>
      </c>
      <c r="K417" t="n">
        <v>0</v>
      </c>
      <c r="L417" t="n">
        <v>0</v>
      </c>
      <c r="M417" t="n">
        <v>0</v>
      </c>
      <c r="N417" t="n">
        <v>0</v>
      </c>
      <c r="O417" t="n">
        <v>0</v>
      </c>
      <c r="P417" t="n">
        <v>0</v>
      </c>
      <c r="Q417" t="n">
        <v>0</v>
      </c>
      <c r="R417" t="n">
        <v>0.008999999999999999</v>
      </c>
      <c r="S417" t="n">
        <v>0.008999999999999999</v>
      </c>
      <c r="T417" t="n">
        <v>0.008999999999999999</v>
      </c>
      <c r="U417" t="n">
        <v>0.008999999999999999</v>
      </c>
      <c r="V417" t="n">
        <v>0.008999999999999999</v>
      </c>
      <c r="W417" t="n">
        <v>0.008999999999999999</v>
      </c>
      <c r="X417" t="n">
        <v>0.008999999999999999</v>
      </c>
      <c r="Y417" t="n">
        <v>0.008999999999999999</v>
      </c>
      <c r="Z417" t="n">
        <v>0.008999999999999999</v>
      </c>
      <c r="AA417" t="n">
        <v>0.008999999999999999</v>
      </c>
      <c r="AB417" t="n">
        <v>0.008999999999999999</v>
      </c>
      <c r="AC417" t="n">
        <v>0.008999999999999999</v>
      </c>
      <c r="AD417" t="n">
        <v>0.008999999999999999</v>
      </c>
      <c r="AE417" t="n">
        <v>0.008999999999999999</v>
      </c>
      <c r="AF417" t="n">
        <v>0.004</v>
      </c>
      <c r="AG417" t="n">
        <v>0.004</v>
      </c>
      <c r="AH417" t="n">
        <v>0.004</v>
      </c>
      <c r="AI417" t="n">
        <v>0.016</v>
      </c>
      <c r="AJ417" t="n">
        <v>0.044</v>
      </c>
      <c r="AK417" t="n">
        <v>0.141</v>
      </c>
      <c r="AL417" t="n">
        <v>0.102</v>
      </c>
      <c r="AM417" t="n">
        <v>0.128</v>
      </c>
      <c r="AN417" t="n">
        <v>0.08599999999999999</v>
      </c>
      <c r="AO417" t="n">
        <v>0.054</v>
      </c>
      <c r="AP417" t="n">
        <v>0.065</v>
      </c>
      <c r="AQ417" t="n">
        <v>0.042</v>
      </c>
      <c r="AR417" t="n">
        <v>0.031</v>
      </c>
      <c r="AS417" t="n">
        <v>0.041</v>
      </c>
      <c r="AT417" t="n">
        <v>0.064</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row>
    <row r="418">
      <c r="A418" t="inlineStr">
        <is>
          <t>Lophiidae</t>
        </is>
      </c>
      <c r="B418" t="inlineStr">
        <is>
          <t>Goosefishes</t>
        </is>
      </c>
      <c r="C418" t="inlineStr">
        <is>
          <t>Medium bathydemersals (30 - 89 cm)</t>
        </is>
      </c>
      <c r="D418" t="inlineStr">
        <is>
          <t>Other fishes &amp; inverts</t>
        </is>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0.155</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0.747</v>
      </c>
      <c r="BL418" t="n">
        <v>0</v>
      </c>
      <c r="BM418" t="n">
        <v>0</v>
      </c>
      <c r="BN418" t="n">
        <v>0</v>
      </c>
      <c r="BO418" t="n">
        <v>0</v>
      </c>
      <c r="BP418" t="n">
        <v>0</v>
      </c>
      <c r="BQ418" t="n">
        <v>0</v>
      </c>
      <c r="BR418" t="n">
        <v>0</v>
      </c>
      <c r="BS418" t="n">
        <v>0</v>
      </c>
      <c r="BT418" t="n">
        <v>0</v>
      </c>
      <c r="BU418" t="n">
        <v>0</v>
      </c>
      <c r="BV418" t="n">
        <v>0</v>
      </c>
    </row>
    <row r="419">
      <c r="A419" t="inlineStr">
        <is>
          <t>Pristipomoides multidens</t>
        </is>
      </c>
      <c r="B419" t="inlineStr">
        <is>
          <t>Goldbanded jobfish</t>
        </is>
      </c>
      <c r="C419" t="inlineStr">
        <is>
          <t>Medium demersals (30 - 89 cm)</t>
        </is>
      </c>
      <c r="D419" t="inlineStr">
        <is>
          <t>Perch-likes</t>
        </is>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0.015</v>
      </c>
      <c r="AT419" t="n">
        <v>0.016</v>
      </c>
      <c r="AU419" t="n">
        <v>0.031</v>
      </c>
      <c r="AV419" t="n">
        <v>0.029</v>
      </c>
      <c r="AW419" t="n">
        <v>0.028</v>
      </c>
      <c r="AX419" t="n">
        <v>0.033</v>
      </c>
      <c r="AY419" t="n">
        <v>0.08500000000000001</v>
      </c>
      <c r="AZ419" t="n">
        <v>0.102</v>
      </c>
      <c r="BA419" t="n">
        <v>0.096</v>
      </c>
      <c r="BB419" t="n">
        <v>0.081</v>
      </c>
      <c r="BC419" t="n">
        <v>0.013</v>
      </c>
      <c r="BD419" t="n">
        <v>0</v>
      </c>
      <c r="BE419" t="n">
        <v>0</v>
      </c>
      <c r="BF419" t="n">
        <v>0</v>
      </c>
      <c r="BG419" t="n">
        <v>0</v>
      </c>
      <c r="BH419" t="n">
        <v>0.011</v>
      </c>
      <c r="BI419" t="n">
        <v>0.021</v>
      </c>
      <c r="BJ419" t="n">
        <v>0.021</v>
      </c>
      <c r="BK419" t="n">
        <v>0.004</v>
      </c>
      <c r="BL419" t="n">
        <v>0.006</v>
      </c>
      <c r="BM419" t="n">
        <v>0.002</v>
      </c>
      <c r="BN419" t="n">
        <v>0.002</v>
      </c>
      <c r="BO419" t="n">
        <v>0.002</v>
      </c>
      <c r="BP419" t="n">
        <v>0.002</v>
      </c>
      <c r="BQ419" t="n">
        <v>0.002</v>
      </c>
      <c r="BR419" t="n">
        <v>0.002</v>
      </c>
      <c r="BS419" t="n">
        <v>0.002</v>
      </c>
      <c r="BT419" t="n">
        <v>0.002</v>
      </c>
      <c r="BU419" t="n">
        <v>0.002</v>
      </c>
      <c r="BV419" t="n">
        <v>0.002</v>
      </c>
    </row>
    <row r="420">
      <c r="A420" t="inlineStr">
        <is>
          <t>Ruvettus pretiosus</t>
        </is>
      </c>
      <c r="B420" t="inlineStr">
        <is>
          <t>Oilfish</t>
        </is>
      </c>
      <c r="C420" t="inlineStr">
        <is>
          <t>Large benthopelagics (&gt;=90 cm)</t>
        </is>
      </c>
      <c r="D420" t="inlineStr">
        <is>
          <t>Perch-likes</t>
        </is>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0.004</v>
      </c>
      <c r="BF420" t="n">
        <v>0.026</v>
      </c>
      <c r="BG420" t="n">
        <v>0.002</v>
      </c>
      <c r="BH420" t="n">
        <v>0</v>
      </c>
      <c r="BI420" t="n">
        <v>0</v>
      </c>
      <c r="BJ420" t="n">
        <v>0</v>
      </c>
      <c r="BK420" t="n">
        <v>0</v>
      </c>
      <c r="BL420" t="n">
        <v>0</v>
      </c>
      <c r="BM420" t="n">
        <v>0</v>
      </c>
      <c r="BN420" t="n">
        <v>0</v>
      </c>
      <c r="BO420" t="n">
        <v>0</v>
      </c>
      <c r="BP420" t="n">
        <v>0.123</v>
      </c>
      <c r="BQ420" t="n">
        <v>0.409</v>
      </c>
      <c r="BR420" t="n">
        <v>0.005</v>
      </c>
      <c r="BS420" t="n">
        <v>0</v>
      </c>
      <c r="BT420" t="n">
        <v>0</v>
      </c>
      <c r="BU420" t="n">
        <v>0</v>
      </c>
      <c r="BV420" t="n">
        <v>0</v>
      </c>
    </row>
    <row r="421">
      <c r="A421" t="inlineStr">
        <is>
          <t>Lepturacanthus savala</t>
        </is>
      </c>
      <c r="B421" t="inlineStr">
        <is>
          <t>Savalai hairtail</t>
        </is>
      </c>
      <c r="C421" t="inlineStr">
        <is>
          <t>Large benthopelagics (&gt;=90 cm)</t>
        </is>
      </c>
      <c r="D421" t="inlineStr">
        <is>
          <t>Perch-likes</t>
        </is>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0.159</v>
      </c>
      <c r="BV421" t="n">
        <v>0.159</v>
      </c>
    </row>
    <row r="422">
      <c r="A422" t="inlineStr">
        <is>
          <t>Mobula birostris</t>
        </is>
      </c>
      <c r="B422" t="inlineStr">
        <is>
          <t>Giant manta</t>
        </is>
      </c>
      <c r="C422" t="inlineStr">
        <is>
          <t>Large rays (&gt;=90 cm)</t>
        </is>
      </c>
      <c r="D422" t="inlineStr">
        <is>
          <t>Sharks &amp; rays</t>
        </is>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0.037</v>
      </c>
      <c r="BO422" t="n">
        <v>0</v>
      </c>
      <c r="BP422" t="n">
        <v>0</v>
      </c>
      <c r="BQ422" t="n">
        <v>0</v>
      </c>
      <c r="BR422" t="n">
        <v>0</v>
      </c>
      <c r="BS422" t="n">
        <v>0.023</v>
      </c>
      <c r="BT422" t="n">
        <v>0</v>
      </c>
      <c r="BU422" t="n">
        <v>0.179</v>
      </c>
      <c r="BV422" t="n">
        <v>0.033</v>
      </c>
    </row>
    <row r="423">
      <c r="A423" t="inlineStr">
        <is>
          <t>Gymnocranius grandoculis</t>
        </is>
      </c>
      <c r="B423" t="inlineStr">
        <is>
          <t>Blue-lined large-eye bream</t>
        </is>
      </c>
      <c r="C423" t="inlineStr">
        <is>
          <t>Medium reef assoc. fish (30 - 89 cm)</t>
        </is>
      </c>
      <c r="D423" t="inlineStr">
        <is>
          <t>Perch-likes</t>
        </is>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0.001</v>
      </c>
      <c r="BD423" t="n">
        <v>0.001</v>
      </c>
      <c r="BE423" t="n">
        <v>0.002</v>
      </c>
      <c r="BF423" t="n">
        <v>0.002</v>
      </c>
      <c r="BG423" t="n">
        <v>0.003</v>
      </c>
      <c r="BH423" t="n">
        <v>0.004</v>
      </c>
      <c r="BI423" t="n">
        <v>0.007</v>
      </c>
      <c r="BJ423" t="n">
        <v>0.011</v>
      </c>
      <c r="BK423" t="n">
        <v>0.012</v>
      </c>
      <c r="BL423" t="n">
        <v>0.014</v>
      </c>
      <c r="BM423" t="n">
        <v>0.015</v>
      </c>
      <c r="BN423" t="n">
        <v>0.017</v>
      </c>
      <c r="BO423" t="n">
        <v>0.018</v>
      </c>
      <c r="BP423" t="n">
        <v>0.02</v>
      </c>
      <c r="BQ423" t="n">
        <v>0.021</v>
      </c>
      <c r="BR423" t="n">
        <v>0.006</v>
      </c>
      <c r="BS423" t="n">
        <v>0.006</v>
      </c>
      <c r="BT423" t="n">
        <v>0.006</v>
      </c>
      <c r="BU423" t="n">
        <v>0.006</v>
      </c>
      <c r="BV423" t="n">
        <v>0.008999999999999999</v>
      </c>
    </row>
    <row r="424">
      <c r="A424" t="inlineStr">
        <is>
          <t>Lepidocybium flavobrunneum</t>
        </is>
      </c>
      <c r="B424" t="inlineStr">
        <is>
          <t>Escolar</t>
        </is>
      </c>
      <c r="C424" t="inlineStr">
        <is>
          <t>Large bathypelagics (&gt;=90 cm)</t>
        </is>
      </c>
      <c r="D424" t="inlineStr">
        <is>
          <t>Perch-likes</t>
        </is>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0.005</v>
      </c>
      <c r="BF424" t="n">
        <v>0.001</v>
      </c>
      <c r="BG424" t="n">
        <v>0.137</v>
      </c>
      <c r="BH424" t="n">
        <v>0</v>
      </c>
      <c r="BI424" t="n">
        <v>0</v>
      </c>
      <c r="BJ424" t="n">
        <v>0</v>
      </c>
      <c r="BK424" t="n">
        <v>0</v>
      </c>
      <c r="BL424" t="n">
        <v>0</v>
      </c>
      <c r="BM424" t="n">
        <v>0</v>
      </c>
      <c r="BN424" t="n">
        <v>0.001</v>
      </c>
      <c r="BO424" t="n">
        <v>0</v>
      </c>
      <c r="BP424" t="n">
        <v>0</v>
      </c>
      <c r="BQ424" t="n">
        <v>0</v>
      </c>
      <c r="BR424" t="n">
        <v>0</v>
      </c>
      <c r="BS424" t="n">
        <v>0</v>
      </c>
      <c r="BT424" t="n">
        <v>0</v>
      </c>
      <c r="BU424" t="n">
        <v>0</v>
      </c>
      <c r="BV424" t="n">
        <v>0</v>
      </c>
    </row>
    <row r="425">
      <c r="A425" t="inlineStr">
        <is>
          <t>Plotosus lineatus</t>
        </is>
      </c>
      <c r="B425" t="inlineStr">
        <is>
          <t>Striped eel catfish</t>
        </is>
      </c>
      <c r="C425" t="inlineStr">
        <is>
          <t>Medium reef assoc. fish (30 - 89 cm)</t>
        </is>
      </c>
      <c r="D425" t="inlineStr">
        <is>
          <t>Other fishes &amp; inverts</t>
        </is>
      </c>
      <c r="E425" t="n">
        <v>0.002</v>
      </c>
      <c r="F425" t="n">
        <v>0.002</v>
      </c>
      <c r="G425" t="n">
        <v>0.002</v>
      </c>
      <c r="H425" t="n">
        <v>0.002</v>
      </c>
      <c r="I425" t="n">
        <v>0.002</v>
      </c>
      <c r="J425" t="n">
        <v>0.002</v>
      </c>
      <c r="K425" t="n">
        <v>0.002</v>
      </c>
      <c r="L425" t="n">
        <v>0.002</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row>
    <row r="426">
      <c r="A426" t="inlineStr">
        <is>
          <t>Lampris guttatus</t>
        </is>
      </c>
      <c r="B426" t="inlineStr">
        <is>
          <t>Opah</t>
        </is>
      </c>
      <c r="C426" t="inlineStr">
        <is>
          <t>Large bathypelagics (&gt;=90 cm)</t>
        </is>
      </c>
      <c r="D426" t="inlineStr">
        <is>
          <t>Other fishes &amp; inverts</t>
        </is>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0.003</v>
      </c>
      <c r="BH426" t="n">
        <v>0</v>
      </c>
      <c r="BI426" t="n">
        <v>0</v>
      </c>
      <c r="BJ426" t="n">
        <v>0</v>
      </c>
      <c r="BK426" t="n">
        <v>0</v>
      </c>
      <c r="BL426" t="n">
        <v>0</v>
      </c>
      <c r="BM426" t="n">
        <v>0</v>
      </c>
      <c r="BN426" t="n">
        <v>0</v>
      </c>
      <c r="BO426" t="n">
        <v>0</v>
      </c>
      <c r="BP426" t="n">
        <v>0</v>
      </c>
      <c r="BQ426" t="n">
        <v>0</v>
      </c>
      <c r="BR426" t="n">
        <v>0.007</v>
      </c>
      <c r="BS426" t="n">
        <v>0</v>
      </c>
      <c r="BT426" t="n">
        <v>0</v>
      </c>
      <c r="BU426" t="n">
        <v>0</v>
      </c>
      <c r="BV426" t="n">
        <v>0</v>
      </c>
    </row>
    <row r="427">
      <c r="A427" t="inlineStr">
        <is>
          <t>Carcharhinus macloti</t>
        </is>
      </c>
      <c r="B427" t="inlineStr">
        <is>
          <t>Hardnose shark</t>
        </is>
      </c>
      <c r="C427" t="inlineStr">
        <is>
          <t>Small to medium sharks (&lt;90 cm)</t>
        </is>
      </c>
      <c r="D427" t="inlineStr">
        <is>
          <t>Sharks &amp; rays</t>
        </is>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0.007</v>
      </c>
      <c r="BU427" t="n">
        <v>0</v>
      </c>
      <c r="BV427" t="n">
        <v>0</v>
      </c>
    </row>
    <row r="428">
      <c r="A428" t="inlineStr">
        <is>
          <t>Labridae</t>
        </is>
      </c>
      <c r="B428" t="inlineStr">
        <is>
          <t>Wrasses, gropers, tuskfishes</t>
        </is>
      </c>
      <c r="C428" t="inlineStr">
        <is>
          <t>Medium reef assoc. fish (30 - 89 cm)</t>
        </is>
      </c>
      <c r="D428" t="inlineStr">
        <is>
          <t>Perch-likes</t>
        </is>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0.001</v>
      </c>
      <c r="BH428" t="n">
        <v>0</v>
      </c>
      <c r="BI428" t="n">
        <v>0</v>
      </c>
      <c r="BJ428" t="n">
        <v>0</v>
      </c>
      <c r="BK428" t="n">
        <v>0</v>
      </c>
      <c r="BL428" t="n">
        <v>0</v>
      </c>
      <c r="BM428" t="n">
        <v>0</v>
      </c>
      <c r="BN428" t="n">
        <v>0</v>
      </c>
      <c r="BO428" t="n">
        <v>0</v>
      </c>
      <c r="BP428" t="n">
        <v>0</v>
      </c>
      <c r="BQ428" t="n">
        <v>0</v>
      </c>
      <c r="BR428" t="n">
        <v>0</v>
      </c>
      <c r="BS428" t="n">
        <v>0</v>
      </c>
      <c r="BT428" t="n">
        <v>0</v>
      </c>
      <c r="BU428" t="n">
        <v>0</v>
      </c>
      <c r="BV428" t="n">
        <v>0</v>
      </c>
    </row>
    <row r="429">
      <c r="A429" t="inlineStr">
        <is>
          <t>Portunus</t>
        </is>
      </c>
      <c r="B429" t="inlineStr">
        <is>
          <t>Swimmer crabs</t>
        </is>
      </c>
      <c r="C429" t="inlineStr">
        <is>
          <t>Lobsters, crabs</t>
        </is>
      </c>
      <c r="D429" t="inlineStr">
        <is>
          <t>Crustaceans</t>
        </is>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0.001</v>
      </c>
    </row>
    <row r="430">
      <c r="A430" t="inlineStr">
        <is>
          <t>Pomacanthidae</t>
        </is>
      </c>
      <c r="B430" t="inlineStr">
        <is>
          <t>Angelfishes</t>
        </is>
      </c>
      <c r="C430" t="inlineStr">
        <is>
          <t>Medium reef assoc. fish (30 - 89 cm)</t>
        </is>
      </c>
      <c r="D430" t="inlineStr">
        <is>
          <t>Perch-likes</t>
        </is>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row>
    <row r="431">
      <c r="A431" t="inlineStr">
        <is>
          <t>Acanthuridae</t>
        </is>
      </c>
      <c r="B431" t="inlineStr">
        <is>
          <t>Surgeons, tangs, unicornfishes</t>
        </is>
      </c>
      <c r="C431" t="inlineStr">
        <is>
          <t>Small reef assoc. fish (&lt;30 cm)</t>
        </is>
      </c>
      <c r="D431" t="inlineStr">
        <is>
          <t>Perch-likes</t>
        </is>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c r="BS431" t="n">
        <v>0</v>
      </c>
      <c r="BT431" t="n">
        <v>0</v>
      </c>
      <c r="BU431" t="n">
        <v>0</v>
      </c>
      <c r="BV4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Med Benthic Carnivores | Small Benthic Carnivores | Large Benthic Carnivores</t>
        </is>
      </c>
      <c r="F5" t="inlineStr">
        <is>
          <t>0.363 | 0.239 | 0.398</t>
        </is>
      </c>
      <c r="G5" t="inlineStr">
        <is>
          <t>catch_composition</t>
        </is>
      </c>
      <c r="H5" t="inlineStr">
        <is>
          <t>medium</t>
        </is>
      </c>
      <c r="I5" t="inlineStr">
        <is>
          <t>composite_split</t>
        </is>
      </c>
      <c r="J5" t="n">
        <v>24743762.172</v>
      </c>
      <c r="K5" t="n">
        <v>12.5062</v>
      </c>
      <c r="L5" s="6" t="inlineStr">
        <is>
          <t>Unidentified-finfish aggregate that Sea Around Us classes as Medium demersals (30 - 89 cm), so it is apportioned across the model's three demersal-carnivore groups, whose members in the Bulletin 51 components-of-ecological-groupings table (PDF pp. 21-22) span exactly that band and its neighbours (Small Benthic Carnivores mean L-inf 23 cm, Med Benthic Carnivores 35 cm, Large Benthic Carnivores 55 cm). Deliberately excluded: Large Pelagics, Tunas, Sharks, Skates &amp; Rays, Marine Mammals and all invertebrate groups (wrong habitat or wrong phylum); Mackerel, Clupeids and Anchovies (small-pelagic groups, against the demersal class); the benthopelagic groups (different habitat); and Benthic Omnivores, whose fish members - soles, eel catfish, cornetfish - are all separately identified in this LME's catch and which is a detritivore rather than a carnivore compartment. Weighted by the catch composition of the identified taxa already on the three groups.</t>
        </is>
      </c>
    </row>
    <row r="6">
      <c r="A6" t="inlineStr">
        <is>
          <t>Sardinella longiceps</t>
        </is>
      </c>
      <c r="B6" t="inlineStr">
        <is>
          <t>Indian oil sardine</t>
        </is>
      </c>
      <c r="C6" t="inlineStr">
        <is>
          <t>Small pelagics (&lt;30 cm)</t>
        </is>
      </c>
      <c r="D6" t="inlineStr">
        <is>
          <t>Herring-likes</t>
        </is>
      </c>
      <c r="E6" s="7" t="inlineStr">
        <is>
          <t>Clupeids</t>
        </is>
      </c>
      <c r="F6" t="inlineStr"/>
      <c r="G6" t="inlineStr"/>
      <c r="H6" t="inlineStr">
        <is>
          <t>high</t>
        </is>
      </c>
      <c r="I6" t="inlineStr">
        <is>
          <t>explicit_member</t>
        </is>
      </c>
      <c r="J6" t="n">
        <v>21859959.746</v>
      </c>
      <c r="K6" t="n">
        <v>11.0486</v>
      </c>
      <c r="L6" s="6" t="inlineStr">
        <is>
          <t>Member 62 of Grp13 Clupeids in the Bulletin 51 components-of-ecological-groupings table (PDF pp. 21-22); the group account calls the oil sardine the abundant species of the group and tabulates its L-inf, P/B and Q/B.</t>
        </is>
      </c>
    </row>
    <row r="7">
      <c r="A7" t="inlineStr">
        <is>
          <t>Penaeidae</t>
        </is>
      </c>
      <c r="B7" t="inlineStr">
        <is>
          <t>Commercial shrimps and prawns</t>
        </is>
      </c>
      <c r="C7" t="inlineStr">
        <is>
          <t>Shrimps</t>
        </is>
      </c>
      <c r="D7" t="inlineStr">
        <is>
          <t>Crustaceans</t>
        </is>
      </c>
      <c r="E7" s="7" t="inlineStr">
        <is>
          <t>Shrimps</t>
        </is>
      </c>
      <c r="F7" t="inlineStr"/>
      <c r="G7" t="inlineStr"/>
      <c r="H7" t="inlineStr">
        <is>
          <t>high</t>
        </is>
      </c>
      <c r="I7" t="inlineStr">
        <is>
          <t>taxonomic_containment</t>
        </is>
      </c>
      <c r="J7" t="n">
        <v>8918686.890000001</v>
      </c>
      <c r="K7" t="n">
        <v>4.5077</v>
      </c>
      <c r="L7" s="6" t="inlineStr">
        <is>
          <t>Grp16 Shrimps in the Bulletin 51 components-of-ecological-groupings table (PDF pp. 21-22) is built on the penaeid genera Metapenaeus, Parapenaeopsis and Trachypenaeus, plus the related Solenocera and Aristeus; the family is contained in the group and the model has no other shrimp compartment.</t>
        </is>
      </c>
    </row>
    <row r="8">
      <c r="A8" t="inlineStr">
        <is>
          <t>Rastrelliger kanagurta</t>
        </is>
      </c>
      <c r="B8" t="inlineStr">
        <is>
          <t>Indian mackerel</t>
        </is>
      </c>
      <c r="C8" t="inlineStr">
        <is>
          <t>Medium pelagics (30 - 89 cm)</t>
        </is>
      </c>
      <c r="D8" t="inlineStr">
        <is>
          <t>Perch-likes</t>
        </is>
      </c>
      <c r="E8" s="7" t="inlineStr">
        <is>
          <t>Mackerel</t>
        </is>
      </c>
      <c r="F8" t="inlineStr"/>
      <c r="G8" t="inlineStr"/>
      <c r="H8" t="inlineStr">
        <is>
          <t>high</t>
        </is>
      </c>
      <c r="I8" t="inlineStr">
        <is>
          <t>explicit_member</t>
        </is>
      </c>
      <c r="J8" t="n">
        <v>7443896.273</v>
      </c>
      <c r="K8" t="n">
        <v>3.7623</v>
      </c>
      <c r="L8" s="6" t="inlineStr">
        <is>
          <t>The sole member (61) of Grp12 Mackerel in the Bulletin 51 components-of-ecological-groupings table (PDF pp. 21-22); the group account is written entirely about this species.</t>
        </is>
      </c>
    </row>
    <row r="9">
      <c r="A9" t="inlineStr">
        <is>
          <t>Sciaenidae</t>
        </is>
      </c>
      <c r="B9" t="inlineStr">
        <is>
          <t>Drums, croakers</t>
        </is>
      </c>
      <c r="C9" t="inlineStr">
        <is>
          <t>Medium demersals (30 - 89 cm)</t>
        </is>
      </c>
      <c r="D9" t="inlineStr">
        <is>
          <t>Perch-likes</t>
        </is>
      </c>
      <c r="E9" s="7" t="inlineStr">
        <is>
          <t>Med Benthic Carnivores</t>
        </is>
      </c>
      <c r="F9" t="inlineStr"/>
      <c r="G9" t="inlineStr"/>
      <c r="H9" t="inlineStr">
        <is>
          <t>high</t>
        </is>
      </c>
      <c r="I9" t="inlineStr">
        <is>
          <t>explicit_member</t>
        </is>
      </c>
      <c r="J9" t="n">
        <v>6707975.357</v>
      </c>
      <c r="K9" t="n">
        <v>3.3904</v>
      </c>
      <c r="L9" s="6" t="inlineStr">
        <is>
          <t>The Bulletin's ecological-grouping paragraph defines Med Benthic Carnivores as 'sciaenids, flatheads, bull's eye, pomfrets, balistids, flounders', and the Bulletin 51 components-of-ecological-groupings table (PDF pp. 21-22) lists Johnieops sina (35) and Otolithes ruber (36) there.</t>
        </is>
      </c>
    </row>
    <row r="10">
      <c r="A10" t="inlineStr">
        <is>
          <t>Decapoda</t>
        </is>
      </c>
      <c r="B10" t="inlineStr">
        <is>
          <t>Crabs, lobsters, shrimps</t>
        </is>
      </c>
      <c r="C10" t="inlineStr">
        <is>
          <t>Lobsters, crabs</t>
        </is>
      </c>
      <c r="D10" t="inlineStr">
        <is>
          <t>Crustaceans</t>
        </is>
      </c>
      <c r="E10" s="5" t="inlineStr">
        <is>
          <t>Crabs &amp; Lobster | Shrimps</t>
        </is>
      </c>
      <c r="F10" t="inlineStr">
        <is>
          <t>0.119 | 0.881</t>
        </is>
      </c>
      <c r="G10" t="inlineStr">
        <is>
          <t>catch_composition</t>
        </is>
      </c>
      <c r="H10" t="inlineStr">
        <is>
          <t>medium</t>
        </is>
      </c>
      <c r="I10" t="inlineStr">
        <is>
          <t>composite_split</t>
        </is>
      </c>
      <c r="J10" t="n">
        <v>6694090.68</v>
      </c>
      <c r="K10" t="n">
        <v>3.3834</v>
      </c>
      <c r="L10" s="6" t="inlineStr">
        <is>
          <t>Order-level crustacean record. The model holds decapods in exactly two groups - Crabs &amp; Lobster (Portunus, Charybdis, Panulirus) and Shrimps (Metapenaeus, Parapenaeopsis, Solenocera, Trachypenaeus, Aristeus, Acetes) per the Bulletin 51 components-of-ecological-groupings table (PDF pp. 21-22) - so the split is over those two. Excluded: Heterotrophic Benthos, whose 'benthic crabs' are the unlanded epifaunal component, and Benthic Omnivores, whose crustacean member Oratosquilla is a stomatopod, not a decapod. Sea Around Us classes the record as functional group Lobsters, crabs while the catch-composition basis leans to Shrimps because this LME's identified crustacean landings are shrimp-dominated; the two signals disagree, and a reviewer may prefer explicit crab-weighted shares. The catch-composition basis was kept because it uses this ecosystem's own data and because the two groups' SPPR differ by only about a third, so the split is not load-bearing.</t>
        </is>
      </c>
    </row>
    <row r="11">
      <c r="A11" t="inlineStr">
        <is>
          <t>Harpadon nehereus</t>
        </is>
      </c>
      <c r="B11" t="inlineStr">
        <is>
          <t>Bombay-duck</t>
        </is>
      </c>
      <c r="C11" t="inlineStr">
        <is>
          <t>Medium benthopelagics (30 - 89 cm)</t>
        </is>
      </c>
      <c r="D11" t="inlineStr">
        <is>
          <t>Other fishes &amp; inverts</t>
        </is>
      </c>
      <c r="E11" s="5" t="inlineStr">
        <is>
          <t>Large Benthic Carnivores</t>
        </is>
      </c>
      <c r="F11" t="inlineStr"/>
      <c r="G11" t="inlineStr"/>
      <c r="H11" t="inlineStr">
        <is>
          <t>medium</t>
        </is>
      </c>
      <c r="I11" t="inlineStr">
        <is>
          <t>analogue</t>
        </is>
      </c>
      <c r="J11" t="n">
        <v>6251570.721</v>
      </c>
      <c r="K11" t="n">
        <v>3.1597</v>
      </c>
      <c r="L11" s="6" t="inlineStr">
        <is>
          <t>Bombay-duck; not named anywhere in the Bulletin, whose Karnataka species list does not include it. Placed with its closest listed relatives, the lizardfishes Saurida tumbil and S. undosquamis (Aulopiformes) in Grp8 Large Benthic Carnivores, on the strength of the shared order, the shared ambush-piscivore habit and a group TL of 4.14 against this record's 4.20. A reviewer could argue for Large Benthopelagics on the Sea Around Us benthopelagic class; the two groups' TLs are within 0.01 of each other but their SPPR differ, so this is the largest single-taxon judgement call in the file (3.2 % of tonnage).</t>
        </is>
      </c>
    </row>
    <row r="12">
      <c r="A12" t="inlineStr">
        <is>
          <t>Clupeiformes</t>
        </is>
      </c>
      <c r="B12" t="inlineStr">
        <is>
          <t>Herrings, shads, anchovies</t>
        </is>
      </c>
      <c r="C12" t="inlineStr">
        <is>
          <t>Small pelagics (&lt;30 cm)</t>
        </is>
      </c>
      <c r="D12" t="inlineStr">
        <is>
          <t>Other fishes &amp; inverts</t>
        </is>
      </c>
      <c r="E12" s="5" t="inlineStr">
        <is>
          <t>Clupeids | Anchovies</t>
        </is>
      </c>
      <c r="F12" t="inlineStr">
        <is>
          <t>0.891 | 0.109</t>
        </is>
      </c>
      <c r="G12" t="inlineStr">
        <is>
          <t>catch_composition</t>
        </is>
      </c>
      <c r="H12" t="inlineStr">
        <is>
          <t>medium</t>
        </is>
      </c>
      <c r="I12" t="inlineStr">
        <is>
          <t>composite_split</t>
        </is>
      </c>
      <c r="J12" t="n">
        <v>5102723.448</v>
      </c>
      <c r="K12" t="n">
        <v>2.5791</v>
      </c>
      <c r="L12" s="6" t="inlineStr">
        <is>
          <t>Order-level record classed by Sea Around Us as Small pelagics (&lt;30 cm). The model splits clupeiforms between Clupeids (Sardinella spp., Thryssa mystax, Dussumieria, Escualosa, Pellona, Opisthopterus) and Anchovies (Stolephorus spp.) per the Bulletin 51 components-of-ecological-groupings table (PDF pp. 21-22), so the record is apportioned over those two. The third clupeiform placement in the model, the wolf herring Chirocentrus dorab in Large Benthopelagics, is excluded because it is a &gt;90 cm fish against a small-pelagic class and Chirocentrus is separately identified in this catch. Weighted by the catch composition of the identified clupeiforms, which is dominated by the oil sardine.</t>
        </is>
      </c>
    </row>
    <row r="13">
      <c r="A13" t="inlineStr">
        <is>
          <t>Nemipteridae</t>
        </is>
      </c>
      <c r="B13" t="inlineStr">
        <is>
          <t>Threadfins, whiptail breams</t>
        </is>
      </c>
      <c r="C13" t="inlineStr">
        <is>
          <t>Small demersals (&lt;30 cm)</t>
        </is>
      </c>
      <c r="D13" t="inlineStr">
        <is>
          <t>Perch-likes</t>
        </is>
      </c>
      <c r="E13" s="7" t="inlineStr">
        <is>
          <t>Small Benthic Carnivores</t>
        </is>
      </c>
      <c r="F13" t="inlineStr"/>
      <c r="G13" t="inlineStr"/>
      <c r="H13" t="inlineStr">
        <is>
          <t>high</t>
        </is>
      </c>
      <c r="I13" t="inlineStr">
        <is>
          <t>taxonomic_containment</t>
        </is>
      </c>
      <c r="J13" t="n">
        <v>4009328.132</v>
      </c>
      <c r="K13" t="n">
        <v>2.0264</v>
      </c>
      <c r="L13" s="6" t="inlineStr">
        <is>
          <t>Grp10 Small Benthic Carnivores in the Bulletin 51 components-of-ecological-groupings table (PDF pp. 21-22) lists Nemipterus japonicus (46) and N. mesoprion (47), and the group account leads with 'threadfin breams'; the family is contained in the group.</t>
        </is>
      </c>
    </row>
    <row r="14">
      <c r="A14" t="inlineStr">
        <is>
          <t>Clupeidae</t>
        </is>
      </c>
      <c r="B14" t="inlineStr">
        <is>
          <t>Herrings, sardines, menhadens</t>
        </is>
      </c>
      <c r="C14" t="inlineStr">
        <is>
          <t>Small pelagics (&lt;30 cm)</t>
        </is>
      </c>
      <c r="D14" t="inlineStr">
        <is>
          <t>Herring-likes</t>
        </is>
      </c>
      <c r="E14" s="7" t="inlineStr">
        <is>
          <t>Clupeids</t>
        </is>
      </c>
      <c r="F14" t="inlineStr"/>
      <c r="G14" t="inlineStr"/>
      <c r="H14" t="inlineStr">
        <is>
          <t>high</t>
        </is>
      </c>
      <c r="I14" t="inlineStr">
        <is>
          <t>taxonomic_containment</t>
        </is>
      </c>
      <c r="J14" t="n">
        <v>3854519.676</v>
      </c>
      <c r="K14" t="n">
        <v>1.9482</v>
      </c>
      <c r="L14" s="6" t="inlineStr">
        <is>
          <t>Grp13 Clupeids in the Bulletin 51 components-of-ecological-groupings table (PDF pp. 21-22) is the model's clupeid pool - Sardinella spp., Dussumieria acuta, Escualosa thoracata, Pellona and Opisthopterus - so the family is contained in it.</t>
        </is>
      </c>
    </row>
    <row r="15">
      <c r="A15" t="inlineStr">
        <is>
          <t>Bivalvia</t>
        </is>
      </c>
      <c r="B15" t="inlineStr">
        <is>
          <t>Clams</t>
        </is>
      </c>
      <c r="C15" t="inlineStr">
        <is>
          <t>Other demersal invertebrates</t>
        </is>
      </c>
      <c r="D15" t="inlineStr">
        <is>
          <t>Molluscs</t>
        </is>
      </c>
      <c r="E15" s="7" t="inlineStr">
        <is>
          <t>Heterotrophic Benthos</t>
        </is>
      </c>
      <c r="F15" t="inlineStr"/>
      <c r="G15" t="inlineStr"/>
      <c r="H15" t="inlineStr">
        <is>
          <t>high</t>
        </is>
      </c>
      <c r="I15" t="inlineStr">
        <is>
          <t>explicit_member</t>
        </is>
      </c>
      <c r="J15" t="n">
        <v>3372976.991</v>
      </c>
      <c r="K15" t="n">
        <v>1.7048</v>
      </c>
      <c r="L15" s="6" t="inlineStr">
        <is>
          <t>'Bivalves' is member 89 of Grp18 Heterotrophic Benthos in the Bulletin 51 components-of-ecological-groupings table (PDF pp. 21-22), and the group account (PDF p. 30) defines the group as the benthic epifauna of bivalves, gastropods, echinoderms, benthic crabs, amphipods and isopods.</t>
        </is>
      </c>
    </row>
    <row r="16">
      <c r="A16" t="inlineStr">
        <is>
          <t>Carangidae</t>
        </is>
      </c>
      <c r="B16" t="inlineStr">
        <is>
          <t>Jacks, pompanos</t>
        </is>
      </c>
      <c r="C16" t="inlineStr">
        <is>
          <t>Medium pelagics (30 - 89 cm)</t>
        </is>
      </c>
      <c r="D16" t="inlineStr">
        <is>
          <t>Perch-likes</t>
        </is>
      </c>
      <c r="E16" s="5" t="inlineStr">
        <is>
          <t>Small Benthopelagics</t>
        </is>
      </c>
      <c r="F16" t="inlineStr"/>
      <c r="G16" t="inlineStr"/>
      <c r="H16" t="inlineStr">
        <is>
          <t>medium</t>
        </is>
      </c>
      <c r="I16" t="inlineStr">
        <is>
          <t>explicit_member</t>
        </is>
      </c>
      <c r="J16" t="n">
        <v>3111577.64</v>
      </c>
      <c r="K16" t="n">
        <v>1.5727</v>
      </c>
      <c r="L16" s="6" t="inlineStr">
        <is>
          <t>The Bulletin's ecological-grouping paragraph defines Small Benthopelagics as 'scads, carangids, moonfish and myctophids', so a residual carangid record belongs there. Not split, although the model does place three carangids elsewhere - Megalaspis cordyla and Scomberoides tol in Large Benthopelagics and Parastromateus niger in Med Benthic Carnivores - because all three are separately and substantially identified in this LME's catch, and because the catch on Large Benthopelagics is about two-thirds sea catfish, so a catch-composition split would be set by non-carangid tonnage.</t>
        </is>
      </c>
    </row>
    <row r="17">
      <c r="A17" t="inlineStr">
        <is>
          <t>Scomberomorus commerson</t>
        </is>
      </c>
      <c r="B17" t="inlineStr">
        <is>
          <t>Narrow-barred Spanish mackerel</t>
        </is>
      </c>
      <c r="C17" t="inlineStr">
        <is>
          <t>Large pelagics (&gt;=90 cm)</t>
        </is>
      </c>
      <c r="D17" t="inlineStr">
        <is>
          <t>Perch-likes</t>
        </is>
      </c>
      <c r="E17" s="7" t="inlineStr">
        <is>
          <t>Large Pelagics</t>
        </is>
      </c>
      <c r="F17" t="inlineStr"/>
      <c r="G17" t="inlineStr"/>
      <c r="H17" t="inlineStr">
        <is>
          <t>high</t>
        </is>
      </c>
      <c r="I17" t="inlineStr">
        <is>
          <t>explicit_member</t>
        </is>
      </c>
      <c r="J17" t="n">
        <v>3089127.602</v>
      </c>
      <c r="K17" t="n">
        <v>1.5613</v>
      </c>
      <c r="L17" s="6" t="inlineStr">
        <is>
          <t>Member 11 of Grp4 Large Pelagics in the Bulletin 51 components-of-ecological-groupings table (PDF pp. 21-22); the group account names it first and tabulates its L-inf, P/B, aspect ratio and Q/B.</t>
        </is>
      </c>
    </row>
    <row r="18">
      <c r="A18" t="inlineStr">
        <is>
          <t>Thunnus albacares</t>
        </is>
      </c>
      <c r="B18" t="inlineStr">
        <is>
          <t>Yellowfin tuna</t>
        </is>
      </c>
      <c r="C18" t="inlineStr">
        <is>
          <t>Large pelagics (&gt;=90 cm)</t>
        </is>
      </c>
      <c r="D18" t="inlineStr">
        <is>
          <t>Tuna &amp; billfishes</t>
        </is>
      </c>
      <c r="E18" s="7" t="inlineStr">
        <is>
          <t>Tunas</t>
        </is>
      </c>
      <c r="F18" t="inlineStr"/>
      <c r="G18" t="inlineStr"/>
      <c r="H18" t="inlineStr">
        <is>
          <t>high</t>
        </is>
      </c>
      <c r="I18" t="inlineStr">
        <is>
          <t>taxonomic_containment</t>
        </is>
      </c>
      <c r="J18" t="n">
        <v>3034889.901</v>
      </c>
      <c r="K18" t="n">
        <v>1.5339</v>
      </c>
      <c r="L18" s="6" t="inlineStr">
        <is>
          <t>Grp5 Tunas in the Bulletin 51 components-of-ecological-groupings table (PDF pp. 21-22) is Euthynnus affinis, Thunnus tonggol, Auxis thazard and A. rochei; the genus Thunnus is a listed member genus and the model has no other tuna compartment.</t>
        </is>
      </c>
    </row>
    <row r="19">
      <c r="A19" t="inlineStr">
        <is>
          <t>Carcharhinidae</t>
        </is>
      </c>
      <c r="B19" t="inlineStr">
        <is>
          <t>Requiem sharks</t>
        </is>
      </c>
      <c r="C19" t="inlineStr">
        <is>
          <t>Large sharks (&gt;=90 cm)</t>
        </is>
      </c>
      <c r="D19" t="inlineStr">
        <is>
          <t>Sharks &amp; rays</t>
        </is>
      </c>
      <c r="E19" s="7" t="inlineStr">
        <is>
          <t>Sharks</t>
        </is>
      </c>
      <c r="F19" t="inlineStr"/>
      <c r="G19" t="inlineStr"/>
      <c r="H19" t="inlineStr">
        <is>
          <t>high</t>
        </is>
      </c>
      <c r="I19" t="inlineStr">
        <is>
          <t>taxonomic_containment</t>
        </is>
      </c>
      <c r="J19" t="n">
        <v>2956882.996</v>
      </c>
      <c r="K19" t="n">
        <v>1.4945</v>
      </c>
      <c r="L19" s="6" t="inlineStr">
        <is>
          <t>Three of the four members of Grp2 Sharks in the Bulletin 51 components-of-ecological-groupings table (PDF pp. 21-22) - Rhizoprionodon acutus, Carcharhinus limbatus, Scoliodon laticaudus - are carcharhinids, and the model's only other elasmobranch group is batoid.</t>
        </is>
      </c>
    </row>
    <row r="20">
      <c r="A20" t="inlineStr">
        <is>
          <t>Ariidae</t>
        </is>
      </c>
      <c r="B20" t="inlineStr">
        <is>
          <t>Sea catfishes, coblers</t>
        </is>
      </c>
      <c r="C20" t="inlineStr">
        <is>
          <t>Medium demersals (30 - 89 cm)</t>
        </is>
      </c>
      <c r="D20" t="inlineStr">
        <is>
          <t>Other fishes &amp; inverts</t>
        </is>
      </c>
      <c r="E20" s="7" t="inlineStr">
        <is>
          <t>Large Benthopelagics</t>
        </is>
      </c>
      <c r="F20" t="inlineStr"/>
      <c r="G20" t="inlineStr"/>
      <c r="H20" t="inlineStr">
        <is>
          <t>high</t>
        </is>
      </c>
      <c r="I20" t="inlineStr">
        <is>
          <t>taxonomic_containment</t>
        </is>
      </c>
      <c r="J20" t="n">
        <v>2892969.177</v>
      </c>
      <c r="K20" t="n">
        <v>1.4622</v>
      </c>
      <c r="L20" s="6" t="inlineStr">
        <is>
          <t>Member 28 of Grp7 Large Benthopelagics in the Bulletin 51 components-of-ecological-groupings table (PDF pp. 21-22) is 'Tachysurus sp.', an ariid sea catfish, and the group account names catfish among the group's five constituents.</t>
        </is>
      </c>
    </row>
    <row r="21">
      <c r="A21" t="inlineStr">
        <is>
          <t>Elasmobranchii</t>
        </is>
      </c>
      <c r="B21" t="inlineStr">
        <is>
          <t>Sharks, rays, skates</t>
        </is>
      </c>
      <c r="C21" t="inlineStr">
        <is>
          <t>Large sharks (&gt;=90 cm)</t>
        </is>
      </c>
      <c r="D21" t="inlineStr">
        <is>
          <t>Sharks &amp; rays</t>
        </is>
      </c>
      <c r="E21" s="5" t="inlineStr">
        <is>
          <t>Sharks | Skates &amp; Rays</t>
        </is>
      </c>
      <c r="F21" t="inlineStr">
        <is>
          <t>0.716 | 0.284</t>
        </is>
      </c>
      <c r="G21" t="inlineStr">
        <is>
          <t>catch_composition</t>
        </is>
      </c>
      <c r="H21" t="inlineStr">
        <is>
          <t>medium</t>
        </is>
      </c>
      <c r="I21" t="inlineStr">
        <is>
          <t>composite_split</t>
        </is>
      </c>
      <c r="J21" t="n">
        <v>2495476.49</v>
      </c>
      <c r="K21" t="n">
        <v>1.2613</v>
      </c>
      <c r="L21" s="6" t="inlineStr">
        <is>
          <t>Subclass-level record spanning both of the model's elasmobranch groups, which are split cleanly into true sharks (Rhizoprionodon, Carcharhinus, Scoliodon, Sphyrna) and batoids (Rhinobatos, Rhinoptera, Dasyatis) in the Bulletin 51 components-of-ecological-groupings table (PDF pp. 21-22). Apportioned by the catch composition of the identified elasmobranchs of this LME, which leans to sharks and so agrees with the Sea Around Us class of Large sharks (&gt;=90 cm).</t>
        </is>
      </c>
    </row>
    <row r="22">
      <c r="A22" t="inlineStr">
        <is>
          <t>Siluriformes</t>
        </is>
      </c>
      <c r="B22" t="inlineStr">
        <is>
          <t>Catfishes</t>
        </is>
      </c>
      <c r="C22" t="inlineStr">
        <is>
          <t>Medium demersals (30 - 89 cm)</t>
        </is>
      </c>
      <c r="D22" t="inlineStr">
        <is>
          <t>Other fishes &amp; inverts</t>
        </is>
      </c>
      <c r="E22" s="5" t="inlineStr">
        <is>
          <t>Large Benthopelagics</t>
        </is>
      </c>
      <c r="F22" t="inlineStr"/>
      <c r="G22" t="inlineStr"/>
      <c r="H22" t="inlineStr">
        <is>
          <t>medium</t>
        </is>
      </c>
      <c r="I22" t="inlineStr">
        <is>
          <t>taxonomic_containment</t>
        </is>
      </c>
      <c r="J22" t="n">
        <v>2341898.303</v>
      </c>
      <c r="K22" t="n">
        <v>1.1837</v>
      </c>
      <c r="L22" s="6" t="inlineStr">
        <is>
          <t>Order-level catfish record. Marine Siluriformes landings on this coast are effectively all Ariidae, which the model places in Grp7 Large Benthopelagics as 'Tachysurus sp.' (the Bulletin 51 components-of-ecological-groupings table (PDF pp. 21-22)). Not split against the model's only other siluriform, the eel catfish Plotosus in Benthic Omnivores: Plotosidae is a negligible component of the landings here (507 t against 2.3 Mt for this record), and catch-composition weights over the two groups would give it a quarter of the record.</t>
        </is>
      </c>
    </row>
    <row r="23">
      <c r="A23" t="inlineStr">
        <is>
          <t>Netuma thalassina</t>
        </is>
      </c>
      <c r="B23" t="inlineStr">
        <is>
          <t>Giant catfish</t>
        </is>
      </c>
      <c r="C23" t="inlineStr">
        <is>
          <t>Large demersals (&gt;=90 cm)</t>
        </is>
      </c>
      <c r="D23" t="inlineStr">
        <is>
          <t>Other fishes &amp; inverts</t>
        </is>
      </c>
      <c r="E23" s="7" t="inlineStr">
        <is>
          <t>Large Benthopelagics</t>
        </is>
      </c>
      <c r="F23" t="inlineStr"/>
      <c r="G23" t="inlineStr"/>
      <c r="H23" t="inlineStr">
        <is>
          <t>high</t>
        </is>
      </c>
      <c r="I23" t="inlineStr">
        <is>
          <t>synonym</t>
        </is>
      </c>
      <c r="J23" t="n">
        <v>2158951.505</v>
      </c>
      <c r="K23" t="n">
        <v>1.0912</v>
      </c>
      <c r="L23" s="6" t="inlineStr">
        <is>
          <t>Netuma thalassina is the accepted name of Arius/Tachysurus thalassinus; 'Tachysurus sp.' is member 28 of Grp7 Large Benthopelagics in the Bulletin 51 components-of-ecological-groupings table (PDF pp. 21-22).</t>
        </is>
      </c>
    </row>
    <row r="24">
      <c r="A24" t="inlineStr">
        <is>
          <t>Leiognathidae</t>
        </is>
      </c>
      <c r="B24" t="inlineStr">
        <is>
          <t>Slipmouths, ponyfishes</t>
        </is>
      </c>
      <c r="C24" t="inlineStr">
        <is>
          <t>Small benthopelagics (&lt;30 cm)</t>
        </is>
      </c>
      <c r="D24" t="inlineStr">
        <is>
          <t>Perch-likes</t>
        </is>
      </c>
      <c r="E24" s="7" t="inlineStr">
        <is>
          <t>Small Benthic Carnivores</t>
        </is>
      </c>
      <c r="F24" t="inlineStr"/>
      <c r="G24" t="inlineStr"/>
      <c r="H24" t="inlineStr">
        <is>
          <t>high</t>
        </is>
      </c>
      <c r="I24" t="inlineStr">
        <is>
          <t>taxonomic_containment</t>
        </is>
      </c>
      <c r="J24" t="n">
        <v>2081456.459</v>
      </c>
      <c r="K24" t="n">
        <v>1.052</v>
      </c>
      <c r="L24" s="6" t="inlineStr">
        <is>
          <t>CORRECTION to the inherited mapping. The silverbellies Leiognathus bindus and Secutor insidiator are members 51 and 50 of Grp10 Small Benthic Carnivores in the Bulletin 51 components-of-ecological-groupings table (PDF pp. 21-22), and the group account (PDF p. 27) names silverbellies among its dominant species with life-history rows for both. The family was previously mapped to Small Benthopelagics, a group whose SPPR is about fifteen times higher.</t>
        </is>
      </c>
    </row>
    <row r="25">
      <c r="A25" t="inlineStr">
        <is>
          <t>Decapterus</t>
        </is>
      </c>
      <c r="B25" t="inlineStr">
        <is>
          <t>Scads</t>
        </is>
      </c>
      <c r="C25" t="inlineStr">
        <is>
          <t>Medium pelagics (30 - 89 cm)</t>
        </is>
      </c>
      <c r="D25" t="inlineStr">
        <is>
          <t>Perch-likes</t>
        </is>
      </c>
      <c r="E25" s="7" t="inlineStr">
        <is>
          <t>Small Benthopelagics</t>
        </is>
      </c>
      <c r="F25" t="inlineStr"/>
      <c r="G25" t="inlineStr"/>
      <c r="H25" t="inlineStr">
        <is>
          <t>high</t>
        </is>
      </c>
      <c r="I25" t="inlineStr">
        <is>
          <t>explicit_member</t>
        </is>
      </c>
      <c r="J25" t="n">
        <v>2074947.126</v>
      </c>
      <c r="K25" t="n">
        <v>1.0487</v>
      </c>
      <c r="L25" s="6" t="inlineStr">
        <is>
          <t>Decapterus russelli (56) and D. macrosoma (57) are members of Grp11 Small Benthopelagics in the Bulletin 51 components-of-ecological-groupings table (PDF pp. 21-22) and the two species the group account parameterises.</t>
        </is>
      </c>
    </row>
    <row r="26">
      <c r="A26" t="inlineStr">
        <is>
          <t>Engraulidae</t>
        </is>
      </c>
      <c r="B26" t="inlineStr">
        <is>
          <t>Anchovies, round herrings</t>
        </is>
      </c>
      <c r="C26" t="inlineStr">
        <is>
          <t>Small pelagics (&lt;30 cm)</t>
        </is>
      </c>
      <c r="D26" t="inlineStr">
        <is>
          <t>Anchovies</t>
        </is>
      </c>
      <c r="E26" s="7" t="inlineStr">
        <is>
          <t>Anchovies</t>
        </is>
      </c>
      <c r="F26" t="inlineStr"/>
      <c r="G26" t="inlineStr"/>
      <c r="H26" t="inlineStr">
        <is>
          <t>high</t>
        </is>
      </c>
      <c r="I26" t="inlineStr">
        <is>
          <t>taxonomic_containment</t>
        </is>
      </c>
      <c r="J26" t="n">
        <v>2035289.429</v>
      </c>
      <c r="K26" t="n">
        <v>1.0287</v>
      </c>
      <c r="L26" s="6" t="inlineStr">
        <is>
          <t>Grp14 Anchovies in the Bulletin 51 components-of-ecological-groupings table (PDF pp. 21-22) is Stolephorus devisi, S. waitei, S. commersonii and S. indicus plus the unicorn cod Bregmaceros mcclellandi. Not split against Clupeids, into which the Bulletin puts the engraulid Thryssa mystax, because Thryssa is separately identified in this catch and because Clupeids carries the oil sardine's 21.9 Mt, so a catch-composition split would put over 90 % of an anchovy record onto the sardine group.</t>
        </is>
      </c>
    </row>
    <row r="27">
      <c r="A27" t="inlineStr">
        <is>
          <t>Rastrelliger</t>
        </is>
      </c>
      <c r="B27" t="inlineStr">
        <is>
          <t>Indian mackerels</t>
        </is>
      </c>
      <c r="C27" t="inlineStr">
        <is>
          <t>Medium pelagics (30 - 89 cm)</t>
        </is>
      </c>
      <c r="D27" t="inlineStr">
        <is>
          <t>Perch-likes</t>
        </is>
      </c>
      <c r="E27" s="7" t="inlineStr">
        <is>
          <t>Mackerel</t>
        </is>
      </c>
      <c r="F27" t="inlineStr"/>
      <c r="G27" t="inlineStr"/>
      <c r="H27" t="inlineStr">
        <is>
          <t>high</t>
        </is>
      </c>
      <c r="I27" t="inlineStr">
        <is>
          <t>taxonomic_containment</t>
        </is>
      </c>
      <c r="J27" t="n">
        <v>2019039.151</v>
      </c>
      <c r="K27" t="n">
        <v>1.0205</v>
      </c>
      <c r="L27" s="6" t="inlineStr">
        <is>
          <t>Grp12 Mackerel in the Bulletin 51 components-of-ecological-groupings table (PDF pp. 21-22) is the single species Rastrelliger kanagurta, so the genus record is contained in the group.</t>
        </is>
      </c>
    </row>
    <row r="28">
      <c r="A28" t="inlineStr">
        <is>
          <t>Perciformes</t>
        </is>
      </c>
      <c r="B28" t="inlineStr">
        <is>
          <t>Perch-likes</t>
        </is>
      </c>
      <c r="C28" t="inlineStr">
        <is>
          <t>Medium demersals (30 - 89 cm)</t>
        </is>
      </c>
      <c r="D28" t="inlineStr">
        <is>
          <t>Perch-likes</t>
        </is>
      </c>
      <c r="E28" s="5" t="inlineStr">
        <is>
          <t>Med Benthic Carnivores | Small Benthic Carnivores | Large Benthic Carnivores</t>
        </is>
      </c>
      <c r="F28" t="inlineStr">
        <is>
          <t>0.363 | 0.239 | 0.398</t>
        </is>
      </c>
      <c r="G28" t="inlineStr">
        <is>
          <t>catch_composition</t>
        </is>
      </c>
      <c r="H28" t="inlineStr">
        <is>
          <t>medium</t>
        </is>
      </c>
      <c r="I28" t="inlineStr">
        <is>
          <t>composite_split</t>
        </is>
      </c>
      <c r="J28" t="n">
        <v>1815616.179</v>
      </c>
      <c r="K28" t="n">
        <v>0.9177</v>
      </c>
      <c r="L28" s="6" t="inlineStr">
        <is>
          <t>Order-level record classed by Sea Around Us as Medium demersals (30 - 89 cm) and commercial group Perch-likes. Perciform members of this model sit in the three demersal-carnivore groups (sciaenids, flatheads, pomfrets, bull's eye and threadfins in Med Benthic Carnivores; threadfin breams, terapons, whitefish, silverbellies, goatfishes and cardinalfish in Small Benthic Carnivores; rock cods, jobfish and snappers in Large Benthic Carnivores per the Bulletin 51 components-of-ecological-groupings table (PDF pp. 21-22)), so the record is apportioned over those three. Excluded: Mackerel (a single species, Rastrelliger kanagurta, separately and fully identified in this catch), Tunas and Large Pelagics (the demersal class rules them out and their perciform members are identified to genus here), the benthopelagic groups (different habitat) and Benthic Omnivores (its fish are soles, eel catfish and cornetfish - no perciforms).</t>
        </is>
      </c>
    </row>
    <row r="29">
      <c r="A29" t="inlineStr">
        <is>
          <t>Soleidae</t>
        </is>
      </c>
      <c r="B29" t="inlineStr">
        <is>
          <t>Soles</t>
        </is>
      </c>
      <c r="C29" t="inlineStr">
        <is>
          <t>Small to medium flatfishes (&lt;90 cm)</t>
        </is>
      </c>
      <c r="D29" t="inlineStr">
        <is>
          <t>Flatfishes</t>
        </is>
      </c>
      <c r="E29" s="7" t="inlineStr">
        <is>
          <t>Benthic Omnivores</t>
        </is>
      </c>
      <c r="F29" t="inlineStr"/>
      <c r="G29" t="inlineStr"/>
      <c r="H29" t="inlineStr">
        <is>
          <t>high</t>
        </is>
      </c>
      <c r="I29" t="inlineStr">
        <is>
          <t>explicit_member</t>
        </is>
      </c>
      <c r="J29" t="n">
        <v>1764086.256</v>
      </c>
      <c r="K29" t="n">
        <v>0.8915999999999999</v>
      </c>
      <c r="L29" s="6" t="inlineStr">
        <is>
          <t>The Bulletin's ecological-grouping paragraph defines Benthic Omnivores as 'soles, cornetfish, squilla', and the Bulletin 51 components-of-ecological-groupings table (PDF pp. 21-22) lists the Malabar sole Cynoglossus macrostomus (85) there; the group account describes it as a detritus feeder. The model's flounders (Pseudorhombus) sit in Med Benthic Carnivores instead, so this is a feeding-mode split within the flatfishes, not a taxonomic one.</t>
        </is>
      </c>
    </row>
    <row r="30">
      <c r="A30" t="inlineStr">
        <is>
          <t>Cephalopoda</t>
        </is>
      </c>
      <c r="B30" t="inlineStr">
        <is>
          <t>Squids, cuttlefishes, octopuses</t>
        </is>
      </c>
      <c r="C30" t="inlineStr">
        <is>
          <t>Cephalopods</t>
        </is>
      </c>
      <c r="D30" t="inlineStr">
        <is>
          <t>Other fishes &amp; inverts</t>
        </is>
      </c>
      <c r="E30" s="7" t="inlineStr">
        <is>
          <t>Cephalopods</t>
        </is>
      </c>
      <c r="F30" t="inlineStr"/>
      <c r="G30" t="inlineStr"/>
      <c r="H30" t="inlineStr">
        <is>
          <t>high</t>
        </is>
      </c>
      <c r="I30" t="inlineStr">
        <is>
          <t>taxonomic_containment</t>
        </is>
      </c>
      <c r="J30" t="n">
        <v>1669326.152</v>
      </c>
      <c r="K30" t="n">
        <v>0.8437</v>
      </c>
      <c r="L30" s="6" t="inlineStr">
        <is>
          <t>Grp6 Cephalopods in the Bulletin 51 components-of-ecological-groupings table (PDF pp. 21-22) (Loligo duvauceli, Sepia pharaonis, S. elliptica, Sepiella inermis) is the model's only cephalopod compartment, so the class record is contained in it.</t>
        </is>
      </c>
    </row>
    <row r="31">
      <c r="A31" t="inlineStr">
        <is>
          <t>Stolephorus</t>
        </is>
      </c>
      <c r="B31" t="inlineStr">
        <is>
          <t>Garment anchovies</t>
        </is>
      </c>
      <c r="C31" t="inlineStr">
        <is>
          <t>Small pelagics (&lt;30 cm)</t>
        </is>
      </c>
      <c r="D31" t="inlineStr">
        <is>
          <t>Anchovies</t>
        </is>
      </c>
      <c r="E31" s="7" t="inlineStr">
        <is>
          <t>Anchovies</t>
        </is>
      </c>
      <c r="F31" t="inlineStr"/>
      <c r="G31" t="inlineStr"/>
      <c r="H31" t="inlineStr">
        <is>
          <t>high</t>
        </is>
      </c>
      <c r="I31" t="inlineStr">
        <is>
          <t>explicit_member</t>
        </is>
      </c>
      <c r="J31" t="n">
        <v>1654746.387</v>
      </c>
      <c r="K31" t="n">
        <v>0.8364</v>
      </c>
      <c r="L31" s="6" t="inlineStr">
        <is>
          <t>Stolephorus devisi (70), S. waitei (71), S. commersonii (72) and S. indicus (73) are the fish members of Grp14 Anchovies in the Bulletin 51 components-of-ecological-groupings table (PDF pp. 21-22).</t>
        </is>
      </c>
    </row>
    <row r="32">
      <c r="A32" t="inlineStr">
        <is>
          <t>Penaeus semisulcatus</t>
        </is>
      </c>
      <c r="B32" t="inlineStr">
        <is>
          <t>Green tiger prawn</t>
        </is>
      </c>
      <c r="C32" t="inlineStr">
        <is>
          <t>Shrimps</t>
        </is>
      </c>
      <c r="D32" t="inlineStr">
        <is>
          <t>Crustaceans</t>
        </is>
      </c>
      <c r="E32" s="7" t="inlineStr">
        <is>
          <t>Shrimps</t>
        </is>
      </c>
      <c r="F32" t="inlineStr"/>
      <c r="G32" t="inlineStr"/>
      <c r="H32" t="inlineStr">
        <is>
          <t>high</t>
        </is>
      </c>
      <c r="I32" t="inlineStr">
        <is>
          <t>taxonomic_containment</t>
        </is>
      </c>
      <c r="J32" t="n">
        <v>1621588.462</v>
      </c>
      <c r="K32" t="n">
        <v>0.8196</v>
      </c>
      <c r="L32" s="6" t="inlineStr">
        <is>
          <t>Penaeidae, the family of Grp16's listed genera Metapenaeus, Parapenaeopsis and Trachypenaeus (the Bulletin 51 components-of-ecological-groupings table (PDF pp. 21-22)); the model has no other shrimp compartment.</t>
        </is>
      </c>
    </row>
    <row r="33">
      <c r="A33" t="inlineStr">
        <is>
          <t>Trichiurus lepturus</t>
        </is>
      </c>
      <c r="B33" t="inlineStr">
        <is>
          <t>Largehead hairtail</t>
        </is>
      </c>
      <c r="C33" t="inlineStr">
        <is>
          <t>Large benthopelagics (&gt;=90 cm)</t>
        </is>
      </c>
      <c r="D33" t="inlineStr">
        <is>
          <t>Perch-likes</t>
        </is>
      </c>
      <c r="E33" s="7" t="inlineStr">
        <is>
          <t>Large Benthopelagics</t>
        </is>
      </c>
      <c r="F33" t="inlineStr"/>
      <c r="G33" t="inlineStr"/>
      <c r="H33" t="inlineStr">
        <is>
          <t>high</t>
        </is>
      </c>
      <c r="I33" t="inlineStr">
        <is>
          <t>explicit_member</t>
        </is>
      </c>
      <c r="J33" t="n">
        <v>1406592.842</v>
      </c>
      <c r="K33" t="n">
        <v>0.7109</v>
      </c>
      <c r="L33" s="6" t="inlineStr">
        <is>
          <t>Member 24 of Grp7 Large Benthopelagics in the Bulletin 51 components-of-ecological-groupings table (PDF pp. 21-22); the group account names 'Ribbonfish (Trichiurus lepturus)' first and tabulates its parameters.</t>
        </is>
      </c>
    </row>
    <row r="34">
      <c r="A34" t="inlineStr">
        <is>
          <t>Sepiidae</t>
        </is>
      </c>
      <c r="B34" t="inlineStr">
        <is>
          <t>Cuttlefishes</t>
        </is>
      </c>
      <c r="C34" t="inlineStr">
        <is>
          <t>Cephalopods</t>
        </is>
      </c>
      <c r="D34" t="inlineStr">
        <is>
          <t>Other fishes &amp; inverts</t>
        </is>
      </c>
      <c r="E34" s="7" t="inlineStr">
        <is>
          <t>Cephalopods</t>
        </is>
      </c>
      <c r="F34" t="inlineStr"/>
      <c r="G34" t="inlineStr"/>
      <c r="H34" t="inlineStr">
        <is>
          <t>high</t>
        </is>
      </c>
      <c r="I34" t="inlineStr">
        <is>
          <t>taxonomic_containment</t>
        </is>
      </c>
      <c r="J34" t="n">
        <v>1403252.001</v>
      </c>
      <c r="K34" t="n">
        <v>0.7092000000000001</v>
      </c>
      <c r="L34" s="6" t="inlineStr">
        <is>
          <t>Sepia pharaonis (21) and S. elliptica (22) are members of Grp6 Cephalopods in the Bulletin 51 components-of-ecological-groupings table (PDF pp. 21-22); the family is contained in the group.</t>
        </is>
      </c>
    </row>
    <row r="35">
      <c r="A35" t="inlineStr">
        <is>
          <t>Serranidae</t>
        </is>
      </c>
      <c r="B35" t="inlineStr">
        <is>
          <t>Basses, groupers, hinds</t>
        </is>
      </c>
      <c r="C35" t="inlineStr">
        <is>
          <t>Medium reef assoc. fish (30 - 89 cm)</t>
        </is>
      </c>
      <c r="D35" t="inlineStr">
        <is>
          <t>Perch-likes</t>
        </is>
      </c>
      <c r="E35" s="7" t="inlineStr">
        <is>
          <t>Large Benthic Carnivores</t>
        </is>
      </c>
      <c r="F35" t="inlineStr"/>
      <c r="G35" t="inlineStr"/>
      <c r="H35" t="inlineStr">
        <is>
          <t>high</t>
        </is>
      </c>
      <c r="I35" t="inlineStr">
        <is>
          <t>taxonomic_containment</t>
        </is>
      </c>
      <c r="J35" t="n">
        <v>1394180.924</v>
      </c>
      <c r="K35" t="n">
        <v>0.7047</v>
      </c>
      <c r="L35" s="6" t="inlineStr">
        <is>
          <t>Epinephelus diacanthus (29) and 'Serranus sp.' (33) are members of Grp8 Large Benthic Carnivores in the Bulletin 51 components-of-ecological-groupings table (PDF pp. 21-22), and the group account names 'rock cod (Epinephelus diacanthus)' as dominant.</t>
        </is>
      </c>
    </row>
    <row r="36">
      <c r="A36" t="inlineStr">
        <is>
          <t>Thryssa</t>
        </is>
      </c>
      <c r="B36" t="inlineStr">
        <is>
          <t>Thryssas</t>
        </is>
      </c>
      <c r="C36" t="inlineStr">
        <is>
          <t>Small pelagics (&lt;30 cm)</t>
        </is>
      </c>
      <c r="D36" t="inlineStr">
        <is>
          <t>Anchovies</t>
        </is>
      </c>
      <c r="E36" s="7" t="inlineStr">
        <is>
          <t>Clupeids</t>
        </is>
      </c>
      <c r="F36" t="inlineStr"/>
      <c r="G36" t="inlineStr"/>
      <c r="H36" t="inlineStr">
        <is>
          <t>high</t>
        </is>
      </c>
      <c r="I36" t="inlineStr">
        <is>
          <t>explicit_member</t>
        </is>
      </c>
      <c r="J36" t="n">
        <v>1295403.972</v>
      </c>
      <c r="K36" t="n">
        <v>0.6546999999999999</v>
      </c>
      <c r="L36" s="6" t="inlineStr">
        <is>
          <t>Thryssa mystax is member 65 of Grp13 Clupeids in the Bulletin 51 components-of-ecological-groupings table (PDF pp. 21-22) - the Bulletin places this engraulid genus with the sardines, not in its Anchovies group, and the group account discusses Thryssa mystax's diet under Clupeids.</t>
        </is>
      </c>
    </row>
    <row r="37">
      <c r="A37" t="inlineStr">
        <is>
          <t>Katsuwonus pelamis</t>
        </is>
      </c>
      <c r="B37" t="inlineStr">
        <is>
          <t>Skipjack tuna</t>
        </is>
      </c>
      <c r="C37" t="inlineStr">
        <is>
          <t>Large pelagics (&gt;=90 cm)</t>
        </is>
      </c>
      <c r="D37" t="inlineStr">
        <is>
          <t>Tuna &amp; billfishes</t>
        </is>
      </c>
      <c r="E37" s="7" t="inlineStr">
        <is>
          <t>Tunas</t>
        </is>
      </c>
      <c r="F37" t="inlineStr"/>
      <c r="G37" t="inlineStr"/>
      <c r="H37" t="inlineStr">
        <is>
          <t>high</t>
        </is>
      </c>
      <c r="I37" t="inlineStr">
        <is>
          <t>taxonomic_containment</t>
        </is>
      </c>
      <c r="J37" t="n">
        <v>1268944.362</v>
      </c>
      <c r="K37" t="n">
        <v>0.6414</v>
      </c>
      <c r="L37" s="6" t="inlineStr">
        <is>
          <t>Grp5 Tunas in the Bulletin 51 components-of-ecological-groupings table (PDF pp. 21-22) is the model's Thunnini pool (Euthynnus, Thunnus, Auxis); Katsuwonus is a member of that tribe and the model has no other tuna compartment.</t>
        </is>
      </c>
    </row>
    <row r="38">
      <c r="A38" t="inlineStr">
        <is>
          <t>Synodontidae</t>
        </is>
      </c>
      <c r="B38" t="inlineStr">
        <is>
          <t>Lizardfishes, sauries</t>
        </is>
      </c>
      <c r="C38" t="inlineStr">
        <is>
          <t>Medium demersals (30 - 89 cm)</t>
        </is>
      </c>
      <c r="D38" t="inlineStr">
        <is>
          <t>Other fishes &amp; inverts</t>
        </is>
      </c>
      <c r="E38" s="7" t="inlineStr">
        <is>
          <t>Large Benthic Carnivores</t>
        </is>
      </c>
      <c r="F38" t="inlineStr"/>
      <c r="G38" t="inlineStr"/>
      <c r="H38" t="inlineStr">
        <is>
          <t>high</t>
        </is>
      </c>
      <c r="I38" t="inlineStr">
        <is>
          <t>taxonomic_containment</t>
        </is>
      </c>
      <c r="J38" t="n">
        <v>1259868.49</v>
      </c>
      <c r="K38" t="n">
        <v>0.6368</v>
      </c>
      <c r="L38" s="6" t="inlineStr">
        <is>
          <t>Saurida tumbil (31) and S. undosquamis (32) are members of Grp8 Large Benthic Carnivores in the Bulletin 51 components-of-ecological-groupings table (PDF pp. 21-22); the group account describes the lizardfishes' diet as part of the group.</t>
        </is>
      </c>
    </row>
    <row r="39">
      <c r="A39" t="inlineStr">
        <is>
          <t>Otolithes ruber</t>
        </is>
      </c>
      <c r="B39" t="inlineStr">
        <is>
          <t>Tigertooth croaker</t>
        </is>
      </c>
      <c r="C39" t="inlineStr">
        <is>
          <t>Medium benthopelagics (30 - 89 cm)</t>
        </is>
      </c>
      <c r="D39" t="inlineStr">
        <is>
          <t>Perch-likes</t>
        </is>
      </c>
      <c r="E39" s="7" t="inlineStr">
        <is>
          <t>Med Benthic Carnivores</t>
        </is>
      </c>
      <c r="F39" t="inlineStr"/>
      <c r="G39" t="inlineStr"/>
      <c r="H39" t="inlineStr">
        <is>
          <t>high</t>
        </is>
      </c>
      <c r="I39" t="inlineStr">
        <is>
          <t>explicit_member</t>
        </is>
      </c>
      <c r="J39" t="n">
        <v>1220450.578</v>
      </c>
      <c r="K39" t="n">
        <v>0.6168</v>
      </c>
      <c r="L39" s="6" t="inlineStr">
        <is>
          <t>Member 36 of Grp9 Med Benthic Carnivores in the Bulletin 51 components-of-ecological-groupings table (PDF pp. 21-22); the group account gives its diet composition.</t>
        </is>
      </c>
    </row>
    <row r="40">
      <c r="A40" t="inlineStr">
        <is>
          <t>Thunnus tonggol</t>
        </is>
      </c>
      <c r="B40" t="inlineStr">
        <is>
          <t>Longtail tuna</t>
        </is>
      </c>
      <c r="C40" t="inlineStr">
        <is>
          <t>Large pelagics (&gt;=90 cm)</t>
        </is>
      </c>
      <c r="D40" t="inlineStr">
        <is>
          <t>Tuna &amp; billfishes</t>
        </is>
      </c>
      <c r="E40" s="7" t="inlineStr">
        <is>
          <t>Tunas</t>
        </is>
      </c>
      <c r="F40" t="inlineStr"/>
      <c r="G40" t="inlineStr"/>
      <c r="H40" t="inlineStr">
        <is>
          <t>high</t>
        </is>
      </c>
      <c r="I40" t="inlineStr">
        <is>
          <t>explicit_member</t>
        </is>
      </c>
      <c r="J40" t="n">
        <v>1166515.806</v>
      </c>
      <c r="K40" t="n">
        <v>0.5896</v>
      </c>
      <c r="L40" s="6" t="inlineStr">
        <is>
          <t>Member 17 of Grp5 Tunas in the Bulletin 51 components-of-ecological-groupings table (PDF pp. 21-22); the group account tabulates its L-inf, P/B, aspect ratio and Q/B.</t>
        </is>
      </c>
    </row>
    <row r="41">
      <c r="A41" t="inlineStr">
        <is>
          <t>Scombridae</t>
        </is>
      </c>
      <c r="B41" t="inlineStr">
        <is>
          <t>Mackerels, tunas, bonitos</t>
        </is>
      </c>
      <c r="C41" t="inlineStr">
        <is>
          <t>Medium pelagics (30 - 89 cm)</t>
        </is>
      </c>
      <c r="D41" t="inlineStr">
        <is>
          <t>Perch-likes</t>
        </is>
      </c>
      <c r="E41" s="5" t="inlineStr">
        <is>
          <t>Mackerel | Tunas | Large Pelagics</t>
        </is>
      </c>
      <c r="F41" t="inlineStr">
        <is>
          <t>0.395 | 0.288 | 0.317</t>
        </is>
      </c>
      <c r="G41" t="inlineStr">
        <is>
          <t>catch_composition</t>
        </is>
      </c>
      <c r="H41" t="inlineStr">
        <is>
          <t>medium</t>
        </is>
      </c>
      <c r="I41" t="inlineStr">
        <is>
          <t>composite_split</t>
        </is>
      </c>
      <c r="J41" t="n">
        <v>1098890.642</v>
      </c>
      <c r="K41" t="n">
        <v>0.5554</v>
      </c>
      <c r="L41" s="6" t="inlineStr">
        <is>
          <t>Family-level record classed by Sea Around Us as Medium pelagics (30 - 89 cm). The model distributes scombrids over exactly three groups - Mackerel (Rastrelliger kanagurta), Tunas (Euthynnus, Thunnus, Auxis) and Large Pelagics (the seerfishes Scomberomorus commerson and S. guttatus) per the Bulletin 51 components-of-ecological-groupings table (PDF pp. 21-22) - so the record is apportioned over those three and nothing else. Reviewer caveat: Sea Around Us gives this record commercial group Perch-likes rather than Tuna &amp; billfishes, which hints the pile leans to Rastrelliger and Scomberomorus, and the three groups' SPPR differ by two orders of magnitude (Mackerel is modelled at TL 2.0 on an 88 % diatom diet), so this split is the single most consequential judgement in the file.</t>
        </is>
      </c>
    </row>
    <row r="42">
      <c r="A42" t="inlineStr">
        <is>
          <t>Teuthida</t>
        </is>
      </c>
      <c r="B42" t="inlineStr">
        <is>
          <t>Squids</t>
        </is>
      </c>
      <c r="C42" t="inlineStr">
        <is>
          <t>Cephalopods</t>
        </is>
      </c>
      <c r="D42" t="inlineStr">
        <is>
          <t>Other fishes &amp; inverts</t>
        </is>
      </c>
      <c r="E42" s="7" t="inlineStr">
        <is>
          <t>Cephalopods</t>
        </is>
      </c>
      <c r="F42" t="inlineStr"/>
      <c r="G42" t="inlineStr"/>
      <c r="H42" t="inlineStr">
        <is>
          <t>high</t>
        </is>
      </c>
      <c r="I42" t="inlineStr">
        <is>
          <t>inherited_mapping</t>
        </is>
      </c>
      <c r="J42" t="n">
        <v>1031415.032</v>
      </c>
      <c r="K42" t="n">
        <v>0.5213</v>
      </c>
      <c r="L42" s="6" t="inlineStr">
        <is>
          <t>Squid order; Cephalopods is the model's only cephalopod-type group, so every cephalopod taxon is an unambiguous fit regardless of exact rank.</t>
        </is>
      </c>
    </row>
    <row r="43">
      <c r="A43" t="inlineStr">
        <is>
          <t>Portunus pelagicus</t>
        </is>
      </c>
      <c r="B43" t="inlineStr">
        <is>
          <t>Blue swimming crab</t>
        </is>
      </c>
      <c r="C43" t="inlineStr">
        <is>
          <t>Lobsters, crabs</t>
        </is>
      </c>
      <c r="D43" t="inlineStr">
        <is>
          <t>Crustaceans</t>
        </is>
      </c>
      <c r="E43" s="7" t="inlineStr">
        <is>
          <t>Crabs &amp; Lobster</t>
        </is>
      </c>
      <c r="F43" t="inlineStr"/>
      <c r="G43" t="inlineStr"/>
      <c r="H43" t="inlineStr">
        <is>
          <t>high</t>
        </is>
      </c>
      <c r="I43" t="inlineStr">
        <is>
          <t>inherited_mapping</t>
        </is>
      </c>
      <c r="J43" t="n">
        <v>996585.1949999999</v>
      </c>
      <c r="K43" t="n">
        <v>0.5037</v>
      </c>
      <c r="L43" s="6" t="inlineStr">
        <is>
          <t>Blue swimming crab; exact genus (Portunus) explicitly named in Table 1's Crabs and lobsters definition.</t>
        </is>
      </c>
    </row>
    <row r="44">
      <c r="A44" t="inlineStr">
        <is>
          <t>Coryphaena hippurus</t>
        </is>
      </c>
      <c r="B44" t="inlineStr">
        <is>
          <t>Common dolphinfish</t>
        </is>
      </c>
      <c r="C44" t="inlineStr">
        <is>
          <t>Large pelagics (&gt;=90 cm)</t>
        </is>
      </c>
      <c r="D44" t="inlineStr">
        <is>
          <t>Perch-likes</t>
        </is>
      </c>
      <c r="E44" s="5" t="inlineStr">
        <is>
          <t>Large Pelagics</t>
        </is>
      </c>
      <c r="F44" t="inlineStr"/>
      <c r="G44" t="inlineStr"/>
      <c r="H44" t="inlineStr">
        <is>
          <t>medium</t>
        </is>
      </c>
      <c r="I44" t="inlineStr">
        <is>
          <t>inherited_mapping</t>
        </is>
      </c>
      <c r="J44" t="n">
        <v>985215.335</v>
      </c>
      <c r="K44" t="n">
        <v>0.498</v>
      </c>
      <c r="L44" s="6" t="inlineStr">
        <is>
          <t>Common dolphinfish; not one of Table 1's named examples, but ecologically a fast, large epipelagic piscivore matching this apex-predator group's diet (feeds on Mackerel/Clupeids/Anchovies groups per the diet matrix) and TL band (4.37-4.49 vs group TL 4.18).</t>
        </is>
      </c>
    </row>
    <row r="45">
      <c r="A45" t="inlineStr">
        <is>
          <t>Mugilidae</t>
        </is>
      </c>
      <c r="B45" t="inlineStr">
        <is>
          <t>Mullets, grey mullets</t>
        </is>
      </c>
      <c r="C45" t="inlineStr">
        <is>
          <t>Medium reef assoc. fish (30 - 89 cm)</t>
        </is>
      </c>
      <c r="D45" t="inlineStr">
        <is>
          <t>Perch-likes</t>
        </is>
      </c>
      <c r="E45" s="5" t="inlineStr">
        <is>
          <t>Benthic Omnivores</t>
        </is>
      </c>
      <c r="F45" t="inlineStr"/>
      <c r="G45" t="inlineStr"/>
      <c r="H45" t="inlineStr">
        <is>
          <t>medium</t>
        </is>
      </c>
      <c r="I45" t="inlineStr">
        <is>
          <t>inherited_mapping</t>
        </is>
      </c>
      <c r="J45" t="n">
        <v>959509.336</v>
      </c>
      <c r="K45" t="n">
        <v>0.485</v>
      </c>
      <c r="L45" s="6" t="inlineStr">
        <is>
          <t>Mullet family; mullets (Mugilidae) are benthic detritivore/omnivore grazers, not named in Table 1 but ecologically and trophically (TL 2.14-2.63) closest to the low-TL Benthic Omnivores guild (group TL 2.55).</t>
        </is>
      </c>
    </row>
    <row r="46">
      <c r="A46" t="inlineStr">
        <is>
          <t>Tenualosa ilisha</t>
        </is>
      </c>
      <c r="B46" t="inlineStr">
        <is>
          <t>Hilsa shad</t>
        </is>
      </c>
      <c r="C46" t="inlineStr">
        <is>
          <t>Medium pelagics (30 - 89 cm)</t>
        </is>
      </c>
      <c r="D46" t="inlineStr">
        <is>
          <t>Herring-likes</t>
        </is>
      </c>
      <c r="E46" s="7" t="inlineStr">
        <is>
          <t>Clupeids</t>
        </is>
      </c>
      <c r="F46" t="inlineStr"/>
      <c r="G46" t="inlineStr"/>
      <c r="H46" t="inlineStr">
        <is>
          <t>high</t>
        </is>
      </c>
      <c r="I46" t="inlineStr">
        <is>
          <t>inherited_mapping</t>
        </is>
      </c>
      <c r="J46" t="n">
        <v>940847.3860000001</v>
      </c>
      <c r="K46" t="n">
        <v>0.4755</v>
      </c>
      <c r="L46" s="6" t="inlineStr">
        <is>
          <t>Hilsa shad; Clupeidae, the family that itself defines the Clupeids group.</t>
        </is>
      </c>
    </row>
    <row r="47">
      <c r="A47" t="inlineStr">
        <is>
          <t>Platycaranx chrysophrys</t>
        </is>
      </c>
      <c r="B47" t="inlineStr">
        <is>
          <t>Longnose trevally</t>
        </is>
      </c>
      <c r="C47" t="inlineStr">
        <is>
          <t>Small pelagics (&lt;30 cm)</t>
        </is>
      </c>
      <c r="D47" t="inlineStr">
        <is>
          <t>Perch-likes</t>
        </is>
      </c>
      <c r="E47" s="5" t="inlineStr">
        <is>
          <t>Large Benthic Carnivores</t>
        </is>
      </c>
      <c r="F47" t="inlineStr"/>
      <c r="G47" t="inlineStr"/>
      <c r="H47" t="inlineStr">
        <is>
          <t>medium</t>
        </is>
      </c>
      <c r="I47" t="inlineStr">
        <is>
          <t>inherited_mapping</t>
        </is>
      </c>
      <c r="J47" t="n">
        <v>906175.291</v>
      </c>
      <c r="K47" t="n">
        <v>0.458</v>
      </c>
      <c r="L47" s="6" t="inlineStr">
        <is>
          <t>Longnose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48">
      <c r="A48" t="inlineStr">
        <is>
          <t>Alopias superciliosus</t>
        </is>
      </c>
      <c r="B48" t="inlineStr">
        <is>
          <t>Bigeye thresher</t>
        </is>
      </c>
      <c r="C48" t="inlineStr">
        <is>
          <t>Large sharks (&gt;=90 cm)</t>
        </is>
      </c>
      <c r="D48" t="inlineStr">
        <is>
          <t>Sharks &amp; rays</t>
        </is>
      </c>
      <c r="E48" s="7" t="inlineStr">
        <is>
          <t>Sharks</t>
        </is>
      </c>
      <c r="F48" t="inlineStr"/>
      <c r="G48" t="inlineStr"/>
      <c r="H48" t="inlineStr">
        <is>
          <t>high</t>
        </is>
      </c>
      <c r="I48" t="inlineStr">
        <is>
          <t>inherited_mapping</t>
        </is>
      </c>
      <c r="J48" t="n">
        <v>891124.776</v>
      </c>
      <c r="K48" t="n">
        <v>0.4504</v>
      </c>
      <c r="L48" s="6" t="inlineStr">
        <is>
          <t>Bigeye thresher; Lamniformes true shark. This model splits sharks from batoids cleanly (group 2 vs group 3), and any true-shark genus not a batoid is an unambiguous fit to Sharks even where the exact genus is not one of Table 1's named examples (Rhizoprionodon, Carcharhinus, Scoliodon, Sphyrna).</t>
        </is>
      </c>
    </row>
    <row r="49">
      <c r="A49" t="inlineStr">
        <is>
          <t>Parastromateus niger</t>
        </is>
      </c>
      <c r="B49" t="inlineStr">
        <is>
          <t>Black pomfret</t>
        </is>
      </c>
      <c r="C49" t="inlineStr">
        <is>
          <t>Medium benthopelagics (30 - 89 cm)</t>
        </is>
      </c>
      <c r="D49" t="inlineStr">
        <is>
          <t>Perch-likes</t>
        </is>
      </c>
      <c r="E49" s="7" t="inlineStr">
        <is>
          <t>Med Benthic Carnivores</t>
        </is>
      </c>
      <c r="F49" t="inlineStr"/>
      <c r="G49" t="inlineStr"/>
      <c r="H49" t="inlineStr">
        <is>
          <t>high</t>
        </is>
      </c>
      <c r="I49" t="inlineStr">
        <is>
          <t>synonym</t>
        </is>
      </c>
      <c r="J49" t="n">
        <v>881596.385</v>
      </c>
      <c r="K49" t="n">
        <v>0.4456</v>
      </c>
      <c r="L49" s="6" t="inlineStr">
        <is>
          <t>CORRECTION to the inherited mapping. Listed as 'Formio niger', member 39 of Grp9 Med Benthic Carnivores in the Bulletin 51 components-of-ecological-groupings table (PDF pp. 21-22); Formio is a junior synonym of Parastromateus, and the group account (PDF p. 27) names 'Black pomfret (Parastromateus niger)' and tabulates its L-inf, P/B and Q/B. Previously mapped to Small Benthopelagics.</t>
        </is>
      </c>
    </row>
    <row r="50">
      <c r="A50" t="inlineStr">
        <is>
          <t>Isurus oxyrinchus</t>
        </is>
      </c>
      <c r="B50" t="inlineStr">
        <is>
          <t>Shortfin mako</t>
        </is>
      </c>
      <c r="C50" t="inlineStr">
        <is>
          <t>Large sharks (&gt;=90 cm)</t>
        </is>
      </c>
      <c r="D50" t="inlineStr">
        <is>
          <t>Sharks &amp; rays</t>
        </is>
      </c>
      <c r="E50" s="7" t="inlineStr">
        <is>
          <t>Sharks</t>
        </is>
      </c>
      <c r="F50" t="inlineStr"/>
      <c r="G50" t="inlineStr"/>
      <c r="H50" t="inlineStr">
        <is>
          <t>high</t>
        </is>
      </c>
      <c r="I50" t="inlineStr">
        <is>
          <t>inherited_mapping</t>
        </is>
      </c>
      <c r="J50" t="n">
        <v>876507.701</v>
      </c>
      <c r="K50" t="n">
        <v>0.443</v>
      </c>
      <c r="L50" s="6" t="inlineStr">
        <is>
          <t>Shortfin mako; Lamnidae true shark (mackerel shark family), unambiguous fit to the model's single Sharks group under the clean shark/batoid split.</t>
        </is>
      </c>
    </row>
    <row r="51">
      <c r="A51" t="inlineStr">
        <is>
          <t>Scomberomorus guttatus</t>
        </is>
      </c>
      <c r="B51" t="inlineStr">
        <is>
          <t>Indo-Pacific king mackerel</t>
        </is>
      </c>
      <c r="C51" t="inlineStr">
        <is>
          <t>Medium pelagics (30 - 89 cm)</t>
        </is>
      </c>
      <c r="D51" t="inlineStr">
        <is>
          <t>Perch-likes</t>
        </is>
      </c>
      <c r="E51" s="7" t="inlineStr">
        <is>
          <t>Large Pelagics</t>
        </is>
      </c>
      <c r="F51" t="inlineStr"/>
      <c r="G51" t="inlineStr"/>
      <c r="H51" t="inlineStr">
        <is>
          <t>high</t>
        </is>
      </c>
      <c r="I51" t="inlineStr">
        <is>
          <t>inherited_mapping</t>
        </is>
      </c>
      <c r="J51" t="n">
        <v>866451.4939999999</v>
      </c>
      <c r="K51" t="n">
        <v>0.4379</v>
      </c>
      <c r="L51" s="6" t="inlineStr">
        <is>
          <t>Indo-Pacific king mackerel; exact genus (Scomberomorus = "seers, kingfish") explicitly named in Table 1's Large Pelagics definition.</t>
        </is>
      </c>
    </row>
    <row r="52">
      <c r="A52" t="inlineStr">
        <is>
          <t>Lactarius lactarius</t>
        </is>
      </c>
      <c r="B52" t="inlineStr">
        <is>
          <t>False trevally</t>
        </is>
      </c>
      <c r="C52" t="inlineStr">
        <is>
          <t>Medium pelagics (30 - 89 cm)</t>
        </is>
      </c>
      <c r="D52" t="inlineStr">
        <is>
          <t>Perch-likes</t>
        </is>
      </c>
      <c r="E52" s="7" t="inlineStr">
        <is>
          <t>Small Benthic Carnivores</t>
        </is>
      </c>
      <c r="F52" t="inlineStr"/>
      <c r="G52" t="inlineStr"/>
      <c r="H52" t="inlineStr">
        <is>
          <t>high</t>
        </is>
      </c>
      <c r="I52" t="inlineStr">
        <is>
          <t>explicit_member</t>
        </is>
      </c>
      <c r="J52" t="n">
        <v>808579.074</v>
      </c>
      <c r="K52" t="n">
        <v>0.4087</v>
      </c>
      <c r="L52" s="6" t="inlineStr">
        <is>
          <t>CORRECTION to the inherited mapping. Member 49 of Grp10 Small Benthic Carnivores in the Bulletin 51 components-of-ecological-groupings table (PDF pp. 21-22); the group account names 'whitefish (Lactarius lactarius)' among its dominant species and gives it a life-history row. Previously mapped to Large Benthopelagics, a group whose SPPR is more than twenty times higher.</t>
        </is>
      </c>
    </row>
    <row r="53">
      <c r="A53" t="inlineStr">
        <is>
          <t>Sparidae</t>
        </is>
      </c>
      <c r="B53" t="inlineStr">
        <is>
          <t>Porgies, seabreams</t>
        </is>
      </c>
      <c r="C53" t="inlineStr">
        <is>
          <t>Medium benthopelagics (30 - 89 cm)</t>
        </is>
      </c>
      <c r="D53" t="inlineStr">
        <is>
          <t>Perch-likes</t>
        </is>
      </c>
      <c r="E53" s="5" t="inlineStr">
        <is>
          <t>Med Benthic Carnivores</t>
        </is>
      </c>
      <c r="F53" t="inlineStr"/>
      <c r="G53" t="inlineStr"/>
      <c r="H53" t="inlineStr">
        <is>
          <t>medium</t>
        </is>
      </c>
      <c r="I53" t="inlineStr">
        <is>
          <t>inherited_mapping</t>
        </is>
      </c>
      <c r="J53" t="n">
        <v>771545.29</v>
      </c>
      <c r="K53" t="n">
        <v>0.39</v>
      </c>
      <c r="L53" s="6" t="inlineStr">
        <is>
          <t>Seabream family; Sparidae, a benthic durophagous-invertivore guild not named in Table 1, placed with Med Benthic Carnivores by TL match (~3.3-3.5 vs group TL 3.19).</t>
        </is>
      </c>
    </row>
    <row r="54">
      <c r="A54" t="inlineStr">
        <is>
          <t>Scomberoides commersonnianus</t>
        </is>
      </c>
      <c r="B54" t="inlineStr">
        <is>
          <t>Talang queenfish</t>
        </is>
      </c>
      <c r="C54" t="inlineStr">
        <is>
          <t>Large reef assoc. fish (&gt;=90 cm)</t>
        </is>
      </c>
      <c r="D54" t="inlineStr">
        <is>
          <t>Perch-likes</t>
        </is>
      </c>
      <c r="E54" s="7" t="inlineStr">
        <is>
          <t>Large Benthopelagics</t>
        </is>
      </c>
      <c r="F54" t="inlineStr"/>
      <c r="G54" t="inlineStr"/>
      <c r="H54" t="inlineStr">
        <is>
          <t>high</t>
        </is>
      </c>
      <c r="I54" t="inlineStr">
        <is>
          <t>inherited_mapping</t>
        </is>
      </c>
      <c r="J54" t="n">
        <v>740452.027</v>
      </c>
      <c r="K54" t="n">
        <v>0.3742</v>
      </c>
      <c r="L54" s="6" t="inlineStr">
        <is>
          <t>Talang queenfish; exact genus (Scomberoides = "queenfish") explicitly named in Table 1's Large Benthopelagics definition.</t>
        </is>
      </c>
    </row>
    <row r="55">
      <c r="A55" t="inlineStr">
        <is>
          <t>Sphyraena barracuda</t>
        </is>
      </c>
      <c r="B55" t="inlineStr">
        <is>
          <t>Great barracuda</t>
        </is>
      </c>
      <c r="C55" t="inlineStr">
        <is>
          <t>Large pelagics (&gt;=90 cm)</t>
        </is>
      </c>
      <c r="D55" t="inlineStr">
        <is>
          <t>Perch-likes</t>
        </is>
      </c>
      <c r="E55" s="7" t="inlineStr">
        <is>
          <t>Large Pelagics</t>
        </is>
      </c>
      <c r="F55" t="inlineStr"/>
      <c r="G55" t="inlineStr"/>
      <c r="H55" t="inlineStr">
        <is>
          <t>high</t>
        </is>
      </c>
      <c r="I55" t="inlineStr">
        <is>
          <t>inherited_mapping</t>
        </is>
      </c>
      <c r="J55" t="n">
        <v>738911.188</v>
      </c>
      <c r="K55" t="n">
        <v>0.3735</v>
      </c>
      <c r="L55" s="6" t="inlineStr">
        <is>
          <t>Great barracuda; exact genus (Sphyraena = "barracudas") explicitly named in Table 1's Large Pelagics definition.</t>
        </is>
      </c>
    </row>
    <row r="56">
      <c r="A56" t="inlineStr">
        <is>
          <t>Lethrinus nebulosus</t>
        </is>
      </c>
      <c r="B56" t="inlineStr">
        <is>
          <t>Spangled emperor</t>
        </is>
      </c>
      <c r="C56" t="inlineStr">
        <is>
          <t>Medium demersals (30 - 89 cm)</t>
        </is>
      </c>
      <c r="D56" t="inlineStr">
        <is>
          <t>Perch-likes</t>
        </is>
      </c>
      <c r="E56" s="5" t="inlineStr">
        <is>
          <t>Large Benthic Carnivores</t>
        </is>
      </c>
      <c r="F56" t="inlineStr"/>
      <c r="G56" t="inlineStr"/>
      <c r="H56" t="inlineStr">
        <is>
          <t>medium</t>
        </is>
      </c>
      <c r="I56" t="inlineStr">
        <is>
          <t>inherited_mapping</t>
        </is>
      </c>
      <c r="J56" t="n">
        <v>736193.456</v>
      </c>
      <c r="K56" t="n">
        <v>0.3721</v>
      </c>
      <c r="L56" s="6" t="inlineStr">
        <is>
          <t>Spangled emperor; Lethrinidae (emperor family), a demersal durophagous/piscivorous carnivore guild not named in Table 1 but ecologically parallel to the snapper/grouper apex reef-predator guild of Large Benthic Carnivores (mean TL ~3.7, group TL 4.14).</t>
        </is>
      </c>
    </row>
    <row r="57">
      <c r="A57" t="inlineStr">
        <is>
          <t>Lethrinidae</t>
        </is>
      </c>
      <c r="B57" t="inlineStr">
        <is>
          <t>Emperors, scavengers</t>
        </is>
      </c>
      <c r="C57" t="inlineStr">
        <is>
          <t>Medium reef assoc. fish (30 - 89 cm)</t>
        </is>
      </c>
      <c r="D57" t="inlineStr">
        <is>
          <t>Perch-likes</t>
        </is>
      </c>
      <c r="E57" s="5" t="inlineStr">
        <is>
          <t>Large Benthic Carnivores</t>
        </is>
      </c>
      <c r="F57" t="inlineStr"/>
      <c r="G57" t="inlineStr"/>
      <c r="H57" t="inlineStr">
        <is>
          <t>medium</t>
        </is>
      </c>
      <c r="I57" t="inlineStr">
        <is>
          <t>inherited_mapping</t>
        </is>
      </c>
      <c r="J57" t="n">
        <v>735234.051</v>
      </c>
      <c r="K57" t="n">
        <v>0.3716</v>
      </c>
      <c r="L57" s="6" t="inlineStr">
        <is>
          <t>Emperor family; Lethrinidae (emperor family), a demersal durophagous/piscivorous carnivore guild not named in Table 1 but ecologically parallel to the snapper/grouper apex reef-predator guild of Large Benthic Carnivores (mean TL ~3.7, group TL 4.14).</t>
        </is>
      </c>
    </row>
    <row r="58">
      <c r="A58" t="inlineStr">
        <is>
          <t>Sardinella sindensis</t>
        </is>
      </c>
      <c r="B58" t="inlineStr">
        <is>
          <t>Sind sardinella</t>
        </is>
      </c>
      <c r="C58" t="inlineStr">
        <is>
          <t>Small pelagics (&lt;30 cm)</t>
        </is>
      </c>
      <c r="D58" t="inlineStr">
        <is>
          <t>Herring-likes</t>
        </is>
      </c>
      <c r="E58" s="7" t="inlineStr">
        <is>
          <t>Clupeids</t>
        </is>
      </c>
      <c r="F58" t="inlineStr"/>
      <c r="G58" t="inlineStr"/>
      <c r="H58" t="inlineStr">
        <is>
          <t>high</t>
        </is>
      </c>
      <c r="I58" t="inlineStr">
        <is>
          <t>inherited_mapping</t>
        </is>
      </c>
      <c r="J58" t="n">
        <v>727112.72</v>
      </c>
      <c r="K58" t="n">
        <v>0.3675</v>
      </c>
      <c r="L58" s="6" t="inlineStr">
        <is>
          <t>Sind sardinella; "lesser sardines" (Sardinella spp) is Table 1's explicit example for Clupeids.</t>
        </is>
      </c>
    </row>
    <row r="59">
      <c r="A59" t="inlineStr">
        <is>
          <t>Sphyraena</t>
        </is>
      </c>
      <c r="B59" t="inlineStr">
        <is>
          <t>Barracudas, sennets</t>
        </is>
      </c>
      <c r="C59" t="inlineStr">
        <is>
          <t>Large pelagics (&gt;=90 cm)</t>
        </is>
      </c>
      <c r="D59" t="inlineStr">
        <is>
          <t>Perch-likes</t>
        </is>
      </c>
      <c r="E59" s="7" t="inlineStr">
        <is>
          <t>Large Pelagics</t>
        </is>
      </c>
      <c r="F59" t="inlineStr"/>
      <c r="G59" t="inlineStr"/>
      <c r="H59" t="inlineStr">
        <is>
          <t>high</t>
        </is>
      </c>
      <c r="I59" t="inlineStr">
        <is>
          <t>inherited_mapping</t>
        </is>
      </c>
      <c r="J59" t="n">
        <v>717137.6189999999</v>
      </c>
      <c r="K59" t="n">
        <v>0.3625</v>
      </c>
      <c r="L59" s="6" t="inlineStr">
        <is>
          <t>Barracuda genus explicitly named in Table 1's Large Pelagics definition ("seers, kingfish and barracudas").</t>
        </is>
      </c>
    </row>
    <row r="60">
      <c r="A60" t="inlineStr">
        <is>
          <t>Scyphozoa</t>
        </is>
      </c>
      <c r="B60" t="inlineStr">
        <is>
          <t>True jellyfishes</t>
        </is>
      </c>
      <c r="C60" t="inlineStr">
        <is>
          <t>Jellyfish</t>
        </is>
      </c>
      <c r="D60" t="inlineStr">
        <is>
          <t>Other fishes &amp; inverts</t>
        </is>
      </c>
      <c r="E60" s="7" t="inlineStr">
        <is>
          <t>Micro Nekton</t>
        </is>
      </c>
      <c r="F60" t="inlineStr"/>
      <c r="G60" t="inlineStr"/>
      <c r="H60" t="inlineStr">
        <is>
          <t>high</t>
        </is>
      </c>
      <c r="I60" t="inlineStr">
        <is>
          <t>inherited_mapping</t>
        </is>
      </c>
      <c r="J60" t="n">
        <v>712149.338</v>
      </c>
      <c r="K60" t="n">
        <v>0.3599</v>
      </c>
      <c r="L60" s="6" t="inlineStr">
        <is>
          <t>True jellyfish class; "jellyfish" is Table 1's explicit example for Micro-nekton.</t>
        </is>
      </c>
    </row>
    <row r="61">
      <c r="A61" t="inlineStr">
        <is>
          <t>Euthynnus affinis</t>
        </is>
      </c>
      <c r="B61" t="inlineStr">
        <is>
          <t>Kawakawa</t>
        </is>
      </c>
      <c r="C61" t="inlineStr">
        <is>
          <t>Large pelagics (&gt;=90 cm)</t>
        </is>
      </c>
      <c r="D61" t="inlineStr">
        <is>
          <t>Tuna &amp; billfishes</t>
        </is>
      </c>
      <c r="E61" s="7" t="inlineStr">
        <is>
          <t>Tunas</t>
        </is>
      </c>
      <c r="F61" t="inlineStr"/>
      <c r="G61" t="inlineStr"/>
      <c r="H61" t="inlineStr">
        <is>
          <t>high</t>
        </is>
      </c>
      <c r="I61" t="inlineStr">
        <is>
          <t>inherited_mapping</t>
        </is>
      </c>
      <c r="J61" t="n">
        <v>710556.048</v>
      </c>
      <c r="K61" t="n">
        <v>0.3591</v>
      </c>
      <c r="L61" s="6" t="inlineStr">
        <is>
          <t>Kawakawa; exact genus (Euthynnus) explicitly named in Table 1's Tunas definition.</t>
        </is>
      </c>
    </row>
    <row r="62">
      <c r="A62" t="inlineStr">
        <is>
          <t>Dendrobranchiata</t>
        </is>
      </c>
      <c r="B62" t="inlineStr">
        <is>
          <t>Shrimps and prawns</t>
        </is>
      </c>
      <c r="C62" t="inlineStr">
        <is>
          <t>Shrimps</t>
        </is>
      </c>
      <c r="D62" t="inlineStr">
        <is>
          <t>Crustaceans</t>
        </is>
      </c>
      <c r="E62" s="7" t="inlineStr">
        <is>
          <t>Shrimps</t>
        </is>
      </c>
      <c r="F62" t="inlineStr"/>
      <c r="G62" t="inlineStr"/>
      <c r="H62" t="inlineStr">
        <is>
          <t>high</t>
        </is>
      </c>
      <c r="I62" t="inlineStr">
        <is>
          <t>inherited_mapping</t>
        </is>
      </c>
      <c r="J62" t="n">
        <v>684063.036</v>
      </c>
      <c r="K62" t="n">
        <v>0.3457</v>
      </c>
      <c r="L62" s="6" t="inlineStr">
        <is>
          <t>Suborder containing all penaeid shrimp; Shrimps is the model's only shrimp-type group, so this is an unambiguous fit.</t>
        </is>
      </c>
    </row>
    <row r="63">
      <c r="A63" t="inlineStr">
        <is>
          <t>Marine pelagic fishes not identified</t>
        </is>
      </c>
      <c r="B63" t="inlineStr">
        <is>
          <t>Pelagic fishes</t>
        </is>
      </c>
      <c r="C63" t="inlineStr">
        <is>
          <t>Medium pelagics (30 - 89 cm)</t>
        </is>
      </c>
      <c r="D63" t="inlineStr">
        <is>
          <t>Other fishes &amp; inverts</t>
        </is>
      </c>
      <c r="E63" s="5" t="inlineStr">
        <is>
          <t>Clupeids | Anchovies | Mackerel | Small Benthopelagics</t>
        </is>
      </c>
      <c r="F63" t="inlineStr">
        <is>
          <t>0.623 | 0.076 | 0.189 | 0.112</t>
        </is>
      </c>
      <c r="G63" t="inlineStr">
        <is>
          <t>catch_composition</t>
        </is>
      </c>
      <c r="H63" t="inlineStr">
        <is>
          <t>medium</t>
        </is>
      </c>
      <c r="I63" t="inlineStr">
        <is>
          <t>composite_split</t>
        </is>
      </c>
      <c r="J63" t="n">
        <v>682439.504</v>
      </c>
      <c r="K63" t="n">
        <v>0.3449</v>
      </c>
      <c r="L63" s="6" t="inlineStr">
        <is>
          <t>Unidentified pelagic-finfish aggregate classed by Sea Around Us as Medium pelagics (30 - 89 cm). Apportioned across the model's four small-to-medium pelagic and benthopelagic finfish groups - Clupeids, Anchovies, Mackerel and Small Benthopelagics (scads, carangids, moonfish, myctophids) per the Bulletin 51 components-of-ecological-groupings table (PDF pp. 21-22). Excluded: Large Pelagics and Tunas (&gt;90 cm groups whose members are identified to genus or species throughout this catch), Large Benthopelagics (its members are 46-125 cm catfish, ribbonfish and wolf herrings), all demersal-carnivore groups (wrong habitat), and Micro Nekton (a jellyfish-and-larvae compartment).</t>
        </is>
      </c>
    </row>
    <row r="64">
      <c r="A64" t="inlineStr">
        <is>
          <t>Pampus</t>
        </is>
      </c>
      <c r="B64" t="inlineStr">
        <is>
          <t>Silver pomfrets</t>
        </is>
      </c>
      <c r="C64" t="inlineStr">
        <is>
          <t>Medium benthopelagics (30 - 89 cm)</t>
        </is>
      </c>
      <c r="D64" t="inlineStr">
        <is>
          <t>Perch-likes</t>
        </is>
      </c>
      <c r="E64" s="7" t="inlineStr">
        <is>
          <t>Med Benthic Carnivores</t>
        </is>
      </c>
      <c r="F64" t="inlineStr"/>
      <c r="G64" t="inlineStr"/>
      <c r="H64" t="inlineStr">
        <is>
          <t>high</t>
        </is>
      </c>
      <c r="I64" t="inlineStr">
        <is>
          <t>inherited_mapping</t>
        </is>
      </c>
      <c r="J64" t="n">
        <v>655230.827</v>
      </c>
      <c r="K64" t="n">
        <v>0.3312</v>
      </c>
      <c r="L64" s="6" t="inlineStr">
        <is>
          <t>Pomfret (genus); "pomfrets" (Stromateidae, genus Pampus) is Table 1's explicit example for Med Benthic Carnivores.</t>
        </is>
      </c>
    </row>
    <row r="65">
      <c r="A65" t="inlineStr">
        <is>
          <t>Bramidae</t>
        </is>
      </c>
      <c r="B65" t="inlineStr">
        <is>
          <t>Pomfrets</t>
        </is>
      </c>
      <c r="C65" t="inlineStr">
        <is>
          <t>Medium pelagics (30 - 89 cm)</t>
        </is>
      </c>
      <c r="D65" t="inlineStr">
        <is>
          <t>Perch-likes</t>
        </is>
      </c>
      <c r="E65" s="5" t="inlineStr">
        <is>
          <t>Large Benthopelagics</t>
        </is>
      </c>
      <c r="F65" t="inlineStr"/>
      <c r="G65" t="inlineStr"/>
      <c r="H65" t="inlineStr">
        <is>
          <t>medium</t>
        </is>
      </c>
      <c r="I65" t="inlineStr">
        <is>
          <t>inherited_mapping</t>
        </is>
      </c>
      <c r="J65" t="n">
        <v>639449.742</v>
      </c>
      <c r="K65" t="n">
        <v>0.3232</v>
      </c>
      <c r="L65" s="6" t="inlineStr">
        <is>
          <t>Pomfret (Bramidae) family; not Table 1's Stromateidae "pomfrets" (which map to Med Benthic Carnivores) but a distinct, oceanic mid-water predatory family - placed here by TL match (group TL 4.15) and offshore benthopelagic habit rather than by the shared common name.</t>
        </is>
      </c>
    </row>
    <row r="66">
      <c r="A66" t="inlineStr">
        <is>
          <t>Scomberoides lysan</t>
        </is>
      </c>
      <c r="B66" t="inlineStr">
        <is>
          <t>Doublespotted queenfish</t>
        </is>
      </c>
      <c r="C66" t="inlineStr">
        <is>
          <t>Medium reef assoc. fish (30 - 89 cm)</t>
        </is>
      </c>
      <c r="D66" t="inlineStr">
        <is>
          <t>Perch-likes</t>
        </is>
      </c>
      <c r="E66" s="7" t="inlineStr">
        <is>
          <t>Large Benthopelagics</t>
        </is>
      </c>
      <c r="F66" t="inlineStr"/>
      <c r="G66" t="inlineStr"/>
      <c r="H66" t="inlineStr">
        <is>
          <t>high</t>
        </is>
      </c>
      <c r="I66" t="inlineStr">
        <is>
          <t>inherited_mapping</t>
        </is>
      </c>
      <c r="J66" t="n">
        <v>630037.6090000001</v>
      </c>
      <c r="K66" t="n">
        <v>0.3184</v>
      </c>
      <c r="L66" s="6" t="inlineStr">
        <is>
          <t>Doublespotted queenfish; exact genus (Scomberoides = "queenfish") explicitly named in Table 1's Large Benthopelagics definition.</t>
        </is>
      </c>
    </row>
    <row r="67">
      <c r="A67" t="inlineStr">
        <is>
          <t>Nemipterus japonicus</t>
        </is>
      </c>
      <c r="B67" t="inlineStr">
        <is>
          <t>Japanese threadfin bream</t>
        </is>
      </c>
      <c r="C67" t="inlineStr">
        <is>
          <t>Small demersals (&lt;30 cm)</t>
        </is>
      </c>
      <c r="D67" t="inlineStr">
        <is>
          <t>Perch-likes</t>
        </is>
      </c>
      <c r="E67" s="7" t="inlineStr">
        <is>
          <t>Small Benthic Carnivores</t>
        </is>
      </c>
      <c r="F67" t="inlineStr"/>
      <c r="G67" t="inlineStr"/>
      <c r="H67" t="inlineStr">
        <is>
          <t>high</t>
        </is>
      </c>
      <c r="I67" t="inlineStr">
        <is>
          <t>inherited_mapping</t>
        </is>
      </c>
      <c r="J67" t="n">
        <v>614305.834</v>
      </c>
      <c r="K67" t="n">
        <v>0.3105</v>
      </c>
      <c r="L67" s="6" t="inlineStr">
        <is>
          <t>Japanese threadfin bream; Nemipteridae (threadfin bream/monocle bream family) - "threadfin breams" is Table 1's explicit example for Small Benthic Carnivores.</t>
        </is>
      </c>
    </row>
    <row r="68">
      <c r="A68" t="inlineStr">
        <is>
          <t>Thryssa dussumieri</t>
        </is>
      </c>
      <c r="B68" t="inlineStr">
        <is>
          <t>Dussumier's thryssa</t>
        </is>
      </c>
      <c r="C68" t="inlineStr">
        <is>
          <t>Small pelagics (&lt;30 cm)</t>
        </is>
      </c>
      <c r="D68" t="inlineStr">
        <is>
          <t>Anchovies</t>
        </is>
      </c>
      <c r="E68" s="7" t="inlineStr">
        <is>
          <t>Clupeids</t>
        </is>
      </c>
      <c r="F68" t="inlineStr"/>
      <c r="G68" t="inlineStr"/>
      <c r="H68" t="inlineStr">
        <is>
          <t>high</t>
        </is>
      </c>
      <c r="I68" t="inlineStr">
        <is>
          <t>inherited_mapping</t>
        </is>
      </c>
      <c r="J68" t="n">
        <v>609225.898</v>
      </c>
      <c r="K68" t="n">
        <v>0.3079</v>
      </c>
      <c r="L68" s="6" t="inlineStr">
        <is>
          <t>Dussumier's thryssa; Table 1 explicitly names "Thryssa" under Clupeids (group 13), not under Anchovies (group 14, which names only Stolephorus and Bregmaceros mcclellandi) - an explicit, paper-stated exception to the usual Engraulidae=anchovy grouping, followed here as printed.</t>
        </is>
      </c>
    </row>
    <row r="69">
      <c r="A69" t="inlineStr">
        <is>
          <t>Pomadasys stridens</t>
        </is>
      </c>
      <c r="B69" t="inlineStr">
        <is>
          <t>Striped piggy</t>
        </is>
      </c>
      <c r="C69" t="inlineStr">
        <is>
          <t>Small reef assoc. fish (&lt;30 cm)</t>
        </is>
      </c>
      <c r="D69" t="inlineStr">
        <is>
          <t>Perch-likes</t>
        </is>
      </c>
      <c r="E69" s="5" t="inlineStr">
        <is>
          <t>Med Benthic Carnivores</t>
        </is>
      </c>
      <c r="F69" t="inlineStr"/>
      <c r="G69" t="inlineStr"/>
      <c r="H69" t="inlineStr">
        <is>
          <t>medium</t>
        </is>
      </c>
      <c r="I69" t="inlineStr">
        <is>
          <t>inherited_mapping</t>
        </is>
      </c>
      <c r="J69" t="n">
        <v>604225.403</v>
      </c>
      <c r="K69" t="n">
        <v>0.3054</v>
      </c>
      <c r="L69" s="6" t="inlineStr">
        <is>
          <t>Striped piggy; Haemulidae (grunt/sweetlips family), a demersal benthic-invertivore guild not named in Table 1, placed with Med Benthic Carnivores by ecology and TL (~3.3-4.0 vs group TL 3.19).</t>
        </is>
      </c>
    </row>
    <row r="70">
      <c r="A70" t="inlineStr">
        <is>
          <t>Epinephelus</t>
        </is>
      </c>
      <c r="B70" t="inlineStr">
        <is>
          <t>Seabasses, hinds</t>
        </is>
      </c>
      <c r="C70" t="inlineStr">
        <is>
          <t>Medium reef assoc. fish (30 - 89 cm)</t>
        </is>
      </c>
      <c r="D70" t="inlineStr">
        <is>
          <t>Perch-likes</t>
        </is>
      </c>
      <c r="E70" s="7" t="inlineStr">
        <is>
          <t>Large Benthic Carnivores</t>
        </is>
      </c>
      <c r="F70" t="inlineStr"/>
      <c r="G70" t="inlineStr"/>
      <c r="H70" t="inlineStr">
        <is>
          <t>high</t>
        </is>
      </c>
      <c r="I70" t="inlineStr">
        <is>
          <t>inherited_mapping</t>
        </is>
      </c>
      <c r="J70" t="n">
        <v>602769.6580000001</v>
      </c>
      <c r="K70" t="n">
        <v>0.3047</v>
      </c>
      <c r="L70" s="6" t="inlineStr">
        <is>
          <t>Grouper (genus); Serranidae (grouper/rockcod family) - "rock cods" is Table 1's explicit example for Large Benthic Carnivores.</t>
        </is>
      </c>
    </row>
    <row r="71">
      <c r="A71" t="inlineStr">
        <is>
          <t>Mullidae</t>
        </is>
      </c>
      <c r="B71" t="inlineStr">
        <is>
          <t>Goatfishes</t>
        </is>
      </c>
      <c r="C71" t="inlineStr">
        <is>
          <t>Medium reef assoc. fish (30 - 89 cm)</t>
        </is>
      </c>
      <c r="D71" t="inlineStr">
        <is>
          <t>Perch-likes</t>
        </is>
      </c>
      <c r="E71" s="7" t="inlineStr">
        <is>
          <t>Small Benthic Carnivores</t>
        </is>
      </c>
      <c r="F71" t="inlineStr"/>
      <c r="G71" t="inlineStr"/>
      <c r="H71" t="inlineStr">
        <is>
          <t>high</t>
        </is>
      </c>
      <c r="I71" t="inlineStr">
        <is>
          <t>inherited_mapping</t>
        </is>
      </c>
      <c r="J71" t="n">
        <v>599406.281</v>
      </c>
      <c r="K71" t="n">
        <v>0.303</v>
      </c>
      <c r="L71" s="6" t="inlineStr">
        <is>
          <t>Goatfish family; "goatfishes" (Mullidae) is Table 1's explicit example for Small Benthic Carnivores.</t>
        </is>
      </c>
    </row>
    <row r="72">
      <c r="A72" t="inlineStr">
        <is>
          <t>Siganidae</t>
        </is>
      </c>
      <c r="B72" t="inlineStr">
        <is>
          <t>Rabbitfishes</t>
        </is>
      </c>
      <c r="C72" t="inlineStr">
        <is>
          <t>Medium reef assoc. fish (30 - 89 cm)</t>
        </is>
      </c>
      <c r="D72" t="inlineStr">
        <is>
          <t>Perch-likes</t>
        </is>
      </c>
      <c r="E72" s="5" t="inlineStr">
        <is>
          <t>Benthic Omnivores</t>
        </is>
      </c>
      <c r="F72" t="inlineStr"/>
      <c r="G72" t="inlineStr"/>
      <c r="H72" t="inlineStr">
        <is>
          <t>medium</t>
        </is>
      </c>
      <c r="I72" t="inlineStr">
        <is>
          <t>inherited_mapping</t>
        </is>
      </c>
      <c r="J72" t="n">
        <v>588653.691</v>
      </c>
      <c r="K72" t="n">
        <v>0.2975</v>
      </c>
      <c r="L72" s="6" t="inlineStr">
        <is>
          <t>Rabbitfish family; rabbitfish (Siganidae) are herbivorous reef grazers (TL ~2.0-2.76), not named in Table 1 but ecologically closest to the low-TL grazer/omnivore guild of Benthic Omnivores (group TL 2.55).</t>
        </is>
      </c>
    </row>
    <row r="73">
      <c r="A73" t="inlineStr">
        <is>
          <t>Nematalosa nasus</t>
        </is>
      </c>
      <c r="B73" t="inlineStr">
        <is>
          <t>Bloch's gizzard shad</t>
        </is>
      </c>
      <c r="C73" t="inlineStr">
        <is>
          <t>Small pelagics (&lt;30 cm)</t>
        </is>
      </c>
      <c r="D73" t="inlineStr">
        <is>
          <t>Herring-likes</t>
        </is>
      </c>
      <c r="E73" s="7" t="inlineStr">
        <is>
          <t>Clupeids</t>
        </is>
      </c>
      <c r="F73" t="inlineStr"/>
      <c r="G73" t="inlineStr"/>
      <c r="H73" t="inlineStr">
        <is>
          <t>high</t>
        </is>
      </c>
      <c r="I73" t="inlineStr">
        <is>
          <t>inherited_mapping</t>
        </is>
      </c>
      <c r="J73" t="n">
        <v>581594.656</v>
      </c>
      <c r="K73" t="n">
        <v>0.294</v>
      </c>
      <c r="L73" s="6" t="inlineStr">
        <is>
          <t>Bloch's gizzard shad; Clupeidae, the family that itself defines the Clupeids group.</t>
        </is>
      </c>
    </row>
    <row r="74">
      <c r="A74" t="inlineStr">
        <is>
          <t>Scomberoides</t>
        </is>
      </c>
      <c r="B74" t="inlineStr">
        <is>
          <t>Queenfishes</t>
        </is>
      </c>
      <c r="C74" t="inlineStr">
        <is>
          <t>Medium pelagics (30 - 89 cm)</t>
        </is>
      </c>
      <c r="D74" t="inlineStr">
        <is>
          <t>Perch-likes</t>
        </is>
      </c>
      <c r="E74" s="7" t="inlineStr">
        <is>
          <t>Large Benthopelagics</t>
        </is>
      </c>
      <c r="F74" t="inlineStr"/>
      <c r="G74" t="inlineStr"/>
      <c r="H74" t="inlineStr">
        <is>
          <t>high</t>
        </is>
      </c>
      <c r="I74" t="inlineStr">
        <is>
          <t>inherited_mapping</t>
        </is>
      </c>
      <c r="J74" t="n">
        <v>554264.488</v>
      </c>
      <c r="K74" t="n">
        <v>0.2801</v>
      </c>
      <c r="L74" s="6" t="inlineStr">
        <is>
          <t>Queenfish genus explicitly named in Table 1's Large Benthopelagics definition.</t>
        </is>
      </c>
    </row>
    <row r="75">
      <c r="A75" t="inlineStr">
        <is>
          <t>Sepia</t>
        </is>
      </c>
      <c r="B75" t="inlineStr">
        <is>
          <t>Sepia cuttlefishes</t>
        </is>
      </c>
      <c r="C75" t="inlineStr">
        <is>
          <t>Cephalopods</t>
        </is>
      </c>
      <c r="D75" t="inlineStr">
        <is>
          <t>Other fishes &amp; inverts</t>
        </is>
      </c>
      <c r="E75" s="7" t="inlineStr">
        <is>
          <t>Cephalopods</t>
        </is>
      </c>
      <c r="F75" t="inlineStr"/>
      <c r="G75" t="inlineStr"/>
      <c r="H75" t="inlineStr">
        <is>
          <t>high</t>
        </is>
      </c>
      <c r="I75" t="inlineStr">
        <is>
          <t>inherited_mapping</t>
        </is>
      </c>
      <c r="J75" t="n">
        <v>491360.922</v>
      </c>
      <c r="K75" t="n">
        <v>0.2483</v>
      </c>
      <c r="L75" s="6" t="inlineStr">
        <is>
          <t>Cuttlefish (genus); Cephalopods is the model's only cephalopod-type group, so every cephalopod taxon is an unambiguous fit regardless of exact rank.</t>
        </is>
      </c>
    </row>
    <row r="76">
      <c r="A76" t="inlineStr">
        <is>
          <t>Chirocentrus</t>
        </is>
      </c>
      <c r="B76" t="inlineStr">
        <is>
          <t>Wolf herrings</t>
        </is>
      </c>
      <c r="C76" t="inlineStr">
        <is>
          <t>Large pelagics (&gt;=90 cm)</t>
        </is>
      </c>
      <c r="D76" t="inlineStr">
        <is>
          <t>Herring-likes</t>
        </is>
      </c>
      <c r="E76" s="7" t="inlineStr">
        <is>
          <t>Large Benthopelagics</t>
        </is>
      </c>
      <c r="F76" t="inlineStr"/>
      <c r="G76" t="inlineStr"/>
      <c r="H76" t="inlineStr">
        <is>
          <t>high</t>
        </is>
      </c>
      <c r="I76" t="inlineStr">
        <is>
          <t>inherited_mapping</t>
        </is>
      </c>
      <c r="J76" t="n">
        <v>473953.866</v>
      </c>
      <c r="K76" t="n">
        <v>0.2395</v>
      </c>
      <c r="L76" s="6" t="inlineStr">
        <is>
          <t>Wolf herring genus explicitly named in Table 1's Large Benthopelagics definition.</t>
        </is>
      </c>
    </row>
    <row r="77">
      <c r="A77" t="inlineStr">
        <is>
          <t>Myliobatidae</t>
        </is>
      </c>
      <c r="B77" t="inlineStr">
        <is>
          <t>Eagle/manta rays</t>
        </is>
      </c>
      <c r="C77" t="inlineStr">
        <is>
          <t>Large rays (&gt;=90 cm)</t>
        </is>
      </c>
      <c r="D77" t="inlineStr">
        <is>
          <t>Sharks &amp; rays</t>
        </is>
      </c>
      <c r="E77" s="7" t="inlineStr">
        <is>
          <t>Skates &amp; Rays</t>
        </is>
      </c>
      <c r="F77" t="inlineStr"/>
      <c r="G77" t="inlineStr"/>
      <c r="H77" t="inlineStr">
        <is>
          <t>high</t>
        </is>
      </c>
      <c r="I77" t="inlineStr">
        <is>
          <t>inherited_mapping</t>
        </is>
      </c>
      <c r="J77" t="n">
        <v>459844.176</v>
      </c>
      <c r="K77" t="n">
        <v>0.2324</v>
      </c>
      <c r="L77" s="6" t="inlineStr">
        <is>
          <t>Eagle/manta ray family (batoid); any ray/skate family besides the shark side of the split is an unambiguous fit to Skates &amp; Rays.</t>
        </is>
      </c>
    </row>
    <row r="78">
      <c r="A78" t="inlineStr">
        <is>
          <t>Sepia pharaonis</t>
        </is>
      </c>
      <c r="B78" t="inlineStr">
        <is>
          <t>Pharaoh cuttlefish</t>
        </is>
      </c>
      <c r="C78" t="inlineStr">
        <is>
          <t>Cephalopods</t>
        </is>
      </c>
      <c r="D78" t="inlineStr">
        <is>
          <t>Other fishes &amp; inverts</t>
        </is>
      </c>
      <c r="E78" s="7" t="inlineStr">
        <is>
          <t>Cephalopods</t>
        </is>
      </c>
      <c r="F78" t="inlineStr"/>
      <c r="G78" t="inlineStr"/>
      <c r="H78" t="inlineStr">
        <is>
          <t>high</t>
        </is>
      </c>
      <c r="I78" t="inlineStr">
        <is>
          <t>inherited_mapping</t>
        </is>
      </c>
      <c r="J78" t="n">
        <v>424932.226</v>
      </c>
      <c r="K78" t="n">
        <v>0.2148</v>
      </c>
      <c r="L78" s="6" t="inlineStr">
        <is>
          <t>Pharaoh cuttlefish; Cephalopods is the model's only cephalopod-type group, so every cephalopod taxon is an unambiguous fit regardless of exact rank.</t>
        </is>
      </c>
    </row>
    <row r="79">
      <c r="A79" t="inlineStr">
        <is>
          <t>Polynemidae</t>
        </is>
      </c>
      <c r="B79" t="inlineStr">
        <is>
          <t>Threadfins</t>
        </is>
      </c>
      <c r="C79" t="inlineStr">
        <is>
          <t>Small demersals (&lt;30 cm)</t>
        </is>
      </c>
      <c r="D79" t="inlineStr">
        <is>
          <t>Perch-likes</t>
        </is>
      </c>
      <c r="E79" s="5" t="inlineStr">
        <is>
          <t>Med Benthic Carnivores</t>
        </is>
      </c>
      <c r="F79" t="inlineStr"/>
      <c r="G79" t="inlineStr"/>
      <c r="H79" t="inlineStr">
        <is>
          <t>medium</t>
        </is>
      </c>
      <c r="I79" t="inlineStr">
        <is>
          <t>inherited_mapping</t>
        </is>
      </c>
      <c r="J79" t="n">
        <v>394600.287</v>
      </c>
      <c r="K79" t="n">
        <v>0.1994</v>
      </c>
      <c r="L79" s="6" t="inlineStr">
        <is>
          <t>Threadfin family; unidentified-species entry with TL 3.62, closest to Med Benthic Carnivores (group TL 3.19) among named groups; the family's large-bodied members (Eleutheronema tetradactylum, Leptomelanosoma indicum) are placed separately with Large Benthic Carnivores by their larger size/TL - family not itself named in Table 1.</t>
        </is>
      </c>
    </row>
    <row r="80">
      <c r="A80" t="inlineStr">
        <is>
          <t>Anguilliformes</t>
        </is>
      </c>
      <c r="B80" t="inlineStr">
        <is>
          <t>Eels, morays</t>
        </is>
      </c>
      <c r="C80" t="inlineStr">
        <is>
          <t>Large demersals (&gt;=90 cm)</t>
        </is>
      </c>
      <c r="D80" t="inlineStr">
        <is>
          <t>Other fishes &amp; inverts</t>
        </is>
      </c>
      <c r="E80" s="5" t="inlineStr">
        <is>
          <t>Large Benthic Carnivores</t>
        </is>
      </c>
      <c r="F80" t="inlineStr"/>
      <c r="G80" t="inlineStr"/>
      <c r="H80" t="inlineStr">
        <is>
          <t>medium</t>
        </is>
      </c>
      <c r="I80" t="inlineStr">
        <is>
          <t>inherited_mapping</t>
        </is>
      </c>
      <c r="J80" t="n">
        <v>389450.392</v>
      </c>
      <c r="K80" t="n">
        <v>0.1968</v>
      </c>
      <c r="L80" s="6" t="inlineStr">
        <is>
          <t>Eel/moray order; large benthic ambush-predator eel, not named in Table 1 but ecologically and trophically (TL ~3.9-4.4) closest to the demersal apex-predator guild of Large Benthic Carnivores.</t>
        </is>
      </c>
    </row>
    <row r="81">
      <c r="A81" t="inlineStr">
        <is>
          <t>Pampus argenteus</t>
        </is>
      </c>
      <c r="B81" t="inlineStr">
        <is>
          <t>Silver pomfret</t>
        </is>
      </c>
      <c r="C81" t="inlineStr">
        <is>
          <t>Medium benthopelagics (30 - 89 cm)</t>
        </is>
      </c>
      <c r="D81" t="inlineStr">
        <is>
          <t>Perch-likes</t>
        </is>
      </c>
      <c r="E81" s="7" t="inlineStr">
        <is>
          <t>Med Benthic Carnivores</t>
        </is>
      </c>
      <c r="F81" t="inlineStr"/>
      <c r="G81" t="inlineStr"/>
      <c r="H81" t="inlineStr">
        <is>
          <t>high</t>
        </is>
      </c>
      <c r="I81" t="inlineStr">
        <is>
          <t>inherited_mapping</t>
        </is>
      </c>
      <c r="J81" t="n">
        <v>389277.27</v>
      </c>
      <c r="K81" t="n">
        <v>0.1968</v>
      </c>
      <c r="L81" s="6" t="inlineStr">
        <is>
          <t>Silver pomfret; "pomfrets" (Stromateidae, genus Pampus) is Table 1's explicit example for Med Benthic Carnivores.</t>
        </is>
      </c>
    </row>
    <row r="82">
      <c r="A82" t="inlineStr">
        <is>
          <t>Photopectoralis bindus</t>
        </is>
      </c>
      <c r="B82" t="inlineStr">
        <is>
          <t>Orangefin ponyfish</t>
        </is>
      </c>
      <c r="C82" t="inlineStr">
        <is>
          <t>Large reef assoc. fish (&gt;=90 cm)</t>
        </is>
      </c>
      <c r="D82" t="inlineStr">
        <is>
          <t>Perch-likes</t>
        </is>
      </c>
      <c r="E82" s="7" t="inlineStr">
        <is>
          <t>Small Benthic Carnivores</t>
        </is>
      </c>
      <c r="F82" t="inlineStr"/>
      <c r="G82" t="inlineStr"/>
      <c r="H82" t="inlineStr">
        <is>
          <t>high</t>
        </is>
      </c>
      <c r="I82" t="inlineStr">
        <is>
          <t>synonym</t>
        </is>
      </c>
      <c r="J82" t="n">
        <v>388191.795</v>
      </c>
      <c r="K82" t="n">
        <v>0.1962</v>
      </c>
      <c r="L82" s="6" t="inlineStr">
        <is>
          <t>CORRECTION to the inherited mapping. Photopectoralis bindus is the accepted name of Leiognathus bindus, member 51 of Grp10 Small Benthic Carnivores in the Bulletin 51 components-of-ecological-groupings table (PDF pp. 21-22) and one of the two species whose L-inf, P/B and Q/B the group account tabulates. Previously mapped to Small Benthopelagics.</t>
        </is>
      </c>
    </row>
    <row r="83">
      <c r="A83" t="inlineStr">
        <is>
          <t>Mugil cephalus</t>
        </is>
      </c>
      <c r="B83" t="inlineStr">
        <is>
          <t>Flathead grey mullet</t>
        </is>
      </c>
      <c r="C83" t="inlineStr">
        <is>
          <t>Large benthopelagics (&gt;=90 cm)</t>
        </is>
      </c>
      <c r="D83" t="inlineStr">
        <is>
          <t>Perch-likes</t>
        </is>
      </c>
      <c r="E83" s="5" t="inlineStr">
        <is>
          <t>Benthic Omnivores</t>
        </is>
      </c>
      <c r="F83" t="inlineStr"/>
      <c r="G83" t="inlineStr"/>
      <c r="H83" t="inlineStr">
        <is>
          <t>medium</t>
        </is>
      </c>
      <c r="I83" t="inlineStr">
        <is>
          <t>inherited_mapping</t>
        </is>
      </c>
      <c r="J83" t="n">
        <v>385147.371</v>
      </c>
      <c r="K83" t="n">
        <v>0.1947</v>
      </c>
      <c r="L83" s="6" t="inlineStr">
        <is>
          <t>Flathead grey mullet; mullets (Mugilidae) are benthic detritivore/omnivore grazers, not named in Table 1 but ecologically and trophically (TL 2.14-2.63) closest to the low-TL Benthic Omnivores guild (group TL 2.55).</t>
        </is>
      </c>
    </row>
    <row r="84">
      <c r="A84" t="inlineStr">
        <is>
          <t>Batoidea</t>
        </is>
      </c>
      <c r="B84" t="inlineStr">
        <is>
          <t>Batoids, skates, rays, sawfishes</t>
        </is>
      </c>
      <c r="C84" t="inlineStr">
        <is>
          <t>Large rays (&gt;=90 cm)</t>
        </is>
      </c>
      <c r="D84" t="inlineStr">
        <is>
          <t>Sharks &amp; rays</t>
        </is>
      </c>
      <c r="E84" s="7" t="inlineStr">
        <is>
          <t>Skates &amp; Rays</t>
        </is>
      </c>
      <c r="F84" t="inlineStr"/>
      <c r="G84" t="inlineStr"/>
      <c r="H84" t="inlineStr">
        <is>
          <t>high</t>
        </is>
      </c>
      <c r="I84" t="inlineStr">
        <is>
          <t>inherited_mapping</t>
        </is>
      </c>
      <c r="J84" t="n">
        <v>382139.812</v>
      </c>
      <c r="K84" t="n">
        <v>0.1931</v>
      </c>
      <c r="L84" s="6" t="inlineStr">
        <is>
          <t>Batoidea (skates/rays/sawfishes) is exactly the taxonomic scope of the model's Skates &amp; Rays group.</t>
        </is>
      </c>
    </row>
    <row r="85">
      <c r="A85" t="inlineStr">
        <is>
          <t>Rhinobatidae</t>
        </is>
      </c>
      <c r="B85" t="inlineStr">
        <is>
          <t>Guitarfishes, fanrays</t>
        </is>
      </c>
      <c r="C85" t="inlineStr">
        <is>
          <t>Large rays (&gt;=90 cm)</t>
        </is>
      </c>
      <c r="D85" t="inlineStr">
        <is>
          <t>Sharks &amp; rays</t>
        </is>
      </c>
      <c r="E85" s="7" t="inlineStr">
        <is>
          <t>Skates &amp; Rays</t>
        </is>
      </c>
      <c r="F85" t="inlineStr"/>
      <c r="G85" t="inlineStr"/>
      <c r="H85" t="inlineStr">
        <is>
          <t>high</t>
        </is>
      </c>
      <c r="I85" t="inlineStr">
        <is>
          <t>inherited_mapping</t>
        </is>
      </c>
      <c r="J85" t="n">
        <v>372308.858</v>
      </c>
      <c r="K85" t="n">
        <v>0.1882</v>
      </c>
      <c r="L85" s="6" t="inlineStr">
        <is>
          <t>Guitarfish family (batoid, order Rhinopristiformes); unambiguous fit to Skates &amp; Rays.</t>
        </is>
      </c>
    </row>
    <row r="86">
      <c r="A86" t="inlineStr">
        <is>
          <t>Psettodes erumei</t>
        </is>
      </c>
      <c r="B86" t="inlineStr">
        <is>
          <t>Indian halibut</t>
        </is>
      </c>
      <c r="C86" t="inlineStr">
        <is>
          <t>Small to medium flatfishes (&lt;90 cm)</t>
        </is>
      </c>
      <c r="D86" t="inlineStr">
        <is>
          <t>Flatfishes</t>
        </is>
      </c>
      <c r="E86" s="5" t="inlineStr">
        <is>
          <t>Med Benthic Carnivores</t>
        </is>
      </c>
      <c r="F86" t="inlineStr"/>
      <c r="G86" t="inlineStr"/>
      <c r="H86" t="inlineStr">
        <is>
          <t>medium</t>
        </is>
      </c>
      <c r="I86" t="inlineStr">
        <is>
          <t>inherited_mapping</t>
        </is>
      </c>
      <c r="J86" t="n">
        <v>368121.337</v>
      </c>
      <c r="K86" t="n">
        <v>0.1861</v>
      </c>
      <c r="L86" s="6" t="inlineStr">
        <is>
          <t>Indian halibut (Psettodidae); a large predatory flatfish grouped with the "flounders" example by taxonomic order (Pleuronectiformes) even though its TL (4.39) runs well above the group's 3.19, since it is not Soleidae (the "soles" that map to Benthic Omnivores).</t>
        </is>
      </c>
    </row>
    <row r="87">
      <c r="A87" t="inlineStr">
        <is>
          <t>Saurida tumbil</t>
        </is>
      </c>
      <c r="B87" t="inlineStr">
        <is>
          <t>Greater lizardfish</t>
        </is>
      </c>
      <c r="C87" t="inlineStr">
        <is>
          <t>Medium demersals (30 - 89 cm)</t>
        </is>
      </c>
      <c r="D87" t="inlineStr">
        <is>
          <t>Other fishes &amp; inverts</t>
        </is>
      </c>
      <c r="E87" s="7" t="inlineStr">
        <is>
          <t>Large Benthic Carnivores</t>
        </is>
      </c>
      <c r="F87" t="inlineStr"/>
      <c r="G87" t="inlineStr"/>
      <c r="H87" t="inlineStr">
        <is>
          <t>high</t>
        </is>
      </c>
      <c r="I87" t="inlineStr">
        <is>
          <t>inherited_mapping</t>
        </is>
      </c>
      <c r="J87" t="n">
        <v>347682.401</v>
      </c>
      <c r="K87" t="n">
        <v>0.1757</v>
      </c>
      <c r="L87" s="6" t="inlineStr">
        <is>
          <t>Greater lizardfish; "lizardfishes" is Table 1's explicit example for Large Benthic Carnivores.</t>
        </is>
      </c>
    </row>
    <row r="88">
      <c r="A88" t="inlineStr">
        <is>
          <t>Anodontostoma chacunda</t>
        </is>
      </c>
      <c r="B88" t="inlineStr">
        <is>
          <t>Chacunda gizzard shad</t>
        </is>
      </c>
      <c r="C88" t="inlineStr">
        <is>
          <t>Small pelagics (&lt;30 cm)</t>
        </is>
      </c>
      <c r="D88" t="inlineStr">
        <is>
          <t>Herring-likes</t>
        </is>
      </c>
      <c r="E88" s="7" t="inlineStr">
        <is>
          <t>Clupeids</t>
        </is>
      </c>
      <c r="F88" t="inlineStr"/>
      <c r="G88" t="inlineStr"/>
      <c r="H88" t="inlineStr">
        <is>
          <t>high</t>
        </is>
      </c>
      <c r="I88" t="inlineStr">
        <is>
          <t>inherited_mapping</t>
        </is>
      </c>
      <c r="J88" t="n">
        <v>336710.215</v>
      </c>
      <c r="K88" t="n">
        <v>0.1702</v>
      </c>
      <c r="L88" s="6" t="inlineStr">
        <is>
          <t>Chacunda gizzard shad; Clupeidae, the family that itself defines the Clupeids group.</t>
        </is>
      </c>
    </row>
    <row r="89">
      <c r="A89" t="inlineStr">
        <is>
          <t>Mytilidae</t>
        </is>
      </c>
      <c r="B89" t="inlineStr">
        <is>
          <t>Sea mussels</t>
        </is>
      </c>
      <c r="C89" t="inlineStr">
        <is>
          <t>Other demersal invertebrates</t>
        </is>
      </c>
      <c r="D89" t="inlineStr">
        <is>
          <t>Molluscs</t>
        </is>
      </c>
      <c r="E89" s="7" t="inlineStr">
        <is>
          <t>Heterotrophic Benthos</t>
        </is>
      </c>
      <c r="F89" t="inlineStr"/>
      <c r="G89" t="inlineStr"/>
      <c r="H89" t="inlineStr">
        <is>
          <t>high</t>
        </is>
      </c>
      <c r="I89" t="inlineStr">
        <is>
          <t>inherited_mapping</t>
        </is>
      </c>
      <c r="J89" t="n">
        <v>333218.286</v>
      </c>
      <c r="K89" t="n">
        <v>0.1684</v>
      </c>
      <c r="L89" s="6" t="inlineStr">
        <is>
          <t>Mussel family; "bivalves" is Table 1's explicit example for Heterotrophic Benthos.</t>
        </is>
      </c>
    </row>
    <row r="90">
      <c r="A90" t="inlineStr">
        <is>
          <t>Caranx ignobilis</t>
        </is>
      </c>
      <c r="B90" t="inlineStr">
        <is>
          <t>Giant trevally</t>
        </is>
      </c>
      <c r="C90" t="inlineStr">
        <is>
          <t>Large reef assoc. fish (&gt;=90 cm)</t>
        </is>
      </c>
      <c r="D90" t="inlineStr">
        <is>
          <t>Perch-likes</t>
        </is>
      </c>
      <c r="E90" s="5" t="inlineStr">
        <is>
          <t>Large Benthic Carnivores</t>
        </is>
      </c>
      <c r="F90" t="inlineStr"/>
      <c r="G90" t="inlineStr"/>
      <c r="H90" t="inlineStr">
        <is>
          <t>medium</t>
        </is>
      </c>
      <c r="I90" t="inlineStr">
        <is>
          <t>inherited_mapping</t>
        </is>
      </c>
      <c r="J90" t="n">
        <v>332436.131</v>
      </c>
      <c r="K90" t="n">
        <v>0.168</v>
      </c>
      <c r="L90" s="6" t="inlineStr">
        <is>
          <t>Giant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91">
      <c r="A91" t="inlineStr">
        <is>
          <t>Portunidae</t>
        </is>
      </c>
      <c r="B91" t="inlineStr">
        <is>
          <t>Swimming crabs</t>
        </is>
      </c>
      <c r="C91" t="inlineStr">
        <is>
          <t>Lobsters, crabs</t>
        </is>
      </c>
      <c r="D91" t="inlineStr">
        <is>
          <t>Crustaceans</t>
        </is>
      </c>
      <c r="E91" s="7" t="inlineStr">
        <is>
          <t>Crabs &amp; Lobster</t>
        </is>
      </c>
      <c r="F91" t="inlineStr"/>
      <c r="G91" t="inlineStr"/>
      <c r="H91" t="inlineStr">
        <is>
          <t>high</t>
        </is>
      </c>
      <c r="I91" t="inlineStr">
        <is>
          <t>inherited_mapping</t>
        </is>
      </c>
      <c r="J91" t="n">
        <v>330623.283</v>
      </c>
      <c r="K91" t="n">
        <v>0.1671</v>
      </c>
      <c r="L91" s="6" t="inlineStr">
        <is>
          <t>Swimming crab family; Portunus and Charybdis, Table 1's explicit example genera for Crabs and lobsters, both belong to this family.</t>
        </is>
      </c>
    </row>
    <row r="92">
      <c r="A92" t="inlineStr">
        <is>
          <t>Chirocentrus nudus</t>
        </is>
      </c>
      <c r="B92" t="inlineStr">
        <is>
          <t>Whitefin wolf-herring</t>
        </is>
      </c>
      <c r="C92" t="inlineStr">
        <is>
          <t>Large pelagics (&gt;=90 cm)</t>
        </is>
      </c>
      <c r="D92" t="inlineStr">
        <is>
          <t>Herring-likes</t>
        </is>
      </c>
      <c r="E92" s="7" t="inlineStr">
        <is>
          <t>Large Benthopelagics</t>
        </is>
      </c>
      <c r="F92" t="inlineStr"/>
      <c r="G92" t="inlineStr"/>
      <c r="H92" t="inlineStr">
        <is>
          <t>high</t>
        </is>
      </c>
      <c r="I92" t="inlineStr">
        <is>
          <t>inherited_mapping</t>
        </is>
      </c>
      <c r="J92" t="n">
        <v>323336.764</v>
      </c>
      <c r="K92" t="n">
        <v>0.1634</v>
      </c>
      <c r="L92" s="6" t="inlineStr">
        <is>
          <t>Whitefin wolf-herring; exact genus (Chirocentrus = "wolf herring") explicitly named in Table 1's Large Benthopelagics definition.</t>
        </is>
      </c>
    </row>
    <row r="93">
      <c r="A93" t="inlineStr">
        <is>
          <t>Carcharhinus sorrah</t>
        </is>
      </c>
      <c r="B93" t="inlineStr">
        <is>
          <t>Spottail shark</t>
        </is>
      </c>
      <c r="C93" t="inlineStr">
        <is>
          <t>Large sharks (&gt;=90 cm)</t>
        </is>
      </c>
      <c r="D93" t="inlineStr">
        <is>
          <t>Sharks &amp; rays</t>
        </is>
      </c>
      <c r="E93" s="7" t="inlineStr">
        <is>
          <t>Sharks</t>
        </is>
      </c>
      <c r="F93" t="inlineStr"/>
      <c r="G93" t="inlineStr"/>
      <c r="H93" t="inlineStr">
        <is>
          <t>high</t>
        </is>
      </c>
      <c r="I93" t="inlineStr">
        <is>
          <t>inherited_mapping</t>
        </is>
      </c>
      <c r="J93" t="n">
        <v>322976.08</v>
      </c>
      <c r="K93" t="n">
        <v>0.1632</v>
      </c>
      <c r="L93" s="6" t="inlineStr">
        <is>
          <t>Spottail shark; exact genus (Carcharhinus) explicitly named in Table 1's Sharks definition.</t>
        </is>
      </c>
    </row>
    <row r="94">
      <c r="A94" t="inlineStr">
        <is>
          <t>Lutjanidae</t>
        </is>
      </c>
      <c r="B94" t="inlineStr">
        <is>
          <t>Snappers</t>
        </is>
      </c>
      <c r="C94" t="inlineStr">
        <is>
          <t>Medium reef assoc. fish (30 - 89 cm)</t>
        </is>
      </c>
      <c r="D94" t="inlineStr">
        <is>
          <t>Perch-likes</t>
        </is>
      </c>
      <c r="E94" s="7" t="inlineStr">
        <is>
          <t>Large Benthic Carnivores</t>
        </is>
      </c>
      <c r="F94" t="inlineStr"/>
      <c r="G94" t="inlineStr"/>
      <c r="H94" t="inlineStr">
        <is>
          <t>high</t>
        </is>
      </c>
      <c r="I94" t="inlineStr">
        <is>
          <t>inherited_mapping</t>
        </is>
      </c>
      <c r="J94" t="n">
        <v>314255.858</v>
      </c>
      <c r="K94" t="n">
        <v>0.1588</v>
      </c>
      <c r="L94" s="6" t="inlineStr">
        <is>
          <t>Snapper family; Lutjanidae (snapper/jobfish family) - "jobfish" and "red snappers" are Table 1's explicit examples for Large Benthic Carnivores.</t>
        </is>
      </c>
    </row>
    <row r="95">
      <c r="A95" t="inlineStr">
        <is>
          <t>Sardinella gibbosa</t>
        </is>
      </c>
      <c r="B95" t="inlineStr">
        <is>
          <t>Goldstripe sardinella</t>
        </is>
      </c>
      <c r="C95" t="inlineStr">
        <is>
          <t>Small pelagics (&lt;30 cm)</t>
        </is>
      </c>
      <c r="D95" t="inlineStr">
        <is>
          <t>Herring-likes</t>
        </is>
      </c>
      <c r="E95" s="7" t="inlineStr">
        <is>
          <t>Clupeids</t>
        </is>
      </c>
      <c r="F95" t="inlineStr"/>
      <c r="G95" t="inlineStr"/>
      <c r="H95" t="inlineStr">
        <is>
          <t>high</t>
        </is>
      </c>
      <c r="I95" t="inlineStr">
        <is>
          <t>inherited_mapping</t>
        </is>
      </c>
      <c r="J95" t="n">
        <v>314133.748</v>
      </c>
      <c r="K95" t="n">
        <v>0.1588</v>
      </c>
      <c r="L95" s="6" t="inlineStr">
        <is>
          <t>Goldstripe sardinella; "lesser sardines" (Sardinella spp) is Table 1's explicit example for Clupeids.</t>
        </is>
      </c>
    </row>
    <row r="96">
      <c r="A96" t="inlineStr">
        <is>
          <t>Sillago sihama</t>
        </is>
      </c>
      <c r="B96" t="inlineStr">
        <is>
          <t>Silver sillago</t>
        </is>
      </c>
      <c r="C96" t="inlineStr">
        <is>
          <t>Medium demersals (30 - 89 cm)</t>
        </is>
      </c>
      <c r="D96" t="inlineStr">
        <is>
          <t>Perch-likes</t>
        </is>
      </c>
      <c r="E96" s="5" t="inlineStr">
        <is>
          <t>Med Benthic Carnivores</t>
        </is>
      </c>
      <c r="F96" t="inlineStr"/>
      <c r="G96" t="inlineStr"/>
      <c r="H96" t="inlineStr">
        <is>
          <t>medium</t>
        </is>
      </c>
      <c r="I96" t="inlineStr">
        <is>
          <t>inherited_mapping</t>
        </is>
      </c>
      <c r="J96" t="n">
        <v>313756.777</v>
      </c>
      <c r="K96" t="n">
        <v>0.1586</v>
      </c>
      <c r="L96" s="6" t="inlineStr">
        <is>
          <t>Silver sillago; small demersal sand-dwelling carnivore, SAU size class "Medium demersals" and TL (~3.25-3.33) closely matching Med Benthic Carnivores (group TL 3.19); family not named in Table 1.</t>
        </is>
      </c>
    </row>
    <row r="97">
      <c r="A97" t="inlineStr">
        <is>
          <t>Rachycentron canadum</t>
        </is>
      </c>
      <c r="B97" t="inlineStr">
        <is>
          <t>Cobia</t>
        </is>
      </c>
      <c r="C97" t="inlineStr">
        <is>
          <t>Large pelagics (&gt;=90 cm)</t>
        </is>
      </c>
      <c r="D97" t="inlineStr">
        <is>
          <t>Perch-likes</t>
        </is>
      </c>
      <c r="E97" s="5" t="inlineStr">
        <is>
          <t>Large Pelagics</t>
        </is>
      </c>
      <c r="F97" t="inlineStr"/>
      <c r="G97" t="inlineStr"/>
      <c r="H97" t="inlineStr">
        <is>
          <t>medium</t>
        </is>
      </c>
      <c r="I97" t="inlineStr">
        <is>
          <t>inherited_mapping</t>
        </is>
      </c>
      <c r="J97" t="n">
        <v>308504.277</v>
      </c>
      <c r="K97" t="n">
        <v>0.1559</v>
      </c>
      <c r="L97" s="6" t="inlineStr">
        <is>
          <t>Cobia; large solitary pelagic/benthopelagic piscivore, not one of Table 1's named examples but ecologically closest to the Large Pelagics apex-predator guild (TL 3.96 vs group TL 4.18).</t>
        </is>
      </c>
    </row>
    <row r="98">
      <c r="A98" t="inlineStr">
        <is>
          <t>Pleuronectiformes</t>
        </is>
      </c>
      <c r="B98" t="inlineStr">
        <is>
          <t>Flatfishes</t>
        </is>
      </c>
      <c r="C98" t="inlineStr">
        <is>
          <t>Small to medium flatfishes (&lt;90 cm)</t>
        </is>
      </c>
      <c r="D98" t="inlineStr">
        <is>
          <t>Flatfishes</t>
        </is>
      </c>
      <c r="E98" s="5" t="inlineStr">
        <is>
          <t>Benthic Omnivores | Med Benthic Carnivores</t>
        </is>
      </c>
      <c r="F98" t="inlineStr">
        <is>
          <t>0.830 | 0.170</t>
        </is>
      </c>
      <c r="G98" t="inlineStr">
        <is>
          <t>explicit</t>
        </is>
      </c>
      <c r="H98" t="inlineStr">
        <is>
          <t>medium</t>
        </is>
      </c>
      <c r="I98" t="inlineStr">
        <is>
          <t>composite_split</t>
        </is>
      </c>
      <c r="J98" t="n">
        <v>307603.089</v>
      </c>
      <c r="K98" t="n">
        <v>0.1555</v>
      </c>
      <c r="L98" s="6" t="inlineStr">
        <is>
          <t>Order-level flatfish record. The model splits flatfishes by feeding mode: the Malabar sole Cynoglossus macrostomus sits in Benthic Omnivores and the flounders Pseudorhombus arsius and P. natalensis in Med Benthic Carnivores per the Bulletin 51 components-of-ecological-groupings table (PDF pp. 21-22). Default catch-composition weights would be set by the croaker-dominated catch of Med Benthic Carnivores rather than by its flatfish members, so explicit weights are used instead, computed from this LME's own identified flatfish landings: Soleidae 1,764,086 t against Psettodes erumei, Bothus pantherinus and Bothidae 370,194 t, i.e. 0.83 sole-type to 0.17 flounder-type.</t>
        </is>
      </c>
    </row>
    <row r="99">
      <c r="A99" t="inlineStr">
        <is>
          <t>Upeneus vittatus</t>
        </is>
      </c>
      <c r="B99" t="inlineStr">
        <is>
          <t>Yellowstriped goatfish</t>
        </is>
      </c>
      <c r="C99" t="inlineStr">
        <is>
          <t>Small reef assoc. fish (&lt;30 cm)</t>
        </is>
      </c>
      <c r="D99" t="inlineStr">
        <is>
          <t>Perch-likes</t>
        </is>
      </c>
      <c r="E99" s="7" t="inlineStr">
        <is>
          <t>Small Benthic Carnivores</t>
        </is>
      </c>
      <c r="F99" t="inlineStr"/>
      <c r="G99" t="inlineStr"/>
      <c r="H99" t="inlineStr">
        <is>
          <t>high</t>
        </is>
      </c>
      <c r="I99" t="inlineStr">
        <is>
          <t>inherited_mapping</t>
        </is>
      </c>
      <c r="J99" t="n">
        <v>304241.402</v>
      </c>
      <c r="K99" t="n">
        <v>0.1538</v>
      </c>
      <c r="L99" s="6" t="inlineStr">
        <is>
          <t>Yellowstriped goatfish; "goatfishes" (Mullidae) is Table 1's explicit example for Small Benthic Carnivores.</t>
        </is>
      </c>
    </row>
    <row r="100">
      <c r="A100" t="inlineStr">
        <is>
          <t>Pomadasys kaakan</t>
        </is>
      </c>
      <c r="B100" t="inlineStr">
        <is>
          <t>Javelin grunter</t>
        </is>
      </c>
      <c r="C100" t="inlineStr">
        <is>
          <t>Medium reef assoc. fish (30 - 89 cm)</t>
        </is>
      </c>
      <c r="D100" t="inlineStr">
        <is>
          <t>Perch-likes</t>
        </is>
      </c>
      <c r="E100" s="5" t="inlineStr">
        <is>
          <t>Med Benthic Carnivores</t>
        </is>
      </c>
      <c r="F100" t="inlineStr"/>
      <c r="G100" t="inlineStr"/>
      <c r="H100" t="inlineStr">
        <is>
          <t>medium</t>
        </is>
      </c>
      <c r="I100" t="inlineStr">
        <is>
          <t>inherited_mapping</t>
        </is>
      </c>
      <c r="J100" t="n">
        <v>298082.354</v>
      </c>
      <c r="K100" t="n">
        <v>0.1507</v>
      </c>
      <c r="L100" s="6" t="inlineStr">
        <is>
          <t>Javelin grunter; Haemulidae (grunt/sweetlips family), a demersal benthic-invertivore guild not named in Table 1, placed with Med Benthic Carnivores by ecology and TL (~3.3-4.0 vs group TL 3.19).</t>
        </is>
      </c>
    </row>
    <row r="101">
      <c r="A101" t="inlineStr">
        <is>
          <t>Haemulidae</t>
        </is>
      </c>
      <c r="B101" t="inlineStr">
        <is>
          <t>Grunts, sweetlips, bonnetmouths</t>
        </is>
      </c>
      <c r="C101" t="inlineStr">
        <is>
          <t>Medium demersals (30 - 89 cm)</t>
        </is>
      </c>
      <c r="D101" t="inlineStr">
        <is>
          <t>Perch-likes</t>
        </is>
      </c>
      <c r="E101" s="5" t="inlineStr">
        <is>
          <t>Med Benthic Carnivores</t>
        </is>
      </c>
      <c r="F101" t="inlineStr"/>
      <c r="G101" t="inlineStr"/>
      <c r="H101" t="inlineStr">
        <is>
          <t>medium</t>
        </is>
      </c>
      <c r="I101" t="inlineStr">
        <is>
          <t>inherited_mapping</t>
        </is>
      </c>
      <c r="J101" t="n">
        <v>297741.769</v>
      </c>
      <c r="K101" t="n">
        <v>0.1505</v>
      </c>
      <c r="L101" s="6" t="inlineStr">
        <is>
          <t>Grunt/sweetlips family; Haemulidae (grunt/sweetlips family), a demersal benthic-invertivore guild not named in Table 1, placed with Med Benthic Carnivores by ecology and TL (~3.3-4.0 vs group TL 3.19).</t>
        </is>
      </c>
    </row>
    <row r="102">
      <c r="A102" t="inlineStr">
        <is>
          <t>Dussumieria acuta</t>
        </is>
      </c>
      <c r="B102" t="inlineStr">
        <is>
          <t>Rainbow sardine</t>
        </is>
      </c>
      <c r="C102" t="inlineStr">
        <is>
          <t>Small pelagics (&lt;30 cm)</t>
        </is>
      </c>
      <c r="D102" t="inlineStr">
        <is>
          <t>Herring-likes</t>
        </is>
      </c>
      <c r="E102" s="7" t="inlineStr">
        <is>
          <t>Clupeids</t>
        </is>
      </c>
      <c r="F102" t="inlineStr"/>
      <c r="G102" t="inlineStr"/>
      <c r="H102" t="inlineStr">
        <is>
          <t>high</t>
        </is>
      </c>
      <c r="I102" t="inlineStr">
        <is>
          <t>inherited_mapping</t>
        </is>
      </c>
      <c r="J102" t="n">
        <v>286827.713</v>
      </c>
      <c r="K102" t="n">
        <v>0.145</v>
      </c>
      <c r="L102" s="6" t="inlineStr">
        <is>
          <t>Rainbow sardine; exact common-name match to Table 1's explicit "rainbow sardines" example for Clupeids.</t>
        </is>
      </c>
    </row>
    <row r="103">
      <c r="A103" t="inlineStr">
        <is>
          <t>Terapon jarbua</t>
        </is>
      </c>
      <c r="B103" t="inlineStr">
        <is>
          <t>Jarbua terapon</t>
        </is>
      </c>
      <c r="C103" t="inlineStr">
        <is>
          <t>Medium demersals (30 - 89 cm)</t>
        </is>
      </c>
      <c r="D103" t="inlineStr">
        <is>
          <t>Perch-likes</t>
        </is>
      </c>
      <c r="E103" s="7" t="inlineStr">
        <is>
          <t>Small Benthic Carnivores</t>
        </is>
      </c>
      <c r="F103" t="inlineStr"/>
      <c r="G103" t="inlineStr"/>
      <c r="H103" t="inlineStr">
        <is>
          <t>high</t>
        </is>
      </c>
      <c r="I103" t="inlineStr">
        <is>
          <t>inherited_mapping</t>
        </is>
      </c>
      <c r="J103" t="n">
        <v>273611.23</v>
      </c>
      <c r="K103" t="n">
        <v>0.1383</v>
      </c>
      <c r="L103" s="6" t="inlineStr">
        <is>
          <t>Jarbua terapon; "terapons" (Terapontidae) is Table 1's explicit example for Small Benthic Carnivores.</t>
        </is>
      </c>
    </row>
    <row r="104">
      <c r="A104" t="inlineStr">
        <is>
          <t>Auxis</t>
        </is>
      </c>
      <c r="B104" t="inlineStr">
        <is>
          <t>Bullet and frigate tunas</t>
        </is>
      </c>
      <c r="C104" t="inlineStr">
        <is>
          <t>Medium pelagics (30 - 89 cm)</t>
        </is>
      </c>
      <c r="D104" t="inlineStr">
        <is>
          <t>Tuna &amp; billfishes</t>
        </is>
      </c>
      <c r="E104" s="7" t="inlineStr">
        <is>
          <t>Tunas</t>
        </is>
      </c>
      <c r="F104" t="inlineStr"/>
      <c r="G104" t="inlineStr"/>
      <c r="H104" t="inlineStr">
        <is>
          <t>high</t>
        </is>
      </c>
      <c r="I104" t="inlineStr">
        <is>
          <t>inherited_mapping</t>
        </is>
      </c>
      <c r="J104" t="n">
        <v>272238.117</v>
      </c>
      <c r="K104" t="n">
        <v>0.1376</v>
      </c>
      <c r="L104" s="6" t="inlineStr">
        <is>
          <t>Genus explicitly named in Table 1's Tunas definition (Euthynnus, Thunnus, Auxis spp).</t>
        </is>
      </c>
    </row>
    <row r="105">
      <c r="A105" t="inlineStr">
        <is>
          <t>Epinephelus coioides</t>
        </is>
      </c>
      <c r="B105" t="inlineStr">
        <is>
          <t>Orange-spotted grouper</t>
        </is>
      </c>
      <c r="C105" t="inlineStr">
        <is>
          <t>Large reef assoc. fish (&gt;=90 cm)</t>
        </is>
      </c>
      <c r="D105" t="inlineStr">
        <is>
          <t>Perch-likes</t>
        </is>
      </c>
      <c r="E105" s="7" t="inlineStr">
        <is>
          <t>Large Benthic Carnivores</t>
        </is>
      </c>
      <c r="F105" t="inlineStr"/>
      <c r="G105" t="inlineStr"/>
      <c r="H105" t="inlineStr">
        <is>
          <t>high</t>
        </is>
      </c>
      <c r="I105" t="inlineStr">
        <is>
          <t>inherited_mapping</t>
        </is>
      </c>
      <c r="J105" t="n">
        <v>267299.206</v>
      </c>
      <c r="K105" t="n">
        <v>0.1351</v>
      </c>
      <c r="L105" s="6" t="inlineStr">
        <is>
          <t>Orange-spotted grouper; Serranidae (grouper/rockcod family) - "rock cods" is Table 1's explicit example for Large Benthic Carnivores.</t>
        </is>
      </c>
    </row>
    <row r="106">
      <c r="A106" t="inlineStr">
        <is>
          <t>Platycephalus indicus</t>
        </is>
      </c>
      <c r="B106" t="inlineStr">
        <is>
          <t>Bartail flathead</t>
        </is>
      </c>
      <c r="C106" t="inlineStr">
        <is>
          <t>Medium demersals (30 - 89 cm)</t>
        </is>
      </c>
      <c r="D106" t="inlineStr">
        <is>
          <t>Scorpionfishes</t>
        </is>
      </c>
      <c r="E106" s="7" t="inlineStr">
        <is>
          <t>Med Benthic Carnivores</t>
        </is>
      </c>
      <c r="F106" t="inlineStr"/>
      <c r="G106" t="inlineStr"/>
      <c r="H106" t="inlineStr">
        <is>
          <t>high</t>
        </is>
      </c>
      <c r="I106" t="inlineStr">
        <is>
          <t>inherited_mapping</t>
        </is>
      </c>
      <c r="J106" t="n">
        <v>264488.126</v>
      </c>
      <c r="K106" t="n">
        <v>0.1337</v>
      </c>
      <c r="L106" s="6" t="inlineStr">
        <is>
          <t>Bartail flathead; "flatheads" is Table 1's explicit example for Med Benthic Carnivores.</t>
        </is>
      </c>
    </row>
    <row r="107">
      <c r="A107" t="inlineStr">
        <is>
          <t>Pomadasys</t>
        </is>
      </c>
      <c r="B107" t="inlineStr">
        <is>
          <t>Grunters</t>
        </is>
      </c>
      <c r="C107" t="inlineStr">
        <is>
          <t>Medium demersals (30 - 89 cm)</t>
        </is>
      </c>
      <c r="D107" t="inlineStr">
        <is>
          <t>Perch-likes</t>
        </is>
      </c>
      <c r="E107" s="5" t="inlineStr">
        <is>
          <t>Med Benthic Carnivores</t>
        </is>
      </c>
      <c r="F107" t="inlineStr"/>
      <c r="G107" t="inlineStr"/>
      <c r="H107" t="inlineStr">
        <is>
          <t>medium</t>
        </is>
      </c>
      <c r="I107" t="inlineStr">
        <is>
          <t>inherited_mapping</t>
        </is>
      </c>
      <c r="J107" t="n">
        <v>252688.878</v>
      </c>
      <c r="K107" t="n">
        <v>0.1277</v>
      </c>
      <c r="L107" s="6" t="inlineStr">
        <is>
          <t>Grunter (genus); Haemulidae (grunt/sweetlips family), a demersal benthic-invertivore guild not named in Table 1, placed with Med Benthic Carnivores by ecology and TL (~3.3-4.0 vs group TL 3.19).</t>
        </is>
      </c>
    </row>
    <row r="108">
      <c r="A108" t="inlineStr">
        <is>
          <t>Argyrops spinifer</t>
        </is>
      </c>
      <c r="B108" t="inlineStr">
        <is>
          <t>King soldier bream</t>
        </is>
      </c>
      <c r="C108" t="inlineStr">
        <is>
          <t>Medium demersals (30 - 89 cm)</t>
        </is>
      </c>
      <c r="D108" t="inlineStr">
        <is>
          <t>Perch-likes</t>
        </is>
      </c>
      <c r="E108" s="5" t="inlineStr">
        <is>
          <t>Large Benthic Carnivores</t>
        </is>
      </c>
      <c r="F108" t="inlineStr"/>
      <c r="G108" t="inlineStr"/>
      <c r="H108" t="inlineStr">
        <is>
          <t>medium</t>
        </is>
      </c>
      <c r="I108" t="inlineStr">
        <is>
          <t>inherited_mapping</t>
        </is>
      </c>
      <c r="J108" t="n">
        <v>244003.284</v>
      </c>
      <c r="K108" t="n">
        <v>0.1233</v>
      </c>
      <c r="L108" s="6" t="inlineStr">
        <is>
          <t>King soldier bream; Sparidae, but its TL (4.49) sits far closer to the apex demersal-predator guild of Large Benthic Carnivores (group TL 4.14) than to the rest of this workbook's lower-TL Sparidae, which cluster with Med Benthic Carnivores (group TL 3.19).</t>
        </is>
      </c>
    </row>
    <row r="109">
      <c r="A109" t="inlineStr">
        <is>
          <t>Chirocentrus dorab</t>
        </is>
      </c>
      <c r="B109" t="inlineStr">
        <is>
          <t>Dorab wolf-herring</t>
        </is>
      </c>
      <c r="C109" t="inlineStr">
        <is>
          <t>Large benthopelagics (&gt;=90 cm)</t>
        </is>
      </c>
      <c r="D109" t="inlineStr">
        <is>
          <t>Herring-likes</t>
        </is>
      </c>
      <c r="E109" s="7" t="inlineStr">
        <is>
          <t>Large Benthopelagics</t>
        </is>
      </c>
      <c r="F109" t="inlineStr"/>
      <c r="G109" t="inlineStr"/>
      <c r="H109" t="inlineStr">
        <is>
          <t>high</t>
        </is>
      </c>
      <c r="I109" t="inlineStr">
        <is>
          <t>inherited_mapping</t>
        </is>
      </c>
      <c r="J109" t="n">
        <v>242710.759</v>
      </c>
      <c r="K109" t="n">
        <v>0.1227</v>
      </c>
      <c r="L109" s="6" t="inlineStr">
        <is>
          <t>Dorab wolf-herring; exact genus (Chirocentrus = "wolf herring") explicitly named in Table 1's Large Benthopelagics definition.</t>
        </is>
      </c>
    </row>
    <row r="110">
      <c r="A110" t="inlineStr">
        <is>
          <t>Lethrinus</t>
        </is>
      </c>
      <c r="B110" t="inlineStr">
        <is>
          <t>Emperors</t>
        </is>
      </c>
      <c r="C110" t="inlineStr">
        <is>
          <t>Medium reef assoc. fish (30 - 89 cm)</t>
        </is>
      </c>
      <c r="D110" t="inlineStr">
        <is>
          <t>Perch-likes</t>
        </is>
      </c>
      <c r="E110" s="5" t="inlineStr">
        <is>
          <t>Large Benthic Carnivores</t>
        </is>
      </c>
      <c r="F110" t="inlineStr"/>
      <c r="G110" t="inlineStr"/>
      <c r="H110" t="inlineStr">
        <is>
          <t>medium</t>
        </is>
      </c>
      <c r="I110" t="inlineStr">
        <is>
          <t>inherited_mapping</t>
        </is>
      </c>
      <c r="J110" t="n">
        <v>238933.239</v>
      </c>
      <c r="K110" t="n">
        <v>0.1208</v>
      </c>
      <c r="L110" s="6" t="inlineStr">
        <is>
          <t>Emperor (genus); Lethrinidae (emperor family), a demersal durophagous/piscivorous carnivore guild not named in Table 1 but ecologically parallel to the snapper/grouper apex reef-predator guild of Large Benthic Carnivores (mean TL ~3.7, group TL 4.14).</t>
        </is>
      </c>
    </row>
    <row r="111">
      <c r="A111" t="inlineStr">
        <is>
          <t>Lutjanus johnii</t>
        </is>
      </c>
      <c r="B111" t="inlineStr">
        <is>
          <t>John's snapper</t>
        </is>
      </c>
      <c r="C111" t="inlineStr">
        <is>
          <t>Medium reef assoc. fish (30 - 89 cm)</t>
        </is>
      </c>
      <c r="D111" t="inlineStr">
        <is>
          <t>Perch-likes</t>
        </is>
      </c>
      <c r="E111" s="7" t="inlineStr">
        <is>
          <t>Large Benthic Carnivores</t>
        </is>
      </c>
      <c r="F111" t="inlineStr"/>
      <c r="G111" t="inlineStr"/>
      <c r="H111" t="inlineStr">
        <is>
          <t>high</t>
        </is>
      </c>
      <c r="I111" t="inlineStr">
        <is>
          <t>inherited_mapping</t>
        </is>
      </c>
      <c r="J111" t="n">
        <v>237801.891</v>
      </c>
      <c r="K111" t="n">
        <v>0.1202</v>
      </c>
      <c r="L111" s="6" t="inlineStr">
        <is>
          <t>John's snapper; Lutjanidae (snapper/jobfish family) - "jobfish" and "red snappers" are Table 1's explicit examples for Large Benthic Carnivores.</t>
        </is>
      </c>
    </row>
    <row r="112">
      <c r="A112" t="inlineStr">
        <is>
          <t>Sardinella albella</t>
        </is>
      </c>
      <c r="B112" t="inlineStr">
        <is>
          <t>White sardinella</t>
        </is>
      </c>
      <c r="C112" t="inlineStr">
        <is>
          <t>Small reef assoc. fish (&lt;30 cm)</t>
        </is>
      </c>
      <c r="D112" t="inlineStr">
        <is>
          <t>Herring-likes</t>
        </is>
      </c>
      <c r="E112" s="7" t="inlineStr">
        <is>
          <t>Clupeids</t>
        </is>
      </c>
      <c r="F112" t="inlineStr"/>
      <c r="G112" t="inlineStr"/>
      <c r="H112" t="inlineStr">
        <is>
          <t>high</t>
        </is>
      </c>
      <c r="I112" t="inlineStr">
        <is>
          <t>inherited_mapping</t>
        </is>
      </c>
      <c r="J112" t="n">
        <v>231004.025</v>
      </c>
      <c r="K112" t="n">
        <v>0.1168</v>
      </c>
      <c r="L112" s="6" t="inlineStr">
        <is>
          <t>White sardinella; matches Table 1's explicit "white sardine" example for Clupeids by common name and genus (Sardinella).</t>
        </is>
      </c>
    </row>
    <row r="113">
      <c r="A113" t="inlineStr">
        <is>
          <t>Glaucostegus granulatus</t>
        </is>
      </c>
      <c r="B113" t="inlineStr">
        <is>
          <t>Granulated guitarfish</t>
        </is>
      </c>
      <c r="C113" t="inlineStr">
        <is>
          <t>Large rays (&gt;=90 cm)</t>
        </is>
      </c>
      <c r="D113" t="inlineStr">
        <is>
          <t>Sharks &amp; rays</t>
        </is>
      </c>
      <c r="E113" s="7" t="inlineStr">
        <is>
          <t>Skates &amp; Rays</t>
        </is>
      </c>
      <c r="F113" t="inlineStr"/>
      <c r="G113" t="inlineStr"/>
      <c r="H113" t="inlineStr">
        <is>
          <t>high</t>
        </is>
      </c>
      <c r="I113" t="inlineStr">
        <is>
          <t>inherited_mapping</t>
        </is>
      </c>
      <c r="J113" t="n">
        <v>229434.994</v>
      </c>
      <c r="K113" t="n">
        <v>0.116</v>
      </c>
      <c r="L113" s="6" t="inlineStr">
        <is>
          <t>Granulated guitarfish (Rhinopristiformes, batoid); same family group as Table 1's explicit genus Rhynchobatus.</t>
        </is>
      </c>
    </row>
    <row r="114">
      <c r="A114" t="inlineStr">
        <is>
          <t>Monacanthidae</t>
        </is>
      </c>
      <c r="B114" t="inlineStr">
        <is>
          <t>Filefishes</t>
        </is>
      </c>
      <c r="C114" t="inlineStr">
        <is>
          <t>Medium reef assoc. fish (30 - 89 cm)</t>
        </is>
      </c>
      <c r="D114" t="inlineStr">
        <is>
          <t>Other fishes &amp; inverts</t>
        </is>
      </c>
      <c r="E114" s="5" t="inlineStr">
        <is>
          <t>Med Benthic Carnivores</t>
        </is>
      </c>
      <c r="F114" t="inlineStr"/>
      <c r="G114" t="inlineStr"/>
      <c r="H114" t="inlineStr">
        <is>
          <t>medium</t>
        </is>
      </c>
      <c r="I114" t="inlineStr">
        <is>
          <t>inherited_mapping</t>
        </is>
      </c>
      <c r="J114" t="n">
        <v>227653.12</v>
      </c>
      <c r="K114" t="n">
        <v>0.1151</v>
      </c>
      <c r="L114" s="6" t="inlineStr">
        <is>
          <t>Filefish family; a close taxonomic relative of Balistidae (order Tetraodontiformes, Table 1's explicit "balistids") with similar benthic-invertivore ecology (TL 3.0 vs group 3.19), though not itself the named family.</t>
        </is>
      </c>
    </row>
    <row r="115">
      <c r="A115" t="inlineStr">
        <is>
          <t>Lutjanus argentimaculatus</t>
        </is>
      </c>
      <c r="B115" t="inlineStr">
        <is>
          <t>Mangrove red snapper</t>
        </is>
      </c>
      <c r="C115" t="inlineStr">
        <is>
          <t>Large reef assoc. fish (&gt;=90 cm)</t>
        </is>
      </c>
      <c r="D115" t="inlineStr">
        <is>
          <t>Perch-likes</t>
        </is>
      </c>
      <c r="E115" s="7" t="inlineStr">
        <is>
          <t>Large Benthic Carnivores</t>
        </is>
      </c>
      <c r="F115" t="inlineStr"/>
      <c r="G115" t="inlineStr"/>
      <c r="H115" t="inlineStr">
        <is>
          <t>high</t>
        </is>
      </c>
      <c r="I115" t="inlineStr">
        <is>
          <t>inherited_mapping</t>
        </is>
      </c>
      <c r="J115" t="n">
        <v>227215.897</v>
      </c>
      <c r="K115" t="n">
        <v>0.1148</v>
      </c>
      <c r="L115" s="6" t="inlineStr">
        <is>
          <t>Mangrove red snapper; Lutjanidae (snapper/jobfish family) - "jobfish" and "red snappers" are Table 1's explicit examples for Large Benthic Carnivores.</t>
        </is>
      </c>
    </row>
    <row r="116">
      <c r="A116" t="inlineStr">
        <is>
          <t>Chiloscyllium arabicum</t>
        </is>
      </c>
      <c r="B116" t="inlineStr">
        <is>
          <t>Arabian carpetshark</t>
        </is>
      </c>
      <c r="C116" t="inlineStr">
        <is>
          <t>Small to medium sharks (&lt;90 cm)</t>
        </is>
      </c>
      <c r="D116" t="inlineStr">
        <is>
          <t>Sharks &amp; rays</t>
        </is>
      </c>
      <c r="E116" s="7" t="inlineStr">
        <is>
          <t>Sharks</t>
        </is>
      </c>
      <c r="F116" t="inlineStr"/>
      <c r="G116" t="inlineStr"/>
      <c r="H116" t="inlineStr">
        <is>
          <t>high</t>
        </is>
      </c>
      <c r="I116" t="inlineStr">
        <is>
          <t>inherited_mapping</t>
        </is>
      </c>
      <c r="J116" t="n">
        <v>226034.241</v>
      </c>
      <c r="K116" t="n">
        <v>0.1142</v>
      </c>
      <c r="L116" s="6" t="inlineStr">
        <is>
          <t>Arabian carpetshark (Orectolobiformes); a true shark, unambiguous fit under the model's clean shark/batoid split.</t>
        </is>
      </c>
    </row>
    <row r="117">
      <c r="A117" t="inlineStr">
        <is>
          <t>Trichiuridae</t>
        </is>
      </c>
      <c r="B117" t="inlineStr">
        <is>
          <t>Cutlassfishes</t>
        </is>
      </c>
      <c r="C117" t="inlineStr">
        <is>
          <t>Large benthopelagics (&gt;=90 cm)</t>
        </is>
      </c>
      <c r="D117" t="inlineStr">
        <is>
          <t>Perch-likes</t>
        </is>
      </c>
      <c r="E117" s="7" t="inlineStr">
        <is>
          <t>Large Benthopelagics</t>
        </is>
      </c>
      <c r="F117" t="inlineStr"/>
      <c r="G117" t="inlineStr"/>
      <c r="H117" t="inlineStr">
        <is>
          <t>high</t>
        </is>
      </c>
      <c r="I117" t="inlineStr">
        <is>
          <t>inherited_mapping</t>
        </is>
      </c>
      <c r="J117" t="n">
        <v>219970.514</v>
      </c>
      <c r="K117" t="n">
        <v>0.1112</v>
      </c>
      <c r="L117" s="6" t="inlineStr">
        <is>
          <t>Cutlassfish/hairtail ("ribbonfish") family, explicit Table 1 example for Large Benthopelagics.</t>
        </is>
      </c>
    </row>
    <row r="118">
      <c r="A118" t="inlineStr">
        <is>
          <t>Himantura uarnak</t>
        </is>
      </c>
      <c r="B118" t="inlineStr">
        <is>
          <t>Honeycomb stingray</t>
        </is>
      </c>
      <c r="C118" t="inlineStr">
        <is>
          <t>Large rays (&gt;=90 cm)</t>
        </is>
      </c>
      <c r="D118" t="inlineStr">
        <is>
          <t>Sharks &amp; rays</t>
        </is>
      </c>
      <c r="E118" s="7" t="inlineStr">
        <is>
          <t>Skates &amp; Rays</t>
        </is>
      </c>
      <c r="F118" t="inlineStr"/>
      <c r="G118" t="inlineStr"/>
      <c r="H118" t="inlineStr">
        <is>
          <t>high</t>
        </is>
      </c>
      <c r="I118" t="inlineStr">
        <is>
          <t>inherited_mapping</t>
        </is>
      </c>
      <c r="J118" t="n">
        <v>219472.657</v>
      </c>
      <c r="K118" t="n">
        <v>0.1109</v>
      </c>
      <c r="L118" s="6" t="inlineStr">
        <is>
          <t>Honeycomb stingray; Dasyatidae, the same family as Table 1's explicit example genus Dasyatis.</t>
        </is>
      </c>
    </row>
    <row r="119">
      <c r="A119" t="inlineStr">
        <is>
          <t>Saurida</t>
        </is>
      </c>
      <c r="B119" t="inlineStr">
        <is>
          <t>Lizardfishes</t>
        </is>
      </c>
      <c r="C119" t="inlineStr">
        <is>
          <t>Medium demersals (30 - 89 cm)</t>
        </is>
      </c>
      <c r="D119" t="inlineStr">
        <is>
          <t>Other fishes &amp; inverts</t>
        </is>
      </c>
      <c r="E119" s="7" t="inlineStr">
        <is>
          <t>Large Benthic Carnivores</t>
        </is>
      </c>
      <c r="F119" t="inlineStr"/>
      <c r="G119" t="inlineStr"/>
      <c r="H119" t="inlineStr">
        <is>
          <t>high</t>
        </is>
      </c>
      <c r="I119" t="inlineStr">
        <is>
          <t>inherited_mapping</t>
        </is>
      </c>
      <c r="J119" t="n">
        <v>216227.077</v>
      </c>
      <c r="K119" t="n">
        <v>0.1093</v>
      </c>
      <c r="L119" s="6" t="inlineStr">
        <is>
          <t>Lizardfish (genus); "lizardfishes" is Table 1's explicit example for Large Benthic Carnivores.</t>
        </is>
      </c>
    </row>
    <row r="120">
      <c r="A120" t="inlineStr">
        <is>
          <t>Planiliza klunzingeri</t>
        </is>
      </c>
      <c r="B120" t="inlineStr">
        <is>
          <t>Klunzinger's mullet</t>
        </is>
      </c>
      <c r="C120" t="inlineStr">
        <is>
          <t>Small demersals (&lt;30 cm)</t>
        </is>
      </c>
      <c r="D120" t="inlineStr">
        <is>
          <t>Perch-likes</t>
        </is>
      </c>
      <c r="E120" s="5" t="inlineStr">
        <is>
          <t>Benthic Omnivores</t>
        </is>
      </c>
      <c r="F120" t="inlineStr"/>
      <c r="G120" t="inlineStr"/>
      <c r="H120" t="inlineStr">
        <is>
          <t>medium</t>
        </is>
      </c>
      <c r="I120" t="inlineStr">
        <is>
          <t>inherited_mapping</t>
        </is>
      </c>
      <c r="J120" t="n">
        <v>204391.031</v>
      </c>
      <c r="K120" t="n">
        <v>0.1033</v>
      </c>
      <c r="L120" s="6" t="inlineStr">
        <is>
          <t>Klunzinger's mullet; mullets (Mugilidae) are benthic detritivore/omnivore grazers, not named in Table 1 but ecologically and trophically (TL 2.14-2.63) closest to the low-TL Benthic Omnivores guild (group TL 2.55).</t>
        </is>
      </c>
    </row>
    <row r="121">
      <c r="A121" t="inlineStr">
        <is>
          <t>Scomberomorus</t>
        </is>
      </c>
      <c r="B121" t="inlineStr">
        <is>
          <t>Spanish mackerels</t>
        </is>
      </c>
      <c r="C121" t="inlineStr">
        <is>
          <t>Large pelagics (&gt;=90 cm)</t>
        </is>
      </c>
      <c r="D121" t="inlineStr">
        <is>
          <t>Perch-likes</t>
        </is>
      </c>
      <c r="E121" s="7" t="inlineStr">
        <is>
          <t>Large Pelagics</t>
        </is>
      </c>
      <c r="F121" t="inlineStr"/>
      <c r="G121" t="inlineStr"/>
      <c r="H121" t="inlineStr">
        <is>
          <t>high</t>
        </is>
      </c>
      <c r="I121" t="inlineStr">
        <is>
          <t>inherited_mapping</t>
        </is>
      </c>
      <c r="J121" t="n">
        <v>197932.365</v>
      </c>
      <c r="K121" t="n">
        <v>0.1</v>
      </c>
      <c r="L121" s="6" t="inlineStr">
        <is>
          <t>Seer/kingfish genus explicitly named in Table 1's Large Pelagics definition.</t>
        </is>
      </c>
    </row>
    <row r="122">
      <c r="A122" t="inlineStr">
        <is>
          <t>Istiophorus platypterus</t>
        </is>
      </c>
      <c r="B122" t="inlineStr">
        <is>
          <t>Indo-Pacific sailfish</t>
        </is>
      </c>
      <c r="C122" t="inlineStr">
        <is>
          <t>Large pelagics (&gt;=90 cm)</t>
        </is>
      </c>
      <c r="D122" t="inlineStr">
        <is>
          <t>Tuna &amp; billfishes</t>
        </is>
      </c>
      <c r="E122" s="5" t="inlineStr">
        <is>
          <t>Large Pelagics</t>
        </is>
      </c>
      <c r="F122" t="inlineStr"/>
      <c r="G122" t="inlineStr"/>
      <c r="H122" t="inlineStr">
        <is>
          <t>medium</t>
        </is>
      </c>
      <c r="I122" t="inlineStr">
        <is>
          <t>inherited_mapping</t>
        </is>
      </c>
      <c r="J122" t="n">
        <v>196434.733</v>
      </c>
      <c r="K122" t="n">
        <v>0.0993</v>
      </c>
      <c r="L122" s="6" t="inlineStr">
        <is>
          <t>Indo-Pacific sailfish; Table 1 names no billfish group and lists no billfish genus under either Large Pelagics or Tunas, so placement is by ecology - a fast apex epipelagic predator matching the Large Pelagics guild's diet/TL profile (group TL 4.18) rather than the tuna tribe Thunnini.</t>
        </is>
      </c>
    </row>
    <row r="123">
      <c r="A123" t="inlineStr">
        <is>
          <t>Megalaspis cordyla</t>
        </is>
      </c>
      <c r="B123" t="inlineStr">
        <is>
          <t>Torpedo scad</t>
        </is>
      </c>
      <c r="C123" t="inlineStr">
        <is>
          <t>Medium pelagics (30 - 89 cm)</t>
        </is>
      </c>
      <c r="D123" t="inlineStr">
        <is>
          <t>Perch-likes</t>
        </is>
      </c>
      <c r="E123" s="7" t="inlineStr">
        <is>
          <t>Large Benthopelagics</t>
        </is>
      </c>
      <c r="F123" t="inlineStr"/>
      <c r="G123" t="inlineStr"/>
      <c r="H123" t="inlineStr">
        <is>
          <t>high</t>
        </is>
      </c>
      <c r="I123" t="inlineStr">
        <is>
          <t>explicit_member</t>
        </is>
      </c>
      <c r="J123" t="n">
        <v>194005.619</v>
      </c>
      <c r="K123" t="n">
        <v>0.09810000000000001</v>
      </c>
      <c r="L123" s="6" t="inlineStr">
        <is>
          <t>CORRECTION to the inherited mapping. Member 25 of Grp7 Large Benthopelagics in the Bulletin 51 components-of-ecological-groupings table (PDF pp. 21-22); the group account names 'horse mackerel (Megalaspis cordyla)' and tabulates its parameters. Previously mapped to Small Benthopelagics on the Sea Around Us 'scad' reading, which the model overrides for this species.</t>
        </is>
      </c>
    </row>
    <row r="124">
      <c r="A124" t="inlineStr">
        <is>
          <t>Placuna placenta</t>
        </is>
      </c>
      <c r="B124" t="inlineStr">
        <is>
          <t>Windowpane oyster</t>
        </is>
      </c>
      <c r="C124" t="inlineStr">
        <is>
          <t>Other demersal invertebrates</t>
        </is>
      </c>
      <c r="D124" t="inlineStr">
        <is>
          <t>Molluscs</t>
        </is>
      </c>
      <c r="E124" s="7" t="inlineStr">
        <is>
          <t>Heterotrophic Benthos</t>
        </is>
      </c>
      <c r="F124" t="inlineStr"/>
      <c r="G124" t="inlineStr"/>
      <c r="H124" t="inlineStr">
        <is>
          <t>high</t>
        </is>
      </c>
      <c r="I124" t="inlineStr">
        <is>
          <t>inherited_mapping</t>
        </is>
      </c>
      <c r="J124" t="n">
        <v>192426.309</v>
      </c>
      <c r="K124" t="n">
        <v>0.0973</v>
      </c>
      <c r="L124" s="6" t="inlineStr">
        <is>
          <t>Windowpane oyster; "bivalves" is Table 1's explicit example for Heterotrophic Benthos.</t>
        </is>
      </c>
    </row>
    <row r="125">
      <c r="A125" t="inlineStr">
        <is>
          <t>Lutjanus</t>
        </is>
      </c>
      <c r="B125" t="inlineStr">
        <is>
          <t>Snappers</t>
        </is>
      </c>
      <c r="C125" t="inlineStr">
        <is>
          <t>Medium reef assoc. fish (30 - 89 cm)</t>
        </is>
      </c>
      <c r="D125" t="inlineStr">
        <is>
          <t>Perch-likes</t>
        </is>
      </c>
      <c r="E125" s="7" t="inlineStr">
        <is>
          <t>Large Benthic Carnivores</t>
        </is>
      </c>
      <c r="F125" t="inlineStr"/>
      <c r="G125" t="inlineStr"/>
      <c r="H125" t="inlineStr">
        <is>
          <t>high</t>
        </is>
      </c>
      <c r="I125" t="inlineStr">
        <is>
          <t>inherited_mapping</t>
        </is>
      </c>
      <c r="J125" t="n">
        <v>184885.938</v>
      </c>
      <c r="K125" t="n">
        <v>0.0934</v>
      </c>
      <c r="L125" s="6" t="inlineStr">
        <is>
          <t>Snapper (genus); Lutjanidae (snapper/jobfish family) - "jobfish" and "red snappers" are Table 1's explicit examples for Large Benthic Carnivores.</t>
        </is>
      </c>
    </row>
    <row r="126">
      <c r="A126" t="inlineStr">
        <is>
          <t>Metapenaeus affinis</t>
        </is>
      </c>
      <c r="B126" t="inlineStr">
        <is>
          <t>Jinga shrimp</t>
        </is>
      </c>
      <c r="C126" t="inlineStr">
        <is>
          <t>Shrimps</t>
        </is>
      </c>
      <c r="D126" t="inlineStr">
        <is>
          <t>Crustaceans</t>
        </is>
      </c>
      <c r="E126" s="7" t="inlineStr">
        <is>
          <t>Shrimps</t>
        </is>
      </c>
      <c r="F126" t="inlineStr"/>
      <c r="G126" t="inlineStr"/>
      <c r="H126" t="inlineStr">
        <is>
          <t>high</t>
        </is>
      </c>
      <c r="I126" t="inlineStr">
        <is>
          <t>inherited_mapping</t>
        </is>
      </c>
      <c r="J126" t="n">
        <v>182866.479</v>
      </c>
      <c r="K126" t="n">
        <v>0.0924</v>
      </c>
      <c r="L126" s="6" t="inlineStr">
        <is>
          <t>Jinga shrimp; exact genus (Metapenaeus) explicitly named in Table 1's Shrimps definition.</t>
        </is>
      </c>
    </row>
    <row r="127">
      <c r="A127" t="inlineStr">
        <is>
          <t>Muraenesox cinereus</t>
        </is>
      </c>
      <c r="B127" t="inlineStr">
        <is>
          <t>Daggertooth pike conger</t>
        </is>
      </c>
      <c r="C127" t="inlineStr">
        <is>
          <t>Large demersals (&gt;=90 cm)</t>
        </is>
      </c>
      <c r="D127" t="inlineStr">
        <is>
          <t>Other fishes &amp; inverts</t>
        </is>
      </c>
      <c r="E127" s="5" t="inlineStr">
        <is>
          <t>Large Benthic Carnivores</t>
        </is>
      </c>
      <c r="F127" t="inlineStr"/>
      <c r="G127" t="inlineStr"/>
      <c r="H127" t="inlineStr">
        <is>
          <t>medium</t>
        </is>
      </c>
      <c r="I127" t="inlineStr">
        <is>
          <t>inherited_mapping</t>
        </is>
      </c>
      <c r="J127" t="n">
        <v>182170.603</v>
      </c>
      <c r="K127" t="n">
        <v>0.0921</v>
      </c>
      <c r="L127" s="6" t="inlineStr">
        <is>
          <t>Daggertooth pike conger; large benthic ambush-predator eel, not named in Table 1 but ecologically and trophically (TL ~3.9-4.4) closest to the demersal apex-predator guild of Large Benthic Carnivores.</t>
        </is>
      </c>
    </row>
    <row r="128">
      <c r="A128" t="inlineStr">
        <is>
          <t>Muraenesocidae</t>
        </is>
      </c>
      <c r="B128" t="inlineStr">
        <is>
          <t>Pike congers</t>
        </is>
      </c>
      <c r="C128" t="inlineStr">
        <is>
          <t>Large demersals (&gt;=90 cm)</t>
        </is>
      </c>
      <c r="D128" t="inlineStr">
        <is>
          <t>Other fishes &amp; inverts</t>
        </is>
      </c>
      <c r="E128" s="5" t="inlineStr">
        <is>
          <t>Large Benthic Carnivores</t>
        </is>
      </c>
      <c r="F128" t="inlineStr"/>
      <c r="G128" t="inlineStr"/>
      <c r="H128" t="inlineStr">
        <is>
          <t>medium</t>
        </is>
      </c>
      <c r="I128" t="inlineStr">
        <is>
          <t>inherited_mapping</t>
        </is>
      </c>
      <c r="J128" t="n">
        <v>177375.69</v>
      </c>
      <c r="K128" t="n">
        <v>0.0897</v>
      </c>
      <c r="L128" s="6" t="inlineStr">
        <is>
          <t>Pike conger family; large benthic ambush-predator eel, not named in Table 1 but ecologically and trophically (TL ~3.9-4.4) closest to the demersal apex-predator guild of Large Benthic Carnivores.</t>
        </is>
      </c>
    </row>
    <row r="129">
      <c r="A129" t="inlineStr">
        <is>
          <t>Auxis thazard</t>
        </is>
      </c>
      <c r="B129" t="inlineStr">
        <is>
          <t>Frigate tuna</t>
        </is>
      </c>
      <c r="C129" t="inlineStr">
        <is>
          <t>Medium pelagics (30 - 89 cm)</t>
        </is>
      </c>
      <c r="D129" t="inlineStr">
        <is>
          <t>Tuna &amp; billfishes</t>
        </is>
      </c>
      <c r="E129" s="7" t="inlineStr">
        <is>
          <t>Tunas</t>
        </is>
      </c>
      <c r="F129" t="inlineStr"/>
      <c r="G129" t="inlineStr"/>
      <c r="H129" t="inlineStr">
        <is>
          <t>high</t>
        </is>
      </c>
      <c r="I129" t="inlineStr">
        <is>
          <t>inherited_mapping</t>
        </is>
      </c>
      <c r="J129" t="n">
        <v>158185.19</v>
      </c>
      <c r="K129" t="n">
        <v>0.08</v>
      </c>
      <c r="L129" s="6" t="inlineStr">
        <is>
          <t>Frigate tuna; exact genus (Auxis) explicitly named in Table 1's Tunas definition.</t>
        </is>
      </c>
    </row>
    <row r="130">
      <c r="A130" t="inlineStr">
        <is>
          <t>Lutjanus malabaricus</t>
        </is>
      </c>
      <c r="B130" t="inlineStr">
        <is>
          <t>Malabar blood snapper</t>
        </is>
      </c>
      <c r="C130" t="inlineStr">
        <is>
          <t>Medium reef assoc. fish (30 - 89 cm)</t>
        </is>
      </c>
      <c r="D130" t="inlineStr">
        <is>
          <t>Perch-likes</t>
        </is>
      </c>
      <c r="E130" s="7" t="inlineStr">
        <is>
          <t>Large Benthic Carnivores</t>
        </is>
      </c>
      <c r="F130" t="inlineStr"/>
      <c r="G130" t="inlineStr"/>
      <c r="H130" t="inlineStr">
        <is>
          <t>high</t>
        </is>
      </c>
      <c r="I130" t="inlineStr">
        <is>
          <t>inherited_mapping</t>
        </is>
      </c>
      <c r="J130" t="n">
        <v>156925.384</v>
      </c>
      <c r="K130" t="n">
        <v>0.0793</v>
      </c>
      <c r="L130" s="6" t="inlineStr">
        <is>
          <t>Malabar blood snapper; Lutjanidae (snapper/jobfish family) - "jobfish" and "red snappers" are Table 1's explicit examples for Large Benthic Carnivores.</t>
        </is>
      </c>
    </row>
    <row r="131">
      <c r="A131" t="inlineStr">
        <is>
          <t>Congresox talabonoides</t>
        </is>
      </c>
      <c r="B131" t="inlineStr">
        <is>
          <t>Indian pike conger</t>
        </is>
      </c>
      <c r="C131" t="inlineStr">
        <is>
          <t>Large demersals (&gt;=90 cm)</t>
        </is>
      </c>
      <c r="D131" t="inlineStr">
        <is>
          <t>Other fishes &amp; inverts</t>
        </is>
      </c>
      <c r="E131" s="5" t="inlineStr">
        <is>
          <t>Large Benthic Carnivores</t>
        </is>
      </c>
      <c r="F131" t="inlineStr"/>
      <c r="G131" t="inlineStr"/>
      <c r="H131" t="inlineStr">
        <is>
          <t>medium</t>
        </is>
      </c>
      <c r="I131" t="inlineStr">
        <is>
          <t>inherited_mapping</t>
        </is>
      </c>
      <c r="J131" t="n">
        <v>155152.444</v>
      </c>
      <c r="K131" t="n">
        <v>0.0784</v>
      </c>
      <c r="L131" s="6" t="inlineStr">
        <is>
          <t>Indian pike conger; large benthic ambush-predator eel, not named in Table 1 but ecologically and trophically (TL ~3.9-4.4) closest to the demersal apex-predator guild of Large Benthic Carnivores.</t>
        </is>
      </c>
    </row>
    <row r="132">
      <c r="A132" t="inlineStr">
        <is>
          <t>Lethrinus lentjan</t>
        </is>
      </c>
      <c r="B132" t="inlineStr">
        <is>
          <t>Pink ear emperor</t>
        </is>
      </c>
      <c r="C132" t="inlineStr">
        <is>
          <t>Medium demersals (30 - 89 cm)</t>
        </is>
      </c>
      <c r="D132" t="inlineStr">
        <is>
          <t>Perch-likes</t>
        </is>
      </c>
      <c r="E132" s="5" t="inlineStr">
        <is>
          <t>Large Benthic Carnivores</t>
        </is>
      </c>
      <c r="F132" t="inlineStr"/>
      <c r="G132" t="inlineStr"/>
      <c r="H132" t="inlineStr">
        <is>
          <t>medium</t>
        </is>
      </c>
      <c r="I132" t="inlineStr">
        <is>
          <t>inherited_mapping</t>
        </is>
      </c>
      <c r="J132" t="n">
        <v>151936.47</v>
      </c>
      <c r="K132" t="n">
        <v>0.07679999999999999</v>
      </c>
      <c r="L132" s="6" t="inlineStr">
        <is>
          <t>Pink ear emperor; Lethrinidae (emperor family), a demersal durophagous/piscivorous carnivore guild not named in Table 1 but ecologically parallel to the snapper/grouper apex reef-predator guild of Large Benthic Carnivores (mean TL ~3.7, group TL 4.14).</t>
        </is>
      </c>
    </row>
    <row r="133">
      <c r="A133" t="inlineStr">
        <is>
          <t>Parapenaeopsis stylifera</t>
        </is>
      </c>
      <c r="B133" t="inlineStr">
        <is>
          <t>Kiddi shrimp</t>
        </is>
      </c>
      <c r="C133" t="inlineStr">
        <is>
          <t>Shrimps</t>
        </is>
      </c>
      <c r="D133" t="inlineStr">
        <is>
          <t>Crustaceans</t>
        </is>
      </c>
      <c r="E133" s="7" t="inlineStr">
        <is>
          <t>Shrimps</t>
        </is>
      </c>
      <c r="F133" t="inlineStr"/>
      <c r="G133" t="inlineStr"/>
      <c r="H133" t="inlineStr">
        <is>
          <t>high</t>
        </is>
      </c>
      <c r="I133" t="inlineStr">
        <is>
          <t>inherited_mapping</t>
        </is>
      </c>
      <c r="J133" t="n">
        <v>150093.177</v>
      </c>
      <c r="K133" t="n">
        <v>0.0759</v>
      </c>
      <c r="L133" s="6" t="inlineStr">
        <is>
          <t>Kiddi shrimp; exact genus (Parapenaeopsis) explicitly named in Table 1's Shrimps definition.</t>
        </is>
      </c>
    </row>
    <row r="134">
      <c r="A134" t="inlineStr">
        <is>
          <t>Aetobatus narinari</t>
        </is>
      </c>
      <c r="B134" t="inlineStr">
        <is>
          <t>Spotted eagle ray</t>
        </is>
      </c>
      <c r="C134" t="inlineStr">
        <is>
          <t>Large rays (&gt;=90 cm)</t>
        </is>
      </c>
      <c r="D134" t="inlineStr">
        <is>
          <t>Sharks &amp; rays</t>
        </is>
      </c>
      <c r="E134" s="7" t="inlineStr">
        <is>
          <t>Skates &amp; Rays</t>
        </is>
      </c>
      <c r="F134" t="inlineStr"/>
      <c r="G134" t="inlineStr"/>
      <c r="H134" t="inlineStr">
        <is>
          <t>high</t>
        </is>
      </c>
      <c r="I134" t="inlineStr">
        <is>
          <t>inherited_mapping</t>
        </is>
      </c>
      <c r="J134" t="n">
        <v>144068.978</v>
      </c>
      <c r="K134" t="n">
        <v>0.0728</v>
      </c>
      <c r="L134" s="6" t="inlineStr">
        <is>
          <t>Spotted eagle ray (Myliobatidae, batoid); unambiguous fit to Skates &amp; Rays.</t>
        </is>
      </c>
    </row>
    <row r="135">
      <c r="A135" t="inlineStr">
        <is>
          <t>Pastinachus sephen</t>
        </is>
      </c>
      <c r="B135" t="inlineStr">
        <is>
          <t>Cowtail stingray</t>
        </is>
      </c>
      <c r="C135" t="inlineStr">
        <is>
          <t>Large rays (&gt;=90 cm)</t>
        </is>
      </c>
      <c r="D135" t="inlineStr">
        <is>
          <t>Sharks &amp; rays</t>
        </is>
      </c>
      <c r="E135" s="7" t="inlineStr">
        <is>
          <t>Skates &amp; Rays</t>
        </is>
      </c>
      <c r="F135" t="inlineStr"/>
      <c r="G135" t="inlineStr"/>
      <c r="H135" t="inlineStr">
        <is>
          <t>high</t>
        </is>
      </c>
      <c r="I135" t="inlineStr">
        <is>
          <t>inherited_mapping</t>
        </is>
      </c>
      <c r="J135" t="n">
        <v>138037.711</v>
      </c>
      <c r="K135" t="n">
        <v>0.0698</v>
      </c>
      <c r="L135" s="6" t="inlineStr">
        <is>
          <t>Cowtail stingray; Dasyatidae, same family as Table 1's explicit example genus Dasyatis.</t>
        </is>
      </c>
    </row>
    <row r="136">
      <c r="A136" t="inlineStr">
        <is>
          <t>Aetomylaeus nichofii</t>
        </is>
      </c>
      <c r="B136" t="inlineStr">
        <is>
          <t>Banded eagle ray</t>
        </is>
      </c>
      <c r="C136" t="inlineStr">
        <is>
          <t>Small to medium rays (&lt;90 cm)</t>
        </is>
      </c>
      <c r="D136" t="inlineStr">
        <is>
          <t>Sharks &amp; rays</t>
        </is>
      </c>
      <c r="E136" s="7" t="inlineStr">
        <is>
          <t>Skates &amp; Rays</t>
        </is>
      </c>
      <c r="F136" t="inlineStr"/>
      <c r="G136" t="inlineStr"/>
      <c r="H136" t="inlineStr">
        <is>
          <t>high</t>
        </is>
      </c>
      <c r="I136" t="inlineStr">
        <is>
          <t>inherited_mapping</t>
        </is>
      </c>
      <c r="J136" t="n">
        <v>137699.64</v>
      </c>
      <c r="K136" t="n">
        <v>0.0696</v>
      </c>
      <c r="L136" s="6" t="inlineStr">
        <is>
          <t>Banded eagle ray; Myliobatidae eagle ray, unambiguous batoid fit to Skates &amp; Rays.</t>
        </is>
      </c>
    </row>
    <row r="137">
      <c r="A137" t="inlineStr">
        <is>
          <t>Aetomylaeus maculatus</t>
        </is>
      </c>
      <c r="B137" t="inlineStr">
        <is>
          <t>Mottled eagle ray</t>
        </is>
      </c>
      <c r="C137" t="inlineStr">
        <is>
          <t>Large rays (&gt;=90 cm)</t>
        </is>
      </c>
      <c r="D137" t="inlineStr">
        <is>
          <t>Sharks &amp; rays</t>
        </is>
      </c>
      <c r="E137" s="7" t="inlineStr">
        <is>
          <t>Skates &amp; Rays</t>
        </is>
      </c>
      <c r="F137" t="inlineStr"/>
      <c r="G137" t="inlineStr"/>
      <c r="H137" t="inlineStr">
        <is>
          <t>high</t>
        </is>
      </c>
      <c r="I137" t="inlineStr">
        <is>
          <t>inherited_mapping</t>
        </is>
      </c>
      <c r="J137" t="n">
        <v>136912.69</v>
      </c>
      <c r="K137" t="n">
        <v>0.0692</v>
      </c>
      <c r="L137" s="6" t="inlineStr">
        <is>
          <t>Mottled eagle ray; Myliobatidae eagle ray, unambiguous batoid fit to Skates &amp; Rays.</t>
        </is>
      </c>
    </row>
    <row r="138">
      <c r="A138" t="inlineStr">
        <is>
          <t>Argyrosomus heinii</t>
        </is>
      </c>
      <c r="B138" t="inlineStr">
        <is>
          <t>Arabian sea meagre</t>
        </is>
      </c>
      <c r="C138" t="inlineStr">
        <is>
          <t>Medium benthopelagics (30 - 89 cm)</t>
        </is>
      </c>
      <c r="D138" t="inlineStr">
        <is>
          <t>Perch-likes</t>
        </is>
      </c>
      <c r="E138" s="7" t="inlineStr">
        <is>
          <t>Med Benthic Carnivores</t>
        </is>
      </c>
      <c r="F138" t="inlineStr"/>
      <c r="G138" t="inlineStr"/>
      <c r="H138" t="inlineStr">
        <is>
          <t>high</t>
        </is>
      </c>
      <c r="I138" t="inlineStr">
        <is>
          <t>inherited_mapping</t>
        </is>
      </c>
      <c r="J138" t="n">
        <v>135616.069</v>
      </c>
      <c r="K138" t="n">
        <v>0.06850000000000001</v>
      </c>
      <c r="L138" s="6" t="inlineStr">
        <is>
          <t>Arabian sea meagre; "sciaenids" is Table 1's explicit example for Med Benthic Carnivores.</t>
        </is>
      </c>
    </row>
    <row r="139">
      <c r="A139" t="inlineStr">
        <is>
          <t>Protonibea diacanthus</t>
        </is>
      </c>
      <c r="B139" t="inlineStr">
        <is>
          <t>Blackspotted croaker</t>
        </is>
      </c>
      <c r="C139" t="inlineStr">
        <is>
          <t>Small pelagics (&lt;30 cm)</t>
        </is>
      </c>
      <c r="D139" t="inlineStr">
        <is>
          <t>Perch-likes</t>
        </is>
      </c>
      <c r="E139" s="7" t="inlineStr">
        <is>
          <t>Med Benthic Carnivores</t>
        </is>
      </c>
      <c r="F139" t="inlineStr"/>
      <c r="G139" t="inlineStr"/>
      <c r="H139" t="inlineStr">
        <is>
          <t>high</t>
        </is>
      </c>
      <c r="I139" t="inlineStr">
        <is>
          <t>inherited_mapping</t>
        </is>
      </c>
      <c r="J139" t="n">
        <v>133399.157</v>
      </c>
      <c r="K139" t="n">
        <v>0.0674</v>
      </c>
      <c r="L139" s="6" t="inlineStr">
        <is>
          <t>Blackspotted croaker; "sciaenids" is Table 1's explicit example for Med Benthic Carnivores.</t>
        </is>
      </c>
    </row>
    <row r="140">
      <c r="A140" t="inlineStr">
        <is>
          <t>Bregmaceros mcclellandi</t>
        </is>
      </c>
      <c r="B140" t="inlineStr">
        <is>
          <t>Unicorn cod</t>
        </is>
      </c>
      <c r="C140" t="inlineStr">
        <is>
          <t>Small pelagics (&lt;30 cm)</t>
        </is>
      </c>
      <c r="D140" t="inlineStr">
        <is>
          <t>Cod-likes</t>
        </is>
      </c>
      <c r="E140" s="7" t="inlineStr">
        <is>
          <t>Anchovies</t>
        </is>
      </c>
      <c r="F140" t="inlineStr"/>
      <c r="G140" t="inlineStr"/>
      <c r="H140" t="inlineStr">
        <is>
          <t>high</t>
        </is>
      </c>
      <c r="I140" t="inlineStr">
        <is>
          <t>inherited_mapping</t>
        </is>
      </c>
      <c r="J140" t="n">
        <v>130772.547</v>
      </c>
      <c r="K140" t="n">
        <v>0.06610000000000001</v>
      </c>
      <c r="L140" s="6" t="inlineStr">
        <is>
          <t>Unicorn cod; exact species explicitly named in Table 1's Anchovies definition.</t>
        </is>
      </c>
    </row>
    <row r="141">
      <c r="A141" t="inlineStr">
        <is>
          <t>Acanthopagrus bifasciatus</t>
        </is>
      </c>
      <c r="B141" t="inlineStr">
        <is>
          <t>Twobar seabream</t>
        </is>
      </c>
      <c r="C141" t="inlineStr">
        <is>
          <t>Medium reef assoc. fish (30 - 89 cm)</t>
        </is>
      </c>
      <c r="D141" t="inlineStr">
        <is>
          <t>Perch-likes</t>
        </is>
      </c>
      <c r="E141" s="5" t="inlineStr">
        <is>
          <t>Med Benthic Carnivores</t>
        </is>
      </c>
      <c r="F141" t="inlineStr"/>
      <c r="G141" t="inlineStr"/>
      <c r="H141" t="inlineStr">
        <is>
          <t>medium</t>
        </is>
      </c>
      <c r="I141" t="inlineStr">
        <is>
          <t>inherited_mapping</t>
        </is>
      </c>
      <c r="J141" t="n">
        <v>129833.095</v>
      </c>
      <c r="K141" t="n">
        <v>0.06560000000000001</v>
      </c>
      <c r="L141" s="6" t="inlineStr">
        <is>
          <t>Twobar seabream; Sparidae, a benthic durophagous-invertivore guild not named in Table 1, placed with Med Benthic Carnivores by TL match (~3.3-3.5 vs group TL 3.19).</t>
        </is>
      </c>
    </row>
    <row r="142">
      <c r="A142" t="inlineStr">
        <is>
          <t>Upeneus sulphureus</t>
        </is>
      </c>
      <c r="B142" t="inlineStr">
        <is>
          <t>Sulphur goatfish</t>
        </is>
      </c>
      <c r="C142" t="inlineStr">
        <is>
          <t>Small demersals (&lt;30 cm)</t>
        </is>
      </c>
      <c r="D142" t="inlineStr">
        <is>
          <t>Perch-likes</t>
        </is>
      </c>
      <c r="E142" s="7" t="inlineStr">
        <is>
          <t>Small Benthic Carnivores</t>
        </is>
      </c>
      <c r="F142" t="inlineStr"/>
      <c r="G142" t="inlineStr"/>
      <c r="H142" t="inlineStr">
        <is>
          <t>high</t>
        </is>
      </c>
      <c r="I142" t="inlineStr">
        <is>
          <t>inherited_mapping</t>
        </is>
      </c>
      <c r="J142" t="n">
        <v>128247.444</v>
      </c>
      <c r="K142" t="n">
        <v>0.0648</v>
      </c>
      <c r="L142" s="6" t="inlineStr">
        <is>
          <t>Sulphur goatfish; "goatfishes" (Mullidae) is Table 1's explicit example for Small Benthic Carnivores.</t>
        </is>
      </c>
    </row>
    <row r="143">
      <c r="A143" t="inlineStr">
        <is>
          <t>Auxis rochei</t>
        </is>
      </c>
      <c r="B143" t="inlineStr">
        <is>
          <t>Bullet tuna</t>
        </is>
      </c>
      <c r="C143" t="inlineStr">
        <is>
          <t>Medium pelagics (30 - 89 cm)</t>
        </is>
      </c>
      <c r="D143" t="inlineStr">
        <is>
          <t>Tuna &amp; billfishes</t>
        </is>
      </c>
      <c r="E143" s="7" t="inlineStr">
        <is>
          <t>Tunas</t>
        </is>
      </c>
      <c r="F143" t="inlineStr"/>
      <c r="G143" t="inlineStr"/>
      <c r="H143" t="inlineStr">
        <is>
          <t>high</t>
        </is>
      </c>
      <c r="I143" t="inlineStr">
        <is>
          <t>inherited_mapping</t>
        </is>
      </c>
      <c r="J143" t="n">
        <v>128202.74</v>
      </c>
      <c r="K143" t="n">
        <v>0.0648</v>
      </c>
      <c r="L143" s="6" t="inlineStr">
        <is>
          <t>Bullet tuna; exact genus (Auxis) explicitly named in Table 1's Tunas definition.</t>
        </is>
      </c>
    </row>
    <row r="144">
      <c r="A144" t="inlineStr">
        <is>
          <t>Grammoplites suppositus</t>
        </is>
      </c>
      <c r="B144" t="inlineStr">
        <is>
          <t>Spotfin flathead</t>
        </is>
      </c>
      <c r="C144" t="inlineStr">
        <is>
          <t>Small demersals (&lt;30 cm)</t>
        </is>
      </c>
      <c r="D144" t="inlineStr">
        <is>
          <t>Scorpionfishes</t>
        </is>
      </c>
      <c r="E144" s="7" t="inlineStr">
        <is>
          <t>Med Benthic Carnivores</t>
        </is>
      </c>
      <c r="F144" t="inlineStr"/>
      <c r="G144" t="inlineStr"/>
      <c r="H144" t="inlineStr">
        <is>
          <t>high</t>
        </is>
      </c>
      <c r="I144" t="inlineStr">
        <is>
          <t>inherited_mapping</t>
        </is>
      </c>
      <c r="J144" t="n">
        <v>124640.154</v>
      </c>
      <c r="K144" t="n">
        <v>0.063</v>
      </c>
      <c r="L144" s="6" t="inlineStr">
        <is>
          <t>Spotfin flathead; "flatheads" is Table 1's explicit example for Med Benthic Carnivores.</t>
        </is>
      </c>
    </row>
    <row r="145">
      <c r="A145" t="inlineStr">
        <is>
          <t>Scolopsis taeniata</t>
        </is>
      </c>
      <c r="B145" t="inlineStr">
        <is>
          <t>Black-streaked monocle bream</t>
        </is>
      </c>
      <c r="C145" t="inlineStr">
        <is>
          <t>Small reef assoc. fish (&lt;30 cm)</t>
        </is>
      </c>
      <c r="D145" t="inlineStr">
        <is>
          <t>Perch-likes</t>
        </is>
      </c>
      <c r="E145" s="7" t="inlineStr">
        <is>
          <t>Small Benthic Carnivores</t>
        </is>
      </c>
      <c r="F145" t="inlineStr"/>
      <c r="G145" t="inlineStr"/>
      <c r="H145" t="inlineStr">
        <is>
          <t>high</t>
        </is>
      </c>
      <c r="I145" t="inlineStr">
        <is>
          <t>inherited_mapping</t>
        </is>
      </c>
      <c r="J145" t="n">
        <v>123482.736</v>
      </c>
      <c r="K145" t="n">
        <v>0.0624</v>
      </c>
      <c r="L145" s="6" t="inlineStr">
        <is>
          <t>Black-streaked monocle bream; Nemipteridae (threadfin bream/monocle bream family) - "threadfin breams" is Table 1's explicit example for Small Benthic Carnivores.</t>
        </is>
      </c>
    </row>
    <row r="146">
      <c r="A146" t="inlineStr">
        <is>
          <t>Sparidentex hasta</t>
        </is>
      </c>
      <c r="B146" t="inlineStr">
        <is>
          <t>Sobaity seabream</t>
        </is>
      </c>
      <c r="C146" t="inlineStr">
        <is>
          <t>Medium demersals (30 - 89 cm)</t>
        </is>
      </c>
      <c r="D146" t="inlineStr">
        <is>
          <t>Perch-likes</t>
        </is>
      </c>
      <c r="E146" s="5" t="inlineStr">
        <is>
          <t>Med Benthic Carnivores</t>
        </is>
      </c>
      <c r="F146" t="inlineStr"/>
      <c r="G146" t="inlineStr"/>
      <c r="H146" t="inlineStr">
        <is>
          <t>medium</t>
        </is>
      </c>
      <c r="I146" t="inlineStr">
        <is>
          <t>inherited_mapping</t>
        </is>
      </c>
      <c r="J146" t="n">
        <v>115717.206</v>
      </c>
      <c r="K146" t="n">
        <v>0.0585</v>
      </c>
      <c r="L146" s="6" t="inlineStr">
        <is>
          <t>Sobaity seabream; Sparidae, a benthic durophagous-invertivore guild not named in Table 1, placed with Med Benthic Carnivores by TL match (~3.3-3.5 vs group TL 3.19).</t>
        </is>
      </c>
    </row>
    <row r="147">
      <c r="A147" t="inlineStr">
        <is>
          <t>Loliginidae</t>
        </is>
      </c>
      <c r="B147" t="inlineStr">
        <is>
          <t>Common pencil squids</t>
        </is>
      </c>
      <c r="C147" t="inlineStr">
        <is>
          <t>Cephalopods</t>
        </is>
      </c>
      <c r="D147" t="inlineStr">
        <is>
          <t>Other fishes &amp; inverts</t>
        </is>
      </c>
      <c r="E147" s="7" t="inlineStr">
        <is>
          <t>Cephalopods</t>
        </is>
      </c>
      <c r="F147" t="inlineStr"/>
      <c r="G147" t="inlineStr"/>
      <c r="H147" t="inlineStr">
        <is>
          <t>high</t>
        </is>
      </c>
      <c r="I147" t="inlineStr">
        <is>
          <t>inherited_mapping</t>
        </is>
      </c>
      <c r="J147" t="n">
        <v>114650.837</v>
      </c>
      <c r="K147" t="n">
        <v>0.0579</v>
      </c>
      <c r="L147" s="6" t="inlineStr">
        <is>
          <t>Squid family; Cephalopods is the model's only cephalopod-type group, so every cephalopod taxon is an unambiguous fit regardless of exact rank.</t>
        </is>
      </c>
    </row>
    <row r="148">
      <c r="A148" t="inlineStr">
        <is>
          <t>Plectorhinchus</t>
        </is>
      </c>
      <c r="B148" t="inlineStr">
        <is>
          <t>Sweetlips</t>
        </is>
      </c>
      <c r="C148" t="inlineStr">
        <is>
          <t>Medium reef assoc. fish (30 - 89 cm)</t>
        </is>
      </c>
      <c r="D148" t="inlineStr">
        <is>
          <t>Perch-likes</t>
        </is>
      </c>
      <c r="E148" s="5" t="inlineStr">
        <is>
          <t>Med Benthic Carnivores</t>
        </is>
      </c>
      <c r="F148" t="inlineStr"/>
      <c r="G148" t="inlineStr"/>
      <c r="H148" t="inlineStr">
        <is>
          <t>medium</t>
        </is>
      </c>
      <c r="I148" t="inlineStr">
        <is>
          <t>inherited_mapping</t>
        </is>
      </c>
      <c r="J148" t="n">
        <v>114147.33</v>
      </c>
      <c r="K148" t="n">
        <v>0.0577</v>
      </c>
      <c r="L148" s="6" t="inlineStr">
        <is>
          <t>Sweetlips (genus); Haemulidae (grunt/sweetlips family), a demersal benthic-invertivore guild not named in Table 1, placed with Med Benthic Carnivores by ecology and TL (~3.3-4.0 vs group TL 3.19).</t>
        </is>
      </c>
    </row>
    <row r="149">
      <c r="A149" t="inlineStr">
        <is>
          <t>Gerres oyena</t>
        </is>
      </c>
      <c r="B149" t="inlineStr">
        <is>
          <t>Common silver-biddy</t>
        </is>
      </c>
      <c r="C149" t="inlineStr">
        <is>
          <t>Small demersals (&lt;30 cm)</t>
        </is>
      </c>
      <c r="D149" t="inlineStr">
        <is>
          <t>Perch-likes</t>
        </is>
      </c>
      <c r="E149" s="5" t="inlineStr">
        <is>
          <t>Small Benthic Carnivores</t>
        </is>
      </c>
      <c r="F149" t="inlineStr"/>
      <c r="G149" t="inlineStr"/>
      <c r="H149" t="inlineStr">
        <is>
          <t>medium</t>
        </is>
      </c>
      <c r="I149" t="inlineStr">
        <is>
          <t>analogue</t>
        </is>
      </c>
      <c r="J149" t="n">
        <v>112929.367</v>
      </c>
      <c r="K149" t="n">
        <v>0.0571</v>
      </c>
      <c r="L149" s="6" t="inlineStr">
        <is>
          <t>Common silver-biddy; a small demersal benthic invertivore of the Grp10 Small Benthic Carnivores guild. The Bulletin's 'silverbellies' are Leiognathidae, not Gerreidae, so this is an ecological analogue rather than a listed member.</t>
        </is>
      </c>
    </row>
    <row r="150">
      <c r="A150" t="inlineStr">
        <is>
          <t>Caranx</t>
        </is>
      </c>
      <c r="B150" t="inlineStr">
        <is>
          <t>Jacks</t>
        </is>
      </c>
      <c r="C150" t="inlineStr">
        <is>
          <t>Medium reef assoc. fish (30 - 89 cm)</t>
        </is>
      </c>
      <c r="D150" t="inlineStr">
        <is>
          <t>Perch-likes</t>
        </is>
      </c>
      <c r="E150" s="5" t="inlineStr">
        <is>
          <t>Large Benthic Carnivores</t>
        </is>
      </c>
      <c r="F150" t="inlineStr"/>
      <c r="G150" t="inlineStr"/>
      <c r="H150" t="inlineStr">
        <is>
          <t>medium</t>
        </is>
      </c>
      <c r="I150" t="inlineStr">
        <is>
          <t>inherited_mapping</t>
        </is>
      </c>
      <c r="J150" t="n">
        <v>112143.882</v>
      </c>
      <c r="K150" t="n">
        <v>0.0567</v>
      </c>
      <c r="L150" s="6" t="inlineStr">
        <is>
          <t>Jack (genus); Carangidae, but a large apex predatory reef jack/trevally (TL 3.8-4.5) rather than the small schooling "scad" niche Table 1 names for Carangidae under Small Benthopelagics - placed instead with the demersal apex-predator guild (Large Benthic Carnivores) by size, diet and TL.</t>
        </is>
      </c>
    </row>
    <row r="151">
      <c r="A151" t="inlineStr">
        <is>
          <t>Siganus</t>
        </is>
      </c>
      <c r="B151" t="inlineStr">
        <is>
          <t>Spinefoots</t>
        </is>
      </c>
      <c r="C151" t="inlineStr">
        <is>
          <t>Medium reef assoc. fish (30 - 89 cm)</t>
        </is>
      </c>
      <c r="D151" t="inlineStr">
        <is>
          <t>Perch-likes</t>
        </is>
      </c>
      <c r="E151" s="5" t="inlineStr">
        <is>
          <t>Benthic Omnivores</t>
        </is>
      </c>
      <c r="F151" t="inlineStr"/>
      <c r="G151" t="inlineStr"/>
      <c r="H151" t="inlineStr">
        <is>
          <t>medium</t>
        </is>
      </c>
      <c r="I151" t="inlineStr">
        <is>
          <t>inherited_mapping</t>
        </is>
      </c>
      <c r="J151" t="n">
        <v>112019.448</v>
      </c>
      <c r="K151" t="n">
        <v>0.0566</v>
      </c>
      <c r="L151" s="6" t="inlineStr">
        <is>
          <t>Rabbitfish (genus); rabbitfish (Siganidae) are herbivorous reef grazers (TL ~2.0-2.76), not named in Table 1 but ecologically closest to the low-TL grazer/omnivore guild of Benthic Omnivores (group TL 2.55).</t>
        </is>
      </c>
    </row>
    <row r="152">
      <c r="A152" t="inlineStr">
        <is>
          <t>Sphyraenidae</t>
        </is>
      </c>
      <c r="B152" t="inlineStr">
        <is>
          <t>Barracudas</t>
        </is>
      </c>
      <c r="C152" t="inlineStr">
        <is>
          <t>Medium reef assoc. fish (30 - 89 cm)</t>
        </is>
      </c>
      <c r="D152" t="inlineStr">
        <is>
          <t>Perch-likes</t>
        </is>
      </c>
      <c r="E152" s="7" t="inlineStr">
        <is>
          <t>Large Pelagics</t>
        </is>
      </c>
      <c r="F152" t="inlineStr"/>
      <c r="G152" t="inlineStr"/>
      <c r="H152" t="inlineStr">
        <is>
          <t>high</t>
        </is>
      </c>
      <c r="I152" t="inlineStr">
        <is>
          <t>inherited_mapping</t>
        </is>
      </c>
      <c r="J152" t="n">
        <v>110456.847</v>
      </c>
      <c r="K152" t="n">
        <v>0.0558</v>
      </c>
      <c r="L152" s="6" t="inlineStr">
        <is>
          <t>Barracuda family; Sphyraena is Table 1's explicit example genus for Large Pelagics.</t>
        </is>
      </c>
    </row>
    <row r="153">
      <c r="A153" t="inlineStr">
        <is>
          <t>Argyrosomus japonicus</t>
        </is>
      </c>
      <c r="B153" t="inlineStr">
        <is>
          <t>Japanese meagre</t>
        </is>
      </c>
      <c r="C153" t="inlineStr">
        <is>
          <t>Large benthopelagics (&gt;=90 cm)</t>
        </is>
      </c>
      <c r="D153" t="inlineStr">
        <is>
          <t>Perch-likes</t>
        </is>
      </c>
      <c r="E153" s="7" t="inlineStr">
        <is>
          <t>Med Benthic Carnivores</t>
        </is>
      </c>
      <c r="F153" t="inlineStr"/>
      <c r="G153" t="inlineStr"/>
      <c r="H153" t="inlineStr">
        <is>
          <t>high</t>
        </is>
      </c>
      <c r="I153" t="inlineStr">
        <is>
          <t>inherited_mapping</t>
        </is>
      </c>
      <c r="J153" t="n">
        <v>107986.08</v>
      </c>
      <c r="K153" t="n">
        <v>0.0546</v>
      </c>
      <c r="L153" s="6" t="inlineStr">
        <is>
          <t>Japanese meagre; "sciaenids" is Table 1's explicit example for Med Benthic Carnivores.</t>
        </is>
      </c>
    </row>
    <row r="154">
      <c r="A154" t="inlineStr">
        <is>
          <t>Pteriomorphia</t>
        </is>
      </c>
      <c r="B154" t="inlineStr">
        <is>
          <t>Clams, cockles, arkshells</t>
        </is>
      </c>
      <c r="C154" t="inlineStr">
        <is>
          <t>Other demersal invertebrates</t>
        </is>
      </c>
      <c r="D154" t="inlineStr">
        <is>
          <t>Molluscs</t>
        </is>
      </c>
      <c r="E154" s="7" t="inlineStr">
        <is>
          <t>Heterotrophic Benthos</t>
        </is>
      </c>
      <c r="F154" t="inlineStr"/>
      <c r="G154" t="inlineStr"/>
      <c r="H154" t="inlineStr">
        <is>
          <t>high</t>
        </is>
      </c>
      <c r="I154" t="inlineStr">
        <is>
          <t>inherited_mapping</t>
        </is>
      </c>
      <c r="J154" t="n">
        <v>107530.654</v>
      </c>
      <c r="K154" t="n">
        <v>0.0543</v>
      </c>
      <c r="L154" s="6" t="inlineStr">
        <is>
          <t>Bivalve subclass (clams/cockles/arkshells); "bivalves" is Table 1's explicit example for Heterotrophic Benthos.</t>
        </is>
      </c>
    </row>
    <row r="155">
      <c r="A155" t="inlineStr">
        <is>
          <t>Thunnus obesus</t>
        </is>
      </c>
      <c r="B155" t="inlineStr">
        <is>
          <t>Bigeye tuna</t>
        </is>
      </c>
      <c r="C155" t="inlineStr">
        <is>
          <t>Large pelagics (&gt;=90 cm)</t>
        </is>
      </c>
      <c r="D155" t="inlineStr">
        <is>
          <t>Tuna &amp; billfishes</t>
        </is>
      </c>
      <c r="E155" s="7" t="inlineStr">
        <is>
          <t>Tunas</t>
        </is>
      </c>
      <c r="F155" t="inlineStr"/>
      <c r="G155" t="inlineStr"/>
      <c r="H155" t="inlineStr">
        <is>
          <t>high</t>
        </is>
      </c>
      <c r="I155" t="inlineStr">
        <is>
          <t>inherited_mapping</t>
        </is>
      </c>
      <c r="J155" t="n">
        <v>105350.903</v>
      </c>
      <c r="K155" t="n">
        <v>0.0532</v>
      </c>
      <c r="L155" s="6" t="inlineStr">
        <is>
          <t>Bigeye tuna; exact genus (Thunnus) explicitly named in Table 1's Tunas definition.</t>
        </is>
      </c>
    </row>
    <row r="156">
      <c r="A156" t="inlineStr">
        <is>
          <t>Pampus chinensis</t>
        </is>
      </c>
      <c r="B156" t="inlineStr">
        <is>
          <t>Chinese silver pomfret</t>
        </is>
      </c>
      <c r="C156" t="inlineStr">
        <is>
          <t>Medium benthopelagics (30 - 89 cm)</t>
        </is>
      </c>
      <c r="D156" t="inlineStr">
        <is>
          <t>Perch-likes</t>
        </is>
      </c>
      <c r="E156" s="7" t="inlineStr">
        <is>
          <t>Med Benthic Carnivores</t>
        </is>
      </c>
      <c r="F156" t="inlineStr"/>
      <c r="G156" t="inlineStr"/>
      <c r="H156" t="inlineStr">
        <is>
          <t>high</t>
        </is>
      </c>
      <c r="I156" t="inlineStr">
        <is>
          <t>inherited_mapping</t>
        </is>
      </c>
      <c r="J156" t="n">
        <v>104197.653</v>
      </c>
      <c r="K156" t="n">
        <v>0.0527</v>
      </c>
      <c r="L156" s="6" t="inlineStr">
        <is>
          <t>Chinese silver pomfret; "pomfrets" (Stromateidae, genus Pampus) is Table 1's explicit example for Med Benthic Carnivores.</t>
        </is>
      </c>
    </row>
    <row r="157">
      <c r="A157" t="inlineStr">
        <is>
          <t>Istiophoridae</t>
        </is>
      </c>
      <c r="B157" t="inlineStr">
        <is>
          <t>Billfishes</t>
        </is>
      </c>
      <c r="C157" t="inlineStr">
        <is>
          <t>Large pelagics (&gt;=90 cm)</t>
        </is>
      </c>
      <c r="D157" t="inlineStr">
        <is>
          <t>Tuna &amp; billfishes</t>
        </is>
      </c>
      <c r="E157" s="5" t="inlineStr">
        <is>
          <t>Large Pelagics</t>
        </is>
      </c>
      <c r="F157" t="inlineStr"/>
      <c r="G157" t="inlineStr"/>
      <c r="H157" t="inlineStr">
        <is>
          <t>medium</t>
        </is>
      </c>
      <c r="I157" t="inlineStr">
        <is>
          <t>inherited_mapping</t>
        </is>
      </c>
      <c r="J157" t="n">
        <v>102450.66</v>
      </c>
      <c r="K157" t="n">
        <v>0.0518</v>
      </c>
      <c r="L157" s="6" t="inlineStr">
        <is>
          <t>Billfish family; Table 1 names no billfish group and lists no billfish genus under either Large Pelagics or Tunas, so placement is by ecology - a fast apex epipelagic predator matching the Large Pelagics guild's diet/TL profile (group TL 4.18) rather than the tuna tribe Thunnini.</t>
        </is>
      </c>
    </row>
    <row r="158">
      <c r="A158" t="inlineStr">
        <is>
          <t>Gerreidae</t>
        </is>
      </c>
      <c r="B158" t="inlineStr">
        <is>
          <t>Mojarras, silverbellies</t>
        </is>
      </c>
      <c r="C158" t="inlineStr">
        <is>
          <t>Small benthopelagics (&lt;30 cm)</t>
        </is>
      </c>
      <c r="D158" t="inlineStr">
        <is>
          <t>Perch-likes</t>
        </is>
      </c>
      <c r="E158" s="5" t="inlineStr">
        <is>
          <t>Small Benthic Carnivores</t>
        </is>
      </c>
      <c r="F158" t="inlineStr"/>
      <c r="G158" t="inlineStr"/>
      <c r="H158" t="inlineStr">
        <is>
          <t>medium</t>
        </is>
      </c>
      <c r="I158" t="inlineStr">
        <is>
          <t>analogue</t>
        </is>
      </c>
      <c r="J158" t="n">
        <v>101615.529</v>
      </c>
      <c r="K158" t="n">
        <v>0.0514</v>
      </c>
      <c r="L158" s="6" t="inlineStr">
        <is>
          <t>Mojarras/silver biddies; small demersal benthic invertivores of the Grp10 Small Benthic Carnivores guild. Note that the Bulletin's 'silverbellies' are Leiognathidae (Leiognathus bindus, Secutor insidiator), not Gerreidae, so this is an ecological analogue rather than a listed member.</t>
        </is>
      </c>
    </row>
    <row r="159">
      <c r="A159" t="inlineStr">
        <is>
          <t>Acanthopagrus berda</t>
        </is>
      </c>
      <c r="B159" t="inlineStr">
        <is>
          <t>Goldsilk seabream</t>
        </is>
      </c>
      <c r="C159" t="inlineStr">
        <is>
          <t>Medium demersals (30 - 89 cm)</t>
        </is>
      </c>
      <c r="D159" t="inlineStr">
        <is>
          <t>Perch-likes</t>
        </is>
      </c>
      <c r="E159" s="5" t="inlineStr">
        <is>
          <t>Med Benthic Carnivores</t>
        </is>
      </c>
      <c r="F159" t="inlineStr"/>
      <c r="G159" t="inlineStr"/>
      <c r="H159" t="inlineStr">
        <is>
          <t>medium</t>
        </is>
      </c>
      <c r="I159" t="inlineStr">
        <is>
          <t>inherited_mapping</t>
        </is>
      </c>
      <c r="J159" t="n">
        <v>101347.688</v>
      </c>
      <c r="K159" t="n">
        <v>0.0512</v>
      </c>
      <c r="L159" s="6" t="inlineStr">
        <is>
          <t>Goldsilk seabream; Sparidae, a benthic durophagous-invertivore guild not named in Table 1, placed with Med Benthic Carnivores by TL match (~3.3-3.5 vs group TL 3.19).</t>
        </is>
      </c>
    </row>
    <row r="160">
      <c r="A160" t="inlineStr">
        <is>
          <t>Pelates quadrilineatus</t>
        </is>
      </c>
      <c r="B160" t="inlineStr">
        <is>
          <t>Fourlined terapon</t>
        </is>
      </c>
      <c r="C160" t="inlineStr">
        <is>
          <t>Small pelagics (&lt;30 cm)</t>
        </is>
      </c>
      <c r="D160" t="inlineStr">
        <is>
          <t>Perch-likes</t>
        </is>
      </c>
      <c r="E160" s="7" t="inlineStr">
        <is>
          <t>Small Benthic Carnivores</t>
        </is>
      </c>
      <c r="F160" t="inlineStr"/>
      <c r="G160" t="inlineStr"/>
      <c r="H160" t="inlineStr">
        <is>
          <t>high</t>
        </is>
      </c>
      <c r="I160" t="inlineStr">
        <is>
          <t>inherited_mapping</t>
        </is>
      </c>
      <c r="J160" t="n">
        <v>100413.986</v>
      </c>
      <c r="K160" t="n">
        <v>0.0508</v>
      </c>
      <c r="L160" s="6" t="inlineStr">
        <is>
          <t>Fourlined terapon; "terapons" (Terapontidae) is Table 1's explicit example for Small Benthic Carnivores.</t>
        </is>
      </c>
    </row>
    <row r="161">
      <c r="A161" t="inlineStr">
        <is>
          <t>Rhabdosargus sarba</t>
        </is>
      </c>
      <c r="B161" t="inlineStr">
        <is>
          <t>Goldlined seabream</t>
        </is>
      </c>
      <c r="C161" t="inlineStr">
        <is>
          <t>Medium demersals (30 - 89 cm)</t>
        </is>
      </c>
      <c r="D161" t="inlineStr">
        <is>
          <t>Perch-likes</t>
        </is>
      </c>
      <c r="E161" s="5" t="inlineStr">
        <is>
          <t>Med Benthic Carnivores</t>
        </is>
      </c>
      <c r="F161" t="inlineStr"/>
      <c r="G161" t="inlineStr"/>
      <c r="H161" t="inlineStr">
        <is>
          <t>medium</t>
        </is>
      </c>
      <c r="I161" t="inlineStr">
        <is>
          <t>inherited_mapping</t>
        </is>
      </c>
      <c r="J161" t="n">
        <v>96058.32799999999</v>
      </c>
      <c r="K161" t="n">
        <v>0.0486</v>
      </c>
      <c r="L161" s="6" t="inlineStr">
        <is>
          <t>Goldlined seabream; Sparidae, a benthic durophagous-invertivore guild not named in Table 1, placed with Med Benthic Carnivores by TL match (~3.3-3.5 vs group TL 3.19).</t>
        </is>
      </c>
    </row>
    <row r="162">
      <c r="A162" t="inlineStr">
        <is>
          <t>Rhizostomeae</t>
        </is>
      </c>
      <c r="B162" t="inlineStr">
        <is>
          <t>Oral arm jellyfishes</t>
        </is>
      </c>
      <c r="C162" t="inlineStr">
        <is>
          <t>Jellyfish</t>
        </is>
      </c>
      <c r="D162" t="inlineStr">
        <is>
          <t>Other fishes &amp; inverts</t>
        </is>
      </c>
      <c r="E162" s="7" t="inlineStr">
        <is>
          <t>Micro Nekton</t>
        </is>
      </c>
      <c r="F162" t="inlineStr"/>
      <c r="G162" t="inlineStr"/>
      <c r="H162" t="inlineStr">
        <is>
          <t>high</t>
        </is>
      </c>
      <c r="I162" t="inlineStr">
        <is>
          <t>inherited_mapping</t>
        </is>
      </c>
      <c r="J162" t="n">
        <v>94123.927</v>
      </c>
      <c r="K162" t="n">
        <v>0.0476</v>
      </c>
      <c r="L162" s="6" t="inlineStr">
        <is>
          <t>Jellyfish order; "jellyfish" is Table 1's explicit example for Micro-nekton.</t>
        </is>
      </c>
    </row>
    <row r="163">
      <c r="A163" t="inlineStr">
        <is>
          <t>Hemiramphus</t>
        </is>
      </c>
      <c r="B163" t="inlineStr">
        <is>
          <t>Halfbeaks</t>
        </is>
      </c>
      <c r="C163" t="inlineStr">
        <is>
          <t>Medium pelagics (30 - 89 cm)</t>
        </is>
      </c>
      <c r="D163" t="inlineStr">
        <is>
          <t>Other fishes &amp; inverts</t>
        </is>
      </c>
      <c r="E163" s="5" t="inlineStr">
        <is>
          <t>Small Benthopelagics</t>
        </is>
      </c>
      <c r="F163" t="inlineStr"/>
      <c r="G163" t="inlineStr"/>
      <c r="H163" t="inlineStr">
        <is>
          <t>medium</t>
        </is>
      </c>
      <c r="I163" t="inlineStr">
        <is>
          <t>inherited_mapping</t>
        </is>
      </c>
      <c r="J163" t="n">
        <v>92212.60799999999</v>
      </c>
      <c r="K163" t="n">
        <v>0.0466</v>
      </c>
      <c r="L163" s="6" t="inlineStr">
        <is>
          <t>Halfbeak (genus); small surface-dwelling schooling fish, ecologically closest to the small pelagic/benthopelagic schooling-fish guild of Small Benthopelagics though not named in Table 1 (TL 2.82-3.25 vs group 3.88).</t>
        </is>
      </c>
    </row>
    <row r="164">
      <c r="A164" t="inlineStr">
        <is>
          <t>Terapon</t>
        </is>
      </c>
      <c r="B164" t="inlineStr">
        <is>
          <t>Terapons</t>
        </is>
      </c>
      <c r="C164" t="inlineStr">
        <is>
          <t>Medium demersals (30 - 89 cm)</t>
        </is>
      </c>
      <c r="D164" t="inlineStr">
        <is>
          <t>Perch-likes</t>
        </is>
      </c>
      <c r="E164" s="7" t="inlineStr">
        <is>
          <t>Small Benthic Carnivores</t>
        </is>
      </c>
      <c r="F164" t="inlineStr"/>
      <c r="G164" t="inlineStr"/>
      <c r="H164" t="inlineStr">
        <is>
          <t>high</t>
        </is>
      </c>
      <c r="I164" t="inlineStr">
        <is>
          <t>inherited_mapping</t>
        </is>
      </c>
      <c r="J164" t="n">
        <v>91554.59699999999</v>
      </c>
      <c r="K164" t="n">
        <v>0.0463</v>
      </c>
      <c r="L164" s="6" t="inlineStr">
        <is>
          <t>Terapon (genus); "terapons" (Terapontidae) is Table 1's explicit example for Small Benthic Carnivores.</t>
        </is>
      </c>
    </row>
    <row r="165">
      <c r="A165" t="inlineStr">
        <is>
          <t>Pterotolithus maculatus</t>
        </is>
      </c>
      <c r="B165" t="inlineStr">
        <is>
          <t>Blotched tiger-toothed croaker</t>
        </is>
      </c>
      <c r="C165" t="inlineStr">
        <is>
          <t>Small pelagics (&lt;30 cm)</t>
        </is>
      </c>
      <c r="D165" t="inlineStr">
        <is>
          <t>Perch-likes</t>
        </is>
      </c>
      <c r="E165" s="7" t="inlineStr">
        <is>
          <t>Med Benthic Carnivores</t>
        </is>
      </c>
      <c r="F165" t="inlineStr"/>
      <c r="G165" t="inlineStr"/>
      <c r="H165" t="inlineStr">
        <is>
          <t>high</t>
        </is>
      </c>
      <c r="I165" t="inlineStr">
        <is>
          <t>inherited_mapping</t>
        </is>
      </c>
      <c r="J165" t="n">
        <v>91091.02899999999</v>
      </c>
      <c r="K165" t="n">
        <v>0.046</v>
      </c>
      <c r="L165" s="6" t="inlineStr">
        <is>
          <t>Blotched tiger-toothed croaker; "sciaenids" is Table 1's explicit example for Med Benthic Carnivores.</t>
        </is>
      </c>
    </row>
    <row r="166">
      <c r="A166" t="inlineStr">
        <is>
          <t>Flavocaranx bajad</t>
        </is>
      </c>
      <c r="B166" t="inlineStr">
        <is>
          <t>Orangespotted trevally</t>
        </is>
      </c>
      <c r="C166" t="inlineStr">
        <is>
          <t>Medium reef assoc. fish (30 - 89 cm)</t>
        </is>
      </c>
      <c r="D166" t="inlineStr">
        <is>
          <t>Perch-likes</t>
        </is>
      </c>
      <c r="E166" s="5" t="inlineStr">
        <is>
          <t>Large Benthic Carnivores</t>
        </is>
      </c>
      <c r="F166" t="inlineStr"/>
      <c r="G166" t="inlineStr"/>
      <c r="H166" t="inlineStr">
        <is>
          <t>medium</t>
        </is>
      </c>
      <c r="I166" t="inlineStr">
        <is>
          <t>inherited_mapping</t>
        </is>
      </c>
      <c r="J166" t="n">
        <v>90583.988</v>
      </c>
      <c r="K166" t="n">
        <v>0.0458</v>
      </c>
      <c r="L166" s="6" t="inlineStr">
        <is>
          <t>Orangespotted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167">
      <c r="A167" t="inlineStr">
        <is>
          <t>Selar crumenophthalmus</t>
        </is>
      </c>
      <c r="B167" t="inlineStr">
        <is>
          <t>Bigeye scad</t>
        </is>
      </c>
      <c r="C167" t="inlineStr">
        <is>
          <t>Medium pelagics (30 - 89 cm)</t>
        </is>
      </c>
      <c r="D167" t="inlineStr">
        <is>
          <t>Perch-likes</t>
        </is>
      </c>
      <c r="E167" s="7" t="inlineStr">
        <is>
          <t>Small Benthopelagics</t>
        </is>
      </c>
      <c r="F167" t="inlineStr"/>
      <c r="G167" t="inlineStr"/>
      <c r="H167" t="inlineStr">
        <is>
          <t>high</t>
        </is>
      </c>
      <c r="I167" t="inlineStr">
        <is>
          <t>inherited_mapping</t>
        </is>
      </c>
      <c r="J167" t="n">
        <v>90156.872</v>
      </c>
      <c r="K167" t="n">
        <v>0.0456</v>
      </c>
      <c r="L167" s="6" t="inlineStr">
        <is>
          <t>Bigeye scad; "scads" is Table 1's explicit example for Small Benthopelagics.</t>
        </is>
      </c>
    </row>
    <row r="168">
      <c r="A168" t="inlineStr">
        <is>
          <t>Chanos chanos</t>
        </is>
      </c>
      <c r="B168" t="inlineStr">
        <is>
          <t>Milkfish</t>
        </is>
      </c>
      <c r="C168" t="inlineStr">
        <is>
          <t>Large benthopelagics (&gt;=90 cm)</t>
        </is>
      </c>
      <c r="D168" t="inlineStr">
        <is>
          <t>Other fishes &amp; inverts</t>
        </is>
      </c>
      <c r="E168" s="5" t="inlineStr">
        <is>
          <t>Benthic Omnivores</t>
        </is>
      </c>
      <c r="F168" t="inlineStr"/>
      <c r="G168" t="inlineStr"/>
      <c r="H168" t="inlineStr">
        <is>
          <t>medium</t>
        </is>
      </c>
      <c r="I168" t="inlineStr">
        <is>
          <t>inherited_mapping</t>
        </is>
      </c>
      <c r="J168" t="n">
        <v>85337.00199999999</v>
      </c>
      <c r="K168" t="n">
        <v>0.0431</v>
      </c>
      <c r="L168" s="6" t="inlineStr">
        <is>
          <t>Milkfish; a benthic/planktonic filter-feeding herbivore-omnivore (TL 2.03), not named in Table 1 but ecologically closest to the low-TL Benthic Omnivores guild (group TL 2.55).</t>
        </is>
      </c>
    </row>
    <row r="169">
      <c r="A169" t="inlineStr">
        <is>
          <t>Palinuridae</t>
        </is>
      </c>
      <c r="B169" t="inlineStr">
        <is>
          <t>Spiny lobsters</t>
        </is>
      </c>
      <c r="C169" t="inlineStr">
        <is>
          <t>Lobsters, crabs</t>
        </is>
      </c>
      <c r="D169" t="inlineStr">
        <is>
          <t>Crustaceans</t>
        </is>
      </c>
      <c r="E169" s="7" t="inlineStr">
        <is>
          <t>Crabs &amp; Lobster</t>
        </is>
      </c>
      <c r="F169" t="inlineStr"/>
      <c r="G169" t="inlineStr"/>
      <c r="H169" t="inlineStr">
        <is>
          <t>high</t>
        </is>
      </c>
      <c r="I169" t="inlineStr">
        <is>
          <t>inherited_mapping</t>
        </is>
      </c>
      <c r="J169" t="n">
        <v>82308.44100000001</v>
      </c>
      <c r="K169" t="n">
        <v>0.0416</v>
      </c>
      <c r="L169" s="6" t="inlineStr">
        <is>
          <t>Spiny lobster family; Panulirus, Table 1's explicit example genus for Crabs and lobsters, belongs to this family.</t>
        </is>
      </c>
    </row>
    <row r="170">
      <c r="A170" t="inlineStr">
        <is>
          <t>Sardinella</t>
        </is>
      </c>
      <c r="B170" t="inlineStr">
        <is>
          <t>Sardinellas</t>
        </is>
      </c>
      <c r="C170" t="inlineStr">
        <is>
          <t>Small pelagics (&lt;30 cm)</t>
        </is>
      </c>
      <c r="D170" t="inlineStr">
        <is>
          <t>Herring-likes</t>
        </is>
      </c>
      <c r="E170" s="7" t="inlineStr">
        <is>
          <t>Clupeids</t>
        </is>
      </c>
      <c r="F170" t="inlineStr"/>
      <c r="G170" t="inlineStr"/>
      <c r="H170" t="inlineStr">
        <is>
          <t>high</t>
        </is>
      </c>
      <c r="I170" t="inlineStr">
        <is>
          <t>inherited_mapping</t>
        </is>
      </c>
      <c r="J170" t="n">
        <v>78171.395</v>
      </c>
      <c r="K170" t="n">
        <v>0.0395</v>
      </c>
      <c r="L170" s="6" t="inlineStr">
        <is>
          <t>Sardinella (genus); "lesser sardines" (Sardinella spp) is Table 1's explicit example for Clupeids.</t>
        </is>
      </c>
    </row>
    <row r="171">
      <c r="A171" t="inlineStr">
        <is>
          <t>Octopus</t>
        </is>
      </c>
      <c r="B171" t="inlineStr">
        <is>
          <t>Octopuses, pikas</t>
        </is>
      </c>
      <c r="C171" t="inlineStr">
        <is>
          <t>Cephalopods</t>
        </is>
      </c>
      <c r="D171" t="inlineStr">
        <is>
          <t>Other fishes &amp; inverts</t>
        </is>
      </c>
      <c r="E171" s="7" t="inlineStr">
        <is>
          <t>Cephalopods</t>
        </is>
      </c>
      <c r="F171" t="inlineStr"/>
      <c r="G171" t="inlineStr"/>
      <c r="H171" t="inlineStr">
        <is>
          <t>high</t>
        </is>
      </c>
      <c r="I171" t="inlineStr">
        <is>
          <t>inherited_mapping</t>
        </is>
      </c>
      <c r="J171" t="n">
        <v>77026.651</v>
      </c>
      <c r="K171" t="n">
        <v>0.0389</v>
      </c>
      <c r="L171" s="6" t="inlineStr">
        <is>
          <t>Octopus (genus); Cephalopods is the model's only cephalopod-type group, so every cephalopod taxon is an unambiguous fit regardless of exact rank.</t>
        </is>
      </c>
    </row>
    <row r="172">
      <c r="A172" t="inlineStr">
        <is>
          <t>Eleutheronema tetradactylum</t>
        </is>
      </c>
      <c r="B172" t="inlineStr">
        <is>
          <t>Fourfinger threadfin</t>
        </is>
      </c>
      <c r="C172" t="inlineStr">
        <is>
          <t>Large demersals (&gt;=90 cm)</t>
        </is>
      </c>
      <c r="D172" t="inlineStr">
        <is>
          <t>Perch-likes</t>
        </is>
      </c>
      <c r="E172" s="5" t="inlineStr">
        <is>
          <t>Large Benthic Carnivores</t>
        </is>
      </c>
      <c r="F172" t="inlineStr"/>
      <c r="G172" t="inlineStr"/>
      <c r="H172" t="inlineStr">
        <is>
          <t>medium</t>
        </is>
      </c>
      <c r="I172" t="inlineStr">
        <is>
          <t>inherited_mapping</t>
        </is>
      </c>
      <c r="J172" t="n">
        <v>76429.89999999999</v>
      </c>
      <c r="K172" t="n">
        <v>0.0386</v>
      </c>
      <c r="L172" s="6" t="inlineStr">
        <is>
          <t>Fourfinger threadfin; Polynemidae, large-bodied demersal predator (SAU size class "Large demersals", TL 3.86-4.06), closest to the demersal apex-predator guild of Large Benthic Carnivores among named groups; family not itself named in Table 1.</t>
        </is>
      </c>
    </row>
    <row r="173">
      <c r="A173" t="inlineStr">
        <is>
          <t>Panulirus homarus</t>
        </is>
      </c>
      <c r="B173" t="inlineStr">
        <is>
          <t>Scalloped spiny lobster</t>
        </is>
      </c>
      <c r="C173" t="inlineStr">
        <is>
          <t>Lobsters, crabs</t>
        </is>
      </c>
      <c r="D173" t="inlineStr">
        <is>
          <t>Crustaceans</t>
        </is>
      </c>
      <c r="E173" s="7" t="inlineStr">
        <is>
          <t>Crabs &amp; Lobster</t>
        </is>
      </c>
      <c r="F173" t="inlineStr"/>
      <c r="G173" t="inlineStr"/>
      <c r="H173" t="inlineStr">
        <is>
          <t>high</t>
        </is>
      </c>
      <c r="I173" t="inlineStr">
        <is>
          <t>inherited_mapping</t>
        </is>
      </c>
      <c r="J173" t="n">
        <v>75750.037</v>
      </c>
      <c r="K173" t="n">
        <v>0.0383</v>
      </c>
      <c r="L173" s="6" t="inlineStr">
        <is>
          <t>Scalloped spiny lobster; exact genus (Panulirus) explicitly named in Table 1's Crabs and lobsters definition.</t>
        </is>
      </c>
    </row>
    <row r="174">
      <c r="A174" t="inlineStr">
        <is>
          <t>Drepane punctata</t>
        </is>
      </c>
      <c r="B174" t="inlineStr">
        <is>
          <t>Spotted sicklefish</t>
        </is>
      </c>
      <c r="C174" t="inlineStr">
        <is>
          <t>Medium reef assoc. fish (30 - 89 cm)</t>
        </is>
      </c>
      <c r="D174" t="inlineStr">
        <is>
          <t>Perch-likes</t>
        </is>
      </c>
      <c r="E174" s="5" t="inlineStr">
        <is>
          <t>Med Benthic Carnivores</t>
        </is>
      </c>
      <c r="F174" t="inlineStr"/>
      <c r="G174" t="inlineStr"/>
      <c r="H174" t="inlineStr">
        <is>
          <t>medium</t>
        </is>
      </c>
      <c r="I174" t="inlineStr">
        <is>
          <t>inherited_mapping</t>
        </is>
      </c>
      <c r="J174" t="n">
        <v>73346.751</v>
      </c>
      <c r="K174" t="n">
        <v>0.0371</v>
      </c>
      <c r="L174" s="6" t="inlineStr">
        <is>
          <t>Spotted sicklefish; Ephippidae/Drepaneidae (Ephippoidei), a benthopelagic invertivore/omnivore guild not named in Table 1, placed by TL match (~3.3 vs group TL 3.19).</t>
        </is>
      </c>
    </row>
    <row r="175">
      <c r="A175" t="inlineStr">
        <is>
          <t>Lates calcarifer</t>
        </is>
      </c>
      <c r="B175" t="inlineStr">
        <is>
          <t>Barramundi</t>
        </is>
      </c>
      <c r="C175" t="inlineStr">
        <is>
          <t>Large demersals (&gt;=90 cm)</t>
        </is>
      </c>
      <c r="D175" t="inlineStr">
        <is>
          <t>Perch-likes</t>
        </is>
      </c>
      <c r="E175" s="5" t="inlineStr">
        <is>
          <t>Large Benthic Carnivores</t>
        </is>
      </c>
      <c r="F175" t="inlineStr"/>
      <c r="G175" t="inlineStr"/>
      <c r="H175" t="inlineStr">
        <is>
          <t>medium</t>
        </is>
      </c>
      <c r="I175" t="inlineStr">
        <is>
          <t>inherited_mapping</t>
        </is>
      </c>
      <c r="J175" t="n">
        <v>69936.47500000001</v>
      </c>
      <c r="K175" t="n">
        <v>0.0353</v>
      </c>
      <c r="L175" s="6" t="inlineStr">
        <is>
          <t>Barramundi (Latidae); large apex demersal/estuarine predator, TL 4.35, closest ecological fit to the demersal apex-predator guild of Large Benthic Carnivores though the family is not named in Table 1.</t>
        </is>
      </c>
    </row>
    <row r="176">
      <c r="A176" t="inlineStr">
        <is>
          <t>Epinephelus malabaricus</t>
        </is>
      </c>
      <c r="B176" t="inlineStr">
        <is>
          <t>Malabar grouper</t>
        </is>
      </c>
      <c r="C176" t="inlineStr">
        <is>
          <t>Large reef assoc. fish (&gt;=90 cm)</t>
        </is>
      </c>
      <c r="D176" t="inlineStr">
        <is>
          <t>Perch-likes</t>
        </is>
      </c>
      <c r="E176" s="7" t="inlineStr">
        <is>
          <t>Large Benthic Carnivores</t>
        </is>
      </c>
      <c r="F176" t="inlineStr"/>
      <c r="G176" t="inlineStr"/>
      <c r="H176" t="inlineStr">
        <is>
          <t>high</t>
        </is>
      </c>
      <c r="I176" t="inlineStr">
        <is>
          <t>inherited_mapping</t>
        </is>
      </c>
      <c r="J176" t="n">
        <v>66905.514</v>
      </c>
      <c r="K176" t="n">
        <v>0.0338</v>
      </c>
      <c r="L176" s="6" t="inlineStr">
        <is>
          <t>Malabar grouper; Serranidae (grouper/rockcod family) - "rock cods" is Table 1's explicit example for Large Benthic Carnivores.</t>
        </is>
      </c>
    </row>
    <row r="177">
      <c r="A177" t="inlineStr">
        <is>
          <t>Istiompax indica</t>
        </is>
      </c>
      <c r="B177" t="inlineStr">
        <is>
          <t>Black marlin</t>
        </is>
      </c>
      <c r="C177" t="inlineStr">
        <is>
          <t>Large pelagics (&gt;=90 cm)</t>
        </is>
      </c>
      <c r="D177" t="inlineStr">
        <is>
          <t>Tuna &amp; billfishes</t>
        </is>
      </c>
      <c r="E177" s="5" t="inlineStr">
        <is>
          <t>Large Pelagics</t>
        </is>
      </c>
      <c r="F177" t="inlineStr"/>
      <c r="G177" t="inlineStr"/>
      <c r="H177" t="inlineStr">
        <is>
          <t>medium</t>
        </is>
      </c>
      <c r="I177" t="inlineStr">
        <is>
          <t>inherited_mapping</t>
        </is>
      </c>
      <c r="J177" t="n">
        <v>66202.95699999999</v>
      </c>
      <c r="K177" t="n">
        <v>0.0335</v>
      </c>
      <c r="L177" s="6" t="inlineStr">
        <is>
          <t>Black marlin; Table 1 names no billfish group and lists no billfish genus under either Large Pelagics or Tunas, so placement is by ecology - a fast apex epipelagic predator matching the Large Pelagics guild's diet/TL profile (group TL 4.18) rather than the tuna tribe Thunnini.</t>
        </is>
      </c>
    </row>
    <row r="178">
      <c r="A178" t="inlineStr">
        <is>
          <t>Leiognathus</t>
        </is>
      </c>
      <c r="B178" t="inlineStr">
        <is>
          <t>Ponyfishes</t>
        </is>
      </c>
      <c r="C178" t="inlineStr">
        <is>
          <t>Small benthopelagics (&lt;30 cm)</t>
        </is>
      </c>
      <c r="D178" t="inlineStr">
        <is>
          <t>Perch-likes</t>
        </is>
      </c>
      <c r="E178" s="7" t="inlineStr">
        <is>
          <t>Small Benthic Carnivores</t>
        </is>
      </c>
      <c r="F178" t="inlineStr"/>
      <c r="G178" t="inlineStr"/>
      <c r="H178" t="inlineStr">
        <is>
          <t>high</t>
        </is>
      </c>
      <c r="I178" t="inlineStr">
        <is>
          <t>explicit_member</t>
        </is>
      </c>
      <c r="J178" t="n">
        <v>66028.36500000001</v>
      </c>
      <c r="K178" t="n">
        <v>0.0334</v>
      </c>
      <c r="L178" s="6" t="inlineStr">
        <is>
          <t>CORRECTION to the inherited mapping. Leiognathus bindus is member 51 of Grp10 Small Benthic Carnivores in the Bulletin 51 components-of-ecological-groupings table (PDF pp. 21-22). Previously mapped to Small Benthopelagics.</t>
        </is>
      </c>
    </row>
    <row r="179">
      <c r="A179" t="inlineStr">
        <is>
          <t>Alepes</t>
        </is>
      </c>
      <c r="B179" t="inlineStr">
        <is>
          <t>Crevalles</t>
        </is>
      </c>
      <c r="C179" t="inlineStr">
        <is>
          <t>Medium reef assoc. fish (30 - 89 cm)</t>
        </is>
      </c>
      <c r="D179" t="inlineStr">
        <is>
          <t>Perch-likes</t>
        </is>
      </c>
      <c r="E179" s="7" t="inlineStr">
        <is>
          <t>Small Benthopelagics</t>
        </is>
      </c>
      <c r="F179" t="inlineStr"/>
      <c r="G179" t="inlineStr"/>
      <c r="H179" t="inlineStr">
        <is>
          <t>high</t>
        </is>
      </c>
      <c r="I179" t="inlineStr">
        <is>
          <t>inherited_mapping</t>
        </is>
      </c>
      <c r="J179" t="n">
        <v>65505.975</v>
      </c>
      <c r="K179" t="n">
        <v>0.0331</v>
      </c>
      <c r="L179" s="6" t="inlineStr">
        <is>
          <t>Scad (genus); "scads" is Table 1's explicit example for Small Benthopelagics.</t>
        </is>
      </c>
    </row>
    <row r="180">
      <c r="A180" t="inlineStr">
        <is>
          <t>Chondrichthyes</t>
        </is>
      </c>
      <c r="B180" t="inlineStr">
        <is>
          <t>Sharks, rays, chimaeras</t>
        </is>
      </c>
      <c r="C180" t="inlineStr">
        <is>
          <t>Large sharks (&gt;=90 cm)</t>
        </is>
      </c>
      <c r="D180" t="inlineStr">
        <is>
          <t>Sharks &amp; rays</t>
        </is>
      </c>
      <c r="E180" s="5" t="inlineStr">
        <is>
          <t>Sharks | Skates &amp; Rays</t>
        </is>
      </c>
      <c r="F180" t="inlineStr">
        <is>
          <t>0.716 | 0.284</t>
        </is>
      </c>
      <c r="G180" t="inlineStr">
        <is>
          <t>catch_composition</t>
        </is>
      </c>
      <c r="H180" t="inlineStr">
        <is>
          <t>medium</t>
        </is>
      </c>
      <c r="I180" t="inlineStr">
        <is>
          <t>composite_split</t>
        </is>
      </c>
      <c r="J180" t="n">
        <v>63169.735</v>
      </c>
      <c r="K180" t="n">
        <v>0.0319</v>
      </c>
      <c r="L180" s="6" t="inlineStr">
        <is>
          <t>Class-level record; the model's only chondrichthyan groups are Sharks and Skates &amp; Rays, and it holds no chimaeras, so the record is apportioned over those two by the catch composition of the identified elasmobranchs of this LME.</t>
        </is>
      </c>
    </row>
    <row r="181">
      <c r="A181" t="inlineStr">
        <is>
          <t>Leiognathus equula</t>
        </is>
      </c>
      <c r="B181" t="inlineStr">
        <is>
          <t>Common ponyfish</t>
        </is>
      </c>
      <c r="C181" t="inlineStr">
        <is>
          <t>Small benthopelagics (&lt;30 cm)</t>
        </is>
      </c>
      <c r="D181" t="inlineStr">
        <is>
          <t>Perch-likes</t>
        </is>
      </c>
      <c r="E181" s="7" t="inlineStr">
        <is>
          <t>Small Benthic Carnivores</t>
        </is>
      </c>
      <c r="F181" t="inlineStr"/>
      <c r="G181" t="inlineStr"/>
      <c r="H181" t="inlineStr">
        <is>
          <t>high</t>
        </is>
      </c>
      <c r="I181" t="inlineStr">
        <is>
          <t>taxonomic_containment</t>
        </is>
      </c>
      <c r="J181" t="n">
        <v>59620.265</v>
      </c>
      <c r="K181" t="n">
        <v>0.0301</v>
      </c>
      <c r="L181" s="6" t="inlineStr">
        <is>
          <t>CORRECTION to the inherited mapping. Leiognathidae; the model places its silverbellies (Leiognathus bindus, Secutor insidiator) in Grp10 Small Benthic Carnivores per the Bulletin 51 components-of-ecological-groupings table (PDF pp. 21-22). Previously mapped to Small Benthopelagics.</t>
        </is>
      </c>
    </row>
    <row r="182">
      <c r="A182" t="inlineStr">
        <is>
          <t>Epinephelus tauvina</t>
        </is>
      </c>
      <c r="B182" t="inlineStr">
        <is>
          <t>Greasy grouper</t>
        </is>
      </c>
      <c r="C182" t="inlineStr">
        <is>
          <t>Medium reef assoc. fish (30 - 89 cm)</t>
        </is>
      </c>
      <c r="D182" t="inlineStr">
        <is>
          <t>Perch-likes</t>
        </is>
      </c>
      <c r="E182" s="7" t="inlineStr">
        <is>
          <t>Large Benthic Carnivores</t>
        </is>
      </c>
      <c r="F182" t="inlineStr"/>
      <c r="G182" t="inlineStr"/>
      <c r="H182" t="inlineStr">
        <is>
          <t>high</t>
        </is>
      </c>
      <c r="I182" t="inlineStr">
        <is>
          <t>inherited_mapping</t>
        </is>
      </c>
      <c r="J182" t="n">
        <v>57690.605</v>
      </c>
      <c r="K182" t="n">
        <v>0.0292</v>
      </c>
      <c r="L182" s="6" t="inlineStr">
        <is>
          <t>Greasy grouper; Serranidae (grouper/rockcod family) - "rock cods" is Table 1's explicit example for Large Benthic Carnivores.</t>
        </is>
      </c>
    </row>
    <row r="183">
      <c r="A183" t="inlineStr">
        <is>
          <t>Gastropoda</t>
        </is>
      </c>
      <c r="B183" t="inlineStr">
        <is>
          <t>Sea snails</t>
        </is>
      </c>
      <c r="C183" t="inlineStr">
        <is>
          <t>Other demersal invertebrates</t>
        </is>
      </c>
      <c r="D183" t="inlineStr">
        <is>
          <t>Molluscs</t>
        </is>
      </c>
      <c r="E183" s="7" t="inlineStr">
        <is>
          <t>Heterotrophic Benthos</t>
        </is>
      </c>
      <c r="F183" t="inlineStr"/>
      <c r="G183" t="inlineStr"/>
      <c r="H183" t="inlineStr">
        <is>
          <t>high</t>
        </is>
      </c>
      <c r="I183" t="inlineStr">
        <is>
          <t>inherited_mapping</t>
        </is>
      </c>
      <c r="J183" t="n">
        <v>57458.737</v>
      </c>
      <c r="K183" t="n">
        <v>0.029</v>
      </c>
      <c r="L183" s="6" t="inlineStr">
        <is>
          <t>Gastropod class; "gastropods" is Table 1's explicit example for Heterotrophic Benthos.</t>
        </is>
      </c>
    </row>
    <row r="184">
      <c r="A184" t="inlineStr">
        <is>
          <t>Catostylus perezi</t>
        </is>
      </c>
      <c r="B184" t="inlineStr">
        <is>
          <t>Banana jellyfish</t>
        </is>
      </c>
      <c r="C184" t="inlineStr">
        <is>
          <t>Jellyfish</t>
        </is>
      </c>
      <c r="D184" t="inlineStr">
        <is>
          <t>Other fishes &amp; inverts</t>
        </is>
      </c>
      <c r="E184" s="7" t="inlineStr">
        <is>
          <t>Micro Nekton</t>
        </is>
      </c>
      <c r="F184" t="inlineStr"/>
      <c r="G184" t="inlineStr"/>
      <c r="H184" t="inlineStr">
        <is>
          <t>high</t>
        </is>
      </c>
      <c r="I184" t="inlineStr">
        <is>
          <t>inherited_mapping</t>
        </is>
      </c>
      <c r="J184" t="n">
        <v>54884.475</v>
      </c>
      <c r="K184" t="n">
        <v>0.0277</v>
      </c>
      <c r="L184" s="6" t="inlineStr">
        <is>
          <t>Banana jellyfish; "jellyfish" is Table 1's explicit example for Micro-nekton.</t>
        </is>
      </c>
    </row>
    <row r="185">
      <c r="A185" t="inlineStr">
        <is>
          <t>Gnathanodon speciosus</t>
        </is>
      </c>
      <c r="B185" t="inlineStr">
        <is>
          <t>Golden trevally</t>
        </is>
      </c>
      <c r="C185" t="inlineStr">
        <is>
          <t>Large reef assoc. fish (&gt;=90 cm)</t>
        </is>
      </c>
      <c r="D185" t="inlineStr">
        <is>
          <t>Perch-likes</t>
        </is>
      </c>
      <c r="E185" s="5" t="inlineStr">
        <is>
          <t>Large Benthic Carnivores</t>
        </is>
      </c>
      <c r="F185" t="inlineStr"/>
      <c r="G185" t="inlineStr"/>
      <c r="H185" t="inlineStr">
        <is>
          <t>medium</t>
        </is>
      </c>
      <c r="I185" t="inlineStr">
        <is>
          <t>inherited_mapping</t>
        </is>
      </c>
      <c r="J185" t="n">
        <v>54682.402</v>
      </c>
      <c r="K185" t="n">
        <v>0.0276</v>
      </c>
      <c r="L185" s="6" t="inlineStr">
        <is>
          <t>Golden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186">
      <c r="A186" t="inlineStr">
        <is>
          <t>Carcharhinus melanopterus</t>
        </is>
      </c>
      <c r="B186" t="inlineStr">
        <is>
          <t>Blacktip reef shark</t>
        </is>
      </c>
      <c r="C186" t="inlineStr">
        <is>
          <t>Large sharks (&gt;=90 cm)</t>
        </is>
      </c>
      <c r="D186" t="inlineStr">
        <is>
          <t>Sharks &amp; rays</t>
        </is>
      </c>
      <c r="E186" s="7" t="inlineStr">
        <is>
          <t>Sharks</t>
        </is>
      </c>
      <c r="F186" t="inlineStr"/>
      <c r="G186" t="inlineStr"/>
      <c r="H186" t="inlineStr">
        <is>
          <t>high</t>
        </is>
      </c>
      <c r="I186" t="inlineStr">
        <is>
          <t>inherited_mapping</t>
        </is>
      </c>
      <c r="J186" t="n">
        <v>53465.943</v>
      </c>
      <c r="K186" t="n">
        <v>0.027</v>
      </c>
      <c r="L186" s="6" t="inlineStr">
        <is>
          <t>Blacktip reef shark; exact genus (Carcharhinus) explicitly named in Table 1's Sharks definition.</t>
        </is>
      </c>
    </row>
    <row r="187">
      <c r="A187" t="inlineStr">
        <is>
          <t>Tetraodontidae</t>
        </is>
      </c>
      <c r="B187" t="inlineStr">
        <is>
          <t>Puffers, tobies</t>
        </is>
      </c>
      <c r="C187" t="inlineStr">
        <is>
          <t>Large reef assoc. fish (&gt;=90 cm)</t>
        </is>
      </c>
      <c r="D187" t="inlineStr">
        <is>
          <t>Other fishes &amp; inverts</t>
        </is>
      </c>
      <c r="E187" s="7" t="inlineStr">
        <is>
          <t>Small Benthic Carnivores</t>
        </is>
      </c>
      <c r="F187" t="inlineStr"/>
      <c r="G187" t="inlineStr"/>
      <c r="H187" t="inlineStr">
        <is>
          <t>high</t>
        </is>
      </c>
      <c r="I187" t="inlineStr">
        <is>
          <t>inherited_mapping</t>
        </is>
      </c>
      <c r="J187" t="n">
        <v>53202.949</v>
      </c>
      <c r="K187" t="n">
        <v>0.0269</v>
      </c>
      <c r="L187" s="6" t="inlineStr">
        <is>
          <t>Puffer family; "tetradon" is Table 1's explicit example for Small Benthic Carnivores.</t>
        </is>
      </c>
    </row>
    <row r="188">
      <c r="A188" t="inlineStr">
        <is>
          <t>Rhabdosargus haffara</t>
        </is>
      </c>
      <c r="B188" t="inlineStr">
        <is>
          <t>Haffara seabream</t>
        </is>
      </c>
      <c r="C188" t="inlineStr">
        <is>
          <t>Medium reef assoc. fish (30 - 89 cm)</t>
        </is>
      </c>
      <c r="D188" t="inlineStr">
        <is>
          <t>Perch-likes</t>
        </is>
      </c>
      <c r="E188" s="5" t="inlineStr">
        <is>
          <t>Med Benthic Carnivores</t>
        </is>
      </c>
      <c r="F188" t="inlineStr"/>
      <c r="G188" t="inlineStr"/>
      <c r="H188" t="inlineStr">
        <is>
          <t>medium</t>
        </is>
      </c>
      <c r="I188" t="inlineStr">
        <is>
          <t>inherited_mapping</t>
        </is>
      </c>
      <c r="J188" t="n">
        <v>52420.816</v>
      </c>
      <c r="K188" t="n">
        <v>0.0265</v>
      </c>
      <c r="L188" s="6" t="inlineStr">
        <is>
          <t>Haffara seabream; Sparidae, a benthic durophagous-invertivore guild not named in Table 1, placed with Med Benthic Carnivores by TL match (~3.3-3.5 vs group TL 3.19).</t>
        </is>
      </c>
    </row>
    <row r="189">
      <c r="A189" t="inlineStr">
        <is>
          <t>Gerres</t>
        </is>
      </c>
      <c r="B189" t="inlineStr">
        <is>
          <t>Silver biddies</t>
        </is>
      </c>
      <c r="C189" t="inlineStr">
        <is>
          <t>Small benthopelagics (&lt;30 cm)</t>
        </is>
      </c>
      <c r="D189" t="inlineStr">
        <is>
          <t>Perch-likes</t>
        </is>
      </c>
      <c r="E189" s="5" t="inlineStr">
        <is>
          <t>Small Benthic Carnivores</t>
        </is>
      </c>
      <c r="F189" t="inlineStr"/>
      <c r="G189" t="inlineStr"/>
      <c r="H189" t="inlineStr">
        <is>
          <t>medium</t>
        </is>
      </c>
      <c r="I189" t="inlineStr">
        <is>
          <t>analogue</t>
        </is>
      </c>
      <c r="J189" t="n">
        <v>47890.919</v>
      </c>
      <c r="K189" t="n">
        <v>0.0242</v>
      </c>
      <c r="L189" s="6" t="inlineStr">
        <is>
          <t>Silver biddies; small demersal benthic invertivores of the Grp10 Small Benthic Carnivores guild. The Bulletin's 'silverbellies' are Leiognathidae, not Gerreidae, so this is an ecological analogue rather than a listed member.</t>
        </is>
      </c>
    </row>
    <row r="190">
      <c r="A190" t="inlineStr">
        <is>
          <t>Platycephalidae</t>
        </is>
      </c>
      <c r="B190" t="inlineStr">
        <is>
          <t>Flatheads</t>
        </is>
      </c>
      <c r="C190" t="inlineStr">
        <is>
          <t>Medium demersals (30 - 89 cm)</t>
        </is>
      </c>
      <c r="D190" t="inlineStr">
        <is>
          <t>Scorpionfishes</t>
        </is>
      </c>
      <c r="E190" s="7" t="inlineStr">
        <is>
          <t>Med Benthic Carnivores</t>
        </is>
      </c>
      <c r="F190" t="inlineStr"/>
      <c r="G190" t="inlineStr"/>
      <c r="H190" t="inlineStr">
        <is>
          <t>high</t>
        </is>
      </c>
      <c r="I190" t="inlineStr">
        <is>
          <t>inherited_mapping</t>
        </is>
      </c>
      <c r="J190" t="n">
        <v>47703.957</v>
      </c>
      <c r="K190" t="n">
        <v>0.0241</v>
      </c>
      <c r="L190" s="6" t="inlineStr">
        <is>
          <t>Flathead family; "flatheads" is Table 1's explicit example for Med Benthic Carnivores.</t>
        </is>
      </c>
    </row>
    <row r="191">
      <c r="A191" t="inlineStr">
        <is>
          <t>Cephea</t>
        </is>
      </c>
      <c r="B191" t="inlineStr">
        <is>
          <t>Cepheid jellyfishes</t>
        </is>
      </c>
      <c r="C191" t="inlineStr">
        <is>
          <t>Jellyfish</t>
        </is>
      </c>
      <c r="D191" t="inlineStr">
        <is>
          <t>Other fishes &amp; inverts</t>
        </is>
      </c>
      <c r="E191" s="7" t="inlineStr">
        <is>
          <t>Micro Nekton</t>
        </is>
      </c>
      <c r="F191" t="inlineStr"/>
      <c r="G191" t="inlineStr"/>
      <c r="H191" t="inlineStr">
        <is>
          <t>high</t>
        </is>
      </c>
      <c r="I191" t="inlineStr">
        <is>
          <t>inherited_mapping</t>
        </is>
      </c>
      <c r="J191" t="n">
        <v>45450.715</v>
      </c>
      <c r="K191" t="n">
        <v>0.023</v>
      </c>
      <c r="L191" s="6" t="inlineStr">
        <is>
          <t>Jellyfish genus (Rhizostomeae); "jellyfish" is Table 1's explicit example for Micro-nekton.</t>
        </is>
      </c>
    </row>
    <row r="192">
      <c r="A192" t="inlineStr">
        <is>
          <t>Panulirus polyphagus</t>
        </is>
      </c>
      <c r="B192" t="inlineStr">
        <is>
          <t>Mud spiny lobster</t>
        </is>
      </c>
      <c r="C192" t="inlineStr">
        <is>
          <t>Lobsters, crabs</t>
        </is>
      </c>
      <c r="D192" t="inlineStr">
        <is>
          <t>Crustaceans</t>
        </is>
      </c>
      <c r="E192" s="7" t="inlineStr">
        <is>
          <t>Crabs &amp; Lobster</t>
        </is>
      </c>
      <c r="F192" t="inlineStr"/>
      <c r="G192" t="inlineStr"/>
      <c r="H192" t="inlineStr">
        <is>
          <t>high</t>
        </is>
      </c>
      <c r="I192" t="inlineStr">
        <is>
          <t>inherited_mapping</t>
        </is>
      </c>
      <c r="J192" t="n">
        <v>42337.076</v>
      </c>
      <c r="K192" t="n">
        <v>0.0214</v>
      </c>
      <c r="L192" s="6" t="inlineStr">
        <is>
          <t>Mud spiny lobster; exact genus (Panulirus) explicitly named in Table 1's Crabs and lobsters definition.</t>
        </is>
      </c>
    </row>
    <row r="193">
      <c r="A193" t="inlineStr">
        <is>
          <t>Decapterus russelli</t>
        </is>
      </c>
      <c r="B193" t="inlineStr">
        <is>
          <t>Indian scad</t>
        </is>
      </c>
      <c r="C193" t="inlineStr">
        <is>
          <t>Medium pelagics (30 - 89 cm)</t>
        </is>
      </c>
      <c r="D193" t="inlineStr">
        <is>
          <t>Perch-likes</t>
        </is>
      </c>
      <c r="E193" s="7" t="inlineStr">
        <is>
          <t>Small Benthopelagics</t>
        </is>
      </c>
      <c r="F193" t="inlineStr"/>
      <c r="G193" t="inlineStr"/>
      <c r="H193" t="inlineStr">
        <is>
          <t>high</t>
        </is>
      </c>
      <c r="I193" t="inlineStr">
        <is>
          <t>inherited_mapping</t>
        </is>
      </c>
      <c r="J193" t="n">
        <v>42325.271</v>
      </c>
      <c r="K193" t="n">
        <v>0.0214</v>
      </c>
      <c r="L193" s="6" t="inlineStr">
        <is>
          <t>Indian scad; "scads" is Table 1's explicit example for Small Benthopelagics.</t>
        </is>
      </c>
    </row>
    <row r="194">
      <c r="A194" t="inlineStr">
        <is>
          <t>Pristipomoides filamentosus</t>
        </is>
      </c>
      <c r="B194" t="inlineStr">
        <is>
          <t>Crimson jobfish</t>
        </is>
      </c>
      <c r="C194" t="inlineStr">
        <is>
          <t>Medium demersals (30 - 89 cm)</t>
        </is>
      </c>
      <c r="D194" t="inlineStr">
        <is>
          <t>Perch-likes</t>
        </is>
      </c>
      <c r="E194" s="7" t="inlineStr">
        <is>
          <t>Large Benthic Carnivores</t>
        </is>
      </c>
      <c r="F194" t="inlineStr"/>
      <c r="G194" t="inlineStr"/>
      <c r="H194" t="inlineStr">
        <is>
          <t>high</t>
        </is>
      </c>
      <c r="I194" t="inlineStr">
        <is>
          <t>inherited_mapping</t>
        </is>
      </c>
      <c r="J194" t="n">
        <v>42092.927</v>
      </c>
      <c r="K194" t="n">
        <v>0.0213</v>
      </c>
      <c r="L194" s="6" t="inlineStr">
        <is>
          <t>Crimson jobfish; Lutjanidae (snapper/jobfish family) - "jobfish" and "red snappers" are Table 1's explicit examples for Large Benthic Carnivores.</t>
        </is>
      </c>
    </row>
    <row r="195">
      <c r="A195" t="inlineStr">
        <is>
          <t>Lamnidae</t>
        </is>
      </c>
      <c r="B195" t="inlineStr">
        <is>
          <t>Mackerel/white sharks</t>
        </is>
      </c>
      <c r="C195" t="inlineStr">
        <is>
          <t>Large sharks (&gt;=90 cm)</t>
        </is>
      </c>
      <c r="D195" t="inlineStr">
        <is>
          <t>Sharks &amp; rays</t>
        </is>
      </c>
      <c r="E195" s="7" t="inlineStr">
        <is>
          <t>Sharks</t>
        </is>
      </c>
      <c r="F195" t="inlineStr"/>
      <c r="G195" t="inlineStr"/>
      <c r="H195" t="inlineStr">
        <is>
          <t>high</t>
        </is>
      </c>
      <c r="I195" t="inlineStr">
        <is>
          <t>inherited_mapping</t>
        </is>
      </c>
      <c r="J195" t="n">
        <v>39277.558</v>
      </c>
      <c r="K195" t="n">
        <v>0.0199</v>
      </c>
      <c r="L195" s="6" t="inlineStr">
        <is>
          <t>Mackerel shark family (makos, white sharks) - true sharks, unambiguous fit under the clean shark/batoid split.</t>
        </is>
      </c>
    </row>
    <row r="196">
      <c r="A196" t="inlineStr">
        <is>
          <t>Sphyrnidae</t>
        </is>
      </c>
      <c r="B196" t="inlineStr">
        <is>
          <t>Hammer, bonnet, scoophead sharks</t>
        </is>
      </c>
      <c r="C196" t="inlineStr">
        <is>
          <t>Large sharks (&gt;=90 cm)</t>
        </is>
      </c>
      <c r="D196" t="inlineStr">
        <is>
          <t>Sharks &amp; rays</t>
        </is>
      </c>
      <c r="E196" s="7" t="inlineStr">
        <is>
          <t>Sharks</t>
        </is>
      </c>
      <c r="F196" t="inlineStr"/>
      <c r="G196" t="inlineStr"/>
      <c r="H196" t="inlineStr">
        <is>
          <t>high</t>
        </is>
      </c>
      <c r="I196" t="inlineStr">
        <is>
          <t>inherited_mapping</t>
        </is>
      </c>
      <c r="J196" t="n">
        <v>38875.659</v>
      </c>
      <c r="K196" t="n">
        <v>0.0196</v>
      </c>
      <c r="L196" s="6" t="inlineStr">
        <is>
          <t>Hammerhead shark family; Sphyrna is Table 1's explicit example genus for Sharks.</t>
        </is>
      </c>
    </row>
    <row r="197">
      <c r="A197" t="inlineStr">
        <is>
          <t>Saccostrea cuccullata</t>
        </is>
      </c>
      <c r="B197" t="inlineStr">
        <is>
          <t>Hooded oyster</t>
        </is>
      </c>
      <c r="C197" t="inlineStr">
        <is>
          <t>Other demersal invertebrates</t>
        </is>
      </c>
      <c r="D197" t="inlineStr">
        <is>
          <t>Molluscs</t>
        </is>
      </c>
      <c r="E197" s="7" t="inlineStr">
        <is>
          <t>Heterotrophic Benthos</t>
        </is>
      </c>
      <c r="F197" t="inlineStr"/>
      <c r="G197" t="inlineStr"/>
      <c r="H197" t="inlineStr">
        <is>
          <t>high</t>
        </is>
      </c>
      <c r="I197" t="inlineStr">
        <is>
          <t>inherited_mapping</t>
        </is>
      </c>
      <c r="J197" t="n">
        <v>36488.998</v>
      </c>
      <c r="K197" t="n">
        <v>0.0184</v>
      </c>
      <c r="L197" s="6" t="inlineStr">
        <is>
          <t>Hooded oyster; "bivalves" is Table 1's explicit example for Heterotrophic Benthos.</t>
        </is>
      </c>
    </row>
    <row r="198">
      <c r="A198" t="inlineStr">
        <is>
          <t>Xiphias gladius</t>
        </is>
      </c>
      <c r="B198" t="inlineStr">
        <is>
          <t>Swordfish</t>
        </is>
      </c>
      <c r="C198" t="inlineStr">
        <is>
          <t>Large pelagics (&gt;=90 cm)</t>
        </is>
      </c>
      <c r="D198" t="inlineStr">
        <is>
          <t>Tuna &amp; billfishes</t>
        </is>
      </c>
      <c r="E198" s="5" t="inlineStr">
        <is>
          <t>Large Pelagics</t>
        </is>
      </c>
      <c r="F198" t="inlineStr"/>
      <c r="G198" t="inlineStr"/>
      <c r="H198" t="inlineStr">
        <is>
          <t>medium</t>
        </is>
      </c>
      <c r="I198" t="inlineStr">
        <is>
          <t>inherited_mapping</t>
        </is>
      </c>
      <c r="J198" t="n">
        <v>35924.91</v>
      </c>
      <c r="K198" t="n">
        <v>0.0182</v>
      </c>
      <c r="L198" s="6" t="inlineStr">
        <is>
          <t>Swordfish; Table 1 names no billfish group and lists no billfish genus under either Large Pelagics or Tunas, so placement is by ecology - a fast apex epipelagic predator matching the Large Pelagics guild's diet/TL profile (group TL 4.18) rather than the tuna tribe Thunnini.</t>
        </is>
      </c>
    </row>
    <row r="199">
      <c r="A199" t="inlineStr">
        <is>
          <t>Hilsa kelee</t>
        </is>
      </c>
      <c r="B199" t="inlineStr">
        <is>
          <t>Kelee shad</t>
        </is>
      </c>
      <c r="C199" t="inlineStr">
        <is>
          <t>Small pelagics (&lt;30 cm)</t>
        </is>
      </c>
      <c r="D199" t="inlineStr">
        <is>
          <t>Herring-likes</t>
        </is>
      </c>
      <c r="E199" s="7" t="inlineStr">
        <is>
          <t>Clupeids</t>
        </is>
      </c>
      <c r="F199" t="inlineStr"/>
      <c r="G199" t="inlineStr"/>
      <c r="H199" t="inlineStr">
        <is>
          <t>high</t>
        </is>
      </c>
      <c r="I199" t="inlineStr">
        <is>
          <t>inherited_mapping</t>
        </is>
      </c>
      <c r="J199" t="n">
        <v>35900.785</v>
      </c>
      <c r="K199" t="n">
        <v>0.0181</v>
      </c>
      <c r="L199" s="6" t="inlineStr">
        <is>
          <t>Kelee shad; Clupeidae, the family that itself defines the Clupeids group.</t>
        </is>
      </c>
    </row>
    <row r="200">
      <c r="A200" t="inlineStr">
        <is>
          <t>Sphyraena obtusata</t>
        </is>
      </c>
      <c r="B200" t="inlineStr">
        <is>
          <t>Obtuse barracuda</t>
        </is>
      </c>
      <c r="C200" t="inlineStr">
        <is>
          <t>Medium reef assoc. fish (30 - 89 cm)</t>
        </is>
      </c>
      <c r="D200" t="inlineStr">
        <is>
          <t>Perch-likes</t>
        </is>
      </c>
      <c r="E200" s="7" t="inlineStr">
        <is>
          <t>Large Pelagics</t>
        </is>
      </c>
      <c r="F200" t="inlineStr"/>
      <c r="G200" t="inlineStr"/>
      <c r="H200" t="inlineStr">
        <is>
          <t>high</t>
        </is>
      </c>
      <c r="I200" t="inlineStr">
        <is>
          <t>inherited_mapping</t>
        </is>
      </c>
      <c r="J200" t="n">
        <v>35430.311</v>
      </c>
      <c r="K200" t="n">
        <v>0.0179</v>
      </c>
      <c r="L200" s="6" t="inlineStr">
        <is>
          <t>Obtuse barracuda; exact genus (Sphyraena = "barracudas") explicitly named in Table 1's Large Pelagics definition.</t>
        </is>
      </c>
    </row>
    <row r="201">
      <c r="A201" t="inlineStr">
        <is>
          <t>Platycaranx malabaricus</t>
        </is>
      </c>
      <c r="B201" t="inlineStr">
        <is>
          <t>Malabar trevally</t>
        </is>
      </c>
      <c r="C201" t="inlineStr">
        <is>
          <t>Medium reef assoc. fish (30 - 89 cm)</t>
        </is>
      </c>
      <c r="D201" t="inlineStr">
        <is>
          <t>Perch-likes</t>
        </is>
      </c>
      <c r="E201" s="5" t="inlineStr">
        <is>
          <t>Large Benthic Carnivores</t>
        </is>
      </c>
      <c r="F201" t="inlineStr"/>
      <c r="G201" t="inlineStr"/>
      <c r="H201" t="inlineStr">
        <is>
          <t>medium</t>
        </is>
      </c>
      <c r="I201" t="inlineStr">
        <is>
          <t>inherited_mapping</t>
        </is>
      </c>
      <c r="J201" t="n">
        <v>35185.064</v>
      </c>
      <c r="K201" t="n">
        <v>0.0178</v>
      </c>
      <c r="L201" s="6" t="inlineStr">
        <is>
          <t>Malabar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202">
      <c r="A202" t="inlineStr">
        <is>
          <t>Moolgarda seheli</t>
        </is>
      </c>
      <c r="B202" t="inlineStr">
        <is>
          <t>Bluespot mullet</t>
        </is>
      </c>
      <c r="C202" t="inlineStr">
        <is>
          <t>Medium reef assoc. fish (30 - 89 cm)</t>
        </is>
      </c>
      <c r="D202" t="inlineStr">
        <is>
          <t>Perch-likes</t>
        </is>
      </c>
      <c r="E202" s="5" t="inlineStr">
        <is>
          <t>Benthic Omnivores</t>
        </is>
      </c>
      <c r="F202" t="inlineStr"/>
      <c r="G202" t="inlineStr"/>
      <c r="H202" t="inlineStr">
        <is>
          <t>medium</t>
        </is>
      </c>
      <c r="I202" t="inlineStr">
        <is>
          <t>inherited_mapping</t>
        </is>
      </c>
      <c r="J202" t="n">
        <v>35047.502</v>
      </c>
      <c r="K202" t="n">
        <v>0.0177</v>
      </c>
      <c r="L202" s="6" t="inlineStr">
        <is>
          <t>Bluespot mullet; mullets (Mugilidae) are benthic detritivore/omnivore grazers, not named in Table 1 but ecologically and trophically (TL 2.14-2.63) closest to the low-TL Benthic Omnivores guild (group TL 2.55).</t>
        </is>
      </c>
    </row>
    <row r="203">
      <c r="A203" t="inlineStr">
        <is>
          <t>Epinephelus areolatus</t>
        </is>
      </c>
      <c r="B203" t="inlineStr">
        <is>
          <t>Areolate grouper</t>
        </is>
      </c>
      <c r="C203" t="inlineStr">
        <is>
          <t>Medium reef assoc. fish (30 - 89 cm)</t>
        </is>
      </c>
      <c r="D203" t="inlineStr">
        <is>
          <t>Perch-likes</t>
        </is>
      </c>
      <c r="E203" s="7" t="inlineStr">
        <is>
          <t>Large Benthic Carnivores</t>
        </is>
      </c>
      <c r="F203" t="inlineStr"/>
      <c r="G203" t="inlineStr"/>
      <c r="H203" t="inlineStr">
        <is>
          <t>high</t>
        </is>
      </c>
      <c r="I203" t="inlineStr">
        <is>
          <t>inherited_mapping</t>
        </is>
      </c>
      <c r="J203" t="n">
        <v>33345.876</v>
      </c>
      <c r="K203" t="n">
        <v>0.0169</v>
      </c>
      <c r="L203" s="6" t="inlineStr">
        <is>
          <t>Areolate grouper; Serranidae (grouper/rockcod family) - "rock cods" is Table 1's explicit example for Large Benthic Carnivores.</t>
        </is>
      </c>
    </row>
    <row r="204">
      <c r="A204" t="inlineStr">
        <is>
          <t>Carcharhinus limbatus</t>
        </is>
      </c>
      <c r="B204" t="inlineStr">
        <is>
          <t>Blacktip shark</t>
        </is>
      </c>
      <c r="C204" t="inlineStr">
        <is>
          <t>Large sharks (&gt;=90 cm)</t>
        </is>
      </c>
      <c r="D204" t="inlineStr">
        <is>
          <t>Sharks &amp; rays</t>
        </is>
      </c>
      <c r="E204" s="7" t="inlineStr">
        <is>
          <t>Sharks</t>
        </is>
      </c>
      <c r="F204" t="inlineStr"/>
      <c r="G204" t="inlineStr"/>
      <c r="H204" t="inlineStr">
        <is>
          <t>high</t>
        </is>
      </c>
      <c r="I204" t="inlineStr">
        <is>
          <t>inherited_mapping</t>
        </is>
      </c>
      <c r="J204" t="n">
        <v>33185.656</v>
      </c>
      <c r="K204" t="n">
        <v>0.0168</v>
      </c>
      <c r="L204" s="6" t="inlineStr">
        <is>
          <t>Blacktip shark; exact genus (Carcharhinus) explicitly named in Table 1's Sharks definition.</t>
        </is>
      </c>
    </row>
    <row r="205">
      <c r="A205" t="inlineStr">
        <is>
          <t>Siganus canaliculatus</t>
        </is>
      </c>
      <c r="B205" t="inlineStr">
        <is>
          <t>White-spotted spinefoot</t>
        </is>
      </c>
      <c r="C205" t="inlineStr">
        <is>
          <t>Small reef assoc. fish (&lt;30 cm)</t>
        </is>
      </c>
      <c r="D205" t="inlineStr">
        <is>
          <t>Perch-likes</t>
        </is>
      </c>
      <c r="E205" s="5" t="inlineStr">
        <is>
          <t>Benthic Omnivores</t>
        </is>
      </c>
      <c r="F205" t="inlineStr"/>
      <c r="G205" t="inlineStr"/>
      <c r="H205" t="inlineStr">
        <is>
          <t>medium</t>
        </is>
      </c>
      <c r="I205" t="inlineStr">
        <is>
          <t>inherited_mapping</t>
        </is>
      </c>
      <c r="J205" t="n">
        <v>32443.015</v>
      </c>
      <c r="K205" t="n">
        <v>0.0164</v>
      </c>
      <c r="L205" s="6" t="inlineStr">
        <is>
          <t>White-spotted spinefoot; rabbitfish (Siganidae) are herbivorous reef grazers (TL ~2.0-2.76), not named in Table 1 but ecologically closest to the low-TL grazer/omnivore guild of Benthic Omnivores (group TL 2.55).</t>
        </is>
      </c>
    </row>
    <row r="206">
      <c r="A206" t="inlineStr">
        <is>
          <t>Panulirus</t>
        </is>
      </c>
      <c r="B206" t="inlineStr">
        <is>
          <t>Spiny lobsters</t>
        </is>
      </c>
      <c r="C206" t="inlineStr">
        <is>
          <t>Lobsters, crabs</t>
        </is>
      </c>
      <c r="D206" t="inlineStr">
        <is>
          <t>Crustaceans</t>
        </is>
      </c>
      <c r="E206" s="7" t="inlineStr">
        <is>
          <t>Crabs &amp; Lobster</t>
        </is>
      </c>
      <c r="F206" t="inlineStr"/>
      <c r="G206" t="inlineStr"/>
      <c r="H206" t="inlineStr">
        <is>
          <t>high</t>
        </is>
      </c>
      <c r="I206" t="inlineStr">
        <is>
          <t>inherited_mapping</t>
        </is>
      </c>
      <c r="J206" t="n">
        <v>32304.434</v>
      </c>
      <c r="K206" t="n">
        <v>0.0163</v>
      </c>
      <c r="L206" s="6" t="inlineStr">
        <is>
          <t>Spiny lobster (genus); exact genus (Panulirus) explicitly named in Table 1's Crabs and lobsters definition.</t>
        </is>
      </c>
    </row>
    <row r="207">
      <c r="A207" t="inlineStr">
        <is>
          <t>Rhynchobatus djiddensis</t>
        </is>
      </c>
      <c r="B207" t="inlineStr">
        <is>
          <t>Giant guitarfish</t>
        </is>
      </c>
      <c r="C207" t="inlineStr">
        <is>
          <t>Large rays (&gt;=90 cm)</t>
        </is>
      </c>
      <c r="D207" t="inlineStr">
        <is>
          <t>Sharks &amp; rays</t>
        </is>
      </c>
      <c r="E207" s="7" t="inlineStr">
        <is>
          <t>Skates &amp; Rays</t>
        </is>
      </c>
      <c r="F207" t="inlineStr"/>
      <c r="G207" t="inlineStr"/>
      <c r="H207" t="inlineStr">
        <is>
          <t>high</t>
        </is>
      </c>
      <c r="I207" t="inlineStr">
        <is>
          <t>inherited_mapping</t>
        </is>
      </c>
      <c r="J207" t="n">
        <v>30226.686</v>
      </c>
      <c r="K207" t="n">
        <v>0.0153</v>
      </c>
      <c r="L207" s="6" t="inlineStr">
        <is>
          <t>Giant guitarfish; exact genus (Rhynchobatus) explicitly named in Table 1's Skates and Rays definition.</t>
        </is>
      </c>
    </row>
    <row r="208">
      <c r="A208" t="inlineStr">
        <is>
          <t>Isurus paucus</t>
        </is>
      </c>
      <c r="B208" t="inlineStr">
        <is>
          <t>Longfin mako</t>
        </is>
      </c>
      <c r="C208" t="inlineStr">
        <is>
          <t>Large sharks (&gt;=90 cm)</t>
        </is>
      </c>
      <c r="D208" t="inlineStr">
        <is>
          <t>Sharks &amp; rays</t>
        </is>
      </c>
      <c r="E208" s="7" t="inlineStr">
        <is>
          <t>Sharks</t>
        </is>
      </c>
      <c r="F208" t="inlineStr"/>
      <c r="G208" t="inlineStr"/>
      <c r="H208" t="inlineStr">
        <is>
          <t>high</t>
        </is>
      </c>
      <c r="I208" t="inlineStr">
        <is>
          <t>inherited_mapping</t>
        </is>
      </c>
      <c r="J208" t="n">
        <v>30163.039</v>
      </c>
      <c r="K208" t="n">
        <v>0.0152</v>
      </c>
      <c r="L208" s="6" t="inlineStr">
        <is>
          <t>Longfin mako; Lamnidae true shark (mackerel shark family), unambiguous fit to the model's single Sharks group under the clean shark/batoid split.</t>
        </is>
      </c>
    </row>
    <row r="209">
      <c r="A209" t="inlineStr">
        <is>
          <t>Diagramma pictum</t>
        </is>
      </c>
      <c r="B209" t="inlineStr">
        <is>
          <t>Painted sweetlips</t>
        </is>
      </c>
      <c r="C209" t="inlineStr">
        <is>
          <t>Large reef assoc. fish (&gt;=90 cm)</t>
        </is>
      </c>
      <c r="D209" t="inlineStr">
        <is>
          <t>Perch-likes</t>
        </is>
      </c>
      <c r="E209" s="5" t="inlineStr">
        <is>
          <t>Med Benthic Carnivores</t>
        </is>
      </c>
      <c r="F209" t="inlineStr"/>
      <c r="G209" t="inlineStr"/>
      <c r="H209" t="inlineStr">
        <is>
          <t>medium</t>
        </is>
      </c>
      <c r="I209" t="inlineStr">
        <is>
          <t>inherited_mapping</t>
        </is>
      </c>
      <c r="J209" t="n">
        <v>30085.383</v>
      </c>
      <c r="K209" t="n">
        <v>0.0152</v>
      </c>
      <c r="L209" s="6" t="inlineStr">
        <is>
          <t>Painted sweetlips; Haemulidae (grunt/sweetlips family), a demersal benthic-invertivore guild not named in Table 1, placed with Med Benthic Carnivores by ecology and TL (~3.3-4.0 vs group TL 3.19).</t>
        </is>
      </c>
    </row>
    <row r="210">
      <c r="A210" t="inlineStr">
        <is>
          <t>Alopias vulpinus</t>
        </is>
      </c>
      <c r="B210" t="inlineStr">
        <is>
          <t>Thresher</t>
        </is>
      </c>
      <c r="C210" t="inlineStr">
        <is>
          <t>Large sharks (&gt;=90 cm)</t>
        </is>
      </c>
      <c r="D210" t="inlineStr">
        <is>
          <t>Sharks &amp; rays</t>
        </is>
      </c>
      <c r="E210" s="7" t="inlineStr">
        <is>
          <t>Sharks</t>
        </is>
      </c>
      <c r="F210" t="inlineStr"/>
      <c r="G210" t="inlineStr"/>
      <c r="H210" t="inlineStr">
        <is>
          <t>high</t>
        </is>
      </c>
      <c r="I210" t="inlineStr">
        <is>
          <t>inherited_mapping</t>
        </is>
      </c>
      <c r="J210" t="n">
        <v>29822.03</v>
      </c>
      <c r="K210" t="n">
        <v>0.0151</v>
      </c>
      <c r="L210" s="6" t="inlineStr">
        <is>
          <t>Thresher; Lamniformes true shark. This model splits sharks from batoids cleanly (group 2 vs group 3), and any true-shark genus not a batoid is an unambiguous fit to Sharks even where the exact genus is not one of Table 1's named examples (Rhizoprionodon, Carcharhinus, Scoliodon, Sphyrna).</t>
        </is>
      </c>
    </row>
    <row r="211">
      <c r="A211" t="inlineStr">
        <is>
          <t>Sphyraena forsteri</t>
        </is>
      </c>
      <c r="B211" t="inlineStr">
        <is>
          <t>Bigeye barracuda</t>
        </is>
      </c>
      <c r="C211" t="inlineStr">
        <is>
          <t>Medium reef assoc. fish (30 - 89 cm)</t>
        </is>
      </c>
      <c r="D211" t="inlineStr">
        <is>
          <t>Perch-likes</t>
        </is>
      </c>
      <c r="E211" s="7" t="inlineStr">
        <is>
          <t>Large Pelagics</t>
        </is>
      </c>
      <c r="F211" t="inlineStr"/>
      <c r="G211" t="inlineStr"/>
      <c r="H211" t="inlineStr">
        <is>
          <t>high</t>
        </is>
      </c>
      <c r="I211" t="inlineStr">
        <is>
          <t>inherited_mapping</t>
        </is>
      </c>
      <c r="J211" t="n">
        <v>29489.259</v>
      </c>
      <c r="K211" t="n">
        <v>0.0149</v>
      </c>
      <c r="L211" s="6" t="inlineStr">
        <is>
          <t>Bigeye barracuda; exact genus (Sphyraena = "barracudas") explicitly named in Table 1's Large Pelagics definition.</t>
        </is>
      </c>
    </row>
    <row r="212">
      <c r="A212" t="inlineStr">
        <is>
          <t>Lethrinus olivaceus</t>
        </is>
      </c>
      <c r="B212" t="inlineStr">
        <is>
          <t>Longface emperor</t>
        </is>
      </c>
      <c r="C212" t="inlineStr">
        <is>
          <t>Medium demersals (30 - 89 cm)</t>
        </is>
      </c>
      <c r="D212" t="inlineStr">
        <is>
          <t>Perch-likes</t>
        </is>
      </c>
      <c r="E212" s="5" t="inlineStr">
        <is>
          <t>Large Benthic Carnivores</t>
        </is>
      </c>
      <c r="F212" t="inlineStr"/>
      <c r="G212" t="inlineStr"/>
      <c r="H212" t="inlineStr">
        <is>
          <t>medium</t>
        </is>
      </c>
      <c r="I212" t="inlineStr">
        <is>
          <t>inherited_mapping</t>
        </is>
      </c>
      <c r="J212" t="n">
        <v>27484.007</v>
      </c>
      <c r="K212" t="n">
        <v>0.0139</v>
      </c>
      <c r="L212" s="6" t="inlineStr">
        <is>
          <t>Longface emperor; Lethrinidae (emperor family), a demersal durophagous/piscivorous carnivore guild not named in Table 1 but ecologically parallel to the snapper/grouper apex reef-predator guild of Large Benthic Carnivores (mean TL ~3.7, group TL 4.14).</t>
        </is>
      </c>
    </row>
    <row r="213">
      <c r="A213" t="inlineStr">
        <is>
          <t>Lethrinus borbonicus</t>
        </is>
      </c>
      <c r="B213" t="inlineStr">
        <is>
          <t>Snubnose emperor</t>
        </is>
      </c>
      <c r="C213" t="inlineStr">
        <is>
          <t>Medium reef assoc. fish (30 - 89 cm)</t>
        </is>
      </c>
      <c r="D213" t="inlineStr">
        <is>
          <t>Perch-likes</t>
        </is>
      </c>
      <c r="E213" s="5" t="inlineStr">
        <is>
          <t>Large Benthic Carnivores</t>
        </is>
      </c>
      <c r="F213" t="inlineStr"/>
      <c r="G213" t="inlineStr"/>
      <c r="H213" t="inlineStr">
        <is>
          <t>medium</t>
        </is>
      </c>
      <c r="I213" t="inlineStr">
        <is>
          <t>inherited_mapping</t>
        </is>
      </c>
      <c r="J213" t="n">
        <v>26785.235</v>
      </c>
      <c r="K213" t="n">
        <v>0.0135</v>
      </c>
      <c r="L213" s="6" t="inlineStr">
        <is>
          <t>Snubnose emperor; Lethrinidae (emperor family), a demersal durophagous/piscivorous carnivore guild not named in Table 1 but ecologically parallel to the snapper/grouper apex reef-predator guild of Large Benthic Carnivores (mean TL ~3.7, group TL 4.14).</t>
        </is>
      </c>
    </row>
    <row r="214">
      <c r="A214" t="inlineStr">
        <is>
          <t>Sphyraena jello</t>
        </is>
      </c>
      <c r="B214" t="inlineStr">
        <is>
          <t>Pickhandle barracuda</t>
        </is>
      </c>
      <c r="C214" t="inlineStr">
        <is>
          <t>Large reef assoc. fish (&gt;=90 cm)</t>
        </is>
      </c>
      <c r="D214" t="inlineStr">
        <is>
          <t>Perch-likes</t>
        </is>
      </c>
      <c r="E214" s="7" t="inlineStr">
        <is>
          <t>Large Pelagics</t>
        </is>
      </c>
      <c r="F214" t="inlineStr"/>
      <c r="G214" t="inlineStr"/>
      <c r="H214" t="inlineStr">
        <is>
          <t>high</t>
        </is>
      </c>
      <c r="I214" t="inlineStr">
        <is>
          <t>inherited_mapping</t>
        </is>
      </c>
      <c r="J214" t="n">
        <v>26195.384</v>
      </c>
      <c r="K214" t="n">
        <v>0.0132</v>
      </c>
      <c r="L214" s="6" t="inlineStr">
        <is>
          <t>Pickhandle barracuda; exact genus (Sphyraena = "barracudas") explicitly named in Table 1's Large Pelagics definition.</t>
        </is>
      </c>
    </row>
    <row r="215">
      <c r="A215" t="inlineStr">
        <is>
          <t>Acanthocybium solandri</t>
        </is>
      </c>
      <c r="B215" t="inlineStr">
        <is>
          <t>Wahoo</t>
        </is>
      </c>
      <c r="C215" t="inlineStr">
        <is>
          <t>Large pelagics (&gt;=90 cm)</t>
        </is>
      </c>
      <c r="D215" t="inlineStr">
        <is>
          <t>Perch-likes</t>
        </is>
      </c>
      <c r="E215" s="5" t="inlineStr">
        <is>
          <t>Large Pelagics</t>
        </is>
      </c>
      <c r="F215" t="inlineStr"/>
      <c r="G215" t="inlineStr"/>
      <c r="H215" t="inlineStr">
        <is>
          <t>medium</t>
        </is>
      </c>
      <c r="I215" t="inlineStr">
        <is>
          <t>inherited_mapping</t>
        </is>
      </c>
      <c r="J215" t="n">
        <v>25524.299</v>
      </c>
      <c r="K215" t="n">
        <v>0.0129</v>
      </c>
      <c r="L215" s="6" t="inlineStr">
        <is>
          <t>Wahoo; a fast large epipelagic scombrid predator in tribe Acanthocybiini, distinct from the true tuna tribe Thunnini, so placed with the Large Pelagics apex-predator guild by ecology/TL (4.26 vs group TL 4.18) rather than with Tunas.</t>
        </is>
      </c>
    </row>
    <row r="216">
      <c r="A216" t="inlineStr">
        <is>
          <t>Rhizoprionodon acutus</t>
        </is>
      </c>
      <c r="B216" t="inlineStr">
        <is>
          <t>Milk shark</t>
        </is>
      </c>
      <c r="C216" t="inlineStr">
        <is>
          <t>Large sharks (&gt;=90 cm)</t>
        </is>
      </c>
      <c r="D216" t="inlineStr">
        <is>
          <t>Sharks &amp; rays</t>
        </is>
      </c>
      <c r="E216" s="7" t="inlineStr">
        <is>
          <t>Sharks</t>
        </is>
      </c>
      <c r="F216" t="inlineStr"/>
      <c r="G216" t="inlineStr"/>
      <c r="H216" t="inlineStr">
        <is>
          <t>high</t>
        </is>
      </c>
      <c r="I216" t="inlineStr">
        <is>
          <t>inherited_mapping</t>
        </is>
      </c>
      <c r="J216" t="n">
        <v>25503.697</v>
      </c>
      <c r="K216" t="n">
        <v>0.0129</v>
      </c>
      <c r="L216" s="6" t="inlineStr">
        <is>
          <t>Milk shark; exact genus (Rhizoprionodon) explicitly named in Table 1's Sharks definition.</t>
        </is>
      </c>
    </row>
    <row r="217">
      <c r="A217" t="inlineStr">
        <is>
          <t>Atule mate</t>
        </is>
      </c>
      <c r="B217" t="inlineStr">
        <is>
          <t>Yellowtail scad</t>
        </is>
      </c>
      <c r="C217" t="inlineStr">
        <is>
          <t>Small pelagics (&lt;30 cm)</t>
        </is>
      </c>
      <c r="D217" t="inlineStr">
        <is>
          <t>Perch-likes</t>
        </is>
      </c>
      <c r="E217" s="7" t="inlineStr">
        <is>
          <t>Small Benthopelagics</t>
        </is>
      </c>
      <c r="F217" t="inlineStr"/>
      <c r="G217" t="inlineStr"/>
      <c r="H217" t="inlineStr">
        <is>
          <t>high</t>
        </is>
      </c>
      <c r="I217" t="inlineStr">
        <is>
          <t>inherited_mapping</t>
        </is>
      </c>
      <c r="J217" t="n">
        <v>25060.983</v>
      </c>
      <c r="K217" t="n">
        <v>0.0127</v>
      </c>
      <c r="L217" s="6" t="inlineStr">
        <is>
          <t>Yellowtail scad; "scads" is Table 1's explicit example for Small Benthopelagics.</t>
        </is>
      </c>
    </row>
    <row r="218">
      <c r="A218" t="inlineStr">
        <is>
          <t>Selaroides leptolepis</t>
        </is>
      </c>
      <c r="B218" t="inlineStr">
        <is>
          <t>Yellowstripe scad</t>
        </is>
      </c>
      <c r="C218" t="inlineStr">
        <is>
          <t>Small pelagics (&lt;30 cm)</t>
        </is>
      </c>
      <c r="D218" t="inlineStr">
        <is>
          <t>Perch-likes</t>
        </is>
      </c>
      <c r="E218" s="7" t="inlineStr">
        <is>
          <t>Small Benthopelagics</t>
        </is>
      </c>
      <c r="F218" t="inlineStr"/>
      <c r="G218" t="inlineStr"/>
      <c r="H218" t="inlineStr">
        <is>
          <t>high</t>
        </is>
      </c>
      <c r="I218" t="inlineStr">
        <is>
          <t>inherited_mapping</t>
        </is>
      </c>
      <c r="J218" t="n">
        <v>23655.464</v>
      </c>
      <c r="K218" t="n">
        <v>0.012</v>
      </c>
      <c r="L218" s="6" t="inlineStr">
        <is>
          <t>Yellowstripe scad; "scads" is Table 1's explicit example for Small Benthopelagics.</t>
        </is>
      </c>
    </row>
    <row r="219">
      <c r="A219" t="inlineStr">
        <is>
          <t>Sarda orientalis</t>
        </is>
      </c>
      <c r="B219" t="inlineStr">
        <is>
          <t>Striped bonito</t>
        </is>
      </c>
      <c r="C219" t="inlineStr">
        <is>
          <t>Large pelagics (&gt;=90 cm)</t>
        </is>
      </c>
      <c r="D219" t="inlineStr">
        <is>
          <t>Tuna &amp; billfishes</t>
        </is>
      </c>
      <c r="E219" s="5" t="inlineStr">
        <is>
          <t>Tunas</t>
        </is>
      </c>
      <c r="F219" t="inlineStr"/>
      <c r="G219" t="inlineStr"/>
      <c r="H219" t="inlineStr">
        <is>
          <t>medium</t>
        </is>
      </c>
      <c r="I219" t="inlineStr">
        <is>
          <t>inherited_mapping</t>
        </is>
      </c>
      <c r="J219" t="n">
        <v>22908.486</v>
      </c>
      <c r="K219" t="n">
        <v>0.0116</v>
      </c>
      <c r="L219" s="6" t="inlineStr">
        <is>
          <t>Striped bonito; tribe Sardini, the sister tribe to Thunnini within Scombridae, not itself named in Table 1 but ecologically and phylogenetically the closest analogue to the true tunas among the workbook's remaining Scombridae.</t>
        </is>
      </c>
    </row>
    <row r="220">
      <c r="A220" t="inlineStr">
        <is>
          <t>Marine groundfishes not identified</t>
        </is>
      </c>
      <c r="B220" t="inlineStr">
        <is>
          <t>Groundfishes</t>
        </is>
      </c>
      <c r="C220" t="inlineStr">
        <is>
          <t>Medium demersals (30 - 89 cm)</t>
        </is>
      </c>
      <c r="D220" t="inlineStr">
        <is>
          <t>Other fishes &amp; inverts</t>
        </is>
      </c>
      <c r="E220" s="5" t="inlineStr">
        <is>
          <t>Med Benthic Carnivores | Small Benthic Carnivores | Large Benthic Carnivores</t>
        </is>
      </c>
      <c r="F220" t="inlineStr">
        <is>
          <t>0.363 | 0.239 | 0.398</t>
        </is>
      </c>
      <c r="G220" t="inlineStr">
        <is>
          <t>catch_composition</t>
        </is>
      </c>
      <c r="H220" t="inlineStr">
        <is>
          <t>medium</t>
        </is>
      </c>
      <c r="I220" t="inlineStr">
        <is>
          <t>composite_split</t>
        </is>
      </c>
      <c r="J220" t="n">
        <v>22697.547</v>
      </c>
      <c r="K220" t="n">
        <v>0.0115</v>
      </c>
      <c r="L220" s="6" t="inlineStr">
        <is>
          <t>Same treatment as `Marine fishes not identified`: an unidentified demersal aggregate classed by Sea Around Us as Medium demersals (30 - 89 cm), apportioned across the model's three demersal-carnivore groups by the catch composition of the taxa already identified on them; pelagic, elasmobranch and invertebrate groups excluded on habitat.</t>
        </is>
      </c>
    </row>
    <row r="221">
      <c r="A221" t="inlineStr">
        <is>
          <t>Epinephelus polylepis</t>
        </is>
      </c>
      <c r="B221" t="inlineStr">
        <is>
          <t>Smallscaled grouper</t>
        </is>
      </c>
      <c r="C221" t="inlineStr">
        <is>
          <t>Medium demersals (30 - 89 cm)</t>
        </is>
      </c>
      <c r="D221" t="inlineStr">
        <is>
          <t>Perch-likes</t>
        </is>
      </c>
      <c r="E221" s="7" t="inlineStr">
        <is>
          <t>Large Benthic Carnivores</t>
        </is>
      </c>
      <c r="F221" t="inlineStr"/>
      <c r="G221" t="inlineStr"/>
      <c r="H221" t="inlineStr">
        <is>
          <t>high</t>
        </is>
      </c>
      <c r="I221" t="inlineStr">
        <is>
          <t>inherited_mapping</t>
        </is>
      </c>
      <c r="J221" t="n">
        <v>21994.797</v>
      </c>
      <c r="K221" t="n">
        <v>0.0111</v>
      </c>
      <c r="L221" s="6" t="inlineStr">
        <is>
          <t>Smallscaled grouper; Serranidae (grouper/rockcod family) - "rock cods" is Table 1's explicit example for Large Benthic Carnivores.</t>
        </is>
      </c>
    </row>
    <row r="222">
      <c r="A222" t="inlineStr">
        <is>
          <t>Sphyrna</t>
        </is>
      </c>
      <c r="B222" t="inlineStr">
        <is>
          <t>Hammerhead sharks</t>
        </is>
      </c>
      <c r="C222" t="inlineStr">
        <is>
          <t>Large sharks (&gt;=90 cm)</t>
        </is>
      </c>
      <c r="D222" t="inlineStr">
        <is>
          <t>Sharks &amp; rays</t>
        </is>
      </c>
      <c r="E222" s="7" t="inlineStr">
        <is>
          <t>Sharks</t>
        </is>
      </c>
      <c r="F222" t="inlineStr"/>
      <c r="G222" t="inlineStr"/>
      <c r="H222" t="inlineStr">
        <is>
          <t>high</t>
        </is>
      </c>
      <c r="I222" t="inlineStr">
        <is>
          <t>inherited_mapping</t>
        </is>
      </c>
      <c r="J222" t="n">
        <v>21887.001</v>
      </c>
      <c r="K222" t="n">
        <v>0.0111</v>
      </c>
      <c r="L222" s="6" t="inlineStr">
        <is>
          <t>Hammerhead genus explicitly named in Table 1's Sharks group definition (Rhizoprionodon, Carcharhinus, Scoliodon, Sphyrna spp).</t>
        </is>
      </c>
    </row>
    <row r="223">
      <c r="A223" t="inlineStr">
        <is>
          <t>Pomadasys olivaceus</t>
        </is>
      </c>
      <c r="B223" t="inlineStr">
        <is>
          <t>Olive grunt</t>
        </is>
      </c>
      <c r="C223" t="inlineStr">
        <is>
          <t>Medium reef assoc. fish (30 - 89 cm)</t>
        </is>
      </c>
      <c r="D223" t="inlineStr">
        <is>
          <t>Perch-likes</t>
        </is>
      </c>
      <c r="E223" s="5" t="inlineStr">
        <is>
          <t>Med Benthic Carnivores</t>
        </is>
      </c>
      <c r="F223" t="inlineStr"/>
      <c r="G223" t="inlineStr"/>
      <c r="H223" t="inlineStr">
        <is>
          <t>medium</t>
        </is>
      </c>
      <c r="I223" t="inlineStr">
        <is>
          <t>analogue</t>
        </is>
      </c>
      <c r="J223" t="n">
        <v>21612.168</v>
      </c>
      <c r="K223" t="n">
        <v>0.0109</v>
      </c>
      <c r="L223" s="6" t="inlineStr">
        <is>
          <t>Haemulidae; treated like the other Pomadasys grunters in this file as a medium-sized demersal benthic invertivore matching Grp9 Med Benthic Carnivores on habitat, size band (Medium demersals 30 - 89 cm) and TL. Not named in the Bulletin.</t>
        </is>
      </c>
    </row>
    <row r="224">
      <c r="A224" t="inlineStr">
        <is>
          <t>Equulites klunzingeri</t>
        </is>
      </c>
      <c r="B224" t="inlineStr">
        <is>
          <t>Klunzinger's ponyfish</t>
        </is>
      </c>
      <c r="C224" t="inlineStr">
        <is>
          <t>Small demersals (&lt;30 cm)</t>
        </is>
      </c>
      <c r="D224" t="inlineStr">
        <is>
          <t>Perch-likes</t>
        </is>
      </c>
      <c r="E224" s="7" t="inlineStr">
        <is>
          <t>Small Benthic Carnivores</t>
        </is>
      </c>
      <c r="F224" t="inlineStr"/>
      <c r="G224" t="inlineStr"/>
      <c r="H224" t="inlineStr">
        <is>
          <t>high</t>
        </is>
      </c>
      <c r="I224" t="inlineStr">
        <is>
          <t>taxonomic_containment</t>
        </is>
      </c>
      <c r="J224" t="n">
        <v>21024.8</v>
      </c>
      <c r="K224" t="n">
        <v>0.0106</v>
      </c>
      <c r="L224" s="6" t="inlineStr">
        <is>
          <t>CORRECTION to the inherited mapping. Equulites was split out of Leiognathus; the model places its silverbellies in Grp10 Small Benthic Carnivores per the Bulletin 51 components-of-ecological-groupings table (PDF pp. 21-22). Previously mapped to Small Benthopelagics.</t>
        </is>
      </c>
    </row>
    <row r="225">
      <c r="A225" t="inlineStr">
        <is>
          <t>Carcharhinus dussumieri</t>
        </is>
      </c>
      <c r="B225" t="inlineStr">
        <is>
          <t>Whitecheek shark</t>
        </is>
      </c>
      <c r="C225" t="inlineStr">
        <is>
          <t>Small to medium sharks (&lt;90 cm)</t>
        </is>
      </c>
      <c r="D225" t="inlineStr">
        <is>
          <t>Sharks &amp; rays</t>
        </is>
      </c>
      <c r="E225" s="7" t="inlineStr">
        <is>
          <t>Sharks</t>
        </is>
      </c>
      <c r="F225" t="inlineStr"/>
      <c r="G225" t="inlineStr"/>
      <c r="H225" t="inlineStr">
        <is>
          <t>high</t>
        </is>
      </c>
      <c r="I225" t="inlineStr">
        <is>
          <t>inherited_mapping</t>
        </is>
      </c>
      <c r="J225" t="n">
        <v>20713.667</v>
      </c>
      <c r="K225" t="n">
        <v>0.0105</v>
      </c>
      <c r="L225" s="6" t="inlineStr">
        <is>
          <t>Whitecheek shark; exact genus (Carcharhinus) explicitly named in Table 1's Sharks definition.</t>
        </is>
      </c>
    </row>
    <row r="226">
      <c r="A226" t="inlineStr">
        <is>
          <t>Alepes djedaba</t>
        </is>
      </c>
      <c r="B226" t="inlineStr">
        <is>
          <t>Shrimp scad</t>
        </is>
      </c>
      <c r="C226" t="inlineStr">
        <is>
          <t>Medium reef assoc. fish (30 - 89 cm)</t>
        </is>
      </c>
      <c r="D226" t="inlineStr">
        <is>
          <t>Perch-likes</t>
        </is>
      </c>
      <c r="E226" s="7" t="inlineStr">
        <is>
          <t>Small Benthopelagics</t>
        </is>
      </c>
      <c r="F226" t="inlineStr"/>
      <c r="G226" t="inlineStr"/>
      <c r="H226" t="inlineStr">
        <is>
          <t>high</t>
        </is>
      </c>
      <c r="I226" t="inlineStr">
        <is>
          <t>inherited_mapping</t>
        </is>
      </c>
      <c r="J226" t="n">
        <v>19855.764</v>
      </c>
      <c r="K226" t="n">
        <v>0.01</v>
      </c>
      <c r="L226" s="6" t="inlineStr">
        <is>
          <t>Shrimp scad; "scads" is Table 1's explicit example for Small Benthopelagics.</t>
        </is>
      </c>
    </row>
    <row r="227">
      <c r="A227" t="inlineStr">
        <is>
          <t>Carcharhinus amblyrhynchos</t>
        </is>
      </c>
      <c r="B227" t="inlineStr">
        <is>
          <t>Blacktail reef shark</t>
        </is>
      </c>
      <c r="C227" t="inlineStr">
        <is>
          <t>Large sharks (&gt;=90 cm)</t>
        </is>
      </c>
      <c r="D227" t="inlineStr">
        <is>
          <t>Sharks &amp; rays</t>
        </is>
      </c>
      <c r="E227" s="7" t="inlineStr">
        <is>
          <t>Sharks</t>
        </is>
      </c>
      <c r="F227" t="inlineStr"/>
      <c r="G227" t="inlineStr"/>
      <c r="H227" t="inlineStr">
        <is>
          <t>high</t>
        </is>
      </c>
      <c r="I227" t="inlineStr">
        <is>
          <t>inherited_mapping</t>
        </is>
      </c>
      <c r="J227" t="n">
        <v>19235.532</v>
      </c>
      <c r="K227" t="n">
        <v>0.0097</v>
      </c>
      <c r="L227" s="6" t="inlineStr">
        <is>
          <t>Blacktail reef shark; exact genus (Carcharhinus) explicitly named in Table 1's Sharks definition.</t>
        </is>
      </c>
    </row>
    <row r="228">
      <c r="A228" t="inlineStr">
        <is>
          <t>Triakidae</t>
        </is>
      </c>
      <c r="B228" t="inlineStr">
        <is>
          <t>Houndsharks</t>
        </is>
      </c>
      <c r="C228" t="inlineStr">
        <is>
          <t>Large sharks (&gt;=90 cm)</t>
        </is>
      </c>
      <c r="D228" t="inlineStr">
        <is>
          <t>Sharks &amp; rays</t>
        </is>
      </c>
      <c r="E228" s="7" t="inlineStr">
        <is>
          <t>Sharks</t>
        </is>
      </c>
      <c r="F228" t="inlineStr"/>
      <c r="G228" t="inlineStr"/>
      <c r="H228" t="inlineStr">
        <is>
          <t>high</t>
        </is>
      </c>
      <c r="I228" t="inlineStr">
        <is>
          <t>inherited_mapping</t>
        </is>
      </c>
      <c r="J228" t="n">
        <v>18414.957</v>
      </c>
      <c r="K228" t="n">
        <v>0.009299999999999999</v>
      </c>
      <c r="L228" s="6" t="inlineStr">
        <is>
          <t>Houndshark family - true (Carcharhiniform) sharks, unambiguous fit under the clean shark/batoid split even though the family itself is not one of Table 1's named examples.</t>
        </is>
      </c>
    </row>
    <row r="229">
      <c r="A229" t="inlineStr">
        <is>
          <t>Scyris indica</t>
        </is>
      </c>
      <c r="B229" t="inlineStr">
        <is>
          <t>Indian threadfish</t>
        </is>
      </c>
      <c r="C229" t="inlineStr">
        <is>
          <t>Large reef assoc. fish (&gt;=90 cm)</t>
        </is>
      </c>
      <c r="D229" t="inlineStr">
        <is>
          <t>Perch-likes</t>
        </is>
      </c>
      <c r="E229" s="5" t="inlineStr">
        <is>
          <t>Large Benthic Carnivores</t>
        </is>
      </c>
      <c r="F229" t="inlineStr"/>
      <c r="G229" t="inlineStr"/>
      <c r="H229" t="inlineStr">
        <is>
          <t>medium</t>
        </is>
      </c>
      <c r="I229" t="inlineStr">
        <is>
          <t>inherited_mapping</t>
        </is>
      </c>
      <c r="J229" t="n">
        <v>17571.093</v>
      </c>
      <c r="K229" t="n">
        <v>0.0089</v>
      </c>
      <c r="L229" s="6" t="inlineStr">
        <is>
          <t>Indian threadfish; Carangidae, but a large apex predatory reef jack/trevally (TL 3.8-4.5) rather than the small schooling "scad" niche Table 1 names for Carangidae under Small Benthopelagics - placed instead with the demersal apex-predator guild (Large Benthic Carnivores) by size, diet and TL.</t>
        </is>
      </c>
    </row>
    <row r="230">
      <c r="A230" t="inlineStr">
        <is>
          <t>Echinoidea</t>
        </is>
      </c>
      <c r="B230" t="inlineStr">
        <is>
          <t>Sea urchins, sea hedgehogs</t>
        </is>
      </c>
      <c r="C230" t="inlineStr">
        <is>
          <t>Other demersal invertebrates</t>
        </is>
      </c>
      <c r="D230" t="inlineStr">
        <is>
          <t>Other fishes &amp; inverts</t>
        </is>
      </c>
      <c r="E230" s="7" t="inlineStr">
        <is>
          <t>Heterotrophic Benthos</t>
        </is>
      </c>
      <c r="F230" t="inlineStr"/>
      <c r="G230" t="inlineStr"/>
      <c r="H230" t="inlineStr">
        <is>
          <t>high</t>
        </is>
      </c>
      <c r="I230" t="inlineStr">
        <is>
          <t>inherited_mapping</t>
        </is>
      </c>
      <c r="J230" t="n">
        <v>17485.226</v>
      </c>
      <c r="K230" t="n">
        <v>0.008800000000000001</v>
      </c>
      <c r="L230" s="6" t="inlineStr">
        <is>
          <t>Sea urchin class; "echinoderms" is Table 1's explicit example for Heterotrophic Benthos.</t>
        </is>
      </c>
    </row>
    <row r="231">
      <c r="A231" t="inlineStr">
        <is>
          <t>Carcharhinus falciformis</t>
        </is>
      </c>
      <c r="B231" t="inlineStr">
        <is>
          <t>Silky shark</t>
        </is>
      </c>
      <c r="C231" t="inlineStr">
        <is>
          <t>Large sharks (&gt;=90 cm)</t>
        </is>
      </c>
      <c r="D231" t="inlineStr">
        <is>
          <t>Sharks &amp; rays</t>
        </is>
      </c>
      <c r="E231" s="7" t="inlineStr">
        <is>
          <t>Sharks</t>
        </is>
      </c>
      <c r="F231" t="inlineStr"/>
      <c r="G231" t="inlineStr"/>
      <c r="H231" t="inlineStr">
        <is>
          <t>high</t>
        </is>
      </c>
      <c r="I231" t="inlineStr">
        <is>
          <t>inherited_mapping</t>
        </is>
      </c>
      <c r="J231" t="n">
        <v>17278.073</v>
      </c>
      <c r="K231" t="n">
        <v>0.008699999999999999</v>
      </c>
      <c r="L231" s="6" t="inlineStr">
        <is>
          <t>Silky shark; exact genus (Carcharhinus) explicitly named in Table 1's Sharks definition.</t>
        </is>
      </c>
    </row>
    <row r="232">
      <c r="A232" t="inlineStr">
        <is>
          <t>Atropus armatus</t>
        </is>
      </c>
      <c r="B232" t="inlineStr">
        <is>
          <t>Longfin trevally</t>
        </is>
      </c>
      <c r="C232" t="inlineStr">
        <is>
          <t>Medium reef assoc. fish (30 - 89 cm)</t>
        </is>
      </c>
      <c r="D232" t="inlineStr">
        <is>
          <t>Perch-likes</t>
        </is>
      </c>
      <c r="E232" s="5" t="inlineStr">
        <is>
          <t>Large Benthic Carnivores</t>
        </is>
      </c>
      <c r="F232" t="inlineStr"/>
      <c r="G232" t="inlineStr"/>
      <c r="H232" t="inlineStr">
        <is>
          <t>medium</t>
        </is>
      </c>
      <c r="I232" t="inlineStr">
        <is>
          <t>inherited_mapping</t>
        </is>
      </c>
      <c r="J232" t="n">
        <v>16713.03</v>
      </c>
      <c r="K232" t="n">
        <v>0.008399999999999999</v>
      </c>
      <c r="L232" s="6" t="inlineStr">
        <is>
          <t>Longfin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233">
      <c r="A233" t="inlineStr">
        <is>
          <t>Scaridae</t>
        </is>
      </c>
      <c r="B233" t="inlineStr">
        <is>
          <t>Parrotfishes</t>
        </is>
      </c>
      <c r="C233" t="inlineStr">
        <is>
          <t>Medium reef assoc. fish (30 - 89 cm)</t>
        </is>
      </c>
      <c r="D233" t="inlineStr">
        <is>
          <t>Perch-likes</t>
        </is>
      </c>
      <c r="E233" s="5" t="inlineStr">
        <is>
          <t>Benthic Omnivores</t>
        </is>
      </c>
      <c r="F233" t="inlineStr"/>
      <c r="G233" t="inlineStr"/>
      <c r="H233" t="inlineStr">
        <is>
          <t>medium</t>
        </is>
      </c>
      <c r="I233" t="inlineStr">
        <is>
          <t>inherited_mapping</t>
        </is>
      </c>
      <c r="J233" t="n">
        <v>16241</v>
      </c>
      <c r="K233" t="n">
        <v>0.008200000000000001</v>
      </c>
      <c r="L233" s="6" t="inlineStr">
        <is>
          <t>Parrotfish family; parrotfish (Scaridae) are herbivorous reef grazers (TL ~2.0-2.67), not named in Table 1 but ecologically closest to the low-TL grazer/omnivore guild of Benthic Omnivores (group TL 2.55).</t>
        </is>
      </c>
    </row>
    <row r="234">
      <c r="A234" t="inlineStr">
        <is>
          <t>Siganus sutor</t>
        </is>
      </c>
      <c r="B234" t="inlineStr">
        <is>
          <t>Shoemaker spinefoot</t>
        </is>
      </c>
      <c r="C234" t="inlineStr">
        <is>
          <t>Medium reef assoc. fish (30 - 89 cm)</t>
        </is>
      </c>
      <c r="D234" t="inlineStr">
        <is>
          <t>Perch-likes</t>
        </is>
      </c>
      <c r="E234" s="5" t="inlineStr">
        <is>
          <t>Benthic Omnivores</t>
        </is>
      </c>
      <c r="F234" t="inlineStr"/>
      <c r="G234" t="inlineStr"/>
      <c r="H234" t="inlineStr">
        <is>
          <t>medium</t>
        </is>
      </c>
      <c r="I234" t="inlineStr">
        <is>
          <t>inherited_mapping</t>
        </is>
      </c>
      <c r="J234" t="n">
        <v>16132.427</v>
      </c>
      <c r="K234" t="n">
        <v>0.008200000000000001</v>
      </c>
      <c r="L234" s="6" t="inlineStr">
        <is>
          <t>Shoemaker spinefoot; rabbitfish (Siganidae) are herbivorous reef grazers (TL ~2.0-2.76), not named in Table 1 but ecologically closest to the low-TL grazer/omnivore guild of Benthic Omnivores (group TL 2.55).</t>
        </is>
      </c>
    </row>
    <row r="235">
      <c r="A235" t="inlineStr">
        <is>
          <t>Coryphaena</t>
        </is>
      </c>
      <c r="B235" t="inlineStr">
        <is>
          <t>Dolphinfishes</t>
        </is>
      </c>
      <c r="C235" t="inlineStr">
        <is>
          <t>Large pelagics (&gt;=90 cm)</t>
        </is>
      </c>
      <c r="D235" t="inlineStr">
        <is>
          <t>Perch-likes</t>
        </is>
      </c>
      <c r="E235" s="5" t="inlineStr">
        <is>
          <t>Large Pelagics</t>
        </is>
      </c>
      <c r="F235" t="inlineStr"/>
      <c r="G235" t="inlineStr"/>
      <c r="H235" t="inlineStr">
        <is>
          <t>medium</t>
        </is>
      </c>
      <c r="I235" t="inlineStr">
        <is>
          <t>inherited_mapping</t>
        </is>
      </c>
      <c r="J235" t="n">
        <v>15909.095</v>
      </c>
      <c r="K235" t="n">
        <v>0.008</v>
      </c>
      <c r="L235" s="6" t="inlineStr">
        <is>
          <t>Dolphinfishes (genus); not one of Table 1's named examples, but ecologically a fast, large epipelagic piscivore matching this apex-predator group's diet (feeds on Mackerel/Clupeids/Anchovies groups per the diet matrix) and TL band (4.37-4.49 vs group TL 4.18).</t>
        </is>
      </c>
    </row>
    <row r="236">
      <c r="A236" t="inlineStr">
        <is>
          <t>Kajikia audax</t>
        </is>
      </c>
      <c r="B236" t="inlineStr">
        <is>
          <t>Striped marlin</t>
        </is>
      </c>
      <c r="C236" t="inlineStr">
        <is>
          <t>Large pelagics (&gt;=90 cm)</t>
        </is>
      </c>
      <c r="D236" t="inlineStr">
        <is>
          <t>Tuna &amp; billfishes</t>
        </is>
      </c>
      <c r="E236" s="5" t="inlineStr">
        <is>
          <t>Large Pelagics</t>
        </is>
      </c>
      <c r="F236" t="inlineStr"/>
      <c r="G236" t="inlineStr"/>
      <c r="H236" t="inlineStr">
        <is>
          <t>medium</t>
        </is>
      </c>
      <c r="I236" t="inlineStr">
        <is>
          <t>inherited_mapping</t>
        </is>
      </c>
      <c r="J236" t="n">
        <v>15755.536</v>
      </c>
      <c r="K236" t="n">
        <v>0.008</v>
      </c>
      <c r="L236" s="6" t="inlineStr">
        <is>
          <t>Striped marlin; Table 1 names no billfish group and lists no billfish genus under either Large Pelagics or Tunas, so placement is by ecology - a fast apex epipelagic predator matching the Large Pelagics guild's diet/TL profile (group TL 4.18) rather than the tuna tribe Thunnini.</t>
        </is>
      </c>
    </row>
    <row r="237">
      <c r="A237" t="inlineStr">
        <is>
          <t>Leptomelanosoma indicum</t>
        </is>
      </c>
      <c r="B237" t="inlineStr">
        <is>
          <t>Indian threadfin</t>
        </is>
      </c>
      <c r="C237" t="inlineStr">
        <is>
          <t>Large demersals (&gt;=90 cm)</t>
        </is>
      </c>
      <c r="D237" t="inlineStr">
        <is>
          <t>Perch-likes</t>
        </is>
      </c>
      <c r="E237" s="5" t="inlineStr">
        <is>
          <t>Large Benthic Carnivores</t>
        </is>
      </c>
      <c r="F237" t="inlineStr"/>
      <c r="G237" t="inlineStr"/>
      <c r="H237" t="inlineStr">
        <is>
          <t>medium</t>
        </is>
      </c>
      <c r="I237" t="inlineStr">
        <is>
          <t>inherited_mapping</t>
        </is>
      </c>
      <c r="J237" t="n">
        <v>15236.355</v>
      </c>
      <c r="K237" t="n">
        <v>0.0077</v>
      </c>
      <c r="L237" s="6" t="inlineStr">
        <is>
          <t>Indian threadfin; Polynemidae, large-bodied demersal predator (SAU size class "Large demersals", TL 3.86-4.06), closest to the demersal apex-predator guild of Large Benthic Carnivores among named groups; family not itself named in Table 1.</t>
        </is>
      </c>
    </row>
    <row r="238">
      <c r="A238" t="inlineStr">
        <is>
          <t>Gobiidae</t>
        </is>
      </c>
      <c r="B238" t="inlineStr">
        <is>
          <t>Gobies</t>
        </is>
      </c>
      <c r="C238" t="inlineStr">
        <is>
          <t>Small reef assoc. fish (&lt;30 cm)</t>
        </is>
      </c>
      <c r="D238" t="inlineStr">
        <is>
          <t>Perch-likes</t>
        </is>
      </c>
      <c r="E238" s="5" t="inlineStr">
        <is>
          <t>Small Benthic Carnivores</t>
        </is>
      </c>
      <c r="F238" t="inlineStr"/>
      <c r="G238" t="inlineStr"/>
      <c r="H238" t="inlineStr">
        <is>
          <t>medium</t>
        </is>
      </c>
      <c r="I238" t="inlineStr">
        <is>
          <t>inherited_mapping</t>
        </is>
      </c>
      <c r="J238" t="n">
        <v>15210.912</v>
      </c>
      <c r="K238" t="n">
        <v>0.0077</v>
      </c>
      <c r="L238" s="6" t="inlineStr">
        <is>
          <t>Goby family; small cryptic benthic invertivore, SAU size class "Small reef assoc. fish" and TL 3.11, closest named group is Small Benthic Carnivores (group TL 2.68); family not named in Table 1.</t>
        </is>
      </c>
    </row>
    <row r="239">
      <c r="A239" t="inlineStr">
        <is>
          <t>Epinephelus diacanthus</t>
        </is>
      </c>
      <c r="B239" t="inlineStr">
        <is>
          <t>Spinycheek grouper</t>
        </is>
      </c>
      <c r="C239" t="inlineStr">
        <is>
          <t>Large reef assoc. fish (&gt;=90 cm)</t>
        </is>
      </c>
      <c r="D239" t="inlineStr">
        <is>
          <t>Perch-likes</t>
        </is>
      </c>
      <c r="E239" s="7" t="inlineStr">
        <is>
          <t>Large Benthic Carnivores</t>
        </is>
      </c>
      <c r="F239" t="inlineStr"/>
      <c r="G239" t="inlineStr"/>
      <c r="H239" t="inlineStr">
        <is>
          <t>high</t>
        </is>
      </c>
      <c r="I239" t="inlineStr">
        <is>
          <t>inherited_mapping</t>
        </is>
      </c>
      <c r="J239" t="n">
        <v>14880.687</v>
      </c>
      <c r="K239" t="n">
        <v>0.0075</v>
      </c>
      <c r="L239" s="6" t="inlineStr">
        <is>
          <t>Spinycheek grouper; Serranidae (grouper/rockcod family) - "rock cods" is Table 1's explicit example for Large Benthic Carnivores.</t>
        </is>
      </c>
    </row>
    <row r="240">
      <c r="A240" t="inlineStr">
        <is>
          <t>Cnidaria</t>
        </is>
      </c>
      <c r="B240" t="inlineStr">
        <is>
          <t>Cnidarians, coelenterates</t>
        </is>
      </c>
      <c r="C240" t="inlineStr">
        <is>
          <t>Jellyfish</t>
        </is>
      </c>
      <c r="D240" t="inlineStr">
        <is>
          <t>Other fishes &amp; inverts</t>
        </is>
      </c>
      <c r="E240" s="5" t="inlineStr">
        <is>
          <t>Micro Nekton</t>
        </is>
      </c>
      <c r="F240" t="inlineStr"/>
      <c r="G240" t="inlineStr"/>
      <c r="H240" t="inlineStr">
        <is>
          <t>medium</t>
        </is>
      </c>
      <c r="I240" t="inlineStr">
        <is>
          <t>inherited_mapping</t>
        </is>
      </c>
      <c r="J240" t="n">
        <v>14671.652</v>
      </c>
      <c r="K240" t="n">
        <v>0.0074</v>
      </c>
      <c r="L240" s="6" t="inlineStr">
        <is>
          <t>SAU's own functional_group for this row is "Jellyfish" (matching the other Scyphozoa entries), so this catch is treated as pelagic jellyfish; however the phylum Cnidaria technically also covers benthic hydrozoans (which Table 1 assigns to Meiobenthos), so the placement relies on SAU's corroborating classification rather than the phylum name alone.</t>
        </is>
      </c>
    </row>
    <row r="241">
      <c r="A241" t="inlineStr">
        <is>
          <t>Drepane</t>
        </is>
      </c>
      <c r="B241" t="inlineStr">
        <is>
          <t>Sicklefishes</t>
        </is>
      </c>
      <c r="C241" t="inlineStr">
        <is>
          <t>Medium benthopelagics (30 - 89 cm)</t>
        </is>
      </c>
      <c r="D241" t="inlineStr">
        <is>
          <t>Perch-likes</t>
        </is>
      </c>
      <c r="E241" s="5" t="inlineStr">
        <is>
          <t>Med Benthic Carnivores</t>
        </is>
      </c>
      <c r="F241" t="inlineStr"/>
      <c r="G241" t="inlineStr"/>
      <c r="H241" t="inlineStr">
        <is>
          <t>medium</t>
        </is>
      </c>
      <c r="I241" t="inlineStr">
        <is>
          <t>inherited_mapping</t>
        </is>
      </c>
      <c r="J241" t="n">
        <v>14260.894</v>
      </c>
      <c r="K241" t="n">
        <v>0.0072</v>
      </c>
      <c r="L241" s="6" t="inlineStr">
        <is>
          <t>Sicklefish (genus); Ephippidae/Drepaneidae (Ephippoidei), a benthopelagic invertivore/omnivore guild not named in Table 1, placed by TL match (~3.3 vs group TL 3.19).</t>
        </is>
      </c>
    </row>
    <row r="242">
      <c r="A242" t="inlineStr">
        <is>
          <t>Alopias pelagicus</t>
        </is>
      </c>
      <c r="B242" t="inlineStr">
        <is>
          <t>Pelagic thresher</t>
        </is>
      </c>
      <c r="C242" t="inlineStr">
        <is>
          <t>Large sharks (&gt;=90 cm)</t>
        </is>
      </c>
      <c r="D242" t="inlineStr">
        <is>
          <t>Sharks &amp; rays</t>
        </is>
      </c>
      <c r="E242" s="7" t="inlineStr">
        <is>
          <t>Sharks</t>
        </is>
      </c>
      <c r="F242" t="inlineStr"/>
      <c r="G242" t="inlineStr"/>
      <c r="H242" t="inlineStr">
        <is>
          <t>high</t>
        </is>
      </c>
      <c r="I242" t="inlineStr">
        <is>
          <t>inherited_mapping</t>
        </is>
      </c>
      <c r="J242" t="n">
        <v>14043.933</v>
      </c>
      <c r="K242" t="n">
        <v>0.0071</v>
      </c>
      <c r="L242" s="6" t="inlineStr">
        <is>
          <t>Pelagic thresher; Lamniformes true shark. This model splits sharks from batoids cleanly (group 2 vs group 3), and any true-shark genus not a batoid is an unambiguous fit to Sharks even where the exact genus is not one of Table 1's named examples (Rhizoprionodon, Carcharhinus, Scoliodon, Sphyrna).</t>
        </is>
      </c>
    </row>
    <row r="243">
      <c r="A243" t="inlineStr">
        <is>
          <t>Brama brama</t>
        </is>
      </c>
      <c r="B243" t="inlineStr">
        <is>
          <t>Atlantic pomfret</t>
        </is>
      </c>
      <c r="C243" t="inlineStr">
        <is>
          <t>Medium bathypelagics (30 - 89 cm)</t>
        </is>
      </c>
      <c r="D243" t="inlineStr">
        <is>
          <t>Perch-likes</t>
        </is>
      </c>
      <c r="E243" s="5" t="inlineStr">
        <is>
          <t>Large Benthopelagics</t>
        </is>
      </c>
      <c r="F243" t="inlineStr"/>
      <c r="G243" t="inlineStr"/>
      <c r="H243" t="inlineStr">
        <is>
          <t>medium</t>
        </is>
      </c>
      <c r="I243" t="inlineStr">
        <is>
          <t>inherited_mapping</t>
        </is>
      </c>
      <c r="J243" t="n">
        <v>13644.929</v>
      </c>
      <c r="K243" t="n">
        <v>0.0069</v>
      </c>
      <c r="L243" s="6" t="inlineStr">
        <is>
          <t>Atlantic pomfret; Bramidae oceanic predator, not the Stromateidae "pomfrets" of Med Benthic Carnivores - placed by TL (4.08 vs group 4.15) and offshore habit.</t>
        </is>
      </c>
    </row>
    <row r="244">
      <c r="A244" t="inlineStr">
        <is>
          <t>Aprion virescens</t>
        </is>
      </c>
      <c r="B244" t="inlineStr">
        <is>
          <t>Green jobfish</t>
        </is>
      </c>
      <c r="C244" t="inlineStr">
        <is>
          <t>Large reef assoc. fish (&gt;=90 cm)</t>
        </is>
      </c>
      <c r="D244" t="inlineStr">
        <is>
          <t>Perch-likes</t>
        </is>
      </c>
      <c r="E244" s="7" t="inlineStr">
        <is>
          <t>Large Benthic Carnivores</t>
        </is>
      </c>
      <c r="F244" t="inlineStr"/>
      <c r="G244" t="inlineStr"/>
      <c r="H244" t="inlineStr">
        <is>
          <t>high</t>
        </is>
      </c>
      <c r="I244" t="inlineStr">
        <is>
          <t>inherited_mapping</t>
        </is>
      </c>
      <c r="J244" t="n">
        <v>13187.538</v>
      </c>
      <c r="K244" t="n">
        <v>0.0067</v>
      </c>
      <c r="L244" s="6" t="inlineStr">
        <is>
          <t>Green jobfish; Lutjanidae (snapper/jobfish family) - "jobfish" and "red snappers" are Table 1's explicit examples for Large Benthic Carnivores.</t>
        </is>
      </c>
    </row>
    <row r="245">
      <c r="A245" t="inlineStr">
        <is>
          <t>Thunnus alalunga</t>
        </is>
      </c>
      <c r="B245" t="inlineStr">
        <is>
          <t>Albacore</t>
        </is>
      </c>
      <c r="C245" t="inlineStr">
        <is>
          <t>Large pelagics (&gt;=90 cm)</t>
        </is>
      </c>
      <c r="D245" t="inlineStr">
        <is>
          <t>Tuna &amp; billfishes</t>
        </is>
      </c>
      <c r="E245" s="7" t="inlineStr">
        <is>
          <t>Tunas</t>
        </is>
      </c>
      <c r="F245" t="inlineStr"/>
      <c r="G245" t="inlineStr"/>
      <c r="H245" t="inlineStr">
        <is>
          <t>high</t>
        </is>
      </c>
      <c r="I245" t="inlineStr">
        <is>
          <t>inherited_mapping</t>
        </is>
      </c>
      <c r="J245" t="n">
        <v>12341.518</v>
      </c>
      <c r="K245" t="n">
        <v>0.0062</v>
      </c>
      <c r="L245" s="6" t="inlineStr">
        <is>
          <t>Albacore; exact genus (Thunnus) explicitly named in Table 1's Tunas definition.</t>
        </is>
      </c>
    </row>
    <row r="246">
      <c r="A246" t="inlineStr">
        <is>
          <t>Epinephelus chlorostigma</t>
        </is>
      </c>
      <c r="B246" t="inlineStr">
        <is>
          <t>Brownspotted grouper</t>
        </is>
      </c>
      <c r="C246" t="inlineStr">
        <is>
          <t>Medium reef assoc. fish (30 - 89 cm)</t>
        </is>
      </c>
      <c r="D246" t="inlineStr">
        <is>
          <t>Perch-likes</t>
        </is>
      </c>
      <c r="E246" s="7" t="inlineStr">
        <is>
          <t>Large Benthic Carnivores</t>
        </is>
      </c>
      <c r="F246" t="inlineStr"/>
      <c r="G246" t="inlineStr"/>
      <c r="H246" t="inlineStr">
        <is>
          <t>high</t>
        </is>
      </c>
      <c r="I246" t="inlineStr">
        <is>
          <t>inherited_mapping</t>
        </is>
      </c>
      <c r="J246" t="n">
        <v>11466.251</v>
      </c>
      <c r="K246" t="n">
        <v>0.0058</v>
      </c>
      <c r="L246" s="6" t="inlineStr">
        <is>
          <t>Brownspotted grouper; Serranidae (grouper/rockcod family) - "rock cods" is Table 1's explicit example for Large Benthic Carnivores.</t>
        </is>
      </c>
    </row>
    <row r="247">
      <c r="A247" t="inlineStr">
        <is>
          <t>Ophichthidae</t>
        </is>
      </c>
      <c r="B247" t="inlineStr">
        <is>
          <t>Snake eels</t>
        </is>
      </c>
      <c r="C247" t="inlineStr">
        <is>
          <t>Medium demersals (30 - 89 cm)</t>
        </is>
      </c>
      <c r="D247" t="inlineStr">
        <is>
          <t>Other fishes &amp; inverts</t>
        </is>
      </c>
      <c r="E247" s="5" t="inlineStr">
        <is>
          <t>Large Benthic Carnivores</t>
        </is>
      </c>
      <c r="F247" t="inlineStr"/>
      <c r="G247" t="inlineStr"/>
      <c r="H247" t="inlineStr">
        <is>
          <t>medium</t>
        </is>
      </c>
      <c r="I247" t="inlineStr">
        <is>
          <t>inherited_mapping</t>
        </is>
      </c>
      <c r="J247" t="n">
        <v>11234.059</v>
      </c>
      <c r="K247" t="n">
        <v>0.0057</v>
      </c>
      <c r="L247" s="6" t="inlineStr">
        <is>
          <t>Snake eel family; large benthic ambush-predator eel, not named in Table 1 but ecologically and trophically (TL ~3.9-4.4) closest to the demersal apex-predator guild of Large Benthic Carnivores.</t>
        </is>
      </c>
    </row>
    <row r="248">
      <c r="A248" t="inlineStr">
        <is>
          <t>Mollusca</t>
        </is>
      </c>
      <c r="B248" t="inlineStr">
        <is>
          <t>Clams, seasnails, squids, octopuses</t>
        </is>
      </c>
      <c r="C248" t="inlineStr">
        <is>
          <t>Other demersal invertebrates</t>
        </is>
      </c>
      <c r="D248" t="inlineStr">
        <is>
          <t>Molluscs</t>
        </is>
      </c>
      <c r="E248" s="5" t="inlineStr">
        <is>
          <t>Heterotrophic Benthos</t>
        </is>
      </c>
      <c r="F248" t="inlineStr"/>
      <c r="G248" t="inlineStr"/>
      <c r="H248" t="inlineStr">
        <is>
          <t>medium</t>
        </is>
      </c>
      <c r="I248" t="inlineStr">
        <is>
          <t>habitat_size_guild</t>
        </is>
      </c>
      <c r="J248" t="n">
        <v>11223.967</v>
      </c>
      <c r="K248" t="n">
        <v>0.0057</v>
      </c>
      <c r="L248" s="6" t="inlineStr">
        <is>
          <t>Phylum-level record, but Sea Around Us classes it as functional group Other demersal invertebrates rather than Cephalopods, so it is the benthic-mollusc pile, not a squid pile; the model's Heterotrophic Benthos group is explicitly 'bivalves, gastropods, echinoderms, benthic crabs, amphipods and isopods' (the Bulletin 51 components-of-ecological-groupings table (PDF pp. 21-22), Grp18). Cephalopods excluded on that class and because this LME's cephalopod landings are near-completely identified to family or genus, so no split is made.</t>
        </is>
      </c>
    </row>
    <row r="249">
      <c r="A249" t="inlineStr">
        <is>
          <t>Lethrinus microdon</t>
        </is>
      </c>
      <c r="B249" t="inlineStr">
        <is>
          <t>Smalltooth emperor</t>
        </is>
      </c>
      <c r="C249" t="inlineStr">
        <is>
          <t>Medium reef assoc. fish (30 - 89 cm)</t>
        </is>
      </c>
      <c r="D249" t="inlineStr">
        <is>
          <t>Perch-likes</t>
        </is>
      </c>
      <c r="E249" s="5" t="inlineStr">
        <is>
          <t>Large Benthic Carnivores</t>
        </is>
      </c>
      <c r="F249" t="inlineStr"/>
      <c r="G249" t="inlineStr"/>
      <c r="H249" t="inlineStr">
        <is>
          <t>medium</t>
        </is>
      </c>
      <c r="I249" t="inlineStr">
        <is>
          <t>inherited_mapping</t>
        </is>
      </c>
      <c r="J249" t="n">
        <v>11123.595</v>
      </c>
      <c r="K249" t="n">
        <v>0.0056</v>
      </c>
      <c r="L249" s="6" t="inlineStr">
        <is>
          <t>Smalltooth emperor; Lethrinidae (emperor family), a demersal durophagous/piscivorous carnivore guild not named in Table 1 but ecologically parallel to the snapper/grouper apex reef-predator guild of Large Benthic Carnivores (mean TL ~3.7, group TL 4.14).</t>
        </is>
      </c>
    </row>
    <row r="250">
      <c r="A250" t="inlineStr">
        <is>
          <t>Lutjanus gibbus</t>
        </is>
      </c>
      <c r="B250" t="inlineStr">
        <is>
          <t>Humpback red snapper</t>
        </is>
      </c>
      <c r="C250" t="inlineStr">
        <is>
          <t>Medium reef assoc. fish (30 - 89 cm)</t>
        </is>
      </c>
      <c r="D250" t="inlineStr">
        <is>
          <t>Perch-likes</t>
        </is>
      </c>
      <c r="E250" s="7" t="inlineStr">
        <is>
          <t>Large Benthic Carnivores</t>
        </is>
      </c>
      <c r="F250" t="inlineStr"/>
      <c r="G250" t="inlineStr"/>
      <c r="H250" t="inlineStr">
        <is>
          <t>high</t>
        </is>
      </c>
      <c r="I250" t="inlineStr">
        <is>
          <t>inherited_mapping</t>
        </is>
      </c>
      <c r="J250" t="n">
        <v>10992.693</v>
      </c>
      <c r="K250" t="n">
        <v>0.0056</v>
      </c>
      <c r="L250" s="6" t="inlineStr">
        <is>
          <t>Humpback red snapper; Lutjanidae (snapper/jobfish family) - "jobfish" and "red snappers" are Table 1's explicit examples for Large Benthic Carnivores.</t>
        </is>
      </c>
    </row>
    <row r="251">
      <c r="A251" t="inlineStr">
        <is>
          <t>Caesionidae</t>
        </is>
      </c>
      <c r="B251" t="inlineStr">
        <is>
          <t>Fusiliers</t>
        </is>
      </c>
      <c r="C251" t="inlineStr">
        <is>
          <t>Medium reef assoc. fish (30 - 89 cm)</t>
        </is>
      </c>
      <c r="D251" t="inlineStr">
        <is>
          <t>Perch-likes</t>
        </is>
      </c>
      <c r="E251" s="5" t="inlineStr">
        <is>
          <t>Small Benthopelagics</t>
        </is>
      </c>
      <c r="F251" t="inlineStr"/>
      <c r="G251" t="inlineStr"/>
      <c r="H251" t="inlineStr">
        <is>
          <t>medium</t>
        </is>
      </c>
      <c r="I251" t="inlineStr">
        <is>
          <t>inherited_mapping</t>
        </is>
      </c>
      <c r="J251" t="n">
        <v>10859.782</v>
      </c>
      <c r="K251" t="n">
        <v>0.0055</v>
      </c>
      <c r="L251" s="6" t="inlineStr">
        <is>
          <t>Fusilier family; schooling planktivorous reef fish (Lutjanidae relatives), ecologically closer to the schooling small-benthopelagic zooplanktivore guild than to the demersal-carnivore groups; family not named in Table 1.</t>
        </is>
      </c>
    </row>
    <row r="252">
      <c r="A252" t="inlineStr">
        <is>
          <t>Pomacanthus maculosus</t>
        </is>
      </c>
      <c r="B252" t="inlineStr">
        <is>
          <t>Yellowbar angelfish</t>
        </is>
      </c>
      <c r="C252" t="inlineStr">
        <is>
          <t>Medium reef assoc. fish (30 - 89 cm)</t>
        </is>
      </c>
      <c r="D252" t="inlineStr">
        <is>
          <t>Perch-likes</t>
        </is>
      </c>
      <c r="E252" s="5" t="inlineStr">
        <is>
          <t>Benthic Omnivores</t>
        </is>
      </c>
      <c r="F252" t="inlineStr"/>
      <c r="G252" t="inlineStr"/>
      <c r="H252" t="inlineStr">
        <is>
          <t>medium</t>
        </is>
      </c>
      <c r="I252" t="inlineStr">
        <is>
          <t>inherited_mapping</t>
        </is>
      </c>
      <c r="J252" t="n">
        <v>10706.132</v>
      </c>
      <c r="K252" t="n">
        <v>0.0054</v>
      </c>
      <c r="L252" s="6" t="inlineStr">
        <is>
          <t>Yellowbar angelfish; angelfish (Pomacanthidae) are sponge/algae-grazing reef omnivores (TL 2.67-2.86), not named in Table 1 but ecologically closest to the low-TL Benthic Omnivores guild (group TL 2.55).</t>
        </is>
      </c>
    </row>
    <row r="253">
      <c r="A253" t="inlineStr">
        <is>
          <t>Epinephelus multinotatus</t>
        </is>
      </c>
      <c r="B253" t="inlineStr">
        <is>
          <t>White-blotched grouper</t>
        </is>
      </c>
      <c r="C253" t="inlineStr">
        <is>
          <t>Medium reef assoc. fish (30 - 89 cm)</t>
        </is>
      </c>
      <c r="D253" t="inlineStr">
        <is>
          <t>Perch-likes</t>
        </is>
      </c>
      <c r="E253" s="7" t="inlineStr">
        <is>
          <t>Large Benthic Carnivores</t>
        </is>
      </c>
      <c r="F253" t="inlineStr"/>
      <c r="G253" t="inlineStr"/>
      <c r="H253" t="inlineStr">
        <is>
          <t>high</t>
        </is>
      </c>
      <c r="I253" t="inlineStr">
        <is>
          <t>inherited_mapping</t>
        </is>
      </c>
      <c r="J253" t="n">
        <v>10222.92</v>
      </c>
      <c r="K253" t="n">
        <v>0.0052</v>
      </c>
      <c r="L253" s="6" t="inlineStr">
        <is>
          <t>White-blotched grouper; Serranidae (grouper/rockcod family) - "rock cods" is Table 1's explicit example for Large Benthic Carnivores.</t>
        </is>
      </c>
    </row>
    <row r="254">
      <c r="A254" t="inlineStr">
        <is>
          <t>Mene maculata</t>
        </is>
      </c>
      <c r="B254" t="inlineStr">
        <is>
          <t>Moonfish</t>
        </is>
      </c>
      <c r="C254" t="inlineStr">
        <is>
          <t>Medium reef assoc. fish (30 - 89 cm)</t>
        </is>
      </c>
      <c r="D254" t="inlineStr">
        <is>
          <t>Perch-likes</t>
        </is>
      </c>
      <c r="E254" s="7" t="inlineStr">
        <is>
          <t>Small Benthopelagics</t>
        </is>
      </c>
      <c r="F254" t="inlineStr"/>
      <c r="G254" t="inlineStr"/>
      <c r="H254" t="inlineStr">
        <is>
          <t>high</t>
        </is>
      </c>
      <c r="I254" t="inlineStr">
        <is>
          <t>inherited_mapping</t>
        </is>
      </c>
      <c r="J254" t="n">
        <v>10210.54</v>
      </c>
      <c r="K254" t="n">
        <v>0.0052</v>
      </c>
      <c r="L254" s="6" t="inlineStr">
        <is>
          <t>Moonfish; "moonfish" is Table 1's explicit example for Small Benthopelagics.</t>
        </is>
      </c>
    </row>
    <row r="255">
      <c r="A255" t="inlineStr">
        <is>
          <t>Nemipterus</t>
        </is>
      </c>
      <c r="B255" t="inlineStr">
        <is>
          <t>Threadfin breams</t>
        </is>
      </c>
      <c r="C255" t="inlineStr">
        <is>
          <t>Small demersals (&lt;30 cm)</t>
        </is>
      </c>
      <c r="D255" t="inlineStr">
        <is>
          <t>Perch-likes</t>
        </is>
      </c>
      <c r="E255" s="7" t="inlineStr">
        <is>
          <t>Small Benthic Carnivores</t>
        </is>
      </c>
      <c r="F255" t="inlineStr"/>
      <c r="G255" t="inlineStr"/>
      <c r="H255" t="inlineStr">
        <is>
          <t>high</t>
        </is>
      </c>
      <c r="I255" t="inlineStr">
        <is>
          <t>inherited_mapping</t>
        </is>
      </c>
      <c r="J255" t="n">
        <v>9812.878000000001</v>
      </c>
      <c r="K255" t="n">
        <v>0.005</v>
      </c>
      <c r="L255" s="6" t="inlineStr">
        <is>
          <t>Threadfin bream (genus); Nemipteridae (threadfin bream/monocle bream family) - "threadfin breams" is Table 1's explicit example for Small Benthic Carnivores.</t>
        </is>
      </c>
    </row>
    <row r="256">
      <c r="A256" t="inlineStr">
        <is>
          <t>Pomadasys argenteus</t>
        </is>
      </c>
      <c r="B256" t="inlineStr">
        <is>
          <t>Silver grunt</t>
        </is>
      </c>
      <c r="C256" t="inlineStr">
        <is>
          <t>Medium demersals (30 - 89 cm)</t>
        </is>
      </c>
      <c r="D256" t="inlineStr">
        <is>
          <t>Perch-likes</t>
        </is>
      </c>
      <c r="E256" s="5" t="inlineStr">
        <is>
          <t>Med Benthic Carnivores</t>
        </is>
      </c>
      <c r="F256" t="inlineStr"/>
      <c r="G256" t="inlineStr"/>
      <c r="H256" t="inlineStr">
        <is>
          <t>medium</t>
        </is>
      </c>
      <c r="I256" t="inlineStr">
        <is>
          <t>inherited_mapping</t>
        </is>
      </c>
      <c r="J256" t="n">
        <v>9322.816000000001</v>
      </c>
      <c r="K256" t="n">
        <v>0.0047</v>
      </c>
      <c r="L256" s="6" t="inlineStr">
        <is>
          <t>Silver grunt; Haemulidae (grunt/sweetlips family), a demersal benthic-invertivore guild not named in Table 1, placed with Med Benthic Carnivores by ecology and TL (~3.3-4.0 vs group TL 3.19).</t>
        </is>
      </c>
    </row>
    <row r="257">
      <c r="A257" t="inlineStr">
        <is>
          <t>Lethrinus obsoletus</t>
        </is>
      </c>
      <c r="B257" t="inlineStr">
        <is>
          <t>Orange-striped emperor</t>
        </is>
      </c>
      <c r="C257" t="inlineStr">
        <is>
          <t>Medium demersals (30 - 89 cm)</t>
        </is>
      </c>
      <c r="D257" t="inlineStr">
        <is>
          <t>Perch-likes</t>
        </is>
      </c>
      <c r="E257" s="5" t="inlineStr">
        <is>
          <t>Large Benthic Carnivores</t>
        </is>
      </c>
      <c r="F257" t="inlineStr"/>
      <c r="G257" t="inlineStr"/>
      <c r="H257" t="inlineStr">
        <is>
          <t>medium</t>
        </is>
      </c>
      <c r="I257" t="inlineStr">
        <is>
          <t>inherited_mapping</t>
        </is>
      </c>
      <c r="J257" t="n">
        <v>9285.449000000001</v>
      </c>
      <c r="K257" t="n">
        <v>0.0047</v>
      </c>
      <c r="L257" s="6" t="inlineStr">
        <is>
          <t>Orange-striped emperor; Lethrinidae (emperor family), a demersal durophagous/piscivorous carnivore guild not named in Table 1 but ecologically parallel to the snapper/grouper apex reef-predator guild of Large Benthic Carnivores (mean TL ~3.7, group TL 4.14).</t>
        </is>
      </c>
    </row>
    <row r="258">
      <c r="A258" t="inlineStr">
        <is>
          <t>Scomberoides tol</t>
        </is>
      </c>
      <c r="B258" t="inlineStr">
        <is>
          <t>Needlescaled queenfish</t>
        </is>
      </c>
      <c r="C258" t="inlineStr">
        <is>
          <t>Medium pelagics (30 - 89 cm)</t>
        </is>
      </c>
      <c r="D258" t="inlineStr">
        <is>
          <t>Perch-likes</t>
        </is>
      </c>
      <c r="E258" s="7" t="inlineStr">
        <is>
          <t>Large Benthopelagics</t>
        </is>
      </c>
      <c r="F258" t="inlineStr"/>
      <c r="G258" t="inlineStr"/>
      <c r="H258" t="inlineStr">
        <is>
          <t>high</t>
        </is>
      </c>
      <c r="I258" t="inlineStr">
        <is>
          <t>inherited_mapping</t>
        </is>
      </c>
      <c r="J258" t="n">
        <v>9239.781000000001</v>
      </c>
      <c r="K258" t="n">
        <v>0.0047</v>
      </c>
      <c r="L258" s="6" t="inlineStr">
        <is>
          <t>Needlescaled queenfish; exact genus (Scomberoides = "queenfish") explicitly named in Table 1's Large Benthopelagics definition.</t>
        </is>
      </c>
    </row>
    <row r="259">
      <c r="A259" t="inlineStr">
        <is>
          <t>Penaeus monodon</t>
        </is>
      </c>
      <c r="B259" t="inlineStr">
        <is>
          <t>Giant tiger prawn</t>
        </is>
      </c>
      <c r="C259" t="inlineStr">
        <is>
          <t>Shrimps</t>
        </is>
      </c>
      <c r="D259" t="inlineStr">
        <is>
          <t>Crustaceans</t>
        </is>
      </c>
      <c r="E259" s="7" t="inlineStr">
        <is>
          <t>Shrimps</t>
        </is>
      </c>
      <c r="F259" t="inlineStr"/>
      <c r="G259" t="inlineStr"/>
      <c r="H259" t="inlineStr">
        <is>
          <t>high</t>
        </is>
      </c>
      <c r="I259" t="inlineStr">
        <is>
          <t>inherited_mapping</t>
        </is>
      </c>
      <c r="J259" t="n">
        <v>8853.793</v>
      </c>
      <c r="K259" t="n">
        <v>0.0045</v>
      </c>
      <c r="L259" s="6" t="inlineStr">
        <is>
          <t>Giant tiger prawn; Penaeidae, the family containing all of Table 1's named Shrimps genera.</t>
        </is>
      </c>
    </row>
    <row r="260">
      <c r="A260" t="inlineStr">
        <is>
          <t>Sphyrna lewini</t>
        </is>
      </c>
      <c r="B260" t="inlineStr">
        <is>
          <t>Scalloped hammerhead</t>
        </is>
      </c>
      <c r="C260" t="inlineStr">
        <is>
          <t>Large sharks (&gt;=90 cm)</t>
        </is>
      </c>
      <c r="D260" t="inlineStr">
        <is>
          <t>Sharks &amp; rays</t>
        </is>
      </c>
      <c r="E260" s="7" t="inlineStr">
        <is>
          <t>Sharks</t>
        </is>
      </c>
      <c r="F260" t="inlineStr"/>
      <c r="G260" t="inlineStr"/>
      <c r="H260" t="inlineStr">
        <is>
          <t>high</t>
        </is>
      </c>
      <c r="I260" t="inlineStr">
        <is>
          <t>inherited_mapping</t>
        </is>
      </c>
      <c r="J260" t="n">
        <v>8822.938</v>
      </c>
      <c r="K260" t="n">
        <v>0.0045</v>
      </c>
      <c r="L260" s="6" t="inlineStr">
        <is>
          <t>Scalloped hammerhead; exact genus (Sphyrna) explicitly named in Table 1's Sharks definition.</t>
        </is>
      </c>
    </row>
    <row r="261">
      <c r="A261" t="inlineStr">
        <is>
          <t>Alectis ciliaris</t>
        </is>
      </c>
      <c r="B261" t="inlineStr">
        <is>
          <t>African pompano</t>
        </is>
      </c>
      <c r="C261" t="inlineStr">
        <is>
          <t>Large pelagics (&gt;=90 cm)</t>
        </is>
      </c>
      <c r="D261" t="inlineStr">
        <is>
          <t>Perch-likes</t>
        </is>
      </c>
      <c r="E261" s="5" t="inlineStr">
        <is>
          <t>Large Benthic Carnivores</t>
        </is>
      </c>
      <c r="F261" t="inlineStr"/>
      <c r="G261" t="inlineStr"/>
      <c r="H261" t="inlineStr">
        <is>
          <t>medium</t>
        </is>
      </c>
      <c r="I261" t="inlineStr">
        <is>
          <t>inherited_mapping</t>
        </is>
      </c>
      <c r="J261" t="n">
        <v>8403.142</v>
      </c>
      <c r="K261" t="n">
        <v>0.0042</v>
      </c>
      <c r="L261" s="6" t="inlineStr">
        <is>
          <t>African pompano; Carangidae, but a large apex predatory reef jack/trevally (TL 3.8-4.5) rather than the small schooling "scad" niche Table 1 names for Carangidae under Small Benthopelagics - placed instead with the demersal apex-predator guild (Large Benthic Carnivores) by size, diet and TL.</t>
        </is>
      </c>
    </row>
    <row r="262">
      <c r="A262" t="inlineStr">
        <is>
          <t>Gerres longirostris</t>
        </is>
      </c>
      <c r="B262" t="inlineStr">
        <is>
          <t>Strongspine silver-biddy</t>
        </is>
      </c>
      <c r="C262" t="inlineStr">
        <is>
          <t>Medium demersals (30 - 89 cm)</t>
        </is>
      </c>
      <c r="D262" t="inlineStr">
        <is>
          <t>Perch-likes</t>
        </is>
      </c>
      <c r="E262" s="5" t="inlineStr">
        <is>
          <t>Small Benthic Carnivores</t>
        </is>
      </c>
      <c r="F262" t="inlineStr"/>
      <c r="G262" t="inlineStr"/>
      <c r="H262" t="inlineStr">
        <is>
          <t>medium</t>
        </is>
      </c>
      <c r="I262" t="inlineStr">
        <is>
          <t>analogue</t>
        </is>
      </c>
      <c r="J262" t="n">
        <v>8217.519</v>
      </c>
      <c r="K262" t="n">
        <v>0.0042</v>
      </c>
      <c r="L262" s="6" t="inlineStr">
        <is>
          <t>Strongspine silver-biddy; a small demersal benthic invertivore of the Grp10 Small Benthic Carnivores guild. The Bulletin's 'silverbellies' are Leiognathidae, not Gerreidae, so this is an ecological analogue rather than a listed member.</t>
        </is>
      </c>
    </row>
    <row r="263">
      <c r="A263" t="inlineStr">
        <is>
          <t>Trachinotus mookalee</t>
        </is>
      </c>
      <c r="B263" t="inlineStr">
        <is>
          <t>Indian pompano</t>
        </is>
      </c>
      <c r="C263" t="inlineStr">
        <is>
          <t>Medium demersals (30 - 89 cm)</t>
        </is>
      </c>
      <c r="D263" t="inlineStr">
        <is>
          <t>Perch-likes</t>
        </is>
      </c>
      <c r="E263" s="5" t="inlineStr">
        <is>
          <t>Large Benthic Carnivores</t>
        </is>
      </c>
      <c r="F263" t="inlineStr"/>
      <c r="G263" t="inlineStr"/>
      <c r="H263" t="inlineStr">
        <is>
          <t>medium</t>
        </is>
      </c>
      <c r="I263" t="inlineStr">
        <is>
          <t>inherited_mapping</t>
        </is>
      </c>
      <c r="J263" t="n">
        <v>8179.139</v>
      </c>
      <c r="K263" t="n">
        <v>0.0041</v>
      </c>
      <c r="L263" s="6" t="inlineStr">
        <is>
          <t>Indian pompano; Carangidae, but a large apex predatory reef jack/trevally (TL 3.8-4.5) rather than the small schooling "scad" niche Table 1 names for Carangidae under Small Benthopelagics - placed instead with the demersal apex-predator guild (Large Benthic Carnivores) by size, diet and TL.</t>
        </is>
      </c>
    </row>
    <row r="264">
      <c r="A264" t="inlineStr">
        <is>
          <t>Carcharhinus albimarginatus</t>
        </is>
      </c>
      <c r="B264" t="inlineStr">
        <is>
          <t>Silvertip shark</t>
        </is>
      </c>
      <c r="C264" t="inlineStr">
        <is>
          <t>Large sharks (&gt;=90 cm)</t>
        </is>
      </c>
      <c r="D264" t="inlineStr">
        <is>
          <t>Sharks &amp; rays</t>
        </is>
      </c>
      <c r="E264" s="7" t="inlineStr">
        <is>
          <t>Sharks</t>
        </is>
      </c>
      <c r="F264" t="inlineStr"/>
      <c r="G264" t="inlineStr"/>
      <c r="H264" t="inlineStr">
        <is>
          <t>high</t>
        </is>
      </c>
      <c r="I264" t="inlineStr">
        <is>
          <t>inherited_mapping</t>
        </is>
      </c>
      <c r="J264" t="n">
        <v>8000.798</v>
      </c>
      <c r="K264" t="n">
        <v>0.004</v>
      </c>
      <c r="L264" s="6" t="inlineStr">
        <is>
          <t>Silvertip shark; exact genus (Carcharhinus) explicitly named in Table 1's Sharks definition.</t>
        </is>
      </c>
    </row>
    <row r="265">
      <c r="A265" t="inlineStr">
        <is>
          <t>Lutjanus bohar</t>
        </is>
      </c>
      <c r="B265" t="inlineStr">
        <is>
          <t>Two-spot red snapper</t>
        </is>
      </c>
      <c r="C265" t="inlineStr">
        <is>
          <t>Medium reef assoc. fish (30 - 89 cm)</t>
        </is>
      </c>
      <c r="D265" t="inlineStr">
        <is>
          <t>Perch-likes</t>
        </is>
      </c>
      <c r="E265" s="7" t="inlineStr">
        <is>
          <t>Large Benthic Carnivores</t>
        </is>
      </c>
      <c r="F265" t="inlineStr"/>
      <c r="G265" t="inlineStr"/>
      <c r="H265" t="inlineStr">
        <is>
          <t>high</t>
        </is>
      </c>
      <c r="I265" t="inlineStr">
        <is>
          <t>inherited_mapping</t>
        </is>
      </c>
      <c r="J265" t="n">
        <v>7996.811</v>
      </c>
      <c r="K265" t="n">
        <v>0.004</v>
      </c>
      <c r="L265" s="6" t="inlineStr">
        <is>
          <t>Two-spot red snapper; Lutjanidae (snapper/jobfish family) - "jobfish" and "red snappers" are Table 1's explicit examples for Large Benthic Carnivores.</t>
        </is>
      </c>
    </row>
    <row r="266">
      <c r="A266" t="inlineStr">
        <is>
          <t>Rachycentridae</t>
        </is>
      </c>
      <c r="B266" t="inlineStr">
        <is>
          <t>Cobias</t>
        </is>
      </c>
      <c r="C266" t="inlineStr">
        <is>
          <t>Large pelagics (&gt;=90 cm)</t>
        </is>
      </c>
      <c r="D266" t="inlineStr">
        <is>
          <t>Perch-likes</t>
        </is>
      </c>
      <c r="E266" s="5" t="inlineStr">
        <is>
          <t>Large Pelagics</t>
        </is>
      </c>
      <c r="F266" t="inlineStr"/>
      <c r="G266" t="inlineStr"/>
      <c r="H266" t="inlineStr">
        <is>
          <t>medium</t>
        </is>
      </c>
      <c r="I266" t="inlineStr">
        <is>
          <t>inherited_mapping</t>
        </is>
      </c>
      <c r="J266" t="n">
        <v>7618.716</v>
      </c>
      <c r="K266" t="n">
        <v>0.0039</v>
      </c>
      <c r="L266" s="6" t="inlineStr">
        <is>
          <t>Cobia family; large solitary pelagic/benthopelagic piscivore, not one of Table 1's named examples but ecologically closest to the Large Pelagics apex-predator guild (TL 3.96 vs group TL 4.18).</t>
        </is>
      </c>
    </row>
    <row r="267">
      <c r="A267" t="inlineStr">
        <is>
          <t>Penaeus</t>
        </is>
      </c>
      <c r="B267" t="inlineStr">
        <is>
          <t>Tiger prawns</t>
        </is>
      </c>
      <c r="C267" t="inlineStr">
        <is>
          <t>Shrimps</t>
        </is>
      </c>
      <c r="D267" t="inlineStr">
        <is>
          <t>Crustaceans</t>
        </is>
      </c>
      <c r="E267" s="7" t="inlineStr">
        <is>
          <t>Shrimps</t>
        </is>
      </c>
      <c r="F267" t="inlineStr"/>
      <c r="G267" t="inlineStr"/>
      <c r="H267" t="inlineStr">
        <is>
          <t>high</t>
        </is>
      </c>
      <c r="I267" t="inlineStr">
        <is>
          <t>inherited_mapping</t>
        </is>
      </c>
      <c r="J267" t="n">
        <v>7571.559</v>
      </c>
      <c r="K267" t="n">
        <v>0.0038</v>
      </c>
      <c r="L267" s="6" t="inlineStr">
        <is>
          <t>Tiger prawn (genus); Penaeidae, the family containing all of Table 1's named Shrimps genera.</t>
        </is>
      </c>
    </row>
    <row r="268">
      <c r="A268" t="inlineStr">
        <is>
          <t>Plectorhinchus gaterinus</t>
        </is>
      </c>
      <c r="B268" t="inlineStr">
        <is>
          <t>Blackspotted rubberlip</t>
        </is>
      </c>
      <c r="C268" t="inlineStr">
        <is>
          <t>Medium reef assoc. fish (30 - 89 cm)</t>
        </is>
      </c>
      <c r="D268" t="inlineStr">
        <is>
          <t>Perch-likes</t>
        </is>
      </c>
      <c r="E268" s="5" t="inlineStr">
        <is>
          <t>Med Benthic Carnivores</t>
        </is>
      </c>
      <c r="F268" t="inlineStr"/>
      <c r="G268" t="inlineStr"/>
      <c r="H268" t="inlineStr">
        <is>
          <t>medium</t>
        </is>
      </c>
      <c r="I268" t="inlineStr">
        <is>
          <t>inherited_mapping</t>
        </is>
      </c>
      <c r="J268" t="n">
        <v>7495.696</v>
      </c>
      <c r="K268" t="n">
        <v>0.0038</v>
      </c>
      <c r="L268" s="6" t="inlineStr">
        <is>
          <t>Blackspotted rubberlip; Haemulidae (grunt/sweetlips family), a demersal benthic-invertivore guild not named in Table 1, placed with Med Benthic Carnivores by ecology and TL (~3.3-4.0 vs group TL 3.19).</t>
        </is>
      </c>
    </row>
    <row r="269">
      <c r="A269" t="inlineStr">
        <is>
          <t>Variola louti</t>
        </is>
      </c>
      <c r="B269" t="inlineStr">
        <is>
          <t>Yellow-edged lyretail</t>
        </is>
      </c>
      <c r="C269" t="inlineStr">
        <is>
          <t>Medium reef assoc. fish (30 - 89 cm)</t>
        </is>
      </c>
      <c r="D269" t="inlineStr">
        <is>
          <t>Perch-likes</t>
        </is>
      </c>
      <c r="E269" s="7" t="inlineStr">
        <is>
          <t>Large Benthic Carnivores</t>
        </is>
      </c>
      <c r="F269" t="inlineStr"/>
      <c r="G269" t="inlineStr"/>
      <c r="H269" t="inlineStr">
        <is>
          <t>high</t>
        </is>
      </c>
      <c r="I269" t="inlineStr">
        <is>
          <t>inherited_mapping</t>
        </is>
      </c>
      <c r="J269" t="n">
        <v>6949.836</v>
      </c>
      <c r="K269" t="n">
        <v>0.0035</v>
      </c>
      <c r="L269" s="6" t="inlineStr">
        <is>
          <t>Yellow-edged lyretail; Serranidae (grouper/rockcod family) - "rock cods" is Table 1's explicit example for Large Benthic Carnivores.</t>
        </is>
      </c>
    </row>
    <row r="270">
      <c r="A270" t="inlineStr">
        <is>
          <t>Lutjanus russellii</t>
        </is>
      </c>
      <c r="B270" t="inlineStr">
        <is>
          <t>Russell's snapper</t>
        </is>
      </c>
      <c r="C270" t="inlineStr">
        <is>
          <t>Medium reef assoc. fish (30 - 89 cm)</t>
        </is>
      </c>
      <c r="D270" t="inlineStr">
        <is>
          <t>Perch-likes</t>
        </is>
      </c>
      <c r="E270" s="7" t="inlineStr">
        <is>
          <t>Large Benthic Carnivores</t>
        </is>
      </c>
      <c r="F270" t="inlineStr"/>
      <c r="G270" t="inlineStr"/>
      <c r="H270" t="inlineStr">
        <is>
          <t>high</t>
        </is>
      </c>
      <c r="I270" t="inlineStr">
        <is>
          <t>inherited_mapping</t>
        </is>
      </c>
      <c r="J270" t="n">
        <v>6630.168</v>
      </c>
      <c r="K270" t="n">
        <v>0.0034</v>
      </c>
      <c r="L270" s="6" t="inlineStr">
        <is>
          <t>Russell's snapper; Lutjanidae (snapper/jobfish family) - "jobfish" and "red snappers" are Table 1's explicit examples for Large Benthic Carnivores.</t>
        </is>
      </c>
    </row>
    <row r="271">
      <c r="A271" t="inlineStr">
        <is>
          <t>Etelis</t>
        </is>
      </c>
      <c r="B271" t="inlineStr">
        <is>
          <t>Snappers</t>
        </is>
      </c>
      <c r="C271" t="inlineStr">
        <is>
          <t>Medium bathydemersals (30 - 89 cm)</t>
        </is>
      </c>
      <c r="D271" t="inlineStr">
        <is>
          <t>Perch-likes</t>
        </is>
      </c>
      <c r="E271" s="7" t="inlineStr">
        <is>
          <t>Large Benthic Carnivores</t>
        </is>
      </c>
      <c r="F271" t="inlineStr"/>
      <c r="G271" t="inlineStr"/>
      <c r="H271" t="inlineStr">
        <is>
          <t>high</t>
        </is>
      </c>
      <c r="I271" t="inlineStr">
        <is>
          <t>inherited_mapping</t>
        </is>
      </c>
      <c r="J271" t="n">
        <v>6470.63</v>
      </c>
      <c r="K271" t="n">
        <v>0.0033</v>
      </c>
      <c r="L271" s="6" t="inlineStr">
        <is>
          <t>Deepwater snapper (genus); Lutjanidae (snapper/jobfish family) - "jobfish" and "red snappers" are Table 1's explicit examples for Large Benthic Carnivores.</t>
        </is>
      </c>
    </row>
    <row r="272">
      <c r="A272" t="inlineStr">
        <is>
          <t>Spratelloides gracilis</t>
        </is>
      </c>
      <c r="B272" t="inlineStr">
        <is>
          <t>Silver-stripe round herring</t>
        </is>
      </c>
      <c r="C272" t="inlineStr">
        <is>
          <t>Small pelagics (&lt;30 cm)</t>
        </is>
      </c>
      <c r="D272" t="inlineStr">
        <is>
          <t>Herring-likes</t>
        </is>
      </c>
      <c r="E272" s="7" t="inlineStr">
        <is>
          <t>Clupeids</t>
        </is>
      </c>
      <c r="F272" t="inlineStr"/>
      <c r="G272" t="inlineStr"/>
      <c r="H272" t="inlineStr">
        <is>
          <t>high</t>
        </is>
      </c>
      <c r="I272" t="inlineStr">
        <is>
          <t>inherited_mapping</t>
        </is>
      </c>
      <c r="J272" t="n">
        <v>6452.688</v>
      </c>
      <c r="K272" t="n">
        <v>0.0033</v>
      </c>
      <c r="L272" s="6" t="inlineStr">
        <is>
          <t>Silver-stripe round herring; round herrings (Dussumieriidae) are historically classified within Clupeidae, the family defining the Clupeids group.</t>
        </is>
      </c>
    </row>
    <row r="273">
      <c r="A273" t="inlineStr">
        <is>
          <t>Plectropomus areolatus</t>
        </is>
      </c>
      <c r="B273" t="inlineStr">
        <is>
          <t>Squaretail coralgrouper</t>
        </is>
      </c>
      <c r="C273" t="inlineStr">
        <is>
          <t>Medium reef assoc. fish (30 - 89 cm)</t>
        </is>
      </c>
      <c r="D273" t="inlineStr">
        <is>
          <t>Perch-likes</t>
        </is>
      </c>
      <c r="E273" s="7" t="inlineStr">
        <is>
          <t>Large Benthic Carnivores</t>
        </is>
      </c>
      <c r="F273" t="inlineStr"/>
      <c r="G273" t="inlineStr"/>
      <c r="H273" t="inlineStr">
        <is>
          <t>high</t>
        </is>
      </c>
      <c r="I273" t="inlineStr">
        <is>
          <t>inherited_mapping</t>
        </is>
      </c>
      <c r="J273" t="n">
        <v>6303.972</v>
      </c>
      <c r="K273" t="n">
        <v>0.0032</v>
      </c>
      <c r="L273" s="6" t="inlineStr">
        <is>
          <t>Squaretail coralgrouper; Serranidae (grouper/rockcod family) - "rock cods" is Table 1's explicit example for Large Benthic Carnivores.</t>
        </is>
      </c>
    </row>
    <row r="274">
      <c r="A274" t="inlineStr">
        <is>
          <t>Plectropomus pessuliferus</t>
        </is>
      </c>
      <c r="B274" t="inlineStr">
        <is>
          <t>Roving coralgrouper</t>
        </is>
      </c>
      <c r="C274" t="inlineStr">
        <is>
          <t>Large reef assoc. fish (&gt;=90 cm)</t>
        </is>
      </c>
      <c r="D274" t="inlineStr">
        <is>
          <t>Perch-likes</t>
        </is>
      </c>
      <c r="E274" s="7" t="inlineStr">
        <is>
          <t>Large Benthic Carnivores</t>
        </is>
      </c>
      <c r="F274" t="inlineStr"/>
      <c r="G274" t="inlineStr"/>
      <c r="H274" t="inlineStr">
        <is>
          <t>high</t>
        </is>
      </c>
      <c r="I274" t="inlineStr">
        <is>
          <t>inherited_mapping</t>
        </is>
      </c>
      <c r="J274" t="n">
        <v>6054.55</v>
      </c>
      <c r="K274" t="n">
        <v>0.0031</v>
      </c>
      <c r="L274" s="6" t="inlineStr">
        <is>
          <t>Roving coralgrouper; Serranidae (grouper/rockcod family) - "rock cods" is Table 1's explicit example for Large Benthic Carnivores.</t>
        </is>
      </c>
    </row>
    <row r="275">
      <c r="A275" t="inlineStr">
        <is>
          <t>Xiphiidae</t>
        </is>
      </c>
      <c r="B275" t="inlineStr">
        <is>
          <t>Swordfishes</t>
        </is>
      </c>
      <c r="C275" t="inlineStr">
        <is>
          <t>Large pelagics (&gt;=90 cm)</t>
        </is>
      </c>
      <c r="D275" t="inlineStr">
        <is>
          <t>Tuna &amp; billfishes</t>
        </is>
      </c>
      <c r="E275" s="5" t="inlineStr">
        <is>
          <t>Large Pelagics</t>
        </is>
      </c>
      <c r="F275" t="inlineStr"/>
      <c r="G275" t="inlineStr"/>
      <c r="H275" t="inlineStr">
        <is>
          <t>medium</t>
        </is>
      </c>
      <c r="I275" t="inlineStr">
        <is>
          <t>inherited_mapping</t>
        </is>
      </c>
      <c r="J275" t="n">
        <v>5870.999</v>
      </c>
      <c r="K275" t="n">
        <v>0.003</v>
      </c>
      <c r="L275" s="6" t="inlineStr">
        <is>
          <t>Swordfish family; Table 1 names no billfish group and lists no billfish genus under either Large Pelagics or Tunas, so placement is by ecology - a fast apex epipelagic predator matching the Large Pelagics guild's diet/TL profile (group TL 4.18) rather than the tuna tribe Thunnini.</t>
        </is>
      </c>
    </row>
    <row r="276">
      <c r="A276" t="inlineStr">
        <is>
          <t>Carcharhinus plumbeus</t>
        </is>
      </c>
      <c r="B276" t="inlineStr">
        <is>
          <t>Sandbar shark</t>
        </is>
      </c>
      <c r="C276" t="inlineStr">
        <is>
          <t>Large sharks (&gt;=90 cm)</t>
        </is>
      </c>
      <c r="D276" t="inlineStr">
        <is>
          <t>Sharks &amp; rays</t>
        </is>
      </c>
      <c r="E276" s="7" t="inlineStr">
        <is>
          <t>Sharks</t>
        </is>
      </c>
      <c r="F276" t="inlineStr"/>
      <c r="G276" t="inlineStr"/>
      <c r="H276" t="inlineStr">
        <is>
          <t>high</t>
        </is>
      </c>
      <c r="I276" t="inlineStr">
        <is>
          <t>inherited_mapping</t>
        </is>
      </c>
      <c r="J276" t="n">
        <v>5853.508</v>
      </c>
      <c r="K276" t="n">
        <v>0.003</v>
      </c>
      <c r="L276" s="6" t="inlineStr">
        <is>
          <t>Sandbar shark; exact genus (Carcharhinus) explicitly named in Table 1's Sharks definition.</t>
        </is>
      </c>
    </row>
    <row r="277">
      <c r="A277" t="inlineStr">
        <is>
          <t>Turrum fulvoguttatum</t>
        </is>
      </c>
      <c r="B277" t="inlineStr">
        <is>
          <t>Yellowspotted trevally</t>
        </is>
      </c>
      <c r="C277" t="inlineStr">
        <is>
          <t>Large reef assoc. fish (&gt;=90 cm)</t>
        </is>
      </c>
      <c r="D277" t="inlineStr">
        <is>
          <t>Perch-likes</t>
        </is>
      </c>
      <c r="E277" s="5" t="inlineStr">
        <is>
          <t>Large Benthic Carnivores</t>
        </is>
      </c>
      <c r="F277" t="inlineStr"/>
      <c r="G277" t="inlineStr"/>
      <c r="H277" t="inlineStr">
        <is>
          <t>medium</t>
        </is>
      </c>
      <c r="I277" t="inlineStr">
        <is>
          <t>inherited_mapping</t>
        </is>
      </c>
      <c r="J277" t="n">
        <v>5520.542</v>
      </c>
      <c r="K277" t="n">
        <v>0.0028</v>
      </c>
      <c r="L277" s="6" t="inlineStr">
        <is>
          <t>Yellowspotted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278">
      <c r="A278" t="inlineStr">
        <is>
          <t>Thenus orientalis</t>
        </is>
      </c>
      <c r="B278" t="inlineStr">
        <is>
          <t>Flathead lobster</t>
        </is>
      </c>
      <c r="C278" t="inlineStr">
        <is>
          <t>Lobsters, crabs</t>
        </is>
      </c>
      <c r="D278" t="inlineStr">
        <is>
          <t>Crustaceans</t>
        </is>
      </c>
      <c r="E278" s="7" t="inlineStr">
        <is>
          <t>Crabs &amp; Lobster</t>
        </is>
      </c>
      <c r="F278" t="inlineStr"/>
      <c r="G278" t="inlineStr"/>
      <c r="H278" t="inlineStr">
        <is>
          <t>high</t>
        </is>
      </c>
      <c r="I278" t="inlineStr">
        <is>
          <t>inherited_mapping</t>
        </is>
      </c>
      <c r="J278" t="n">
        <v>5431.147</v>
      </c>
      <c r="K278" t="n">
        <v>0.0027</v>
      </c>
      <c r="L278" s="6" t="inlineStr">
        <is>
          <t>Flathead (Moreton Bay bug) lobster; Scyllaridae, a different lobster family from Palinuridae, but unambiguously a lobster and the model's Crabs &amp; Lobster group is the only crustacean group besides Shrimps that could hold it.</t>
        </is>
      </c>
    </row>
    <row r="279">
      <c r="A279" t="inlineStr">
        <is>
          <t>Lutjanus quinquelineatus</t>
        </is>
      </c>
      <c r="B279" t="inlineStr">
        <is>
          <t>Five-lined snapper</t>
        </is>
      </c>
      <c r="C279" t="inlineStr">
        <is>
          <t>Medium reef assoc. fish (30 - 89 cm)</t>
        </is>
      </c>
      <c r="D279" t="inlineStr">
        <is>
          <t>Perch-likes</t>
        </is>
      </c>
      <c r="E279" s="7" t="inlineStr">
        <is>
          <t>Large Benthic Carnivores</t>
        </is>
      </c>
      <c r="F279" t="inlineStr"/>
      <c r="G279" t="inlineStr"/>
      <c r="H279" t="inlineStr">
        <is>
          <t>high</t>
        </is>
      </c>
      <c r="I279" t="inlineStr">
        <is>
          <t>inherited_mapping</t>
        </is>
      </c>
      <c r="J279" t="n">
        <v>5428.573</v>
      </c>
      <c r="K279" t="n">
        <v>0.0027</v>
      </c>
      <c r="L279" s="6" t="inlineStr">
        <is>
          <t>Five-lined snapper; Lutjanidae (snapper/jobfish family) - "jobfish" and "red snappers" are Table 1's explicit examples for Large Benthic Carnivores.</t>
        </is>
      </c>
    </row>
    <row r="280">
      <c r="A280" t="inlineStr">
        <is>
          <t>Metapenaeus</t>
        </is>
      </c>
      <c r="B280" t="inlineStr">
        <is>
          <t>Indo-Pacific prawns</t>
        </is>
      </c>
      <c r="C280" t="inlineStr">
        <is>
          <t>Shrimps</t>
        </is>
      </c>
      <c r="D280" t="inlineStr">
        <is>
          <t>Crustaceans</t>
        </is>
      </c>
      <c r="E280" s="7" t="inlineStr">
        <is>
          <t>Shrimps</t>
        </is>
      </c>
      <c r="F280" t="inlineStr"/>
      <c r="G280" t="inlineStr"/>
      <c r="H280" t="inlineStr">
        <is>
          <t>high</t>
        </is>
      </c>
      <c r="I280" t="inlineStr">
        <is>
          <t>inherited_mapping</t>
        </is>
      </c>
      <c r="J280" t="n">
        <v>5245.378</v>
      </c>
      <c r="K280" t="n">
        <v>0.0027</v>
      </c>
      <c r="L280" s="6" t="inlineStr">
        <is>
          <t>Genus explicitly named in Table 1's Shrimps definition.</t>
        </is>
      </c>
    </row>
    <row r="281">
      <c r="A281" t="inlineStr">
        <is>
          <t>Galeocerdo cuvier</t>
        </is>
      </c>
      <c r="B281" t="inlineStr">
        <is>
          <t>Tiger shark</t>
        </is>
      </c>
      <c r="C281" t="inlineStr">
        <is>
          <t>Large sharks (&gt;=90 cm)</t>
        </is>
      </c>
      <c r="D281" t="inlineStr">
        <is>
          <t>Sharks &amp; rays</t>
        </is>
      </c>
      <c r="E281" s="7" t="inlineStr">
        <is>
          <t>Sharks</t>
        </is>
      </c>
      <c r="F281" t="inlineStr"/>
      <c r="G281" t="inlineStr"/>
      <c r="H281" t="inlineStr">
        <is>
          <t>high</t>
        </is>
      </c>
      <c r="I281" t="inlineStr">
        <is>
          <t>inherited_mapping</t>
        </is>
      </c>
      <c r="J281" t="n">
        <v>4958.714</v>
      </c>
      <c r="K281" t="n">
        <v>0.0025</v>
      </c>
      <c r="L281" s="6" t="inlineStr">
        <is>
          <t>Tiger shark (Carcharhinidae); true shark, unambiguous fit.</t>
        </is>
      </c>
    </row>
    <row r="282">
      <c r="A282" t="inlineStr">
        <is>
          <t>Carcharhinus</t>
        </is>
      </c>
      <c r="B282" t="inlineStr">
        <is>
          <t>Sharp-nosed sharks</t>
        </is>
      </c>
      <c r="C282" t="inlineStr">
        <is>
          <t>Large sharks (&gt;=90 cm)</t>
        </is>
      </c>
      <c r="D282" t="inlineStr">
        <is>
          <t>Sharks &amp; rays</t>
        </is>
      </c>
      <c r="E282" s="7" t="inlineStr">
        <is>
          <t>Sharks</t>
        </is>
      </c>
      <c r="F282" t="inlineStr"/>
      <c r="G282" t="inlineStr"/>
      <c r="H282" t="inlineStr">
        <is>
          <t>high</t>
        </is>
      </c>
      <c r="I282" t="inlineStr">
        <is>
          <t>inherited_mapping</t>
        </is>
      </c>
      <c r="J282" t="n">
        <v>4954.139</v>
      </c>
      <c r="K282" t="n">
        <v>0.0025</v>
      </c>
      <c r="L282" s="6" t="inlineStr">
        <is>
          <t>Genus explicitly named in Table 1's Sharks definition (Rhizoprionodon, Carcharhinus, Scoliodon, Sphyrna spp).</t>
        </is>
      </c>
    </row>
    <row r="283">
      <c r="A283" t="inlineStr">
        <is>
          <t>Uroteuthis duvaucelii</t>
        </is>
      </c>
      <c r="B283" t="inlineStr">
        <is>
          <t>Indian squid</t>
        </is>
      </c>
      <c r="C283" t="inlineStr">
        <is>
          <t>Cephalopods</t>
        </is>
      </c>
      <c r="D283" t="inlineStr">
        <is>
          <t>Other fishes &amp; inverts</t>
        </is>
      </c>
      <c r="E283" s="7" t="inlineStr">
        <is>
          <t>Cephalopods</t>
        </is>
      </c>
      <c r="F283" t="inlineStr"/>
      <c r="G283" t="inlineStr"/>
      <c r="H283" t="inlineStr">
        <is>
          <t>high</t>
        </is>
      </c>
      <c r="I283" t="inlineStr">
        <is>
          <t>inherited_mapping</t>
        </is>
      </c>
      <c r="J283" t="n">
        <v>4913.985</v>
      </c>
      <c r="K283" t="n">
        <v>0.0025</v>
      </c>
      <c r="L283" s="6" t="inlineStr">
        <is>
          <t>Indian squid; Cephalopods is the model's only cephalopod-type group, so every cephalopod taxon is an unambiguous fit regardless of exact rank.</t>
        </is>
      </c>
    </row>
    <row r="284">
      <c r="A284" t="inlineStr">
        <is>
          <t>Carcharhinus amblyrhynchoides</t>
        </is>
      </c>
      <c r="B284" t="inlineStr">
        <is>
          <t>Graceful shark</t>
        </is>
      </c>
      <c r="C284" t="inlineStr">
        <is>
          <t>Large sharks (&gt;=90 cm)</t>
        </is>
      </c>
      <c r="D284" t="inlineStr">
        <is>
          <t>Sharks &amp; rays</t>
        </is>
      </c>
      <c r="E284" s="7" t="inlineStr">
        <is>
          <t>Sharks</t>
        </is>
      </c>
      <c r="F284" t="inlineStr"/>
      <c r="G284" t="inlineStr"/>
      <c r="H284" t="inlineStr">
        <is>
          <t>high</t>
        </is>
      </c>
      <c r="I284" t="inlineStr">
        <is>
          <t>inherited_mapping</t>
        </is>
      </c>
      <c r="J284" t="n">
        <v>4875.324</v>
      </c>
      <c r="K284" t="n">
        <v>0.0025</v>
      </c>
      <c r="L284" s="6" t="inlineStr">
        <is>
          <t>Graceful shark; exact genus (Carcharhinus) explicitly named in Table 1's Sharks definition.</t>
        </is>
      </c>
    </row>
    <row r="285">
      <c r="A285" t="inlineStr">
        <is>
          <t>Scarus persicus</t>
        </is>
      </c>
      <c r="B285" t="inlineStr">
        <is>
          <t>Gulf parrotfish</t>
        </is>
      </c>
      <c r="C285" t="inlineStr">
        <is>
          <t>Medium benthopelagics (30 - 89 cm)</t>
        </is>
      </c>
      <c r="D285" t="inlineStr">
        <is>
          <t>Perch-likes</t>
        </is>
      </c>
      <c r="E285" s="5" t="inlineStr">
        <is>
          <t>Benthic Omnivores</t>
        </is>
      </c>
      <c r="F285" t="inlineStr"/>
      <c r="G285" t="inlineStr"/>
      <c r="H285" t="inlineStr">
        <is>
          <t>medium</t>
        </is>
      </c>
      <c r="I285" t="inlineStr">
        <is>
          <t>inherited_mapping</t>
        </is>
      </c>
      <c r="J285" t="n">
        <v>4725.175</v>
      </c>
      <c r="K285" t="n">
        <v>0.0024</v>
      </c>
      <c r="L285" s="6" t="inlineStr">
        <is>
          <t>Gulf parrotfish; parrotfish (Scaridae) are herbivorous reef grazers (TL ~2.0-2.67), not named in Table 1 but ecologically closest to the low-TL grazer/omnivore guild of Benthic Omnivores (group TL 2.55).</t>
        </is>
      </c>
    </row>
    <row r="286">
      <c r="A286" t="inlineStr">
        <is>
          <t>Lutjanus fulviflamma</t>
        </is>
      </c>
      <c r="B286" t="inlineStr">
        <is>
          <t>Dory snapper</t>
        </is>
      </c>
      <c r="C286" t="inlineStr">
        <is>
          <t>Medium reef assoc. fish (30 - 89 cm)</t>
        </is>
      </c>
      <c r="D286" t="inlineStr">
        <is>
          <t>Perch-likes</t>
        </is>
      </c>
      <c r="E286" s="7" t="inlineStr">
        <is>
          <t>Large Benthic Carnivores</t>
        </is>
      </c>
      <c r="F286" t="inlineStr"/>
      <c r="G286" t="inlineStr"/>
      <c r="H286" t="inlineStr">
        <is>
          <t>high</t>
        </is>
      </c>
      <c r="I286" t="inlineStr">
        <is>
          <t>inherited_mapping</t>
        </is>
      </c>
      <c r="J286" t="n">
        <v>4520.855</v>
      </c>
      <c r="K286" t="n">
        <v>0.0023</v>
      </c>
      <c r="L286" s="6" t="inlineStr">
        <is>
          <t>Dory snapper; Lutjanidae (snapper/jobfish family) - "jobfish" and "red snappers" are Table 1's explicit examples for Large Benthic Carnivores.</t>
        </is>
      </c>
    </row>
    <row r="287">
      <c r="A287" t="inlineStr">
        <is>
          <t>Pomadasys argyreus</t>
        </is>
      </c>
      <c r="B287" t="inlineStr">
        <is>
          <t>Bluecheek silver grunt</t>
        </is>
      </c>
      <c r="C287" t="inlineStr">
        <is>
          <t>Small pelagics (&lt;30 cm)</t>
        </is>
      </c>
      <c r="D287" t="inlineStr">
        <is>
          <t>Perch-likes</t>
        </is>
      </c>
      <c r="E287" s="5" t="inlineStr">
        <is>
          <t>Med Benthic Carnivores</t>
        </is>
      </c>
      <c r="F287" t="inlineStr"/>
      <c r="G287" t="inlineStr"/>
      <c r="H287" t="inlineStr">
        <is>
          <t>medium</t>
        </is>
      </c>
      <c r="I287" t="inlineStr">
        <is>
          <t>analogue</t>
        </is>
      </c>
      <c r="J287" t="n">
        <v>4491.181</v>
      </c>
      <c r="K287" t="n">
        <v>0.0023</v>
      </c>
      <c r="L287" s="6" t="inlineStr">
        <is>
          <t>Haemulidae; same treatment as the other Pomadasys grunters here - a demersal benthic invertivore of the Grp9 Med Benthic Carnivores guild. Not named in the Bulletin.</t>
        </is>
      </c>
    </row>
    <row r="288">
      <c r="A288" t="inlineStr">
        <is>
          <t>Miscellaneous marine crustaceans</t>
        </is>
      </c>
      <c r="B288" t="inlineStr">
        <is>
          <t>Marine crabs, shrimps, lobsters nei</t>
        </is>
      </c>
      <c r="C288" t="inlineStr">
        <is>
          <t>Shrimps</t>
        </is>
      </c>
      <c r="D288" t="inlineStr">
        <is>
          <t>Crustaceans</t>
        </is>
      </c>
      <c r="E288" s="5" t="inlineStr">
        <is>
          <t>Shrimps | Crabs &amp; Lobster</t>
        </is>
      </c>
      <c r="F288" t="inlineStr">
        <is>
          <t>0.881 | 0.119</t>
        </is>
      </c>
      <c r="G288" t="inlineStr">
        <is>
          <t>catch_composition</t>
        </is>
      </c>
      <c r="H288" t="inlineStr">
        <is>
          <t>medium</t>
        </is>
      </c>
      <c r="I288" t="inlineStr">
        <is>
          <t>composite_split</t>
        </is>
      </c>
      <c r="J288" t="n">
        <v>4427.703</v>
      </c>
      <c r="K288" t="n">
        <v>0.0022</v>
      </c>
      <c r="L288" s="6" t="inlineStr">
        <is>
          <t>Unidentified crustacean aggregate classed by Sea Around Us as functional group Shrimps, apportioned over the model's two landed crustacean groups by catch composition, which is shrimp-dominated and so agrees with that class. Heterotrophic Benthos excluded: it is the unlanded benthic epifauna compartment.</t>
        </is>
      </c>
    </row>
    <row r="289">
      <c r="A289" t="inlineStr">
        <is>
          <t>Cephalopholis hemistiktos</t>
        </is>
      </c>
      <c r="B289" t="inlineStr">
        <is>
          <t>Yellowfin hind</t>
        </is>
      </c>
      <c r="C289" t="inlineStr">
        <is>
          <t>Medium reef assoc. fish (30 - 89 cm)</t>
        </is>
      </c>
      <c r="D289" t="inlineStr">
        <is>
          <t>Perch-likes</t>
        </is>
      </c>
      <c r="E289" s="7" t="inlineStr">
        <is>
          <t>Large Benthic Carnivores</t>
        </is>
      </c>
      <c r="F289" t="inlineStr"/>
      <c r="G289" t="inlineStr"/>
      <c r="H289" t="inlineStr">
        <is>
          <t>high</t>
        </is>
      </c>
      <c r="I289" t="inlineStr">
        <is>
          <t>inherited_mapping</t>
        </is>
      </c>
      <c r="J289" t="n">
        <v>4194.655</v>
      </c>
      <c r="K289" t="n">
        <v>0.0021</v>
      </c>
      <c r="L289" s="6" t="inlineStr">
        <is>
          <t>Yellowfin hind; Serranidae (grouper/rockcod family) - "rock cods" is Table 1's explicit example for Large Benthic Carnivores.</t>
        </is>
      </c>
    </row>
    <row r="290">
      <c r="A290" t="inlineStr">
        <is>
          <t>Platax orbicularis</t>
        </is>
      </c>
      <c r="B290" t="inlineStr">
        <is>
          <t>Orbicular batfish</t>
        </is>
      </c>
      <c r="C290" t="inlineStr">
        <is>
          <t>Medium reef assoc. fish (30 - 89 cm)</t>
        </is>
      </c>
      <c r="D290" t="inlineStr">
        <is>
          <t>Perch-likes</t>
        </is>
      </c>
      <c r="E290" s="5" t="inlineStr">
        <is>
          <t>Med Benthic Carnivores</t>
        </is>
      </c>
      <c r="F290" t="inlineStr"/>
      <c r="G290" t="inlineStr"/>
      <c r="H290" t="inlineStr">
        <is>
          <t>medium</t>
        </is>
      </c>
      <c r="I290" t="inlineStr">
        <is>
          <t>inherited_mapping</t>
        </is>
      </c>
      <c r="J290" t="n">
        <v>4087.988</v>
      </c>
      <c r="K290" t="n">
        <v>0.0021</v>
      </c>
      <c r="L290" s="6" t="inlineStr">
        <is>
          <t>Orbicular batfish; Ephippidae/Drepaneidae (Ephippoidei), a benthopelagic invertivore/omnivore guild not named in Table 1, placed by TL match (~3.3 vs group TL 3.19).</t>
        </is>
      </c>
    </row>
    <row r="291">
      <c r="A291" t="inlineStr">
        <is>
          <t>Crenidens crenidens</t>
        </is>
      </c>
      <c r="B291" t="inlineStr">
        <is>
          <t>Karanteen seabream</t>
        </is>
      </c>
      <c r="C291" t="inlineStr">
        <is>
          <t>Small demersals (&lt;30 cm)</t>
        </is>
      </c>
      <c r="D291" t="inlineStr">
        <is>
          <t>Perch-likes</t>
        </is>
      </c>
      <c r="E291" s="5" t="inlineStr">
        <is>
          <t>Small Benthic Carnivores</t>
        </is>
      </c>
      <c r="F291" t="inlineStr"/>
      <c r="G291" t="inlineStr"/>
      <c r="H291" t="inlineStr">
        <is>
          <t>medium</t>
        </is>
      </c>
      <c r="I291" t="inlineStr">
        <is>
          <t>inherited_mapping</t>
        </is>
      </c>
      <c r="J291" t="n">
        <v>4053.849</v>
      </c>
      <c r="K291" t="n">
        <v>0.002</v>
      </c>
      <c r="L291" s="6" t="inlineStr">
        <is>
          <t>Karanteen seabream; Sparidae, but SAU size class "Small demersals" and TL (2.8) match Small Benthic Carnivores (group TL 2.68) much more closely than the rest of this workbook's larger, higher-TL Sparidae (Med Benthic Carnivores, group TL 3.19).</t>
        </is>
      </c>
    </row>
    <row r="292">
      <c r="A292" t="inlineStr">
        <is>
          <t>Hemiramphidae</t>
        </is>
      </c>
      <c r="B292" t="inlineStr">
        <is>
          <t>Halfbeaks, garfishes</t>
        </is>
      </c>
      <c r="C292" t="inlineStr">
        <is>
          <t>Medium pelagics (30 - 89 cm)</t>
        </is>
      </c>
      <c r="D292" t="inlineStr">
        <is>
          <t>Other fishes &amp; inverts</t>
        </is>
      </c>
      <c r="E292" s="5" t="inlineStr">
        <is>
          <t>Small Benthopelagics</t>
        </is>
      </c>
      <c r="F292" t="inlineStr"/>
      <c r="G292" t="inlineStr"/>
      <c r="H292" t="inlineStr">
        <is>
          <t>medium</t>
        </is>
      </c>
      <c r="I292" t="inlineStr">
        <is>
          <t>inherited_mapping</t>
        </is>
      </c>
      <c r="J292" t="n">
        <v>3892.162</v>
      </c>
      <c r="K292" t="n">
        <v>0.002</v>
      </c>
      <c r="L292" s="6" t="inlineStr">
        <is>
          <t>Halfbeak family; small surface-dwelling schooling fish, ecologically closest to the small pelagic/benthopelagic schooling-fish guild of Small Benthopelagics though not named in Table 1 (TL 2.82-3.25 vs group 3.88).</t>
        </is>
      </c>
    </row>
    <row r="293">
      <c r="A293" t="inlineStr">
        <is>
          <t>Plectorhinchus schotaf</t>
        </is>
      </c>
      <c r="B293" t="inlineStr">
        <is>
          <t>Minstrel sweetlips</t>
        </is>
      </c>
      <c r="C293" t="inlineStr">
        <is>
          <t>Medium reef assoc. fish (30 - 89 cm)</t>
        </is>
      </c>
      <c r="D293" t="inlineStr">
        <is>
          <t>Perch-likes</t>
        </is>
      </c>
      <c r="E293" s="5" t="inlineStr">
        <is>
          <t>Med Benthic Carnivores</t>
        </is>
      </c>
      <c r="F293" t="inlineStr"/>
      <c r="G293" t="inlineStr"/>
      <c r="H293" t="inlineStr">
        <is>
          <t>medium</t>
        </is>
      </c>
      <c r="I293" t="inlineStr">
        <is>
          <t>inherited_mapping</t>
        </is>
      </c>
      <c r="J293" t="n">
        <v>3838.25</v>
      </c>
      <c r="K293" t="n">
        <v>0.0019</v>
      </c>
      <c r="L293" s="6" t="inlineStr">
        <is>
          <t>Minstrel sweetlips; Haemulidae (grunt/sweetlips family), a demersal benthic-invertivore guild not named in Table 1, placed with Med Benthic Carnivores by ecology and TL (~3.3-4.0 vs group TL 3.19).</t>
        </is>
      </c>
    </row>
    <row r="294">
      <c r="A294" t="inlineStr">
        <is>
          <t>Acanthurus dussumieri</t>
        </is>
      </c>
      <c r="B294" t="inlineStr">
        <is>
          <t>Eyestripe surgeonfish</t>
        </is>
      </c>
      <c r="C294" t="inlineStr">
        <is>
          <t>Medium reef assoc. fish (30 - 89 cm)</t>
        </is>
      </c>
      <c r="D294" t="inlineStr">
        <is>
          <t>Perch-likes</t>
        </is>
      </c>
      <c r="E294" s="5" t="inlineStr">
        <is>
          <t>Benthic Omnivores</t>
        </is>
      </c>
      <c r="F294" t="inlineStr"/>
      <c r="G294" t="inlineStr"/>
      <c r="H294" t="inlineStr">
        <is>
          <t>medium</t>
        </is>
      </c>
      <c r="I294" t="inlineStr">
        <is>
          <t>inherited_mapping</t>
        </is>
      </c>
      <c r="J294" t="n">
        <v>3801.827</v>
      </c>
      <c r="K294" t="n">
        <v>0.0019</v>
      </c>
      <c r="L294" s="6" t="inlineStr">
        <is>
          <t>Eyestripe surgeonfish; surgeonfish (Acanthuridae) are herbivorous reef grazers (TL 2.02-2.28), not named in Table 1 but ecologically closest to the low-TL grazer/omnivore guild of Benthic Omnivores (group TL 2.55).</t>
        </is>
      </c>
    </row>
    <row r="295">
      <c r="A295" t="inlineStr">
        <is>
          <t>Rajiformes</t>
        </is>
      </c>
      <c r="B295" t="inlineStr">
        <is>
          <t>Skates and rays</t>
        </is>
      </c>
      <c r="C295" t="inlineStr">
        <is>
          <t>Large rays (&gt;=90 cm)</t>
        </is>
      </c>
      <c r="D295" t="inlineStr">
        <is>
          <t>Sharks &amp; rays</t>
        </is>
      </c>
      <c r="E295" s="7" t="inlineStr">
        <is>
          <t>Skates &amp; Rays</t>
        </is>
      </c>
      <c r="F295" t="inlineStr"/>
      <c r="G295" t="inlineStr"/>
      <c r="H295" t="inlineStr">
        <is>
          <t>high</t>
        </is>
      </c>
      <c r="I295" t="inlineStr">
        <is>
          <t>inherited_mapping</t>
        </is>
      </c>
      <c r="J295" t="n">
        <v>3724.544</v>
      </c>
      <c r="K295" t="n">
        <v>0.0019</v>
      </c>
      <c r="L295" s="6" t="inlineStr">
        <is>
          <t>Order name ("skates and rays") is itself the group's taxonomic definition.</t>
        </is>
      </c>
    </row>
    <row r="296">
      <c r="A296" t="inlineStr">
        <is>
          <t>Caranx sexfasciatus</t>
        </is>
      </c>
      <c r="B296" t="inlineStr">
        <is>
          <t>Bigeye trevally</t>
        </is>
      </c>
      <c r="C296" t="inlineStr">
        <is>
          <t>Large reef assoc. fish (&gt;=90 cm)</t>
        </is>
      </c>
      <c r="D296" t="inlineStr">
        <is>
          <t>Perch-likes</t>
        </is>
      </c>
      <c r="E296" s="5" t="inlineStr">
        <is>
          <t>Large Benthic Carnivores</t>
        </is>
      </c>
      <c r="F296" t="inlineStr"/>
      <c r="G296" t="inlineStr"/>
      <c r="H296" t="inlineStr">
        <is>
          <t>medium</t>
        </is>
      </c>
      <c r="I296" t="inlineStr">
        <is>
          <t>inherited_mapping</t>
        </is>
      </c>
      <c r="J296" t="n">
        <v>3718.641</v>
      </c>
      <c r="K296" t="n">
        <v>0.0019</v>
      </c>
      <c r="L296" s="6" t="inlineStr">
        <is>
          <t>Bigeye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297">
      <c r="A297" t="inlineStr">
        <is>
          <t>Lethrinus mahsena</t>
        </is>
      </c>
      <c r="B297" t="inlineStr">
        <is>
          <t>Sky emperor</t>
        </is>
      </c>
      <c r="C297" t="inlineStr">
        <is>
          <t>Medium reef assoc. fish (30 - 89 cm)</t>
        </is>
      </c>
      <c r="D297" t="inlineStr">
        <is>
          <t>Perch-likes</t>
        </is>
      </c>
      <c r="E297" s="5" t="inlineStr">
        <is>
          <t>Large Benthic Carnivores</t>
        </is>
      </c>
      <c r="F297" t="inlineStr"/>
      <c r="G297" t="inlineStr"/>
      <c r="H297" t="inlineStr">
        <is>
          <t>medium</t>
        </is>
      </c>
      <c r="I297" t="inlineStr">
        <is>
          <t>inherited_mapping</t>
        </is>
      </c>
      <c r="J297" t="n">
        <v>3328.962</v>
      </c>
      <c r="K297" t="n">
        <v>0.0017</v>
      </c>
      <c r="L297" s="6" t="inlineStr">
        <is>
          <t>Sky emperor; Lethrinidae (emperor family), a demersal durophagous/piscivorous carnivore guild not named in Table 1 but ecologically parallel to the snapper/grouper apex reef-predator guild of Large Benthic Carnivores (mean TL ~3.7, group TL 4.14).</t>
        </is>
      </c>
    </row>
    <row r="298">
      <c r="A298" t="inlineStr">
        <is>
          <t>Nebrius ferrugineus</t>
        </is>
      </c>
      <c r="B298" t="inlineStr">
        <is>
          <t>Tawny nurse shark</t>
        </is>
      </c>
      <c r="C298" t="inlineStr">
        <is>
          <t>Large sharks (&gt;=90 cm)</t>
        </is>
      </c>
      <c r="D298" t="inlineStr">
        <is>
          <t>Sharks &amp; rays</t>
        </is>
      </c>
      <c r="E298" s="7" t="inlineStr">
        <is>
          <t>Sharks</t>
        </is>
      </c>
      <c r="F298" t="inlineStr"/>
      <c r="G298" t="inlineStr"/>
      <c r="H298" t="inlineStr">
        <is>
          <t>high</t>
        </is>
      </c>
      <c r="I298" t="inlineStr">
        <is>
          <t>inherited_mapping</t>
        </is>
      </c>
      <c r="J298" t="n">
        <v>3297.934</v>
      </c>
      <c r="K298" t="n">
        <v>0.0017</v>
      </c>
      <c r="L298" s="6" t="inlineStr">
        <is>
          <t>Tawny nurse shark (Orectolobiformes); a true shark, unambiguous fit under the shark/batoid split.</t>
        </is>
      </c>
    </row>
    <row r="299">
      <c r="A299" t="inlineStr">
        <is>
          <t>Solenidae</t>
        </is>
      </c>
      <c r="B299" t="inlineStr">
        <is>
          <t>Razor, knife clams</t>
        </is>
      </c>
      <c r="C299" t="inlineStr">
        <is>
          <t>Other demersal invertebrates</t>
        </is>
      </c>
      <c r="D299" t="inlineStr">
        <is>
          <t>Molluscs</t>
        </is>
      </c>
      <c r="E299" s="7" t="inlineStr">
        <is>
          <t>Heterotrophic Benthos</t>
        </is>
      </c>
      <c r="F299" t="inlineStr"/>
      <c r="G299" t="inlineStr"/>
      <c r="H299" t="inlineStr">
        <is>
          <t>high</t>
        </is>
      </c>
      <c r="I299" t="inlineStr">
        <is>
          <t>inherited_mapping</t>
        </is>
      </c>
      <c r="J299" t="n">
        <v>3089.602</v>
      </c>
      <c r="K299" t="n">
        <v>0.0016</v>
      </c>
      <c r="L299" s="6" t="inlineStr">
        <is>
          <t>Razor clam family; "bivalves" is Table 1's explicit example for Heterotrophic Benthos.</t>
        </is>
      </c>
    </row>
    <row r="300">
      <c r="A300" t="inlineStr">
        <is>
          <t>Synanceiidae</t>
        </is>
      </c>
      <c r="B300" t="inlineStr">
        <is>
          <t>Stonefishes</t>
        </is>
      </c>
      <c r="C300" t="inlineStr">
        <is>
          <t>Medium demersals (30 - 89 cm)</t>
        </is>
      </c>
      <c r="D300" t="inlineStr">
        <is>
          <t>Scorpionfishes</t>
        </is>
      </c>
      <c r="E300" s="5" t="inlineStr">
        <is>
          <t>Large Benthic Carnivores</t>
        </is>
      </c>
      <c r="F300" t="inlineStr"/>
      <c r="G300" t="inlineStr"/>
      <c r="H300" t="inlineStr">
        <is>
          <t>medium</t>
        </is>
      </c>
      <c r="I300" t="inlineStr">
        <is>
          <t>inherited_mapping</t>
        </is>
      </c>
      <c r="J300" t="n">
        <v>3016.267</v>
      </c>
      <c r="K300" t="n">
        <v>0.0015</v>
      </c>
      <c r="L300" s="6" t="inlineStr">
        <is>
          <t>Stonefish family (Scorpaeniformes); venomous benthic ambush predator, TL 4.2, closest ecological/TL match among named groups is the demersal apex-predator guild of Large Benthic Carnivores (group TL 4.14).</t>
        </is>
      </c>
    </row>
    <row r="301">
      <c r="A301" t="inlineStr">
        <is>
          <t>Istiophorus</t>
        </is>
      </c>
      <c r="B301" t="inlineStr">
        <is>
          <t>Sailfishes</t>
        </is>
      </c>
      <c r="C301" t="inlineStr">
        <is>
          <t>Large pelagics (&gt;=90 cm)</t>
        </is>
      </c>
      <c r="D301" t="inlineStr">
        <is>
          <t>Tuna &amp; billfishes</t>
        </is>
      </c>
      <c r="E301" s="5" t="inlineStr">
        <is>
          <t>Large Pelagics</t>
        </is>
      </c>
      <c r="F301" t="inlineStr"/>
      <c r="G301" t="inlineStr"/>
      <c r="H301" t="inlineStr">
        <is>
          <t>medium</t>
        </is>
      </c>
      <c r="I301" t="inlineStr">
        <is>
          <t>inherited_mapping</t>
        </is>
      </c>
      <c r="J301" t="n">
        <v>2999.235</v>
      </c>
      <c r="K301" t="n">
        <v>0.0015</v>
      </c>
      <c r="L301" s="6" t="inlineStr">
        <is>
          <t>Sailfishes (genus); Table 1 names no billfish group and lists no billfish genus under either Large Pelagics or Tunas, so placement is by ecology - a fast apex epipelagic predator matching the Large Pelagics guild's diet/TL profile (group TL 4.18) rather than the tuna tribe Thunnini.</t>
        </is>
      </c>
    </row>
    <row r="302">
      <c r="A302" t="inlineStr">
        <is>
          <t>Sepioteuthis lessoniana</t>
        </is>
      </c>
      <c r="B302" t="inlineStr">
        <is>
          <t>Bigfin reef squid</t>
        </is>
      </c>
      <c r="C302" t="inlineStr">
        <is>
          <t>Cephalopods</t>
        </is>
      </c>
      <c r="D302" t="inlineStr">
        <is>
          <t>Other fishes &amp; inverts</t>
        </is>
      </c>
      <c r="E302" s="7" t="inlineStr">
        <is>
          <t>Cephalopods</t>
        </is>
      </c>
      <c r="F302" t="inlineStr"/>
      <c r="G302" t="inlineStr"/>
      <c r="H302" t="inlineStr">
        <is>
          <t>high</t>
        </is>
      </c>
      <c r="I302" t="inlineStr">
        <is>
          <t>inherited_mapping</t>
        </is>
      </c>
      <c r="J302" t="n">
        <v>2723.312</v>
      </c>
      <c r="K302" t="n">
        <v>0.0014</v>
      </c>
      <c r="L302" s="6" t="inlineStr">
        <is>
          <t>Bigfin reef squid; Cephalopods is the model's only cephalopod-type group, so every cephalopod taxon is an unambiguous fit regardless of exact rank.</t>
        </is>
      </c>
    </row>
    <row r="303">
      <c r="A303" t="inlineStr">
        <is>
          <t>Ariomma indica</t>
        </is>
      </c>
      <c r="B303" t="inlineStr">
        <is>
          <t>Indian driftfish</t>
        </is>
      </c>
      <c r="C303" t="inlineStr">
        <is>
          <t>Small benthopelagics (&lt;30 cm)</t>
        </is>
      </c>
      <c r="D303" t="inlineStr">
        <is>
          <t>Perch-likes</t>
        </is>
      </c>
      <c r="E303" s="5" t="inlineStr">
        <is>
          <t>Small Benthopelagics</t>
        </is>
      </c>
      <c r="F303" t="inlineStr"/>
      <c r="G303" t="inlineStr"/>
      <c r="H303" t="inlineStr">
        <is>
          <t>medium</t>
        </is>
      </c>
      <c r="I303" t="inlineStr">
        <is>
          <t>inherited_mapping</t>
        </is>
      </c>
      <c r="J303" t="n">
        <v>2667.322</v>
      </c>
      <c r="K303" t="n">
        <v>0.0013</v>
      </c>
      <c r="L303" s="6" t="inlineStr">
        <is>
          <t>Indian driftfish (Ariommatidae); SAU size class "Small benthopelagics" and TL 3.63, ecologically consistent with the Small Benthopelagics guild though the family is not named in Table 1.</t>
        </is>
      </c>
    </row>
    <row r="304">
      <c r="A304" t="inlineStr">
        <is>
          <t>Seriolina nigrofasciata</t>
        </is>
      </c>
      <c r="B304" t="inlineStr">
        <is>
          <t>Blackbanded trevally</t>
        </is>
      </c>
      <c r="C304" t="inlineStr">
        <is>
          <t>Medium reef assoc. fish (30 - 89 cm)</t>
        </is>
      </c>
      <c r="D304" t="inlineStr">
        <is>
          <t>Perch-likes</t>
        </is>
      </c>
      <c r="E304" s="5" t="inlineStr">
        <is>
          <t>Large Benthic Carnivores</t>
        </is>
      </c>
      <c r="F304" t="inlineStr"/>
      <c r="G304" t="inlineStr"/>
      <c r="H304" t="inlineStr">
        <is>
          <t>medium</t>
        </is>
      </c>
      <c r="I304" t="inlineStr">
        <is>
          <t>inherited_mapping</t>
        </is>
      </c>
      <c r="J304" t="n">
        <v>2665.919</v>
      </c>
      <c r="K304" t="n">
        <v>0.0013</v>
      </c>
      <c r="L304" s="6" t="inlineStr">
        <is>
          <t>Blackbanded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305">
      <c r="A305" t="inlineStr">
        <is>
          <t>Bolbometopon muricatum</t>
        </is>
      </c>
      <c r="B305" t="inlineStr">
        <is>
          <t>Green humphead parrotfish</t>
        </is>
      </c>
      <c r="C305" t="inlineStr">
        <is>
          <t>Large reef assoc. fish (&gt;=90 cm)</t>
        </is>
      </c>
      <c r="D305" t="inlineStr">
        <is>
          <t>Perch-likes</t>
        </is>
      </c>
      <c r="E305" s="5" t="inlineStr">
        <is>
          <t>Benthic Omnivores</t>
        </is>
      </c>
      <c r="F305" t="inlineStr"/>
      <c r="G305" t="inlineStr"/>
      <c r="H305" t="inlineStr">
        <is>
          <t>medium</t>
        </is>
      </c>
      <c r="I305" t="inlineStr">
        <is>
          <t>inherited_mapping</t>
        </is>
      </c>
      <c r="J305" t="n">
        <v>2656.918</v>
      </c>
      <c r="K305" t="n">
        <v>0.0013</v>
      </c>
      <c r="L305" s="6" t="inlineStr">
        <is>
          <t>Green humphead parrotfish; parrotfish (Scaridae) are herbivorous reef grazers (TL ~2.0-2.67), not named in Table 1 but ecologically closest to the low-TL grazer/omnivore guild of Benthic Omnivores (group TL 2.55).</t>
        </is>
      </c>
    </row>
    <row r="306">
      <c r="A306" t="inlineStr">
        <is>
          <t>Scombroidei</t>
        </is>
      </c>
      <c r="B306" t="inlineStr">
        <is>
          <t>Tunas, bonitos, billfishes</t>
        </is>
      </c>
      <c r="C306" t="inlineStr">
        <is>
          <t>Large pelagics (&gt;=90 cm)</t>
        </is>
      </c>
      <c r="D306" t="inlineStr">
        <is>
          <t>Tuna &amp; billfishes</t>
        </is>
      </c>
      <c r="E306" s="5" t="inlineStr">
        <is>
          <t>Tunas | Large Pelagics</t>
        </is>
      </c>
      <c r="F306" t="inlineStr">
        <is>
          <t>0.476 | 0.524</t>
        </is>
      </c>
      <c r="G306" t="inlineStr">
        <is>
          <t>catch_composition</t>
        </is>
      </c>
      <c r="H306" t="inlineStr">
        <is>
          <t>medium</t>
        </is>
      </c>
      <c r="I306" t="inlineStr">
        <is>
          <t>composite_split</t>
        </is>
      </c>
      <c r="J306" t="n">
        <v>2544.89</v>
      </c>
      <c r="K306" t="n">
        <v>0.0013</v>
      </c>
      <c r="L306" s="6" t="inlineStr">
        <is>
          <t>Suborder-level record classed by Sea Around Us as Large pelagics (&gt;=90 cm) and commercial group Tuna &amp; billfishes, which excludes the Mackerel group (Rastrelliger, a &lt;35 cm fish) and leaves the model's two large pelagic predator groups. Weighted by their identified catch composition.</t>
        </is>
      </c>
    </row>
    <row r="307">
      <c r="A307" t="inlineStr">
        <is>
          <t>Pristidae</t>
        </is>
      </c>
      <c r="B307" t="inlineStr">
        <is>
          <t>Sawfishes</t>
        </is>
      </c>
      <c r="C307" t="inlineStr">
        <is>
          <t>Large rays (&gt;=90 cm)</t>
        </is>
      </c>
      <c r="D307" t="inlineStr">
        <is>
          <t>Sharks &amp; rays</t>
        </is>
      </c>
      <c r="E307" s="7" t="inlineStr">
        <is>
          <t>Skates &amp; Rays</t>
        </is>
      </c>
      <c r="F307" t="inlineStr"/>
      <c r="G307" t="inlineStr"/>
      <c r="H307" t="inlineStr">
        <is>
          <t>high</t>
        </is>
      </c>
      <c r="I307" t="inlineStr">
        <is>
          <t>inherited_mapping</t>
        </is>
      </c>
      <c r="J307" t="n">
        <v>2517.87</v>
      </c>
      <c r="K307" t="n">
        <v>0.0013</v>
      </c>
      <c r="L307" s="6" t="inlineStr">
        <is>
          <t>Sawfish family (Rhinopristiformes, batoid); unambiguous fit to Skates &amp; Rays.</t>
        </is>
      </c>
    </row>
    <row r="308">
      <c r="A308" t="inlineStr">
        <is>
          <t>Haliotis</t>
        </is>
      </c>
      <c r="B308" t="inlineStr">
        <is>
          <t>Abalones</t>
        </is>
      </c>
      <c r="C308" t="inlineStr">
        <is>
          <t>Other demersal invertebrates</t>
        </is>
      </c>
      <c r="D308" t="inlineStr">
        <is>
          <t>Molluscs</t>
        </is>
      </c>
      <c r="E308" s="7" t="inlineStr">
        <is>
          <t>Heterotrophic Benthos</t>
        </is>
      </c>
      <c r="F308" t="inlineStr"/>
      <c r="G308" t="inlineStr"/>
      <c r="H308" t="inlineStr">
        <is>
          <t>high</t>
        </is>
      </c>
      <c r="I308" t="inlineStr">
        <is>
          <t>inherited_mapping</t>
        </is>
      </c>
      <c r="J308" t="n">
        <v>2311.041</v>
      </c>
      <c r="K308" t="n">
        <v>0.0012</v>
      </c>
      <c r="L308" s="6" t="inlineStr">
        <is>
          <t>Abalone (genus); "gastropods" is Table 1's explicit example for Heterotrophic Benthos.</t>
        </is>
      </c>
    </row>
    <row r="309">
      <c r="A309" t="inlineStr">
        <is>
          <t>Cheimerius nufar</t>
        </is>
      </c>
      <c r="B309" t="inlineStr">
        <is>
          <t>Santer seabream</t>
        </is>
      </c>
      <c r="C309" t="inlineStr">
        <is>
          <t>Medium reef assoc. fish (30 - 89 cm)</t>
        </is>
      </c>
      <c r="D309" t="inlineStr">
        <is>
          <t>Perch-likes</t>
        </is>
      </c>
      <c r="E309" s="5" t="inlineStr">
        <is>
          <t>Med Benthic Carnivores</t>
        </is>
      </c>
      <c r="F309" t="inlineStr"/>
      <c r="G309" t="inlineStr"/>
      <c r="H309" t="inlineStr">
        <is>
          <t>medium</t>
        </is>
      </c>
      <c r="I309" t="inlineStr">
        <is>
          <t>inherited_mapping</t>
        </is>
      </c>
      <c r="J309" t="n">
        <v>2303.198</v>
      </c>
      <c r="K309" t="n">
        <v>0.0012</v>
      </c>
      <c r="L309" s="6" t="inlineStr">
        <is>
          <t>Santer seabream; Sparidae, a benthic durophagous-invertivore guild not named in Table 1, placed with Med Benthic Carnivores by TL match (~3.3-3.5 vs group TL 3.19).</t>
        </is>
      </c>
    </row>
    <row r="310">
      <c r="A310" t="inlineStr">
        <is>
          <t>Sillaginidae</t>
        </is>
      </c>
      <c r="B310" t="inlineStr">
        <is>
          <t>Smelt-whitings</t>
        </is>
      </c>
      <c r="C310" t="inlineStr">
        <is>
          <t>Medium demersals (30 - 89 cm)</t>
        </is>
      </c>
      <c r="D310" t="inlineStr">
        <is>
          <t>Perch-likes</t>
        </is>
      </c>
      <c r="E310" s="5" t="inlineStr">
        <is>
          <t>Med Benthic Carnivores</t>
        </is>
      </c>
      <c r="F310" t="inlineStr"/>
      <c r="G310" t="inlineStr"/>
      <c r="H310" t="inlineStr">
        <is>
          <t>medium</t>
        </is>
      </c>
      <c r="I310" t="inlineStr">
        <is>
          <t>inherited_mapping</t>
        </is>
      </c>
      <c r="J310" t="n">
        <v>2257.919</v>
      </c>
      <c r="K310" t="n">
        <v>0.0011</v>
      </c>
      <c r="L310" s="6" t="inlineStr">
        <is>
          <t>Smelt-whiting family; small demersal sand-dwelling carnivore, SAU size class "Medium demersals" and TL (~3.25-3.33) closely matching Med Benthic Carnivores (group TL 3.19); family not named in Table 1.</t>
        </is>
      </c>
    </row>
    <row r="311">
      <c r="A311" t="inlineStr">
        <is>
          <t>Lutjanus kasmira</t>
        </is>
      </c>
      <c r="B311" t="inlineStr">
        <is>
          <t>Common bluestripe snapper</t>
        </is>
      </c>
      <c r="C311" t="inlineStr">
        <is>
          <t>Medium reef assoc. fish (30 - 89 cm)</t>
        </is>
      </c>
      <c r="D311" t="inlineStr">
        <is>
          <t>Perch-likes</t>
        </is>
      </c>
      <c r="E311" s="7" t="inlineStr">
        <is>
          <t>Large Benthic Carnivores</t>
        </is>
      </c>
      <c r="F311" t="inlineStr"/>
      <c r="G311" t="inlineStr"/>
      <c r="H311" t="inlineStr">
        <is>
          <t>high</t>
        </is>
      </c>
      <c r="I311" t="inlineStr">
        <is>
          <t>inherited_mapping</t>
        </is>
      </c>
      <c r="J311" t="n">
        <v>2237.306</v>
      </c>
      <c r="K311" t="n">
        <v>0.0011</v>
      </c>
      <c r="L311" s="6" t="inlineStr">
        <is>
          <t>Common bluestripe snapper; Lutjanidae (snapper/jobfish family) - "jobfish" and "red snappers" are Table 1's explicit examples for Large Benthic Carnivores.</t>
        </is>
      </c>
    </row>
    <row r="312">
      <c r="A312" t="inlineStr">
        <is>
          <t>Carcharhiniformes</t>
        </is>
      </c>
      <c r="B312" t="inlineStr">
        <is>
          <t>Ground sharks</t>
        </is>
      </c>
      <c r="C312" t="inlineStr">
        <is>
          <t>Large sharks (&gt;=90 cm)</t>
        </is>
      </c>
      <c r="D312" t="inlineStr">
        <is>
          <t>Sharks &amp; rays</t>
        </is>
      </c>
      <c r="E312" s="7" t="inlineStr">
        <is>
          <t>Sharks</t>
        </is>
      </c>
      <c r="F312" t="inlineStr"/>
      <c r="G312" t="inlineStr"/>
      <c r="H312" t="inlineStr">
        <is>
          <t>high</t>
        </is>
      </c>
      <c r="I312" t="inlineStr">
        <is>
          <t>inherited_mapping</t>
        </is>
      </c>
      <c r="J312" t="n">
        <v>2236.152</v>
      </c>
      <c r="K312" t="n">
        <v>0.0011</v>
      </c>
      <c r="L312" s="6" t="inlineStr">
        <is>
          <t>Order name ("ground sharks") is itself the taxonomic definition of true (non-batoid) sharks; unambiguous fit to the model's Sharks group.</t>
        </is>
      </c>
    </row>
    <row r="313">
      <c r="A313" t="inlineStr">
        <is>
          <t>Monotaxis grandoculis</t>
        </is>
      </c>
      <c r="B313" t="inlineStr">
        <is>
          <t>Humpnose big-eye bream</t>
        </is>
      </c>
      <c r="C313" t="inlineStr">
        <is>
          <t>Medium reef assoc. fish (30 - 89 cm)</t>
        </is>
      </c>
      <c r="D313" t="inlineStr">
        <is>
          <t>Perch-likes</t>
        </is>
      </c>
      <c r="E313" s="5" t="inlineStr">
        <is>
          <t>Large Benthic Carnivores</t>
        </is>
      </c>
      <c r="F313" t="inlineStr"/>
      <c r="G313" t="inlineStr"/>
      <c r="H313" t="inlineStr">
        <is>
          <t>medium</t>
        </is>
      </c>
      <c r="I313" t="inlineStr">
        <is>
          <t>inherited_mapping</t>
        </is>
      </c>
      <c r="J313" t="n">
        <v>2225.645</v>
      </c>
      <c r="K313" t="n">
        <v>0.0011</v>
      </c>
      <c r="L313" s="6" t="inlineStr">
        <is>
          <t>Humpnose big-eye bream; Lethrinidae (emperor family), a demersal durophagous/piscivorous carnivore guild not named in Table 1 but ecologically parallel to the snapper/grouper apex reef-predator guild of Large Benthic Carnivores (mean TL ~3.7, group TL 4.14).</t>
        </is>
      </c>
    </row>
    <row r="314">
      <c r="A314" t="inlineStr">
        <is>
          <t>Caranx melampygus</t>
        </is>
      </c>
      <c r="B314" t="inlineStr">
        <is>
          <t>Bluefin trevally</t>
        </is>
      </c>
      <c r="C314" t="inlineStr">
        <is>
          <t>Large reef assoc. fish (&gt;=90 cm)</t>
        </is>
      </c>
      <c r="D314" t="inlineStr">
        <is>
          <t>Perch-likes</t>
        </is>
      </c>
      <c r="E314" s="5" t="inlineStr">
        <is>
          <t>Large Benthic Carnivores</t>
        </is>
      </c>
      <c r="F314" t="inlineStr"/>
      <c r="G314" t="inlineStr"/>
      <c r="H314" t="inlineStr">
        <is>
          <t>medium</t>
        </is>
      </c>
      <c r="I314" t="inlineStr">
        <is>
          <t>inherited_mapping</t>
        </is>
      </c>
      <c r="J314" t="n">
        <v>2215.525</v>
      </c>
      <c r="K314" t="n">
        <v>0.0011</v>
      </c>
      <c r="L314" s="6" t="inlineStr">
        <is>
          <t>Bluefin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315">
      <c r="A315" t="inlineStr">
        <is>
          <t>Balistidae</t>
        </is>
      </c>
      <c r="B315" t="inlineStr">
        <is>
          <t>Triggerfishes</t>
        </is>
      </c>
      <c r="C315" t="inlineStr">
        <is>
          <t>Medium reef assoc. fish (30 - 89 cm)</t>
        </is>
      </c>
      <c r="D315" t="inlineStr">
        <is>
          <t>Other fishes &amp; inverts</t>
        </is>
      </c>
      <c r="E315" s="7" t="inlineStr">
        <is>
          <t>Med Benthic Carnivores</t>
        </is>
      </c>
      <c r="F315" t="inlineStr"/>
      <c r="G315" t="inlineStr"/>
      <c r="H315" t="inlineStr">
        <is>
          <t>high</t>
        </is>
      </c>
      <c r="I315" t="inlineStr">
        <is>
          <t>inherited_mapping</t>
        </is>
      </c>
      <c r="J315" t="n">
        <v>2154.43</v>
      </c>
      <c r="K315" t="n">
        <v>0.0011</v>
      </c>
      <c r="L315" s="6" t="inlineStr">
        <is>
          <t>Triggerfish family; "balistids" is Table 1's explicit example for Med Benthic Carnivores.</t>
        </is>
      </c>
    </row>
    <row r="316">
      <c r="A316" t="inlineStr">
        <is>
          <t>Carcharhinus longimanus</t>
        </is>
      </c>
      <c r="B316" t="inlineStr">
        <is>
          <t>Oceanic whitetip shark</t>
        </is>
      </c>
      <c r="C316" t="inlineStr">
        <is>
          <t>Large sharks (&gt;=90 cm)</t>
        </is>
      </c>
      <c r="D316" t="inlineStr">
        <is>
          <t>Sharks &amp; rays</t>
        </is>
      </c>
      <c r="E316" s="7" t="inlineStr">
        <is>
          <t>Sharks</t>
        </is>
      </c>
      <c r="F316" t="inlineStr"/>
      <c r="G316" t="inlineStr"/>
      <c r="H316" t="inlineStr">
        <is>
          <t>high</t>
        </is>
      </c>
      <c r="I316" t="inlineStr">
        <is>
          <t>inherited_mapping</t>
        </is>
      </c>
      <c r="J316" t="n">
        <v>2126.199</v>
      </c>
      <c r="K316" t="n">
        <v>0.0011</v>
      </c>
      <c r="L316" s="6" t="inlineStr">
        <is>
          <t>Oceanic whitetip shark; exact genus (Carcharhinus) explicitly named in Table 1's Sharks definition.</t>
        </is>
      </c>
    </row>
    <row r="317">
      <c r="A317" t="inlineStr">
        <is>
          <t>Congridae</t>
        </is>
      </c>
      <c r="B317" t="inlineStr">
        <is>
          <t>Conger, garden eels</t>
        </is>
      </c>
      <c r="C317" t="inlineStr">
        <is>
          <t>Large demersals (&gt;=90 cm)</t>
        </is>
      </c>
      <c r="D317" t="inlineStr">
        <is>
          <t>Other fishes &amp; inverts</t>
        </is>
      </c>
      <c r="E317" s="5" t="inlineStr">
        <is>
          <t>Large Benthic Carnivores</t>
        </is>
      </c>
      <c r="F317" t="inlineStr"/>
      <c r="G317" t="inlineStr"/>
      <c r="H317" t="inlineStr">
        <is>
          <t>medium</t>
        </is>
      </c>
      <c r="I317" t="inlineStr">
        <is>
          <t>analogue</t>
        </is>
      </c>
      <c r="J317" t="n">
        <v>2071.716</v>
      </c>
      <c r="K317" t="n">
        <v>0.001</v>
      </c>
      <c r="L317" s="6" t="inlineStr">
        <is>
          <t>Conger eels; large benthic ambush piscivores, mapped like the pike congers (Muraenesocidae) already in this file to Grp8 Large Benthic Carnivores, the model's demersal apex-predator compartment. Not named in the Bulletin.</t>
        </is>
      </c>
    </row>
    <row r="318">
      <c r="A318" t="inlineStr">
        <is>
          <t>Bothus pantherinus</t>
        </is>
      </c>
      <c r="B318" t="inlineStr">
        <is>
          <t>Leopard flounder</t>
        </is>
      </c>
      <c r="C318" t="inlineStr">
        <is>
          <t>Small to medium flatfishes (&lt;90 cm)</t>
        </is>
      </c>
      <c r="D318" t="inlineStr">
        <is>
          <t>Flatfishes</t>
        </is>
      </c>
      <c r="E318" s="7" t="inlineStr">
        <is>
          <t>Med Benthic Carnivores</t>
        </is>
      </c>
      <c r="F318" t="inlineStr"/>
      <c r="G318" t="inlineStr"/>
      <c r="H318" t="inlineStr">
        <is>
          <t>high</t>
        </is>
      </c>
      <c r="I318" t="inlineStr">
        <is>
          <t>inherited_mapping</t>
        </is>
      </c>
      <c r="J318" t="n">
        <v>2031.071</v>
      </c>
      <c r="K318" t="n">
        <v>0.001</v>
      </c>
      <c r="L318" s="6" t="inlineStr">
        <is>
          <t>Leopard flounder; "flounders" is Table 1's explicit example for Med Benthic Carnivores.</t>
        </is>
      </c>
    </row>
    <row r="319">
      <c r="A319" t="inlineStr">
        <is>
          <t>Parupeneus indicus</t>
        </is>
      </c>
      <c r="B319" t="inlineStr">
        <is>
          <t>Indian goatfish</t>
        </is>
      </c>
      <c r="C319" t="inlineStr">
        <is>
          <t>Medium reef assoc. fish (30 - 89 cm)</t>
        </is>
      </c>
      <c r="D319" t="inlineStr">
        <is>
          <t>Perch-likes</t>
        </is>
      </c>
      <c r="E319" s="7" t="inlineStr">
        <is>
          <t>Small Benthic Carnivores</t>
        </is>
      </c>
      <c r="F319" t="inlineStr"/>
      <c r="G319" t="inlineStr"/>
      <c r="H319" t="inlineStr">
        <is>
          <t>high</t>
        </is>
      </c>
      <c r="I319" t="inlineStr">
        <is>
          <t>taxonomic_containment</t>
        </is>
      </c>
      <c r="J319" t="n">
        <v>1936.446</v>
      </c>
      <c r="K319" t="n">
        <v>0.001</v>
      </c>
      <c r="L319" s="6" t="inlineStr">
        <is>
          <t>Mullidae; 'Upeneus sp.' is member 52 of Grp10 Small Benthic Carnivores in the Bulletin 51 components-of-ecological-groupings table (PDF pp. 21-22) and the group account names goatfishes among its constituents.</t>
        </is>
      </c>
    </row>
    <row r="320">
      <c r="A320" t="inlineStr">
        <is>
          <t>Sphyraena putnamae</t>
        </is>
      </c>
      <c r="B320" t="inlineStr">
        <is>
          <t>Sawtooth barracuda</t>
        </is>
      </c>
      <c r="C320" t="inlineStr">
        <is>
          <t>Medium reef assoc. fish (30 - 89 cm)</t>
        </is>
      </c>
      <c r="D320" t="inlineStr">
        <is>
          <t>Perch-likes</t>
        </is>
      </c>
      <c r="E320" s="7" t="inlineStr">
        <is>
          <t>Large Pelagics</t>
        </is>
      </c>
      <c r="F320" t="inlineStr"/>
      <c r="G320" t="inlineStr"/>
      <c r="H320" t="inlineStr">
        <is>
          <t>high</t>
        </is>
      </c>
      <c r="I320" t="inlineStr">
        <is>
          <t>inherited_mapping</t>
        </is>
      </c>
      <c r="J320" t="n">
        <v>1896.919</v>
      </c>
      <c r="K320" t="n">
        <v>0.001</v>
      </c>
      <c r="L320" s="6" t="inlineStr">
        <is>
          <t>Sawtooth barracuda; exact genus (Sphyraena = "barracudas") explicitly named in Table 1's Large Pelagics definition.</t>
        </is>
      </c>
    </row>
    <row r="321">
      <c r="A321" t="inlineStr">
        <is>
          <t>Turrum coeruleopinnatum</t>
        </is>
      </c>
      <c r="B321" t="inlineStr">
        <is>
          <t>Coastal trevally</t>
        </is>
      </c>
      <c r="C321" t="inlineStr">
        <is>
          <t>Medium reef assoc. fish (30 - 89 cm)</t>
        </is>
      </c>
      <c r="D321" t="inlineStr">
        <is>
          <t>Perch-likes</t>
        </is>
      </c>
      <c r="E321" s="5" t="inlineStr">
        <is>
          <t>Large Benthic Carnivores</t>
        </is>
      </c>
      <c r="F321" t="inlineStr"/>
      <c r="G321" t="inlineStr"/>
      <c r="H321" t="inlineStr">
        <is>
          <t>medium</t>
        </is>
      </c>
      <c r="I321" t="inlineStr">
        <is>
          <t>inherited_mapping</t>
        </is>
      </c>
      <c r="J321" t="n">
        <v>1857.304</v>
      </c>
      <c r="K321" t="n">
        <v>0.0009</v>
      </c>
      <c r="L321" s="6" t="inlineStr">
        <is>
          <t>Coastal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322">
      <c r="A322" t="inlineStr">
        <is>
          <t>Carangoides</t>
        </is>
      </c>
      <c r="B322" t="inlineStr">
        <is>
          <t>Trevallies</t>
        </is>
      </c>
      <c r="C322" t="inlineStr">
        <is>
          <t>Medium reef assoc. fish (30 - 89 cm)</t>
        </is>
      </c>
      <c r="D322" t="inlineStr">
        <is>
          <t>Perch-likes</t>
        </is>
      </c>
      <c r="E322" s="5" t="inlineStr">
        <is>
          <t>Large Benthic Carnivores</t>
        </is>
      </c>
      <c r="F322" t="inlineStr"/>
      <c r="G322" t="inlineStr"/>
      <c r="H322" t="inlineStr">
        <is>
          <t>medium</t>
        </is>
      </c>
      <c r="I322" t="inlineStr">
        <is>
          <t>inherited_mapping</t>
        </is>
      </c>
      <c r="J322" t="n">
        <v>1821.861</v>
      </c>
      <c r="K322" t="n">
        <v>0.0009</v>
      </c>
      <c r="L322" s="6" t="inlineStr">
        <is>
          <t>Trevally (genus); Carangidae, but a large apex predatory reef jack/trevally (TL 3.8-4.5) rather than the small schooling "scad" niche Table 1 names for Carangidae under Small Benthopelagics - placed instead with the demersal apex-predator guild (Large Benthic Carnivores) by size, diet and TL.</t>
        </is>
      </c>
    </row>
    <row r="323">
      <c r="A323" t="inlineStr">
        <is>
          <t>Seriola rivoliana</t>
        </is>
      </c>
      <c r="B323" t="inlineStr">
        <is>
          <t>Longfin yellowtail</t>
        </is>
      </c>
      <c r="C323" t="inlineStr">
        <is>
          <t>Large benthopelagics (&gt;=90 cm)</t>
        </is>
      </c>
      <c r="D323" t="inlineStr">
        <is>
          <t>Perch-likes</t>
        </is>
      </c>
      <c r="E323" s="5" t="inlineStr">
        <is>
          <t>Large Benthic Carnivores</t>
        </is>
      </c>
      <c r="F323" t="inlineStr"/>
      <c r="G323" t="inlineStr"/>
      <c r="H323" t="inlineStr">
        <is>
          <t>medium</t>
        </is>
      </c>
      <c r="I323" t="inlineStr">
        <is>
          <t>inherited_mapping</t>
        </is>
      </c>
      <c r="J323" t="n">
        <v>1653.195</v>
      </c>
      <c r="K323" t="n">
        <v>0.0008</v>
      </c>
      <c r="L323" s="6" t="inlineStr">
        <is>
          <t>Longfin yellowtail; Carangidae, but a large apex predatory reef jack/trevally (TL 3.8-4.5) rather than the small schooling "scad" niche Table 1 names for Carangidae under Small Benthopelagics - placed instead with the demersal apex-predator guild (Large Benthic Carnivores) by size, diet and TL.</t>
        </is>
      </c>
    </row>
    <row r="324">
      <c r="A324" t="inlineStr">
        <is>
          <t>Encrasicholina heteroloba</t>
        </is>
      </c>
      <c r="B324" t="inlineStr">
        <is>
          <t>Shorthead anchovy</t>
        </is>
      </c>
      <c r="C324" t="inlineStr">
        <is>
          <t>Small pelagics (&lt;30 cm)</t>
        </is>
      </c>
      <c r="D324" t="inlineStr">
        <is>
          <t>Anchovies</t>
        </is>
      </c>
      <c r="E324" s="7" t="inlineStr">
        <is>
          <t>Anchovies</t>
        </is>
      </c>
      <c r="F324" t="inlineStr"/>
      <c r="G324" t="inlineStr"/>
      <c r="H324" t="inlineStr">
        <is>
          <t>high</t>
        </is>
      </c>
      <c r="I324" t="inlineStr">
        <is>
          <t>inherited_mapping</t>
        </is>
      </c>
      <c r="J324" t="n">
        <v>1650.015</v>
      </c>
      <c r="K324" t="n">
        <v>0.0008</v>
      </c>
      <c r="L324" s="6" t="inlineStr">
        <is>
          <t>Shorthead anchovy; Engraulidae, the family defining the Anchovies group.</t>
        </is>
      </c>
    </row>
    <row r="325">
      <c r="A325" t="inlineStr">
        <is>
          <t>Lethrinus xanthochilus</t>
        </is>
      </c>
      <c r="B325" t="inlineStr">
        <is>
          <t>Yellowlip emperor</t>
        </is>
      </c>
      <c r="C325" t="inlineStr">
        <is>
          <t>Medium reef assoc. fish (30 - 89 cm)</t>
        </is>
      </c>
      <c r="D325" t="inlineStr">
        <is>
          <t>Perch-likes</t>
        </is>
      </c>
      <c r="E325" s="5" t="inlineStr">
        <is>
          <t>Large Benthic Carnivores</t>
        </is>
      </c>
      <c r="F325" t="inlineStr"/>
      <c r="G325" t="inlineStr"/>
      <c r="H325" t="inlineStr">
        <is>
          <t>medium</t>
        </is>
      </c>
      <c r="I325" t="inlineStr">
        <is>
          <t>inherited_mapping</t>
        </is>
      </c>
      <c r="J325" t="n">
        <v>1641.558</v>
      </c>
      <c r="K325" t="n">
        <v>0.0008</v>
      </c>
      <c r="L325" s="6" t="inlineStr">
        <is>
          <t>Yellowlip emperor; Lethrinidae (emperor family), a demersal durophagous/piscivorous carnivore guild not named in Table 1 but ecologically parallel to the snapper/grouper apex reef-predator guild of Large Benthic Carnivores (mean TL ~3.7, group TL 4.14).</t>
        </is>
      </c>
    </row>
    <row r="326">
      <c r="A326" t="inlineStr">
        <is>
          <t>Prionace glauca</t>
        </is>
      </c>
      <c r="B326" t="inlineStr">
        <is>
          <t>Blue shark</t>
        </is>
      </c>
      <c r="C326" t="inlineStr">
        <is>
          <t>Large sharks (&gt;=90 cm)</t>
        </is>
      </c>
      <c r="D326" t="inlineStr">
        <is>
          <t>Sharks &amp; rays</t>
        </is>
      </c>
      <c r="E326" s="7" t="inlineStr">
        <is>
          <t>Sharks</t>
        </is>
      </c>
      <c r="F326" t="inlineStr"/>
      <c r="G326" t="inlineStr"/>
      <c r="H326" t="inlineStr">
        <is>
          <t>high</t>
        </is>
      </c>
      <c r="I326" t="inlineStr">
        <is>
          <t>inherited_mapping</t>
        </is>
      </c>
      <c r="J326" t="n">
        <v>1638.613</v>
      </c>
      <c r="K326" t="n">
        <v>0.0008</v>
      </c>
      <c r="L326" s="6" t="inlineStr">
        <is>
          <t>Blue shark (Carcharhinidae); true shark, unambiguous fit.</t>
        </is>
      </c>
    </row>
    <row r="327">
      <c r="A327" t="inlineStr">
        <is>
          <t>Stromateidae</t>
        </is>
      </c>
      <c r="B327" t="inlineStr">
        <is>
          <t>Butterfishes</t>
        </is>
      </c>
      <c r="C327" t="inlineStr">
        <is>
          <t>Small benthopelagics (&lt;30 cm)</t>
        </is>
      </c>
      <c r="D327" t="inlineStr">
        <is>
          <t>Perch-likes</t>
        </is>
      </c>
      <c r="E327" s="7" t="inlineStr">
        <is>
          <t>Med Benthic Carnivores</t>
        </is>
      </c>
      <c r="F327" t="inlineStr"/>
      <c r="G327" t="inlineStr"/>
      <c r="H327" t="inlineStr">
        <is>
          <t>high</t>
        </is>
      </c>
      <c r="I327" t="inlineStr">
        <is>
          <t>inherited_mapping</t>
        </is>
      </c>
      <c r="J327" t="n">
        <v>1622.315</v>
      </c>
      <c r="K327" t="n">
        <v>0.0008</v>
      </c>
      <c r="L327" s="6" t="inlineStr">
        <is>
          <t>Pomfret family; "pomfrets" (Stromateidae, genus Pampus) is Table 1's explicit example for Med Benthic Carnivores.</t>
        </is>
      </c>
    </row>
    <row r="328">
      <c r="A328" t="inlineStr">
        <is>
          <t>Zeus faber</t>
        </is>
      </c>
      <c r="B328" t="inlineStr">
        <is>
          <t>John dory</t>
        </is>
      </c>
      <c r="C328" t="inlineStr">
        <is>
          <t>Medium benthopelagics (30 - 89 cm)</t>
        </is>
      </c>
      <c r="D328" t="inlineStr">
        <is>
          <t>Other fishes &amp; inverts</t>
        </is>
      </c>
      <c r="E328" s="5" t="inlineStr">
        <is>
          <t>Med Benthic Carnivores</t>
        </is>
      </c>
      <c r="F328" t="inlineStr"/>
      <c r="G328" t="inlineStr"/>
      <c r="H328" t="inlineStr">
        <is>
          <t>medium</t>
        </is>
      </c>
      <c r="I328" t="inlineStr">
        <is>
          <t>analogue</t>
        </is>
      </c>
      <c r="J328" t="n">
        <v>1608.611</v>
      </c>
      <c r="K328" t="n">
        <v>0.0008</v>
      </c>
      <c r="L328" s="6" t="inlineStr">
        <is>
          <t>John dory; a medium-sized demersal ambush piscivore of the shelf edge, matched to Grp9 Med Benthic Carnivores, the group that holds the comparable big-eyed shelf predator Priacanthus hamrur. Not named in the Bulletin.</t>
        </is>
      </c>
    </row>
    <row r="329">
      <c r="A329" t="inlineStr">
        <is>
          <t>Terapontidae</t>
        </is>
      </c>
      <c r="B329" t="inlineStr">
        <is>
          <t>Grunters, tigerperches</t>
        </is>
      </c>
      <c r="C329" t="inlineStr">
        <is>
          <t>Medium demersals (30 - 89 cm)</t>
        </is>
      </c>
      <c r="D329" t="inlineStr">
        <is>
          <t>Perch-likes</t>
        </is>
      </c>
      <c r="E329" s="7" t="inlineStr">
        <is>
          <t>Small Benthic Carnivores</t>
        </is>
      </c>
      <c r="F329" t="inlineStr"/>
      <c r="G329" t="inlineStr"/>
      <c r="H329" t="inlineStr">
        <is>
          <t>high</t>
        </is>
      </c>
      <c r="I329" t="inlineStr">
        <is>
          <t>inherited_mapping</t>
        </is>
      </c>
      <c r="J329" t="n">
        <v>1585.201</v>
      </c>
      <c r="K329" t="n">
        <v>0.0008</v>
      </c>
      <c r="L329" s="6" t="inlineStr">
        <is>
          <t>Terapon family; "terapons" (Terapontidae) is Table 1's explicit example for Small Benthic Carnivores.</t>
        </is>
      </c>
    </row>
    <row r="330">
      <c r="A330" t="inlineStr">
        <is>
          <t>Caesio caerulaurea</t>
        </is>
      </c>
      <c r="B330" t="inlineStr">
        <is>
          <t>Blue and gold fusilier</t>
        </is>
      </c>
      <c r="C330" t="inlineStr">
        <is>
          <t>Medium reef assoc. fish (30 - 89 cm)</t>
        </is>
      </c>
      <c r="D330" t="inlineStr">
        <is>
          <t>Perch-likes</t>
        </is>
      </c>
      <c r="E330" s="5" t="inlineStr">
        <is>
          <t>Small Benthopelagics</t>
        </is>
      </c>
      <c r="F330" t="inlineStr"/>
      <c r="G330" t="inlineStr"/>
      <c r="H330" t="inlineStr">
        <is>
          <t>medium</t>
        </is>
      </c>
      <c r="I330" t="inlineStr">
        <is>
          <t>inherited_mapping</t>
        </is>
      </c>
      <c r="J330" t="n">
        <v>1582.727</v>
      </c>
      <c r="K330" t="n">
        <v>0.0008</v>
      </c>
      <c r="L330" s="6" t="inlineStr">
        <is>
          <t>Blue and gold fusilier; schooling planktivorous reef fish (Lutjanidae relatives), ecologically closer to the schooling small-benthopelagic zooplanktivore guild than to the demersal-carnivore groups; family not named in Table 1.</t>
        </is>
      </c>
    </row>
    <row r="331">
      <c r="A331" t="inlineStr">
        <is>
          <t>Caesio lunaris</t>
        </is>
      </c>
      <c r="B331" t="inlineStr">
        <is>
          <t>Lunar fusilier</t>
        </is>
      </c>
      <c r="C331" t="inlineStr">
        <is>
          <t>Medium reef assoc. fish (30 - 89 cm)</t>
        </is>
      </c>
      <c r="D331" t="inlineStr">
        <is>
          <t>Perch-likes</t>
        </is>
      </c>
      <c r="E331" s="5" t="inlineStr">
        <is>
          <t>Small Benthopelagics</t>
        </is>
      </c>
      <c r="F331" t="inlineStr"/>
      <c r="G331" t="inlineStr"/>
      <c r="H331" t="inlineStr">
        <is>
          <t>medium</t>
        </is>
      </c>
      <c r="I331" t="inlineStr">
        <is>
          <t>analogue</t>
        </is>
      </c>
      <c r="J331" t="n">
        <v>1561.82</v>
      </c>
      <c r="K331" t="n">
        <v>0.0008</v>
      </c>
      <c r="L331" s="6" t="inlineStr">
        <is>
          <t>Fusilier; a schooling midwater zooplanktivore, matched to Grp11 Small Benthopelagics, the model's schooling planktivore compartment (scads, carangids, moonfish, myctophids). Consistent with the Caesionidae and Caesio rows already in this file. Not named in the Bulletin.</t>
        </is>
      </c>
    </row>
    <row r="332">
      <c r="A332" t="inlineStr">
        <is>
          <t>Aphareus furca</t>
        </is>
      </c>
      <c r="B332" t="inlineStr">
        <is>
          <t>Small toothed jobfish</t>
        </is>
      </c>
      <c r="C332" t="inlineStr">
        <is>
          <t>Medium reef assoc. fish (30 - 89 cm)</t>
        </is>
      </c>
      <c r="D332" t="inlineStr">
        <is>
          <t>Perch-likes</t>
        </is>
      </c>
      <c r="E332" s="7" t="inlineStr">
        <is>
          <t>Large Benthic Carnivores</t>
        </is>
      </c>
      <c r="F332" t="inlineStr"/>
      <c r="G332" t="inlineStr"/>
      <c r="H332" t="inlineStr">
        <is>
          <t>high</t>
        </is>
      </c>
      <c r="I332" t="inlineStr">
        <is>
          <t>inherited_mapping</t>
        </is>
      </c>
      <c r="J332" t="n">
        <v>1483.207</v>
      </c>
      <c r="K332" t="n">
        <v>0.0007</v>
      </c>
      <c r="L332" s="6" t="inlineStr">
        <is>
          <t>Small toothed jobfish; Lutjanidae (snapper/jobfish family) - "jobfish" and "red snappers" are Table 1's explicit examples for Large Benthic Carnivores.</t>
        </is>
      </c>
    </row>
    <row r="333">
      <c r="A333" t="inlineStr">
        <is>
          <t>Plectorhinchus pictus</t>
        </is>
      </c>
      <c r="B333" t="inlineStr">
        <is>
          <t>Trout sweetlips</t>
        </is>
      </c>
      <c r="C333" t="inlineStr">
        <is>
          <t>Medium reef assoc. fish (30 - 89 cm)</t>
        </is>
      </c>
      <c r="D333" t="inlineStr">
        <is>
          <t>Perch-likes</t>
        </is>
      </c>
      <c r="E333" s="5" t="inlineStr">
        <is>
          <t>Med Benthic Carnivores</t>
        </is>
      </c>
      <c r="F333" t="inlineStr"/>
      <c r="G333" t="inlineStr"/>
      <c r="H333" t="inlineStr">
        <is>
          <t>medium</t>
        </is>
      </c>
      <c r="I333" t="inlineStr">
        <is>
          <t>inherited_mapping</t>
        </is>
      </c>
      <c r="J333" t="n">
        <v>1470.608</v>
      </c>
      <c r="K333" t="n">
        <v>0.0007</v>
      </c>
      <c r="L333" s="6" t="inlineStr">
        <is>
          <t>Trout sweetlips; Haemulidae (grunt/sweetlips family), a demersal benthic-invertivore guild not named in Table 1, placed with Med Benthic Carnivores by ecology and TL (~3.3-4.0 vs group TL 3.19).</t>
        </is>
      </c>
    </row>
    <row r="334">
      <c r="A334" t="inlineStr">
        <is>
          <t>Centrolophidae</t>
        </is>
      </c>
      <c r="B334" t="inlineStr">
        <is>
          <t>Medusafishes</t>
        </is>
      </c>
      <c r="C334" t="inlineStr">
        <is>
          <t>Medium benthopelagics (30 - 89 cm)</t>
        </is>
      </c>
      <c r="D334" t="inlineStr">
        <is>
          <t>Perch-likes</t>
        </is>
      </c>
      <c r="E334" s="5" t="inlineStr">
        <is>
          <t>Med Benthic Carnivores</t>
        </is>
      </c>
      <c r="F334" t="inlineStr"/>
      <c r="G334" t="inlineStr"/>
      <c r="H334" t="inlineStr">
        <is>
          <t>medium</t>
        </is>
      </c>
      <c r="I334" t="inlineStr">
        <is>
          <t>analogue</t>
        </is>
      </c>
      <c r="J334" t="n">
        <v>1365.475</v>
      </c>
      <c r="K334" t="n">
        <v>0.0007</v>
      </c>
      <c r="L334" s="6" t="inlineStr">
        <is>
          <t>Medusafishes; Stromateoidei, the same suborder as the pomfrets Pampus and Parastromateus that the Bulletin 51 components-of-ecological-groupings table (PDF pp. 21-22) places in Grp9 Med Benthic Carnivores, and consistent with the Stromateidae row in this file.</t>
        </is>
      </c>
    </row>
    <row r="335">
      <c r="A335" t="inlineStr">
        <is>
          <t>Lethrinus harak</t>
        </is>
      </c>
      <c r="B335" t="inlineStr">
        <is>
          <t>Thumbprint emperor</t>
        </is>
      </c>
      <c r="C335" t="inlineStr">
        <is>
          <t>Medium reef assoc. fish (30 - 89 cm)</t>
        </is>
      </c>
      <c r="D335" t="inlineStr">
        <is>
          <t>Perch-likes</t>
        </is>
      </c>
      <c r="E335" s="5" t="inlineStr">
        <is>
          <t>Large Benthic Carnivores</t>
        </is>
      </c>
      <c r="F335" t="inlineStr"/>
      <c r="G335" t="inlineStr"/>
      <c r="H335" t="inlineStr">
        <is>
          <t>medium</t>
        </is>
      </c>
      <c r="I335" t="inlineStr">
        <is>
          <t>inherited_mapping</t>
        </is>
      </c>
      <c r="J335" t="n">
        <v>1213.476</v>
      </c>
      <c r="K335" t="n">
        <v>0.0005999999999999999</v>
      </c>
      <c r="L335" s="6" t="inlineStr">
        <is>
          <t>Thumbprint emperor; Lethrinidae (emperor family), a demersal durophagous/piscivorous carnivore guild not named in Table 1 but ecologically parallel to the snapper/grouper apex reef-predator guild of Large Benthic Carnivores (mean TL ~3.7, group TL 4.14).</t>
        </is>
      </c>
    </row>
    <row r="336">
      <c r="A336" t="inlineStr">
        <is>
          <t>Inermiidae</t>
        </is>
      </c>
      <c r="B336" t="inlineStr">
        <is>
          <t>Bonnetmouths</t>
        </is>
      </c>
      <c r="C336" t="inlineStr">
        <is>
          <t>Small pelagics (&lt;30 cm)</t>
        </is>
      </c>
      <c r="D336" t="inlineStr">
        <is>
          <t>Perch-likes</t>
        </is>
      </c>
      <c r="E336" s="5" t="inlineStr">
        <is>
          <t>Small Benthopelagics</t>
        </is>
      </c>
      <c r="F336" t="inlineStr"/>
      <c r="G336" t="inlineStr"/>
      <c r="H336" t="inlineStr">
        <is>
          <t>medium</t>
        </is>
      </c>
      <c r="I336" t="inlineStr">
        <is>
          <t>analogue</t>
        </is>
      </c>
      <c r="J336" t="n">
        <v>1170.869</v>
      </c>
      <c r="K336" t="n">
        <v>0.0005999999999999999</v>
      </c>
      <c r="L336" s="6" t="inlineStr">
        <is>
          <t>Bonnetmouths; small midwater planktivores classed by Sea Around Us as Small pelagics (&lt;30 cm), matched to the model's schooling planktivore group. Not named in the Bulletin.</t>
        </is>
      </c>
    </row>
    <row r="337">
      <c r="A337" t="inlineStr">
        <is>
          <t>Epinephelus fuscoguttatus</t>
        </is>
      </c>
      <c r="B337" t="inlineStr">
        <is>
          <t>Brown-marbled grouper</t>
        </is>
      </c>
      <c r="C337" t="inlineStr">
        <is>
          <t>Large reef assoc. fish (&gt;=90 cm)</t>
        </is>
      </c>
      <c r="D337" t="inlineStr">
        <is>
          <t>Perch-likes</t>
        </is>
      </c>
      <c r="E337" s="7" t="inlineStr">
        <is>
          <t>Large Benthic Carnivores</t>
        </is>
      </c>
      <c r="F337" t="inlineStr"/>
      <c r="G337" t="inlineStr"/>
      <c r="H337" t="inlineStr">
        <is>
          <t>high</t>
        </is>
      </c>
      <c r="I337" t="inlineStr">
        <is>
          <t>inherited_mapping</t>
        </is>
      </c>
      <c r="J337" t="n">
        <v>1143.161</v>
      </c>
      <c r="K337" t="n">
        <v>0.0005999999999999999</v>
      </c>
      <c r="L337" s="6" t="inlineStr">
        <is>
          <t>Brown-marbled grouper; Serranidae (grouper/rockcod family) - "rock cods" is Table 1's explicit example for Large Benthic Carnivores.</t>
        </is>
      </c>
    </row>
    <row r="338">
      <c r="A338" t="inlineStr">
        <is>
          <t>Octopodidae</t>
        </is>
      </c>
      <c r="B338" t="inlineStr">
        <is>
          <t>Octopuses</t>
        </is>
      </c>
      <c r="C338" t="inlineStr">
        <is>
          <t>Cephalopods</t>
        </is>
      </c>
      <c r="D338" t="inlineStr">
        <is>
          <t>Other fishes &amp; inverts</t>
        </is>
      </c>
      <c r="E338" s="7" t="inlineStr">
        <is>
          <t>Cephalopods</t>
        </is>
      </c>
      <c r="F338" t="inlineStr"/>
      <c r="G338" t="inlineStr"/>
      <c r="H338" t="inlineStr">
        <is>
          <t>high</t>
        </is>
      </c>
      <c r="I338" t="inlineStr">
        <is>
          <t>inherited_mapping</t>
        </is>
      </c>
      <c r="J338" t="n">
        <v>1121.42</v>
      </c>
      <c r="K338" t="n">
        <v>0.0005999999999999999</v>
      </c>
      <c r="L338" s="6" t="inlineStr">
        <is>
          <t>Octopus family; Cephalopods is the model's only cephalopod-type group, so every cephalopod taxon is an unambiguous fit regardless of exact rank.</t>
        </is>
      </c>
    </row>
    <row r="339">
      <c r="A339" t="inlineStr">
        <is>
          <t>Ferdauia orthogrammus</t>
        </is>
      </c>
      <c r="B339" t="inlineStr">
        <is>
          <t>Island trevally</t>
        </is>
      </c>
      <c r="C339" t="inlineStr">
        <is>
          <t>Medium pelagics (30 - 89 cm)</t>
        </is>
      </c>
      <c r="D339" t="inlineStr">
        <is>
          <t>Perch-likes</t>
        </is>
      </c>
      <c r="E339" s="5" t="inlineStr">
        <is>
          <t>Large Benthic Carnivores</t>
        </is>
      </c>
      <c r="F339" t="inlineStr"/>
      <c r="G339" t="inlineStr"/>
      <c r="H339" t="inlineStr">
        <is>
          <t>medium</t>
        </is>
      </c>
      <c r="I339" t="inlineStr">
        <is>
          <t>inherited_mapping</t>
        </is>
      </c>
      <c r="J339" t="n">
        <v>1097.73</v>
      </c>
      <c r="K339" t="n">
        <v>0.0005999999999999999</v>
      </c>
      <c r="L339" s="6" t="inlineStr">
        <is>
          <t>Island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340">
      <c r="A340" t="inlineStr">
        <is>
          <t>Makaira</t>
        </is>
      </c>
      <c r="B340" t="inlineStr">
        <is>
          <t>Blue marlins</t>
        </is>
      </c>
      <c r="C340" t="inlineStr">
        <is>
          <t>Large pelagics (&gt;=90 cm)</t>
        </is>
      </c>
      <c r="D340" t="inlineStr">
        <is>
          <t>Tuna &amp; billfishes</t>
        </is>
      </c>
      <c r="E340" s="5" t="inlineStr">
        <is>
          <t>Large Pelagics</t>
        </is>
      </c>
      <c r="F340" t="inlineStr"/>
      <c r="G340" t="inlineStr"/>
      <c r="H340" t="inlineStr">
        <is>
          <t>medium</t>
        </is>
      </c>
      <c r="I340" t="inlineStr">
        <is>
          <t>inherited_mapping</t>
        </is>
      </c>
      <c r="J340" t="n">
        <v>1056.261</v>
      </c>
      <c r="K340" t="n">
        <v>0.0005</v>
      </c>
      <c r="L340" s="6" t="inlineStr">
        <is>
          <t>Blue marlins (genus); Table 1 names no billfish group and lists no billfish genus under either Large Pelagics or Tunas, so placement is by ecology - a fast apex epipelagic predator matching the Large Pelagics guild's diet/TL profile (group TL 4.18) rather than the tuna tribe Thunnini.</t>
        </is>
      </c>
    </row>
    <row r="341">
      <c r="A341" t="inlineStr">
        <is>
          <t>Ephippidae</t>
        </is>
      </c>
      <c r="B341" t="inlineStr">
        <is>
          <t>Spade-, batfishes, scats</t>
        </is>
      </c>
      <c r="C341" t="inlineStr">
        <is>
          <t>Medium reef assoc. fish (30 - 89 cm)</t>
        </is>
      </c>
      <c r="D341" t="inlineStr">
        <is>
          <t>Perch-likes</t>
        </is>
      </c>
      <c r="E341" s="5" t="inlineStr">
        <is>
          <t>Med Benthic Carnivores</t>
        </is>
      </c>
      <c r="F341" t="inlineStr"/>
      <c r="G341" t="inlineStr"/>
      <c r="H341" t="inlineStr">
        <is>
          <t>medium</t>
        </is>
      </c>
      <c r="I341" t="inlineStr">
        <is>
          <t>inherited_mapping</t>
        </is>
      </c>
      <c r="J341" t="n">
        <v>1017.089</v>
      </c>
      <c r="K341" t="n">
        <v>0.0005</v>
      </c>
      <c r="L341" s="6" t="inlineStr">
        <is>
          <t>Spadefish/batfish family; Ephippidae/Drepaneidae (Ephippoidei), a benthopelagic invertivore/omnivore guild not named in Table 1, placed by TL match (~3.3 vs group TL 3.19).</t>
        </is>
      </c>
    </row>
    <row r="342">
      <c r="A342" t="inlineStr">
        <is>
          <t>Cephalopholis miniata</t>
        </is>
      </c>
      <c r="B342" t="inlineStr">
        <is>
          <t>Coral hind</t>
        </is>
      </c>
      <c r="C342" t="inlineStr">
        <is>
          <t>Medium reef assoc. fish (30 - 89 cm)</t>
        </is>
      </c>
      <c r="D342" t="inlineStr">
        <is>
          <t>Perch-likes</t>
        </is>
      </c>
      <c r="E342" s="7" t="inlineStr">
        <is>
          <t>Large Benthic Carnivores</t>
        </is>
      </c>
      <c r="F342" t="inlineStr"/>
      <c r="G342" t="inlineStr"/>
      <c r="H342" t="inlineStr">
        <is>
          <t>high</t>
        </is>
      </c>
      <c r="I342" t="inlineStr">
        <is>
          <t>inherited_mapping</t>
        </is>
      </c>
      <c r="J342" t="n">
        <v>977.987</v>
      </c>
      <c r="K342" t="n">
        <v>0.0005</v>
      </c>
      <c r="L342" s="6" t="inlineStr">
        <is>
          <t>Coral hind; Serranidae (grouper/rockcod family) - "rock cods" is Table 1's explicit example for Large Benthic Carnivores.</t>
        </is>
      </c>
    </row>
    <row r="343">
      <c r="A343" t="inlineStr">
        <is>
          <t>Epinephelus fasciatus</t>
        </is>
      </c>
      <c r="B343" t="inlineStr">
        <is>
          <t>Blacktip grouper</t>
        </is>
      </c>
      <c r="C343" t="inlineStr">
        <is>
          <t>Medium reef assoc. fish (30 - 89 cm)</t>
        </is>
      </c>
      <c r="D343" t="inlineStr">
        <is>
          <t>Perch-likes</t>
        </is>
      </c>
      <c r="E343" s="7" t="inlineStr">
        <is>
          <t>Large Benthic Carnivores</t>
        </is>
      </c>
      <c r="F343" t="inlineStr"/>
      <c r="G343" t="inlineStr"/>
      <c r="H343" t="inlineStr">
        <is>
          <t>high</t>
        </is>
      </c>
      <c r="I343" t="inlineStr">
        <is>
          <t>inherited_mapping</t>
        </is>
      </c>
      <c r="J343" t="n">
        <v>958.1180000000001</v>
      </c>
      <c r="K343" t="n">
        <v>0.0005</v>
      </c>
      <c r="L343" s="6" t="inlineStr">
        <is>
          <t>Blacktip grouper; Serranidae (grouper/rockcod family) - "rock cods" is Table 1's explicit example for Large Benthic Carnivores.</t>
        </is>
      </c>
    </row>
    <row r="344">
      <c r="A344" t="inlineStr">
        <is>
          <t>Cephalopholis</t>
        </is>
      </c>
      <c r="B344" t="inlineStr">
        <is>
          <t>Hinds</t>
        </is>
      </c>
      <c r="C344" t="inlineStr">
        <is>
          <t>Medium reef assoc. fish (30 - 89 cm)</t>
        </is>
      </c>
      <c r="D344" t="inlineStr">
        <is>
          <t>Perch-likes</t>
        </is>
      </c>
      <c r="E344" s="7" t="inlineStr">
        <is>
          <t>Large Benthic Carnivores</t>
        </is>
      </c>
      <c r="F344" t="inlineStr"/>
      <c r="G344" t="inlineStr"/>
      <c r="H344" t="inlineStr">
        <is>
          <t>high</t>
        </is>
      </c>
      <c r="I344" t="inlineStr">
        <is>
          <t>inherited_mapping</t>
        </is>
      </c>
      <c r="J344" t="n">
        <v>957.904</v>
      </c>
      <c r="K344" t="n">
        <v>0.0005</v>
      </c>
      <c r="L344" s="6" t="inlineStr">
        <is>
          <t>Hind (genus); Serranidae (grouper/rockcod family) - "rock cods" is Table 1's explicit example for Large Benthic Carnivores.</t>
        </is>
      </c>
    </row>
    <row r="345">
      <c r="A345" t="inlineStr">
        <is>
          <t>Ablennes hians</t>
        </is>
      </c>
      <c r="B345" t="inlineStr">
        <is>
          <t>Flat needlefish</t>
        </is>
      </c>
      <c r="C345" t="inlineStr">
        <is>
          <t>Large pelagics (&gt;=90 cm)</t>
        </is>
      </c>
      <c r="D345" t="inlineStr">
        <is>
          <t>Other fishes &amp; inverts</t>
        </is>
      </c>
      <c r="E345" s="5" t="inlineStr">
        <is>
          <t>Large Pelagics</t>
        </is>
      </c>
      <c r="F345" t="inlineStr"/>
      <c r="G345" t="inlineStr"/>
      <c r="H345" t="inlineStr">
        <is>
          <t>medium</t>
        </is>
      </c>
      <c r="I345" t="inlineStr">
        <is>
          <t>inherited_mapping</t>
        </is>
      </c>
      <c r="J345" t="n">
        <v>947.754</v>
      </c>
      <c r="K345" t="n">
        <v>0.0005</v>
      </c>
      <c r="L345" s="6" t="inlineStr">
        <is>
          <t>Flat needlefish (Belonidae); fast epipelagic surface predator on small fish, TL 4.5, ecologically closest to the Large Pelagics apex-predator guild though not one of Table 1's named examples.</t>
        </is>
      </c>
    </row>
    <row r="346">
      <c r="A346" t="inlineStr">
        <is>
          <t>Seriola</t>
        </is>
      </c>
      <c r="B346" t="inlineStr">
        <is>
          <t>Amberjacks</t>
        </is>
      </c>
      <c r="C346" t="inlineStr">
        <is>
          <t>Large benthopelagics (&gt;=90 cm)</t>
        </is>
      </c>
      <c r="D346" t="inlineStr">
        <is>
          <t>Perch-likes</t>
        </is>
      </c>
      <c r="E346" s="5" t="inlineStr">
        <is>
          <t>Large Benthic Carnivores</t>
        </is>
      </c>
      <c r="F346" t="inlineStr"/>
      <c r="G346" t="inlineStr"/>
      <c r="H346" t="inlineStr">
        <is>
          <t>medium</t>
        </is>
      </c>
      <c r="I346" t="inlineStr">
        <is>
          <t>inherited_mapping</t>
        </is>
      </c>
      <c r="J346" t="n">
        <v>936.569</v>
      </c>
      <c r="K346" t="n">
        <v>0.0005</v>
      </c>
      <c r="L346" s="6" t="inlineStr">
        <is>
          <t>Amberjack (genus); Carangidae, but a large apex predatory reef jack/trevally (TL 3.8-4.5) rather than the small schooling "scad" niche Table 1 names for Carangidae under Small Benthopelagics - placed instead with the demersal apex-predator guild (Large Benthic Carnivores) by size, diet and TL.</t>
        </is>
      </c>
    </row>
    <row r="347">
      <c r="A347" t="inlineStr">
        <is>
          <t>Octopoda</t>
        </is>
      </c>
      <c r="B347" t="inlineStr">
        <is>
          <t>Octopuses, argonauts</t>
        </is>
      </c>
      <c r="C347" t="inlineStr">
        <is>
          <t>Cephalopods</t>
        </is>
      </c>
      <c r="D347" t="inlineStr">
        <is>
          <t>Other fishes &amp; inverts</t>
        </is>
      </c>
      <c r="E347" s="7" t="inlineStr">
        <is>
          <t>Cephalopods</t>
        </is>
      </c>
      <c r="F347" t="inlineStr"/>
      <c r="G347" t="inlineStr"/>
      <c r="H347" t="inlineStr">
        <is>
          <t>high</t>
        </is>
      </c>
      <c r="I347" t="inlineStr">
        <is>
          <t>inherited_mapping</t>
        </is>
      </c>
      <c r="J347" t="n">
        <v>919.627</v>
      </c>
      <c r="K347" t="n">
        <v>0.0005</v>
      </c>
      <c r="L347" s="6" t="inlineStr">
        <is>
          <t>Octopus order; Cephalopods is the model's only cephalopod-type group, so every cephalopod taxon is an unambiguous fit regardless of exact rank.</t>
        </is>
      </c>
    </row>
    <row r="348">
      <c r="A348" t="inlineStr">
        <is>
          <t>Scomberomorus lineolatus</t>
        </is>
      </c>
      <c r="B348" t="inlineStr">
        <is>
          <t>Streaked seerfish</t>
        </is>
      </c>
      <c r="C348" t="inlineStr">
        <is>
          <t>Large pelagics (&gt;=90 cm)</t>
        </is>
      </c>
      <c r="D348" t="inlineStr">
        <is>
          <t>Perch-likes</t>
        </is>
      </c>
      <c r="E348" s="7" t="inlineStr">
        <is>
          <t>Large Pelagics</t>
        </is>
      </c>
      <c r="F348" t="inlineStr"/>
      <c r="G348" t="inlineStr"/>
      <c r="H348" t="inlineStr">
        <is>
          <t>high</t>
        </is>
      </c>
      <c r="I348" t="inlineStr">
        <is>
          <t>inherited_mapping</t>
        </is>
      </c>
      <c r="J348" t="n">
        <v>859.85</v>
      </c>
      <c r="K348" t="n">
        <v>0.0004</v>
      </c>
      <c r="L348" s="6" t="inlineStr">
        <is>
          <t>Streaked seerfish; exact genus (Scomberomorus = "seers, kingfish") explicitly named in Table 1's Large Pelagics definition.</t>
        </is>
      </c>
    </row>
    <row r="349">
      <c r="A349" t="inlineStr">
        <is>
          <t>Gymnosarda unicolor</t>
        </is>
      </c>
      <c r="B349" t="inlineStr">
        <is>
          <t>Dogtooth tuna</t>
        </is>
      </c>
      <c r="C349" t="inlineStr">
        <is>
          <t>Large reef assoc. fish (&gt;=90 cm)</t>
        </is>
      </c>
      <c r="D349" t="inlineStr">
        <is>
          <t>Tuna &amp; billfishes</t>
        </is>
      </c>
      <c r="E349" s="5" t="inlineStr">
        <is>
          <t>Tunas</t>
        </is>
      </c>
      <c r="F349" t="inlineStr"/>
      <c r="G349" t="inlineStr"/>
      <c r="H349" t="inlineStr">
        <is>
          <t>medium</t>
        </is>
      </c>
      <c r="I349" t="inlineStr">
        <is>
          <t>inherited_mapping</t>
        </is>
      </c>
      <c r="J349" t="n">
        <v>859.668</v>
      </c>
      <c r="K349" t="n">
        <v>0.0004</v>
      </c>
      <c r="L349" s="6" t="inlineStr">
        <is>
          <t>Dogtooth tuna; a tuna-like Scombridae (tribe Sardini) closely allied to the true tunas, not itself named in Table 1 but the closest ecological/phylogenetic fit among the remaining scombrids.</t>
        </is>
      </c>
    </row>
    <row r="350">
      <c r="A350" t="inlineStr">
        <is>
          <t>Scolopsis</t>
        </is>
      </c>
      <c r="B350" t="inlineStr">
        <is>
          <t>Monocle breams</t>
        </is>
      </c>
      <c r="C350" t="inlineStr">
        <is>
          <t>Small reef assoc. fish (&lt;30 cm)</t>
        </is>
      </c>
      <c r="D350" t="inlineStr">
        <is>
          <t>Perch-likes</t>
        </is>
      </c>
      <c r="E350" s="7" t="inlineStr">
        <is>
          <t>Small Benthic Carnivores</t>
        </is>
      </c>
      <c r="F350" t="inlineStr"/>
      <c r="G350" t="inlineStr"/>
      <c r="H350" t="inlineStr">
        <is>
          <t>high</t>
        </is>
      </c>
      <c r="I350" t="inlineStr">
        <is>
          <t>inherited_mapping</t>
        </is>
      </c>
      <c r="J350" t="n">
        <v>851.321</v>
      </c>
      <c r="K350" t="n">
        <v>0.0004</v>
      </c>
      <c r="L350" s="6" t="inlineStr">
        <is>
          <t>Monocle bream (genus); Nemipteridae (threadfin bream/monocle bream family) - "threadfin breams" is Table 1's explicit example for Small Benthic Carnivores.</t>
        </is>
      </c>
    </row>
    <row r="351">
      <c r="A351" t="inlineStr">
        <is>
          <t>Berycidae</t>
        </is>
      </c>
      <c r="B351" t="inlineStr">
        <is>
          <t>Alfonsinos, redfishes</t>
        </is>
      </c>
      <c r="C351" t="inlineStr">
        <is>
          <t>Medium benthopelagics (30 - 89 cm)</t>
        </is>
      </c>
      <c r="D351" t="inlineStr">
        <is>
          <t>Other fishes &amp; inverts</t>
        </is>
      </c>
      <c r="E351" s="5" t="inlineStr">
        <is>
          <t>Med Benthic Carnivores</t>
        </is>
      </c>
      <c r="F351" t="inlineStr"/>
      <c r="G351" t="inlineStr"/>
      <c r="H351" t="inlineStr">
        <is>
          <t>medium</t>
        </is>
      </c>
      <c r="I351" t="inlineStr">
        <is>
          <t>analogue</t>
        </is>
      </c>
      <c r="J351" t="n">
        <v>850.683</v>
      </c>
      <c r="K351" t="n">
        <v>0.0004</v>
      </c>
      <c r="L351" s="6" t="inlineStr">
        <is>
          <t>Alfonsinos; deep-shelf benthopelagic big-eyed carnivores, matched to Grp9 Med Benthic Carnivores on the analogy of Priacanthus hamrur, the bull's eye the Bulletin places there. Not named in the Bulletin.</t>
        </is>
      </c>
    </row>
    <row r="352">
      <c r="A352" t="inlineStr">
        <is>
          <t>Aluterus monoceros</t>
        </is>
      </c>
      <c r="B352" t="inlineStr">
        <is>
          <t>Unicorn leatherjacket filefish</t>
        </is>
      </c>
      <c r="C352" t="inlineStr">
        <is>
          <t>Medium reef assoc. fish (30 - 89 cm)</t>
        </is>
      </c>
      <c r="D352" t="inlineStr">
        <is>
          <t>Other fishes &amp; inverts</t>
        </is>
      </c>
      <c r="E352" s="5" t="inlineStr">
        <is>
          <t>Med Benthic Carnivores</t>
        </is>
      </c>
      <c r="F352" t="inlineStr"/>
      <c r="G352" t="inlineStr"/>
      <c r="H352" t="inlineStr">
        <is>
          <t>medium</t>
        </is>
      </c>
      <c r="I352" t="inlineStr">
        <is>
          <t>inherited_mapping</t>
        </is>
      </c>
      <c r="J352" t="n">
        <v>816.494</v>
      </c>
      <c r="K352" t="n">
        <v>0.0004</v>
      </c>
      <c r="L352" s="6" t="inlineStr">
        <is>
          <t>Unicorn leatherjacket filefish; Monacanthidae, close relative of the explicitly named "balistids" (Balistidae), similar benthic-invertivore ecology.</t>
        </is>
      </c>
    </row>
    <row r="353">
      <c r="A353" t="inlineStr">
        <is>
          <t>Caranx lugubris</t>
        </is>
      </c>
      <c r="B353" t="inlineStr">
        <is>
          <t>Black jack</t>
        </is>
      </c>
      <c r="C353" t="inlineStr">
        <is>
          <t>Large benthopelagics (&gt;=90 cm)</t>
        </is>
      </c>
      <c r="D353" t="inlineStr">
        <is>
          <t>Perch-likes</t>
        </is>
      </c>
      <c r="E353" s="5" t="inlineStr">
        <is>
          <t>Large Benthic Carnivores</t>
        </is>
      </c>
      <c r="F353" t="inlineStr"/>
      <c r="G353" t="inlineStr"/>
      <c r="H353" t="inlineStr">
        <is>
          <t>medium</t>
        </is>
      </c>
      <c r="I353" t="inlineStr">
        <is>
          <t>inherited_mapping</t>
        </is>
      </c>
      <c r="J353" t="n">
        <v>763.41</v>
      </c>
      <c r="K353" t="n">
        <v>0.0004</v>
      </c>
      <c r="L353" s="6" t="inlineStr">
        <is>
          <t>Black jack; Carangidae, but a large apex predatory reef jack/trevally (TL 3.8-4.5) rather than the small schooling "scad" niche Table 1 names for Carangidae under Small Benthopelagics - placed instead with the demersal apex-predator guild (Large Benthic Carnivores) by size, diet and TL.</t>
        </is>
      </c>
    </row>
    <row r="354">
      <c r="A354" t="inlineStr">
        <is>
          <t>Aphareus rutilans</t>
        </is>
      </c>
      <c r="B354" t="inlineStr">
        <is>
          <t>Rusty jobfish</t>
        </is>
      </c>
      <c r="C354" t="inlineStr">
        <is>
          <t>Medium reef assoc. fish (30 - 89 cm)</t>
        </is>
      </c>
      <c r="D354" t="inlineStr">
        <is>
          <t>Perch-likes</t>
        </is>
      </c>
      <c r="E354" s="7" t="inlineStr">
        <is>
          <t>Large Benthic Carnivores</t>
        </is>
      </c>
      <c r="F354" t="inlineStr"/>
      <c r="G354" t="inlineStr"/>
      <c r="H354" t="inlineStr">
        <is>
          <t>high</t>
        </is>
      </c>
      <c r="I354" t="inlineStr">
        <is>
          <t>inherited_mapping</t>
        </is>
      </c>
      <c r="J354" t="n">
        <v>739.554</v>
      </c>
      <c r="K354" t="n">
        <v>0.0004</v>
      </c>
      <c r="L354" s="6" t="inlineStr">
        <is>
          <t>Rusty jobfish; Lutjanidae (snapper/jobfish family) - "jobfish" and "red snappers" are Table 1's explicit examples for Large Benthic Carnivores.</t>
        </is>
      </c>
    </row>
    <row r="355">
      <c r="A355" t="inlineStr">
        <is>
          <t>Macolor niger</t>
        </is>
      </c>
      <c r="B355" t="inlineStr">
        <is>
          <t>Black and white snapper</t>
        </is>
      </c>
      <c r="C355" t="inlineStr">
        <is>
          <t>Medium reef assoc. fish (30 - 89 cm)</t>
        </is>
      </c>
      <c r="D355" t="inlineStr">
        <is>
          <t>Perch-likes</t>
        </is>
      </c>
      <c r="E355" s="7" t="inlineStr">
        <is>
          <t>Large Benthic Carnivores</t>
        </is>
      </c>
      <c r="F355" t="inlineStr"/>
      <c r="G355" t="inlineStr"/>
      <c r="H355" t="inlineStr">
        <is>
          <t>high</t>
        </is>
      </c>
      <c r="I355" t="inlineStr">
        <is>
          <t>inherited_mapping</t>
        </is>
      </c>
      <c r="J355" t="n">
        <v>725.062</v>
      </c>
      <c r="K355" t="n">
        <v>0.0004</v>
      </c>
      <c r="L355" s="6" t="inlineStr">
        <is>
          <t>Black and white snapper; Lutjanidae (snapper/jobfish family) - "jobfish" and "red snappers" are Table 1's explicit examples for Large Benthic Carnivores.</t>
        </is>
      </c>
    </row>
    <row r="356">
      <c r="A356" t="inlineStr">
        <is>
          <t>Macolor macularis</t>
        </is>
      </c>
      <c r="B356" t="inlineStr">
        <is>
          <t>Midnight snapper</t>
        </is>
      </c>
      <c r="C356" t="inlineStr">
        <is>
          <t>Medium reef assoc. fish (30 - 89 cm)</t>
        </is>
      </c>
      <c r="D356" t="inlineStr">
        <is>
          <t>Perch-likes</t>
        </is>
      </c>
      <c r="E356" s="7" t="inlineStr">
        <is>
          <t>Large Benthic Carnivores</t>
        </is>
      </c>
      <c r="F356" t="inlineStr"/>
      <c r="G356" t="inlineStr"/>
      <c r="H356" t="inlineStr">
        <is>
          <t>high</t>
        </is>
      </c>
      <c r="I356" t="inlineStr">
        <is>
          <t>taxonomic_containment</t>
        </is>
      </c>
      <c r="J356" t="n">
        <v>665.967</v>
      </c>
      <c r="K356" t="n">
        <v>0.0003</v>
      </c>
      <c r="L356" s="6" t="inlineStr">
        <is>
          <t>Lutjanidae; 'Lutjanus sp.' is member 34 and Pristipomoides filamentosus member 30 of Grp8 Large Benthic Carnivores in the Bulletin 51 components-of-ecological-groupings table (PDF pp. 21-22), and the ecological-grouping paragraph names jobfish and red snappers there.</t>
        </is>
      </c>
    </row>
    <row r="357">
      <c r="A357" t="inlineStr">
        <is>
          <t>Sillago</t>
        </is>
      </c>
      <c r="B357" t="inlineStr">
        <is>
          <t>Smelt-whitings</t>
        </is>
      </c>
      <c r="C357" t="inlineStr">
        <is>
          <t>Medium demersals (30 - 89 cm)</t>
        </is>
      </c>
      <c r="D357" t="inlineStr">
        <is>
          <t>Perch-likes</t>
        </is>
      </c>
      <c r="E357" s="5" t="inlineStr">
        <is>
          <t>Med Benthic Carnivores</t>
        </is>
      </c>
      <c r="F357" t="inlineStr"/>
      <c r="G357" t="inlineStr"/>
      <c r="H357" t="inlineStr">
        <is>
          <t>medium</t>
        </is>
      </c>
      <c r="I357" t="inlineStr">
        <is>
          <t>inherited_mapping</t>
        </is>
      </c>
      <c r="J357" t="n">
        <v>645.087</v>
      </c>
      <c r="K357" t="n">
        <v>0.0003</v>
      </c>
      <c r="L357" s="6" t="inlineStr">
        <is>
          <t>Smelt-whiting (genus); small demersal sand-dwelling carnivore, SAU size class "Medium demersals" and TL (~3.25-3.33) closely matching Med Benthic Carnivores (group TL 3.19); family not named in Table 1.</t>
        </is>
      </c>
    </row>
    <row r="358">
      <c r="A358" t="inlineStr">
        <is>
          <t>Rhincodon typus</t>
        </is>
      </c>
      <c r="B358" t="inlineStr">
        <is>
          <t>Whale shark</t>
        </is>
      </c>
      <c r="C358" t="inlineStr">
        <is>
          <t>Large sharks (&gt;=90 cm)</t>
        </is>
      </c>
      <c r="D358" t="inlineStr">
        <is>
          <t>Sharks &amp; rays</t>
        </is>
      </c>
      <c r="E358" s="5" t="inlineStr">
        <is>
          <t>Sharks</t>
        </is>
      </c>
      <c r="F358" t="inlineStr"/>
      <c r="G358" t="inlineStr"/>
      <c r="H358" t="inlineStr">
        <is>
          <t>medium</t>
        </is>
      </c>
      <c r="I358" t="inlineStr">
        <is>
          <t>inherited_mapping</t>
        </is>
      </c>
      <c r="J358" t="n">
        <v>616.106</v>
      </c>
      <c r="K358" t="n">
        <v>0.0003</v>
      </c>
      <c r="L358" s="6" t="inlineStr">
        <is>
          <t>Whale shark; phylogenetically an unambiguous true shark (not a batoid), so it falls to the model's single Sharks compartment by elimination, but its filter-feeding, plankton-based ecology (TL 3.55) diverges sharply from the mid-large piscivorous diet implied by the group's printed TL (4.45) and diet matrix - flagged rather than treated as a clean fit.</t>
        </is>
      </c>
    </row>
    <row r="359">
      <c r="A359" t="inlineStr">
        <is>
          <t>Penaeus indicus</t>
        </is>
      </c>
      <c r="B359" t="inlineStr">
        <is>
          <t>Indian white prawn</t>
        </is>
      </c>
      <c r="C359" t="inlineStr">
        <is>
          <t>Shrimps</t>
        </is>
      </c>
      <c r="D359" t="inlineStr">
        <is>
          <t>Crustaceans</t>
        </is>
      </c>
      <c r="E359" s="7" t="inlineStr">
        <is>
          <t>Shrimps</t>
        </is>
      </c>
      <c r="F359" t="inlineStr"/>
      <c r="G359" t="inlineStr"/>
      <c r="H359" t="inlineStr">
        <is>
          <t>high</t>
        </is>
      </c>
      <c r="I359" t="inlineStr">
        <is>
          <t>taxonomic_containment</t>
        </is>
      </c>
      <c r="J359" t="n">
        <v>580.951</v>
      </c>
      <c r="K359" t="n">
        <v>0.0003</v>
      </c>
      <c r="L359" s="6" t="inlineStr">
        <is>
          <t>Penaeidae, the family of Grp16 Shrimps' listed genera Metapenaeus, Parapenaeopsis and Trachypenaeus (the Bulletin 51 components-of-ecological-groupings table (PDF pp. 21-22)).</t>
        </is>
      </c>
    </row>
    <row r="360">
      <c r="A360" t="inlineStr">
        <is>
          <t>Nemipterus randalli</t>
        </is>
      </c>
      <c r="B360" t="inlineStr">
        <is>
          <t>Randall's threadfin bream</t>
        </is>
      </c>
      <c r="C360" t="inlineStr">
        <is>
          <t>Small demersals (&lt;30 cm)</t>
        </is>
      </c>
      <c r="D360" t="inlineStr">
        <is>
          <t>Perch-likes</t>
        </is>
      </c>
      <c r="E360" s="7" t="inlineStr">
        <is>
          <t>Small Benthic Carnivores</t>
        </is>
      </c>
      <c r="F360" t="inlineStr"/>
      <c r="G360" t="inlineStr"/>
      <c r="H360" t="inlineStr">
        <is>
          <t>high</t>
        </is>
      </c>
      <c r="I360" t="inlineStr">
        <is>
          <t>taxonomic_containment</t>
        </is>
      </c>
      <c r="J360" t="n">
        <v>523.825</v>
      </c>
      <c r="K360" t="n">
        <v>0.0003</v>
      </c>
      <c r="L360" s="6" t="inlineStr">
        <is>
          <t>Nemipterus japonicus (46) and N. mesoprion (47) are members of Grp10 Small Benthic Carnivores in the Bulletin 51 components-of-ecological-groupings table (PDF pp. 21-22); this is a congener.</t>
        </is>
      </c>
    </row>
    <row r="361">
      <c r="A361" t="inlineStr">
        <is>
          <t>Aethaloperca rogaa</t>
        </is>
      </c>
      <c r="B361" t="inlineStr">
        <is>
          <t>Redmouth grouper</t>
        </is>
      </c>
      <c r="C361" t="inlineStr">
        <is>
          <t>Medium reef assoc. fish (30 - 89 cm)</t>
        </is>
      </c>
      <c r="D361" t="inlineStr">
        <is>
          <t>Perch-likes</t>
        </is>
      </c>
      <c r="E361" s="7" t="inlineStr">
        <is>
          <t>Large Benthic Carnivores</t>
        </is>
      </c>
      <c r="F361" t="inlineStr"/>
      <c r="G361" t="inlineStr"/>
      <c r="H361" t="inlineStr">
        <is>
          <t>high</t>
        </is>
      </c>
      <c r="I361" t="inlineStr">
        <is>
          <t>inherited_mapping</t>
        </is>
      </c>
      <c r="J361" t="n">
        <v>520.7859999999999</v>
      </c>
      <c r="K361" t="n">
        <v>0.0003</v>
      </c>
      <c r="L361" s="6" t="inlineStr">
        <is>
          <t>Redmouth grouper; Serranidae (grouper/rockcod family) - "rock cods" is Table 1's explicit example for Large Benthic Carnivores.</t>
        </is>
      </c>
    </row>
    <row r="362">
      <c r="A362" t="inlineStr">
        <is>
          <t>Plotosidae</t>
        </is>
      </c>
      <c r="B362" t="inlineStr">
        <is>
          <t>Eeltail catfishes</t>
        </is>
      </c>
      <c r="C362" t="inlineStr">
        <is>
          <t>Medium reef assoc. fish (30 - 89 cm)</t>
        </is>
      </c>
      <c r="D362" t="inlineStr">
        <is>
          <t>Other fishes &amp; inverts</t>
        </is>
      </c>
      <c r="E362" s="7" t="inlineStr">
        <is>
          <t>Benthic Omnivores</t>
        </is>
      </c>
      <c r="F362" t="inlineStr"/>
      <c r="G362" t="inlineStr"/>
      <c r="H362" t="inlineStr">
        <is>
          <t>high</t>
        </is>
      </c>
      <c r="I362" t="inlineStr">
        <is>
          <t>explicit_member</t>
        </is>
      </c>
      <c r="J362" t="n">
        <v>506.955</v>
      </c>
      <c r="K362" t="n">
        <v>0.0003</v>
      </c>
      <c r="L362" s="6" t="inlineStr">
        <is>
          <t>CORRECTION to the inherited mapping. The eel catfish Plotosus sp. is member 86 of Grp17 Benthic Omnivores in the Bulletin 51 components-of-ecological-groupings table (PDF pp. 21-22). Previously mapped to Large Benthopelagics, which holds the sea catfishes (Tachysurus/Ariidae) rather than the plotosids.</t>
        </is>
      </c>
    </row>
    <row r="363">
      <c r="A363" t="inlineStr">
        <is>
          <t>Elagatis bipinnulata</t>
        </is>
      </c>
      <c r="B363" t="inlineStr">
        <is>
          <t>Rainbow runner</t>
        </is>
      </c>
      <c r="C363" t="inlineStr">
        <is>
          <t>Large pelagics (&gt;=90 cm)</t>
        </is>
      </c>
      <c r="D363" t="inlineStr">
        <is>
          <t>Perch-likes</t>
        </is>
      </c>
      <c r="E363" s="5" t="inlineStr">
        <is>
          <t>Large Pelagics</t>
        </is>
      </c>
      <c r="F363" t="inlineStr"/>
      <c r="G363" t="inlineStr"/>
      <c r="H363" t="inlineStr">
        <is>
          <t>medium</t>
        </is>
      </c>
      <c r="I363" t="inlineStr">
        <is>
          <t>inherited_mapping</t>
        </is>
      </c>
      <c r="J363" t="n">
        <v>501.236</v>
      </c>
      <c r="K363" t="n">
        <v>0.0003</v>
      </c>
      <c r="L363" s="6" t="inlineStr">
        <is>
          <t>Rainbow runner (Carangidae); although Carangidae is named for Small Benthopelagics ("carangids"), this species is a large, fast, fully epipelagic oceanic predator (TL 4.27) whose size and open-water habit diverge sharply from the small schooling scad guild that example targets, so it is placed instead with the Large Pelagics apex-predator guild by ecology.</t>
        </is>
      </c>
    </row>
    <row r="364">
      <c r="A364" t="inlineStr">
        <is>
          <t>Malacostraca</t>
        </is>
      </c>
      <c r="B364" t="inlineStr">
        <is>
          <t>Lobsters, crabs, shrimps, krill</t>
        </is>
      </c>
      <c r="C364" t="inlineStr">
        <is>
          <t>Shrimps</t>
        </is>
      </c>
      <c r="D364" t="inlineStr">
        <is>
          <t>Crustaceans</t>
        </is>
      </c>
      <c r="E364" s="5" t="inlineStr">
        <is>
          <t>Shrimps | Crabs &amp; Lobster</t>
        </is>
      </c>
      <c r="F364" t="inlineStr">
        <is>
          <t>0.881 | 0.119</t>
        </is>
      </c>
      <c r="G364" t="inlineStr">
        <is>
          <t>catch_composition</t>
        </is>
      </c>
      <c r="H364" t="inlineStr">
        <is>
          <t>medium</t>
        </is>
      </c>
      <c r="I364" t="inlineStr">
        <is>
          <t>composite_split</t>
        </is>
      </c>
      <c r="J364" t="n">
        <v>484.839</v>
      </c>
      <c r="K364" t="n">
        <v>0.0002</v>
      </c>
      <c r="L364" s="6" t="inlineStr">
        <is>
          <t>Class-level crustacean record classed by Sea Around Us as functional group Shrimps, apportioned over the model's two landed crustacean groups by catch composition. Heterotrophic Benthos and Benthic Omnivores excluded: their malacostracan members (amphipods, isopods, benthic crabs, the mantis shrimp Oratosquilla) are unlanded or separately recorded.</t>
        </is>
      </c>
    </row>
    <row r="365">
      <c r="A365" t="inlineStr">
        <is>
          <t>Veneridae</t>
        </is>
      </c>
      <c r="B365" t="inlineStr">
        <is>
          <t>Venus clams</t>
        </is>
      </c>
      <c r="C365" t="inlineStr">
        <is>
          <t>Other demersal invertebrates</t>
        </is>
      </c>
      <c r="D365" t="inlineStr">
        <is>
          <t>Molluscs</t>
        </is>
      </c>
      <c r="E365" s="7" t="inlineStr">
        <is>
          <t>Heterotrophic Benthos</t>
        </is>
      </c>
      <c r="F365" t="inlineStr"/>
      <c r="G365" t="inlineStr"/>
      <c r="H365" t="inlineStr">
        <is>
          <t>high</t>
        </is>
      </c>
      <c r="I365" t="inlineStr">
        <is>
          <t>inherited_mapping</t>
        </is>
      </c>
      <c r="J365" t="n">
        <v>484.727</v>
      </c>
      <c r="K365" t="n">
        <v>0.0002</v>
      </c>
      <c r="L365" s="6" t="inlineStr">
        <is>
          <t>Venus clam family; "bivalves" is Table 1's explicit example for Heterotrophic Benthos.</t>
        </is>
      </c>
    </row>
    <row r="366">
      <c r="A366" t="inlineStr">
        <is>
          <t>Haliotidae</t>
        </is>
      </c>
      <c r="B366" t="inlineStr">
        <is>
          <t>Abalones, ear shells</t>
        </is>
      </c>
      <c r="C366" t="inlineStr">
        <is>
          <t>Other demersal invertebrates</t>
        </is>
      </c>
      <c r="D366" t="inlineStr">
        <is>
          <t>Molluscs</t>
        </is>
      </c>
      <c r="E366" s="7" t="inlineStr">
        <is>
          <t>Heterotrophic Benthos</t>
        </is>
      </c>
      <c r="F366" t="inlineStr"/>
      <c r="G366" t="inlineStr"/>
      <c r="H366" t="inlineStr">
        <is>
          <t>high</t>
        </is>
      </c>
      <c r="I366" t="inlineStr">
        <is>
          <t>inherited_mapping</t>
        </is>
      </c>
      <c r="J366" t="n">
        <v>478.297</v>
      </c>
      <c r="K366" t="n">
        <v>0.0002</v>
      </c>
      <c r="L366" s="6" t="inlineStr">
        <is>
          <t>Abalone family; "gastropods" is Table 1's explicit example for Heterotrophic Benthos.</t>
        </is>
      </c>
    </row>
    <row r="367">
      <c r="A367" t="inlineStr">
        <is>
          <t>Spratelloides delicatulus</t>
        </is>
      </c>
      <c r="B367" t="inlineStr">
        <is>
          <t>Delicate round herring</t>
        </is>
      </c>
      <c r="C367" t="inlineStr">
        <is>
          <t>Small reef assoc. fish (&lt;30 cm)</t>
        </is>
      </c>
      <c r="D367" t="inlineStr">
        <is>
          <t>Herring-likes</t>
        </is>
      </c>
      <c r="E367" s="7" t="inlineStr">
        <is>
          <t>Clupeids</t>
        </is>
      </c>
      <c r="F367" t="inlineStr"/>
      <c r="G367" t="inlineStr"/>
      <c r="H367" t="inlineStr">
        <is>
          <t>high</t>
        </is>
      </c>
      <c r="I367" t="inlineStr">
        <is>
          <t>taxonomic_containment</t>
        </is>
      </c>
      <c r="J367" t="n">
        <v>423.032</v>
      </c>
      <c r="K367" t="n">
        <v>0.0002</v>
      </c>
      <c r="L367" s="6" t="inlineStr">
        <is>
          <t>Clupeidae; Grp13 Clupeids in the Bulletin 51 components-of-ecological-groupings table (PDF pp. 21-22) is the model's clupeid pool, and the congener Spratelloides gracilis is already mapped there in this file.</t>
        </is>
      </c>
    </row>
    <row r="368">
      <c r="A368" t="inlineStr">
        <is>
          <t>Sphyrna zygaena</t>
        </is>
      </c>
      <c r="B368" t="inlineStr">
        <is>
          <t>Smooth hammerhead</t>
        </is>
      </c>
      <c r="C368" t="inlineStr">
        <is>
          <t>Large sharks (&gt;=90 cm)</t>
        </is>
      </c>
      <c r="D368" t="inlineStr">
        <is>
          <t>Sharks &amp; rays</t>
        </is>
      </c>
      <c r="E368" s="7" t="inlineStr">
        <is>
          <t>Sharks</t>
        </is>
      </c>
      <c r="F368" t="inlineStr"/>
      <c r="G368" t="inlineStr"/>
      <c r="H368" t="inlineStr">
        <is>
          <t>high</t>
        </is>
      </c>
      <c r="I368" t="inlineStr">
        <is>
          <t>inherited_mapping</t>
        </is>
      </c>
      <c r="J368" t="n">
        <v>380.823</v>
      </c>
      <c r="K368" t="n">
        <v>0.0002</v>
      </c>
      <c r="L368" s="6" t="inlineStr">
        <is>
          <t>Smooth hammerhead; exact genus (Sphyrna) explicitly named in Table 1's Sharks definition.</t>
        </is>
      </c>
    </row>
    <row r="369">
      <c r="A369" t="inlineStr">
        <is>
          <t>Plectorhinchus sordidus</t>
        </is>
      </c>
      <c r="B369" t="inlineStr">
        <is>
          <t>Sordid rubberlip</t>
        </is>
      </c>
      <c r="C369" t="inlineStr">
        <is>
          <t>Medium reef assoc. fish (30 - 89 cm)</t>
        </is>
      </c>
      <c r="D369" t="inlineStr">
        <is>
          <t>Perch-likes</t>
        </is>
      </c>
      <c r="E369" s="5" t="inlineStr">
        <is>
          <t>Med Benthic Carnivores</t>
        </is>
      </c>
      <c r="F369" t="inlineStr"/>
      <c r="G369" t="inlineStr"/>
      <c r="H369" t="inlineStr">
        <is>
          <t>medium</t>
        </is>
      </c>
      <c r="I369" t="inlineStr">
        <is>
          <t>inherited_mapping</t>
        </is>
      </c>
      <c r="J369" t="n">
        <v>363.436</v>
      </c>
      <c r="K369" t="n">
        <v>0.0002</v>
      </c>
      <c r="L369" s="6" t="inlineStr">
        <is>
          <t>Sordid rubberlip; Haemulidae (grunt/sweetlips family), a demersal benthic-invertivore guild not named in Table 1, placed with Med Benthic Carnivores by ecology and TL (~3.3-4.0 vs group TL 3.19).</t>
        </is>
      </c>
    </row>
    <row r="370">
      <c r="A370" t="inlineStr">
        <is>
          <t>Holothuroidea</t>
        </is>
      </c>
      <c r="B370" t="inlineStr">
        <is>
          <t>Sea cucumbers</t>
        </is>
      </c>
      <c r="C370" t="inlineStr">
        <is>
          <t>Other demersal invertebrates</t>
        </is>
      </c>
      <c r="D370" t="inlineStr">
        <is>
          <t>Other fishes &amp; inverts</t>
        </is>
      </c>
      <c r="E370" s="7" t="inlineStr">
        <is>
          <t>Heterotrophic Benthos</t>
        </is>
      </c>
      <c r="F370" t="inlineStr"/>
      <c r="G370" t="inlineStr"/>
      <c r="H370" t="inlineStr">
        <is>
          <t>high</t>
        </is>
      </c>
      <c r="I370" t="inlineStr">
        <is>
          <t>inherited_mapping</t>
        </is>
      </c>
      <c r="J370" t="n">
        <v>354.538</v>
      </c>
      <c r="K370" t="n">
        <v>0.0002</v>
      </c>
      <c r="L370" s="6" t="inlineStr">
        <is>
          <t>Sea cucumber class; sea cucumbers are echinoderms (class Holothuroidea), and "echinoderms" is Table 1's explicit example for Heterotrophic Benthos.</t>
        </is>
      </c>
    </row>
    <row r="371">
      <c r="A371" t="inlineStr">
        <is>
          <t>Hemiramphus archipelagicus</t>
        </is>
      </c>
      <c r="B371" t="inlineStr">
        <is>
          <t>Jumping halfbeak</t>
        </is>
      </c>
      <c r="C371" t="inlineStr">
        <is>
          <t>Medium pelagics (30 - 89 cm)</t>
        </is>
      </c>
      <c r="D371" t="inlineStr">
        <is>
          <t>Other fishes &amp; inverts</t>
        </is>
      </c>
      <c r="E371" s="5" t="inlineStr">
        <is>
          <t>Small Benthopelagics</t>
        </is>
      </c>
      <c r="F371" t="inlineStr"/>
      <c r="G371" t="inlineStr"/>
      <c r="H371" t="inlineStr">
        <is>
          <t>medium</t>
        </is>
      </c>
      <c r="I371" t="inlineStr">
        <is>
          <t>inherited_mapping</t>
        </is>
      </c>
      <c r="J371" t="n">
        <v>351.947</v>
      </c>
      <c r="K371" t="n">
        <v>0.0002</v>
      </c>
      <c r="L371" s="6" t="inlineStr">
        <is>
          <t>Jumping halfbeak; small surface-dwelling schooling fish, ecologically closest to the small pelagic/benthopelagic schooling-fish guild of Small Benthopelagics though not named in Table 1 (TL 2.82-3.25 vs group 3.88).</t>
        </is>
      </c>
    </row>
    <row r="372">
      <c r="A372" t="inlineStr">
        <is>
          <t>Scorpaenidae</t>
        </is>
      </c>
      <c r="B372" t="inlineStr">
        <is>
          <t>Scorpionfishes, rockfishes</t>
        </is>
      </c>
      <c r="C372" t="inlineStr">
        <is>
          <t>Large reef assoc. fish (&gt;=90 cm)</t>
        </is>
      </c>
      <c r="D372" t="inlineStr">
        <is>
          <t>Scorpionfishes</t>
        </is>
      </c>
      <c r="E372" s="5" t="inlineStr">
        <is>
          <t>Large Benthic Carnivores</t>
        </is>
      </c>
      <c r="F372" t="inlineStr"/>
      <c r="G372" t="inlineStr"/>
      <c r="H372" t="inlineStr">
        <is>
          <t>medium</t>
        </is>
      </c>
      <c r="I372" t="inlineStr">
        <is>
          <t>inherited_mapping</t>
        </is>
      </c>
      <c r="J372" t="n">
        <v>351.896</v>
      </c>
      <c r="K372" t="n">
        <v>0.0002</v>
      </c>
      <c r="L372" s="6" t="inlineStr">
        <is>
          <t>Scorpionfish/rockfish family; venomous benthic ambush predator, TL 3.92, closest to the demersal apex-predator guild of Large Benthic Carnivores (group TL 4.14).</t>
        </is>
      </c>
    </row>
    <row r="373">
      <c r="A373" t="inlineStr">
        <is>
          <t>Chaetodontidae</t>
        </is>
      </c>
      <c r="B373" t="inlineStr">
        <is>
          <t>Butterflyfishes</t>
        </is>
      </c>
      <c r="C373" t="inlineStr">
        <is>
          <t>Small reef assoc. fish (&lt;30 cm)</t>
        </is>
      </c>
      <c r="D373" t="inlineStr">
        <is>
          <t>Perch-likes</t>
        </is>
      </c>
      <c r="E373" s="5" t="inlineStr">
        <is>
          <t>Benthic Omnivores</t>
        </is>
      </c>
      <c r="F373" t="inlineStr"/>
      <c r="G373" t="inlineStr"/>
      <c r="H373" t="inlineStr">
        <is>
          <t>medium</t>
        </is>
      </c>
      <c r="I373" t="inlineStr">
        <is>
          <t>inherited_mapping</t>
        </is>
      </c>
      <c r="J373" t="n">
        <v>351.778</v>
      </c>
      <c r="K373" t="n">
        <v>0.0002</v>
      </c>
      <c r="L373" s="6" t="inlineStr">
        <is>
          <t>Butterflyfish family; small reef invertivore/corallivore grazers (TL 3.24), not named in Table 1 but closest among low-TL grazer/omnivore reef guilds to Benthic Omnivores (group TL 2.55).</t>
        </is>
      </c>
    </row>
    <row r="374">
      <c r="A374" t="inlineStr">
        <is>
          <t>Beryx</t>
        </is>
      </c>
      <c r="B374" t="inlineStr">
        <is>
          <t>Alfonsinos</t>
        </is>
      </c>
      <c r="C374" t="inlineStr">
        <is>
          <t>Medium benthopelagics (30 - 89 cm)</t>
        </is>
      </c>
      <c r="D374" t="inlineStr">
        <is>
          <t>Other fishes &amp; inverts</t>
        </is>
      </c>
      <c r="E374" s="5" t="inlineStr">
        <is>
          <t>Med Benthic Carnivores</t>
        </is>
      </c>
      <c r="F374" t="inlineStr"/>
      <c r="G374" t="inlineStr"/>
      <c r="H374" t="inlineStr">
        <is>
          <t>medium</t>
        </is>
      </c>
      <c r="I374" t="inlineStr">
        <is>
          <t>analogue</t>
        </is>
      </c>
      <c r="J374" t="n">
        <v>311.82</v>
      </c>
      <c r="K374" t="n">
        <v>0.0002</v>
      </c>
      <c r="L374" s="6" t="inlineStr">
        <is>
          <t>Alfonsinos; same treatment as the Berycidae row - a deep-shelf big-eyed carnivore matched to Grp9 Med Benthic Carnivores on the analogy of Priacanthus hamrur.</t>
        </is>
      </c>
    </row>
    <row r="375">
      <c r="A375" t="inlineStr">
        <is>
          <t>Scylla serrata</t>
        </is>
      </c>
      <c r="B375" t="inlineStr">
        <is>
          <t>Indo-Pacific swamp crab</t>
        </is>
      </c>
      <c r="C375" t="inlineStr">
        <is>
          <t>Lobsters, crabs</t>
        </is>
      </c>
      <c r="D375" t="inlineStr">
        <is>
          <t>Crustaceans</t>
        </is>
      </c>
      <c r="E375" s="7" t="inlineStr">
        <is>
          <t>Crabs &amp; Lobster</t>
        </is>
      </c>
      <c r="F375" t="inlineStr"/>
      <c r="G375" t="inlineStr"/>
      <c r="H375" t="inlineStr">
        <is>
          <t>high</t>
        </is>
      </c>
      <c r="I375" t="inlineStr">
        <is>
          <t>inherited_mapping</t>
        </is>
      </c>
      <c r="J375" t="n">
        <v>287.211</v>
      </c>
      <c r="K375" t="n">
        <v>0.0001</v>
      </c>
      <c r="L375" s="6" t="inlineStr">
        <is>
          <t>Indo-Pacific swamp/mud crab; Portunidae, the same family as Table 1's explicit example genera Portunus and Charybdis.</t>
        </is>
      </c>
    </row>
    <row r="376">
      <c r="A376" t="inlineStr">
        <is>
          <t>Pomatomus saltatrix</t>
        </is>
      </c>
      <c r="B376" t="inlineStr">
        <is>
          <t>Bluefish</t>
        </is>
      </c>
      <c r="C376" t="inlineStr">
        <is>
          <t>Large pelagics (&gt;=90 cm)</t>
        </is>
      </c>
      <c r="D376" t="inlineStr">
        <is>
          <t>Perch-likes</t>
        </is>
      </c>
      <c r="E376" s="5" t="inlineStr">
        <is>
          <t>Large Pelagics</t>
        </is>
      </c>
      <c r="F376" t="inlineStr"/>
      <c r="G376" t="inlineStr"/>
      <c r="H376" t="inlineStr">
        <is>
          <t>medium</t>
        </is>
      </c>
      <c r="I376" t="inlineStr">
        <is>
          <t>analogue</t>
        </is>
      </c>
      <c r="J376" t="n">
        <v>281.6</v>
      </c>
      <c r="K376" t="n">
        <v>0.0001</v>
      </c>
      <c r="L376" s="6" t="inlineStr">
        <is>
          <t>Bluefish; a fast epipelagic schooling piscivore, matched to Grp4 Large Pelagics, the model's seerfish/kingfish/barracuda predator compartment (TL 4.18 against this record's own high TL). Not named in the Bulletin.</t>
        </is>
      </c>
    </row>
    <row r="377">
      <c r="A377" t="inlineStr">
        <is>
          <t>Gadiformes</t>
        </is>
      </c>
      <c r="B377" t="inlineStr">
        <is>
          <t>Cods</t>
        </is>
      </c>
      <c r="C377" t="inlineStr">
        <is>
          <t>Medium benthopelagics (30 - 89 cm)</t>
        </is>
      </c>
      <c r="D377" t="inlineStr">
        <is>
          <t>Cod-likes</t>
        </is>
      </c>
      <c r="E377" s="5" t="inlineStr">
        <is>
          <t>Anchovies</t>
        </is>
      </c>
      <c r="F377" t="inlineStr"/>
      <c r="G377" t="inlineStr"/>
      <c r="H377" t="inlineStr">
        <is>
          <t>medium</t>
        </is>
      </c>
      <c r="I377" t="inlineStr">
        <is>
          <t>taxonomic_containment</t>
        </is>
      </c>
      <c r="J377" t="n">
        <v>278.89</v>
      </c>
      <c r="K377" t="n">
        <v>0.0001</v>
      </c>
      <c r="L377" s="6" t="inlineStr">
        <is>
          <t>The model's only gadiform is the unicorn cod Bregmaceros mcclellandi, member 74 of Grp14 Anchovies in the Bulletin 51 components-of-ecological-groupings table (PDF pp. 21-22), which the Bulletin pools with the Stolephorus anchovies as forage. 279 t over the whole period, so the placement is immaterial to the PPR total.</t>
        </is>
      </c>
    </row>
    <row r="378">
      <c r="A378" t="inlineStr">
        <is>
          <t>Triaenodon obesus</t>
        </is>
      </c>
      <c r="B378" t="inlineStr">
        <is>
          <t>Whitetip reef shark</t>
        </is>
      </c>
      <c r="C378" t="inlineStr">
        <is>
          <t>Large sharks (&gt;=90 cm)</t>
        </is>
      </c>
      <c r="D378" t="inlineStr">
        <is>
          <t>Sharks &amp; rays</t>
        </is>
      </c>
      <c r="E378" s="7" t="inlineStr">
        <is>
          <t>Sharks</t>
        </is>
      </c>
      <c r="F378" t="inlineStr"/>
      <c r="G378" t="inlineStr"/>
      <c r="H378" t="inlineStr">
        <is>
          <t>high</t>
        </is>
      </c>
      <c r="I378" t="inlineStr">
        <is>
          <t>taxonomic_containment</t>
        </is>
      </c>
      <c r="J378" t="n">
        <v>254.749</v>
      </c>
      <c r="K378" t="n">
        <v>0.0001</v>
      </c>
      <c r="L378" s="6" t="inlineStr">
        <is>
          <t>Carcharhinidae; three of the four members of Grp2 Sharks in the Bulletin 51 components-of-ecological-groupings table (PDF pp. 21-22) are carcharhinids and the model's only other elasmobranch group is batoid.</t>
        </is>
      </c>
    </row>
    <row r="379">
      <c r="A379" t="inlineStr">
        <is>
          <t>Lethrinus rubrioperculatus</t>
        </is>
      </c>
      <c r="B379" t="inlineStr">
        <is>
          <t>Spotcheek emperor</t>
        </is>
      </c>
      <c r="C379" t="inlineStr">
        <is>
          <t>Medium reef assoc. fish (30 - 89 cm)</t>
        </is>
      </c>
      <c r="D379" t="inlineStr">
        <is>
          <t>Perch-likes</t>
        </is>
      </c>
      <c r="E379" s="5" t="inlineStr">
        <is>
          <t>Large Benthic Carnivores</t>
        </is>
      </c>
      <c r="F379" t="inlineStr"/>
      <c r="G379" t="inlineStr"/>
      <c r="H379" t="inlineStr">
        <is>
          <t>medium</t>
        </is>
      </c>
      <c r="I379" t="inlineStr">
        <is>
          <t>inherited_mapping</t>
        </is>
      </c>
      <c r="J379" t="n">
        <v>242.287</v>
      </c>
      <c r="K379" t="n">
        <v>0.0001</v>
      </c>
      <c r="L379" s="6" t="inlineStr">
        <is>
          <t>Spotcheek emperor; Lethrinidae (emperor family), a demersal durophagous/piscivorous carnivore guild not named in Table 1 but ecologically parallel to the snapper/grouper apex reef-predator guild of Large Benthic Carnivores (mean TL ~3.7, group TL 4.14).</t>
        </is>
      </c>
    </row>
    <row r="380">
      <c r="A380" t="inlineStr">
        <is>
          <t>Caesio</t>
        </is>
      </c>
      <c r="B380" t="inlineStr">
        <is>
          <t>Caesios</t>
        </is>
      </c>
      <c r="C380" t="inlineStr">
        <is>
          <t>Medium reef assoc. fish (30 - 89 cm)</t>
        </is>
      </c>
      <c r="D380" t="inlineStr">
        <is>
          <t>Perch-likes</t>
        </is>
      </c>
      <c r="E380" s="5" t="inlineStr">
        <is>
          <t>Small Benthopelagics</t>
        </is>
      </c>
      <c r="F380" t="inlineStr"/>
      <c r="G380" t="inlineStr"/>
      <c r="H380" t="inlineStr">
        <is>
          <t>medium</t>
        </is>
      </c>
      <c r="I380" t="inlineStr">
        <is>
          <t>inherited_mapping</t>
        </is>
      </c>
      <c r="J380" t="n">
        <v>229.996</v>
      </c>
      <c r="K380" t="n">
        <v>0.0001</v>
      </c>
      <c r="L380" s="6" t="inlineStr">
        <is>
          <t>Fusilier (genus); schooling planktivorous reef fish (Lutjanidae relatives), ecologically closer to the schooling small-benthopelagic zooplanktivore guild than to the demersal-carnivore groups; family not named in Table 1.</t>
        </is>
      </c>
    </row>
    <row r="381">
      <c r="A381" t="inlineStr">
        <is>
          <t>Isurus</t>
        </is>
      </c>
      <c r="B381" t="inlineStr">
        <is>
          <t>Mako sharks</t>
        </is>
      </c>
      <c r="C381" t="inlineStr">
        <is>
          <t>Large sharks (&gt;=90 cm)</t>
        </is>
      </c>
      <c r="D381" t="inlineStr">
        <is>
          <t>Sharks &amp; rays</t>
        </is>
      </c>
      <c r="E381" s="7" t="inlineStr">
        <is>
          <t>Sharks</t>
        </is>
      </c>
      <c r="F381" t="inlineStr"/>
      <c r="G381" t="inlineStr"/>
      <c r="H381" t="inlineStr">
        <is>
          <t>high</t>
        </is>
      </c>
      <c r="I381" t="inlineStr">
        <is>
          <t>inherited_mapping</t>
        </is>
      </c>
      <c r="J381" t="n">
        <v>229.822</v>
      </c>
      <c r="K381" t="n">
        <v>0.0001</v>
      </c>
      <c r="L381" s="6" t="inlineStr">
        <is>
          <t>Mako sharks (genus); Lamnidae true shark (mackerel shark family), unambiguous fit to the model's single Sharks group under the clean shark/batoid split.</t>
        </is>
      </c>
    </row>
    <row r="382">
      <c r="A382" t="inlineStr">
        <is>
          <t>Seriola dumerili</t>
        </is>
      </c>
      <c r="B382" t="inlineStr">
        <is>
          <t>Greater amberjack</t>
        </is>
      </c>
      <c r="C382" t="inlineStr">
        <is>
          <t>Large reef assoc. fish (&gt;=90 cm)</t>
        </is>
      </c>
      <c r="D382" t="inlineStr">
        <is>
          <t>Perch-likes</t>
        </is>
      </c>
      <c r="E382" s="5" t="inlineStr">
        <is>
          <t>Large Benthic Carnivores</t>
        </is>
      </c>
      <c r="F382" t="inlineStr"/>
      <c r="G382" t="inlineStr"/>
      <c r="H382" t="inlineStr">
        <is>
          <t>medium</t>
        </is>
      </c>
      <c r="I382" t="inlineStr">
        <is>
          <t>inherited_mapping</t>
        </is>
      </c>
      <c r="J382" t="n">
        <v>211.432</v>
      </c>
      <c r="K382" t="n">
        <v>0.0001</v>
      </c>
      <c r="L382" s="6" t="inlineStr">
        <is>
          <t>Greater amberjack; Carangidae, but a large apex predatory reef jack/trevally (TL 3.8-4.5) rather than the small schooling "scad" niche Table 1 names for Carangidae under Small Benthopelagics - placed instead with the demersal apex-predator guild (Large Benthic Carnivores) by size, diet and TL.</t>
        </is>
      </c>
    </row>
    <row r="383">
      <c r="A383" t="inlineStr">
        <is>
          <t>Modiolus</t>
        </is>
      </c>
      <c r="B383" t="inlineStr">
        <is>
          <t>Horse mussels</t>
        </is>
      </c>
      <c r="C383" t="inlineStr">
        <is>
          <t>Other demersal invertebrates</t>
        </is>
      </c>
      <c r="D383" t="inlineStr">
        <is>
          <t>Molluscs</t>
        </is>
      </c>
      <c r="E383" s="7" t="inlineStr">
        <is>
          <t>Heterotrophic Benthos</t>
        </is>
      </c>
      <c r="F383" t="inlineStr"/>
      <c r="G383" t="inlineStr"/>
      <c r="H383" t="inlineStr">
        <is>
          <t>high</t>
        </is>
      </c>
      <c r="I383" t="inlineStr">
        <is>
          <t>explicit_member</t>
        </is>
      </c>
      <c r="J383" t="n">
        <v>209.034</v>
      </c>
      <c r="K383" t="n">
        <v>0.0001</v>
      </c>
      <c r="L383" s="6" t="inlineStr">
        <is>
          <t>Horse mussels; 'Bivalves' is member 89 of Grp18 Heterotrophic Benthos in the Bulletin 51 components-of-ecological-groupings table (PDF pp. 21-22).</t>
        </is>
      </c>
    </row>
    <row r="384">
      <c r="A384" t="inlineStr">
        <is>
          <t>Miscellaneous aquatic invertebrates</t>
        </is>
      </c>
      <c r="B384" t="inlineStr">
        <is>
          <t>Aquatic invertebrates</t>
        </is>
      </c>
      <c r="C384" t="inlineStr">
        <is>
          <t>Other demersal invertebrates</t>
        </is>
      </c>
      <c r="D384" t="inlineStr">
        <is>
          <t>Other fishes &amp; inverts</t>
        </is>
      </c>
      <c r="E384" s="5" t="inlineStr">
        <is>
          <t>Heterotrophic Benthos</t>
        </is>
      </c>
      <c r="F384" t="inlineStr"/>
      <c r="G384" t="inlineStr"/>
      <c r="H384" t="inlineStr">
        <is>
          <t>medium</t>
        </is>
      </c>
      <c r="I384" t="inlineStr">
        <is>
          <t>habitat_size_guild</t>
        </is>
      </c>
      <c r="J384" t="n">
        <v>190.36</v>
      </c>
      <c r="K384" t="n">
        <v>0.0001</v>
      </c>
      <c r="L384" s="6" t="inlineStr">
        <is>
          <t>Residual invertebrate record classed by Sea Around Us as Other demersal invertebrates, which is the scope of the model's Heterotrophic Benthos group (bivalves, gastropods, echinoderms, benthic crabs, amphipods, isopods; the Bulletin 51 components-of-ecological-groupings table (PDF pp. 21-22), Grp18). No split: the landed crustacean and cephalopod components have their own records in this catch.</t>
        </is>
      </c>
    </row>
    <row r="385">
      <c r="A385" t="inlineStr">
        <is>
          <t>Holothuria atra</t>
        </is>
      </c>
      <c r="B385" t="inlineStr">
        <is>
          <t>Lollyfish</t>
        </is>
      </c>
      <c r="C385" t="inlineStr">
        <is>
          <t>Other demersal invertebrates</t>
        </is>
      </c>
      <c r="D385" t="inlineStr">
        <is>
          <t>Other fishes &amp; inverts</t>
        </is>
      </c>
      <c r="E385" s="7" t="inlineStr">
        <is>
          <t>Heterotrophic Benthos</t>
        </is>
      </c>
      <c r="F385" t="inlineStr"/>
      <c r="G385" t="inlineStr"/>
      <c r="H385" t="inlineStr">
        <is>
          <t>high</t>
        </is>
      </c>
      <c r="I385" t="inlineStr">
        <is>
          <t>inherited_mapping</t>
        </is>
      </c>
      <c r="J385" t="n">
        <v>185.23</v>
      </c>
      <c r="K385" t="n">
        <v>0.0001</v>
      </c>
      <c r="L385" s="6" t="inlineStr">
        <is>
          <t>Lollyfish; sea cucumbers are echinoderms (class Holothuroidea), and "echinoderms" is Table 1's explicit example for Heterotrophic Benthos.</t>
        </is>
      </c>
    </row>
    <row r="386">
      <c r="A386" t="inlineStr">
        <is>
          <t>Gempylidae</t>
        </is>
      </c>
      <c r="B386" t="inlineStr">
        <is>
          <t>Snake mackerels</t>
        </is>
      </c>
      <c r="C386" t="inlineStr">
        <is>
          <t>Large benthopelagics (&gt;=90 cm)</t>
        </is>
      </c>
      <c r="D386" t="inlineStr">
        <is>
          <t>Perch-likes</t>
        </is>
      </c>
      <c r="E386" s="5" t="inlineStr">
        <is>
          <t>Large Benthopelagics</t>
        </is>
      </c>
      <c r="F386" t="inlineStr"/>
      <c r="G386" t="inlineStr"/>
      <c r="H386" t="inlineStr">
        <is>
          <t>medium</t>
        </is>
      </c>
      <c r="I386" t="inlineStr">
        <is>
          <t>analogue</t>
        </is>
      </c>
      <c r="J386" t="n">
        <v>164.962</v>
      </c>
      <c r="K386" t="n">
        <v>0.0001</v>
      </c>
      <c r="L386" s="6" t="inlineStr">
        <is>
          <t>Snake mackerels; elongate benthopelagic shelf-edge piscivores classed by Sea Around Us as Large benthopelagics (&gt;=90 cm), matched to Grp7 Large Benthopelagics on the analogy of the ribbonfish Trichiurus lepturus. Not named in the Bulletin.</t>
        </is>
      </c>
    </row>
    <row r="387">
      <c r="A387" t="inlineStr">
        <is>
          <t>Macolor</t>
        </is>
      </c>
      <c r="B387" t="inlineStr">
        <is>
          <t>Snappers</t>
        </is>
      </c>
      <c r="C387" t="inlineStr">
        <is>
          <t>Medium reef assoc. fish (30 - 89 cm)</t>
        </is>
      </c>
      <c r="D387" t="inlineStr">
        <is>
          <t>Perch-likes</t>
        </is>
      </c>
      <c r="E387" s="7" t="inlineStr">
        <is>
          <t>Large Benthic Carnivores</t>
        </is>
      </c>
      <c r="F387" t="inlineStr"/>
      <c r="G387" t="inlineStr"/>
      <c r="H387" t="inlineStr">
        <is>
          <t>high</t>
        </is>
      </c>
      <c r="I387" t="inlineStr">
        <is>
          <t>inherited_mapping</t>
        </is>
      </c>
      <c r="J387" t="n">
        <v>135.047</v>
      </c>
      <c r="K387" t="n">
        <v>0.0001</v>
      </c>
      <c r="L387" s="6" t="inlineStr">
        <is>
          <t>Snapper (genus); Lutjanidae (snapper/jobfish family) - "jobfish" and "red snappers" are Table 1's explicit examples for Large Benthic Carnivores.</t>
        </is>
      </c>
    </row>
    <row r="388">
      <c r="A388" t="inlineStr">
        <is>
          <t>Gerres oblongus</t>
        </is>
      </c>
      <c r="B388" t="inlineStr">
        <is>
          <t>Slender silver-biddy</t>
        </is>
      </c>
      <c r="C388" t="inlineStr">
        <is>
          <t>Medium reef assoc. fish (30 - 89 cm)</t>
        </is>
      </c>
      <c r="D388" t="inlineStr">
        <is>
          <t>Perch-likes</t>
        </is>
      </c>
      <c r="E388" s="5" t="inlineStr">
        <is>
          <t>Small Benthic Carnivores</t>
        </is>
      </c>
      <c r="F388" t="inlineStr"/>
      <c r="G388" t="inlineStr"/>
      <c r="H388" t="inlineStr">
        <is>
          <t>medium</t>
        </is>
      </c>
      <c r="I388" t="inlineStr">
        <is>
          <t>analogue</t>
        </is>
      </c>
      <c r="J388" t="n">
        <v>123.217</v>
      </c>
      <c r="K388" t="n">
        <v>0.0001</v>
      </c>
      <c r="L388" s="6" t="inlineStr">
        <is>
          <t>Slender silver-biddy; a small demersal benthic invertivore of the Grp10 Small Benthic Carnivores guild. The Bulletin's 'silverbellies' are Leiognathidae, not Gerreidae, so this is an ecological analogue rather than a listed member.</t>
        </is>
      </c>
    </row>
    <row r="389">
      <c r="A389" t="inlineStr">
        <is>
          <t>Zeidae</t>
        </is>
      </c>
      <c r="B389" t="inlineStr">
        <is>
          <t>Dories</t>
        </is>
      </c>
      <c r="C389" t="inlineStr">
        <is>
          <t>Medium bathydemersals (30 - 89 cm)</t>
        </is>
      </c>
      <c r="D389" t="inlineStr">
        <is>
          <t>Other fishes &amp; inverts</t>
        </is>
      </c>
      <c r="E389" s="5" t="inlineStr">
        <is>
          <t>Med Benthic Carnivores</t>
        </is>
      </c>
      <c r="F389" t="inlineStr"/>
      <c r="G389" t="inlineStr"/>
      <c r="H389" t="inlineStr">
        <is>
          <t>medium</t>
        </is>
      </c>
      <c r="I389" t="inlineStr">
        <is>
          <t>analogue</t>
        </is>
      </c>
      <c r="J389" t="n">
        <v>114.193</v>
      </c>
      <c r="K389" t="n">
        <v>0.0001</v>
      </c>
      <c r="L389" s="6" t="inlineStr">
        <is>
          <t>Dories; same treatment as the Zeus faber row - a medium demersal ambush piscivore matched to Grp9 Med Benthic Carnivores.</t>
        </is>
      </c>
    </row>
    <row r="390">
      <c r="A390" t="inlineStr">
        <is>
          <t>Holothuriidae</t>
        </is>
      </c>
      <c r="B390" t="inlineStr">
        <is>
          <t>Fleshy sea cucumbers</t>
        </is>
      </c>
      <c r="C390" t="inlineStr">
        <is>
          <t>Other demersal invertebrates</t>
        </is>
      </c>
      <c r="D390" t="inlineStr">
        <is>
          <t>Other fishes &amp; inverts</t>
        </is>
      </c>
      <c r="E390" s="7" t="inlineStr">
        <is>
          <t>Heterotrophic Benthos</t>
        </is>
      </c>
      <c r="F390" t="inlineStr"/>
      <c r="G390" t="inlineStr"/>
      <c r="H390" t="inlineStr">
        <is>
          <t>high</t>
        </is>
      </c>
      <c r="I390" t="inlineStr">
        <is>
          <t>inherited_mapping</t>
        </is>
      </c>
      <c r="J390" t="n">
        <v>111.64</v>
      </c>
      <c r="K390" t="n">
        <v>0.0001</v>
      </c>
      <c r="L390" s="6" t="inlineStr">
        <is>
          <t>Sea cucumber family; sea cucumbers are echinoderms (class Holothuroidea), and "echinoderms" is Table 1's explicit example for Heterotrophic Benthos.</t>
        </is>
      </c>
    </row>
    <row r="391">
      <c r="A391" t="inlineStr">
        <is>
          <t>Pomacentridae</t>
        </is>
      </c>
      <c r="B391" t="inlineStr">
        <is>
          <t>Damselfishes</t>
        </is>
      </c>
      <c r="C391" t="inlineStr">
        <is>
          <t>Small reef assoc. fish (&lt;30 cm)</t>
        </is>
      </c>
      <c r="D391" t="inlineStr">
        <is>
          <t>Perch-likes</t>
        </is>
      </c>
      <c r="E391" s="5" t="inlineStr">
        <is>
          <t>Benthic Omnivores</t>
        </is>
      </c>
      <c r="F391" t="inlineStr"/>
      <c r="G391" t="inlineStr"/>
      <c r="H391" t="inlineStr">
        <is>
          <t>medium</t>
        </is>
      </c>
      <c r="I391" t="inlineStr">
        <is>
          <t>inherited_mapping</t>
        </is>
      </c>
      <c r="J391" t="n">
        <v>109.969</v>
      </c>
      <c r="K391" t="n">
        <v>0.0001</v>
      </c>
      <c r="L391" s="6" t="inlineStr">
        <is>
          <t>Damselfish family; small omnivorous/planktivorous reef fish (TL 2.57), not named in Table 1 but ecologically closest to the low-TL Benthic Omnivores guild (group TL 2.55).</t>
        </is>
      </c>
    </row>
    <row r="392">
      <c r="A392" t="inlineStr">
        <is>
          <t>Platycaranx talamparoides</t>
        </is>
      </c>
      <c r="B392" t="inlineStr">
        <is>
          <t>Imposter trevally</t>
        </is>
      </c>
      <c r="C392" t="inlineStr">
        <is>
          <t>Medium pelagics (30 - 89 cm)</t>
        </is>
      </c>
      <c r="D392" t="inlineStr">
        <is>
          <t>Perch-likes</t>
        </is>
      </c>
      <c r="E392" s="5" t="inlineStr">
        <is>
          <t>Large Benthic Carnivores</t>
        </is>
      </c>
      <c r="F392" t="inlineStr"/>
      <c r="G392" t="inlineStr"/>
      <c r="H392" t="inlineStr">
        <is>
          <t>medium</t>
        </is>
      </c>
      <c r="I392" t="inlineStr">
        <is>
          <t>inherited_mapping</t>
        </is>
      </c>
      <c r="J392" t="n">
        <v>107.42</v>
      </c>
      <c r="K392" t="n">
        <v>0.0001</v>
      </c>
      <c r="L392" s="6" t="inlineStr">
        <is>
          <t>Imposter trevally; Carangidae, but a large apex predatory reef jack/trevally (TL 3.8-4.5) rather than the small schooling "scad" niche Table 1 names for Carangidae under Small Benthopelagics - placed instead with the demersal apex-predator guild (Large Benthic Carnivores) by size, diet and TL.</t>
        </is>
      </c>
    </row>
    <row r="393">
      <c r="A393" t="inlineStr">
        <is>
          <t>Tetrapturus angustirostris</t>
        </is>
      </c>
      <c r="B393" t="inlineStr">
        <is>
          <t>Shortbill spearfish</t>
        </is>
      </c>
      <c r="C393" t="inlineStr">
        <is>
          <t>Large pelagics (&gt;=90 cm)</t>
        </is>
      </c>
      <c r="D393" t="inlineStr">
        <is>
          <t>Tuna &amp; billfishes</t>
        </is>
      </c>
      <c r="E393" s="5" t="inlineStr">
        <is>
          <t>Large Pelagics</t>
        </is>
      </c>
      <c r="F393" t="inlineStr"/>
      <c r="G393" t="inlineStr"/>
      <c r="H393" t="inlineStr">
        <is>
          <t>medium</t>
        </is>
      </c>
      <c r="I393" t="inlineStr">
        <is>
          <t>inherited_mapping</t>
        </is>
      </c>
      <c r="J393" t="n">
        <v>89.639</v>
      </c>
      <c r="K393" t="n">
        <v>0</v>
      </c>
      <c r="L393" s="6" t="inlineStr">
        <is>
          <t>Shortbill spearfish; Table 1 names no billfish group and lists no billfish genus under either Large Pelagics or Tunas, so placement is by ecology - a fast apex epipelagic predator matching the Large Pelagics guild's diet/TL profile (group TL 4.18) rather than the tuna tribe Thunnini.</t>
        </is>
      </c>
    </row>
    <row r="394">
      <c r="A394" t="inlineStr">
        <is>
          <t>Maculabatis gerrardi</t>
        </is>
      </c>
      <c r="B394" t="inlineStr">
        <is>
          <t>Sharpnose stingray</t>
        </is>
      </c>
      <c r="C394" t="inlineStr">
        <is>
          <t>Large rays (&gt;=90 cm)</t>
        </is>
      </c>
      <c r="D394" t="inlineStr">
        <is>
          <t>Sharks &amp; rays</t>
        </is>
      </c>
      <c r="E394" s="7" t="inlineStr">
        <is>
          <t>Skates &amp; Rays</t>
        </is>
      </c>
      <c r="F394" t="inlineStr"/>
      <c r="G394" t="inlineStr"/>
      <c r="H394" t="inlineStr">
        <is>
          <t>high</t>
        </is>
      </c>
      <c r="I394" t="inlineStr">
        <is>
          <t>inherited_mapping</t>
        </is>
      </c>
      <c r="J394" t="n">
        <v>87.732</v>
      </c>
      <c r="K394" t="n">
        <v>0</v>
      </c>
      <c r="L394" s="6" t="inlineStr">
        <is>
          <t>Sharpnose stingray; Dasyatidae, same family as Table 1's explicit example genus Dasyatis.</t>
        </is>
      </c>
    </row>
    <row r="395">
      <c r="A395" t="inlineStr">
        <is>
          <t>Decapterus macarellus</t>
        </is>
      </c>
      <c r="B395" t="inlineStr">
        <is>
          <t>Mackerel scad</t>
        </is>
      </c>
      <c r="C395" t="inlineStr">
        <is>
          <t>Medium pelagics (30 - 89 cm)</t>
        </is>
      </c>
      <c r="D395" t="inlineStr">
        <is>
          <t>Perch-likes</t>
        </is>
      </c>
      <c r="E395" s="7" t="inlineStr">
        <is>
          <t>Small Benthopelagics</t>
        </is>
      </c>
      <c r="F395" t="inlineStr"/>
      <c r="G395" t="inlineStr"/>
      <c r="H395" t="inlineStr">
        <is>
          <t>high</t>
        </is>
      </c>
      <c r="I395" t="inlineStr">
        <is>
          <t>inherited_mapping</t>
        </is>
      </c>
      <c r="J395" t="n">
        <v>82.65900000000001</v>
      </c>
      <c r="K395" t="n">
        <v>0</v>
      </c>
      <c r="L395" s="6" t="inlineStr">
        <is>
          <t>Mackerel scad; "scads" is Table 1's explicit example for Small Benthopelagics.</t>
        </is>
      </c>
    </row>
    <row r="396">
      <c r="A396" t="inlineStr">
        <is>
          <t>Epinephelus polyphekadion</t>
        </is>
      </c>
      <c r="B396" t="inlineStr">
        <is>
          <t>Camouflage grouper</t>
        </is>
      </c>
      <c r="C396" t="inlineStr">
        <is>
          <t>Large reef assoc. fish (&gt;=90 cm)</t>
        </is>
      </c>
      <c r="D396" t="inlineStr">
        <is>
          <t>Perch-likes</t>
        </is>
      </c>
      <c r="E396" s="7" t="inlineStr">
        <is>
          <t>Large Benthic Carnivores</t>
        </is>
      </c>
      <c r="F396" t="inlineStr"/>
      <c r="G396" t="inlineStr"/>
      <c r="H396" t="inlineStr">
        <is>
          <t>high</t>
        </is>
      </c>
      <c r="I396" t="inlineStr">
        <is>
          <t>inherited_mapping</t>
        </is>
      </c>
      <c r="J396" t="n">
        <v>80.593</v>
      </c>
      <c r="K396" t="n">
        <v>0</v>
      </c>
      <c r="L396" s="6" t="inlineStr">
        <is>
          <t>Camouflage grouper; Serranidae (grouper/rockcod family) - "rock cods" is Table 1's explicit example for Large Benthic Carnivores.</t>
        </is>
      </c>
    </row>
    <row r="397">
      <c r="A397" t="inlineStr">
        <is>
          <t>Holothuria fuscogilva</t>
        </is>
      </c>
      <c r="B397" t="inlineStr">
        <is>
          <t>White teatfish</t>
        </is>
      </c>
      <c r="C397" t="inlineStr">
        <is>
          <t>Other demersal invertebrates</t>
        </is>
      </c>
      <c r="D397" t="inlineStr">
        <is>
          <t>Other fishes &amp; inverts</t>
        </is>
      </c>
      <c r="E397" s="7" t="inlineStr">
        <is>
          <t>Heterotrophic Benthos</t>
        </is>
      </c>
      <c r="F397" t="inlineStr"/>
      <c r="G397" t="inlineStr"/>
      <c r="H397" t="inlineStr">
        <is>
          <t>high</t>
        </is>
      </c>
      <c r="I397" t="inlineStr">
        <is>
          <t>inherited_mapping</t>
        </is>
      </c>
      <c r="J397" t="n">
        <v>74.214</v>
      </c>
      <c r="K397" t="n">
        <v>0</v>
      </c>
      <c r="L397" s="6" t="inlineStr">
        <is>
          <t>White teatfish; sea cucumbers are echinoderms (class Holothuroidea), and "echinoderms" is Table 1's explicit example for Heterotrophic Benthos.</t>
        </is>
      </c>
    </row>
    <row r="398">
      <c r="A398" t="inlineStr">
        <is>
          <t>Thunnus</t>
        </is>
      </c>
      <c r="B398" t="inlineStr">
        <is>
          <t>Tunas</t>
        </is>
      </c>
      <c r="C398" t="inlineStr">
        <is>
          <t>Large pelagics (&gt;=90 cm)</t>
        </is>
      </c>
      <c r="D398" t="inlineStr">
        <is>
          <t>Tuna &amp; billfishes</t>
        </is>
      </c>
      <c r="E398" s="7" t="inlineStr">
        <is>
          <t>Tunas</t>
        </is>
      </c>
      <c r="F398" t="inlineStr"/>
      <c r="G398" t="inlineStr"/>
      <c r="H398" t="inlineStr">
        <is>
          <t>high</t>
        </is>
      </c>
      <c r="I398" t="inlineStr">
        <is>
          <t>explicit_member</t>
        </is>
      </c>
      <c r="J398" t="n">
        <v>71.7</v>
      </c>
      <c r="K398" t="n">
        <v>0</v>
      </c>
      <c r="L398" s="6" t="inlineStr">
        <is>
          <t>Thunnus tonggol is member 17 of Grp5 Tunas in the Bulletin 51 components-of-ecological-groupings table (PDF pp. 21-22); the genus is a listed member genus.</t>
        </is>
      </c>
    </row>
    <row r="399">
      <c r="A399" t="inlineStr">
        <is>
          <t>Myctophidae</t>
        </is>
      </c>
      <c r="B399" t="inlineStr">
        <is>
          <t>Lanternfishes</t>
        </is>
      </c>
      <c r="C399" t="inlineStr">
        <is>
          <t>Small pelagics (&lt;30 cm)</t>
        </is>
      </c>
      <c r="D399" t="inlineStr">
        <is>
          <t>Other fishes &amp; inverts</t>
        </is>
      </c>
      <c r="E399" s="7" t="inlineStr">
        <is>
          <t>Small Benthopelagics</t>
        </is>
      </c>
      <c r="F399" t="inlineStr"/>
      <c r="G399" t="inlineStr"/>
      <c r="H399" t="inlineStr">
        <is>
          <t>high</t>
        </is>
      </c>
      <c r="I399" t="inlineStr">
        <is>
          <t>explicit_member</t>
        </is>
      </c>
      <c r="J399" t="n">
        <v>57.054</v>
      </c>
      <c r="K399" t="n">
        <v>0</v>
      </c>
      <c r="L399" s="6" t="inlineStr">
        <is>
          <t>'Myctophids' is member 60 of Grp11 Small Benthopelagics in the Bulletin 51 components-of-ecological-groupings table (PDF pp. 21-22).</t>
        </is>
      </c>
    </row>
    <row r="400">
      <c r="A400" t="inlineStr">
        <is>
          <t>Pristipomoides</t>
        </is>
      </c>
      <c r="B400" t="inlineStr">
        <is>
          <t>Jobfishes</t>
        </is>
      </c>
      <c r="C400" t="inlineStr">
        <is>
          <t>Medium demersals (30 - 89 cm)</t>
        </is>
      </c>
      <c r="D400" t="inlineStr">
        <is>
          <t>Perch-likes</t>
        </is>
      </c>
      <c r="E400" s="7" t="inlineStr">
        <is>
          <t>Large Benthic Carnivores</t>
        </is>
      </c>
      <c r="F400" t="inlineStr"/>
      <c r="G400" t="inlineStr"/>
      <c r="H400" t="inlineStr">
        <is>
          <t>high</t>
        </is>
      </c>
      <c r="I400" t="inlineStr">
        <is>
          <t>inherited_mapping</t>
        </is>
      </c>
      <c r="J400" t="n">
        <v>48.36</v>
      </c>
      <c r="K400" t="n">
        <v>0</v>
      </c>
      <c r="L400" s="6" t="inlineStr">
        <is>
          <t>Jobfish (genus); Lutjanidae (snapper/jobfish family) - "jobfish" and "red snappers" are Table 1's explicit examples for Large Benthic Carnivores.</t>
        </is>
      </c>
    </row>
    <row r="401">
      <c r="A401" t="inlineStr">
        <is>
          <t>Bothidae</t>
        </is>
      </c>
      <c r="B401" t="inlineStr">
        <is>
          <t>Lefteye flounders</t>
        </is>
      </c>
      <c r="C401" t="inlineStr">
        <is>
          <t>Small to medium flatfishes (&lt;90 cm)</t>
        </is>
      </c>
      <c r="D401" t="inlineStr">
        <is>
          <t>Flatfishes</t>
        </is>
      </c>
      <c r="E401" s="7" t="inlineStr">
        <is>
          <t>Med Benthic Carnivores</t>
        </is>
      </c>
      <c r="F401" t="inlineStr"/>
      <c r="G401" t="inlineStr"/>
      <c r="H401" t="inlineStr">
        <is>
          <t>high</t>
        </is>
      </c>
      <c r="I401" t="inlineStr">
        <is>
          <t>inherited_mapping</t>
        </is>
      </c>
      <c r="J401" t="n">
        <v>41.977</v>
      </c>
      <c r="K401" t="n">
        <v>0</v>
      </c>
      <c r="L401" s="6" t="inlineStr">
        <is>
          <t>Lefteye flounder family; "flounders" is Table 1's explicit example for Med Benthic Carnivores.</t>
        </is>
      </c>
    </row>
    <row r="402">
      <c r="A402" t="inlineStr">
        <is>
          <t>Holothuria edulis</t>
        </is>
      </c>
      <c r="B402" t="inlineStr">
        <is>
          <t>Pinkfish</t>
        </is>
      </c>
      <c r="C402" t="inlineStr">
        <is>
          <t>Other demersal invertebrates</t>
        </is>
      </c>
      <c r="D402" t="inlineStr">
        <is>
          <t>Other fishes &amp; inverts</t>
        </is>
      </c>
      <c r="E402" s="7" t="inlineStr">
        <is>
          <t>Heterotrophic Benthos</t>
        </is>
      </c>
      <c r="F402" t="inlineStr"/>
      <c r="G402" t="inlineStr"/>
      <c r="H402" t="inlineStr">
        <is>
          <t>high</t>
        </is>
      </c>
      <c r="I402" t="inlineStr">
        <is>
          <t>inherited_mapping</t>
        </is>
      </c>
      <c r="J402" t="n">
        <v>41.31</v>
      </c>
      <c r="K402" t="n">
        <v>0</v>
      </c>
      <c r="L402" s="6" t="inlineStr">
        <is>
          <t>Pinkfish; sea cucumbers are echinoderms (class Holothuroidea), and "echinoderms" is Table 1's explicit example for Heterotrophic Benthos.</t>
        </is>
      </c>
    </row>
    <row r="403">
      <c r="A403" t="inlineStr">
        <is>
          <t>Holothuria fuscopunctata</t>
        </is>
      </c>
      <c r="B403" t="inlineStr">
        <is>
          <t>Elephant trunkfish</t>
        </is>
      </c>
      <c r="C403" t="inlineStr">
        <is>
          <t>Other demersal invertebrates</t>
        </is>
      </c>
      <c r="D403" t="inlineStr">
        <is>
          <t>Other fishes &amp; inverts</t>
        </is>
      </c>
      <c r="E403" s="7" t="inlineStr">
        <is>
          <t>Heterotrophic Benthos</t>
        </is>
      </c>
      <c r="F403" t="inlineStr"/>
      <c r="G403" t="inlineStr"/>
      <c r="H403" t="inlineStr">
        <is>
          <t>high</t>
        </is>
      </c>
      <c r="I403" t="inlineStr">
        <is>
          <t>inherited_mapping</t>
        </is>
      </c>
      <c r="J403" t="n">
        <v>41.176</v>
      </c>
      <c r="K403" t="n">
        <v>0</v>
      </c>
      <c r="L403" s="6" t="inlineStr">
        <is>
          <t>Elephant trunkfish; sea cucumbers are echinoderms (class Holothuroidea), and "echinoderms" is Table 1's explicit example for Heterotrophic Benthos.</t>
        </is>
      </c>
    </row>
    <row r="404">
      <c r="A404" t="inlineStr">
        <is>
          <t>Holothuria leucospilota</t>
        </is>
      </c>
      <c r="B404" t="inlineStr">
        <is>
          <t>White threads fish</t>
        </is>
      </c>
      <c r="C404" t="inlineStr">
        <is>
          <t>Other demersal invertebrates</t>
        </is>
      </c>
      <c r="D404" t="inlineStr">
        <is>
          <t>Other fishes &amp; inverts</t>
        </is>
      </c>
      <c r="E404" s="7" t="inlineStr">
        <is>
          <t>Heterotrophic Benthos</t>
        </is>
      </c>
      <c r="F404" t="inlineStr"/>
      <c r="G404" t="inlineStr"/>
      <c r="H404" t="inlineStr">
        <is>
          <t>high</t>
        </is>
      </c>
      <c r="I404" t="inlineStr">
        <is>
          <t>inherited_mapping</t>
        </is>
      </c>
      <c r="J404" t="n">
        <v>41.174</v>
      </c>
      <c r="K404" t="n">
        <v>0</v>
      </c>
      <c r="L404" s="6" t="inlineStr">
        <is>
          <t>White threads fish; sea cucumbers are echinoderms (class Holothuroidea), and "echinoderms" is Table 1's explicit example for Heterotrophic Benthos.</t>
        </is>
      </c>
    </row>
    <row r="405">
      <c r="A405" t="inlineStr">
        <is>
          <t>Hexanchus griseus</t>
        </is>
      </c>
      <c r="B405" t="inlineStr">
        <is>
          <t>Bluntnose sixgill shark</t>
        </is>
      </c>
      <c r="C405" t="inlineStr">
        <is>
          <t>Large sharks (&gt;=90 cm)</t>
        </is>
      </c>
      <c r="D405" t="inlineStr">
        <is>
          <t>Sharks &amp; rays</t>
        </is>
      </c>
      <c r="E405" s="7" t="inlineStr">
        <is>
          <t>Sharks</t>
        </is>
      </c>
      <c r="F405" t="inlineStr"/>
      <c r="G405" t="inlineStr"/>
      <c r="H405" t="inlineStr">
        <is>
          <t>high</t>
        </is>
      </c>
      <c r="I405" t="inlineStr">
        <is>
          <t>taxonomic_containment</t>
        </is>
      </c>
      <c r="J405" t="n">
        <v>39.157</v>
      </c>
      <c r="K405" t="n">
        <v>0</v>
      </c>
      <c r="L405" s="6" t="inlineStr">
        <is>
          <t>A true shark; Grp2 Sharks in the Bulletin 51 components-of-ecological-groupings table (PDF pp. 21-22) is the model's only shark compartment and the only other elasmobranch group is batoid.</t>
        </is>
      </c>
    </row>
    <row r="406">
      <c r="A406" t="inlineStr">
        <is>
          <t>Scomber</t>
        </is>
      </c>
      <c r="B406" t="inlineStr">
        <is>
          <t>Chub mackerels</t>
        </is>
      </c>
      <c r="C406" t="inlineStr">
        <is>
          <t>Medium pelagics (30 - 89 cm)</t>
        </is>
      </c>
      <c r="D406" t="inlineStr">
        <is>
          <t>Perch-likes</t>
        </is>
      </c>
      <c r="E406" s="5" t="inlineStr">
        <is>
          <t>Mackerel</t>
        </is>
      </c>
      <c r="F406" t="inlineStr"/>
      <c r="G406" t="inlineStr"/>
      <c r="H406" t="inlineStr">
        <is>
          <t>medium</t>
        </is>
      </c>
      <c r="I406" t="inlineStr">
        <is>
          <t>analogue</t>
        </is>
      </c>
      <c r="J406" t="n">
        <v>36.463</v>
      </c>
      <c r="K406" t="n">
        <v>0</v>
      </c>
      <c r="L406" s="6" t="inlineStr">
        <is>
          <t>Chub mackerels; small filter-feeding pelagic scombrids, matched to Grp12 Mackerel, which the Bulletin builds on Rastrelliger kanagurta and models as an 88 % diatom feeder at TL 2.0. Not named in the Bulletin.</t>
        </is>
      </c>
    </row>
    <row r="407">
      <c r="A407" t="inlineStr">
        <is>
          <t>Carcharhinus obscurus</t>
        </is>
      </c>
      <c r="B407" t="inlineStr">
        <is>
          <t>Dusky shark</t>
        </is>
      </c>
      <c r="C407" t="inlineStr">
        <is>
          <t>Large sharks (&gt;=90 cm)</t>
        </is>
      </c>
      <c r="D407" t="inlineStr">
        <is>
          <t>Sharks &amp; rays</t>
        </is>
      </c>
      <c r="E407" s="7" t="inlineStr">
        <is>
          <t>Sharks</t>
        </is>
      </c>
      <c r="F407" t="inlineStr"/>
      <c r="G407" t="inlineStr"/>
      <c r="H407" t="inlineStr">
        <is>
          <t>high</t>
        </is>
      </c>
      <c r="I407" t="inlineStr">
        <is>
          <t>explicit_member</t>
        </is>
      </c>
      <c r="J407" t="n">
        <v>34.181</v>
      </c>
      <c r="K407" t="n">
        <v>0</v>
      </c>
      <c r="L407" s="6" t="inlineStr">
        <is>
          <t>Carcharhinus limbatus is member 5 of Grp2 Sharks in the Bulletin 51 components-of-ecological-groupings table (PDF pp. 21-22); the genus is a listed member genus.</t>
        </is>
      </c>
    </row>
    <row r="408">
      <c r="A408" t="inlineStr">
        <is>
          <t>Panulirus versicolor</t>
        </is>
      </c>
      <c r="B408" t="inlineStr">
        <is>
          <t>Painted spiny lobster</t>
        </is>
      </c>
      <c r="C408" t="inlineStr">
        <is>
          <t>Lobsters, crabs</t>
        </is>
      </c>
      <c r="D408" t="inlineStr">
        <is>
          <t>Crustaceans</t>
        </is>
      </c>
      <c r="E408" s="7" t="inlineStr">
        <is>
          <t>Crabs &amp; Lobster</t>
        </is>
      </c>
      <c r="F408" t="inlineStr"/>
      <c r="G408" t="inlineStr"/>
      <c r="H408" t="inlineStr">
        <is>
          <t>high</t>
        </is>
      </c>
      <c r="I408" t="inlineStr">
        <is>
          <t>inherited_mapping</t>
        </is>
      </c>
      <c r="J408" t="n">
        <v>33.715</v>
      </c>
      <c r="K408" t="n">
        <v>0</v>
      </c>
      <c r="L408" s="6" t="inlineStr">
        <is>
          <t>Painted spiny lobster; exact genus (Panulirus) explicitly named in Table 1's Crabs and lobsters definition.</t>
        </is>
      </c>
    </row>
    <row r="409">
      <c r="A409" t="inlineStr">
        <is>
          <t>Penaeus latisulcatus</t>
        </is>
      </c>
      <c r="B409" t="inlineStr">
        <is>
          <t>Western king prawn</t>
        </is>
      </c>
      <c r="C409" t="inlineStr">
        <is>
          <t>Shrimps</t>
        </is>
      </c>
      <c r="D409" t="inlineStr">
        <is>
          <t>Crustaceans</t>
        </is>
      </c>
      <c r="E409" s="7" t="inlineStr">
        <is>
          <t>Shrimps</t>
        </is>
      </c>
      <c r="F409" t="inlineStr"/>
      <c r="G409" t="inlineStr"/>
      <c r="H409" t="inlineStr">
        <is>
          <t>high</t>
        </is>
      </c>
      <c r="I409" t="inlineStr">
        <is>
          <t>inherited_mapping</t>
        </is>
      </c>
      <c r="J409" t="n">
        <v>26.443</v>
      </c>
      <c r="K409" t="n">
        <v>0</v>
      </c>
      <c r="L409" s="6" t="inlineStr">
        <is>
          <t>Western king prawn; Penaeidae, the family containing all of Table 1's named Shrimps genera.</t>
        </is>
      </c>
    </row>
    <row r="410">
      <c r="A410" t="inlineStr">
        <is>
          <t>Alopias</t>
        </is>
      </c>
      <c r="B410" t="inlineStr">
        <is>
          <t>Thresher sharks</t>
        </is>
      </c>
      <c r="C410" t="inlineStr">
        <is>
          <t>Large sharks (&gt;=90 cm)</t>
        </is>
      </c>
      <c r="D410" t="inlineStr">
        <is>
          <t>Sharks &amp; rays</t>
        </is>
      </c>
      <c r="E410" s="7" t="inlineStr">
        <is>
          <t>Sharks</t>
        </is>
      </c>
      <c r="F410" t="inlineStr"/>
      <c r="G410" t="inlineStr"/>
      <c r="H410" t="inlineStr">
        <is>
          <t>high</t>
        </is>
      </c>
      <c r="I410" t="inlineStr">
        <is>
          <t>taxonomic_containment</t>
        </is>
      </c>
      <c r="J410" t="n">
        <v>23.784</v>
      </c>
      <c r="K410" t="n">
        <v>0</v>
      </c>
      <c r="L410" s="6" t="inlineStr">
        <is>
          <t>Thresher sharks are true sharks; Grp2 Sharks in the Bulletin 51 components-of-ecological-groupings table (PDF pp. 21-22) is the model's only shark compartment.</t>
        </is>
      </c>
    </row>
    <row r="411">
      <c r="A411" t="inlineStr">
        <is>
          <t>Platax</t>
        </is>
      </c>
      <c r="B411" t="inlineStr">
        <is>
          <t>Spadefishes</t>
        </is>
      </c>
      <c r="C411" t="inlineStr">
        <is>
          <t>Medium reef assoc. fish (30 - 89 cm)</t>
        </is>
      </c>
      <c r="D411" t="inlineStr">
        <is>
          <t>Perch-likes</t>
        </is>
      </c>
      <c r="E411" s="5" t="inlineStr">
        <is>
          <t>Med Benthic Carnivores</t>
        </is>
      </c>
      <c r="F411" t="inlineStr"/>
      <c r="G411" t="inlineStr"/>
      <c r="H411" t="inlineStr">
        <is>
          <t>medium</t>
        </is>
      </c>
      <c r="I411" t="inlineStr">
        <is>
          <t>inherited_mapping</t>
        </is>
      </c>
      <c r="J411" t="n">
        <v>21.906</v>
      </c>
      <c r="K411" t="n">
        <v>0</v>
      </c>
      <c r="L411" s="6" t="inlineStr">
        <is>
          <t>Batfish (genus); Ephippidae/Drepaneidae (Ephippoidei), a benthopelagic invertivore/omnivore guild not named in Table 1, placed by TL match (~3.3 vs group TL 3.19).</t>
        </is>
      </c>
    </row>
    <row r="412">
      <c r="A412" t="inlineStr">
        <is>
          <t>Plectropomus laevis</t>
        </is>
      </c>
      <c r="B412" t="inlineStr">
        <is>
          <t>Blacksaddled coralgrouper</t>
        </is>
      </c>
      <c r="C412" t="inlineStr">
        <is>
          <t>Large reef assoc. fish (&gt;=90 cm)</t>
        </is>
      </c>
      <c r="D412" t="inlineStr">
        <is>
          <t>Perch-likes</t>
        </is>
      </c>
      <c r="E412" s="7" t="inlineStr">
        <is>
          <t>Large Benthic Carnivores</t>
        </is>
      </c>
      <c r="F412" t="inlineStr"/>
      <c r="G412" t="inlineStr"/>
      <c r="H412" t="inlineStr">
        <is>
          <t>high</t>
        </is>
      </c>
      <c r="I412" t="inlineStr">
        <is>
          <t>taxonomic_containment</t>
        </is>
      </c>
      <c r="J412" t="n">
        <v>14.524</v>
      </c>
      <c r="K412" t="n">
        <v>0</v>
      </c>
      <c r="L412" s="6" t="inlineStr">
        <is>
          <t>Serranidae; Epinephelus diacanthus (29) and 'Serranus sp.' (33) are members of Grp8 Large Benthic Carnivores in the Bulletin 51 components-of-ecological-groupings table (PDF pp. 21-22).</t>
        </is>
      </c>
    </row>
    <row r="413">
      <c r="A413" t="inlineStr">
        <is>
          <t>Cephalopholis argus</t>
        </is>
      </c>
      <c r="B413" t="inlineStr">
        <is>
          <t>Peacock hind</t>
        </is>
      </c>
      <c r="C413" t="inlineStr">
        <is>
          <t>Medium reef assoc. fish (30 - 89 cm)</t>
        </is>
      </c>
      <c r="D413" t="inlineStr">
        <is>
          <t>Perch-likes</t>
        </is>
      </c>
      <c r="E413" s="7" t="inlineStr">
        <is>
          <t>Large Benthic Carnivores</t>
        </is>
      </c>
      <c r="F413" t="inlineStr"/>
      <c r="G413" t="inlineStr"/>
      <c r="H413" t="inlineStr">
        <is>
          <t>high</t>
        </is>
      </c>
      <c r="I413" t="inlineStr">
        <is>
          <t>inherited_mapping</t>
        </is>
      </c>
      <c r="J413" t="n">
        <v>14.524</v>
      </c>
      <c r="K413" t="n">
        <v>0</v>
      </c>
      <c r="L413" s="6" t="inlineStr">
        <is>
          <t>Peacock hind; Serranidae (grouper/rockcod family) - "rock cods" is Table 1's explicit example for Large Benthic Carnivores.</t>
        </is>
      </c>
    </row>
    <row r="414">
      <c r="A414" t="inlineStr">
        <is>
          <t>Panulirus penicillatus</t>
        </is>
      </c>
      <c r="B414" t="inlineStr">
        <is>
          <t>Pronghorn spiny lobster</t>
        </is>
      </c>
      <c r="C414" t="inlineStr">
        <is>
          <t>Lobsters, crabs</t>
        </is>
      </c>
      <c r="D414" t="inlineStr">
        <is>
          <t>Crustaceans</t>
        </is>
      </c>
      <c r="E414" s="7" t="inlineStr">
        <is>
          <t>Crabs &amp; Lobster</t>
        </is>
      </c>
      <c r="F414" t="inlineStr"/>
      <c r="G414" t="inlineStr"/>
      <c r="H414" t="inlineStr">
        <is>
          <t>high</t>
        </is>
      </c>
      <c r="I414" t="inlineStr">
        <is>
          <t>inherited_mapping</t>
        </is>
      </c>
      <c r="J414" t="n">
        <v>11.216</v>
      </c>
      <c r="K414" t="n">
        <v>0</v>
      </c>
      <c r="L414" s="6" t="inlineStr">
        <is>
          <t>Pronghorn spiny lobster; exact genus (Panulirus) explicitly named in Table 1's Crabs and lobsters definition.</t>
        </is>
      </c>
    </row>
    <row r="415">
      <c r="A415" t="inlineStr">
        <is>
          <t>Loligo</t>
        </is>
      </c>
      <c r="B415" t="inlineStr">
        <is>
          <t>Common squids</t>
        </is>
      </c>
      <c r="C415" t="inlineStr">
        <is>
          <t>Cephalopods</t>
        </is>
      </c>
      <c r="D415" t="inlineStr">
        <is>
          <t>Other fishes &amp; inverts</t>
        </is>
      </c>
      <c r="E415" s="7" t="inlineStr">
        <is>
          <t>Cephalopods</t>
        </is>
      </c>
      <c r="F415" t="inlineStr"/>
      <c r="G415" t="inlineStr"/>
      <c r="H415" t="inlineStr">
        <is>
          <t>high</t>
        </is>
      </c>
      <c r="I415" t="inlineStr">
        <is>
          <t>explicit_member</t>
        </is>
      </c>
      <c r="J415" t="n">
        <v>8.744</v>
      </c>
      <c r="K415" t="n">
        <v>0</v>
      </c>
      <c r="L415" s="6" t="inlineStr">
        <is>
          <t>Loligo duvauceli is member 20 of Grp6 Cephalopods in the Bulletin 51 components-of-ecological-groupings table (PDF pp. 21-22).</t>
        </is>
      </c>
    </row>
    <row r="416">
      <c r="A416" t="inlineStr">
        <is>
          <t>Priacanthidae</t>
        </is>
      </c>
      <c r="B416" t="inlineStr">
        <is>
          <t>Bigeyes, catalufas</t>
        </is>
      </c>
      <c r="C416" t="inlineStr">
        <is>
          <t>Medium reef assoc. fish (30 - 89 cm)</t>
        </is>
      </c>
      <c r="D416" t="inlineStr">
        <is>
          <t>Perch-likes</t>
        </is>
      </c>
      <c r="E416" s="7" t="inlineStr">
        <is>
          <t>Med Benthic Carnivores</t>
        </is>
      </c>
      <c r="F416" t="inlineStr"/>
      <c r="G416" t="inlineStr"/>
      <c r="H416" t="inlineStr">
        <is>
          <t>high</t>
        </is>
      </c>
      <c r="I416" t="inlineStr">
        <is>
          <t>explicit_member</t>
        </is>
      </c>
      <c r="J416" t="n">
        <v>4.056</v>
      </c>
      <c r="K416" t="n">
        <v>0</v>
      </c>
      <c r="L416" s="6" t="inlineStr">
        <is>
          <t>Priacanthus hamrur, the bull's eye, is member 40 of Grp9 Med Benthic Carnivores in the Bulletin 51 components-of-ecological-groupings table (PDF pp. 21-22), and the ecological-grouping paragraph names bull's eye there.</t>
        </is>
      </c>
    </row>
    <row r="417">
      <c r="A417" t="inlineStr">
        <is>
          <t>Scarus ghobban</t>
        </is>
      </c>
      <c r="B417" t="inlineStr">
        <is>
          <t>Blue-barred parrotfish</t>
        </is>
      </c>
      <c r="C417" t="inlineStr">
        <is>
          <t>Medium reef assoc. fish (30 - 89 cm)</t>
        </is>
      </c>
      <c r="D417" t="inlineStr">
        <is>
          <t>Perch-likes</t>
        </is>
      </c>
      <c r="E417" s="5" t="inlineStr">
        <is>
          <t>Benthic Omnivores</t>
        </is>
      </c>
      <c r="F417" t="inlineStr"/>
      <c r="G417" t="inlineStr"/>
      <c r="H417" t="inlineStr">
        <is>
          <t>medium</t>
        </is>
      </c>
      <c r="I417" t="inlineStr">
        <is>
          <t>inherited_mapping</t>
        </is>
      </c>
      <c r="J417" t="n">
        <v>1.956</v>
      </c>
      <c r="K417" t="n">
        <v>0</v>
      </c>
      <c r="L417" s="6" t="inlineStr">
        <is>
          <t>Blue-barred parrotfish; parrotfish (Scaridae) are herbivorous reef grazers (TL ~2.0-2.67), not named in Table 1 but ecologically closest to the low-TL grazer/omnivore guild of Benthic Omnivores (group TL 2.55).</t>
        </is>
      </c>
    </row>
    <row r="418">
      <c r="A418" t="inlineStr">
        <is>
          <t>Trichiurus</t>
        </is>
      </c>
      <c r="B418" t="inlineStr">
        <is>
          <t>Hairtails</t>
        </is>
      </c>
      <c r="C418" t="inlineStr">
        <is>
          <t>Large benthopelagics (&gt;=90 cm)</t>
        </is>
      </c>
      <c r="D418" t="inlineStr">
        <is>
          <t>Perch-likes</t>
        </is>
      </c>
      <c r="E418" s="7" t="inlineStr">
        <is>
          <t>Large Benthopelagics</t>
        </is>
      </c>
      <c r="F418" t="inlineStr"/>
      <c r="G418" t="inlineStr"/>
      <c r="H418" t="inlineStr">
        <is>
          <t>high</t>
        </is>
      </c>
      <c r="I418" t="inlineStr">
        <is>
          <t>inherited_mapping</t>
        </is>
      </c>
      <c r="J418" t="n">
        <v>1.291</v>
      </c>
      <c r="K418" t="n">
        <v>0</v>
      </c>
      <c r="L418" s="6" t="inlineStr">
        <is>
          <t>Hairtail ("ribbonfish") genus, explicit Table 1 example for Large Benthopelagics.</t>
        </is>
      </c>
    </row>
    <row r="419">
      <c r="A419" t="inlineStr">
        <is>
          <t>Epinephelus coeruleopunctatus</t>
        </is>
      </c>
      <c r="B419" t="inlineStr">
        <is>
          <t>Whitespotted grouper</t>
        </is>
      </c>
      <c r="C419" t="inlineStr">
        <is>
          <t>Medium reef assoc. fish (30 - 89 cm)</t>
        </is>
      </c>
      <c r="D419" t="inlineStr">
        <is>
          <t>Perch-likes</t>
        </is>
      </c>
      <c r="E419" s="7" t="inlineStr">
        <is>
          <t>Large Benthic Carnivores</t>
        </is>
      </c>
      <c r="F419" t="inlineStr"/>
      <c r="G419" t="inlineStr"/>
      <c r="H419" t="inlineStr">
        <is>
          <t>high</t>
        </is>
      </c>
      <c r="I419" t="inlineStr">
        <is>
          <t>inherited_mapping</t>
        </is>
      </c>
      <c r="J419" t="n">
        <v>1.273</v>
      </c>
      <c r="K419" t="n">
        <v>0</v>
      </c>
      <c r="L419" s="6" t="inlineStr">
        <is>
          <t>Whitespotted grouper; Serranidae (grouper/rockcod family) - "rock cods" is Table 1's explicit example for Large Benthic Carnivores.</t>
        </is>
      </c>
    </row>
    <row r="420">
      <c r="A420" t="inlineStr">
        <is>
          <t>Lamniformes</t>
        </is>
      </c>
      <c r="B420" t="inlineStr">
        <is>
          <t>Mackerel sharks</t>
        </is>
      </c>
      <c r="C420" t="inlineStr">
        <is>
          <t>Large sharks (&gt;=90 cm)</t>
        </is>
      </c>
      <c r="D420" t="inlineStr">
        <is>
          <t>Sharks &amp; rays</t>
        </is>
      </c>
      <c r="E420" s="7" t="inlineStr">
        <is>
          <t>Sharks</t>
        </is>
      </c>
      <c r="F420" t="inlineStr"/>
      <c r="G420" t="inlineStr"/>
      <c r="H420" t="inlineStr">
        <is>
          <t>high</t>
        </is>
      </c>
      <c r="I420" t="inlineStr">
        <is>
          <t>taxonomic_containment</t>
        </is>
      </c>
      <c r="J420" t="n">
        <v>0.952</v>
      </c>
      <c r="K420" t="n">
        <v>0</v>
      </c>
      <c r="L420" s="6" t="inlineStr">
        <is>
          <t>Mackerel sharks are true sharks; Grp2 Sharks in the Bulletin 51 components-of-ecological-groupings table (PDF pp. 21-22) is the model's only shark compartment.</t>
        </is>
      </c>
    </row>
    <row r="421">
      <c r="A421" t="inlineStr">
        <is>
          <t>Lophiidae</t>
        </is>
      </c>
      <c r="B421" t="inlineStr">
        <is>
          <t>Goosefishes</t>
        </is>
      </c>
      <c r="C421" t="inlineStr">
        <is>
          <t>Medium bathydemersals (30 - 89 cm)</t>
        </is>
      </c>
      <c r="D421" t="inlineStr">
        <is>
          <t>Other fishes &amp; inverts</t>
        </is>
      </c>
      <c r="E421" s="8" t="inlineStr">
        <is>
          <t>Med Benthic Carnivores</t>
        </is>
      </c>
      <c r="F421" t="inlineStr"/>
      <c r="G421" t="inlineStr"/>
      <c r="H421" t="inlineStr">
        <is>
          <t>low</t>
        </is>
      </c>
      <c r="I421" t="inlineStr">
        <is>
          <t>analogue</t>
        </is>
      </c>
      <c r="J421" t="n">
        <v>0.902</v>
      </c>
      <c r="K421" t="n">
        <v>0</v>
      </c>
      <c r="L421" s="6" t="inlineStr">
        <is>
          <t>Goosefishes; benthic ambush piscivores classed by Sea Around Us as Medium bathydemersals (30 - 89 cm). Placed in Grp9 Med Benthic Carnivores as the nearest demersal-carnivore band, but the model has no bathydemersal compartment and nothing in the Bulletin supports the choice; 1 t over the whole period.</t>
        </is>
      </c>
    </row>
    <row r="422">
      <c r="A422" t="inlineStr">
        <is>
          <t>Pristipomoides multidens</t>
        </is>
      </c>
      <c r="B422" t="inlineStr">
        <is>
          <t>Goldbanded jobfish</t>
        </is>
      </c>
      <c r="C422" t="inlineStr">
        <is>
          <t>Medium demersals (30 - 89 cm)</t>
        </is>
      </c>
      <c r="D422" t="inlineStr">
        <is>
          <t>Perch-likes</t>
        </is>
      </c>
      <c r="E422" s="7" t="inlineStr">
        <is>
          <t>Large Benthic Carnivores</t>
        </is>
      </c>
      <c r="F422" t="inlineStr"/>
      <c r="G422" t="inlineStr"/>
      <c r="H422" t="inlineStr">
        <is>
          <t>high</t>
        </is>
      </c>
      <c r="I422" t="inlineStr">
        <is>
          <t>inherited_mapping</t>
        </is>
      </c>
      <c r="J422" t="n">
        <v>0.612</v>
      </c>
      <c r="K422" t="n">
        <v>0</v>
      </c>
      <c r="L422" s="6" t="inlineStr">
        <is>
          <t>Goldbanded jobfish; Lutjanidae (snapper/jobfish family) - "jobfish" and "red snappers" are Table 1's explicit examples for Large Benthic Carnivores.</t>
        </is>
      </c>
    </row>
    <row r="423">
      <c r="A423" t="inlineStr">
        <is>
          <t>Ruvettus pretiosus</t>
        </is>
      </c>
      <c r="B423" t="inlineStr">
        <is>
          <t>Oilfish</t>
        </is>
      </c>
      <c r="C423" t="inlineStr">
        <is>
          <t>Large benthopelagics (&gt;=90 cm)</t>
        </is>
      </c>
      <c r="D423" t="inlineStr">
        <is>
          <t>Perch-likes</t>
        </is>
      </c>
      <c r="E423" s="8" t="inlineStr">
        <is>
          <t>Large Benthopelagics</t>
        </is>
      </c>
      <c r="F423" t="inlineStr"/>
      <c r="G423" t="inlineStr"/>
      <c r="H423" t="inlineStr">
        <is>
          <t>low</t>
        </is>
      </c>
      <c r="I423" t="inlineStr">
        <is>
          <t>analogue</t>
        </is>
      </c>
      <c r="J423" t="n">
        <v>0.569</v>
      </c>
      <c r="K423" t="n">
        <v>0</v>
      </c>
      <c r="L423" s="6" t="inlineStr">
        <is>
          <t>Oilfish; a gempylid, treated like the Gempylidae row as a large benthopelagic shelf-edge piscivore. The species is a deep-slope fish that this 27,000 km2 shelf model does not really represent; 1 t over the whole period.</t>
        </is>
      </c>
    </row>
    <row r="424">
      <c r="A424" t="inlineStr">
        <is>
          <t>Lepturacanthus savala</t>
        </is>
      </c>
      <c r="B424" t="inlineStr">
        <is>
          <t>Savalai hairtail</t>
        </is>
      </c>
      <c r="C424" t="inlineStr">
        <is>
          <t>Large benthopelagics (&gt;=90 cm)</t>
        </is>
      </c>
      <c r="D424" t="inlineStr">
        <is>
          <t>Perch-likes</t>
        </is>
      </c>
      <c r="E424" s="7" t="inlineStr">
        <is>
          <t>Large Benthopelagics</t>
        </is>
      </c>
      <c r="F424" t="inlineStr"/>
      <c r="G424" t="inlineStr"/>
      <c r="H424" t="inlineStr">
        <is>
          <t>high</t>
        </is>
      </c>
      <c r="I424" t="inlineStr">
        <is>
          <t>inherited_mapping</t>
        </is>
      </c>
      <c r="J424" t="n">
        <v>0.318</v>
      </c>
      <c r="K424" t="n">
        <v>0</v>
      </c>
      <c r="L424" s="6" t="inlineStr">
        <is>
          <t>Savalai hairtail; Trichiuridae, the "ribbonfish" family explicitly named for Large Benthopelagics.</t>
        </is>
      </c>
    </row>
    <row r="425">
      <c r="A425" t="inlineStr">
        <is>
          <t>Mobula birostris</t>
        </is>
      </c>
      <c r="B425" t="inlineStr">
        <is>
          <t>Giant manta</t>
        </is>
      </c>
      <c r="C425" t="inlineStr">
        <is>
          <t>Large rays (&gt;=90 cm)</t>
        </is>
      </c>
      <c r="D425" t="inlineStr">
        <is>
          <t>Sharks &amp; rays</t>
        </is>
      </c>
      <c r="E425" s="7" t="inlineStr">
        <is>
          <t>Skates &amp; Rays</t>
        </is>
      </c>
      <c r="F425" t="inlineStr"/>
      <c r="G425" t="inlineStr"/>
      <c r="H425" t="inlineStr">
        <is>
          <t>high</t>
        </is>
      </c>
      <c r="I425" t="inlineStr">
        <is>
          <t>inherited_mapping</t>
        </is>
      </c>
      <c r="J425" t="n">
        <v>0.272</v>
      </c>
      <c r="K425" t="n">
        <v>0</v>
      </c>
      <c r="L425" s="6" t="inlineStr">
        <is>
          <t>Giant manta ray (Mobulidae, batoid); unambiguous fit to Skates &amp; Rays.</t>
        </is>
      </c>
    </row>
    <row r="426">
      <c r="A426" t="inlineStr">
        <is>
          <t>Gymnocranius grandoculis</t>
        </is>
      </c>
      <c r="B426" t="inlineStr">
        <is>
          <t>Blue-lined large-eye bream</t>
        </is>
      </c>
      <c r="C426" t="inlineStr">
        <is>
          <t>Medium reef assoc. fish (30 - 89 cm)</t>
        </is>
      </c>
      <c r="D426" t="inlineStr">
        <is>
          <t>Perch-likes</t>
        </is>
      </c>
      <c r="E426" s="5" t="inlineStr">
        <is>
          <t>Large Benthic Carnivores</t>
        </is>
      </c>
      <c r="F426" t="inlineStr"/>
      <c r="G426" t="inlineStr"/>
      <c r="H426" t="inlineStr">
        <is>
          <t>medium</t>
        </is>
      </c>
      <c r="I426" t="inlineStr">
        <is>
          <t>inherited_mapping</t>
        </is>
      </c>
      <c r="J426" t="n">
        <v>0.181</v>
      </c>
      <c r="K426" t="n">
        <v>0</v>
      </c>
      <c r="L426" s="6" t="inlineStr">
        <is>
          <t>Blue-lined large-eye bream; Lethrinidae (emperor family), a demersal durophagous/piscivorous carnivore guild not named in Table 1 but ecologically parallel to the snapper/grouper apex reef-predator guild of Large Benthic Carnivores (mean TL ~3.7, group TL 4.14).</t>
        </is>
      </c>
    </row>
    <row r="427">
      <c r="A427" t="inlineStr">
        <is>
          <t>Lepidocybium flavobrunneum</t>
        </is>
      </c>
      <c r="B427" t="inlineStr">
        <is>
          <t>Escolar</t>
        </is>
      </c>
      <c r="C427" t="inlineStr">
        <is>
          <t>Large bathypelagics (&gt;=90 cm)</t>
        </is>
      </c>
      <c r="D427" t="inlineStr">
        <is>
          <t>Perch-likes</t>
        </is>
      </c>
      <c r="E427" s="9" t="inlineStr">
        <is>
          <t>Unresolved</t>
        </is>
      </c>
      <c r="F427" t="inlineStr"/>
      <c r="G427" t="inlineStr"/>
      <c r="H427" t="inlineStr">
        <is>
          <t>unresolved</t>
        </is>
      </c>
      <c r="I427" t="inlineStr">
        <is>
          <t>none</t>
        </is>
      </c>
      <c r="J427" t="n">
        <v>0.144</v>
      </c>
      <c r="K427" t="n">
        <v>0</v>
      </c>
      <c r="L427" s="6" t="inlineStr">
        <is>
          <t>Escolar; an oceanic bathypelagic gempylid classed by Sea Around Us as Large bathypelagics (&gt;=90 cm). The model is a 27,000 km2 continental-shelf model with no oceanic or bathypelagic compartment, so this record has no home in it. Under 1 t over the whole period.</t>
        </is>
      </c>
    </row>
    <row r="428">
      <c r="A428" t="inlineStr">
        <is>
          <t>Plotosus lineatus</t>
        </is>
      </c>
      <c r="B428" t="inlineStr">
        <is>
          <t>Striped eel catfish</t>
        </is>
      </c>
      <c r="C428" t="inlineStr">
        <is>
          <t>Medium reef assoc. fish (30 - 89 cm)</t>
        </is>
      </c>
      <c r="D428" t="inlineStr">
        <is>
          <t>Other fishes &amp; inverts</t>
        </is>
      </c>
      <c r="E428" s="7" t="inlineStr">
        <is>
          <t>Benthic Omnivores</t>
        </is>
      </c>
      <c r="F428" t="inlineStr"/>
      <c r="G428" t="inlineStr"/>
      <c r="H428" t="inlineStr">
        <is>
          <t>high</t>
        </is>
      </c>
      <c r="I428" t="inlineStr">
        <is>
          <t>explicit_member</t>
        </is>
      </c>
      <c r="J428" t="n">
        <v>0.016</v>
      </c>
      <c r="K428" t="n">
        <v>0</v>
      </c>
      <c r="L428" s="6" t="inlineStr">
        <is>
          <t>Plotosus sp. is member 86 of Grp17 Benthic Omnivores in the Bulletin 51 components-of-ecological-groupings table (PDF pp. 21-22).</t>
        </is>
      </c>
    </row>
    <row r="429">
      <c r="A429" t="inlineStr">
        <is>
          <t>Lampris guttatus</t>
        </is>
      </c>
      <c r="B429" t="inlineStr">
        <is>
          <t>Opah</t>
        </is>
      </c>
      <c r="C429" t="inlineStr">
        <is>
          <t>Large bathypelagics (&gt;=90 cm)</t>
        </is>
      </c>
      <c r="D429" t="inlineStr">
        <is>
          <t>Other fishes &amp; inverts</t>
        </is>
      </c>
      <c r="E429" s="9" t="inlineStr">
        <is>
          <t>Unresolved</t>
        </is>
      </c>
      <c r="F429" t="inlineStr"/>
      <c r="G429" t="inlineStr"/>
      <c r="H429" t="inlineStr">
        <is>
          <t>unresolved</t>
        </is>
      </c>
      <c r="I429" t="inlineStr">
        <is>
          <t>none</t>
        </is>
      </c>
      <c r="J429" t="n">
        <v>0.01</v>
      </c>
      <c r="K429" t="n">
        <v>0</v>
      </c>
      <c r="L429" s="6" t="inlineStr">
        <is>
          <t>Opah; an oceanic epi-/bathypelagic species classed by Sea Around Us as Large bathypelagics (&gt;=90 cm). The model is a 27,000 km2 continental-shelf model with no oceanic compartment, so this record has no home in it. Under 1 t over the whole period.</t>
        </is>
      </c>
    </row>
    <row r="430">
      <c r="A430" t="inlineStr">
        <is>
          <t>Carcharhinus macloti</t>
        </is>
      </c>
      <c r="B430" t="inlineStr">
        <is>
          <t>Hardnose shark</t>
        </is>
      </c>
      <c r="C430" t="inlineStr">
        <is>
          <t>Small to medium sharks (&lt;90 cm)</t>
        </is>
      </c>
      <c r="D430" t="inlineStr">
        <is>
          <t>Sharks &amp; rays</t>
        </is>
      </c>
      <c r="E430" s="7" t="inlineStr">
        <is>
          <t>Sharks</t>
        </is>
      </c>
      <c r="F430" t="inlineStr"/>
      <c r="G430" t="inlineStr"/>
      <c r="H430" t="inlineStr">
        <is>
          <t>high</t>
        </is>
      </c>
      <c r="I430" t="inlineStr">
        <is>
          <t>explicit_member</t>
        </is>
      </c>
      <c r="J430" t="n">
        <v>0.007</v>
      </c>
      <c r="K430" t="n">
        <v>0</v>
      </c>
      <c r="L430" s="6" t="inlineStr">
        <is>
          <t>Carcharhinus limbatus is member 5 of Grp2 Sharks in the Bulletin 51 components-of-ecological-groupings table (PDF pp. 21-22); the genus is a listed member genus.</t>
        </is>
      </c>
    </row>
    <row r="431">
      <c r="A431" t="inlineStr">
        <is>
          <t>Labridae</t>
        </is>
      </c>
      <c r="B431" t="inlineStr">
        <is>
          <t>Wrasses, gropers, tuskfishes</t>
        </is>
      </c>
      <c r="C431" t="inlineStr">
        <is>
          <t>Medium reef assoc. fish (30 - 89 cm)</t>
        </is>
      </c>
      <c r="D431" t="inlineStr">
        <is>
          <t>Perch-likes</t>
        </is>
      </c>
      <c r="E431" s="5" t="inlineStr">
        <is>
          <t>Med Benthic Carnivores</t>
        </is>
      </c>
      <c r="F431" t="inlineStr"/>
      <c r="G431" t="inlineStr"/>
      <c r="H431" t="inlineStr">
        <is>
          <t>medium</t>
        </is>
      </c>
      <c r="I431" t="inlineStr">
        <is>
          <t>inherited_mapping</t>
        </is>
      </c>
      <c r="J431" t="n">
        <v>0.001</v>
      </c>
      <c r="K431" t="n">
        <v>0</v>
      </c>
      <c r="L431" s="6" t="inlineStr">
        <is>
          <t>Wrasse family; diverse benthic invertivores/durophages, SAU size class "Medium reef assoc. fish" and TL (3.46) closest to Med Benthic Carnivores (group TL 3.19); family not named in Table 1.</t>
        </is>
      </c>
    </row>
    <row r="432">
      <c r="A432" t="inlineStr">
        <is>
          <t>Portunus</t>
        </is>
      </c>
      <c r="B432" t="inlineStr">
        <is>
          <t>Swimmer crabs</t>
        </is>
      </c>
      <c r="C432" t="inlineStr">
        <is>
          <t>Lobsters, crabs</t>
        </is>
      </c>
      <c r="D432" t="inlineStr">
        <is>
          <t>Crustaceans</t>
        </is>
      </c>
      <c r="E432" s="7" t="inlineStr">
        <is>
          <t>Crabs &amp; Lobster</t>
        </is>
      </c>
      <c r="F432" t="inlineStr"/>
      <c r="G432" t="inlineStr"/>
      <c r="H432" t="inlineStr">
        <is>
          <t>high</t>
        </is>
      </c>
      <c r="I432" t="inlineStr">
        <is>
          <t>inherited_mapping</t>
        </is>
      </c>
      <c r="J432" t="n">
        <v>0.001</v>
      </c>
      <c r="K432" t="n">
        <v>0</v>
      </c>
      <c r="L432" s="6" t="inlineStr">
        <is>
          <t>Genus explicitly named in Table 1's Crabs and lobsters definition.</t>
        </is>
      </c>
    </row>
    <row r="433">
      <c r="A433" t="inlineStr">
        <is>
          <t>Pomacanthidae</t>
        </is>
      </c>
      <c r="B433" t="inlineStr">
        <is>
          <t>Angelfishes</t>
        </is>
      </c>
      <c r="C433" t="inlineStr">
        <is>
          <t>Medium reef assoc. fish (30 - 89 cm)</t>
        </is>
      </c>
      <c r="D433" t="inlineStr">
        <is>
          <t>Perch-likes</t>
        </is>
      </c>
      <c r="E433" s="5" t="inlineStr">
        <is>
          <t>Benthic Omnivores</t>
        </is>
      </c>
      <c r="F433" t="inlineStr"/>
      <c r="G433" t="inlineStr"/>
      <c r="H433" t="inlineStr">
        <is>
          <t>medium</t>
        </is>
      </c>
      <c r="I433" t="inlineStr">
        <is>
          <t>inherited_mapping</t>
        </is>
      </c>
      <c r="J433" t="n">
        <v>0</v>
      </c>
      <c r="K433" t="n">
        <v>0</v>
      </c>
      <c r="L433" s="6" t="inlineStr">
        <is>
          <t>Angelfish family; angelfish (Pomacanthidae) are sponge/algae-grazing reef omnivores (TL 2.67-2.86), not named in Table 1 but ecologically closest to the low-TL Benthic Omnivores guild (group TL 2.55).</t>
        </is>
      </c>
    </row>
    <row r="434">
      <c r="A434" t="inlineStr">
        <is>
          <t>Acanthuridae</t>
        </is>
      </c>
      <c r="B434" t="inlineStr">
        <is>
          <t>Surgeons, tangs, unicornfishes</t>
        </is>
      </c>
      <c r="C434" t="inlineStr">
        <is>
          <t>Small reef assoc. fish (&lt;30 cm)</t>
        </is>
      </c>
      <c r="D434" t="inlineStr">
        <is>
          <t>Perch-likes</t>
        </is>
      </c>
      <c r="E434" s="5" t="inlineStr">
        <is>
          <t>Benthic Omnivores</t>
        </is>
      </c>
      <c r="F434" t="inlineStr"/>
      <c r="G434" t="inlineStr"/>
      <c r="H434" t="inlineStr">
        <is>
          <t>medium</t>
        </is>
      </c>
      <c r="I434" t="inlineStr">
        <is>
          <t>inherited_mapping</t>
        </is>
      </c>
      <c r="J434" t="n">
        <v>0</v>
      </c>
      <c r="K434" t="n">
        <v>0</v>
      </c>
      <c r="L434" s="6" t="inlineStr">
        <is>
          <t>Surgeonfish family; surgeonfish (Acanthuridae) are herbivorous reef grazers (TL 2.02-2.28), not named in Table 1 but ecologically closest to the low-TL grazer/omnivore guild of Benthic Omnivores (group TL 2.55).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3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1" t="inlineStr">
        <is>
          <t>Specific PPR per taxon — LME_032, model 32_1_Arabian_Sea_off_Karnataka_(2000)</t>
        </is>
      </c>
    </row>
    <row r="2">
      <c r="A2" t="inlineStr">
        <is>
          <t>sppr_simple is the trophic-chain estimate (1/TE)^(TL-1) at TE=0.1, applied to the taxon's own trophic level and needing no model.</t>
        </is>
      </c>
    </row>
    <row r="3">
      <c r="A3" t="inlineStr">
        <is>
          <t>The remaining columns are this model's SPPR for the taxon's group, one per method. Blank means the method did not resolve, never zero.</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row>
    <row r="5">
      <c r="A5" t="inlineStr">
        <is>
          <t>Marine fishes not identified</t>
        </is>
      </c>
      <c r="B5" t="n">
        <v>3.28</v>
      </c>
      <c r="C5" t="n">
        <v>190.546072</v>
      </c>
      <c r="D5" t="inlineStr">
        <is>
          <t>Med Benthic Carnivores | Small Benthic Carnivores | Large Benthic Carnivores</t>
        </is>
      </c>
      <c r="E5" t="n">
        <v>106.362581</v>
      </c>
      <c r="F5" t="n">
        <v>510.340028</v>
      </c>
      <c r="G5" t="n">
        <v>64.917636</v>
      </c>
      <c r="H5" t="n">
        <v>147.512799</v>
      </c>
      <c r="I5" t="n">
        <v>255.197828</v>
      </c>
      <c r="J5" t="n">
        <v>316.476335</v>
      </c>
      <c r="K5" t="n">
        <v>310.174869</v>
      </c>
      <c r="L5" t="n">
        <v>554.178052</v>
      </c>
      <c r="M5" t="n">
        <v>554.178052</v>
      </c>
      <c r="N5" t="n">
        <v>554.178052</v>
      </c>
      <c r="O5" t="n">
        <v>316.162263</v>
      </c>
      <c r="P5" t="n">
        <v>118.600641</v>
      </c>
      <c r="Q5" t="n">
        <v>554.178052</v>
      </c>
      <c r="R5" t="n">
        <v>554.178052</v>
      </c>
      <c r="S5" t="n">
        <v>316.162263</v>
      </c>
      <c r="T5" t="n">
        <v>316.162263</v>
      </c>
      <c r="U5" t="n">
        <v>118.600641</v>
      </c>
      <c r="V5" t="n">
        <v>118.600641</v>
      </c>
      <c r="W5" t="n">
        <v>338.62278</v>
      </c>
      <c r="X5" t="n">
        <v>616.7791999999999</v>
      </c>
    </row>
    <row r="6">
      <c r="A6" t="inlineStr">
        <is>
          <t>Sardinella longiceps</t>
        </is>
      </c>
      <c r="B6" t="n">
        <v>2.41</v>
      </c>
      <c r="C6" t="n">
        <v>25.703958</v>
      </c>
      <c r="D6" t="inlineStr">
        <is>
          <t>Clupeids</t>
        </is>
      </c>
      <c r="E6" t="n">
        <v>106.362581</v>
      </c>
      <c r="F6" t="n">
        <v>88.561632</v>
      </c>
      <c r="G6" t="n">
        <v>21.920534</v>
      </c>
      <c r="H6" t="n">
        <v>63.185331</v>
      </c>
      <c r="I6" t="n">
        <v>125.502905</v>
      </c>
      <c r="J6" t="n">
        <v>125.502905</v>
      </c>
      <c r="K6" t="n">
        <v>122.867344</v>
      </c>
      <c r="L6" t="n">
        <v>135.671609</v>
      </c>
      <c r="M6" t="n">
        <v>135.671609</v>
      </c>
      <c r="N6" t="n">
        <v>135.671609</v>
      </c>
      <c r="O6" t="n">
        <v>106.962478</v>
      </c>
      <c r="P6" t="n">
        <v>52.045425</v>
      </c>
      <c r="Q6" t="n">
        <v>135.671609</v>
      </c>
      <c r="R6" t="n">
        <v>135.671609</v>
      </c>
      <c r="S6" t="n">
        <v>106.962478</v>
      </c>
      <c r="T6" t="n">
        <v>106.962478</v>
      </c>
      <c r="U6" t="n">
        <v>52.045425</v>
      </c>
      <c r="V6" t="n">
        <v>52.045425</v>
      </c>
      <c r="W6" t="n">
        <v>110.161718</v>
      </c>
      <c r="X6" t="n">
        <v>144.77438</v>
      </c>
    </row>
    <row r="7">
      <c r="A7" t="inlineStr">
        <is>
          <t>Penaeidae</t>
        </is>
      </c>
      <c r="B7" t="n">
        <v>3.31</v>
      </c>
      <c r="C7" t="n">
        <v>204.173794</v>
      </c>
      <c r="D7" t="inlineStr">
        <is>
          <t>Shrimps</t>
        </is>
      </c>
      <c r="E7" t="n">
        <v>106.362581</v>
      </c>
      <c r="F7" t="n">
        <v>102.724644</v>
      </c>
      <c r="G7" t="n">
        <v>24.278186</v>
      </c>
      <c r="H7" t="n">
        <v>49.254496</v>
      </c>
      <c r="I7" t="n">
        <v>47.332503</v>
      </c>
      <c r="J7" t="n">
        <v>47.332503</v>
      </c>
      <c r="K7" t="n">
        <v>46.385853</v>
      </c>
      <c r="L7" t="n">
        <v>49.861086</v>
      </c>
      <c r="M7" t="n">
        <v>49.861086</v>
      </c>
      <c r="N7" t="n">
        <v>49.861086</v>
      </c>
      <c r="O7" t="n">
        <v>41.277787</v>
      </c>
      <c r="P7" t="n">
        <v>24.793452</v>
      </c>
      <c r="Q7" t="n">
        <v>49.861086</v>
      </c>
      <c r="R7" t="n">
        <v>49.861086</v>
      </c>
      <c r="S7" t="n">
        <v>41.277787</v>
      </c>
      <c r="T7" t="n">
        <v>41.277787</v>
      </c>
      <c r="U7" t="n">
        <v>24.793452</v>
      </c>
      <c r="V7" t="n">
        <v>24.793452</v>
      </c>
      <c r="W7" t="n">
        <v>43.911832</v>
      </c>
      <c r="X7" t="n">
        <v>53.47357</v>
      </c>
    </row>
    <row r="8">
      <c r="A8" t="inlineStr">
        <is>
          <t>Rastrelliger kanagurta</t>
        </is>
      </c>
      <c r="B8" t="n">
        <v>3.19</v>
      </c>
      <c r="C8" t="n">
        <v>154.881662</v>
      </c>
      <c r="D8" t="inlineStr">
        <is>
          <t>Mackerel</t>
        </is>
      </c>
      <c r="E8" t="n">
        <v>106.362581</v>
      </c>
      <c r="F8" t="n">
        <v>10</v>
      </c>
      <c r="G8" t="n">
        <v>4.881897</v>
      </c>
      <c r="H8" t="n">
        <v>4.881897</v>
      </c>
      <c r="I8" t="n">
        <v>10.197541</v>
      </c>
      <c r="J8" t="n">
        <v>10.197541</v>
      </c>
      <c r="K8" t="n">
        <v>9.993589999999999</v>
      </c>
      <c r="L8" t="n">
        <v>9.458164999999999</v>
      </c>
      <c r="M8" t="n">
        <v>9.458164999999999</v>
      </c>
      <c r="N8" t="n">
        <v>9.458164999999999</v>
      </c>
      <c r="O8" t="n">
        <v>11.302127</v>
      </c>
      <c r="P8" t="n">
        <v>10.304402</v>
      </c>
      <c r="Q8" t="n">
        <v>9.458164999999999</v>
      </c>
      <c r="R8" t="n">
        <v>9.458164999999999</v>
      </c>
      <c r="S8" t="n">
        <v>11.302127</v>
      </c>
      <c r="T8" t="n">
        <v>11.302127</v>
      </c>
      <c r="U8" t="n">
        <v>10.304402</v>
      </c>
      <c r="V8" t="n">
        <v>10.304402</v>
      </c>
      <c r="W8" t="n">
        <v>11.531445</v>
      </c>
      <c r="X8" t="n">
        <v>9.437369</v>
      </c>
    </row>
    <row r="9">
      <c r="A9" t="inlineStr">
        <is>
          <t>Sciaenidae</t>
        </is>
      </c>
      <c r="B9" t="n">
        <v>3.76</v>
      </c>
      <c r="C9" t="n">
        <v>575.439937</v>
      </c>
      <c r="D9" t="inlineStr">
        <is>
          <t>Med Benthic Carnivores</t>
        </is>
      </c>
      <c r="E9" t="n">
        <v>106.362581</v>
      </c>
      <c r="F9" t="n">
        <v>153.506319</v>
      </c>
      <c r="G9" t="n">
        <v>32.014124</v>
      </c>
      <c r="H9" t="n">
        <v>100.68782</v>
      </c>
      <c r="I9" t="n">
        <v>159.061371</v>
      </c>
      <c r="J9" t="n">
        <v>159.061371</v>
      </c>
      <c r="K9" t="n">
        <v>156.039205</v>
      </c>
      <c r="L9" t="n">
        <v>198.208223</v>
      </c>
      <c r="M9" t="n">
        <v>198.208223</v>
      </c>
      <c r="N9" t="n">
        <v>198.208223</v>
      </c>
      <c r="O9" t="n">
        <v>116.373231</v>
      </c>
      <c r="P9" t="n">
        <v>56.490526</v>
      </c>
      <c r="Q9" t="n">
        <v>198.208223</v>
      </c>
      <c r="R9" t="n">
        <v>198.208223</v>
      </c>
      <c r="S9" t="n">
        <v>116.373231</v>
      </c>
      <c r="T9" t="n">
        <v>116.373231</v>
      </c>
      <c r="U9" t="n">
        <v>56.490526</v>
      </c>
      <c r="V9" t="n">
        <v>56.490526</v>
      </c>
      <c r="W9" t="n">
        <v>120.80197</v>
      </c>
      <c r="X9" t="n">
        <v>213.813007</v>
      </c>
    </row>
    <row r="10">
      <c r="A10" t="inlineStr">
        <is>
          <t>Decapoda</t>
        </is>
      </c>
      <c r="B10" t="n">
        <v>3.43</v>
      </c>
      <c r="C10" t="n">
        <v>269.15348</v>
      </c>
      <c r="D10" t="inlineStr">
        <is>
          <t>Crabs &amp; Lobster | Shrimps</t>
        </is>
      </c>
      <c r="E10" t="n">
        <v>106.362581</v>
      </c>
      <c r="F10" t="n">
        <v>99.467015</v>
      </c>
      <c r="G10" t="n">
        <v>23.723014</v>
      </c>
      <c r="H10" t="n">
        <v>48.209414</v>
      </c>
      <c r="I10" t="n">
        <v>50.962751</v>
      </c>
      <c r="J10" t="n">
        <v>50.962751</v>
      </c>
      <c r="K10" t="n">
        <v>49.906424</v>
      </c>
      <c r="L10" t="n">
        <v>57.923655</v>
      </c>
      <c r="M10" t="n">
        <v>57.923655</v>
      </c>
      <c r="N10" t="n">
        <v>57.923655</v>
      </c>
      <c r="O10" t="n">
        <v>40.900431</v>
      </c>
      <c r="P10" t="n">
        <v>24.791704</v>
      </c>
      <c r="Q10" t="n">
        <v>57.923655</v>
      </c>
      <c r="R10" t="n">
        <v>57.923655</v>
      </c>
      <c r="S10" t="n">
        <v>40.900431</v>
      </c>
      <c r="T10" t="n">
        <v>40.900431</v>
      </c>
      <c r="U10" t="n">
        <v>24.791704</v>
      </c>
      <c r="V10" t="n">
        <v>24.791704</v>
      </c>
      <c r="W10" t="n">
        <v>43.627117</v>
      </c>
      <c r="X10" t="n">
        <v>62.717206</v>
      </c>
    </row>
    <row r="11">
      <c r="A11" t="inlineStr">
        <is>
          <t>Harpadon nehereus</t>
        </is>
      </c>
      <c r="B11" t="n">
        <v>4.2</v>
      </c>
      <c r="C11" t="n">
        <v>1584.893192</v>
      </c>
      <c r="D11" t="inlineStr">
        <is>
          <t>Large Benthic Carnivores</t>
        </is>
      </c>
      <c r="E11" t="n">
        <v>106.362581</v>
      </c>
      <c r="F11" t="n">
        <v>1113.102078</v>
      </c>
      <c r="G11" t="n">
        <v>125.259096</v>
      </c>
      <c r="H11" t="n">
        <v>249.981248</v>
      </c>
      <c r="I11" t="n">
        <v>421.749845</v>
      </c>
      <c r="J11" t="n">
        <v>575.638232</v>
      </c>
      <c r="K11" t="n">
        <v>564.125467</v>
      </c>
      <c r="L11" t="n">
        <v>1114.691652</v>
      </c>
      <c r="M11" t="n">
        <v>1114.691652</v>
      </c>
      <c r="N11" t="n">
        <v>1114.691652</v>
      </c>
      <c r="O11" t="n">
        <v>635.9376559999999</v>
      </c>
      <c r="P11" t="n">
        <v>217.238675</v>
      </c>
      <c r="Q11" t="n">
        <v>1114.691652</v>
      </c>
      <c r="R11" t="n">
        <v>1114.691652</v>
      </c>
      <c r="S11" t="n">
        <v>635.9376559999999</v>
      </c>
      <c r="T11" t="n">
        <v>635.9376559999999</v>
      </c>
      <c r="U11" t="n">
        <v>217.238675</v>
      </c>
      <c r="V11" t="n">
        <v>217.238675</v>
      </c>
      <c r="W11" t="n">
        <v>686.067599</v>
      </c>
      <c r="X11" t="n">
        <v>1252.543178</v>
      </c>
    </row>
    <row r="12">
      <c r="A12" t="inlineStr">
        <is>
          <t>Clupeiformes</t>
        </is>
      </c>
      <c r="B12" t="n">
        <v>3.24</v>
      </c>
      <c r="C12" t="n">
        <v>173.780083</v>
      </c>
      <c r="D12" t="inlineStr">
        <is>
          <t>Clupeids | Anchovies</t>
        </is>
      </c>
      <c r="E12" t="n">
        <v>106.362581</v>
      </c>
      <c r="F12" t="n">
        <v>112.349342</v>
      </c>
      <c r="G12" t="n">
        <v>25.153822</v>
      </c>
      <c r="H12" t="n">
        <v>65.705652</v>
      </c>
      <c r="I12" t="n">
        <v>143.806337</v>
      </c>
      <c r="J12" t="n">
        <v>143.806337</v>
      </c>
      <c r="K12" t="n">
        <v>140.722367</v>
      </c>
      <c r="L12" t="n">
        <v>156.30035</v>
      </c>
      <c r="M12" t="n">
        <v>156.30035</v>
      </c>
      <c r="N12" t="n">
        <v>156.30035</v>
      </c>
      <c r="O12" t="n">
        <v>122.074735</v>
      </c>
      <c r="P12" t="n">
        <v>59.602694</v>
      </c>
      <c r="Q12" t="n">
        <v>156.30035</v>
      </c>
      <c r="R12" t="n">
        <v>156.30035</v>
      </c>
      <c r="S12" t="n">
        <v>122.074735</v>
      </c>
      <c r="T12" t="n">
        <v>122.074735</v>
      </c>
      <c r="U12" t="n">
        <v>59.602694</v>
      </c>
      <c r="V12" t="n">
        <v>59.602694</v>
      </c>
      <c r="W12" t="n">
        <v>126.045551</v>
      </c>
      <c r="X12" t="n">
        <v>167.583276</v>
      </c>
    </row>
    <row r="13">
      <c r="A13" t="inlineStr">
        <is>
          <t>Nemipteridae</t>
        </is>
      </c>
      <c r="B13" t="n">
        <v>3.51</v>
      </c>
      <c r="C13" t="n">
        <v>323.593657</v>
      </c>
      <c r="D13" t="inlineStr">
        <is>
          <t>Small Benthic Carnivores</t>
        </is>
      </c>
      <c r="E13" t="n">
        <v>106.362581</v>
      </c>
      <c r="F13" t="n">
        <v>47.875255</v>
      </c>
      <c r="G13" t="n">
        <v>14.351766</v>
      </c>
      <c r="H13" t="n">
        <v>47.936313</v>
      </c>
      <c r="I13" t="n">
        <v>123.68277</v>
      </c>
      <c r="J13" t="n">
        <v>123.68277</v>
      </c>
      <c r="K13" t="n">
        <v>121.085432</v>
      </c>
      <c r="L13" t="n">
        <v>160.705061</v>
      </c>
      <c r="M13" t="n">
        <v>160.705061</v>
      </c>
      <c r="N13" t="n">
        <v>160.705061</v>
      </c>
      <c r="O13" t="n">
        <v>86.69575</v>
      </c>
      <c r="P13" t="n">
        <v>48.551122</v>
      </c>
      <c r="Q13" t="n">
        <v>160.705061</v>
      </c>
      <c r="R13" t="n">
        <v>160.705061</v>
      </c>
      <c r="S13" t="n">
        <v>86.69575</v>
      </c>
      <c r="T13" t="n">
        <v>86.69575</v>
      </c>
      <c r="U13" t="n">
        <v>48.551122</v>
      </c>
      <c r="V13" t="n">
        <v>48.551122</v>
      </c>
      <c r="W13" t="n">
        <v>90.428786</v>
      </c>
      <c r="X13" t="n">
        <v>169.279514</v>
      </c>
    </row>
    <row r="14">
      <c r="A14" t="inlineStr">
        <is>
          <t>Clupeidae</t>
        </is>
      </c>
      <c r="B14" t="n">
        <v>3.16</v>
      </c>
      <c r="C14" t="n">
        <v>144.543977</v>
      </c>
      <c r="D14" t="inlineStr">
        <is>
          <t>Clupeids</t>
        </is>
      </c>
      <c r="E14" t="n">
        <v>106.362581</v>
      </c>
      <c r="F14" t="n">
        <v>88.561632</v>
      </c>
      <c r="G14" t="n">
        <v>21.920534</v>
      </c>
      <c r="H14" t="n">
        <v>63.185331</v>
      </c>
      <c r="I14" t="n">
        <v>125.502905</v>
      </c>
      <c r="J14" t="n">
        <v>125.502905</v>
      </c>
      <c r="K14" t="n">
        <v>122.867344</v>
      </c>
      <c r="L14" t="n">
        <v>135.671609</v>
      </c>
      <c r="M14" t="n">
        <v>135.671609</v>
      </c>
      <c r="N14" t="n">
        <v>135.671609</v>
      </c>
      <c r="O14" t="n">
        <v>106.962478</v>
      </c>
      <c r="P14" t="n">
        <v>52.045425</v>
      </c>
      <c r="Q14" t="n">
        <v>135.671609</v>
      </c>
      <c r="R14" t="n">
        <v>135.671609</v>
      </c>
      <c r="S14" t="n">
        <v>106.962478</v>
      </c>
      <c r="T14" t="n">
        <v>106.962478</v>
      </c>
      <c r="U14" t="n">
        <v>52.045425</v>
      </c>
      <c r="V14" t="n">
        <v>52.045425</v>
      </c>
      <c r="W14" t="n">
        <v>110.161718</v>
      </c>
      <c r="X14" t="n">
        <v>144.77438</v>
      </c>
    </row>
    <row r="15">
      <c r="A15" t="inlineStr">
        <is>
          <t>Bivalvia</t>
        </is>
      </c>
      <c r="B15" t="n">
        <v>2.23</v>
      </c>
      <c r="C15" t="n">
        <v>16.982437</v>
      </c>
      <c r="D15" t="inlineStr">
        <is>
          <t>Heterotrophic Benthos</t>
        </is>
      </c>
      <c r="E15" t="n">
        <v>106.362581</v>
      </c>
      <c r="F15" t="n">
        <v>19.947374</v>
      </c>
      <c r="G15" t="n">
        <v>7.853921</v>
      </c>
      <c r="H15" t="n">
        <v>13.270207</v>
      </c>
      <c r="I15" t="n">
        <v>123.888042</v>
      </c>
      <c r="J15" t="n">
        <v>123.888042</v>
      </c>
      <c r="K15" t="n">
        <v>15.362117</v>
      </c>
      <c r="L15" t="n">
        <v>260.720597</v>
      </c>
      <c r="M15" t="n">
        <v>260.720597</v>
      </c>
      <c r="N15" t="n">
        <v>260.720597</v>
      </c>
      <c r="O15" t="n">
        <v>19.314018</v>
      </c>
      <c r="P15" t="n">
        <v>17.703696</v>
      </c>
      <c r="Q15" t="n">
        <v>260.720597</v>
      </c>
      <c r="R15" t="n">
        <v>260.720597</v>
      </c>
      <c r="S15" t="n">
        <v>19.314018</v>
      </c>
      <c r="T15" t="n">
        <v>19.314018</v>
      </c>
      <c r="U15" t="n">
        <v>17.703696</v>
      </c>
      <c r="V15" t="n">
        <v>17.703696</v>
      </c>
      <c r="W15" t="n">
        <v>20.650834</v>
      </c>
      <c r="X15" t="n">
        <v>285.015306</v>
      </c>
    </row>
    <row r="16">
      <c r="A16" t="inlineStr">
        <is>
          <t>Carangidae</t>
        </is>
      </c>
      <c r="B16" t="n">
        <v>4.05</v>
      </c>
      <c r="C16" t="n">
        <v>1122.018454</v>
      </c>
      <c r="D16" t="inlineStr">
        <is>
          <t>Small Benthopelagics</t>
        </is>
      </c>
      <c r="E16" t="n">
        <v>106.362581</v>
      </c>
      <c r="F16" t="n">
        <v>735.919846</v>
      </c>
      <c r="G16" t="n">
        <v>94.203452</v>
      </c>
      <c r="H16" t="n">
        <v>274.118485</v>
      </c>
      <c r="I16" t="n">
        <v>1003.748472</v>
      </c>
      <c r="J16" t="n">
        <v>1056.007849</v>
      </c>
      <c r="K16" t="n">
        <v>1032.775676</v>
      </c>
      <c r="L16" t="n">
        <v>1426.864607</v>
      </c>
      <c r="M16" t="n">
        <v>1426.864607</v>
      </c>
      <c r="N16" t="n">
        <v>1426.864607</v>
      </c>
      <c r="O16" t="n">
        <v>914.12906</v>
      </c>
      <c r="P16" t="n">
        <v>345.870401</v>
      </c>
      <c r="Q16" t="n">
        <v>1426.864607</v>
      </c>
      <c r="R16" t="n">
        <v>1426.864607</v>
      </c>
      <c r="S16" t="n">
        <v>914.12906</v>
      </c>
      <c r="T16" t="n">
        <v>914.12906</v>
      </c>
      <c r="U16" t="n">
        <v>345.870401</v>
      </c>
      <c r="V16" t="n">
        <v>345.870401</v>
      </c>
      <c r="W16" t="n">
        <v>957.660399</v>
      </c>
      <c r="X16" t="n">
        <v>1577.210486</v>
      </c>
    </row>
    <row r="17">
      <c r="A17" t="inlineStr">
        <is>
          <t>Scomberomorus commerson</t>
        </is>
      </c>
      <c r="B17" t="n">
        <v>4.5</v>
      </c>
      <c r="C17" t="n">
        <v>3162.27766</v>
      </c>
      <c r="D17" t="inlineStr">
        <is>
          <t>Large Pelagics</t>
        </is>
      </c>
      <c r="E17" t="n">
        <v>106.362581</v>
      </c>
      <c r="F17" t="n">
        <v>1182.417917</v>
      </c>
      <c r="G17" t="n">
        <v>130.579526</v>
      </c>
      <c r="H17" t="n">
        <v>655.098468</v>
      </c>
      <c r="I17" t="n">
        <v>848.885192</v>
      </c>
      <c r="J17" t="n">
        <v>883.261112</v>
      </c>
      <c r="K17" t="n">
        <v>865.5958890000001</v>
      </c>
      <c r="L17" t="n">
        <v>1961.116323</v>
      </c>
      <c r="M17" t="n">
        <v>1961.116323</v>
      </c>
      <c r="N17" t="n">
        <v>1961.116323</v>
      </c>
      <c r="O17" t="n">
        <v>1097.797369</v>
      </c>
      <c r="P17" t="n">
        <v>300.80342</v>
      </c>
      <c r="Q17" t="n">
        <v>1961.116323</v>
      </c>
      <c r="R17" t="n">
        <v>1961.116323</v>
      </c>
      <c r="S17" t="n">
        <v>1097.797369</v>
      </c>
      <c r="T17" t="n">
        <v>1097.797369</v>
      </c>
      <c r="U17" t="n">
        <v>300.80342</v>
      </c>
      <c r="V17" t="n">
        <v>300.80342</v>
      </c>
      <c r="W17" t="n">
        <v>1171.90733</v>
      </c>
      <c r="X17" t="n">
        <v>2200.248768</v>
      </c>
    </row>
    <row r="18">
      <c r="A18" t="inlineStr">
        <is>
          <t>Thunnus albacares</t>
        </is>
      </c>
      <c r="B18" t="n">
        <v>4.41</v>
      </c>
      <c r="C18" t="n">
        <v>2570.395783</v>
      </c>
      <c r="D18" t="inlineStr">
        <is>
          <t>Tunas</t>
        </is>
      </c>
      <c r="E18" t="n">
        <v>106.362581</v>
      </c>
      <c r="F18" t="n">
        <v>1377.951482</v>
      </c>
      <c r="G18" t="n">
        <v>145.091076</v>
      </c>
      <c r="H18" t="n">
        <v>354.016089</v>
      </c>
      <c r="I18" t="n">
        <v>804.627355</v>
      </c>
      <c r="J18" t="n">
        <v>818.1011109999999</v>
      </c>
      <c r="K18" t="n">
        <v>575.125081</v>
      </c>
      <c r="L18" t="n">
        <v>970.782826</v>
      </c>
      <c r="M18" t="n">
        <v>970.782826</v>
      </c>
      <c r="N18" t="n">
        <v>970.782826</v>
      </c>
      <c r="O18" t="n">
        <v>487.056907</v>
      </c>
      <c r="P18" t="n">
        <v>182.863315</v>
      </c>
      <c r="Q18" t="n">
        <v>970.782826</v>
      </c>
      <c r="R18" t="n">
        <v>970.782826</v>
      </c>
      <c r="S18" t="n">
        <v>487.056907</v>
      </c>
      <c r="T18" t="n">
        <v>487.056907</v>
      </c>
      <c r="U18" t="n">
        <v>182.863315</v>
      </c>
      <c r="V18" t="n">
        <v>182.863315</v>
      </c>
      <c r="W18" t="n">
        <v>514.9785419999999</v>
      </c>
      <c r="X18" t="n">
        <v>1083.073415</v>
      </c>
    </row>
    <row r="19">
      <c r="A19" t="inlineStr">
        <is>
          <t>Carcharhinidae</t>
        </is>
      </c>
      <c r="B19" t="n">
        <v>4.24</v>
      </c>
      <c r="C19" t="n">
        <v>1737.800829</v>
      </c>
      <c r="D19" t="inlineStr">
        <is>
          <t>Sharks</t>
        </is>
      </c>
      <c r="E19" t="n">
        <v>106.362581</v>
      </c>
      <c r="F19" t="n">
        <v>2569.28922</v>
      </c>
      <c r="G19" t="n">
        <v>222.822151</v>
      </c>
      <c r="H19" t="n">
        <v>1308.685037</v>
      </c>
      <c r="I19" t="n">
        <v>1955.186859</v>
      </c>
      <c r="J19" t="n">
        <v>2007.418175</v>
      </c>
      <c r="K19" t="n">
        <v>1423.259486</v>
      </c>
      <c r="L19" t="n">
        <v>3930.042293</v>
      </c>
      <c r="M19" t="n">
        <v>3930.042293</v>
      </c>
      <c r="N19" t="n">
        <v>3930.042293</v>
      </c>
      <c r="O19" t="n">
        <v>1585.345045</v>
      </c>
      <c r="P19" t="n">
        <v>411.268522</v>
      </c>
      <c r="Q19" t="n">
        <v>3930.042293</v>
      </c>
      <c r="R19" t="n">
        <v>3930.042293</v>
      </c>
      <c r="S19" t="n">
        <v>1585.345045</v>
      </c>
      <c r="T19" t="n">
        <v>1585.345045</v>
      </c>
      <c r="U19" t="n">
        <v>411.268522</v>
      </c>
      <c r="V19" t="n">
        <v>411.268522</v>
      </c>
      <c r="W19" t="n">
        <v>1647.369658</v>
      </c>
      <c r="X19" t="n">
        <v>4507.362005</v>
      </c>
    </row>
    <row r="20">
      <c r="A20" t="inlineStr">
        <is>
          <t>Ariidae</t>
        </is>
      </c>
      <c r="B20" t="n">
        <v>3.48</v>
      </c>
      <c r="C20" t="n">
        <v>301.995172</v>
      </c>
      <c r="D20" t="inlineStr">
        <is>
          <t>Large Benthopelagics</t>
        </is>
      </c>
      <c r="E20" t="n">
        <v>106.362581</v>
      </c>
      <c r="F20" t="n">
        <v>1254.298198</v>
      </c>
      <c r="G20" t="n">
        <v>135.995167</v>
      </c>
      <c r="H20" t="n">
        <v>530.875777</v>
      </c>
      <c r="I20" t="n">
        <v>1013.570171</v>
      </c>
      <c r="J20" t="n">
        <v>1067.730872</v>
      </c>
      <c r="K20" t="n">
        <v>1046.376254</v>
      </c>
      <c r="L20" t="n">
        <v>1918.226529</v>
      </c>
      <c r="M20" t="n">
        <v>1918.226529</v>
      </c>
      <c r="N20" t="n">
        <v>1918.226529</v>
      </c>
      <c r="O20" t="n">
        <v>1111.682878</v>
      </c>
      <c r="P20" t="n">
        <v>334.624507</v>
      </c>
      <c r="Q20" t="n">
        <v>1918.226529</v>
      </c>
      <c r="R20" t="n">
        <v>1918.226529</v>
      </c>
      <c r="S20" t="n">
        <v>1111.682878</v>
      </c>
      <c r="T20" t="n">
        <v>1111.682878</v>
      </c>
      <c r="U20" t="n">
        <v>334.624507</v>
      </c>
      <c r="V20" t="n">
        <v>334.624507</v>
      </c>
      <c r="W20" t="n">
        <v>1176.051346</v>
      </c>
      <c r="X20" t="n">
        <v>2155.084899</v>
      </c>
    </row>
    <row r="21">
      <c r="A21" t="inlineStr">
        <is>
          <t>Elasmobranchii</t>
        </is>
      </c>
      <c r="B21" t="n">
        <v>4.05</v>
      </c>
      <c r="C21" t="n">
        <v>1122.018454</v>
      </c>
      <c r="D21" t="inlineStr">
        <is>
          <t>Sharks | Skates &amp; Rays</t>
        </is>
      </c>
      <c r="E21" t="n">
        <v>106.362581</v>
      </c>
      <c r="F21" t="n">
        <v>1946.568502</v>
      </c>
      <c r="G21" t="n">
        <v>176.421748</v>
      </c>
      <c r="H21" t="n">
        <v>1003.861031</v>
      </c>
      <c r="I21" t="n">
        <v>2004.425457</v>
      </c>
      <c r="J21" t="n">
        <v>2054.111071</v>
      </c>
      <c r="K21" t="n">
        <v>1388.476293</v>
      </c>
      <c r="L21" t="n">
        <v>3701.599597</v>
      </c>
      <c r="M21" t="n">
        <v>3701.599597</v>
      </c>
      <c r="N21" t="n">
        <v>3701.599597</v>
      </c>
      <c r="O21" t="n">
        <v>1387.067246</v>
      </c>
      <c r="P21" t="n">
        <v>396.000338</v>
      </c>
      <c r="Q21" t="n">
        <v>3701.599597</v>
      </c>
      <c r="R21" t="n">
        <v>3701.599597</v>
      </c>
      <c r="S21" t="n">
        <v>1387.067246</v>
      </c>
      <c r="T21" t="n">
        <v>1387.067246</v>
      </c>
      <c r="U21" t="n">
        <v>396.000338</v>
      </c>
      <c r="V21" t="n">
        <v>396.000338</v>
      </c>
      <c r="W21" t="n">
        <v>1442.44167</v>
      </c>
      <c r="X21" t="n">
        <v>4194.616006</v>
      </c>
    </row>
    <row r="22">
      <c r="A22" t="inlineStr">
        <is>
          <t>Siluriformes</t>
        </is>
      </c>
      <c r="B22" t="n">
        <v>3.48</v>
      </c>
      <c r="C22" t="n">
        <v>301.995172</v>
      </c>
      <c r="D22" t="inlineStr">
        <is>
          <t>Large Benthopelagics</t>
        </is>
      </c>
      <c r="E22" t="n">
        <v>106.362581</v>
      </c>
      <c r="F22" t="n">
        <v>1254.298198</v>
      </c>
      <c r="G22" t="n">
        <v>135.995167</v>
      </c>
      <c r="H22" t="n">
        <v>530.875777</v>
      </c>
      <c r="I22" t="n">
        <v>1013.570171</v>
      </c>
      <c r="J22" t="n">
        <v>1067.730872</v>
      </c>
      <c r="K22" t="n">
        <v>1046.376254</v>
      </c>
      <c r="L22" t="n">
        <v>1918.226529</v>
      </c>
      <c r="M22" t="n">
        <v>1918.226529</v>
      </c>
      <c r="N22" t="n">
        <v>1918.226529</v>
      </c>
      <c r="O22" t="n">
        <v>1111.682878</v>
      </c>
      <c r="P22" t="n">
        <v>334.624507</v>
      </c>
      <c r="Q22" t="n">
        <v>1918.226529</v>
      </c>
      <c r="R22" t="n">
        <v>1918.226529</v>
      </c>
      <c r="S22" t="n">
        <v>1111.682878</v>
      </c>
      <c r="T22" t="n">
        <v>1111.682878</v>
      </c>
      <c r="U22" t="n">
        <v>334.624507</v>
      </c>
      <c r="V22" t="n">
        <v>334.624507</v>
      </c>
      <c r="W22" t="n">
        <v>1176.051346</v>
      </c>
      <c r="X22" t="n">
        <v>2155.084899</v>
      </c>
    </row>
    <row r="23">
      <c r="A23" t="inlineStr">
        <is>
          <t>Netuma thalassina</t>
        </is>
      </c>
      <c r="B23" t="n">
        <v>3.54</v>
      </c>
      <c r="C23" t="n">
        <v>346.73685</v>
      </c>
      <c r="D23" t="inlineStr">
        <is>
          <t>Large Benthopelagics</t>
        </is>
      </c>
      <c r="E23" t="n">
        <v>106.362581</v>
      </c>
      <c r="F23" t="n">
        <v>1254.298198</v>
      </c>
      <c r="G23" t="n">
        <v>135.995167</v>
      </c>
      <c r="H23" t="n">
        <v>530.875777</v>
      </c>
      <c r="I23" t="n">
        <v>1013.570171</v>
      </c>
      <c r="J23" t="n">
        <v>1067.730872</v>
      </c>
      <c r="K23" t="n">
        <v>1046.376254</v>
      </c>
      <c r="L23" t="n">
        <v>1918.226529</v>
      </c>
      <c r="M23" t="n">
        <v>1918.226529</v>
      </c>
      <c r="N23" t="n">
        <v>1918.226529</v>
      </c>
      <c r="O23" t="n">
        <v>1111.682878</v>
      </c>
      <c r="P23" t="n">
        <v>334.624507</v>
      </c>
      <c r="Q23" t="n">
        <v>1918.226529</v>
      </c>
      <c r="R23" t="n">
        <v>1918.226529</v>
      </c>
      <c r="S23" t="n">
        <v>1111.682878</v>
      </c>
      <c r="T23" t="n">
        <v>1111.682878</v>
      </c>
      <c r="U23" t="n">
        <v>334.624507</v>
      </c>
      <c r="V23" t="n">
        <v>334.624507</v>
      </c>
      <c r="W23" t="n">
        <v>1176.051346</v>
      </c>
      <c r="X23" t="n">
        <v>2155.084899</v>
      </c>
    </row>
    <row r="24">
      <c r="A24" t="inlineStr">
        <is>
          <t>Leiognathidae</t>
        </is>
      </c>
      <c r="B24" t="n">
        <v>3.24</v>
      </c>
      <c r="C24" t="n">
        <v>173.780083</v>
      </c>
      <c r="D24" t="inlineStr">
        <is>
          <t>Small Benthic Carnivores</t>
        </is>
      </c>
      <c r="E24" t="n">
        <v>106.362581</v>
      </c>
      <c r="F24" t="n">
        <v>47.875255</v>
      </c>
      <c r="G24" t="n">
        <v>14.351766</v>
      </c>
      <c r="H24" t="n">
        <v>47.936313</v>
      </c>
      <c r="I24" t="n">
        <v>123.68277</v>
      </c>
      <c r="J24" t="n">
        <v>123.68277</v>
      </c>
      <c r="K24" t="n">
        <v>121.085432</v>
      </c>
      <c r="L24" t="n">
        <v>160.705061</v>
      </c>
      <c r="M24" t="n">
        <v>160.705061</v>
      </c>
      <c r="N24" t="n">
        <v>160.705061</v>
      </c>
      <c r="O24" t="n">
        <v>86.69575</v>
      </c>
      <c r="P24" t="n">
        <v>48.551122</v>
      </c>
      <c r="Q24" t="n">
        <v>160.705061</v>
      </c>
      <c r="R24" t="n">
        <v>160.705061</v>
      </c>
      <c r="S24" t="n">
        <v>86.69575</v>
      </c>
      <c r="T24" t="n">
        <v>86.69575</v>
      </c>
      <c r="U24" t="n">
        <v>48.551122</v>
      </c>
      <c r="V24" t="n">
        <v>48.551122</v>
      </c>
      <c r="W24" t="n">
        <v>90.428786</v>
      </c>
      <c r="X24" t="n">
        <v>169.279514</v>
      </c>
    </row>
    <row r="25">
      <c r="A25" t="inlineStr">
        <is>
          <t>Decapterus</t>
        </is>
      </c>
      <c r="B25" t="n">
        <v>3.63</v>
      </c>
      <c r="C25" t="n">
        <v>426.579519</v>
      </c>
      <c r="D25" t="inlineStr">
        <is>
          <t>Small Benthopelagics</t>
        </is>
      </c>
      <c r="E25" t="n">
        <v>106.362581</v>
      </c>
      <c r="F25" t="n">
        <v>735.919846</v>
      </c>
      <c r="G25" t="n">
        <v>94.203452</v>
      </c>
      <c r="H25" t="n">
        <v>274.118485</v>
      </c>
      <c r="I25" t="n">
        <v>1003.748472</v>
      </c>
      <c r="J25" t="n">
        <v>1056.007849</v>
      </c>
      <c r="K25" t="n">
        <v>1032.775676</v>
      </c>
      <c r="L25" t="n">
        <v>1426.864607</v>
      </c>
      <c r="M25" t="n">
        <v>1426.864607</v>
      </c>
      <c r="N25" t="n">
        <v>1426.864607</v>
      </c>
      <c r="O25" t="n">
        <v>914.12906</v>
      </c>
      <c r="P25" t="n">
        <v>345.870401</v>
      </c>
      <c r="Q25" t="n">
        <v>1426.864607</v>
      </c>
      <c r="R25" t="n">
        <v>1426.864607</v>
      </c>
      <c r="S25" t="n">
        <v>914.12906</v>
      </c>
      <c r="T25" t="n">
        <v>914.12906</v>
      </c>
      <c r="U25" t="n">
        <v>345.870401</v>
      </c>
      <c r="V25" t="n">
        <v>345.870401</v>
      </c>
      <c r="W25" t="n">
        <v>957.660399</v>
      </c>
      <c r="X25" t="n">
        <v>1577.210486</v>
      </c>
    </row>
    <row r="26">
      <c r="A26" t="inlineStr">
        <is>
          <t>Engraulidae</t>
        </is>
      </c>
      <c r="B26" t="n">
        <v>3.2</v>
      </c>
      <c r="C26" t="n">
        <v>158.489319</v>
      </c>
      <c r="D26" t="inlineStr">
        <is>
          <t>Anchovies</t>
        </is>
      </c>
      <c r="E26" t="n">
        <v>106.362581</v>
      </c>
      <c r="F26" t="n">
        <v>306.237713</v>
      </c>
      <c r="G26" t="n">
        <v>51.507642</v>
      </c>
      <c r="H26" t="n">
        <v>86.248227</v>
      </c>
      <c r="I26" t="n">
        <v>292.993573</v>
      </c>
      <c r="J26" t="n">
        <v>292.993573</v>
      </c>
      <c r="K26" t="n">
        <v>286.254721</v>
      </c>
      <c r="L26" t="n">
        <v>324.440662</v>
      </c>
      <c r="M26" t="n">
        <v>324.440662</v>
      </c>
      <c r="N26" t="n">
        <v>324.440662</v>
      </c>
      <c r="O26" t="n">
        <v>245.251402</v>
      </c>
      <c r="P26" t="n">
        <v>121.200331</v>
      </c>
      <c r="Q26" t="n">
        <v>324.440662</v>
      </c>
      <c r="R26" t="n">
        <v>324.440662</v>
      </c>
      <c r="S26" t="n">
        <v>245.251402</v>
      </c>
      <c r="T26" t="n">
        <v>245.251402</v>
      </c>
      <c r="U26" t="n">
        <v>121.200331</v>
      </c>
      <c r="V26" t="n">
        <v>121.200331</v>
      </c>
      <c r="W26" t="n">
        <v>255.511169</v>
      </c>
      <c r="X26" t="n">
        <v>353.493547</v>
      </c>
    </row>
    <row r="27">
      <c r="A27" t="inlineStr">
        <is>
          <t>Rastrelliger</t>
        </is>
      </c>
      <c r="B27" t="n">
        <v>3.1</v>
      </c>
      <c r="C27" t="n">
        <v>125.892541</v>
      </c>
      <c r="D27" t="inlineStr">
        <is>
          <t>Mackerel</t>
        </is>
      </c>
      <c r="E27" t="n">
        <v>106.362581</v>
      </c>
      <c r="F27" t="n">
        <v>10</v>
      </c>
      <c r="G27" t="n">
        <v>4.881897</v>
      </c>
      <c r="H27" t="n">
        <v>4.881897</v>
      </c>
      <c r="I27" t="n">
        <v>10.197541</v>
      </c>
      <c r="J27" t="n">
        <v>10.197541</v>
      </c>
      <c r="K27" t="n">
        <v>9.993589999999999</v>
      </c>
      <c r="L27" t="n">
        <v>9.458164999999999</v>
      </c>
      <c r="M27" t="n">
        <v>9.458164999999999</v>
      </c>
      <c r="N27" t="n">
        <v>9.458164999999999</v>
      </c>
      <c r="O27" t="n">
        <v>11.302127</v>
      </c>
      <c r="P27" t="n">
        <v>10.304402</v>
      </c>
      <c r="Q27" t="n">
        <v>9.458164999999999</v>
      </c>
      <c r="R27" t="n">
        <v>9.458164999999999</v>
      </c>
      <c r="S27" t="n">
        <v>11.302127</v>
      </c>
      <c r="T27" t="n">
        <v>11.302127</v>
      </c>
      <c r="U27" t="n">
        <v>10.304402</v>
      </c>
      <c r="V27" t="n">
        <v>10.304402</v>
      </c>
      <c r="W27" t="n">
        <v>11.531445</v>
      </c>
      <c r="X27" t="n">
        <v>9.437369</v>
      </c>
    </row>
    <row r="28">
      <c r="A28" t="inlineStr">
        <is>
          <t>Perciformes</t>
        </is>
      </c>
      <c r="B28" t="n">
        <v>3.53</v>
      </c>
      <c r="C28" t="n">
        <v>338.844156</v>
      </c>
      <c r="D28" t="inlineStr">
        <is>
          <t>Med Benthic Carnivores | Small Benthic Carnivores | Large Benthic Carnivores</t>
        </is>
      </c>
      <c r="E28" t="n">
        <v>106.362581</v>
      </c>
      <c r="F28" t="n">
        <v>510.340028</v>
      </c>
      <c r="G28" t="n">
        <v>64.917636</v>
      </c>
      <c r="H28" t="n">
        <v>147.512799</v>
      </c>
      <c r="I28" t="n">
        <v>255.197828</v>
      </c>
      <c r="J28" t="n">
        <v>316.476335</v>
      </c>
      <c r="K28" t="n">
        <v>310.174869</v>
      </c>
      <c r="L28" t="n">
        <v>554.178052</v>
      </c>
      <c r="M28" t="n">
        <v>554.178052</v>
      </c>
      <c r="N28" t="n">
        <v>554.178052</v>
      </c>
      <c r="O28" t="n">
        <v>316.162263</v>
      </c>
      <c r="P28" t="n">
        <v>118.600641</v>
      </c>
      <c r="Q28" t="n">
        <v>554.178052</v>
      </c>
      <c r="R28" t="n">
        <v>554.178052</v>
      </c>
      <c r="S28" t="n">
        <v>316.162263</v>
      </c>
      <c r="T28" t="n">
        <v>316.162263</v>
      </c>
      <c r="U28" t="n">
        <v>118.600641</v>
      </c>
      <c r="V28" t="n">
        <v>118.600641</v>
      </c>
      <c r="W28" t="n">
        <v>338.62278</v>
      </c>
      <c r="X28" t="n">
        <v>616.7791999999999</v>
      </c>
    </row>
    <row r="29">
      <c r="A29" t="inlineStr">
        <is>
          <t>Soleidae</t>
        </is>
      </c>
      <c r="B29" t="n">
        <v>3.15</v>
      </c>
      <c r="C29" t="n">
        <v>141.253754</v>
      </c>
      <c r="D29" t="inlineStr">
        <is>
          <t>Benthic Omnivores</t>
        </is>
      </c>
      <c r="E29" t="n">
        <v>106.362581</v>
      </c>
      <c r="F29" t="n">
        <v>34.853983</v>
      </c>
      <c r="G29" t="n">
        <v>11.533933</v>
      </c>
      <c r="H29" t="n">
        <v>23.954598</v>
      </c>
      <c r="I29" t="n">
        <v>122.110584</v>
      </c>
      <c r="J29" t="n">
        <v>122.110584</v>
      </c>
      <c r="K29" t="n">
        <v>119.668372</v>
      </c>
      <c r="L29" t="n">
        <v>234.326211</v>
      </c>
      <c r="M29" t="n">
        <v>234.326211</v>
      </c>
      <c r="N29" t="n">
        <v>234.326211</v>
      </c>
      <c r="O29" t="n">
        <v>32.574396</v>
      </c>
      <c r="P29" t="n">
        <v>28.191927</v>
      </c>
      <c r="Q29" t="n">
        <v>234.326211</v>
      </c>
      <c r="R29" t="n">
        <v>234.326211</v>
      </c>
      <c r="S29" t="n">
        <v>32.574396</v>
      </c>
      <c r="T29" t="n">
        <v>32.574396</v>
      </c>
      <c r="U29" t="n">
        <v>28.191927</v>
      </c>
      <c r="V29" t="n">
        <v>28.191927</v>
      </c>
      <c r="W29" t="n">
        <v>34.709256</v>
      </c>
      <c r="X29" t="n">
        <v>257.01226</v>
      </c>
    </row>
    <row r="30">
      <c r="A30" t="inlineStr">
        <is>
          <t>Cephalopoda</t>
        </is>
      </c>
      <c r="B30" t="n">
        <v>3.81</v>
      </c>
      <c r="C30" t="n">
        <v>645.654229</v>
      </c>
      <c r="D30" t="inlineStr">
        <is>
          <t>Cephalopods</t>
        </is>
      </c>
      <c r="E30" t="n">
        <v>106.362581</v>
      </c>
      <c r="F30" t="n">
        <v>1254.312676</v>
      </c>
      <c r="G30" t="n">
        <v>135.996248</v>
      </c>
      <c r="H30" t="n">
        <v>384.963959</v>
      </c>
      <c r="I30" t="n">
        <v>1331.752693</v>
      </c>
      <c r="J30" t="n">
        <v>1334.257295</v>
      </c>
      <c r="K30" t="n">
        <v>1300.900862</v>
      </c>
      <c r="L30" t="n">
        <v>2933.853362</v>
      </c>
      <c r="M30" t="n">
        <v>2933.853362</v>
      </c>
      <c r="N30" t="n">
        <v>2933.853362</v>
      </c>
      <c r="O30" t="n">
        <v>1771.03868</v>
      </c>
      <c r="P30" t="n">
        <v>582.871532</v>
      </c>
      <c r="Q30" t="n">
        <v>2933.853362</v>
      </c>
      <c r="R30" t="n">
        <v>2933.853362</v>
      </c>
      <c r="S30" t="n">
        <v>1771.03868</v>
      </c>
      <c r="T30" t="n">
        <v>1771.03868</v>
      </c>
      <c r="U30" t="n">
        <v>582.871532</v>
      </c>
      <c r="V30" t="n">
        <v>582.871532</v>
      </c>
      <c r="W30" t="n">
        <v>1904.354617</v>
      </c>
      <c r="X30" t="n">
        <v>3263.675794</v>
      </c>
    </row>
    <row r="31">
      <c r="A31" t="inlineStr">
        <is>
          <t>Stolephorus</t>
        </is>
      </c>
      <c r="B31" t="n">
        <v>3.44</v>
      </c>
      <c r="C31" t="n">
        <v>275.42287</v>
      </c>
      <c r="D31" t="inlineStr">
        <is>
          <t>Anchovies</t>
        </is>
      </c>
      <c r="E31" t="n">
        <v>106.362581</v>
      </c>
      <c r="F31" t="n">
        <v>306.237713</v>
      </c>
      <c r="G31" t="n">
        <v>51.507642</v>
      </c>
      <c r="H31" t="n">
        <v>86.248227</v>
      </c>
      <c r="I31" t="n">
        <v>292.993573</v>
      </c>
      <c r="J31" t="n">
        <v>292.993573</v>
      </c>
      <c r="K31" t="n">
        <v>286.254721</v>
      </c>
      <c r="L31" t="n">
        <v>324.440662</v>
      </c>
      <c r="M31" t="n">
        <v>324.440662</v>
      </c>
      <c r="N31" t="n">
        <v>324.440662</v>
      </c>
      <c r="O31" t="n">
        <v>245.251402</v>
      </c>
      <c r="P31" t="n">
        <v>121.200331</v>
      </c>
      <c r="Q31" t="n">
        <v>324.440662</v>
      </c>
      <c r="R31" t="n">
        <v>324.440662</v>
      </c>
      <c r="S31" t="n">
        <v>245.251402</v>
      </c>
      <c r="T31" t="n">
        <v>245.251402</v>
      </c>
      <c r="U31" t="n">
        <v>121.200331</v>
      </c>
      <c r="V31" t="n">
        <v>121.200331</v>
      </c>
      <c r="W31" t="n">
        <v>255.511169</v>
      </c>
      <c r="X31" t="n">
        <v>353.493547</v>
      </c>
    </row>
    <row r="32">
      <c r="A32" t="inlineStr">
        <is>
          <t>Penaeus semisulcatus</t>
        </is>
      </c>
      <c r="B32" t="n">
        <v>2</v>
      </c>
      <c r="C32" t="n">
        <v>10</v>
      </c>
      <c r="D32" t="inlineStr">
        <is>
          <t>Shrimps</t>
        </is>
      </c>
      <c r="E32" t="n">
        <v>106.362581</v>
      </c>
      <c r="F32" t="n">
        <v>102.724644</v>
      </c>
      <c r="G32" t="n">
        <v>24.278186</v>
      </c>
      <c r="H32" t="n">
        <v>49.254496</v>
      </c>
      <c r="I32" t="n">
        <v>47.332503</v>
      </c>
      <c r="J32" t="n">
        <v>47.332503</v>
      </c>
      <c r="K32" t="n">
        <v>46.385853</v>
      </c>
      <c r="L32" t="n">
        <v>49.861086</v>
      </c>
      <c r="M32" t="n">
        <v>49.861086</v>
      </c>
      <c r="N32" t="n">
        <v>49.861086</v>
      </c>
      <c r="O32" t="n">
        <v>41.277787</v>
      </c>
      <c r="P32" t="n">
        <v>24.793452</v>
      </c>
      <c r="Q32" t="n">
        <v>49.861086</v>
      </c>
      <c r="R32" t="n">
        <v>49.861086</v>
      </c>
      <c r="S32" t="n">
        <v>41.277787</v>
      </c>
      <c r="T32" t="n">
        <v>41.277787</v>
      </c>
      <c r="U32" t="n">
        <v>24.793452</v>
      </c>
      <c r="V32" t="n">
        <v>24.793452</v>
      </c>
      <c r="W32" t="n">
        <v>43.911832</v>
      </c>
      <c r="X32" t="n">
        <v>53.47357</v>
      </c>
    </row>
    <row r="33">
      <c r="A33" t="inlineStr">
        <is>
          <t>Trichiurus lepturus</t>
        </is>
      </c>
      <c r="B33" t="n">
        <v>4.42</v>
      </c>
      <c r="C33" t="n">
        <v>2630.267992</v>
      </c>
      <c r="D33" t="inlineStr">
        <is>
          <t>Large Benthopelagics</t>
        </is>
      </c>
      <c r="E33" t="n">
        <v>106.362581</v>
      </c>
      <c r="F33" t="n">
        <v>1254.298198</v>
      </c>
      <c r="G33" t="n">
        <v>135.995167</v>
      </c>
      <c r="H33" t="n">
        <v>530.875777</v>
      </c>
      <c r="I33" t="n">
        <v>1013.570171</v>
      </c>
      <c r="J33" t="n">
        <v>1067.730872</v>
      </c>
      <c r="K33" t="n">
        <v>1046.376254</v>
      </c>
      <c r="L33" t="n">
        <v>1918.226529</v>
      </c>
      <c r="M33" t="n">
        <v>1918.226529</v>
      </c>
      <c r="N33" t="n">
        <v>1918.226529</v>
      </c>
      <c r="O33" t="n">
        <v>1111.682878</v>
      </c>
      <c r="P33" t="n">
        <v>334.624507</v>
      </c>
      <c r="Q33" t="n">
        <v>1918.226529</v>
      </c>
      <c r="R33" t="n">
        <v>1918.226529</v>
      </c>
      <c r="S33" t="n">
        <v>1111.682878</v>
      </c>
      <c r="T33" t="n">
        <v>1111.682878</v>
      </c>
      <c r="U33" t="n">
        <v>334.624507</v>
      </c>
      <c r="V33" t="n">
        <v>334.624507</v>
      </c>
      <c r="W33" t="n">
        <v>1176.051346</v>
      </c>
      <c r="X33" t="n">
        <v>2155.084899</v>
      </c>
    </row>
    <row r="34">
      <c r="A34" t="inlineStr">
        <is>
          <t>Sepiidae</t>
        </is>
      </c>
      <c r="B34" t="n">
        <v>3.6</v>
      </c>
      <c r="C34" t="n">
        <v>398.107171</v>
      </c>
      <c r="D34" t="inlineStr">
        <is>
          <t>Cephalopods</t>
        </is>
      </c>
      <c r="E34" t="n">
        <v>106.362581</v>
      </c>
      <c r="F34" t="n">
        <v>1254.312676</v>
      </c>
      <c r="G34" t="n">
        <v>135.996248</v>
      </c>
      <c r="H34" t="n">
        <v>384.963959</v>
      </c>
      <c r="I34" t="n">
        <v>1331.752693</v>
      </c>
      <c r="J34" t="n">
        <v>1334.257295</v>
      </c>
      <c r="K34" t="n">
        <v>1300.900862</v>
      </c>
      <c r="L34" t="n">
        <v>2933.853362</v>
      </c>
      <c r="M34" t="n">
        <v>2933.853362</v>
      </c>
      <c r="N34" t="n">
        <v>2933.853362</v>
      </c>
      <c r="O34" t="n">
        <v>1771.03868</v>
      </c>
      <c r="P34" t="n">
        <v>582.871532</v>
      </c>
      <c r="Q34" t="n">
        <v>2933.853362</v>
      </c>
      <c r="R34" t="n">
        <v>2933.853362</v>
      </c>
      <c r="S34" t="n">
        <v>1771.03868</v>
      </c>
      <c r="T34" t="n">
        <v>1771.03868</v>
      </c>
      <c r="U34" t="n">
        <v>582.871532</v>
      </c>
      <c r="V34" t="n">
        <v>582.871532</v>
      </c>
      <c r="W34" t="n">
        <v>1904.354617</v>
      </c>
      <c r="X34" t="n">
        <v>3263.675794</v>
      </c>
    </row>
    <row r="35">
      <c r="A35" t="inlineStr">
        <is>
          <t>Serranidae</t>
        </is>
      </c>
      <c r="B35" t="n">
        <v>3.98</v>
      </c>
      <c r="C35" t="n">
        <v>954.992586</v>
      </c>
      <c r="D35" t="inlineStr">
        <is>
          <t>Large Benthic Carnivores</t>
        </is>
      </c>
      <c r="E35" t="n">
        <v>106.362581</v>
      </c>
      <c r="F35" t="n">
        <v>1113.102078</v>
      </c>
      <c r="G35" t="n">
        <v>125.259096</v>
      </c>
      <c r="H35" t="n">
        <v>249.981248</v>
      </c>
      <c r="I35" t="n">
        <v>421.749845</v>
      </c>
      <c r="J35" t="n">
        <v>575.638232</v>
      </c>
      <c r="K35" t="n">
        <v>564.125467</v>
      </c>
      <c r="L35" t="n">
        <v>1114.691652</v>
      </c>
      <c r="M35" t="n">
        <v>1114.691652</v>
      </c>
      <c r="N35" t="n">
        <v>1114.691652</v>
      </c>
      <c r="O35" t="n">
        <v>635.9376559999999</v>
      </c>
      <c r="P35" t="n">
        <v>217.238675</v>
      </c>
      <c r="Q35" t="n">
        <v>1114.691652</v>
      </c>
      <c r="R35" t="n">
        <v>1114.691652</v>
      </c>
      <c r="S35" t="n">
        <v>635.9376559999999</v>
      </c>
      <c r="T35" t="n">
        <v>635.9376559999999</v>
      </c>
      <c r="U35" t="n">
        <v>217.238675</v>
      </c>
      <c r="V35" t="n">
        <v>217.238675</v>
      </c>
      <c r="W35" t="n">
        <v>686.067599</v>
      </c>
      <c r="X35" t="n">
        <v>1252.543178</v>
      </c>
    </row>
    <row r="36">
      <c r="A36" t="inlineStr">
        <is>
          <t>Thryssa</t>
        </is>
      </c>
      <c r="B36" t="n">
        <v>3.34</v>
      </c>
      <c r="C36" t="n">
        <v>218.776162</v>
      </c>
      <c r="D36" t="inlineStr">
        <is>
          <t>Clupeids</t>
        </is>
      </c>
      <c r="E36" t="n">
        <v>106.362581</v>
      </c>
      <c r="F36" t="n">
        <v>88.561632</v>
      </c>
      <c r="G36" t="n">
        <v>21.920534</v>
      </c>
      <c r="H36" t="n">
        <v>63.185331</v>
      </c>
      <c r="I36" t="n">
        <v>125.502905</v>
      </c>
      <c r="J36" t="n">
        <v>125.502905</v>
      </c>
      <c r="K36" t="n">
        <v>122.867344</v>
      </c>
      <c r="L36" t="n">
        <v>135.671609</v>
      </c>
      <c r="M36" t="n">
        <v>135.671609</v>
      </c>
      <c r="N36" t="n">
        <v>135.671609</v>
      </c>
      <c r="O36" t="n">
        <v>106.962478</v>
      </c>
      <c r="P36" t="n">
        <v>52.045425</v>
      </c>
      <c r="Q36" t="n">
        <v>135.671609</v>
      </c>
      <c r="R36" t="n">
        <v>135.671609</v>
      </c>
      <c r="S36" t="n">
        <v>106.962478</v>
      </c>
      <c r="T36" t="n">
        <v>106.962478</v>
      </c>
      <c r="U36" t="n">
        <v>52.045425</v>
      </c>
      <c r="V36" t="n">
        <v>52.045425</v>
      </c>
      <c r="W36" t="n">
        <v>110.161718</v>
      </c>
      <c r="X36" t="n">
        <v>144.77438</v>
      </c>
    </row>
    <row r="37">
      <c r="A37" t="inlineStr">
        <is>
          <t>Katsuwonus pelamis</t>
        </is>
      </c>
      <c r="B37" t="n">
        <v>4.43</v>
      </c>
      <c r="C37" t="n">
        <v>2691.534804</v>
      </c>
      <c r="D37" t="inlineStr">
        <is>
          <t>Tunas</t>
        </is>
      </c>
      <c r="E37" t="n">
        <v>106.362581</v>
      </c>
      <c r="F37" t="n">
        <v>1377.951482</v>
      </c>
      <c r="G37" t="n">
        <v>145.091076</v>
      </c>
      <c r="H37" t="n">
        <v>354.016089</v>
      </c>
      <c r="I37" t="n">
        <v>804.627355</v>
      </c>
      <c r="J37" t="n">
        <v>818.1011109999999</v>
      </c>
      <c r="K37" t="n">
        <v>575.125081</v>
      </c>
      <c r="L37" t="n">
        <v>970.782826</v>
      </c>
      <c r="M37" t="n">
        <v>970.782826</v>
      </c>
      <c r="N37" t="n">
        <v>970.782826</v>
      </c>
      <c r="O37" t="n">
        <v>487.056907</v>
      </c>
      <c r="P37" t="n">
        <v>182.863315</v>
      </c>
      <c r="Q37" t="n">
        <v>970.782826</v>
      </c>
      <c r="R37" t="n">
        <v>970.782826</v>
      </c>
      <c r="S37" t="n">
        <v>487.056907</v>
      </c>
      <c r="T37" t="n">
        <v>487.056907</v>
      </c>
      <c r="U37" t="n">
        <v>182.863315</v>
      </c>
      <c r="V37" t="n">
        <v>182.863315</v>
      </c>
      <c r="W37" t="n">
        <v>514.9785419999999</v>
      </c>
      <c r="X37" t="n">
        <v>1083.073415</v>
      </c>
    </row>
    <row r="38">
      <c r="A38" t="inlineStr">
        <is>
          <t>Synodontidae</t>
        </is>
      </c>
      <c r="B38" t="n">
        <v>4.3</v>
      </c>
      <c r="C38" t="n">
        <v>1995.262315</v>
      </c>
      <c r="D38" t="inlineStr">
        <is>
          <t>Large Benthic Carnivores</t>
        </is>
      </c>
      <c r="E38" t="n">
        <v>106.362581</v>
      </c>
      <c r="F38" t="n">
        <v>1113.102078</v>
      </c>
      <c r="G38" t="n">
        <v>125.259096</v>
      </c>
      <c r="H38" t="n">
        <v>249.981248</v>
      </c>
      <c r="I38" t="n">
        <v>421.749845</v>
      </c>
      <c r="J38" t="n">
        <v>575.638232</v>
      </c>
      <c r="K38" t="n">
        <v>564.125467</v>
      </c>
      <c r="L38" t="n">
        <v>1114.691652</v>
      </c>
      <c r="M38" t="n">
        <v>1114.691652</v>
      </c>
      <c r="N38" t="n">
        <v>1114.691652</v>
      </c>
      <c r="O38" t="n">
        <v>635.9376559999999</v>
      </c>
      <c r="P38" t="n">
        <v>217.238675</v>
      </c>
      <c r="Q38" t="n">
        <v>1114.691652</v>
      </c>
      <c r="R38" t="n">
        <v>1114.691652</v>
      </c>
      <c r="S38" t="n">
        <v>635.9376559999999</v>
      </c>
      <c r="T38" t="n">
        <v>635.9376559999999</v>
      </c>
      <c r="U38" t="n">
        <v>217.238675</v>
      </c>
      <c r="V38" t="n">
        <v>217.238675</v>
      </c>
      <c r="W38" t="n">
        <v>686.067599</v>
      </c>
      <c r="X38" t="n">
        <v>1252.543178</v>
      </c>
    </row>
    <row r="39">
      <c r="A39" t="inlineStr">
        <is>
          <t>Otolithes ruber</t>
        </is>
      </c>
      <c r="B39" t="n">
        <v>3.6</v>
      </c>
      <c r="C39" t="n">
        <v>398.107171</v>
      </c>
      <c r="D39" t="inlineStr">
        <is>
          <t>Med Benthic Carnivores</t>
        </is>
      </c>
      <c r="E39" t="n">
        <v>106.362581</v>
      </c>
      <c r="F39" t="n">
        <v>153.506319</v>
      </c>
      <c r="G39" t="n">
        <v>32.014124</v>
      </c>
      <c r="H39" t="n">
        <v>100.68782</v>
      </c>
      <c r="I39" t="n">
        <v>159.061371</v>
      </c>
      <c r="J39" t="n">
        <v>159.061371</v>
      </c>
      <c r="K39" t="n">
        <v>156.039205</v>
      </c>
      <c r="L39" t="n">
        <v>198.208223</v>
      </c>
      <c r="M39" t="n">
        <v>198.208223</v>
      </c>
      <c r="N39" t="n">
        <v>198.208223</v>
      </c>
      <c r="O39" t="n">
        <v>116.373231</v>
      </c>
      <c r="P39" t="n">
        <v>56.490526</v>
      </c>
      <c r="Q39" t="n">
        <v>198.208223</v>
      </c>
      <c r="R39" t="n">
        <v>198.208223</v>
      </c>
      <c r="S39" t="n">
        <v>116.373231</v>
      </c>
      <c r="T39" t="n">
        <v>116.373231</v>
      </c>
      <c r="U39" t="n">
        <v>56.490526</v>
      </c>
      <c r="V39" t="n">
        <v>56.490526</v>
      </c>
      <c r="W39" t="n">
        <v>120.80197</v>
      </c>
      <c r="X39" t="n">
        <v>213.813007</v>
      </c>
    </row>
    <row r="40">
      <c r="A40" t="inlineStr">
        <is>
          <t>Thunnus tonggol</t>
        </is>
      </c>
      <c r="B40" t="n">
        <v>4.5</v>
      </c>
      <c r="C40" t="n">
        <v>3162.27766</v>
      </c>
      <c r="D40" t="inlineStr">
        <is>
          <t>Tunas</t>
        </is>
      </c>
      <c r="E40" t="n">
        <v>106.362581</v>
      </c>
      <c r="F40" t="n">
        <v>1377.951482</v>
      </c>
      <c r="G40" t="n">
        <v>145.091076</v>
      </c>
      <c r="H40" t="n">
        <v>354.016089</v>
      </c>
      <c r="I40" t="n">
        <v>804.627355</v>
      </c>
      <c r="J40" t="n">
        <v>818.1011109999999</v>
      </c>
      <c r="K40" t="n">
        <v>575.125081</v>
      </c>
      <c r="L40" t="n">
        <v>970.782826</v>
      </c>
      <c r="M40" t="n">
        <v>970.782826</v>
      </c>
      <c r="N40" t="n">
        <v>970.782826</v>
      </c>
      <c r="O40" t="n">
        <v>487.056907</v>
      </c>
      <c r="P40" t="n">
        <v>182.863315</v>
      </c>
      <c r="Q40" t="n">
        <v>970.782826</v>
      </c>
      <c r="R40" t="n">
        <v>970.782826</v>
      </c>
      <c r="S40" t="n">
        <v>487.056907</v>
      </c>
      <c r="T40" t="n">
        <v>487.056907</v>
      </c>
      <c r="U40" t="n">
        <v>182.863315</v>
      </c>
      <c r="V40" t="n">
        <v>182.863315</v>
      </c>
      <c r="W40" t="n">
        <v>514.9785419999999</v>
      </c>
      <c r="X40" t="n">
        <v>1083.073415</v>
      </c>
    </row>
    <row r="41">
      <c r="A41" t="inlineStr">
        <is>
          <t>Scombridae</t>
        </is>
      </c>
      <c r="B41" t="n">
        <v>4.26</v>
      </c>
      <c r="C41" t="n">
        <v>1819.700859</v>
      </c>
      <c r="D41" t="inlineStr">
        <is>
          <t>Mackerel | Tunas | Large Pelagics</t>
        </is>
      </c>
      <c r="E41" t="n">
        <v>106.362581</v>
      </c>
      <c r="F41" t="n">
        <v>775.004645</v>
      </c>
      <c r="G41" t="n">
        <v>85.044462</v>
      </c>
      <c r="H41" t="n">
        <v>311.386847</v>
      </c>
      <c r="I41" t="n">
        <v>504.493636</v>
      </c>
      <c r="J41" t="n">
        <v>519.264752</v>
      </c>
      <c r="K41" t="n">
        <v>443.714522</v>
      </c>
      <c r="L41" t="n">
        <v>904.540182</v>
      </c>
      <c r="M41" t="n">
        <v>904.540182</v>
      </c>
      <c r="N41" t="n">
        <v>904.540182</v>
      </c>
      <c r="O41" t="n">
        <v>492.511321</v>
      </c>
      <c r="P41" t="n">
        <v>152.008823</v>
      </c>
      <c r="Q41" t="n">
        <v>904.540182</v>
      </c>
      <c r="R41" t="n">
        <v>904.540182</v>
      </c>
      <c r="S41" t="n">
        <v>492.511321</v>
      </c>
      <c r="T41" t="n">
        <v>492.511321</v>
      </c>
      <c r="U41" t="n">
        <v>152.008823</v>
      </c>
      <c r="V41" t="n">
        <v>152.008823</v>
      </c>
      <c r="W41" t="n">
        <v>524.122796</v>
      </c>
      <c r="X41" t="n">
        <v>1012.623292</v>
      </c>
    </row>
    <row r="42">
      <c r="A42" t="inlineStr">
        <is>
          <t>Teuthida</t>
        </is>
      </c>
      <c r="B42" t="n">
        <v>4.13</v>
      </c>
      <c r="C42" t="n">
        <v>1348.962883</v>
      </c>
      <c r="D42" t="inlineStr">
        <is>
          <t>Cephalopods</t>
        </is>
      </c>
      <c r="E42" t="n">
        <v>106.362581</v>
      </c>
      <c r="F42" t="n">
        <v>1254.312676</v>
      </c>
      <c r="G42" t="n">
        <v>135.996248</v>
      </c>
      <c r="H42" t="n">
        <v>384.963959</v>
      </c>
      <c r="I42" t="n">
        <v>1331.752693</v>
      </c>
      <c r="J42" t="n">
        <v>1334.257295</v>
      </c>
      <c r="K42" t="n">
        <v>1300.900862</v>
      </c>
      <c r="L42" t="n">
        <v>2933.853362</v>
      </c>
      <c r="M42" t="n">
        <v>2933.853362</v>
      </c>
      <c r="N42" t="n">
        <v>2933.853362</v>
      </c>
      <c r="O42" t="n">
        <v>1771.03868</v>
      </c>
      <c r="P42" t="n">
        <v>582.871532</v>
      </c>
      <c r="Q42" t="n">
        <v>2933.853362</v>
      </c>
      <c r="R42" t="n">
        <v>2933.853362</v>
      </c>
      <c r="S42" t="n">
        <v>1771.03868</v>
      </c>
      <c r="T42" t="n">
        <v>1771.03868</v>
      </c>
      <c r="U42" t="n">
        <v>582.871532</v>
      </c>
      <c r="V42" t="n">
        <v>582.871532</v>
      </c>
      <c r="W42" t="n">
        <v>1904.354617</v>
      </c>
      <c r="X42" t="n">
        <v>3263.675794</v>
      </c>
    </row>
    <row r="43">
      <c r="A43" t="inlineStr">
        <is>
          <t>Portunus pelagicus</t>
        </is>
      </c>
      <c r="B43" t="n">
        <v>2.48</v>
      </c>
      <c r="C43" t="n">
        <v>30.199517</v>
      </c>
      <c r="D43" t="inlineStr">
        <is>
          <t>Crabs &amp; Lobster</t>
        </is>
      </c>
      <c r="E43" t="n">
        <v>106.362581</v>
      </c>
      <c r="F43" t="n">
        <v>75.373862</v>
      </c>
      <c r="G43" t="n">
        <v>19.61701</v>
      </c>
      <c r="H43" t="n">
        <v>40.48008</v>
      </c>
      <c r="I43" t="n">
        <v>77.811758</v>
      </c>
      <c r="J43" t="n">
        <v>77.811758</v>
      </c>
      <c r="K43" t="n">
        <v>75.944276</v>
      </c>
      <c r="L43" t="n">
        <v>117.553732</v>
      </c>
      <c r="M43" t="n">
        <v>117.553732</v>
      </c>
      <c r="N43" t="n">
        <v>117.553732</v>
      </c>
      <c r="O43" t="n">
        <v>38.109542</v>
      </c>
      <c r="P43" t="n">
        <v>24.77877</v>
      </c>
      <c r="Q43" t="n">
        <v>117.553732</v>
      </c>
      <c r="R43" t="n">
        <v>117.553732</v>
      </c>
      <c r="S43" t="n">
        <v>38.109542</v>
      </c>
      <c r="T43" t="n">
        <v>38.109542</v>
      </c>
      <c r="U43" t="n">
        <v>24.77877</v>
      </c>
      <c r="V43" t="n">
        <v>24.77877</v>
      </c>
      <c r="W43" t="n">
        <v>41.521391</v>
      </c>
      <c r="X43" t="n">
        <v>131.082364</v>
      </c>
    </row>
    <row r="44">
      <c r="A44" t="inlineStr">
        <is>
          <t>Coryphaena hippurus</t>
        </is>
      </c>
      <c r="B44" t="n">
        <v>4.37</v>
      </c>
      <c r="C44" t="n">
        <v>2344.228815</v>
      </c>
      <c r="D44" t="inlineStr">
        <is>
          <t>Large Pelagics</t>
        </is>
      </c>
      <c r="E44" t="n">
        <v>106.362581</v>
      </c>
      <c r="F44" t="n">
        <v>1182.417917</v>
      </c>
      <c r="G44" t="n">
        <v>130.579526</v>
      </c>
      <c r="H44" t="n">
        <v>655.098468</v>
      </c>
      <c r="I44" t="n">
        <v>848.885192</v>
      </c>
      <c r="J44" t="n">
        <v>883.261112</v>
      </c>
      <c r="K44" t="n">
        <v>865.5958890000001</v>
      </c>
      <c r="L44" t="n">
        <v>1961.116323</v>
      </c>
      <c r="M44" t="n">
        <v>1961.116323</v>
      </c>
      <c r="N44" t="n">
        <v>1961.116323</v>
      </c>
      <c r="O44" t="n">
        <v>1097.797369</v>
      </c>
      <c r="P44" t="n">
        <v>300.80342</v>
      </c>
      <c r="Q44" t="n">
        <v>1961.116323</v>
      </c>
      <c r="R44" t="n">
        <v>1961.116323</v>
      </c>
      <c r="S44" t="n">
        <v>1097.797369</v>
      </c>
      <c r="T44" t="n">
        <v>1097.797369</v>
      </c>
      <c r="U44" t="n">
        <v>300.80342</v>
      </c>
      <c r="V44" t="n">
        <v>300.80342</v>
      </c>
      <c r="W44" t="n">
        <v>1171.90733</v>
      </c>
      <c r="X44" t="n">
        <v>2200.248768</v>
      </c>
    </row>
    <row r="45">
      <c r="A45" t="inlineStr">
        <is>
          <t>Mugilidae</t>
        </is>
      </c>
      <c r="B45" t="n">
        <v>2.53</v>
      </c>
      <c r="C45" t="n">
        <v>33.884416</v>
      </c>
      <c r="D45" t="inlineStr">
        <is>
          <t>Benthic Omnivores</t>
        </is>
      </c>
      <c r="E45" t="n">
        <v>106.362581</v>
      </c>
      <c r="F45" t="n">
        <v>34.853983</v>
      </c>
      <c r="G45" t="n">
        <v>11.533933</v>
      </c>
      <c r="H45" t="n">
        <v>23.954598</v>
      </c>
      <c r="I45" t="n">
        <v>122.110584</v>
      </c>
      <c r="J45" t="n">
        <v>122.110584</v>
      </c>
      <c r="K45" t="n">
        <v>119.668372</v>
      </c>
      <c r="L45" t="n">
        <v>234.326211</v>
      </c>
      <c r="M45" t="n">
        <v>234.326211</v>
      </c>
      <c r="N45" t="n">
        <v>234.326211</v>
      </c>
      <c r="O45" t="n">
        <v>32.574396</v>
      </c>
      <c r="P45" t="n">
        <v>28.191927</v>
      </c>
      <c r="Q45" t="n">
        <v>234.326211</v>
      </c>
      <c r="R45" t="n">
        <v>234.326211</v>
      </c>
      <c r="S45" t="n">
        <v>32.574396</v>
      </c>
      <c r="T45" t="n">
        <v>32.574396</v>
      </c>
      <c r="U45" t="n">
        <v>28.191927</v>
      </c>
      <c r="V45" t="n">
        <v>28.191927</v>
      </c>
      <c r="W45" t="n">
        <v>34.709256</v>
      </c>
      <c r="X45" t="n">
        <v>257.01226</v>
      </c>
    </row>
    <row r="46">
      <c r="A46" t="inlineStr">
        <is>
          <t>Tenualosa ilisha</t>
        </is>
      </c>
      <c r="B46" t="n">
        <v>2.2</v>
      </c>
      <c r="C46" t="n">
        <v>15.848932</v>
      </c>
      <c r="D46" t="inlineStr">
        <is>
          <t>Clupeids</t>
        </is>
      </c>
      <c r="E46" t="n">
        <v>106.362581</v>
      </c>
      <c r="F46" t="n">
        <v>88.561632</v>
      </c>
      <c r="G46" t="n">
        <v>21.920534</v>
      </c>
      <c r="H46" t="n">
        <v>63.185331</v>
      </c>
      <c r="I46" t="n">
        <v>125.502905</v>
      </c>
      <c r="J46" t="n">
        <v>125.502905</v>
      </c>
      <c r="K46" t="n">
        <v>122.867344</v>
      </c>
      <c r="L46" t="n">
        <v>135.671609</v>
      </c>
      <c r="M46" t="n">
        <v>135.671609</v>
      </c>
      <c r="N46" t="n">
        <v>135.671609</v>
      </c>
      <c r="O46" t="n">
        <v>106.962478</v>
      </c>
      <c r="P46" t="n">
        <v>52.045425</v>
      </c>
      <c r="Q46" t="n">
        <v>135.671609</v>
      </c>
      <c r="R46" t="n">
        <v>135.671609</v>
      </c>
      <c r="S46" t="n">
        <v>106.962478</v>
      </c>
      <c r="T46" t="n">
        <v>106.962478</v>
      </c>
      <c r="U46" t="n">
        <v>52.045425</v>
      </c>
      <c r="V46" t="n">
        <v>52.045425</v>
      </c>
      <c r="W46" t="n">
        <v>110.161718</v>
      </c>
      <c r="X46" t="n">
        <v>144.77438</v>
      </c>
    </row>
    <row r="47">
      <c r="A47" t="inlineStr">
        <is>
          <t>Platycaranx chrysophrys</t>
        </is>
      </c>
      <c r="B47" t="n">
        <v>4.3</v>
      </c>
      <c r="C47" t="n">
        <v>1995.262315</v>
      </c>
      <c r="D47" t="inlineStr">
        <is>
          <t>Large Benthic Carnivores</t>
        </is>
      </c>
      <c r="E47" t="n">
        <v>106.362581</v>
      </c>
      <c r="F47" t="n">
        <v>1113.102078</v>
      </c>
      <c r="G47" t="n">
        <v>125.259096</v>
      </c>
      <c r="H47" t="n">
        <v>249.981248</v>
      </c>
      <c r="I47" t="n">
        <v>421.749845</v>
      </c>
      <c r="J47" t="n">
        <v>575.638232</v>
      </c>
      <c r="K47" t="n">
        <v>564.125467</v>
      </c>
      <c r="L47" t="n">
        <v>1114.691652</v>
      </c>
      <c r="M47" t="n">
        <v>1114.691652</v>
      </c>
      <c r="N47" t="n">
        <v>1114.691652</v>
      </c>
      <c r="O47" t="n">
        <v>635.9376559999999</v>
      </c>
      <c r="P47" t="n">
        <v>217.238675</v>
      </c>
      <c r="Q47" t="n">
        <v>1114.691652</v>
      </c>
      <c r="R47" t="n">
        <v>1114.691652</v>
      </c>
      <c r="S47" t="n">
        <v>635.9376559999999</v>
      </c>
      <c r="T47" t="n">
        <v>635.9376559999999</v>
      </c>
      <c r="U47" t="n">
        <v>217.238675</v>
      </c>
      <c r="V47" t="n">
        <v>217.238675</v>
      </c>
      <c r="W47" t="n">
        <v>686.067599</v>
      </c>
      <c r="X47" t="n">
        <v>1252.543178</v>
      </c>
    </row>
    <row r="48">
      <c r="A48" t="inlineStr">
        <is>
          <t>Alopias superciliosus</t>
        </is>
      </c>
      <c r="B48" t="n">
        <v>4.51</v>
      </c>
      <c r="C48" t="n">
        <v>3235.936569</v>
      </c>
      <c r="D48" t="inlineStr">
        <is>
          <t>Sharks</t>
        </is>
      </c>
      <c r="E48" t="n">
        <v>106.362581</v>
      </c>
      <c r="F48" t="n">
        <v>2569.28922</v>
      </c>
      <c r="G48" t="n">
        <v>222.822151</v>
      </c>
      <c r="H48" t="n">
        <v>1308.685037</v>
      </c>
      <c r="I48" t="n">
        <v>1955.186859</v>
      </c>
      <c r="J48" t="n">
        <v>2007.418175</v>
      </c>
      <c r="K48" t="n">
        <v>1423.259486</v>
      </c>
      <c r="L48" t="n">
        <v>3930.042293</v>
      </c>
      <c r="M48" t="n">
        <v>3930.042293</v>
      </c>
      <c r="N48" t="n">
        <v>3930.042293</v>
      </c>
      <c r="O48" t="n">
        <v>1585.345045</v>
      </c>
      <c r="P48" t="n">
        <v>411.268522</v>
      </c>
      <c r="Q48" t="n">
        <v>3930.042293</v>
      </c>
      <c r="R48" t="n">
        <v>3930.042293</v>
      </c>
      <c r="S48" t="n">
        <v>1585.345045</v>
      </c>
      <c r="T48" t="n">
        <v>1585.345045</v>
      </c>
      <c r="U48" t="n">
        <v>411.268522</v>
      </c>
      <c r="V48" t="n">
        <v>411.268522</v>
      </c>
      <c r="W48" t="n">
        <v>1647.369658</v>
      </c>
      <c r="X48" t="n">
        <v>4507.362005</v>
      </c>
    </row>
    <row r="49">
      <c r="A49" t="inlineStr">
        <is>
          <t>Parastromateus niger</t>
        </is>
      </c>
      <c r="B49" t="n">
        <v>2.93</v>
      </c>
      <c r="C49" t="n">
        <v>85.113804</v>
      </c>
      <c r="D49" t="inlineStr">
        <is>
          <t>Med Benthic Carnivores</t>
        </is>
      </c>
      <c r="E49" t="n">
        <v>106.362581</v>
      </c>
      <c r="F49" t="n">
        <v>153.506319</v>
      </c>
      <c r="G49" t="n">
        <v>32.014124</v>
      </c>
      <c r="H49" t="n">
        <v>100.68782</v>
      </c>
      <c r="I49" t="n">
        <v>159.061371</v>
      </c>
      <c r="J49" t="n">
        <v>159.061371</v>
      </c>
      <c r="K49" t="n">
        <v>156.039205</v>
      </c>
      <c r="L49" t="n">
        <v>198.208223</v>
      </c>
      <c r="M49" t="n">
        <v>198.208223</v>
      </c>
      <c r="N49" t="n">
        <v>198.208223</v>
      </c>
      <c r="O49" t="n">
        <v>116.373231</v>
      </c>
      <c r="P49" t="n">
        <v>56.490526</v>
      </c>
      <c r="Q49" t="n">
        <v>198.208223</v>
      </c>
      <c r="R49" t="n">
        <v>198.208223</v>
      </c>
      <c r="S49" t="n">
        <v>116.373231</v>
      </c>
      <c r="T49" t="n">
        <v>116.373231</v>
      </c>
      <c r="U49" t="n">
        <v>56.490526</v>
      </c>
      <c r="V49" t="n">
        <v>56.490526</v>
      </c>
      <c r="W49" t="n">
        <v>120.80197</v>
      </c>
      <c r="X49" t="n">
        <v>213.813007</v>
      </c>
    </row>
    <row r="50">
      <c r="A50" t="inlineStr">
        <is>
          <t>Isurus oxyrinchus</t>
        </is>
      </c>
      <c r="B50" t="n">
        <v>4.5</v>
      </c>
      <c r="C50" t="n">
        <v>3162.27766</v>
      </c>
      <c r="D50" t="inlineStr">
        <is>
          <t>Sharks</t>
        </is>
      </c>
      <c r="E50" t="n">
        <v>106.362581</v>
      </c>
      <c r="F50" t="n">
        <v>2569.28922</v>
      </c>
      <c r="G50" t="n">
        <v>222.822151</v>
      </c>
      <c r="H50" t="n">
        <v>1308.685037</v>
      </c>
      <c r="I50" t="n">
        <v>1955.186859</v>
      </c>
      <c r="J50" t="n">
        <v>2007.418175</v>
      </c>
      <c r="K50" t="n">
        <v>1423.259486</v>
      </c>
      <c r="L50" t="n">
        <v>3930.042293</v>
      </c>
      <c r="M50" t="n">
        <v>3930.042293</v>
      </c>
      <c r="N50" t="n">
        <v>3930.042293</v>
      </c>
      <c r="O50" t="n">
        <v>1585.345045</v>
      </c>
      <c r="P50" t="n">
        <v>411.268522</v>
      </c>
      <c r="Q50" t="n">
        <v>3930.042293</v>
      </c>
      <c r="R50" t="n">
        <v>3930.042293</v>
      </c>
      <c r="S50" t="n">
        <v>1585.345045</v>
      </c>
      <c r="T50" t="n">
        <v>1585.345045</v>
      </c>
      <c r="U50" t="n">
        <v>411.268522</v>
      </c>
      <c r="V50" t="n">
        <v>411.268522</v>
      </c>
      <c r="W50" t="n">
        <v>1647.369658</v>
      </c>
      <c r="X50" t="n">
        <v>4507.362005</v>
      </c>
    </row>
    <row r="51">
      <c r="A51" t="inlineStr">
        <is>
          <t>Scomberomorus guttatus</t>
        </is>
      </c>
      <c r="B51" t="n">
        <v>4.28</v>
      </c>
      <c r="C51" t="n">
        <v>1905.460718</v>
      </c>
      <c r="D51" t="inlineStr">
        <is>
          <t>Large Pelagics</t>
        </is>
      </c>
      <c r="E51" t="n">
        <v>106.362581</v>
      </c>
      <c r="F51" t="n">
        <v>1182.417917</v>
      </c>
      <c r="G51" t="n">
        <v>130.579526</v>
      </c>
      <c r="H51" t="n">
        <v>655.098468</v>
      </c>
      <c r="I51" t="n">
        <v>848.885192</v>
      </c>
      <c r="J51" t="n">
        <v>883.261112</v>
      </c>
      <c r="K51" t="n">
        <v>865.5958890000001</v>
      </c>
      <c r="L51" t="n">
        <v>1961.116323</v>
      </c>
      <c r="M51" t="n">
        <v>1961.116323</v>
      </c>
      <c r="N51" t="n">
        <v>1961.116323</v>
      </c>
      <c r="O51" t="n">
        <v>1097.797369</v>
      </c>
      <c r="P51" t="n">
        <v>300.80342</v>
      </c>
      <c r="Q51" t="n">
        <v>1961.116323</v>
      </c>
      <c r="R51" t="n">
        <v>1961.116323</v>
      </c>
      <c r="S51" t="n">
        <v>1097.797369</v>
      </c>
      <c r="T51" t="n">
        <v>1097.797369</v>
      </c>
      <c r="U51" t="n">
        <v>300.80342</v>
      </c>
      <c r="V51" t="n">
        <v>300.80342</v>
      </c>
      <c r="W51" t="n">
        <v>1171.90733</v>
      </c>
      <c r="X51" t="n">
        <v>2200.248768</v>
      </c>
    </row>
    <row r="52">
      <c r="A52" t="inlineStr">
        <is>
          <t>Lactarius lactarius</t>
        </is>
      </c>
      <c r="B52" t="n">
        <v>3.97</v>
      </c>
      <c r="C52" t="n">
        <v>933.2543010000001</v>
      </c>
      <c r="D52" t="inlineStr">
        <is>
          <t>Small Benthic Carnivores</t>
        </is>
      </c>
      <c r="E52" t="n">
        <v>106.362581</v>
      </c>
      <c r="F52" t="n">
        <v>47.875255</v>
      </c>
      <c r="G52" t="n">
        <v>14.351766</v>
      </c>
      <c r="H52" t="n">
        <v>47.936313</v>
      </c>
      <c r="I52" t="n">
        <v>123.68277</v>
      </c>
      <c r="J52" t="n">
        <v>123.68277</v>
      </c>
      <c r="K52" t="n">
        <v>121.085432</v>
      </c>
      <c r="L52" t="n">
        <v>160.705061</v>
      </c>
      <c r="M52" t="n">
        <v>160.705061</v>
      </c>
      <c r="N52" t="n">
        <v>160.705061</v>
      </c>
      <c r="O52" t="n">
        <v>86.69575</v>
      </c>
      <c r="P52" t="n">
        <v>48.551122</v>
      </c>
      <c r="Q52" t="n">
        <v>160.705061</v>
      </c>
      <c r="R52" t="n">
        <v>160.705061</v>
      </c>
      <c r="S52" t="n">
        <v>86.69575</v>
      </c>
      <c r="T52" t="n">
        <v>86.69575</v>
      </c>
      <c r="U52" t="n">
        <v>48.551122</v>
      </c>
      <c r="V52" t="n">
        <v>48.551122</v>
      </c>
      <c r="W52" t="n">
        <v>90.428786</v>
      </c>
      <c r="X52" t="n">
        <v>169.279514</v>
      </c>
    </row>
    <row r="53">
      <c r="A53" t="inlineStr">
        <is>
          <t>Sparidae</t>
        </is>
      </c>
      <c r="B53" t="n">
        <v>3.31</v>
      </c>
      <c r="C53" t="n">
        <v>204.173794</v>
      </c>
      <c r="D53" t="inlineStr">
        <is>
          <t>Med Benthic Carnivores</t>
        </is>
      </c>
      <c r="E53" t="n">
        <v>106.362581</v>
      </c>
      <c r="F53" t="n">
        <v>153.506319</v>
      </c>
      <c r="G53" t="n">
        <v>32.014124</v>
      </c>
      <c r="H53" t="n">
        <v>100.68782</v>
      </c>
      <c r="I53" t="n">
        <v>159.061371</v>
      </c>
      <c r="J53" t="n">
        <v>159.061371</v>
      </c>
      <c r="K53" t="n">
        <v>156.039205</v>
      </c>
      <c r="L53" t="n">
        <v>198.208223</v>
      </c>
      <c r="M53" t="n">
        <v>198.208223</v>
      </c>
      <c r="N53" t="n">
        <v>198.208223</v>
      </c>
      <c r="O53" t="n">
        <v>116.373231</v>
      </c>
      <c r="P53" t="n">
        <v>56.490526</v>
      </c>
      <c r="Q53" t="n">
        <v>198.208223</v>
      </c>
      <c r="R53" t="n">
        <v>198.208223</v>
      </c>
      <c r="S53" t="n">
        <v>116.373231</v>
      </c>
      <c r="T53" t="n">
        <v>116.373231</v>
      </c>
      <c r="U53" t="n">
        <v>56.490526</v>
      </c>
      <c r="V53" t="n">
        <v>56.490526</v>
      </c>
      <c r="W53" t="n">
        <v>120.80197</v>
      </c>
      <c r="X53" t="n">
        <v>213.813007</v>
      </c>
    </row>
    <row r="54">
      <c r="A54" t="inlineStr">
        <is>
          <t>Scomberoides commersonnianus</t>
        </is>
      </c>
      <c r="B54" t="n">
        <v>4.48</v>
      </c>
      <c r="C54" t="n">
        <v>3019.95172</v>
      </c>
      <c r="D54" t="inlineStr">
        <is>
          <t>Large Benthopelagics</t>
        </is>
      </c>
      <c r="E54" t="n">
        <v>106.362581</v>
      </c>
      <c r="F54" t="n">
        <v>1254.298198</v>
      </c>
      <c r="G54" t="n">
        <v>135.995167</v>
      </c>
      <c r="H54" t="n">
        <v>530.875777</v>
      </c>
      <c r="I54" t="n">
        <v>1013.570171</v>
      </c>
      <c r="J54" t="n">
        <v>1067.730872</v>
      </c>
      <c r="K54" t="n">
        <v>1046.376254</v>
      </c>
      <c r="L54" t="n">
        <v>1918.226529</v>
      </c>
      <c r="M54" t="n">
        <v>1918.226529</v>
      </c>
      <c r="N54" t="n">
        <v>1918.226529</v>
      </c>
      <c r="O54" t="n">
        <v>1111.682878</v>
      </c>
      <c r="P54" t="n">
        <v>334.624507</v>
      </c>
      <c r="Q54" t="n">
        <v>1918.226529</v>
      </c>
      <c r="R54" t="n">
        <v>1918.226529</v>
      </c>
      <c r="S54" t="n">
        <v>1111.682878</v>
      </c>
      <c r="T54" t="n">
        <v>1111.682878</v>
      </c>
      <c r="U54" t="n">
        <v>334.624507</v>
      </c>
      <c r="V54" t="n">
        <v>334.624507</v>
      </c>
      <c r="W54" t="n">
        <v>1176.051346</v>
      </c>
      <c r="X54" t="n">
        <v>2155.084899</v>
      </c>
    </row>
    <row r="55">
      <c r="A55" t="inlineStr">
        <is>
          <t>Sphyraena barracuda</t>
        </is>
      </c>
      <c r="B55" t="n">
        <v>4.49</v>
      </c>
      <c r="C55" t="n">
        <v>3090.295433</v>
      </c>
      <c r="D55" t="inlineStr">
        <is>
          <t>Large Pelagics</t>
        </is>
      </c>
      <c r="E55" t="n">
        <v>106.362581</v>
      </c>
      <c r="F55" t="n">
        <v>1182.417917</v>
      </c>
      <c r="G55" t="n">
        <v>130.579526</v>
      </c>
      <c r="H55" t="n">
        <v>655.098468</v>
      </c>
      <c r="I55" t="n">
        <v>848.885192</v>
      </c>
      <c r="J55" t="n">
        <v>883.261112</v>
      </c>
      <c r="K55" t="n">
        <v>865.5958890000001</v>
      </c>
      <c r="L55" t="n">
        <v>1961.116323</v>
      </c>
      <c r="M55" t="n">
        <v>1961.116323</v>
      </c>
      <c r="N55" t="n">
        <v>1961.116323</v>
      </c>
      <c r="O55" t="n">
        <v>1097.797369</v>
      </c>
      <c r="P55" t="n">
        <v>300.80342</v>
      </c>
      <c r="Q55" t="n">
        <v>1961.116323</v>
      </c>
      <c r="R55" t="n">
        <v>1961.116323</v>
      </c>
      <c r="S55" t="n">
        <v>1097.797369</v>
      </c>
      <c r="T55" t="n">
        <v>1097.797369</v>
      </c>
      <c r="U55" t="n">
        <v>300.80342</v>
      </c>
      <c r="V55" t="n">
        <v>300.80342</v>
      </c>
      <c r="W55" t="n">
        <v>1171.90733</v>
      </c>
      <c r="X55" t="n">
        <v>2200.248768</v>
      </c>
    </row>
    <row r="56">
      <c r="A56" t="inlineStr">
        <is>
          <t>Lethrinus nebulosus</t>
        </is>
      </c>
      <c r="B56" t="n">
        <v>3.76</v>
      </c>
      <c r="C56" t="n">
        <v>575.439937</v>
      </c>
      <c r="D56" t="inlineStr">
        <is>
          <t>Large Benthic Carnivores</t>
        </is>
      </c>
      <c r="E56" t="n">
        <v>106.362581</v>
      </c>
      <c r="F56" t="n">
        <v>1113.102078</v>
      </c>
      <c r="G56" t="n">
        <v>125.259096</v>
      </c>
      <c r="H56" t="n">
        <v>249.981248</v>
      </c>
      <c r="I56" t="n">
        <v>421.749845</v>
      </c>
      <c r="J56" t="n">
        <v>575.638232</v>
      </c>
      <c r="K56" t="n">
        <v>564.125467</v>
      </c>
      <c r="L56" t="n">
        <v>1114.691652</v>
      </c>
      <c r="M56" t="n">
        <v>1114.691652</v>
      </c>
      <c r="N56" t="n">
        <v>1114.691652</v>
      </c>
      <c r="O56" t="n">
        <v>635.9376559999999</v>
      </c>
      <c r="P56" t="n">
        <v>217.238675</v>
      </c>
      <c r="Q56" t="n">
        <v>1114.691652</v>
      </c>
      <c r="R56" t="n">
        <v>1114.691652</v>
      </c>
      <c r="S56" t="n">
        <v>635.9376559999999</v>
      </c>
      <c r="T56" t="n">
        <v>635.9376559999999</v>
      </c>
      <c r="U56" t="n">
        <v>217.238675</v>
      </c>
      <c r="V56" t="n">
        <v>217.238675</v>
      </c>
      <c r="W56" t="n">
        <v>686.067599</v>
      </c>
      <c r="X56" t="n">
        <v>1252.543178</v>
      </c>
    </row>
    <row r="57">
      <c r="A57" t="inlineStr">
        <is>
          <t>Lethrinidae</t>
        </is>
      </c>
      <c r="B57" t="n">
        <v>3.59</v>
      </c>
      <c r="C57" t="n">
        <v>389.045145</v>
      </c>
      <c r="D57" t="inlineStr">
        <is>
          <t>Large Benthic Carnivores</t>
        </is>
      </c>
      <c r="E57" t="n">
        <v>106.362581</v>
      </c>
      <c r="F57" t="n">
        <v>1113.102078</v>
      </c>
      <c r="G57" t="n">
        <v>125.259096</v>
      </c>
      <c r="H57" t="n">
        <v>249.981248</v>
      </c>
      <c r="I57" t="n">
        <v>421.749845</v>
      </c>
      <c r="J57" t="n">
        <v>575.638232</v>
      </c>
      <c r="K57" t="n">
        <v>564.125467</v>
      </c>
      <c r="L57" t="n">
        <v>1114.691652</v>
      </c>
      <c r="M57" t="n">
        <v>1114.691652</v>
      </c>
      <c r="N57" t="n">
        <v>1114.691652</v>
      </c>
      <c r="O57" t="n">
        <v>635.9376559999999</v>
      </c>
      <c r="P57" t="n">
        <v>217.238675</v>
      </c>
      <c r="Q57" t="n">
        <v>1114.691652</v>
      </c>
      <c r="R57" t="n">
        <v>1114.691652</v>
      </c>
      <c r="S57" t="n">
        <v>635.9376559999999</v>
      </c>
      <c r="T57" t="n">
        <v>635.9376559999999</v>
      </c>
      <c r="U57" t="n">
        <v>217.238675</v>
      </c>
      <c r="V57" t="n">
        <v>217.238675</v>
      </c>
      <c r="W57" t="n">
        <v>686.067599</v>
      </c>
      <c r="X57" t="n">
        <v>1252.543178</v>
      </c>
    </row>
    <row r="58">
      <c r="A58" t="inlineStr">
        <is>
          <t>Sardinella sindensis</t>
        </is>
      </c>
      <c r="B58" t="n">
        <v>2.9</v>
      </c>
      <c r="C58" t="n">
        <v>79.432823</v>
      </c>
      <c r="D58" t="inlineStr">
        <is>
          <t>Clupeids</t>
        </is>
      </c>
      <c r="E58" t="n">
        <v>106.362581</v>
      </c>
      <c r="F58" t="n">
        <v>88.561632</v>
      </c>
      <c r="G58" t="n">
        <v>21.920534</v>
      </c>
      <c r="H58" t="n">
        <v>63.185331</v>
      </c>
      <c r="I58" t="n">
        <v>125.502905</v>
      </c>
      <c r="J58" t="n">
        <v>125.502905</v>
      </c>
      <c r="K58" t="n">
        <v>122.867344</v>
      </c>
      <c r="L58" t="n">
        <v>135.671609</v>
      </c>
      <c r="M58" t="n">
        <v>135.671609</v>
      </c>
      <c r="N58" t="n">
        <v>135.671609</v>
      </c>
      <c r="O58" t="n">
        <v>106.962478</v>
      </c>
      <c r="P58" t="n">
        <v>52.045425</v>
      </c>
      <c r="Q58" t="n">
        <v>135.671609</v>
      </c>
      <c r="R58" t="n">
        <v>135.671609</v>
      </c>
      <c r="S58" t="n">
        <v>106.962478</v>
      </c>
      <c r="T58" t="n">
        <v>106.962478</v>
      </c>
      <c r="U58" t="n">
        <v>52.045425</v>
      </c>
      <c r="V58" t="n">
        <v>52.045425</v>
      </c>
      <c r="W58" t="n">
        <v>110.161718</v>
      </c>
      <c r="X58" t="n">
        <v>144.77438</v>
      </c>
    </row>
    <row r="59">
      <c r="A59" t="inlineStr">
        <is>
          <t>Sphyraena</t>
        </is>
      </c>
      <c r="B59" t="n">
        <v>4.4</v>
      </c>
      <c r="C59" t="n">
        <v>2511.886432</v>
      </c>
      <c r="D59" t="inlineStr">
        <is>
          <t>Large Pelagics</t>
        </is>
      </c>
      <c r="E59" t="n">
        <v>106.362581</v>
      </c>
      <c r="F59" t="n">
        <v>1182.417917</v>
      </c>
      <c r="G59" t="n">
        <v>130.579526</v>
      </c>
      <c r="H59" t="n">
        <v>655.098468</v>
      </c>
      <c r="I59" t="n">
        <v>848.885192</v>
      </c>
      <c r="J59" t="n">
        <v>883.261112</v>
      </c>
      <c r="K59" t="n">
        <v>865.5958890000001</v>
      </c>
      <c r="L59" t="n">
        <v>1961.116323</v>
      </c>
      <c r="M59" t="n">
        <v>1961.116323</v>
      </c>
      <c r="N59" t="n">
        <v>1961.116323</v>
      </c>
      <c r="O59" t="n">
        <v>1097.797369</v>
      </c>
      <c r="P59" t="n">
        <v>300.80342</v>
      </c>
      <c r="Q59" t="n">
        <v>1961.116323</v>
      </c>
      <c r="R59" t="n">
        <v>1961.116323</v>
      </c>
      <c r="S59" t="n">
        <v>1097.797369</v>
      </c>
      <c r="T59" t="n">
        <v>1097.797369</v>
      </c>
      <c r="U59" t="n">
        <v>300.80342</v>
      </c>
      <c r="V59" t="n">
        <v>300.80342</v>
      </c>
      <c r="W59" t="n">
        <v>1171.90733</v>
      </c>
      <c r="X59" t="n">
        <v>2200.248768</v>
      </c>
    </row>
    <row r="60">
      <c r="A60" t="inlineStr">
        <is>
          <t>Scyphozoa</t>
        </is>
      </c>
      <c r="B60" t="n">
        <v>3.46</v>
      </c>
      <c r="C60" t="n">
        <v>288.40315</v>
      </c>
      <c r="D60" t="inlineStr">
        <is>
          <t>Micro Nekton</t>
        </is>
      </c>
      <c r="E60" t="n">
        <v>106.362581</v>
      </c>
      <c r="F60" t="n">
        <v>169.184545</v>
      </c>
      <c r="G60" t="n">
        <v>34.23133</v>
      </c>
      <c r="H60" t="n">
        <v>53.056441</v>
      </c>
      <c r="I60" t="n">
        <v>117.681204</v>
      </c>
      <c r="J60" t="n">
        <v>117.681204</v>
      </c>
      <c r="K60" t="n">
        <v>91.555977</v>
      </c>
      <c r="L60" t="n">
        <v>131.142973</v>
      </c>
      <c r="M60" t="n">
        <v>131.142973</v>
      </c>
      <c r="N60" t="n">
        <v>131.142973</v>
      </c>
      <c r="O60" t="n">
        <v>96.50135899999999</v>
      </c>
      <c r="P60" t="n">
        <v>51.765447</v>
      </c>
      <c r="Q60" t="n">
        <v>131.142973</v>
      </c>
      <c r="R60" t="n">
        <v>131.142973</v>
      </c>
      <c r="S60" t="n">
        <v>96.50135899999999</v>
      </c>
      <c r="T60" t="n">
        <v>96.50135899999999</v>
      </c>
      <c r="U60" t="n">
        <v>51.765447</v>
      </c>
      <c r="V60" t="n">
        <v>51.765447</v>
      </c>
      <c r="W60" t="n">
        <v>99.732336</v>
      </c>
      <c r="X60" t="n">
        <v>139.39598</v>
      </c>
    </row>
    <row r="61">
      <c r="A61" t="inlineStr">
        <is>
          <t>Euthynnus affinis</t>
        </is>
      </c>
      <c r="B61" t="n">
        <v>4.5</v>
      </c>
      <c r="C61" t="n">
        <v>3162.27766</v>
      </c>
      <c r="D61" t="inlineStr">
        <is>
          <t>Tunas</t>
        </is>
      </c>
      <c r="E61" t="n">
        <v>106.362581</v>
      </c>
      <c r="F61" t="n">
        <v>1377.951482</v>
      </c>
      <c r="G61" t="n">
        <v>145.091076</v>
      </c>
      <c r="H61" t="n">
        <v>354.016089</v>
      </c>
      <c r="I61" t="n">
        <v>804.627355</v>
      </c>
      <c r="J61" t="n">
        <v>818.1011109999999</v>
      </c>
      <c r="K61" t="n">
        <v>575.125081</v>
      </c>
      <c r="L61" t="n">
        <v>970.782826</v>
      </c>
      <c r="M61" t="n">
        <v>970.782826</v>
      </c>
      <c r="N61" t="n">
        <v>970.782826</v>
      </c>
      <c r="O61" t="n">
        <v>487.056907</v>
      </c>
      <c r="P61" t="n">
        <v>182.863315</v>
      </c>
      <c r="Q61" t="n">
        <v>970.782826</v>
      </c>
      <c r="R61" t="n">
        <v>970.782826</v>
      </c>
      <c r="S61" t="n">
        <v>487.056907</v>
      </c>
      <c r="T61" t="n">
        <v>487.056907</v>
      </c>
      <c r="U61" t="n">
        <v>182.863315</v>
      </c>
      <c r="V61" t="n">
        <v>182.863315</v>
      </c>
      <c r="W61" t="n">
        <v>514.9785419999999</v>
      </c>
      <c r="X61" t="n">
        <v>1083.073415</v>
      </c>
    </row>
    <row r="62">
      <c r="A62" t="inlineStr">
        <is>
          <t>Dendrobranchiata</t>
        </is>
      </c>
      <c r="B62" t="n">
        <v>3.24</v>
      </c>
      <c r="C62" t="n">
        <v>173.780083</v>
      </c>
      <c r="D62" t="inlineStr">
        <is>
          <t>Shrimps</t>
        </is>
      </c>
      <c r="E62" t="n">
        <v>106.362581</v>
      </c>
      <c r="F62" t="n">
        <v>102.724644</v>
      </c>
      <c r="G62" t="n">
        <v>24.278186</v>
      </c>
      <c r="H62" t="n">
        <v>49.254496</v>
      </c>
      <c r="I62" t="n">
        <v>47.332503</v>
      </c>
      <c r="J62" t="n">
        <v>47.332503</v>
      </c>
      <c r="K62" t="n">
        <v>46.385853</v>
      </c>
      <c r="L62" t="n">
        <v>49.861086</v>
      </c>
      <c r="M62" t="n">
        <v>49.861086</v>
      </c>
      <c r="N62" t="n">
        <v>49.861086</v>
      </c>
      <c r="O62" t="n">
        <v>41.277787</v>
      </c>
      <c r="P62" t="n">
        <v>24.793452</v>
      </c>
      <c r="Q62" t="n">
        <v>49.861086</v>
      </c>
      <c r="R62" t="n">
        <v>49.861086</v>
      </c>
      <c r="S62" t="n">
        <v>41.277787</v>
      </c>
      <c r="T62" t="n">
        <v>41.277787</v>
      </c>
      <c r="U62" t="n">
        <v>24.793452</v>
      </c>
      <c r="V62" t="n">
        <v>24.793452</v>
      </c>
      <c r="W62" t="n">
        <v>43.911832</v>
      </c>
      <c r="X62" t="n">
        <v>53.47357</v>
      </c>
    </row>
    <row r="63">
      <c r="A63" t="inlineStr">
        <is>
          <t>Marine pelagic fishes not identified</t>
        </is>
      </c>
      <c r="B63" t="n">
        <v>3.35</v>
      </c>
      <c r="C63" t="n">
        <v>223.872114</v>
      </c>
      <c r="D63" t="inlineStr">
        <is>
          <t>Clupeids | Anchovies | Mackerel | Small Benthopelagics</t>
        </is>
      </c>
      <c r="E63" t="n">
        <v>106.362581</v>
      </c>
      <c r="F63" t="n">
        <v>162.52181</v>
      </c>
      <c r="G63" t="n">
        <v>29.018599</v>
      </c>
      <c r="H63" t="n">
        <v>77.43941599999999</v>
      </c>
      <c r="I63" t="n">
        <v>214.42313</v>
      </c>
      <c r="J63" t="n">
        <v>220.25059</v>
      </c>
      <c r="K63" t="n">
        <v>215.464719</v>
      </c>
      <c r="L63" t="n">
        <v>270.2023</v>
      </c>
      <c r="M63" t="n">
        <v>270.2023</v>
      </c>
      <c r="N63" t="n">
        <v>270.2023</v>
      </c>
      <c r="O63" t="n">
        <v>189.441403</v>
      </c>
      <c r="P63" t="n">
        <v>82.198425</v>
      </c>
      <c r="Q63" t="n">
        <v>270.2023</v>
      </c>
      <c r="R63" t="n">
        <v>270.2023</v>
      </c>
      <c r="S63" t="n">
        <v>189.441403</v>
      </c>
      <c r="T63" t="n">
        <v>189.441403</v>
      </c>
      <c r="U63" t="n">
        <v>82.198425</v>
      </c>
      <c r="V63" t="n">
        <v>82.198425</v>
      </c>
      <c r="W63" t="n">
        <v>197.115823</v>
      </c>
      <c r="X63" t="n">
        <v>294.853782</v>
      </c>
    </row>
    <row r="64">
      <c r="A64" t="inlineStr">
        <is>
          <t>Pampus</t>
        </is>
      </c>
      <c r="B64" t="n">
        <v>3.41</v>
      </c>
      <c r="C64" t="n">
        <v>257.039578</v>
      </c>
      <c r="D64" t="inlineStr">
        <is>
          <t>Med Benthic Carnivores</t>
        </is>
      </c>
      <c r="E64" t="n">
        <v>106.362581</v>
      </c>
      <c r="F64" t="n">
        <v>153.506319</v>
      </c>
      <c r="G64" t="n">
        <v>32.014124</v>
      </c>
      <c r="H64" t="n">
        <v>100.68782</v>
      </c>
      <c r="I64" t="n">
        <v>159.061371</v>
      </c>
      <c r="J64" t="n">
        <v>159.061371</v>
      </c>
      <c r="K64" t="n">
        <v>156.039205</v>
      </c>
      <c r="L64" t="n">
        <v>198.208223</v>
      </c>
      <c r="M64" t="n">
        <v>198.208223</v>
      </c>
      <c r="N64" t="n">
        <v>198.208223</v>
      </c>
      <c r="O64" t="n">
        <v>116.373231</v>
      </c>
      <c r="P64" t="n">
        <v>56.490526</v>
      </c>
      <c r="Q64" t="n">
        <v>198.208223</v>
      </c>
      <c r="R64" t="n">
        <v>198.208223</v>
      </c>
      <c r="S64" t="n">
        <v>116.373231</v>
      </c>
      <c r="T64" t="n">
        <v>116.373231</v>
      </c>
      <c r="U64" t="n">
        <v>56.490526</v>
      </c>
      <c r="V64" t="n">
        <v>56.490526</v>
      </c>
      <c r="W64" t="n">
        <v>120.80197</v>
      </c>
      <c r="X64" t="n">
        <v>213.813007</v>
      </c>
    </row>
    <row r="65">
      <c r="A65" t="inlineStr">
        <is>
          <t>Bramidae</t>
        </is>
      </c>
      <c r="B65" t="n">
        <v>4.14</v>
      </c>
      <c r="C65" t="n">
        <v>1380.384265</v>
      </c>
      <c r="D65" t="inlineStr">
        <is>
          <t>Large Benthopelagics</t>
        </is>
      </c>
      <c r="E65" t="n">
        <v>106.362581</v>
      </c>
      <c r="F65" t="n">
        <v>1254.298198</v>
      </c>
      <c r="G65" t="n">
        <v>135.995167</v>
      </c>
      <c r="H65" t="n">
        <v>530.875777</v>
      </c>
      <c r="I65" t="n">
        <v>1013.570171</v>
      </c>
      <c r="J65" t="n">
        <v>1067.730872</v>
      </c>
      <c r="K65" t="n">
        <v>1046.376254</v>
      </c>
      <c r="L65" t="n">
        <v>1918.226529</v>
      </c>
      <c r="M65" t="n">
        <v>1918.226529</v>
      </c>
      <c r="N65" t="n">
        <v>1918.226529</v>
      </c>
      <c r="O65" t="n">
        <v>1111.682878</v>
      </c>
      <c r="P65" t="n">
        <v>334.624507</v>
      </c>
      <c r="Q65" t="n">
        <v>1918.226529</v>
      </c>
      <c r="R65" t="n">
        <v>1918.226529</v>
      </c>
      <c r="S65" t="n">
        <v>1111.682878</v>
      </c>
      <c r="T65" t="n">
        <v>1111.682878</v>
      </c>
      <c r="U65" t="n">
        <v>334.624507</v>
      </c>
      <c r="V65" t="n">
        <v>334.624507</v>
      </c>
      <c r="W65" t="n">
        <v>1176.051346</v>
      </c>
      <c r="X65" t="n">
        <v>2155.084899</v>
      </c>
    </row>
    <row r="66">
      <c r="A66" t="inlineStr">
        <is>
          <t>Scomberoides lysan</t>
        </is>
      </c>
      <c r="B66" t="n">
        <v>4.38</v>
      </c>
      <c r="C66" t="n">
        <v>2398.832919</v>
      </c>
      <c r="D66" t="inlineStr">
        <is>
          <t>Large Benthopelagics</t>
        </is>
      </c>
      <c r="E66" t="n">
        <v>106.362581</v>
      </c>
      <c r="F66" t="n">
        <v>1254.298198</v>
      </c>
      <c r="G66" t="n">
        <v>135.995167</v>
      </c>
      <c r="H66" t="n">
        <v>530.875777</v>
      </c>
      <c r="I66" t="n">
        <v>1013.570171</v>
      </c>
      <c r="J66" t="n">
        <v>1067.730872</v>
      </c>
      <c r="K66" t="n">
        <v>1046.376254</v>
      </c>
      <c r="L66" t="n">
        <v>1918.226529</v>
      </c>
      <c r="M66" t="n">
        <v>1918.226529</v>
      </c>
      <c r="N66" t="n">
        <v>1918.226529</v>
      </c>
      <c r="O66" t="n">
        <v>1111.682878</v>
      </c>
      <c r="P66" t="n">
        <v>334.624507</v>
      </c>
      <c r="Q66" t="n">
        <v>1918.226529</v>
      </c>
      <c r="R66" t="n">
        <v>1918.226529</v>
      </c>
      <c r="S66" t="n">
        <v>1111.682878</v>
      </c>
      <c r="T66" t="n">
        <v>1111.682878</v>
      </c>
      <c r="U66" t="n">
        <v>334.624507</v>
      </c>
      <c r="V66" t="n">
        <v>334.624507</v>
      </c>
      <c r="W66" t="n">
        <v>1176.051346</v>
      </c>
      <c r="X66" t="n">
        <v>2155.084899</v>
      </c>
    </row>
    <row r="67">
      <c r="A67" t="inlineStr">
        <is>
          <t>Nemipterus japonicus</t>
        </is>
      </c>
      <c r="B67" t="n">
        <v>3.77</v>
      </c>
      <c r="C67" t="n">
        <v>588.843655</v>
      </c>
      <c r="D67" t="inlineStr">
        <is>
          <t>Small Benthic Carnivores</t>
        </is>
      </c>
      <c r="E67" t="n">
        <v>106.362581</v>
      </c>
      <c r="F67" t="n">
        <v>47.875255</v>
      </c>
      <c r="G67" t="n">
        <v>14.351766</v>
      </c>
      <c r="H67" t="n">
        <v>47.936313</v>
      </c>
      <c r="I67" t="n">
        <v>123.68277</v>
      </c>
      <c r="J67" t="n">
        <v>123.68277</v>
      </c>
      <c r="K67" t="n">
        <v>121.085432</v>
      </c>
      <c r="L67" t="n">
        <v>160.705061</v>
      </c>
      <c r="M67" t="n">
        <v>160.705061</v>
      </c>
      <c r="N67" t="n">
        <v>160.705061</v>
      </c>
      <c r="O67" t="n">
        <v>86.69575</v>
      </c>
      <c r="P67" t="n">
        <v>48.551122</v>
      </c>
      <c r="Q67" t="n">
        <v>160.705061</v>
      </c>
      <c r="R67" t="n">
        <v>160.705061</v>
      </c>
      <c r="S67" t="n">
        <v>86.69575</v>
      </c>
      <c r="T67" t="n">
        <v>86.69575</v>
      </c>
      <c r="U67" t="n">
        <v>48.551122</v>
      </c>
      <c r="V67" t="n">
        <v>48.551122</v>
      </c>
      <c r="W67" t="n">
        <v>90.428786</v>
      </c>
      <c r="X67" t="n">
        <v>169.279514</v>
      </c>
    </row>
    <row r="68">
      <c r="A68" t="inlineStr">
        <is>
          <t>Thryssa dussumieri</t>
        </is>
      </c>
      <c r="B68" t="n">
        <v>2.82</v>
      </c>
      <c r="C68" t="n">
        <v>66.069345</v>
      </c>
      <c r="D68" t="inlineStr">
        <is>
          <t>Clupeids</t>
        </is>
      </c>
      <c r="E68" t="n">
        <v>106.362581</v>
      </c>
      <c r="F68" t="n">
        <v>88.561632</v>
      </c>
      <c r="G68" t="n">
        <v>21.920534</v>
      </c>
      <c r="H68" t="n">
        <v>63.185331</v>
      </c>
      <c r="I68" t="n">
        <v>125.502905</v>
      </c>
      <c r="J68" t="n">
        <v>125.502905</v>
      </c>
      <c r="K68" t="n">
        <v>122.867344</v>
      </c>
      <c r="L68" t="n">
        <v>135.671609</v>
      </c>
      <c r="M68" t="n">
        <v>135.671609</v>
      </c>
      <c r="N68" t="n">
        <v>135.671609</v>
      </c>
      <c r="O68" t="n">
        <v>106.962478</v>
      </c>
      <c r="P68" t="n">
        <v>52.045425</v>
      </c>
      <c r="Q68" t="n">
        <v>135.671609</v>
      </c>
      <c r="R68" t="n">
        <v>135.671609</v>
      </c>
      <c r="S68" t="n">
        <v>106.962478</v>
      </c>
      <c r="T68" t="n">
        <v>106.962478</v>
      </c>
      <c r="U68" t="n">
        <v>52.045425</v>
      </c>
      <c r="V68" t="n">
        <v>52.045425</v>
      </c>
      <c r="W68" t="n">
        <v>110.161718</v>
      </c>
      <c r="X68" t="n">
        <v>144.77438</v>
      </c>
    </row>
    <row r="69">
      <c r="A69" t="inlineStr">
        <is>
          <t>Pomadasys stridens</t>
        </is>
      </c>
      <c r="B69" t="n">
        <v>4.02</v>
      </c>
      <c r="C69" t="n">
        <v>1047.128548</v>
      </c>
      <c r="D69" t="inlineStr">
        <is>
          <t>Med Benthic Carnivores</t>
        </is>
      </c>
      <c r="E69" t="n">
        <v>106.362581</v>
      </c>
      <c r="F69" t="n">
        <v>153.506319</v>
      </c>
      <c r="G69" t="n">
        <v>32.014124</v>
      </c>
      <c r="H69" t="n">
        <v>100.68782</v>
      </c>
      <c r="I69" t="n">
        <v>159.061371</v>
      </c>
      <c r="J69" t="n">
        <v>159.061371</v>
      </c>
      <c r="K69" t="n">
        <v>156.039205</v>
      </c>
      <c r="L69" t="n">
        <v>198.208223</v>
      </c>
      <c r="M69" t="n">
        <v>198.208223</v>
      </c>
      <c r="N69" t="n">
        <v>198.208223</v>
      </c>
      <c r="O69" t="n">
        <v>116.373231</v>
      </c>
      <c r="P69" t="n">
        <v>56.490526</v>
      </c>
      <c r="Q69" t="n">
        <v>198.208223</v>
      </c>
      <c r="R69" t="n">
        <v>198.208223</v>
      </c>
      <c r="S69" t="n">
        <v>116.373231</v>
      </c>
      <c r="T69" t="n">
        <v>116.373231</v>
      </c>
      <c r="U69" t="n">
        <v>56.490526</v>
      </c>
      <c r="V69" t="n">
        <v>56.490526</v>
      </c>
      <c r="W69" t="n">
        <v>120.80197</v>
      </c>
      <c r="X69" t="n">
        <v>213.813007</v>
      </c>
    </row>
    <row r="70">
      <c r="A70" t="inlineStr">
        <is>
          <t>Epinephelus</t>
        </is>
      </c>
      <c r="B70" t="n">
        <v>3.84</v>
      </c>
      <c r="C70" t="n">
        <v>691.830971</v>
      </c>
      <c r="D70" t="inlineStr">
        <is>
          <t>Large Benthic Carnivores</t>
        </is>
      </c>
      <c r="E70" t="n">
        <v>106.362581</v>
      </c>
      <c r="F70" t="n">
        <v>1113.102078</v>
      </c>
      <c r="G70" t="n">
        <v>125.259096</v>
      </c>
      <c r="H70" t="n">
        <v>249.981248</v>
      </c>
      <c r="I70" t="n">
        <v>421.749845</v>
      </c>
      <c r="J70" t="n">
        <v>575.638232</v>
      </c>
      <c r="K70" t="n">
        <v>564.125467</v>
      </c>
      <c r="L70" t="n">
        <v>1114.691652</v>
      </c>
      <c r="M70" t="n">
        <v>1114.691652</v>
      </c>
      <c r="N70" t="n">
        <v>1114.691652</v>
      </c>
      <c r="O70" t="n">
        <v>635.9376559999999</v>
      </c>
      <c r="P70" t="n">
        <v>217.238675</v>
      </c>
      <c r="Q70" t="n">
        <v>1114.691652</v>
      </c>
      <c r="R70" t="n">
        <v>1114.691652</v>
      </c>
      <c r="S70" t="n">
        <v>635.9376559999999</v>
      </c>
      <c r="T70" t="n">
        <v>635.9376559999999</v>
      </c>
      <c r="U70" t="n">
        <v>217.238675</v>
      </c>
      <c r="V70" t="n">
        <v>217.238675</v>
      </c>
      <c r="W70" t="n">
        <v>686.067599</v>
      </c>
      <c r="X70" t="n">
        <v>1252.543178</v>
      </c>
    </row>
    <row r="71">
      <c r="A71" t="inlineStr">
        <is>
          <t>Mullidae</t>
        </is>
      </c>
      <c r="B71" t="n">
        <v>3.46</v>
      </c>
      <c r="C71" t="n">
        <v>288.40315</v>
      </c>
      <c r="D71" t="inlineStr">
        <is>
          <t>Small Benthic Carnivores</t>
        </is>
      </c>
      <c r="E71" t="n">
        <v>106.362581</v>
      </c>
      <c r="F71" t="n">
        <v>47.875255</v>
      </c>
      <c r="G71" t="n">
        <v>14.351766</v>
      </c>
      <c r="H71" t="n">
        <v>47.936313</v>
      </c>
      <c r="I71" t="n">
        <v>123.68277</v>
      </c>
      <c r="J71" t="n">
        <v>123.68277</v>
      </c>
      <c r="K71" t="n">
        <v>121.085432</v>
      </c>
      <c r="L71" t="n">
        <v>160.705061</v>
      </c>
      <c r="M71" t="n">
        <v>160.705061</v>
      </c>
      <c r="N71" t="n">
        <v>160.705061</v>
      </c>
      <c r="O71" t="n">
        <v>86.69575</v>
      </c>
      <c r="P71" t="n">
        <v>48.551122</v>
      </c>
      <c r="Q71" t="n">
        <v>160.705061</v>
      </c>
      <c r="R71" t="n">
        <v>160.705061</v>
      </c>
      <c r="S71" t="n">
        <v>86.69575</v>
      </c>
      <c r="T71" t="n">
        <v>86.69575</v>
      </c>
      <c r="U71" t="n">
        <v>48.551122</v>
      </c>
      <c r="V71" t="n">
        <v>48.551122</v>
      </c>
      <c r="W71" t="n">
        <v>90.428786</v>
      </c>
      <c r="X71" t="n">
        <v>169.279514</v>
      </c>
    </row>
    <row r="72">
      <c r="A72" t="inlineStr">
        <is>
          <t>Siganidae</t>
        </is>
      </c>
      <c r="B72" t="n">
        <v>2.11</v>
      </c>
      <c r="C72" t="n">
        <v>12.882496</v>
      </c>
      <c r="D72" t="inlineStr">
        <is>
          <t>Benthic Omnivores</t>
        </is>
      </c>
      <c r="E72" t="n">
        <v>106.362581</v>
      </c>
      <c r="F72" t="n">
        <v>34.853983</v>
      </c>
      <c r="G72" t="n">
        <v>11.533933</v>
      </c>
      <c r="H72" t="n">
        <v>23.954598</v>
      </c>
      <c r="I72" t="n">
        <v>122.110584</v>
      </c>
      <c r="J72" t="n">
        <v>122.110584</v>
      </c>
      <c r="K72" t="n">
        <v>119.668372</v>
      </c>
      <c r="L72" t="n">
        <v>234.326211</v>
      </c>
      <c r="M72" t="n">
        <v>234.326211</v>
      </c>
      <c r="N72" t="n">
        <v>234.326211</v>
      </c>
      <c r="O72" t="n">
        <v>32.574396</v>
      </c>
      <c r="P72" t="n">
        <v>28.191927</v>
      </c>
      <c r="Q72" t="n">
        <v>234.326211</v>
      </c>
      <c r="R72" t="n">
        <v>234.326211</v>
      </c>
      <c r="S72" t="n">
        <v>32.574396</v>
      </c>
      <c r="T72" t="n">
        <v>32.574396</v>
      </c>
      <c r="U72" t="n">
        <v>28.191927</v>
      </c>
      <c r="V72" t="n">
        <v>28.191927</v>
      </c>
      <c r="W72" t="n">
        <v>34.709256</v>
      </c>
      <c r="X72" t="n">
        <v>257.01226</v>
      </c>
    </row>
    <row r="73">
      <c r="A73" t="inlineStr">
        <is>
          <t>Nematalosa nasus</t>
        </is>
      </c>
      <c r="B73" t="n">
        <v>2.67</v>
      </c>
      <c r="C73" t="n">
        <v>46.773514</v>
      </c>
      <c r="D73" t="inlineStr">
        <is>
          <t>Clupeids</t>
        </is>
      </c>
      <c r="E73" t="n">
        <v>106.362581</v>
      </c>
      <c r="F73" t="n">
        <v>88.561632</v>
      </c>
      <c r="G73" t="n">
        <v>21.920534</v>
      </c>
      <c r="H73" t="n">
        <v>63.185331</v>
      </c>
      <c r="I73" t="n">
        <v>125.502905</v>
      </c>
      <c r="J73" t="n">
        <v>125.502905</v>
      </c>
      <c r="K73" t="n">
        <v>122.867344</v>
      </c>
      <c r="L73" t="n">
        <v>135.671609</v>
      </c>
      <c r="M73" t="n">
        <v>135.671609</v>
      </c>
      <c r="N73" t="n">
        <v>135.671609</v>
      </c>
      <c r="O73" t="n">
        <v>106.962478</v>
      </c>
      <c r="P73" t="n">
        <v>52.045425</v>
      </c>
      <c r="Q73" t="n">
        <v>135.671609</v>
      </c>
      <c r="R73" t="n">
        <v>135.671609</v>
      </c>
      <c r="S73" t="n">
        <v>106.962478</v>
      </c>
      <c r="T73" t="n">
        <v>106.962478</v>
      </c>
      <c r="U73" t="n">
        <v>52.045425</v>
      </c>
      <c r="V73" t="n">
        <v>52.045425</v>
      </c>
      <c r="W73" t="n">
        <v>110.161718</v>
      </c>
      <c r="X73" t="n">
        <v>144.77438</v>
      </c>
    </row>
    <row r="74">
      <c r="A74" t="inlineStr">
        <is>
          <t>Scomberoides</t>
        </is>
      </c>
      <c r="B74" t="n">
        <v>4.47</v>
      </c>
      <c r="C74" t="n">
        <v>2951.209227</v>
      </c>
      <c r="D74" t="inlineStr">
        <is>
          <t>Large Benthopelagics</t>
        </is>
      </c>
      <c r="E74" t="n">
        <v>106.362581</v>
      </c>
      <c r="F74" t="n">
        <v>1254.298198</v>
      </c>
      <c r="G74" t="n">
        <v>135.995167</v>
      </c>
      <c r="H74" t="n">
        <v>530.875777</v>
      </c>
      <c r="I74" t="n">
        <v>1013.570171</v>
      </c>
      <c r="J74" t="n">
        <v>1067.730872</v>
      </c>
      <c r="K74" t="n">
        <v>1046.376254</v>
      </c>
      <c r="L74" t="n">
        <v>1918.226529</v>
      </c>
      <c r="M74" t="n">
        <v>1918.226529</v>
      </c>
      <c r="N74" t="n">
        <v>1918.226529</v>
      </c>
      <c r="O74" t="n">
        <v>1111.682878</v>
      </c>
      <c r="P74" t="n">
        <v>334.624507</v>
      </c>
      <c r="Q74" t="n">
        <v>1918.226529</v>
      </c>
      <c r="R74" t="n">
        <v>1918.226529</v>
      </c>
      <c r="S74" t="n">
        <v>1111.682878</v>
      </c>
      <c r="T74" t="n">
        <v>1111.682878</v>
      </c>
      <c r="U74" t="n">
        <v>334.624507</v>
      </c>
      <c r="V74" t="n">
        <v>334.624507</v>
      </c>
      <c r="W74" t="n">
        <v>1176.051346</v>
      </c>
      <c r="X74" t="n">
        <v>2155.084899</v>
      </c>
    </row>
    <row r="75">
      <c r="A75" t="inlineStr">
        <is>
          <t>Sepia</t>
        </is>
      </c>
      <c r="B75" t="n">
        <v>3.69</v>
      </c>
      <c r="C75" t="n">
        <v>489.778819</v>
      </c>
      <c r="D75" t="inlineStr">
        <is>
          <t>Cephalopods</t>
        </is>
      </c>
      <c r="E75" t="n">
        <v>106.362581</v>
      </c>
      <c r="F75" t="n">
        <v>1254.312676</v>
      </c>
      <c r="G75" t="n">
        <v>135.996248</v>
      </c>
      <c r="H75" t="n">
        <v>384.963959</v>
      </c>
      <c r="I75" t="n">
        <v>1331.752693</v>
      </c>
      <c r="J75" t="n">
        <v>1334.257295</v>
      </c>
      <c r="K75" t="n">
        <v>1300.900862</v>
      </c>
      <c r="L75" t="n">
        <v>2933.853362</v>
      </c>
      <c r="M75" t="n">
        <v>2933.853362</v>
      </c>
      <c r="N75" t="n">
        <v>2933.853362</v>
      </c>
      <c r="O75" t="n">
        <v>1771.03868</v>
      </c>
      <c r="P75" t="n">
        <v>582.871532</v>
      </c>
      <c r="Q75" t="n">
        <v>2933.853362</v>
      </c>
      <c r="R75" t="n">
        <v>2933.853362</v>
      </c>
      <c r="S75" t="n">
        <v>1771.03868</v>
      </c>
      <c r="T75" t="n">
        <v>1771.03868</v>
      </c>
      <c r="U75" t="n">
        <v>582.871532</v>
      </c>
      <c r="V75" t="n">
        <v>582.871532</v>
      </c>
      <c r="W75" t="n">
        <v>1904.354617</v>
      </c>
      <c r="X75" t="n">
        <v>3263.675794</v>
      </c>
    </row>
    <row r="76">
      <c r="A76" t="inlineStr">
        <is>
          <t>Chirocentrus</t>
        </is>
      </c>
      <c r="B76" t="n">
        <v>4.3</v>
      </c>
      <c r="C76" t="n">
        <v>1995.262315</v>
      </c>
      <c r="D76" t="inlineStr">
        <is>
          <t>Large Benthopelagics</t>
        </is>
      </c>
      <c r="E76" t="n">
        <v>106.362581</v>
      </c>
      <c r="F76" t="n">
        <v>1254.298198</v>
      </c>
      <c r="G76" t="n">
        <v>135.995167</v>
      </c>
      <c r="H76" t="n">
        <v>530.875777</v>
      </c>
      <c r="I76" t="n">
        <v>1013.570171</v>
      </c>
      <c r="J76" t="n">
        <v>1067.730872</v>
      </c>
      <c r="K76" t="n">
        <v>1046.376254</v>
      </c>
      <c r="L76" t="n">
        <v>1918.226529</v>
      </c>
      <c r="M76" t="n">
        <v>1918.226529</v>
      </c>
      <c r="N76" t="n">
        <v>1918.226529</v>
      </c>
      <c r="O76" t="n">
        <v>1111.682878</v>
      </c>
      <c r="P76" t="n">
        <v>334.624507</v>
      </c>
      <c r="Q76" t="n">
        <v>1918.226529</v>
      </c>
      <c r="R76" t="n">
        <v>1918.226529</v>
      </c>
      <c r="S76" t="n">
        <v>1111.682878</v>
      </c>
      <c r="T76" t="n">
        <v>1111.682878</v>
      </c>
      <c r="U76" t="n">
        <v>334.624507</v>
      </c>
      <c r="V76" t="n">
        <v>334.624507</v>
      </c>
      <c r="W76" t="n">
        <v>1176.051346</v>
      </c>
      <c r="X76" t="n">
        <v>2155.084899</v>
      </c>
    </row>
    <row r="77">
      <c r="A77" t="inlineStr">
        <is>
          <t>Myliobatidae</t>
        </is>
      </c>
      <c r="B77" t="n">
        <v>3.36</v>
      </c>
      <c r="C77" t="n">
        <v>229.086765</v>
      </c>
      <c r="D77" t="inlineStr">
        <is>
          <t>Skates &amp; Rays</t>
        </is>
      </c>
      <c r="E77" t="n">
        <v>106.362581</v>
      </c>
      <c r="F77" t="n">
        <v>378.025577</v>
      </c>
      <c r="G77" t="n">
        <v>59.545879</v>
      </c>
      <c r="H77" t="n">
        <v>236.053692</v>
      </c>
      <c r="I77" t="n">
        <v>2128.450324</v>
      </c>
      <c r="J77" t="n">
        <v>2171.723686</v>
      </c>
      <c r="K77" t="n">
        <v>1300.862488</v>
      </c>
      <c r="L77" t="n">
        <v>3126.185669</v>
      </c>
      <c r="M77" t="n">
        <v>3126.185669</v>
      </c>
      <c r="N77" t="n">
        <v>3126.185669</v>
      </c>
      <c r="O77" t="n">
        <v>887.634307</v>
      </c>
      <c r="P77" t="n">
        <v>357.542004</v>
      </c>
      <c r="Q77" t="n">
        <v>3126.185669</v>
      </c>
      <c r="R77" t="n">
        <v>3126.185669</v>
      </c>
      <c r="S77" t="n">
        <v>887.634307</v>
      </c>
      <c r="T77" t="n">
        <v>887.634307</v>
      </c>
      <c r="U77" t="n">
        <v>357.542004</v>
      </c>
      <c r="V77" t="n">
        <v>357.542004</v>
      </c>
      <c r="W77" t="n">
        <v>926.257871</v>
      </c>
      <c r="X77" t="n">
        <v>3406.854319</v>
      </c>
    </row>
    <row r="78">
      <c r="A78" t="inlineStr">
        <is>
          <t>Sepia pharaonis</t>
        </is>
      </c>
      <c r="B78" t="n">
        <v>3.8</v>
      </c>
      <c r="C78" t="n">
        <v>630.957344</v>
      </c>
      <c r="D78" t="inlineStr">
        <is>
          <t>Cephalopods</t>
        </is>
      </c>
      <c r="E78" t="n">
        <v>106.362581</v>
      </c>
      <c r="F78" t="n">
        <v>1254.312676</v>
      </c>
      <c r="G78" t="n">
        <v>135.996248</v>
      </c>
      <c r="H78" t="n">
        <v>384.963959</v>
      </c>
      <c r="I78" t="n">
        <v>1331.752693</v>
      </c>
      <c r="J78" t="n">
        <v>1334.257295</v>
      </c>
      <c r="K78" t="n">
        <v>1300.900862</v>
      </c>
      <c r="L78" t="n">
        <v>2933.853362</v>
      </c>
      <c r="M78" t="n">
        <v>2933.853362</v>
      </c>
      <c r="N78" t="n">
        <v>2933.853362</v>
      </c>
      <c r="O78" t="n">
        <v>1771.03868</v>
      </c>
      <c r="P78" t="n">
        <v>582.871532</v>
      </c>
      <c r="Q78" t="n">
        <v>2933.853362</v>
      </c>
      <c r="R78" t="n">
        <v>2933.853362</v>
      </c>
      <c r="S78" t="n">
        <v>1771.03868</v>
      </c>
      <c r="T78" t="n">
        <v>1771.03868</v>
      </c>
      <c r="U78" t="n">
        <v>582.871532</v>
      </c>
      <c r="V78" t="n">
        <v>582.871532</v>
      </c>
      <c r="W78" t="n">
        <v>1904.354617</v>
      </c>
      <c r="X78" t="n">
        <v>3263.675794</v>
      </c>
    </row>
    <row r="79">
      <c r="A79" t="inlineStr">
        <is>
          <t>Polynemidae</t>
        </is>
      </c>
      <c r="B79" t="n">
        <v>3.62</v>
      </c>
      <c r="C79" t="n">
        <v>416.869383</v>
      </c>
      <c r="D79" t="inlineStr">
        <is>
          <t>Med Benthic Carnivores</t>
        </is>
      </c>
      <c r="E79" t="n">
        <v>106.362581</v>
      </c>
      <c r="F79" t="n">
        <v>153.506319</v>
      </c>
      <c r="G79" t="n">
        <v>32.014124</v>
      </c>
      <c r="H79" t="n">
        <v>100.68782</v>
      </c>
      <c r="I79" t="n">
        <v>159.061371</v>
      </c>
      <c r="J79" t="n">
        <v>159.061371</v>
      </c>
      <c r="K79" t="n">
        <v>156.039205</v>
      </c>
      <c r="L79" t="n">
        <v>198.208223</v>
      </c>
      <c r="M79" t="n">
        <v>198.208223</v>
      </c>
      <c r="N79" t="n">
        <v>198.208223</v>
      </c>
      <c r="O79" t="n">
        <v>116.373231</v>
      </c>
      <c r="P79" t="n">
        <v>56.490526</v>
      </c>
      <c r="Q79" t="n">
        <v>198.208223</v>
      </c>
      <c r="R79" t="n">
        <v>198.208223</v>
      </c>
      <c r="S79" t="n">
        <v>116.373231</v>
      </c>
      <c r="T79" t="n">
        <v>116.373231</v>
      </c>
      <c r="U79" t="n">
        <v>56.490526</v>
      </c>
      <c r="V79" t="n">
        <v>56.490526</v>
      </c>
      <c r="W79" t="n">
        <v>120.80197</v>
      </c>
      <c r="X79" t="n">
        <v>213.813007</v>
      </c>
    </row>
    <row r="80">
      <c r="A80" t="inlineStr">
        <is>
          <t>Anguilliformes</t>
        </is>
      </c>
      <c r="B80" t="n">
        <v>3.89</v>
      </c>
      <c r="C80" t="n">
        <v>776.247117</v>
      </c>
      <c r="D80" t="inlineStr">
        <is>
          <t>Large Benthic Carnivores</t>
        </is>
      </c>
      <c r="E80" t="n">
        <v>106.362581</v>
      </c>
      <c r="F80" t="n">
        <v>1113.102078</v>
      </c>
      <c r="G80" t="n">
        <v>125.259096</v>
      </c>
      <c r="H80" t="n">
        <v>249.981248</v>
      </c>
      <c r="I80" t="n">
        <v>421.749845</v>
      </c>
      <c r="J80" t="n">
        <v>575.638232</v>
      </c>
      <c r="K80" t="n">
        <v>564.125467</v>
      </c>
      <c r="L80" t="n">
        <v>1114.691652</v>
      </c>
      <c r="M80" t="n">
        <v>1114.691652</v>
      </c>
      <c r="N80" t="n">
        <v>1114.691652</v>
      </c>
      <c r="O80" t="n">
        <v>635.9376559999999</v>
      </c>
      <c r="P80" t="n">
        <v>217.238675</v>
      </c>
      <c r="Q80" t="n">
        <v>1114.691652</v>
      </c>
      <c r="R80" t="n">
        <v>1114.691652</v>
      </c>
      <c r="S80" t="n">
        <v>635.9376559999999</v>
      </c>
      <c r="T80" t="n">
        <v>635.9376559999999</v>
      </c>
      <c r="U80" t="n">
        <v>217.238675</v>
      </c>
      <c r="V80" t="n">
        <v>217.238675</v>
      </c>
      <c r="W80" t="n">
        <v>686.067599</v>
      </c>
      <c r="X80" t="n">
        <v>1252.543178</v>
      </c>
    </row>
    <row r="81">
      <c r="A81" t="inlineStr">
        <is>
          <t>Pampus argenteus</t>
        </is>
      </c>
      <c r="B81" t="n">
        <v>3.3</v>
      </c>
      <c r="C81" t="n">
        <v>199.526231</v>
      </c>
      <c r="D81" t="inlineStr">
        <is>
          <t>Med Benthic Carnivores</t>
        </is>
      </c>
      <c r="E81" t="n">
        <v>106.362581</v>
      </c>
      <c r="F81" t="n">
        <v>153.506319</v>
      </c>
      <c r="G81" t="n">
        <v>32.014124</v>
      </c>
      <c r="H81" t="n">
        <v>100.68782</v>
      </c>
      <c r="I81" t="n">
        <v>159.061371</v>
      </c>
      <c r="J81" t="n">
        <v>159.061371</v>
      </c>
      <c r="K81" t="n">
        <v>156.039205</v>
      </c>
      <c r="L81" t="n">
        <v>198.208223</v>
      </c>
      <c r="M81" t="n">
        <v>198.208223</v>
      </c>
      <c r="N81" t="n">
        <v>198.208223</v>
      </c>
      <c r="O81" t="n">
        <v>116.373231</v>
      </c>
      <c r="P81" t="n">
        <v>56.490526</v>
      </c>
      <c r="Q81" t="n">
        <v>198.208223</v>
      </c>
      <c r="R81" t="n">
        <v>198.208223</v>
      </c>
      <c r="S81" t="n">
        <v>116.373231</v>
      </c>
      <c r="T81" t="n">
        <v>116.373231</v>
      </c>
      <c r="U81" t="n">
        <v>56.490526</v>
      </c>
      <c r="V81" t="n">
        <v>56.490526</v>
      </c>
      <c r="W81" t="n">
        <v>120.80197</v>
      </c>
      <c r="X81" t="n">
        <v>213.813007</v>
      </c>
    </row>
    <row r="82">
      <c r="A82" t="inlineStr">
        <is>
          <t>Photopectoralis bindus</t>
        </is>
      </c>
      <c r="B82" t="n">
        <v>2.93</v>
      </c>
      <c r="C82" t="n">
        <v>85.113804</v>
      </c>
      <c r="D82" t="inlineStr">
        <is>
          <t>Small Benthic Carnivores</t>
        </is>
      </c>
      <c r="E82" t="n">
        <v>106.362581</v>
      </c>
      <c r="F82" t="n">
        <v>47.875255</v>
      </c>
      <c r="G82" t="n">
        <v>14.351766</v>
      </c>
      <c r="H82" t="n">
        <v>47.936313</v>
      </c>
      <c r="I82" t="n">
        <v>123.68277</v>
      </c>
      <c r="J82" t="n">
        <v>123.68277</v>
      </c>
      <c r="K82" t="n">
        <v>121.085432</v>
      </c>
      <c r="L82" t="n">
        <v>160.705061</v>
      </c>
      <c r="M82" t="n">
        <v>160.705061</v>
      </c>
      <c r="N82" t="n">
        <v>160.705061</v>
      </c>
      <c r="O82" t="n">
        <v>86.69575</v>
      </c>
      <c r="P82" t="n">
        <v>48.551122</v>
      </c>
      <c r="Q82" t="n">
        <v>160.705061</v>
      </c>
      <c r="R82" t="n">
        <v>160.705061</v>
      </c>
      <c r="S82" t="n">
        <v>86.69575</v>
      </c>
      <c r="T82" t="n">
        <v>86.69575</v>
      </c>
      <c r="U82" t="n">
        <v>48.551122</v>
      </c>
      <c r="V82" t="n">
        <v>48.551122</v>
      </c>
      <c r="W82" t="n">
        <v>90.428786</v>
      </c>
      <c r="X82" t="n">
        <v>169.279514</v>
      </c>
    </row>
    <row r="83">
      <c r="A83" t="inlineStr">
        <is>
          <t>Mugil cephalus</t>
        </is>
      </c>
      <c r="B83" t="n">
        <v>2.14</v>
      </c>
      <c r="C83" t="n">
        <v>13.803843</v>
      </c>
      <c r="D83" t="inlineStr">
        <is>
          <t>Benthic Omnivores</t>
        </is>
      </c>
      <c r="E83" t="n">
        <v>106.362581</v>
      </c>
      <c r="F83" t="n">
        <v>34.853983</v>
      </c>
      <c r="G83" t="n">
        <v>11.533933</v>
      </c>
      <c r="H83" t="n">
        <v>23.954598</v>
      </c>
      <c r="I83" t="n">
        <v>122.110584</v>
      </c>
      <c r="J83" t="n">
        <v>122.110584</v>
      </c>
      <c r="K83" t="n">
        <v>119.668372</v>
      </c>
      <c r="L83" t="n">
        <v>234.326211</v>
      </c>
      <c r="M83" t="n">
        <v>234.326211</v>
      </c>
      <c r="N83" t="n">
        <v>234.326211</v>
      </c>
      <c r="O83" t="n">
        <v>32.574396</v>
      </c>
      <c r="P83" t="n">
        <v>28.191927</v>
      </c>
      <c r="Q83" t="n">
        <v>234.326211</v>
      </c>
      <c r="R83" t="n">
        <v>234.326211</v>
      </c>
      <c r="S83" t="n">
        <v>32.574396</v>
      </c>
      <c r="T83" t="n">
        <v>32.574396</v>
      </c>
      <c r="U83" t="n">
        <v>28.191927</v>
      </c>
      <c r="V83" t="n">
        <v>28.191927</v>
      </c>
      <c r="W83" t="n">
        <v>34.709256</v>
      </c>
      <c r="X83" t="n">
        <v>257.01226</v>
      </c>
    </row>
    <row r="84">
      <c r="A84" t="inlineStr">
        <is>
          <t>Batoidea</t>
        </is>
      </c>
      <c r="B84" t="n">
        <v>3.72</v>
      </c>
      <c r="C84" t="n">
        <v>524.80746</v>
      </c>
      <c r="D84" t="inlineStr">
        <is>
          <t>Skates &amp; Rays</t>
        </is>
      </c>
      <c r="E84" t="n">
        <v>106.362581</v>
      </c>
      <c r="F84" t="n">
        <v>378.025577</v>
      </c>
      <c r="G84" t="n">
        <v>59.545879</v>
      </c>
      <c r="H84" t="n">
        <v>236.053692</v>
      </c>
      <c r="I84" t="n">
        <v>2128.450324</v>
      </c>
      <c r="J84" t="n">
        <v>2171.723686</v>
      </c>
      <c r="K84" t="n">
        <v>1300.862488</v>
      </c>
      <c r="L84" t="n">
        <v>3126.185669</v>
      </c>
      <c r="M84" t="n">
        <v>3126.185669</v>
      </c>
      <c r="N84" t="n">
        <v>3126.185669</v>
      </c>
      <c r="O84" t="n">
        <v>887.634307</v>
      </c>
      <c r="P84" t="n">
        <v>357.542004</v>
      </c>
      <c r="Q84" t="n">
        <v>3126.185669</v>
      </c>
      <c r="R84" t="n">
        <v>3126.185669</v>
      </c>
      <c r="S84" t="n">
        <v>887.634307</v>
      </c>
      <c r="T84" t="n">
        <v>887.634307</v>
      </c>
      <c r="U84" t="n">
        <v>357.542004</v>
      </c>
      <c r="V84" t="n">
        <v>357.542004</v>
      </c>
      <c r="W84" t="n">
        <v>926.257871</v>
      </c>
      <c r="X84" t="n">
        <v>3406.854319</v>
      </c>
    </row>
    <row r="85">
      <c r="A85" t="inlineStr">
        <is>
          <t>Rhinobatidae</t>
        </is>
      </c>
      <c r="B85" t="n">
        <v>3.7</v>
      </c>
      <c r="C85" t="n">
        <v>501.187234</v>
      </c>
      <c r="D85" t="inlineStr">
        <is>
          <t>Skates &amp; Rays</t>
        </is>
      </c>
      <c r="E85" t="n">
        <v>106.362581</v>
      </c>
      <c r="F85" t="n">
        <v>378.025577</v>
      </c>
      <c r="G85" t="n">
        <v>59.545879</v>
      </c>
      <c r="H85" t="n">
        <v>236.053692</v>
      </c>
      <c r="I85" t="n">
        <v>2128.450324</v>
      </c>
      <c r="J85" t="n">
        <v>2171.723686</v>
      </c>
      <c r="K85" t="n">
        <v>1300.862488</v>
      </c>
      <c r="L85" t="n">
        <v>3126.185669</v>
      </c>
      <c r="M85" t="n">
        <v>3126.185669</v>
      </c>
      <c r="N85" t="n">
        <v>3126.185669</v>
      </c>
      <c r="O85" t="n">
        <v>887.634307</v>
      </c>
      <c r="P85" t="n">
        <v>357.542004</v>
      </c>
      <c r="Q85" t="n">
        <v>3126.185669</v>
      </c>
      <c r="R85" t="n">
        <v>3126.185669</v>
      </c>
      <c r="S85" t="n">
        <v>887.634307</v>
      </c>
      <c r="T85" t="n">
        <v>887.634307</v>
      </c>
      <c r="U85" t="n">
        <v>357.542004</v>
      </c>
      <c r="V85" t="n">
        <v>357.542004</v>
      </c>
      <c r="W85" t="n">
        <v>926.257871</v>
      </c>
      <c r="X85" t="n">
        <v>3406.854319</v>
      </c>
    </row>
    <row r="86">
      <c r="A86" t="inlineStr">
        <is>
          <t>Psettodes erumei</t>
        </is>
      </c>
      <c r="B86" t="n">
        <v>4.39</v>
      </c>
      <c r="C86" t="n">
        <v>2454.708916</v>
      </c>
      <c r="D86" t="inlineStr">
        <is>
          <t>Med Benthic Carnivores</t>
        </is>
      </c>
      <c r="E86" t="n">
        <v>106.362581</v>
      </c>
      <c r="F86" t="n">
        <v>153.506319</v>
      </c>
      <c r="G86" t="n">
        <v>32.014124</v>
      </c>
      <c r="H86" t="n">
        <v>100.68782</v>
      </c>
      <c r="I86" t="n">
        <v>159.061371</v>
      </c>
      <c r="J86" t="n">
        <v>159.061371</v>
      </c>
      <c r="K86" t="n">
        <v>156.039205</v>
      </c>
      <c r="L86" t="n">
        <v>198.208223</v>
      </c>
      <c r="M86" t="n">
        <v>198.208223</v>
      </c>
      <c r="N86" t="n">
        <v>198.208223</v>
      </c>
      <c r="O86" t="n">
        <v>116.373231</v>
      </c>
      <c r="P86" t="n">
        <v>56.490526</v>
      </c>
      <c r="Q86" t="n">
        <v>198.208223</v>
      </c>
      <c r="R86" t="n">
        <v>198.208223</v>
      </c>
      <c r="S86" t="n">
        <v>116.373231</v>
      </c>
      <c r="T86" t="n">
        <v>116.373231</v>
      </c>
      <c r="U86" t="n">
        <v>56.490526</v>
      </c>
      <c r="V86" t="n">
        <v>56.490526</v>
      </c>
      <c r="W86" t="n">
        <v>120.80197</v>
      </c>
      <c r="X86" t="n">
        <v>213.813007</v>
      </c>
    </row>
    <row r="87">
      <c r="A87" t="inlineStr">
        <is>
          <t>Saurida tumbil</t>
        </is>
      </c>
      <c r="B87" t="n">
        <v>4.4</v>
      </c>
      <c r="C87" t="n">
        <v>2511.886432</v>
      </c>
      <c r="D87" t="inlineStr">
        <is>
          <t>Large Benthic Carnivores</t>
        </is>
      </c>
      <c r="E87" t="n">
        <v>106.362581</v>
      </c>
      <c r="F87" t="n">
        <v>1113.102078</v>
      </c>
      <c r="G87" t="n">
        <v>125.259096</v>
      </c>
      <c r="H87" t="n">
        <v>249.981248</v>
      </c>
      <c r="I87" t="n">
        <v>421.749845</v>
      </c>
      <c r="J87" t="n">
        <v>575.638232</v>
      </c>
      <c r="K87" t="n">
        <v>564.125467</v>
      </c>
      <c r="L87" t="n">
        <v>1114.691652</v>
      </c>
      <c r="M87" t="n">
        <v>1114.691652</v>
      </c>
      <c r="N87" t="n">
        <v>1114.691652</v>
      </c>
      <c r="O87" t="n">
        <v>635.9376559999999</v>
      </c>
      <c r="P87" t="n">
        <v>217.238675</v>
      </c>
      <c r="Q87" t="n">
        <v>1114.691652</v>
      </c>
      <c r="R87" t="n">
        <v>1114.691652</v>
      </c>
      <c r="S87" t="n">
        <v>635.9376559999999</v>
      </c>
      <c r="T87" t="n">
        <v>635.9376559999999</v>
      </c>
      <c r="U87" t="n">
        <v>217.238675</v>
      </c>
      <c r="V87" t="n">
        <v>217.238675</v>
      </c>
      <c r="W87" t="n">
        <v>686.067599</v>
      </c>
      <c r="X87" t="n">
        <v>1252.543178</v>
      </c>
    </row>
    <row r="88">
      <c r="A88" t="inlineStr">
        <is>
          <t>Anodontostoma chacunda</t>
        </is>
      </c>
      <c r="B88" t="n">
        <v>2.84</v>
      </c>
      <c r="C88" t="n">
        <v>69.183097</v>
      </c>
      <c r="D88" t="inlineStr">
        <is>
          <t>Clupeids</t>
        </is>
      </c>
      <c r="E88" t="n">
        <v>106.362581</v>
      </c>
      <c r="F88" t="n">
        <v>88.561632</v>
      </c>
      <c r="G88" t="n">
        <v>21.920534</v>
      </c>
      <c r="H88" t="n">
        <v>63.185331</v>
      </c>
      <c r="I88" t="n">
        <v>125.502905</v>
      </c>
      <c r="J88" t="n">
        <v>125.502905</v>
      </c>
      <c r="K88" t="n">
        <v>122.867344</v>
      </c>
      <c r="L88" t="n">
        <v>135.671609</v>
      </c>
      <c r="M88" t="n">
        <v>135.671609</v>
      </c>
      <c r="N88" t="n">
        <v>135.671609</v>
      </c>
      <c r="O88" t="n">
        <v>106.962478</v>
      </c>
      <c r="P88" t="n">
        <v>52.045425</v>
      </c>
      <c r="Q88" t="n">
        <v>135.671609</v>
      </c>
      <c r="R88" t="n">
        <v>135.671609</v>
      </c>
      <c r="S88" t="n">
        <v>106.962478</v>
      </c>
      <c r="T88" t="n">
        <v>106.962478</v>
      </c>
      <c r="U88" t="n">
        <v>52.045425</v>
      </c>
      <c r="V88" t="n">
        <v>52.045425</v>
      </c>
      <c r="W88" t="n">
        <v>110.161718</v>
      </c>
      <c r="X88" t="n">
        <v>144.77438</v>
      </c>
    </row>
    <row r="89">
      <c r="A89" t="inlineStr">
        <is>
          <t>Mytilidae</t>
        </is>
      </c>
      <c r="B89" t="n">
        <v>2</v>
      </c>
      <c r="C89" t="n">
        <v>10</v>
      </c>
      <c r="D89" t="inlineStr">
        <is>
          <t>Heterotrophic Benthos</t>
        </is>
      </c>
      <c r="E89" t="n">
        <v>106.362581</v>
      </c>
      <c r="F89" t="n">
        <v>19.947374</v>
      </c>
      <c r="G89" t="n">
        <v>7.853921</v>
      </c>
      <c r="H89" t="n">
        <v>13.270207</v>
      </c>
      <c r="I89" t="n">
        <v>123.888042</v>
      </c>
      <c r="J89" t="n">
        <v>123.888042</v>
      </c>
      <c r="K89" t="n">
        <v>15.362117</v>
      </c>
      <c r="L89" t="n">
        <v>260.720597</v>
      </c>
      <c r="M89" t="n">
        <v>260.720597</v>
      </c>
      <c r="N89" t="n">
        <v>260.720597</v>
      </c>
      <c r="O89" t="n">
        <v>19.314018</v>
      </c>
      <c r="P89" t="n">
        <v>17.703696</v>
      </c>
      <c r="Q89" t="n">
        <v>260.720597</v>
      </c>
      <c r="R89" t="n">
        <v>260.720597</v>
      </c>
      <c r="S89" t="n">
        <v>19.314018</v>
      </c>
      <c r="T89" t="n">
        <v>19.314018</v>
      </c>
      <c r="U89" t="n">
        <v>17.703696</v>
      </c>
      <c r="V89" t="n">
        <v>17.703696</v>
      </c>
      <c r="W89" t="n">
        <v>20.650834</v>
      </c>
      <c r="X89" t="n">
        <v>285.015306</v>
      </c>
    </row>
    <row r="90">
      <c r="A90" t="inlineStr">
        <is>
          <t>Caranx ignobilis</t>
        </is>
      </c>
      <c r="B90" t="n">
        <v>4.22</v>
      </c>
      <c r="C90" t="n">
        <v>1659.586907</v>
      </c>
      <c r="D90" t="inlineStr">
        <is>
          <t>Large Benthic Carnivores</t>
        </is>
      </c>
      <c r="E90" t="n">
        <v>106.362581</v>
      </c>
      <c r="F90" t="n">
        <v>1113.102078</v>
      </c>
      <c r="G90" t="n">
        <v>125.259096</v>
      </c>
      <c r="H90" t="n">
        <v>249.981248</v>
      </c>
      <c r="I90" t="n">
        <v>421.749845</v>
      </c>
      <c r="J90" t="n">
        <v>575.638232</v>
      </c>
      <c r="K90" t="n">
        <v>564.125467</v>
      </c>
      <c r="L90" t="n">
        <v>1114.691652</v>
      </c>
      <c r="M90" t="n">
        <v>1114.691652</v>
      </c>
      <c r="N90" t="n">
        <v>1114.691652</v>
      </c>
      <c r="O90" t="n">
        <v>635.9376559999999</v>
      </c>
      <c r="P90" t="n">
        <v>217.238675</v>
      </c>
      <c r="Q90" t="n">
        <v>1114.691652</v>
      </c>
      <c r="R90" t="n">
        <v>1114.691652</v>
      </c>
      <c r="S90" t="n">
        <v>635.9376559999999</v>
      </c>
      <c r="T90" t="n">
        <v>635.9376559999999</v>
      </c>
      <c r="U90" t="n">
        <v>217.238675</v>
      </c>
      <c r="V90" t="n">
        <v>217.238675</v>
      </c>
      <c r="W90" t="n">
        <v>686.067599</v>
      </c>
      <c r="X90" t="n">
        <v>1252.543178</v>
      </c>
    </row>
    <row r="91">
      <c r="A91" t="inlineStr">
        <is>
          <t>Portunidae</t>
        </is>
      </c>
      <c r="B91" t="n">
        <v>3.56</v>
      </c>
      <c r="C91" t="n">
        <v>363.078055</v>
      </c>
      <c r="D91" t="inlineStr">
        <is>
          <t>Crabs &amp; Lobster</t>
        </is>
      </c>
      <c r="E91" t="n">
        <v>106.362581</v>
      </c>
      <c r="F91" t="n">
        <v>75.373862</v>
      </c>
      <c r="G91" t="n">
        <v>19.61701</v>
      </c>
      <c r="H91" t="n">
        <v>40.48008</v>
      </c>
      <c r="I91" t="n">
        <v>77.811758</v>
      </c>
      <c r="J91" t="n">
        <v>77.811758</v>
      </c>
      <c r="K91" t="n">
        <v>75.944276</v>
      </c>
      <c r="L91" t="n">
        <v>117.553732</v>
      </c>
      <c r="M91" t="n">
        <v>117.553732</v>
      </c>
      <c r="N91" t="n">
        <v>117.553732</v>
      </c>
      <c r="O91" t="n">
        <v>38.109542</v>
      </c>
      <c r="P91" t="n">
        <v>24.77877</v>
      </c>
      <c r="Q91" t="n">
        <v>117.553732</v>
      </c>
      <c r="R91" t="n">
        <v>117.553732</v>
      </c>
      <c r="S91" t="n">
        <v>38.109542</v>
      </c>
      <c r="T91" t="n">
        <v>38.109542</v>
      </c>
      <c r="U91" t="n">
        <v>24.77877</v>
      </c>
      <c r="V91" t="n">
        <v>24.77877</v>
      </c>
      <c r="W91" t="n">
        <v>41.521391</v>
      </c>
      <c r="X91" t="n">
        <v>131.082364</v>
      </c>
    </row>
    <row r="92">
      <c r="A92" t="inlineStr">
        <is>
          <t>Chirocentrus nudus</t>
        </is>
      </c>
      <c r="B92" t="n">
        <v>4.19</v>
      </c>
      <c r="C92" t="n">
        <v>1548.816619</v>
      </c>
      <c r="D92" t="inlineStr">
        <is>
          <t>Large Benthopelagics</t>
        </is>
      </c>
      <c r="E92" t="n">
        <v>106.362581</v>
      </c>
      <c r="F92" t="n">
        <v>1254.298198</v>
      </c>
      <c r="G92" t="n">
        <v>135.995167</v>
      </c>
      <c r="H92" t="n">
        <v>530.875777</v>
      </c>
      <c r="I92" t="n">
        <v>1013.570171</v>
      </c>
      <c r="J92" t="n">
        <v>1067.730872</v>
      </c>
      <c r="K92" t="n">
        <v>1046.376254</v>
      </c>
      <c r="L92" t="n">
        <v>1918.226529</v>
      </c>
      <c r="M92" t="n">
        <v>1918.226529</v>
      </c>
      <c r="N92" t="n">
        <v>1918.226529</v>
      </c>
      <c r="O92" t="n">
        <v>1111.682878</v>
      </c>
      <c r="P92" t="n">
        <v>334.624507</v>
      </c>
      <c r="Q92" t="n">
        <v>1918.226529</v>
      </c>
      <c r="R92" t="n">
        <v>1918.226529</v>
      </c>
      <c r="S92" t="n">
        <v>1111.682878</v>
      </c>
      <c r="T92" t="n">
        <v>1111.682878</v>
      </c>
      <c r="U92" t="n">
        <v>334.624507</v>
      </c>
      <c r="V92" t="n">
        <v>334.624507</v>
      </c>
      <c r="W92" t="n">
        <v>1176.051346</v>
      </c>
      <c r="X92" t="n">
        <v>2155.084899</v>
      </c>
    </row>
    <row r="93">
      <c r="A93" t="inlineStr">
        <is>
          <t>Carcharhinus sorrah</t>
        </is>
      </c>
      <c r="B93" t="n">
        <v>4.15</v>
      </c>
      <c r="C93" t="n">
        <v>1412.537545</v>
      </c>
      <c r="D93" t="inlineStr">
        <is>
          <t>Sharks</t>
        </is>
      </c>
      <c r="E93" t="n">
        <v>106.362581</v>
      </c>
      <c r="F93" t="n">
        <v>2569.28922</v>
      </c>
      <c r="G93" t="n">
        <v>222.822151</v>
      </c>
      <c r="H93" t="n">
        <v>1308.685037</v>
      </c>
      <c r="I93" t="n">
        <v>1955.186859</v>
      </c>
      <c r="J93" t="n">
        <v>2007.418175</v>
      </c>
      <c r="K93" t="n">
        <v>1423.259486</v>
      </c>
      <c r="L93" t="n">
        <v>3930.042293</v>
      </c>
      <c r="M93" t="n">
        <v>3930.042293</v>
      </c>
      <c r="N93" t="n">
        <v>3930.042293</v>
      </c>
      <c r="O93" t="n">
        <v>1585.345045</v>
      </c>
      <c r="P93" t="n">
        <v>411.268522</v>
      </c>
      <c r="Q93" t="n">
        <v>3930.042293</v>
      </c>
      <c r="R93" t="n">
        <v>3930.042293</v>
      </c>
      <c r="S93" t="n">
        <v>1585.345045</v>
      </c>
      <c r="T93" t="n">
        <v>1585.345045</v>
      </c>
      <c r="U93" t="n">
        <v>411.268522</v>
      </c>
      <c r="V93" t="n">
        <v>411.268522</v>
      </c>
      <c r="W93" t="n">
        <v>1647.369658</v>
      </c>
      <c r="X93" t="n">
        <v>4507.362005</v>
      </c>
    </row>
    <row r="94">
      <c r="A94" t="inlineStr">
        <is>
          <t>Lutjanidae</t>
        </is>
      </c>
      <c r="B94" t="n">
        <v>4.02</v>
      </c>
      <c r="C94" t="n">
        <v>1047.128548</v>
      </c>
      <c r="D94" t="inlineStr">
        <is>
          <t>Large Benthic Carnivores</t>
        </is>
      </c>
      <c r="E94" t="n">
        <v>106.362581</v>
      </c>
      <c r="F94" t="n">
        <v>1113.102078</v>
      </c>
      <c r="G94" t="n">
        <v>125.259096</v>
      </c>
      <c r="H94" t="n">
        <v>249.981248</v>
      </c>
      <c r="I94" t="n">
        <v>421.749845</v>
      </c>
      <c r="J94" t="n">
        <v>575.638232</v>
      </c>
      <c r="K94" t="n">
        <v>564.125467</v>
      </c>
      <c r="L94" t="n">
        <v>1114.691652</v>
      </c>
      <c r="M94" t="n">
        <v>1114.691652</v>
      </c>
      <c r="N94" t="n">
        <v>1114.691652</v>
      </c>
      <c r="O94" t="n">
        <v>635.9376559999999</v>
      </c>
      <c r="P94" t="n">
        <v>217.238675</v>
      </c>
      <c r="Q94" t="n">
        <v>1114.691652</v>
      </c>
      <c r="R94" t="n">
        <v>1114.691652</v>
      </c>
      <c r="S94" t="n">
        <v>635.9376559999999</v>
      </c>
      <c r="T94" t="n">
        <v>635.9376559999999</v>
      </c>
      <c r="U94" t="n">
        <v>217.238675</v>
      </c>
      <c r="V94" t="n">
        <v>217.238675</v>
      </c>
      <c r="W94" t="n">
        <v>686.067599</v>
      </c>
      <c r="X94" t="n">
        <v>1252.543178</v>
      </c>
    </row>
    <row r="95">
      <c r="A95" t="inlineStr">
        <is>
          <t>Sardinella gibbosa</t>
        </is>
      </c>
      <c r="B95" t="n">
        <v>2.85</v>
      </c>
      <c r="C95" t="n">
        <v>70.794578</v>
      </c>
      <c r="D95" t="inlineStr">
        <is>
          <t>Clupeids</t>
        </is>
      </c>
      <c r="E95" t="n">
        <v>106.362581</v>
      </c>
      <c r="F95" t="n">
        <v>88.561632</v>
      </c>
      <c r="G95" t="n">
        <v>21.920534</v>
      </c>
      <c r="H95" t="n">
        <v>63.185331</v>
      </c>
      <c r="I95" t="n">
        <v>125.502905</v>
      </c>
      <c r="J95" t="n">
        <v>125.502905</v>
      </c>
      <c r="K95" t="n">
        <v>122.867344</v>
      </c>
      <c r="L95" t="n">
        <v>135.671609</v>
      </c>
      <c r="M95" t="n">
        <v>135.671609</v>
      </c>
      <c r="N95" t="n">
        <v>135.671609</v>
      </c>
      <c r="O95" t="n">
        <v>106.962478</v>
      </c>
      <c r="P95" t="n">
        <v>52.045425</v>
      </c>
      <c r="Q95" t="n">
        <v>135.671609</v>
      </c>
      <c r="R95" t="n">
        <v>135.671609</v>
      </c>
      <c r="S95" t="n">
        <v>106.962478</v>
      </c>
      <c r="T95" t="n">
        <v>106.962478</v>
      </c>
      <c r="U95" t="n">
        <v>52.045425</v>
      </c>
      <c r="V95" t="n">
        <v>52.045425</v>
      </c>
      <c r="W95" t="n">
        <v>110.161718</v>
      </c>
      <c r="X95" t="n">
        <v>144.77438</v>
      </c>
    </row>
    <row r="96">
      <c r="A96" t="inlineStr">
        <is>
          <t>Sillago sihama</t>
        </is>
      </c>
      <c r="B96" t="n">
        <v>3.33</v>
      </c>
      <c r="C96" t="n">
        <v>213.796209</v>
      </c>
      <c r="D96" t="inlineStr">
        <is>
          <t>Med Benthic Carnivores</t>
        </is>
      </c>
      <c r="E96" t="n">
        <v>106.362581</v>
      </c>
      <c r="F96" t="n">
        <v>153.506319</v>
      </c>
      <c r="G96" t="n">
        <v>32.014124</v>
      </c>
      <c r="H96" t="n">
        <v>100.68782</v>
      </c>
      <c r="I96" t="n">
        <v>159.061371</v>
      </c>
      <c r="J96" t="n">
        <v>159.061371</v>
      </c>
      <c r="K96" t="n">
        <v>156.039205</v>
      </c>
      <c r="L96" t="n">
        <v>198.208223</v>
      </c>
      <c r="M96" t="n">
        <v>198.208223</v>
      </c>
      <c r="N96" t="n">
        <v>198.208223</v>
      </c>
      <c r="O96" t="n">
        <v>116.373231</v>
      </c>
      <c r="P96" t="n">
        <v>56.490526</v>
      </c>
      <c r="Q96" t="n">
        <v>198.208223</v>
      </c>
      <c r="R96" t="n">
        <v>198.208223</v>
      </c>
      <c r="S96" t="n">
        <v>116.373231</v>
      </c>
      <c r="T96" t="n">
        <v>116.373231</v>
      </c>
      <c r="U96" t="n">
        <v>56.490526</v>
      </c>
      <c r="V96" t="n">
        <v>56.490526</v>
      </c>
      <c r="W96" t="n">
        <v>120.80197</v>
      </c>
      <c r="X96" t="n">
        <v>213.813007</v>
      </c>
    </row>
    <row r="97">
      <c r="A97" t="inlineStr">
        <is>
          <t>Rachycentron canadum</t>
        </is>
      </c>
      <c r="B97" t="n">
        <v>3.96</v>
      </c>
      <c r="C97" t="n">
        <v>912.010839</v>
      </c>
      <c r="D97" t="inlineStr">
        <is>
          <t>Large Pelagics</t>
        </is>
      </c>
      <c r="E97" t="n">
        <v>106.362581</v>
      </c>
      <c r="F97" t="n">
        <v>1182.417917</v>
      </c>
      <c r="G97" t="n">
        <v>130.579526</v>
      </c>
      <c r="H97" t="n">
        <v>655.098468</v>
      </c>
      <c r="I97" t="n">
        <v>848.885192</v>
      </c>
      <c r="J97" t="n">
        <v>883.261112</v>
      </c>
      <c r="K97" t="n">
        <v>865.5958890000001</v>
      </c>
      <c r="L97" t="n">
        <v>1961.116323</v>
      </c>
      <c r="M97" t="n">
        <v>1961.116323</v>
      </c>
      <c r="N97" t="n">
        <v>1961.116323</v>
      </c>
      <c r="O97" t="n">
        <v>1097.797369</v>
      </c>
      <c r="P97" t="n">
        <v>300.80342</v>
      </c>
      <c r="Q97" t="n">
        <v>1961.116323</v>
      </c>
      <c r="R97" t="n">
        <v>1961.116323</v>
      </c>
      <c r="S97" t="n">
        <v>1097.797369</v>
      </c>
      <c r="T97" t="n">
        <v>1097.797369</v>
      </c>
      <c r="U97" t="n">
        <v>300.80342</v>
      </c>
      <c r="V97" t="n">
        <v>300.80342</v>
      </c>
      <c r="W97" t="n">
        <v>1171.90733</v>
      </c>
      <c r="X97" t="n">
        <v>2200.248768</v>
      </c>
    </row>
    <row r="98">
      <c r="A98" t="inlineStr">
        <is>
          <t>Pleuronectiformes</t>
        </is>
      </c>
      <c r="B98" t="n">
        <v>3.57</v>
      </c>
      <c r="C98" t="n">
        <v>371.535229</v>
      </c>
      <c r="D98" t="inlineStr">
        <is>
          <t>Benthic Omnivores | Med Benthic Carnivores</t>
        </is>
      </c>
      <c r="E98" t="n">
        <v>106.362581</v>
      </c>
      <c r="F98" t="n">
        <v>55.02488</v>
      </c>
      <c r="G98" t="n">
        <v>15.015566</v>
      </c>
      <c r="H98" t="n">
        <v>36.999246</v>
      </c>
      <c r="I98" t="n">
        <v>128.392218</v>
      </c>
      <c r="J98" t="n">
        <v>128.392218</v>
      </c>
      <c r="K98" t="n">
        <v>125.851414</v>
      </c>
      <c r="L98" t="n">
        <v>228.186153</v>
      </c>
      <c r="M98" t="n">
        <v>228.186153</v>
      </c>
      <c r="N98" t="n">
        <v>228.186153</v>
      </c>
      <c r="O98" t="n">
        <v>46.820198</v>
      </c>
      <c r="P98" t="n">
        <v>33.002689</v>
      </c>
      <c r="Q98" t="n">
        <v>228.186153</v>
      </c>
      <c r="R98" t="n">
        <v>228.186153</v>
      </c>
      <c r="S98" t="n">
        <v>46.820198</v>
      </c>
      <c r="T98" t="n">
        <v>46.820198</v>
      </c>
      <c r="U98" t="n">
        <v>33.002689</v>
      </c>
      <c r="V98" t="n">
        <v>33.002689</v>
      </c>
      <c r="W98" t="n">
        <v>49.345017</v>
      </c>
      <c r="X98" t="n">
        <v>249.668387</v>
      </c>
    </row>
    <row r="99">
      <c r="A99" t="inlineStr">
        <is>
          <t>Upeneus vittatus</t>
        </is>
      </c>
      <c r="B99" t="n">
        <v>3.62</v>
      </c>
      <c r="C99" t="n">
        <v>416.869383</v>
      </c>
      <c r="D99" t="inlineStr">
        <is>
          <t>Small Benthic Carnivores</t>
        </is>
      </c>
      <c r="E99" t="n">
        <v>106.362581</v>
      </c>
      <c r="F99" t="n">
        <v>47.875255</v>
      </c>
      <c r="G99" t="n">
        <v>14.351766</v>
      </c>
      <c r="H99" t="n">
        <v>47.936313</v>
      </c>
      <c r="I99" t="n">
        <v>123.68277</v>
      </c>
      <c r="J99" t="n">
        <v>123.68277</v>
      </c>
      <c r="K99" t="n">
        <v>121.085432</v>
      </c>
      <c r="L99" t="n">
        <v>160.705061</v>
      </c>
      <c r="M99" t="n">
        <v>160.705061</v>
      </c>
      <c r="N99" t="n">
        <v>160.705061</v>
      </c>
      <c r="O99" t="n">
        <v>86.69575</v>
      </c>
      <c r="P99" t="n">
        <v>48.551122</v>
      </c>
      <c r="Q99" t="n">
        <v>160.705061</v>
      </c>
      <c r="R99" t="n">
        <v>160.705061</v>
      </c>
      <c r="S99" t="n">
        <v>86.69575</v>
      </c>
      <c r="T99" t="n">
        <v>86.69575</v>
      </c>
      <c r="U99" t="n">
        <v>48.551122</v>
      </c>
      <c r="V99" t="n">
        <v>48.551122</v>
      </c>
      <c r="W99" t="n">
        <v>90.428786</v>
      </c>
      <c r="X99" t="n">
        <v>169.279514</v>
      </c>
    </row>
    <row r="100">
      <c r="A100" t="inlineStr">
        <is>
          <t>Pomadasys kaakan</t>
        </is>
      </c>
      <c r="B100" t="n">
        <v>3.46</v>
      </c>
      <c r="C100" t="n">
        <v>288.40315</v>
      </c>
      <c r="D100" t="inlineStr">
        <is>
          <t>Med Benthic Carnivores</t>
        </is>
      </c>
      <c r="E100" t="n">
        <v>106.362581</v>
      </c>
      <c r="F100" t="n">
        <v>153.506319</v>
      </c>
      <c r="G100" t="n">
        <v>32.014124</v>
      </c>
      <c r="H100" t="n">
        <v>100.68782</v>
      </c>
      <c r="I100" t="n">
        <v>159.061371</v>
      </c>
      <c r="J100" t="n">
        <v>159.061371</v>
      </c>
      <c r="K100" t="n">
        <v>156.039205</v>
      </c>
      <c r="L100" t="n">
        <v>198.208223</v>
      </c>
      <c r="M100" t="n">
        <v>198.208223</v>
      </c>
      <c r="N100" t="n">
        <v>198.208223</v>
      </c>
      <c r="O100" t="n">
        <v>116.373231</v>
      </c>
      <c r="P100" t="n">
        <v>56.490526</v>
      </c>
      <c r="Q100" t="n">
        <v>198.208223</v>
      </c>
      <c r="R100" t="n">
        <v>198.208223</v>
      </c>
      <c r="S100" t="n">
        <v>116.373231</v>
      </c>
      <c r="T100" t="n">
        <v>116.373231</v>
      </c>
      <c r="U100" t="n">
        <v>56.490526</v>
      </c>
      <c r="V100" t="n">
        <v>56.490526</v>
      </c>
      <c r="W100" t="n">
        <v>120.80197</v>
      </c>
      <c r="X100" t="n">
        <v>213.813007</v>
      </c>
    </row>
    <row r="101">
      <c r="A101" t="inlineStr">
        <is>
          <t>Haemulidae</t>
        </is>
      </c>
      <c r="B101" t="n">
        <v>3.36</v>
      </c>
      <c r="C101" t="n">
        <v>229.086765</v>
      </c>
      <c r="D101" t="inlineStr">
        <is>
          <t>Med Benthic Carnivores</t>
        </is>
      </c>
      <c r="E101" t="n">
        <v>106.362581</v>
      </c>
      <c r="F101" t="n">
        <v>153.506319</v>
      </c>
      <c r="G101" t="n">
        <v>32.014124</v>
      </c>
      <c r="H101" t="n">
        <v>100.68782</v>
      </c>
      <c r="I101" t="n">
        <v>159.061371</v>
      </c>
      <c r="J101" t="n">
        <v>159.061371</v>
      </c>
      <c r="K101" t="n">
        <v>156.039205</v>
      </c>
      <c r="L101" t="n">
        <v>198.208223</v>
      </c>
      <c r="M101" t="n">
        <v>198.208223</v>
      </c>
      <c r="N101" t="n">
        <v>198.208223</v>
      </c>
      <c r="O101" t="n">
        <v>116.373231</v>
      </c>
      <c r="P101" t="n">
        <v>56.490526</v>
      </c>
      <c r="Q101" t="n">
        <v>198.208223</v>
      </c>
      <c r="R101" t="n">
        <v>198.208223</v>
      </c>
      <c r="S101" t="n">
        <v>116.373231</v>
      </c>
      <c r="T101" t="n">
        <v>116.373231</v>
      </c>
      <c r="U101" t="n">
        <v>56.490526</v>
      </c>
      <c r="V101" t="n">
        <v>56.490526</v>
      </c>
      <c r="W101" t="n">
        <v>120.80197</v>
      </c>
      <c r="X101" t="n">
        <v>213.813007</v>
      </c>
    </row>
    <row r="102">
      <c r="A102" t="inlineStr">
        <is>
          <t>Dussumieria acuta</t>
        </is>
      </c>
      <c r="B102" t="n">
        <v>3.4</v>
      </c>
      <c r="C102" t="n">
        <v>251.188643</v>
      </c>
      <c r="D102" t="inlineStr">
        <is>
          <t>Clupeids</t>
        </is>
      </c>
      <c r="E102" t="n">
        <v>106.362581</v>
      </c>
      <c r="F102" t="n">
        <v>88.561632</v>
      </c>
      <c r="G102" t="n">
        <v>21.920534</v>
      </c>
      <c r="H102" t="n">
        <v>63.185331</v>
      </c>
      <c r="I102" t="n">
        <v>125.502905</v>
      </c>
      <c r="J102" t="n">
        <v>125.502905</v>
      </c>
      <c r="K102" t="n">
        <v>122.867344</v>
      </c>
      <c r="L102" t="n">
        <v>135.671609</v>
      </c>
      <c r="M102" t="n">
        <v>135.671609</v>
      </c>
      <c r="N102" t="n">
        <v>135.671609</v>
      </c>
      <c r="O102" t="n">
        <v>106.962478</v>
      </c>
      <c r="P102" t="n">
        <v>52.045425</v>
      </c>
      <c r="Q102" t="n">
        <v>135.671609</v>
      </c>
      <c r="R102" t="n">
        <v>135.671609</v>
      </c>
      <c r="S102" t="n">
        <v>106.962478</v>
      </c>
      <c r="T102" t="n">
        <v>106.962478</v>
      </c>
      <c r="U102" t="n">
        <v>52.045425</v>
      </c>
      <c r="V102" t="n">
        <v>52.045425</v>
      </c>
      <c r="W102" t="n">
        <v>110.161718</v>
      </c>
      <c r="X102" t="n">
        <v>144.77438</v>
      </c>
    </row>
    <row r="103">
      <c r="A103" t="inlineStr">
        <is>
          <t>Terapon jarbua</t>
        </is>
      </c>
      <c r="B103" t="n">
        <v>3.93</v>
      </c>
      <c r="C103" t="n">
        <v>851.1380380000001</v>
      </c>
      <c r="D103" t="inlineStr">
        <is>
          <t>Small Benthic Carnivores</t>
        </is>
      </c>
      <c r="E103" t="n">
        <v>106.362581</v>
      </c>
      <c r="F103" t="n">
        <v>47.875255</v>
      </c>
      <c r="G103" t="n">
        <v>14.351766</v>
      </c>
      <c r="H103" t="n">
        <v>47.936313</v>
      </c>
      <c r="I103" t="n">
        <v>123.68277</v>
      </c>
      <c r="J103" t="n">
        <v>123.68277</v>
      </c>
      <c r="K103" t="n">
        <v>121.085432</v>
      </c>
      <c r="L103" t="n">
        <v>160.705061</v>
      </c>
      <c r="M103" t="n">
        <v>160.705061</v>
      </c>
      <c r="N103" t="n">
        <v>160.705061</v>
      </c>
      <c r="O103" t="n">
        <v>86.69575</v>
      </c>
      <c r="P103" t="n">
        <v>48.551122</v>
      </c>
      <c r="Q103" t="n">
        <v>160.705061</v>
      </c>
      <c r="R103" t="n">
        <v>160.705061</v>
      </c>
      <c r="S103" t="n">
        <v>86.69575</v>
      </c>
      <c r="T103" t="n">
        <v>86.69575</v>
      </c>
      <c r="U103" t="n">
        <v>48.551122</v>
      </c>
      <c r="V103" t="n">
        <v>48.551122</v>
      </c>
      <c r="W103" t="n">
        <v>90.428786</v>
      </c>
      <c r="X103" t="n">
        <v>169.279514</v>
      </c>
    </row>
    <row r="104">
      <c r="A104" t="inlineStr">
        <is>
          <t>Auxis</t>
        </is>
      </c>
      <c r="B104" t="n">
        <v>4.24</v>
      </c>
      <c r="C104" t="n">
        <v>1737.800829</v>
      </c>
      <c r="D104" t="inlineStr">
        <is>
          <t>Tunas</t>
        </is>
      </c>
      <c r="E104" t="n">
        <v>106.362581</v>
      </c>
      <c r="F104" t="n">
        <v>1377.951482</v>
      </c>
      <c r="G104" t="n">
        <v>145.091076</v>
      </c>
      <c r="H104" t="n">
        <v>354.016089</v>
      </c>
      <c r="I104" t="n">
        <v>804.627355</v>
      </c>
      <c r="J104" t="n">
        <v>818.1011109999999</v>
      </c>
      <c r="K104" t="n">
        <v>575.125081</v>
      </c>
      <c r="L104" t="n">
        <v>970.782826</v>
      </c>
      <c r="M104" t="n">
        <v>970.782826</v>
      </c>
      <c r="N104" t="n">
        <v>970.782826</v>
      </c>
      <c r="O104" t="n">
        <v>487.056907</v>
      </c>
      <c r="P104" t="n">
        <v>182.863315</v>
      </c>
      <c r="Q104" t="n">
        <v>970.782826</v>
      </c>
      <c r="R104" t="n">
        <v>970.782826</v>
      </c>
      <c r="S104" t="n">
        <v>487.056907</v>
      </c>
      <c r="T104" t="n">
        <v>487.056907</v>
      </c>
      <c r="U104" t="n">
        <v>182.863315</v>
      </c>
      <c r="V104" t="n">
        <v>182.863315</v>
      </c>
      <c r="W104" t="n">
        <v>514.9785419999999</v>
      </c>
      <c r="X104" t="n">
        <v>1083.073415</v>
      </c>
    </row>
    <row r="105">
      <c r="A105" t="inlineStr">
        <is>
          <t>Epinephelus coioides</t>
        </is>
      </c>
      <c r="B105" t="n">
        <v>4</v>
      </c>
      <c r="C105" t="n">
        <v>1000</v>
      </c>
      <c r="D105" t="inlineStr">
        <is>
          <t>Large Benthic Carnivores</t>
        </is>
      </c>
      <c r="E105" t="n">
        <v>106.362581</v>
      </c>
      <c r="F105" t="n">
        <v>1113.102078</v>
      </c>
      <c r="G105" t="n">
        <v>125.259096</v>
      </c>
      <c r="H105" t="n">
        <v>249.981248</v>
      </c>
      <c r="I105" t="n">
        <v>421.749845</v>
      </c>
      <c r="J105" t="n">
        <v>575.638232</v>
      </c>
      <c r="K105" t="n">
        <v>564.125467</v>
      </c>
      <c r="L105" t="n">
        <v>1114.691652</v>
      </c>
      <c r="M105" t="n">
        <v>1114.691652</v>
      </c>
      <c r="N105" t="n">
        <v>1114.691652</v>
      </c>
      <c r="O105" t="n">
        <v>635.9376559999999</v>
      </c>
      <c r="P105" t="n">
        <v>217.238675</v>
      </c>
      <c r="Q105" t="n">
        <v>1114.691652</v>
      </c>
      <c r="R105" t="n">
        <v>1114.691652</v>
      </c>
      <c r="S105" t="n">
        <v>635.9376559999999</v>
      </c>
      <c r="T105" t="n">
        <v>635.9376559999999</v>
      </c>
      <c r="U105" t="n">
        <v>217.238675</v>
      </c>
      <c r="V105" t="n">
        <v>217.238675</v>
      </c>
      <c r="W105" t="n">
        <v>686.067599</v>
      </c>
      <c r="X105" t="n">
        <v>1252.543178</v>
      </c>
    </row>
    <row r="106">
      <c r="A106" t="inlineStr">
        <is>
          <t>Platycephalus indicus</t>
        </is>
      </c>
      <c r="B106" t="n">
        <v>3.6</v>
      </c>
      <c r="C106" t="n">
        <v>398.107171</v>
      </c>
      <c r="D106" t="inlineStr">
        <is>
          <t>Med Benthic Carnivores</t>
        </is>
      </c>
      <c r="E106" t="n">
        <v>106.362581</v>
      </c>
      <c r="F106" t="n">
        <v>153.506319</v>
      </c>
      <c r="G106" t="n">
        <v>32.014124</v>
      </c>
      <c r="H106" t="n">
        <v>100.68782</v>
      </c>
      <c r="I106" t="n">
        <v>159.061371</v>
      </c>
      <c r="J106" t="n">
        <v>159.061371</v>
      </c>
      <c r="K106" t="n">
        <v>156.039205</v>
      </c>
      <c r="L106" t="n">
        <v>198.208223</v>
      </c>
      <c r="M106" t="n">
        <v>198.208223</v>
      </c>
      <c r="N106" t="n">
        <v>198.208223</v>
      </c>
      <c r="O106" t="n">
        <v>116.373231</v>
      </c>
      <c r="P106" t="n">
        <v>56.490526</v>
      </c>
      <c r="Q106" t="n">
        <v>198.208223</v>
      </c>
      <c r="R106" t="n">
        <v>198.208223</v>
      </c>
      <c r="S106" t="n">
        <v>116.373231</v>
      </c>
      <c r="T106" t="n">
        <v>116.373231</v>
      </c>
      <c r="U106" t="n">
        <v>56.490526</v>
      </c>
      <c r="V106" t="n">
        <v>56.490526</v>
      </c>
      <c r="W106" t="n">
        <v>120.80197</v>
      </c>
      <c r="X106" t="n">
        <v>213.813007</v>
      </c>
    </row>
    <row r="107">
      <c r="A107" t="inlineStr">
        <is>
          <t>Pomadasys</t>
        </is>
      </c>
      <c r="B107" t="n">
        <v>3.59</v>
      </c>
      <c r="C107" t="n">
        <v>389.045145</v>
      </c>
      <c r="D107" t="inlineStr">
        <is>
          <t>Med Benthic Carnivores</t>
        </is>
      </c>
      <c r="E107" t="n">
        <v>106.362581</v>
      </c>
      <c r="F107" t="n">
        <v>153.506319</v>
      </c>
      <c r="G107" t="n">
        <v>32.014124</v>
      </c>
      <c r="H107" t="n">
        <v>100.68782</v>
      </c>
      <c r="I107" t="n">
        <v>159.061371</v>
      </c>
      <c r="J107" t="n">
        <v>159.061371</v>
      </c>
      <c r="K107" t="n">
        <v>156.039205</v>
      </c>
      <c r="L107" t="n">
        <v>198.208223</v>
      </c>
      <c r="M107" t="n">
        <v>198.208223</v>
      </c>
      <c r="N107" t="n">
        <v>198.208223</v>
      </c>
      <c r="O107" t="n">
        <v>116.373231</v>
      </c>
      <c r="P107" t="n">
        <v>56.490526</v>
      </c>
      <c r="Q107" t="n">
        <v>198.208223</v>
      </c>
      <c r="R107" t="n">
        <v>198.208223</v>
      </c>
      <c r="S107" t="n">
        <v>116.373231</v>
      </c>
      <c r="T107" t="n">
        <v>116.373231</v>
      </c>
      <c r="U107" t="n">
        <v>56.490526</v>
      </c>
      <c r="V107" t="n">
        <v>56.490526</v>
      </c>
      <c r="W107" t="n">
        <v>120.80197</v>
      </c>
      <c r="X107" t="n">
        <v>213.813007</v>
      </c>
    </row>
    <row r="108">
      <c r="A108" t="inlineStr">
        <is>
          <t>Argyrops spinifer</t>
        </is>
      </c>
      <c r="B108" t="n">
        <v>4.49</v>
      </c>
      <c r="C108" t="n">
        <v>3090.295433</v>
      </c>
      <c r="D108" t="inlineStr">
        <is>
          <t>Large Benthic Carnivores</t>
        </is>
      </c>
      <c r="E108" t="n">
        <v>106.362581</v>
      </c>
      <c r="F108" t="n">
        <v>1113.102078</v>
      </c>
      <c r="G108" t="n">
        <v>125.259096</v>
      </c>
      <c r="H108" t="n">
        <v>249.981248</v>
      </c>
      <c r="I108" t="n">
        <v>421.749845</v>
      </c>
      <c r="J108" t="n">
        <v>575.638232</v>
      </c>
      <c r="K108" t="n">
        <v>564.125467</v>
      </c>
      <c r="L108" t="n">
        <v>1114.691652</v>
      </c>
      <c r="M108" t="n">
        <v>1114.691652</v>
      </c>
      <c r="N108" t="n">
        <v>1114.691652</v>
      </c>
      <c r="O108" t="n">
        <v>635.9376559999999</v>
      </c>
      <c r="P108" t="n">
        <v>217.238675</v>
      </c>
      <c r="Q108" t="n">
        <v>1114.691652</v>
      </c>
      <c r="R108" t="n">
        <v>1114.691652</v>
      </c>
      <c r="S108" t="n">
        <v>635.9376559999999</v>
      </c>
      <c r="T108" t="n">
        <v>635.9376559999999</v>
      </c>
      <c r="U108" t="n">
        <v>217.238675</v>
      </c>
      <c r="V108" t="n">
        <v>217.238675</v>
      </c>
      <c r="W108" t="n">
        <v>686.067599</v>
      </c>
      <c r="X108" t="n">
        <v>1252.543178</v>
      </c>
    </row>
    <row r="109">
      <c r="A109" t="inlineStr">
        <is>
          <t>Chirocentrus dorab</t>
        </is>
      </c>
      <c r="B109" t="n">
        <v>4.2</v>
      </c>
      <c r="C109" t="n">
        <v>1584.893192</v>
      </c>
      <c r="D109" t="inlineStr">
        <is>
          <t>Large Benthopelagics</t>
        </is>
      </c>
      <c r="E109" t="n">
        <v>106.362581</v>
      </c>
      <c r="F109" t="n">
        <v>1254.298198</v>
      </c>
      <c r="G109" t="n">
        <v>135.995167</v>
      </c>
      <c r="H109" t="n">
        <v>530.875777</v>
      </c>
      <c r="I109" t="n">
        <v>1013.570171</v>
      </c>
      <c r="J109" t="n">
        <v>1067.730872</v>
      </c>
      <c r="K109" t="n">
        <v>1046.376254</v>
      </c>
      <c r="L109" t="n">
        <v>1918.226529</v>
      </c>
      <c r="M109" t="n">
        <v>1918.226529</v>
      </c>
      <c r="N109" t="n">
        <v>1918.226529</v>
      </c>
      <c r="O109" t="n">
        <v>1111.682878</v>
      </c>
      <c r="P109" t="n">
        <v>334.624507</v>
      </c>
      <c r="Q109" t="n">
        <v>1918.226529</v>
      </c>
      <c r="R109" t="n">
        <v>1918.226529</v>
      </c>
      <c r="S109" t="n">
        <v>1111.682878</v>
      </c>
      <c r="T109" t="n">
        <v>1111.682878</v>
      </c>
      <c r="U109" t="n">
        <v>334.624507</v>
      </c>
      <c r="V109" t="n">
        <v>334.624507</v>
      </c>
      <c r="W109" t="n">
        <v>1176.051346</v>
      </c>
      <c r="X109" t="n">
        <v>2155.084899</v>
      </c>
    </row>
    <row r="110">
      <c r="A110" t="inlineStr">
        <is>
          <t>Lethrinus</t>
        </is>
      </c>
      <c r="B110" t="n">
        <v>3.75</v>
      </c>
      <c r="C110" t="n">
        <v>562.341325</v>
      </c>
      <c r="D110" t="inlineStr">
        <is>
          <t>Large Benthic Carnivores</t>
        </is>
      </c>
      <c r="E110" t="n">
        <v>106.362581</v>
      </c>
      <c r="F110" t="n">
        <v>1113.102078</v>
      </c>
      <c r="G110" t="n">
        <v>125.259096</v>
      </c>
      <c r="H110" t="n">
        <v>249.981248</v>
      </c>
      <c r="I110" t="n">
        <v>421.749845</v>
      </c>
      <c r="J110" t="n">
        <v>575.638232</v>
      </c>
      <c r="K110" t="n">
        <v>564.125467</v>
      </c>
      <c r="L110" t="n">
        <v>1114.691652</v>
      </c>
      <c r="M110" t="n">
        <v>1114.691652</v>
      </c>
      <c r="N110" t="n">
        <v>1114.691652</v>
      </c>
      <c r="O110" t="n">
        <v>635.9376559999999</v>
      </c>
      <c r="P110" t="n">
        <v>217.238675</v>
      </c>
      <c r="Q110" t="n">
        <v>1114.691652</v>
      </c>
      <c r="R110" t="n">
        <v>1114.691652</v>
      </c>
      <c r="S110" t="n">
        <v>635.9376559999999</v>
      </c>
      <c r="T110" t="n">
        <v>635.9376559999999</v>
      </c>
      <c r="U110" t="n">
        <v>217.238675</v>
      </c>
      <c r="V110" t="n">
        <v>217.238675</v>
      </c>
      <c r="W110" t="n">
        <v>686.067599</v>
      </c>
      <c r="X110" t="n">
        <v>1252.543178</v>
      </c>
    </row>
    <row r="111">
      <c r="A111" t="inlineStr">
        <is>
          <t>Lutjanus johnii</t>
        </is>
      </c>
      <c r="B111" t="n">
        <v>4.2</v>
      </c>
      <c r="C111" t="n">
        <v>1584.893192</v>
      </c>
      <c r="D111" t="inlineStr">
        <is>
          <t>Large Benthic Carnivores</t>
        </is>
      </c>
      <c r="E111" t="n">
        <v>106.362581</v>
      </c>
      <c r="F111" t="n">
        <v>1113.102078</v>
      </c>
      <c r="G111" t="n">
        <v>125.259096</v>
      </c>
      <c r="H111" t="n">
        <v>249.981248</v>
      </c>
      <c r="I111" t="n">
        <v>421.749845</v>
      </c>
      <c r="J111" t="n">
        <v>575.638232</v>
      </c>
      <c r="K111" t="n">
        <v>564.125467</v>
      </c>
      <c r="L111" t="n">
        <v>1114.691652</v>
      </c>
      <c r="M111" t="n">
        <v>1114.691652</v>
      </c>
      <c r="N111" t="n">
        <v>1114.691652</v>
      </c>
      <c r="O111" t="n">
        <v>635.9376559999999</v>
      </c>
      <c r="P111" t="n">
        <v>217.238675</v>
      </c>
      <c r="Q111" t="n">
        <v>1114.691652</v>
      </c>
      <c r="R111" t="n">
        <v>1114.691652</v>
      </c>
      <c r="S111" t="n">
        <v>635.9376559999999</v>
      </c>
      <c r="T111" t="n">
        <v>635.9376559999999</v>
      </c>
      <c r="U111" t="n">
        <v>217.238675</v>
      </c>
      <c r="V111" t="n">
        <v>217.238675</v>
      </c>
      <c r="W111" t="n">
        <v>686.067599</v>
      </c>
      <c r="X111" t="n">
        <v>1252.543178</v>
      </c>
    </row>
    <row r="112">
      <c r="A112" t="inlineStr">
        <is>
          <t>Sardinella albella</t>
        </is>
      </c>
      <c r="B112" t="n">
        <v>2.68</v>
      </c>
      <c r="C112" t="n">
        <v>47.863009</v>
      </c>
      <c r="D112" t="inlineStr">
        <is>
          <t>Clupeids</t>
        </is>
      </c>
      <c r="E112" t="n">
        <v>106.362581</v>
      </c>
      <c r="F112" t="n">
        <v>88.561632</v>
      </c>
      <c r="G112" t="n">
        <v>21.920534</v>
      </c>
      <c r="H112" t="n">
        <v>63.185331</v>
      </c>
      <c r="I112" t="n">
        <v>125.502905</v>
      </c>
      <c r="J112" t="n">
        <v>125.502905</v>
      </c>
      <c r="K112" t="n">
        <v>122.867344</v>
      </c>
      <c r="L112" t="n">
        <v>135.671609</v>
      </c>
      <c r="M112" t="n">
        <v>135.671609</v>
      </c>
      <c r="N112" t="n">
        <v>135.671609</v>
      </c>
      <c r="O112" t="n">
        <v>106.962478</v>
      </c>
      <c r="P112" t="n">
        <v>52.045425</v>
      </c>
      <c r="Q112" t="n">
        <v>135.671609</v>
      </c>
      <c r="R112" t="n">
        <v>135.671609</v>
      </c>
      <c r="S112" t="n">
        <v>106.962478</v>
      </c>
      <c r="T112" t="n">
        <v>106.962478</v>
      </c>
      <c r="U112" t="n">
        <v>52.045425</v>
      </c>
      <c r="V112" t="n">
        <v>52.045425</v>
      </c>
      <c r="W112" t="n">
        <v>110.161718</v>
      </c>
      <c r="X112" t="n">
        <v>144.77438</v>
      </c>
    </row>
    <row r="113">
      <c r="A113" t="inlineStr">
        <is>
          <t>Glaucostegus granulatus</t>
        </is>
      </c>
      <c r="B113" t="n">
        <v>3.5</v>
      </c>
      <c r="C113" t="n">
        <v>316.227766</v>
      </c>
      <c r="D113" t="inlineStr">
        <is>
          <t>Skates &amp; Rays</t>
        </is>
      </c>
      <c r="E113" t="n">
        <v>106.362581</v>
      </c>
      <c r="F113" t="n">
        <v>378.025577</v>
      </c>
      <c r="G113" t="n">
        <v>59.545879</v>
      </c>
      <c r="H113" t="n">
        <v>236.053692</v>
      </c>
      <c r="I113" t="n">
        <v>2128.450324</v>
      </c>
      <c r="J113" t="n">
        <v>2171.723686</v>
      </c>
      <c r="K113" t="n">
        <v>1300.862488</v>
      </c>
      <c r="L113" t="n">
        <v>3126.185669</v>
      </c>
      <c r="M113" t="n">
        <v>3126.185669</v>
      </c>
      <c r="N113" t="n">
        <v>3126.185669</v>
      </c>
      <c r="O113" t="n">
        <v>887.634307</v>
      </c>
      <c r="P113" t="n">
        <v>357.542004</v>
      </c>
      <c r="Q113" t="n">
        <v>3126.185669</v>
      </c>
      <c r="R113" t="n">
        <v>3126.185669</v>
      </c>
      <c r="S113" t="n">
        <v>887.634307</v>
      </c>
      <c r="T113" t="n">
        <v>887.634307</v>
      </c>
      <c r="U113" t="n">
        <v>357.542004</v>
      </c>
      <c r="V113" t="n">
        <v>357.542004</v>
      </c>
      <c r="W113" t="n">
        <v>926.257871</v>
      </c>
      <c r="X113" t="n">
        <v>3406.854319</v>
      </c>
    </row>
    <row r="114">
      <c r="A114" t="inlineStr">
        <is>
          <t>Monacanthidae</t>
        </is>
      </c>
      <c r="B114" t="n">
        <v>3</v>
      </c>
      <c r="C114" t="n">
        <v>100</v>
      </c>
      <c r="D114" t="inlineStr">
        <is>
          <t>Med Benthic Carnivores</t>
        </is>
      </c>
      <c r="E114" t="n">
        <v>106.362581</v>
      </c>
      <c r="F114" t="n">
        <v>153.506319</v>
      </c>
      <c r="G114" t="n">
        <v>32.014124</v>
      </c>
      <c r="H114" t="n">
        <v>100.68782</v>
      </c>
      <c r="I114" t="n">
        <v>159.061371</v>
      </c>
      <c r="J114" t="n">
        <v>159.061371</v>
      </c>
      <c r="K114" t="n">
        <v>156.039205</v>
      </c>
      <c r="L114" t="n">
        <v>198.208223</v>
      </c>
      <c r="M114" t="n">
        <v>198.208223</v>
      </c>
      <c r="N114" t="n">
        <v>198.208223</v>
      </c>
      <c r="O114" t="n">
        <v>116.373231</v>
      </c>
      <c r="P114" t="n">
        <v>56.490526</v>
      </c>
      <c r="Q114" t="n">
        <v>198.208223</v>
      </c>
      <c r="R114" t="n">
        <v>198.208223</v>
      </c>
      <c r="S114" t="n">
        <v>116.373231</v>
      </c>
      <c r="T114" t="n">
        <v>116.373231</v>
      </c>
      <c r="U114" t="n">
        <v>56.490526</v>
      </c>
      <c r="V114" t="n">
        <v>56.490526</v>
      </c>
      <c r="W114" t="n">
        <v>120.80197</v>
      </c>
      <c r="X114" t="n">
        <v>213.813007</v>
      </c>
    </row>
    <row r="115">
      <c r="A115" t="inlineStr">
        <is>
          <t>Lutjanus argentimaculatus</t>
        </is>
      </c>
      <c r="B115" t="n">
        <v>3.58</v>
      </c>
      <c r="C115" t="n">
        <v>380.189396</v>
      </c>
      <c r="D115" t="inlineStr">
        <is>
          <t>Large Benthic Carnivores</t>
        </is>
      </c>
      <c r="E115" t="n">
        <v>106.362581</v>
      </c>
      <c r="F115" t="n">
        <v>1113.102078</v>
      </c>
      <c r="G115" t="n">
        <v>125.259096</v>
      </c>
      <c r="H115" t="n">
        <v>249.981248</v>
      </c>
      <c r="I115" t="n">
        <v>421.749845</v>
      </c>
      <c r="J115" t="n">
        <v>575.638232</v>
      </c>
      <c r="K115" t="n">
        <v>564.125467</v>
      </c>
      <c r="L115" t="n">
        <v>1114.691652</v>
      </c>
      <c r="M115" t="n">
        <v>1114.691652</v>
      </c>
      <c r="N115" t="n">
        <v>1114.691652</v>
      </c>
      <c r="O115" t="n">
        <v>635.9376559999999</v>
      </c>
      <c r="P115" t="n">
        <v>217.238675</v>
      </c>
      <c r="Q115" t="n">
        <v>1114.691652</v>
      </c>
      <c r="R115" t="n">
        <v>1114.691652</v>
      </c>
      <c r="S115" t="n">
        <v>635.9376559999999</v>
      </c>
      <c r="T115" t="n">
        <v>635.9376559999999</v>
      </c>
      <c r="U115" t="n">
        <v>217.238675</v>
      </c>
      <c r="V115" t="n">
        <v>217.238675</v>
      </c>
      <c r="W115" t="n">
        <v>686.067599</v>
      </c>
      <c r="X115" t="n">
        <v>1252.543178</v>
      </c>
    </row>
    <row r="116">
      <c r="A116" t="inlineStr">
        <is>
          <t>Chiloscyllium arabicum</t>
        </is>
      </c>
      <c r="B116" t="n">
        <v>4.06</v>
      </c>
      <c r="C116" t="n">
        <v>1148.153621</v>
      </c>
      <c r="D116" t="inlineStr">
        <is>
          <t>Sharks</t>
        </is>
      </c>
      <c r="E116" t="n">
        <v>106.362581</v>
      </c>
      <c r="F116" t="n">
        <v>2569.28922</v>
      </c>
      <c r="G116" t="n">
        <v>222.822151</v>
      </c>
      <c r="H116" t="n">
        <v>1308.685037</v>
      </c>
      <c r="I116" t="n">
        <v>1955.186859</v>
      </c>
      <c r="J116" t="n">
        <v>2007.418175</v>
      </c>
      <c r="K116" t="n">
        <v>1423.259486</v>
      </c>
      <c r="L116" t="n">
        <v>3930.042293</v>
      </c>
      <c r="M116" t="n">
        <v>3930.042293</v>
      </c>
      <c r="N116" t="n">
        <v>3930.042293</v>
      </c>
      <c r="O116" t="n">
        <v>1585.345045</v>
      </c>
      <c r="P116" t="n">
        <v>411.268522</v>
      </c>
      <c r="Q116" t="n">
        <v>3930.042293</v>
      </c>
      <c r="R116" t="n">
        <v>3930.042293</v>
      </c>
      <c r="S116" t="n">
        <v>1585.345045</v>
      </c>
      <c r="T116" t="n">
        <v>1585.345045</v>
      </c>
      <c r="U116" t="n">
        <v>411.268522</v>
      </c>
      <c r="V116" t="n">
        <v>411.268522</v>
      </c>
      <c r="W116" t="n">
        <v>1647.369658</v>
      </c>
      <c r="X116" t="n">
        <v>4507.362005</v>
      </c>
    </row>
    <row r="117">
      <c r="A117" t="inlineStr">
        <is>
          <t>Trichiuridae</t>
        </is>
      </c>
      <c r="B117" t="n">
        <v>4.15</v>
      </c>
      <c r="C117" t="n">
        <v>1412.537545</v>
      </c>
      <c r="D117" t="inlineStr">
        <is>
          <t>Large Benthopelagics</t>
        </is>
      </c>
      <c r="E117" t="n">
        <v>106.362581</v>
      </c>
      <c r="F117" t="n">
        <v>1254.298198</v>
      </c>
      <c r="G117" t="n">
        <v>135.995167</v>
      </c>
      <c r="H117" t="n">
        <v>530.875777</v>
      </c>
      <c r="I117" t="n">
        <v>1013.570171</v>
      </c>
      <c r="J117" t="n">
        <v>1067.730872</v>
      </c>
      <c r="K117" t="n">
        <v>1046.376254</v>
      </c>
      <c r="L117" t="n">
        <v>1918.226529</v>
      </c>
      <c r="M117" t="n">
        <v>1918.226529</v>
      </c>
      <c r="N117" t="n">
        <v>1918.226529</v>
      </c>
      <c r="O117" t="n">
        <v>1111.682878</v>
      </c>
      <c r="P117" t="n">
        <v>334.624507</v>
      </c>
      <c r="Q117" t="n">
        <v>1918.226529</v>
      </c>
      <c r="R117" t="n">
        <v>1918.226529</v>
      </c>
      <c r="S117" t="n">
        <v>1111.682878</v>
      </c>
      <c r="T117" t="n">
        <v>1111.682878</v>
      </c>
      <c r="U117" t="n">
        <v>334.624507</v>
      </c>
      <c r="V117" t="n">
        <v>334.624507</v>
      </c>
      <c r="W117" t="n">
        <v>1176.051346</v>
      </c>
      <c r="X117" t="n">
        <v>2155.084899</v>
      </c>
    </row>
    <row r="118">
      <c r="A118" t="inlineStr">
        <is>
          <t>Himantura uarnak</t>
        </is>
      </c>
      <c r="B118" t="n">
        <v>3.6</v>
      </c>
      <c r="C118" t="n">
        <v>398.107171</v>
      </c>
      <c r="D118" t="inlineStr">
        <is>
          <t>Skates &amp; Rays</t>
        </is>
      </c>
      <c r="E118" t="n">
        <v>106.362581</v>
      </c>
      <c r="F118" t="n">
        <v>378.025577</v>
      </c>
      <c r="G118" t="n">
        <v>59.545879</v>
      </c>
      <c r="H118" t="n">
        <v>236.053692</v>
      </c>
      <c r="I118" t="n">
        <v>2128.450324</v>
      </c>
      <c r="J118" t="n">
        <v>2171.723686</v>
      </c>
      <c r="K118" t="n">
        <v>1300.862488</v>
      </c>
      <c r="L118" t="n">
        <v>3126.185669</v>
      </c>
      <c r="M118" t="n">
        <v>3126.185669</v>
      </c>
      <c r="N118" t="n">
        <v>3126.185669</v>
      </c>
      <c r="O118" t="n">
        <v>887.634307</v>
      </c>
      <c r="P118" t="n">
        <v>357.542004</v>
      </c>
      <c r="Q118" t="n">
        <v>3126.185669</v>
      </c>
      <c r="R118" t="n">
        <v>3126.185669</v>
      </c>
      <c r="S118" t="n">
        <v>887.634307</v>
      </c>
      <c r="T118" t="n">
        <v>887.634307</v>
      </c>
      <c r="U118" t="n">
        <v>357.542004</v>
      </c>
      <c r="V118" t="n">
        <v>357.542004</v>
      </c>
      <c r="W118" t="n">
        <v>926.257871</v>
      </c>
      <c r="X118" t="n">
        <v>3406.854319</v>
      </c>
    </row>
    <row r="119">
      <c r="A119" t="inlineStr">
        <is>
          <t>Saurida</t>
        </is>
      </c>
      <c r="B119" t="n">
        <v>4.35</v>
      </c>
      <c r="C119" t="n">
        <v>2238.721139</v>
      </c>
      <c r="D119" t="inlineStr">
        <is>
          <t>Large Benthic Carnivores</t>
        </is>
      </c>
      <c r="E119" t="n">
        <v>106.362581</v>
      </c>
      <c r="F119" t="n">
        <v>1113.102078</v>
      </c>
      <c r="G119" t="n">
        <v>125.259096</v>
      </c>
      <c r="H119" t="n">
        <v>249.981248</v>
      </c>
      <c r="I119" t="n">
        <v>421.749845</v>
      </c>
      <c r="J119" t="n">
        <v>575.638232</v>
      </c>
      <c r="K119" t="n">
        <v>564.125467</v>
      </c>
      <c r="L119" t="n">
        <v>1114.691652</v>
      </c>
      <c r="M119" t="n">
        <v>1114.691652</v>
      </c>
      <c r="N119" t="n">
        <v>1114.691652</v>
      </c>
      <c r="O119" t="n">
        <v>635.9376559999999</v>
      </c>
      <c r="P119" t="n">
        <v>217.238675</v>
      </c>
      <c r="Q119" t="n">
        <v>1114.691652</v>
      </c>
      <c r="R119" t="n">
        <v>1114.691652</v>
      </c>
      <c r="S119" t="n">
        <v>635.9376559999999</v>
      </c>
      <c r="T119" t="n">
        <v>635.9376559999999</v>
      </c>
      <c r="U119" t="n">
        <v>217.238675</v>
      </c>
      <c r="V119" t="n">
        <v>217.238675</v>
      </c>
      <c r="W119" t="n">
        <v>686.067599</v>
      </c>
      <c r="X119" t="n">
        <v>1252.543178</v>
      </c>
    </row>
    <row r="120">
      <c r="A120" t="inlineStr">
        <is>
          <t>Planiliza klunzingeri</t>
        </is>
      </c>
      <c r="B120" t="n">
        <v>2.63</v>
      </c>
      <c r="C120" t="n">
        <v>42.657952</v>
      </c>
      <c r="D120" t="inlineStr">
        <is>
          <t>Benthic Omnivores</t>
        </is>
      </c>
      <c r="E120" t="n">
        <v>106.362581</v>
      </c>
      <c r="F120" t="n">
        <v>34.853983</v>
      </c>
      <c r="G120" t="n">
        <v>11.533933</v>
      </c>
      <c r="H120" t="n">
        <v>23.954598</v>
      </c>
      <c r="I120" t="n">
        <v>122.110584</v>
      </c>
      <c r="J120" t="n">
        <v>122.110584</v>
      </c>
      <c r="K120" t="n">
        <v>119.668372</v>
      </c>
      <c r="L120" t="n">
        <v>234.326211</v>
      </c>
      <c r="M120" t="n">
        <v>234.326211</v>
      </c>
      <c r="N120" t="n">
        <v>234.326211</v>
      </c>
      <c r="O120" t="n">
        <v>32.574396</v>
      </c>
      <c r="P120" t="n">
        <v>28.191927</v>
      </c>
      <c r="Q120" t="n">
        <v>234.326211</v>
      </c>
      <c r="R120" t="n">
        <v>234.326211</v>
      </c>
      <c r="S120" t="n">
        <v>32.574396</v>
      </c>
      <c r="T120" t="n">
        <v>32.574396</v>
      </c>
      <c r="U120" t="n">
        <v>28.191927</v>
      </c>
      <c r="V120" t="n">
        <v>28.191927</v>
      </c>
      <c r="W120" t="n">
        <v>34.709256</v>
      </c>
      <c r="X120" t="n">
        <v>257.01226</v>
      </c>
    </row>
    <row r="121">
      <c r="A121" t="inlineStr">
        <is>
          <t>Scomberomorus</t>
        </is>
      </c>
      <c r="B121" t="n">
        <v>4.35</v>
      </c>
      <c r="C121" t="n">
        <v>2238.721139</v>
      </c>
      <c r="D121" t="inlineStr">
        <is>
          <t>Large Pelagics</t>
        </is>
      </c>
      <c r="E121" t="n">
        <v>106.362581</v>
      </c>
      <c r="F121" t="n">
        <v>1182.417917</v>
      </c>
      <c r="G121" t="n">
        <v>130.579526</v>
      </c>
      <c r="H121" t="n">
        <v>655.098468</v>
      </c>
      <c r="I121" t="n">
        <v>848.885192</v>
      </c>
      <c r="J121" t="n">
        <v>883.261112</v>
      </c>
      <c r="K121" t="n">
        <v>865.5958890000001</v>
      </c>
      <c r="L121" t="n">
        <v>1961.116323</v>
      </c>
      <c r="M121" t="n">
        <v>1961.116323</v>
      </c>
      <c r="N121" t="n">
        <v>1961.116323</v>
      </c>
      <c r="O121" t="n">
        <v>1097.797369</v>
      </c>
      <c r="P121" t="n">
        <v>300.80342</v>
      </c>
      <c r="Q121" t="n">
        <v>1961.116323</v>
      </c>
      <c r="R121" t="n">
        <v>1961.116323</v>
      </c>
      <c r="S121" t="n">
        <v>1097.797369</v>
      </c>
      <c r="T121" t="n">
        <v>1097.797369</v>
      </c>
      <c r="U121" t="n">
        <v>300.80342</v>
      </c>
      <c r="V121" t="n">
        <v>300.80342</v>
      </c>
      <c r="W121" t="n">
        <v>1171.90733</v>
      </c>
      <c r="X121" t="n">
        <v>2200.248768</v>
      </c>
    </row>
    <row r="122">
      <c r="A122" t="inlineStr">
        <is>
          <t>Istiophorus platypterus</t>
        </is>
      </c>
      <c r="B122" t="n">
        <v>4.5</v>
      </c>
      <c r="C122" t="n">
        <v>3162.27766</v>
      </c>
      <c r="D122" t="inlineStr">
        <is>
          <t>Large Pelagics</t>
        </is>
      </c>
      <c r="E122" t="n">
        <v>106.362581</v>
      </c>
      <c r="F122" t="n">
        <v>1182.417917</v>
      </c>
      <c r="G122" t="n">
        <v>130.579526</v>
      </c>
      <c r="H122" t="n">
        <v>655.098468</v>
      </c>
      <c r="I122" t="n">
        <v>848.885192</v>
      </c>
      <c r="J122" t="n">
        <v>883.261112</v>
      </c>
      <c r="K122" t="n">
        <v>865.5958890000001</v>
      </c>
      <c r="L122" t="n">
        <v>1961.116323</v>
      </c>
      <c r="M122" t="n">
        <v>1961.116323</v>
      </c>
      <c r="N122" t="n">
        <v>1961.116323</v>
      </c>
      <c r="O122" t="n">
        <v>1097.797369</v>
      </c>
      <c r="P122" t="n">
        <v>300.80342</v>
      </c>
      <c r="Q122" t="n">
        <v>1961.116323</v>
      </c>
      <c r="R122" t="n">
        <v>1961.116323</v>
      </c>
      <c r="S122" t="n">
        <v>1097.797369</v>
      </c>
      <c r="T122" t="n">
        <v>1097.797369</v>
      </c>
      <c r="U122" t="n">
        <v>300.80342</v>
      </c>
      <c r="V122" t="n">
        <v>300.80342</v>
      </c>
      <c r="W122" t="n">
        <v>1171.90733</v>
      </c>
      <c r="X122" t="n">
        <v>2200.248768</v>
      </c>
    </row>
    <row r="123">
      <c r="A123" t="inlineStr">
        <is>
          <t>Megalaspis cordyla</t>
        </is>
      </c>
      <c r="B123" t="n">
        <v>4.24</v>
      </c>
      <c r="C123" t="n">
        <v>1737.800829</v>
      </c>
      <c r="D123" t="inlineStr">
        <is>
          <t>Large Benthopelagics</t>
        </is>
      </c>
      <c r="E123" t="n">
        <v>106.362581</v>
      </c>
      <c r="F123" t="n">
        <v>1254.298198</v>
      </c>
      <c r="G123" t="n">
        <v>135.995167</v>
      </c>
      <c r="H123" t="n">
        <v>530.875777</v>
      </c>
      <c r="I123" t="n">
        <v>1013.570171</v>
      </c>
      <c r="J123" t="n">
        <v>1067.730872</v>
      </c>
      <c r="K123" t="n">
        <v>1046.376254</v>
      </c>
      <c r="L123" t="n">
        <v>1918.226529</v>
      </c>
      <c r="M123" t="n">
        <v>1918.226529</v>
      </c>
      <c r="N123" t="n">
        <v>1918.226529</v>
      </c>
      <c r="O123" t="n">
        <v>1111.682878</v>
      </c>
      <c r="P123" t="n">
        <v>334.624507</v>
      </c>
      <c r="Q123" t="n">
        <v>1918.226529</v>
      </c>
      <c r="R123" t="n">
        <v>1918.226529</v>
      </c>
      <c r="S123" t="n">
        <v>1111.682878</v>
      </c>
      <c r="T123" t="n">
        <v>1111.682878</v>
      </c>
      <c r="U123" t="n">
        <v>334.624507</v>
      </c>
      <c r="V123" t="n">
        <v>334.624507</v>
      </c>
      <c r="W123" t="n">
        <v>1176.051346</v>
      </c>
      <c r="X123" t="n">
        <v>2155.084899</v>
      </c>
    </row>
    <row r="124">
      <c r="A124" t="inlineStr">
        <is>
          <t>Placuna placenta</t>
        </is>
      </c>
      <c r="B124" t="n">
        <v>2.41</v>
      </c>
      <c r="C124" t="n">
        <v>25.703958</v>
      </c>
      <c r="D124" t="inlineStr">
        <is>
          <t>Heterotrophic Benthos</t>
        </is>
      </c>
      <c r="E124" t="n">
        <v>106.362581</v>
      </c>
      <c r="F124" t="n">
        <v>19.947374</v>
      </c>
      <c r="G124" t="n">
        <v>7.853921</v>
      </c>
      <c r="H124" t="n">
        <v>13.270207</v>
      </c>
      <c r="I124" t="n">
        <v>123.888042</v>
      </c>
      <c r="J124" t="n">
        <v>123.888042</v>
      </c>
      <c r="K124" t="n">
        <v>15.362117</v>
      </c>
      <c r="L124" t="n">
        <v>260.720597</v>
      </c>
      <c r="M124" t="n">
        <v>260.720597</v>
      </c>
      <c r="N124" t="n">
        <v>260.720597</v>
      </c>
      <c r="O124" t="n">
        <v>19.314018</v>
      </c>
      <c r="P124" t="n">
        <v>17.703696</v>
      </c>
      <c r="Q124" t="n">
        <v>260.720597</v>
      </c>
      <c r="R124" t="n">
        <v>260.720597</v>
      </c>
      <c r="S124" t="n">
        <v>19.314018</v>
      </c>
      <c r="T124" t="n">
        <v>19.314018</v>
      </c>
      <c r="U124" t="n">
        <v>17.703696</v>
      </c>
      <c r="V124" t="n">
        <v>17.703696</v>
      </c>
      <c r="W124" t="n">
        <v>20.650834</v>
      </c>
      <c r="X124" t="n">
        <v>285.015306</v>
      </c>
    </row>
    <row r="125">
      <c r="A125" t="inlineStr">
        <is>
          <t>Lutjanus</t>
        </is>
      </c>
      <c r="B125" t="n">
        <v>4.02</v>
      </c>
      <c r="C125" t="n">
        <v>1047.128548</v>
      </c>
      <c r="D125" t="inlineStr">
        <is>
          <t>Large Benthic Carnivores</t>
        </is>
      </c>
      <c r="E125" t="n">
        <v>106.362581</v>
      </c>
      <c r="F125" t="n">
        <v>1113.102078</v>
      </c>
      <c r="G125" t="n">
        <v>125.259096</v>
      </c>
      <c r="H125" t="n">
        <v>249.981248</v>
      </c>
      <c r="I125" t="n">
        <v>421.749845</v>
      </c>
      <c r="J125" t="n">
        <v>575.638232</v>
      </c>
      <c r="K125" t="n">
        <v>564.125467</v>
      </c>
      <c r="L125" t="n">
        <v>1114.691652</v>
      </c>
      <c r="M125" t="n">
        <v>1114.691652</v>
      </c>
      <c r="N125" t="n">
        <v>1114.691652</v>
      </c>
      <c r="O125" t="n">
        <v>635.9376559999999</v>
      </c>
      <c r="P125" t="n">
        <v>217.238675</v>
      </c>
      <c r="Q125" t="n">
        <v>1114.691652</v>
      </c>
      <c r="R125" t="n">
        <v>1114.691652</v>
      </c>
      <c r="S125" t="n">
        <v>635.9376559999999</v>
      </c>
      <c r="T125" t="n">
        <v>635.9376559999999</v>
      </c>
      <c r="U125" t="n">
        <v>217.238675</v>
      </c>
      <c r="V125" t="n">
        <v>217.238675</v>
      </c>
      <c r="W125" t="n">
        <v>686.067599</v>
      </c>
      <c r="X125" t="n">
        <v>1252.543178</v>
      </c>
    </row>
    <row r="126">
      <c r="A126" t="inlineStr">
        <is>
          <t>Metapenaeus affinis</t>
        </is>
      </c>
      <c r="B126" t="n">
        <v>3.44</v>
      </c>
      <c r="C126" t="n">
        <v>275.42287</v>
      </c>
      <c r="D126" t="inlineStr">
        <is>
          <t>Shrimps</t>
        </is>
      </c>
      <c r="E126" t="n">
        <v>106.362581</v>
      </c>
      <c r="F126" t="n">
        <v>102.724644</v>
      </c>
      <c r="G126" t="n">
        <v>24.278186</v>
      </c>
      <c r="H126" t="n">
        <v>49.254496</v>
      </c>
      <c r="I126" t="n">
        <v>47.332503</v>
      </c>
      <c r="J126" t="n">
        <v>47.332503</v>
      </c>
      <c r="K126" t="n">
        <v>46.385853</v>
      </c>
      <c r="L126" t="n">
        <v>49.861086</v>
      </c>
      <c r="M126" t="n">
        <v>49.861086</v>
      </c>
      <c r="N126" t="n">
        <v>49.861086</v>
      </c>
      <c r="O126" t="n">
        <v>41.277787</v>
      </c>
      <c r="P126" t="n">
        <v>24.793452</v>
      </c>
      <c r="Q126" t="n">
        <v>49.861086</v>
      </c>
      <c r="R126" t="n">
        <v>49.861086</v>
      </c>
      <c r="S126" t="n">
        <v>41.277787</v>
      </c>
      <c r="T126" t="n">
        <v>41.277787</v>
      </c>
      <c r="U126" t="n">
        <v>24.793452</v>
      </c>
      <c r="V126" t="n">
        <v>24.793452</v>
      </c>
      <c r="W126" t="n">
        <v>43.911832</v>
      </c>
      <c r="X126" t="n">
        <v>53.47357</v>
      </c>
    </row>
    <row r="127">
      <c r="A127" t="inlineStr">
        <is>
          <t>Muraenesox cinereus</t>
        </is>
      </c>
      <c r="B127" t="n">
        <v>4.38</v>
      </c>
      <c r="C127" t="n">
        <v>2398.832919</v>
      </c>
      <c r="D127" t="inlineStr">
        <is>
          <t>Large Benthic Carnivores</t>
        </is>
      </c>
      <c r="E127" t="n">
        <v>106.362581</v>
      </c>
      <c r="F127" t="n">
        <v>1113.102078</v>
      </c>
      <c r="G127" t="n">
        <v>125.259096</v>
      </c>
      <c r="H127" t="n">
        <v>249.981248</v>
      </c>
      <c r="I127" t="n">
        <v>421.749845</v>
      </c>
      <c r="J127" t="n">
        <v>575.638232</v>
      </c>
      <c r="K127" t="n">
        <v>564.125467</v>
      </c>
      <c r="L127" t="n">
        <v>1114.691652</v>
      </c>
      <c r="M127" t="n">
        <v>1114.691652</v>
      </c>
      <c r="N127" t="n">
        <v>1114.691652</v>
      </c>
      <c r="O127" t="n">
        <v>635.9376559999999</v>
      </c>
      <c r="P127" t="n">
        <v>217.238675</v>
      </c>
      <c r="Q127" t="n">
        <v>1114.691652</v>
      </c>
      <c r="R127" t="n">
        <v>1114.691652</v>
      </c>
      <c r="S127" t="n">
        <v>635.9376559999999</v>
      </c>
      <c r="T127" t="n">
        <v>635.9376559999999</v>
      </c>
      <c r="U127" t="n">
        <v>217.238675</v>
      </c>
      <c r="V127" t="n">
        <v>217.238675</v>
      </c>
      <c r="W127" t="n">
        <v>686.067599</v>
      </c>
      <c r="X127" t="n">
        <v>1252.543178</v>
      </c>
    </row>
    <row r="128">
      <c r="A128" t="inlineStr">
        <is>
          <t>Muraenesocidae</t>
        </is>
      </c>
      <c r="B128" t="n">
        <v>3.9</v>
      </c>
      <c r="C128" t="n">
        <v>794.3282349999999</v>
      </c>
      <c r="D128" t="inlineStr">
        <is>
          <t>Large Benthic Carnivores</t>
        </is>
      </c>
      <c r="E128" t="n">
        <v>106.362581</v>
      </c>
      <c r="F128" t="n">
        <v>1113.102078</v>
      </c>
      <c r="G128" t="n">
        <v>125.259096</v>
      </c>
      <c r="H128" t="n">
        <v>249.981248</v>
      </c>
      <c r="I128" t="n">
        <v>421.749845</v>
      </c>
      <c r="J128" t="n">
        <v>575.638232</v>
      </c>
      <c r="K128" t="n">
        <v>564.125467</v>
      </c>
      <c r="L128" t="n">
        <v>1114.691652</v>
      </c>
      <c r="M128" t="n">
        <v>1114.691652</v>
      </c>
      <c r="N128" t="n">
        <v>1114.691652</v>
      </c>
      <c r="O128" t="n">
        <v>635.9376559999999</v>
      </c>
      <c r="P128" t="n">
        <v>217.238675</v>
      </c>
      <c r="Q128" t="n">
        <v>1114.691652</v>
      </c>
      <c r="R128" t="n">
        <v>1114.691652</v>
      </c>
      <c r="S128" t="n">
        <v>635.9376559999999</v>
      </c>
      <c r="T128" t="n">
        <v>635.9376559999999</v>
      </c>
      <c r="U128" t="n">
        <v>217.238675</v>
      </c>
      <c r="V128" t="n">
        <v>217.238675</v>
      </c>
      <c r="W128" t="n">
        <v>686.067599</v>
      </c>
      <c r="X128" t="n">
        <v>1252.543178</v>
      </c>
    </row>
    <row r="129">
      <c r="A129" t="inlineStr">
        <is>
          <t>Auxis thazard</t>
        </is>
      </c>
      <c r="B129" t="n">
        <v>4.37</v>
      </c>
      <c r="C129" t="n">
        <v>2344.228815</v>
      </c>
      <c r="D129" t="inlineStr">
        <is>
          <t>Tunas</t>
        </is>
      </c>
      <c r="E129" t="n">
        <v>106.362581</v>
      </c>
      <c r="F129" t="n">
        <v>1377.951482</v>
      </c>
      <c r="G129" t="n">
        <v>145.091076</v>
      </c>
      <c r="H129" t="n">
        <v>354.016089</v>
      </c>
      <c r="I129" t="n">
        <v>804.627355</v>
      </c>
      <c r="J129" t="n">
        <v>818.1011109999999</v>
      </c>
      <c r="K129" t="n">
        <v>575.125081</v>
      </c>
      <c r="L129" t="n">
        <v>970.782826</v>
      </c>
      <c r="M129" t="n">
        <v>970.782826</v>
      </c>
      <c r="N129" t="n">
        <v>970.782826</v>
      </c>
      <c r="O129" t="n">
        <v>487.056907</v>
      </c>
      <c r="P129" t="n">
        <v>182.863315</v>
      </c>
      <c r="Q129" t="n">
        <v>970.782826</v>
      </c>
      <c r="R129" t="n">
        <v>970.782826</v>
      </c>
      <c r="S129" t="n">
        <v>487.056907</v>
      </c>
      <c r="T129" t="n">
        <v>487.056907</v>
      </c>
      <c r="U129" t="n">
        <v>182.863315</v>
      </c>
      <c r="V129" t="n">
        <v>182.863315</v>
      </c>
      <c r="W129" t="n">
        <v>514.9785419999999</v>
      </c>
      <c r="X129" t="n">
        <v>1083.073415</v>
      </c>
    </row>
    <row r="130">
      <c r="A130" t="inlineStr">
        <is>
          <t>Lutjanus malabaricus</t>
        </is>
      </c>
      <c r="B130" t="n">
        <v>4.48</v>
      </c>
      <c r="C130" t="n">
        <v>3019.95172</v>
      </c>
      <c r="D130" t="inlineStr">
        <is>
          <t>Large Benthic Carnivores</t>
        </is>
      </c>
      <c r="E130" t="n">
        <v>106.362581</v>
      </c>
      <c r="F130" t="n">
        <v>1113.102078</v>
      </c>
      <c r="G130" t="n">
        <v>125.259096</v>
      </c>
      <c r="H130" t="n">
        <v>249.981248</v>
      </c>
      <c r="I130" t="n">
        <v>421.749845</v>
      </c>
      <c r="J130" t="n">
        <v>575.638232</v>
      </c>
      <c r="K130" t="n">
        <v>564.125467</v>
      </c>
      <c r="L130" t="n">
        <v>1114.691652</v>
      </c>
      <c r="M130" t="n">
        <v>1114.691652</v>
      </c>
      <c r="N130" t="n">
        <v>1114.691652</v>
      </c>
      <c r="O130" t="n">
        <v>635.9376559999999</v>
      </c>
      <c r="P130" t="n">
        <v>217.238675</v>
      </c>
      <c r="Q130" t="n">
        <v>1114.691652</v>
      </c>
      <c r="R130" t="n">
        <v>1114.691652</v>
      </c>
      <c r="S130" t="n">
        <v>635.9376559999999</v>
      </c>
      <c r="T130" t="n">
        <v>635.9376559999999</v>
      </c>
      <c r="U130" t="n">
        <v>217.238675</v>
      </c>
      <c r="V130" t="n">
        <v>217.238675</v>
      </c>
      <c r="W130" t="n">
        <v>686.067599</v>
      </c>
      <c r="X130" t="n">
        <v>1252.543178</v>
      </c>
    </row>
    <row r="131">
      <c r="A131" t="inlineStr">
        <is>
          <t>Congresox talabonoides</t>
        </is>
      </c>
      <c r="B131" t="n">
        <v>4.3</v>
      </c>
      <c r="C131" t="n">
        <v>1995.262315</v>
      </c>
      <c r="D131" t="inlineStr">
        <is>
          <t>Large Benthic Carnivores</t>
        </is>
      </c>
      <c r="E131" t="n">
        <v>106.362581</v>
      </c>
      <c r="F131" t="n">
        <v>1113.102078</v>
      </c>
      <c r="G131" t="n">
        <v>125.259096</v>
      </c>
      <c r="H131" t="n">
        <v>249.981248</v>
      </c>
      <c r="I131" t="n">
        <v>421.749845</v>
      </c>
      <c r="J131" t="n">
        <v>575.638232</v>
      </c>
      <c r="K131" t="n">
        <v>564.125467</v>
      </c>
      <c r="L131" t="n">
        <v>1114.691652</v>
      </c>
      <c r="M131" t="n">
        <v>1114.691652</v>
      </c>
      <c r="N131" t="n">
        <v>1114.691652</v>
      </c>
      <c r="O131" t="n">
        <v>635.9376559999999</v>
      </c>
      <c r="P131" t="n">
        <v>217.238675</v>
      </c>
      <c r="Q131" t="n">
        <v>1114.691652</v>
      </c>
      <c r="R131" t="n">
        <v>1114.691652</v>
      </c>
      <c r="S131" t="n">
        <v>635.9376559999999</v>
      </c>
      <c r="T131" t="n">
        <v>635.9376559999999</v>
      </c>
      <c r="U131" t="n">
        <v>217.238675</v>
      </c>
      <c r="V131" t="n">
        <v>217.238675</v>
      </c>
      <c r="W131" t="n">
        <v>686.067599</v>
      </c>
      <c r="X131" t="n">
        <v>1252.543178</v>
      </c>
    </row>
    <row r="132">
      <c r="A132" t="inlineStr">
        <is>
          <t>Lethrinus lentjan</t>
        </is>
      </c>
      <c r="B132" t="n">
        <v>3.94</v>
      </c>
      <c r="C132" t="n">
        <v>870.96359</v>
      </c>
      <c r="D132" t="inlineStr">
        <is>
          <t>Large Benthic Carnivores</t>
        </is>
      </c>
      <c r="E132" t="n">
        <v>106.362581</v>
      </c>
      <c r="F132" t="n">
        <v>1113.102078</v>
      </c>
      <c r="G132" t="n">
        <v>125.259096</v>
      </c>
      <c r="H132" t="n">
        <v>249.981248</v>
      </c>
      <c r="I132" t="n">
        <v>421.749845</v>
      </c>
      <c r="J132" t="n">
        <v>575.638232</v>
      </c>
      <c r="K132" t="n">
        <v>564.125467</v>
      </c>
      <c r="L132" t="n">
        <v>1114.691652</v>
      </c>
      <c r="M132" t="n">
        <v>1114.691652</v>
      </c>
      <c r="N132" t="n">
        <v>1114.691652</v>
      </c>
      <c r="O132" t="n">
        <v>635.9376559999999</v>
      </c>
      <c r="P132" t="n">
        <v>217.238675</v>
      </c>
      <c r="Q132" t="n">
        <v>1114.691652</v>
      </c>
      <c r="R132" t="n">
        <v>1114.691652</v>
      </c>
      <c r="S132" t="n">
        <v>635.9376559999999</v>
      </c>
      <c r="T132" t="n">
        <v>635.9376559999999</v>
      </c>
      <c r="U132" t="n">
        <v>217.238675</v>
      </c>
      <c r="V132" t="n">
        <v>217.238675</v>
      </c>
      <c r="W132" t="n">
        <v>686.067599</v>
      </c>
      <c r="X132" t="n">
        <v>1252.543178</v>
      </c>
    </row>
    <row r="133">
      <c r="A133" t="inlineStr">
        <is>
          <t>Parapenaeopsis stylifera</t>
        </is>
      </c>
      <c r="B133" t="n">
        <v>2.66</v>
      </c>
      <c r="C133" t="n">
        <v>45.708819</v>
      </c>
      <c r="D133" t="inlineStr">
        <is>
          <t>Shrimps</t>
        </is>
      </c>
      <c r="E133" t="n">
        <v>106.362581</v>
      </c>
      <c r="F133" t="n">
        <v>102.724644</v>
      </c>
      <c r="G133" t="n">
        <v>24.278186</v>
      </c>
      <c r="H133" t="n">
        <v>49.254496</v>
      </c>
      <c r="I133" t="n">
        <v>47.332503</v>
      </c>
      <c r="J133" t="n">
        <v>47.332503</v>
      </c>
      <c r="K133" t="n">
        <v>46.385853</v>
      </c>
      <c r="L133" t="n">
        <v>49.861086</v>
      </c>
      <c r="M133" t="n">
        <v>49.861086</v>
      </c>
      <c r="N133" t="n">
        <v>49.861086</v>
      </c>
      <c r="O133" t="n">
        <v>41.277787</v>
      </c>
      <c r="P133" t="n">
        <v>24.793452</v>
      </c>
      <c r="Q133" t="n">
        <v>49.861086</v>
      </c>
      <c r="R133" t="n">
        <v>49.861086</v>
      </c>
      <c r="S133" t="n">
        <v>41.277787</v>
      </c>
      <c r="T133" t="n">
        <v>41.277787</v>
      </c>
      <c r="U133" t="n">
        <v>24.793452</v>
      </c>
      <c r="V133" t="n">
        <v>24.793452</v>
      </c>
      <c r="W133" t="n">
        <v>43.911832</v>
      </c>
      <c r="X133" t="n">
        <v>53.47357</v>
      </c>
    </row>
    <row r="134">
      <c r="A134" t="inlineStr">
        <is>
          <t>Aetobatus narinari</t>
        </is>
      </c>
      <c r="B134" t="n">
        <v>4.17</v>
      </c>
      <c r="C134" t="n">
        <v>1479.108388</v>
      </c>
      <c r="D134" t="inlineStr">
        <is>
          <t>Skates &amp; Rays</t>
        </is>
      </c>
      <c r="E134" t="n">
        <v>106.362581</v>
      </c>
      <c r="F134" t="n">
        <v>378.025577</v>
      </c>
      <c r="G134" t="n">
        <v>59.545879</v>
      </c>
      <c r="H134" t="n">
        <v>236.053692</v>
      </c>
      <c r="I134" t="n">
        <v>2128.450324</v>
      </c>
      <c r="J134" t="n">
        <v>2171.723686</v>
      </c>
      <c r="K134" t="n">
        <v>1300.862488</v>
      </c>
      <c r="L134" t="n">
        <v>3126.185669</v>
      </c>
      <c r="M134" t="n">
        <v>3126.185669</v>
      </c>
      <c r="N134" t="n">
        <v>3126.185669</v>
      </c>
      <c r="O134" t="n">
        <v>887.634307</v>
      </c>
      <c r="P134" t="n">
        <v>357.542004</v>
      </c>
      <c r="Q134" t="n">
        <v>3126.185669</v>
      </c>
      <c r="R134" t="n">
        <v>3126.185669</v>
      </c>
      <c r="S134" t="n">
        <v>887.634307</v>
      </c>
      <c r="T134" t="n">
        <v>887.634307</v>
      </c>
      <c r="U134" t="n">
        <v>357.542004</v>
      </c>
      <c r="V134" t="n">
        <v>357.542004</v>
      </c>
      <c r="W134" t="n">
        <v>926.257871</v>
      </c>
      <c r="X134" t="n">
        <v>3406.854319</v>
      </c>
    </row>
    <row r="135">
      <c r="A135" t="inlineStr">
        <is>
          <t>Pastinachus sephen</t>
        </is>
      </c>
      <c r="B135" t="n">
        <v>3.71</v>
      </c>
      <c r="C135" t="n">
        <v>512.861384</v>
      </c>
      <c r="D135" t="inlineStr">
        <is>
          <t>Skates &amp; Rays</t>
        </is>
      </c>
      <c r="E135" t="n">
        <v>106.362581</v>
      </c>
      <c r="F135" t="n">
        <v>378.025577</v>
      </c>
      <c r="G135" t="n">
        <v>59.545879</v>
      </c>
      <c r="H135" t="n">
        <v>236.053692</v>
      </c>
      <c r="I135" t="n">
        <v>2128.450324</v>
      </c>
      <c r="J135" t="n">
        <v>2171.723686</v>
      </c>
      <c r="K135" t="n">
        <v>1300.862488</v>
      </c>
      <c r="L135" t="n">
        <v>3126.185669</v>
      </c>
      <c r="M135" t="n">
        <v>3126.185669</v>
      </c>
      <c r="N135" t="n">
        <v>3126.185669</v>
      </c>
      <c r="O135" t="n">
        <v>887.634307</v>
      </c>
      <c r="P135" t="n">
        <v>357.542004</v>
      </c>
      <c r="Q135" t="n">
        <v>3126.185669</v>
      </c>
      <c r="R135" t="n">
        <v>3126.185669</v>
      </c>
      <c r="S135" t="n">
        <v>887.634307</v>
      </c>
      <c r="T135" t="n">
        <v>887.634307</v>
      </c>
      <c r="U135" t="n">
        <v>357.542004</v>
      </c>
      <c r="V135" t="n">
        <v>357.542004</v>
      </c>
      <c r="W135" t="n">
        <v>926.257871</v>
      </c>
      <c r="X135" t="n">
        <v>3406.854319</v>
      </c>
    </row>
    <row r="136">
      <c r="A136" t="inlineStr">
        <is>
          <t>Aetomylaeus nichofii</t>
        </is>
      </c>
      <c r="B136" t="n">
        <v>3.76</v>
      </c>
      <c r="C136" t="n">
        <v>575.439937</v>
      </c>
      <c r="D136" t="inlineStr">
        <is>
          <t>Skates &amp; Rays</t>
        </is>
      </c>
      <c r="E136" t="n">
        <v>106.362581</v>
      </c>
      <c r="F136" t="n">
        <v>378.025577</v>
      </c>
      <c r="G136" t="n">
        <v>59.545879</v>
      </c>
      <c r="H136" t="n">
        <v>236.053692</v>
      </c>
      <c r="I136" t="n">
        <v>2128.450324</v>
      </c>
      <c r="J136" t="n">
        <v>2171.723686</v>
      </c>
      <c r="K136" t="n">
        <v>1300.862488</v>
      </c>
      <c r="L136" t="n">
        <v>3126.185669</v>
      </c>
      <c r="M136" t="n">
        <v>3126.185669</v>
      </c>
      <c r="N136" t="n">
        <v>3126.185669</v>
      </c>
      <c r="O136" t="n">
        <v>887.634307</v>
      </c>
      <c r="P136" t="n">
        <v>357.542004</v>
      </c>
      <c r="Q136" t="n">
        <v>3126.185669</v>
      </c>
      <c r="R136" t="n">
        <v>3126.185669</v>
      </c>
      <c r="S136" t="n">
        <v>887.634307</v>
      </c>
      <c r="T136" t="n">
        <v>887.634307</v>
      </c>
      <c r="U136" t="n">
        <v>357.542004</v>
      </c>
      <c r="V136" t="n">
        <v>357.542004</v>
      </c>
      <c r="W136" t="n">
        <v>926.257871</v>
      </c>
      <c r="X136" t="n">
        <v>3406.854319</v>
      </c>
    </row>
    <row r="137">
      <c r="A137" t="inlineStr">
        <is>
          <t>Aetomylaeus maculatus</t>
        </is>
      </c>
      <c r="B137" t="n">
        <v>3.8</v>
      </c>
      <c r="C137" t="n">
        <v>630.957344</v>
      </c>
      <c r="D137" t="inlineStr">
        <is>
          <t>Skates &amp; Rays</t>
        </is>
      </c>
      <c r="E137" t="n">
        <v>106.362581</v>
      </c>
      <c r="F137" t="n">
        <v>378.025577</v>
      </c>
      <c r="G137" t="n">
        <v>59.545879</v>
      </c>
      <c r="H137" t="n">
        <v>236.053692</v>
      </c>
      <c r="I137" t="n">
        <v>2128.450324</v>
      </c>
      <c r="J137" t="n">
        <v>2171.723686</v>
      </c>
      <c r="K137" t="n">
        <v>1300.862488</v>
      </c>
      <c r="L137" t="n">
        <v>3126.185669</v>
      </c>
      <c r="M137" t="n">
        <v>3126.185669</v>
      </c>
      <c r="N137" t="n">
        <v>3126.185669</v>
      </c>
      <c r="O137" t="n">
        <v>887.634307</v>
      </c>
      <c r="P137" t="n">
        <v>357.542004</v>
      </c>
      <c r="Q137" t="n">
        <v>3126.185669</v>
      </c>
      <c r="R137" t="n">
        <v>3126.185669</v>
      </c>
      <c r="S137" t="n">
        <v>887.634307</v>
      </c>
      <c r="T137" t="n">
        <v>887.634307</v>
      </c>
      <c r="U137" t="n">
        <v>357.542004</v>
      </c>
      <c r="V137" t="n">
        <v>357.542004</v>
      </c>
      <c r="W137" t="n">
        <v>926.257871</v>
      </c>
      <c r="X137" t="n">
        <v>3406.854319</v>
      </c>
    </row>
    <row r="138">
      <c r="A138" t="inlineStr">
        <is>
          <t>Argyrosomus heinii</t>
        </is>
      </c>
      <c r="B138" t="n">
        <v>4.04</v>
      </c>
      <c r="C138" t="n">
        <v>1096.478196</v>
      </c>
      <c r="D138" t="inlineStr">
        <is>
          <t>Med Benthic Carnivores</t>
        </is>
      </c>
      <c r="E138" t="n">
        <v>106.362581</v>
      </c>
      <c r="F138" t="n">
        <v>153.506319</v>
      </c>
      <c r="G138" t="n">
        <v>32.014124</v>
      </c>
      <c r="H138" t="n">
        <v>100.68782</v>
      </c>
      <c r="I138" t="n">
        <v>159.061371</v>
      </c>
      <c r="J138" t="n">
        <v>159.061371</v>
      </c>
      <c r="K138" t="n">
        <v>156.039205</v>
      </c>
      <c r="L138" t="n">
        <v>198.208223</v>
      </c>
      <c r="M138" t="n">
        <v>198.208223</v>
      </c>
      <c r="N138" t="n">
        <v>198.208223</v>
      </c>
      <c r="O138" t="n">
        <v>116.373231</v>
      </c>
      <c r="P138" t="n">
        <v>56.490526</v>
      </c>
      <c r="Q138" t="n">
        <v>198.208223</v>
      </c>
      <c r="R138" t="n">
        <v>198.208223</v>
      </c>
      <c r="S138" t="n">
        <v>116.373231</v>
      </c>
      <c r="T138" t="n">
        <v>116.373231</v>
      </c>
      <c r="U138" t="n">
        <v>56.490526</v>
      </c>
      <c r="V138" t="n">
        <v>56.490526</v>
      </c>
      <c r="W138" t="n">
        <v>120.80197</v>
      </c>
      <c r="X138" t="n">
        <v>213.813007</v>
      </c>
    </row>
    <row r="139">
      <c r="A139" t="inlineStr">
        <is>
          <t>Protonibea diacanthus</t>
        </is>
      </c>
      <c r="B139" t="n">
        <v>3.5</v>
      </c>
      <c r="C139" t="n">
        <v>316.227766</v>
      </c>
      <c r="D139" t="inlineStr">
        <is>
          <t>Med Benthic Carnivores</t>
        </is>
      </c>
      <c r="E139" t="n">
        <v>106.362581</v>
      </c>
      <c r="F139" t="n">
        <v>153.506319</v>
      </c>
      <c r="G139" t="n">
        <v>32.014124</v>
      </c>
      <c r="H139" t="n">
        <v>100.68782</v>
      </c>
      <c r="I139" t="n">
        <v>159.061371</v>
      </c>
      <c r="J139" t="n">
        <v>159.061371</v>
      </c>
      <c r="K139" t="n">
        <v>156.039205</v>
      </c>
      <c r="L139" t="n">
        <v>198.208223</v>
      </c>
      <c r="M139" t="n">
        <v>198.208223</v>
      </c>
      <c r="N139" t="n">
        <v>198.208223</v>
      </c>
      <c r="O139" t="n">
        <v>116.373231</v>
      </c>
      <c r="P139" t="n">
        <v>56.490526</v>
      </c>
      <c r="Q139" t="n">
        <v>198.208223</v>
      </c>
      <c r="R139" t="n">
        <v>198.208223</v>
      </c>
      <c r="S139" t="n">
        <v>116.373231</v>
      </c>
      <c r="T139" t="n">
        <v>116.373231</v>
      </c>
      <c r="U139" t="n">
        <v>56.490526</v>
      </c>
      <c r="V139" t="n">
        <v>56.490526</v>
      </c>
      <c r="W139" t="n">
        <v>120.80197</v>
      </c>
      <c r="X139" t="n">
        <v>213.813007</v>
      </c>
    </row>
    <row r="140">
      <c r="A140" t="inlineStr">
        <is>
          <t>Bregmaceros mcclellandi</t>
        </is>
      </c>
      <c r="B140" t="n">
        <v>3.3</v>
      </c>
      <c r="C140" t="n">
        <v>199.526231</v>
      </c>
      <c r="D140" t="inlineStr">
        <is>
          <t>Anchovies</t>
        </is>
      </c>
      <c r="E140" t="n">
        <v>106.362581</v>
      </c>
      <c r="F140" t="n">
        <v>306.237713</v>
      </c>
      <c r="G140" t="n">
        <v>51.507642</v>
      </c>
      <c r="H140" t="n">
        <v>86.248227</v>
      </c>
      <c r="I140" t="n">
        <v>292.993573</v>
      </c>
      <c r="J140" t="n">
        <v>292.993573</v>
      </c>
      <c r="K140" t="n">
        <v>286.254721</v>
      </c>
      <c r="L140" t="n">
        <v>324.440662</v>
      </c>
      <c r="M140" t="n">
        <v>324.440662</v>
      </c>
      <c r="N140" t="n">
        <v>324.440662</v>
      </c>
      <c r="O140" t="n">
        <v>245.251402</v>
      </c>
      <c r="P140" t="n">
        <v>121.200331</v>
      </c>
      <c r="Q140" t="n">
        <v>324.440662</v>
      </c>
      <c r="R140" t="n">
        <v>324.440662</v>
      </c>
      <c r="S140" t="n">
        <v>245.251402</v>
      </c>
      <c r="T140" t="n">
        <v>245.251402</v>
      </c>
      <c r="U140" t="n">
        <v>121.200331</v>
      </c>
      <c r="V140" t="n">
        <v>121.200331</v>
      </c>
      <c r="W140" t="n">
        <v>255.511169</v>
      </c>
      <c r="X140" t="n">
        <v>353.493547</v>
      </c>
    </row>
    <row r="141">
      <c r="A141" t="inlineStr">
        <is>
          <t>Acanthopagrus bifasciatus</t>
        </is>
      </c>
      <c r="B141" t="n">
        <v>3.39</v>
      </c>
      <c r="C141" t="n">
        <v>245.470892</v>
      </c>
      <c r="D141" t="inlineStr">
        <is>
          <t>Med Benthic Carnivores</t>
        </is>
      </c>
      <c r="E141" t="n">
        <v>106.362581</v>
      </c>
      <c r="F141" t="n">
        <v>153.506319</v>
      </c>
      <c r="G141" t="n">
        <v>32.014124</v>
      </c>
      <c r="H141" t="n">
        <v>100.68782</v>
      </c>
      <c r="I141" t="n">
        <v>159.061371</v>
      </c>
      <c r="J141" t="n">
        <v>159.061371</v>
      </c>
      <c r="K141" t="n">
        <v>156.039205</v>
      </c>
      <c r="L141" t="n">
        <v>198.208223</v>
      </c>
      <c r="M141" t="n">
        <v>198.208223</v>
      </c>
      <c r="N141" t="n">
        <v>198.208223</v>
      </c>
      <c r="O141" t="n">
        <v>116.373231</v>
      </c>
      <c r="P141" t="n">
        <v>56.490526</v>
      </c>
      <c r="Q141" t="n">
        <v>198.208223</v>
      </c>
      <c r="R141" t="n">
        <v>198.208223</v>
      </c>
      <c r="S141" t="n">
        <v>116.373231</v>
      </c>
      <c r="T141" t="n">
        <v>116.373231</v>
      </c>
      <c r="U141" t="n">
        <v>56.490526</v>
      </c>
      <c r="V141" t="n">
        <v>56.490526</v>
      </c>
      <c r="W141" t="n">
        <v>120.80197</v>
      </c>
      <c r="X141" t="n">
        <v>213.813007</v>
      </c>
    </row>
    <row r="142">
      <c r="A142" t="inlineStr">
        <is>
          <t>Upeneus sulphureus</t>
        </is>
      </c>
      <c r="B142" t="n">
        <v>3.08</v>
      </c>
      <c r="C142" t="n">
        <v>120.226443</v>
      </c>
      <c r="D142" t="inlineStr">
        <is>
          <t>Small Benthic Carnivores</t>
        </is>
      </c>
      <c r="E142" t="n">
        <v>106.362581</v>
      </c>
      <c r="F142" t="n">
        <v>47.875255</v>
      </c>
      <c r="G142" t="n">
        <v>14.351766</v>
      </c>
      <c r="H142" t="n">
        <v>47.936313</v>
      </c>
      <c r="I142" t="n">
        <v>123.68277</v>
      </c>
      <c r="J142" t="n">
        <v>123.68277</v>
      </c>
      <c r="K142" t="n">
        <v>121.085432</v>
      </c>
      <c r="L142" t="n">
        <v>160.705061</v>
      </c>
      <c r="M142" t="n">
        <v>160.705061</v>
      </c>
      <c r="N142" t="n">
        <v>160.705061</v>
      </c>
      <c r="O142" t="n">
        <v>86.69575</v>
      </c>
      <c r="P142" t="n">
        <v>48.551122</v>
      </c>
      <c r="Q142" t="n">
        <v>160.705061</v>
      </c>
      <c r="R142" t="n">
        <v>160.705061</v>
      </c>
      <c r="S142" t="n">
        <v>86.69575</v>
      </c>
      <c r="T142" t="n">
        <v>86.69575</v>
      </c>
      <c r="U142" t="n">
        <v>48.551122</v>
      </c>
      <c r="V142" t="n">
        <v>48.551122</v>
      </c>
      <c r="W142" t="n">
        <v>90.428786</v>
      </c>
      <c r="X142" t="n">
        <v>169.279514</v>
      </c>
    </row>
    <row r="143">
      <c r="A143" t="inlineStr">
        <is>
          <t>Auxis rochei</t>
        </is>
      </c>
      <c r="B143" t="n">
        <v>4.13</v>
      </c>
      <c r="C143" t="n">
        <v>1348.962883</v>
      </c>
      <c r="D143" t="inlineStr">
        <is>
          <t>Tunas</t>
        </is>
      </c>
      <c r="E143" t="n">
        <v>106.362581</v>
      </c>
      <c r="F143" t="n">
        <v>1377.951482</v>
      </c>
      <c r="G143" t="n">
        <v>145.091076</v>
      </c>
      <c r="H143" t="n">
        <v>354.016089</v>
      </c>
      <c r="I143" t="n">
        <v>804.627355</v>
      </c>
      <c r="J143" t="n">
        <v>818.1011109999999</v>
      </c>
      <c r="K143" t="n">
        <v>575.125081</v>
      </c>
      <c r="L143" t="n">
        <v>970.782826</v>
      </c>
      <c r="M143" t="n">
        <v>970.782826</v>
      </c>
      <c r="N143" t="n">
        <v>970.782826</v>
      </c>
      <c r="O143" t="n">
        <v>487.056907</v>
      </c>
      <c r="P143" t="n">
        <v>182.863315</v>
      </c>
      <c r="Q143" t="n">
        <v>970.782826</v>
      </c>
      <c r="R143" t="n">
        <v>970.782826</v>
      </c>
      <c r="S143" t="n">
        <v>487.056907</v>
      </c>
      <c r="T143" t="n">
        <v>487.056907</v>
      </c>
      <c r="U143" t="n">
        <v>182.863315</v>
      </c>
      <c r="V143" t="n">
        <v>182.863315</v>
      </c>
      <c r="W143" t="n">
        <v>514.9785419999999</v>
      </c>
      <c r="X143" t="n">
        <v>1083.073415</v>
      </c>
    </row>
    <row r="144">
      <c r="A144" t="inlineStr">
        <is>
          <t>Grammoplites suppositus</t>
        </is>
      </c>
      <c r="B144" t="n">
        <v>3.84</v>
      </c>
      <c r="C144" t="n">
        <v>691.830971</v>
      </c>
      <c r="D144" t="inlineStr">
        <is>
          <t>Med Benthic Carnivores</t>
        </is>
      </c>
      <c r="E144" t="n">
        <v>106.362581</v>
      </c>
      <c r="F144" t="n">
        <v>153.506319</v>
      </c>
      <c r="G144" t="n">
        <v>32.014124</v>
      </c>
      <c r="H144" t="n">
        <v>100.68782</v>
      </c>
      <c r="I144" t="n">
        <v>159.061371</v>
      </c>
      <c r="J144" t="n">
        <v>159.061371</v>
      </c>
      <c r="K144" t="n">
        <v>156.039205</v>
      </c>
      <c r="L144" t="n">
        <v>198.208223</v>
      </c>
      <c r="M144" t="n">
        <v>198.208223</v>
      </c>
      <c r="N144" t="n">
        <v>198.208223</v>
      </c>
      <c r="O144" t="n">
        <v>116.373231</v>
      </c>
      <c r="P144" t="n">
        <v>56.490526</v>
      </c>
      <c r="Q144" t="n">
        <v>198.208223</v>
      </c>
      <c r="R144" t="n">
        <v>198.208223</v>
      </c>
      <c r="S144" t="n">
        <v>116.373231</v>
      </c>
      <c r="T144" t="n">
        <v>116.373231</v>
      </c>
      <c r="U144" t="n">
        <v>56.490526</v>
      </c>
      <c r="V144" t="n">
        <v>56.490526</v>
      </c>
      <c r="W144" t="n">
        <v>120.80197</v>
      </c>
      <c r="X144" t="n">
        <v>213.813007</v>
      </c>
    </row>
    <row r="145">
      <c r="A145" t="inlineStr">
        <is>
          <t>Scolopsis taeniata</t>
        </is>
      </c>
      <c r="B145" t="n">
        <v>3.51</v>
      </c>
      <c r="C145" t="n">
        <v>323.593657</v>
      </c>
      <c r="D145" t="inlineStr">
        <is>
          <t>Small Benthic Carnivores</t>
        </is>
      </c>
      <c r="E145" t="n">
        <v>106.362581</v>
      </c>
      <c r="F145" t="n">
        <v>47.875255</v>
      </c>
      <c r="G145" t="n">
        <v>14.351766</v>
      </c>
      <c r="H145" t="n">
        <v>47.936313</v>
      </c>
      <c r="I145" t="n">
        <v>123.68277</v>
      </c>
      <c r="J145" t="n">
        <v>123.68277</v>
      </c>
      <c r="K145" t="n">
        <v>121.085432</v>
      </c>
      <c r="L145" t="n">
        <v>160.705061</v>
      </c>
      <c r="M145" t="n">
        <v>160.705061</v>
      </c>
      <c r="N145" t="n">
        <v>160.705061</v>
      </c>
      <c r="O145" t="n">
        <v>86.69575</v>
      </c>
      <c r="P145" t="n">
        <v>48.551122</v>
      </c>
      <c r="Q145" t="n">
        <v>160.705061</v>
      </c>
      <c r="R145" t="n">
        <v>160.705061</v>
      </c>
      <c r="S145" t="n">
        <v>86.69575</v>
      </c>
      <c r="T145" t="n">
        <v>86.69575</v>
      </c>
      <c r="U145" t="n">
        <v>48.551122</v>
      </c>
      <c r="V145" t="n">
        <v>48.551122</v>
      </c>
      <c r="W145" t="n">
        <v>90.428786</v>
      </c>
      <c r="X145" t="n">
        <v>169.279514</v>
      </c>
    </row>
    <row r="146">
      <c r="A146" t="inlineStr">
        <is>
          <t>Sparidentex hasta</t>
        </is>
      </c>
      <c r="B146" t="n">
        <v>3.38</v>
      </c>
      <c r="C146" t="n">
        <v>239.883292</v>
      </c>
      <c r="D146" t="inlineStr">
        <is>
          <t>Med Benthic Carnivores</t>
        </is>
      </c>
      <c r="E146" t="n">
        <v>106.362581</v>
      </c>
      <c r="F146" t="n">
        <v>153.506319</v>
      </c>
      <c r="G146" t="n">
        <v>32.014124</v>
      </c>
      <c r="H146" t="n">
        <v>100.68782</v>
      </c>
      <c r="I146" t="n">
        <v>159.061371</v>
      </c>
      <c r="J146" t="n">
        <v>159.061371</v>
      </c>
      <c r="K146" t="n">
        <v>156.039205</v>
      </c>
      <c r="L146" t="n">
        <v>198.208223</v>
      </c>
      <c r="M146" t="n">
        <v>198.208223</v>
      </c>
      <c r="N146" t="n">
        <v>198.208223</v>
      </c>
      <c r="O146" t="n">
        <v>116.373231</v>
      </c>
      <c r="P146" t="n">
        <v>56.490526</v>
      </c>
      <c r="Q146" t="n">
        <v>198.208223</v>
      </c>
      <c r="R146" t="n">
        <v>198.208223</v>
      </c>
      <c r="S146" t="n">
        <v>116.373231</v>
      </c>
      <c r="T146" t="n">
        <v>116.373231</v>
      </c>
      <c r="U146" t="n">
        <v>56.490526</v>
      </c>
      <c r="V146" t="n">
        <v>56.490526</v>
      </c>
      <c r="W146" t="n">
        <v>120.80197</v>
      </c>
      <c r="X146" t="n">
        <v>213.813007</v>
      </c>
    </row>
    <row r="147">
      <c r="A147" t="inlineStr">
        <is>
          <t>Loliginidae</t>
        </is>
      </c>
      <c r="B147" t="n">
        <v>3.9</v>
      </c>
      <c r="C147" t="n">
        <v>794.3282349999999</v>
      </c>
      <c r="D147" t="inlineStr">
        <is>
          <t>Cephalopods</t>
        </is>
      </c>
      <c r="E147" t="n">
        <v>106.362581</v>
      </c>
      <c r="F147" t="n">
        <v>1254.312676</v>
      </c>
      <c r="G147" t="n">
        <v>135.996248</v>
      </c>
      <c r="H147" t="n">
        <v>384.963959</v>
      </c>
      <c r="I147" t="n">
        <v>1331.752693</v>
      </c>
      <c r="J147" t="n">
        <v>1334.257295</v>
      </c>
      <c r="K147" t="n">
        <v>1300.900862</v>
      </c>
      <c r="L147" t="n">
        <v>2933.853362</v>
      </c>
      <c r="M147" t="n">
        <v>2933.853362</v>
      </c>
      <c r="N147" t="n">
        <v>2933.853362</v>
      </c>
      <c r="O147" t="n">
        <v>1771.03868</v>
      </c>
      <c r="P147" t="n">
        <v>582.871532</v>
      </c>
      <c r="Q147" t="n">
        <v>2933.853362</v>
      </c>
      <c r="R147" t="n">
        <v>2933.853362</v>
      </c>
      <c r="S147" t="n">
        <v>1771.03868</v>
      </c>
      <c r="T147" t="n">
        <v>1771.03868</v>
      </c>
      <c r="U147" t="n">
        <v>582.871532</v>
      </c>
      <c r="V147" t="n">
        <v>582.871532</v>
      </c>
      <c r="W147" t="n">
        <v>1904.354617</v>
      </c>
      <c r="X147" t="n">
        <v>3263.675794</v>
      </c>
    </row>
    <row r="148">
      <c r="A148" t="inlineStr">
        <is>
          <t>Plectorhinchus</t>
        </is>
      </c>
      <c r="B148" t="n">
        <v>3.43</v>
      </c>
      <c r="C148" t="n">
        <v>269.15348</v>
      </c>
      <c r="D148" t="inlineStr">
        <is>
          <t>Med Benthic Carnivores</t>
        </is>
      </c>
      <c r="E148" t="n">
        <v>106.362581</v>
      </c>
      <c r="F148" t="n">
        <v>153.506319</v>
      </c>
      <c r="G148" t="n">
        <v>32.014124</v>
      </c>
      <c r="H148" t="n">
        <v>100.68782</v>
      </c>
      <c r="I148" t="n">
        <v>159.061371</v>
      </c>
      <c r="J148" t="n">
        <v>159.061371</v>
      </c>
      <c r="K148" t="n">
        <v>156.039205</v>
      </c>
      <c r="L148" t="n">
        <v>198.208223</v>
      </c>
      <c r="M148" t="n">
        <v>198.208223</v>
      </c>
      <c r="N148" t="n">
        <v>198.208223</v>
      </c>
      <c r="O148" t="n">
        <v>116.373231</v>
      </c>
      <c r="P148" t="n">
        <v>56.490526</v>
      </c>
      <c r="Q148" t="n">
        <v>198.208223</v>
      </c>
      <c r="R148" t="n">
        <v>198.208223</v>
      </c>
      <c r="S148" t="n">
        <v>116.373231</v>
      </c>
      <c r="T148" t="n">
        <v>116.373231</v>
      </c>
      <c r="U148" t="n">
        <v>56.490526</v>
      </c>
      <c r="V148" t="n">
        <v>56.490526</v>
      </c>
      <c r="W148" t="n">
        <v>120.80197</v>
      </c>
      <c r="X148" t="n">
        <v>213.813007</v>
      </c>
    </row>
    <row r="149">
      <c r="A149" t="inlineStr">
        <is>
          <t>Gerres oyena</t>
        </is>
      </c>
      <c r="B149" t="n">
        <v>3.07</v>
      </c>
      <c r="C149" t="n">
        <v>117.489755</v>
      </c>
      <c r="D149" t="inlineStr">
        <is>
          <t>Small Benthic Carnivores</t>
        </is>
      </c>
      <c r="E149" t="n">
        <v>106.362581</v>
      </c>
      <c r="F149" t="n">
        <v>47.875255</v>
      </c>
      <c r="G149" t="n">
        <v>14.351766</v>
      </c>
      <c r="H149" t="n">
        <v>47.936313</v>
      </c>
      <c r="I149" t="n">
        <v>123.68277</v>
      </c>
      <c r="J149" t="n">
        <v>123.68277</v>
      </c>
      <c r="K149" t="n">
        <v>121.085432</v>
      </c>
      <c r="L149" t="n">
        <v>160.705061</v>
      </c>
      <c r="M149" t="n">
        <v>160.705061</v>
      </c>
      <c r="N149" t="n">
        <v>160.705061</v>
      </c>
      <c r="O149" t="n">
        <v>86.69575</v>
      </c>
      <c r="P149" t="n">
        <v>48.551122</v>
      </c>
      <c r="Q149" t="n">
        <v>160.705061</v>
      </c>
      <c r="R149" t="n">
        <v>160.705061</v>
      </c>
      <c r="S149" t="n">
        <v>86.69575</v>
      </c>
      <c r="T149" t="n">
        <v>86.69575</v>
      </c>
      <c r="U149" t="n">
        <v>48.551122</v>
      </c>
      <c r="V149" t="n">
        <v>48.551122</v>
      </c>
      <c r="W149" t="n">
        <v>90.428786</v>
      </c>
      <c r="X149" t="n">
        <v>169.279514</v>
      </c>
    </row>
    <row r="150">
      <c r="A150" t="inlineStr">
        <is>
          <t>Caranx</t>
        </is>
      </c>
      <c r="B150" t="n">
        <v>4.12</v>
      </c>
      <c r="C150" t="n">
        <v>1318.256739</v>
      </c>
      <c r="D150" t="inlineStr">
        <is>
          <t>Large Benthic Carnivores</t>
        </is>
      </c>
      <c r="E150" t="n">
        <v>106.362581</v>
      </c>
      <c r="F150" t="n">
        <v>1113.102078</v>
      </c>
      <c r="G150" t="n">
        <v>125.259096</v>
      </c>
      <c r="H150" t="n">
        <v>249.981248</v>
      </c>
      <c r="I150" t="n">
        <v>421.749845</v>
      </c>
      <c r="J150" t="n">
        <v>575.638232</v>
      </c>
      <c r="K150" t="n">
        <v>564.125467</v>
      </c>
      <c r="L150" t="n">
        <v>1114.691652</v>
      </c>
      <c r="M150" t="n">
        <v>1114.691652</v>
      </c>
      <c r="N150" t="n">
        <v>1114.691652</v>
      </c>
      <c r="O150" t="n">
        <v>635.9376559999999</v>
      </c>
      <c r="P150" t="n">
        <v>217.238675</v>
      </c>
      <c r="Q150" t="n">
        <v>1114.691652</v>
      </c>
      <c r="R150" t="n">
        <v>1114.691652</v>
      </c>
      <c r="S150" t="n">
        <v>635.9376559999999</v>
      </c>
      <c r="T150" t="n">
        <v>635.9376559999999</v>
      </c>
      <c r="U150" t="n">
        <v>217.238675</v>
      </c>
      <c r="V150" t="n">
        <v>217.238675</v>
      </c>
      <c r="W150" t="n">
        <v>686.067599</v>
      </c>
      <c r="X150" t="n">
        <v>1252.543178</v>
      </c>
    </row>
    <row r="151">
      <c r="A151" t="inlineStr">
        <is>
          <t>Siganus</t>
        </is>
      </c>
      <c r="B151" t="n">
        <v>2.11</v>
      </c>
      <c r="C151" t="n">
        <v>12.882496</v>
      </c>
      <c r="D151" t="inlineStr">
        <is>
          <t>Benthic Omnivores</t>
        </is>
      </c>
      <c r="E151" t="n">
        <v>106.362581</v>
      </c>
      <c r="F151" t="n">
        <v>34.853983</v>
      </c>
      <c r="G151" t="n">
        <v>11.533933</v>
      </c>
      <c r="H151" t="n">
        <v>23.954598</v>
      </c>
      <c r="I151" t="n">
        <v>122.110584</v>
      </c>
      <c r="J151" t="n">
        <v>122.110584</v>
      </c>
      <c r="K151" t="n">
        <v>119.668372</v>
      </c>
      <c r="L151" t="n">
        <v>234.326211</v>
      </c>
      <c r="M151" t="n">
        <v>234.326211</v>
      </c>
      <c r="N151" t="n">
        <v>234.326211</v>
      </c>
      <c r="O151" t="n">
        <v>32.574396</v>
      </c>
      <c r="P151" t="n">
        <v>28.191927</v>
      </c>
      <c r="Q151" t="n">
        <v>234.326211</v>
      </c>
      <c r="R151" t="n">
        <v>234.326211</v>
      </c>
      <c r="S151" t="n">
        <v>32.574396</v>
      </c>
      <c r="T151" t="n">
        <v>32.574396</v>
      </c>
      <c r="U151" t="n">
        <v>28.191927</v>
      </c>
      <c r="V151" t="n">
        <v>28.191927</v>
      </c>
      <c r="W151" t="n">
        <v>34.709256</v>
      </c>
      <c r="X151" t="n">
        <v>257.01226</v>
      </c>
    </row>
    <row r="152">
      <c r="A152" t="inlineStr">
        <is>
          <t>Sphyraenidae</t>
        </is>
      </c>
      <c r="B152" t="n">
        <v>4.4</v>
      </c>
      <c r="C152" t="n">
        <v>2511.886432</v>
      </c>
      <c r="D152" t="inlineStr">
        <is>
          <t>Large Pelagics</t>
        </is>
      </c>
      <c r="E152" t="n">
        <v>106.362581</v>
      </c>
      <c r="F152" t="n">
        <v>1182.417917</v>
      </c>
      <c r="G152" t="n">
        <v>130.579526</v>
      </c>
      <c r="H152" t="n">
        <v>655.098468</v>
      </c>
      <c r="I152" t="n">
        <v>848.885192</v>
      </c>
      <c r="J152" t="n">
        <v>883.261112</v>
      </c>
      <c r="K152" t="n">
        <v>865.5958890000001</v>
      </c>
      <c r="L152" t="n">
        <v>1961.116323</v>
      </c>
      <c r="M152" t="n">
        <v>1961.116323</v>
      </c>
      <c r="N152" t="n">
        <v>1961.116323</v>
      </c>
      <c r="O152" t="n">
        <v>1097.797369</v>
      </c>
      <c r="P152" t="n">
        <v>300.80342</v>
      </c>
      <c r="Q152" t="n">
        <v>1961.116323</v>
      </c>
      <c r="R152" t="n">
        <v>1961.116323</v>
      </c>
      <c r="S152" t="n">
        <v>1097.797369</v>
      </c>
      <c r="T152" t="n">
        <v>1097.797369</v>
      </c>
      <c r="U152" t="n">
        <v>300.80342</v>
      </c>
      <c r="V152" t="n">
        <v>300.80342</v>
      </c>
      <c r="W152" t="n">
        <v>1171.90733</v>
      </c>
      <c r="X152" t="n">
        <v>2200.248768</v>
      </c>
    </row>
    <row r="153">
      <c r="A153" t="inlineStr">
        <is>
          <t>Argyrosomus japonicus</t>
        </is>
      </c>
      <c r="B153" t="n">
        <v>4.48</v>
      </c>
      <c r="C153" t="n">
        <v>3019.95172</v>
      </c>
      <c r="D153" t="inlineStr">
        <is>
          <t>Med Benthic Carnivores</t>
        </is>
      </c>
      <c r="E153" t="n">
        <v>106.362581</v>
      </c>
      <c r="F153" t="n">
        <v>153.506319</v>
      </c>
      <c r="G153" t="n">
        <v>32.014124</v>
      </c>
      <c r="H153" t="n">
        <v>100.68782</v>
      </c>
      <c r="I153" t="n">
        <v>159.061371</v>
      </c>
      <c r="J153" t="n">
        <v>159.061371</v>
      </c>
      <c r="K153" t="n">
        <v>156.039205</v>
      </c>
      <c r="L153" t="n">
        <v>198.208223</v>
      </c>
      <c r="M153" t="n">
        <v>198.208223</v>
      </c>
      <c r="N153" t="n">
        <v>198.208223</v>
      </c>
      <c r="O153" t="n">
        <v>116.373231</v>
      </c>
      <c r="P153" t="n">
        <v>56.490526</v>
      </c>
      <c r="Q153" t="n">
        <v>198.208223</v>
      </c>
      <c r="R153" t="n">
        <v>198.208223</v>
      </c>
      <c r="S153" t="n">
        <v>116.373231</v>
      </c>
      <c r="T153" t="n">
        <v>116.373231</v>
      </c>
      <c r="U153" t="n">
        <v>56.490526</v>
      </c>
      <c r="V153" t="n">
        <v>56.490526</v>
      </c>
      <c r="W153" t="n">
        <v>120.80197</v>
      </c>
      <c r="X153" t="n">
        <v>213.813007</v>
      </c>
    </row>
    <row r="154">
      <c r="A154" t="inlineStr">
        <is>
          <t>Pteriomorphia</t>
        </is>
      </c>
      <c r="B154" t="n">
        <v>2.27</v>
      </c>
      <c r="C154" t="n">
        <v>18.620871</v>
      </c>
      <c r="D154" t="inlineStr">
        <is>
          <t>Heterotrophic Benthos</t>
        </is>
      </c>
      <c r="E154" t="n">
        <v>106.362581</v>
      </c>
      <c r="F154" t="n">
        <v>19.947374</v>
      </c>
      <c r="G154" t="n">
        <v>7.853921</v>
      </c>
      <c r="H154" t="n">
        <v>13.270207</v>
      </c>
      <c r="I154" t="n">
        <v>123.888042</v>
      </c>
      <c r="J154" t="n">
        <v>123.888042</v>
      </c>
      <c r="K154" t="n">
        <v>15.362117</v>
      </c>
      <c r="L154" t="n">
        <v>260.720597</v>
      </c>
      <c r="M154" t="n">
        <v>260.720597</v>
      </c>
      <c r="N154" t="n">
        <v>260.720597</v>
      </c>
      <c r="O154" t="n">
        <v>19.314018</v>
      </c>
      <c r="P154" t="n">
        <v>17.703696</v>
      </c>
      <c r="Q154" t="n">
        <v>260.720597</v>
      </c>
      <c r="R154" t="n">
        <v>260.720597</v>
      </c>
      <c r="S154" t="n">
        <v>19.314018</v>
      </c>
      <c r="T154" t="n">
        <v>19.314018</v>
      </c>
      <c r="U154" t="n">
        <v>17.703696</v>
      </c>
      <c r="V154" t="n">
        <v>17.703696</v>
      </c>
      <c r="W154" t="n">
        <v>20.650834</v>
      </c>
      <c r="X154" t="n">
        <v>285.015306</v>
      </c>
    </row>
    <row r="155">
      <c r="A155" t="inlineStr">
        <is>
          <t>Thunnus obesus</t>
        </is>
      </c>
      <c r="B155" t="n">
        <v>4.49</v>
      </c>
      <c r="C155" t="n">
        <v>3090.295433</v>
      </c>
      <c r="D155" t="inlineStr">
        <is>
          <t>Tunas</t>
        </is>
      </c>
      <c r="E155" t="n">
        <v>106.362581</v>
      </c>
      <c r="F155" t="n">
        <v>1377.951482</v>
      </c>
      <c r="G155" t="n">
        <v>145.091076</v>
      </c>
      <c r="H155" t="n">
        <v>354.016089</v>
      </c>
      <c r="I155" t="n">
        <v>804.627355</v>
      </c>
      <c r="J155" t="n">
        <v>818.1011109999999</v>
      </c>
      <c r="K155" t="n">
        <v>575.125081</v>
      </c>
      <c r="L155" t="n">
        <v>970.782826</v>
      </c>
      <c r="M155" t="n">
        <v>970.782826</v>
      </c>
      <c r="N155" t="n">
        <v>970.782826</v>
      </c>
      <c r="O155" t="n">
        <v>487.056907</v>
      </c>
      <c r="P155" t="n">
        <v>182.863315</v>
      </c>
      <c r="Q155" t="n">
        <v>970.782826</v>
      </c>
      <c r="R155" t="n">
        <v>970.782826</v>
      </c>
      <c r="S155" t="n">
        <v>487.056907</v>
      </c>
      <c r="T155" t="n">
        <v>487.056907</v>
      </c>
      <c r="U155" t="n">
        <v>182.863315</v>
      </c>
      <c r="V155" t="n">
        <v>182.863315</v>
      </c>
      <c r="W155" t="n">
        <v>514.9785419999999</v>
      </c>
      <c r="X155" t="n">
        <v>1083.073415</v>
      </c>
    </row>
    <row r="156">
      <c r="A156" t="inlineStr">
        <is>
          <t>Pampus chinensis</t>
        </is>
      </c>
      <c r="B156" t="n">
        <v>3.6</v>
      </c>
      <c r="C156" t="n">
        <v>398.107171</v>
      </c>
      <c r="D156" t="inlineStr">
        <is>
          <t>Med Benthic Carnivores</t>
        </is>
      </c>
      <c r="E156" t="n">
        <v>106.362581</v>
      </c>
      <c r="F156" t="n">
        <v>153.506319</v>
      </c>
      <c r="G156" t="n">
        <v>32.014124</v>
      </c>
      <c r="H156" t="n">
        <v>100.68782</v>
      </c>
      <c r="I156" t="n">
        <v>159.061371</v>
      </c>
      <c r="J156" t="n">
        <v>159.061371</v>
      </c>
      <c r="K156" t="n">
        <v>156.039205</v>
      </c>
      <c r="L156" t="n">
        <v>198.208223</v>
      </c>
      <c r="M156" t="n">
        <v>198.208223</v>
      </c>
      <c r="N156" t="n">
        <v>198.208223</v>
      </c>
      <c r="O156" t="n">
        <v>116.373231</v>
      </c>
      <c r="P156" t="n">
        <v>56.490526</v>
      </c>
      <c r="Q156" t="n">
        <v>198.208223</v>
      </c>
      <c r="R156" t="n">
        <v>198.208223</v>
      </c>
      <c r="S156" t="n">
        <v>116.373231</v>
      </c>
      <c r="T156" t="n">
        <v>116.373231</v>
      </c>
      <c r="U156" t="n">
        <v>56.490526</v>
      </c>
      <c r="V156" t="n">
        <v>56.490526</v>
      </c>
      <c r="W156" t="n">
        <v>120.80197</v>
      </c>
      <c r="X156" t="n">
        <v>213.813007</v>
      </c>
    </row>
    <row r="157">
      <c r="A157" t="inlineStr">
        <is>
          <t>Istiophoridae</t>
        </is>
      </c>
      <c r="B157" t="n">
        <v>4.48</v>
      </c>
      <c r="C157" t="n">
        <v>3019.95172</v>
      </c>
      <c r="D157" t="inlineStr">
        <is>
          <t>Large Pelagics</t>
        </is>
      </c>
      <c r="E157" t="n">
        <v>106.362581</v>
      </c>
      <c r="F157" t="n">
        <v>1182.417917</v>
      </c>
      <c r="G157" t="n">
        <v>130.579526</v>
      </c>
      <c r="H157" t="n">
        <v>655.098468</v>
      </c>
      <c r="I157" t="n">
        <v>848.885192</v>
      </c>
      <c r="J157" t="n">
        <v>883.261112</v>
      </c>
      <c r="K157" t="n">
        <v>865.5958890000001</v>
      </c>
      <c r="L157" t="n">
        <v>1961.116323</v>
      </c>
      <c r="M157" t="n">
        <v>1961.116323</v>
      </c>
      <c r="N157" t="n">
        <v>1961.116323</v>
      </c>
      <c r="O157" t="n">
        <v>1097.797369</v>
      </c>
      <c r="P157" t="n">
        <v>300.80342</v>
      </c>
      <c r="Q157" t="n">
        <v>1961.116323</v>
      </c>
      <c r="R157" t="n">
        <v>1961.116323</v>
      </c>
      <c r="S157" t="n">
        <v>1097.797369</v>
      </c>
      <c r="T157" t="n">
        <v>1097.797369</v>
      </c>
      <c r="U157" t="n">
        <v>300.80342</v>
      </c>
      <c r="V157" t="n">
        <v>300.80342</v>
      </c>
      <c r="W157" t="n">
        <v>1171.90733</v>
      </c>
      <c r="X157" t="n">
        <v>2200.248768</v>
      </c>
    </row>
    <row r="158">
      <c r="A158" t="inlineStr">
        <is>
          <t>Gerreidae</t>
        </is>
      </c>
      <c r="B158" t="n">
        <v>3.03</v>
      </c>
      <c r="C158" t="n">
        <v>107.151931</v>
      </c>
      <c r="D158" t="inlineStr">
        <is>
          <t>Small Benthic Carnivores</t>
        </is>
      </c>
      <c r="E158" t="n">
        <v>106.362581</v>
      </c>
      <c r="F158" t="n">
        <v>47.875255</v>
      </c>
      <c r="G158" t="n">
        <v>14.351766</v>
      </c>
      <c r="H158" t="n">
        <v>47.936313</v>
      </c>
      <c r="I158" t="n">
        <v>123.68277</v>
      </c>
      <c r="J158" t="n">
        <v>123.68277</v>
      </c>
      <c r="K158" t="n">
        <v>121.085432</v>
      </c>
      <c r="L158" t="n">
        <v>160.705061</v>
      </c>
      <c r="M158" t="n">
        <v>160.705061</v>
      </c>
      <c r="N158" t="n">
        <v>160.705061</v>
      </c>
      <c r="O158" t="n">
        <v>86.69575</v>
      </c>
      <c r="P158" t="n">
        <v>48.551122</v>
      </c>
      <c r="Q158" t="n">
        <v>160.705061</v>
      </c>
      <c r="R158" t="n">
        <v>160.705061</v>
      </c>
      <c r="S158" t="n">
        <v>86.69575</v>
      </c>
      <c r="T158" t="n">
        <v>86.69575</v>
      </c>
      <c r="U158" t="n">
        <v>48.551122</v>
      </c>
      <c r="V158" t="n">
        <v>48.551122</v>
      </c>
      <c r="W158" t="n">
        <v>90.428786</v>
      </c>
      <c r="X158" t="n">
        <v>169.279514</v>
      </c>
    </row>
    <row r="159">
      <c r="A159" t="inlineStr">
        <is>
          <t>Acanthopagrus berda</t>
        </is>
      </c>
      <c r="B159" t="n">
        <v>3.48</v>
      </c>
      <c r="C159" t="n">
        <v>301.995172</v>
      </c>
      <c r="D159" t="inlineStr">
        <is>
          <t>Med Benthic Carnivores</t>
        </is>
      </c>
      <c r="E159" t="n">
        <v>106.362581</v>
      </c>
      <c r="F159" t="n">
        <v>153.506319</v>
      </c>
      <c r="G159" t="n">
        <v>32.014124</v>
      </c>
      <c r="H159" t="n">
        <v>100.68782</v>
      </c>
      <c r="I159" t="n">
        <v>159.061371</v>
      </c>
      <c r="J159" t="n">
        <v>159.061371</v>
      </c>
      <c r="K159" t="n">
        <v>156.039205</v>
      </c>
      <c r="L159" t="n">
        <v>198.208223</v>
      </c>
      <c r="M159" t="n">
        <v>198.208223</v>
      </c>
      <c r="N159" t="n">
        <v>198.208223</v>
      </c>
      <c r="O159" t="n">
        <v>116.373231</v>
      </c>
      <c r="P159" t="n">
        <v>56.490526</v>
      </c>
      <c r="Q159" t="n">
        <v>198.208223</v>
      </c>
      <c r="R159" t="n">
        <v>198.208223</v>
      </c>
      <c r="S159" t="n">
        <v>116.373231</v>
      </c>
      <c r="T159" t="n">
        <v>116.373231</v>
      </c>
      <c r="U159" t="n">
        <v>56.490526</v>
      </c>
      <c r="V159" t="n">
        <v>56.490526</v>
      </c>
      <c r="W159" t="n">
        <v>120.80197</v>
      </c>
      <c r="X159" t="n">
        <v>213.813007</v>
      </c>
    </row>
    <row r="160">
      <c r="A160" t="inlineStr">
        <is>
          <t>Pelates quadrilineatus</t>
        </is>
      </c>
      <c r="B160" t="n">
        <v>3.5</v>
      </c>
      <c r="C160" t="n">
        <v>316.227766</v>
      </c>
      <c r="D160" t="inlineStr">
        <is>
          <t>Small Benthic Carnivores</t>
        </is>
      </c>
      <c r="E160" t="n">
        <v>106.362581</v>
      </c>
      <c r="F160" t="n">
        <v>47.875255</v>
      </c>
      <c r="G160" t="n">
        <v>14.351766</v>
      </c>
      <c r="H160" t="n">
        <v>47.936313</v>
      </c>
      <c r="I160" t="n">
        <v>123.68277</v>
      </c>
      <c r="J160" t="n">
        <v>123.68277</v>
      </c>
      <c r="K160" t="n">
        <v>121.085432</v>
      </c>
      <c r="L160" t="n">
        <v>160.705061</v>
      </c>
      <c r="M160" t="n">
        <v>160.705061</v>
      </c>
      <c r="N160" t="n">
        <v>160.705061</v>
      </c>
      <c r="O160" t="n">
        <v>86.69575</v>
      </c>
      <c r="P160" t="n">
        <v>48.551122</v>
      </c>
      <c r="Q160" t="n">
        <v>160.705061</v>
      </c>
      <c r="R160" t="n">
        <v>160.705061</v>
      </c>
      <c r="S160" t="n">
        <v>86.69575</v>
      </c>
      <c r="T160" t="n">
        <v>86.69575</v>
      </c>
      <c r="U160" t="n">
        <v>48.551122</v>
      </c>
      <c r="V160" t="n">
        <v>48.551122</v>
      </c>
      <c r="W160" t="n">
        <v>90.428786</v>
      </c>
      <c r="X160" t="n">
        <v>169.279514</v>
      </c>
    </row>
    <row r="161">
      <c r="A161" t="inlineStr">
        <is>
          <t>Rhabdosargus sarba</t>
        </is>
      </c>
      <c r="B161" t="n">
        <v>3.37</v>
      </c>
      <c r="C161" t="n">
        <v>234.422882</v>
      </c>
      <c r="D161" t="inlineStr">
        <is>
          <t>Med Benthic Carnivores</t>
        </is>
      </c>
      <c r="E161" t="n">
        <v>106.362581</v>
      </c>
      <c r="F161" t="n">
        <v>153.506319</v>
      </c>
      <c r="G161" t="n">
        <v>32.014124</v>
      </c>
      <c r="H161" t="n">
        <v>100.68782</v>
      </c>
      <c r="I161" t="n">
        <v>159.061371</v>
      </c>
      <c r="J161" t="n">
        <v>159.061371</v>
      </c>
      <c r="K161" t="n">
        <v>156.039205</v>
      </c>
      <c r="L161" t="n">
        <v>198.208223</v>
      </c>
      <c r="M161" t="n">
        <v>198.208223</v>
      </c>
      <c r="N161" t="n">
        <v>198.208223</v>
      </c>
      <c r="O161" t="n">
        <v>116.373231</v>
      </c>
      <c r="P161" t="n">
        <v>56.490526</v>
      </c>
      <c r="Q161" t="n">
        <v>198.208223</v>
      </c>
      <c r="R161" t="n">
        <v>198.208223</v>
      </c>
      <c r="S161" t="n">
        <v>116.373231</v>
      </c>
      <c r="T161" t="n">
        <v>116.373231</v>
      </c>
      <c r="U161" t="n">
        <v>56.490526</v>
      </c>
      <c r="V161" t="n">
        <v>56.490526</v>
      </c>
      <c r="W161" t="n">
        <v>120.80197</v>
      </c>
      <c r="X161" t="n">
        <v>213.813007</v>
      </c>
    </row>
    <row r="162">
      <c r="A162" t="inlineStr">
        <is>
          <t>Rhizostomeae</t>
        </is>
      </c>
      <c r="B162" t="n">
        <v>3.46</v>
      </c>
      <c r="C162" t="n">
        <v>288.40315</v>
      </c>
      <c r="D162" t="inlineStr">
        <is>
          <t>Micro Nekton</t>
        </is>
      </c>
      <c r="E162" t="n">
        <v>106.362581</v>
      </c>
      <c r="F162" t="n">
        <v>169.184545</v>
      </c>
      <c r="G162" t="n">
        <v>34.23133</v>
      </c>
      <c r="H162" t="n">
        <v>53.056441</v>
      </c>
      <c r="I162" t="n">
        <v>117.681204</v>
      </c>
      <c r="J162" t="n">
        <v>117.681204</v>
      </c>
      <c r="K162" t="n">
        <v>91.555977</v>
      </c>
      <c r="L162" t="n">
        <v>131.142973</v>
      </c>
      <c r="M162" t="n">
        <v>131.142973</v>
      </c>
      <c r="N162" t="n">
        <v>131.142973</v>
      </c>
      <c r="O162" t="n">
        <v>96.50135899999999</v>
      </c>
      <c r="P162" t="n">
        <v>51.765447</v>
      </c>
      <c r="Q162" t="n">
        <v>131.142973</v>
      </c>
      <c r="R162" t="n">
        <v>131.142973</v>
      </c>
      <c r="S162" t="n">
        <v>96.50135899999999</v>
      </c>
      <c r="T162" t="n">
        <v>96.50135899999999</v>
      </c>
      <c r="U162" t="n">
        <v>51.765447</v>
      </c>
      <c r="V162" t="n">
        <v>51.765447</v>
      </c>
      <c r="W162" t="n">
        <v>99.732336</v>
      </c>
      <c r="X162" t="n">
        <v>139.39598</v>
      </c>
    </row>
    <row r="163">
      <c r="A163" t="inlineStr">
        <is>
          <t>Hemiramphus</t>
        </is>
      </c>
      <c r="B163" t="n">
        <v>3.05</v>
      </c>
      <c r="C163" t="n">
        <v>112.201845</v>
      </c>
      <c r="D163" t="inlineStr">
        <is>
          <t>Small Benthopelagics</t>
        </is>
      </c>
      <c r="E163" t="n">
        <v>106.362581</v>
      </c>
      <c r="F163" t="n">
        <v>735.919846</v>
      </c>
      <c r="G163" t="n">
        <v>94.203452</v>
      </c>
      <c r="H163" t="n">
        <v>274.118485</v>
      </c>
      <c r="I163" t="n">
        <v>1003.748472</v>
      </c>
      <c r="J163" t="n">
        <v>1056.007849</v>
      </c>
      <c r="K163" t="n">
        <v>1032.775676</v>
      </c>
      <c r="L163" t="n">
        <v>1426.864607</v>
      </c>
      <c r="M163" t="n">
        <v>1426.864607</v>
      </c>
      <c r="N163" t="n">
        <v>1426.864607</v>
      </c>
      <c r="O163" t="n">
        <v>914.12906</v>
      </c>
      <c r="P163" t="n">
        <v>345.870401</v>
      </c>
      <c r="Q163" t="n">
        <v>1426.864607</v>
      </c>
      <c r="R163" t="n">
        <v>1426.864607</v>
      </c>
      <c r="S163" t="n">
        <v>914.12906</v>
      </c>
      <c r="T163" t="n">
        <v>914.12906</v>
      </c>
      <c r="U163" t="n">
        <v>345.870401</v>
      </c>
      <c r="V163" t="n">
        <v>345.870401</v>
      </c>
      <c r="W163" t="n">
        <v>957.660399</v>
      </c>
      <c r="X163" t="n">
        <v>1577.210486</v>
      </c>
    </row>
    <row r="164">
      <c r="A164" t="inlineStr">
        <is>
          <t>Terapon</t>
        </is>
      </c>
      <c r="B164" t="n">
        <v>3.5</v>
      </c>
      <c r="C164" t="n">
        <v>316.227766</v>
      </c>
      <c r="D164" t="inlineStr">
        <is>
          <t>Small Benthic Carnivores</t>
        </is>
      </c>
      <c r="E164" t="n">
        <v>106.362581</v>
      </c>
      <c r="F164" t="n">
        <v>47.875255</v>
      </c>
      <c r="G164" t="n">
        <v>14.351766</v>
      </c>
      <c r="H164" t="n">
        <v>47.936313</v>
      </c>
      <c r="I164" t="n">
        <v>123.68277</v>
      </c>
      <c r="J164" t="n">
        <v>123.68277</v>
      </c>
      <c r="K164" t="n">
        <v>121.085432</v>
      </c>
      <c r="L164" t="n">
        <v>160.705061</v>
      </c>
      <c r="M164" t="n">
        <v>160.705061</v>
      </c>
      <c r="N164" t="n">
        <v>160.705061</v>
      </c>
      <c r="O164" t="n">
        <v>86.69575</v>
      </c>
      <c r="P164" t="n">
        <v>48.551122</v>
      </c>
      <c r="Q164" t="n">
        <v>160.705061</v>
      </c>
      <c r="R164" t="n">
        <v>160.705061</v>
      </c>
      <c r="S164" t="n">
        <v>86.69575</v>
      </c>
      <c r="T164" t="n">
        <v>86.69575</v>
      </c>
      <c r="U164" t="n">
        <v>48.551122</v>
      </c>
      <c r="V164" t="n">
        <v>48.551122</v>
      </c>
      <c r="W164" t="n">
        <v>90.428786</v>
      </c>
      <c r="X164" t="n">
        <v>169.279514</v>
      </c>
    </row>
    <row r="165">
      <c r="A165" t="inlineStr">
        <is>
          <t>Pterotolithus maculatus</t>
        </is>
      </c>
      <c r="B165" t="n">
        <v>3.7</v>
      </c>
      <c r="C165" t="n">
        <v>501.187234</v>
      </c>
      <c r="D165" t="inlineStr">
        <is>
          <t>Med Benthic Carnivores</t>
        </is>
      </c>
      <c r="E165" t="n">
        <v>106.362581</v>
      </c>
      <c r="F165" t="n">
        <v>153.506319</v>
      </c>
      <c r="G165" t="n">
        <v>32.014124</v>
      </c>
      <c r="H165" t="n">
        <v>100.68782</v>
      </c>
      <c r="I165" t="n">
        <v>159.061371</v>
      </c>
      <c r="J165" t="n">
        <v>159.061371</v>
      </c>
      <c r="K165" t="n">
        <v>156.039205</v>
      </c>
      <c r="L165" t="n">
        <v>198.208223</v>
      </c>
      <c r="M165" t="n">
        <v>198.208223</v>
      </c>
      <c r="N165" t="n">
        <v>198.208223</v>
      </c>
      <c r="O165" t="n">
        <v>116.373231</v>
      </c>
      <c r="P165" t="n">
        <v>56.490526</v>
      </c>
      <c r="Q165" t="n">
        <v>198.208223</v>
      </c>
      <c r="R165" t="n">
        <v>198.208223</v>
      </c>
      <c r="S165" t="n">
        <v>116.373231</v>
      </c>
      <c r="T165" t="n">
        <v>116.373231</v>
      </c>
      <c r="U165" t="n">
        <v>56.490526</v>
      </c>
      <c r="V165" t="n">
        <v>56.490526</v>
      </c>
      <c r="W165" t="n">
        <v>120.80197</v>
      </c>
      <c r="X165" t="n">
        <v>213.813007</v>
      </c>
    </row>
    <row r="166">
      <c r="A166" t="inlineStr">
        <is>
          <t>Flavocaranx bajad</t>
        </is>
      </c>
      <c r="B166" t="n">
        <v>4.3</v>
      </c>
      <c r="C166" t="n">
        <v>1995.262315</v>
      </c>
      <c r="D166" t="inlineStr">
        <is>
          <t>Large Benthic Carnivores</t>
        </is>
      </c>
      <c r="E166" t="n">
        <v>106.362581</v>
      </c>
      <c r="F166" t="n">
        <v>1113.102078</v>
      </c>
      <c r="G166" t="n">
        <v>125.259096</v>
      </c>
      <c r="H166" t="n">
        <v>249.981248</v>
      </c>
      <c r="I166" t="n">
        <v>421.749845</v>
      </c>
      <c r="J166" t="n">
        <v>575.638232</v>
      </c>
      <c r="K166" t="n">
        <v>564.125467</v>
      </c>
      <c r="L166" t="n">
        <v>1114.691652</v>
      </c>
      <c r="M166" t="n">
        <v>1114.691652</v>
      </c>
      <c r="N166" t="n">
        <v>1114.691652</v>
      </c>
      <c r="O166" t="n">
        <v>635.9376559999999</v>
      </c>
      <c r="P166" t="n">
        <v>217.238675</v>
      </c>
      <c r="Q166" t="n">
        <v>1114.691652</v>
      </c>
      <c r="R166" t="n">
        <v>1114.691652</v>
      </c>
      <c r="S166" t="n">
        <v>635.9376559999999</v>
      </c>
      <c r="T166" t="n">
        <v>635.9376559999999</v>
      </c>
      <c r="U166" t="n">
        <v>217.238675</v>
      </c>
      <c r="V166" t="n">
        <v>217.238675</v>
      </c>
      <c r="W166" t="n">
        <v>686.067599</v>
      </c>
      <c r="X166" t="n">
        <v>1252.543178</v>
      </c>
    </row>
    <row r="167">
      <c r="A167" t="inlineStr">
        <is>
          <t>Selar crumenophthalmus</t>
        </is>
      </c>
      <c r="B167" t="n">
        <v>3.81</v>
      </c>
      <c r="C167" t="n">
        <v>645.654229</v>
      </c>
      <c r="D167" t="inlineStr">
        <is>
          <t>Small Benthopelagics</t>
        </is>
      </c>
      <c r="E167" t="n">
        <v>106.362581</v>
      </c>
      <c r="F167" t="n">
        <v>735.919846</v>
      </c>
      <c r="G167" t="n">
        <v>94.203452</v>
      </c>
      <c r="H167" t="n">
        <v>274.118485</v>
      </c>
      <c r="I167" t="n">
        <v>1003.748472</v>
      </c>
      <c r="J167" t="n">
        <v>1056.007849</v>
      </c>
      <c r="K167" t="n">
        <v>1032.775676</v>
      </c>
      <c r="L167" t="n">
        <v>1426.864607</v>
      </c>
      <c r="M167" t="n">
        <v>1426.864607</v>
      </c>
      <c r="N167" t="n">
        <v>1426.864607</v>
      </c>
      <c r="O167" t="n">
        <v>914.12906</v>
      </c>
      <c r="P167" t="n">
        <v>345.870401</v>
      </c>
      <c r="Q167" t="n">
        <v>1426.864607</v>
      </c>
      <c r="R167" t="n">
        <v>1426.864607</v>
      </c>
      <c r="S167" t="n">
        <v>914.12906</v>
      </c>
      <c r="T167" t="n">
        <v>914.12906</v>
      </c>
      <c r="U167" t="n">
        <v>345.870401</v>
      </c>
      <c r="V167" t="n">
        <v>345.870401</v>
      </c>
      <c r="W167" t="n">
        <v>957.660399</v>
      </c>
      <c r="X167" t="n">
        <v>1577.210486</v>
      </c>
    </row>
    <row r="168">
      <c r="A168" t="inlineStr">
        <is>
          <t>Chanos chanos</t>
        </is>
      </c>
      <c r="B168" t="n">
        <v>2.03</v>
      </c>
      <c r="C168" t="n">
        <v>10.715193</v>
      </c>
      <c r="D168" t="inlineStr">
        <is>
          <t>Benthic Omnivores</t>
        </is>
      </c>
      <c r="E168" t="n">
        <v>106.362581</v>
      </c>
      <c r="F168" t="n">
        <v>34.853983</v>
      </c>
      <c r="G168" t="n">
        <v>11.533933</v>
      </c>
      <c r="H168" t="n">
        <v>23.954598</v>
      </c>
      <c r="I168" t="n">
        <v>122.110584</v>
      </c>
      <c r="J168" t="n">
        <v>122.110584</v>
      </c>
      <c r="K168" t="n">
        <v>119.668372</v>
      </c>
      <c r="L168" t="n">
        <v>234.326211</v>
      </c>
      <c r="M168" t="n">
        <v>234.326211</v>
      </c>
      <c r="N168" t="n">
        <v>234.326211</v>
      </c>
      <c r="O168" t="n">
        <v>32.574396</v>
      </c>
      <c r="P168" t="n">
        <v>28.191927</v>
      </c>
      <c r="Q168" t="n">
        <v>234.326211</v>
      </c>
      <c r="R168" t="n">
        <v>234.326211</v>
      </c>
      <c r="S168" t="n">
        <v>32.574396</v>
      </c>
      <c r="T168" t="n">
        <v>32.574396</v>
      </c>
      <c r="U168" t="n">
        <v>28.191927</v>
      </c>
      <c r="V168" t="n">
        <v>28.191927</v>
      </c>
      <c r="W168" t="n">
        <v>34.709256</v>
      </c>
      <c r="X168" t="n">
        <v>257.01226</v>
      </c>
    </row>
    <row r="169">
      <c r="A169" t="inlineStr">
        <is>
          <t>Palinuridae</t>
        </is>
      </c>
      <c r="B169" t="n">
        <v>3.14</v>
      </c>
      <c r="C169" t="n">
        <v>138.038426</v>
      </c>
      <c r="D169" t="inlineStr">
        <is>
          <t>Crabs &amp; Lobster</t>
        </is>
      </c>
      <c r="E169" t="n">
        <v>106.362581</v>
      </c>
      <c r="F169" t="n">
        <v>75.373862</v>
      </c>
      <c r="G169" t="n">
        <v>19.61701</v>
      </c>
      <c r="H169" t="n">
        <v>40.48008</v>
      </c>
      <c r="I169" t="n">
        <v>77.811758</v>
      </c>
      <c r="J169" t="n">
        <v>77.811758</v>
      </c>
      <c r="K169" t="n">
        <v>75.944276</v>
      </c>
      <c r="L169" t="n">
        <v>117.553732</v>
      </c>
      <c r="M169" t="n">
        <v>117.553732</v>
      </c>
      <c r="N169" t="n">
        <v>117.553732</v>
      </c>
      <c r="O169" t="n">
        <v>38.109542</v>
      </c>
      <c r="P169" t="n">
        <v>24.77877</v>
      </c>
      <c r="Q169" t="n">
        <v>117.553732</v>
      </c>
      <c r="R169" t="n">
        <v>117.553732</v>
      </c>
      <c r="S169" t="n">
        <v>38.109542</v>
      </c>
      <c r="T169" t="n">
        <v>38.109542</v>
      </c>
      <c r="U169" t="n">
        <v>24.77877</v>
      </c>
      <c r="V169" t="n">
        <v>24.77877</v>
      </c>
      <c r="W169" t="n">
        <v>41.521391</v>
      </c>
      <c r="X169" t="n">
        <v>131.082364</v>
      </c>
    </row>
    <row r="170">
      <c r="A170" t="inlineStr">
        <is>
          <t>Sardinella</t>
        </is>
      </c>
      <c r="B170" t="n">
        <v>2.77</v>
      </c>
      <c r="C170" t="n">
        <v>58.884366</v>
      </c>
      <c r="D170" t="inlineStr">
        <is>
          <t>Clupeids</t>
        </is>
      </c>
      <c r="E170" t="n">
        <v>106.362581</v>
      </c>
      <c r="F170" t="n">
        <v>88.561632</v>
      </c>
      <c r="G170" t="n">
        <v>21.920534</v>
      </c>
      <c r="H170" t="n">
        <v>63.185331</v>
      </c>
      <c r="I170" t="n">
        <v>125.502905</v>
      </c>
      <c r="J170" t="n">
        <v>125.502905</v>
      </c>
      <c r="K170" t="n">
        <v>122.867344</v>
      </c>
      <c r="L170" t="n">
        <v>135.671609</v>
      </c>
      <c r="M170" t="n">
        <v>135.671609</v>
      </c>
      <c r="N170" t="n">
        <v>135.671609</v>
      </c>
      <c r="O170" t="n">
        <v>106.962478</v>
      </c>
      <c r="P170" t="n">
        <v>52.045425</v>
      </c>
      <c r="Q170" t="n">
        <v>135.671609</v>
      </c>
      <c r="R170" t="n">
        <v>135.671609</v>
      </c>
      <c r="S170" t="n">
        <v>106.962478</v>
      </c>
      <c r="T170" t="n">
        <v>106.962478</v>
      </c>
      <c r="U170" t="n">
        <v>52.045425</v>
      </c>
      <c r="V170" t="n">
        <v>52.045425</v>
      </c>
      <c r="W170" t="n">
        <v>110.161718</v>
      </c>
      <c r="X170" t="n">
        <v>144.77438</v>
      </c>
    </row>
    <row r="171">
      <c r="A171" t="inlineStr">
        <is>
          <t>Octopus</t>
        </is>
      </c>
      <c r="B171" t="n">
        <v>3.8</v>
      </c>
      <c r="C171" t="n">
        <v>630.957344</v>
      </c>
      <c r="D171" t="inlineStr">
        <is>
          <t>Cephalopods</t>
        </is>
      </c>
      <c r="E171" t="n">
        <v>106.362581</v>
      </c>
      <c r="F171" t="n">
        <v>1254.312676</v>
      </c>
      <c r="G171" t="n">
        <v>135.996248</v>
      </c>
      <c r="H171" t="n">
        <v>384.963959</v>
      </c>
      <c r="I171" t="n">
        <v>1331.752693</v>
      </c>
      <c r="J171" t="n">
        <v>1334.257295</v>
      </c>
      <c r="K171" t="n">
        <v>1300.900862</v>
      </c>
      <c r="L171" t="n">
        <v>2933.853362</v>
      </c>
      <c r="M171" t="n">
        <v>2933.853362</v>
      </c>
      <c r="N171" t="n">
        <v>2933.853362</v>
      </c>
      <c r="O171" t="n">
        <v>1771.03868</v>
      </c>
      <c r="P171" t="n">
        <v>582.871532</v>
      </c>
      <c r="Q171" t="n">
        <v>2933.853362</v>
      </c>
      <c r="R171" t="n">
        <v>2933.853362</v>
      </c>
      <c r="S171" t="n">
        <v>1771.03868</v>
      </c>
      <c r="T171" t="n">
        <v>1771.03868</v>
      </c>
      <c r="U171" t="n">
        <v>582.871532</v>
      </c>
      <c r="V171" t="n">
        <v>582.871532</v>
      </c>
      <c r="W171" t="n">
        <v>1904.354617</v>
      </c>
      <c r="X171" t="n">
        <v>3263.675794</v>
      </c>
    </row>
    <row r="172">
      <c r="A172" t="inlineStr">
        <is>
          <t>Eleutheronema tetradactylum</t>
        </is>
      </c>
      <c r="B172" t="n">
        <v>4.06</v>
      </c>
      <c r="C172" t="n">
        <v>1148.153621</v>
      </c>
      <c r="D172" t="inlineStr">
        <is>
          <t>Large Benthic Carnivores</t>
        </is>
      </c>
      <c r="E172" t="n">
        <v>106.362581</v>
      </c>
      <c r="F172" t="n">
        <v>1113.102078</v>
      </c>
      <c r="G172" t="n">
        <v>125.259096</v>
      </c>
      <c r="H172" t="n">
        <v>249.981248</v>
      </c>
      <c r="I172" t="n">
        <v>421.749845</v>
      </c>
      <c r="J172" t="n">
        <v>575.638232</v>
      </c>
      <c r="K172" t="n">
        <v>564.125467</v>
      </c>
      <c r="L172" t="n">
        <v>1114.691652</v>
      </c>
      <c r="M172" t="n">
        <v>1114.691652</v>
      </c>
      <c r="N172" t="n">
        <v>1114.691652</v>
      </c>
      <c r="O172" t="n">
        <v>635.9376559999999</v>
      </c>
      <c r="P172" t="n">
        <v>217.238675</v>
      </c>
      <c r="Q172" t="n">
        <v>1114.691652</v>
      </c>
      <c r="R172" t="n">
        <v>1114.691652</v>
      </c>
      <c r="S172" t="n">
        <v>635.9376559999999</v>
      </c>
      <c r="T172" t="n">
        <v>635.9376559999999</v>
      </c>
      <c r="U172" t="n">
        <v>217.238675</v>
      </c>
      <c r="V172" t="n">
        <v>217.238675</v>
      </c>
      <c r="W172" t="n">
        <v>686.067599</v>
      </c>
      <c r="X172" t="n">
        <v>1252.543178</v>
      </c>
    </row>
    <row r="173">
      <c r="A173" t="inlineStr">
        <is>
          <t>Panulirus homarus</t>
        </is>
      </c>
      <c r="B173" t="n">
        <v>3.33</v>
      </c>
      <c r="C173" t="n">
        <v>213.796209</v>
      </c>
      <c r="D173" t="inlineStr">
        <is>
          <t>Crabs &amp; Lobster</t>
        </is>
      </c>
      <c r="E173" t="n">
        <v>106.362581</v>
      </c>
      <c r="F173" t="n">
        <v>75.373862</v>
      </c>
      <c r="G173" t="n">
        <v>19.61701</v>
      </c>
      <c r="H173" t="n">
        <v>40.48008</v>
      </c>
      <c r="I173" t="n">
        <v>77.811758</v>
      </c>
      <c r="J173" t="n">
        <v>77.811758</v>
      </c>
      <c r="K173" t="n">
        <v>75.944276</v>
      </c>
      <c r="L173" t="n">
        <v>117.553732</v>
      </c>
      <c r="M173" t="n">
        <v>117.553732</v>
      </c>
      <c r="N173" t="n">
        <v>117.553732</v>
      </c>
      <c r="O173" t="n">
        <v>38.109542</v>
      </c>
      <c r="P173" t="n">
        <v>24.77877</v>
      </c>
      <c r="Q173" t="n">
        <v>117.553732</v>
      </c>
      <c r="R173" t="n">
        <v>117.553732</v>
      </c>
      <c r="S173" t="n">
        <v>38.109542</v>
      </c>
      <c r="T173" t="n">
        <v>38.109542</v>
      </c>
      <c r="U173" t="n">
        <v>24.77877</v>
      </c>
      <c r="V173" t="n">
        <v>24.77877</v>
      </c>
      <c r="W173" t="n">
        <v>41.521391</v>
      </c>
      <c r="X173" t="n">
        <v>131.082364</v>
      </c>
    </row>
    <row r="174">
      <c r="A174" t="inlineStr">
        <is>
          <t>Drepane punctata</t>
        </is>
      </c>
      <c r="B174" t="n">
        <v>3.32</v>
      </c>
      <c r="C174" t="n">
        <v>208.929613</v>
      </c>
      <c r="D174" t="inlineStr">
        <is>
          <t>Med Benthic Carnivores</t>
        </is>
      </c>
      <c r="E174" t="n">
        <v>106.362581</v>
      </c>
      <c r="F174" t="n">
        <v>153.506319</v>
      </c>
      <c r="G174" t="n">
        <v>32.014124</v>
      </c>
      <c r="H174" t="n">
        <v>100.68782</v>
      </c>
      <c r="I174" t="n">
        <v>159.061371</v>
      </c>
      <c r="J174" t="n">
        <v>159.061371</v>
      </c>
      <c r="K174" t="n">
        <v>156.039205</v>
      </c>
      <c r="L174" t="n">
        <v>198.208223</v>
      </c>
      <c r="M174" t="n">
        <v>198.208223</v>
      </c>
      <c r="N174" t="n">
        <v>198.208223</v>
      </c>
      <c r="O174" t="n">
        <v>116.373231</v>
      </c>
      <c r="P174" t="n">
        <v>56.490526</v>
      </c>
      <c r="Q174" t="n">
        <v>198.208223</v>
      </c>
      <c r="R174" t="n">
        <v>198.208223</v>
      </c>
      <c r="S174" t="n">
        <v>116.373231</v>
      </c>
      <c r="T174" t="n">
        <v>116.373231</v>
      </c>
      <c r="U174" t="n">
        <v>56.490526</v>
      </c>
      <c r="V174" t="n">
        <v>56.490526</v>
      </c>
      <c r="W174" t="n">
        <v>120.80197</v>
      </c>
      <c r="X174" t="n">
        <v>213.813007</v>
      </c>
    </row>
    <row r="175">
      <c r="A175" t="inlineStr">
        <is>
          <t>Lates calcarifer</t>
        </is>
      </c>
      <c r="B175" t="n">
        <v>4.35</v>
      </c>
      <c r="C175" t="n">
        <v>2238.721139</v>
      </c>
      <c r="D175" t="inlineStr">
        <is>
          <t>Large Benthic Carnivores</t>
        </is>
      </c>
      <c r="E175" t="n">
        <v>106.362581</v>
      </c>
      <c r="F175" t="n">
        <v>1113.102078</v>
      </c>
      <c r="G175" t="n">
        <v>125.259096</v>
      </c>
      <c r="H175" t="n">
        <v>249.981248</v>
      </c>
      <c r="I175" t="n">
        <v>421.749845</v>
      </c>
      <c r="J175" t="n">
        <v>575.638232</v>
      </c>
      <c r="K175" t="n">
        <v>564.125467</v>
      </c>
      <c r="L175" t="n">
        <v>1114.691652</v>
      </c>
      <c r="M175" t="n">
        <v>1114.691652</v>
      </c>
      <c r="N175" t="n">
        <v>1114.691652</v>
      </c>
      <c r="O175" t="n">
        <v>635.9376559999999</v>
      </c>
      <c r="P175" t="n">
        <v>217.238675</v>
      </c>
      <c r="Q175" t="n">
        <v>1114.691652</v>
      </c>
      <c r="R175" t="n">
        <v>1114.691652</v>
      </c>
      <c r="S175" t="n">
        <v>635.9376559999999</v>
      </c>
      <c r="T175" t="n">
        <v>635.9376559999999</v>
      </c>
      <c r="U175" t="n">
        <v>217.238675</v>
      </c>
      <c r="V175" t="n">
        <v>217.238675</v>
      </c>
      <c r="W175" t="n">
        <v>686.067599</v>
      </c>
      <c r="X175" t="n">
        <v>1252.543178</v>
      </c>
    </row>
    <row r="176">
      <c r="A176" t="inlineStr">
        <is>
          <t>Epinephelus malabaricus</t>
        </is>
      </c>
      <c r="B176" t="n">
        <v>4.16</v>
      </c>
      <c r="C176" t="n">
        <v>1445.439771</v>
      </c>
      <c r="D176" t="inlineStr">
        <is>
          <t>Large Benthic Carnivores</t>
        </is>
      </c>
      <c r="E176" t="n">
        <v>106.362581</v>
      </c>
      <c r="F176" t="n">
        <v>1113.102078</v>
      </c>
      <c r="G176" t="n">
        <v>125.259096</v>
      </c>
      <c r="H176" t="n">
        <v>249.981248</v>
      </c>
      <c r="I176" t="n">
        <v>421.749845</v>
      </c>
      <c r="J176" t="n">
        <v>575.638232</v>
      </c>
      <c r="K176" t="n">
        <v>564.125467</v>
      </c>
      <c r="L176" t="n">
        <v>1114.691652</v>
      </c>
      <c r="M176" t="n">
        <v>1114.691652</v>
      </c>
      <c r="N176" t="n">
        <v>1114.691652</v>
      </c>
      <c r="O176" t="n">
        <v>635.9376559999999</v>
      </c>
      <c r="P176" t="n">
        <v>217.238675</v>
      </c>
      <c r="Q176" t="n">
        <v>1114.691652</v>
      </c>
      <c r="R176" t="n">
        <v>1114.691652</v>
      </c>
      <c r="S176" t="n">
        <v>635.9376559999999</v>
      </c>
      <c r="T176" t="n">
        <v>635.9376559999999</v>
      </c>
      <c r="U176" t="n">
        <v>217.238675</v>
      </c>
      <c r="V176" t="n">
        <v>217.238675</v>
      </c>
      <c r="W176" t="n">
        <v>686.067599</v>
      </c>
      <c r="X176" t="n">
        <v>1252.543178</v>
      </c>
    </row>
    <row r="177">
      <c r="A177" t="inlineStr">
        <is>
          <t>Istiompax indica</t>
        </is>
      </c>
      <c r="B177" t="n">
        <v>4.5</v>
      </c>
      <c r="C177" t="n">
        <v>3162.27766</v>
      </c>
      <c r="D177" t="inlineStr">
        <is>
          <t>Large Pelagics</t>
        </is>
      </c>
      <c r="E177" t="n">
        <v>106.362581</v>
      </c>
      <c r="F177" t="n">
        <v>1182.417917</v>
      </c>
      <c r="G177" t="n">
        <v>130.579526</v>
      </c>
      <c r="H177" t="n">
        <v>655.098468</v>
      </c>
      <c r="I177" t="n">
        <v>848.885192</v>
      </c>
      <c r="J177" t="n">
        <v>883.261112</v>
      </c>
      <c r="K177" t="n">
        <v>865.5958890000001</v>
      </c>
      <c r="L177" t="n">
        <v>1961.116323</v>
      </c>
      <c r="M177" t="n">
        <v>1961.116323</v>
      </c>
      <c r="N177" t="n">
        <v>1961.116323</v>
      </c>
      <c r="O177" t="n">
        <v>1097.797369</v>
      </c>
      <c r="P177" t="n">
        <v>300.80342</v>
      </c>
      <c r="Q177" t="n">
        <v>1961.116323</v>
      </c>
      <c r="R177" t="n">
        <v>1961.116323</v>
      </c>
      <c r="S177" t="n">
        <v>1097.797369</v>
      </c>
      <c r="T177" t="n">
        <v>1097.797369</v>
      </c>
      <c r="U177" t="n">
        <v>300.80342</v>
      </c>
      <c r="V177" t="n">
        <v>300.80342</v>
      </c>
      <c r="W177" t="n">
        <v>1171.90733</v>
      </c>
      <c r="X177" t="n">
        <v>2200.248768</v>
      </c>
    </row>
    <row r="178">
      <c r="A178" t="inlineStr">
        <is>
          <t>Leiognathus</t>
        </is>
      </c>
      <c r="B178" t="n">
        <v>3.22</v>
      </c>
      <c r="C178" t="n">
        <v>165.958691</v>
      </c>
      <c r="D178" t="inlineStr">
        <is>
          <t>Small Benthic Carnivores</t>
        </is>
      </c>
      <c r="E178" t="n">
        <v>106.362581</v>
      </c>
      <c r="F178" t="n">
        <v>47.875255</v>
      </c>
      <c r="G178" t="n">
        <v>14.351766</v>
      </c>
      <c r="H178" t="n">
        <v>47.936313</v>
      </c>
      <c r="I178" t="n">
        <v>123.68277</v>
      </c>
      <c r="J178" t="n">
        <v>123.68277</v>
      </c>
      <c r="K178" t="n">
        <v>121.085432</v>
      </c>
      <c r="L178" t="n">
        <v>160.705061</v>
      </c>
      <c r="M178" t="n">
        <v>160.705061</v>
      </c>
      <c r="N178" t="n">
        <v>160.705061</v>
      </c>
      <c r="O178" t="n">
        <v>86.69575</v>
      </c>
      <c r="P178" t="n">
        <v>48.551122</v>
      </c>
      <c r="Q178" t="n">
        <v>160.705061</v>
      </c>
      <c r="R178" t="n">
        <v>160.705061</v>
      </c>
      <c r="S178" t="n">
        <v>86.69575</v>
      </c>
      <c r="T178" t="n">
        <v>86.69575</v>
      </c>
      <c r="U178" t="n">
        <v>48.551122</v>
      </c>
      <c r="V178" t="n">
        <v>48.551122</v>
      </c>
      <c r="W178" t="n">
        <v>90.428786</v>
      </c>
      <c r="X178" t="n">
        <v>169.279514</v>
      </c>
    </row>
    <row r="179">
      <c r="A179" t="inlineStr">
        <is>
          <t>Alepes</t>
        </is>
      </c>
      <c r="B179" t="n">
        <v>3.32</v>
      </c>
      <c r="C179" t="n">
        <v>208.929613</v>
      </c>
      <c r="D179" t="inlineStr">
        <is>
          <t>Small Benthopelagics</t>
        </is>
      </c>
      <c r="E179" t="n">
        <v>106.362581</v>
      </c>
      <c r="F179" t="n">
        <v>735.919846</v>
      </c>
      <c r="G179" t="n">
        <v>94.203452</v>
      </c>
      <c r="H179" t="n">
        <v>274.118485</v>
      </c>
      <c r="I179" t="n">
        <v>1003.748472</v>
      </c>
      <c r="J179" t="n">
        <v>1056.007849</v>
      </c>
      <c r="K179" t="n">
        <v>1032.775676</v>
      </c>
      <c r="L179" t="n">
        <v>1426.864607</v>
      </c>
      <c r="M179" t="n">
        <v>1426.864607</v>
      </c>
      <c r="N179" t="n">
        <v>1426.864607</v>
      </c>
      <c r="O179" t="n">
        <v>914.12906</v>
      </c>
      <c r="P179" t="n">
        <v>345.870401</v>
      </c>
      <c r="Q179" t="n">
        <v>1426.864607</v>
      </c>
      <c r="R179" t="n">
        <v>1426.864607</v>
      </c>
      <c r="S179" t="n">
        <v>914.12906</v>
      </c>
      <c r="T179" t="n">
        <v>914.12906</v>
      </c>
      <c r="U179" t="n">
        <v>345.870401</v>
      </c>
      <c r="V179" t="n">
        <v>345.870401</v>
      </c>
      <c r="W179" t="n">
        <v>957.660399</v>
      </c>
      <c r="X179" t="n">
        <v>1577.210486</v>
      </c>
    </row>
    <row r="180">
      <c r="A180" t="inlineStr">
        <is>
          <t>Chondrichthyes</t>
        </is>
      </c>
      <c r="B180" t="n">
        <v>4</v>
      </c>
      <c r="C180" t="n">
        <v>1000</v>
      </c>
      <c r="D180" t="inlineStr">
        <is>
          <t>Sharks | Skates &amp; Rays</t>
        </is>
      </c>
      <c r="E180" t="n">
        <v>106.362581</v>
      </c>
      <c r="F180" t="n">
        <v>1946.568502</v>
      </c>
      <c r="G180" t="n">
        <v>176.421748</v>
      </c>
      <c r="H180" t="n">
        <v>1003.861031</v>
      </c>
      <c r="I180" t="n">
        <v>2004.425457</v>
      </c>
      <c r="J180" t="n">
        <v>2054.111071</v>
      </c>
      <c r="K180" t="n">
        <v>1388.476293</v>
      </c>
      <c r="L180" t="n">
        <v>3701.599597</v>
      </c>
      <c r="M180" t="n">
        <v>3701.599597</v>
      </c>
      <c r="N180" t="n">
        <v>3701.599597</v>
      </c>
      <c r="O180" t="n">
        <v>1387.067246</v>
      </c>
      <c r="P180" t="n">
        <v>396.000338</v>
      </c>
      <c r="Q180" t="n">
        <v>3701.599597</v>
      </c>
      <c r="R180" t="n">
        <v>3701.599597</v>
      </c>
      <c r="S180" t="n">
        <v>1387.067246</v>
      </c>
      <c r="T180" t="n">
        <v>1387.067246</v>
      </c>
      <c r="U180" t="n">
        <v>396.000338</v>
      </c>
      <c r="V180" t="n">
        <v>396.000338</v>
      </c>
      <c r="W180" t="n">
        <v>1442.44167</v>
      </c>
      <c r="X180" t="n">
        <v>4194.616006</v>
      </c>
    </row>
    <row r="181">
      <c r="A181" t="inlineStr">
        <is>
          <t>Leiognathus equula</t>
        </is>
      </c>
      <c r="B181" t="n">
        <v>2.95</v>
      </c>
      <c r="C181" t="n">
        <v>89.125094</v>
      </c>
      <c r="D181" t="inlineStr">
        <is>
          <t>Small Benthic Carnivores</t>
        </is>
      </c>
      <c r="E181" t="n">
        <v>106.362581</v>
      </c>
      <c r="F181" t="n">
        <v>47.875255</v>
      </c>
      <c r="G181" t="n">
        <v>14.351766</v>
      </c>
      <c r="H181" t="n">
        <v>47.936313</v>
      </c>
      <c r="I181" t="n">
        <v>123.68277</v>
      </c>
      <c r="J181" t="n">
        <v>123.68277</v>
      </c>
      <c r="K181" t="n">
        <v>121.085432</v>
      </c>
      <c r="L181" t="n">
        <v>160.705061</v>
      </c>
      <c r="M181" t="n">
        <v>160.705061</v>
      </c>
      <c r="N181" t="n">
        <v>160.705061</v>
      </c>
      <c r="O181" t="n">
        <v>86.69575</v>
      </c>
      <c r="P181" t="n">
        <v>48.551122</v>
      </c>
      <c r="Q181" t="n">
        <v>160.705061</v>
      </c>
      <c r="R181" t="n">
        <v>160.705061</v>
      </c>
      <c r="S181" t="n">
        <v>86.69575</v>
      </c>
      <c r="T181" t="n">
        <v>86.69575</v>
      </c>
      <c r="U181" t="n">
        <v>48.551122</v>
      </c>
      <c r="V181" t="n">
        <v>48.551122</v>
      </c>
      <c r="W181" t="n">
        <v>90.428786</v>
      </c>
      <c r="X181" t="n">
        <v>169.279514</v>
      </c>
    </row>
    <row r="182">
      <c r="A182" t="inlineStr">
        <is>
          <t>Epinephelus tauvina</t>
        </is>
      </c>
      <c r="B182" t="n">
        <v>4.13</v>
      </c>
      <c r="C182" t="n">
        <v>1348.962883</v>
      </c>
      <c r="D182" t="inlineStr">
        <is>
          <t>Large Benthic Carnivores</t>
        </is>
      </c>
      <c r="E182" t="n">
        <v>106.362581</v>
      </c>
      <c r="F182" t="n">
        <v>1113.102078</v>
      </c>
      <c r="G182" t="n">
        <v>125.259096</v>
      </c>
      <c r="H182" t="n">
        <v>249.981248</v>
      </c>
      <c r="I182" t="n">
        <v>421.749845</v>
      </c>
      <c r="J182" t="n">
        <v>575.638232</v>
      </c>
      <c r="K182" t="n">
        <v>564.125467</v>
      </c>
      <c r="L182" t="n">
        <v>1114.691652</v>
      </c>
      <c r="M182" t="n">
        <v>1114.691652</v>
      </c>
      <c r="N182" t="n">
        <v>1114.691652</v>
      </c>
      <c r="O182" t="n">
        <v>635.9376559999999</v>
      </c>
      <c r="P182" t="n">
        <v>217.238675</v>
      </c>
      <c r="Q182" t="n">
        <v>1114.691652</v>
      </c>
      <c r="R182" t="n">
        <v>1114.691652</v>
      </c>
      <c r="S182" t="n">
        <v>635.9376559999999</v>
      </c>
      <c r="T182" t="n">
        <v>635.9376559999999</v>
      </c>
      <c r="U182" t="n">
        <v>217.238675</v>
      </c>
      <c r="V182" t="n">
        <v>217.238675</v>
      </c>
      <c r="W182" t="n">
        <v>686.067599</v>
      </c>
      <c r="X182" t="n">
        <v>1252.543178</v>
      </c>
    </row>
    <row r="183">
      <c r="A183" t="inlineStr">
        <is>
          <t>Gastropoda</t>
        </is>
      </c>
      <c r="B183" t="n">
        <v>3.06</v>
      </c>
      <c r="C183" t="n">
        <v>114.815362</v>
      </c>
      <c r="D183" t="inlineStr">
        <is>
          <t>Heterotrophic Benthos</t>
        </is>
      </c>
      <c r="E183" t="n">
        <v>106.362581</v>
      </c>
      <c r="F183" t="n">
        <v>19.947374</v>
      </c>
      <c r="G183" t="n">
        <v>7.853921</v>
      </c>
      <c r="H183" t="n">
        <v>13.270207</v>
      </c>
      <c r="I183" t="n">
        <v>123.888042</v>
      </c>
      <c r="J183" t="n">
        <v>123.888042</v>
      </c>
      <c r="K183" t="n">
        <v>15.362117</v>
      </c>
      <c r="L183" t="n">
        <v>260.720597</v>
      </c>
      <c r="M183" t="n">
        <v>260.720597</v>
      </c>
      <c r="N183" t="n">
        <v>260.720597</v>
      </c>
      <c r="O183" t="n">
        <v>19.314018</v>
      </c>
      <c r="P183" t="n">
        <v>17.703696</v>
      </c>
      <c r="Q183" t="n">
        <v>260.720597</v>
      </c>
      <c r="R183" t="n">
        <v>260.720597</v>
      </c>
      <c r="S183" t="n">
        <v>19.314018</v>
      </c>
      <c r="T183" t="n">
        <v>19.314018</v>
      </c>
      <c r="U183" t="n">
        <v>17.703696</v>
      </c>
      <c r="V183" t="n">
        <v>17.703696</v>
      </c>
      <c r="W183" t="n">
        <v>20.650834</v>
      </c>
      <c r="X183" t="n">
        <v>285.015306</v>
      </c>
    </row>
    <row r="184">
      <c r="A184" t="inlineStr">
        <is>
          <t>Catostylus perezi</t>
        </is>
      </c>
      <c r="B184" t="n">
        <v>3.46</v>
      </c>
      <c r="C184" t="n">
        <v>288.40315</v>
      </c>
      <c r="D184" t="inlineStr">
        <is>
          <t>Micro Nekton</t>
        </is>
      </c>
      <c r="E184" t="n">
        <v>106.362581</v>
      </c>
      <c r="F184" t="n">
        <v>169.184545</v>
      </c>
      <c r="G184" t="n">
        <v>34.23133</v>
      </c>
      <c r="H184" t="n">
        <v>53.056441</v>
      </c>
      <c r="I184" t="n">
        <v>117.681204</v>
      </c>
      <c r="J184" t="n">
        <v>117.681204</v>
      </c>
      <c r="K184" t="n">
        <v>91.555977</v>
      </c>
      <c r="L184" t="n">
        <v>131.142973</v>
      </c>
      <c r="M184" t="n">
        <v>131.142973</v>
      </c>
      <c r="N184" t="n">
        <v>131.142973</v>
      </c>
      <c r="O184" t="n">
        <v>96.50135899999999</v>
      </c>
      <c r="P184" t="n">
        <v>51.765447</v>
      </c>
      <c r="Q184" t="n">
        <v>131.142973</v>
      </c>
      <c r="R184" t="n">
        <v>131.142973</v>
      </c>
      <c r="S184" t="n">
        <v>96.50135899999999</v>
      </c>
      <c r="T184" t="n">
        <v>96.50135899999999</v>
      </c>
      <c r="U184" t="n">
        <v>51.765447</v>
      </c>
      <c r="V184" t="n">
        <v>51.765447</v>
      </c>
      <c r="W184" t="n">
        <v>99.732336</v>
      </c>
      <c r="X184" t="n">
        <v>139.39598</v>
      </c>
    </row>
    <row r="185">
      <c r="A185" t="inlineStr">
        <is>
          <t>Gnathanodon speciosus</t>
        </is>
      </c>
      <c r="B185" t="n">
        <v>3.84</v>
      </c>
      <c r="C185" t="n">
        <v>691.830971</v>
      </c>
      <c r="D185" t="inlineStr">
        <is>
          <t>Large Benthic Carnivores</t>
        </is>
      </c>
      <c r="E185" t="n">
        <v>106.362581</v>
      </c>
      <c r="F185" t="n">
        <v>1113.102078</v>
      </c>
      <c r="G185" t="n">
        <v>125.259096</v>
      </c>
      <c r="H185" t="n">
        <v>249.981248</v>
      </c>
      <c r="I185" t="n">
        <v>421.749845</v>
      </c>
      <c r="J185" t="n">
        <v>575.638232</v>
      </c>
      <c r="K185" t="n">
        <v>564.125467</v>
      </c>
      <c r="L185" t="n">
        <v>1114.691652</v>
      </c>
      <c r="M185" t="n">
        <v>1114.691652</v>
      </c>
      <c r="N185" t="n">
        <v>1114.691652</v>
      </c>
      <c r="O185" t="n">
        <v>635.9376559999999</v>
      </c>
      <c r="P185" t="n">
        <v>217.238675</v>
      </c>
      <c r="Q185" t="n">
        <v>1114.691652</v>
      </c>
      <c r="R185" t="n">
        <v>1114.691652</v>
      </c>
      <c r="S185" t="n">
        <v>635.9376559999999</v>
      </c>
      <c r="T185" t="n">
        <v>635.9376559999999</v>
      </c>
      <c r="U185" t="n">
        <v>217.238675</v>
      </c>
      <c r="V185" t="n">
        <v>217.238675</v>
      </c>
      <c r="W185" t="n">
        <v>686.067599</v>
      </c>
      <c r="X185" t="n">
        <v>1252.543178</v>
      </c>
    </row>
    <row r="186">
      <c r="A186" t="inlineStr">
        <is>
          <t>Carcharhinus melanopterus</t>
        </is>
      </c>
      <c r="B186" t="n">
        <v>3.94</v>
      </c>
      <c r="C186" t="n">
        <v>870.96359</v>
      </c>
      <c r="D186" t="inlineStr">
        <is>
          <t>Sharks</t>
        </is>
      </c>
      <c r="E186" t="n">
        <v>106.362581</v>
      </c>
      <c r="F186" t="n">
        <v>2569.28922</v>
      </c>
      <c r="G186" t="n">
        <v>222.822151</v>
      </c>
      <c r="H186" t="n">
        <v>1308.685037</v>
      </c>
      <c r="I186" t="n">
        <v>1955.186859</v>
      </c>
      <c r="J186" t="n">
        <v>2007.418175</v>
      </c>
      <c r="K186" t="n">
        <v>1423.259486</v>
      </c>
      <c r="L186" t="n">
        <v>3930.042293</v>
      </c>
      <c r="M186" t="n">
        <v>3930.042293</v>
      </c>
      <c r="N186" t="n">
        <v>3930.042293</v>
      </c>
      <c r="O186" t="n">
        <v>1585.345045</v>
      </c>
      <c r="P186" t="n">
        <v>411.268522</v>
      </c>
      <c r="Q186" t="n">
        <v>3930.042293</v>
      </c>
      <c r="R186" t="n">
        <v>3930.042293</v>
      </c>
      <c r="S186" t="n">
        <v>1585.345045</v>
      </c>
      <c r="T186" t="n">
        <v>1585.345045</v>
      </c>
      <c r="U186" t="n">
        <v>411.268522</v>
      </c>
      <c r="V186" t="n">
        <v>411.268522</v>
      </c>
      <c r="W186" t="n">
        <v>1647.369658</v>
      </c>
      <c r="X186" t="n">
        <v>4507.362005</v>
      </c>
    </row>
    <row r="187">
      <c r="A187" t="inlineStr">
        <is>
          <t>Tetraodontidae</t>
        </is>
      </c>
      <c r="B187" t="n">
        <v>3.5</v>
      </c>
      <c r="C187" t="n">
        <v>316.227766</v>
      </c>
      <c r="D187" t="inlineStr">
        <is>
          <t>Small Benthic Carnivores</t>
        </is>
      </c>
      <c r="E187" t="n">
        <v>106.362581</v>
      </c>
      <c r="F187" t="n">
        <v>47.875255</v>
      </c>
      <c r="G187" t="n">
        <v>14.351766</v>
      </c>
      <c r="H187" t="n">
        <v>47.936313</v>
      </c>
      <c r="I187" t="n">
        <v>123.68277</v>
      </c>
      <c r="J187" t="n">
        <v>123.68277</v>
      </c>
      <c r="K187" t="n">
        <v>121.085432</v>
      </c>
      <c r="L187" t="n">
        <v>160.705061</v>
      </c>
      <c r="M187" t="n">
        <v>160.705061</v>
      </c>
      <c r="N187" t="n">
        <v>160.705061</v>
      </c>
      <c r="O187" t="n">
        <v>86.69575</v>
      </c>
      <c r="P187" t="n">
        <v>48.551122</v>
      </c>
      <c r="Q187" t="n">
        <v>160.705061</v>
      </c>
      <c r="R187" t="n">
        <v>160.705061</v>
      </c>
      <c r="S187" t="n">
        <v>86.69575</v>
      </c>
      <c r="T187" t="n">
        <v>86.69575</v>
      </c>
      <c r="U187" t="n">
        <v>48.551122</v>
      </c>
      <c r="V187" t="n">
        <v>48.551122</v>
      </c>
      <c r="W187" t="n">
        <v>90.428786</v>
      </c>
      <c r="X187" t="n">
        <v>169.279514</v>
      </c>
    </row>
    <row r="188">
      <c r="A188" t="inlineStr">
        <is>
          <t>Rhabdosargus haffara</t>
        </is>
      </c>
      <c r="B188" t="n">
        <v>3.5</v>
      </c>
      <c r="C188" t="n">
        <v>316.227766</v>
      </c>
      <c r="D188" t="inlineStr">
        <is>
          <t>Med Benthic Carnivores</t>
        </is>
      </c>
      <c r="E188" t="n">
        <v>106.362581</v>
      </c>
      <c r="F188" t="n">
        <v>153.506319</v>
      </c>
      <c r="G188" t="n">
        <v>32.014124</v>
      </c>
      <c r="H188" t="n">
        <v>100.68782</v>
      </c>
      <c r="I188" t="n">
        <v>159.061371</v>
      </c>
      <c r="J188" t="n">
        <v>159.061371</v>
      </c>
      <c r="K188" t="n">
        <v>156.039205</v>
      </c>
      <c r="L188" t="n">
        <v>198.208223</v>
      </c>
      <c r="M188" t="n">
        <v>198.208223</v>
      </c>
      <c r="N188" t="n">
        <v>198.208223</v>
      </c>
      <c r="O188" t="n">
        <v>116.373231</v>
      </c>
      <c r="P188" t="n">
        <v>56.490526</v>
      </c>
      <c r="Q188" t="n">
        <v>198.208223</v>
      </c>
      <c r="R188" t="n">
        <v>198.208223</v>
      </c>
      <c r="S188" t="n">
        <v>116.373231</v>
      </c>
      <c r="T188" t="n">
        <v>116.373231</v>
      </c>
      <c r="U188" t="n">
        <v>56.490526</v>
      </c>
      <c r="V188" t="n">
        <v>56.490526</v>
      </c>
      <c r="W188" t="n">
        <v>120.80197</v>
      </c>
      <c r="X188" t="n">
        <v>213.813007</v>
      </c>
    </row>
    <row r="189">
      <c r="A189" t="inlineStr">
        <is>
          <t>Gerres</t>
        </is>
      </c>
      <c r="B189" t="n">
        <v>3.27</v>
      </c>
      <c r="C189" t="n">
        <v>186.208714</v>
      </c>
      <c r="D189" t="inlineStr">
        <is>
          <t>Small Benthic Carnivores</t>
        </is>
      </c>
      <c r="E189" t="n">
        <v>106.362581</v>
      </c>
      <c r="F189" t="n">
        <v>47.875255</v>
      </c>
      <c r="G189" t="n">
        <v>14.351766</v>
      </c>
      <c r="H189" t="n">
        <v>47.936313</v>
      </c>
      <c r="I189" t="n">
        <v>123.68277</v>
      </c>
      <c r="J189" t="n">
        <v>123.68277</v>
      </c>
      <c r="K189" t="n">
        <v>121.085432</v>
      </c>
      <c r="L189" t="n">
        <v>160.705061</v>
      </c>
      <c r="M189" t="n">
        <v>160.705061</v>
      </c>
      <c r="N189" t="n">
        <v>160.705061</v>
      </c>
      <c r="O189" t="n">
        <v>86.69575</v>
      </c>
      <c r="P189" t="n">
        <v>48.551122</v>
      </c>
      <c r="Q189" t="n">
        <v>160.705061</v>
      </c>
      <c r="R189" t="n">
        <v>160.705061</v>
      </c>
      <c r="S189" t="n">
        <v>86.69575</v>
      </c>
      <c r="T189" t="n">
        <v>86.69575</v>
      </c>
      <c r="U189" t="n">
        <v>48.551122</v>
      </c>
      <c r="V189" t="n">
        <v>48.551122</v>
      </c>
      <c r="W189" t="n">
        <v>90.428786</v>
      </c>
      <c r="X189" t="n">
        <v>169.279514</v>
      </c>
    </row>
    <row r="190">
      <c r="A190" t="inlineStr">
        <is>
          <t>Platycephalidae</t>
        </is>
      </c>
      <c r="B190" t="n">
        <v>3.9</v>
      </c>
      <c r="C190" t="n">
        <v>794.3282349999999</v>
      </c>
      <c r="D190" t="inlineStr">
        <is>
          <t>Med Benthic Carnivores</t>
        </is>
      </c>
      <c r="E190" t="n">
        <v>106.362581</v>
      </c>
      <c r="F190" t="n">
        <v>153.506319</v>
      </c>
      <c r="G190" t="n">
        <v>32.014124</v>
      </c>
      <c r="H190" t="n">
        <v>100.68782</v>
      </c>
      <c r="I190" t="n">
        <v>159.061371</v>
      </c>
      <c r="J190" t="n">
        <v>159.061371</v>
      </c>
      <c r="K190" t="n">
        <v>156.039205</v>
      </c>
      <c r="L190" t="n">
        <v>198.208223</v>
      </c>
      <c r="M190" t="n">
        <v>198.208223</v>
      </c>
      <c r="N190" t="n">
        <v>198.208223</v>
      </c>
      <c r="O190" t="n">
        <v>116.373231</v>
      </c>
      <c r="P190" t="n">
        <v>56.490526</v>
      </c>
      <c r="Q190" t="n">
        <v>198.208223</v>
      </c>
      <c r="R190" t="n">
        <v>198.208223</v>
      </c>
      <c r="S190" t="n">
        <v>116.373231</v>
      </c>
      <c r="T190" t="n">
        <v>116.373231</v>
      </c>
      <c r="U190" t="n">
        <v>56.490526</v>
      </c>
      <c r="V190" t="n">
        <v>56.490526</v>
      </c>
      <c r="W190" t="n">
        <v>120.80197</v>
      </c>
      <c r="X190" t="n">
        <v>213.813007</v>
      </c>
    </row>
    <row r="191">
      <c r="A191" t="inlineStr">
        <is>
          <t>Cephea</t>
        </is>
      </c>
      <c r="B191" t="n">
        <v>3.46</v>
      </c>
      <c r="C191" t="n">
        <v>288.40315</v>
      </c>
      <c r="D191" t="inlineStr">
        <is>
          <t>Micro Nekton</t>
        </is>
      </c>
      <c r="E191" t="n">
        <v>106.362581</v>
      </c>
      <c r="F191" t="n">
        <v>169.184545</v>
      </c>
      <c r="G191" t="n">
        <v>34.23133</v>
      </c>
      <c r="H191" t="n">
        <v>53.056441</v>
      </c>
      <c r="I191" t="n">
        <v>117.681204</v>
      </c>
      <c r="J191" t="n">
        <v>117.681204</v>
      </c>
      <c r="K191" t="n">
        <v>91.555977</v>
      </c>
      <c r="L191" t="n">
        <v>131.142973</v>
      </c>
      <c r="M191" t="n">
        <v>131.142973</v>
      </c>
      <c r="N191" t="n">
        <v>131.142973</v>
      </c>
      <c r="O191" t="n">
        <v>96.50135899999999</v>
      </c>
      <c r="P191" t="n">
        <v>51.765447</v>
      </c>
      <c r="Q191" t="n">
        <v>131.142973</v>
      </c>
      <c r="R191" t="n">
        <v>131.142973</v>
      </c>
      <c r="S191" t="n">
        <v>96.50135899999999</v>
      </c>
      <c r="T191" t="n">
        <v>96.50135899999999</v>
      </c>
      <c r="U191" t="n">
        <v>51.765447</v>
      </c>
      <c r="V191" t="n">
        <v>51.765447</v>
      </c>
      <c r="W191" t="n">
        <v>99.732336</v>
      </c>
      <c r="X191" t="n">
        <v>139.39598</v>
      </c>
    </row>
    <row r="192">
      <c r="A192" t="inlineStr">
        <is>
          <t>Panulirus polyphagus</t>
        </is>
      </c>
      <c r="B192" t="n">
        <v>2.94</v>
      </c>
      <c r="C192" t="n">
        <v>87.09635900000001</v>
      </c>
      <c r="D192" t="inlineStr">
        <is>
          <t>Crabs &amp; Lobster</t>
        </is>
      </c>
      <c r="E192" t="n">
        <v>106.362581</v>
      </c>
      <c r="F192" t="n">
        <v>75.373862</v>
      </c>
      <c r="G192" t="n">
        <v>19.61701</v>
      </c>
      <c r="H192" t="n">
        <v>40.48008</v>
      </c>
      <c r="I192" t="n">
        <v>77.811758</v>
      </c>
      <c r="J192" t="n">
        <v>77.811758</v>
      </c>
      <c r="K192" t="n">
        <v>75.944276</v>
      </c>
      <c r="L192" t="n">
        <v>117.553732</v>
      </c>
      <c r="M192" t="n">
        <v>117.553732</v>
      </c>
      <c r="N192" t="n">
        <v>117.553732</v>
      </c>
      <c r="O192" t="n">
        <v>38.109542</v>
      </c>
      <c r="P192" t="n">
        <v>24.77877</v>
      </c>
      <c r="Q192" t="n">
        <v>117.553732</v>
      </c>
      <c r="R192" t="n">
        <v>117.553732</v>
      </c>
      <c r="S192" t="n">
        <v>38.109542</v>
      </c>
      <c r="T192" t="n">
        <v>38.109542</v>
      </c>
      <c r="U192" t="n">
        <v>24.77877</v>
      </c>
      <c r="V192" t="n">
        <v>24.77877</v>
      </c>
      <c r="W192" t="n">
        <v>41.521391</v>
      </c>
      <c r="X192" t="n">
        <v>131.082364</v>
      </c>
    </row>
    <row r="193">
      <c r="A193" t="inlineStr">
        <is>
          <t>Decapterus russelli</t>
        </is>
      </c>
      <c r="B193" t="n">
        <v>3.68</v>
      </c>
      <c r="C193" t="n">
        <v>478.630092</v>
      </c>
      <c r="D193" t="inlineStr">
        <is>
          <t>Small Benthopelagics</t>
        </is>
      </c>
      <c r="E193" t="n">
        <v>106.362581</v>
      </c>
      <c r="F193" t="n">
        <v>735.919846</v>
      </c>
      <c r="G193" t="n">
        <v>94.203452</v>
      </c>
      <c r="H193" t="n">
        <v>274.118485</v>
      </c>
      <c r="I193" t="n">
        <v>1003.748472</v>
      </c>
      <c r="J193" t="n">
        <v>1056.007849</v>
      </c>
      <c r="K193" t="n">
        <v>1032.775676</v>
      </c>
      <c r="L193" t="n">
        <v>1426.864607</v>
      </c>
      <c r="M193" t="n">
        <v>1426.864607</v>
      </c>
      <c r="N193" t="n">
        <v>1426.864607</v>
      </c>
      <c r="O193" t="n">
        <v>914.12906</v>
      </c>
      <c r="P193" t="n">
        <v>345.870401</v>
      </c>
      <c r="Q193" t="n">
        <v>1426.864607</v>
      </c>
      <c r="R193" t="n">
        <v>1426.864607</v>
      </c>
      <c r="S193" t="n">
        <v>914.12906</v>
      </c>
      <c r="T193" t="n">
        <v>914.12906</v>
      </c>
      <c r="U193" t="n">
        <v>345.870401</v>
      </c>
      <c r="V193" t="n">
        <v>345.870401</v>
      </c>
      <c r="W193" t="n">
        <v>957.660399</v>
      </c>
      <c r="X193" t="n">
        <v>1577.210486</v>
      </c>
    </row>
    <row r="194">
      <c r="A194" t="inlineStr">
        <is>
          <t>Pristipomoides filamentosus</t>
        </is>
      </c>
      <c r="B194" t="n">
        <v>4.19</v>
      </c>
      <c r="C194" t="n">
        <v>1548.816619</v>
      </c>
      <c r="D194" t="inlineStr">
        <is>
          <t>Large Benthic Carnivores</t>
        </is>
      </c>
      <c r="E194" t="n">
        <v>106.362581</v>
      </c>
      <c r="F194" t="n">
        <v>1113.102078</v>
      </c>
      <c r="G194" t="n">
        <v>125.259096</v>
      </c>
      <c r="H194" t="n">
        <v>249.981248</v>
      </c>
      <c r="I194" t="n">
        <v>421.749845</v>
      </c>
      <c r="J194" t="n">
        <v>575.638232</v>
      </c>
      <c r="K194" t="n">
        <v>564.125467</v>
      </c>
      <c r="L194" t="n">
        <v>1114.691652</v>
      </c>
      <c r="M194" t="n">
        <v>1114.691652</v>
      </c>
      <c r="N194" t="n">
        <v>1114.691652</v>
      </c>
      <c r="O194" t="n">
        <v>635.9376559999999</v>
      </c>
      <c r="P194" t="n">
        <v>217.238675</v>
      </c>
      <c r="Q194" t="n">
        <v>1114.691652</v>
      </c>
      <c r="R194" t="n">
        <v>1114.691652</v>
      </c>
      <c r="S194" t="n">
        <v>635.9376559999999</v>
      </c>
      <c r="T194" t="n">
        <v>635.9376559999999</v>
      </c>
      <c r="U194" t="n">
        <v>217.238675</v>
      </c>
      <c r="V194" t="n">
        <v>217.238675</v>
      </c>
      <c r="W194" t="n">
        <v>686.067599</v>
      </c>
      <c r="X194" t="n">
        <v>1252.543178</v>
      </c>
    </row>
    <row r="195">
      <c r="A195" t="inlineStr">
        <is>
          <t>Lamnidae</t>
        </is>
      </c>
      <c r="B195" t="n">
        <v>4.5</v>
      </c>
      <c r="C195" t="n">
        <v>3162.27766</v>
      </c>
      <c r="D195" t="inlineStr">
        <is>
          <t>Sharks</t>
        </is>
      </c>
      <c r="E195" t="n">
        <v>106.362581</v>
      </c>
      <c r="F195" t="n">
        <v>2569.28922</v>
      </c>
      <c r="G195" t="n">
        <v>222.822151</v>
      </c>
      <c r="H195" t="n">
        <v>1308.685037</v>
      </c>
      <c r="I195" t="n">
        <v>1955.186859</v>
      </c>
      <c r="J195" t="n">
        <v>2007.418175</v>
      </c>
      <c r="K195" t="n">
        <v>1423.259486</v>
      </c>
      <c r="L195" t="n">
        <v>3930.042293</v>
      </c>
      <c r="M195" t="n">
        <v>3930.042293</v>
      </c>
      <c r="N195" t="n">
        <v>3930.042293</v>
      </c>
      <c r="O195" t="n">
        <v>1585.345045</v>
      </c>
      <c r="P195" t="n">
        <v>411.268522</v>
      </c>
      <c r="Q195" t="n">
        <v>3930.042293</v>
      </c>
      <c r="R195" t="n">
        <v>3930.042293</v>
      </c>
      <c r="S195" t="n">
        <v>1585.345045</v>
      </c>
      <c r="T195" t="n">
        <v>1585.345045</v>
      </c>
      <c r="U195" t="n">
        <v>411.268522</v>
      </c>
      <c r="V195" t="n">
        <v>411.268522</v>
      </c>
      <c r="W195" t="n">
        <v>1647.369658</v>
      </c>
      <c r="X195" t="n">
        <v>4507.362005</v>
      </c>
    </row>
    <row r="196">
      <c r="A196" t="inlineStr">
        <is>
          <t>Sphyrnidae</t>
        </is>
      </c>
      <c r="B196" t="n">
        <v>4.19</v>
      </c>
      <c r="C196" t="n">
        <v>1548.816619</v>
      </c>
      <c r="D196" t="inlineStr">
        <is>
          <t>Sharks</t>
        </is>
      </c>
      <c r="E196" t="n">
        <v>106.362581</v>
      </c>
      <c r="F196" t="n">
        <v>2569.28922</v>
      </c>
      <c r="G196" t="n">
        <v>222.822151</v>
      </c>
      <c r="H196" t="n">
        <v>1308.685037</v>
      </c>
      <c r="I196" t="n">
        <v>1955.186859</v>
      </c>
      <c r="J196" t="n">
        <v>2007.418175</v>
      </c>
      <c r="K196" t="n">
        <v>1423.259486</v>
      </c>
      <c r="L196" t="n">
        <v>3930.042293</v>
      </c>
      <c r="M196" t="n">
        <v>3930.042293</v>
      </c>
      <c r="N196" t="n">
        <v>3930.042293</v>
      </c>
      <c r="O196" t="n">
        <v>1585.345045</v>
      </c>
      <c r="P196" t="n">
        <v>411.268522</v>
      </c>
      <c r="Q196" t="n">
        <v>3930.042293</v>
      </c>
      <c r="R196" t="n">
        <v>3930.042293</v>
      </c>
      <c r="S196" t="n">
        <v>1585.345045</v>
      </c>
      <c r="T196" t="n">
        <v>1585.345045</v>
      </c>
      <c r="U196" t="n">
        <v>411.268522</v>
      </c>
      <c r="V196" t="n">
        <v>411.268522</v>
      </c>
      <c r="W196" t="n">
        <v>1647.369658</v>
      </c>
      <c r="X196" t="n">
        <v>4507.362005</v>
      </c>
    </row>
    <row r="197">
      <c r="A197" t="inlineStr">
        <is>
          <t>Saccostrea cuccullata</t>
        </is>
      </c>
      <c r="B197" t="n">
        <v>2</v>
      </c>
      <c r="C197" t="n">
        <v>10</v>
      </c>
      <c r="D197" t="inlineStr">
        <is>
          <t>Heterotrophic Benthos</t>
        </is>
      </c>
      <c r="E197" t="n">
        <v>106.362581</v>
      </c>
      <c r="F197" t="n">
        <v>19.947374</v>
      </c>
      <c r="G197" t="n">
        <v>7.853921</v>
      </c>
      <c r="H197" t="n">
        <v>13.270207</v>
      </c>
      <c r="I197" t="n">
        <v>123.888042</v>
      </c>
      <c r="J197" t="n">
        <v>123.888042</v>
      </c>
      <c r="K197" t="n">
        <v>15.362117</v>
      </c>
      <c r="L197" t="n">
        <v>260.720597</v>
      </c>
      <c r="M197" t="n">
        <v>260.720597</v>
      </c>
      <c r="N197" t="n">
        <v>260.720597</v>
      </c>
      <c r="O197" t="n">
        <v>19.314018</v>
      </c>
      <c r="P197" t="n">
        <v>17.703696</v>
      </c>
      <c r="Q197" t="n">
        <v>260.720597</v>
      </c>
      <c r="R197" t="n">
        <v>260.720597</v>
      </c>
      <c r="S197" t="n">
        <v>19.314018</v>
      </c>
      <c r="T197" t="n">
        <v>19.314018</v>
      </c>
      <c r="U197" t="n">
        <v>17.703696</v>
      </c>
      <c r="V197" t="n">
        <v>17.703696</v>
      </c>
      <c r="W197" t="n">
        <v>20.650834</v>
      </c>
      <c r="X197" t="n">
        <v>285.015306</v>
      </c>
    </row>
    <row r="198">
      <c r="A198" t="inlineStr">
        <is>
          <t>Xiphias gladius</t>
        </is>
      </c>
      <c r="B198" t="n">
        <v>4.53</v>
      </c>
      <c r="C198" t="n">
        <v>3388.441561</v>
      </c>
      <c r="D198" t="inlineStr">
        <is>
          <t>Large Pelagics</t>
        </is>
      </c>
      <c r="E198" t="n">
        <v>106.362581</v>
      </c>
      <c r="F198" t="n">
        <v>1182.417917</v>
      </c>
      <c r="G198" t="n">
        <v>130.579526</v>
      </c>
      <c r="H198" t="n">
        <v>655.098468</v>
      </c>
      <c r="I198" t="n">
        <v>848.885192</v>
      </c>
      <c r="J198" t="n">
        <v>883.261112</v>
      </c>
      <c r="K198" t="n">
        <v>865.5958890000001</v>
      </c>
      <c r="L198" t="n">
        <v>1961.116323</v>
      </c>
      <c r="M198" t="n">
        <v>1961.116323</v>
      </c>
      <c r="N198" t="n">
        <v>1961.116323</v>
      </c>
      <c r="O198" t="n">
        <v>1097.797369</v>
      </c>
      <c r="P198" t="n">
        <v>300.80342</v>
      </c>
      <c r="Q198" t="n">
        <v>1961.116323</v>
      </c>
      <c r="R198" t="n">
        <v>1961.116323</v>
      </c>
      <c r="S198" t="n">
        <v>1097.797369</v>
      </c>
      <c r="T198" t="n">
        <v>1097.797369</v>
      </c>
      <c r="U198" t="n">
        <v>300.80342</v>
      </c>
      <c r="V198" t="n">
        <v>300.80342</v>
      </c>
      <c r="W198" t="n">
        <v>1171.90733</v>
      </c>
      <c r="X198" t="n">
        <v>2200.248768</v>
      </c>
    </row>
    <row r="199">
      <c r="A199" t="inlineStr">
        <is>
          <t>Hilsa kelee</t>
        </is>
      </c>
      <c r="B199" t="n">
        <v>3.25</v>
      </c>
      <c r="C199" t="n">
        <v>177.827941</v>
      </c>
      <c r="D199" t="inlineStr">
        <is>
          <t>Clupeids</t>
        </is>
      </c>
      <c r="E199" t="n">
        <v>106.362581</v>
      </c>
      <c r="F199" t="n">
        <v>88.561632</v>
      </c>
      <c r="G199" t="n">
        <v>21.920534</v>
      </c>
      <c r="H199" t="n">
        <v>63.185331</v>
      </c>
      <c r="I199" t="n">
        <v>125.502905</v>
      </c>
      <c r="J199" t="n">
        <v>125.502905</v>
      </c>
      <c r="K199" t="n">
        <v>122.867344</v>
      </c>
      <c r="L199" t="n">
        <v>135.671609</v>
      </c>
      <c r="M199" t="n">
        <v>135.671609</v>
      </c>
      <c r="N199" t="n">
        <v>135.671609</v>
      </c>
      <c r="O199" t="n">
        <v>106.962478</v>
      </c>
      <c r="P199" t="n">
        <v>52.045425</v>
      </c>
      <c r="Q199" t="n">
        <v>135.671609</v>
      </c>
      <c r="R199" t="n">
        <v>135.671609</v>
      </c>
      <c r="S199" t="n">
        <v>106.962478</v>
      </c>
      <c r="T199" t="n">
        <v>106.962478</v>
      </c>
      <c r="U199" t="n">
        <v>52.045425</v>
      </c>
      <c r="V199" t="n">
        <v>52.045425</v>
      </c>
      <c r="W199" t="n">
        <v>110.161718</v>
      </c>
      <c r="X199" t="n">
        <v>144.77438</v>
      </c>
    </row>
    <row r="200">
      <c r="A200" t="inlineStr">
        <is>
          <t>Sphyraena obtusata</t>
        </is>
      </c>
      <c r="B200" t="n">
        <v>4.5</v>
      </c>
      <c r="C200" t="n">
        <v>3162.27766</v>
      </c>
      <c r="D200" t="inlineStr">
        <is>
          <t>Large Pelagics</t>
        </is>
      </c>
      <c r="E200" t="n">
        <v>106.362581</v>
      </c>
      <c r="F200" t="n">
        <v>1182.417917</v>
      </c>
      <c r="G200" t="n">
        <v>130.579526</v>
      </c>
      <c r="H200" t="n">
        <v>655.098468</v>
      </c>
      <c r="I200" t="n">
        <v>848.885192</v>
      </c>
      <c r="J200" t="n">
        <v>883.261112</v>
      </c>
      <c r="K200" t="n">
        <v>865.5958890000001</v>
      </c>
      <c r="L200" t="n">
        <v>1961.116323</v>
      </c>
      <c r="M200" t="n">
        <v>1961.116323</v>
      </c>
      <c r="N200" t="n">
        <v>1961.116323</v>
      </c>
      <c r="O200" t="n">
        <v>1097.797369</v>
      </c>
      <c r="P200" t="n">
        <v>300.80342</v>
      </c>
      <c r="Q200" t="n">
        <v>1961.116323</v>
      </c>
      <c r="R200" t="n">
        <v>1961.116323</v>
      </c>
      <c r="S200" t="n">
        <v>1097.797369</v>
      </c>
      <c r="T200" t="n">
        <v>1097.797369</v>
      </c>
      <c r="U200" t="n">
        <v>300.80342</v>
      </c>
      <c r="V200" t="n">
        <v>300.80342</v>
      </c>
      <c r="W200" t="n">
        <v>1171.90733</v>
      </c>
      <c r="X200" t="n">
        <v>2200.248768</v>
      </c>
    </row>
    <row r="201">
      <c r="A201" t="inlineStr">
        <is>
          <t>Platycaranx malabaricus</t>
        </is>
      </c>
      <c r="B201" t="n">
        <v>3.88</v>
      </c>
      <c r="C201" t="n">
        <v>758.577575</v>
      </c>
      <c r="D201" t="inlineStr">
        <is>
          <t>Large Benthic Carnivores</t>
        </is>
      </c>
      <c r="E201" t="n">
        <v>106.362581</v>
      </c>
      <c r="F201" t="n">
        <v>1113.102078</v>
      </c>
      <c r="G201" t="n">
        <v>125.259096</v>
      </c>
      <c r="H201" t="n">
        <v>249.981248</v>
      </c>
      <c r="I201" t="n">
        <v>421.749845</v>
      </c>
      <c r="J201" t="n">
        <v>575.638232</v>
      </c>
      <c r="K201" t="n">
        <v>564.125467</v>
      </c>
      <c r="L201" t="n">
        <v>1114.691652</v>
      </c>
      <c r="M201" t="n">
        <v>1114.691652</v>
      </c>
      <c r="N201" t="n">
        <v>1114.691652</v>
      </c>
      <c r="O201" t="n">
        <v>635.9376559999999</v>
      </c>
      <c r="P201" t="n">
        <v>217.238675</v>
      </c>
      <c r="Q201" t="n">
        <v>1114.691652</v>
      </c>
      <c r="R201" t="n">
        <v>1114.691652</v>
      </c>
      <c r="S201" t="n">
        <v>635.9376559999999</v>
      </c>
      <c r="T201" t="n">
        <v>635.9376559999999</v>
      </c>
      <c r="U201" t="n">
        <v>217.238675</v>
      </c>
      <c r="V201" t="n">
        <v>217.238675</v>
      </c>
      <c r="W201" t="n">
        <v>686.067599</v>
      </c>
      <c r="X201" t="n">
        <v>1252.543178</v>
      </c>
    </row>
    <row r="202">
      <c r="A202" t="inlineStr">
        <is>
          <t>Moolgarda seheli</t>
        </is>
      </c>
      <c r="B202" t="n">
        <v>2.32</v>
      </c>
      <c r="C202" t="n">
        <v>20.892961</v>
      </c>
      <c r="D202" t="inlineStr">
        <is>
          <t>Benthic Omnivores</t>
        </is>
      </c>
      <c r="E202" t="n">
        <v>106.362581</v>
      </c>
      <c r="F202" t="n">
        <v>34.853983</v>
      </c>
      <c r="G202" t="n">
        <v>11.533933</v>
      </c>
      <c r="H202" t="n">
        <v>23.954598</v>
      </c>
      <c r="I202" t="n">
        <v>122.110584</v>
      </c>
      <c r="J202" t="n">
        <v>122.110584</v>
      </c>
      <c r="K202" t="n">
        <v>119.668372</v>
      </c>
      <c r="L202" t="n">
        <v>234.326211</v>
      </c>
      <c r="M202" t="n">
        <v>234.326211</v>
      </c>
      <c r="N202" t="n">
        <v>234.326211</v>
      </c>
      <c r="O202" t="n">
        <v>32.574396</v>
      </c>
      <c r="P202" t="n">
        <v>28.191927</v>
      </c>
      <c r="Q202" t="n">
        <v>234.326211</v>
      </c>
      <c r="R202" t="n">
        <v>234.326211</v>
      </c>
      <c r="S202" t="n">
        <v>32.574396</v>
      </c>
      <c r="T202" t="n">
        <v>32.574396</v>
      </c>
      <c r="U202" t="n">
        <v>28.191927</v>
      </c>
      <c r="V202" t="n">
        <v>28.191927</v>
      </c>
      <c r="W202" t="n">
        <v>34.709256</v>
      </c>
      <c r="X202" t="n">
        <v>257.01226</v>
      </c>
    </row>
    <row r="203">
      <c r="A203" t="inlineStr">
        <is>
          <t>Epinephelus areolatus</t>
        </is>
      </c>
      <c r="B203" t="n">
        <v>3.74</v>
      </c>
      <c r="C203" t="n">
        <v>549.540874</v>
      </c>
      <c r="D203" t="inlineStr">
        <is>
          <t>Large Benthic Carnivores</t>
        </is>
      </c>
      <c r="E203" t="n">
        <v>106.362581</v>
      </c>
      <c r="F203" t="n">
        <v>1113.102078</v>
      </c>
      <c r="G203" t="n">
        <v>125.259096</v>
      </c>
      <c r="H203" t="n">
        <v>249.981248</v>
      </c>
      <c r="I203" t="n">
        <v>421.749845</v>
      </c>
      <c r="J203" t="n">
        <v>575.638232</v>
      </c>
      <c r="K203" t="n">
        <v>564.125467</v>
      </c>
      <c r="L203" t="n">
        <v>1114.691652</v>
      </c>
      <c r="M203" t="n">
        <v>1114.691652</v>
      </c>
      <c r="N203" t="n">
        <v>1114.691652</v>
      </c>
      <c r="O203" t="n">
        <v>635.9376559999999</v>
      </c>
      <c r="P203" t="n">
        <v>217.238675</v>
      </c>
      <c r="Q203" t="n">
        <v>1114.691652</v>
      </c>
      <c r="R203" t="n">
        <v>1114.691652</v>
      </c>
      <c r="S203" t="n">
        <v>635.9376559999999</v>
      </c>
      <c r="T203" t="n">
        <v>635.9376559999999</v>
      </c>
      <c r="U203" t="n">
        <v>217.238675</v>
      </c>
      <c r="V203" t="n">
        <v>217.238675</v>
      </c>
      <c r="W203" t="n">
        <v>686.067599</v>
      </c>
      <c r="X203" t="n">
        <v>1252.543178</v>
      </c>
    </row>
    <row r="204">
      <c r="A204" t="inlineStr">
        <is>
          <t>Carcharhinus limbatus</t>
        </is>
      </c>
      <c r="B204" t="n">
        <v>4.37</v>
      </c>
      <c r="C204" t="n">
        <v>2344.228815</v>
      </c>
      <c r="D204" t="inlineStr">
        <is>
          <t>Sharks</t>
        </is>
      </c>
      <c r="E204" t="n">
        <v>106.362581</v>
      </c>
      <c r="F204" t="n">
        <v>2569.28922</v>
      </c>
      <c r="G204" t="n">
        <v>222.822151</v>
      </c>
      <c r="H204" t="n">
        <v>1308.685037</v>
      </c>
      <c r="I204" t="n">
        <v>1955.186859</v>
      </c>
      <c r="J204" t="n">
        <v>2007.418175</v>
      </c>
      <c r="K204" t="n">
        <v>1423.259486</v>
      </c>
      <c r="L204" t="n">
        <v>3930.042293</v>
      </c>
      <c r="M204" t="n">
        <v>3930.042293</v>
      </c>
      <c r="N204" t="n">
        <v>3930.042293</v>
      </c>
      <c r="O204" t="n">
        <v>1585.345045</v>
      </c>
      <c r="P204" t="n">
        <v>411.268522</v>
      </c>
      <c r="Q204" t="n">
        <v>3930.042293</v>
      </c>
      <c r="R204" t="n">
        <v>3930.042293</v>
      </c>
      <c r="S204" t="n">
        <v>1585.345045</v>
      </c>
      <c r="T204" t="n">
        <v>1585.345045</v>
      </c>
      <c r="U204" t="n">
        <v>411.268522</v>
      </c>
      <c r="V204" t="n">
        <v>411.268522</v>
      </c>
      <c r="W204" t="n">
        <v>1647.369658</v>
      </c>
      <c r="X204" t="n">
        <v>4507.362005</v>
      </c>
    </row>
    <row r="205">
      <c r="A205" t="inlineStr">
        <is>
          <t>Siganus canaliculatus</t>
        </is>
      </c>
      <c r="B205" t="n">
        <v>2.76</v>
      </c>
      <c r="C205" t="n">
        <v>57.543994</v>
      </c>
      <c r="D205" t="inlineStr">
        <is>
          <t>Benthic Omnivores</t>
        </is>
      </c>
      <c r="E205" t="n">
        <v>106.362581</v>
      </c>
      <c r="F205" t="n">
        <v>34.853983</v>
      </c>
      <c r="G205" t="n">
        <v>11.533933</v>
      </c>
      <c r="H205" t="n">
        <v>23.954598</v>
      </c>
      <c r="I205" t="n">
        <v>122.110584</v>
      </c>
      <c r="J205" t="n">
        <v>122.110584</v>
      </c>
      <c r="K205" t="n">
        <v>119.668372</v>
      </c>
      <c r="L205" t="n">
        <v>234.326211</v>
      </c>
      <c r="M205" t="n">
        <v>234.326211</v>
      </c>
      <c r="N205" t="n">
        <v>234.326211</v>
      </c>
      <c r="O205" t="n">
        <v>32.574396</v>
      </c>
      <c r="P205" t="n">
        <v>28.191927</v>
      </c>
      <c r="Q205" t="n">
        <v>234.326211</v>
      </c>
      <c r="R205" t="n">
        <v>234.326211</v>
      </c>
      <c r="S205" t="n">
        <v>32.574396</v>
      </c>
      <c r="T205" t="n">
        <v>32.574396</v>
      </c>
      <c r="U205" t="n">
        <v>28.191927</v>
      </c>
      <c r="V205" t="n">
        <v>28.191927</v>
      </c>
      <c r="W205" t="n">
        <v>34.709256</v>
      </c>
      <c r="X205" t="n">
        <v>257.01226</v>
      </c>
    </row>
    <row r="206">
      <c r="A206" t="inlineStr">
        <is>
          <t>Panulirus</t>
        </is>
      </c>
      <c r="B206" t="n">
        <v>2.6</v>
      </c>
      <c r="C206" t="n">
        <v>39.810717</v>
      </c>
      <c r="D206" t="inlineStr">
        <is>
          <t>Crabs &amp; Lobster</t>
        </is>
      </c>
      <c r="E206" t="n">
        <v>106.362581</v>
      </c>
      <c r="F206" t="n">
        <v>75.373862</v>
      </c>
      <c r="G206" t="n">
        <v>19.61701</v>
      </c>
      <c r="H206" t="n">
        <v>40.48008</v>
      </c>
      <c r="I206" t="n">
        <v>77.811758</v>
      </c>
      <c r="J206" t="n">
        <v>77.811758</v>
      </c>
      <c r="K206" t="n">
        <v>75.944276</v>
      </c>
      <c r="L206" t="n">
        <v>117.553732</v>
      </c>
      <c r="M206" t="n">
        <v>117.553732</v>
      </c>
      <c r="N206" t="n">
        <v>117.553732</v>
      </c>
      <c r="O206" t="n">
        <v>38.109542</v>
      </c>
      <c r="P206" t="n">
        <v>24.77877</v>
      </c>
      <c r="Q206" t="n">
        <v>117.553732</v>
      </c>
      <c r="R206" t="n">
        <v>117.553732</v>
      </c>
      <c r="S206" t="n">
        <v>38.109542</v>
      </c>
      <c r="T206" t="n">
        <v>38.109542</v>
      </c>
      <c r="U206" t="n">
        <v>24.77877</v>
      </c>
      <c r="V206" t="n">
        <v>24.77877</v>
      </c>
      <c r="W206" t="n">
        <v>41.521391</v>
      </c>
      <c r="X206" t="n">
        <v>131.082364</v>
      </c>
    </row>
    <row r="207">
      <c r="A207" t="inlineStr">
        <is>
          <t>Rhynchobatus djiddensis</t>
        </is>
      </c>
      <c r="B207" t="n">
        <v>3.6</v>
      </c>
      <c r="C207" t="n">
        <v>398.107171</v>
      </c>
      <c r="D207" t="inlineStr">
        <is>
          <t>Skates &amp; Rays</t>
        </is>
      </c>
      <c r="E207" t="n">
        <v>106.362581</v>
      </c>
      <c r="F207" t="n">
        <v>378.025577</v>
      </c>
      <c r="G207" t="n">
        <v>59.545879</v>
      </c>
      <c r="H207" t="n">
        <v>236.053692</v>
      </c>
      <c r="I207" t="n">
        <v>2128.450324</v>
      </c>
      <c r="J207" t="n">
        <v>2171.723686</v>
      </c>
      <c r="K207" t="n">
        <v>1300.862488</v>
      </c>
      <c r="L207" t="n">
        <v>3126.185669</v>
      </c>
      <c r="M207" t="n">
        <v>3126.185669</v>
      </c>
      <c r="N207" t="n">
        <v>3126.185669</v>
      </c>
      <c r="O207" t="n">
        <v>887.634307</v>
      </c>
      <c r="P207" t="n">
        <v>357.542004</v>
      </c>
      <c r="Q207" t="n">
        <v>3126.185669</v>
      </c>
      <c r="R207" t="n">
        <v>3126.185669</v>
      </c>
      <c r="S207" t="n">
        <v>887.634307</v>
      </c>
      <c r="T207" t="n">
        <v>887.634307</v>
      </c>
      <c r="U207" t="n">
        <v>357.542004</v>
      </c>
      <c r="V207" t="n">
        <v>357.542004</v>
      </c>
      <c r="W207" t="n">
        <v>926.257871</v>
      </c>
      <c r="X207" t="n">
        <v>3406.854319</v>
      </c>
    </row>
    <row r="208">
      <c r="A208" t="inlineStr">
        <is>
          <t>Isurus paucus</t>
        </is>
      </c>
      <c r="B208" t="n">
        <v>4.51</v>
      </c>
      <c r="C208" t="n">
        <v>3235.936569</v>
      </c>
      <c r="D208" t="inlineStr">
        <is>
          <t>Sharks</t>
        </is>
      </c>
      <c r="E208" t="n">
        <v>106.362581</v>
      </c>
      <c r="F208" t="n">
        <v>2569.28922</v>
      </c>
      <c r="G208" t="n">
        <v>222.822151</v>
      </c>
      <c r="H208" t="n">
        <v>1308.685037</v>
      </c>
      <c r="I208" t="n">
        <v>1955.186859</v>
      </c>
      <c r="J208" t="n">
        <v>2007.418175</v>
      </c>
      <c r="K208" t="n">
        <v>1423.259486</v>
      </c>
      <c r="L208" t="n">
        <v>3930.042293</v>
      </c>
      <c r="M208" t="n">
        <v>3930.042293</v>
      </c>
      <c r="N208" t="n">
        <v>3930.042293</v>
      </c>
      <c r="O208" t="n">
        <v>1585.345045</v>
      </c>
      <c r="P208" t="n">
        <v>411.268522</v>
      </c>
      <c r="Q208" t="n">
        <v>3930.042293</v>
      </c>
      <c r="R208" t="n">
        <v>3930.042293</v>
      </c>
      <c r="S208" t="n">
        <v>1585.345045</v>
      </c>
      <c r="T208" t="n">
        <v>1585.345045</v>
      </c>
      <c r="U208" t="n">
        <v>411.268522</v>
      </c>
      <c r="V208" t="n">
        <v>411.268522</v>
      </c>
      <c r="W208" t="n">
        <v>1647.369658</v>
      </c>
      <c r="X208" t="n">
        <v>4507.362005</v>
      </c>
    </row>
    <row r="209">
      <c r="A209" t="inlineStr">
        <is>
          <t>Diagramma pictum</t>
        </is>
      </c>
      <c r="B209" t="n">
        <v>3.7</v>
      </c>
      <c r="C209" t="n">
        <v>501.187234</v>
      </c>
      <c r="D209" t="inlineStr">
        <is>
          <t>Med Benthic Carnivores</t>
        </is>
      </c>
      <c r="E209" t="n">
        <v>106.362581</v>
      </c>
      <c r="F209" t="n">
        <v>153.506319</v>
      </c>
      <c r="G209" t="n">
        <v>32.014124</v>
      </c>
      <c r="H209" t="n">
        <v>100.68782</v>
      </c>
      <c r="I209" t="n">
        <v>159.061371</v>
      </c>
      <c r="J209" t="n">
        <v>159.061371</v>
      </c>
      <c r="K209" t="n">
        <v>156.039205</v>
      </c>
      <c r="L209" t="n">
        <v>198.208223</v>
      </c>
      <c r="M209" t="n">
        <v>198.208223</v>
      </c>
      <c r="N209" t="n">
        <v>198.208223</v>
      </c>
      <c r="O209" t="n">
        <v>116.373231</v>
      </c>
      <c r="P209" t="n">
        <v>56.490526</v>
      </c>
      <c r="Q209" t="n">
        <v>198.208223</v>
      </c>
      <c r="R209" t="n">
        <v>198.208223</v>
      </c>
      <c r="S209" t="n">
        <v>116.373231</v>
      </c>
      <c r="T209" t="n">
        <v>116.373231</v>
      </c>
      <c r="U209" t="n">
        <v>56.490526</v>
      </c>
      <c r="V209" t="n">
        <v>56.490526</v>
      </c>
      <c r="W209" t="n">
        <v>120.80197</v>
      </c>
      <c r="X209" t="n">
        <v>213.813007</v>
      </c>
    </row>
    <row r="210">
      <c r="A210" t="inlineStr">
        <is>
          <t>Alopias vulpinus</t>
        </is>
      </c>
      <c r="B210" t="n">
        <v>4.5</v>
      </c>
      <c r="C210" t="n">
        <v>3162.27766</v>
      </c>
      <c r="D210" t="inlineStr">
        <is>
          <t>Sharks</t>
        </is>
      </c>
      <c r="E210" t="n">
        <v>106.362581</v>
      </c>
      <c r="F210" t="n">
        <v>2569.28922</v>
      </c>
      <c r="G210" t="n">
        <v>222.822151</v>
      </c>
      <c r="H210" t="n">
        <v>1308.685037</v>
      </c>
      <c r="I210" t="n">
        <v>1955.186859</v>
      </c>
      <c r="J210" t="n">
        <v>2007.418175</v>
      </c>
      <c r="K210" t="n">
        <v>1423.259486</v>
      </c>
      <c r="L210" t="n">
        <v>3930.042293</v>
      </c>
      <c r="M210" t="n">
        <v>3930.042293</v>
      </c>
      <c r="N210" t="n">
        <v>3930.042293</v>
      </c>
      <c r="O210" t="n">
        <v>1585.345045</v>
      </c>
      <c r="P210" t="n">
        <v>411.268522</v>
      </c>
      <c r="Q210" t="n">
        <v>3930.042293</v>
      </c>
      <c r="R210" t="n">
        <v>3930.042293</v>
      </c>
      <c r="S210" t="n">
        <v>1585.345045</v>
      </c>
      <c r="T210" t="n">
        <v>1585.345045</v>
      </c>
      <c r="U210" t="n">
        <v>411.268522</v>
      </c>
      <c r="V210" t="n">
        <v>411.268522</v>
      </c>
      <c r="W210" t="n">
        <v>1647.369658</v>
      </c>
      <c r="X210" t="n">
        <v>4507.362005</v>
      </c>
    </row>
    <row r="211">
      <c r="A211" t="inlineStr">
        <is>
          <t>Sphyraena forsteri</t>
        </is>
      </c>
      <c r="B211" t="n">
        <v>4.42</v>
      </c>
      <c r="C211" t="n">
        <v>2630.267992</v>
      </c>
      <c r="D211" t="inlineStr">
        <is>
          <t>Large Pelagics</t>
        </is>
      </c>
      <c r="E211" t="n">
        <v>106.362581</v>
      </c>
      <c r="F211" t="n">
        <v>1182.417917</v>
      </c>
      <c r="G211" t="n">
        <v>130.579526</v>
      </c>
      <c r="H211" t="n">
        <v>655.098468</v>
      </c>
      <c r="I211" t="n">
        <v>848.885192</v>
      </c>
      <c r="J211" t="n">
        <v>883.261112</v>
      </c>
      <c r="K211" t="n">
        <v>865.5958890000001</v>
      </c>
      <c r="L211" t="n">
        <v>1961.116323</v>
      </c>
      <c r="M211" t="n">
        <v>1961.116323</v>
      </c>
      <c r="N211" t="n">
        <v>1961.116323</v>
      </c>
      <c r="O211" t="n">
        <v>1097.797369</v>
      </c>
      <c r="P211" t="n">
        <v>300.80342</v>
      </c>
      <c r="Q211" t="n">
        <v>1961.116323</v>
      </c>
      <c r="R211" t="n">
        <v>1961.116323</v>
      </c>
      <c r="S211" t="n">
        <v>1097.797369</v>
      </c>
      <c r="T211" t="n">
        <v>1097.797369</v>
      </c>
      <c r="U211" t="n">
        <v>300.80342</v>
      </c>
      <c r="V211" t="n">
        <v>300.80342</v>
      </c>
      <c r="W211" t="n">
        <v>1171.90733</v>
      </c>
      <c r="X211" t="n">
        <v>2200.248768</v>
      </c>
    </row>
    <row r="212">
      <c r="A212" t="inlineStr">
        <is>
          <t>Lethrinus olivaceus</t>
        </is>
      </c>
      <c r="B212" t="n">
        <v>3.95</v>
      </c>
      <c r="C212" t="n">
        <v>891.250938</v>
      </c>
      <c r="D212" t="inlineStr">
        <is>
          <t>Large Benthic Carnivores</t>
        </is>
      </c>
      <c r="E212" t="n">
        <v>106.362581</v>
      </c>
      <c r="F212" t="n">
        <v>1113.102078</v>
      </c>
      <c r="G212" t="n">
        <v>125.259096</v>
      </c>
      <c r="H212" t="n">
        <v>249.981248</v>
      </c>
      <c r="I212" t="n">
        <v>421.749845</v>
      </c>
      <c r="J212" t="n">
        <v>575.638232</v>
      </c>
      <c r="K212" t="n">
        <v>564.125467</v>
      </c>
      <c r="L212" t="n">
        <v>1114.691652</v>
      </c>
      <c r="M212" t="n">
        <v>1114.691652</v>
      </c>
      <c r="N212" t="n">
        <v>1114.691652</v>
      </c>
      <c r="O212" t="n">
        <v>635.9376559999999</v>
      </c>
      <c r="P212" t="n">
        <v>217.238675</v>
      </c>
      <c r="Q212" t="n">
        <v>1114.691652</v>
      </c>
      <c r="R212" t="n">
        <v>1114.691652</v>
      </c>
      <c r="S212" t="n">
        <v>635.9376559999999</v>
      </c>
      <c r="T212" t="n">
        <v>635.9376559999999</v>
      </c>
      <c r="U212" t="n">
        <v>217.238675</v>
      </c>
      <c r="V212" t="n">
        <v>217.238675</v>
      </c>
      <c r="W212" t="n">
        <v>686.067599</v>
      </c>
      <c r="X212" t="n">
        <v>1252.543178</v>
      </c>
    </row>
    <row r="213">
      <c r="A213" t="inlineStr">
        <is>
          <t>Lethrinus borbonicus</t>
        </is>
      </c>
      <c r="B213" t="n">
        <v>3.47</v>
      </c>
      <c r="C213" t="n">
        <v>295.120923</v>
      </c>
      <c r="D213" t="inlineStr">
        <is>
          <t>Large Benthic Carnivores</t>
        </is>
      </c>
      <c r="E213" t="n">
        <v>106.362581</v>
      </c>
      <c r="F213" t="n">
        <v>1113.102078</v>
      </c>
      <c r="G213" t="n">
        <v>125.259096</v>
      </c>
      <c r="H213" t="n">
        <v>249.981248</v>
      </c>
      <c r="I213" t="n">
        <v>421.749845</v>
      </c>
      <c r="J213" t="n">
        <v>575.638232</v>
      </c>
      <c r="K213" t="n">
        <v>564.125467</v>
      </c>
      <c r="L213" t="n">
        <v>1114.691652</v>
      </c>
      <c r="M213" t="n">
        <v>1114.691652</v>
      </c>
      <c r="N213" t="n">
        <v>1114.691652</v>
      </c>
      <c r="O213" t="n">
        <v>635.9376559999999</v>
      </c>
      <c r="P213" t="n">
        <v>217.238675</v>
      </c>
      <c r="Q213" t="n">
        <v>1114.691652</v>
      </c>
      <c r="R213" t="n">
        <v>1114.691652</v>
      </c>
      <c r="S213" t="n">
        <v>635.9376559999999</v>
      </c>
      <c r="T213" t="n">
        <v>635.9376559999999</v>
      </c>
      <c r="U213" t="n">
        <v>217.238675</v>
      </c>
      <c r="V213" t="n">
        <v>217.238675</v>
      </c>
      <c r="W213" t="n">
        <v>686.067599</v>
      </c>
      <c r="X213" t="n">
        <v>1252.543178</v>
      </c>
    </row>
    <row r="214">
      <c r="A214" t="inlineStr">
        <is>
          <t>Sphyraena jello</t>
        </is>
      </c>
      <c r="B214" t="n">
        <v>4.5</v>
      </c>
      <c r="C214" t="n">
        <v>3162.27766</v>
      </c>
      <c r="D214" t="inlineStr">
        <is>
          <t>Large Pelagics</t>
        </is>
      </c>
      <c r="E214" t="n">
        <v>106.362581</v>
      </c>
      <c r="F214" t="n">
        <v>1182.417917</v>
      </c>
      <c r="G214" t="n">
        <v>130.579526</v>
      </c>
      <c r="H214" t="n">
        <v>655.098468</v>
      </c>
      <c r="I214" t="n">
        <v>848.885192</v>
      </c>
      <c r="J214" t="n">
        <v>883.261112</v>
      </c>
      <c r="K214" t="n">
        <v>865.5958890000001</v>
      </c>
      <c r="L214" t="n">
        <v>1961.116323</v>
      </c>
      <c r="M214" t="n">
        <v>1961.116323</v>
      </c>
      <c r="N214" t="n">
        <v>1961.116323</v>
      </c>
      <c r="O214" t="n">
        <v>1097.797369</v>
      </c>
      <c r="P214" t="n">
        <v>300.80342</v>
      </c>
      <c r="Q214" t="n">
        <v>1961.116323</v>
      </c>
      <c r="R214" t="n">
        <v>1961.116323</v>
      </c>
      <c r="S214" t="n">
        <v>1097.797369</v>
      </c>
      <c r="T214" t="n">
        <v>1097.797369</v>
      </c>
      <c r="U214" t="n">
        <v>300.80342</v>
      </c>
      <c r="V214" t="n">
        <v>300.80342</v>
      </c>
      <c r="W214" t="n">
        <v>1171.90733</v>
      </c>
      <c r="X214" t="n">
        <v>2200.248768</v>
      </c>
    </row>
    <row r="215">
      <c r="A215" t="inlineStr">
        <is>
          <t>Acanthocybium solandri</t>
        </is>
      </c>
      <c r="B215" t="n">
        <v>4.26</v>
      </c>
      <c r="C215" t="n">
        <v>1819.700859</v>
      </c>
      <c r="D215" t="inlineStr">
        <is>
          <t>Large Pelagics</t>
        </is>
      </c>
      <c r="E215" t="n">
        <v>106.362581</v>
      </c>
      <c r="F215" t="n">
        <v>1182.417917</v>
      </c>
      <c r="G215" t="n">
        <v>130.579526</v>
      </c>
      <c r="H215" t="n">
        <v>655.098468</v>
      </c>
      <c r="I215" t="n">
        <v>848.885192</v>
      </c>
      <c r="J215" t="n">
        <v>883.261112</v>
      </c>
      <c r="K215" t="n">
        <v>865.5958890000001</v>
      </c>
      <c r="L215" t="n">
        <v>1961.116323</v>
      </c>
      <c r="M215" t="n">
        <v>1961.116323</v>
      </c>
      <c r="N215" t="n">
        <v>1961.116323</v>
      </c>
      <c r="O215" t="n">
        <v>1097.797369</v>
      </c>
      <c r="P215" t="n">
        <v>300.80342</v>
      </c>
      <c r="Q215" t="n">
        <v>1961.116323</v>
      </c>
      <c r="R215" t="n">
        <v>1961.116323</v>
      </c>
      <c r="S215" t="n">
        <v>1097.797369</v>
      </c>
      <c r="T215" t="n">
        <v>1097.797369</v>
      </c>
      <c r="U215" t="n">
        <v>300.80342</v>
      </c>
      <c r="V215" t="n">
        <v>300.80342</v>
      </c>
      <c r="W215" t="n">
        <v>1171.90733</v>
      </c>
      <c r="X215" t="n">
        <v>2200.248768</v>
      </c>
    </row>
    <row r="216">
      <c r="A216" t="inlineStr">
        <is>
          <t>Rhizoprionodon acutus</t>
        </is>
      </c>
      <c r="B216" t="n">
        <v>4.25</v>
      </c>
      <c r="C216" t="n">
        <v>1778.27941</v>
      </c>
      <c r="D216" t="inlineStr">
        <is>
          <t>Sharks</t>
        </is>
      </c>
      <c r="E216" t="n">
        <v>106.362581</v>
      </c>
      <c r="F216" t="n">
        <v>2569.28922</v>
      </c>
      <c r="G216" t="n">
        <v>222.822151</v>
      </c>
      <c r="H216" t="n">
        <v>1308.685037</v>
      </c>
      <c r="I216" t="n">
        <v>1955.186859</v>
      </c>
      <c r="J216" t="n">
        <v>2007.418175</v>
      </c>
      <c r="K216" t="n">
        <v>1423.259486</v>
      </c>
      <c r="L216" t="n">
        <v>3930.042293</v>
      </c>
      <c r="M216" t="n">
        <v>3930.042293</v>
      </c>
      <c r="N216" t="n">
        <v>3930.042293</v>
      </c>
      <c r="O216" t="n">
        <v>1585.345045</v>
      </c>
      <c r="P216" t="n">
        <v>411.268522</v>
      </c>
      <c r="Q216" t="n">
        <v>3930.042293</v>
      </c>
      <c r="R216" t="n">
        <v>3930.042293</v>
      </c>
      <c r="S216" t="n">
        <v>1585.345045</v>
      </c>
      <c r="T216" t="n">
        <v>1585.345045</v>
      </c>
      <c r="U216" t="n">
        <v>411.268522</v>
      </c>
      <c r="V216" t="n">
        <v>411.268522</v>
      </c>
      <c r="W216" t="n">
        <v>1647.369658</v>
      </c>
      <c r="X216" t="n">
        <v>4507.362005</v>
      </c>
    </row>
    <row r="217">
      <c r="A217" t="inlineStr">
        <is>
          <t>Atule mate</t>
        </is>
      </c>
      <c r="B217" t="n">
        <v>4.22</v>
      </c>
      <c r="C217" t="n">
        <v>1659.586907</v>
      </c>
      <c r="D217" t="inlineStr">
        <is>
          <t>Small Benthopelagics</t>
        </is>
      </c>
      <c r="E217" t="n">
        <v>106.362581</v>
      </c>
      <c r="F217" t="n">
        <v>735.919846</v>
      </c>
      <c r="G217" t="n">
        <v>94.203452</v>
      </c>
      <c r="H217" t="n">
        <v>274.118485</v>
      </c>
      <c r="I217" t="n">
        <v>1003.748472</v>
      </c>
      <c r="J217" t="n">
        <v>1056.007849</v>
      </c>
      <c r="K217" t="n">
        <v>1032.775676</v>
      </c>
      <c r="L217" t="n">
        <v>1426.864607</v>
      </c>
      <c r="M217" t="n">
        <v>1426.864607</v>
      </c>
      <c r="N217" t="n">
        <v>1426.864607</v>
      </c>
      <c r="O217" t="n">
        <v>914.12906</v>
      </c>
      <c r="P217" t="n">
        <v>345.870401</v>
      </c>
      <c r="Q217" t="n">
        <v>1426.864607</v>
      </c>
      <c r="R217" t="n">
        <v>1426.864607</v>
      </c>
      <c r="S217" t="n">
        <v>914.12906</v>
      </c>
      <c r="T217" t="n">
        <v>914.12906</v>
      </c>
      <c r="U217" t="n">
        <v>345.870401</v>
      </c>
      <c r="V217" t="n">
        <v>345.870401</v>
      </c>
      <c r="W217" t="n">
        <v>957.660399</v>
      </c>
      <c r="X217" t="n">
        <v>1577.210486</v>
      </c>
    </row>
    <row r="218">
      <c r="A218" t="inlineStr">
        <is>
          <t>Selaroides leptolepis</t>
        </is>
      </c>
      <c r="B218" t="n">
        <v>3.84</v>
      </c>
      <c r="C218" t="n">
        <v>691.830971</v>
      </c>
      <c r="D218" t="inlineStr">
        <is>
          <t>Small Benthopelagics</t>
        </is>
      </c>
      <c r="E218" t="n">
        <v>106.362581</v>
      </c>
      <c r="F218" t="n">
        <v>735.919846</v>
      </c>
      <c r="G218" t="n">
        <v>94.203452</v>
      </c>
      <c r="H218" t="n">
        <v>274.118485</v>
      </c>
      <c r="I218" t="n">
        <v>1003.748472</v>
      </c>
      <c r="J218" t="n">
        <v>1056.007849</v>
      </c>
      <c r="K218" t="n">
        <v>1032.775676</v>
      </c>
      <c r="L218" t="n">
        <v>1426.864607</v>
      </c>
      <c r="M218" t="n">
        <v>1426.864607</v>
      </c>
      <c r="N218" t="n">
        <v>1426.864607</v>
      </c>
      <c r="O218" t="n">
        <v>914.12906</v>
      </c>
      <c r="P218" t="n">
        <v>345.870401</v>
      </c>
      <c r="Q218" t="n">
        <v>1426.864607</v>
      </c>
      <c r="R218" t="n">
        <v>1426.864607</v>
      </c>
      <c r="S218" t="n">
        <v>914.12906</v>
      </c>
      <c r="T218" t="n">
        <v>914.12906</v>
      </c>
      <c r="U218" t="n">
        <v>345.870401</v>
      </c>
      <c r="V218" t="n">
        <v>345.870401</v>
      </c>
      <c r="W218" t="n">
        <v>957.660399</v>
      </c>
      <c r="X218" t="n">
        <v>1577.210486</v>
      </c>
    </row>
    <row r="219">
      <c r="A219" t="inlineStr">
        <is>
          <t>Sarda orientalis</t>
        </is>
      </c>
      <c r="B219" t="n">
        <v>4.21</v>
      </c>
      <c r="C219" t="n">
        <v>1621.810097</v>
      </c>
      <c r="D219" t="inlineStr">
        <is>
          <t>Tunas</t>
        </is>
      </c>
      <c r="E219" t="n">
        <v>106.362581</v>
      </c>
      <c r="F219" t="n">
        <v>1377.951482</v>
      </c>
      <c r="G219" t="n">
        <v>145.091076</v>
      </c>
      <c r="H219" t="n">
        <v>354.016089</v>
      </c>
      <c r="I219" t="n">
        <v>804.627355</v>
      </c>
      <c r="J219" t="n">
        <v>818.1011109999999</v>
      </c>
      <c r="K219" t="n">
        <v>575.125081</v>
      </c>
      <c r="L219" t="n">
        <v>970.782826</v>
      </c>
      <c r="M219" t="n">
        <v>970.782826</v>
      </c>
      <c r="N219" t="n">
        <v>970.782826</v>
      </c>
      <c r="O219" t="n">
        <v>487.056907</v>
      </c>
      <c r="P219" t="n">
        <v>182.863315</v>
      </c>
      <c r="Q219" t="n">
        <v>970.782826</v>
      </c>
      <c r="R219" t="n">
        <v>970.782826</v>
      </c>
      <c r="S219" t="n">
        <v>487.056907</v>
      </c>
      <c r="T219" t="n">
        <v>487.056907</v>
      </c>
      <c r="U219" t="n">
        <v>182.863315</v>
      </c>
      <c r="V219" t="n">
        <v>182.863315</v>
      </c>
      <c r="W219" t="n">
        <v>514.9785419999999</v>
      </c>
      <c r="X219" t="n">
        <v>1083.073415</v>
      </c>
    </row>
    <row r="220">
      <c r="A220" t="inlineStr">
        <is>
          <t>Marine groundfishes not identified</t>
        </is>
      </c>
      <c r="B220" t="n">
        <v>3.22</v>
      </c>
      <c r="C220" t="n">
        <v>165.958691</v>
      </c>
      <c r="D220" t="inlineStr">
        <is>
          <t>Med Benthic Carnivores | Small Benthic Carnivores | Large Benthic Carnivores</t>
        </is>
      </c>
      <c r="E220" t="n">
        <v>106.362581</v>
      </c>
      <c r="F220" t="n">
        <v>510.340028</v>
      </c>
      <c r="G220" t="n">
        <v>64.917636</v>
      </c>
      <c r="H220" t="n">
        <v>147.512799</v>
      </c>
      <c r="I220" t="n">
        <v>255.197828</v>
      </c>
      <c r="J220" t="n">
        <v>316.476335</v>
      </c>
      <c r="K220" t="n">
        <v>310.174869</v>
      </c>
      <c r="L220" t="n">
        <v>554.178052</v>
      </c>
      <c r="M220" t="n">
        <v>554.178052</v>
      </c>
      <c r="N220" t="n">
        <v>554.178052</v>
      </c>
      <c r="O220" t="n">
        <v>316.162263</v>
      </c>
      <c r="P220" t="n">
        <v>118.600641</v>
      </c>
      <c r="Q220" t="n">
        <v>554.178052</v>
      </c>
      <c r="R220" t="n">
        <v>554.178052</v>
      </c>
      <c r="S220" t="n">
        <v>316.162263</v>
      </c>
      <c r="T220" t="n">
        <v>316.162263</v>
      </c>
      <c r="U220" t="n">
        <v>118.600641</v>
      </c>
      <c r="V220" t="n">
        <v>118.600641</v>
      </c>
      <c r="W220" t="n">
        <v>338.62278</v>
      </c>
      <c r="X220" t="n">
        <v>616.7791999999999</v>
      </c>
    </row>
    <row r="221">
      <c r="A221" t="inlineStr">
        <is>
          <t>Epinephelus polylepis</t>
        </is>
      </c>
      <c r="B221" t="n">
        <v>3.8</v>
      </c>
      <c r="C221" t="n">
        <v>630.957344</v>
      </c>
      <c r="D221" t="inlineStr">
        <is>
          <t>Large Benthic Carnivores</t>
        </is>
      </c>
      <c r="E221" t="n">
        <v>106.362581</v>
      </c>
      <c r="F221" t="n">
        <v>1113.102078</v>
      </c>
      <c r="G221" t="n">
        <v>125.259096</v>
      </c>
      <c r="H221" t="n">
        <v>249.981248</v>
      </c>
      <c r="I221" t="n">
        <v>421.749845</v>
      </c>
      <c r="J221" t="n">
        <v>575.638232</v>
      </c>
      <c r="K221" t="n">
        <v>564.125467</v>
      </c>
      <c r="L221" t="n">
        <v>1114.691652</v>
      </c>
      <c r="M221" t="n">
        <v>1114.691652</v>
      </c>
      <c r="N221" t="n">
        <v>1114.691652</v>
      </c>
      <c r="O221" t="n">
        <v>635.9376559999999</v>
      </c>
      <c r="P221" t="n">
        <v>217.238675</v>
      </c>
      <c r="Q221" t="n">
        <v>1114.691652</v>
      </c>
      <c r="R221" t="n">
        <v>1114.691652</v>
      </c>
      <c r="S221" t="n">
        <v>635.9376559999999</v>
      </c>
      <c r="T221" t="n">
        <v>635.9376559999999</v>
      </c>
      <c r="U221" t="n">
        <v>217.238675</v>
      </c>
      <c r="V221" t="n">
        <v>217.238675</v>
      </c>
      <c r="W221" t="n">
        <v>686.067599</v>
      </c>
      <c r="X221" t="n">
        <v>1252.543178</v>
      </c>
    </row>
    <row r="222">
      <c r="A222" t="inlineStr">
        <is>
          <t>Sphyrna</t>
        </is>
      </c>
      <c r="B222" t="n">
        <v>4.2</v>
      </c>
      <c r="C222" t="n">
        <v>1584.893192</v>
      </c>
      <c r="D222" t="inlineStr">
        <is>
          <t>Sharks</t>
        </is>
      </c>
      <c r="E222" t="n">
        <v>106.362581</v>
      </c>
      <c r="F222" t="n">
        <v>2569.28922</v>
      </c>
      <c r="G222" t="n">
        <v>222.822151</v>
      </c>
      <c r="H222" t="n">
        <v>1308.685037</v>
      </c>
      <c r="I222" t="n">
        <v>1955.186859</v>
      </c>
      <c r="J222" t="n">
        <v>2007.418175</v>
      </c>
      <c r="K222" t="n">
        <v>1423.259486</v>
      </c>
      <c r="L222" t="n">
        <v>3930.042293</v>
      </c>
      <c r="M222" t="n">
        <v>3930.042293</v>
      </c>
      <c r="N222" t="n">
        <v>3930.042293</v>
      </c>
      <c r="O222" t="n">
        <v>1585.345045</v>
      </c>
      <c r="P222" t="n">
        <v>411.268522</v>
      </c>
      <c r="Q222" t="n">
        <v>3930.042293</v>
      </c>
      <c r="R222" t="n">
        <v>3930.042293</v>
      </c>
      <c r="S222" t="n">
        <v>1585.345045</v>
      </c>
      <c r="T222" t="n">
        <v>1585.345045</v>
      </c>
      <c r="U222" t="n">
        <v>411.268522</v>
      </c>
      <c r="V222" t="n">
        <v>411.268522</v>
      </c>
      <c r="W222" t="n">
        <v>1647.369658</v>
      </c>
      <c r="X222" t="n">
        <v>4507.362005</v>
      </c>
    </row>
    <row r="223">
      <c r="A223" t="inlineStr">
        <is>
          <t>Pomadasys olivaceus</t>
        </is>
      </c>
      <c r="D223" t="inlineStr">
        <is>
          <t>Med Benthic Carnivores</t>
        </is>
      </c>
      <c r="E223" t="n">
        <v>106.362581</v>
      </c>
      <c r="F223" t="n">
        <v>153.506319</v>
      </c>
      <c r="G223" t="n">
        <v>32.014124</v>
      </c>
      <c r="H223" t="n">
        <v>100.68782</v>
      </c>
      <c r="I223" t="n">
        <v>159.061371</v>
      </c>
      <c r="J223" t="n">
        <v>159.061371</v>
      </c>
      <c r="K223" t="n">
        <v>156.039205</v>
      </c>
      <c r="L223" t="n">
        <v>198.208223</v>
      </c>
      <c r="M223" t="n">
        <v>198.208223</v>
      </c>
      <c r="N223" t="n">
        <v>198.208223</v>
      </c>
      <c r="O223" t="n">
        <v>116.373231</v>
      </c>
      <c r="P223" t="n">
        <v>56.490526</v>
      </c>
      <c r="Q223" t="n">
        <v>198.208223</v>
      </c>
      <c r="R223" t="n">
        <v>198.208223</v>
      </c>
      <c r="S223" t="n">
        <v>116.373231</v>
      </c>
      <c r="T223" t="n">
        <v>116.373231</v>
      </c>
      <c r="U223" t="n">
        <v>56.490526</v>
      </c>
      <c r="V223" t="n">
        <v>56.490526</v>
      </c>
      <c r="W223" t="n">
        <v>120.80197</v>
      </c>
      <c r="X223" t="n">
        <v>213.813007</v>
      </c>
    </row>
    <row r="224">
      <c r="A224" t="inlineStr">
        <is>
          <t>Equulites klunzingeri</t>
        </is>
      </c>
      <c r="B224" t="n">
        <v>3.5</v>
      </c>
      <c r="C224" t="n">
        <v>316.227766</v>
      </c>
      <c r="D224" t="inlineStr">
        <is>
          <t>Small Benthic Carnivores</t>
        </is>
      </c>
      <c r="E224" t="n">
        <v>106.362581</v>
      </c>
      <c r="F224" t="n">
        <v>47.875255</v>
      </c>
      <c r="G224" t="n">
        <v>14.351766</v>
      </c>
      <c r="H224" t="n">
        <v>47.936313</v>
      </c>
      <c r="I224" t="n">
        <v>123.68277</v>
      </c>
      <c r="J224" t="n">
        <v>123.68277</v>
      </c>
      <c r="K224" t="n">
        <v>121.085432</v>
      </c>
      <c r="L224" t="n">
        <v>160.705061</v>
      </c>
      <c r="M224" t="n">
        <v>160.705061</v>
      </c>
      <c r="N224" t="n">
        <v>160.705061</v>
      </c>
      <c r="O224" t="n">
        <v>86.69575</v>
      </c>
      <c r="P224" t="n">
        <v>48.551122</v>
      </c>
      <c r="Q224" t="n">
        <v>160.705061</v>
      </c>
      <c r="R224" t="n">
        <v>160.705061</v>
      </c>
      <c r="S224" t="n">
        <v>86.69575</v>
      </c>
      <c r="T224" t="n">
        <v>86.69575</v>
      </c>
      <c r="U224" t="n">
        <v>48.551122</v>
      </c>
      <c r="V224" t="n">
        <v>48.551122</v>
      </c>
      <c r="W224" t="n">
        <v>90.428786</v>
      </c>
      <c r="X224" t="n">
        <v>169.279514</v>
      </c>
    </row>
    <row r="225">
      <c r="A225" t="inlineStr">
        <is>
          <t>Carcharhinus dussumieri</t>
        </is>
      </c>
      <c r="B225" t="n">
        <v>3.9</v>
      </c>
      <c r="C225" t="n">
        <v>794.3282349999999</v>
      </c>
      <c r="D225" t="inlineStr">
        <is>
          <t>Sharks</t>
        </is>
      </c>
      <c r="E225" t="n">
        <v>106.362581</v>
      </c>
      <c r="F225" t="n">
        <v>2569.28922</v>
      </c>
      <c r="G225" t="n">
        <v>222.822151</v>
      </c>
      <c r="H225" t="n">
        <v>1308.685037</v>
      </c>
      <c r="I225" t="n">
        <v>1955.186859</v>
      </c>
      <c r="J225" t="n">
        <v>2007.418175</v>
      </c>
      <c r="K225" t="n">
        <v>1423.259486</v>
      </c>
      <c r="L225" t="n">
        <v>3930.042293</v>
      </c>
      <c r="M225" t="n">
        <v>3930.042293</v>
      </c>
      <c r="N225" t="n">
        <v>3930.042293</v>
      </c>
      <c r="O225" t="n">
        <v>1585.345045</v>
      </c>
      <c r="P225" t="n">
        <v>411.268522</v>
      </c>
      <c r="Q225" t="n">
        <v>3930.042293</v>
      </c>
      <c r="R225" t="n">
        <v>3930.042293</v>
      </c>
      <c r="S225" t="n">
        <v>1585.345045</v>
      </c>
      <c r="T225" t="n">
        <v>1585.345045</v>
      </c>
      <c r="U225" t="n">
        <v>411.268522</v>
      </c>
      <c r="V225" t="n">
        <v>411.268522</v>
      </c>
      <c r="W225" t="n">
        <v>1647.369658</v>
      </c>
      <c r="X225" t="n">
        <v>4507.362005</v>
      </c>
    </row>
    <row r="226">
      <c r="A226" t="inlineStr">
        <is>
          <t>Alepes djedaba</t>
        </is>
      </c>
      <c r="B226" t="n">
        <v>3.32</v>
      </c>
      <c r="C226" t="n">
        <v>208.929613</v>
      </c>
      <c r="D226" t="inlineStr">
        <is>
          <t>Small Benthopelagics</t>
        </is>
      </c>
      <c r="E226" t="n">
        <v>106.362581</v>
      </c>
      <c r="F226" t="n">
        <v>735.919846</v>
      </c>
      <c r="G226" t="n">
        <v>94.203452</v>
      </c>
      <c r="H226" t="n">
        <v>274.118485</v>
      </c>
      <c r="I226" t="n">
        <v>1003.748472</v>
      </c>
      <c r="J226" t="n">
        <v>1056.007849</v>
      </c>
      <c r="K226" t="n">
        <v>1032.775676</v>
      </c>
      <c r="L226" t="n">
        <v>1426.864607</v>
      </c>
      <c r="M226" t="n">
        <v>1426.864607</v>
      </c>
      <c r="N226" t="n">
        <v>1426.864607</v>
      </c>
      <c r="O226" t="n">
        <v>914.12906</v>
      </c>
      <c r="P226" t="n">
        <v>345.870401</v>
      </c>
      <c r="Q226" t="n">
        <v>1426.864607</v>
      </c>
      <c r="R226" t="n">
        <v>1426.864607</v>
      </c>
      <c r="S226" t="n">
        <v>914.12906</v>
      </c>
      <c r="T226" t="n">
        <v>914.12906</v>
      </c>
      <c r="U226" t="n">
        <v>345.870401</v>
      </c>
      <c r="V226" t="n">
        <v>345.870401</v>
      </c>
      <c r="W226" t="n">
        <v>957.660399</v>
      </c>
      <c r="X226" t="n">
        <v>1577.210486</v>
      </c>
    </row>
    <row r="227">
      <c r="A227" t="inlineStr">
        <is>
          <t>Carcharhinus amblyrhynchos</t>
        </is>
      </c>
      <c r="B227" t="n">
        <v>4.11</v>
      </c>
      <c r="C227" t="n">
        <v>1288.249552</v>
      </c>
      <c r="D227" t="inlineStr">
        <is>
          <t>Sharks</t>
        </is>
      </c>
      <c r="E227" t="n">
        <v>106.362581</v>
      </c>
      <c r="F227" t="n">
        <v>2569.28922</v>
      </c>
      <c r="G227" t="n">
        <v>222.822151</v>
      </c>
      <c r="H227" t="n">
        <v>1308.685037</v>
      </c>
      <c r="I227" t="n">
        <v>1955.186859</v>
      </c>
      <c r="J227" t="n">
        <v>2007.418175</v>
      </c>
      <c r="K227" t="n">
        <v>1423.259486</v>
      </c>
      <c r="L227" t="n">
        <v>3930.042293</v>
      </c>
      <c r="M227" t="n">
        <v>3930.042293</v>
      </c>
      <c r="N227" t="n">
        <v>3930.042293</v>
      </c>
      <c r="O227" t="n">
        <v>1585.345045</v>
      </c>
      <c r="P227" t="n">
        <v>411.268522</v>
      </c>
      <c r="Q227" t="n">
        <v>3930.042293</v>
      </c>
      <c r="R227" t="n">
        <v>3930.042293</v>
      </c>
      <c r="S227" t="n">
        <v>1585.345045</v>
      </c>
      <c r="T227" t="n">
        <v>1585.345045</v>
      </c>
      <c r="U227" t="n">
        <v>411.268522</v>
      </c>
      <c r="V227" t="n">
        <v>411.268522</v>
      </c>
      <c r="W227" t="n">
        <v>1647.369658</v>
      </c>
      <c r="X227" t="n">
        <v>4507.362005</v>
      </c>
    </row>
    <row r="228">
      <c r="A228" t="inlineStr">
        <is>
          <t>Triakidae</t>
        </is>
      </c>
      <c r="B228" t="n">
        <v>3.82</v>
      </c>
      <c r="C228" t="n">
        <v>660.693448</v>
      </c>
      <c r="D228" t="inlineStr">
        <is>
          <t>Sharks</t>
        </is>
      </c>
      <c r="E228" t="n">
        <v>106.362581</v>
      </c>
      <c r="F228" t="n">
        <v>2569.28922</v>
      </c>
      <c r="G228" t="n">
        <v>222.822151</v>
      </c>
      <c r="H228" t="n">
        <v>1308.685037</v>
      </c>
      <c r="I228" t="n">
        <v>1955.186859</v>
      </c>
      <c r="J228" t="n">
        <v>2007.418175</v>
      </c>
      <c r="K228" t="n">
        <v>1423.259486</v>
      </c>
      <c r="L228" t="n">
        <v>3930.042293</v>
      </c>
      <c r="M228" t="n">
        <v>3930.042293</v>
      </c>
      <c r="N228" t="n">
        <v>3930.042293</v>
      </c>
      <c r="O228" t="n">
        <v>1585.345045</v>
      </c>
      <c r="P228" t="n">
        <v>411.268522</v>
      </c>
      <c r="Q228" t="n">
        <v>3930.042293</v>
      </c>
      <c r="R228" t="n">
        <v>3930.042293</v>
      </c>
      <c r="S228" t="n">
        <v>1585.345045</v>
      </c>
      <c r="T228" t="n">
        <v>1585.345045</v>
      </c>
      <c r="U228" t="n">
        <v>411.268522</v>
      </c>
      <c r="V228" t="n">
        <v>411.268522</v>
      </c>
      <c r="W228" t="n">
        <v>1647.369658</v>
      </c>
      <c r="X228" t="n">
        <v>4507.362005</v>
      </c>
    </row>
    <row r="229">
      <c r="A229" t="inlineStr">
        <is>
          <t>Scyris indica</t>
        </is>
      </c>
      <c r="B229" t="n">
        <v>4.09</v>
      </c>
      <c r="C229" t="n">
        <v>1230.268771</v>
      </c>
      <c r="D229" t="inlineStr">
        <is>
          <t>Large Benthic Carnivores</t>
        </is>
      </c>
      <c r="E229" t="n">
        <v>106.362581</v>
      </c>
      <c r="F229" t="n">
        <v>1113.102078</v>
      </c>
      <c r="G229" t="n">
        <v>125.259096</v>
      </c>
      <c r="H229" t="n">
        <v>249.981248</v>
      </c>
      <c r="I229" t="n">
        <v>421.749845</v>
      </c>
      <c r="J229" t="n">
        <v>575.638232</v>
      </c>
      <c r="K229" t="n">
        <v>564.125467</v>
      </c>
      <c r="L229" t="n">
        <v>1114.691652</v>
      </c>
      <c r="M229" t="n">
        <v>1114.691652</v>
      </c>
      <c r="N229" t="n">
        <v>1114.691652</v>
      </c>
      <c r="O229" t="n">
        <v>635.9376559999999</v>
      </c>
      <c r="P229" t="n">
        <v>217.238675</v>
      </c>
      <c r="Q229" t="n">
        <v>1114.691652</v>
      </c>
      <c r="R229" t="n">
        <v>1114.691652</v>
      </c>
      <c r="S229" t="n">
        <v>635.9376559999999</v>
      </c>
      <c r="T229" t="n">
        <v>635.9376559999999</v>
      </c>
      <c r="U229" t="n">
        <v>217.238675</v>
      </c>
      <c r="V229" t="n">
        <v>217.238675</v>
      </c>
      <c r="W229" t="n">
        <v>686.067599</v>
      </c>
      <c r="X229" t="n">
        <v>1252.543178</v>
      </c>
    </row>
    <row r="230">
      <c r="A230" t="inlineStr">
        <is>
          <t>Echinoidea</t>
        </is>
      </c>
      <c r="B230" t="n">
        <v>2.51</v>
      </c>
      <c r="C230" t="n">
        <v>32.359366</v>
      </c>
      <c r="D230" t="inlineStr">
        <is>
          <t>Heterotrophic Benthos</t>
        </is>
      </c>
      <c r="E230" t="n">
        <v>106.362581</v>
      </c>
      <c r="F230" t="n">
        <v>19.947374</v>
      </c>
      <c r="G230" t="n">
        <v>7.853921</v>
      </c>
      <c r="H230" t="n">
        <v>13.270207</v>
      </c>
      <c r="I230" t="n">
        <v>123.888042</v>
      </c>
      <c r="J230" t="n">
        <v>123.888042</v>
      </c>
      <c r="K230" t="n">
        <v>15.362117</v>
      </c>
      <c r="L230" t="n">
        <v>260.720597</v>
      </c>
      <c r="M230" t="n">
        <v>260.720597</v>
      </c>
      <c r="N230" t="n">
        <v>260.720597</v>
      </c>
      <c r="O230" t="n">
        <v>19.314018</v>
      </c>
      <c r="P230" t="n">
        <v>17.703696</v>
      </c>
      <c r="Q230" t="n">
        <v>260.720597</v>
      </c>
      <c r="R230" t="n">
        <v>260.720597</v>
      </c>
      <c r="S230" t="n">
        <v>19.314018</v>
      </c>
      <c r="T230" t="n">
        <v>19.314018</v>
      </c>
      <c r="U230" t="n">
        <v>17.703696</v>
      </c>
      <c r="V230" t="n">
        <v>17.703696</v>
      </c>
      <c r="W230" t="n">
        <v>20.650834</v>
      </c>
      <c r="X230" t="n">
        <v>285.015306</v>
      </c>
    </row>
    <row r="231">
      <c r="A231" t="inlineStr">
        <is>
          <t>Carcharhinus falciformis</t>
        </is>
      </c>
      <c r="B231" t="n">
        <v>4.51</v>
      </c>
      <c r="C231" t="n">
        <v>3235.936569</v>
      </c>
      <c r="D231" t="inlineStr">
        <is>
          <t>Sharks</t>
        </is>
      </c>
      <c r="E231" t="n">
        <v>106.362581</v>
      </c>
      <c r="F231" t="n">
        <v>2569.28922</v>
      </c>
      <c r="G231" t="n">
        <v>222.822151</v>
      </c>
      <c r="H231" t="n">
        <v>1308.685037</v>
      </c>
      <c r="I231" t="n">
        <v>1955.186859</v>
      </c>
      <c r="J231" t="n">
        <v>2007.418175</v>
      </c>
      <c r="K231" t="n">
        <v>1423.259486</v>
      </c>
      <c r="L231" t="n">
        <v>3930.042293</v>
      </c>
      <c r="M231" t="n">
        <v>3930.042293</v>
      </c>
      <c r="N231" t="n">
        <v>3930.042293</v>
      </c>
      <c r="O231" t="n">
        <v>1585.345045</v>
      </c>
      <c r="P231" t="n">
        <v>411.268522</v>
      </c>
      <c r="Q231" t="n">
        <v>3930.042293</v>
      </c>
      <c r="R231" t="n">
        <v>3930.042293</v>
      </c>
      <c r="S231" t="n">
        <v>1585.345045</v>
      </c>
      <c r="T231" t="n">
        <v>1585.345045</v>
      </c>
      <c r="U231" t="n">
        <v>411.268522</v>
      </c>
      <c r="V231" t="n">
        <v>411.268522</v>
      </c>
      <c r="W231" t="n">
        <v>1647.369658</v>
      </c>
      <c r="X231" t="n">
        <v>4507.362005</v>
      </c>
    </row>
    <row r="232">
      <c r="A232" t="inlineStr">
        <is>
          <t>Atropus armatus</t>
        </is>
      </c>
      <c r="B232" t="n">
        <v>4.15</v>
      </c>
      <c r="C232" t="n">
        <v>1412.537545</v>
      </c>
      <c r="D232" t="inlineStr">
        <is>
          <t>Large Benthic Carnivores</t>
        </is>
      </c>
      <c r="E232" t="n">
        <v>106.362581</v>
      </c>
      <c r="F232" t="n">
        <v>1113.102078</v>
      </c>
      <c r="G232" t="n">
        <v>125.259096</v>
      </c>
      <c r="H232" t="n">
        <v>249.981248</v>
      </c>
      <c r="I232" t="n">
        <v>421.749845</v>
      </c>
      <c r="J232" t="n">
        <v>575.638232</v>
      </c>
      <c r="K232" t="n">
        <v>564.125467</v>
      </c>
      <c r="L232" t="n">
        <v>1114.691652</v>
      </c>
      <c r="M232" t="n">
        <v>1114.691652</v>
      </c>
      <c r="N232" t="n">
        <v>1114.691652</v>
      </c>
      <c r="O232" t="n">
        <v>635.9376559999999</v>
      </c>
      <c r="P232" t="n">
        <v>217.238675</v>
      </c>
      <c r="Q232" t="n">
        <v>1114.691652</v>
      </c>
      <c r="R232" t="n">
        <v>1114.691652</v>
      </c>
      <c r="S232" t="n">
        <v>635.9376559999999</v>
      </c>
      <c r="T232" t="n">
        <v>635.9376559999999</v>
      </c>
      <c r="U232" t="n">
        <v>217.238675</v>
      </c>
      <c r="V232" t="n">
        <v>217.238675</v>
      </c>
      <c r="W232" t="n">
        <v>686.067599</v>
      </c>
      <c r="X232" t="n">
        <v>1252.543178</v>
      </c>
    </row>
    <row r="233">
      <c r="A233" t="inlineStr">
        <is>
          <t>Scaridae</t>
        </is>
      </c>
      <c r="B233" t="n">
        <v>2</v>
      </c>
      <c r="C233" t="n">
        <v>10</v>
      </c>
      <c r="D233" t="inlineStr">
        <is>
          <t>Benthic Omnivores</t>
        </is>
      </c>
      <c r="E233" t="n">
        <v>106.362581</v>
      </c>
      <c r="F233" t="n">
        <v>34.853983</v>
      </c>
      <c r="G233" t="n">
        <v>11.533933</v>
      </c>
      <c r="H233" t="n">
        <v>23.954598</v>
      </c>
      <c r="I233" t="n">
        <v>122.110584</v>
      </c>
      <c r="J233" t="n">
        <v>122.110584</v>
      </c>
      <c r="K233" t="n">
        <v>119.668372</v>
      </c>
      <c r="L233" t="n">
        <v>234.326211</v>
      </c>
      <c r="M233" t="n">
        <v>234.326211</v>
      </c>
      <c r="N233" t="n">
        <v>234.326211</v>
      </c>
      <c r="O233" t="n">
        <v>32.574396</v>
      </c>
      <c r="P233" t="n">
        <v>28.191927</v>
      </c>
      <c r="Q233" t="n">
        <v>234.326211</v>
      </c>
      <c r="R233" t="n">
        <v>234.326211</v>
      </c>
      <c r="S233" t="n">
        <v>32.574396</v>
      </c>
      <c r="T233" t="n">
        <v>32.574396</v>
      </c>
      <c r="U233" t="n">
        <v>28.191927</v>
      </c>
      <c r="V233" t="n">
        <v>28.191927</v>
      </c>
      <c r="W233" t="n">
        <v>34.709256</v>
      </c>
      <c r="X233" t="n">
        <v>257.01226</v>
      </c>
    </row>
    <row r="234">
      <c r="A234" t="inlineStr">
        <is>
          <t>Siganus sutor</t>
        </is>
      </c>
      <c r="B234" t="n">
        <v>2</v>
      </c>
      <c r="C234" t="n">
        <v>10</v>
      </c>
      <c r="D234" t="inlineStr">
        <is>
          <t>Benthic Omnivores</t>
        </is>
      </c>
      <c r="E234" t="n">
        <v>106.362581</v>
      </c>
      <c r="F234" t="n">
        <v>34.853983</v>
      </c>
      <c r="G234" t="n">
        <v>11.533933</v>
      </c>
      <c r="H234" t="n">
        <v>23.954598</v>
      </c>
      <c r="I234" t="n">
        <v>122.110584</v>
      </c>
      <c r="J234" t="n">
        <v>122.110584</v>
      </c>
      <c r="K234" t="n">
        <v>119.668372</v>
      </c>
      <c r="L234" t="n">
        <v>234.326211</v>
      </c>
      <c r="M234" t="n">
        <v>234.326211</v>
      </c>
      <c r="N234" t="n">
        <v>234.326211</v>
      </c>
      <c r="O234" t="n">
        <v>32.574396</v>
      </c>
      <c r="P234" t="n">
        <v>28.191927</v>
      </c>
      <c r="Q234" t="n">
        <v>234.326211</v>
      </c>
      <c r="R234" t="n">
        <v>234.326211</v>
      </c>
      <c r="S234" t="n">
        <v>32.574396</v>
      </c>
      <c r="T234" t="n">
        <v>32.574396</v>
      </c>
      <c r="U234" t="n">
        <v>28.191927</v>
      </c>
      <c r="V234" t="n">
        <v>28.191927</v>
      </c>
      <c r="W234" t="n">
        <v>34.709256</v>
      </c>
      <c r="X234" t="n">
        <v>257.01226</v>
      </c>
    </row>
    <row r="235">
      <c r="A235" t="inlineStr">
        <is>
          <t>Coryphaena</t>
        </is>
      </c>
      <c r="B235" t="n">
        <v>4.49</v>
      </c>
      <c r="C235" t="n">
        <v>3090.295433</v>
      </c>
      <c r="D235" t="inlineStr">
        <is>
          <t>Large Pelagics</t>
        </is>
      </c>
      <c r="E235" t="n">
        <v>106.362581</v>
      </c>
      <c r="F235" t="n">
        <v>1182.417917</v>
      </c>
      <c r="G235" t="n">
        <v>130.579526</v>
      </c>
      <c r="H235" t="n">
        <v>655.098468</v>
      </c>
      <c r="I235" t="n">
        <v>848.885192</v>
      </c>
      <c r="J235" t="n">
        <v>883.261112</v>
      </c>
      <c r="K235" t="n">
        <v>865.5958890000001</v>
      </c>
      <c r="L235" t="n">
        <v>1961.116323</v>
      </c>
      <c r="M235" t="n">
        <v>1961.116323</v>
      </c>
      <c r="N235" t="n">
        <v>1961.116323</v>
      </c>
      <c r="O235" t="n">
        <v>1097.797369</v>
      </c>
      <c r="P235" t="n">
        <v>300.80342</v>
      </c>
      <c r="Q235" t="n">
        <v>1961.116323</v>
      </c>
      <c r="R235" t="n">
        <v>1961.116323</v>
      </c>
      <c r="S235" t="n">
        <v>1097.797369</v>
      </c>
      <c r="T235" t="n">
        <v>1097.797369</v>
      </c>
      <c r="U235" t="n">
        <v>300.80342</v>
      </c>
      <c r="V235" t="n">
        <v>300.80342</v>
      </c>
      <c r="W235" t="n">
        <v>1171.90733</v>
      </c>
      <c r="X235" t="n">
        <v>2200.248768</v>
      </c>
    </row>
    <row r="236">
      <c r="A236" t="inlineStr">
        <is>
          <t>Kajikia audax</t>
        </is>
      </c>
      <c r="B236" t="n">
        <v>4.58</v>
      </c>
      <c r="C236" t="n">
        <v>3801.893963</v>
      </c>
      <c r="D236" t="inlineStr">
        <is>
          <t>Large Pelagics</t>
        </is>
      </c>
      <c r="E236" t="n">
        <v>106.362581</v>
      </c>
      <c r="F236" t="n">
        <v>1182.417917</v>
      </c>
      <c r="G236" t="n">
        <v>130.579526</v>
      </c>
      <c r="H236" t="n">
        <v>655.098468</v>
      </c>
      <c r="I236" t="n">
        <v>848.885192</v>
      </c>
      <c r="J236" t="n">
        <v>883.261112</v>
      </c>
      <c r="K236" t="n">
        <v>865.5958890000001</v>
      </c>
      <c r="L236" t="n">
        <v>1961.116323</v>
      </c>
      <c r="M236" t="n">
        <v>1961.116323</v>
      </c>
      <c r="N236" t="n">
        <v>1961.116323</v>
      </c>
      <c r="O236" t="n">
        <v>1097.797369</v>
      </c>
      <c r="P236" t="n">
        <v>300.80342</v>
      </c>
      <c r="Q236" t="n">
        <v>1961.116323</v>
      </c>
      <c r="R236" t="n">
        <v>1961.116323</v>
      </c>
      <c r="S236" t="n">
        <v>1097.797369</v>
      </c>
      <c r="T236" t="n">
        <v>1097.797369</v>
      </c>
      <c r="U236" t="n">
        <v>300.80342</v>
      </c>
      <c r="V236" t="n">
        <v>300.80342</v>
      </c>
      <c r="W236" t="n">
        <v>1171.90733</v>
      </c>
      <c r="X236" t="n">
        <v>2200.248768</v>
      </c>
    </row>
    <row r="237">
      <c r="A237" t="inlineStr">
        <is>
          <t>Leptomelanosoma indicum</t>
        </is>
      </c>
      <c r="B237" t="n">
        <v>3.86</v>
      </c>
      <c r="C237" t="n">
        <v>724.43596</v>
      </c>
      <c r="D237" t="inlineStr">
        <is>
          <t>Large Benthic Carnivores</t>
        </is>
      </c>
      <c r="E237" t="n">
        <v>106.362581</v>
      </c>
      <c r="F237" t="n">
        <v>1113.102078</v>
      </c>
      <c r="G237" t="n">
        <v>125.259096</v>
      </c>
      <c r="H237" t="n">
        <v>249.981248</v>
      </c>
      <c r="I237" t="n">
        <v>421.749845</v>
      </c>
      <c r="J237" t="n">
        <v>575.638232</v>
      </c>
      <c r="K237" t="n">
        <v>564.125467</v>
      </c>
      <c r="L237" t="n">
        <v>1114.691652</v>
      </c>
      <c r="M237" t="n">
        <v>1114.691652</v>
      </c>
      <c r="N237" t="n">
        <v>1114.691652</v>
      </c>
      <c r="O237" t="n">
        <v>635.9376559999999</v>
      </c>
      <c r="P237" t="n">
        <v>217.238675</v>
      </c>
      <c r="Q237" t="n">
        <v>1114.691652</v>
      </c>
      <c r="R237" t="n">
        <v>1114.691652</v>
      </c>
      <c r="S237" t="n">
        <v>635.9376559999999</v>
      </c>
      <c r="T237" t="n">
        <v>635.9376559999999</v>
      </c>
      <c r="U237" t="n">
        <v>217.238675</v>
      </c>
      <c r="V237" t="n">
        <v>217.238675</v>
      </c>
      <c r="W237" t="n">
        <v>686.067599</v>
      </c>
      <c r="X237" t="n">
        <v>1252.543178</v>
      </c>
    </row>
    <row r="238">
      <c r="A238" t="inlineStr">
        <is>
          <t>Gobiidae</t>
        </is>
      </c>
      <c r="B238" t="n">
        <v>3.11</v>
      </c>
      <c r="C238" t="n">
        <v>128.824955</v>
      </c>
      <c r="D238" t="inlineStr">
        <is>
          <t>Small Benthic Carnivores</t>
        </is>
      </c>
      <c r="E238" t="n">
        <v>106.362581</v>
      </c>
      <c r="F238" t="n">
        <v>47.875255</v>
      </c>
      <c r="G238" t="n">
        <v>14.351766</v>
      </c>
      <c r="H238" t="n">
        <v>47.936313</v>
      </c>
      <c r="I238" t="n">
        <v>123.68277</v>
      </c>
      <c r="J238" t="n">
        <v>123.68277</v>
      </c>
      <c r="K238" t="n">
        <v>121.085432</v>
      </c>
      <c r="L238" t="n">
        <v>160.705061</v>
      </c>
      <c r="M238" t="n">
        <v>160.705061</v>
      </c>
      <c r="N238" t="n">
        <v>160.705061</v>
      </c>
      <c r="O238" t="n">
        <v>86.69575</v>
      </c>
      <c r="P238" t="n">
        <v>48.551122</v>
      </c>
      <c r="Q238" t="n">
        <v>160.705061</v>
      </c>
      <c r="R238" t="n">
        <v>160.705061</v>
      </c>
      <c r="S238" t="n">
        <v>86.69575</v>
      </c>
      <c r="T238" t="n">
        <v>86.69575</v>
      </c>
      <c r="U238" t="n">
        <v>48.551122</v>
      </c>
      <c r="V238" t="n">
        <v>48.551122</v>
      </c>
      <c r="W238" t="n">
        <v>90.428786</v>
      </c>
      <c r="X238" t="n">
        <v>169.279514</v>
      </c>
    </row>
    <row r="239">
      <c r="A239" t="inlineStr">
        <is>
          <t>Epinephelus diacanthus</t>
        </is>
      </c>
      <c r="B239" t="n">
        <v>3.8</v>
      </c>
      <c r="C239" t="n">
        <v>630.957344</v>
      </c>
      <c r="D239" t="inlineStr">
        <is>
          <t>Large Benthic Carnivores</t>
        </is>
      </c>
      <c r="E239" t="n">
        <v>106.362581</v>
      </c>
      <c r="F239" t="n">
        <v>1113.102078</v>
      </c>
      <c r="G239" t="n">
        <v>125.259096</v>
      </c>
      <c r="H239" t="n">
        <v>249.981248</v>
      </c>
      <c r="I239" t="n">
        <v>421.749845</v>
      </c>
      <c r="J239" t="n">
        <v>575.638232</v>
      </c>
      <c r="K239" t="n">
        <v>564.125467</v>
      </c>
      <c r="L239" t="n">
        <v>1114.691652</v>
      </c>
      <c r="M239" t="n">
        <v>1114.691652</v>
      </c>
      <c r="N239" t="n">
        <v>1114.691652</v>
      </c>
      <c r="O239" t="n">
        <v>635.9376559999999</v>
      </c>
      <c r="P239" t="n">
        <v>217.238675</v>
      </c>
      <c r="Q239" t="n">
        <v>1114.691652</v>
      </c>
      <c r="R239" t="n">
        <v>1114.691652</v>
      </c>
      <c r="S239" t="n">
        <v>635.9376559999999</v>
      </c>
      <c r="T239" t="n">
        <v>635.9376559999999</v>
      </c>
      <c r="U239" t="n">
        <v>217.238675</v>
      </c>
      <c r="V239" t="n">
        <v>217.238675</v>
      </c>
      <c r="W239" t="n">
        <v>686.067599</v>
      </c>
      <c r="X239" t="n">
        <v>1252.543178</v>
      </c>
    </row>
    <row r="240">
      <c r="A240" t="inlineStr">
        <is>
          <t>Cnidaria</t>
        </is>
      </c>
      <c r="B240" t="n">
        <v>2.5</v>
      </c>
      <c r="C240" t="n">
        <v>31.622777</v>
      </c>
      <c r="D240" t="inlineStr">
        <is>
          <t>Micro Nekton</t>
        </is>
      </c>
      <c r="E240" t="n">
        <v>106.362581</v>
      </c>
      <c r="F240" t="n">
        <v>169.184545</v>
      </c>
      <c r="G240" t="n">
        <v>34.23133</v>
      </c>
      <c r="H240" t="n">
        <v>53.056441</v>
      </c>
      <c r="I240" t="n">
        <v>117.681204</v>
      </c>
      <c r="J240" t="n">
        <v>117.681204</v>
      </c>
      <c r="K240" t="n">
        <v>91.555977</v>
      </c>
      <c r="L240" t="n">
        <v>131.142973</v>
      </c>
      <c r="M240" t="n">
        <v>131.142973</v>
      </c>
      <c r="N240" t="n">
        <v>131.142973</v>
      </c>
      <c r="O240" t="n">
        <v>96.50135899999999</v>
      </c>
      <c r="P240" t="n">
        <v>51.765447</v>
      </c>
      <c r="Q240" t="n">
        <v>131.142973</v>
      </c>
      <c r="R240" t="n">
        <v>131.142973</v>
      </c>
      <c r="S240" t="n">
        <v>96.50135899999999</v>
      </c>
      <c r="T240" t="n">
        <v>96.50135899999999</v>
      </c>
      <c r="U240" t="n">
        <v>51.765447</v>
      </c>
      <c r="V240" t="n">
        <v>51.765447</v>
      </c>
      <c r="W240" t="n">
        <v>99.732336</v>
      </c>
      <c r="X240" t="n">
        <v>139.39598</v>
      </c>
    </row>
    <row r="241">
      <c r="A241" t="inlineStr">
        <is>
          <t>Drepane</t>
        </is>
      </c>
      <c r="B241" t="n">
        <v>3.32</v>
      </c>
      <c r="C241" t="n">
        <v>208.929613</v>
      </c>
      <c r="D241" t="inlineStr">
        <is>
          <t>Med Benthic Carnivores</t>
        </is>
      </c>
      <c r="E241" t="n">
        <v>106.362581</v>
      </c>
      <c r="F241" t="n">
        <v>153.506319</v>
      </c>
      <c r="G241" t="n">
        <v>32.014124</v>
      </c>
      <c r="H241" t="n">
        <v>100.68782</v>
      </c>
      <c r="I241" t="n">
        <v>159.061371</v>
      </c>
      <c r="J241" t="n">
        <v>159.061371</v>
      </c>
      <c r="K241" t="n">
        <v>156.039205</v>
      </c>
      <c r="L241" t="n">
        <v>198.208223</v>
      </c>
      <c r="M241" t="n">
        <v>198.208223</v>
      </c>
      <c r="N241" t="n">
        <v>198.208223</v>
      </c>
      <c r="O241" t="n">
        <v>116.373231</v>
      </c>
      <c r="P241" t="n">
        <v>56.490526</v>
      </c>
      <c r="Q241" t="n">
        <v>198.208223</v>
      </c>
      <c r="R241" t="n">
        <v>198.208223</v>
      </c>
      <c r="S241" t="n">
        <v>116.373231</v>
      </c>
      <c r="T241" t="n">
        <v>116.373231</v>
      </c>
      <c r="U241" t="n">
        <v>56.490526</v>
      </c>
      <c r="V241" t="n">
        <v>56.490526</v>
      </c>
      <c r="W241" t="n">
        <v>120.80197</v>
      </c>
      <c r="X241" t="n">
        <v>213.813007</v>
      </c>
    </row>
    <row r="242">
      <c r="A242" t="inlineStr">
        <is>
          <t>Alopias pelagicus</t>
        </is>
      </c>
      <c r="B242" t="n">
        <v>4.5</v>
      </c>
      <c r="C242" t="n">
        <v>3162.27766</v>
      </c>
      <c r="D242" t="inlineStr">
        <is>
          <t>Sharks</t>
        </is>
      </c>
      <c r="E242" t="n">
        <v>106.362581</v>
      </c>
      <c r="F242" t="n">
        <v>2569.28922</v>
      </c>
      <c r="G242" t="n">
        <v>222.822151</v>
      </c>
      <c r="H242" t="n">
        <v>1308.685037</v>
      </c>
      <c r="I242" t="n">
        <v>1955.186859</v>
      </c>
      <c r="J242" t="n">
        <v>2007.418175</v>
      </c>
      <c r="K242" t="n">
        <v>1423.259486</v>
      </c>
      <c r="L242" t="n">
        <v>3930.042293</v>
      </c>
      <c r="M242" t="n">
        <v>3930.042293</v>
      </c>
      <c r="N242" t="n">
        <v>3930.042293</v>
      </c>
      <c r="O242" t="n">
        <v>1585.345045</v>
      </c>
      <c r="P242" t="n">
        <v>411.268522</v>
      </c>
      <c r="Q242" t="n">
        <v>3930.042293</v>
      </c>
      <c r="R242" t="n">
        <v>3930.042293</v>
      </c>
      <c r="S242" t="n">
        <v>1585.345045</v>
      </c>
      <c r="T242" t="n">
        <v>1585.345045</v>
      </c>
      <c r="U242" t="n">
        <v>411.268522</v>
      </c>
      <c r="V242" t="n">
        <v>411.268522</v>
      </c>
      <c r="W242" t="n">
        <v>1647.369658</v>
      </c>
      <c r="X242" t="n">
        <v>4507.362005</v>
      </c>
    </row>
    <row r="243">
      <c r="A243" t="inlineStr">
        <is>
          <t>Brama brama</t>
        </is>
      </c>
      <c r="B243" t="n">
        <v>4.08</v>
      </c>
      <c r="C243" t="n">
        <v>1202.264435</v>
      </c>
      <c r="D243" t="inlineStr">
        <is>
          <t>Large Benthopelagics</t>
        </is>
      </c>
      <c r="E243" t="n">
        <v>106.362581</v>
      </c>
      <c r="F243" t="n">
        <v>1254.298198</v>
      </c>
      <c r="G243" t="n">
        <v>135.995167</v>
      </c>
      <c r="H243" t="n">
        <v>530.875777</v>
      </c>
      <c r="I243" t="n">
        <v>1013.570171</v>
      </c>
      <c r="J243" t="n">
        <v>1067.730872</v>
      </c>
      <c r="K243" t="n">
        <v>1046.376254</v>
      </c>
      <c r="L243" t="n">
        <v>1918.226529</v>
      </c>
      <c r="M243" t="n">
        <v>1918.226529</v>
      </c>
      <c r="N243" t="n">
        <v>1918.226529</v>
      </c>
      <c r="O243" t="n">
        <v>1111.682878</v>
      </c>
      <c r="P243" t="n">
        <v>334.624507</v>
      </c>
      <c r="Q243" t="n">
        <v>1918.226529</v>
      </c>
      <c r="R243" t="n">
        <v>1918.226529</v>
      </c>
      <c r="S243" t="n">
        <v>1111.682878</v>
      </c>
      <c r="T243" t="n">
        <v>1111.682878</v>
      </c>
      <c r="U243" t="n">
        <v>334.624507</v>
      </c>
      <c r="V243" t="n">
        <v>334.624507</v>
      </c>
      <c r="W243" t="n">
        <v>1176.051346</v>
      </c>
      <c r="X243" t="n">
        <v>2155.084899</v>
      </c>
    </row>
    <row r="244">
      <c r="A244" t="inlineStr">
        <is>
          <t>Aprion virescens</t>
        </is>
      </c>
      <c r="B244" t="n">
        <v>4.28</v>
      </c>
      <c r="C244" t="n">
        <v>1905.460718</v>
      </c>
      <c r="D244" t="inlineStr">
        <is>
          <t>Large Benthic Carnivores</t>
        </is>
      </c>
      <c r="E244" t="n">
        <v>106.362581</v>
      </c>
      <c r="F244" t="n">
        <v>1113.102078</v>
      </c>
      <c r="G244" t="n">
        <v>125.259096</v>
      </c>
      <c r="H244" t="n">
        <v>249.981248</v>
      </c>
      <c r="I244" t="n">
        <v>421.749845</v>
      </c>
      <c r="J244" t="n">
        <v>575.638232</v>
      </c>
      <c r="K244" t="n">
        <v>564.125467</v>
      </c>
      <c r="L244" t="n">
        <v>1114.691652</v>
      </c>
      <c r="M244" t="n">
        <v>1114.691652</v>
      </c>
      <c r="N244" t="n">
        <v>1114.691652</v>
      </c>
      <c r="O244" t="n">
        <v>635.9376559999999</v>
      </c>
      <c r="P244" t="n">
        <v>217.238675</v>
      </c>
      <c r="Q244" t="n">
        <v>1114.691652</v>
      </c>
      <c r="R244" t="n">
        <v>1114.691652</v>
      </c>
      <c r="S244" t="n">
        <v>635.9376559999999</v>
      </c>
      <c r="T244" t="n">
        <v>635.9376559999999</v>
      </c>
      <c r="U244" t="n">
        <v>217.238675</v>
      </c>
      <c r="V244" t="n">
        <v>217.238675</v>
      </c>
      <c r="W244" t="n">
        <v>686.067599</v>
      </c>
      <c r="X244" t="n">
        <v>1252.543178</v>
      </c>
    </row>
    <row r="245">
      <c r="A245" t="inlineStr">
        <is>
          <t>Thunnus alalunga</t>
        </is>
      </c>
      <c r="B245" t="n">
        <v>4.3</v>
      </c>
      <c r="C245" t="n">
        <v>1995.262315</v>
      </c>
      <c r="D245" t="inlineStr">
        <is>
          <t>Tunas</t>
        </is>
      </c>
      <c r="E245" t="n">
        <v>106.362581</v>
      </c>
      <c r="F245" t="n">
        <v>1377.951482</v>
      </c>
      <c r="G245" t="n">
        <v>145.091076</v>
      </c>
      <c r="H245" t="n">
        <v>354.016089</v>
      </c>
      <c r="I245" t="n">
        <v>804.627355</v>
      </c>
      <c r="J245" t="n">
        <v>818.1011109999999</v>
      </c>
      <c r="K245" t="n">
        <v>575.125081</v>
      </c>
      <c r="L245" t="n">
        <v>970.782826</v>
      </c>
      <c r="M245" t="n">
        <v>970.782826</v>
      </c>
      <c r="N245" t="n">
        <v>970.782826</v>
      </c>
      <c r="O245" t="n">
        <v>487.056907</v>
      </c>
      <c r="P245" t="n">
        <v>182.863315</v>
      </c>
      <c r="Q245" t="n">
        <v>970.782826</v>
      </c>
      <c r="R245" t="n">
        <v>970.782826</v>
      </c>
      <c r="S245" t="n">
        <v>487.056907</v>
      </c>
      <c r="T245" t="n">
        <v>487.056907</v>
      </c>
      <c r="U245" t="n">
        <v>182.863315</v>
      </c>
      <c r="V245" t="n">
        <v>182.863315</v>
      </c>
      <c r="W245" t="n">
        <v>514.9785419999999</v>
      </c>
      <c r="X245" t="n">
        <v>1083.073415</v>
      </c>
    </row>
    <row r="246">
      <c r="A246" t="inlineStr">
        <is>
          <t>Epinephelus chlorostigma</t>
        </is>
      </c>
      <c r="B246" t="n">
        <v>3.99</v>
      </c>
      <c r="C246" t="n">
        <v>977.237221</v>
      </c>
      <c r="D246" t="inlineStr">
        <is>
          <t>Large Benthic Carnivores</t>
        </is>
      </c>
      <c r="E246" t="n">
        <v>106.362581</v>
      </c>
      <c r="F246" t="n">
        <v>1113.102078</v>
      </c>
      <c r="G246" t="n">
        <v>125.259096</v>
      </c>
      <c r="H246" t="n">
        <v>249.981248</v>
      </c>
      <c r="I246" t="n">
        <v>421.749845</v>
      </c>
      <c r="J246" t="n">
        <v>575.638232</v>
      </c>
      <c r="K246" t="n">
        <v>564.125467</v>
      </c>
      <c r="L246" t="n">
        <v>1114.691652</v>
      </c>
      <c r="M246" t="n">
        <v>1114.691652</v>
      </c>
      <c r="N246" t="n">
        <v>1114.691652</v>
      </c>
      <c r="O246" t="n">
        <v>635.9376559999999</v>
      </c>
      <c r="P246" t="n">
        <v>217.238675</v>
      </c>
      <c r="Q246" t="n">
        <v>1114.691652</v>
      </c>
      <c r="R246" t="n">
        <v>1114.691652</v>
      </c>
      <c r="S246" t="n">
        <v>635.9376559999999</v>
      </c>
      <c r="T246" t="n">
        <v>635.9376559999999</v>
      </c>
      <c r="U246" t="n">
        <v>217.238675</v>
      </c>
      <c r="V246" t="n">
        <v>217.238675</v>
      </c>
      <c r="W246" t="n">
        <v>686.067599</v>
      </c>
      <c r="X246" t="n">
        <v>1252.543178</v>
      </c>
    </row>
    <row r="247">
      <c r="A247" t="inlineStr">
        <is>
          <t>Ophichthidae</t>
        </is>
      </c>
      <c r="B247" t="n">
        <v>3.64</v>
      </c>
      <c r="C247" t="n">
        <v>436.515832</v>
      </c>
      <c r="D247" t="inlineStr">
        <is>
          <t>Large Benthic Carnivores</t>
        </is>
      </c>
      <c r="E247" t="n">
        <v>106.362581</v>
      </c>
      <c r="F247" t="n">
        <v>1113.102078</v>
      </c>
      <c r="G247" t="n">
        <v>125.259096</v>
      </c>
      <c r="H247" t="n">
        <v>249.981248</v>
      </c>
      <c r="I247" t="n">
        <v>421.749845</v>
      </c>
      <c r="J247" t="n">
        <v>575.638232</v>
      </c>
      <c r="K247" t="n">
        <v>564.125467</v>
      </c>
      <c r="L247" t="n">
        <v>1114.691652</v>
      </c>
      <c r="M247" t="n">
        <v>1114.691652</v>
      </c>
      <c r="N247" t="n">
        <v>1114.691652</v>
      </c>
      <c r="O247" t="n">
        <v>635.9376559999999</v>
      </c>
      <c r="P247" t="n">
        <v>217.238675</v>
      </c>
      <c r="Q247" t="n">
        <v>1114.691652</v>
      </c>
      <c r="R247" t="n">
        <v>1114.691652</v>
      </c>
      <c r="S247" t="n">
        <v>635.9376559999999</v>
      </c>
      <c r="T247" t="n">
        <v>635.9376559999999</v>
      </c>
      <c r="U247" t="n">
        <v>217.238675</v>
      </c>
      <c r="V247" t="n">
        <v>217.238675</v>
      </c>
      <c r="W247" t="n">
        <v>686.067599</v>
      </c>
      <c r="X247" t="n">
        <v>1252.543178</v>
      </c>
    </row>
    <row r="248">
      <c r="A248" t="inlineStr">
        <is>
          <t>Mollusca</t>
        </is>
      </c>
      <c r="B248" t="n">
        <v>2.1</v>
      </c>
      <c r="C248" t="n">
        <v>12.589254</v>
      </c>
      <c r="D248" t="inlineStr">
        <is>
          <t>Heterotrophic Benthos</t>
        </is>
      </c>
      <c r="E248" t="n">
        <v>106.362581</v>
      </c>
      <c r="F248" t="n">
        <v>19.947374</v>
      </c>
      <c r="G248" t="n">
        <v>7.853921</v>
      </c>
      <c r="H248" t="n">
        <v>13.270207</v>
      </c>
      <c r="I248" t="n">
        <v>123.888042</v>
      </c>
      <c r="J248" t="n">
        <v>123.888042</v>
      </c>
      <c r="K248" t="n">
        <v>15.362117</v>
      </c>
      <c r="L248" t="n">
        <v>260.720597</v>
      </c>
      <c r="M248" t="n">
        <v>260.720597</v>
      </c>
      <c r="N248" t="n">
        <v>260.720597</v>
      </c>
      <c r="O248" t="n">
        <v>19.314018</v>
      </c>
      <c r="P248" t="n">
        <v>17.703696</v>
      </c>
      <c r="Q248" t="n">
        <v>260.720597</v>
      </c>
      <c r="R248" t="n">
        <v>260.720597</v>
      </c>
      <c r="S248" t="n">
        <v>19.314018</v>
      </c>
      <c r="T248" t="n">
        <v>19.314018</v>
      </c>
      <c r="U248" t="n">
        <v>17.703696</v>
      </c>
      <c r="V248" t="n">
        <v>17.703696</v>
      </c>
      <c r="W248" t="n">
        <v>20.650834</v>
      </c>
      <c r="X248" t="n">
        <v>285.015306</v>
      </c>
    </row>
    <row r="249">
      <c r="A249" t="inlineStr">
        <is>
          <t>Lethrinus microdon</t>
        </is>
      </c>
      <c r="B249" t="n">
        <v>3.79</v>
      </c>
      <c r="C249" t="n">
        <v>616.595002</v>
      </c>
      <c r="D249" t="inlineStr">
        <is>
          <t>Large Benthic Carnivores</t>
        </is>
      </c>
      <c r="E249" t="n">
        <v>106.362581</v>
      </c>
      <c r="F249" t="n">
        <v>1113.102078</v>
      </c>
      <c r="G249" t="n">
        <v>125.259096</v>
      </c>
      <c r="H249" t="n">
        <v>249.981248</v>
      </c>
      <c r="I249" t="n">
        <v>421.749845</v>
      </c>
      <c r="J249" t="n">
        <v>575.638232</v>
      </c>
      <c r="K249" t="n">
        <v>564.125467</v>
      </c>
      <c r="L249" t="n">
        <v>1114.691652</v>
      </c>
      <c r="M249" t="n">
        <v>1114.691652</v>
      </c>
      <c r="N249" t="n">
        <v>1114.691652</v>
      </c>
      <c r="O249" t="n">
        <v>635.9376559999999</v>
      </c>
      <c r="P249" t="n">
        <v>217.238675</v>
      </c>
      <c r="Q249" t="n">
        <v>1114.691652</v>
      </c>
      <c r="R249" t="n">
        <v>1114.691652</v>
      </c>
      <c r="S249" t="n">
        <v>635.9376559999999</v>
      </c>
      <c r="T249" t="n">
        <v>635.9376559999999</v>
      </c>
      <c r="U249" t="n">
        <v>217.238675</v>
      </c>
      <c r="V249" t="n">
        <v>217.238675</v>
      </c>
      <c r="W249" t="n">
        <v>686.067599</v>
      </c>
      <c r="X249" t="n">
        <v>1252.543178</v>
      </c>
    </row>
    <row r="250">
      <c r="A250" t="inlineStr">
        <is>
          <t>Lutjanus gibbus</t>
        </is>
      </c>
      <c r="B250" t="n">
        <v>4.12</v>
      </c>
      <c r="C250" t="n">
        <v>1318.256739</v>
      </c>
      <c r="D250" t="inlineStr">
        <is>
          <t>Large Benthic Carnivores</t>
        </is>
      </c>
      <c r="E250" t="n">
        <v>106.362581</v>
      </c>
      <c r="F250" t="n">
        <v>1113.102078</v>
      </c>
      <c r="G250" t="n">
        <v>125.259096</v>
      </c>
      <c r="H250" t="n">
        <v>249.981248</v>
      </c>
      <c r="I250" t="n">
        <v>421.749845</v>
      </c>
      <c r="J250" t="n">
        <v>575.638232</v>
      </c>
      <c r="K250" t="n">
        <v>564.125467</v>
      </c>
      <c r="L250" t="n">
        <v>1114.691652</v>
      </c>
      <c r="M250" t="n">
        <v>1114.691652</v>
      </c>
      <c r="N250" t="n">
        <v>1114.691652</v>
      </c>
      <c r="O250" t="n">
        <v>635.9376559999999</v>
      </c>
      <c r="P250" t="n">
        <v>217.238675</v>
      </c>
      <c r="Q250" t="n">
        <v>1114.691652</v>
      </c>
      <c r="R250" t="n">
        <v>1114.691652</v>
      </c>
      <c r="S250" t="n">
        <v>635.9376559999999</v>
      </c>
      <c r="T250" t="n">
        <v>635.9376559999999</v>
      </c>
      <c r="U250" t="n">
        <v>217.238675</v>
      </c>
      <c r="V250" t="n">
        <v>217.238675</v>
      </c>
      <c r="W250" t="n">
        <v>686.067599</v>
      </c>
      <c r="X250" t="n">
        <v>1252.543178</v>
      </c>
    </row>
    <row r="251">
      <c r="A251" t="inlineStr">
        <is>
          <t>Caesionidae</t>
        </is>
      </c>
      <c r="B251" t="n">
        <v>3.39</v>
      </c>
      <c r="C251" t="n">
        <v>245.470892</v>
      </c>
      <c r="D251" t="inlineStr">
        <is>
          <t>Small Benthopelagics</t>
        </is>
      </c>
      <c r="E251" t="n">
        <v>106.362581</v>
      </c>
      <c r="F251" t="n">
        <v>735.919846</v>
      </c>
      <c r="G251" t="n">
        <v>94.203452</v>
      </c>
      <c r="H251" t="n">
        <v>274.118485</v>
      </c>
      <c r="I251" t="n">
        <v>1003.748472</v>
      </c>
      <c r="J251" t="n">
        <v>1056.007849</v>
      </c>
      <c r="K251" t="n">
        <v>1032.775676</v>
      </c>
      <c r="L251" t="n">
        <v>1426.864607</v>
      </c>
      <c r="M251" t="n">
        <v>1426.864607</v>
      </c>
      <c r="N251" t="n">
        <v>1426.864607</v>
      </c>
      <c r="O251" t="n">
        <v>914.12906</v>
      </c>
      <c r="P251" t="n">
        <v>345.870401</v>
      </c>
      <c r="Q251" t="n">
        <v>1426.864607</v>
      </c>
      <c r="R251" t="n">
        <v>1426.864607</v>
      </c>
      <c r="S251" t="n">
        <v>914.12906</v>
      </c>
      <c r="T251" t="n">
        <v>914.12906</v>
      </c>
      <c r="U251" t="n">
        <v>345.870401</v>
      </c>
      <c r="V251" t="n">
        <v>345.870401</v>
      </c>
      <c r="W251" t="n">
        <v>957.660399</v>
      </c>
      <c r="X251" t="n">
        <v>1577.210486</v>
      </c>
    </row>
    <row r="252">
      <c r="A252" t="inlineStr">
        <is>
          <t>Pomacanthus maculosus</t>
        </is>
      </c>
      <c r="B252" t="n">
        <v>2.67</v>
      </c>
      <c r="C252" t="n">
        <v>46.773514</v>
      </c>
      <c r="D252" t="inlineStr">
        <is>
          <t>Benthic Omnivores</t>
        </is>
      </c>
      <c r="E252" t="n">
        <v>106.362581</v>
      </c>
      <c r="F252" t="n">
        <v>34.853983</v>
      </c>
      <c r="G252" t="n">
        <v>11.533933</v>
      </c>
      <c r="H252" t="n">
        <v>23.954598</v>
      </c>
      <c r="I252" t="n">
        <v>122.110584</v>
      </c>
      <c r="J252" t="n">
        <v>122.110584</v>
      </c>
      <c r="K252" t="n">
        <v>119.668372</v>
      </c>
      <c r="L252" t="n">
        <v>234.326211</v>
      </c>
      <c r="M252" t="n">
        <v>234.326211</v>
      </c>
      <c r="N252" t="n">
        <v>234.326211</v>
      </c>
      <c r="O252" t="n">
        <v>32.574396</v>
      </c>
      <c r="P252" t="n">
        <v>28.191927</v>
      </c>
      <c r="Q252" t="n">
        <v>234.326211</v>
      </c>
      <c r="R252" t="n">
        <v>234.326211</v>
      </c>
      <c r="S252" t="n">
        <v>32.574396</v>
      </c>
      <c r="T252" t="n">
        <v>32.574396</v>
      </c>
      <c r="U252" t="n">
        <v>28.191927</v>
      </c>
      <c r="V252" t="n">
        <v>28.191927</v>
      </c>
      <c r="W252" t="n">
        <v>34.709256</v>
      </c>
      <c r="X252" t="n">
        <v>257.01226</v>
      </c>
    </row>
    <row r="253">
      <c r="A253" t="inlineStr">
        <is>
          <t>Epinephelus multinotatus</t>
        </is>
      </c>
      <c r="B253" t="n">
        <v>3.86</v>
      </c>
      <c r="C253" t="n">
        <v>724.43596</v>
      </c>
      <c r="D253" t="inlineStr">
        <is>
          <t>Large Benthic Carnivores</t>
        </is>
      </c>
      <c r="E253" t="n">
        <v>106.362581</v>
      </c>
      <c r="F253" t="n">
        <v>1113.102078</v>
      </c>
      <c r="G253" t="n">
        <v>125.259096</v>
      </c>
      <c r="H253" t="n">
        <v>249.981248</v>
      </c>
      <c r="I253" t="n">
        <v>421.749845</v>
      </c>
      <c r="J253" t="n">
        <v>575.638232</v>
      </c>
      <c r="K253" t="n">
        <v>564.125467</v>
      </c>
      <c r="L253" t="n">
        <v>1114.691652</v>
      </c>
      <c r="M253" t="n">
        <v>1114.691652</v>
      </c>
      <c r="N253" t="n">
        <v>1114.691652</v>
      </c>
      <c r="O253" t="n">
        <v>635.9376559999999</v>
      </c>
      <c r="P253" t="n">
        <v>217.238675</v>
      </c>
      <c r="Q253" t="n">
        <v>1114.691652</v>
      </c>
      <c r="R253" t="n">
        <v>1114.691652</v>
      </c>
      <c r="S253" t="n">
        <v>635.9376559999999</v>
      </c>
      <c r="T253" t="n">
        <v>635.9376559999999</v>
      </c>
      <c r="U253" t="n">
        <v>217.238675</v>
      </c>
      <c r="V253" t="n">
        <v>217.238675</v>
      </c>
      <c r="W253" t="n">
        <v>686.067599</v>
      </c>
      <c r="X253" t="n">
        <v>1252.543178</v>
      </c>
    </row>
    <row r="254">
      <c r="A254" t="inlineStr">
        <is>
          <t>Mene maculata</t>
        </is>
      </c>
      <c r="B254" t="n">
        <v>3.45</v>
      </c>
      <c r="C254" t="n">
        <v>281.838293</v>
      </c>
      <c r="D254" t="inlineStr">
        <is>
          <t>Small Benthopelagics</t>
        </is>
      </c>
      <c r="E254" t="n">
        <v>106.362581</v>
      </c>
      <c r="F254" t="n">
        <v>735.919846</v>
      </c>
      <c r="G254" t="n">
        <v>94.203452</v>
      </c>
      <c r="H254" t="n">
        <v>274.118485</v>
      </c>
      <c r="I254" t="n">
        <v>1003.748472</v>
      </c>
      <c r="J254" t="n">
        <v>1056.007849</v>
      </c>
      <c r="K254" t="n">
        <v>1032.775676</v>
      </c>
      <c r="L254" t="n">
        <v>1426.864607</v>
      </c>
      <c r="M254" t="n">
        <v>1426.864607</v>
      </c>
      <c r="N254" t="n">
        <v>1426.864607</v>
      </c>
      <c r="O254" t="n">
        <v>914.12906</v>
      </c>
      <c r="P254" t="n">
        <v>345.870401</v>
      </c>
      <c r="Q254" t="n">
        <v>1426.864607</v>
      </c>
      <c r="R254" t="n">
        <v>1426.864607</v>
      </c>
      <c r="S254" t="n">
        <v>914.12906</v>
      </c>
      <c r="T254" t="n">
        <v>914.12906</v>
      </c>
      <c r="U254" t="n">
        <v>345.870401</v>
      </c>
      <c r="V254" t="n">
        <v>345.870401</v>
      </c>
      <c r="W254" t="n">
        <v>957.660399</v>
      </c>
      <c r="X254" t="n">
        <v>1577.210486</v>
      </c>
    </row>
    <row r="255">
      <c r="A255" t="inlineStr">
        <is>
          <t>Nemipterus</t>
        </is>
      </c>
      <c r="B255" t="n">
        <v>3.72</v>
      </c>
      <c r="C255" t="n">
        <v>524.80746</v>
      </c>
      <c r="D255" t="inlineStr">
        <is>
          <t>Small Benthic Carnivores</t>
        </is>
      </c>
      <c r="E255" t="n">
        <v>106.362581</v>
      </c>
      <c r="F255" t="n">
        <v>47.875255</v>
      </c>
      <c r="G255" t="n">
        <v>14.351766</v>
      </c>
      <c r="H255" t="n">
        <v>47.936313</v>
      </c>
      <c r="I255" t="n">
        <v>123.68277</v>
      </c>
      <c r="J255" t="n">
        <v>123.68277</v>
      </c>
      <c r="K255" t="n">
        <v>121.085432</v>
      </c>
      <c r="L255" t="n">
        <v>160.705061</v>
      </c>
      <c r="M255" t="n">
        <v>160.705061</v>
      </c>
      <c r="N255" t="n">
        <v>160.705061</v>
      </c>
      <c r="O255" t="n">
        <v>86.69575</v>
      </c>
      <c r="P255" t="n">
        <v>48.551122</v>
      </c>
      <c r="Q255" t="n">
        <v>160.705061</v>
      </c>
      <c r="R255" t="n">
        <v>160.705061</v>
      </c>
      <c r="S255" t="n">
        <v>86.69575</v>
      </c>
      <c r="T255" t="n">
        <v>86.69575</v>
      </c>
      <c r="U255" t="n">
        <v>48.551122</v>
      </c>
      <c r="V255" t="n">
        <v>48.551122</v>
      </c>
      <c r="W255" t="n">
        <v>90.428786</v>
      </c>
      <c r="X255" t="n">
        <v>169.279514</v>
      </c>
    </row>
    <row r="256">
      <c r="A256" t="inlineStr">
        <is>
          <t>Pomadasys argenteus</t>
        </is>
      </c>
      <c r="B256" t="n">
        <v>3.47</v>
      </c>
      <c r="C256" t="n">
        <v>295.120923</v>
      </c>
      <c r="D256" t="inlineStr">
        <is>
          <t>Med Benthic Carnivores</t>
        </is>
      </c>
      <c r="E256" t="n">
        <v>106.362581</v>
      </c>
      <c r="F256" t="n">
        <v>153.506319</v>
      </c>
      <c r="G256" t="n">
        <v>32.014124</v>
      </c>
      <c r="H256" t="n">
        <v>100.68782</v>
      </c>
      <c r="I256" t="n">
        <v>159.061371</v>
      </c>
      <c r="J256" t="n">
        <v>159.061371</v>
      </c>
      <c r="K256" t="n">
        <v>156.039205</v>
      </c>
      <c r="L256" t="n">
        <v>198.208223</v>
      </c>
      <c r="M256" t="n">
        <v>198.208223</v>
      </c>
      <c r="N256" t="n">
        <v>198.208223</v>
      </c>
      <c r="O256" t="n">
        <v>116.373231</v>
      </c>
      <c r="P256" t="n">
        <v>56.490526</v>
      </c>
      <c r="Q256" t="n">
        <v>198.208223</v>
      </c>
      <c r="R256" t="n">
        <v>198.208223</v>
      </c>
      <c r="S256" t="n">
        <v>116.373231</v>
      </c>
      <c r="T256" t="n">
        <v>116.373231</v>
      </c>
      <c r="U256" t="n">
        <v>56.490526</v>
      </c>
      <c r="V256" t="n">
        <v>56.490526</v>
      </c>
      <c r="W256" t="n">
        <v>120.80197</v>
      </c>
      <c r="X256" t="n">
        <v>213.813007</v>
      </c>
    </row>
    <row r="257">
      <c r="A257" t="inlineStr">
        <is>
          <t>Lethrinus obsoletus</t>
        </is>
      </c>
      <c r="B257" t="n">
        <v>3.89</v>
      </c>
      <c r="C257" t="n">
        <v>776.247117</v>
      </c>
      <c r="D257" t="inlineStr">
        <is>
          <t>Large Benthic Carnivores</t>
        </is>
      </c>
      <c r="E257" t="n">
        <v>106.362581</v>
      </c>
      <c r="F257" t="n">
        <v>1113.102078</v>
      </c>
      <c r="G257" t="n">
        <v>125.259096</v>
      </c>
      <c r="H257" t="n">
        <v>249.981248</v>
      </c>
      <c r="I257" t="n">
        <v>421.749845</v>
      </c>
      <c r="J257" t="n">
        <v>575.638232</v>
      </c>
      <c r="K257" t="n">
        <v>564.125467</v>
      </c>
      <c r="L257" t="n">
        <v>1114.691652</v>
      </c>
      <c r="M257" t="n">
        <v>1114.691652</v>
      </c>
      <c r="N257" t="n">
        <v>1114.691652</v>
      </c>
      <c r="O257" t="n">
        <v>635.9376559999999</v>
      </c>
      <c r="P257" t="n">
        <v>217.238675</v>
      </c>
      <c r="Q257" t="n">
        <v>1114.691652</v>
      </c>
      <c r="R257" t="n">
        <v>1114.691652</v>
      </c>
      <c r="S257" t="n">
        <v>635.9376559999999</v>
      </c>
      <c r="T257" t="n">
        <v>635.9376559999999</v>
      </c>
      <c r="U257" t="n">
        <v>217.238675</v>
      </c>
      <c r="V257" t="n">
        <v>217.238675</v>
      </c>
      <c r="W257" t="n">
        <v>686.067599</v>
      </c>
      <c r="X257" t="n">
        <v>1252.543178</v>
      </c>
    </row>
    <row r="258">
      <c r="A258" t="inlineStr">
        <is>
          <t>Scomberoides tol</t>
        </is>
      </c>
      <c r="B258" t="n">
        <v>4.11</v>
      </c>
      <c r="C258" t="n">
        <v>1288.249552</v>
      </c>
      <c r="D258" t="inlineStr">
        <is>
          <t>Large Benthopelagics</t>
        </is>
      </c>
      <c r="E258" t="n">
        <v>106.362581</v>
      </c>
      <c r="F258" t="n">
        <v>1254.298198</v>
      </c>
      <c r="G258" t="n">
        <v>135.995167</v>
      </c>
      <c r="H258" t="n">
        <v>530.875777</v>
      </c>
      <c r="I258" t="n">
        <v>1013.570171</v>
      </c>
      <c r="J258" t="n">
        <v>1067.730872</v>
      </c>
      <c r="K258" t="n">
        <v>1046.376254</v>
      </c>
      <c r="L258" t="n">
        <v>1918.226529</v>
      </c>
      <c r="M258" t="n">
        <v>1918.226529</v>
      </c>
      <c r="N258" t="n">
        <v>1918.226529</v>
      </c>
      <c r="O258" t="n">
        <v>1111.682878</v>
      </c>
      <c r="P258" t="n">
        <v>334.624507</v>
      </c>
      <c r="Q258" t="n">
        <v>1918.226529</v>
      </c>
      <c r="R258" t="n">
        <v>1918.226529</v>
      </c>
      <c r="S258" t="n">
        <v>1111.682878</v>
      </c>
      <c r="T258" t="n">
        <v>1111.682878</v>
      </c>
      <c r="U258" t="n">
        <v>334.624507</v>
      </c>
      <c r="V258" t="n">
        <v>334.624507</v>
      </c>
      <c r="W258" t="n">
        <v>1176.051346</v>
      </c>
      <c r="X258" t="n">
        <v>2155.084899</v>
      </c>
    </row>
    <row r="259">
      <c r="A259" t="inlineStr">
        <is>
          <t>Penaeus monodon</t>
        </is>
      </c>
      <c r="B259" t="n">
        <v>2.6</v>
      </c>
      <c r="C259" t="n">
        <v>39.810717</v>
      </c>
      <c r="D259" t="inlineStr">
        <is>
          <t>Shrimps</t>
        </is>
      </c>
      <c r="E259" t="n">
        <v>106.362581</v>
      </c>
      <c r="F259" t="n">
        <v>102.724644</v>
      </c>
      <c r="G259" t="n">
        <v>24.278186</v>
      </c>
      <c r="H259" t="n">
        <v>49.254496</v>
      </c>
      <c r="I259" t="n">
        <v>47.332503</v>
      </c>
      <c r="J259" t="n">
        <v>47.332503</v>
      </c>
      <c r="K259" t="n">
        <v>46.385853</v>
      </c>
      <c r="L259" t="n">
        <v>49.861086</v>
      </c>
      <c r="M259" t="n">
        <v>49.861086</v>
      </c>
      <c r="N259" t="n">
        <v>49.861086</v>
      </c>
      <c r="O259" t="n">
        <v>41.277787</v>
      </c>
      <c r="P259" t="n">
        <v>24.793452</v>
      </c>
      <c r="Q259" t="n">
        <v>49.861086</v>
      </c>
      <c r="R259" t="n">
        <v>49.861086</v>
      </c>
      <c r="S259" t="n">
        <v>41.277787</v>
      </c>
      <c r="T259" t="n">
        <v>41.277787</v>
      </c>
      <c r="U259" t="n">
        <v>24.793452</v>
      </c>
      <c r="V259" t="n">
        <v>24.793452</v>
      </c>
      <c r="W259" t="n">
        <v>43.911832</v>
      </c>
      <c r="X259" t="n">
        <v>53.47357</v>
      </c>
    </row>
    <row r="260">
      <c r="A260" t="inlineStr">
        <is>
          <t>Sphyrna lewini</t>
        </is>
      </c>
      <c r="B260" t="n">
        <v>4.08</v>
      </c>
      <c r="C260" t="n">
        <v>1202.264435</v>
      </c>
      <c r="D260" t="inlineStr">
        <is>
          <t>Sharks</t>
        </is>
      </c>
      <c r="E260" t="n">
        <v>106.362581</v>
      </c>
      <c r="F260" t="n">
        <v>2569.28922</v>
      </c>
      <c r="G260" t="n">
        <v>222.822151</v>
      </c>
      <c r="H260" t="n">
        <v>1308.685037</v>
      </c>
      <c r="I260" t="n">
        <v>1955.186859</v>
      </c>
      <c r="J260" t="n">
        <v>2007.418175</v>
      </c>
      <c r="K260" t="n">
        <v>1423.259486</v>
      </c>
      <c r="L260" t="n">
        <v>3930.042293</v>
      </c>
      <c r="M260" t="n">
        <v>3930.042293</v>
      </c>
      <c r="N260" t="n">
        <v>3930.042293</v>
      </c>
      <c r="O260" t="n">
        <v>1585.345045</v>
      </c>
      <c r="P260" t="n">
        <v>411.268522</v>
      </c>
      <c r="Q260" t="n">
        <v>3930.042293</v>
      </c>
      <c r="R260" t="n">
        <v>3930.042293</v>
      </c>
      <c r="S260" t="n">
        <v>1585.345045</v>
      </c>
      <c r="T260" t="n">
        <v>1585.345045</v>
      </c>
      <c r="U260" t="n">
        <v>411.268522</v>
      </c>
      <c r="V260" t="n">
        <v>411.268522</v>
      </c>
      <c r="W260" t="n">
        <v>1647.369658</v>
      </c>
      <c r="X260" t="n">
        <v>4507.362005</v>
      </c>
    </row>
    <row r="261">
      <c r="A261" t="inlineStr">
        <is>
          <t>Alectis ciliaris</t>
        </is>
      </c>
      <c r="B261" t="n">
        <v>3.95</v>
      </c>
      <c r="C261" t="n">
        <v>891.250938</v>
      </c>
      <c r="D261" t="inlineStr">
        <is>
          <t>Large Benthic Carnivores</t>
        </is>
      </c>
      <c r="E261" t="n">
        <v>106.362581</v>
      </c>
      <c r="F261" t="n">
        <v>1113.102078</v>
      </c>
      <c r="G261" t="n">
        <v>125.259096</v>
      </c>
      <c r="H261" t="n">
        <v>249.981248</v>
      </c>
      <c r="I261" t="n">
        <v>421.749845</v>
      </c>
      <c r="J261" t="n">
        <v>575.638232</v>
      </c>
      <c r="K261" t="n">
        <v>564.125467</v>
      </c>
      <c r="L261" t="n">
        <v>1114.691652</v>
      </c>
      <c r="M261" t="n">
        <v>1114.691652</v>
      </c>
      <c r="N261" t="n">
        <v>1114.691652</v>
      </c>
      <c r="O261" t="n">
        <v>635.9376559999999</v>
      </c>
      <c r="P261" t="n">
        <v>217.238675</v>
      </c>
      <c r="Q261" t="n">
        <v>1114.691652</v>
      </c>
      <c r="R261" t="n">
        <v>1114.691652</v>
      </c>
      <c r="S261" t="n">
        <v>635.9376559999999</v>
      </c>
      <c r="T261" t="n">
        <v>635.9376559999999</v>
      </c>
      <c r="U261" t="n">
        <v>217.238675</v>
      </c>
      <c r="V261" t="n">
        <v>217.238675</v>
      </c>
      <c r="W261" t="n">
        <v>686.067599</v>
      </c>
      <c r="X261" t="n">
        <v>1252.543178</v>
      </c>
    </row>
    <row r="262">
      <c r="A262" t="inlineStr">
        <is>
          <t>Gerres longirostris</t>
        </is>
      </c>
      <c r="B262" t="n">
        <v>3.5</v>
      </c>
      <c r="C262" t="n">
        <v>316.227766</v>
      </c>
      <c r="D262" t="inlineStr">
        <is>
          <t>Small Benthic Carnivores</t>
        </is>
      </c>
      <c r="E262" t="n">
        <v>106.362581</v>
      </c>
      <c r="F262" t="n">
        <v>47.875255</v>
      </c>
      <c r="G262" t="n">
        <v>14.351766</v>
      </c>
      <c r="H262" t="n">
        <v>47.936313</v>
      </c>
      <c r="I262" t="n">
        <v>123.68277</v>
      </c>
      <c r="J262" t="n">
        <v>123.68277</v>
      </c>
      <c r="K262" t="n">
        <v>121.085432</v>
      </c>
      <c r="L262" t="n">
        <v>160.705061</v>
      </c>
      <c r="M262" t="n">
        <v>160.705061</v>
      </c>
      <c r="N262" t="n">
        <v>160.705061</v>
      </c>
      <c r="O262" t="n">
        <v>86.69575</v>
      </c>
      <c r="P262" t="n">
        <v>48.551122</v>
      </c>
      <c r="Q262" t="n">
        <v>160.705061</v>
      </c>
      <c r="R262" t="n">
        <v>160.705061</v>
      </c>
      <c r="S262" t="n">
        <v>86.69575</v>
      </c>
      <c r="T262" t="n">
        <v>86.69575</v>
      </c>
      <c r="U262" t="n">
        <v>48.551122</v>
      </c>
      <c r="V262" t="n">
        <v>48.551122</v>
      </c>
      <c r="W262" t="n">
        <v>90.428786</v>
      </c>
      <c r="X262" t="n">
        <v>169.279514</v>
      </c>
    </row>
    <row r="263">
      <c r="A263" t="inlineStr">
        <is>
          <t>Trachinotus mookalee</t>
        </is>
      </c>
      <c r="B263" t="n">
        <v>3.78</v>
      </c>
      <c r="C263" t="n">
        <v>602.559586</v>
      </c>
      <c r="D263" t="inlineStr">
        <is>
          <t>Large Benthic Carnivores</t>
        </is>
      </c>
      <c r="E263" t="n">
        <v>106.362581</v>
      </c>
      <c r="F263" t="n">
        <v>1113.102078</v>
      </c>
      <c r="G263" t="n">
        <v>125.259096</v>
      </c>
      <c r="H263" t="n">
        <v>249.981248</v>
      </c>
      <c r="I263" t="n">
        <v>421.749845</v>
      </c>
      <c r="J263" t="n">
        <v>575.638232</v>
      </c>
      <c r="K263" t="n">
        <v>564.125467</v>
      </c>
      <c r="L263" t="n">
        <v>1114.691652</v>
      </c>
      <c r="M263" t="n">
        <v>1114.691652</v>
      </c>
      <c r="N263" t="n">
        <v>1114.691652</v>
      </c>
      <c r="O263" t="n">
        <v>635.9376559999999</v>
      </c>
      <c r="P263" t="n">
        <v>217.238675</v>
      </c>
      <c r="Q263" t="n">
        <v>1114.691652</v>
      </c>
      <c r="R263" t="n">
        <v>1114.691652</v>
      </c>
      <c r="S263" t="n">
        <v>635.9376559999999</v>
      </c>
      <c r="T263" t="n">
        <v>635.9376559999999</v>
      </c>
      <c r="U263" t="n">
        <v>217.238675</v>
      </c>
      <c r="V263" t="n">
        <v>217.238675</v>
      </c>
      <c r="W263" t="n">
        <v>686.067599</v>
      </c>
      <c r="X263" t="n">
        <v>1252.543178</v>
      </c>
    </row>
    <row r="264">
      <c r="A264" t="inlineStr">
        <is>
          <t>Carcharhinus albimarginatus</t>
        </is>
      </c>
      <c r="B264" t="n">
        <v>4.21</v>
      </c>
      <c r="C264" t="n">
        <v>1621.810097</v>
      </c>
      <c r="D264" t="inlineStr">
        <is>
          <t>Sharks</t>
        </is>
      </c>
      <c r="E264" t="n">
        <v>106.362581</v>
      </c>
      <c r="F264" t="n">
        <v>2569.28922</v>
      </c>
      <c r="G264" t="n">
        <v>222.822151</v>
      </c>
      <c r="H264" t="n">
        <v>1308.685037</v>
      </c>
      <c r="I264" t="n">
        <v>1955.186859</v>
      </c>
      <c r="J264" t="n">
        <v>2007.418175</v>
      </c>
      <c r="K264" t="n">
        <v>1423.259486</v>
      </c>
      <c r="L264" t="n">
        <v>3930.042293</v>
      </c>
      <c r="M264" t="n">
        <v>3930.042293</v>
      </c>
      <c r="N264" t="n">
        <v>3930.042293</v>
      </c>
      <c r="O264" t="n">
        <v>1585.345045</v>
      </c>
      <c r="P264" t="n">
        <v>411.268522</v>
      </c>
      <c r="Q264" t="n">
        <v>3930.042293</v>
      </c>
      <c r="R264" t="n">
        <v>3930.042293</v>
      </c>
      <c r="S264" t="n">
        <v>1585.345045</v>
      </c>
      <c r="T264" t="n">
        <v>1585.345045</v>
      </c>
      <c r="U264" t="n">
        <v>411.268522</v>
      </c>
      <c r="V264" t="n">
        <v>411.268522</v>
      </c>
      <c r="W264" t="n">
        <v>1647.369658</v>
      </c>
      <c r="X264" t="n">
        <v>4507.362005</v>
      </c>
    </row>
    <row r="265">
      <c r="A265" t="inlineStr">
        <is>
          <t>Lutjanus bohar</t>
        </is>
      </c>
      <c r="B265" t="n">
        <v>4.27</v>
      </c>
      <c r="C265" t="n">
        <v>1862.087137</v>
      </c>
      <c r="D265" t="inlineStr">
        <is>
          <t>Large Benthic Carnivores</t>
        </is>
      </c>
      <c r="E265" t="n">
        <v>106.362581</v>
      </c>
      <c r="F265" t="n">
        <v>1113.102078</v>
      </c>
      <c r="G265" t="n">
        <v>125.259096</v>
      </c>
      <c r="H265" t="n">
        <v>249.981248</v>
      </c>
      <c r="I265" t="n">
        <v>421.749845</v>
      </c>
      <c r="J265" t="n">
        <v>575.638232</v>
      </c>
      <c r="K265" t="n">
        <v>564.125467</v>
      </c>
      <c r="L265" t="n">
        <v>1114.691652</v>
      </c>
      <c r="M265" t="n">
        <v>1114.691652</v>
      </c>
      <c r="N265" t="n">
        <v>1114.691652</v>
      </c>
      <c r="O265" t="n">
        <v>635.9376559999999</v>
      </c>
      <c r="P265" t="n">
        <v>217.238675</v>
      </c>
      <c r="Q265" t="n">
        <v>1114.691652</v>
      </c>
      <c r="R265" t="n">
        <v>1114.691652</v>
      </c>
      <c r="S265" t="n">
        <v>635.9376559999999</v>
      </c>
      <c r="T265" t="n">
        <v>635.9376559999999</v>
      </c>
      <c r="U265" t="n">
        <v>217.238675</v>
      </c>
      <c r="V265" t="n">
        <v>217.238675</v>
      </c>
      <c r="W265" t="n">
        <v>686.067599</v>
      </c>
      <c r="X265" t="n">
        <v>1252.543178</v>
      </c>
    </row>
    <row r="266">
      <c r="A266" t="inlineStr">
        <is>
          <t>Rachycentridae</t>
        </is>
      </c>
      <c r="B266" t="n">
        <v>3.96</v>
      </c>
      <c r="C266" t="n">
        <v>912.010839</v>
      </c>
      <c r="D266" t="inlineStr">
        <is>
          <t>Large Pelagics</t>
        </is>
      </c>
      <c r="E266" t="n">
        <v>106.362581</v>
      </c>
      <c r="F266" t="n">
        <v>1182.417917</v>
      </c>
      <c r="G266" t="n">
        <v>130.579526</v>
      </c>
      <c r="H266" t="n">
        <v>655.098468</v>
      </c>
      <c r="I266" t="n">
        <v>848.885192</v>
      </c>
      <c r="J266" t="n">
        <v>883.261112</v>
      </c>
      <c r="K266" t="n">
        <v>865.5958890000001</v>
      </c>
      <c r="L266" t="n">
        <v>1961.116323</v>
      </c>
      <c r="M266" t="n">
        <v>1961.116323</v>
      </c>
      <c r="N266" t="n">
        <v>1961.116323</v>
      </c>
      <c r="O266" t="n">
        <v>1097.797369</v>
      </c>
      <c r="P266" t="n">
        <v>300.80342</v>
      </c>
      <c r="Q266" t="n">
        <v>1961.116323</v>
      </c>
      <c r="R266" t="n">
        <v>1961.116323</v>
      </c>
      <c r="S266" t="n">
        <v>1097.797369</v>
      </c>
      <c r="T266" t="n">
        <v>1097.797369</v>
      </c>
      <c r="U266" t="n">
        <v>300.80342</v>
      </c>
      <c r="V266" t="n">
        <v>300.80342</v>
      </c>
      <c r="W266" t="n">
        <v>1171.90733</v>
      </c>
      <c r="X266" t="n">
        <v>2200.248768</v>
      </c>
    </row>
    <row r="267">
      <c r="A267" t="inlineStr">
        <is>
          <t>Penaeus</t>
        </is>
      </c>
      <c r="B267" t="n">
        <v>2.7</v>
      </c>
      <c r="C267" t="n">
        <v>50.118723</v>
      </c>
      <c r="D267" t="inlineStr">
        <is>
          <t>Shrimps</t>
        </is>
      </c>
      <c r="E267" t="n">
        <v>106.362581</v>
      </c>
      <c r="F267" t="n">
        <v>102.724644</v>
      </c>
      <c r="G267" t="n">
        <v>24.278186</v>
      </c>
      <c r="H267" t="n">
        <v>49.254496</v>
      </c>
      <c r="I267" t="n">
        <v>47.332503</v>
      </c>
      <c r="J267" t="n">
        <v>47.332503</v>
      </c>
      <c r="K267" t="n">
        <v>46.385853</v>
      </c>
      <c r="L267" t="n">
        <v>49.861086</v>
      </c>
      <c r="M267" t="n">
        <v>49.861086</v>
      </c>
      <c r="N267" t="n">
        <v>49.861086</v>
      </c>
      <c r="O267" t="n">
        <v>41.277787</v>
      </c>
      <c r="P267" t="n">
        <v>24.793452</v>
      </c>
      <c r="Q267" t="n">
        <v>49.861086</v>
      </c>
      <c r="R267" t="n">
        <v>49.861086</v>
      </c>
      <c r="S267" t="n">
        <v>41.277787</v>
      </c>
      <c r="T267" t="n">
        <v>41.277787</v>
      </c>
      <c r="U267" t="n">
        <v>24.793452</v>
      </c>
      <c r="V267" t="n">
        <v>24.793452</v>
      </c>
      <c r="W267" t="n">
        <v>43.911832</v>
      </c>
      <c r="X267" t="n">
        <v>53.47357</v>
      </c>
    </row>
    <row r="268">
      <c r="A268" t="inlineStr">
        <is>
          <t>Plectorhinchus gaterinus</t>
        </is>
      </c>
      <c r="B268" t="n">
        <v>3.99</v>
      </c>
      <c r="C268" t="n">
        <v>977.237221</v>
      </c>
      <c r="D268" t="inlineStr">
        <is>
          <t>Med Benthic Carnivores</t>
        </is>
      </c>
      <c r="E268" t="n">
        <v>106.362581</v>
      </c>
      <c r="F268" t="n">
        <v>153.506319</v>
      </c>
      <c r="G268" t="n">
        <v>32.014124</v>
      </c>
      <c r="H268" t="n">
        <v>100.68782</v>
      </c>
      <c r="I268" t="n">
        <v>159.061371</v>
      </c>
      <c r="J268" t="n">
        <v>159.061371</v>
      </c>
      <c r="K268" t="n">
        <v>156.039205</v>
      </c>
      <c r="L268" t="n">
        <v>198.208223</v>
      </c>
      <c r="M268" t="n">
        <v>198.208223</v>
      </c>
      <c r="N268" t="n">
        <v>198.208223</v>
      </c>
      <c r="O268" t="n">
        <v>116.373231</v>
      </c>
      <c r="P268" t="n">
        <v>56.490526</v>
      </c>
      <c r="Q268" t="n">
        <v>198.208223</v>
      </c>
      <c r="R268" t="n">
        <v>198.208223</v>
      </c>
      <c r="S268" t="n">
        <v>116.373231</v>
      </c>
      <c r="T268" t="n">
        <v>116.373231</v>
      </c>
      <c r="U268" t="n">
        <v>56.490526</v>
      </c>
      <c r="V268" t="n">
        <v>56.490526</v>
      </c>
      <c r="W268" t="n">
        <v>120.80197</v>
      </c>
      <c r="X268" t="n">
        <v>213.813007</v>
      </c>
    </row>
    <row r="269">
      <c r="A269" t="inlineStr">
        <is>
          <t>Variola louti</t>
        </is>
      </c>
      <c r="B269" t="n">
        <v>4.33</v>
      </c>
      <c r="C269" t="n">
        <v>2137.96209</v>
      </c>
      <c r="D269" t="inlineStr">
        <is>
          <t>Large Benthic Carnivores</t>
        </is>
      </c>
      <c r="E269" t="n">
        <v>106.362581</v>
      </c>
      <c r="F269" t="n">
        <v>1113.102078</v>
      </c>
      <c r="G269" t="n">
        <v>125.259096</v>
      </c>
      <c r="H269" t="n">
        <v>249.981248</v>
      </c>
      <c r="I269" t="n">
        <v>421.749845</v>
      </c>
      <c r="J269" t="n">
        <v>575.638232</v>
      </c>
      <c r="K269" t="n">
        <v>564.125467</v>
      </c>
      <c r="L269" t="n">
        <v>1114.691652</v>
      </c>
      <c r="M269" t="n">
        <v>1114.691652</v>
      </c>
      <c r="N269" t="n">
        <v>1114.691652</v>
      </c>
      <c r="O269" t="n">
        <v>635.9376559999999</v>
      </c>
      <c r="P269" t="n">
        <v>217.238675</v>
      </c>
      <c r="Q269" t="n">
        <v>1114.691652</v>
      </c>
      <c r="R269" t="n">
        <v>1114.691652</v>
      </c>
      <c r="S269" t="n">
        <v>635.9376559999999</v>
      </c>
      <c r="T269" t="n">
        <v>635.9376559999999</v>
      </c>
      <c r="U269" t="n">
        <v>217.238675</v>
      </c>
      <c r="V269" t="n">
        <v>217.238675</v>
      </c>
      <c r="W269" t="n">
        <v>686.067599</v>
      </c>
      <c r="X269" t="n">
        <v>1252.543178</v>
      </c>
    </row>
    <row r="270">
      <c r="A270" t="inlineStr">
        <is>
          <t>Lutjanus russellii</t>
        </is>
      </c>
      <c r="B270" t="n">
        <v>4.1</v>
      </c>
      <c r="C270" t="n">
        <v>1258.925412</v>
      </c>
      <c r="D270" t="inlineStr">
        <is>
          <t>Large Benthic Carnivores</t>
        </is>
      </c>
      <c r="E270" t="n">
        <v>106.362581</v>
      </c>
      <c r="F270" t="n">
        <v>1113.102078</v>
      </c>
      <c r="G270" t="n">
        <v>125.259096</v>
      </c>
      <c r="H270" t="n">
        <v>249.981248</v>
      </c>
      <c r="I270" t="n">
        <v>421.749845</v>
      </c>
      <c r="J270" t="n">
        <v>575.638232</v>
      </c>
      <c r="K270" t="n">
        <v>564.125467</v>
      </c>
      <c r="L270" t="n">
        <v>1114.691652</v>
      </c>
      <c r="M270" t="n">
        <v>1114.691652</v>
      </c>
      <c r="N270" t="n">
        <v>1114.691652</v>
      </c>
      <c r="O270" t="n">
        <v>635.9376559999999</v>
      </c>
      <c r="P270" t="n">
        <v>217.238675</v>
      </c>
      <c r="Q270" t="n">
        <v>1114.691652</v>
      </c>
      <c r="R270" t="n">
        <v>1114.691652</v>
      </c>
      <c r="S270" t="n">
        <v>635.9376559999999</v>
      </c>
      <c r="T270" t="n">
        <v>635.9376559999999</v>
      </c>
      <c r="U270" t="n">
        <v>217.238675</v>
      </c>
      <c r="V270" t="n">
        <v>217.238675</v>
      </c>
      <c r="W270" t="n">
        <v>686.067599</v>
      </c>
      <c r="X270" t="n">
        <v>1252.543178</v>
      </c>
    </row>
    <row r="271">
      <c r="A271" t="inlineStr">
        <is>
          <t>Etelis</t>
        </is>
      </c>
      <c r="B271" t="n">
        <v>4.36</v>
      </c>
      <c r="C271" t="n">
        <v>2290.867653</v>
      </c>
      <c r="D271" t="inlineStr">
        <is>
          <t>Large Benthic Carnivores</t>
        </is>
      </c>
      <c r="E271" t="n">
        <v>106.362581</v>
      </c>
      <c r="F271" t="n">
        <v>1113.102078</v>
      </c>
      <c r="G271" t="n">
        <v>125.259096</v>
      </c>
      <c r="H271" t="n">
        <v>249.981248</v>
      </c>
      <c r="I271" t="n">
        <v>421.749845</v>
      </c>
      <c r="J271" t="n">
        <v>575.638232</v>
      </c>
      <c r="K271" t="n">
        <v>564.125467</v>
      </c>
      <c r="L271" t="n">
        <v>1114.691652</v>
      </c>
      <c r="M271" t="n">
        <v>1114.691652</v>
      </c>
      <c r="N271" t="n">
        <v>1114.691652</v>
      </c>
      <c r="O271" t="n">
        <v>635.9376559999999</v>
      </c>
      <c r="P271" t="n">
        <v>217.238675</v>
      </c>
      <c r="Q271" t="n">
        <v>1114.691652</v>
      </c>
      <c r="R271" t="n">
        <v>1114.691652</v>
      </c>
      <c r="S271" t="n">
        <v>635.9376559999999</v>
      </c>
      <c r="T271" t="n">
        <v>635.9376559999999</v>
      </c>
      <c r="U271" t="n">
        <v>217.238675</v>
      </c>
      <c r="V271" t="n">
        <v>217.238675</v>
      </c>
      <c r="W271" t="n">
        <v>686.067599</v>
      </c>
      <c r="X271" t="n">
        <v>1252.543178</v>
      </c>
    </row>
    <row r="272">
      <c r="A272" t="inlineStr">
        <is>
          <t>Spratelloides gracilis</t>
        </is>
      </c>
      <c r="B272" t="n">
        <v>3.06</v>
      </c>
      <c r="C272" t="n">
        <v>114.815362</v>
      </c>
      <c r="D272" t="inlineStr">
        <is>
          <t>Clupeids</t>
        </is>
      </c>
      <c r="E272" t="n">
        <v>106.362581</v>
      </c>
      <c r="F272" t="n">
        <v>88.561632</v>
      </c>
      <c r="G272" t="n">
        <v>21.920534</v>
      </c>
      <c r="H272" t="n">
        <v>63.185331</v>
      </c>
      <c r="I272" t="n">
        <v>125.502905</v>
      </c>
      <c r="J272" t="n">
        <v>125.502905</v>
      </c>
      <c r="K272" t="n">
        <v>122.867344</v>
      </c>
      <c r="L272" t="n">
        <v>135.671609</v>
      </c>
      <c r="M272" t="n">
        <v>135.671609</v>
      </c>
      <c r="N272" t="n">
        <v>135.671609</v>
      </c>
      <c r="O272" t="n">
        <v>106.962478</v>
      </c>
      <c r="P272" t="n">
        <v>52.045425</v>
      </c>
      <c r="Q272" t="n">
        <v>135.671609</v>
      </c>
      <c r="R272" t="n">
        <v>135.671609</v>
      </c>
      <c r="S272" t="n">
        <v>106.962478</v>
      </c>
      <c r="T272" t="n">
        <v>106.962478</v>
      </c>
      <c r="U272" t="n">
        <v>52.045425</v>
      </c>
      <c r="V272" t="n">
        <v>52.045425</v>
      </c>
      <c r="W272" t="n">
        <v>110.161718</v>
      </c>
      <c r="X272" t="n">
        <v>144.77438</v>
      </c>
    </row>
    <row r="273">
      <c r="A273" t="inlineStr">
        <is>
          <t>Plectropomus areolatus</t>
        </is>
      </c>
      <c r="B273" t="n">
        <v>4.5</v>
      </c>
      <c r="C273" t="n">
        <v>3162.27766</v>
      </c>
      <c r="D273" t="inlineStr">
        <is>
          <t>Large Benthic Carnivores</t>
        </is>
      </c>
      <c r="E273" t="n">
        <v>106.362581</v>
      </c>
      <c r="F273" t="n">
        <v>1113.102078</v>
      </c>
      <c r="G273" t="n">
        <v>125.259096</v>
      </c>
      <c r="H273" t="n">
        <v>249.981248</v>
      </c>
      <c r="I273" t="n">
        <v>421.749845</v>
      </c>
      <c r="J273" t="n">
        <v>575.638232</v>
      </c>
      <c r="K273" t="n">
        <v>564.125467</v>
      </c>
      <c r="L273" t="n">
        <v>1114.691652</v>
      </c>
      <c r="M273" t="n">
        <v>1114.691652</v>
      </c>
      <c r="N273" t="n">
        <v>1114.691652</v>
      </c>
      <c r="O273" t="n">
        <v>635.9376559999999</v>
      </c>
      <c r="P273" t="n">
        <v>217.238675</v>
      </c>
      <c r="Q273" t="n">
        <v>1114.691652</v>
      </c>
      <c r="R273" t="n">
        <v>1114.691652</v>
      </c>
      <c r="S273" t="n">
        <v>635.9376559999999</v>
      </c>
      <c r="T273" t="n">
        <v>635.9376559999999</v>
      </c>
      <c r="U273" t="n">
        <v>217.238675</v>
      </c>
      <c r="V273" t="n">
        <v>217.238675</v>
      </c>
      <c r="W273" t="n">
        <v>686.067599</v>
      </c>
      <c r="X273" t="n">
        <v>1252.543178</v>
      </c>
    </row>
    <row r="274">
      <c r="A274" t="inlineStr">
        <is>
          <t>Plectropomus pessuliferus</t>
        </is>
      </c>
      <c r="B274" t="n">
        <v>4.28</v>
      </c>
      <c r="C274" t="n">
        <v>1905.460718</v>
      </c>
      <c r="D274" t="inlineStr">
        <is>
          <t>Large Benthic Carnivores</t>
        </is>
      </c>
      <c r="E274" t="n">
        <v>106.362581</v>
      </c>
      <c r="F274" t="n">
        <v>1113.102078</v>
      </c>
      <c r="G274" t="n">
        <v>125.259096</v>
      </c>
      <c r="H274" t="n">
        <v>249.981248</v>
      </c>
      <c r="I274" t="n">
        <v>421.749845</v>
      </c>
      <c r="J274" t="n">
        <v>575.638232</v>
      </c>
      <c r="K274" t="n">
        <v>564.125467</v>
      </c>
      <c r="L274" t="n">
        <v>1114.691652</v>
      </c>
      <c r="M274" t="n">
        <v>1114.691652</v>
      </c>
      <c r="N274" t="n">
        <v>1114.691652</v>
      </c>
      <c r="O274" t="n">
        <v>635.9376559999999</v>
      </c>
      <c r="P274" t="n">
        <v>217.238675</v>
      </c>
      <c r="Q274" t="n">
        <v>1114.691652</v>
      </c>
      <c r="R274" t="n">
        <v>1114.691652</v>
      </c>
      <c r="S274" t="n">
        <v>635.9376559999999</v>
      </c>
      <c r="T274" t="n">
        <v>635.9376559999999</v>
      </c>
      <c r="U274" t="n">
        <v>217.238675</v>
      </c>
      <c r="V274" t="n">
        <v>217.238675</v>
      </c>
      <c r="W274" t="n">
        <v>686.067599</v>
      </c>
      <c r="X274" t="n">
        <v>1252.543178</v>
      </c>
    </row>
    <row r="275">
      <c r="A275" t="inlineStr">
        <is>
          <t>Xiphiidae</t>
        </is>
      </c>
      <c r="B275" t="n">
        <v>4.5</v>
      </c>
      <c r="C275" t="n">
        <v>3162.27766</v>
      </c>
      <c r="D275" t="inlineStr">
        <is>
          <t>Large Pelagics</t>
        </is>
      </c>
      <c r="E275" t="n">
        <v>106.362581</v>
      </c>
      <c r="F275" t="n">
        <v>1182.417917</v>
      </c>
      <c r="G275" t="n">
        <v>130.579526</v>
      </c>
      <c r="H275" t="n">
        <v>655.098468</v>
      </c>
      <c r="I275" t="n">
        <v>848.885192</v>
      </c>
      <c r="J275" t="n">
        <v>883.261112</v>
      </c>
      <c r="K275" t="n">
        <v>865.5958890000001</v>
      </c>
      <c r="L275" t="n">
        <v>1961.116323</v>
      </c>
      <c r="M275" t="n">
        <v>1961.116323</v>
      </c>
      <c r="N275" t="n">
        <v>1961.116323</v>
      </c>
      <c r="O275" t="n">
        <v>1097.797369</v>
      </c>
      <c r="P275" t="n">
        <v>300.80342</v>
      </c>
      <c r="Q275" t="n">
        <v>1961.116323</v>
      </c>
      <c r="R275" t="n">
        <v>1961.116323</v>
      </c>
      <c r="S275" t="n">
        <v>1097.797369</v>
      </c>
      <c r="T275" t="n">
        <v>1097.797369</v>
      </c>
      <c r="U275" t="n">
        <v>300.80342</v>
      </c>
      <c r="V275" t="n">
        <v>300.80342</v>
      </c>
      <c r="W275" t="n">
        <v>1171.90733</v>
      </c>
      <c r="X275" t="n">
        <v>2200.248768</v>
      </c>
    </row>
    <row r="276">
      <c r="A276" t="inlineStr">
        <is>
          <t>Carcharhinus plumbeus</t>
        </is>
      </c>
      <c r="B276" t="n">
        <v>4.49</v>
      </c>
      <c r="C276" t="n">
        <v>3090.295433</v>
      </c>
      <c r="D276" t="inlineStr">
        <is>
          <t>Sharks</t>
        </is>
      </c>
      <c r="E276" t="n">
        <v>106.362581</v>
      </c>
      <c r="F276" t="n">
        <v>2569.28922</v>
      </c>
      <c r="G276" t="n">
        <v>222.822151</v>
      </c>
      <c r="H276" t="n">
        <v>1308.685037</v>
      </c>
      <c r="I276" t="n">
        <v>1955.186859</v>
      </c>
      <c r="J276" t="n">
        <v>2007.418175</v>
      </c>
      <c r="K276" t="n">
        <v>1423.259486</v>
      </c>
      <c r="L276" t="n">
        <v>3930.042293</v>
      </c>
      <c r="M276" t="n">
        <v>3930.042293</v>
      </c>
      <c r="N276" t="n">
        <v>3930.042293</v>
      </c>
      <c r="O276" t="n">
        <v>1585.345045</v>
      </c>
      <c r="P276" t="n">
        <v>411.268522</v>
      </c>
      <c r="Q276" t="n">
        <v>3930.042293</v>
      </c>
      <c r="R276" t="n">
        <v>3930.042293</v>
      </c>
      <c r="S276" t="n">
        <v>1585.345045</v>
      </c>
      <c r="T276" t="n">
        <v>1585.345045</v>
      </c>
      <c r="U276" t="n">
        <v>411.268522</v>
      </c>
      <c r="V276" t="n">
        <v>411.268522</v>
      </c>
      <c r="W276" t="n">
        <v>1647.369658</v>
      </c>
      <c r="X276" t="n">
        <v>4507.362005</v>
      </c>
    </row>
    <row r="277">
      <c r="A277" t="inlineStr">
        <is>
          <t>Turrum fulvoguttatum</t>
        </is>
      </c>
      <c r="B277" t="n">
        <v>4.43</v>
      </c>
      <c r="C277" t="n">
        <v>2691.534804</v>
      </c>
      <c r="D277" t="inlineStr">
        <is>
          <t>Large Benthic Carnivores</t>
        </is>
      </c>
      <c r="E277" t="n">
        <v>106.362581</v>
      </c>
      <c r="F277" t="n">
        <v>1113.102078</v>
      </c>
      <c r="G277" t="n">
        <v>125.259096</v>
      </c>
      <c r="H277" t="n">
        <v>249.981248</v>
      </c>
      <c r="I277" t="n">
        <v>421.749845</v>
      </c>
      <c r="J277" t="n">
        <v>575.638232</v>
      </c>
      <c r="K277" t="n">
        <v>564.125467</v>
      </c>
      <c r="L277" t="n">
        <v>1114.691652</v>
      </c>
      <c r="M277" t="n">
        <v>1114.691652</v>
      </c>
      <c r="N277" t="n">
        <v>1114.691652</v>
      </c>
      <c r="O277" t="n">
        <v>635.9376559999999</v>
      </c>
      <c r="P277" t="n">
        <v>217.238675</v>
      </c>
      <c r="Q277" t="n">
        <v>1114.691652</v>
      </c>
      <c r="R277" t="n">
        <v>1114.691652</v>
      </c>
      <c r="S277" t="n">
        <v>635.9376559999999</v>
      </c>
      <c r="T277" t="n">
        <v>635.9376559999999</v>
      </c>
      <c r="U277" t="n">
        <v>217.238675</v>
      </c>
      <c r="V277" t="n">
        <v>217.238675</v>
      </c>
      <c r="W277" t="n">
        <v>686.067599</v>
      </c>
      <c r="X277" t="n">
        <v>1252.543178</v>
      </c>
    </row>
    <row r="278">
      <c r="A278" t="inlineStr">
        <is>
          <t>Thenus orientalis</t>
        </is>
      </c>
      <c r="B278" t="n">
        <v>2.5</v>
      </c>
      <c r="C278" t="n">
        <v>31.622777</v>
      </c>
      <c r="D278" t="inlineStr">
        <is>
          <t>Crabs &amp; Lobster</t>
        </is>
      </c>
      <c r="E278" t="n">
        <v>106.362581</v>
      </c>
      <c r="F278" t="n">
        <v>75.373862</v>
      </c>
      <c r="G278" t="n">
        <v>19.61701</v>
      </c>
      <c r="H278" t="n">
        <v>40.48008</v>
      </c>
      <c r="I278" t="n">
        <v>77.811758</v>
      </c>
      <c r="J278" t="n">
        <v>77.811758</v>
      </c>
      <c r="K278" t="n">
        <v>75.944276</v>
      </c>
      <c r="L278" t="n">
        <v>117.553732</v>
      </c>
      <c r="M278" t="n">
        <v>117.553732</v>
      </c>
      <c r="N278" t="n">
        <v>117.553732</v>
      </c>
      <c r="O278" t="n">
        <v>38.109542</v>
      </c>
      <c r="P278" t="n">
        <v>24.77877</v>
      </c>
      <c r="Q278" t="n">
        <v>117.553732</v>
      </c>
      <c r="R278" t="n">
        <v>117.553732</v>
      </c>
      <c r="S278" t="n">
        <v>38.109542</v>
      </c>
      <c r="T278" t="n">
        <v>38.109542</v>
      </c>
      <c r="U278" t="n">
        <v>24.77877</v>
      </c>
      <c r="V278" t="n">
        <v>24.77877</v>
      </c>
      <c r="W278" t="n">
        <v>41.521391</v>
      </c>
      <c r="X278" t="n">
        <v>131.082364</v>
      </c>
    </row>
    <row r="279">
      <c r="A279" t="inlineStr">
        <is>
          <t>Lutjanus quinquelineatus</t>
        </is>
      </c>
      <c r="B279" t="n">
        <v>3.68</v>
      </c>
      <c r="C279" t="n">
        <v>478.630092</v>
      </c>
      <c r="D279" t="inlineStr">
        <is>
          <t>Large Benthic Carnivores</t>
        </is>
      </c>
      <c r="E279" t="n">
        <v>106.362581</v>
      </c>
      <c r="F279" t="n">
        <v>1113.102078</v>
      </c>
      <c r="G279" t="n">
        <v>125.259096</v>
      </c>
      <c r="H279" t="n">
        <v>249.981248</v>
      </c>
      <c r="I279" t="n">
        <v>421.749845</v>
      </c>
      <c r="J279" t="n">
        <v>575.638232</v>
      </c>
      <c r="K279" t="n">
        <v>564.125467</v>
      </c>
      <c r="L279" t="n">
        <v>1114.691652</v>
      </c>
      <c r="M279" t="n">
        <v>1114.691652</v>
      </c>
      <c r="N279" t="n">
        <v>1114.691652</v>
      </c>
      <c r="O279" t="n">
        <v>635.9376559999999</v>
      </c>
      <c r="P279" t="n">
        <v>217.238675</v>
      </c>
      <c r="Q279" t="n">
        <v>1114.691652</v>
      </c>
      <c r="R279" t="n">
        <v>1114.691652</v>
      </c>
      <c r="S279" t="n">
        <v>635.9376559999999</v>
      </c>
      <c r="T279" t="n">
        <v>635.9376559999999</v>
      </c>
      <c r="U279" t="n">
        <v>217.238675</v>
      </c>
      <c r="V279" t="n">
        <v>217.238675</v>
      </c>
      <c r="W279" t="n">
        <v>686.067599</v>
      </c>
      <c r="X279" t="n">
        <v>1252.543178</v>
      </c>
    </row>
    <row r="280">
      <c r="A280" t="inlineStr">
        <is>
          <t>Metapenaeus</t>
        </is>
      </c>
      <c r="B280" t="n">
        <v>2.7</v>
      </c>
      <c r="C280" t="n">
        <v>50.118723</v>
      </c>
      <c r="D280" t="inlineStr">
        <is>
          <t>Shrimps</t>
        </is>
      </c>
      <c r="E280" t="n">
        <v>106.362581</v>
      </c>
      <c r="F280" t="n">
        <v>102.724644</v>
      </c>
      <c r="G280" t="n">
        <v>24.278186</v>
      </c>
      <c r="H280" t="n">
        <v>49.254496</v>
      </c>
      <c r="I280" t="n">
        <v>47.332503</v>
      </c>
      <c r="J280" t="n">
        <v>47.332503</v>
      </c>
      <c r="K280" t="n">
        <v>46.385853</v>
      </c>
      <c r="L280" t="n">
        <v>49.861086</v>
      </c>
      <c r="M280" t="n">
        <v>49.861086</v>
      </c>
      <c r="N280" t="n">
        <v>49.861086</v>
      </c>
      <c r="O280" t="n">
        <v>41.277787</v>
      </c>
      <c r="P280" t="n">
        <v>24.793452</v>
      </c>
      <c r="Q280" t="n">
        <v>49.861086</v>
      </c>
      <c r="R280" t="n">
        <v>49.861086</v>
      </c>
      <c r="S280" t="n">
        <v>41.277787</v>
      </c>
      <c r="T280" t="n">
        <v>41.277787</v>
      </c>
      <c r="U280" t="n">
        <v>24.793452</v>
      </c>
      <c r="V280" t="n">
        <v>24.793452</v>
      </c>
      <c r="W280" t="n">
        <v>43.911832</v>
      </c>
      <c r="X280" t="n">
        <v>53.47357</v>
      </c>
    </row>
    <row r="281">
      <c r="A281" t="inlineStr">
        <is>
          <t>Galeocerdo cuvier</t>
        </is>
      </c>
      <c r="B281" t="n">
        <v>4.54</v>
      </c>
      <c r="C281" t="n">
        <v>3467.368505</v>
      </c>
      <c r="D281" t="inlineStr">
        <is>
          <t>Sharks</t>
        </is>
      </c>
      <c r="E281" t="n">
        <v>106.362581</v>
      </c>
      <c r="F281" t="n">
        <v>2569.28922</v>
      </c>
      <c r="G281" t="n">
        <v>222.822151</v>
      </c>
      <c r="H281" t="n">
        <v>1308.685037</v>
      </c>
      <c r="I281" t="n">
        <v>1955.186859</v>
      </c>
      <c r="J281" t="n">
        <v>2007.418175</v>
      </c>
      <c r="K281" t="n">
        <v>1423.259486</v>
      </c>
      <c r="L281" t="n">
        <v>3930.042293</v>
      </c>
      <c r="M281" t="n">
        <v>3930.042293</v>
      </c>
      <c r="N281" t="n">
        <v>3930.042293</v>
      </c>
      <c r="O281" t="n">
        <v>1585.345045</v>
      </c>
      <c r="P281" t="n">
        <v>411.268522</v>
      </c>
      <c r="Q281" t="n">
        <v>3930.042293</v>
      </c>
      <c r="R281" t="n">
        <v>3930.042293</v>
      </c>
      <c r="S281" t="n">
        <v>1585.345045</v>
      </c>
      <c r="T281" t="n">
        <v>1585.345045</v>
      </c>
      <c r="U281" t="n">
        <v>411.268522</v>
      </c>
      <c r="V281" t="n">
        <v>411.268522</v>
      </c>
      <c r="W281" t="n">
        <v>1647.369658</v>
      </c>
      <c r="X281" t="n">
        <v>4507.362005</v>
      </c>
    </row>
    <row r="282">
      <c r="A282" t="inlineStr">
        <is>
          <t>Carcharhinus</t>
        </is>
      </c>
      <c r="B282" t="n">
        <v>4.26</v>
      </c>
      <c r="C282" t="n">
        <v>1819.700859</v>
      </c>
      <c r="D282" t="inlineStr">
        <is>
          <t>Sharks</t>
        </is>
      </c>
      <c r="E282" t="n">
        <v>106.362581</v>
      </c>
      <c r="F282" t="n">
        <v>2569.28922</v>
      </c>
      <c r="G282" t="n">
        <v>222.822151</v>
      </c>
      <c r="H282" t="n">
        <v>1308.685037</v>
      </c>
      <c r="I282" t="n">
        <v>1955.186859</v>
      </c>
      <c r="J282" t="n">
        <v>2007.418175</v>
      </c>
      <c r="K282" t="n">
        <v>1423.259486</v>
      </c>
      <c r="L282" t="n">
        <v>3930.042293</v>
      </c>
      <c r="M282" t="n">
        <v>3930.042293</v>
      </c>
      <c r="N282" t="n">
        <v>3930.042293</v>
      </c>
      <c r="O282" t="n">
        <v>1585.345045</v>
      </c>
      <c r="P282" t="n">
        <v>411.268522</v>
      </c>
      <c r="Q282" t="n">
        <v>3930.042293</v>
      </c>
      <c r="R282" t="n">
        <v>3930.042293</v>
      </c>
      <c r="S282" t="n">
        <v>1585.345045</v>
      </c>
      <c r="T282" t="n">
        <v>1585.345045</v>
      </c>
      <c r="U282" t="n">
        <v>411.268522</v>
      </c>
      <c r="V282" t="n">
        <v>411.268522</v>
      </c>
      <c r="W282" t="n">
        <v>1647.369658</v>
      </c>
      <c r="X282" t="n">
        <v>4507.362005</v>
      </c>
    </row>
    <row r="283">
      <c r="A283" t="inlineStr">
        <is>
          <t>Uroteuthis duvaucelii</t>
        </is>
      </c>
      <c r="B283" t="n">
        <v>3.77</v>
      </c>
      <c r="C283" t="n">
        <v>588.843655</v>
      </c>
      <c r="D283" t="inlineStr">
        <is>
          <t>Cephalopods</t>
        </is>
      </c>
      <c r="E283" t="n">
        <v>106.362581</v>
      </c>
      <c r="F283" t="n">
        <v>1254.312676</v>
      </c>
      <c r="G283" t="n">
        <v>135.996248</v>
      </c>
      <c r="H283" t="n">
        <v>384.963959</v>
      </c>
      <c r="I283" t="n">
        <v>1331.752693</v>
      </c>
      <c r="J283" t="n">
        <v>1334.257295</v>
      </c>
      <c r="K283" t="n">
        <v>1300.900862</v>
      </c>
      <c r="L283" t="n">
        <v>2933.853362</v>
      </c>
      <c r="M283" t="n">
        <v>2933.853362</v>
      </c>
      <c r="N283" t="n">
        <v>2933.853362</v>
      </c>
      <c r="O283" t="n">
        <v>1771.03868</v>
      </c>
      <c r="P283" t="n">
        <v>582.871532</v>
      </c>
      <c r="Q283" t="n">
        <v>2933.853362</v>
      </c>
      <c r="R283" t="n">
        <v>2933.853362</v>
      </c>
      <c r="S283" t="n">
        <v>1771.03868</v>
      </c>
      <c r="T283" t="n">
        <v>1771.03868</v>
      </c>
      <c r="U283" t="n">
        <v>582.871532</v>
      </c>
      <c r="V283" t="n">
        <v>582.871532</v>
      </c>
      <c r="W283" t="n">
        <v>1904.354617</v>
      </c>
      <c r="X283" t="n">
        <v>3263.675794</v>
      </c>
    </row>
    <row r="284">
      <c r="A284" t="inlineStr">
        <is>
          <t>Carcharhinus amblyrhynchoides</t>
        </is>
      </c>
      <c r="B284" t="n">
        <v>4.22</v>
      </c>
      <c r="C284" t="n">
        <v>1659.586907</v>
      </c>
      <c r="D284" t="inlineStr">
        <is>
          <t>Sharks</t>
        </is>
      </c>
      <c r="E284" t="n">
        <v>106.362581</v>
      </c>
      <c r="F284" t="n">
        <v>2569.28922</v>
      </c>
      <c r="G284" t="n">
        <v>222.822151</v>
      </c>
      <c r="H284" t="n">
        <v>1308.685037</v>
      </c>
      <c r="I284" t="n">
        <v>1955.186859</v>
      </c>
      <c r="J284" t="n">
        <v>2007.418175</v>
      </c>
      <c r="K284" t="n">
        <v>1423.259486</v>
      </c>
      <c r="L284" t="n">
        <v>3930.042293</v>
      </c>
      <c r="M284" t="n">
        <v>3930.042293</v>
      </c>
      <c r="N284" t="n">
        <v>3930.042293</v>
      </c>
      <c r="O284" t="n">
        <v>1585.345045</v>
      </c>
      <c r="P284" t="n">
        <v>411.268522</v>
      </c>
      <c r="Q284" t="n">
        <v>3930.042293</v>
      </c>
      <c r="R284" t="n">
        <v>3930.042293</v>
      </c>
      <c r="S284" t="n">
        <v>1585.345045</v>
      </c>
      <c r="T284" t="n">
        <v>1585.345045</v>
      </c>
      <c r="U284" t="n">
        <v>411.268522</v>
      </c>
      <c r="V284" t="n">
        <v>411.268522</v>
      </c>
      <c r="W284" t="n">
        <v>1647.369658</v>
      </c>
      <c r="X284" t="n">
        <v>4507.362005</v>
      </c>
    </row>
    <row r="285">
      <c r="A285" t="inlineStr">
        <is>
          <t>Scarus persicus</t>
        </is>
      </c>
      <c r="B285" t="n">
        <v>2</v>
      </c>
      <c r="C285" t="n">
        <v>10</v>
      </c>
      <c r="D285" t="inlineStr">
        <is>
          <t>Benthic Omnivores</t>
        </is>
      </c>
      <c r="E285" t="n">
        <v>106.362581</v>
      </c>
      <c r="F285" t="n">
        <v>34.853983</v>
      </c>
      <c r="G285" t="n">
        <v>11.533933</v>
      </c>
      <c r="H285" t="n">
        <v>23.954598</v>
      </c>
      <c r="I285" t="n">
        <v>122.110584</v>
      </c>
      <c r="J285" t="n">
        <v>122.110584</v>
      </c>
      <c r="K285" t="n">
        <v>119.668372</v>
      </c>
      <c r="L285" t="n">
        <v>234.326211</v>
      </c>
      <c r="M285" t="n">
        <v>234.326211</v>
      </c>
      <c r="N285" t="n">
        <v>234.326211</v>
      </c>
      <c r="O285" t="n">
        <v>32.574396</v>
      </c>
      <c r="P285" t="n">
        <v>28.191927</v>
      </c>
      <c r="Q285" t="n">
        <v>234.326211</v>
      </c>
      <c r="R285" t="n">
        <v>234.326211</v>
      </c>
      <c r="S285" t="n">
        <v>32.574396</v>
      </c>
      <c r="T285" t="n">
        <v>32.574396</v>
      </c>
      <c r="U285" t="n">
        <v>28.191927</v>
      </c>
      <c r="V285" t="n">
        <v>28.191927</v>
      </c>
      <c r="W285" t="n">
        <v>34.709256</v>
      </c>
      <c r="X285" t="n">
        <v>257.01226</v>
      </c>
    </row>
    <row r="286">
      <c r="A286" t="inlineStr">
        <is>
          <t>Lutjanus fulviflamma</t>
        </is>
      </c>
      <c r="B286" t="n">
        <v>3.79</v>
      </c>
      <c r="C286" t="n">
        <v>616.595002</v>
      </c>
      <c r="D286" t="inlineStr">
        <is>
          <t>Large Benthic Carnivores</t>
        </is>
      </c>
      <c r="E286" t="n">
        <v>106.362581</v>
      </c>
      <c r="F286" t="n">
        <v>1113.102078</v>
      </c>
      <c r="G286" t="n">
        <v>125.259096</v>
      </c>
      <c r="H286" t="n">
        <v>249.981248</v>
      </c>
      <c r="I286" t="n">
        <v>421.749845</v>
      </c>
      <c r="J286" t="n">
        <v>575.638232</v>
      </c>
      <c r="K286" t="n">
        <v>564.125467</v>
      </c>
      <c r="L286" t="n">
        <v>1114.691652</v>
      </c>
      <c r="M286" t="n">
        <v>1114.691652</v>
      </c>
      <c r="N286" t="n">
        <v>1114.691652</v>
      </c>
      <c r="O286" t="n">
        <v>635.9376559999999</v>
      </c>
      <c r="P286" t="n">
        <v>217.238675</v>
      </c>
      <c r="Q286" t="n">
        <v>1114.691652</v>
      </c>
      <c r="R286" t="n">
        <v>1114.691652</v>
      </c>
      <c r="S286" t="n">
        <v>635.9376559999999</v>
      </c>
      <c r="T286" t="n">
        <v>635.9376559999999</v>
      </c>
      <c r="U286" t="n">
        <v>217.238675</v>
      </c>
      <c r="V286" t="n">
        <v>217.238675</v>
      </c>
      <c r="W286" t="n">
        <v>686.067599</v>
      </c>
      <c r="X286" t="n">
        <v>1252.543178</v>
      </c>
    </row>
    <row r="287">
      <c r="A287" t="inlineStr">
        <is>
          <t>Pomadasys argyreus</t>
        </is>
      </c>
      <c r="D287" t="inlineStr">
        <is>
          <t>Med Benthic Carnivores</t>
        </is>
      </c>
      <c r="E287" t="n">
        <v>106.362581</v>
      </c>
      <c r="F287" t="n">
        <v>153.506319</v>
      </c>
      <c r="G287" t="n">
        <v>32.014124</v>
      </c>
      <c r="H287" t="n">
        <v>100.68782</v>
      </c>
      <c r="I287" t="n">
        <v>159.061371</v>
      </c>
      <c r="J287" t="n">
        <v>159.061371</v>
      </c>
      <c r="K287" t="n">
        <v>156.039205</v>
      </c>
      <c r="L287" t="n">
        <v>198.208223</v>
      </c>
      <c r="M287" t="n">
        <v>198.208223</v>
      </c>
      <c r="N287" t="n">
        <v>198.208223</v>
      </c>
      <c r="O287" t="n">
        <v>116.373231</v>
      </c>
      <c r="P287" t="n">
        <v>56.490526</v>
      </c>
      <c r="Q287" t="n">
        <v>198.208223</v>
      </c>
      <c r="R287" t="n">
        <v>198.208223</v>
      </c>
      <c r="S287" t="n">
        <v>116.373231</v>
      </c>
      <c r="T287" t="n">
        <v>116.373231</v>
      </c>
      <c r="U287" t="n">
        <v>56.490526</v>
      </c>
      <c r="V287" t="n">
        <v>56.490526</v>
      </c>
      <c r="W287" t="n">
        <v>120.80197</v>
      </c>
      <c r="X287" t="n">
        <v>213.813007</v>
      </c>
    </row>
    <row r="288">
      <c r="A288" t="inlineStr">
        <is>
          <t>Miscellaneous marine crustaceans</t>
        </is>
      </c>
      <c r="B288" t="n">
        <v>2.7</v>
      </c>
      <c r="C288" t="n">
        <v>50.118723</v>
      </c>
      <c r="D288" t="inlineStr">
        <is>
          <t>Shrimps | Crabs &amp; Lobster</t>
        </is>
      </c>
      <c r="E288" t="n">
        <v>106.362581</v>
      </c>
      <c r="F288" t="n">
        <v>99.467015</v>
      </c>
      <c r="G288" t="n">
        <v>23.723014</v>
      </c>
      <c r="H288" t="n">
        <v>48.209414</v>
      </c>
      <c r="I288" t="n">
        <v>50.962751</v>
      </c>
      <c r="J288" t="n">
        <v>50.962751</v>
      </c>
      <c r="K288" t="n">
        <v>49.906424</v>
      </c>
      <c r="L288" t="n">
        <v>57.923655</v>
      </c>
      <c r="M288" t="n">
        <v>57.923655</v>
      </c>
      <c r="N288" t="n">
        <v>57.923655</v>
      </c>
      <c r="O288" t="n">
        <v>40.900431</v>
      </c>
      <c r="P288" t="n">
        <v>24.791704</v>
      </c>
      <c r="Q288" t="n">
        <v>57.923655</v>
      </c>
      <c r="R288" t="n">
        <v>57.923655</v>
      </c>
      <c r="S288" t="n">
        <v>40.900431</v>
      </c>
      <c r="T288" t="n">
        <v>40.900431</v>
      </c>
      <c r="U288" t="n">
        <v>24.791704</v>
      </c>
      <c r="V288" t="n">
        <v>24.791704</v>
      </c>
      <c r="W288" t="n">
        <v>43.627117</v>
      </c>
      <c r="X288" t="n">
        <v>62.717206</v>
      </c>
    </row>
    <row r="289">
      <c r="A289" t="inlineStr">
        <is>
          <t>Cephalopholis hemistiktos</t>
        </is>
      </c>
      <c r="B289" t="n">
        <v>4.14</v>
      </c>
      <c r="C289" t="n">
        <v>1380.384265</v>
      </c>
      <c r="D289" t="inlineStr">
        <is>
          <t>Large Benthic Carnivores</t>
        </is>
      </c>
      <c r="E289" t="n">
        <v>106.362581</v>
      </c>
      <c r="F289" t="n">
        <v>1113.102078</v>
      </c>
      <c r="G289" t="n">
        <v>125.259096</v>
      </c>
      <c r="H289" t="n">
        <v>249.981248</v>
      </c>
      <c r="I289" t="n">
        <v>421.749845</v>
      </c>
      <c r="J289" t="n">
        <v>575.638232</v>
      </c>
      <c r="K289" t="n">
        <v>564.125467</v>
      </c>
      <c r="L289" t="n">
        <v>1114.691652</v>
      </c>
      <c r="M289" t="n">
        <v>1114.691652</v>
      </c>
      <c r="N289" t="n">
        <v>1114.691652</v>
      </c>
      <c r="O289" t="n">
        <v>635.9376559999999</v>
      </c>
      <c r="P289" t="n">
        <v>217.238675</v>
      </c>
      <c r="Q289" t="n">
        <v>1114.691652</v>
      </c>
      <c r="R289" t="n">
        <v>1114.691652</v>
      </c>
      <c r="S289" t="n">
        <v>635.9376559999999</v>
      </c>
      <c r="T289" t="n">
        <v>635.9376559999999</v>
      </c>
      <c r="U289" t="n">
        <v>217.238675</v>
      </c>
      <c r="V289" t="n">
        <v>217.238675</v>
      </c>
      <c r="W289" t="n">
        <v>686.067599</v>
      </c>
      <c r="X289" t="n">
        <v>1252.543178</v>
      </c>
    </row>
    <row r="290">
      <c r="A290" t="inlineStr">
        <is>
          <t>Platax orbicularis</t>
        </is>
      </c>
      <c r="B290" t="n">
        <v>3.33</v>
      </c>
      <c r="C290" t="n">
        <v>213.796209</v>
      </c>
      <c r="D290" t="inlineStr">
        <is>
          <t>Med Benthic Carnivores</t>
        </is>
      </c>
      <c r="E290" t="n">
        <v>106.362581</v>
      </c>
      <c r="F290" t="n">
        <v>153.506319</v>
      </c>
      <c r="G290" t="n">
        <v>32.014124</v>
      </c>
      <c r="H290" t="n">
        <v>100.68782</v>
      </c>
      <c r="I290" t="n">
        <v>159.061371</v>
      </c>
      <c r="J290" t="n">
        <v>159.061371</v>
      </c>
      <c r="K290" t="n">
        <v>156.039205</v>
      </c>
      <c r="L290" t="n">
        <v>198.208223</v>
      </c>
      <c r="M290" t="n">
        <v>198.208223</v>
      </c>
      <c r="N290" t="n">
        <v>198.208223</v>
      </c>
      <c r="O290" t="n">
        <v>116.373231</v>
      </c>
      <c r="P290" t="n">
        <v>56.490526</v>
      </c>
      <c r="Q290" t="n">
        <v>198.208223</v>
      </c>
      <c r="R290" t="n">
        <v>198.208223</v>
      </c>
      <c r="S290" t="n">
        <v>116.373231</v>
      </c>
      <c r="T290" t="n">
        <v>116.373231</v>
      </c>
      <c r="U290" t="n">
        <v>56.490526</v>
      </c>
      <c r="V290" t="n">
        <v>56.490526</v>
      </c>
      <c r="W290" t="n">
        <v>120.80197</v>
      </c>
      <c r="X290" t="n">
        <v>213.813007</v>
      </c>
    </row>
    <row r="291">
      <c r="A291" t="inlineStr">
        <is>
          <t>Crenidens crenidens</t>
        </is>
      </c>
      <c r="B291" t="n">
        <v>2.8</v>
      </c>
      <c r="C291" t="n">
        <v>63.095734</v>
      </c>
      <c r="D291" t="inlineStr">
        <is>
          <t>Small Benthic Carnivores</t>
        </is>
      </c>
      <c r="E291" t="n">
        <v>106.362581</v>
      </c>
      <c r="F291" t="n">
        <v>47.875255</v>
      </c>
      <c r="G291" t="n">
        <v>14.351766</v>
      </c>
      <c r="H291" t="n">
        <v>47.936313</v>
      </c>
      <c r="I291" t="n">
        <v>123.68277</v>
      </c>
      <c r="J291" t="n">
        <v>123.68277</v>
      </c>
      <c r="K291" t="n">
        <v>121.085432</v>
      </c>
      <c r="L291" t="n">
        <v>160.705061</v>
      </c>
      <c r="M291" t="n">
        <v>160.705061</v>
      </c>
      <c r="N291" t="n">
        <v>160.705061</v>
      </c>
      <c r="O291" t="n">
        <v>86.69575</v>
      </c>
      <c r="P291" t="n">
        <v>48.551122</v>
      </c>
      <c r="Q291" t="n">
        <v>160.705061</v>
      </c>
      <c r="R291" t="n">
        <v>160.705061</v>
      </c>
      <c r="S291" t="n">
        <v>86.69575</v>
      </c>
      <c r="T291" t="n">
        <v>86.69575</v>
      </c>
      <c r="U291" t="n">
        <v>48.551122</v>
      </c>
      <c r="V291" t="n">
        <v>48.551122</v>
      </c>
      <c r="W291" t="n">
        <v>90.428786</v>
      </c>
      <c r="X291" t="n">
        <v>169.279514</v>
      </c>
    </row>
    <row r="292">
      <c r="A292" t="inlineStr">
        <is>
          <t>Hemiramphidae</t>
        </is>
      </c>
      <c r="B292" t="n">
        <v>2.82</v>
      </c>
      <c r="C292" t="n">
        <v>66.069345</v>
      </c>
      <c r="D292" t="inlineStr">
        <is>
          <t>Small Benthopelagics</t>
        </is>
      </c>
      <c r="E292" t="n">
        <v>106.362581</v>
      </c>
      <c r="F292" t="n">
        <v>735.919846</v>
      </c>
      <c r="G292" t="n">
        <v>94.203452</v>
      </c>
      <c r="H292" t="n">
        <v>274.118485</v>
      </c>
      <c r="I292" t="n">
        <v>1003.748472</v>
      </c>
      <c r="J292" t="n">
        <v>1056.007849</v>
      </c>
      <c r="K292" t="n">
        <v>1032.775676</v>
      </c>
      <c r="L292" t="n">
        <v>1426.864607</v>
      </c>
      <c r="M292" t="n">
        <v>1426.864607</v>
      </c>
      <c r="N292" t="n">
        <v>1426.864607</v>
      </c>
      <c r="O292" t="n">
        <v>914.12906</v>
      </c>
      <c r="P292" t="n">
        <v>345.870401</v>
      </c>
      <c r="Q292" t="n">
        <v>1426.864607</v>
      </c>
      <c r="R292" t="n">
        <v>1426.864607</v>
      </c>
      <c r="S292" t="n">
        <v>914.12906</v>
      </c>
      <c r="T292" t="n">
        <v>914.12906</v>
      </c>
      <c r="U292" t="n">
        <v>345.870401</v>
      </c>
      <c r="V292" t="n">
        <v>345.870401</v>
      </c>
      <c r="W292" t="n">
        <v>957.660399</v>
      </c>
      <c r="X292" t="n">
        <v>1577.210486</v>
      </c>
    </row>
    <row r="293">
      <c r="A293" t="inlineStr">
        <is>
          <t>Plectorhinchus schotaf</t>
        </is>
      </c>
      <c r="B293" t="n">
        <v>3.82</v>
      </c>
      <c r="C293" t="n">
        <v>660.693448</v>
      </c>
      <c r="D293" t="inlineStr">
        <is>
          <t>Med Benthic Carnivores</t>
        </is>
      </c>
      <c r="E293" t="n">
        <v>106.362581</v>
      </c>
      <c r="F293" t="n">
        <v>153.506319</v>
      </c>
      <c r="G293" t="n">
        <v>32.014124</v>
      </c>
      <c r="H293" t="n">
        <v>100.68782</v>
      </c>
      <c r="I293" t="n">
        <v>159.061371</v>
      </c>
      <c r="J293" t="n">
        <v>159.061371</v>
      </c>
      <c r="K293" t="n">
        <v>156.039205</v>
      </c>
      <c r="L293" t="n">
        <v>198.208223</v>
      </c>
      <c r="M293" t="n">
        <v>198.208223</v>
      </c>
      <c r="N293" t="n">
        <v>198.208223</v>
      </c>
      <c r="O293" t="n">
        <v>116.373231</v>
      </c>
      <c r="P293" t="n">
        <v>56.490526</v>
      </c>
      <c r="Q293" t="n">
        <v>198.208223</v>
      </c>
      <c r="R293" t="n">
        <v>198.208223</v>
      </c>
      <c r="S293" t="n">
        <v>116.373231</v>
      </c>
      <c r="T293" t="n">
        <v>116.373231</v>
      </c>
      <c r="U293" t="n">
        <v>56.490526</v>
      </c>
      <c r="V293" t="n">
        <v>56.490526</v>
      </c>
      <c r="W293" t="n">
        <v>120.80197</v>
      </c>
      <c r="X293" t="n">
        <v>213.813007</v>
      </c>
    </row>
    <row r="294">
      <c r="A294" t="inlineStr">
        <is>
          <t>Acanthurus dussumieri</t>
        </is>
      </c>
      <c r="B294" t="n">
        <v>2.02</v>
      </c>
      <c r="C294" t="n">
        <v>10.471285</v>
      </c>
      <c r="D294" t="inlineStr">
        <is>
          <t>Benthic Omnivores</t>
        </is>
      </c>
      <c r="E294" t="n">
        <v>106.362581</v>
      </c>
      <c r="F294" t="n">
        <v>34.853983</v>
      </c>
      <c r="G294" t="n">
        <v>11.533933</v>
      </c>
      <c r="H294" t="n">
        <v>23.954598</v>
      </c>
      <c r="I294" t="n">
        <v>122.110584</v>
      </c>
      <c r="J294" t="n">
        <v>122.110584</v>
      </c>
      <c r="K294" t="n">
        <v>119.668372</v>
      </c>
      <c r="L294" t="n">
        <v>234.326211</v>
      </c>
      <c r="M294" t="n">
        <v>234.326211</v>
      </c>
      <c r="N294" t="n">
        <v>234.326211</v>
      </c>
      <c r="O294" t="n">
        <v>32.574396</v>
      </c>
      <c r="P294" t="n">
        <v>28.191927</v>
      </c>
      <c r="Q294" t="n">
        <v>234.326211</v>
      </c>
      <c r="R294" t="n">
        <v>234.326211</v>
      </c>
      <c r="S294" t="n">
        <v>32.574396</v>
      </c>
      <c r="T294" t="n">
        <v>32.574396</v>
      </c>
      <c r="U294" t="n">
        <v>28.191927</v>
      </c>
      <c r="V294" t="n">
        <v>28.191927</v>
      </c>
      <c r="W294" t="n">
        <v>34.709256</v>
      </c>
      <c r="X294" t="n">
        <v>257.01226</v>
      </c>
    </row>
    <row r="295">
      <c r="A295" t="inlineStr">
        <is>
          <t>Rajiformes</t>
        </is>
      </c>
      <c r="B295" t="n">
        <v>3.61</v>
      </c>
      <c r="C295" t="n">
        <v>407.380278</v>
      </c>
      <c r="D295" t="inlineStr">
        <is>
          <t>Skates &amp; Rays</t>
        </is>
      </c>
      <c r="E295" t="n">
        <v>106.362581</v>
      </c>
      <c r="F295" t="n">
        <v>378.025577</v>
      </c>
      <c r="G295" t="n">
        <v>59.545879</v>
      </c>
      <c r="H295" t="n">
        <v>236.053692</v>
      </c>
      <c r="I295" t="n">
        <v>2128.450324</v>
      </c>
      <c r="J295" t="n">
        <v>2171.723686</v>
      </c>
      <c r="K295" t="n">
        <v>1300.862488</v>
      </c>
      <c r="L295" t="n">
        <v>3126.185669</v>
      </c>
      <c r="M295" t="n">
        <v>3126.185669</v>
      </c>
      <c r="N295" t="n">
        <v>3126.185669</v>
      </c>
      <c r="O295" t="n">
        <v>887.634307</v>
      </c>
      <c r="P295" t="n">
        <v>357.542004</v>
      </c>
      <c r="Q295" t="n">
        <v>3126.185669</v>
      </c>
      <c r="R295" t="n">
        <v>3126.185669</v>
      </c>
      <c r="S295" t="n">
        <v>887.634307</v>
      </c>
      <c r="T295" t="n">
        <v>887.634307</v>
      </c>
      <c r="U295" t="n">
        <v>357.542004</v>
      </c>
      <c r="V295" t="n">
        <v>357.542004</v>
      </c>
      <c r="W295" t="n">
        <v>926.257871</v>
      </c>
      <c r="X295" t="n">
        <v>3406.854319</v>
      </c>
    </row>
    <row r="296">
      <c r="A296" t="inlineStr">
        <is>
          <t>Caranx sexfasciatus</t>
        </is>
      </c>
      <c r="B296" t="n">
        <v>4.5</v>
      </c>
      <c r="C296" t="n">
        <v>3162.27766</v>
      </c>
      <c r="D296" t="inlineStr">
        <is>
          <t>Large Benthic Carnivores</t>
        </is>
      </c>
      <c r="E296" t="n">
        <v>106.362581</v>
      </c>
      <c r="F296" t="n">
        <v>1113.102078</v>
      </c>
      <c r="G296" t="n">
        <v>125.259096</v>
      </c>
      <c r="H296" t="n">
        <v>249.981248</v>
      </c>
      <c r="I296" t="n">
        <v>421.749845</v>
      </c>
      <c r="J296" t="n">
        <v>575.638232</v>
      </c>
      <c r="K296" t="n">
        <v>564.125467</v>
      </c>
      <c r="L296" t="n">
        <v>1114.691652</v>
      </c>
      <c r="M296" t="n">
        <v>1114.691652</v>
      </c>
      <c r="N296" t="n">
        <v>1114.691652</v>
      </c>
      <c r="O296" t="n">
        <v>635.9376559999999</v>
      </c>
      <c r="P296" t="n">
        <v>217.238675</v>
      </c>
      <c r="Q296" t="n">
        <v>1114.691652</v>
      </c>
      <c r="R296" t="n">
        <v>1114.691652</v>
      </c>
      <c r="S296" t="n">
        <v>635.9376559999999</v>
      </c>
      <c r="T296" t="n">
        <v>635.9376559999999</v>
      </c>
      <c r="U296" t="n">
        <v>217.238675</v>
      </c>
      <c r="V296" t="n">
        <v>217.238675</v>
      </c>
      <c r="W296" t="n">
        <v>686.067599</v>
      </c>
      <c r="X296" t="n">
        <v>1252.543178</v>
      </c>
    </row>
    <row r="297">
      <c r="A297" t="inlineStr">
        <is>
          <t>Lethrinus mahsena</t>
        </is>
      </c>
      <c r="B297" t="n">
        <v>3.43</v>
      </c>
      <c r="C297" t="n">
        <v>269.15348</v>
      </c>
      <c r="D297" t="inlineStr">
        <is>
          <t>Large Benthic Carnivores</t>
        </is>
      </c>
      <c r="E297" t="n">
        <v>106.362581</v>
      </c>
      <c r="F297" t="n">
        <v>1113.102078</v>
      </c>
      <c r="G297" t="n">
        <v>125.259096</v>
      </c>
      <c r="H297" t="n">
        <v>249.981248</v>
      </c>
      <c r="I297" t="n">
        <v>421.749845</v>
      </c>
      <c r="J297" t="n">
        <v>575.638232</v>
      </c>
      <c r="K297" t="n">
        <v>564.125467</v>
      </c>
      <c r="L297" t="n">
        <v>1114.691652</v>
      </c>
      <c r="M297" t="n">
        <v>1114.691652</v>
      </c>
      <c r="N297" t="n">
        <v>1114.691652</v>
      </c>
      <c r="O297" t="n">
        <v>635.9376559999999</v>
      </c>
      <c r="P297" t="n">
        <v>217.238675</v>
      </c>
      <c r="Q297" t="n">
        <v>1114.691652</v>
      </c>
      <c r="R297" t="n">
        <v>1114.691652</v>
      </c>
      <c r="S297" t="n">
        <v>635.9376559999999</v>
      </c>
      <c r="T297" t="n">
        <v>635.9376559999999</v>
      </c>
      <c r="U297" t="n">
        <v>217.238675</v>
      </c>
      <c r="V297" t="n">
        <v>217.238675</v>
      </c>
      <c r="W297" t="n">
        <v>686.067599</v>
      </c>
      <c r="X297" t="n">
        <v>1252.543178</v>
      </c>
    </row>
    <row r="298">
      <c r="A298" t="inlineStr">
        <is>
          <t>Nebrius ferrugineus</t>
        </is>
      </c>
      <c r="B298" t="n">
        <v>4.1</v>
      </c>
      <c r="C298" t="n">
        <v>1258.925412</v>
      </c>
      <c r="D298" t="inlineStr">
        <is>
          <t>Sharks</t>
        </is>
      </c>
      <c r="E298" t="n">
        <v>106.362581</v>
      </c>
      <c r="F298" t="n">
        <v>2569.28922</v>
      </c>
      <c r="G298" t="n">
        <v>222.822151</v>
      </c>
      <c r="H298" t="n">
        <v>1308.685037</v>
      </c>
      <c r="I298" t="n">
        <v>1955.186859</v>
      </c>
      <c r="J298" t="n">
        <v>2007.418175</v>
      </c>
      <c r="K298" t="n">
        <v>1423.259486</v>
      </c>
      <c r="L298" t="n">
        <v>3930.042293</v>
      </c>
      <c r="M298" t="n">
        <v>3930.042293</v>
      </c>
      <c r="N298" t="n">
        <v>3930.042293</v>
      </c>
      <c r="O298" t="n">
        <v>1585.345045</v>
      </c>
      <c r="P298" t="n">
        <v>411.268522</v>
      </c>
      <c r="Q298" t="n">
        <v>3930.042293</v>
      </c>
      <c r="R298" t="n">
        <v>3930.042293</v>
      </c>
      <c r="S298" t="n">
        <v>1585.345045</v>
      </c>
      <c r="T298" t="n">
        <v>1585.345045</v>
      </c>
      <c r="U298" t="n">
        <v>411.268522</v>
      </c>
      <c r="V298" t="n">
        <v>411.268522</v>
      </c>
      <c r="W298" t="n">
        <v>1647.369658</v>
      </c>
      <c r="X298" t="n">
        <v>4507.362005</v>
      </c>
    </row>
    <row r="299">
      <c r="A299" t="inlineStr">
        <is>
          <t>Solenidae</t>
        </is>
      </c>
      <c r="B299" t="n">
        <v>2</v>
      </c>
      <c r="C299" t="n">
        <v>10</v>
      </c>
      <c r="D299" t="inlineStr">
        <is>
          <t>Heterotrophic Benthos</t>
        </is>
      </c>
      <c r="E299" t="n">
        <v>106.362581</v>
      </c>
      <c r="F299" t="n">
        <v>19.947374</v>
      </c>
      <c r="G299" t="n">
        <v>7.853921</v>
      </c>
      <c r="H299" t="n">
        <v>13.270207</v>
      </c>
      <c r="I299" t="n">
        <v>123.888042</v>
      </c>
      <c r="J299" t="n">
        <v>123.888042</v>
      </c>
      <c r="K299" t="n">
        <v>15.362117</v>
      </c>
      <c r="L299" t="n">
        <v>260.720597</v>
      </c>
      <c r="M299" t="n">
        <v>260.720597</v>
      </c>
      <c r="N299" t="n">
        <v>260.720597</v>
      </c>
      <c r="O299" t="n">
        <v>19.314018</v>
      </c>
      <c r="P299" t="n">
        <v>17.703696</v>
      </c>
      <c r="Q299" t="n">
        <v>260.720597</v>
      </c>
      <c r="R299" t="n">
        <v>260.720597</v>
      </c>
      <c r="S299" t="n">
        <v>19.314018</v>
      </c>
      <c r="T299" t="n">
        <v>19.314018</v>
      </c>
      <c r="U299" t="n">
        <v>17.703696</v>
      </c>
      <c r="V299" t="n">
        <v>17.703696</v>
      </c>
      <c r="W299" t="n">
        <v>20.650834</v>
      </c>
      <c r="X299" t="n">
        <v>285.015306</v>
      </c>
    </row>
    <row r="300">
      <c r="A300" t="inlineStr">
        <is>
          <t>Synanceiidae</t>
        </is>
      </c>
      <c r="B300" t="n">
        <v>4.2</v>
      </c>
      <c r="C300" t="n">
        <v>1584.893192</v>
      </c>
      <c r="D300" t="inlineStr">
        <is>
          <t>Large Benthic Carnivores</t>
        </is>
      </c>
      <c r="E300" t="n">
        <v>106.362581</v>
      </c>
      <c r="F300" t="n">
        <v>1113.102078</v>
      </c>
      <c r="G300" t="n">
        <v>125.259096</v>
      </c>
      <c r="H300" t="n">
        <v>249.981248</v>
      </c>
      <c r="I300" t="n">
        <v>421.749845</v>
      </c>
      <c r="J300" t="n">
        <v>575.638232</v>
      </c>
      <c r="K300" t="n">
        <v>564.125467</v>
      </c>
      <c r="L300" t="n">
        <v>1114.691652</v>
      </c>
      <c r="M300" t="n">
        <v>1114.691652</v>
      </c>
      <c r="N300" t="n">
        <v>1114.691652</v>
      </c>
      <c r="O300" t="n">
        <v>635.9376559999999</v>
      </c>
      <c r="P300" t="n">
        <v>217.238675</v>
      </c>
      <c r="Q300" t="n">
        <v>1114.691652</v>
      </c>
      <c r="R300" t="n">
        <v>1114.691652</v>
      </c>
      <c r="S300" t="n">
        <v>635.9376559999999</v>
      </c>
      <c r="T300" t="n">
        <v>635.9376559999999</v>
      </c>
      <c r="U300" t="n">
        <v>217.238675</v>
      </c>
      <c r="V300" t="n">
        <v>217.238675</v>
      </c>
      <c r="W300" t="n">
        <v>686.067599</v>
      </c>
      <c r="X300" t="n">
        <v>1252.543178</v>
      </c>
    </row>
    <row r="301">
      <c r="A301" t="inlineStr">
        <is>
          <t>Istiophorus</t>
        </is>
      </c>
      <c r="B301" t="n">
        <v>4.5</v>
      </c>
      <c r="C301" t="n">
        <v>3162.27766</v>
      </c>
      <c r="D301" t="inlineStr">
        <is>
          <t>Large Pelagics</t>
        </is>
      </c>
      <c r="E301" t="n">
        <v>106.362581</v>
      </c>
      <c r="F301" t="n">
        <v>1182.417917</v>
      </c>
      <c r="G301" t="n">
        <v>130.579526</v>
      </c>
      <c r="H301" t="n">
        <v>655.098468</v>
      </c>
      <c r="I301" t="n">
        <v>848.885192</v>
      </c>
      <c r="J301" t="n">
        <v>883.261112</v>
      </c>
      <c r="K301" t="n">
        <v>865.5958890000001</v>
      </c>
      <c r="L301" t="n">
        <v>1961.116323</v>
      </c>
      <c r="M301" t="n">
        <v>1961.116323</v>
      </c>
      <c r="N301" t="n">
        <v>1961.116323</v>
      </c>
      <c r="O301" t="n">
        <v>1097.797369</v>
      </c>
      <c r="P301" t="n">
        <v>300.80342</v>
      </c>
      <c r="Q301" t="n">
        <v>1961.116323</v>
      </c>
      <c r="R301" t="n">
        <v>1961.116323</v>
      </c>
      <c r="S301" t="n">
        <v>1097.797369</v>
      </c>
      <c r="T301" t="n">
        <v>1097.797369</v>
      </c>
      <c r="U301" t="n">
        <v>300.80342</v>
      </c>
      <c r="V301" t="n">
        <v>300.80342</v>
      </c>
      <c r="W301" t="n">
        <v>1171.90733</v>
      </c>
      <c r="X301" t="n">
        <v>2200.248768</v>
      </c>
    </row>
    <row r="302">
      <c r="A302" t="inlineStr">
        <is>
          <t>Sepioteuthis lessoniana</t>
        </is>
      </c>
      <c r="B302" t="n">
        <v>3.98</v>
      </c>
      <c r="C302" t="n">
        <v>954.992586</v>
      </c>
      <c r="D302" t="inlineStr">
        <is>
          <t>Cephalopods</t>
        </is>
      </c>
      <c r="E302" t="n">
        <v>106.362581</v>
      </c>
      <c r="F302" t="n">
        <v>1254.312676</v>
      </c>
      <c r="G302" t="n">
        <v>135.996248</v>
      </c>
      <c r="H302" t="n">
        <v>384.963959</v>
      </c>
      <c r="I302" t="n">
        <v>1331.752693</v>
      </c>
      <c r="J302" t="n">
        <v>1334.257295</v>
      </c>
      <c r="K302" t="n">
        <v>1300.900862</v>
      </c>
      <c r="L302" t="n">
        <v>2933.853362</v>
      </c>
      <c r="M302" t="n">
        <v>2933.853362</v>
      </c>
      <c r="N302" t="n">
        <v>2933.853362</v>
      </c>
      <c r="O302" t="n">
        <v>1771.03868</v>
      </c>
      <c r="P302" t="n">
        <v>582.871532</v>
      </c>
      <c r="Q302" t="n">
        <v>2933.853362</v>
      </c>
      <c r="R302" t="n">
        <v>2933.853362</v>
      </c>
      <c r="S302" t="n">
        <v>1771.03868</v>
      </c>
      <c r="T302" t="n">
        <v>1771.03868</v>
      </c>
      <c r="U302" t="n">
        <v>582.871532</v>
      </c>
      <c r="V302" t="n">
        <v>582.871532</v>
      </c>
      <c r="W302" t="n">
        <v>1904.354617</v>
      </c>
      <c r="X302" t="n">
        <v>3263.675794</v>
      </c>
    </row>
    <row r="303">
      <c r="A303" t="inlineStr">
        <is>
          <t>Ariomma indica</t>
        </is>
      </c>
      <c r="B303" t="n">
        <v>3.63</v>
      </c>
      <c r="C303" t="n">
        <v>426.579519</v>
      </c>
      <c r="D303" t="inlineStr">
        <is>
          <t>Small Benthopelagics</t>
        </is>
      </c>
      <c r="E303" t="n">
        <v>106.362581</v>
      </c>
      <c r="F303" t="n">
        <v>735.919846</v>
      </c>
      <c r="G303" t="n">
        <v>94.203452</v>
      </c>
      <c r="H303" t="n">
        <v>274.118485</v>
      </c>
      <c r="I303" t="n">
        <v>1003.748472</v>
      </c>
      <c r="J303" t="n">
        <v>1056.007849</v>
      </c>
      <c r="K303" t="n">
        <v>1032.775676</v>
      </c>
      <c r="L303" t="n">
        <v>1426.864607</v>
      </c>
      <c r="M303" t="n">
        <v>1426.864607</v>
      </c>
      <c r="N303" t="n">
        <v>1426.864607</v>
      </c>
      <c r="O303" t="n">
        <v>914.12906</v>
      </c>
      <c r="P303" t="n">
        <v>345.870401</v>
      </c>
      <c r="Q303" t="n">
        <v>1426.864607</v>
      </c>
      <c r="R303" t="n">
        <v>1426.864607</v>
      </c>
      <c r="S303" t="n">
        <v>914.12906</v>
      </c>
      <c r="T303" t="n">
        <v>914.12906</v>
      </c>
      <c r="U303" t="n">
        <v>345.870401</v>
      </c>
      <c r="V303" t="n">
        <v>345.870401</v>
      </c>
      <c r="W303" t="n">
        <v>957.660399</v>
      </c>
      <c r="X303" t="n">
        <v>1577.210486</v>
      </c>
    </row>
    <row r="304">
      <c r="A304" t="inlineStr">
        <is>
          <t>Seriolina nigrofasciata</t>
        </is>
      </c>
      <c r="B304" t="n">
        <v>4.17</v>
      </c>
      <c r="C304" t="n">
        <v>1479.108388</v>
      </c>
      <c r="D304" t="inlineStr">
        <is>
          <t>Large Benthic Carnivores</t>
        </is>
      </c>
      <c r="E304" t="n">
        <v>106.362581</v>
      </c>
      <c r="F304" t="n">
        <v>1113.102078</v>
      </c>
      <c r="G304" t="n">
        <v>125.259096</v>
      </c>
      <c r="H304" t="n">
        <v>249.981248</v>
      </c>
      <c r="I304" t="n">
        <v>421.749845</v>
      </c>
      <c r="J304" t="n">
        <v>575.638232</v>
      </c>
      <c r="K304" t="n">
        <v>564.125467</v>
      </c>
      <c r="L304" t="n">
        <v>1114.691652</v>
      </c>
      <c r="M304" t="n">
        <v>1114.691652</v>
      </c>
      <c r="N304" t="n">
        <v>1114.691652</v>
      </c>
      <c r="O304" t="n">
        <v>635.9376559999999</v>
      </c>
      <c r="P304" t="n">
        <v>217.238675</v>
      </c>
      <c r="Q304" t="n">
        <v>1114.691652</v>
      </c>
      <c r="R304" t="n">
        <v>1114.691652</v>
      </c>
      <c r="S304" t="n">
        <v>635.9376559999999</v>
      </c>
      <c r="T304" t="n">
        <v>635.9376559999999</v>
      </c>
      <c r="U304" t="n">
        <v>217.238675</v>
      </c>
      <c r="V304" t="n">
        <v>217.238675</v>
      </c>
      <c r="W304" t="n">
        <v>686.067599</v>
      </c>
      <c r="X304" t="n">
        <v>1252.543178</v>
      </c>
    </row>
    <row r="305">
      <c r="A305" t="inlineStr">
        <is>
          <t>Bolbometopon muricatum</t>
        </is>
      </c>
      <c r="B305" t="n">
        <v>2.67</v>
      </c>
      <c r="C305" t="n">
        <v>46.773514</v>
      </c>
      <c r="D305" t="inlineStr">
        <is>
          <t>Benthic Omnivores</t>
        </is>
      </c>
      <c r="E305" t="n">
        <v>106.362581</v>
      </c>
      <c r="F305" t="n">
        <v>34.853983</v>
      </c>
      <c r="G305" t="n">
        <v>11.533933</v>
      </c>
      <c r="H305" t="n">
        <v>23.954598</v>
      </c>
      <c r="I305" t="n">
        <v>122.110584</v>
      </c>
      <c r="J305" t="n">
        <v>122.110584</v>
      </c>
      <c r="K305" t="n">
        <v>119.668372</v>
      </c>
      <c r="L305" t="n">
        <v>234.326211</v>
      </c>
      <c r="M305" t="n">
        <v>234.326211</v>
      </c>
      <c r="N305" t="n">
        <v>234.326211</v>
      </c>
      <c r="O305" t="n">
        <v>32.574396</v>
      </c>
      <c r="P305" t="n">
        <v>28.191927</v>
      </c>
      <c r="Q305" t="n">
        <v>234.326211</v>
      </c>
      <c r="R305" t="n">
        <v>234.326211</v>
      </c>
      <c r="S305" t="n">
        <v>32.574396</v>
      </c>
      <c r="T305" t="n">
        <v>32.574396</v>
      </c>
      <c r="U305" t="n">
        <v>28.191927</v>
      </c>
      <c r="V305" t="n">
        <v>28.191927</v>
      </c>
      <c r="W305" t="n">
        <v>34.709256</v>
      </c>
      <c r="X305" t="n">
        <v>257.01226</v>
      </c>
    </row>
    <row r="306">
      <c r="A306" t="inlineStr">
        <is>
          <t>Scombroidei</t>
        </is>
      </c>
      <c r="B306" t="n">
        <v>4.2</v>
      </c>
      <c r="C306" t="n">
        <v>1584.893192</v>
      </c>
      <c r="D306" t="inlineStr">
        <is>
          <t>Tunas | Large Pelagics</t>
        </is>
      </c>
      <c r="E306" t="n">
        <v>106.362581</v>
      </c>
      <c r="F306" t="n">
        <v>1275.426122</v>
      </c>
      <c r="G306" t="n">
        <v>137.482142</v>
      </c>
      <c r="H306" t="n">
        <v>511.884531</v>
      </c>
      <c r="I306" t="n">
        <v>827.833349</v>
      </c>
      <c r="J306" t="n">
        <v>852.266869</v>
      </c>
      <c r="K306" t="n">
        <v>727.429491</v>
      </c>
      <c r="L306" t="n">
        <v>1490.0507</v>
      </c>
      <c r="M306" t="n">
        <v>1490.0507</v>
      </c>
      <c r="N306" t="n">
        <v>1490.0507</v>
      </c>
      <c r="O306" t="n">
        <v>807.290346</v>
      </c>
      <c r="P306" t="n">
        <v>244.703602</v>
      </c>
      <c r="Q306" t="n">
        <v>1490.0507</v>
      </c>
      <c r="R306" t="n">
        <v>1490.0507</v>
      </c>
      <c r="S306" t="n">
        <v>807.290346</v>
      </c>
      <c r="T306" t="n">
        <v>807.290346</v>
      </c>
      <c r="U306" t="n">
        <v>244.703602</v>
      </c>
      <c r="V306" t="n">
        <v>244.703602</v>
      </c>
      <c r="W306" t="n">
        <v>859.4302</v>
      </c>
      <c r="X306" t="n">
        <v>1668.849088</v>
      </c>
    </row>
    <row r="307">
      <c r="A307" t="inlineStr">
        <is>
          <t>Pristidae</t>
        </is>
      </c>
      <c r="B307" t="n">
        <v>4.24</v>
      </c>
      <c r="C307" t="n">
        <v>1737.800829</v>
      </c>
      <c r="D307" t="inlineStr">
        <is>
          <t>Skates &amp; Rays</t>
        </is>
      </c>
      <c r="E307" t="n">
        <v>106.362581</v>
      </c>
      <c r="F307" t="n">
        <v>378.025577</v>
      </c>
      <c r="G307" t="n">
        <v>59.545879</v>
      </c>
      <c r="H307" t="n">
        <v>236.053692</v>
      </c>
      <c r="I307" t="n">
        <v>2128.450324</v>
      </c>
      <c r="J307" t="n">
        <v>2171.723686</v>
      </c>
      <c r="K307" t="n">
        <v>1300.862488</v>
      </c>
      <c r="L307" t="n">
        <v>3126.185669</v>
      </c>
      <c r="M307" t="n">
        <v>3126.185669</v>
      </c>
      <c r="N307" t="n">
        <v>3126.185669</v>
      </c>
      <c r="O307" t="n">
        <v>887.634307</v>
      </c>
      <c r="P307" t="n">
        <v>357.542004</v>
      </c>
      <c r="Q307" t="n">
        <v>3126.185669</v>
      </c>
      <c r="R307" t="n">
        <v>3126.185669</v>
      </c>
      <c r="S307" t="n">
        <v>887.634307</v>
      </c>
      <c r="T307" t="n">
        <v>887.634307</v>
      </c>
      <c r="U307" t="n">
        <v>357.542004</v>
      </c>
      <c r="V307" t="n">
        <v>357.542004</v>
      </c>
      <c r="W307" t="n">
        <v>926.257871</v>
      </c>
      <c r="X307" t="n">
        <v>3406.854319</v>
      </c>
    </row>
    <row r="308">
      <c r="A308" t="inlineStr">
        <is>
          <t>Haliotis</t>
        </is>
      </c>
      <c r="B308" t="n">
        <v>2</v>
      </c>
      <c r="C308" t="n">
        <v>10</v>
      </c>
      <c r="D308" t="inlineStr">
        <is>
          <t>Heterotrophic Benthos</t>
        </is>
      </c>
      <c r="E308" t="n">
        <v>106.362581</v>
      </c>
      <c r="F308" t="n">
        <v>19.947374</v>
      </c>
      <c r="G308" t="n">
        <v>7.853921</v>
      </c>
      <c r="H308" t="n">
        <v>13.270207</v>
      </c>
      <c r="I308" t="n">
        <v>123.888042</v>
      </c>
      <c r="J308" t="n">
        <v>123.888042</v>
      </c>
      <c r="K308" t="n">
        <v>15.362117</v>
      </c>
      <c r="L308" t="n">
        <v>260.720597</v>
      </c>
      <c r="M308" t="n">
        <v>260.720597</v>
      </c>
      <c r="N308" t="n">
        <v>260.720597</v>
      </c>
      <c r="O308" t="n">
        <v>19.314018</v>
      </c>
      <c r="P308" t="n">
        <v>17.703696</v>
      </c>
      <c r="Q308" t="n">
        <v>260.720597</v>
      </c>
      <c r="R308" t="n">
        <v>260.720597</v>
      </c>
      <c r="S308" t="n">
        <v>19.314018</v>
      </c>
      <c r="T308" t="n">
        <v>19.314018</v>
      </c>
      <c r="U308" t="n">
        <v>17.703696</v>
      </c>
      <c r="V308" t="n">
        <v>17.703696</v>
      </c>
      <c r="W308" t="n">
        <v>20.650834</v>
      </c>
      <c r="X308" t="n">
        <v>285.015306</v>
      </c>
    </row>
    <row r="309">
      <c r="A309" t="inlineStr">
        <is>
          <t>Cheimerius nufar</t>
        </is>
      </c>
      <c r="B309" t="n">
        <v>3.54</v>
      </c>
      <c r="C309" t="n">
        <v>346.73685</v>
      </c>
      <c r="D309" t="inlineStr">
        <is>
          <t>Med Benthic Carnivores</t>
        </is>
      </c>
      <c r="E309" t="n">
        <v>106.362581</v>
      </c>
      <c r="F309" t="n">
        <v>153.506319</v>
      </c>
      <c r="G309" t="n">
        <v>32.014124</v>
      </c>
      <c r="H309" t="n">
        <v>100.68782</v>
      </c>
      <c r="I309" t="n">
        <v>159.061371</v>
      </c>
      <c r="J309" t="n">
        <v>159.061371</v>
      </c>
      <c r="K309" t="n">
        <v>156.039205</v>
      </c>
      <c r="L309" t="n">
        <v>198.208223</v>
      </c>
      <c r="M309" t="n">
        <v>198.208223</v>
      </c>
      <c r="N309" t="n">
        <v>198.208223</v>
      </c>
      <c r="O309" t="n">
        <v>116.373231</v>
      </c>
      <c r="P309" t="n">
        <v>56.490526</v>
      </c>
      <c r="Q309" t="n">
        <v>198.208223</v>
      </c>
      <c r="R309" t="n">
        <v>198.208223</v>
      </c>
      <c r="S309" t="n">
        <v>116.373231</v>
      </c>
      <c r="T309" t="n">
        <v>116.373231</v>
      </c>
      <c r="U309" t="n">
        <v>56.490526</v>
      </c>
      <c r="V309" t="n">
        <v>56.490526</v>
      </c>
      <c r="W309" t="n">
        <v>120.80197</v>
      </c>
      <c r="X309" t="n">
        <v>213.813007</v>
      </c>
    </row>
    <row r="310">
      <c r="A310" t="inlineStr">
        <is>
          <t>Sillaginidae</t>
        </is>
      </c>
      <c r="B310" t="n">
        <v>3.25</v>
      </c>
      <c r="C310" t="n">
        <v>177.827941</v>
      </c>
      <c r="D310" t="inlineStr">
        <is>
          <t>Med Benthic Carnivores</t>
        </is>
      </c>
      <c r="E310" t="n">
        <v>106.362581</v>
      </c>
      <c r="F310" t="n">
        <v>153.506319</v>
      </c>
      <c r="G310" t="n">
        <v>32.014124</v>
      </c>
      <c r="H310" t="n">
        <v>100.68782</v>
      </c>
      <c r="I310" t="n">
        <v>159.061371</v>
      </c>
      <c r="J310" t="n">
        <v>159.061371</v>
      </c>
      <c r="K310" t="n">
        <v>156.039205</v>
      </c>
      <c r="L310" t="n">
        <v>198.208223</v>
      </c>
      <c r="M310" t="n">
        <v>198.208223</v>
      </c>
      <c r="N310" t="n">
        <v>198.208223</v>
      </c>
      <c r="O310" t="n">
        <v>116.373231</v>
      </c>
      <c r="P310" t="n">
        <v>56.490526</v>
      </c>
      <c r="Q310" t="n">
        <v>198.208223</v>
      </c>
      <c r="R310" t="n">
        <v>198.208223</v>
      </c>
      <c r="S310" t="n">
        <v>116.373231</v>
      </c>
      <c r="T310" t="n">
        <v>116.373231</v>
      </c>
      <c r="U310" t="n">
        <v>56.490526</v>
      </c>
      <c r="V310" t="n">
        <v>56.490526</v>
      </c>
      <c r="W310" t="n">
        <v>120.80197</v>
      </c>
      <c r="X310" t="n">
        <v>213.813007</v>
      </c>
    </row>
    <row r="311">
      <c r="A311" t="inlineStr">
        <is>
          <t>Lutjanus kasmira</t>
        </is>
      </c>
      <c r="B311" t="n">
        <v>3.87</v>
      </c>
      <c r="C311" t="n">
        <v>741.310241</v>
      </c>
      <c r="D311" t="inlineStr">
        <is>
          <t>Large Benthic Carnivores</t>
        </is>
      </c>
      <c r="E311" t="n">
        <v>106.362581</v>
      </c>
      <c r="F311" t="n">
        <v>1113.102078</v>
      </c>
      <c r="G311" t="n">
        <v>125.259096</v>
      </c>
      <c r="H311" t="n">
        <v>249.981248</v>
      </c>
      <c r="I311" t="n">
        <v>421.749845</v>
      </c>
      <c r="J311" t="n">
        <v>575.638232</v>
      </c>
      <c r="K311" t="n">
        <v>564.125467</v>
      </c>
      <c r="L311" t="n">
        <v>1114.691652</v>
      </c>
      <c r="M311" t="n">
        <v>1114.691652</v>
      </c>
      <c r="N311" t="n">
        <v>1114.691652</v>
      </c>
      <c r="O311" t="n">
        <v>635.9376559999999</v>
      </c>
      <c r="P311" t="n">
        <v>217.238675</v>
      </c>
      <c r="Q311" t="n">
        <v>1114.691652</v>
      </c>
      <c r="R311" t="n">
        <v>1114.691652</v>
      </c>
      <c r="S311" t="n">
        <v>635.9376559999999</v>
      </c>
      <c r="T311" t="n">
        <v>635.9376559999999</v>
      </c>
      <c r="U311" t="n">
        <v>217.238675</v>
      </c>
      <c r="V311" t="n">
        <v>217.238675</v>
      </c>
      <c r="W311" t="n">
        <v>686.067599</v>
      </c>
      <c r="X311" t="n">
        <v>1252.543178</v>
      </c>
    </row>
    <row r="312">
      <c r="A312" t="inlineStr">
        <is>
          <t>Carcharhiniformes</t>
        </is>
      </c>
      <c r="B312" t="n">
        <v>4.08</v>
      </c>
      <c r="C312" t="n">
        <v>1202.264435</v>
      </c>
      <c r="D312" t="inlineStr">
        <is>
          <t>Sharks</t>
        </is>
      </c>
      <c r="E312" t="n">
        <v>106.362581</v>
      </c>
      <c r="F312" t="n">
        <v>2569.28922</v>
      </c>
      <c r="G312" t="n">
        <v>222.822151</v>
      </c>
      <c r="H312" t="n">
        <v>1308.685037</v>
      </c>
      <c r="I312" t="n">
        <v>1955.186859</v>
      </c>
      <c r="J312" t="n">
        <v>2007.418175</v>
      </c>
      <c r="K312" t="n">
        <v>1423.259486</v>
      </c>
      <c r="L312" t="n">
        <v>3930.042293</v>
      </c>
      <c r="M312" t="n">
        <v>3930.042293</v>
      </c>
      <c r="N312" t="n">
        <v>3930.042293</v>
      </c>
      <c r="O312" t="n">
        <v>1585.345045</v>
      </c>
      <c r="P312" t="n">
        <v>411.268522</v>
      </c>
      <c r="Q312" t="n">
        <v>3930.042293</v>
      </c>
      <c r="R312" t="n">
        <v>3930.042293</v>
      </c>
      <c r="S312" t="n">
        <v>1585.345045</v>
      </c>
      <c r="T312" t="n">
        <v>1585.345045</v>
      </c>
      <c r="U312" t="n">
        <v>411.268522</v>
      </c>
      <c r="V312" t="n">
        <v>411.268522</v>
      </c>
      <c r="W312" t="n">
        <v>1647.369658</v>
      </c>
      <c r="X312" t="n">
        <v>4507.362005</v>
      </c>
    </row>
    <row r="313">
      <c r="A313" t="inlineStr">
        <is>
          <t>Monotaxis grandoculis</t>
        </is>
      </c>
      <c r="B313" t="n">
        <v>3.37</v>
      </c>
      <c r="C313" t="n">
        <v>234.422882</v>
      </c>
      <c r="D313" t="inlineStr">
        <is>
          <t>Large Benthic Carnivores</t>
        </is>
      </c>
      <c r="E313" t="n">
        <v>106.362581</v>
      </c>
      <c r="F313" t="n">
        <v>1113.102078</v>
      </c>
      <c r="G313" t="n">
        <v>125.259096</v>
      </c>
      <c r="H313" t="n">
        <v>249.981248</v>
      </c>
      <c r="I313" t="n">
        <v>421.749845</v>
      </c>
      <c r="J313" t="n">
        <v>575.638232</v>
      </c>
      <c r="K313" t="n">
        <v>564.125467</v>
      </c>
      <c r="L313" t="n">
        <v>1114.691652</v>
      </c>
      <c r="M313" t="n">
        <v>1114.691652</v>
      </c>
      <c r="N313" t="n">
        <v>1114.691652</v>
      </c>
      <c r="O313" t="n">
        <v>635.9376559999999</v>
      </c>
      <c r="P313" t="n">
        <v>217.238675</v>
      </c>
      <c r="Q313" t="n">
        <v>1114.691652</v>
      </c>
      <c r="R313" t="n">
        <v>1114.691652</v>
      </c>
      <c r="S313" t="n">
        <v>635.9376559999999</v>
      </c>
      <c r="T313" t="n">
        <v>635.9376559999999</v>
      </c>
      <c r="U313" t="n">
        <v>217.238675</v>
      </c>
      <c r="V313" t="n">
        <v>217.238675</v>
      </c>
      <c r="W313" t="n">
        <v>686.067599</v>
      </c>
      <c r="X313" t="n">
        <v>1252.543178</v>
      </c>
    </row>
    <row r="314">
      <c r="A314" t="inlineStr">
        <is>
          <t>Caranx melampygus</t>
        </is>
      </c>
      <c r="B314" t="n">
        <v>4.49</v>
      </c>
      <c r="C314" t="n">
        <v>3090.295433</v>
      </c>
      <c r="D314" t="inlineStr">
        <is>
          <t>Large Benthic Carnivores</t>
        </is>
      </c>
      <c r="E314" t="n">
        <v>106.362581</v>
      </c>
      <c r="F314" t="n">
        <v>1113.102078</v>
      </c>
      <c r="G314" t="n">
        <v>125.259096</v>
      </c>
      <c r="H314" t="n">
        <v>249.981248</v>
      </c>
      <c r="I314" t="n">
        <v>421.749845</v>
      </c>
      <c r="J314" t="n">
        <v>575.638232</v>
      </c>
      <c r="K314" t="n">
        <v>564.125467</v>
      </c>
      <c r="L314" t="n">
        <v>1114.691652</v>
      </c>
      <c r="M314" t="n">
        <v>1114.691652</v>
      </c>
      <c r="N314" t="n">
        <v>1114.691652</v>
      </c>
      <c r="O314" t="n">
        <v>635.9376559999999</v>
      </c>
      <c r="P314" t="n">
        <v>217.238675</v>
      </c>
      <c r="Q314" t="n">
        <v>1114.691652</v>
      </c>
      <c r="R314" t="n">
        <v>1114.691652</v>
      </c>
      <c r="S314" t="n">
        <v>635.9376559999999</v>
      </c>
      <c r="T314" t="n">
        <v>635.9376559999999</v>
      </c>
      <c r="U314" t="n">
        <v>217.238675</v>
      </c>
      <c r="V314" t="n">
        <v>217.238675</v>
      </c>
      <c r="W314" t="n">
        <v>686.067599</v>
      </c>
      <c r="X314" t="n">
        <v>1252.543178</v>
      </c>
    </row>
    <row r="315">
      <c r="A315" t="inlineStr">
        <is>
          <t>Balistidae</t>
        </is>
      </c>
      <c r="B315" t="n">
        <v>3.25</v>
      </c>
      <c r="C315" t="n">
        <v>177.827941</v>
      </c>
      <c r="D315" t="inlineStr">
        <is>
          <t>Med Benthic Carnivores</t>
        </is>
      </c>
      <c r="E315" t="n">
        <v>106.362581</v>
      </c>
      <c r="F315" t="n">
        <v>153.506319</v>
      </c>
      <c r="G315" t="n">
        <v>32.014124</v>
      </c>
      <c r="H315" t="n">
        <v>100.68782</v>
      </c>
      <c r="I315" t="n">
        <v>159.061371</v>
      </c>
      <c r="J315" t="n">
        <v>159.061371</v>
      </c>
      <c r="K315" t="n">
        <v>156.039205</v>
      </c>
      <c r="L315" t="n">
        <v>198.208223</v>
      </c>
      <c r="M315" t="n">
        <v>198.208223</v>
      </c>
      <c r="N315" t="n">
        <v>198.208223</v>
      </c>
      <c r="O315" t="n">
        <v>116.373231</v>
      </c>
      <c r="P315" t="n">
        <v>56.490526</v>
      </c>
      <c r="Q315" t="n">
        <v>198.208223</v>
      </c>
      <c r="R315" t="n">
        <v>198.208223</v>
      </c>
      <c r="S315" t="n">
        <v>116.373231</v>
      </c>
      <c r="T315" t="n">
        <v>116.373231</v>
      </c>
      <c r="U315" t="n">
        <v>56.490526</v>
      </c>
      <c r="V315" t="n">
        <v>56.490526</v>
      </c>
      <c r="W315" t="n">
        <v>120.80197</v>
      </c>
      <c r="X315" t="n">
        <v>213.813007</v>
      </c>
    </row>
    <row r="316">
      <c r="A316" t="inlineStr">
        <is>
          <t>Carcharhinus longimanus</t>
        </is>
      </c>
      <c r="B316" t="n">
        <v>4.16</v>
      </c>
      <c r="C316" t="n">
        <v>1445.439771</v>
      </c>
      <c r="D316" t="inlineStr">
        <is>
          <t>Sharks</t>
        </is>
      </c>
      <c r="E316" t="n">
        <v>106.362581</v>
      </c>
      <c r="F316" t="n">
        <v>2569.28922</v>
      </c>
      <c r="G316" t="n">
        <v>222.822151</v>
      </c>
      <c r="H316" t="n">
        <v>1308.685037</v>
      </c>
      <c r="I316" t="n">
        <v>1955.186859</v>
      </c>
      <c r="J316" t="n">
        <v>2007.418175</v>
      </c>
      <c r="K316" t="n">
        <v>1423.259486</v>
      </c>
      <c r="L316" t="n">
        <v>3930.042293</v>
      </c>
      <c r="M316" t="n">
        <v>3930.042293</v>
      </c>
      <c r="N316" t="n">
        <v>3930.042293</v>
      </c>
      <c r="O316" t="n">
        <v>1585.345045</v>
      </c>
      <c r="P316" t="n">
        <v>411.268522</v>
      </c>
      <c r="Q316" t="n">
        <v>3930.042293</v>
      </c>
      <c r="R316" t="n">
        <v>3930.042293</v>
      </c>
      <c r="S316" t="n">
        <v>1585.345045</v>
      </c>
      <c r="T316" t="n">
        <v>1585.345045</v>
      </c>
      <c r="U316" t="n">
        <v>411.268522</v>
      </c>
      <c r="V316" t="n">
        <v>411.268522</v>
      </c>
      <c r="W316" t="n">
        <v>1647.369658</v>
      </c>
      <c r="X316" t="n">
        <v>4507.362005</v>
      </c>
    </row>
    <row r="317">
      <c r="A317" t="inlineStr">
        <is>
          <t>Congridae</t>
        </is>
      </c>
      <c r="D317" t="inlineStr">
        <is>
          <t>Large Benthic Carnivores</t>
        </is>
      </c>
      <c r="E317" t="n">
        <v>106.362581</v>
      </c>
      <c r="F317" t="n">
        <v>1113.102078</v>
      </c>
      <c r="G317" t="n">
        <v>125.259096</v>
      </c>
      <c r="H317" t="n">
        <v>249.981248</v>
      </c>
      <c r="I317" t="n">
        <v>421.749845</v>
      </c>
      <c r="J317" t="n">
        <v>575.638232</v>
      </c>
      <c r="K317" t="n">
        <v>564.125467</v>
      </c>
      <c r="L317" t="n">
        <v>1114.691652</v>
      </c>
      <c r="M317" t="n">
        <v>1114.691652</v>
      </c>
      <c r="N317" t="n">
        <v>1114.691652</v>
      </c>
      <c r="O317" t="n">
        <v>635.9376559999999</v>
      </c>
      <c r="P317" t="n">
        <v>217.238675</v>
      </c>
      <c r="Q317" t="n">
        <v>1114.691652</v>
      </c>
      <c r="R317" t="n">
        <v>1114.691652</v>
      </c>
      <c r="S317" t="n">
        <v>635.9376559999999</v>
      </c>
      <c r="T317" t="n">
        <v>635.9376559999999</v>
      </c>
      <c r="U317" t="n">
        <v>217.238675</v>
      </c>
      <c r="V317" t="n">
        <v>217.238675</v>
      </c>
      <c r="W317" t="n">
        <v>686.067599</v>
      </c>
      <c r="X317" t="n">
        <v>1252.543178</v>
      </c>
    </row>
    <row r="318">
      <c r="A318" t="inlineStr">
        <is>
          <t>Bothus pantherinus</t>
        </is>
      </c>
      <c r="B318" t="n">
        <v>3.5</v>
      </c>
      <c r="C318" t="n">
        <v>316.227766</v>
      </c>
      <c r="D318" t="inlineStr">
        <is>
          <t>Med Benthic Carnivores</t>
        </is>
      </c>
      <c r="E318" t="n">
        <v>106.362581</v>
      </c>
      <c r="F318" t="n">
        <v>153.506319</v>
      </c>
      <c r="G318" t="n">
        <v>32.014124</v>
      </c>
      <c r="H318" t="n">
        <v>100.68782</v>
      </c>
      <c r="I318" t="n">
        <v>159.061371</v>
      </c>
      <c r="J318" t="n">
        <v>159.061371</v>
      </c>
      <c r="K318" t="n">
        <v>156.039205</v>
      </c>
      <c r="L318" t="n">
        <v>198.208223</v>
      </c>
      <c r="M318" t="n">
        <v>198.208223</v>
      </c>
      <c r="N318" t="n">
        <v>198.208223</v>
      </c>
      <c r="O318" t="n">
        <v>116.373231</v>
      </c>
      <c r="P318" t="n">
        <v>56.490526</v>
      </c>
      <c r="Q318" t="n">
        <v>198.208223</v>
      </c>
      <c r="R318" t="n">
        <v>198.208223</v>
      </c>
      <c r="S318" t="n">
        <v>116.373231</v>
      </c>
      <c r="T318" t="n">
        <v>116.373231</v>
      </c>
      <c r="U318" t="n">
        <v>56.490526</v>
      </c>
      <c r="V318" t="n">
        <v>56.490526</v>
      </c>
      <c r="W318" t="n">
        <v>120.80197</v>
      </c>
      <c r="X318" t="n">
        <v>213.813007</v>
      </c>
    </row>
    <row r="319">
      <c r="A319" t="inlineStr">
        <is>
          <t>Parupeneus indicus</t>
        </is>
      </c>
      <c r="D319" t="inlineStr">
        <is>
          <t>Small Benthic Carnivores</t>
        </is>
      </c>
      <c r="E319" t="n">
        <v>106.362581</v>
      </c>
      <c r="F319" t="n">
        <v>47.875255</v>
      </c>
      <c r="G319" t="n">
        <v>14.351766</v>
      </c>
      <c r="H319" t="n">
        <v>47.936313</v>
      </c>
      <c r="I319" t="n">
        <v>123.68277</v>
      </c>
      <c r="J319" t="n">
        <v>123.68277</v>
      </c>
      <c r="K319" t="n">
        <v>121.085432</v>
      </c>
      <c r="L319" t="n">
        <v>160.705061</v>
      </c>
      <c r="M319" t="n">
        <v>160.705061</v>
      </c>
      <c r="N319" t="n">
        <v>160.705061</v>
      </c>
      <c r="O319" t="n">
        <v>86.69575</v>
      </c>
      <c r="P319" t="n">
        <v>48.551122</v>
      </c>
      <c r="Q319" t="n">
        <v>160.705061</v>
      </c>
      <c r="R319" t="n">
        <v>160.705061</v>
      </c>
      <c r="S319" t="n">
        <v>86.69575</v>
      </c>
      <c r="T319" t="n">
        <v>86.69575</v>
      </c>
      <c r="U319" t="n">
        <v>48.551122</v>
      </c>
      <c r="V319" t="n">
        <v>48.551122</v>
      </c>
      <c r="W319" t="n">
        <v>90.428786</v>
      </c>
      <c r="X319" t="n">
        <v>169.279514</v>
      </c>
    </row>
    <row r="320">
      <c r="A320" t="inlineStr">
        <is>
          <t>Sphyraena putnamae</t>
        </is>
      </c>
      <c r="B320" t="n">
        <v>4.5</v>
      </c>
      <c r="C320" t="n">
        <v>3162.27766</v>
      </c>
      <c r="D320" t="inlineStr">
        <is>
          <t>Large Pelagics</t>
        </is>
      </c>
      <c r="E320" t="n">
        <v>106.362581</v>
      </c>
      <c r="F320" t="n">
        <v>1182.417917</v>
      </c>
      <c r="G320" t="n">
        <v>130.579526</v>
      </c>
      <c r="H320" t="n">
        <v>655.098468</v>
      </c>
      <c r="I320" t="n">
        <v>848.885192</v>
      </c>
      <c r="J320" t="n">
        <v>883.261112</v>
      </c>
      <c r="K320" t="n">
        <v>865.5958890000001</v>
      </c>
      <c r="L320" t="n">
        <v>1961.116323</v>
      </c>
      <c r="M320" t="n">
        <v>1961.116323</v>
      </c>
      <c r="N320" t="n">
        <v>1961.116323</v>
      </c>
      <c r="O320" t="n">
        <v>1097.797369</v>
      </c>
      <c r="P320" t="n">
        <v>300.80342</v>
      </c>
      <c r="Q320" t="n">
        <v>1961.116323</v>
      </c>
      <c r="R320" t="n">
        <v>1961.116323</v>
      </c>
      <c r="S320" t="n">
        <v>1097.797369</v>
      </c>
      <c r="T320" t="n">
        <v>1097.797369</v>
      </c>
      <c r="U320" t="n">
        <v>300.80342</v>
      </c>
      <c r="V320" t="n">
        <v>300.80342</v>
      </c>
      <c r="W320" t="n">
        <v>1171.90733</v>
      </c>
      <c r="X320" t="n">
        <v>2200.248768</v>
      </c>
    </row>
    <row r="321">
      <c r="A321" t="inlineStr">
        <is>
          <t>Turrum coeruleopinnatum</t>
        </is>
      </c>
      <c r="B321" t="n">
        <v>4.44</v>
      </c>
      <c r="C321" t="n">
        <v>2754.228703</v>
      </c>
      <c r="D321" t="inlineStr">
        <is>
          <t>Large Benthic Carnivores</t>
        </is>
      </c>
      <c r="E321" t="n">
        <v>106.362581</v>
      </c>
      <c r="F321" t="n">
        <v>1113.102078</v>
      </c>
      <c r="G321" t="n">
        <v>125.259096</v>
      </c>
      <c r="H321" t="n">
        <v>249.981248</v>
      </c>
      <c r="I321" t="n">
        <v>421.749845</v>
      </c>
      <c r="J321" t="n">
        <v>575.638232</v>
      </c>
      <c r="K321" t="n">
        <v>564.125467</v>
      </c>
      <c r="L321" t="n">
        <v>1114.691652</v>
      </c>
      <c r="M321" t="n">
        <v>1114.691652</v>
      </c>
      <c r="N321" t="n">
        <v>1114.691652</v>
      </c>
      <c r="O321" t="n">
        <v>635.9376559999999</v>
      </c>
      <c r="P321" t="n">
        <v>217.238675</v>
      </c>
      <c r="Q321" t="n">
        <v>1114.691652</v>
      </c>
      <c r="R321" t="n">
        <v>1114.691652</v>
      </c>
      <c r="S321" t="n">
        <v>635.9376559999999</v>
      </c>
      <c r="T321" t="n">
        <v>635.9376559999999</v>
      </c>
      <c r="U321" t="n">
        <v>217.238675</v>
      </c>
      <c r="V321" t="n">
        <v>217.238675</v>
      </c>
      <c r="W321" t="n">
        <v>686.067599</v>
      </c>
      <c r="X321" t="n">
        <v>1252.543178</v>
      </c>
    </row>
    <row r="322">
      <c r="A322" t="inlineStr">
        <is>
          <t>Carangoides</t>
        </is>
      </c>
      <c r="B322" t="n">
        <v>4.34</v>
      </c>
      <c r="C322" t="n">
        <v>2187.761624</v>
      </c>
      <c r="D322" t="inlineStr">
        <is>
          <t>Large Benthic Carnivores</t>
        </is>
      </c>
      <c r="E322" t="n">
        <v>106.362581</v>
      </c>
      <c r="F322" t="n">
        <v>1113.102078</v>
      </c>
      <c r="G322" t="n">
        <v>125.259096</v>
      </c>
      <c r="H322" t="n">
        <v>249.981248</v>
      </c>
      <c r="I322" t="n">
        <v>421.749845</v>
      </c>
      <c r="J322" t="n">
        <v>575.638232</v>
      </c>
      <c r="K322" t="n">
        <v>564.125467</v>
      </c>
      <c r="L322" t="n">
        <v>1114.691652</v>
      </c>
      <c r="M322" t="n">
        <v>1114.691652</v>
      </c>
      <c r="N322" t="n">
        <v>1114.691652</v>
      </c>
      <c r="O322" t="n">
        <v>635.9376559999999</v>
      </c>
      <c r="P322" t="n">
        <v>217.238675</v>
      </c>
      <c r="Q322" t="n">
        <v>1114.691652</v>
      </c>
      <c r="R322" t="n">
        <v>1114.691652</v>
      </c>
      <c r="S322" t="n">
        <v>635.9376559999999</v>
      </c>
      <c r="T322" t="n">
        <v>635.9376559999999</v>
      </c>
      <c r="U322" t="n">
        <v>217.238675</v>
      </c>
      <c r="V322" t="n">
        <v>217.238675</v>
      </c>
      <c r="W322" t="n">
        <v>686.067599</v>
      </c>
      <c r="X322" t="n">
        <v>1252.543178</v>
      </c>
    </row>
    <row r="323">
      <c r="A323" t="inlineStr">
        <is>
          <t>Seriola rivoliana</t>
        </is>
      </c>
      <c r="B323" t="n">
        <v>4.45</v>
      </c>
      <c r="C323" t="n">
        <v>2818.382931</v>
      </c>
      <c r="D323" t="inlineStr">
        <is>
          <t>Large Benthic Carnivores</t>
        </is>
      </c>
      <c r="E323" t="n">
        <v>106.362581</v>
      </c>
      <c r="F323" t="n">
        <v>1113.102078</v>
      </c>
      <c r="G323" t="n">
        <v>125.259096</v>
      </c>
      <c r="H323" t="n">
        <v>249.981248</v>
      </c>
      <c r="I323" t="n">
        <v>421.749845</v>
      </c>
      <c r="J323" t="n">
        <v>575.638232</v>
      </c>
      <c r="K323" t="n">
        <v>564.125467</v>
      </c>
      <c r="L323" t="n">
        <v>1114.691652</v>
      </c>
      <c r="M323" t="n">
        <v>1114.691652</v>
      </c>
      <c r="N323" t="n">
        <v>1114.691652</v>
      </c>
      <c r="O323" t="n">
        <v>635.9376559999999</v>
      </c>
      <c r="P323" t="n">
        <v>217.238675</v>
      </c>
      <c r="Q323" t="n">
        <v>1114.691652</v>
      </c>
      <c r="R323" t="n">
        <v>1114.691652</v>
      </c>
      <c r="S323" t="n">
        <v>635.9376559999999</v>
      </c>
      <c r="T323" t="n">
        <v>635.9376559999999</v>
      </c>
      <c r="U323" t="n">
        <v>217.238675</v>
      </c>
      <c r="V323" t="n">
        <v>217.238675</v>
      </c>
      <c r="W323" t="n">
        <v>686.067599</v>
      </c>
      <c r="X323" t="n">
        <v>1252.543178</v>
      </c>
    </row>
    <row r="324">
      <c r="A324" t="inlineStr">
        <is>
          <t>Encrasicholina heteroloba</t>
        </is>
      </c>
      <c r="B324" t="n">
        <v>3.27</v>
      </c>
      <c r="C324" t="n">
        <v>186.208714</v>
      </c>
      <c r="D324" t="inlineStr">
        <is>
          <t>Anchovies</t>
        </is>
      </c>
      <c r="E324" t="n">
        <v>106.362581</v>
      </c>
      <c r="F324" t="n">
        <v>306.237713</v>
      </c>
      <c r="G324" t="n">
        <v>51.507642</v>
      </c>
      <c r="H324" t="n">
        <v>86.248227</v>
      </c>
      <c r="I324" t="n">
        <v>292.993573</v>
      </c>
      <c r="J324" t="n">
        <v>292.993573</v>
      </c>
      <c r="K324" t="n">
        <v>286.254721</v>
      </c>
      <c r="L324" t="n">
        <v>324.440662</v>
      </c>
      <c r="M324" t="n">
        <v>324.440662</v>
      </c>
      <c r="N324" t="n">
        <v>324.440662</v>
      </c>
      <c r="O324" t="n">
        <v>245.251402</v>
      </c>
      <c r="P324" t="n">
        <v>121.200331</v>
      </c>
      <c r="Q324" t="n">
        <v>324.440662</v>
      </c>
      <c r="R324" t="n">
        <v>324.440662</v>
      </c>
      <c r="S324" t="n">
        <v>245.251402</v>
      </c>
      <c r="T324" t="n">
        <v>245.251402</v>
      </c>
      <c r="U324" t="n">
        <v>121.200331</v>
      </c>
      <c r="V324" t="n">
        <v>121.200331</v>
      </c>
      <c r="W324" t="n">
        <v>255.511169</v>
      </c>
      <c r="X324" t="n">
        <v>353.493547</v>
      </c>
    </row>
    <row r="325">
      <c r="A325" t="inlineStr">
        <is>
          <t>Lethrinus xanthochilus</t>
        </is>
      </c>
      <c r="B325" t="n">
        <v>3.78</v>
      </c>
      <c r="C325" t="n">
        <v>602.559586</v>
      </c>
      <c r="D325" t="inlineStr">
        <is>
          <t>Large Benthic Carnivores</t>
        </is>
      </c>
      <c r="E325" t="n">
        <v>106.362581</v>
      </c>
      <c r="F325" t="n">
        <v>1113.102078</v>
      </c>
      <c r="G325" t="n">
        <v>125.259096</v>
      </c>
      <c r="H325" t="n">
        <v>249.981248</v>
      </c>
      <c r="I325" t="n">
        <v>421.749845</v>
      </c>
      <c r="J325" t="n">
        <v>575.638232</v>
      </c>
      <c r="K325" t="n">
        <v>564.125467</v>
      </c>
      <c r="L325" t="n">
        <v>1114.691652</v>
      </c>
      <c r="M325" t="n">
        <v>1114.691652</v>
      </c>
      <c r="N325" t="n">
        <v>1114.691652</v>
      </c>
      <c r="O325" t="n">
        <v>635.9376559999999</v>
      </c>
      <c r="P325" t="n">
        <v>217.238675</v>
      </c>
      <c r="Q325" t="n">
        <v>1114.691652</v>
      </c>
      <c r="R325" t="n">
        <v>1114.691652</v>
      </c>
      <c r="S325" t="n">
        <v>635.9376559999999</v>
      </c>
      <c r="T325" t="n">
        <v>635.9376559999999</v>
      </c>
      <c r="U325" t="n">
        <v>217.238675</v>
      </c>
      <c r="V325" t="n">
        <v>217.238675</v>
      </c>
      <c r="W325" t="n">
        <v>686.067599</v>
      </c>
      <c r="X325" t="n">
        <v>1252.543178</v>
      </c>
    </row>
    <row r="326">
      <c r="A326" t="inlineStr">
        <is>
          <t>Prionace glauca</t>
        </is>
      </c>
      <c r="B326" t="n">
        <v>4.35</v>
      </c>
      <c r="C326" t="n">
        <v>2238.721139</v>
      </c>
      <c r="D326" t="inlineStr">
        <is>
          <t>Sharks</t>
        </is>
      </c>
      <c r="E326" t="n">
        <v>106.362581</v>
      </c>
      <c r="F326" t="n">
        <v>2569.28922</v>
      </c>
      <c r="G326" t="n">
        <v>222.822151</v>
      </c>
      <c r="H326" t="n">
        <v>1308.685037</v>
      </c>
      <c r="I326" t="n">
        <v>1955.186859</v>
      </c>
      <c r="J326" t="n">
        <v>2007.418175</v>
      </c>
      <c r="K326" t="n">
        <v>1423.259486</v>
      </c>
      <c r="L326" t="n">
        <v>3930.042293</v>
      </c>
      <c r="M326" t="n">
        <v>3930.042293</v>
      </c>
      <c r="N326" t="n">
        <v>3930.042293</v>
      </c>
      <c r="O326" t="n">
        <v>1585.345045</v>
      </c>
      <c r="P326" t="n">
        <v>411.268522</v>
      </c>
      <c r="Q326" t="n">
        <v>3930.042293</v>
      </c>
      <c r="R326" t="n">
        <v>3930.042293</v>
      </c>
      <c r="S326" t="n">
        <v>1585.345045</v>
      </c>
      <c r="T326" t="n">
        <v>1585.345045</v>
      </c>
      <c r="U326" t="n">
        <v>411.268522</v>
      </c>
      <c r="V326" t="n">
        <v>411.268522</v>
      </c>
      <c r="W326" t="n">
        <v>1647.369658</v>
      </c>
      <c r="X326" t="n">
        <v>4507.362005</v>
      </c>
    </row>
    <row r="327">
      <c r="A327" t="inlineStr">
        <is>
          <t>Stromateidae</t>
        </is>
      </c>
      <c r="B327" t="n">
        <v>3.62</v>
      </c>
      <c r="C327" t="n">
        <v>416.869383</v>
      </c>
      <c r="D327" t="inlineStr">
        <is>
          <t>Med Benthic Carnivores</t>
        </is>
      </c>
      <c r="E327" t="n">
        <v>106.362581</v>
      </c>
      <c r="F327" t="n">
        <v>153.506319</v>
      </c>
      <c r="G327" t="n">
        <v>32.014124</v>
      </c>
      <c r="H327" t="n">
        <v>100.68782</v>
      </c>
      <c r="I327" t="n">
        <v>159.061371</v>
      </c>
      <c r="J327" t="n">
        <v>159.061371</v>
      </c>
      <c r="K327" t="n">
        <v>156.039205</v>
      </c>
      <c r="L327" t="n">
        <v>198.208223</v>
      </c>
      <c r="M327" t="n">
        <v>198.208223</v>
      </c>
      <c r="N327" t="n">
        <v>198.208223</v>
      </c>
      <c r="O327" t="n">
        <v>116.373231</v>
      </c>
      <c r="P327" t="n">
        <v>56.490526</v>
      </c>
      <c r="Q327" t="n">
        <v>198.208223</v>
      </c>
      <c r="R327" t="n">
        <v>198.208223</v>
      </c>
      <c r="S327" t="n">
        <v>116.373231</v>
      </c>
      <c r="T327" t="n">
        <v>116.373231</v>
      </c>
      <c r="U327" t="n">
        <v>56.490526</v>
      </c>
      <c r="V327" t="n">
        <v>56.490526</v>
      </c>
      <c r="W327" t="n">
        <v>120.80197</v>
      </c>
      <c r="X327" t="n">
        <v>213.813007</v>
      </c>
    </row>
    <row r="328">
      <c r="A328" t="inlineStr">
        <is>
          <t>Zeus faber</t>
        </is>
      </c>
      <c r="D328" t="inlineStr">
        <is>
          <t>Med Benthic Carnivores</t>
        </is>
      </c>
      <c r="E328" t="n">
        <v>106.362581</v>
      </c>
      <c r="F328" t="n">
        <v>153.506319</v>
      </c>
      <c r="G328" t="n">
        <v>32.014124</v>
      </c>
      <c r="H328" t="n">
        <v>100.68782</v>
      </c>
      <c r="I328" t="n">
        <v>159.061371</v>
      </c>
      <c r="J328" t="n">
        <v>159.061371</v>
      </c>
      <c r="K328" t="n">
        <v>156.039205</v>
      </c>
      <c r="L328" t="n">
        <v>198.208223</v>
      </c>
      <c r="M328" t="n">
        <v>198.208223</v>
      </c>
      <c r="N328" t="n">
        <v>198.208223</v>
      </c>
      <c r="O328" t="n">
        <v>116.373231</v>
      </c>
      <c r="P328" t="n">
        <v>56.490526</v>
      </c>
      <c r="Q328" t="n">
        <v>198.208223</v>
      </c>
      <c r="R328" t="n">
        <v>198.208223</v>
      </c>
      <c r="S328" t="n">
        <v>116.373231</v>
      </c>
      <c r="T328" t="n">
        <v>116.373231</v>
      </c>
      <c r="U328" t="n">
        <v>56.490526</v>
      </c>
      <c r="V328" t="n">
        <v>56.490526</v>
      </c>
      <c r="W328" t="n">
        <v>120.80197</v>
      </c>
      <c r="X328" t="n">
        <v>213.813007</v>
      </c>
    </row>
    <row r="329">
      <c r="A329" t="inlineStr">
        <is>
          <t>Terapontidae</t>
        </is>
      </c>
      <c r="B329" t="n">
        <v>3.64</v>
      </c>
      <c r="C329" t="n">
        <v>436.515832</v>
      </c>
      <c r="D329" t="inlineStr">
        <is>
          <t>Small Benthic Carnivores</t>
        </is>
      </c>
      <c r="E329" t="n">
        <v>106.362581</v>
      </c>
      <c r="F329" t="n">
        <v>47.875255</v>
      </c>
      <c r="G329" t="n">
        <v>14.351766</v>
      </c>
      <c r="H329" t="n">
        <v>47.936313</v>
      </c>
      <c r="I329" t="n">
        <v>123.68277</v>
      </c>
      <c r="J329" t="n">
        <v>123.68277</v>
      </c>
      <c r="K329" t="n">
        <v>121.085432</v>
      </c>
      <c r="L329" t="n">
        <v>160.705061</v>
      </c>
      <c r="M329" t="n">
        <v>160.705061</v>
      </c>
      <c r="N329" t="n">
        <v>160.705061</v>
      </c>
      <c r="O329" t="n">
        <v>86.69575</v>
      </c>
      <c r="P329" t="n">
        <v>48.551122</v>
      </c>
      <c r="Q329" t="n">
        <v>160.705061</v>
      </c>
      <c r="R329" t="n">
        <v>160.705061</v>
      </c>
      <c r="S329" t="n">
        <v>86.69575</v>
      </c>
      <c r="T329" t="n">
        <v>86.69575</v>
      </c>
      <c r="U329" t="n">
        <v>48.551122</v>
      </c>
      <c r="V329" t="n">
        <v>48.551122</v>
      </c>
      <c r="W329" t="n">
        <v>90.428786</v>
      </c>
      <c r="X329" t="n">
        <v>169.279514</v>
      </c>
    </row>
    <row r="330">
      <c r="A330" t="inlineStr">
        <is>
          <t>Caesio caerulaurea</t>
        </is>
      </c>
      <c r="B330" t="n">
        <v>3.4</v>
      </c>
      <c r="C330" t="n">
        <v>251.188643</v>
      </c>
      <c r="D330" t="inlineStr">
        <is>
          <t>Small Benthopelagics</t>
        </is>
      </c>
      <c r="E330" t="n">
        <v>106.362581</v>
      </c>
      <c r="F330" t="n">
        <v>735.919846</v>
      </c>
      <c r="G330" t="n">
        <v>94.203452</v>
      </c>
      <c r="H330" t="n">
        <v>274.118485</v>
      </c>
      <c r="I330" t="n">
        <v>1003.748472</v>
      </c>
      <c r="J330" t="n">
        <v>1056.007849</v>
      </c>
      <c r="K330" t="n">
        <v>1032.775676</v>
      </c>
      <c r="L330" t="n">
        <v>1426.864607</v>
      </c>
      <c r="M330" t="n">
        <v>1426.864607</v>
      </c>
      <c r="N330" t="n">
        <v>1426.864607</v>
      </c>
      <c r="O330" t="n">
        <v>914.12906</v>
      </c>
      <c r="P330" t="n">
        <v>345.870401</v>
      </c>
      <c r="Q330" t="n">
        <v>1426.864607</v>
      </c>
      <c r="R330" t="n">
        <v>1426.864607</v>
      </c>
      <c r="S330" t="n">
        <v>914.12906</v>
      </c>
      <c r="T330" t="n">
        <v>914.12906</v>
      </c>
      <c r="U330" t="n">
        <v>345.870401</v>
      </c>
      <c r="V330" t="n">
        <v>345.870401</v>
      </c>
      <c r="W330" t="n">
        <v>957.660399</v>
      </c>
      <c r="X330" t="n">
        <v>1577.210486</v>
      </c>
    </row>
    <row r="331">
      <c r="A331" t="inlineStr">
        <is>
          <t>Caesio lunaris</t>
        </is>
      </c>
      <c r="D331" t="inlineStr">
        <is>
          <t>Small Benthopelagics</t>
        </is>
      </c>
      <c r="E331" t="n">
        <v>106.362581</v>
      </c>
      <c r="F331" t="n">
        <v>735.919846</v>
      </c>
      <c r="G331" t="n">
        <v>94.203452</v>
      </c>
      <c r="H331" t="n">
        <v>274.118485</v>
      </c>
      <c r="I331" t="n">
        <v>1003.748472</v>
      </c>
      <c r="J331" t="n">
        <v>1056.007849</v>
      </c>
      <c r="K331" t="n">
        <v>1032.775676</v>
      </c>
      <c r="L331" t="n">
        <v>1426.864607</v>
      </c>
      <c r="M331" t="n">
        <v>1426.864607</v>
      </c>
      <c r="N331" t="n">
        <v>1426.864607</v>
      </c>
      <c r="O331" t="n">
        <v>914.12906</v>
      </c>
      <c r="P331" t="n">
        <v>345.870401</v>
      </c>
      <c r="Q331" t="n">
        <v>1426.864607</v>
      </c>
      <c r="R331" t="n">
        <v>1426.864607</v>
      </c>
      <c r="S331" t="n">
        <v>914.12906</v>
      </c>
      <c r="T331" t="n">
        <v>914.12906</v>
      </c>
      <c r="U331" t="n">
        <v>345.870401</v>
      </c>
      <c r="V331" t="n">
        <v>345.870401</v>
      </c>
      <c r="W331" t="n">
        <v>957.660399</v>
      </c>
      <c r="X331" t="n">
        <v>1577.210486</v>
      </c>
    </row>
    <row r="332">
      <c r="A332" t="inlineStr">
        <is>
          <t>Aphareus furca</t>
        </is>
      </c>
      <c r="B332" t="n">
        <v>4.14</v>
      </c>
      <c r="C332" t="n">
        <v>1380.384265</v>
      </c>
      <c r="D332" t="inlineStr">
        <is>
          <t>Large Benthic Carnivores</t>
        </is>
      </c>
      <c r="E332" t="n">
        <v>106.362581</v>
      </c>
      <c r="F332" t="n">
        <v>1113.102078</v>
      </c>
      <c r="G332" t="n">
        <v>125.259096</v>
      </c>
      <c r="H332" t="n">
        <v>249.981248</v>
      </c>
      <c r="I332" t="n">
        <v>421.749845</v>
      </c>
      <c r="J332" t="n">
        <v>575.638232</v>
      </c>
      <c r="K332" t="n">
        <v>564.125467</v>
      </c>
      <c r="L332" t="n">
        <v>1114.691652</v>
      </c>
      <c r="M332" t="n">
        <v>1114.691652</v>
      </c>
      <c r="N332" t="n">
        <v>1114.691652</v>
      </c>
      <c r="O332" t="n">
        <v>635.9376559999999</v>
      </c>
      <c r="P332" t="n">
        <v>217.238675</v>
      </c>
      <c r="Q332" t="n">
        <v>1114.691652</v>
      </c>
      <c r="R332" t="n">
        <v>1114.691652</v>
      </c>
      <c r="S332" t="n">
        <v>635.9376559999999</v>
      </c>
      <c r="T332" t="n">
        <v>635.9376559999999</v>
      </c>
      <c r="U332" t="n">
        <v>217.238675</v>
      </c>
      <c r="V332" t="n">
        <v>217.238675</v>
      </c>
      <c r="W332" t="n">
        <v>686.067599</v>
      </c>
      <c r="X332" t="n">
        <v>1252.543178</v>
      </c>
    </row>
    <row r="333">
      <c r="A333" t="inlineStr">
        <is>
          <t>Plectorhinchus pictus</t>
        </is>
      </c>
      <c r="B333" t="n">
        <v>3.85</v>
      </c>
      <c r="C333" t="n">
        <v>707.945784</v>
      </c>
      <c r="D333" t="inlineStr">
        <is>
          <t>Med Benthic Carnivores</t>
        </is>
      </c>
      <c r="E333" t="n">
        <v>106.362581</v>
      </c>
      <c r="F333" t="n">
        <v>153.506319</v>
      </c>
      <c r="G333" t="n">
        <v>32.014124</v>
      </c>
      <c r="H333" t="n">
        <v>100.68782</v>
      </c>
      <c r="I333" t="n">
        <v>159.061371</v>
      </c>
      <c r="J333" t="n">
        <v>159.061371</v>
      </c>
      <c r="K333" t="n">
        <v>156.039205</v>
      </c>
      <c r="L333" t="n">
        <v>198.208223</v>
      </c>
      <c r="M333" t="n">
        <v>198.208223</v>
      </c>
      <c r="N333" t="n">
        <v>198.208223</v>
      </c>
      <c r="O333" t="n">
        <v>116.373231</v>
      </c>
      <c r="P333" t="n">
        <v>56.490526</v>
      </c>
      <c r="Q333" t="n">
        <v>198.208223</v>
      </c>
      <c r="R333" t="n">
        <v>198.208223</v>
      </c>
      <c r="S333" t="n">
        <v>116.373231</v>
      </c>
      <c r="T333" t="n">
        <v>116.373231</v>
      </c>
      <c r="U333" t="n">
        <v>56.490526</v>
      </c>
      <c r="V333" t="n">
        <v>56.490526</v>
      </c>
      <c r="W333" t="n">
        <v>120.80197</v>
      </c>
      <c r="X333" t="n">
        <v>213.813007</v>
      </c>
    </row>
    <row r="334">
      <c r="A334" t="inlineStr">
        <is>
          <t>Centrolophidae</t>
        </is>
      </c>
      <c r="D334" t="inlineStr">
        <is>
          <t>Med Benthic Carnivores</t>
        </is>
      </c>
      <c r="E334" t="n">
        <v>106.362581</v>
      </c>
      <c r="F334" t="n">
        <v>153.506319</v>
      </c>
      <c r="G334" t="n">
        <v>32.014124</v>
      </c>
      <c r="H334" t="n">
        <v>100.68782</v>
      </c>
      <c r="I334" t="n">
        <v>159.061371</v>
      </c>
      <c r="J334" t="n">
        <v>159.061371</v>
      </c>
      <c r="K334" t="n">
        <v>156.039205</v>
      </c>
      <c r="L334" t="n">
        <v>198.208223</v>
      </c>
      <c r="M334" t="n">
        <v>198.208223</v>
      </c>
      <c r="N334" t="n">
        <v>198.208223</v>
      </c>
      <c r="O334" t="n">
        <v>116.373231</v>
      </c>
      <c r="P334" t="n">
        <v>56.490526</v>
      </c>
      <c r="Q334" t="n">
        <v>198.208223</v>
      </c>
      <c r="R334" t="n">
        <v>198.208223</v>
      </c>
      <c r="S334" t="n">
        <v>116.373231</v>
      </c>
      <c r="T334" t="n">
        <v>116.373231</v>
      </c>
      <c r="U334" t="n">
        <v>56.490526</v>
      </c>
      <c r="V334" t="n">
        <v>56.490526</v>
      </c>
      <c r="W334" t="n">
        <v>120.80197</v>
      </c>
      <c r="X334" t="n">
        <v>213.813007</v>
      </c>
    </row>
    <row r="335">
      <c r="A335" t="inlineStr">
        <is>
          <t>Lethrinus harak</t>
        </is>
      </c>
      <c r="B335" t="n">
        <v>3.59</v>
      </c>
      <c r="C335" t="n">
        <v>389.045145</v>
      </c>
      <c r="D335" t="inlineStr">
        <is>
          <t>Large Benthic Carnivores</t>
        </is>
      </c>
      <c r="E335" t="n">
        <v>106.362581</v>
      </c>
      <c r="F335" t="n">
        <v>1113.102078</v>
      </c>
      <c r="G335" t="n">
        <v>125.259096</v>
      </c>
      <c r="H335" t="n">
        <v>249.981248</v>
      </c>
      <c r="I335" t="n">
        <v>421.749845</v>
      </c>
      <c r="J335" t="n">
        <v>575.638232</v>
      </c>
      <c r="K335" t="n">
        <v>564.125467</v>
      </c>
      <c r="L335" t="n">
        <v>1114.691652</v>
      </c>
      <c r="M335" t="n">
        <v>1114.691652</v>
      </c>
      <c r="N335" t="n">
        <v>1114.691652</v>
      </c>
      <c r="O335" t="n">
        <v>635.9376559999999</v>
      </c>
      <c r="P335" t="n">
        <v>217.238675</v>
      </c>
      <c r="Q335" t="n">
        <v>1114.691652</v>
      </c>
      <c r="R335" t="n">
        <v>1114.691652</v>
      </c>
      <c r="S335" t="n">
        <v>635.9376559999999</v>
      </c>
      <c r="T335" t="n">
        <v>635.9376559999999</v>
      </c>
      <c r="U335" t="n">
        <v>217.238675</v>
      </c>
      <c r="V335" t="n">
        <v>217.238675</v>
      </c>
      <c r="W335" t="n">
        <v>686.067599</v>
      </c>
      <c r="X335" t="n">
        <v>1252.543178</v>
      </c>
    </row>
    <row r="336">
      <c r="A336" t="inlineStr">
        <is>
          <t>Inermiidae</t>
        </is>
      </c>
      <c r="D336" t="inlineStr">
        <is>
          <t>Small Benthopelagics</t>
        </is>
      </c>
      <c r="E336" t="n">
        <v>106.362581</v>
      </c>
      <c r="F336" t="n">
        <v>735.919846</v>
      </c>
      <c r="G336" t="n">
        <v>94.203452</v>
      </c>
      <c r="H336" t="n">
        <v>274.118485</v>
      </c>
      <c r="I336" t="n">
        <v>1003.748472</v>
      </c>
      <c r="J336" t="n">
        <v>1056.007849</v>
      </c>
      <c r="K336" t="n">
        <v>1032.775676</v>
      </c>
      <c r="L336" t="n">
        <v>1426.864607</v>
      </c>
      <c r="M336" t="n">
        <v>1426.864607</v>
      </c>
      <c r="N336" t="n">
        <v>1426.864607</v>
      </c>
      <c r="O336" t="n">
        <v>914.12906</v>
      </c>
      <c r="P336" t="n">
        <v>345.870401</v>
      </c>
      <c r="Q336" t="n">
        <v>1426.864607</v>
      </c>
      <c r="R336" t="n">
        <v>1426.864607</v>
      </c>
      <c r="S336" t="n">
        <v>914.12906</v>
      </c>
      <c r="T336" t="n">
        <v>914.12906</v>
      </c>
      <c r="U336" t="n">
        <v>345.870401</v>
      </c>
      <c r="V336" t="n">
        <v>345.870401</v>
      </c>
      <c r="W336" t="n">
        <v>957.660399</v>
      </c>
      <c r="X336" t="n">
        <v>1577.210486</v>
      </c>
    </row>
    <row r="337">
      <c r="A337" t="inlineStr">
        <is>
          <t>Epinephelus fuscoguttatus</t>
        </is>
      </c>
      <c r="B337" t="n">
        <v>4.14</v>
      </c>
      <c r="C337" t="n">
        <v>1380.384265</v>
      </c>
      <c r="D337" t="inlineStr">
        <is>
          <t>Large Benthic Carnivores</t>
        </is>
      </c>
      <c r="E337" t="n">
        <v>106.362581</v>
      </c>
      <c r="F337" t="n">
        <v>1113.102078</v>
      </c>
      <c r="G337" t="n">
        <v>125.259096</v>
      </c>
      <c r="H337" t="n">
        <v>249.981248</v>
      </c>
      <c r="I337" t="n">
        <v>421.749845</v>
      </c>
      <c r="J337" t="n">
        <v>575.638232</v>
      </c>
      <c r="K337" t="n">
        <v>564.125467</v>
      </c>
      <c r="L337" t="n">
        <v>1114.691652</v>
      </c>
      <c r="M337" t="n">
        <v>1114.691652</v>
      </c>
      <c r="N337" t="n">
        <v>1114.691652</v>
      </c>
      <c r="O337" t="n">
        <v>635.9376559999999</v>
      </c>
      <c r="P337" t="n">
        <v>217.238675</v>
      </c>
      <c r="Q337" t="n">
        <v>1114.691652</v>
      </c>
      <c r="R337" t="n">
        <v>1114.691652</v>
      </c>
      <c r="S337" t="n">
        <v>635.9376559999999</v>
      </c>
      <c r="T337" t="n">
        <v>635.9376559999999</v>
      </c>
      <c r="U337" t="n">
        <v>217.238675</v>
      </c>
      <c r="V337" t="n">
        <v>217.238675</v>
      </c>
      <c r="W337" t="n">
        <v>686.067599</v>
      </c>
      <c r="X337" t="n">
        <v>1252.543178</v>
      </c>
    </row>
    <row r="338">
      <c r="A338" t="inlineStr">
        <is>
          <t>Octopodidae</t>
        </is>
      </c>
      <c r="B338" t="n">
        <v>3.59</v>
      </c>
      <c r="C338" t="n">
        <v>389.045145</v>
      </c>
      <c r="D338" t="inlineStr">
        <is>
          <t>Cephalopods</t>
        </is>
      </c>
      <c r="E338" t="n">
        <v>106.362581</v>
      </c>
      <c r="F338" t="n">
        <v>1254.312676</v>
      </c>
      <c r="G338" t="n">
        <v>135.996248</v>
      </c>
      <c r="H338" t="n">
        <v>384.963959</v>
      </c>
      <c r="I338" t="n">
        <v>1331.752693</v>
      </c>
      <c r="J338" t="n">
        <v>1334.257295</v>
      </c>
      <c r="K338" t="n">
        <v>1300.900862</v>
      </c>
      <c r="L338" t="n">
        <v>2933.853362</v>
      </c>
      <c r="M338" t="n">
        <v>2933.853362</v>
      </c>
      <c r="N338" t="n">
        <v>2933.853362</v>
      </c>
      <c r="O338" t="n">
        <v>1771.03868</v>
      </c>
      <c r="P338" t="n">
        <v>582.871532</v>
      </c>
      <c r="Q338" t="n">
        <v>2933.853362</v>
      </c>
      <c r="R338" t="n">
        <v>2933.853362</v>
      </c>
      <c r="S338" t="n">
        <v>1771.03868</v>
      </c>
      <c r="T338" t="n">
        <v>1771.03868</v>
      </c>
      <c r="U338" t="n">
        <v>582.871532</v>
      </c>
      <c r="V338" t="n">
        <v>582.871532</v>
      </c>
      <c r="W338" t="n">
        <v>1904.354617</v>
      </c>
      <c r="X338" t="n">
        <v>3263.675794</v>
      </c>
    </row>
    <row r="339">
      <c r="A339" t="inlineStr">
        <is>
          <t>Ferdauia orthogrammus</t>
        </is>
      </c>
      <c r="B339" t="n">
        <v>4.48</v>
      </c>
      <c r="C339" t="n">
        <v>3019.95172</v>
      </c>
      <c r="D339" t="inlineStr">
        <is>
          <t>Large Benthic Carnivores</t>
        </is>
      </c>
      <c r="E339" t="n">
        <v>106.362581</v>
      </c>
      <c r="F339" t="n">
        <v>1113.102078</v>
      </c>
      <c r="G339" t="n">
        <v>125.259096</v>
      </c>
      <c r="H339" t="n">
        <v>249.981248</v>
      </c>
      <c r="I339" t="n">
        <v>421.749845</v>
      </c>
      <c r="J339" t="n">
        <v>575.638232</v>
      </c>
      <c r="K339" t="n">
        <v>564.125467</v>
      </c>
      <c r="L339" t="n">
        <v>1114.691652</v>
      </c>
      <c r="M339" t="n">
        <v>1114.691652</v>
      </c>
      <c r="N339" t="n">
        <v>1114.691652</v>
      </c>
      <c r="O339" t="n">
        <v>635.9376559999999</v>
      </c>
      <c r="P339" t="n">
        <v>217.238675</v>
      </c>
      <c r="Q339" t="n">
        <v>1114.691652</v>
      </c>
      <c r="R339" t="n">
        <v>1114.691652</v>
      </c>
      <c r="S339" t="n">
        <v>635.9376559999999</v>
      </c>
      <c r="T339" t="n">
        <v>635.9376559999999</v>
      </c>
      <c r="U339" t="n">
        <v>217.238675</v>
      </c>
      <c r="V339" t="n">
        <v>217.238675</v>
      </c>
      <c r="W339" t="n">
        <v>686.067599</v>
      </c>
      <c r="X339" t="n">
        <v>1252.543178</v>
      </c>
    </row>
    <row r="340">
      <c r="A340" t="inlineStr">
        <is>
          <t>Makaira</t>
        </is>
      </c>
      <c r="B340" t="n">
        <v>4.47</v>
      </c>
      <c r="C340" t="n">
        <v>2951.209227</v>
      </c>
      <c r="D340" t="inlineStr">
        <is>
          <t>Large Pelagics</t>
        </is>
      </c>
      <c r="E340" t="n">
        <v>106.362581</v>
      </c>
      <c r="F340" t="n">
        <v>1182.417917</v>
      </c>
      <c r="G340" t="n">
        <v>130.579526</v>
      </c>
      <c r="H340" t="n">
        <v>655.098468</v>
      </c>
      <c r="I340" t="n">
        <v>848.885192</v>
      </c>
      <c r="J340" t="n">
        <v>883.261112</v>
      </c>
      <c r="K340" t="n">
        <v>865.5958890000001</v>
      </c>
      <c r="L340" t="n">
        <v>1961.116323</v>
      </c>
      <c r="M340" t="n">
        <v>1961.116323</v>
      </c>
      <c r="N340" t="n">
        <v>1961.116323</v>
      </c>
      <c r="O340" t="n">
        <v>1097.797369</v>
      </c>
      <c r="P340" t="n">
        <v>300.80342</v>
      </c>
      <c r="Q340" t="n">
        <v>1961.116323</v>
      </c>
      <c r="R340" t="n">
        <v>1961.116323</v>
      </c>
      <c r="S340" t="n">
        <v>1097.797369</v>
      </c>
      <c r="T340" t="n">
        <v>1097.797369</v>
      </c>
      <c r="U340" t="n">
        <v>300.80342</v>
      </c>
      <c r="V340" t="n">
        <v>300.80342</v>
      </c>
      <c r="W340" t="n">
        <v>1171.90733</v>
      </c>
      <c r="X340" t="n">
        <v>2200.248768</v>
      </c>
    </row>
    <row r="341">
      <c r="A341" t="inlineStr">
        <is>
          <t>Ephippidae</t>
        </is>
      </c>
      <c r="B341" t="n">
        <v>3.57</v>
      </c>
      <c r="C341" t="n">
        <v>371.535229</v>
      </c>
      <c r="D341" t="inlineStr">
        <is>
          <t>Med Benthic Carnivores</t>
        </is>
      </c>
      <c r="E341" t="n">
        <v>106.362581</v>
      </c>
      <c r="F341" t="n">
        <v>153.506319</v>
      </c>
      <c r="G341" t="n">
        <v>32.014124</v>
      </c>
      <c r="H341" t="n">
        <v>100.68782</v>
      </c>
      <c r="I341" t="n">
        <v>159.061371</v>
      </c>
      <c r="J341" t="n">
        <v>159.061371</v>
      </c>
      <c r="K341" t="n">
        <v>156.039205</v>
      </c>
      <c r="L341" t="n">
        <v>198.208223</v>
      </c>
      <c r="M341" t="n">
        <v>198.208223</v>
      </c>
      <c r="N341" t="n">
        <v>198.208223</v>
      </c>
      <c r="O341" t="n">
        <v>116.373231</v>
      </c>
      <c r="P341" t="n">
        <v>56.490526</v>
      </c>
      <c r="Q341" t="n">
        <v>198.208223</v>
      </c>
      <c r="R341" t="n">
        <v>198.208223</v>
      </c>
      <c r="S341" t="n">
        <v>116.373231</v>
      </c>
      <c r="T341" t="n">
        <v>116.373231</v>
      </c>
      <c r="U341" t="n">
        <v>56.490526</v>
      </c>
      <c r="V341" t="n">
        <v>56.490526</v>
      </c>
      <c r="W341" t="n">
        <v>120.80197</v>
      </c>
      <c r="X341" t="n">
        <v>213.813007</v>
      </c>
    </row>
    <row r="342">
      <c r="A342" t="inlineStr">
        <is>
          <t>Cephalopholis miniata</t>
        </is>
      </c>
      <c r="B342" t="n">
        <v>4.29</v>
      </c>
      <c r="C342" t="n">
        <v>1949.8446</v>
      </c>
      <c r="D342" t="inlineStr">
        <is>
          <t>Large Benthic Carnivores</t>
        </is>
      </c>
      <c r="E342" t="n">
        <v>106.362581</v>
      </c>
      <c r="F342" t="n">
        <v>1113.102078</v>
      </c>
      <c r="G342" t="n">
        <v>125.259096</v>
      </c>
      <c r="H342" t="n">
        <v>249.981248</v>
      </c>
      <c r="I342" t="n">
        <v>421.749845</v>
      </c>
      <c r="J342" t="n">
        <v>575.638232</v>
      </c>
      <c r="K342" t="n">
        <v>564.125467</v>
      </c>
      <c r="L342" t="n">
        <v>1114.691652</v>
      </c>
      <c r="M342" t="n">
        <v>1114.691652</v>
      </c>
      <c r="N342" t="n">
        <v>1114.691652</v>
      </c>
      <c r="O342" t="n">
        <v>635.9376559999999</v>
      </c>
      <c r="P342" t="n">
        <v>217.238675</v>
      </c>
      <c r="Q342" t="n">
        <v>1114.691652</v>
      </c>
      <c r="R342" t="n">
        <v>1114.691652</v>
      </c>
      <c r="S342" t="n">
        <v>635.9376559999999</v>
      </c>
      <c r="T342" t="n">
        <v>635.9376559999999</v>
      </c>
      <c r="U342" t="n">
        <v>217.238675</v>
      </c>
      <c r="V342" t="n">
        <v>217.238675</v>
      </c>
      <c r="W342" t="n">
        <v>686.067599</v>
      </c>
      <c r="X342" t="n">
        <v>1252.543178</v>
      </c>
    </row>
    <row r="343">
      <c r="A343" t="inlineStr">
        <is>
          <t>Epinephelus fasciatus</t>
        </is>
      </c>
      <c r="B343" t="n">
        <v>3.72</v>
      </c>
      <c r="C343" t="n">
        <v>524.80746</v>
      </c>
      <c r="D343" t="inlineStr">
        <is>
          <t>Large Benthic Carnivores</t>
        </is>
      </c>
      <c r="E343" t="n">
        <v>106.362581</v>
      </c>
      <c r="F343" t="n">
        <v>1113.102078</v>
      </c>
      <c r="G343" t="n">
        <v>125.259096</v>
      </c>
      <c r="H343" t="n">
        <v>249.981248</v>
      </c>
      <c r="I343" t="n">
        <v>421.749845</v>
      </c>
      <c r="J343" t="n">
        <v>575.638232</v>
      </c>
      <c r="K343" t="n">
        <v>564.125467</v>
      </c>
      <c r="L343" t="n">
        <v>1114.691652</v>
      </c>
      <c r="M343" t="n">
        <v>1114.691652</v>
      </c>
      <c r="N343" t="n">
        <v>1114.691652</v>
      </c>
      <c r="O343" t="n">
        <v>635.9376559999999</v>
      </c>
      <c r="P343" t="n">
        <v>217.238675</v>
      </c>
      <c r="Q343" t="n">
        <v>1114.691652</v>
      </c>
      <c r="R343" t="n">
        <v>1114.691652</v>
      </c>
      <c r="S343" t="n">
        <v>635.9376559999999</v>
      </c>
      <c r="T343" t="n">
        <v>635.9376559999999</v>
      </c>
      <c r="U343" t="n">
        <v>217.238675</v>
      </c>
      <c r="V343" t="n">
        <v>217.238675</v>
      </c>
      <c r="W343" t="n">
        <v>686.067599</v>
      </c>
      <c r="X343" t="n">
        <v>1252.543178</v>
      </c>
    </row>
    <row r="344">
      <c r="A344" t="inlineStr">
        <is>
          <t>Cephalopholis</t>
        </is>
      </c>
      <c r="B344" t="n">
        <v>4.13</v>
      </c>
      <c r="C344" t="n">
        <v>1348.962883</v>
      </c>
      <c r="D344" t="inlineStr">
        <is>
          <t>Large Benthic Carnivores</t>
        </is>
      </c>
      <c r="E344" t="n">
        <v>106.362581</v>
      </c>
      <c r="F344" t="n">
        <v>1113.102078</v>
      </c>
      <c r="G344" t="n">
        <v>125.259096</v>
      </c>
      <c r="H344" t="n">
        <v>249.981248</v>
      </c>
      <c r="I344" t="n">
        <v>421.749845</v>
      </c>
      <c r="J344" t="n">
        <v>575.638232</v>
      </c>
      <c r="K344" t="n">
        <v>564.125467</v>
      </c>
      <c r="L344" t="n">
        <v>1114.691652</v>
      </c>
      <c r="M344" t="n">
        <v>1114.691652</v>
      </c>
      <c r="N344" t="n">
        <v>1114.691652</v>
      </c>
      <c r="O344" t="n">
        <v>635.9376559999999</v>
      </c>
      <c r="P344" t="n">
        <v>217.238675</v>
      </c>
      <c r="Q344" t="n">
        <v>1114.691652</v>
      </c>
      <c r="R344" t="n">
        <v>1114.691652</v>
      </c>
      <c r="S344" t="n">
        <v>635.9376559999999</v>
      </c>
      <c r="T344" t="n">
        <v>635.9376559999999</v>
      </c>
      <c r="U344" t="n">
        <v>217.238675</v>
      </c>
      <c r="V344" t="n">
        <v>217.238675</v>
      </c>
      <c r="W344" t="n">
        <v>686.067599</v>
      </c>
      <c r="X344" t="n">
        <v>1252.543178</v>
      </c>
    </row>
    <row r="345">
      <c r="A345" t="inlineStr">
        <is>
          <t>Ablennes hians</t>
        </is>
      </c>
      <c r="B345" t="n">
        <v>4.5</v>
      </c>
      <c r="C345" t="n">
        <v>3162.27766</v>
      </c>
      <c r="D345" t="inlineStr">
        <is>
          <t>Large Pelagics</t>
        </is>
      </c>
      <c r="E345" t="n">
        <v>106.362581</v>
      </c>
      <c r="F345" t="n">
        <v>1182.417917</v>
      </c>
      <c r="G345" t="n">
        <v>130.579526</v>
      </c>
      <c r="H345" t="n">
        <v>655.098468</v>
      </c>
      <c r="I345" t="n">
        <v>848.885192</v>
      </c>
      <c r="J345" t="n">
        <v>883.261112</v>
      </c>
      <c r="K345" t="n">
        <v>865.5958890000001</v>
      </c>
      <c r="L345" t="n">
        <v>1961.116323</v>
      </c>
      <c r="M345" t="n">
        <v>1961.116323</v>
      </c>
      <c r="N345" t="n">
        <v>1961.116323</v>
      </c>
      <c r="O345" t="n">
        <v>1097.797369</v>
      </c>
      <c r="P345" t="n">
        <v>300.80342</v>
      </c>
      <c r="Q345" t="n">
        <v>1961.116323</v>
      </c>
      <c r="R345" t="n">
        <v>1961.116323</v>
      </c>
      <c r="S345" t="n">
        <v>1097.797369</v>
      </c>
      <c r="T345" t="n">
        <v>1097.797369</v>
      </c>
      <c r="U345" t="n">
        <v>300.80342</v>
      </c>
      <c r="V345" t="n">
        <v>300.80342</v>
      </c>
      <c r="W345" t="n">
        <v>1171.90733</v>
      </c>
      <c r="X345" t="n">
        <v>2200.248768</v>
      </c>
    </row>
    <row r="346">
      <c r="A346" t="inlineStr">
        <is>
          <t>Seriola</t>
        </is>
      </c>
      <c r="B346" t="n">
        <v>4.39</v>
      </c>
      <c r="C346" t="n">
        <v>2454.708916</v>
      </c>
      <c r="D346" t="inlineStr">
        <is>
          <t>Large Benthic Carnivores</t>
        </is>
      </c>
      <c r="E346" t="n">
        <v>106.362581</v>
      </c>
      <c r="F346" t="n">
        <v>1113.102078</v>
      </c>
      <c r="G346" t="n">
        <v>125.259096</v>
      </c>
      <c r="H346" t="n">
        <v>249.981248</v>
      </c>
      <c r="I346" t="n">
        <v>421.749845</v>
      </c>
      <c r="J346" t="n">
        <v>575.638232</v>
      </c>
      <c r="K346" t="n">
        <v>564.125467</v>
      </c>
      <c r="L346" t="n">
        <v>1114.691652</v>
      </c>
      <c r="M346" t="n">
        <v>1114.691652</v>
      </c>
      <c r="N346" t="n">
        <v>1114.691652</v>
      </c>
      <c r="O346" t="n">
        <v>635.9376559999999</v>
      </c>
      <c r="P346" t="n">
        <v>217.238675</v>
      </c>
      <c r="Q346" t="n">
        <v>1114.691652</v>
      </c>
      <c r="R346" t="n">
        <v>1114.691652</v>
      </c>
      <c r="S346" t="n">
        <v>635.9376559999999</v>
      </c>
      <c r="T346" t="n">
        <v>635.9376559999999</v>
      </c>
      <c r="U346" t="n">
        <v>217.238675</v>
      </c>
      <c r="V346" t="n">
        <v>217.238675</v>
      </c>
      <c r="W346" t="n">
        <v>686.067599</v>
      </c>
      <c r="X346" t="n">
        <v>1252.543178</v>
      </c>
    </row>
    <row r="347">
      <c r="A347" t="inlineStr">
        <is>
          <t>Octopoda</t>
        </is>
      </c>
      <c r="B347" t="n">
        <v>3.58</v>
      </c>
      <c r="C347" t="n">
        <v>380.189396</v>
      </c>
      <c r="D347" t="inlineStr">
        <is>
          <t>Cephalopods</t>
        </is>
      </c>
      <c r="E347" t="n">
        <v>106.362581</v>
      </c>
      <c r="F347" t="n">
        <v>1254.312676</v>
      </c>
      <c r="G347" t="n">
        <v>135.996248</v>
      </c>
      <c r="H347" t="n">
        <v>384.963959</v>
      </c>
      <c r="I347" t="n">
        <v>1331.752693</v>
      </c>
      <c r="J347" t="n">
        <v>1334.257295</v>
      </c>
      <c r="K347" t="n">
        <v>1300.900862</v>
      </c>
      <c r="L347" t="n">
        <v>2933.853362</v>
      </c>
      <c r="M347" t="n">
        <v>2933.853362</v>
      </c>
      <c r="N347" t="n">
        <v>2933.853362</v>
      </c>
      <c r="O347" t="n">
        <v>1771.03868</v>
      </c>
      <c r="P347" t="n">
        <v>582.871532</v>
      </c>
      <c r="Q347" t="n">
        <v>2933.853362</v>
      </c>
      <c r="R347" t="n">
        <v>2933.853362</v>
      </c>
      <c r="S347" t="n">
        <v>1771.03868</v>
      </c>
      <c r="T347" t="n">
        <v>1771.03868</v>
      </c>
      <c r="U347" t="n">
        <v>582.871532</v>
      </c>
      <c r="V347" t="n">
        <v>582.871532</v>
      </c>
      <c r="W347" t="n">
        <v>1904.354617</v>
      </c>
      <c r="X347" t="n">
        <v>3263.675794</v>
      </c>
    </row>
    <row r="348">
      <c r="A348" t="inlineStr">
        <is>
          <t>Scomberomorus lineolatus</t>
        </is>
      </c>
      <c r="B348" t="n">
        <v>4.5</v>
      </c>
      <c r="C348" t="n">
        <v>3162.27766</v>
      </c>
      <c r="D348" t="inlineStr">
        <is>
          <t>Large Pelagics</t>
        </is>
      </c>
      <c r="E348" t="n">
        <v>106.362581</v>
      </c>
      <c r="F348" t="n">
        <v>1182.417917</v>
      </c>
      <c r="G348" t="n">
        <v>130.579526</v>
      </c>
      <c r="H348" t="n">
        <v>655.098468</v>
      </c>
      <c r="I348" t="n">
        <v>848.885192</v>
      </c>
      <c r="J348" t="n">
        <v>883.261112</v>
      </c>
      <c r="K348" t="n">
        <v>865.5958890000001</v>
      </c>
      <c r="L348" t="n">
        <v>1961.116323</v>
      </c>
      <c r="M348" t="n">
        <v>1961.116323</v>
      </c>
      <c r="N348" t="n">
        <v>1961.116323</v>
      </c>
      <c r="O348" t="n">
        <v>1097.797369</v>
      </c>
      <c r="P348" t="n">
        <v>300.80342</v>
      </c>
      <c r="Q348" t="n">
        <v>1961.116323</v>
      </c>
      <c r="R348" t="n">
        <v>1961.116323</v>
      </c>
      <c r="S348" t="n">
        <v>1097.797369</v>
      </c>
      <c r="T348" t="n">
        <v>1097.797369</v>
      </c>
      <c r="U348" t="n">
        <v>300.80342</v>
      </c>
      <c r="V348" t="n">
        <v>300.80342</v>
      </c>
      <c r="W348" t="n">
        <v>1171.90733</v>
      </c>
      <c r="X348" t="n">
        <v>2200.248768</v>
      </c>
    </row>
    <row r="349">
      <c r="A349" t="inlineStr">
        <is>
          <t>Gymnosarda unicolor</t>
        </is>
      </c>
      <c r="B349" t="n">
        <v>4.5</v>
      </c>
      <c r="C349" t="n">
        <v>3162.27766</v>
      </c>
      <c r="D349" t="inlineStr">
        <is>
          <t>Tunas</t>
        </is>
      </c>
      <c r="E349" t="n">
        <v>106.362581</v>
      </c>
      <c r="F349" t="n">
        <v>1377.951482</v>
      </c>
      <c r="G349" t="n">
        <v>145.091076</v>
      </c>
      <c r="H349" t="n">
        <v>354.016089</v>
      </c>
      <c r="I349" t="n">
        <v>804.627355</v>
      </c>
      <c r="J349" t="n">
        <v>818.1011109999999</v>
      </c>
      <c r="K349" t="n">
        <v>575.125081</v>
      </c>
      <c r="L349" t="n">
        <v>970.782826</v>
      </c>
      <c r="M349" t="n">
        <v>970.782826</v>
      </c>
      <c r="N349" t="n">
        <v>970.782826</v>
      </c>
      <c r="O349" t="n">
        <v>487.056907</v>
      </c>
      <c r="P349" t="n">
        <v>182.863315</v>
      </c>
      <c r="Q349" t="n">
        <v>970.782826</v>
      </c>
      <c r="R349" t="n">
        <v>970.782826</v>
      </c>
      <c r="S349" t="n">
        <v>487.056907</v>
      </c>
      <c r="T349" t="n">
        <v>487.056907</v>
      </c>
      <c r="U349" t="n">
        <v>182.863315</v>
      </c>
      <c r="V349" t="n">
        <v>182.863315</v>
      </c>
      <c r="W349" t="n">
        <v>514.9785419999999</v>
      </c>
      <c r="X349" t="n">
        <v>1083.073415</v>
      </c>
    </row>
    <row r="350">
      <c r="A350" t="inlineStr">
        <is>
          <t>Scolopsis</t>
        </is>
      </c>
      <c r="B350" t="n">
        <v>3.3</v>
      </c>
      <c r="C350" t="n">
        <v>199.526231</v>
      </c>
      <c r="D350" t="inlineStr">
        <is>
          <t>Small Benthic Carnivores</t>
        </is>
      </c>
      <c r="E350" t="n">
        <v>106.362581</v>
      </c>
      <c r="F350" t="n">
        <v>47.875255</v>
      </c>
      <c r="G350" t="n">
        <v>14.351766</v>
      </c>
      <c r="H350" t="n">
        <v>47.936313</v>
      </c>
      <c r="I350" t="n">
        <v>123.68277</v>
      </c>
      <c r="J350" t="n">
        <v>123.68277</v>
      </c>
      <c r="K350" t="n">
        <v>121.085432</v>
      </c>
      <c r="L350" t="n">
        <v>160.705061</v>
      </c>
      <c r="M350" t="n">
        <v>160.705061</v>
      </c>
      <c r="N350" t="n">
        <v>160.705061</v>
      </c>
      <c r="O350" t="n">
        <v>86.69575</v>
      </c>
      <c r="P350" t="n">
        <v>48.551122</v>
      </c>
      <c r="Q350" t="n">
        <v>160.705061</v>
      </c>
      <c r="R350" t="n">
        <v>160.705061</v>
      </c>
      <c r="S350" t="n">
        <v>86.69575</v>
      </c>
      <c r="T350" t="n">
        <v>86.69575</v>
      </c>
      <c r="U350" t="n">
        <v>48.551122</v>
      </c>
      <c r="V350" t="n">
        <v>48.551122</v>
      </c>
      <c r="W350" t="n">
        <v>90.428786</v>
      </c>
      <c r="X350" t="n">
        <v>169.279514</v>
      </c>
    </row>
    <row r="351">
      <c r="A351" t="inlineStr">
        <is>
          <t>Berycidae</t>
        </is>
      </c>
      <c r="D351" t="inlineStr">
        <is>
          <t>Med Benthic Carnivores</t>
        </is>
      </c>
      <c r="E351" t="n">
        <v>106.362581</v>
      </c>
      <c r="F351" t="n">
        <v>153.506319</v>
      </c>
      <c r="G351" t="n">
        <v>32.014124</v>
      </c>
      <c r="H351" t="n">
        <v>100.68782</v>
      </c>
      <c r="I351" t="n">
        <v>159.061371</v>
      </c>
      <c r="J351" t="n">
        <v>159.061371</v>
      </c>
      <c r="K351" t="n">
        <v>156.039205</v>
      </c>
      <c r="L351" t="n">
        <v>198.208223</v>
      </c>
      <c r="M351" t="n">
        <v>198.208223</v>
      </c>
      <c r="N351" t="n">
        <v>198.208223</v>
      </c>
      <c r="O351" t="n">
        <v>116.373231</v>
      </c>
      <c r="P351" t="n">
        <v>56.490526</v>
      </c>
      <c r="Q351" t="n">
        <v>198.208223</v>
      </c>
      <c r="R351" t="n">
        <v>198.208223</v>
      </c>
      <c r="S351" t="n">
        <v>116.373231</v>
      </c>
      <c r="T351" t="n">
        <v>116.373231</v>
      </c>
      <c r="U351" t="n">
        <v>56.490526</v>
      </c>
      <c r="V351" t="n">
        <v>56.490526</v>
      </c>
      <c r="W351" t="n">
        <v>120.80197</v>
      </c>
      <c r="X351" t="n">
        <v>213.813007</v>
      </c>
    </row>
    <row r="352">
      <c r="A352" t="inlineStr">
        <is>
          <t>Aluterus monoceros</t>
        </is>
      </c>
      <c r="B352" t="n">
        <v>3.84</v>
      </c>
      <c r="C352" t="n">
        <v>691.830971</v>
      </c>
      <c r="D352" t="inlineStr">
        <is>
          <t>Med Benthic Carnivores</t>
        </is>
      </c>
      <c r="E352" t="n">
        <v>106.362581</v>
      </c>
      <c r="F352" t="n">
        <v>153.506319</v>
      </c>
      <c r="G352" t="n">
        <v>32.014124</v>
      </c>
      <c r="H352" t="n">
        <v>100.68782</v>
      </c>
      <c r="I352" t="n">
        <v>159.061371</v>
      </c>
      <c r="J352" t="n">
        <v>159.061371</v>
      </c>
      <c r="K352" t="n">
        <v>156.039205</v>
      </c>
      <c r="L352" t="n">
        <v>198.208223</v>
      </c>
      <c r="M352" t="n">
        <v>198.208223</v>
      </c>
      <c r="N352" t="n">
        <v>198.208223</v>
      </c>
      <c r="O352" t="n">
        <v>116.373231</v>
      </c>
      <c r="P352" t="n">
        <v>56.490526</v>
      </c>
      <c r="Q352" t="n">
        <v>198.208223</v>
      </c>
      <c r="R352" t="n">
        <v>198.208223</v>
      </c>
      <c r="S352" t="n">
        <v>116.373231</v>
      </c>
      <c r="T352" t="n">
        <v>116.373231</v>
      </c>
      <c r="U352" t="n">
        <v>56.490526</v>
      </c>
      <c r="V352" t="n">
        <v>56.490526</v>
      </c>
      <c r="W352" t="n">
        <v>120.80197</v>
      </c>
      <c r="X352" t="n">
        <v>213.813007</v>
      </c>
    </row>
    <row r="353">
      <c r="A353" t="inlineStr">
        <is>
          <t>Caranx lugubris</t>
        </is>
      </c>
      <c r="B353" t="n">
        <v>4.5</v>
      </c>
      <c r="C353" t="n">
        <v>3162.27766</v>
      </c>
      <c r="D353" t="inlineStr">
        <is>
          <t>Large Benthic Carnivores</t>
        </is>
      </c>
      <c r="E353" t="n">
        <v>106.362581</v>
      </c>
      <c r="F353" t="n">
        <v>1113.102078</v>
      </c>
      <c r="G353" t="n">
        <v>125.259096</v>
      </c>
      <c r="H353" t="n">
        <v>249.981248</v>
      </c>
      <c r="I353" t="n">
        <v>421.749845</v>
      </c>
      <c r="J353" t="n">
        <v>575.638232</v>
      </c>
      <c r="K353" t="n">
        <v>564.125467</v>
      </c>
      <c r="L353" t="n">
        <v>1114.691652</v>
      </c>
      <c r="M353" t="n">
        <v>1114.691652</v>
      </c>
      <c r="N353" t="n">
        <v>1114.691652</v>
      </c>
      <c r="O353" t="n">
        <v>635.9376559999999</v>
      </c>
      <c r="P353" t="n">
        <v>217.238675</v>
      </c>
      <c r="Q353" t="n">
        <v>1114.691652</v>
      </c>
      <c r="R353" t="n">
        <v>1114.691652</v>
      </c>
      <c r="S353" t="n">
        <v>635.9376559999999</v>
      </c>
      <c r="T353" t="n">
        <v>635.9376559999999</v>
      </c>
      <c r="U353" t="n">
        <v>217.238675</v>
      </c>
      <c r="V353" t="n">
        <v>217.238675</v>
      </c>
      <c r="W353" t="n">
        <v>686.067599</v>
      </c>
      <c r="X353" t="n">
        <v>1252.543178</v>
      </c>
    </row>
    <row r="354">
      <c r="A354" t="inlineStr">
        <is>
          <t>Aphareus rutilans</t>
        </is>
      </c>
      <c r="B354" t="n">
        <v>4.11</v>
      </c>
      <c r="C354" t="n">
        <v>1288.249552</v>
      </c>
      <c r="D354" t="inlineStr">
        <is>
          <t>Large Benthic Carnivores</t>
        </is>
      </c>
      <c r="E354" t="n">
        <v>106.362581</v>
      </c>
      <c r="F354" t="n">
        <v>1113.102078</v>
      </c>
      <c r="G354" t="n">
        <v>125.259096</v>
      </c>
      <c r="H354" t="n">
        <v>249.981248</v>
      </c>
      <c r="I354" t="n">
        <v>421.749845</v>
      </c>
      <c r="J354" t="n">
        <v>575.638232</v>
      </c>
      <c r="K354" t="n">
        <v>564.125467</v>
      </c>
      <c r="L354" t="n">
        <v>1114.691652</v>
      </c>
      <c r="M354" t="n">
        <v>1114.691652</v>
      </c>
      <c r="N354" t="n">
        <v>1114.691652</v>
      </c>
      <c r="O354" t="n">
        <v>635.9376559999999</v>
      </c>
      <c r="P354" t="n">
        <v>217.238675</v>
      </c>
      <c r="Q354" t="n">
        <v>1114.691652</v>
      </c>
      <c r="R354" t="n">
        <v>1114.691652</v>
      </c>
      <c r="S354" t="n">
        <v>635.9376559999999</v>
      </c>
      <c r="T354" t="n">
        <v>635.9376559999999</v>
      </c>
      <c r="U354" t="n">
        <v>217.238675</v>
      </c>
      <c r="V354" t="n">
        <v>217.238675</v>
      </c>
      <c r="W354" t="n">
        <v>686.067599</v>
      </c>
      <c r="X354" t="n">
        <v>1252.543178</v>
      </c>
    </row>
    <row r="355">
      <c r="A355" t="inlineStr">
        <is>
          <t>Macolor niger</t>
        </is>
      </c>
      <c r="B355" t="n">
        <v>4.01</v>
      </c>
      <c r="C355" t="n">
        <v>1023.292992</v>
      </c>
      <c r="D355" t="inlineStr">
        <is>
          <t>Large Benthic Carnivores</t>
        </is>
      </c>
      <c r="E355" t="n">
        <v>106.362581</v>
      </c>
      <c r="F355" t="n">
        <v>1113.102078</v>
      </c>
      <c r="G355" t="n">
        <v>125.259096</v>
      </c>
      <c r="H355" t="n">
        <v>249.981248</v>
      </c>
      <c r="I355" t="n">
        <v>421.749845</v>
      </c>
      <c r="J355" t="n">
        <v>575.638232</v>
      </c>
      <c r="K355" t="n">
        <v>564.125467</v>
      </c>
      <c r="L355" t="n">
        <v>1114.691652</v>
      </c>
      <c r="M355" t="n">
        <v>1114.691652</v>
      </c>
      <c r="N355" t="n">
        <v>1114.691652</v>
      </c>
      <c r="O355" t="n">
        <v>635.9376559999999</v>
      </c>
      <c r="P355" t="n">
        <v>217.238675</v>
      </c>
      <c r="Q355" t="n">
        <v>1114.691652</v>
      </c>
      <c r="R355" t="n">
        <v>1114.691652</v>
      </c>
      <c r="S355" t="n">
        <v>635.9376559999999</v>
      </c>
      <c r="T355" t="n">
        <v>635.9376559999999</v>
      </c>
      <c r="U355" t="n">
        <v>217.238675</v>
      </c>
      <c r="V355" t="n">
        <v>217.238675</v>
      </c>
      <c r="W355" t="n">
        <v>686.067599</v>
      </c>
      <c r="X355" t="n">
        <v>1252.543178</v>
      </c>
    </row>
    <row r="356">
      <c r="A356" t="inlineStr">
        <is>
          <t>Macolor macularis</t>
        </is>
      </c>
      <c r="D356" t="inlineStr">
        <is>
          <t>Large Benthic Carnivores</t>
        </is>
      </c>
      <c r="E356" t="n">
        <v>106.362581</v>
      </c>
      <c r="F356" t="n">
        <v>1113.102078</v>
      </c>
      <c r="G356" t="n">
        <v>125.259096</v>
      </c>
      <c r="H356" t="n">
        <v>249.981248</v>
      </c>
      <c r="I356" t="n">
        <v>421.749845</v>
      </c>
      <c r="J356" t="n">
        <v>575.638232</v>
      </c>
      <c r="K356" t="n">
        <v>564.125467</v>
      </c>
      <c r="L356" t="n">
        <v>1114.691652</v>
      </c>
      <c r="M356" t="n">
        <v>1114.691652</v>
      </c>
      <c r="N356" t="n">
        <v>1114.691652</v>
      </c>
      <c r="O356" t="n">
        <v>635.9376559999999</v>
      </c>
      <c r="P356" t="n">
        <v>217.238675</v>
      </c>
      <c r="Q356" t="n">
        <v>1114.691652</v>
      </c>
      <c r="R356" t="n">
        <v>1114.691652</v>
      </c>
      <c r="S356" t="n">
        <v>635.9376559999999</v>
      </c>
      <c r="T356" t="n">
        <v>635.9376559999999</v>
      </c>
      <c r="U356" t="n">
        <v>217.238675</v>
      </c>
      <c r="V356" t="n">
        <v>217.238675</v>
      </c>
      <c r="W356" t="n">
        <v>686.067599</v>
      </c>
      <c r="X356" t="n">
        <v>1252.543178</v>
      </c>
    </row>
    <row r="357">
      <c r="A357" t="inlineStr">
        <is>
          <t>Sillago</t>
        </is>
      </c>
      <c r="B357" t="n">
        <v>3.33</v>
      </c>
      <c r="C357" t="n">
        <v>213.796209</v>
      </c>
      <c r="D357" t="inlineStr">
        <is>
          <t>Med Benthic Carnivores</t>
        </is>
      </c>
      <c r="E357" t="n">
        <v>106.362581</v>
      </c>
      <c r="F357" t="n">
        <v>153.506319</v>
      </c>
      <c r="G357" t="n">
        <v>32.014124</v>
      </c>
      <c r="H357" t="n">
        <v>100.68782</v>
      </c>
      <c r="I357" t="n">
        <v>159.061371</v>
      </c>
      <c r="J357" t="n">
        <v>159.061371</v>
      </c>
      <c r="K357" t="n">
        <v>156.039205</v>
      </c>
      <c r="L357" t="n">
        <v>198.208223</v>
      </c>
      <c r="M357" t="n">
        <v>198.208223</v>
      </c>
      <c r="N357" t="n">
        <v>198.208223</v>
      </c>
      <c r="O357" t="n">
        <v>116.373231</v>
      </c>
      <c r="P357" t="n">
        <v>56.490526</v>
      </c>
      <c r="Q357" t="n">
        <v>198.208223</v>
      </c>
      <c r="R357" t="n">
        <v>198.208223</v>
      </c>
      <c r="S357" t="n">
        <v>116.373231</v>
      </c>
      <c r="T357" t="n">
        <v>116.373231</v>
      </c>
      <c r="U357" t="n">
        <v>56.490526</v>
      </c>
      <c r="V357" t="n">
        <v>56.490526</v>
      </c>
      <c r="W357" t="n">
        <v>120.80197</v>
      </c>
      <c r="X357" t="n">
        <v>213.813007</v>
      </c>
    </row>
    <row r="358">
      <c r="A358" t="inlineStr">
        <is>
          <t>Rhincodon typus</t>
        </is>
      </c>
      <c r="B358" t="n">
        <v>3.55</v>
      </c>
      <c r="C358" t="n">
        <v>354.813389</v>
      </c>
      <c r="D358" t="inlineStr">
        <is>
          <t>Sharks</t>
        </is>
      </c>
      <c r="E358" t="n">
        <v>106.362581</v>
      </c>
      <c r="F358" t="n">
        <v>2569.28922</v>
      </c>
      <c r="G358" t="n">
        <v>222.822151</v>
      </c>
      <c r="H358" t="n">
        <v>1308.685037</v>
      </c>
      <c r="I358" t="n">
        <v>1955.186859</v>
      </c>
      <c r="J358" t="n">
        <v>2007.418175</v>
      </c>
      <c r="K358" t="n">
        <v>1423.259486</v>
      </c>
      <c r="L358" t="n">
        <v>3930.042293</v>
      </c>
      <c r="M358" t="n">
        <v>3930.042293</v>
      </c>
      <c r="N358" t="n">
        <v>3930.042293</v>
      </c>
      <c r="O358" t="n">
        <v>1585.345045</v>
      </c>
      <c r="P358" t="n">
        <v>411.268522</v>
      </c>
      <c r="Q358" t="n">
        <v>3930.042293</v>
      </c>
      <c r="R358" t="n">
        <v>3930.042293</v>
      </c>
      <c r="S358" t="n">
        <v>1585.345045</v>
      </c>
      <c r="T358" t="n">
        <v>1585.345045</v>
      </c>
      <c r="U358" t="n">
        <v>411.268522</v>
      </c>
      <c r="V358" t="n">
        <v>411.268522</v>
      </c>
      <c r="W358" t="n">
        <v>1647.369658</v>
      </c>
      <c r="X358" t="n">
        <v>4507.362005</v>
      </c>
    </row>
    <row r="359">
      <c r="A359" t="inlineStr">
        <is>
          <t>Penaeus indicus</t>
        </is>
      </c>
      <c r="D359" t="inlineStr">
        <is>
          <t>Shrimps</t>
        </is>
      </c>
      <c r="E359" t="n">
        <v>106.362581</v>
      </c>
      <c r="F359" t="n">
        <v>102.724644</v>
      </c>
      <c r="G359" t="n">
        <v>24.278186</v>
      </c>
      <c r="H359" t="n">
        <v>49.254496</v>
      </c>
      <c r="I359" t="n">
        <v>47.332503</v>
      </c>
      <c r="J359" t="n">
        <v>47.332503</v>
      </c>
      <c r="K359" t="n">
        <v>46.385853</v>
      </c>
      <c r="L359" t="n">
        <v>49.861086</v>
      </c>
      <c r="M359" t="n">
        <v>49.861086</v>
      </c>
      <c r="N359" t="n">
        <v>49.861086</v>
      </c>
      <c r="O359" t="n">
        <v>41.277787</v>
      </c>
      <c r="P359" t="n">
        <v>24.793452</v>
      </c>
      <c r="Q359" t="n">
        <v>49.861086</v>
      </c>
      <c r="R359" t="n">
        <v>49.861086</v>
      </c>
      <c r="S359" t="n">
        <v>41.277787</v>
      </c>
      <c r="T359" t="n">
        <v>41.277787</v>
      </c>
      <c r="U359" t="n">
        <v>24.793452</v>
      </c>
      <c r="V359" t="n">
        <v>24.793452</v>
      </c>
      <c r="W359" t="n">
        <v>43.911832</v>
      </c>
      <c r="X359" t="n">
        <v>53.47357</v>
      </c>
    </row>
    <row r="360">
      <c r="A360" t="inlineStr">
        <is>
          <t>Nemipterus randalli</t>
        </is>
      </c>
      <c r="D360" t="inlineStr">
        <is>
          <t>Small Benthic Carnivores</t>
        </is>
      </c>
      <c r="E360" t="n">
        <v>106.362581</v>
      </c>
      <c r="F360" t="n">
        <v>47.875255</v>
      </c>
      <c r="G360" t="n">
        <v>14.351766</v>
      </c>
      <c r="H360" t="n">
        <v>47.936313</v>
      </c>
      <c r="I360" t="n">
        <v>123.68277</v>
      </c>
      <c r="J360" t="n">
        <v>123.68277</v>
      </c>
      <c r="K360" t="n">
        <v>121.085432</v>
      </c>
      <c r="L360" t="n">
        <v>160.705061</v>
      </c>
      <c r="M360" t="n">
        <v>160.705061</v>
      </c>
      <c r="N360" t="n">
        <v>160.705061</v>
      </c>
      <c r="O360" t="n">
        <v>86.69575</v>
      </c>
      <c r="P360" t="n">
        <v>48.551122</v>
      </c>
      <c r="Q360" t="n">
        <v>160.705061</v>
      </c>
      <c r="R360" t="n">
        <v>160.705061</v>
      </c>
      <c r="S360" t="n">
        <v>86.69575</v>
      </c>
      <c r="T360" t="n">
        <v>86.69575</v>
      </c>
      <c r="U360" t="n">
        <v>48.551122</v>
      </c>
      <c r="V360" t="n">
        <v>48.551122</v>
      </c>
      <c r="W360" t="n">
        <v>90.428786</v>
      </c>
      <c r="X360" t="n">
        <v>169.279514</v>
      </c>
    </row>
    <row r="361">
      <c r="A361" t="inlineStr">
        <is>
          <t>Aethaloperca rogaa</t>
        </is>
      </c>
      <c r="B361" t="n">
        <v>4.2</v>
      </c>
      <c r="C361" t="n">
        <v>1584.893192</v>
      </c>
      <c r="D361" t="inlineStr">
        <is>
          <t>Large Benthic Carnivores</t>
        </is>
      </c>
      <c r="E361" t="n">
        <v>106.362581</v>
      </c>
      <c r="F361" t="n">
        <v>1113.102078</v>
      </c>
      <c r="G361" t="n">
        <v>125.259096</v>
      </c>
      <c r="H361" t="n">
        <v>249.981248</v>
      </c>
      <c r="I361" t="n">
        <v>421.749845</v>
      </c>
      <c r="J361" t="n">
        <v>575.638232</v>
      </c>
      <c r="K361" t="n">
        <v>564.125467</v>
      </c>
      <c r="L361" t="n">
        <v>1114.691652</v>
      </c>
      <c r="M361" t="n">
        <v>1114.691652</v>
      </c>
      <c r="N361" t="n">
        <v>1114.691652</v>
      </c>
      <c r="O361" t="n">
        <v>635.9376559999999</v>
      </c>
      <c r="P361" t="n">
        <v>217.238675</v>
      </c>
      <c r="Q361" t="n">
        <v>1114.691652</v>
      </c>
      <c r="R361" t="n">
        <v>1114.691652</v>
      </c>
      <c r="S361" t="n">
        <v>635.9376559999999</v>
      </c>
      <c r="T361" t="n">
        <v>635.9376559999999</v>
      </c>
      <c r="U361" t="n">
        <v>217.238675</v>
      </c>
      <c r="V361" t="n">
        <v>217.238675</v>
      </c>
      <c r="W361" t="n">
        <v>686.067599</v>
      </c>
      <c r="X361" t="n">
        <v>1252.543178</v>
      </c>
    </row>
    <row r="362">
      <c r="A362" t="inlineStr">
        <is>
          <t>Plotosidae</t>
        </is>
      </c>
      <c r="B362" t="n">
        <v>3.49</v>
      </c>
      <c r="C362" t="n">
        <v>309.029543</v>
      </c>
      <c r="D362" t="inlineStr">
        <is>
          <t>Benthic Omnivores</t>
        </is>
      </c>
      <c r="E362" t="n">
        <v>106.362581</v>
      </c>
      <c r="F362" t="n">
        <v>34.853983</v>
      </c>
      <c r="G362" t="n">
        <v>11.533933</v>
      </c>
      <c r="H362" t="n">
        <v>23.954598</v>
      </c>
      <c r="I362" t="n">
        <v>122.110584</v>
      </c>
      <c r="J362" t="n">
        <v>122.110584</v>
      </c>
      <c r="K362" t="n">
        <v>119.668372</v>
      </c>
      <c r="L362" t="n">
        <v>234.326211</v>
      </c>
      <c r="M362" t="n">
        <v>234.326211</v>
      </c>
      <c r="N362" t="n">
        <v>234.326211</v>
      </c>
      <c r="O362" t="n">
        <v>32.574396</v>
      </c>
      <c r="P362" t="n">
        <v>28.191927</v>
      </c>
      <c r="Q362" t="n">
        <v>234.326211</v>
      </c>
      <c r="R362" t="n">
        <v>234.326211</v>
      </c>
      <c r="S362" t="n">
        <v>32.574396</v>
      </c>
      <c r="T362" t="n">
        <v>32.574396</v>
      </c>
      <c r="U362" t="n">
        <v>28.191927</v>
      </c>
      <c r="V362" t="n">
        <v>28.191927</v>
      </c>
      <c r="W362" t="n">
        <v>34.709256</v>
      </c>
      <c r="X362" t="n">
        <v>257.01226</v>
      </c>
    </row>
    <row r="363">
      <c r="A363" t="inlineStr">
        <is>
          <t>Elagatis bipinnulata</t>
        </is>
      </c>
      <c r="B363" t="n">
        <v>4.27</v>
      </c>
      <c r="C363" t="n">
        <v>1862.087137</v>
      </c>
      <c r="D363" t="inlineStr">
        <is>
          <t>Large Pelagics</t>
        </is>
      </c>
      <c r="E363" t="n">
        <v>106.362581</v>
      </c>
      <c r="F363" t="n">
        <v>1182.417917</v>
      </c>
      <c r="G363" t="n">
        <v>130.579526</v>
      </c>
      <c r="H363" t="n">
        <v>655.098468</v>
      </c>
      <c r="I363" t="n">
        <v>848.885192</v>
      </c>
      <c r="J363" t="n">
        <v>883.261112</v>
      </c>
      <c r="K363" t="n">
        <v>865.5958890000001</v>
      </c>
      <c r="L363" t="n">
        <v>1961.116323</v>
      </c>
      <c r="M363" t="n">
        <v>1961.116323</v>
      </c>
      <c r="N363" t="n">
        <v>1961.116323</v>
      </c>
      <c r="O363" t="n">
        <v>1097.797369</v>
      </c>
      <c r="P363" t="n">
        <v>300.80342</v>
      </c>
      <c r="Q363" t="n">
        <v>1961.116323</v>
      </c>
      <c r="R363" t="n">
        <v>1961.116323</v>
      </c>
      <c r="S363" t="n">
        <v>1097.797369</v>
      </c>
      <c r="T363" t="n">
        <v>1097.797369</v>
      </c>
      <c r="U363" t="n">
        <v>300.80342</v>
      </c>
      <c r="V363" t="n">
        <v>300.80342</v>
      </c>
      <c r="W363" t="n">
        <v>1171.90733</v>
      </c>
      <c r="X363" t="n">
        <v>2200.248768</v>
      </c>
    </row>
    <row r="364">
      <c r="A364" t="inlineStr">
        <is>
          <t>Malacostraca</t>
        </is>
      </c>
      <c r="D364" t="inlineStr">
        <is>
          <t>Shrimps | Crabs &amp; Lobster</t>
        </is>
      </c>
      <c r="E364" t="n">
        <v>106.362581</v>
      </c>
      <c r="F364" t="n">
        <v>99.467015</v>
      </c>
      <c r="G364" t="n">
        <v>23.723014</v>
      </c>
      <c r="H364" t="n">
        <v>48.209414</v>
      </c>
      <c r="I364" t="n">
        <v>50.962751</v>
      </c>
      <c r="J364" t="n">
        <v>50.962751</v>
      </c>
      <c r="K364" t="n">
        <v>49.906424</v>
      </c>
      <c r="L364" t="n">
        <v>57.923655</v>
      </c>
      <c r="M364" t="n">
        <v>57.923655</v>
      </c>
      <c r="N364" t="n">
        <v>57.923655</v>
      </c>
      <c r="O364" t="n">
        <v>40.900431</v>
      </c>
      <c r="P364" t="n">
        <v>24.791704</v>
      </c>
      <c r="Q364" t="n">
        <v>57.923655</v>
      </c>
      <c r="R364" t="n">
        <v>57.923655</v>
      </c>
      <c r="S364" t="n">
        <v>40.900431</v>
      </c>
      <c r="T364" t="n">
        <v>40.900431</v>
      </c>
      <c r="U364" t="n">
        <v>24.791704</v>
      </c>
      <c r="V364" t="n">
        <v>24.791704</v>
      </c>
      <c r="W364" t="n">
        <v>43.627117</v>
      </c>
      <c r="X364" t="n">
        <v>62.717206</v>
      </c>
    </row>
    <row r="365">
      <c r="A365" t="inlineStr">
        <is>
          <t>Veneridae</t>
        </is>
      </c>
      <c r="B365" t="n">
        <v>2</v>
      </c>
      <c r="C365" t="n">
        <v>10</v>
      </c>
      <c r="D365" t="inlineStr">
        <is>
          <t>Heterotrophic Benthos</t>
        </is>
      </c>
      <c r="E365" t="n">
        <v>106.362581</v>
      </c>
      <c r="F365" t="n">
        <v>19.947374</v>
      </c>
      <c r="G365" t="n">
        <v>7.853921</v>
      </c>
      <c r="H365" t="n">
        <v>13.270207</v>
      </c>
      <c r="I365" t="n">
        <v>123.888042</v>
      </c>
      <c r="J365" t="n">
        <v>123.888042</v>
      </c>
      <c r="K365" t="n">
        <v>15.362117</v>
      </c>
      <c r="L365" t="n">
        <v>260.720597</v>
      </c>
      <c r="M365" t="n">
        <v>260.720597</v>
      </c>
      <c r="N365" t="n">
        <v>260.720597</v>
      </c>
      <c r="O365" t="n">
        <v>19.314018</v>
      </c>
      <c r="P365" t="n">
        <v>17.703696</v>
      </c>
      <c r="Q365" t="n">
        <v>260.720597</v>
      </c>
      <c r="R365" t="n">
        <v>260.720597</v>
      </c>
      <c r="S365" t="n">
        <v>19.314018</v>
      </c>
      <c r="T365" t="n">
        <v>19.314018</v>
      </c>
      <c r="U365" t="n">
        <v>17.703696</v>
      </c>
      <c r="V365" t="n">
        <v>17.703696</v>
      </c>
      <c r="W365" t="n">
        <v>20.650834</v>
      </c>
      <c r="X365" t="n">
        <v>285.015306</v>
      </c>
    </row>
    <row r="366">
      <c r="A366" t="inlineStr">
        <is>
          <t>Haliotidae</t>
        </is>
      </c>
      <c r="B366" t="n">
        <v>2</v>
      </c>
      <c r="C366" t="n">
        <v>10</v>
      </c>
      <c r="D366" t="inlineStr">
        <is>
          <t>Heterotrophic Benthos</t>
        </is>
      </c>
      <c r="E366" t="n">
        <v>106.362581</v>
      </c>
      <c r="F366" t="n">
        <v>19.947374</v>
      </c>
      <c r="G366" t="n">
        <v>7.853921</v>
      </c>
      <c r="H366" t="n">
        <v>13.270207</v>
      </c>
      <c r="I366" t="n">
        <v>123.888042</v>
      </c>
      <c r="J366" t="n">
        <v>123.888042</v>
      </c>
      <c r="K366" t="n">
        <v>15.362117</v>
      </c>
      <c r="L366" t="n">
        <v>260.720597</v>
      </c>
      <c r="M366" t="n">
        <v>260.720597</v>
      </c>
      <c r="N366" t="n">
        <v>260.720597</v>
      </c>
      <c r="O366" t="n">
        <v>19.314018</v>
      </c>
      <c r="P366" t="n">
        <v>17.703696</v>
      </c>
      <c r="Q366" t="n">
        <v>260.720597</v>
      </c>
      <c r="R366" t="n">
        <v>260.720597</v>
      </c>
      <c r="S366" t="n">
        <v>19.314018</v>
      </c>
      <c r="T366" t="n">
        <v>19.314018</v>
      </c>
      <c r="U366" t="n">
        <v>17.703696</v>
      </c>
      <c r="V366" t="n">
        <v>17.703696</v>
      </c>
      <c r="W366" t="n">
        <v>20.650834</v>
      </c>
      <c r="X366" t="n">
        <v>285.015306</v>
      </c>
    </row>
    <row r="367">
      <c r="A367" t="inlineStr">
        <is>
          <t>Spratelloides delicatulus</t>
        </is>
      </c>
      <c r="D367" t="inlineStr">
        <is>
          <t>Clupeids</t>
        </is>
      </c>
      <c r="E367" t="n">
        <v>106.362581</v>
      </c>
      <c r="F367" t="n">
        <v>88.561632</v>
      </c>
      <c r="G367" t="n">
        <v>21.920534</v>
      </c>
      <c r="H367" t="n">
        <v>63.185331</v>
      </c>
      <c r="I367" t="n">
        <v>125.502905</v>
      </c>
      <c r="J367" t="n">
        <v>125.502905</v>
      </c>
      <c r="K367" t="n">
        <v>122.867344</v>
      </c>
      <c r="L367" t="n">
        <v>135.671609</v>
      </c>
      <c r="M367" t="n">
        <v>135.671609</v>
      </c>
      <c r="N367" t="n">
        <v>135.671609</v>
      </c>
      <c r="O367" t="n">
        <v>106.962478</v>
      </c>
      <c r="P367" t="n">
        <v>52.045425</v>
      </c>
      <c r="Q367" t="n">
        <v>135.671609</v>
      </c>
      <c r="R367" t="n">
        <v>135.671609</v>
      </c>
      <c r="S367" t="n">
        <v>106.962478</v>
      </c>
      <c r="T367" t="n">
        <v>106.962478</v>
      </c>
      <c r="U367" t="n">
        <v>52.045425</v>
      </c>
      <c r="V367" t="n">
        <v>52.045425</v>
      </c>
      <c r="W367" t="n">
        <v>110.161718</v>
      </c>
      <c r="X367" t="n">
        <v>144.77438</v>
      </c>
    </row>
    <row r="368">
      <c r="A368" t="inlineStr">
        <is>
          <t>Sphyrna zygaena</t>
        </is>
      </c>
      <c r="B368" t="n">
        <v>4.94</v>
      </c>
      <c r="C368" t="n">
        <v>8709.635899999999</v>
      </c>
      <c r="D368" t="inlineStr">
        <is>
          <t>Sharks</t>
        </is>
      </c>
      <c r="E368" t="n">
        <v>106.362581</v>
      </c>
      <c r="F368" t="n">
        <v>2569.28922</v>
      </c>
      <c r="G368" t="n">
        <v>222.822151</v>
      </c>
      <c r="H368" t="n">
        <v>1308.685037</v>
      </c>
      <c r="I368" t="n">
        <v>1955.186859</v>
      </c>
      <c r="J368" t="n">
        <v>2007.418175</v>
      </c>
      <c r="K368" t="n">
        <v>1423.259486</v>
      </c>
      <c r="L368" t="n">
        <v>3930.042293</v>
      </c>
      <c r="M368" t="n">
        <v>3930.042293</v>
      </c>
      <c r="N368" t="n">
        <v>3930.042293</v>
      </c>
      <c r="O368" t="n">
        <v>1585.345045</v>
      </c>
      <c r="P368" t="n">
        <v>411.268522</v>
      </c>
      <c r="Q368" t="n">
        <v>3930.042293</v>
      </c>
      <c r="R368" t="n">
        <v>3930.042293</v>
      </c>
      <c r="S368" t="n">
        <v>1585.345045</v>
      </c>
      <c r="T368" t="n">
        <v>1585.345045</v>
      </c>
      <c r="U368" t="n">
        <v>411.268522</v>
      </c>
      <c r="V368" t="n">
        <v>411.268522</v>
      </c>
      <c r="W368" t="n">
        <v>1647.369658</v>
      </c>
      <c r="X368" t="n">
        <v>4507.362005</v>
      </c>
    </row>
    <row r="369">
      <c r="A369" t="inlineStr">
        <is>
          <t>Plectorhinchus sordidus</t>
        </is>
      </c>
      <c r="B369" t="n">
        <v>3.99</v>
      </c>
      <c r="C369" t="n">
        <v>977.237221</v>
      </c>
      <c r="D369" t="inlineStr">
        <is>
          <t>Med Benthic Carnivores</t>
        </is>
      </c>
      <c r="E369" t="n">
        <v>106.362581</v>
      </c>
      <c r="F369" t="n">
        <v>153.506319</v>
      </c>
      <c r="G369" t="n">
        <v>32.014124</v>
      </c>
      <c r="H369" t="n">
        <v>100.68782</v>
      </c>
      <c r="I369" t="n">
        <v>159.061371</v>
      </c>
      <c r="J369" t="n">
        <v>159.061371</v>
      </c>
      <c r="K369" t="n">
        <v>156.039205</v>
      </c>
      <c r="L369" t="n">
        <v>198.208223</v>
      </c>
      <c r="M369" t="n">
        <v>198.208223</v>
      </c>
      <c r="N369" t="n">
        <v>198.208223</v>
      </c>
      <c r="O369" t="n">
        <v>116.373231</v>
      </c>
      <c r="P369" t="n">
        <v>56.490526</v>
      </c>
      <c r="Q369" t="n">
        <v>198.208223</v>
      </c>
      <c r="R369" t="n">
        <v>198.208223</v>
      </c>
      <c r="S369" t="n">
        <v>116.373231</v>
      </c>
      <c r="T369" t="n">
        <v>116.373231</v>
      </c>
      <c r="U369" t="n">
        <v>56.490526</v>
      </c>
      <c r="V369" t="n">
        <v>56.490526</v>
      </c>
      <c r="W369" t="n">
        <v>120.80197</v>
      </c>
      <c r="X369" t="n">
        <v>213.813007</v>
      </c>
    </row>
    <row r="370">
      <c r="A370" t="inlineStr">
        <is>
          <t>Holothuroidea</t>
        </is>
      </c>
      <c r="B370" t="n">
        <v>2</v>
      </c>
      <c r="C370" t="n">
        <v>10</v>
      </c>
      <c r="D370" t="inlineStr">
        <is>
          <t>Heterotrophic Benthos</t>
        </is>
      </c>
      <c r="E370" t="n">
        <v>106.362581</v>
      </c>
      <c r="F370" t="n">
        <v>19.947374</v>
      </c>
      <c r="G370" t="n">
        <v>7.853921</v>
      </c>
      <c r="H370" t="n">
        <v>13.270207</v>
      </c>
      <c r="I370" t="n">
        <v>123.888042</v>
      </c>
      <c r="J370" t="n">
        <v>123.888042</v>
      </c>
      <c r="K370" t="n">
        <v>15.362117</v>
      </c>
      <c r="L370" t="n">
        <v>260.720597</v>
      </c>
      <c r="M370" t="n">
        <v>260.720597</v>
      </c>
      <c r="N370" t="n">
        <v>260.720597</v>
      </c>
      <c r="O370" t="n">
        <v>19.314018</v>
      </c>
      <c r="P370" t="n">
        <v>17.703696</v>
      </c>
      <c r="Q370" t="n">
        <v>260.720597</v>
      </c>
      <c r="R370" t="n">
        <v>260.720597</v>
      </c>
      <c r="S370" t="n">
        <v>19.314018</v>
      </c>
      <c r="T370" t="n">
        <v>19.314018</v>
      </c>
      <c r="U370" t="n">
        <v>17.703696</v>
      </c>
      <c r="V370" t="n">
        <v>17.703696</v>
      </c>
      <c r="W370" t="n">
        <v>20.650834</v>
      </c>
      <c r="X370" t="n">
        <v>285.015306</v>
      </c>
    </row>
    <row r="371">
      <c r="A371" t="inlineStr">
        <is>
          <t>Hemiramphus archipelagicus</t>
        </is>
      </c>
      <c r="B371" t="n">
        <v>3.25</v>
      </c>
      <c r="C371" t="n">
        <v>177.827941</v>
      </c>
      <c r="D371" t="inlineStr">
        <is>
          <t>Small Benthopelagics</t>
        </is>
      </c>
      <c r="E371" t="n">
        <v>106.362581</v>
      </c>
      <c r="F371" t="n">
        <v>735.919846</v>
      </c>
      <c r="G371" t="n">
        <v>94.203452</v>
      </c>
      <c r="H371" t="n">
        <v>274.118485</v>
      </c>
      <c r="I371" t="n">
        <v>1003.748472</v>
      </c>
      <c r="J371" t="n">
        <v>1056.007849</v>
      </c>
      <c r="K371" t="n">
        <v>1032.775676</v>
      </c>
      <c r="L371" t="n">
        <v>1426.864607</v>
      </c>
      <c r="M371" t="n">
        <v>1426.864607</v>
      </c>
      <c r="N371" t="n">
        <v>1426.864607</v>
      </c>
      <c r="O371" t="n">
        <v>914.12906</v>
      </c>
      <c r="P371" t="n">
        <v>345.870401</v>
      </c>
      <c r="Q371" t="n">
        <v>1426.864607</v>
      </c>
      <c r="R371" t="n">
        <v>1426.864607</v>
      </c>
      <c r="S371" t="n">
        <v>914.12906</v>
      </c>
      <c r="T371" t="n">
        <v>914.12906</v>
      </c>
      <c r="U371" t="n">
        <v>345.870401</v>
      </c>
      <c r="V371" t="n">
        <v>345.870401</v>
      </c>
      <c r="W371" t="n">
        <v>957.660399</v>
      </c>
      <c r="X371" t="n">
        <v>1577.210486</v>
      </c>
    </row>
    <row r="372">
      <c r="A372" t="inlineStr">
        <is>
          <t>Scorpaenidae</t>
        </is>
      </c>
      <c r="B372" t="n">
        <v>3.92</v>
      </c>
      <c r="C372" t="n">
        <v>831.763771</v>
      </c>
      <c r="D372" t="inlineStr">
        <is>
          <t>Large Benthic Carnivores</t>
        </is>
      </c>
      <c r="E372" t="n">
        <v>106.362581</v>
      </c>
      <c r="F372" t="n">
        <v>1113.102078</v>
      </c>
      <c r="G372" t="n">
        <v>125.259096</v>
      </c>
      <c r="H372" t="n">
        <v>249.981248</v>
      </c>
      <c r="I372" t="n">
        <v>421.749845</v>
      </c>
      <c r="J372" t="n">
        <v>575.638232</v>
      </c>
      <c r="K372" t="n">
        <v>564.125467</v>
      </c>
      <c r="L372" t="n">
        <v>1114.691652</v>
      </c>
      <c r="M372" t="n">
        <v>1114.691652</v>
      </c>
      <c r="N372" t="n">
        <v>1114.691652</v>
      </c>
      <c r="O372" t="n">
        <v>635.9376559999999</v>
      </c>
      <c r="P372" t="n">
        <v>217.238675</v>
      </c>
      <c r="Q372" t="n">
        <v>1114.691652</v>
      </c>
      <c r="R372" t="n">
        <v>1114.691652</v>
      </c>
      <c r="S372" t="n">
        <v>635.9376559999999</v>
      </c>
      <c r="T372" t="n">
        <v>635.9376559999999</v>
      </c>
      <c r="U372" t="n">
        <v>217.238675</v>
      </c>
      <c r="V372" t="n">
        <v>217.238675</v>
      </c>
      <c r="W372" t="n">
        <v>686.067599</v>
      </c>
      <c r="X372" t="n">
        <v>1252.543178</v>
      </c>
    </row>
    <row r="373">
      <c r="A373" t="inlineStr">
        <is>
          <t>Chaetodontidae</t>
        </is>
      </c>
      <c r="B373" t="n">
        <v>3.24</v>
      </c>
      <c r="C373" t="n">
        <v>173.780083</v>
      </c>
      <c r="D373" t="inlineStr">
        <is>
          <t>Benthic Omnivores</t>
        </is>
      </c>
      <c r="E373" t="n">
        <v>106.362581</v>
      </c>
      <c r="F373" t="n">
        <v>34.853983</v>
      </c>
      <c r="G373" t="n">
        <v>11.533933</v>
      </c>
      <c r="H373" t="n">
        <v>23.954598</v>
      </c>
      <c r="I373" t="n">
        <v>122.110584</v>
      </c>
      <c r="J373" t="n">
        <v>122.110584</v>
      </c>
      <c r="K373" t="n">
        <v>119.668372</v>
      </c>
      <c r="L373" t="n">
        <v>234.326211</v>
      </c>
      <c r="M373" t="n">
        <v>234.326211</v>
      </c>
      <c r="N373" t="n">
        <v>234.326211</v>
      </c>
      <c r="O373" t="n">
        <v>32.574396</v>
      </c>
      <c r="P373" t="n">
        <v>28.191927</v>
      </c>
      <c r="Q373" t="n">
        <v>234.326211</v>
      </c>
      <c r="R373" t="n">
        <v>234.326211</v>
      </c>
      <c r="S373" t="n">
        <v>32.574396</v>
      </c>
      <c r="T373" t="n">
        <v>32.574396</v>
      </c>
      <c r="U373" t="n">
        <v>28.191927</v>
      </c>
      <c r="V373" t="n">
        <v>28.191927</v>
      </c>
      <c r="W373" t="n">
        <v>34.709256</v>
      </c>
      <c r="X373" t="n">
        <v>257.01226</v>
      </c>
    </row>
    <row r="374">
      <c r="A374" t="inlineStr">
        <is>
          <t>Beryx</t>
        </is>
      </c>
      <c r="D374" t="inlineStr">
        <is>
          <t>Med Benthic Carnivores</t>
        </is>
      </c>
      <c r="E374" t="n">
        <v>106.362581</v>
      </c>
      <c r="F374" t="n">
        <v>153.506319</v>
      </c>
      <c r="G374" t="n">
        <v>32.014124</v>
      </c>
      <c r="H374" t="n">
        <v>100.68782</v>
      </c>
      <c r="I374" t="n">
        <v>159.061371</v>
      </c>
      <c r="J374" t="n">
        <v>159.061371</v>
      </c>
      <c r="K374" t="n">
        <v>156.039205</v>
      </c>
      <c r="L374" t="n">
        <v>198.208223</v>
      </c>
      <c r="M374" t="n">
        <v>198.208223</v>
      </c>
      <c r="N374" t="n">
        <v>198.208223</v>
      </c>
      <c r="O374" t="n">
        <v>116.373231</v>
      </c>
      <c r="P374" t="n">
        <v>56.490526</v>
      </c>
      <c r="Q374" t="n">
        <v>198.208223</v>
      </c>
      <c r="R374" t="n">
        <v>198.208223</v>
      </c>
      <c r="S374" t="n">
        <v>116.373231</v>
      </c>
      <c r="T374" t="n">
        <v>116.373231</v>
      </c>
      <c r="U374" t="n">
        <v>56.490526</v>
      </c>
      <c r="V374" t="n">
        <v>56.490526</v>
      </c>
      <c r="W374" t="n">
        <v>120.80197</v>
      </c>
      <c r="X374" t="n">
        <v>213.813007</v>
      </c>
    </row>
    <row r="375">
      <c r="A375" t="inlineStr">
        <is>
          <t>Scylla serrata</t>
        </is>
      </c>
      <c r="B375" t="n">
        <v>3.17</v>
      </c>
      <c r="C375" t="n">
        <v>147.910839</v>
      </c>
      <c r="D375" t="inlineStr">
        <is>
          <t>Crabs &amp; Lobster</t>
        </is>
      </c>
      <c r="E375" t="n">
        <v>106.362581</v>
      </c>
      <c r="F375" t="n">
        <v>75.373862</v>
      </c>
      <c r="G375" t="n">
        <v>19.61701</v>
      </c>
      <c r="H375" t="n">
        <v>40.48008</v>
      </c>
      <c r="I375" t="n">
        <v>77.811758</v>
      </c>
      <c r="J375" t="n">
        <v>77.811758</v>
      </c>
      <c r="K375" t="n">
        <v>75.944276</v>
      </c>
      <c r="L375" t="n">
        <v>117.553732</v>
      </c>
      <c r="M375" t="n">
        <v>117.553732</v>
      </c>
      <c r="N375" t="n">
        <v>117.553732</v>
      </c>
      <c r="O375" t="n">
        <v>38.109542</v>
      </c>
      <c r="P375" t="n">
        <v>24.77877</v>
      </c>
      <c r="Q375" t="n">
        <v>117.553732</v>
      </c>
      <c r="R375" t="n">
        <v>117.553732</v>
      </c>
      <c r="S375" t="n">
        <v>38.109542</v>
      </c>
      <c r="T375" t="n">
        <v>38.109542</v>
      </c>
      <c r="U375" t="n">
        <v>24.77877</v>
      </c>
      <c r="V375" t="n">
        <v>24.77877</v>
      </c>
      <c r="W375" t="n">
        <v>41.521391</v>
      </c>
      <c r="X375" t="n">
        <v>131.082364</v>
      </c>
    </row>
    <row r="376">
      <c r="A376" t="inlineStr">
        <is>
          <t>Pomatomus saltatrix</t>
        </is>
      </c>
      <c r="D376" t="inlineStr">
        <is>
          <t>Large Pelagics</t>
        </is>
      </c>
      <c r="E376" t="n">
        <v>106.362581</v>
      </c>
      <c r="F376" t="n">
        <v>1182.417917</v>
      </c>
      <c r="G376" t="n">
        <v>130.579526</v>
      </c>
      <c r="H376" t="n">
        <v>655.098468</v>
      </c>
      <c r="I376" t="n">
        <v>848.885192</v>
      </c>
      <c r="J376" t="n">
        <v>883.261112</v>
      </c>
      <c r="K376" t="n">
        <v>865.5958890000001</v>
      </c>
      <c r="L376" t="n">
        <v>1961.116323</v>
      </c>
      <c r="M376" t="n">
        <v>1961.116323</v>
      </c>
      <c r="N376" t="n">
        <v>1961.116323</v>
      </c>
      <c r="O376" t="n">
        <v>1097.797369</v>
      </c>
      <c r="P376" t="n">
        <v>300.80342</v>
      </c>
      <c r="Q376" t="n">
        <v>1961.116323</v>
      </c>
      <c r="R376" t="n">
        <v>1961.116323</v>
      </c>
      <c r="S376" t="n">
        <v>1097.797369</v>
      </c>
      <c r="T376" t="n">
        <v>1097.797369</v>
      </c>
      <c r="U376" t="n">
        <v>300.80342</v>
      </c>
      <c r="V376" t="n">
        <v>300.80342</v>
      </c>
      <c r="W376" t="n">
        <v>1171.90733</v>
      </c>
      <c r="X376" t="n">
        <v>2200.248768</v>
      </c>
    </row>
    <row r="377">
      <c r="A377" t="inlineStr">
        <is>
          <t>Gadiformes</t>
        </is>
      </c>
      <c r="D377" t="inlineStr">
        <is>
          <t>Anchovies</t>
        </is>
      </c>
      <c r="E377" t="n">
        <v>106.362581</v>
      </c>
      <c r="F377" t="n">
        <v>306.237713</v>
      </c>
      <c r="G377" t="n">
        <v>51.507642</v>
      </c>
      <c r="H377" t="n">
        <v>86.248227</v>
      </c>
      <c r="I377" t="n">
        <v>292.993573</v>
      </c>
      <c r="J377" t="n">
        <v>292.993573</v>
      </c>
      <c r="K377" t="n">
        <v>286.254721</v>
      </c>
      <c r="L377" t="n">
        <v>324.440662</v>
      </c>
      <c r="M377" t="n">
        <v>324.440662</v>
      </c>
      <c r="N377" t="n">
        <v>324.440662</v>
      </c>
      <c r="O377" t="n">
        <v>245.251402</v>
      </c>
      <c r="P377" t="n">
        <v>121.200331</v>
      </c>
      <c r="Q377" t="n">
        <v>324.440662</v>
      </c>
      <c r="R377" t="n">
        <v>324.440662</v>
      </c>
      <c r="S377" t="n">
        <v>245.251402</v>
      </c>
      <c r="T377" t="n">
        <v>245.251402</v>
      </c>
      <c r="U377" t="n">
        <v>121.200331</v>
      </c>
      <c r="V377" t="n">
        <v>121.200331</v>
      </c>
      <c r="W377" t="n">
        <v>255.511169</v>
      </c>
      <c r="X377" t="n">
        <v>353.493547</v>
      </c>
    </row>
    <row r="378">
      <c r="A378" t="inlineStr">
        <is>
          <t>Triaenodon obesus</t>
        </is>
      </c>
      <c r="D378" t="inlineStr">
        <is>
          <t>Sharks</t>
        </is>
      </c>
      <c r="E378" t="n">
        <v>106.362581</v>
      </c>
      <c r="F378" t="n">
        <v>2569.28922</v>
      </c>
      <c r="G378" t="n">
        <v>222.822151</v>
      </c>
      <c r="H378" t="n">
        <v>1308.685037</v>
      </c>
      <c r="I378" t="n">
        <v>1955.186859</v>
      </c>
      <c r="J378" t="n">
        <v>2007.418175</v>
      </c>
      <c r="K378" t="n">
        <v>1423.259486</v>
      </c>
      <c r="L378" t="n">
        <v>3930.042293</v>
      </c>
      <c r="M378" t="n">
        <v>3930.042293</v>
      </c>
      <c r="N378" t="n">
        <v>3930.042293</v>
      </c>
      <c r="O378" t="n">
        <v>1585.345045</v>
      </c>
      <c r="P378" t="n">
        <v>411.268522</v>
      </c>
      <c r="Q378" t="n">
        <v>3930.042293</v>
      </c>
      <c r="R378" t="n">
        <v>3930.042293</v>
      </c>
      <c r="S378" t="n">
        <v>1585.345045</v>
      </c>
      <c r="T378" t="n">
        <v>1585.345045</v>
      </c>
      <c r="U378" t="n">
        <v>411.268522</v>
      </c>
      <c r="V378" t="n">
        <v>411.268522</v>
      </c>
      <c r="W378" t="n">
        <v>1647.369658</v>
      </c>
      <c r="X378" t="n">
        <v>4507.362005</v>
      </c>
    </row>
    <row r="379">
      <c r="A379" t="inlineStr">
        <is>
          <t>Lethrinus rubrioperculatus</t>
        </is>
      </c>
      <c r="B379" t="n">
        <v>3.75</v>
      </c>
      <c r="C379" t="n">
        <v>562.341325</v>
      </c>
      <c r="D379" t="inlineStr">
        <is>
          <t>Large Benthic Carnivores</t>
        </is>
      </c>
      <c r="E379" t="n">
        <v>106.362581</v>
      </c>
      <c r="F379" t="n">
        <v>1113.102078</v>
      </c>
      <c r="G379" t="n">
        <v>125.259096</v>
      </c>
      <c r="H379" t="n">
        <v>249.981248</v>
      </c>
      <c r="I379" t="n">
        <v>421.749845</v>
      </c>
      <c r="J379" t="n">
        <v>575.638232</v>
      </c>
      <c r="K379" t="n">
        <v>564.125467</v>
      </c>
      <c r="L379" t="n">
        <v>1114.691652</v>
      </c>
      <c r="M379" t="n">
        <v>1114.691652</v>
      </c>
      <c r="N379" t="n">
        <v>1114.691652</v>
      </c>
      <c r="O379" t="n">
        <v>635.9376559999999</v>
      </c>
      <c r="P379" t="n">
        <v>217.238675</v>
      </c>
      <c r="Q379" t="n">
        <v>1114.691652</v>
      </c>
      <c r="R379" t="n">
        <v>1114.691652</v>
      </c>
      <c r="S379" t="n">
        <v>635.9376559999999</v>
      </c>
      <c r="T379" t="n">
        <v>635.9376559999999</v>
      </c>
      <c r="U379" t="n">
        <v>217.238675</v>
      </c>
      <c r="V379" t="n">
        <v>217.238675</v>
      </c>
      <c r="W379" t="n">
        <v>686.067599</v>
      </c>
      <c r="X379" t="n">
        <v>1252.543178</v>
      </c>
    </row>
    <row r="380">
      <c r="A380" t="inlineStr">
        <is>
          <t>Caesio</t>
        </is>
      </c>
      <c r="B380" t="n">
        <v>3.4</v>
      </c>
      <c r="C380" t="n">
        <v>251.188643</v>
      </c>
      <c r="D380" t="inlineStr">
        <is>
          <t>Small Benthopelagics</t>
        </is>
      </c>
      <c r="E380" t="n">
        <v>106.362581</v>
      </c>
      <c r="F380" t="n">
        <v>735.919846</v>
      </c>
      <c r="G380" t="n">
        <v>94.203452</v>
      </c>
      <c r="H380" t="n">
        <v>274.118485</v>
      </c>
      <c r="I380" t="n">
        <v>1003.748472</v>
      </c>
      <c r="J380" t="n">
        <v>1056.007849</v>
      </c>
      <c r="K380" t="n">
        <v>1032.775676</v>
      </c>
      <c r="L380" t="n">
        <v>1426.864607</v>
      </c>
      <c r="M380" t="n">
        <v>1426.864607</v>
      </c>
      <c r="N380" t="n">
        <v>1426.864607</v>
      </c>
      <c r="O380" t="n">
        <v>914.12906</v>
      </c>
      <c r="P380" t="n">
        <v>345.870401</v>
      </c>
      <c r="Q380" t="n">
        <v>1426.864607</v>
      </c>
      <c r="R380" t="n">
        <v>1426.864607</v>
      </c>
      <c r="S380" t="n">
        <v>914.12906</v>
      </c>
      <c r="T380" t="n">
        <v>914.12906</v>
      </c>
      <c r="U380" t="n">
        <v>345.870401</v>
      </c>
      <c r="V380" t="n">
        <v>345.870401</v>
      </c>
      <c r="W380" t="n">
        <v>957.660399</v>
      </c>
      <c r="X380" t="n">
        <v>1577.210486</v>
      </c>
    </row>
    <row r="381">
      <c r="A381" t="inlineStr">
        <is>
          <t>Isurus</t>
        </is>
      </c>
      <c r="B381" t="n">
        <v>4.5</v>
      </c>
      <c r="C381" t="n">
        <v>3162.27766</v>
      </c>
      <c r="D381" t="inlineStr">
        <is>
          <t>Sharks</t>
        </is>
      </c>
      <c r="E381" t="n">
        <v>106.362581</v>
      </c>
      <c r="F381" t="n">
        <v>2569.28922</v>
      </c>
      <c r="G381" t="n">
        <v>222.822151</v>
      </c>
      <c r="H381" t="n">
        <v>1308.685037</v>
      </c>
      <c r="I381" t="n">
        <v>1955.186859</v>
      </c>
      <c r="J381" t="n">
        <v>2007.418175</v>
      </c>
      <c r="K381" t="n">
        <v>1423.259486</v>
      </c>
      <c r="L381" t="n">
        <v>3930.042293</v>
      </c>
      <c r="M381" t="n">
        <v>3930.042293</v>
      </c>
      <c r="N381" t="n">
        <v>3930.042293</v>
      </c>
      <c r="O381" t="n">
        <v>1585.345045</v>
      </c>
      <c r="P381" t="n">
        <v>411.268522</v>
      </c>
      <c r="Q381" t="n">
        <v>3930.042293</v>
      </c>
      <c r="R381" t="n">
        <v>3930.042293</v>
      </c>
      <c r="S381" t="n">
        <v>1585.345045</v>
      </c>
      <c r="T381" t="n">
        <v>1585.345045</v>
      </c>
      <c r="U381" t="n">
        <v>411.268522</v>
      </c>
      <c r="V381" t="n">
        <v>411.268522</v>
      </c>
      <c r="W381" t="n">
        <v>1647.369658</v>
      </c>
      <c r="X381" t="n">
        <v>4507.362005</v>
      </c>
    </row>
    <row r="382">
      <c r="A382" t="inlineStr">
        <is>
          <t>Seriola dumerili</t>
        </is>
      </c>
      <c r="B382" t="n">
        <v>4.5</v>
      </c>
      <c r="C382" t="n">
        <v>3162.27766</v>
      </c>
      <c r="D382" t="inlineStr">
        <is>
          <t>Large Benthic Carnivores</t>
        </is>
      </c>
      <c r="E382" t="n">
        <v>106.362581</v>
      </c>
      <c r="F382" t="n">
        <v>1113.102078</v>
      </c>
      <c r="G382" t="n">
        <v>125.259096</v>
      </c>
      <c r="H382" t="n">
        <v>249.981248</v>
      </c>
      <c r="I382" t="n">
        <v>421.749845</v>
      </c>
      <c r="J382" t="n">
        <v>575.638232</v>
      </c>
      <c r="K382" t="n">
        <v>564.125467</v>
      </c>
      <c r="L382" t="n">
        <v>1114.691652</v>
      </c>
      <c r="M382" t="n">
        <v>1114.691652</v>
      </c>
      <c r="N382" t="n">
        <v>1114.691652</v>
      </c>
      <c r="O382" t="n">
        <v>635.9376559999999</v>
      </c>
      <c r="P382" t="n">
        <v>217.238675</v>
      </c>
      <c r="Q382" t="n">
        <v>1114.691652</v>
      </c>
      <c r="R382" t="n">
        <v>1114.691652</v>
      </c>
      <c r="S382" t="n">
        <v>635.9376559999999</v>
      </c>
      <c r="T382" t="n">
        <v>635.9376559999999</v>
      </c>
      <c r="U382" t="n">
        <v>217.238675</v>
      </c>
      <c r="V382" t="n">
        <v>217.238675</v>
      </c>
      <c r="W382" t="n">
        <v>686.067599</v>
      </c>
      <c r="X382" t="n">
        <v>1252.543178</v>
      </c>
    </row>
    <row r="383">
      <c r="A383" t="inlineStr">
        <is>
          <t>Modiolus</t>
        </is>
      </c>
      <c r="D383" t="inlineStr">
        <is>
          <t>Heterotrophic Benthos</t>
        </is>
      </c>
      <c r="E383" t="n">
        <v>106.362581</v>
      </c>
      <c r="F383" t="n">
        <v>19.947374</v>
      </c>
      <c r="G383" t="n">
        <v>7.853921</v>
      </c>
      <c r="H383" t="n">
        <v>13.270207</v>
      </c>
      <c r="I383" t="n">
        <v>123.888042</v>
      </c>
      <c r="J383" t="n">
        <v>123.888042</v>
      </c>
      <c r="K383" t="n">
        <v>15.362117</v>
      </c>
      <c r="L383" t="n">
        <v>260.720597</v>
      </c>
      <c r="M383" t="n">
        <v>260.720597</v>
      </c>
      <c r="N383" t="n">
        <v>260.720597</v>
      </c>
      <c r="O383" t="n">
        <v>19.314018</v>
      </c>
      <c r="P383" t="n">
        <v>17.703696</v>
      </c>
      <c r="Q383" t="n">
        <v>260.720597</v>
      </c>
      <c r="R383" t="n">
        <v>260.720597</v>
      </c>
      <c r="S383" t="n">
        <v>19.314018</v>
      </c>
      <c r="T383" t="n">
        <v>19.314018</v>
      </c>
      <c r="U383" t="n">
        <v>17.703696</v>
      </c>
      <c r="V383" t="n">
        <v>17.703696</v>
      </c>
      <c r="W383" t="n">
        <v>20.650834</v>
      </c>
      <c r="X383" t="n">
        <v>285.015306</v>
      </c>
    </row>
    <row r="384">
      <c r="A384" t="inlineStr">
        <is>
          <t>Miscellaneous aquatic invertebrates</t>
        </is>
      </c>
      <c r="B384" t="n">
        <v>2.43</v>
      </c>
      <c r="C384" t="n">
        <v>26.915348</v>
      </c>
      <c r="D384" t="inlineStr">
        <is>
          <t>Heterotrophic Benthos</t>
        </is>
      </c>
      <c r="E384" t="n">
        <v>106.362581</v>
      </c>
      <c r="F384" t="n">
        <v>19.947374</v>
      </c>
      <c r="G384" t="n">
        <v>7.853921</v>
      </c>
      <c r="H384" t="n">
        <v>13.270207</v>
      </c>
      <c r="I384" t="n">
        <v>123.888042</v>
      </c>
      <c r="J384" t="n">
        <v>123.888042</v>
      </c>
      <c r="K384" t="n">
        <v>15.362117</v>
      </c>
      <c r="L384" t="n">
        <v>260.720597</v>
      </c>
      <c r="M384" t="n">
        <v>260.720597</v>
      </c>
      <c r="N384" t="n">
        <v>260.720597</v>
      </c>
      <c r="O384" t="n">
        <v>19.314018</v>
      </c>
      <c r="P384" t="n">
        <v>17.703696</v>
      </c>
      <c r="Q384" t="n">
        <v>260.720597</v>
      </c>
      <c r="R384" t="n">
        <v>260.720597</v>
      </c>
      <c r="S384" t="n">
        <v>19.314018</v>
      </c>
      <c r="T384" t="n">
        <v>19.314018</v>
      </c>
      <c r="U384" t="n">
        <v>17.703696</v>
      </c>
      <c r="V384" t="n">
        <v>17.703696</v>
      </c>
      <c r="W384" t="n">
        <v>20.650834</v>
      </c>
      <c r="X384" t="n">
        <v>285.015306</v>
      </c>
    </row>
    <row r="385">
      <c r="A385" t="inlineStr">
        <is>
          <t>Holothuria atra</t>
        </is>
      </c>
      <c r="B385" t="n">
        <v>2</v>
      </c>
      <c r="C385" t="n">
        <v>10</v>
      </c>
      <c r="D385" t="inlineStr">
        <is>
          <t>Heterotrophic Benthos</t>
        </is>
      </c>
      <c r="E385" t="n">
        <v>106.362581</v>
      </c>
      <c r="F385" t="n">
        <v>19.947374</v>
      </c>
      <c r="G385" t="n">
        <v>7.853921</v>
      </c>
      <c r="H385" t="n">
        <v>13.270207</v>
      </c>
      <c r="I385" t="n">
        <v>123.888042</v>
      </c>
      <c r="J385" t="n">
        <v>123.888042</v>
      </c>
      <c r="K385" t="n">
        <v>15.362117</v>
      </c>
      <c r="L385" t="n">
        <v>260.720597</v>
      </c>
      <c r="M385" t="n">
        <v>260.720597</v>
      </c>
      <c r="N385" t="n">
        <v>260.720597</v>
      </c>
      <c r="O385" t="n">
        <v>19.314018</v>
      </c>
      <c r="P385" t="n">
        <v>17.703696</v>
      </c>
      <c r="Q385" t="n">
        <v>260.720597</v>
      </c>
      <c r="R385" t="n">
        <v>260.720597</v>
      </c>
      <c r="S385" t="n">
        <v>19.314018</v>
      </c>
      <c r="T385" t="n">
        <v>19.314018</v>
      </c>
      <c r="U385" t="n">
        <v>17.703696</v>
      </c>
      <c r="V385" t="n">
        <v>17.703696</v>
      </c>
      <c r="W385" t="n">
        <v>20.650834</v>
      </c>
      <c r="X385" t="n">
        <v>285.015306</v>
      </c>
    </row>
    <row r="386">
      <c r="A386" t="inlineStr">
        <is>
          <t>Gempylidae</t>
        </is>
      </c>
      <c r="D386" t="inlineStr">
        <is>
          <t>Large Benthopelagics</t>
        </is>
      </c>
      <c r="E386" t="n">
        <v>106.362581</v>
      </c>
      <c r="F386" t="n">
        <v>1254.298198</v>
      </c>
      <c r="G386" t="n">
        <v>135.995167</v>
      </c>
      <c r="H386" t="n">
        <v>530.875777</v>
      </c>
      <c r="I386" t="n">
        <v>1013.570171</v>
      </c>
      <c r="J386" t="n">
        <v>1067.730872</v>
      </c>
      <c r="K386" t="n">
        <v>1046.376254</v>
      </c>
      <c r="L386" t="n">
        <v>1918.226529</v>
      </c>
      <c r="M386" t="n">
        <v>1918.226529</v>
      </c>
      <c r="N386" t="n">
        <v>1918.226529</v>
      </c>
      <c r="O386" t="n">
        <v>1111.682878</v>
      </c>
      <c r="P386" t="n">
        <v>334.624507</v>
      </c>
      <c r="Q386" t="n">
        <v>1918.226529</v>
      </c>
      <c r="R386" t="n">
        <v>1918.226529</v>
      </c>
      <c r="S386" t="n">
        <v>1111.682878</v>
      </c>
      <c r="T386" t="n">
        <v>1111.682878</v>
      </c>
      <c r="U386" t="n">
        <v>334.624507</v>
      </c>
      <c r="V386" t="n">
        <v>334.624507</v>
      </c>
      <c r="W386" t="n">
        <v>1176.051346</v>
      </c>
      <c r="X386" t="n">
        <v>2155.084899</v>
      </c>
    </row>
    <row r="387">
      <c r="A387" t="inlineStr">
        <is>
          <t>Macolor</t>
        </is>
      </c>
      <c r="B387" t="n">
        <v>3.99</v>
      </c>
      <c r="C387" t="n">
        <v>977.237221</v>
      </c>
      <c r="D387" t="inlineStr">
        <is>
          <t>Large Benthic Carnivores</t>
        </is>
      </c>
      <c r="E387" t="n">
        <v>106.362581</v>
      </c>
      <c r="F387" t="n">
        <v>1113.102078</v>
      </c>
      <c r="G387" t="n">
        <v>125.259096</v>
      </c>
      <c r="H387" t="n">
        <v>249.981248</v>
      </c>
      <c r="I387" t="n">
        <v>421.749845</v>
      </c>
      <c r="J387" t="n">
        <v>575.638232</v>
      </c>
      <c r="K387" t="n">
        <v>564.125467</v>
      </c>
      <c r="L387" t="n">
        <v>1114.691652</v>
      </c>
      <c r="M387" t="n">
        <v>1114.691652</v>
      </c>
      <c r="N387" t="n">
        <v>1114.691652</v>
      </c>
      <c r="O387" t="n">
        <v>635.9376559999999</v>
      </c>
      <c r="P387" t="n">
        <v>217.238675</v>
      </c>
      <c r="Q387" t="n">
        <v>1114.691652</v>
      </c>
      <c r="R387" t="n">
        <v>1114.691652</v>
      </c>
      <c r="S387" t="n">
        <v>635.9376559999999</v>
      </c>
      <c r="T387" t="n">
        <v>635.9376559999999</v>
      </c>
      <c r="U387" t="n">
        <v>217.238675</v>
      </c>
      <c r="V387" t="n">
        <v>217.238675</v>
      </c>
      <c r="W387" t="n">
        <v>686.067599</v>
      </c>
      <c r="X387" t="n">
        <v>1252.543178</v>
      </c>
    </row>
    <row r="388">
      <c r="A388" t="inlineStr">
        <is>
          <t>Gerres oblongus</t>
        </is>
      </c>
      <c r="B388" t="n">
        <v>3.5</v>
      </c>
      <c r="C388" t="n">
        <v>316.227766</v>
      </c>
      <c r="D388" t="inlineStr">
        <is>
          <t>Small Benthic Carnivores</t>
        </is>
      </c>
      <c r="E388" t="n">
        <v>106.362581</v>
      </c>
      <c r="F388" t="n">
        <v>47.875255</v>
      </c>
      <c r="G388" t="n">
        <v>14.351766</v>
      </c>
      <c r="H388" t="n">
        <v>47.936313</v>
      </c>
      <c r="I388" t="n">
        <v>123.68277</v>
      </c>
      <c r="J388" t="n">
        <v>123.68277</v>
      </c>
      <c r="K388" t="n">
        <v>121.085432</v>
      </c>
      <c r="L388" t="n">
        <v>160.705061</v>
      </c>
      <c r="M388" t="n">
        <v>160.705061</v>
      </c>
      <c r="N388" t="n">
        <v>160.705061</v>
      </c>
      <c r="O388" t="n">
        <v>86.69575</v>
      </c>
      <c r="P388" t="n">
        <v>48.551122</v>
      </c>
      <c r="Q388" t="n">
        <v>160.705061</v>
      </c>
      <c r="R388" t="n">
        <v>160.705061</v>
      </c>
      <c r="S388" t="n">
        <v>86.69575</v>
      </c>
      <c r="T388" t="n">
        <v>86.69575</v>
      </c>
      <c r="U388" t="n">
        <v>48.551122</v>
      </c>
      <c r="V388" t="n">
        <v>48.551122</v>
      </c>
      <c r="W388" t="n">
        <v>90.428786</v>
      </c>
      <c r="X388" t="n">
        <v>169.279514</v>
      </c>
    </row>
    <row r="389">
      <c r="A389" t="inlineStr">
        <is>
          <t>Zeidae</t>
        </is>
      </c>
      <c r="D389" t="inlineStr">
        <is>
          <t>Med Benthic Carnivores</t>
        </is>
      </c>
      <c r="E389" t="n">
        <v>106.362581</v>
      </c>
      <c r="F389" t="n">
        <v>153.506319</v>
      </c>
      <c r="G389" t="n">
        <v>32.014124</v>
      </c>
      <c r="H389" t="n">
        <v>100.68782</v>
      </c>
      <c r="I389" t="n">
        <v>159.061371</v>
      </c>
      <c r="J389" t="n">
        <v>159.061371</v>
      </c>
      <c r="K389" t="n">
        <v>156.039205</v>
      </c>
      <c r="L389" t="n">
        <v>198.208223</v>
      </c>
      <c r="M389" t="n">
        <v>198.208223</v>
      </c>
      <c r="N389" t="n">
        <v>198.208223</v>
      </c>
      <c r="O389" t="n">
        <v>116.373231</v>
      </c>
      <c r="P389" t="n">
        <v>56.490526</v>
      </c>
      <c r="Q389" t="n">
        <v>198.208223</v>
      </c>
      <c r="R389" t="n">
        <v>198.208223</v>
      </c>
      <c r="S389" t="n">
        <v>116.373231</v>
      </c>
      <c r="T389" t="n">
        <v>116.373231</v>
      </c>
      <c r="U389" t="n">
        <v>56.490526</v>
      </c>
      <c r="V389" t="n">
        <v>56.490526</v>
      </c>
      <c r="W389" t="n">
        <v>120.80197</v>
      </c>
      <c r="X389" t="n">
        <v>213.813007</v>
      </c>
    </row>
    <row r="390">
      <c r="A390" t="inlineStr">
        <is>
          <t>Holothuriidae</t>
        </is>
      </c>
      <c r="B390" t="n">
        <v>2</v>
      </c>
      <c r="C390" t="n">
        <v>10</v>
      </c>
      <c r="D390" t="inlineStr">
        <is>
          <t>Heterotrophic Benthos</t>
        </is>
      </c>
      <c r="E390" t="n">
        <v>106.362581</v>
      </c>
      <c r="F390" t="n">
        <v>19.947374</v>
      </c>
      <c r="G390" t="n">
        <v>7.853921</v>
      </c>
      <c r="H390" t="n">
        <v>13.270207</v>
      </c>
      <c r="I390" t="n">
        <v>123.888042</v>
      </c>
      <c r="J390" t="n">
        <v>123.888042</v>
      </c>
      <c r="K390" t="n">
        <v>15.362117</v>
      </c>
      <c r="L390" t="n">
        <v>260.720597</v>
      </c>
      <c r="M390" t="n">
        <v>260.720597</v>
      </c>
      <c r="N390" t="n">
        <v>260.720597</v>
      </c>
      <c r="O390" t="n">
        <v>19.314018</v>
      </c>
      <c r="P390" t="n">
        <v>17.703696</v>
      </c>
      <c r="Q390" t="n">
        <v>260.720597</v>
      </c>
      <c r="R390" t="n">
        <v>260.720597</v>
      </c>
      <c r="S390" t="n">
        <v>19.314018</v>
      </c>
      <c r="T390" t="n">
        <v>19.314018</v>
      </c>
      <c r="U390" t="n">
        <v>17.703696</v>
      </c>
      <c r="V390" t="n">
        <v>17.703696</v>
      </c>
      <c r="W390" t="n">
        <v>20.650834</v>
      </c>
      <c r="X390" t="n">
        <v>285.015306</v>
      </c>
    </row>
    <row r="391">
      <c r="A391" t="inlineStr">
        <is>
          <t>Pomacentridae</t>
        </is>
      </c>
      <c r="B391" t="n">
        <v>2.57</v>
      </c>
      <c r="C391" t="n">
        <v>37.153523</v>
      </c>
      <c r="D391" t="inlineStr">
        <is>
          <t>Benthic Omnivores</t>
        </is>
      </c>
      <c r="E391" t="n">
        <v>106.362581</v>
      </c>
      <c r="F391" t="n">
        <v>34.853983</v>
      </c>
      <c r="G391" t="n">
        <v>11.533933</v>
      </c>
      <c r="H391" t="n">
        <v>23.954598</v>
      </c>
      <c r="I391" t="n">
        <v>122.110584</v>
      </c>
      <c r="J391" t="n">
        <v>122.110584</v>
      </c>
      <c r="K391" t="n">
        <v>119.668372</v>
      </c>
      <c r="L391" t="n">
        <v>234.326211</v>
      </c>
      <c r="M391" t="n">
        <v>234.326211</v>
      </c>
      <c r="N391" t="n">
        <v>234.326211</v>
      </c>
      <c r="O391" t="n">
        <v>32.574396</v>
      </c>
      <c r="P391" t="n">
        <v>28.191927</v>
      </c>
      <c r="Q391" t="n">
        <v>234.326211</v>
      </c>
      <c r="R391" t="n">
        <v>234.326211</v>
      </c>
      <c r="S391" t="n">
        <v>32.574396</v>
      </c>
      <c r="T391" t="n">
        <v>32.574396</v>
      </c>
      <c r="U391" t="n">
        <v>28.191927</v>
      </c>
      <c r="V391" t="n">
        <v>28.191927</v>
      </c>
      <c r="W391" t="n">
        <v>34.709256</v>
      </c>
      <c r="X391" t="n">
        <v>257.01226</v>
      </c>
    </row>
    <row r="392">
      <c r="A392" t="inlineStr">
        <is>
          <t>Platycaranx talamparoides</t>
        </is>
      </c>
      <c r="B392" t="n">
        <v>4.4</v>
      </c>
      <c r="C392" t="n">
        <v>2511.886432</v>
      </c>
      <c r="D392" t="inlineStr">
        <is>
          <t>Large Benthic Carnivores</t>
        </is>
      </c>
      <c r="E392" t="n">
        <v>106.362581</v>
      </c>
      <c r="F392" t="n">
        <v>1113.102078</v>
      </c>
      <c r="G392" t="n">
        <v>125.259096</v>
      </c>
      <c r="H392" t="n">
        <v>249.981248</v>
      </c>
      <c r="I392" t="n">
        <v>421.749845</v>
      </c>
      <c r="J392" t="n">
        <v>575.638232</v>
      </c>
      <c r="K392" t="n">
        <v>564.125467</v>
      </c>
      <c r="L392" t="n">
        <v>1114.691652</v>
      </c>
      <c r="M392" t="n">
        <v>1114.691652</v>
      </c>
      <c r="N392" t="n">
        <v>1114.691652</v>
      </c>
      <c r="O392" t="n">
        <v>635.9376559999999</v>
      </c>
      <c r="P392" t="n">
        <v>217.238675</v>
      </c>
      <c r="Q392" t="n">
        <v>1114.691652</v>
      </c>
      <c r="R392" t="n">
        <v>1114.691652</v>
      </c>
      <c r="S392" t="n">
        <v>635.9376559999999</v>
      </c>
      <c r="T392" t="n">
        <v>635.9376559999999</v>
      </c>
      <c r="U392" t="n">
        <v>217.238675</v>
      </c>
      <c r="V392" t="n">
        <v>217.238675</v>
      </c>
      <c r="W392" t="n">
        <v>686.067599</v>
      </c>
      <c r="X392" t="n">
        <v>1252.543178</v>
      </c>
    </row>
    <row r="393">
      <c r="A393" t="inlineStr">
        <is>
          <t>Tetrapturus angustirostris</t>
        </is>
      </c>
      <c r="B393" t="n">
        <v>4.5</v>
      </c>
      <c r="C393" t="n">
        <v>3162.27766</v>
      </c>
      <c r="D393" t="inlineStr">
        <is>
          <t>Large Pelagics</t>
        </is>
      </c>
      <c r="E393" t="n">
        <v>106.362581</v>
      </c>
      <c r="F393" t="n">
        <v>1182.417917</v>
      </c>
      <c r="G393" t="n">
        <v>130.579526</v>
      </c>
      <c r="H393" t="n">
        <v>655.098468</v>
      </c>
      <c r="I393" t="n">
        <v>848.885192</v>
      </c>
      <c r="J393" t="n">
        <v>883.261112</v>
      </c>
      <c r="K393" t="n">
        <v>865.5958890000001</v>
      </c>
      <c r="L393" t="n">
        <v>1961.116323</v>
      </c>
      <c r="M393" t="n">
        <v>1961.116323</v>
      </c>
      <c r="N393" t="n">
        <v>1961.116323</v>
      </c>
      <c r="O393" t="n">
        <v>1097.797369</v>
      </c>
      <c r="P393" t="n">
        <v>300.80342</v>
      </c>
      <c r="Q393" t="n">
        <v>1961.116323</v>
      </c>
      <c r="R393" t="n">
        <v>1961.116323</v>
      </c>
      <c r="S393" t="n">
        <v>1097.797369</v>
      </c>
      <c r="T393" t="n">
        <v>1097.797369</v>
      </c>
      <c r="U393" t="n">
        <v>300.80342</v>
      </c>
      <c r="V393" t="n">
        <v>300.80342</v>
      </c>
      <c r="W393" t="n">
        <v>1171.90733</v>
      </c>
      <c r="X393" t="n">
        <v>2200.248768</v>
      </c>
    </row>
    <row r="394">
      <c r="A394" t="inlineStr">
        <is>
          <t>Maculabatis gerrardi</t>
        </is>
      </c>
      <c r="B394" t="n">
        <v>3.73</v>
      </c>
      <c r="C394" t="n">
        <v>537.031796</v>
      </c>
      <c r="D394" t="inlineStr">
        <is>
          <t>Skates &amp; Rays</t>
        </is>
      </c>
      <c r="E394" t="n">
        <v>106.362581</v>
      </c>
      <c r="F394" t="n">
        <v>378.025577</v>
      </c>
      <c r="G394" t="n">
        <v>59.545879</v>
      </c>
      <c r="H394" t="n">
        <v>236.053692</v>
      </c>
      <c r="I394" t="n">
        <v>2128.450324</v>
      </c>
      <c r="J394" t="n">
        <v>2171.723686</v>
      </c>
      <c r="K394" t="n">
        <v>1300.862488</v>
      </c>
      <c r="L394" t="n">
        <v>3126.185669</v>
      </c>
      <c r="M394" t="n">
        <v>3126.185669</v>
      </c>
      <c r="N394" t="n">
        <v>3126.185669</v>
      </c>
      <c r="O394" t="n">
        <v>887.634307</v>
      </c>
      <c r="P394" t="n">
        <v>357.542004</v>
      </c>
      <c r="Q394" t="n">
        <v>3126.185669</v>
      </c>
      <c r="R394" t="n">
        <v>3126.185669</v>
      </c>
      <c r="S394" t="n">
        <v>887.634307</v>
      </c>
      <c r="T394" t="n">
        <v>887.634307</v>
      </c>
      <c r="U394" t="n">
        <v>357.542004</v>
      </c>
      <c r="V394" t="n">
        <v>357.542004</v>
      </c>
      <c r="W394" t="n">
        <v>926.257871</v>
      </c>
      <c r="X394" t="n">
        <v>3406.854319</v>
      </c>
    </row>
    <row r="395">
      <c r="A395" t="inlineStr">
        <is>
          <t>Decapterus macarellus</t>
        </is>
      </c>
      <c r="B395" t="n">
        <v>3.96</v>
      </c>
      <c r="C395" t="n">
        <v>912.010839</v>
      </c>
      <c r="D395" t="inlineStr">
        <is>
          <t>Small Benthopelagics</t>
        </is>
      </c>
      <c r="E395" t="n">
        <v>106.362581</v>
      </c>
      <c r="F395" t="n">
        <v>735.919846</v>
      </c>
      <c r="G395" t="n">
        <v>94.203452</v>
      </c>
      <c r="H395" t="n">
        <v>274.118485</v>
      </c>
      <c r="I395" t="n">
        <v>1003.748472</v>
      </c>
      <c r="J395" t="n">
        <v>1056.007849</v>
      </c>
      <c r="K395" t="n">
        <v>1032.775676</v>
      </c>
      <c r="L395" t="n">
        <v>1426.864607</v>
      </c>
      <c r="M395" t="n">
        <v>1426.864607</v>
      </c>
      <c r="N395" t="n">
        <v>1426.864607</v>
      </c>
      <c r="O395" t="n">
        <v>914.12906</v>
      </c>
      <c r="P395" t="n">
        <v>345.870401</v>
      </c>
      <c r="Q395" t="n">
        <v>1426.864607</v>
      </c>
      <c r="R395" t="n">
        <v>1426.864607</v>
      </c>
      <c r="S395" t="n">
        <v>914.12906</v>
      </c>
      <c r="T395" t="n">
        <v>914.12906</v>
      </c>
      <c r="U395" t="n">
        <v>345.870401</v>
      </c>
      <c r="V395" t="n">
        <v>345.870401</v>
      </c>
      <c r="W395" t="n">
        <v>957.660399</v>
      </c>
      <c r="X395" t="n">
        <v>1577.210486</v>
      </c>
    </row>
    <row r="396">
      <c r="A396" t="inlineStr">
        <is>
          <t>Epinephelus polyphekadion</t>
        </is>
      </c>
      <c r="B396" t="n">
        <v>3.99</v>
      </c>
      <c r="C396" t="n">
        <v>977.237221</v>
      </c>
      <c r="D396" t="inlineStr">
        <is>
          <t>Large Benthic Carnivores</t>
        </is>
      </c>
      <c r="E396" t="n">
        <v>106.362581</v>
      </c>
      <c r="F396" t="n">
        <v>1113.102078</v>
      </c>
      <c r="G396" t="n">
        <v>125.259096</v>
      </c>
      <c r="H396" t="n">
        <v>249.981248</v>
      </c>
      <c r="I396" t="n">
        <v>421.749845</v>
      </c>
      <c r="J396" t="n">
        <v>575.638232</v>
      </c>
      <c r="K396" t="n">
        <v>564.125467</v>
      </c>
      <c r="L396" t="n">
        <v>1114.691652</v>
      </c>
      <c r="M396" t="n">
        <v>1114.691652</v>
      </c>
      <c r="N396" t="n">
        <v>1114.691652</v>
      </c>
      <c r="O396" t="n">
        <v>635.9376559999999</v>
      </c>
      <c r="P396" t="n">
        <v>217.238675</v>
      </c>
      <c r="Q396" t="n">
        <v>1114.691652</v>
      </c>
      <c r="R396" t="n">
        <v>1114.691652</v>
      </c>
      <c r="S396" t="n">
        <v>635.9376559999999</v>
      </c>
      <c r="T396" t="n">
        <v>635.9376559999999</v>
      </c>
      <c r="U396" t="n">
        <v>217.238675</v>
      </c>
      <c r="V396" t="n">
        <v>217.238675</v>
      </c>
      <c r="W396" t="n">
        <v>686.067599</v>
      </c>
      <c r="X396" t="n">
        <v>1252.543178</v>
      </c>
    </row>
    <row r="397">
      <c r="A397" t="inlineStr">
        <is>
          <t>Holothuria fuscogilva</t>
        </is>
      </c>
      <c r="B397" t="n">
        <v>2</v>
      </c>
      <c r="C397" t="n">
        <v>10</v>
      </c>
      <c r="D397" t="inlineStr">
        <is>
          <t>Heterotrophic Benthos</t>
        </is>
      </c>
      <c r="E397" t="n">
        <v>106.362581</v>
      </c>
      <c r="F397" t="n">
        <v>19.947374</v>
      </c>
      <c r="G397" t="n">
        <v>7.853921</v>
      </c>
      <c r="H397" t="n">
        <v>13.270207</v>
      </c>
      <c r="I397" t="n">
        <v>123.888042</v>
      </c>
      <c r="J397" t="n">
        <v>123.888042</v>
      </c>
      <c r="K397" t="n">
        <v>15.362117</v>
      </c>
      <c r="L397" t="n">
        <v>260.720597</v>
      </c>
      <c r="M397" t="n">
        <v>260.720597</v>
      </c>
      <c r="N397" t="n">
        <v>260.720597</v>
      </c>
      <c r="O397" t="n">
        <v>19.314018</v>
      </c>
      <c r="P397" t="n">
        <v>17.703696</v>
      </c>
      <c r="Q397" t="n">
        <v>260.720597</v>
      </c>
      <c r="R397" t="n">
        <v>260.720597</v>
      </c>
      <c r="S397" t="n">
        <v>19.314018</v>
      </c>
      <c r="T397" t="n">
        <v>19.314018</v>
      </c>
      <c r="U397" t="n">
        <v>17.703696</v>
      </c>
      <c r="V397" t="n">
        <v>17.703696</v>
      </c>
      <c r="W397" t="n">
        <v>20.650834</v>
      </c>
      <c r="X397" t="n">
        <v>285.015306</v>
      </c>
    </row>
    <row r="398">
      <c r="A398" t="inlineStr">
        <is>
          <t>Thunnus</t>
        </is>
      </c>
      <c r="D398" t="inlineStr">
        <is>
          <t>Tunas</t>
        </is>
      </c>
      <c r="E398" t="n">
        <v>106.362581</v>
      </c>
      <c r="F398" t="n">
        <v>1377.951482</v>
      </c>
      <c r="G398" t="n">
        <v>145.091076</v>
      </c>
      <c r="H398" t="n">
        <v>354.016089</v>
      </c>
      <c r="I398" t="n">
        <v>804.627355</v>
      </c>
      <c r="J398" t="n">
        <v>818.1011109999999</v>
      </c>
      <c r="K398" t="n">
        <v>575.125081</v>
      </c>
      <c r="L398" t="n">
        <v>970.782826</v>
      </c>
      <c r="M398" t="n">
        <v>970.782826</v>
      </c>
      <c r="N398" t="n">
        <v>970.782826</v>
      </c>
      <c r="O398" t="n">
        <v>487.056907</v>
      </c>
      <c r="P398" t="n">
        <v>182.863315</v>
      </c>
      <c r="Q398" t="n">
        <v>970.782826</v>
      </c>
      <c r="R398" t="n">
        <v>970.782826</v>
      </c>
      <c r="S398" t="n">
        <v>487.056907</v>
      </c>
      <c r="T398" t="n">
        <v>487.056907</v>
      </c>
      <c r="U398" t="n">
        <v>182.863315</v>
      </c>
      <c r="V398" t="n">
        <v>182.863315</v>
      </c>
      <c r="W398" t="n">
        <v>514.9785419999999</v>
      </c>
      <c r="X398" t="n">
        <v>1083.073415</v>
      </c>
    </row>
    <row r="399">
      <c r="A399" t="inlineStr">
        <is>
          <t>Myctophidae</t>
        </is>
      </c>
      <c r="D399" t="inlineStr">
        <is>
          <t>Small Benthopelagics</t>
        </is>
      </c>
      <c r="E399" t="n">
        <v>106.362581</v>
      </c>
      <c r="F399" t="n">
        <v>735.919846</v>
      </c>
      <c r="G399" t="n">
        <v>94.203452</v>
      </c>
      <c r="H399" t="n">
        <v>274.118485</v>
      </c>
      <c r="I399" t="n">
        <v>1003.748472</v>
      </c>
      <c r="J399" t="n">
        <v>1056.007849</v>
      </c>
      <c r="K399" t="n">
        <v>1032.775676</v>
      </c>
      <c r="L399" t="n">
        <v>1426.864607</v>
      </c>
      <c r="M399" t="n">
        <v>1426.864607</v>
      </c>
      <c r="N399" t="n">
        <v>1426.864607</v>
      </c>
      <c r="O399" t="n">
        <v>914.12906</v>
      </c>
      <c r="P399" t="n">
        <v>345.870401</v>
      </c>
      <c r="Q399" t="n">
        <v>1426.864607</v>
      </c>
      <c r="R399" t="n">
        <v>1426.864607</v>
      </c>
      <c r="S399" t="n">
        <v>914.12906</v>
      </c>
      <c r="T399" t="n">
        <v>914.12906</v>
      </c>
      <c r="U399" t="n">
        <v>345.870401</v>
      </c>
      <c r="V399" t="n">
        <v>345.870401</v>
      </c>
      <c r="W399" t="n">
        <v>957.660399</v>
      </c>
      <c r="X399" t="n">
        <v>1577.210486</v>
      </c>
    </row>
    <row r="400">
      <c r="A400" t="inlineStr">
        <is>
          <t>Pristipomoides</t>
        </is>
      </c>
      <c r="B400" t="n">
        <v>3.91</v>
      </c>
      <c r="C400" t="n">
        <v>812.830516</v>
      </c>
      <c r="D400" t="inlineStr">
        <is>
          <t>Large Benthic Carnivores</t>
        </is>
      </c>
      <c r="E400" t="n">
        <v>106.362581</v>
      </c>
      <c r="F400" t="n">
        <v>1113.102078</v>
      </c>
      <c r="G400" t="n">
        <v>125.259096</v>
      </c>
      <c r="H400" t="n">
        <v>249.981248</v>
      </c>
      <c r="I400" t="n">
        <v>421.749845</v>
      </c>
      <c r="J400" t="n">
        <v>575.638232</v>
      </c>
      <c r="K400" t="n">
        <v>564.125467</v>
      </c>
      <c r="L400" t="n">
        <v>1114.691652</v>
      </c>
      <c r="M400" t="n">
        <v>1114.691652</v>
      </c>
      <c r="N400" t="n">
        <v>1114.691652</v>
      </c>
      <c r="O400" t="n">
        <v>635.9376559999999</v>
      </c>
      <c r="P400" t="n">
        <v>217.238675</v>
      </c>
      <c r="Q400" t="n">
        <v>1114.691652</v>
      </c>
      <c r="R400" t="n">
        <v>1114.691652</v>
      </c>
      <c r="S400" t="n">
        <v>635.9376559999999</v>
      </c>
      <c r="T400" t="n">
        <v>635.9376559999999</v>
      </c>
      <c r="U400" t="n">
        <v>217.238675</v>
      </c>
      <c r="V400" t="n">
        <v>217.238675</v>
      </c>
      <c r="W400" t="n">
        <v>686.067599</v>
      </c>
      <c r="X400" t="n">
        <v>1252.543178</v>
      </c>
    </row>
    <row r="401">
      <c r="A401" t="inlineStr">
        <is>
          <t>Bothidae</t>
        </is>
      </c>
      <c r="B401" t="n">
        <v>3.77</v>
      </c>
      <c r="C401" t="n">
        <v>588.843655</v>
      </c>
      <c r="D401" t="inlineStr">
        <is>
          <t>Med Benthic Carnivores</t>
        </is>
      </c>
      <c r="E401" t="n">
        <v>106.362581</v>
      </c>
      <c r="F401" t="n">
        <v>153.506319</v>
      </c>
      <c r="G401" t="n">
        <v>32.014124</v>
      </c>
      <c r="H401" t="n">
        <v>100.68782</v>
      </c>
      <c r="I401" t="n">
        <v>159.061371</v>
      </c>
      <c r="J401" t="n">
        <v>159.061371</v>
      </c>
      <c r="K401" t="n">
        <v>156.039205</v>
      </c>
      <c r="L401" t="n">
        <v>198.208223</v>
      </c>
      <c r="M401" t="n">
        <v>198.208223</v>
      </c>
      <c r="N401" t="n">
        <v>198.208223</v>
      </c>
      <c r="O401" t="n">
        <v>116.373231</v>
      </c>
      <c r="P401" t="n">
        <v>56.490526</v>
      </c>
      <c r="Q401" t="n">
        <v>198.208223</v>
      </c>
      <c r="R401" t="n">
        <v>198.208223</v>
      </c>
      <c r="S401" t="n">
        <v>116.373231</v>
      </c>
      <c r="T401" t="n">
        <v>116.373231</v>
      </c>
      <c r="U401" t="n">
        <v>56.490526</v>
      </c>
      <c r="V401" t="n">
        <v>56.490526</v>
      </c>
      <c r="W401" t="n">
        <v>120.80197</v>
      </c>
      <c r="X401" t="n">
        <v>213.813007</v>
      </c>
    </row>
    <row r="402">
      <c r="A402" t="inlineStr">
        <is>
          <t>Holothuria edulis</t>
        </is>
      </c>
      <c r="B402" t="n">
        <v>2</v>
      </c>
      <c r="C402" t="n">
        <v>10</v>
      </c>
      <c r="D402" t="inlineStr">
        <is>
          <t>Heterotrophic Benthos</t>
        </is>
      </c>
      <c r="E402" t="n">
        <v>106.362581</v>
      </c>
      <c r="F402" t="n">
        <v>19.947374</v>
      </c>
      <c r="G402" t="n">
        <v>7.853921</v>
      </c>
      <c r="H402" t="n">
        <v>13.270207</v>
      </c>
      <c r="I402" t="n">
        <v>123.888042</v>
      </c>
      <c r="J402" t="n">
        <v>123.888042</v>
      </c>
      <c r="K402" t="n">
        <v>15.362117</v>
      </c>
      <c r="L402" t="n">
        <v>260.720597</v>
      </c>
      <c r="M402" t="n">
        <v>260.720597</v>
      </c>
      <c r="N402" t="n">
        <v>260.720597</v>
      </c>
      <c r="O402" t="n">
        <v>19.314018</v>
      </c>
      <c r="P402" t="n">
        <v>17.703696</v>
      </c>
      <c r="Q402" t="n">
        <v>260.720597</v>
      </c>
      <c r="R402" t="n">
        <v>260.720597</v>
      </c>
      <c r="S402" t="n">
        <v>19.314018</v>
      </c>
      <c r="T402" t="n">
        <v>19.314018</v>
      </c>
      <c r="U402" t="n">
        <v>17.703696</v>
      </c>
      <c r="V402" t="n">
        <v>17.703696</v>
      </c>
      <c r="W402" t="n">
        <v>20.650834</v>
      </c>
      <c r="X402" t="n">
        <v>285.015306</v>
      </c>
    </row>
    <row r="403">
      <c r="A403" t="inlineStr">
        <is>
          <t>Holothuria fuscopunctata</t>
        </is>
      </c>
      <c r="B403" t="n">
        <v>2</v>
      </c>
      <c r="C403" t="n">
        <v>10</v>
      </c>
      <c r="D403" t="inlineStr">
        <is>
          <t>Heterotrophic Benthos</t>
        </is>
      </c>
      <c r="E403" t="n">
        <v>106.362581</v>
      </c>
      <c r="F403" t="n">
        <v>19.947374</v>
      </c>
      <c r="G403" t="n">
        <v>7.853921</v>
      </c>
      <c r="H403" t="n">
        <v>13.270207</v>
      </c>
      <c r="I403" t="n">
        <v>123.888042</v>
      </c>
      <c r="J403" t="n">
        <v>123.888042</v>
      </c>
      <c r="K403" t="n">
        <v>15.362117</v>
      </c>
      <c r="L403" t="n">
        <v>260.720597</v>
      </c>
      <c r="M403" t="n">
        <v>260.720597</v>
      </c>
      <c r="N403" t="n">
        <v>260.720597</v>
      </c>
      <c r="O403" t="n">
        <v>19.314018</v>
      </c>
      <c r="P403" t="n">
        <v>17.703696</v>
      </c>
      <c r="Q403" t="n">
        <v>260.720597</v>
      </c>
      <c r="R403" t="n">
        <v>260.720597</v>
      </c>
      <c r="S403" t="n">
        <v>19.314018</v>
      </c>
      <c r="T403" t="n">
        <v>19.314018</v>
      </c>
      <c r="U403" t="n">
        <v>17.703696</v>
      </c>
      <c r="V403" t="n">
        <v>17.703696</v>
      </c>
      <c r="W403" t="n">
        <v>20.650834</v>
      </c>
      <c r="X403" t="n">
        <v>285.015306</v>
      </c>
    </row>
    <row r="404">
      <c r="A404" t="inlineStr">
        <is>
          <t>Holothuria leucospilota</t>
        </is>
      </c>
      <c r="B404" t="n">
        <v>2</v>
      </c>
      <c r="C404" t="n">
        <v>10</v>
      </c>
      <c r="D404" t="inlineStr">
        <is>
          <t>Heterotrophic Benthos</t>
        </is>
      </c>
      <c r="E404" t="n">
        <v>106.362581</v>
      </c>
      <c r="F404" t="n">
        <v>19.947374</v>
      </c>
      <c r="G404" t="n">
        <v>7.853921</v>
      </c>
      <c r="H404" t="n">
        <v>13.270207</v>
      </c>
      <c r="I404" t="n">
        <v>123.888042</v>
      </c>
      <c r="J404" t="n">
        <v>123.888042</v>
      </c>
      <c r="K404" t="n">
        <v>15.362117</v>
      </c>
      <c r="L404" t="n">
        <v>260.720597</v>
      </c>
      <c r="M404" t="n">
        <v>260.720597</v>
      </c>
      <c r="N404" t="n">
        <v>260.720597</v>
      </c>
      <c r="O404" t="n">
        <v>19.314018</v>
      </c>
      <c r="P404" t="n">
        <v>17.703696</v>
      </c>
      <c r="Q404" t="n">
        <v>260.720597</v>
      </c>
      <c r="R404" t="n">
        <v>260.720597</v>
      </c>
      <c r="S404" t="n">
        <v>19.314018</v>
      </c>
      <c r="T404" t="n">
        <v>19.314018</v>
      </c>
      <c r="U404" t="n">
        <v>17.703696</v>
      </c>
      <c r="V404" t="n">
        <v>17.703696</v>
      </c>
      <c r="W404" t="n">
        <v>20.650834</v>
      </c>
      <c r="X404" t="n">
        <v>285.015306</v>
      </c>
    </row>
    <row r="405">
      <c r="A405" t="inlineStr">
        <is>
          <t>Hexanchus griseus</t>
        </is>
      </c>
      <c r="D405" t="inlineStr">
        <is>
          <t>Sharks</t>
        </is>
      </c>
      <c r="E405" t="n">
        <v>106.362581</v>
      </c>
      <c r="F405" t="n">
        <v>2569.28922</v>
      </c>
      <c r="G405" t="n">
        <v>222.822151</v>
      </c>
      <c r="H405" t="n">
        <v>1308.685037</v>
      </c>
      <c r="I405" t="n">
        <v>1955.186859</v>
      </c>
      <c r="J405" t="n">
        <v>2007.418175</v>
      </c>
      <c r="K405" t="n">
        <v>1423.259486</v>
      </c>
      <c r="L405" t="n">
        <v>3930.042293</v>
      </c>
      <c r="M405" t="n">
        <v>3930.042293</v>
      </c>
      <c r="N405" t="n">
        <v>3930.042293</v>
      </c>
      <c r="O405" t="n">
        <v>1585.345045</v>
      </c>
      <c r="P405" t="n">
        <v>411.268522</v>
      </c>
      <c r="Q405" t="n">
        <v>3930.042293</v>
      </c>
      <c r="R405" t="n">
        <v>3930.042293</v>
      </c>
      <c r="S405" t="n">
        <v>1585.345045</v>
      </c>
      <c r="T405" t="n">
        <v>1585.345045</v>
      </c>
      <c r="U405" t="n">
        <v>411.268522</v>
      </c>
      <c r="V405" t="n">
        <v>411.268522</v>
      </c>
      <c r="W405" t="n">
        <v>1647.369658</v>
      </c>
      <c r="X405" t="n">
        <v>4507.362005</v>
      </c>
    </row>
    <row r="406">
      <c r="A406" t="inlineStr">
        <is>
          <t>Scomber</t>
        </is>
      </c>
      <c r="D406" t="inlineStr">
        <is>
          <t>Mackerel</t>
        </is>
      </c>
      <c r="E406" t="n">
        <v>106.362581</v>
      </c>
      <c r="F406" t="n">
        <v>10</v>
      </c>
      <c r="G406" t="n">
        <v>4.881897</v>
      </c>
      <c r="H406" t="n">
        <v>4.881897</v>
      </c>
      <c r="I406" t="n">
        <v>10.197541</v>
      </c>
      <c r="J406" t="n">
        <v>10.197541</v>
      </c>
      <c r="K406" t="n">
        <v>9.993589999999999</v>
      </c>
      <c r="L406" t="n">
        <v>9.458164999999999</v>
      </c>
      <c r="M406" t="n">
        <v>9.458164999999999</v>
      </c>
      <c r="N406" t="n">
        <v>9.458164999999999</v>
      </c>
      <c r="O406" t="n">
        <v>11.302127</v>
      </c>
      <c r="P406" t="n">
        <v>10.304402</v>
      </c>
      <c r="Q406" t="n">
        <v>9.458164999999999</v>
      </c>
      <c r="R406" t="n">
        <v>9.458164999999999</v>
      </c>
      <c r="S406" t="n">
        <v>11.302127</v>
      </c>
      <c r="T406" t="n">
        <v>11.302127</v>
      </c>
      <c r="U406" t="n">
        <v>10.304402</v>
      </c>
      <c r="V406" t="n">
        <v>10.304402</v>
      </c>
      <c r="W406" t="n">
        <v>11.531445</v>
      </c>
      <c r="X406" t="n">
        <v>9.437369</v>
      </c>
    </row>
    <row r="407">
      <c r="A407" t="inlineStr">
        <is>
          <t>Carcharhinus obscurus</t>
        </is>
      </c>
      <c r="D407" t="inlineStr">
        <is>
          <t>Sharks</t>
        </is>
      </c>
      <c r="E407" t="n">
        <v>106.362581</v>
      </c>
      <c r="F407" t="n">
        <v>2569.28922</v>
      </c>
      <c r="G407" t="n">
        <v>222.822151</v>
      </c>
      <c r="H407" t="n">
        <v>1308.685037</v>
      </c>
      <c r="I407" t="n">
        <v>1955.186859</v>
      </c>
      <c r="J407" t="n">
        <v>2007.418175</v>
      </c>
      <c r="K407" t="n">
        <v>1423.259486</v>
      </c>
      <c r="L407" t="n">
        <v>3930.042293</v>
      </c>
      <c r="M407" t="n">
        <v>3930.042293</v>
      </c>
      <c r="N407" t="n">
        <v>3930.042293</v>
      </c>
      <c r="O407" t="n">
        <v>1585.345045</v>
      </c>
      <c r="P407" t="n">
        <v>411.268522</v>
      </c>
      <c r="Q407" t="n">
        <v>3930.042293</v>
      </c>
      <c r="R407" t="n">
        <v>3930.042293</v>
      </c>
      <c r="S407" t="n">
        <v>1585.345045</v>
      </c>
      <c r="T407" t="n">
        <v>1585.345045</v>
      </c>
      <c r="U407" t="n">
        <v>411.268522</v>
      </c>
      <c r="V407" t="n">
        <v>411.268522</v>
      </c>
      <c r="W407" t="n">
        <v>1647.369658</v>
      </c>
      <c r="X407" t="n">
        <v>4507.362005</v>
      </c>
    </row>
    <row r="408">
      <c r="A408" t="inlineStr">
        <is>
          <t>Panulirus versicolor</t>
        </is>
      </c>
      <c r="B408" t="n">
        <v>3.57</v>
      </c>
      <c r="C408" t="n">
        <v>371.535229</v>
      </c>
      <c r="D408" t="inlineStr">
        <is>
          <t>Crabs &amp; Lobster</t>
        </is>
      </c>
      <c r="E408" t="n">
        <v>106.362581</v>
      </c>
      <c r="F408" t="n">
        <v>75.373862</v>
      </c>
      <c r="G408" t="n">
        <v>19.61701</v>
      </c>
      <c r="H408" t="n">
        <v>40.48008</v>
      </c>
      <c r="I408" t="n">
        <v>77.811758</v>
      </c>
      <c r="J408" t="n">
        <v>77.811758</v>
      </c>
      <c r="K408" t="n">
        <v>75.944276</v>
      </c>
      <c r="L408" t="n">
        <v>117.553732</v>
      </c>
      <c r="M408" t="n">
        <v>117.553732</v>
      </c>
      <c r="N408" t="n">
        <v>117.553732</v>
      </c>
      <c r="O408" t="n">
        <v>38.109542</v>
      </c>
      <c r="P408" t="n">
        <v>24.77877</v>
      </c>
      <c r="Q408" t="n">
        <v>117.553732</v>
      </c>
      <c r="R408" t="n">
        <v>117.553732</v>
      </c>
      <c r="S408" t="n">
        <v>38.109542</v>
      </c>
      <c r="T408" t="n">
        <v>38.109542</v>
      </c>
      <c r="U408" t="n">
        <v>24.77877</v>
      </c>
      <c r="V408" t="n">
        <v>24.77877</v>
      </c>
      <c r="W408" t="n">
        <v>41.521391</v>
      </c>
      <c r="X408" t="n">
        <v>131.082364</v>
      </c>
    </row>
    <row r="409">
      <c r="A409" t="inlineStr">
        <is>
          <t>Penaeus latisulcatus</t>
        </is>
      </c>
      <c r="B409" t="n">
        <v>2.7</v>
      </c>
      <c r="C409" t="n">
        <v>50.118723</v>
      </c>
      <c r="D409" t="inlineStr">
        <is>
          <t>Shrimps</t>
        </is>
      </c>
      <c r="E409" t="n">
        <v>106.362581</v>
      </c>
      <c r="F409" t="n">
        <v>102.724644</v>
      </c>
      <c r="G409" t="n">
        <v>24.278186</v>
      </c>
      <c r="H409" t="n">
        <v>49.254496</v>
      </c>
      <c r="I409" t="n">
        <v>47.332503</v>
      </c>
      <c r="J409" t="n">
        <v>47.332503</v>
      </c>
      <c r="K409" t="n">
        <v>46.385853</v>
      </c>
      <c r="L409" t="n">
        <v>49.861086</v>
      </c>
      <c r="M409" t="n">
        <v>49.861086</v>
      </c>
      <c r="N409" t="n">
        <v>49.861086</v>
      </c>
      <c r="O409" t="n">
        <v>41.277787</v>
      </c>
      <c r="P409" t="n">
        <v>24.793452</v>
      </c>
      <c r="Q409" t="n">
        <v>49.861086</v>
      </c>
      <c r="R409" t="n">
        <v>49.861086</v>
      </c>
      <c r="S409" t="n">
        <v>41.277787</v>
      </c>
      <c r="T409" t="n">
        <v>41.277787</v>
      </c>
      <c r="U409" t="n">
        <v>24.793452</v>
      </c>
      <c r="V409" t="n">
        <v>24.793452</v>
      </c>
      <c r="W409" t="n">
        <v>43.911832</v>
      </c>
      <c r="X409" t="n">
        <v>53.47357</v>
      </c>
    </row>
    <row r="410">
      <c r="A410" t="inlineStr">
        <is>
          <t>Alopias</t>
        </is>
      </c>
      <c r="D410" t="inlineStr">
        <is>
          <t>Sharks</t>
        </is>
      </c>
      <c r="E410" t="n">
        <v>106.362581</v>
      </c>
      <c r="F410" t="n">
        <v>2569.28922</v>
      </c>
      <c r="G410" t="n">
        <v>222.822151</v>
      </c>
      <c r="H410" t="n">
        <v>1308.685037</v>
      </c>
      <c r="I410" t="n">
        <v>1955.186859</v>
      </c>
      <c r="J410" t="n">
        <v>2007.418175</v>
      </c>
      <c r="K410" t="n">
        <v>1423.259486</v>
      </c>
      <c r="L410" t="n">
        <v>3930.042293</v>
      </c>
      <c r="M410" t="n">
        <v>3930.042293</v>
      </c>
      <c r="N410" t="n">
        <v>3930.042293</v>
      </c>
      <c r="O410" t="n">
        <v>1585.345045</v>
      </c>
      <c r="P410" t="n">
        <v>411.268522</v>
      </c>
      <c r="Q410" t="n">
        <v>3930.042293</v>
      </c>
      <c r="R410" t="n">
        <v>3930.042293</v>
      </c>
      <c r="S410" t="n">
        <v>1585.345045</v>
      </c>
      <c r="T410" t="n">
        <v>1585.345045</v>
      </c>
      <c r="U410" t="n">
        <v>411.268522</v>
      </c>
      <c r="V410" t="n">
        <v>411.268522</v>
      </c>
      <c r="W410" t="n">
        <v>1647.369658</v>
      </c>
      <c r="X410" t="n">
        <v>4507.362005</v>
      </c>
    </row>
    <row r="411">
      <c r="A411" t="inlineStr">
        <is>
          <t>Platax</t>
        </is>
      </c>
      <c r="B411" t="n">
        <v>3.53</v>
      </c>
      <c r="C411" t="n">
        <v>338.844156</v>
      </c>
      <c r="D411" t="inlineStr">
        <is>
          <t>Med Benthic Carnivores</t>
        </is>
      </c>
      <c r="E411" t="n">
        <v>106.362581</v>
      </c>
      <c r="F411" t="n">
        <v>153.506319</v>
      </c>
      <c r="G411" t="n">
        <v>32.014124</v>
      </c>
      <c r="H411" t="n">
        <v>100.68782</v>
      </c>
      <c r="I411" t="n">
        <v>159.061371</v>
      </c>
      <c r="J411" t="n">
        <v>159.061371</v>
      </c>
      <c r="K411" t="n">
        <v>156.039205</v>
      </c>
      <c r="L411" t="n">
        <v>198.208223</v>
      </c>
      <c r="M411" t="n">
        <v>198.208223</v>
      </c>
      <c r="N411" t="n">
        <v>198.208223</v>
      </c>
      <c r="O411" t="n">
        <v>116.373231</v>
      </c>
      <c r="P411" t="n">
        <v>56.490526</v>
      </c>
      <c r="Q411" t="n">
        <v>198.208223</v>
      </c>
      <c r="R411" t="n">
        <v>198.208223</v>
      </c>
      <c r="S411" t="n">
        <v>116.373231</v>
      </c>
      <c r="T411" t="n">
        <v>116.373231</v>
      </c>
      <c r="U411" t="n">
        <v>56.490526</v>
      </c>
      <c r="V411" t="n">
        <v>56.490526</v>
      </c>
      <c r="W411" t="n">
        <v>120.80197</v>
      </c>
      <c r="X411" t="n">
        <v>213.813007</v>
      </c>
    </row>
    <row r="412">
      <c r="A412" t="inlineStr">
        <is>
          <t>Plectropomus laevis</t>
        </is>
      </c>
      <c r="D412" t="inlineStr">
        <is>
          <t>Large Benthic Carnivores</t>
        </is>
      </c>
      <c r="E412" t="n">
        <v>106.362581</v>
      </c>
      <c r="F412" t="n">
        <v>1113.102078</v>
      </c>
      <c r="G412" t="n">
        <v>125.259096</v>
      </c>
      <c r="H412" t="n">
        <v>249.981248</v>
      </c>
      <c r="I412" t="n">
        <v>421.749845</v>
      </c>
      <c r="J412" t="n">
        <v>575.638232</v>
      </c>
      <c r="K412" t="n">
        <v>564.125467</v>
      </c>
      <c r="L412" t="n">
        <v>1114.691652</v>
      </c>
      <c r="M412" t="n">
        <v>1114.691652</v>
      </c>
      <c r="N412" t="n">
        <v>1114.691652</v>
      </c>
      <c r="O412" t="n">
        <v>635.9376559999999</v>
      </c>
      <c r="P412" t="n">
        <v>217.238675</v>
      </c>
      <c r="Q412" t="n">
        <v>1114.691652</v>
      </c>
      <c r="R412" t="n">
        <v>1114.691652</v>
      </c>
      <c r="S412" t="n">
        <v>635.9376559999999</v>
      </c>
      <c r="T412" t="n">
        <v>635.9376559999999</v>
      </c>
      <c r="U412" t="n">
        <v>217.238675</v>
      </c>
      <c r="V412" t="n">
        <v>217.238675</v>
      </c>
      <c r="W412" t="n">
        <v>686.067599</v>
      </c>
      <c r="X412" t="n">
        <v>1252.543178</v>
      </c>
    </row>
    <row r="413">
      <c r="A413" t="inlineStr">
        <is>
          <t>Cephalopholis argus</t>
        </is>
      </c>
      <c r="B413" t="n">
        <v>4.48</v>
      </c>
      <c r="C413" t="n">
        <v>3019.95172</v>
      </c>
      <c r="D413" t="inlineStr">
        <is>
          <t>Large Benthic Carnivores</t>
        </is>
      </c>
      <c r="E413" t="n">
        <v>106.362581</v>
      </c>
      <c r="F413" t="n">
        <v>1113.102078</v>
      </c>
      <c r="G413" t="n">
        <v>125.259096</v>
      </c>
      <c r="H413" t="n">
        <v>249.981248</v>
      </c>
      <c r="I413" t="n">
        <v>421.749845</v>
      </c>
      <c r="J413" t="n">
        <v>575.638232</v>
      </c>
      <c r="K413" t="n">
        <v>564.125467</v>
      </c>
      <c r="L413" t="n">
        <v>1114.691652</v>
      </c>
      <c r="M413" t="n">
        <v>1114.691652</v>
      </c>
      <c r="N413" t="n">
        <v>1114.691652</v>
      </c>
      <c r="O413" t="n">
        <v>635.9376559999999</v>
      </c>
      <c r="P413" t="n">
        <v>217.238675</v>
      </c>
      <c r="Q413" t="n">
        <v>1114.691652</v>
      </c>
      <c r="R413" t="n">
        <v>1114.691652</v>
      </c>
      <c r="S413" t="n">
        <v>635.9376559999999</v>
      </c>
      <c r="T413" t="n">
        <v>635.9376559999999</v>
      </c>
      <c r="U413" t="n">
        <v>217.238675</v>
      </c>
      <c r="V413" t="n">
        <v>217.238675</v>
      </c>
      <c r="W413" t="n">
        <v>686.067599</v>
      </c>
      <c r="X413" t="n">
        <v>1252.543178</v>
      </c>
    </row>
    <row r="414">
      <c r="A414" t="inlineStr">
        <is>
          <t>Panulirus penicillatus</t>
        </is>
      </c>
      <c r="B414" t="n">
        <v>3.57</v>
      </c>
      <c r="C414" t="n">
        <v>371.535229</v>
      </c>
      <c r="D414" t="inlineStr">
        <is>
          <t>Crabs &amp; Lobster</t>
        </is>
      </c>
      <c r="E414" t="n">
        <v>106.362581</v>
      </c>
      <c r="F414" t="n">
        <v>75.373862</v>
      </c>
      <c r="G414" t="n">
        <v>19.61701</v>
      </c>
      <c r="H414" t="n">
        <v>40.48008</v>
      </c>
      <c r="I414" t="n">
        <v>77.811758</v>
      </c>
      <c r="J414" t="n">
        <v>77.811758</v>
      </c>
      <c r="K414" t="n">
        <v>75.944276</v>
      </c>
      <c r="L414" t="n">
        <v>117.553732</v>
      </c>
      <c r="M414" t="n">
        <v>117.553732</v>
      </c>
      <c r="N414" t="n">
        <v>117.553732</v>
      </c>
      <c r="O414" t="n">
        <v>38.109542</v>
      </c>
      <c r="P414" t="n">
        <v>24.77877</v>
      </c>
      <c r="Q414" t="n">
        <v>117.553732</v>
      </c>
      <c r="R414" t="n">
        <v>117.553732</v>
      </c>
      <c r="S414" t="n">
        <v>38.109542</v>
      </c>
      <c r="T414" t="n">
        <v>38.109542</v>
      </c>
      <c r="U414" t="n">
        <v>24.77877</v>
      </c>
      <c r="V414" t="n">
        <v>24.77877</v>
      </c>
      <c r="W414" t="n">
        <v>41.521391</v>
      </c>
      <c r="X414" t="n">
        <v>131.082364</v>
      </c>
    </row>
    <row r="415">
      <c r="A415" t="inlineStr">
        <is>
          <t>Loligo</t>
        </is>
      </c>
      <c r="D415" t="inlineStr">
        <is>
          <t>Cephalopods</t>
        </is>
      </c>
      <c r="E415" t="n">
        <v>106.362581</v>
      </c>
      <c r="F415" t="n">
        <v>1254.312676</v>
      </c>
      <c r="G415" t="n">
        <v>135.996248</v>
      </c>
      <c r="H415" t="n">
        <v>384.963959</v>
      </c>
      <c r="I415" t="n">
        <v>1331.752693</v>
      </c>
      <c r="J415" t="n">
        <v>1334.257295</v>
      </c>
      <c r="K415" t="n">
        <v>1300.900862</v>
      </c>
      <c r="L415" t="n">
        <v>2933.853362</v>
      </c>
      <c r="M415" t="n">
        <v>2933.853362</v>
      </c>
      <c r="N415" t="n">
        <v>2933.853362</v>
      </c>
      <c r="O415" t="n">
        <v>1771.03868</v>
      </c>
      <c r="P415" t="n">
        <v>582.871532</v>
      </c>
      <c r="Q415" t="n">
        <v>2933.853362</v>
      </c>
      <c r="R415" t="n">
        <v>2933.853362</v>
      </c>
      <c r="S415" t="n">
        <v>1771.03868</v>
      </c>
      <c r="T415" t="n">
        <v>1771.03868</v>
      </c>
      <c r="U415" t="n">
        <v>582.871532</v>
      </c>
      <c r="V415" t="n">
        <v>582.871532</v>
      </c>
      <c r="W415" t="n">
        <v>1904.354617</v>
      </c>
      <c r="X415" t="n">
        <v>3263.675794</v>
      </c>
    </row>
    <row r="416">
      <c r="A416" t="inlineStr">
        <is>
          <t>Priacanthidae</t>
        </is>
      </c>
      <c r="D416" t="inlineStr">
        <is>
          <t>Med Benthic Carnivores</t>
        </is>
      </c>
      <c r="E416" t="n">
        <v>106.362581</v>
      </c>
      <c r="F416" t="n">
        <v>153.506319</v>
      </c>
      <c r="G416" t="n">
        <v>32.014124</v>
      </c>
      <c r="H416" t="n">
        <v>100.68782</v>
      </c>
      <c r="I416" t="n">
        <v>159.061371</v>
      </c>
      <c r="J416" t="n">
        <v>159.061371</v>
      </c>
      <c r="K416" t="n">
        <v>156.039205</v>
      </c>
      <c r="L416" t="n">
        <v>198.208223</v>
      </c>
      <c r="M416" t="n">
        <v>198.208223</v>
      </c>
      <c r="N416" t="n">
        <v>198.208223</v>
      </c>
      <c r="O416" t="n">
        <v>116.373231</v>
      </c>
      <c r="P416" t="n">
        <v>56.490526</v>
      </c>
      <c r="Q416" t="n">
        <v>198.208223</v>
      </c>
      <c r="R416" t="n">
        <v>198.208223</v>
      </c>
      <c r="S416" t="n">
        <v>116.373231</v>
      </c>
      <c r="T416" t="n">
        <v>116.373231</v>
      </c>
      <c r="U416" t="n">
        <v>56.490526</v>
      </c>
      <c r="V416" t="n">
        <v>56.490526</v>
      </c>
      <c r="W416" t="n">
        <v>120.80197</v>
      </c>
      <c r="X416" t="n">
        <v>213.813007</v>
      </c>
    </row>
    <row r="417">
      <c r="A417" t="inlineStr">
        <is>
          <t>Scarus ghobban</t>
        </is>
      </c>
      <c r="B417" t="n">
        <v>2</v>
      </c>
      <c r="C417" t="n">
        <v>10</v>
      </c>
      <c r="D417" t="inlineStr">
        <is>
          <t>Benthic Omnivores</t>
        </is>
      </c>
      <c r="E417" t="n">
        <v>106.362581</v>
      </c>
      <c r="F417" t="n">
        <v>34.853983</v>
      </c>
      <c r="G417" t="n">
        <v>11.533933</v>
      </c>
      <c r="H417" t="n">
        <v>23.954598</v>
      </c>
      <c r="I417" t="n">
        <v>122.110584</v>
      </c>
      <c r="J417" t="n">
        <v>122.110584</v>
      </c>
      <c r="K417" t="n">
        <v>119.668372</v>
      </c>
      <c r="L417" t="n">
        <v>234.326211</v>
      </c>
      <c r="M417" t="n">
        <v>234.326211</v>
      </c>
      <c r="N417" t="n">
        <v>234.326211</v>
      </c>
      <c r="O417" t="n">
        <v>32.574396</v>
      </c>
      <c r="P417" t="n">
        <v>28.191927</v>
      </c>
      <c r="Q417" t="n">
        <v>234.326211</v>
      </c>
      <c r="R417" t="n">
        <v>234.326211</v>
      </c>
      <c r="S417" t="n">
        <v>32.574396</v>
      </c>
      <c r="T417" t="n">
        <v>32.574396</v>
      </c>
      <c r="U417" t="n">
        <v>28.191927</v>
      </c>
      <c r="V417" t="n">
        <v>28.191927</v>
      </c>
      <c r="W417" t="n">
        <v>34.709256</v>
      </c>
      <c r="X417" t="n">
        <v>257.01226</v>
      </c>
    </row>
    <row r="418">
      <c r="A418" t="inlineStr">
        <is>
          <t>Trichiurus</t>
        </is>
      </c>
      <c r="B418" t="n">
        <v>4.42</v>
      </c>
      <c r="C418" t="n">
        <v>2630.267992</v>
      </c>
      <c r="D418" t="inlineStr">
        <is>
          <t>Large Benthopelagics</t>
        </is>
      </c>
      <c r="E418" t="n">
        <v>106.362581</v>
      </c>
      <c r="F418" t="n">
        <v>1254.298198</v>
      </c>
      <c r="G418" t="n">
        <v>135.995167</v>
      </c>
      <c r="H418" t="n">
        <v>530.875777</v>
      </c>
      <c r="I418" t="n">
        <v>1013.570171</v>
      </c>
      <c r="J418" t="n">
        <v>1067.730872</v>
      </c>
      <c r="K418" t="n">
        <v>1046.376254</v>
      </c>
      <c r="L418" t="n">
        <v>1918.226529</v>
      </c>
      <c r="M418" t="n">
        <v>1918.226529</v>
      </c>
      <c r="N418" t="n">
        <v>1918.226529</v>
      </c>
      <c r="O418" t="n">
        <v>1111.682878</v>
      </c>
      <c r="P418" t="n">
        <v>334.624507</v>
      </c>
      <c r="Q418" t="n">
        <v>1918.226529</v>
      </c>
      <c r="R418" t="n">
        <v>1918.226529</v>
      </c>
      <c r="S418" t="n">
        <v>1111.682878</v>
      </c>
      <c r="T418" t="n">
        <v>1111.682878</v>
      </c>
      <c r="U418" t="n">
        <v>334.624507</v>
      </c>
      <c r="V418" t="n">
        <v>334.624507</v>
      </c>
      <c r="W418" t="n">
        <v>1176.051346</v>
      </c>
      <c r="X418" t="n">
        <v>2155.084899</v>
      </c>
    </row>
    <row r="419">
      <c r="A419" t="inlineStr">
        <is>
          <t>Epinephelus coeruleopunctatus</t>
        </is>
      </c>
      <c r="B419" t="n">
        <v>3.72</v>
      </c>
      <c r="C419" t="n">
        <v>524.80746</v>
      </c>
      <c r="D419" t="inlineStr">
        <is>
          <t>Large Benthic Carnivores</t>
        </is>
      </c>
      <c r="E419" t="n">
        <v>106.362581</v>
      </c>
      <c r="F419" t="n">
        <v>1113.102078</v>
      </c>
      <c r="G419" t="n">
        <v>125.259096</v>
      </c>
      <c r="H419" t="n">
        <v>249.981248</v>
      </c>
      <c r="I419" t="n">
        <v>421.749845</v>
      </c>
      <c r="J419" t="n">
        <v>575.638232</v>
      </c>
      <c r="K419" t="n">
        <v>564.125467</v>
      </c>
      <c r="L419" t="n">
        <v>1114.691652</v>
      </c>
      <c r="M419" t="n">
        <v>1114.691652</v>
      </c>
      <c r="N419" t="n">
        <v>1114.691652</v>
      </c>
      <c r="O419" t="n">
        <v>635.9376559999999</v>
      </c>
      <c r="P419" t="n">
        <v>217.238675</v>
      </c>
      <c r="Q419" t="n">
        <v>1114.691652</v>
      </c>
      <c r="R419" t="n">
        <v>1114.691652</v>
      </c>
      <c r="S419" t="n">
        <v>635.9376559999999</v>
      </c>
      <c r="T419" t="n">
        <v>635.9376559999999</v>
      </c>
      <c r="U419" t="n">
        <v>217.238675</v>
      </c>
      <c r="V419" t="n">
        <v>217.238675</v>
      </c>
      <c r="W419" t="n">
        <v>686.067599</v>
      </c>
      <c r="X419" t="n">
        <v>1252.543178</v>
      </c>
    </row>
    <row r="420">
      <c r="A420" t="inlineStr">
        <is>
          <t>Lamniformes</t>
        </is>
      </c>
      <c r="D420" t="inlineStr">
        <is>
          <t>Sharks</t>
        </is>
      </c>
      <c r="E420" t="n">
        <v>106.362581</v>
      </c>
      <c r="F420" t="n">
        <v>2569.28922</v>
      </c>
      <c r="G420" t="n">
        <v>222.822151</v>
      </c>
      <c r="H420" t="n">
        <v>1308.685037</v>
      </c>
      <c r="I420" t="n">
        <v>1955.186859</v>
      </c>
      <c r="J420" t="n">
        <v>2007.418175</v>
      </c>
      <c r="K420" t="n">
        <v>1423.259486</v>
      </c>
      <c r="L420" t="n">
        <v>3930.042293</v>
      </c>
      <c r="M420" t="n">
        <v>3930.042293</v>
      </c>
      <c r="N420" t="n">
        <v>3930.042293</v>
      </c>
      <c r="O420" t="n">
        <v>1585.345045</v>
      </c>
      <c r="P420" t="n">
        <v>411.268522</v>
      </c>
      <c r="Q420" t="n">
        <v>3930.042293</v>
      </c>
      <c r="R420" t="n">
        <v>3930.042293</v>
      </c>
      <c r="S420" t="n">
        <v>1585.345045</v>
      </c>
      <c r="T420" t="n">
        <v>1585.345045</v>
      </c>
      <c r="U420" t="n">
        <v>411.268522</v>
      </c>
      <c r="V420" t="n">
        <v>411.268522</v>
      </c>
      <c r="W420" t="n">
        <v>1647.369658</v>
      </c>
      <c r="X420" t="n">
        <v>4507.362005</v>
      </c>
    </row>
    <row r="421">
      <c r="A421" t="inlineStr">
        <is>
          <t>Lophiidae</t>
        </is>
      </c>
      <c r="D421" t="inlineStr">
        <is>
          <t>Med Benthic Carnivores</t>
        </is>
      </c>
      <c r="E421" t="n">
        <v>106.362581</v>
      </c>
      <c r="F421" t="n">
        <v>153.506319</v>
      </c>
      <c r="G421" t="n">
        <v>32.014124</v>
      </c>
      <c r="H421" t="n">
        <v>100.68782</v>
      </c>
      <c r="I421" t="n">
        <v>159.061371</v>
      </c>
      <c r="J421" t="n">
        <v>159.061371</v>
      </c>
      <c r="K421" t="n">
        <v>156.039205</v>
      </c>
      <c r="L421" t="n">
        <v>198.208223</v>
      </c>
      <c r="M421" t="n">
        <v>198.208223</v>
      </c>
      <c r="N421" t="n">
        <v>198.208223</v>
      </c>
      <c r="O421" t="n">
        <v>116.373231</v>
      </c>
      <c r="P421" t="n">
        <v>56.490526</v>
      </c>
      <c r="Q421" t="n">
        <v>198.208223</v>
      </c>
      <c r="R421" t="n">
        <v>198.208223</v>
      </c>
      <c r="S421" t="n">
        <v>116.373231</v>
      </c>
      <c r="T421" t="n">
        <v>116.373231</v>
      </c>
      <c r="U421" t="n">
        <v>56.490526</v>
      </c>
      <c r="V421" t="n">
        <v>56.490526</v>
      </c>
      <c r="W421" t="n">
        <v>120.80197</v>
      </c>
      <c r="X421" t="n">
        <v>213.813007</v>
      </c>
    </row>
    <row r="422">
      <c r="A422" t="inlineStr">
        <is>
          <t>Pristipomoides multidens</t>
        </is>
      </c>
      <c r="B422" t="n">
        <v>3.84</v>
      </c>
      <c r="C422" t="n">
        <v>691.830971</v>
      </c>
      <c r="D422" t="inlineStr">
        <is>
          <t>Large Benthic Carnivores</t>
        </is>
      </c>
      <c r="E422" t="n">
        <v>106.362581</v>
      </c>
      <c r="F422" t="n">
        <v>1113.102078</v>
      </c>
      <c r="G422" t="n">
        <v>125.259096</v>
      </c>
      <c r="H422" t="n">
        <v>249.981248</v>
      </c>
      <c r="I422" t="n">
        <v>421.749845</v>
      </c>
      <c r="J422" t="n">
        <v>575.638232</v>
      </c>
      <c r="K422" t="n">
        <v>564.125467</v>
      </c>
      <c r="L422" t="n">
        <v>1114.691652</v>
      </c>
      <c r="M422" t="n">
        <v>1114.691652</v>
      </c>
      <c r="N422" t="n">
        <v>1114.691652</v>
      </c>
      <c r="O422" t="n">
        <v>635.9376559999999</v>
      </c>
      <c r="P422" t="n">
        <v>217.238675</v>
      </c>
      <c r="Q422" t="n">
        <v>1114.691652</v>
      </c>
      <c r="R422" t="n">
        <v>1114.691652</v>
      </c>
      <c r="S422" t="n">
        <v>635.9376559999999</v>
      </c>
      <c r="T422" t="n">
        <v>635.9376559999999</v>
      </c>
      <c r="U422" t="n">
        <v>217.238675</v>
      </c>
      <c r="V422" t="n">
        <v>217.238675</v>
      </c>
      <c r="W422" t="n">
        <v>686.067599</v>
      </c>
      <c r="X422" t="n">
        <v>1252.543178</v>
      </c>
    </row>
    <row r="423">
      <c r="A423" t="inlineStr">
        <is>
          <t>Ruvettus pretiosus</t>
        </is>
      </c>
      <c r="D423" t="inlineStr">
        <is>
          <t>Large Benthopelagics</t>
        </is>
      </c>
      <c r="E423" t="n">
        <v>106.362581</v>
      </c>
      <c r="F423" t="n">
        <v>1254.298198</v>
      </c>
      <c r="G423" t="n">
        <v>135.995167</v>
      </c>
      <c r="H423" t="n">
        <v>530.875777</v>
      </c>
      <c r="I423" t="n">
        <v>1013.570171</v>
      </c>
      <c r="J423" t="n">
        <v>1067.730872</v>
      </c>
      <c r="K423" t="n">
        <v>1046.376254</v>
      </c>
      <c r="L423" t="n">
        <v>1918.226529</v>
      </c>
      <c r="M423" t="n">
        <v>1918.226529</v>
      </c>
      <c r="N423" t="n">
        <v>1918.226529</v>
      </c>
      <c r="O423" t="n">
        <v>1111.682878</v>
      </c>
      <c r="P423" t="n">
        <v>334.624507</v>
      </c>
      <c r="Q423" t="n">
        <v>1918.226529</v>
      </c>
      <c r="R423" t="n">
        <v>1918.226529</v>
      </c>
      <c r="S423" t="n">
        <v>1111.682878</v>
      </c>
      <c r="T423" t="n">
        <v>1111.682878</v>
      </c>
      <c r="U423" t="n">
        <v>334.624507</v>
      </c>
      <c r="V423" t="n">
        <v>334.624507</v>
      </c>
      <c r="W423" t="n">
        <v>1176.051346</v>
      </c>
      <c r="X423" t="n">
        <v>2155.084899</v>
      </c>
    </row>
    <row r="424">
      <c r="A424" t="inlineStr">
        <is>
          <t>Lepturacanthus savala</t>
        </is>
      </c>
      <c r="B424" t="n">
        <v>4.31</v>
      </c>
      <c r="C424" t="n">
        <v>2041.737945</v>
      </c>
      <c r="D424" t="inlineStr">
        <is>
          <t>Large Benthopelagics</t>
        </is>
      </c>
      <c r="E424" t="n">
        <v>106.362581</v>
      </c>
      <c r="F424" t="n">
        <v>1254.298198</v>
      </c>
      <c r="G424" t="n">
        <v>135.995167</v>
      </c>
      <c r="H424" t="n">
        <v>530.875777</v>
      </c>
      <c r="I424" t="n">
        <v>1013.570171</v>
      </c>
      <c r="J424" t="n">
        <v>1067.730872</v>
      </c>
      <c r="K424" t="n">
        <v>1046.376254</v>
      </c>
      <c r="L424" t="n">
        <v>1918.226529</v>
      </c>
      <c r="M424" t="n">
        <v>1918.226529</v>
      </c>
      <c r="N424" t="n">
        <v>1918.226529</v>
      </c>
      <c r="O424" t="n">
        <v>1111.682878</v>
      </c>
      <c r="P424" t="n">
        <v>334.624507</v>
      </c>
      <c r="Q424" t="n">
        <v>1918.226529</v>
      </c>
      <c r="R424" t="n">
        <v>1918.226529</v>
      </c>
      <c r="S424" t="n">
        <v>1111.682878</v>
      </c>
      <c r="T424" t="n">
        <v>1111.682878</v>
      </c>
      <c r="U424" t="n">
        <v>334.624507</v>
      </c>
      <c r="V424" t="n">
        <v>334.624507</v>
      </c>
      <c r="W424" t="n">
        <v>1176.051346</v>
      </c>
      <c r="X424" t="n">
        <v>2155.084899</v>
      </c>
    </row>
    <row r="425">
      <c r="A425" t="inlineStr">
        <is>
          <t>Mobula birostris</t>
        </is>
      </c>
      <c r="B425" t="n">
        <v>3.46</v>
      </c>
      <c r="C425" t="n">
        <v>288.40315</v>
      </c>
      <c r="D425" t="inlineStr">
        <is>
          <t>Skates &amp; Rays</t>
        </is>
      </c>
      <c r="E425" t="n">
        <v>106.362581</v>
      </c>
      <c r="F425" t="n">
        <v>378.025577</v>
      </c>
      <c r="G425" t="n">
        <v>59.545879</v>
      </c>
      <c r="H425" t="n">
        <v>236.053692</v>
      </c>
      <c r="I425" t="n">
        <v>2128.450324</v>
      </c>
      <c r="J425" t="n">
        <v>2171.723686</v>
      </c>
      <c r="K425" t="n">
        <v>1300.862488</v>
      </c>
      <c r="L425" t="n">
        <v>3126.185669</v>
      </c>
      <c r="M425" t="n">
        <v>3126.185669</v>
      </c>
      <c r="N425" t="n">
        <v>3126.185669</v>
      </c>
      <c r="O425" t="n">
        <v>887.634307</v>
      </c>
      <c r="P425" t="n">
        <v>357.542004</v>
      </c>
      <c r="Q425" t="n">
        <v>3126.185669</v>
      </c>
      <c r="R425" t="n">
        <v>3126.185669</v>
      </c>
      <c r="S425" t="n">
        <v>887.634307</v>
      </c>
      <c r="T425" t="n">
        <v>887.634307</v>
      </c>
      <c r="U425" t="n">
        <v>357.542004</v>
      </c>
      <c r="V425" t="n">
        <v>357.542004</v>
      </c>
      <c r="W425" t="n">
        <v>926.257871</v>
      </c>
      <c r="X425" t="n">
        <v>3406.854319</v>
      </c>
    </row>
    <row r="426">
      <c r="A426" t="inlineStr">
        <is>
          <t>Gymnocranius grandoculis</t>
        </is>
      </c>
      <c r="B426" t="n">
        <v>3.76</v>
      </c>
      <c r="C426" t="n">
        <v>575.439937</v>
      </c>
      <c r="D426" t="inlineStr">
        <is>
          <t>Large Benthic Carnivores</t>
        </is>
      </c>
      <c r="E426" t="n">
        <v>106.362581</v>
      </c>
      <c r="F426" t="n">
        <v>1113.102078</v>
      </c>
      <c r="G426" t="n">
        <v>125.259096</v>
      </c>
      <c r="H426" t="n">
        <v>249.981248</v>
      </c>
      <c r="I426" t="n">
        <v>421.749845</v>
      </c>
      <c r="J426" t="n">
        <v>575.638232</v>
      </c>
      <c r="K426" t="n">
        <v>564.125467</v>
      </c>
      <c r="L426" t="n">
        <v>1114.691652</v>
      </c>
      <c r="M426" t="n">
        <v>1114.691652</v>
      </c>
      <c r="N426" t="n">
        <v>1114.691652</v>
      </c>
      <c r="O426" t="n">
        <v>635.9376559999999</v>
      </c>
      <c r="P426" t="n">
        <v>217.238675</v>
      </c>
      <c r="Q426" t="n">
        <v>1114.691652</v>
      </c>
      <c r="R426" t="n">
        <v>1114.691652</v>
      </c>
      <c r="S426" t="n">
        <v>635.9376559999999</v>
      </c>
      <c r="T426" t="n">
        <v>635.9376559999999</v>
      </c>
      <c r="U426" t="n">
        <v>217.238675</v>
      </c>
      <c r="V426" t="n">
        <v>217.238675</v>
      </c>
      <c r="W426" t="n">
        <v>686.067599</v>
      </c>
      <c r="X426" t="n">
        <v>1252.543178</v>
      </c>
    </row>
    <row r="427">
      <c r="A427" t="inlineStr">
        <is>
          <t>Lepidocybium flavobrunneum</t>
        </is>
      </c>
      <c r="D427" t="inlineStr">
        <is>
          <t>Unresolved</t>
        </is>
      </c>
    </row>
    <row r="428">
      <c r="A428" t="inlineStr">
        <is>
          <t>Plotosus lineatus</t>
        </is>
      </c>
      <c r="D428" t="inlineStr">
        <is>
          <t>Benthic Omnivores</t>
        </is>
      </c>
      <c r="E428" t="n">
        <v>106.362581</v>
      </c>
      <c r="F428" t="n">
        <v>34.853983</v>
      </c>
      <c r="G428" t="n">
        <v>11.533933</v>
      </c>
      <c r="H428" t="n">
        <v>23.954598</v>
      </c>
      <c r="I428" t="n">
        <v>122.110584</v>
      </c>
      <c r="J428" t="n">
        <v>122.110584</v>
      </c>
      <c r="K428" t="n">
        <v>119.668372</v>
      </c>
      <c r="L428" t="n">
        <v>234.326211</v>
      </c>
      <c r="M428" t="n">
        <v>234.326211</v>
      </c>
      <c r="N428" t="n">
        <v>234.326211</v>
      </c>
      <c r="O428" t="n">
        <v>32.574396</v>
      </c>
      <c r="P428" t="n">
        <v>28.191927</v>
      </c>
      <c r="Q428" t="n">
        <v>234.326211</v>
      </c>
      <c r="R428" t="n">
        <v>234.326211</v>
      </c>
      <c r="S428" t="n">
        <v>32.574396</v>
      </c>
      <c r="T428" t="n">
        <v>32.574396</v>
      </c>
      <c r="U428" t="n">
        <v>28.191927</v>
      </c>
      <c r="V428" t="n">
        <v>28.191927</v>
      </c>
      <c r="W428" t="n">
        <v>34.709256</v>
      </c>
      <c r="X428" t="n">
        <v>257.01226</v>
      </c>
    </row>
    <row r="429">
      <c r="A429" t="inlineStr">
        <is>
          <t>Lampris guttatus</t>
        </is>
      </c>
      <c r="D429" t="inlineStr">
        <is>
          <t>Unresolved</t>
        </is>
      </c>
    </row>
    <row r="430">
      <c r="A430" t="inlineStr">
        <is>
          <t>Carcharhinus macloti</t>
        </is>
      </c>
      <c r="D430" t="inlineStr">
        <is>
          <t>Sharks</t>
        </is>
      </c>
      <c r="E430" t="n">
        <v>106.362581</v>
      </c>
      <c r="F430" t="n">
        <v>2569.28922</v>
      </c>
      <c r="G430" t="n">
        <v>222.822151</v>
      </c>
      <c r="H430" t="n">
        <v>1308.685037</v>
      </c>
      <c r="I430" t="n">
        <v>1955.186859</v>
      </c>
      <c r="J430" t="n">
        <v>2007.418175</v>
      </c>
      <c r="K430" t="n">
        <v>1423.259486</v>
      </c>
      <c r="L430" t="n">
        <v>3930.042293</v>
      </c>
      <c r="M430" t="n">
        <v>3930.042293</v>
      </c>
      <c r="N430" t="n">
        <v>3930.042293</v>
      </c>
      <c r="O430" t="n">
        <v>1585.345045</v>
      </c>
      <c r="P430" t="n">
        <v>411.268522</v>
      </c>
      <c r="Q430" t="n">
        <v>3930.042293</v>
      </c>
      <c r="R430" t="n">
        <v>3930.042293</v>
      </c>
      <c r="S430" t="n">
        <v>1585.345045</v>
      </c>
      <c r="T430" t="n">
        <v>1585.345045</v>
      </c>
      <c r="U430" t="n">
        <v>411.268522</v>
      </c>
      <c r="V430" t="n">
        <v>411.268522</v>
      </c>
      <c r="W430" t="n">
        <v>1647.369658</v>
      </c>
      <c r="X430" t="n">
        <v>4507.362005</v>
      </c>
    </row>
    <row r="431">
      <c r="A431" t="inlineStr">
        <is>
          <t>Labridae</t>
        </is>
      </c>
      <c r="B431" t="n">
        <v>3.46</v>
      </c>
      <c r="C431" t="n">
        <v>288.40315</v>
      </c>
      <c r="D431" t="inlineStr">
        <is>
          <t>Med Benthic Carnivores</t>
        </is>
      </c>
      <c r="E431" t="n">
        <v>106.362581</v>
      </c>
      <c r="F431" t="n">
        <v>153.506319</v>
      </c>
      <c r="G431" t="n">
        <v>32.014124</v>
      </c>
      <c r="H431" t="n">
        <v>100.68782</v>
      </c>
      <c r="I431" t="n">
        <v>159.061371</v>
      </c>
      <c r="J431" t="n">
        <v>159.061371</v>
      </c>
      <c r="K431" t="n">
        <v>156.039205</v>
      </c>
      <c r="L431" t="n">
        <v>198.208223</v>
      </c>
      <c r="M431" t="n">
        <v>198.208223</v>
      </c>
      <c r="N431" t="n">
        <v>198.208223</v>
      </c>
      <c r="O431" t="n">
        <v>116.373231</v>
      </c>
      <c r="P431" t="n">
        <v>56.490526</v>
      </c>
      <c r="Q431" t="n">
        <v>198.208223</v>
      </c>
      <c r="R431" t="n">
        <v>198.208223</v>
      </c>
      <c r="S431" t="n">
        <v>116.373231</v>
      </c>
      <c r="T431" t="n">
        <v>116.373231</v>
      </c>
      <c r="U431" t="n">
        <v>56.490526</v>
      </c>
      <c r="V431" t="n">
        <v>56.490526</v>
      </c>
      <c r="W431" t="n">
        <v>120.80197</v>
      </c>
      <c r="X431" t="n">
        <v>213.813007</v>
      </c>
    </row>
    <row r="432">
      <c r="A432" t="inlineStr">
        <is>
          <t>Portunus</t>
        </is>
      </c>
      <c r="B432" t="n">
        <v>3.26</v>
      </c>
      <c r="C432" t="n">
        <v>181.970086</v>
      </c>
      <c r="D432" t="inlineStr">
        <is>
          <t>Crabs &amp; Lobster</t>
        </is>
      </c>
      <c r="E432" t="n">
        <v>106.362581</v>
      </c>
      <c r="F432" t="n">
        <v>75.373862</v>
      </c>
      <c r="G432" t="n">
        <v>19.61701</v>
      </c>
      <c r="H432" t="n">
        <v>40.48008</v>
      </c>
      <c r="I432" t="n">
        <v>77.811758</v>
      </c>
      <c r="J432" t="n">
        <v>77.811758</v>
      </c>
      <c r="K432" t="n">
        <v>75.944276</v>
      </c>
      <c r="L432" t="n">
        <v>117.553732</v>
      </c>
      <c r="M432" t="n">
        <v>117.553732</v>
      </c>
      <c r="N432" t="n">
        <v>117.553732</v>
      </c>
      <c r="O432" t="n">
        <v>38.109542</v>
      </c>
      <c r="P432" t="n">
        <v>24.77877</v>
      </c>
      <c r="Q432" t="n">
        <v>117.553732</v>
      </c>
      <c r="R432" t="n">
        <v>117.553732</v>
      </c>
      <c r="S432" t="n">
        <v>38.109542</v>
      </c>
      <c r="T432" t="n">
        <v>38.109542</v>
      </c>
      <c r="U432" t="n">
        <v>24.77877</v>
      </c>
      <c r="V432" t="n">
        <v>24.77877</v>
      </c>
      <c r="W432" t="n">
        <v>41.521391</v>
      </c>
      <c r="X432" t="n">
        <v>131.082364</v>
      </c>
    </row>
    <row r="433">
      <c r="A433" t="inlineStr">
        <is>
          <t>Pomacanthidae</t>
        </is>
      </c>
      <c r="B433" t="n">
        <v>2.86</v>
      </c>
      <c r="C433" t="n">
        <v>72.443596</v>
      </c>
      <c r="D433" t="inlineStr">
        <is>
          <t>Benthic Omnivores</t>
        </is>
      </c>
      <c r="E433" t="n">
        <v>106.362581</v>
      </c>
      <c r="F433" t="n">
        <v>34.853983</v>
      </c>
      <c r="G433" t="n">
        <v>11.533933</v>
      </c>
      <c r="H433" t="n">
        <v>23.954598</v>
      </c>
      <c r="I433" t="n">
        <v>122.110584</v>
      </c>
      <c r="J433" t="n">
        <v>122.110584</v>
      </c>
      <c r="K433" t="n">
        <v>119.668372</v>
      </c>
      <c r="L433" t="n">
        <v>234.326211</v>
      </c>
      <c r="M433" t="n">
        <v>234.326211</v>
      </c>
      <c r="N433" t="n">
        <v>234.326211</v>
      </c>
      <c r="O433" t="n">
        <v>32.574396</v>
      </c>
      <c r="P433" t="n">
        <v>28.191927</v>
      </c>
      <c r="Q433" t="n">
        <v>234.326211</v>
      </c>
      <c r="R433" t="n">
        <v>234.326211</v>
      </c>
      <c r="S433" t="n">
        <v>32.574396</v>
      </c>
      <c r="T433" t="n">
        <v>32.574396</v>
      </c>
      <c r="U433" t="n">
        <v>28.191927</v>
      </c>
      <c r="V433" t="n">
        <v>28.191927</v>
      </c>
      <c r="W433" t="n">
        <v>34.709256</v>
      </c>
      <c r="X433" t="n">
        <v>257.01226</v>
      </c>
    </row>
    <row r="434">
      <c r="A434" t="inlineStr">
        <is>
          <t>Acanthuridae</t>
        </is>
      </c>
      <c r="B434" t="n">
        <v>2.28</v>
      </c>
      <c r="C434" t="n">
        <v>19.054607</v>
      </c>
      <c r="D434" t="inlineStr">
        <is>
          <t>Benthic Omnivores</t>
        </is>
      </c>
      <c r="E434" t="n">
        <v>106.362581</v>
      </c>
      <c r="F434" t="n">
        <v>34.853983</v>
      </c>
      <c r="G434" t="n">
        <v>11.533933</v>
      </c>
      <c r="H434" t="n">
        <v>23.954598</v>
      </c>
      <c r="I434" t="n">
        <v>122.110584</v>
      </c>
      <c r="J434" t="n">
        <v>122.110584</v>
      </c>
      <c r="K434" t="n">
        <v>119.668372</v>
      </c>
      <c r="L434" t="n">
        <v>234.326211</v>
      </c>
      <c r="M434" t="n">
        <v>234.326211</v>
      </c>
      <c r="N434" t="n">
        <v>234.326211</v>
      </c>
      <c r="O434" t="n">
        <v>32.574396</v>
      </c>
      <c r="P434" t="n">
        <v>28.191927</v>
      </c>
      <c r="Q434" t="n">
        <v>234.326211</v>
      </c>
      <c r="R434" t="n">
        <v>234.326211</v>
      </c>
      <c r="S434" t="n">
        <v>32.574396</v>
      </c>
      <c r="T434" t="n">
        <v>32.574396</v>
      </c>
      <c r="U434" t="n">
        <v>28.191927</v>
      </c>
      <c r="V434" t="n">
        <v>28.191927</v>
      </c>
      <c r="W434" t="n">
        <v>34.709256</v>
      </c>
      <c r="X434" t="n">
        <v>257.01226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T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Rows are methods. The first is the simple trophic-chain estimate, which needs no model and covers every taxon; the rest are this model's.</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423486671.936</v>
      </c>
      <c r="D6" t="n">
        <v>418149972.616</v>
      </c>
      <c r="E6" t="n">
        <v>456560387.437</v>
      </c>
      <c r="F6" t="n">
        <v>517417683.123</v>
      </c>
      <c r="G6" t="n">
        <v>553705637.539</v>
      </c>
      <c r="H6" t="n">
        <v>654141712.253</v>
      </c>
      <c r="I6" t="n">
        <v>742977625.798</v>
      </c>
      <c r="J6" t="n">
        <v>719949402.814</v>
      </c>
      <c r="K6" t="n">
        <v>633285701.55</v>
      </c>
      <c r="L6" t="n">
        <v>604883416.143</v>
      </c>
      <c r="M6" t="n">
        <v>752515676.3789999</v>
      </c>
      <c r="N6" t="n">
        <v>678170191.663</v>
      </c>
      <c r="O6" t="n">
        <v>696867995.594</v>
      </c>
      <c r="P6" t="n">
        <v>764660789.674</v>
      </c>
      <c r="Q6" t="n">
        <v>827964255.084</v>
      </c>
      <c r="R6" t="n">
        <v>831671893.6109999</v>
      </c>
      <c r="S6" t="n">
        <v>936667690.627</v>
      </c>
      <c r="T6" t="n">
        <v>943125073.268</v>
      </c>
      <c r="U6" t="n">
        <v>939278265.809</v>
      </c>
      <c r="V6" t="n">
        <v>960550578.24</v>
      </c>
      <c r="W6" t="n">
        <v>1013015870.171</v>
      </c>
      <c r="X6" t="n">
        <v>997163575.5</v>
      </c>
      <c r="Y6" t="n">
        <v>1055921888.523</v>
      </c>
      <c r="Z6" t="n">
        <v>1175021299.078</v>
      </c>
      <c r="AA6" t="n">
        <v>1252020255.349</v>
      </c>
      <c r="AB6" t="n">
        <v>1353429467.725</v>
      </c>
      <c r="AC6" t="n">
        <v>1337829577.818</v>
      </c>
      <c r="AD6" t="n">
        <v>1367274900.029</v>
      </c>
      <c r="AE6" t="n">
        <v>1344087650.815</v>
      </c>
      <c r="AF6" t="n">
        <v>1440998194.812</v>
      </c>
      <c r="AG6" t="n">
        <v>1291508129.807</v>
      </c>
      <c r="AH6" t="n">
        <v>1379979374.083</v>
      </c>
      <c r="AI6" t="n">
        <v>1372109789.459</v>
      </c>
      <c r="AJ6" t="n">
        <v>1644143702.086</v>
      </c>
      <c r="AK6" t="n">
        <v>1704652430.88</v>
      </c>
      <c r="AL6" t="n">
        <v>1751597922.573</v>
      </c>
      <c r="AM6" t="n">
        <v>1827527463.317</v>
      </c>
      <c r="AN6" t="n">
        <v>1765693062.403</v>
      </c>
      <c r="AO6" t="n">
        <v>1954818983.598</v>
      </c>
      <c r="AP6" t="n">
        <v>2085292594.109</v>
      </c>
      <c r="AQ6" t="n">
        <v>1960856284.409</v>
      </c>
      <c r="AR6" t="n">
        <v>2100460829.285</v>
      </c>
      <c r="AS6" t="n">
        <v>2219724921.889</v>
      </c>
      <c r="AT6" t="n">
        <v>2223840970.438</v>
      </c>
      <c r="AU6" t="n">
        <v>2290279457.47</v>
      </c>
      <c r="AV6" t="n">
        <v>2261775644.229</v>
      </c>
      <c r="AW6" t="n">
        <v>2223460670.525</v>
      </c>
      <c r="AX6" t="n">
        <v>2461017949.84</v>
      </c>
      <c r="AY6" t="n">
        <v>2567054737.421</v>
      </c>
      <c r="AZ6" t="n">
        <v>2486652435.468</v>
      </c>
      <c r="BA6" t="n">
        <v>2542592908.292</v>
      </c>
      <c r="BB6" t="n">
        <v>2490391485.021</v>
      </c>
      <c r="BC6" t="n">
        <v>2650878094.439</v>
      </c>
      <c r="BD6" t="n">
        <v>2787724581.192</v>
      </c>
      <c r="BE6" t="n">
        <v>2899148576.452</v>
      </c>
      <c r="BF6" t="n">
        <v>2776551735.404</v>
      </c>
      <c r="BG6" t="n">
        <v>2993221927.946</v>
      </c>
      <c r="BH6" t="n">
        <v>2712053547.527</v>
      </c>
      <c r="BI6" t="n">
        <v>2789855635.669</v>
      </c>
      <c r="BJ6" t="n">
        <v>2722414404.651</v>
      </c>
      <c r="BK6" t="n">
        <v>2787105066.458</v>
      </c>
      <c r="BL6" t="n">
        <v>3053533970.463</v>
      </c>
      <c r="BM6" t="n">
        <v>3550401892.699</v>
      </c>
      <c r="BN6" t="n">
        <v>3609586587.865</v>
      </c>
      <c r="BO6" t="n">
        <v>3532259070.229</v>
      </c>
      <c r="BP6" t="n">
        <v>3710870724.257</v>
      </c>
      <c r="BQ6" t="n">
        <v>3977730659.39</v>
      </c>
      <c r="BR6" t="n">
        <v>3956570073.615</v>
      </c>
      <c r="BS6" t="n">
        <v>4520983645.772</v>
      </c>
      <c r="BT6" t="n">
        <v>4734727058.238</v>
      </c>
    </row>
    <row r="7">
      <c r="A7" s="10" t="inlineStr">
        <is>
          <t>simple, aggregated to SAU functional group</t>
        </is>
      </c>
      <c r="B7" t="inlineStr">
        <is>
          <t>Jensen comparison, not a PPR estimate</t>
        </is>
      </c>
      <c r="C7" t="n">
        <v>326547579.008</v>
      </c>
      <c r="D7" t="n">
        <v>320019686.401</v>
      </c>
      <c r="E7" t="n">
        <v>355533734.442</v>
      </c>
      <c r="F7" t="n">
        <v>394956772.347</v>
      </c>
      <c r="G7" t="n">
        <v>424557667.396</v>
      </c>
      <c r="H7" t="n">
        <v>524870503.224</v>
      </c>
      <c r="I7" t="n">
        <v>598508749.706</v>
      </c>
      <c r="J7" t="n">
        <v>584276706.081</v>
      </c>
      <c r="K7" t="n">
        <v>481598983.652</v>
      </c>
      <c r="L7" t="n">
        <v>460205947.822</v>
      </c>
      <c r="M7" t="n">
        <v>580947818.813</v>
      </c>
      <c r="N7" t="n">
        <v>517349089.468</v>
      </c>
      <c r="O7" t="n">
        <v>535952212.856</v>
      </c>
      <c r="P7" t="n">
        <v>580446490.6849999</v>
      </c>
      <c r="Q7" t="n">
        <v>626339084.8049999</v>
      </c>
      <c r="R7" t="n">
        <v>624202096.092</v>
      </c>
      <c r="S7" t="n">
        <v>709008621.802</v>
      </c>
      <c r="T7" t="n">
        <v>718572154.017</v>
      </c>
      <c r="U7" t="n">
        <v>719438974.622</v>
      </c>
      <c r="V7" t="n">
        <v>718056009.541</v>
      </c>
      <c r="W7" t="n">
        <v>763213010.223</v>
      </c>
      <c r="X7" t="n">
        <v>736374199.196</v>
      </c>
      <c r="Y7" t="n">
        <v>781916732.272</v>
      </c>
      <c r="Z7" t="n">
        <v>885458328.398</v>
      </c>
      <c r="AA7" t="n">
        <v>955974780.771</v>
      </c>
      <c r="AB7" t="n">
        <v>1036277346.602</v>
      </c>
      <c r="AC7" t="n">
        <v>1009361438.694</v>
      </c>
      <c r="AD7" t="n">
        <v>1023357862.808</v>
      </c>
      <c r="AE7" t="n">
        <v>1008474702.226</v>
      </c>
      <c r="AF7" t="n">
        <v>1074415251.448</v>
      </c>
      <c r="AG7" t="n">
        <v>955310254.339</v>
      </c>
      <c r="AH7" t="n">
        <v>1008754696.314</v>
      </c>
      <c r="AI7" t="n">
        <v>1001630451.03</v>
      </c>
      <c r="AJ7" t="n">
        <v>1217799657.596</v>
      </c>
      <c r="AK7" t="n">
        <v>1259088839.746</v>
      </c>
      <c r="AL7" t="n">
        <v>1292597372.14</v>
      </c>
      <c r="AM7" t="n">
        <v>1372377220.289</v>
      </c>
      <c r="AN7" t="n">
        <v>1307804230.938</v>
      </c>
      <c r="AO7" t="n">
        <v>1448886295.382</v>
      </c>
      <c r="AP7" t="n">
        <v>1554976157.807</v>
      </c>
      <c r="AQ7" t="n">
        <v>1463464405.263</v>
      </c>
      <c r="AR7" t="n">
        <v>1585034092.119</v>
      </c>
      <c r="AS7" t="n">
        <v>1715330479.713</v>
      </c>
      <c r="AT7" t="n">
        <v>1693674634.726</v>
      </c>
      <c r="AU7" t="n">
        <v>1728594749.607</v>
      </c>
      <c r="AV7" t="n">
        <v>1705494614.629</v>
      </c>
      <c r="AW7" t="n">
        <v>1666243404.995</v>
      </c>
      <c r="AX7" t="n">
        <v>1836215210.674</v>
      </c>
      <c r="AY7" t="n">
        <v>1940045514.305</v>
      </c>
      <c r="AZ7" t="n">
        <v>1893965736.477</v>
      </c>
      <c r="BA7" t="n">
        <v>1948252051.06</v>
      </c>
      <c r="BB7" t="n">
        <v>1920775524.6</v>
      </c>
      <c r="BC7" t="n">
        <v>2070551551.793</v>
      </c>
      <c r="BD7" t="n">
        <v>2193470568.98</v>
      </c>
      <c r="BE7" t="n">
        <v>2350512472.873</v>
      </c>
      <c r="BF7" t="n">
        <v>2263907991.388</v>
      </c>
      <c r="BG7" t="n">
        <v>2437555784.527</v>
      </c>
      <c r="BH7" t="n">
        <v>2160876690.428</v>
      </c>
      <c r="BI7" t="n">
        <v>2192254684.885</v>
      </c>
      <c r="BJ7" t="n">
        <v>2144444518.497</v>
      </c>
      <c r="BK7" t="n">
        <v>2184232265.119</v>
      </c>
      <c r="BL7" t="n">
        <v>2455253752.864</v>
      </c>
      <c r="BM7" t="n">
        <v>2884654226.787</v>
      </c>
      <c r="BN7" t="n">
        <v>2946029227.735</v>
      </c>
      <c r="BO7" t="n">
        <v>2858907192.319</v>
      </c>
      <c r="BP7" t="n">
        <v>3005792975.676</v>
      </c>
      <c r="BQ7" t="n">
        <v>3224520952.997</v>
      </c>
      <c r="BR7" t="n">
        <v>3219932854.209</v>
      </c>
      <c r="BS7" t="n">
        <v>3769721799.5</v>
      </c>
      <c r="BT7" t="n">
        <v>3986670666.772</v>
      </c>
    </row>
    <row r="8">
      <c r="A8" s="10" t="inlineStr">
        <is>
          <t>simple, aggregated to SAU commercial group</t>
        </is>
      </c>
      <c r="B8" t="inlineStr">
        <is>
          <t>Jensen comparison, not a PPR estimate</t>
        </is>
      </c>
      <c r="C8" t="n">
        <v>272394337.584</v>
      </c>
      <c r="D8" t="n">
        <v>273879171.071</v>
      </c>
      <c r="E8" t="n">
        <v>300176485.697</v>
      </c>
      <c r="F8" t="n">
        <v>333738149.613</v>
      </c>
      <c r="G8" t="n">
        <v>378821621.606</v>
      </c>
      <c r="H8" t="n">
        <v>433446615.879</v>
      </c>
      <c r="I8" t="n">
        <v>496255322.018</v>
      </c>
      <c r="J8" t="n">
        <v>454964770.12</v>
      </c>
      <c r="K8" t="n">
        <v>394486376.949</v>
      </c>
      <c r="L8" t="n">
        <v>384570939.441</v>
      </c>
      <c r="M8" t="n">
        <v>469961847.43</v>
      </c>
      <c r="N8" t="n">
        <v>435385397.761</v>
      </c>
      <c r="O8" t="n">
        <v>453059177.834</v>
      </c>
      <c r="P8" t="n">
        <v>479092947.31</v>
      </c>
      <c r="Q8" t="n">
        <v>531783485.888</v>
      </c>
      <c r="R8" t="n">
        <v>525237823.638</v>
      </c>
      <c r="S8" t="n">
        <v>605890549.61</v>
      </c>
      <c r="T8" t="n">
        <v>614902768.273</v>
      </c>
      <c r="U8" t="n">
        <v>616440771.284</v>
      </c>
      <c r="V8" t="n">
        <v>612133978.767</v>
      </c>
      <c r="W8" t="n">
        <v>653000557.687</v>
      </c>
      <c r="X8" t="n">
        <v>625062033.399</v>
      </c>
      <c r="Y8" t="n">
        <v>683604974.6670001</v>
      </c>
      <c r="Z8" t="n">
        <v>788249243.804</v>
      </c>
      <c r="AA8" t="n">
        <v>858617416.576</v>
      </c>
      <c r="AB8" t="n">
        <v>924663670.862</v>
      </c>
      <c r="AC8" t="n">
        <v>895398592.302</v>
      </c>
      <c r="AD8" t="n">
        <v>899846765.665</v>
      </c>
      <c r="AE8" t="n">
        <v>864223579.865</v>
      </c>
      <c r="AF8" t="n">
        <v>919854343.052</v>
      </c>
      <c r="AG8" t="n">
        <v>831020292.943</v>
      </c>
      <c r="AH8" t="n">
        <v>859197614.568</v>
      </c>
      <c r="AI8" t="n">
        <v>858385800.3789999</v>
      </c>
      <c r="AJ8" t="n">
        <v>1065391237.691</v>
      </c>
      <c r="AK8" t="n">
        <v>1100153447.945</v>
      </c>
      <c r="AL8" t="n">
        <v>1120646571.751</v>
      </c>
      <c r="AM8" t="n">
        <v>1196086791.759</v>
      </c>
      <c r="AN8" t="n">
        <v>1150052727.482</v>
      </c>
      <c r="AO8" t="n">
        <v>1287888520.221</v>
      </c>
      <c r="AP8" t="n">
        <v>1345150663.232</v>
      </c>
      <c r="AQ8" t="n">
        <v>1277561289.878</v>
      </c>
      <c r="AR8" t="n">
        <v>1392812983.063</v>
      </c>
      <c r="AS8" t="n">
        <v>1513332024.552</v>
      </c>
      <c r="AT8" t="n">
        <v>1492514482.146</v>
      </c>
      <c r="AU8" t="n">
        <v>1514529134.51</v>
      </c>
      <c r="AV8" t="n">
        <v>1497032371.301</v>
      </c>
      <c r="AW8" t="n">
        <v>1451946884.832</v>
      </c>
      <c r="AX8" t="n">
        <v>1607015246.695</v>
      </c>
      <c r="AY8" t="n">
        <v>1696754754.973</v>
      </c>
      <c r="AZ8" t="n">
        <v>1646237777.144</v>
      </c>
      <c r="BA8" t="n">
        <v>1718899534.246</v>
      </c>
      <c r="BB8" t="n">
        <v>1695862374.807</v>
      </c>
      <c r="BC8" t="n">
        <v>1822431954.975</v>
      </c>
      <c r="BD8" t="n">
        <v>1963124981.3</v>
      </c>
      <c r="BE8" t="n">
        <v>2089611257.002</v>
      </c>
      <c r="BF8" t="n">
        <v>1999486218.541</v>
      </c>
      <c r="BG8" t="n">
        <v>2146328723.718</v>
      </c>
      <c r="BH8" t="n">
        <v>1884548501.485</v>
      </c>
      <c r="BI8" t="n">
        <v>1898496699.51</v>
      </c>
      <c r="BJ8" t="n">
        <v>1885955720.451</v>
      </c>
      <c r="BK8" t="n">
        <v>1891677332.068</v>
      </c>
      <c r="BL8" t="n">
        <v>2137319793.98</v>
      </c>
      <c r="BM8" t="n">
        <v>2523984220.877</v>
      </c>
      <c r="BN8" t="n">
        <v>2577847847.713</v>
      </c>
      <c r="BO8" t="n">
        <v>2472706692.385</v>
      </c>
      <c r="BP8" t="n">
        <v>2577271268.195</v>
      </c>
      <c r="BQ8" t="n">
        <v>2735864171.863</v>
      </c>
      <c r="BR8" t="n">
        <v>2750383340.008</v>
      </c>
      <c r="BS8" t="n">
        <v>3293803424.915</v>
      </c>
      <c r="BT8" t="n">
        <v>3513410172.235</v>
      </c>
    </row>
    <row r="9">
      <c r="A9" t="inlineStr">
        <is>
          <t>SPPR_1986</t>
        </is>
      </c>
      <c r="B9" t="inlineStr">
        <is>
          <t>ok</t>
        </is>
      </c>
      <c r="C9" t="n">
        <v>89407444.17299999</v>
      </c>
      <c r="D9" t="n">
        <v>89266819.759</v>
      </c>
      <c r="E9" t="n">
        <v>89507388.30400001</v>
      </c>
      <c r="F9" t="n">
        <v>107093071.761</v>
      </c>
      <c r="G9" t="n">
        <v>108242658.745</v>
      </c>
      <c r="H9" t="n">
        <v>109961726.411</v>
      </c>
      <c r="I9" t="n">
        <v>120364932.183</v>
      </c>
      <c r="J9" t="n">
        <v>139418595.288</v>
      </c>
      <c r="K9" t="n">
        <v>128122505.855</v>
      </c>
      <c r="L9" t="n">
        <v>113363552.322</v>
      </c>
      <c r="M9" t="n">
        <v>144431469.686</v>
      </c>
      <c r="N9" t="n">
        <v>122982574.333</v>
      </c>
      <c r="O9" t="n">
        <v>118624357.791</v>
      </c>
      <c r="P9" t="n">
        <v>125811790.908</v>
      </c>
      <c r="Q9" t="n">
        <v>153079654.475</v>
      </c>
      <c r="R9" t="n">
        <v>157610935.381</v>
      </c>
      <c r="S9" t="n">
        <v>168479241.427</v>
      </c>
      <c r="T9" t="n">
        <v>167707235.968</v>
      </c>
      <c r="U9" t="n">
        <v>168642794.317</v>
      </c>
      <c r="V9" t="n">
        <v>171042282.026</v>
      </c>
      <c r="W9" t="n">
        <v>189925420.386</v>
      </c>
      <c r="X9" t="n">
        <v>197787213.645</v>
      </c>
      <c r="Y9" t="n">
        <v>189198067.96</v>
      </c>
      <c r="Z9" t="n">
        <v>216920010.51</v>
      </c>
      <c r="AA9" t="n">
        <v>208828313.256</v>
      </c>
      <c r="AB9" t="n">
        <v>224852678.581</v>
      </c>
      <c r="AC9" t="n">
        <v>226033255.899</v>
      </c>
      <c r="AD9" t="n">
        <v>231543605.639</v>
      </c>
      <c r="AE9" t="n">
        <v>251928851.996</v>
      </c>
      <c r="AF9" t="n">
        <v>241116958.642</v>
      </c>
      <c r="AG9" t="n">
        <v>231346507.374</v>
      </c>
      <c r="AH9" t="n">
        <v>248284906.559</v>
      </c>
      <c r="AI9" t="n">
        <v>247922212.392</v>
      </c>
      <c r="AJ9" t="n">
        <v>263816148.582</v>
      </c>
      <c r="AK9" t="n">
        <v>281205508.518</v>
      </c>
      <c r="AL9" t="n">
        <v>283633706.041</v>
      </c>
      <c r="AM9" t="n">
        <v>296961680.702</v>
      </c>
      <c r="AN9" t="n">
        <v>304859822.416</v>
      </c>
      <c r="AO9" t="n">
        <v>334457323.153</v>
      </c>
      <c r="AP9" t="n">
        <v>372010845.567</v>
      </c>
      <c r="AQ9" t="n">
        <v>362502955.861</v>
      </c>
      <c r="AR9" t="n">
        <v>374832431.052</v>
      </c>
      <c r="AS9" t="n">
        <v>383715754.365</v>
      </c>
      <c r="AT9" t="n">
        <v>398805636.986</v>
      </c>
      <c r="AU9" t="n">
        <v>393620547.848</v>
      </c>
      <c r="AV9" t="n">
        <v>384394590.032</v>
      </c>
      <c r="AW9" t="n">
        <v>396076379.433</v>
      </c>
      <c r="AX9" t="n">
        <v>443168844.535</v>
      </c>
      <c r="AY9" t="n">
        <v>434876808.041</v>
      </c>
      <c r="AZ9" t="n">
        <v>410152437.971</v>
      </c>
      <c r="BA9" t="n">
        <v>431707159.412</v>
      </c>
      <c r="BB9" t="n">
        <v>404373377.848</v>
      </c>
      <c r="BC9" t="n">
        <v>426763073.524</v>
      </c>
      <c r="BD9" t="n">
        <v>425940415.544</v>
      </c>
      <c r="BE9" t="n">
        <v>431392964.029</v>
      </c>
      <c r="BF9" t="n">
        <v>404983564.446</v>
      </c>
      <c r="BG9" t="n">
        <v>440760519.584</v>
      </c>
      <c r="BH9" t="n">
        <v>423501727.799</v>
      </c>
      <c r="BI9" t="n">
        <v>431407957.111</v>
      </c>
      <c r="BJ9" t="n">
        <v>407693756.294</v>
      </c>
      <c r="BK9" t="n">
        <v>425695448.587</v>
      </c>
      <c r="BL9" t="n">
        <v>463242144.757</v>
      </c>
      <c r="BM9" t="n">
        <v>521943144.905</v>
      </c>
      <c r="BN9" t="n">
        <v>536049209.283</v>
      </c>
      <c r="BO9" t="n">
        <v>527000290.175</v>
      </c>
      <c r="BP9" t="n">
        <v>501293061.252</v>
      </c>
      <c r="BQ9" t="n">
        <v>528063516.168</v>
      </c>
      <c r="BR9" t="n">
        <v>550720109.17</v>
      </c>
      <c r="BS9" t="n">
        <v>565393165.984</v>
      </c>
      <c r="BT9" t="n">
        <v>578232598.165</v>
      </c>
    </row>
    <row r="10">
      <c r="A10" t="inlineStr">
        <is>
          <t>SPPR_1995_TE0.1</t>
        </is>
      </c>
      <c r="B10" t="inlineStr">
        <is>
          <t>ok</t>
        </is>
      </c>
      <c r="C10" t="n">
        <v>364411520.371</v>
      </c>
      <c r="D10" t="n">
        <v>376446424.47</v>
      </c>
      <c r="E10" t="n">
        <v>412798899.47</v>
      </c>
      <c r="F10" t="n">
        <v>487552326.818</v>
      </c>
      <c r="G10" t="n">
        <v>475229941.563</v>
      </c>
      <c r="H10" t="n">
        <v>571151663.209</v>
      </c>
      <c r="I10" t="n">
        <v>611462654.984</v>
      </c>
      <c r="J10" t="n">
        <v>624403477.05</v>
      </c>
      <c r="K10" t="n">
        <v>559635857.207</v>
      </c>
      <c r="L10" t="n">
        <v>540700028.6</v>
      </c>
      <c r="M10" t="n">
        <v>653699422.67</v>
      </c>
      <c r="N10" t="n">
        <v>593311854.1799999</v>
      </c>
      <c r="O10" t="n">
        <v>621233944.779</v>
      </c>
      <c r="P10" t="n">
        <v>666294531.003</v>
      </c>
      <c r="Q10" t="n">
        <v>724789842.724</v>
      </c>
      <c r="R10" t="n">
        <v>731617284.484</v>
      </c>
      <c r="S10" t="n">
        <v>842683380.698</v>
      </c>
      <c r="T10" t="n">
        <v>860541628.307</v>
      </c>
      <c r="U10" t="n">
        <v>853286388.097</v>
      </c>
      <c r="V10" t="n">
        <v>867649274.9450001</v>
      </c>
      <c r="W10" t="n">
        <v>935154264.682</v>
      </c>
      <c r="X10" t="n">
        <v>909914518.75</v>
      </c>
      <c r="Y10" t="n">
        <v>976199149.251</v>
      </c>
      <c r="Z10" t="n">
        <v>1084278245.475</v>
      </c>
      <c r="AA10" t="n">
        <v>1190161250.015</v>
      </c>
      <c r="AB10" t="n">
        <v>1243076864.15</v>
      </c>
      <c r="AC10" t="n">
        <v>1212987071.286</v>
      </c>
      <c r="AD10" t="n">
        <v>1260281043.945</v>
      </c>
      <c r="AE10" t="n">
        <v>1240144283.421</v>
      </c>
      <c r="AF10" t="n">
        <v>1278220890.251</v>
      </c>
      <c r="AG10" t="n">
        <v>1157784189.636</v>
      </c>
      <c r="AH10" t="n">
        <v>1185153475.94</v>
      </c>
      <c r="AI10" t="n">
        <v>1204527977.88</v>
      </c>
      <c r="AJ10" t="n">
        <v>1410242774.906</v>
      </c>
      <c r="AK10" t="n">
        <v>1455553856.571</v>
      </c>
      <c r="AL10" t="n">
        <v>1482868038.697</v>
      </c>
      <c r="AM10" t="n">
        <v>1573346155.764</v>
      </c>
      <c r="AN10" t="n">
        <v>1542863434.03</v>
      </c>
      <c r="AO10" t="n">
        <v>1709639567.164</v>
      </c>
      <c r="AP10" t="n">
        <v>1763846492.428</v>
      </c>
      <c r="AQ10" t="n">
        <v>1667319087.44</v>
      </c>
      <c r="AR10" t="n">
        <v>1815445138.479</v>
      </c>
      <c r="AS10" t="n">
        <v>1916121156.327</v>
      </c>
      <c r="AT10" t="n">
        <v>1923673280.092</v>
      </c>
      <c r="AU10" t="n">
        <v>1966355294.015</v>
      </c>
      <c r="AV10" t="n">
        <v>1957706411.595</v>
      </c>
      <c r="AW10" t="n">
        <v>1903426681.535</v>
      </c>
      <c r="AX10" t="n">
        <v>2140268661.399</v>
      </c>
      <c r="AY10" t="n">
        <v>2175032374.085</v>
      </c>
      <c r="AZ10" t="n">
        <v>2082583200.794</v>
      </c>
      <c r="BA10" t="n">
        <v>2140491156.877</v>
      </c>
      <c r="BB10" t="n">
        <v>2110310991.666</v>
      </c>
      <c r="BC10" t="n">
        <v>2240604251.673</v>
      </c>
      <c r="BD10" t="n">
        <v>2267194197.186</v>
      </c>
      <c r="BE10" t="n">
        <v>2311951040.35</v>
      </c>
      <c r="BF10" t="n">
        <v>2188518826.879</v>
      </c>
      <c r="BG10" t="n">
        <v>2365628001.026</v>
      </c>
      <c r="BH10" t="n">
        <v>2128967146.013</v>
      </c>
      <c r="BI10" t="n">
        <v>2221380718.872</v>
      </c>
      <c r="BJ10" t="n">
        <v>2153917548.806</v>
      </c>
      <c r="BK10" t="n">
        <v>2235100409.683</v>
      </c>
      <c r="BL10" t="n">
        <v>2402312950.83</v>
      </c>
      <c r="BM10" t="n">
        <v>2759314399.331</v>
      </c>
      <c r="BN10" t="n">
        <v>2850926183.868</v>
      </c>
      <c r="BO10" t="n">
        <v>2752386685.137</v>
      </c>
      <c r="BP10" t="n">
        <v>2850167211.485</v>
      </c>
      <c r="BQ10" t="n">
        <v>3031542727.978</v>
      </c>
      <c r="BR10" t="n">
        <v>3053327414.615</v>
      </c>
      <c r="BS10" t="n">
        <v>3287587342.035</v>
      </c>
      <c r="BT10" t="n">
        <v>3384714760.074</v>
      </c>
    </row>
    <row r="11">
      <c r="A11" t="inlineStr">
        <is>
          <t>SPPR_1995_TEmean</t>
        </is>
      </c>
      <c r="B11" t="inlineStr">
        <is>
          <t>ok</t>
        </is>
      </c>
      <c r="C11" t="n">
        <v>45265042.607</v>
      </c>
      <c r="D11" t="n">
        <v>46294775.445</v>
      </c>
      <c r="E11" t="n">
        <v>49927864.565</v>
      </c>
      <c r="F11" t="n">
        <v>59980448.332</v>
      </c>
      <c r="G11" t="n">
        <v>59340694.953</v>
      </c>
      <c r="H11" t="n">
        <v>68800166.33400001</v>
      </c>
      <c r="I11" t="n">
        <v>74642741.757</v>
      </c>
      <c r="J11" t="n">
        <v>76967777.55599999</v>
      </c>
      <c r="K11" t="n">
        <v>68893320.278</v>
      </c>
      <c r="L11" t="n">
        <v>65673755.333</v>
      </c>
      <c r="M11" t="n">
        <v>79964406.45100001</v>
      </c>
      <c r="N11" t="n">
        <v>72432407.45</v>
      </c>
      <c r="O11" t="n">
        <v>74281329.28399999</v>
      </c>
      <c r="P11" t="n">
        <v>78992793.647</v>
      </c>
      <c r="Q11" t="n">
        <v>88435520.38600001</v>
      </c>
      <c r="R11" t="n">
        <v>89324958.331</v>
      </c>
      <c r="S11" t="n">
        <v>101009547.821</v>
      </c>
      <c r="T11" t="n">
        <v>102572981.623</v>
      </c>
      <c r="U11" t="n">
        <v>102114374.451</v>
      </c>
      <c r="V11" t="n">
        <v>103242671.353</v>
      </c>
      <c r="W11" t="n">
        <v>111372036.491</v>
      </c>
      <c r="X11" t="n">
        <v>109810815.336</v>
      </c>
      <c r="Y11" t="n">
        <v>115544474.186</v>
      </c>
      <c r="Z11" t="n">
        <v>129555940.331</v>
      </c>
      <c r="AA11" t="n">
        <v>137777004.056</v>
      </c>
      <c r="AB11" t="n">
        <v>145185495.317</v>
      </c>
      <c r="AC11" t="n">
        <v>142391806.246</v>
      </c>
      <c r="AD11" t="n">
        <v>148067002.144</v>
      </c>
      <c r="AE11" t="n">
        <v>149855303.475</v>
      </c>
      <c r="AF11" t="n">
        <v>151907861.408</v>
      </c>
      <c r="AG11" t="n">
        <v>139600735.393</v>
      </c>
      <c r="AH11" t="n">
        <v>145183666.648</v>
      </c>
      <c r="AI11" t="n">
        <v>147232669.202</v>
      </c>
      <c r="AJ11" t="n">
        <v>167866354.029</v>
      </c>
      <c r="AK11" t="n">
        <v>174549818.027</v>
      </c>
      <c r="AL11" t="n">
        <v>177489433.5</v>
      </c>
      <c r="AM11" t="n">
        <v>188653390.053</v>
      </c>
      <c r="AN11" t="n">
        <v>186180393.737</v>
      </c>
      <c r="AO11" t="n">
        <v>205858926.597</v>
      </c>
      <c r="AP11" t="n">
        <v>214412360.654</v>
      </c>
      <c r="AQ11" t="n">
        <v>205372172.43</v>
      </c>
      <c r="AR11" t="n">
        <v>222503587.103</v>
      </c>
      <c r="AS11" t="n">
        <v>233408315.284</v>
      </c>
      <c r="AT11" t="n">
        <v>233857404.082</v>
      </c>
      <c r="AU11" t="n">
        <v>238596349.539</v>
      </c>
      <c r="AV11" t="n">
        <v>237241404.223</v>
      </c>
      <c r="AW11" t="n">
        <v>231758256.115</v>
      </c>
      <c r="AX11" t="n">
        <v>261628368.826</v>
      </c>
      <c r="AY11" t="n">
        <v>264183129.668</v>
      </c>
      <c r="AZ11" t="n">
        <v>250411025.153</v>
      </c>
      <c r="BA11" t="n">
        <v>259766522.42</v>
      </c>
      <c r="BB11" t="n">
        <v>253352849.794</v>
      </c>
      <c r="BC11" t="n">
        <v>269026020.844</v>
      </c>
      <c r="BD11" t="n">
        <v>270719406.774</v>
      </c>
      <c r="BE11" t="n">
        <v>274643736.166</v>
      </c>
      <c r="BF11" t="n">
        <v>260092467.764</v>
      </c>
      <c r="BG11" t="n">
        <v>281593328.905</v>
      </c>
      <c r="BH11" t="n">
        <v>256783854.678</v>
      </c>
      <c r="BI11" t="n">
        <v>267405519.312</v>
      </c>
      <c r="BJ11" t="n">
        <v>257253522.451</v>
      </c>
      <c r="BK11" t="n">
        <v>267106816.766</v>
      </c>
      <c r="BL11" t="n">
        <v>288419709.805</v>
      </c>
      <c r="BM11" t="n">
        <v>330485526.003</v>
      </c>
      <c r="BN11" t="n">
        <v>341162016.406</v>
      </c>
      <c r="BO11" t="n">
        <v>329592926.766</v>
      </c>
      <c r="BP11" t="n">
        <v>336142110.09</v>
      </c>
      <c r="BQ11" t="n">
        <v>358083530.347</v>
      </c>
      <c r="BR11" t="n">
        <v>362885096.388</v>
      </c>
      <c r="BS11" t="n">
        <v>386741867.02</v>
      </c>
      <c r="BT11" t="n">
        <v>398188620.742</v>
      </c>
    </row>
    <row r="12">
      <c r="A12" t="inlineStr">
        <is>
          <t>Ulanowicz_globalTEmean</t>
        </is>
      </c>
      <c r="B12" t="inlineStr">
        <is>
          <t>ok</t>
        </is>
      </c>
      <c r="C12" t="n">
        <v>150877458.553</v>
      </c>
      <c r="D12" t="n">
        <v>157323559.126</v>
      </c>
      <c r="E12" t="n">
        <v>169543156.285</v>
      </c>
      <c r="F12" t="n">
        <v>192156355.037</v>
      </c>
      <c r="G12" t="n">
        <v>195066038.374</v>
      </c>
      <c r="H12" t="n">
        <v>218405131.292</v>
      </c>
      <c r="I12" t="n">
        <v>233164789.006</v>
      </c>
      <c r="J12" t="n">
        <v>245686861.134</v>
      </c>
      <c r="K12" t="n">
        <v>224390165.713</v>
      </c>
      <c r="L12" t="n">
        <v>217251751.754</v>
      </c>
      <c r="M12" t="n">
        <v>259091541.724</v>
      </c>
      <c r="N12" t="n">
        <v>232259047.502</v>
      </c>
      <c r="O12" t="n">
        <v>246802839.28</v>
      </c>
      <c r="P12" t="n">
        <v>264166188.788</v>
      </c>
      <c r="Q12" t="n">
        <v>298778378.996</v>
      </c>
      <c r="R12" t="n">
        <v>301555720.876</v>
      </c>
      <c r="S12" t="n">
        <v>351053353.358</v>
      </c>
      <c r="T12" t="n">
        <v>359860921.97</v>
      </c>
      <c r="U12" t="n">
        <v>355961704.877</v>
      </c>
      <c r="V12" t="n">
        <v>358475928.39</v>
      </c>
      <c r="W12" t="n">
        <v>387938411.13</v>
      </c>
      <c r="X12" t="n">
        <v>374572747.278</v>
      </c>
      <c r="Y12" t="n">
        <v>407252317.772</v>
      </c>
      <c r="Z12" t="n">
        <v>453684836.19</v>
      </c>
      <c r="AA12" t="n">
        <v>501432151.303</v>
      </c>
      <c r="AB12" t="n">
        <v>517556584.734</v>
      </c>
      <c r="AC12" t="n">
        <v>505424205.279</v>
      </c>
      <c r="AD12" t="n">
        <v>521147725.387</v>
      </c>
      <c r="AE12" t="n">
        <v>498016340.688</v>
      </c>
      <c r="AF12" t="n">
        <v>516832947.925</v>
      </c>
      <c r="AG12" t="n">
        <v>468238895.375</v>
      </c>
      <c r="AH12" t="n">
        <v>474458801.753</v>
      </c>
      <c r="AI12" t="n">
        <v>489559334.87</v>
      </c>
      <c r="AJ12" t="n">
        <v>578583599.2589999</v>
      </c>
      <c r="AK12" t="n">
        <v>590314205.053</v>
      </c>
      <c r="AL12" t="n">
        <v>596175742.686</v>
      </c>
      <c r="AM12" t="n">
        <v>629441384.057</v>
      </c>
      <c r="AN12" t="n">
        <v>620365047.397</v>
      </c>
      <c r="AO12" t="n">
        <v>691853115.721</v>
      </c>
      <c r="AP12" t="n">
        <v>708046177.4349999</v>
      </c>
      <c r="AQ12" t="n">
        <v>662739751.436</v>
      </c>
      <c r="AR12" t="n">
        <v>719765827.895</v>
      </c>
      <c r="AS12" t="n">
        <v>753154226.775</v>
      </c>
      <c r="AT12" t="n">
        <v>757321791.255</v>
      </c>
      <c r="AU12" t="n">
        <v>763630985.132</v>
      </c>
      <c r="AV12" t="n">
        <v>773807791.9809999</v>
      </c>
      <c r="AW12" t="n">
        <v>745726763.719</v>
      </c>
      <c r="AX12" t="n">
        <v>833272339.737</v>
      </c>
      <c r="AY12" t="n">
        <v>853697750.489</v>
      </c>
      <c r="AZ12" t="n">
        <v>825596334.0880001</v>
      </c>
      <c r="BA12" t="n">
        <v>837791882.387</v>
      </c>
      <c r="BB12" t="n">
        <v>821457441.726</v>
      </c>
      <c r="BC12" t="n">
        <v>868810059.625</v>
      </c>
      <c r="BD12" t="n">
        <v>870195105.5190001</v>
      </c>
      <c r="BE12" t="n">
        <v>886377860.331</v>
      </c>
      <c r="BF12" t="n">
        <v>833553940.11</v>
      </c>
      <c r="BG12" t="n">
        <v>891610512.015</v>
      </c>
      <c r="BH12" t="n">
        <v>827040636.686</v>
      </c>
      <c r="BI12" t="n">
        <v>860229363.719</v>
      </c>
      <c r="BJ12" t="n">
        <v>828827319.908</v>
      </c>
      <c r="BK12" t="n">
        <v>865752619.229</v>
      </c>
      <c r="BL12" t="n">
        <v>932296525.6670001</v>
      </c>
      <c r="BM12" t="n">
        <v>1066077828.037</v>
      </c>
      <c r="BN12" t="n">
        <v>1093103268.521</v>
      </c>
      <c r="BO12" t="n">
        <v>1063449581.26</v>
      </c>
      <c r="BP12" t="n">
        <v>1091150251.741</v>
      </c>
      <c r="BQ12" t="n">
        <v>1147108443.451</v>
      </c>
      <c r="BR12" t="n">
        <v>1154598207.057</v>
      </c>
      <c r="BS12" t="n">
        <v>1214099187.304</v>
      </c>
      <c r="BT12" t="n">
        <v>1247419226.023</v>
      </c>
    </row>
    <row r="13">
      <c r="A13" t="inlineStr">
        <is>
          <t>Ulanowicz_TE</t>
        </is>
      </c>
      <c r="B13" t="inlineStr">
        <is>
          <t>ok</t>
        </is>
      </c>
      <c r="C13" t="n">
        <v>296566298.735</v>
      </c>
      <c r="D13" t="n">
        <v>311523717.394</v>
      </c>
      <c r="E13" t="n">
        <v>331578792.749</v>
      </c>
      <c r="F13" t="n">
        <v>371095194.987</v>
      </c>
      <c r="G13" t="n">
        <v>374961239.973</v>
      </c>
      <c r="H13" t="n">
        <v>416134304.043</v>
      </c>
      <c r="I13" t="n">
        <v>458625442.584</v>
      </c>
      <c r="J13" t="n">
        <v>465577185.055</v>
      </c>
      <c r="K13" t="n">
        <v>440371046.725</v>
      </c>
      <c r="L13" t="n">
        <v>425108471.77</v>
      </c>
      <c r="M13" t="n">
        <v>507265634.042</v>
      </c>
      <c r="N13" t="n">
        <v>455313000.352</v>
      </c>
      <c r="O13" t="n">
        <v>481729060.038</v>
      </c>
      <c r="P13" t="n">
        <v>517066530.675</v>
      </c>
      <c r="Q13" t="n">
        <v>589412596</v>
      </c>
      <c r="R13" t="n">
        <v>589331765.938</v>
      </c>
      <c r="S13" t="n">
        <v>674555762.738</v>
      </c>
      <c r="T13" t="n">
        <v>690501733.647</v>
      </c>
      <c r="U13" t="n">
        <v>678952908.141</v>
      </c>
      <c r="V13" t="n">
        <v>687570920.402</v>
      </c>
      <c r="W13" t="n">
        <v>735396583.684</v>
      </c>
      <c r="X13" t="n">
        <v>720410828.483</v>
      </c>
      <c r="Y13" t="n">
        <v>784779656.8</v>
      </c>
      <c r="Z13" t="n">
        <v>867866167.658</v>
      </c>
      <c r="AA13" t="n">
        <v>928601740.0779999</v>
      </c>
      <c r="AB13" t="n">
        <v>958143533.1720001</v>
      </c>
      <c r="AC13" t="n">
        <v>947786502.914</v>
      </c>
      <c r="AD13" t="n">
        <v>995298062.941</v>
      </c>
      <c r="AE13" t="n">
        <v>970230957.89</v>
      </c>
      <c r="AF13" t="n">
        <v>996649657.839</v>
      </c>
      <c r="AG13" t="n">
        <v>921329437.944</v>
      </c>
      <c r="AH13" t="n">
        <v>946990906.6619999</v>
      </c>
      <c r="AI13" t="n">
        <v>990099804.329</v>
      </c>
      <c r="AJ13" t="n">
        <v>1122881541.366</v>
      </c>
      <c r="AK13" t="n">
        <v>1148204920.129</v>
      </c>
      <c r="AL13" t="n">
        <v>1163572080.716</v>
      </c>
      <c r="AM13" t="n">
        <v>1272622054.452</v>
      </c>
      <c r="AN13" t="n">
        <v>1219950775.508</v>
      </c>
      <c r="AO13" t="n">
        <v>1371161914.629</v>
      </c>
      <c r="AP13" t="n">
        <v>1412997411.791</v>
      </c>
      <c r="AQ13" t="n">
        <v>1343821095.631</v>
      </c>
      <c r="AR13" t="n">
        <v>1460200901.06</v>
      </c>
      <c r="AS13" t="n">
        <v>1541187351.599</v>
      </c>
      <c r="AT13" t="n">
        <v>1541665605.211</v>
      </c>
      <c r="AU13" t="n">
        <v>1557132638.296</v>
      </c>
      <c r="AV13" t="n">
        <v>1611592560.907</v>
      </c>
      <c r="AW13" t="n">
        <v>1527355056.206</v>
      </c>
      <c r="AX13" t="n">
        <v>1705999299.38</v>
      </c>
      <c r="AY13" t="n">
        <v>1728742677.123</v>
      </c>
      <c r="AZ13" t="n">
        <v>1650453661.313</v>
      </c>
      <c r="BA13" t="n">
        <v>1680550823.722</v>
      </c>
      <c r="BB13" t="n">
        <v>1647070128.259</v>
      </c>
      <c r="BC13" t="n">
        <v>1732958286.675</v>
      </c>
      <c r="BD13" t="n">
        <v>1735713426.769</v>
      </c>
      <c r="BE13" t="n">
        <v>1776260153.367</v>
      </c>
      <c r="BF13" t="n">
        <v>1674549282.824</v>
      </c>
      <c r="BG13" t="n">
        <v>1795785728.472</v>
      </c>
      <c r="BH13" t="n">
        <v>1640009952.327</v>
      </c>
      <c r="BI13" t="n">
        <v>1731047143.431</v>
      </c>
      <c r="BJ13" t="n">
        <v>1648376858.415</v>
      </c>
      <c r="BK13" t="n">
        <v>1727662790.96</v>
      </c>
      <c r="BL13" t="n">
        <v>1874331128.619</v>
      </c>
      <c r="BM13" t="n">
        <v>2144113723.071</v>
      </c>
      <c r="BN13" t="n">
        <v>2211883062.546</v>
      </c>
      <c r="BO13" t="n">
        <v>2121842799.722</v>
      </c>
      <c r="BP13" t="n">
        <v>2168745438.149</v>
      </c>
      <c r="BQ13" t="n">
        <v>2290651779.693</v>
      </c>
      <c r="BR13" t="n">
        <v>2319359787.573</v>
      </c>
      <c r="BS13" t="n">
        <v>2456074490.837</v>
      </c>
      <c r="BT13" t="n">
        <v>2533013532.123</v>
      </c>
    </row>
    <row r="14">
      <c r="A14" t="inlineStr">
        <is>
          <t>EwE_TE_noEE</t>
        </is>
      </c>
      <c r="B14" t="inlineStr">
        <is>
          <t>ok</t>
        </is>
      </c>
      <c r="C14" t="n">
        <v>317283816.496</v>
      </c>
      <c r="D14" t="n">
        <v>331737271.43</v>
      </c>
      <c r="E14" t="n">
        <v>355153438.284</v>
      </c>
      <c r="F14" t="n">
        <v>402067475.827</v>
      </c>
      <c r="G14" t="n">
        <v>402059523.486</v>
      </c>
      <c r="H14" t="n">
        <v>455726986.161</v>
      </c>
      <c r="I14" t="n">
        <v>501931263.582</v>
      </c>
      <c r="J14" t="n">
        <v>507648050.326</v>
      </c>
      <c r="K14" t="n">
        <v>475771388.331</v>
      </c>
      <c r="L14" t="n">
        <v>458456741.207</v>
      </c>
      <c r="M14" t="n">
        <v>549862311.795</v>
      </c>
      <c r="N14" t="n">
        <v>495460922.1</v>
      </c>
      <c r="O14" t="n">
        <v>522049385.189</v>
      </c>
      <c r="P14" t="n">
        <v>560333690.684</v>
      </c>
      <c r="Q14" t="n">
        <v>633541146.385</v>
      </c>
      <c r="R14" t="n">
        <v>634094010.947</v>
      </c>
      <c r="S14" t="n">
        <v>724181863.024</v>
      </c>
      <c r="T14" t="n">
        <v>740277866.053</v>
      </c>
      <c r="U14" t="n">
        <v>728835022.192</v>
      </c>
      <c r="V14" t="n">
        <v>738940764.253</v>
      </c>
      <c r="W14" t="n">
        <v>789968513.058</v>
      </c>
      <c r="X14" t="n">
        <v>774281901.988</v>
      </c>
      <c r="Y14" t="n">
        <v>840555838.405</v>
      </c>
      <c r="Z14" t="n">
        <v>929764957.705</v>
      </c>
      <c r="AA14" t="n">
        <v>993341761.612</v>
      </c>
      <c r="AB14" t="n">
        <v>1028349149.633</v>
      </c>
      <c r="AC14" t="n">
        <v>1015635075.984</v>
      </c>
      <c r="AD14" t="n">
        <v>1068090613.957</v>
      </c>
      <c r="AE14" t="n">
        <v>1048316855.191</v>
      </c>
      <c r="AF14" t="n">
        <v>1075020200.896</v>
      </c>
      <c r="AG14" t="n">
        <v>992176981.181</v>
      </c>
      <c r="AH14" t="n">
        <v>1023571363.142</v>
      </c>
      <c r="AI14" t="n">
        <v>1064120197.364</v>
      </c>
      <c r="AJ14" t="n">
        <v>1203288253.115</v>
      </c>
      <c r="AK14" t="n">
        <v>1234283955.367</v>
      </c>
      <c r="AL14" t="n">
        <v>1252269513.166</v>
      </c>
      <c r="AM14" t="n">
        <v>1364741063.097</v>
      </c>
      <c r="AN14" t="n">
        <v>1311501864.07</v>
      </c>
      <c r="AO14" t="n">
        <v>1468892611.322</v>
      </c>
      <c r="AP14" t="n">
        <v>1515223868.868</v>
      </c>
      <c r="AQ14" t="n">
        <v>1443271483.112</v>
      </c>
      <c r="AR14" t="n">
        <v>1568583370.964</v>
      </c>
      <c r="AS14" t="n">
        <v>1652096600.829</v>
      </c>
      <c r="AT14" t="n">
        <v>1648949289.438</v>
      </c>
      <c r="AU14" t="n">
        <v>1673102303.864</v>
      </c>
      <c r="AV14" t="n">
        <v>1721759532.31</v>
      </c>
      <c r="AW14" t="n">
        <v>1638157300.703</v>
      </c>
      <c r="AX14" t="n">
        <v>1833600851.825</v>
      </c>
      <c r="AY14" t="n">
        <v>1855403362.02</v>
      </c>
      <c r="AZ14" t="n">
        <v>1768107652.299</v>
      </c>
      <c r="BA14" t="n">
        <v>1802901393.181</v>
      </c>
      <c r="BB14" t="n">
        <v>1766746108.581</v>
      </c>
      <c r="BC14" t="n">
        <v>1860685712.446</v>
      </c>
      <c r="BD14" t="n">
        <v>1857412656.323</v>
      </c>
      <c r="BE14" t="n">
        <v>1892910845.511</v>
      </c>
      <c r="BF14" t="n">
        <v>1786737652.625</v>
      </c>
      <c r="BG14" t="n">
        <v>1916143102.031</v>
      </c>
      <c r="BH14" t="n">
        <v>1749747919.479</v>
      </c>
      <c r="BI14" t="n">
        <v>1846228656.524</v>
      </c>
      <c r="BJ14" t="n">
        <v>1764075341.042</v>
      </c>
      <c r="BK14" t="n">
        <v>1844385196.576</v>
      </c>
      <c r="BL14" t="n">
        <v>1999951074.3</v>
      </c>
      <c r="BM14" t="n">
        <v>2284218254.119</v>
      </c>
      <c r="BN14" t="n">
        <v>2359456114.411</v>
      </c>
      <c r="BO14" t="n">
        <v>2263314007.134</v>
      </c>
      <c r="BP14" t="n">
        <v>2319685539.659</v>
      </c>
      <c r="BQ14" t="n">
        <v>2457971029.052</v>
      </c>
      <c r="BR14" t="n">
        <v>2485855882.835</v>
      </c>
      <c r="BS14" t="n">
        <v>2621766266.058</v>
      </c>
      <c r="BT14" t="n">
        <v>2696403100.305</v>
      </c>
    </row>
    <row r="15">
      <c r="A15" t="inlineStr">
        <is>
          <t>EwE_TE_EE</t>
        </is>
      </c>
      <c r="B15" t="inlineStr">
        <is>
          <t>ok</t>
        </is>
      </c>
      <c r="C15" t="n">
        <v>273550507.301</v>
      </c>
      <c r="D15" t="n">
        <v>284022983.167</v>
      </c>
      <c r="E15" t="n">
        <v>302922368.496</v>
      </c>
      <c r="F15" t="n">
        <v>354888132.59</v>
      </c>
      <c r="G15" t="n">
        <v>352802201.081</v>
      </c>
      <c r="H15" t="n">
        <v>399879395.793</v>
      </c>
      <c r="I15" t="n">
        <v>447390838.002</v>
      </c>
      <c r="J15" t="n">
        <v>448172217.334</v>
      </c>
      <c r="K15" t="n">
        <v>417886218.111</v>
      </c>
      <c r="L15" t="n">
        <v>400187905.394</v>
      </c>
      <c r="M15" t="n">
        <v>483715192.453</v>
      </c>
      <c r="N15" t="n">
        <v>433869963.197</v>
      </c>
      <c r="O15" t="n">
        <v>452361235.029</v>
      </c>
      <c r="P15" t="n">
        <v>482580743.257</v>
      </c>
      <c r="Q15" t="n">
        <v>548068651.003</v>
      </c>
      <c r="R15" t="n">
        <v>548823206.2589999</v>
      </c>
      <c r="S15" t="n">
        <v>624345019.623</v>
      </c>
      <c r="T15" t="n">
        <v>639800664.027</v>
      </c>
      <c r="U15" t="n">
        <v>630759820.237</v>
      </c>
      <c r="V15" t="n">
        <v>638842100.686</v>
      </c>
      <c r="W15" t="n">
        <v>684274287.402</v>
      </c>
      <c r="X15" t="n">
        <v>673169382.38</v>
      </c>
      <c r="Y15" t="n">
        <v>720926695.4069999</v>
      </c>
      <c r="Z15" t="n">
        <v>798416040.149</v>
      </c>
      <c r="AA15" t="n">
        <v>850080627.2869999</v>
      </c>
      <c r="AB15" t="n">
        <v>882586663.279</v>
      </c>
      <c r="AC15" t="n">
        <v>873678935.165</v>
      </c>
      <c r="AD15" t="n">
        <v>921782072.286</v>
      </c>
      <c r="AE15" t="n">
        <v>915604402.156</v>
      </c>
      <c r="AF15" t="n">
        <v>936024585.072</v>
      </c>
      <c r="AG15" t="n">
        <v>863864089.089</v>
      </c>
      <c r="AH15" t="n">
        <v>891703395.145</v>
      </c>
      <c r="AI15" t="n">
        <v>925945624.451</v>
      </c>
      <c r="AJ15" t="n">
        <v>1046382507.251</v>
      </c>
      <c r="AK15" t="n">
        <v>1079963071.523</v>
      </c>
      <c r="AL15" t="n">
        <v>1099638483.33</v>
      </c>
      <c r="AM15" t="n">
        <v>1209274970.359</v>
      </c>
      <c r="AN15" t="n">
        <v>1156617785.985</v>
      </c>
      <c r="AO15" t="n">
        <v>1298285343.331</v>
      </c>
      <c r="AP15" t="n">
        <v>1346221137.432</v>
      </c>
      <c r="AQ15" t="n">
        <v>1280588091.132</v>
      </c>
      <c r="AR15" t="n">
        <v>1400616035.053</v>
      </c>
      <c r="AS15" t="n">
        <v>1473204032.157</v>
      </c>
      <c r="AT15" t="n">
        <v>1464512559.39</v>
      </c>
      <c r="AU15" t="n">
        <v>1489719626.846</v>
      </c>
      <c r="AV15" t="n">
        <v>1536057770.606</v>
      </c>
      <c r="AW15" t="n">
        <v>1461352920.888</v>
      </c>
      <c r="AX15" t="n">
        <v>1639922547.888</v>
      </c>
      <c r="AY15" t="n">
        <v>1656645372.137</v>
      </c>
      <c r="AZ15" t="n">
        <v>1567031310.678</v>
      </c>
      <c r="BA15" t="n">
        <v>1605930320.201</v>
      </c>
      <c r="BB15" t="n">
        <v>1568967959.298</v>
      </c>
      <c r="BC15" t="n">
        <v>1656232253.167</v>
      </c>
      <c r="BD15" t="n">
        <v>1645436457.727</v>
      </c>
      <c r="BE15" t="n">
        <v>1664214594.665</v>
      </c>
      <c r="BF15" t="n">
        <v>1575811735.891</v>
      </c>
      <c r="BG15" t="n">
        <v>1695744255.421</v>
      </c>
      <c r="BH15" t="n">
        <v>1558058294.209</v>
      </c>
      <c r="BI15" t="n">
        <v>1661586463.063</v>
      </c>
      <c r="BJ15" t="n">
        <v>1572894002.466</v>
      </c>
      <c r="BK15" t="n">
        <v>1657914498.083</v>
      </c>
      <c r="BL15" t="n">
        <v>1791832999.109</v>
      </c>
      <c r="BM15" t="n">
        <v>2046204342.766</v>
      </c>
      <c r="BN15" t="n">
        <v>2113640713.331</v>
      </c>
      <c r="BO15" t="n">
        <v>2019776624.351</v>
      </c>
      <c r="BP15" t="n">
        <v>2075776515.879</v>
      </c>
      <c r="BQ15" t="n">
        <v>2211318131.52</v>
      </c>
      <c r="BR15" t="n">
        <v>2244704875.138</v>
      </c>
      <c r="BS15" t="n">
        <v>2327453831.316</v>
      </c>
      <c r="BT15" t="n">
        <v>2384916517.688</v>
      </c>
    </row>
    <row r="16">
      <c r="A16" t="inlineStr">
        <is>
          <t>SPPR_2015</t>
        </is>
      </c>
      <c r="B16" t="inlineStr">
        <is>
          <t>ok</t>
        </is>
      </c>
      <c r="C16" t="n">
        <v>543955930.9069999</v>
      </c>
      <c r="D16" t="n">
        <v>566761042.553</v>
      </c>
      <c r="E16" t="n">
        <v>612975832.099</v>
      </c>
      <c r="F16" t="n">
        <v>691263380.7359999</v>
      </c>
      <c r="G16" t="n">
        <v>685941975.844</v>
      </c>
      <c r="H16" t="n">
        <v>793732834.0880001</v>
      </c>
      <c r="I16" t="n">
        <v>860726618.473</v>
      </c>
      <c r="J16" t="n">
        <v>875451076.719</v>
      </c>
      <c r="K16" t="n">
        <v>814572524.536</v>
      </c>
      <c r="L16" t="n">
        <v>789670484.358</v>
      </c>
      <c r="M16" t="n">
        <v>942313606.21</v>
      </c>
      <c r="N16" t="n">
        <v>850900926.156</v>
      </c>
      <c r="O16" t="n">
        <v>907106555.623</v>
      </c>
      <c r="P16" t="n">
        <v>976098091.716</v>
      </c>
      <c r="Q16" t="n">
        <v>1080776218.354</v>
      </c>
      <c r="R16" t="n">
        <v>1086157812.853</v>
      </c>
      <c r="S16" t="n">
        <v>1250914932.932</v>
      </c>
      <c r="T16" t="n">
        <v>1280630908.043</v>
      </c>
      <c r="U16" t="n">
        <v>1262721368.765</v>
      </c>
      <c r="V16" t="n">
        <v>1284061906.577</v>
      </c>
      <c r="W16" t="n">
        <v>1373701446.382</v>
      </c>
      <c r="X16" t="n">
        <v>1338478509.452</v>
      </c>
      <c r="Y16" t="n">
        <v>1460425873.268</v>
      </c>
      <c r="Z16" t="n">
        <v>1608513000.358</v>
      </c>
      <c r="AA16" t="n">
        <v>1750637999.631</v>
      </c>
      <c r="AB16" t="n">
        <v>1806810383.63</v>
      </c>
      <c r="AC16" t="n">
        <v>1780967383.176</v>
      </c>
      <c r="AD16" t="n">
        <v>1867980594.407</v>
      </c>
      <c r="AE16" t="n">
        <v>1815758218.557</v>
      </c>
      <c r="AF16" t="n">
        <v>1878567770.181</v>
      </c>
      <c r="AG16" t="n">
        <v>1715034930.233</v>
      </c>
      <c r="AH16" t="n">
        <v>1754793758.263</v>
      </c>
      <c r="AI16" t="n">
        <v>1824003646.313</v>
      </c>
      <c r="AJ16" t="n">
        <v>2090442045.416</v>
      </c>
      <c r="AK16" t="n">
        <v>2143448180.993</v>
      </c>
      <c r="AL16" t="n">
        <v>2185266446.013</v>
      </c>
      <c r="AM16" t="n">
        <v>2351499289.117</v>
      </c>
      <c r="AN16" t="n">
        <v>2265694058.744</v>
      </c>
      <c r="AO16" t="n">
        <v>2526233705.086</v>
      </c>
      <c r="AP16" t="n">
        <v>2605372352.262</v>
      </c>
      <c r="AQ16" t="n">
        <v>2462045790.992</v>
      </c>
      <c r="AR16" t="n">
        <v>2683150806.637</v>
      </c>
      <c r="AS16" t="n">
        <v>2825044787.94</v>
      </c>
      <c r="AT16" t="n">
        <v>2839714932.068</v>
      </c>
      <c r="AU16" t="n">
        <v>2908197145.986</v>
      </c>
      <c r="AV16" t="n">
        <v>2971410889.73</v>
      </c>
      <c r="AW16" t="n">
        <v>2837520355.543</v>
      </c>
      <c r="AX16" t="n">
        <v>3186181608.31</v>
      </c>
      <c r="AY16" t="n">
        <v>3227576917.528</v>
      </c>
      <c r="AZ16" t="n">
        <v>3079654242.463</v>
      </c>
      <c r="BA16" t="n">
        <v>3141580627.768</v>
      </c>
      <c r="BB16" t="n">
        <v>3080215226.964</v>
      </c>
      <c r="BC16" t="n">
        <v>3229954099.291</v>
      </c>
      <c r="BD16" t="n">
        <v>3225490609.414</v>
      </c>
      <c r="BE16" t="n">
        <v>3249780830.249</v>
      </c>
      <c r="BF16" t="n">
        <v>3058964363.35</v>
      </c>
      <c r="BG16" t="n">
        <v>3299506410.719</v>
      </c>
      <c r="BH16" t="n">
        <v>3004004401.423</v>
      </c>
      <c r="BI16" t="n">
        <v>3230979254.358</v>
      </c>
      <c r="BJ16" t="n">
        <v>3060715999.589</v>
      </c>
      <c r="BK16" t="n">
        <v>3237664462.355</v>
      </c>
      <c r="BL16" t="n">
        <v>3452107079.638</v>
      </c>
      <c r="BM16" t="n">
        <v>3953046831.021</v>
      </c>
      <c r="BN16" t="n">
        <v>4075500099.587</v>
      </c>
      <c r="BO16" t="n">
        <v>3929450670.88</v>
      </c>
      <c r="BP16" t="n">
        <v>4063330421.53</v>
      </c>
      <c r="BQ16" t="n">
        <v>4296346738.118</v>
      </c>
      <c r="BR16" t="n">
        <v>4327436104.535</v>
      </c>
      <c r="BS16" t="n">
        <v>4460561447.652</v>
      </c>
      <c r="BT16" t="n">
        <v>4529613645.619</v>
      </c>
    </row>
    <row r="17">
      <c r="A17" t="inlineStr">
        <is>
          <t>new_TE_noEEfix</t>
        </is>
      </c>
      <c r="B17" t="inlineStr">
        <is>
          <t>ok</t>
        </is>
      </c>
      <c r="C17" t="n">
        <v>543955930.9069999</v>
      </c>
      <c r="D17" t="n">
        <v>566761042.553</v>
      </c>
      <c r="E17" t="n">
        <v>612975832.099</v>
      </c>
      <c r="F17" t="n">
        <v>691263380.7359999</v>
      </c>
      <c r="G17" t="n">
        <v>685941975.844</v>
      </c>
      <c r="H17" t="n">
        <v>793732834.0880001</v>
      </c>
      <c r="I17" t="n">
        <v>860726618.473</v>
      </c>
      <c r="J17" t="n">
        <v>875451076.719</v>
      </c>
      <c r="K17" t="n">
        <v>814572524.536</v>
      </c>
      <c r="L17" t="n">
        <v>789670484.358</v>
      </c>
      <c r="M17" t="n">
        <v>942313606.21</v>
      </c>
      <c r="N17" t="n">
        <v>850900926.156</v>
      </c>
      <c r="O17" t="n">
        <v>907106555.623</v>
      </c>
      <c r="P17" t="n">
        <v>976098091.716</v>
      </c>
      <c r="Q17" t="n">
        <v>1080776218.354</v>
      </c>
      <c r="R17" t="n">
        <v>1086157812.853</v>
      </c>
      <c r="S17" t="n">
        <v>1250914932.932</v>
      </c>
      <c r="T17" t="n">
        <v>1280630908.043</v>
      </c>
      <c r="U17" t="n">
        <v>1262721368.765</v>
      </c>
      <c r="V17" t="n">
        <v>1284061906.577</v>
      </c>
      <c r="W17" t="n">
        <v>1373701446.382</v>
      </c>
      <c r="X17" t="n">
        <v>1338478509.452</v>
      </c>
      <c r="Y17" t="n">
        <v>1460425873.268</v>
      </c>
      <c r="Z17" t="n">
        <v>1608513000.358</v>
      </c>
      <c r="AA17" t="n">
        <v>1750637999.631</v>
      </c>
      <c r="AB17" t="n">
        <v>1806810383.63</v>
      </c>
      <c r="AC17" t="n">
        <v>1780967383.176</v>
      </c>
      <c r="AD17" t="n">
        <v>1867980594.407</v>
      </c>
      <c r="AE17" t="n">
        <v>1815758218.557</v>
      </c>
      <c r="AF17" t="n">
        <v>1878567770.181</v>
      </c>
      <c r="AG17" t="n">
        <v>1715034930.233</v>
      </c>
      <c r="AH17" t="n">
        <v>1754793758.263</v>
      </c>
      <c r="AI17" t="n">
        <v>1824003646.313</v>
      </c>
      <c r="AJ17" t="n">
        <v>2090442045.416</v>
      </c>
      <c r="AK17" t="n">
        <v>2143448180.993</v>
      </c>
      <c r="AL17" t="n">
        <v>2185266446.013</v>
      </c>
      <c r="AM17" t="n">
        <v>2351499289.117</v>
      </c>
      <c r="AN17" t="n">
        <v>2265694058.744</v>
      </c>
      <c r="AO17" t="n">
        <v>2526233705.086</v>
      </c>
      <c r="AP17" t="n">
        <v>2605372352.262</v>
      </c>
      <c r="AQ17" t="n">
        <v>2462045790.992</v>
      </c>
      <c r="AR17" t="n">
        <v>2683150806.637</v>
      </c>
      <c r="AS17" t="n">
        <v>2825044787.94</v>
      </c>
      <c r="AT17" t="n">
        <v>2839714932.068</v>
      </c>
      <c r="AU17" t="n">
        <v>2908197145.986</v>
      </c>
      <c r="AV17" t="n">
        <v>2971410889.73</v>
      </c>
      <c r="AW17" t="n">
        <v>2837520355.543</v>
      </c>
      <c r="AX17" t="n">
        <v>3186181608.31</v>
      </c>
      <c r="AY17" t="n">
        <v>3227576917.528</v>
      </c>
      <c r="AZ17" t="n">
        <v>3079654242.463</v>
      </c>
      <c r="BA17" t="n">
        <v>3141580627.768</v>
      </c>
      <c r="BB17" t="n">
        <v>3080215226.964</v>
      </c>
      <c r="BC17" t="n">
        <v>3229954099.291</v>
      </c>
      <c r="BD17" t="n">
        <v>3225490609.414</v>
      </c>
      <c r="BE17" t="n">
        <v>3249780830.249</v>
      </c>
      <c r="BF17" t="n">
        <v>3058964363.35</v>
      </c>
      <c r="BG17" t="n">
        <v>3299506410.719</v>
      </c>
      <c r="BH17" t="n">
        <v>3004004401.423</v>
      </c>
      <c r="BI17" t="n">
        <v>3230979254.358</v>
      </c>
      <c r="BJ17" t="n">
        <v>3060715999.589</v>
      </c>
      <c r="BK17" t="n">
        <v>3237664462.355</v>
      </c>
      <c r="BL17" t="n">
        <v>3452107079.638</v>
      </c>
      <c r="BM17" t="n">
        <v>3953046831.021</v>
      </c>
      <c r="BN17" t="n">
        <v>4075500099.587</v>
      </c>
      <c r="BO17" t="n">
        <v>3929450670.88</v>
      </c>
      <c r="BP17" t="n">
        <v>4063330421.53</v>
      </c>
      <c r="BQ17" t="n">
        <v>4296346738.118</v>
      </c>
      <c r="BR17" t="n">
        <v>4327436104.535</v>
      </c>
      <c r="BS17" t="n">
        <v>4460561447.652</v>
      </c>
      <c r="BT17" t="n">
        <v>4529613645.619</v>
      </c>
    </row>
    <row r="18">
      <c r="A18" t="inlineStr">
        <is>
          <t>new_TE_EEfix</t>
        </is>
      </c>
      <c r="B18" t="inlineStr">
        <is>
          <t>ok</t>
        </is>
      </c>
      <c r="C18" t="n">
        <v>543955930.9069999</v>
      </c>
      <c r="D18" t="n">
        <v>566761042.553</v>
      </c>
      <c r="E18" t="n">
        <v>612975832.099</v>
      </c>
      <c r="F18" t="n">
        <v>691263380.7359999</v>
      </c>
      <c r="G18" t="n">
        <v>685941975.844</v>
      </c>
      <c r="H18" t="n">
        <v>793732834.0880001</v>
      </c>
      <c r="I18" t="n">
        <v>860726618.473</v>
      </c>
      <c r="J18" t="n">
        <v>875451076.719</v>
      </c>
      <c r="K18" t="n">
        <v>814572524.536</v>
      </c>
      <c r="L18" t="n">
        <v>789670484.358</v>
      </c>
      <c r="M18" t="n">
        <v>942313606.21</v>
      </c>
      <c r="N18" t="n">
        <v>850900926.156</v>
      </c>
      <c r="O18" t="n">
        <v>907106555.623</v>
      </c>
      <c r="P18" t="n">
        <v>976098091.716</v>
      </c>
      <c r="Q18" t="n">
        <v>1080776218.354</v>
      </c>
      <c r="R18" t="n">
        <v>1086157812.853</v>
      </c>
      <c r="S18" t="n">
        <v>1250914932.932</v>
      </c>
      <c r="T18" t="n">
        <v>1280630908.043</v>
      </c>
      <c r="U18" t="n">
        <v>1262721368.765</v>
      </c>
      <c r="V18" t="n">
        <v>1284061906.577</v>
      </c>
      <c r="W18" t="n">
        <v>1373701446.382</v>
      </c>
      <c r="X18" t="n">
        <v>1338478509.452</v>
      </c>
      <c r="Y18" t="n">
        <v>1460425873.268</v>
      </c>
      <c r="Z18" t="n">
        <v>1608513000.358</v>
      </c>
      <c r="AA18" t="n">
        <v>1750637999.631</v>
      </c>
      <c r="AB18" t="n">
        <v>1806810383.63</v>
      </c>
      <c r="AC18" t="n">
        <v>1780967383.176</v>
      </c>
      <c r="AD18" t="n">
        <v>1867980594.407</v>
      </c>
      <c r="AE18" t="n">
        <v>1815758218.557</v>
      </c>
      <c r="AF18" t="n">
        <v>1878567770.181</v>
      </c>
      <c r="AG18" t="n">
        <v>1715034930.233</v>
      </c>
      <c r="AH18" t="n">
        <v>1754793758.263</v>
      </c>
      <c r="AI18" t="n">
        <v>1824003646.313</v>
      </c>
      <c r="AJ18" t="n">
        <v>2090442045.416</v>
      </c>
      <c r="AK18" t="n">
        <v>2143448180.993</v>
      </c>
      <c r="AL18" t="n">
        <v>2185266446.013</v>
      </c>
      <c r="AM18" t="n">
        <v>2351499289.117</v>
      </c>
      <c r="AN18" t="n">
        <v>2265694058.744</v>
      </c>
      <c r="AO18" t="n">
        <v>2526233705.086</v>
      </c>
      <c r="AP18" t="n">
        <v>2605372352.262</v>
      </c>
      <c r="AQ18" t="n">
        <v>2462045790.992</v>
      </c>
      <c r="AR18" t="n">
        <v>2683150806.637</v>
      </c>
      <c r="AS18" t="n">
        <v>2825044787.94</v>
      </c>
      <c r="AT18" t="n">
        <v>2839714932.068</v>
      </c>
      <c r="AU18" t="n">
        <v>2908197145.986</v>
      </c>
      <c r="AV18" t="n">
        <v>2971410889.73</v>
      </c>
      <c r="AW18" t="n">
        <v>2837520355.543</v>
      </c>
      <c r="AX18" t="n">
        <v>3186181608.31</v>
      </c>
      <c r="AY18" t="n">
        <v>3227576917.528</v>
      </c>
      <c r="AZ18" t="n">
        <v>3079654242.463</v>
      </c>
      <c r="BA18" t="n">
        <v>3141580627.768</v>
      </c>
      <c r="BB18" t="n">
        <v>3080215226.964</v>
      </c>
      <c r="BC18" t="n">
        <v>3229954099.291</v>
      </c>
      <c r="BD18" t="n">
        <v>3225490609.414</v>
      </c>
      <c r="BE18" t="n">
        <v>3249780830.249</v>
      </c>
      <c r="BF18" t="n">
        <v>3058964363.35</v>
      </c>
      <c r="BG18" t="n">
        <v>3299506410.719</v>
      </c>
      <c r="BH18" t="n">
        <v>3004004401.423</v>
      </c>
      <c r="BI18" t="n">
        <v>3230979254.358</v>
      </c>
      <c r="BJ18" t="n">
        <v>3060715999.589</v>
      </c>
      <c r="BK18" t="n">
        <v>3237664462.355</v>
      </c>
      <c r="BL18" t="n">
        <v>3452107079.638</v>
      </c>
      <c r="BM18" t="n">
        <v>3953046831.021</v>
      </c>
      <c r="BN18" t="n">
        <v>4075500099.587</v>
      </c>
      <c r="BO18" t="n">
        <v>3929450670.88</v>
      </c>
      <c r="BP18" t="n">
        <v>4063330421.53</v>
      </c>
      <c r="BQ18" t="n">
        <v>4296346738.118</v>
      </c>
      <c r="BR18" t="n">
        <v>4327436104.535</v>
      </c>
      <c r="BS18" t="n">
        <v>4460561447.652</v>
      </c>
      <c r="BT18" t="n">
        <v>4529613645.619</v>
      </c>
    </row>
    <row r="19">
      <c r="A19" t="inlineStr">
        <is>
          <t>new_GE</t>
        </is>
      </c>
      <c r="B19" t="inlineStr">
        <is>
          <t>ok</t>
        </is>
      </c>
      <c r="C19" t="n">
        <v>274691737.61</v>
      </c>
      <c r="D19" t="n">
        <v>286481032.026</v>
      </c>
      <c r="E19" t="n">
        <v>307387491.842</v>
      </c>
      <c r="F19" t="n">
        <v>362300240.725</v>
      </c>
      <c r="G19" t="n">
        <v>357377862.989</v>
      </c>
      <c r="H19" t="n">
        <v>411768190.004</v>
      </c>
      <c r="I19" t="n">
        <v>455255556.158</v>
      </c>
      <c r="J19" t="n">
        <v>460171054.286</v>
      </c>
      <c r="K19" t="n">
        <v>424157255.057</v>
      </c>
      <c r="L19" t="n">
        <v>407801642.992</v>
      </c>
      <c r="M19" t="n">
        <v>492947156.712</v>
      </c>
      <c r="N19" t="n">
        <v>441900627.073</v>
      </c>
      <c r="O19" t="n">
        <v>461817316.857</v>
      </c>
      <c r="P19" t="n">
        <v>493657819.531</v>
      </c>
      <c r="Q19" t="n">
        <v>553973320.7309999</v>
      </c>
      <c r="R19" t="n">
        <v>555759359.387</v>
      </c>
      <c r="S19" t="n">
        <v>635930490.101</v>
      </c>
      <c r="T19" t="n">
        <v>653106651.211</v>
      </c>
      <c r="U19" t="n">
        <v>645349837.119</v>
      </c>
      <c r="V19" t="n">
        <v>652987106.5369999</v>
      </c>
      <c r="W19" t="n">
        <v>701012180.4450001</v>
      </c>
      <c r="X19" t="n">
        <v>686612668.022</v>
      </c>
      <c r="Y19" t="n">
        <v>734257860.176</v>
      </c>
      <c r="Z19" t="n">
        <v>810777689.2690001</v>
      </c>
      <c r="AA19" t="n">
        <v>876970967.3150001</v>
      </c>
      <c r="AB19" t="n">
        <v>909940286.783</v>
      </c>
      <c r="AC19" t="n">
        <v>900579124.01</v>
      </c>
      <c r="AD19" t="n">
        <v>946370737.864</v>
      </c>
      <c r="AE19" t="n">
        <v>937245949.4069999</v>
      </c>
      <c r="AF19" t="n">
        <v>963878197.467</v>
      </c>
      <c r="AG19" t="n">
        <v>880681451.58</v>
      </c>
      <c r="AH19" t="n">
        <v>901927007.888</v>
      </c>
      <c r="AI19" t="n">
        <v>935256180.813</v>
      </c>
      <c r="AJ19" t="n">
        <v>1070044234.074</v>
      </c>
      <c r="AK19" t="n">
        <v>1103186813.241</v>
      </c>
      <c r="AL19" t="n">
        <v>1129747680.563</v>
      </c>
      <c r="AM19" t="n">
        <v>1234572688.951</v>
      </c>
      <c r="AN19" t="n">
        <v>1181728637.987</v>
      </c>
      <c r="AO19" t="n">
        <v>1326224972.075</v>
      </c>
      <c r="AP19" t="n">
        <v>1381461828.431</v>
      </c>
      <c r="AQ19" t="n">
        <v>1307865128.928</v>
      </c>
      <c r="AR19" t="n">
        <v>1433723616.268</v>
      </c>
      <c r="AS19" t="n">
        <v>1509463292.848</v>
      </c>
      <c r="AT19" t="n">
        <v>1511740672.469</v>
      </c>
      <c r="AU19" t="n">
        <v>1544714740.954</v>
      </c>
      <c r="AV19" t="n">
        <v>1587200731.797</v>
      </c>
      <c r="AW19" t="n">
        <v>1511510088.031</v>
      </c>
      <c r="AX19" t="n">
        <v>1700150025.104</v>
      </c>
      <c r="AY19" t="n">
        <v>1719161454.113</v>
      </c>
      <c r="AZ19" t="n">
        <v>1626501549.42</v>
      </c>
      <c r="BA19" t="n">
        <v>1673309699.679</v>
      </c>
      <c r="BB19" t="n">
        <v>1636973984.366</v>
      </c>
      <c r="BC19" t="n">
        <v>1725354953.743</v>
      </c>
      <c r="BD19" t="n">
        <v>1726778968.522</v>
      </c>
      <c r="BE19" t="n">
        <v>1735364898.32</v>
      </c>
      <c r="BF19" t="n">
        <v>1641544896.735</v>
      </c>
      <c r="BG19" t="n">
        <v>1779847864.19</v>
      </c>
      <c r="BH19" t="n">
        <v>1624108956.891</v>
      </c>
      <c r="BI19" t="n">
        <v>1761355496.064</v>
      </c>
      <c r="BJ19" t="n">
        <v>1648512330.266</v>
      </c>
      <c r="BK19" t="n">
        <v>1761395333.704</v>
      </c>
      <c r="BL19" t="n">
        <v>1874854798.527</v>
      </c>
      <c r="BM19" t="n">
        <v>2155597654.603</v>
      </c>
      <c r="BN19" t="n">
        <v>2223894197.513</v>
      </c>
      <c r="BO19" t="n">
        <v>2132221552.128</v>
      </c>
      <c r="BP19" t="n">
        <v>2201961326.783</v>
      </c>
      <c r="BQ19" t="n">
        <v>2342063324.784</v>
      </c>
      <c r="BR19" t="n">
        <v>2375183129.332</v>
      </c>
      <c r="BS19" t="n">
        <v>2427896413.02</v>
      </c>
      <c r="BT19" t="n">
        <v>2473250562.837</v>
      </c>
    </row>
    <row r="20">
      <c r="A20" t="inlineStr">
        <is>
          <t>new_WithEgestion</t>
        </is>
      </c>
      <c r="B20" t="inlineStr">
        <is>
          <t>ok</t>
        </is>
      </c>
      <c r="C20" t="n">
        <v>95681930.396</v>
      </c>
      <c r="D20" t="n">
        <v>99128783.96600001</v>
      </c>
      <c r="E20" t="n">
        <v>105309419.93</v>
      </c>
      <c r="F20" t="n">
        <v>125439754.046</v>
      </c>
      <c r="G20" t="n">
        <v>123979238.876</v>
      </c>
      <c r="H20" t="n">
        <v>140947849.323</v>
      </c>
      <c r="I20" t="n">
        <v>157476753.04</v>
      </c>
      <c r="J20" t="n">
        <v>159177501.932</v>
      </c>
      <c r="K20" t="n">
        <v>146792979.509</v>
      </c>
      <c r="L20" t="n">
        <v>139843297.806</v>
      </c>
      <c r="M20" t="n">
        <v>170448300.32</v>
      </c>
      <c r="N20" t="n">
        <v>152774577.152</v>
      </c>
      <c r="O20" t="n">
        <v>156838268.582</v>
      </c>
      <c r="P20" t="n">
        <v>167125458.066</v>
      </c>
      <c r="Q20" t="n">
        <v>190800499.558</v>
      </c>
      <c r="R20" t="n">
        <v>191279874.49</v>
      </c>
      <c r="S20" t="n">
        <v>215785293.085</v>
      </c>
      <c r="T20" t="n">
        <v>220515761.241</v>
      </c>
      <c r="U20" t="n">
        <v>218209077.049</v>
      </c>
      <c r="V20" t="n">
        <v>220244442.844</v>
      </c>
      <c r="W20" t="n">
        <v>236312721.407</v>
      </c>
      <c r="X20" t="n">
        <v>233675889.839</v>
      </c>
      <c r="Y20" t="n">
        <v>246692424.794</v>
      </c>
      <c r="Z20" t="n">
        <v>274451772.278</v>
      </c>
      <c r="AA20" t="n">
        <v>289816563.264</v>
      </c>
      <c r="AB20" t="n">
        <v>302713001.009</v>
      </c>
      <c r="AC20" t="n">
        <v>301014417.58</v>
      </c>
      <c r="AD20" t="n">
        <v>316665394.03</v>
      </c>
      <c r="AE20" t="n">
        <v>320826553.987</v>
      </c>
      <c r="AF20" t="n">
        <v>325056179.136</v>
      </c>
      <c r="AG20" t="n">
        <v>300609616.289</v>
      </c>
      <c r="AH20" t="n">
        <v>312133500.256</v>
      </c>
      <c r="AI20" t="n">
        <v>322548236.952</v>
      </c>
      <c r="AJ20" t="n">
        <v>362350329.916</v>
      </c>
      <c r="AK20" t="n">
        <v>375790365.66</v>
      </c>
      <c r="AL20" t="n">
        <v>384388239.569</v>
      </c>
      <c r="AM20" t="n">
        <v>422784321.704</v>
      </c>
      <c r="AN20" t="n">
        <v>404966393.119</v>
      </c>
      <c r="AO20" t="n">
        <v>454239946.224</v>
      </c>
      <c r="AP20" t="n">
        <v>476792719.93</v>
      </c>
      <c r="AQ20" t="n">
        <v>456498729.261</v>
      </c>
      <c r="AR20" t="n">
        <v>498654429.635</v>
      </c>
      <c r="AS20" t="n">
        <v>524447190.841</v>
      </c>
      <c r="AT20" t="n">
        <v>523942644.19</v>
      </c>
      <c r="AU20" t="n">
        <v>533498816.156</v>
      </c>
      <c r="AV20" t="n">
        <v>547622458.267</v>
      </c>
      <c r="AW20" t="n">
        <v>523000721.757</v>
      </c>
      <c r="AX20" t="n">
        <v>588621435.976</v>
      </c>
      <c r="AY20" t="n">
        <v>592141981.4119999</v>
      </c>
      <c r="AZ20" t="n">
        <v>556279317.334</v>
      </c>
      <c r="BA20" t="n">
        <v>576456115.428</v>
      </c>
      <c r="BB20" t="n">
        <v>560965389.607</v>
      </c>
      <c r="BC20" t="n">
        <v>592120180.492</v>
      </c>
      <c r="BD20" t="n">
        <v>592047543.673</v>
      </c>
      <c r="BE20" t="n">
        <v>595763456.614</v>
      </c>
      <c r="BF20" t="n">
        <v>563873638.534</v>
      </c>
      <c r="BG20" t="n">
        <v>612033815.436</v>
      </c>
      <c r="BH20" t="n">
        <v>559697571.772</v>
      </c>
      <c r="BI20" t="n">
        <v>603492984.222</v>
      </c>
      <c r="BJ20" t="n">
        <v>564054892.255</v>
      </c>
      <c r="BK20" t="n">
        <v>601355880.575</v>
      </c>
      <c r="BL20" t="n">
        <v>643799830.482</v>
      </c>
      <c r="BM20" t="n">
        <v>739576432.0829999</v>
      </c>
      <c r="BN20" t="n">
        <v>764009407.617</v>
      </c>
      <c r="BO20" t="n">
        <v>730869693.987</v>
      </c>
      <c r="BP20" t="n">
        <v>746587558.8430001</v>
      </c>
      <c r="BQ20" t="n">
        <v>795771244.375</v>
      </c>
      <c r="BR20" t="n">
        <v>810554563.8710001</v>
      </c>
      <c r="BS20" t="n">
        <v>832096045.591</v>
      </c>
      <c r="BT20" t="n">
        <v>850656571.772</v>
      </c>
    </row>
    <row r="21">
      <c r="A21" t="inlineStr">
        <is>
          <t>sym_TE_asPP</t>
        </is>
      </c>
      <c r="B21" t="inlineStr">
        <is>
          <t>ok</t>
        </is>
      </c>
      <c r="C21" t="n">
        <v>543955930.9069999</v>
      </c>
      <c r="D21" t="n">
        <v>566761042.553</v>
      </c>
      <c r="E21" t="n">
        <v>612975832.099</v>
      </c>
      <c r="F21" t="n">
        <v>691263380.7359999</v>
      </c>
      <c r="G21" t="n">
        <v>685941975.844</v>
      </c>
      <c r="H21" t="n">
        <v>793732834.0880001</v>
      </c>
      <c r="I21" t="n">
        <v>860726618.473</v>
      </c>
      <c r="J21" t="n">
        <v>875451076.719</v>
      </c>
      <c r="K21" t="n">
        <v>814572524.536</v>
      </c>
      <c r="L21" t="n">
        <v>789670484.358</v>
      </c>
      <c r="M21" t="n">
        <v>942313606.21</v>
      </c>
      <c r="N21" t="n">
        <v>850900926.156</v>
      </c>
      <c r="O21" t="n">
        <v>907106555.623</v>
      </c>
      <c r="P21" t="n">
        <v>976098091.716</v>
      </c>
      <c r="Q21" t="n">
        <v>1080776218.354</v>
      </c>
      <c r="R21" t="n">
        <v>1086157812.853</v>
      </c>
      <c r="S21" t="n">
        <v>1250914932.932</v>
      </c>
      <c r="T21" t="n">
        <v>1280630908.043</v>
      </c>
      <c r="U21" t="n">
        <v>1262721368.765</v>
      </c>
      <c r="V21" t="n">
        <v>1284061906.577</v>
      </c>
      <c r="W21" t="n">
        <v>1373701446.382</v>
      </c>
      <c r="X21" t="n">
        <v>1338478509.452</v>
      </c>
      <c r="Y21" t="n">
        <v>1460425873.268</v>
      </c>
      <c r="Z21" t="n">
        <v>1608513000.358</v>
      </c>
      <c r="AA21" t="n">
        <v>1750637999.631</v>
      </c>
      <c r="AB21" t="n">
        <v>1806810383.63</v>
      </c>
      <c r="AC21" t="n">
        <v>1780967383.176</v>
      </c>
      <c r="AD21" t="n">
        <v>1867980594.407</v>
      </c>
      <c r="AE21" t="n">
        <v>1815758218.557</v>
      </c>
      <c r="AF21" t="n">
        <v>1878567770.181</v>
      </c>
      <c r="AG21" t="n">
        <v>1715034930.233</v>
      </c>
      <c r="AH21" t="n">
        <v>1754793758.263</v>
      </c>
      <c r="AI21" t="n">
        <v>1824003646.313</v>
      </c>
      <c r="AJ21" t="n">
        <v>2090442045.416</v>
      </c>
      <c r="AK21" t="n">
        <v>2143448180.993</v>
      </c>
      <c r="AL21" t="n">
        <v>2185266446.013</v>
      </c>
      <c r="AM21" t="n">
        <v>2351499289.117</v>
      </c>
      <c r="AN21" t="n">
        <v>2265694058.744</v>
      </c>
      <c r="AO21" t="n">
        <v>2526233705.086</v>
      </c>
      <c r="AP21" t="n">
        <v>2605372352.262</v>
      </c>
      <c r="AQ21" t="n">
        <v>2462045790.992</v>
      </c>
      <c r="AR21" t="n">
        <v>2683150806.637</v>
      </c>
      <c r="AS21" t="n">
        <v>2825044787.94</v>
      </c>
      <c r="AT21" t="n">
        <v>2839714932.068</v>
      </c>
      <c r="AU21" t="n">
        <v>2908197145.986</v>
      </c>
      <c r="AV21" t="n">
        <v>2971410889.73</v>
      </c>
      <c r="AW21" t="n">
        <v>2837520355.543</v>
      </c>
      <c r="AX21" t="n">
        <v>3186181608.31</v>
      </c>
      <c r="AY21" t="n">
        <v>3227576917.528</v>
      </c>
      <c r="AZ21" t="n">
        <v>3079654242.463</v>
      </c>
      <c r="BA21" t="n">
        <v>3141580627.768</v>
      </c>
      <c r="BB21" t="n">
        <v>3080215226.964</v>
      </c>
      <c r="BC21" t="n">
        <v>3229954099.291</v>
      </c>
      <c r="BD21" t="n">
        <v>3225490609.414</v>
      </c>
      <c r="BE21" t="n">
        <v>3249780830.249</v>
      </c>
      <c r="BF21" t="n">
        <v>3058964363.35</v>
      </c>
      <c r="BG21" t="n">
        <v>3299506410.719</v>
      </c>
      <c r="BH21" t="n">
        <v>3004004401.423</v>
      </c>
      <c r="BI21" t="n">
        <v>3230979254.358</v>
      </c>
      <c r="BJ21" t="n">
        <v>3060715999.589</v>
      </c>
      <c r="BK21" t="n">
        <v>3237664462.355</v>
      </c>
      <c r="BL21" t="n">
        <v>3452107079.638</v>
      </c>
      <c r="BM21" t="n">
        <v>3953046831.021</v>
      </c>
      <c r="BN21" t="n">
        <v>4075500099.587</v>
      </c>
      <c r="BO21" t="n">
        <v>3929450670.88</v>
      </c>
      <c r="BP21" t="n">
        <v>4063330421.53</v>
      </c>
      <c r="BQ21" t="n">
        <v>4296346738.118</v>
      </c>
      <c r="BR21" t="n">
        <v>4327436104.535</v>
      </c>
      <c r="BS21" t="n">
        <v>4460561447.652</v>
      </c>
      <c r="BT21" t="n">
        <v>4529613645.619</v>
      </c>
    </row>
    <row r="22">
      <c r="A22" t="inlineStr">
        <is>
          <t>sym_TE_asDC</t>
        </is>
      </c>
      <c r="B22" t="inlineStr">
        <is>
          <t>ok</t>
        </is>
      </c>
      <c r="C22" t="n">
        <v>543955930.9069999</v>
      </c>
      <c r="D22" t="n">
        <v>566761042.553</v>
      </c>
      <c r="E22" t="n">
        <v>612975832.099</v>
      </c>
      <c r="F22" t="n">
        <v>691263380.7359999</v>
      </c>
      <c r="G22" t="n">
        <v>685941975.844</v>
      </c>
      <c r="H22" t="n">
        <v>793732834.0880001</v>
      </c>
      <c r="I22" t="n">
        <v>860726618.473</v>
      </c>
      <c r="J22" t="n">
        <v>875451076.719</v>
      </c>
      <c r="K22" t="n">
        <v>814572524.536</v>
      </c>
      <c r="L22" t="n">
        <v>789670484.358</v>
      </c>
      <c r="M22" t="n">
        <v>942313606.21</v>
      </c>
      <c r="N22" t="n">
        <v>850900926.156</v>
      </c>
      <c r="O22" t="n">
        <v>907106555.623</v>
      </c>
      <c r="P22" t="n">
        <v>976098091.716</v>
      </c>
      <c r="Q22" t="n">
        <v>1080776218.354</v>
      </c>
      <c r="R22" t="n">
        <v>1086157812.853</v>
      </c>
      <c r="S22" t="n">
        <v>1250914932.932</v>
      </c>
      <c r="T22" t="n">
        <v>1280630908.043</v>
      </c>
      <c r="U22" t="n">
        <v>1262721368.765</v>
      </c>
      <c r="V22" t="n">
        <v>1284061906.577</v>
      </c>
      <c r="W22" t="n">
        <v>1373701446.382</v>
      </c>
      <c r="X22" t="n">
        <v>1338478509.452</v>
      </c>
      <c r="Y22" t="n">
        <v>1460425873.268</v>
      </c>
      <c r="Z22" t="n">
        <v>1608513000.358</v>
      </c>
      <c r="AA22" t="n">
        <v>1750637999.631</v>
      </c>
      <c r="AB22" t="n">
        <v>1806810383.63</v>
      </c>
      <c r="AC22" t="n">
        <v>1780967383.176</v>
      </c>
      <c r="AD22" t="n">
        <v>1867980594.407</v>
      </c>
      <c r="AE22" t="n">
        <v>1815758218.557</v>
      </c>
      <c r="AF22" t="n">
        <v>1878567770.181</v>
      </c>
      <c r="AG22" t="n">
        <v>1715034930.233</v>
      </c>
      <c r="AH22" t="n">
        <v>1754793758.263</v>
      </c>
      <c r="AI22" t="n">
        <v>1824003646.313</v>
      </c>
      <c r="AJ22" t="n">
        <v>2090442045.416</v>
      </c>
      <c r="AK22" t="n">
        <v>2143448180.993</v>
      </c>
      <c r="AL22" t="n">
        <v>2185266446.013</v>
      </c>
      <c r="AM22" t="n">
        <v>2351499289.117</v>
      </c>
      <c r="AN22" t="n">
        <v>2265694058.744</v>
      </c>
      <c r="AO22" t="n">
        <v>2526233705.086</v>
      </c>
      <c r="AP22" t="n">
        <v>2605372352.262</v>
      </c>
      <c r="AQ22" t="n">
        <v>2462045790.992</v>
      </c>
      <c r="AR22" t="n">
        <v>2683150806.637</v>
      </c>
      <c r="AS22" t="n">
        <v>2825044787.94</v>
      </c>
      <c r="AT22" t="n">
        <v>2839714932.068</v>
      </c>
      <c r="AU22" t="n">
        <v>2908197145.986</v>
      </c>
      <c r="AV22" t="n">
        <v>2971410889.73</v>
      </c>
      <c r="AW22" t="n">
        <v>2837520355.543</v>
      </c>
      <c r="AX22" t="n">
        <v>3186181608.31</v>
      </c>
      <c r="AY22" t="n">
        <v>3227576917.528</v>
      </c>
      <c r="AZ22" t="n">
        <v>3079654242.463</v>
      </c>
      <c r="BA22" t="n">
        <v>3141580627.768</v>
      </c>
      <c r="BB22" t="n">
        <v>3080215226.964</v>
      </c>
      <c r="BC22" t="n">
        <v>3229954099.291</v>
      </c>
      <c r="BD22" t="n">
        <v>3225490609.414</v>
      </c>
      <c r="BE22" t="n">
        <v>3249780830.249</v>
      </c>
      <c r="BF22" t="n">
        <v>3058964363.35</v>
      </c>
      <c r="BG22" t="n">
        <v>3299506410.719</v>
      </c>
      <c r="BH22" t="n">
        <v>3004004401.423</v>
      </c>
      <c r="BI22" t="n">
        <v>3230979254.358</v>
      </c>
      <c r="BJ22" t="n">
        <v>3060715999.589</v>
      </c>
      <c r="BK22" t="n">
        <v>3237664462.355</v>
      </c>
      <c r="BL22" t="n">
        <v>3452107079.638</v>
      </c>
      <c r="BM22" t="n">
        <v>3953046831.021</v>
      </c>
      <c r="BN22" t="n">
        <v>4075500099.587</v>
      </c>
      <c r="BO22" t="n">
        <v>3929450670.88</v>
      </c>
      <c r="BP22" t="n">
        <v>4063330421.53</v>
      </c>
      <c r="BQ22" t="n">
        <v>4296346738.118</v>
      </c>
      <c r="BR22" t="n">
        <v>4327436104.535</v>
      </c>
      <c r="BS22" t="n">
        <v>4460561447.652</v>
      </c>
      <c r="BT22" t="n">
        <v>4529613645.619</v>
      </c>
    </row>
    <row r="23">
      <c r="A23" t="inlineStr">
        <is>
          <t>sym_GE_asPP</t>
        </is>
      </c>
      <c r="B23" t="inlineStr">
        <is>
          <t>ok</t>
        </is>
      </c>
      <c r="C23" t="n">
        <v>274691737.61</v>
      </c>
      <c r="D23" t="n">
        <v>286481032.026</v>
      </c>
      <c r="E23" t="n">
        <v>307387491.842</v>
      </c>
      <c r="F23" t="n">
        <v>362300240.725</v>
      </c>
      <c r="G23" t="n">
        <v>357377862.989</v>
      </c>
      <c r="H23" t="n">
        <v>411768190.004</v>
      </c>
      <c r="I23" t="n">
        <v>455255556.158</v>
      </c>
      <c r="J23" t="n">
        <v>460171054.286</v>
      </c>
      <c r="K23" t="n">
        <v>424157255.057</v>
      </c>
      <c r="L23" t="n">
        <v>407801642.992</v>
      </c>
      <c r="M23" t="n">
        <v>492947156.712</v>
      </c>
      <c r="N23" t="n">
        <v>441900627.073</v>
      </c>
      <c r="O23" t="n">
        <v>461817316.857</v>
      </c>
      <c r="P23" t="n">
        <v>493657819.531</v>
      </c>
      <c r="Q23" t="n">
        <v>553973320.7309999</v>
      </c>
      <c r="R23" t="n">
        <v>555759359.387</v>
      </c>
      <c r="S23" t="n">
        <v>635930490.101</v>
      </c>
      <c r="T23" t="n">
        <v>653106651.211</v>
      </c>
      <c r="U23" t="n">
        <v>645349837.119</v>
      </c>
      <c r="V23" t="n">
        <v>652987106.5369999</v>
      </c>
      <c r="W23" t="n">
        <v>701012180.4450001</v>
      </c>
      <c r="X23" t="n">
        <v>686612668.022</v>
      </c>
      <c r="Y23" t="n">
        <v>734257860.176</v>
      </c>
      <c r="Z23" t="n">
        <v>810777689.2690001</v>
      </c>
      <c r="AA23" t="n">
        <v>876970967.3150001</v>
      </c>
      <c r="AB23" t="n">
        <v>909940286.783</v>
      </c>
      <c r="AC23" t="n">
        <v>900579124.01</v>
      </c>
      <c r="AD23" t="n">
        <v>946370737.864</v>
      </c>
      <c r="AE23" t="n">
        <v>937245949.4069999</v>
      </c>
      <c r="AF23" t="n">
        <v>963878197.467</v>
      </c>
      <c r="AG23" t="n">
        <v>880681451.58</v>
      </c>
      <c r="AH23" t="n">
        <v>901927007.888</v>
      </c>
      <c r="AI23" t="n">
        <v>935256180.813</v>
      </c>
      <c r="AJ23" t="n">
        <v>1070044234.074</v>
      </c>
      <c r="AK23" t="n">
        <v>1103186813.241</v>
      </c>
      <c r="AL23" t="n">
        <v>1129747680.563</v>
      </c>
      <c r="AM23" t="n">
        <v>1234572688.951</v>
      </c>
      <c r="AN23" t="n">
        <v>1181728637.987</v>
      </c>
      <c r="AO23" t="n">
        <v>1326224972.075</v>
      </c>
      <c r="AP23" t="n">
        <v>1381461828.431</v>
      </c>
      <c r="AQ23" t="n">
        <v>1307865128.928</v>
      </c>
      <c r="AR23" t="n">
        <v>1433723616.268</v>
      </c>
      <c r="AS23" t="n">
        <v>1509463292.848</v>
      </c>
      <c r="AT23" t="n">
        <v>1511740672.469</v>
      </c>
      <c r="AU23" t="n">
        <v>1544714740.954</v>
      </c>
      <c r="AV23" t="n">
        <v>1587200731.797</v>
      </c>
      <c r="AW23" t="n">
        <v>1511510088.031</v>
      </c>
      <c r="AX23" t="n">
        <v>1700150025.104</v>
      </c>
      <c r="AY23" t="n">
        <v>1719161454.113</v>
      </c>
      <c r="AZ23" t="n">
        <v>1626501549.42</v>
      </c>
      <c r="BA23" t="n">
        <v>1673309699.679</v>
      </c>
      <c r="BB23" t="n">
        <v>1636973984.366</v>
      </c>
      <c r="BC23" t="n">
        <v>1725354953.743</v>
      </c>
      <c r="BD23" t="n">
        <v>1726778968.522</v>
      </c>
      <c r="BE23" t="n">
        <v>1735364898.32</v>
      </c>
      <c r="BF23" t="n">
        <v>1641544896.735</v>
      </c>
      <c r="BG23" t="n">
        <v>1779847864.19</v>
      </c>
      <c r="BH23" t="n">
        <v>1624108956.891</v>
      </c>
      <c r="BI23" t="n">
        <v>1761355496.064</v>
      </c>
      <c r="BJ23" t="n">
        <v>1648512330.266</v>
      </c>
      <c r="BK23" t="n">
        <v>1761395333.704</v>
      </c>
      <c r="BL23" t="n">
        <v>1874854798.527</v>
      </c>
      <c r="BM23" t="n">
        <v>2155597654.603</v>
      </c>
      <c r="BN23" t="n">
        <v>2223894197.513</v>
      </c>
      <c r="BO23" t="n">
        <v>2132221552.128</v>
      </c>
      <c r="BP23" t="n">
        <v>2201961326.783</v>
      </c>
      <c r="BQ23" t="n">
        <v>2342063324.784</v>
      </c>
      <c r="BR23" t="n">
        <v>2375183129.332</v>
      </c>
      <c r="BS23" t="n">
        <v>2427896413.02</v>
      </c>
      <c r="BT23" t="n">
        <v>2473250562.837</v>
      </c>
    </row>
    <row r="24">
      <c r="A24" t="inlineStr">
        <is>
          <t>sym_GE_asDC</t>
        </is>
      </c>
      <c r="B24" t="inlineStr">
        <is>
          <t>ok</t>
        </is>
      </c>
      <c r="C24" t="n">
        <v>274691737.61</v>
      </c>
      <c r="D24" t="n">
        <v>286481032.026</v>
      </c>
      <c r="E24" t="n">
        <v>307387491.842</v>
      </c>
      <c r="F24" t="n">
        <v>362300240.725</v>
      </c>
      <c r="G24" t="n">
        <v>357377862.989</v>
      </c>
      <c r="H24" t="n">
        <v>411768190.004</v>
      </c>
      <c r="I24" t="n">
        <v>455255556.158</v>
      </c>
      <c r="J24" t="n">
        <v>460171054.286</v>
      </c>
      <c r="K24" t="n">
        <v>424157255.057</v>
      </c>
      <c r="L24" t="n">
        <v>407801642.992</v>
      </c>
      <c r="M24" t="n">
        <v>492947156.712</v>
      </c>
      <c r="N24" t="n">
        <v>441900627.073</v>
      </c>
      <c r="O24" t="n">
        <v>461817316.857</v>
      </c>
      <c r="P24" t="n">
        <v>493657819.531</v>
      </c>
      <c r="Q24" t="n">
        <v>553973320.7309999</v>
      </c>
      <c r="R24" t="n">
        <v>555759359.387</v>
      </c>
      <c r="S24" t="n">
        <v>635930490.101</v>
      </c>
      <c r="T24" t="n">
        <v>653106651.211</v>
      </c>
      <c r="U24" t="n">
        <v>645349837.119</v>
      </c>
      <c r="V24" t="n">
        <v>652987106.5369999</v>
      </c>
      <c r="W24" t="n">
        <v>701012180.4450001</v>
      </c>
      <c r="X24" t="n">
        <v>686612668.022</v>
      </c>
      <c r="Y24" t="n">
        <v>734257860.176</v>
      </c>
      <c r="Z24" t="n">
        <v>810777689.2690001</v>
      </c>
      <c r="AA24" t="n">
        <v>876970967.3150001</v>
      </c>
      <c r="AB24" t="n">
        <v>909940286.783</v>
      </c>
      <c r="AC24" t="n">
        <v>900579124.01</v>
      </c>
      <c r="AD24" t="n">
        <v>946370737.864</v>
      </c>
      <c r="AE24" t="n">
        <v>937245949.4069999</v>
      </c>
      <c r="AF24" t="n">
        <v>963878197.467</v>
      </c>
      <c r="AG24" t="n">
        <v>880681451.58</v>
      </c>
      <c r="AH24" t="n">
        <v>901927007.888</v>
      </c>
      <c r="AI24" t="n">
        <v>935256180.813</v>
      </c>
      <c r="AJ24" t="n">
        <v>1070044234.074</v>
      </c>
      <c r="AK24" t="n">
        <v>1103186813.241</v>
      </c>
      <c r="AL24" t="n">
        <v>1129747680.563</v>
      </c>
      <c r="AM24" t="n">
        <v>1234572688.951</v>
      </c>
      <c r="AN24" t="n">
        <v>1181728637.987</v>
      </c>
      <c r="AO24" t="n">
        <v>1326224972.075</v>
      </c>
      <c r="AP24" t="n">
        <v>1381461828.431</v>
      </c>
      <c r="AQ24" t="n">
        <v>1307865128.928</v>
      </c>
      <c r="AR24" t="n">
        <v>1433723616.268</v>
      </c>
      <c r="AS24" t="n">
        <v>1509463292.848</v>
      </c>
      <c r="AT24" t="n">
        <v>1511740672.469</v>
      </c>
      <c r="AU24" t="n">
        <v>1544714740.954</v>
      </c>
      <c r="AV24" t="n">
        <v>1587200731.797</v>
      </c>
      <c r="AW24" t="n">
        <v>1511510088.031</v>
      </c>
      <c r="AX24" t="n">
        <v>1700150025.104</v>
      </c>
      <c r="AY24" t="n">
        <v>1719161454.113</v>
      </c>
      <c r="AZ24" t="n">
        <v>1626501549.42</v>
      </c>
      <c r="BA24" t="n">
        <v>1673309699.679</v>
      </c>
      <c r="BB24" t="n">
        <v>1636973984.366</v>
      </c>
      <c r="BC24" t="n">
        <v>1725354953.743</v>
      </c>
      <c r="BD24" t="n">
        <v>1726778968.522</v>
      </c>
      <c r="BE24" t="n">
        <v>1735364898.32</v>
      </c>
      <c r="BF24" t="n">
        <v>1641544896.735</v>
      </c>
      <c r="BG24" t="n">
        <v>1779847864.19</v>
      </c>
      <c r="BH24" t="n">
        <v>1624108956.891</v>
      </c>
      <c r="BI24" t="n">
        <v>1761355496.064</v>
      </c>
      <c r="BJ24" t="n">
        <v>1648512330.266</v>
      </c>
      <c r="BK24" t="n">
        <v>1761395333.704</v>
      </c>
      <c r="BL24" t="n">
        <v>1874854798.527</v>
      </c>
      <c r="BM24" t="n">
        <v>2155597654.603</v>
      </c>
      <c r="BN24" t="n">
        <v>2223894197.513</v>
      </c>
      <c r="BO24" t="n">
        <v>2132221552.128</v>
      </c>
      <c r="BP24" t="n">
        <v>2201961326.783</v>
      </c>
      <c r="BQ24" t="n">
        <v>2342063324.784</v>
      </c>
      <c r="BR24" t="n">
        <v>2375183129.332</v>
      </c>
      <c r="BS24" t="n">
        <v>2427896413.02</v>
      </c>
      <c r="BT24" t="n">
        <v>2473250562.837</v>
      </c>
    </row>
    <row r="25">
      <c r="A25" t="inlineStr">
        <is>
          <t>sym_WithEgestion_asPP</t>
        </is>
      </c>
      <c r="B25" t="inlineStr">
        <is>
          <t>ok</t>
        </is>
      </c>
      <c r="C25" t="n">
        <v>95681930.396</v>
      </c>
      <c r="D25" t="n">
        <v>99128783.96600001</v>
      </c>
      <c r="E25" t="n">
        <v>105309419.93</v>
      </c>
      <c r="F25" t="n">
        <v>125439754.046</v>
      </c>
      <c r="G25" t="n">
        <v>123979238.876</v>
      </c>
      <c r="H25" t="n">
        <v>140947849.323</v>
      </c>
      <c r="I25" t="n">
        <v>157476753.04</v>
      </c>
      <c r="J25" t="n">
        <v>159177501.932</v>
      </c>
      <c r="K25" t="n">
        <v>146792979.509</v>
      </c>
      <c r="L25" t="n">
        <v>139843297.806</v>
      </c>
      <c r="M25" t="n">
        <v>170448300.32</v>
      </c>
      <c r="N25" t="n">
        <v>152774577.152</v>
      </c>
      <c r="O25" t="n">
        <v>156838268.582</v>
      </c>
      <c r="P25" t="n">
        <v>167125458.066</v>
      </c>
      <c r="Q25" t="n">
        <v>190800499.558</v>
      </c>
      <c r="R25" t="n">
        <v>191279874.49</v>
      </c>
      <c r="S25" t="n">
        <v>215785293.085</v>
      </c>
      <c r="T25" t="n">
        <v>220515761.241</v>
      </c>
      <c r="U25" t="n">
        <v>218209077.049</v>
      </c>
      <c r="V25" t="n">
        <v>220244442.844</v>
      </c>
      <c r="W25" t="n">
        <v>236312721.407</v>
      </c>
      <c r="X25" t="n">
        <v>233675889.839</v>
      </c>
      <c r="Y25" t="n">
        <v>246692424.794</v>
      </c>
      <c r="Z25" t="n">
        <v>274451772.278</v>
      </c>
      <c r="AA25" t="n">
        <v>289816563.264</v>
      </c>
      <c r="AB25" t="n">
        <v>302713001.009</v>
      </c>
      <c r="AC25" t="n">
        <v>301014417.58</v>
      </c>
      <c r="AD25" t="n">
        <v>316665394.03</v>
      </c>
      <c r="AE25" t="n">
        <v>320826553.987</v>
      </c>
      <c r="AF25" t="n">
        <v>325056179.136</v>
      </c>
      <c r="AG25" t="n">
        <v>300609616.289</v>
      </c>
      <c r="AH25" t="n">
        <v>312133500.256</v>
      </c>
      <c r="AI25" t="n">
        <v>322548236.952</v>
      </c>
      <c r="AJ25" t="n">
        <v>362350329.916</v>
      </c>
      <c r="AK25" t="n">
        <v>375790365.66</v>
      </c>
      <c r="AL25" t="n">
        <v>384388239.569</v>
      </c>
      <c r="AM25" t="n">
        <v>422784321.704</v>
      </c>
      <c r="AN25" t="n">
        <v>404966393.119</v>
      </c>
      <c r="AO25" t="n">
        <v>454239946.224</v>
      </c>
      <c r="AP25" t="n">
        <v>476792719.93</v>
      </c>
      <c r="AQ25" t="n">
        <v>456498729.261</v>
      </c>
      <c r="AR25" t="n">
        <v>498654429.635</v>
      </c>
      <c r="AS25" t="n">
        <v>524447190.841</v>
      </c>
      <c r="AT25" t="n">
        <v>523942644.19</v>
      </c>
      <c r="AU25" t="n">
        <v>533498816.156</v>
      </c>
      <c r="AV25" t="n">
        <v>547622458.267</v>
      </c>
      <c r="AW25" t="n">
        <v>523000721.757</v>
      </c>
      <c r="AX25" t="n">
        <v>588621435.976</v>
      </c>
      <c r="AY25" t="n">
        <v>592141981.4119999</v>
      </c>
      <c r="AZ25" t="n">
        <v>556279317.334</v>
      </c>
      <c r="BA25" t="n">
        <v>576456115.428</v>
      </c>
      <c r="BB25" t="n">
        <v>560965389.607</v>
      </c>
      <c r="BC25" t="n">
        <v>592120180.492</v>
      </c>
      <c r="BD25" t="n">
        <v>592047543.673</v>
      </c>
      <c r="BE25" t="n">
        <v>595763456.614</v>
      </c>
      <c r="BF25" t="n">
        <v>563873638.534</v>
      </c>
      <c r="BG25" t="n">
        <v>612033815.436</v>
      </c>
      <c r="BH25" t="n">
        <v>559697571.772</v>
      </c>
      <c r="BI25" t="n">
        <v>603492984.222</v>
      </c>
      <c r="BJ25" t="n">
        <v>564054892.255</v>
      </c>
      <c r="BK25" t="n">
        <v>601355880.575</v>
      </c>
      <c r="BL25" t="n">
        <v>643799830.482</v>
      </c>
      <c r="BM25" t="n">
        <v>739576432.0829999</v>
      </c>
      <c r="BN25" t="n">
        <v>764009407.617</v>
      </c>
      <c r="BO25" t="n">
        <v>730869693.987</v>
      </c>
      <c r="BP25" t="n">
        <v>746587558.8430001</v>
      </c>
      <c r="BQ25" t="n">
        <v>795771244.375</v>
      </c>
      <c r="BR25" t="n">
        <v>810554563.8710001</v>
      </c>
      <c r="BS25" t="n">
        <v>832096045.591</v>
      </c>
      <c r="BT25" t="n">
        <v>850656571.772</v>
      </c>
    </row>
    <row r="26">
      <c r="A26" t="inlineStr">
        <is>
          <t>sym_WithEgestion_asDC</t>
        </is>
      </c>
      <c r="B26" t="inlineStr">
        <is>
          <t>ok</t>
        </is>
      </c>
      <c r="C26" t="n">
        <v>95681930.396</v>
      </c>
      <c r="D26" t="n">
        <v>99128783.96600001</v>
      </c>
      <c r="E26" t="n">
        <v>105309419.93</v>
      </c>
      <c r="F26" t="n">
        <v>125439754.046</v>
      </c>
      <c r="G26" t="n">
        <v>123979238.876</v>
      </c>
      <c r="H26" t="n">
        <v>140947849.323</v>
      </c>
      <c r="I26" t="n">
        <v>157476753.04</v>
      </c>
      <c r="J26" t="n">
        <v>159177501.932</v>
      </c>
      <c r="K26" t="n">
        <v>146792979.509</v>
      </c>
      <c r="L26" t="n">
        <v>139843297.806</v>
      </c>
      <c r="M26" t="n">
        <v>170448300.32</v>
      </c>
      <c r="N26" t="n">
        <v>152774577.152</v>
      </c>
      <c r="O26" t="n">
        <v>156838268.582</v>
      </c>
      <c r="P26" t="n">
        <v>167125458.066</v>
      </c>
      <c r="Q26" t="n">
        <v>190800499.558</v>
      </c>
      <c r="R26" t="n">
        <v>191279874.49</v>
      </c>
      <c r="S26" t="n">
        <v>215785293.085</v>
      </c>
      <c r="T26" t="n">
        <v>220515761.241</v>
      </c>
      <c r="U26" t="n">
        <v>218209077.049</v>
      </c>
      <c r="V26" t="n">
        <v>220244442.844</v>
      </c>
      <c r="W26" t="n">
        <v>236312721.407</v>
      </c>
      <c r="X26" t="n">
        <v>233675889.839</v>
      </c>
      <c r="Y26" t="n">
        <v>246692424.794</v>
      </c>
      <c r="Z26" t="n">
        <v>274451772.278</v>
      </c>
      <c r="AA26" t="n">
        <v>289816563.264</v>
      </c>
      <c r="AB26" t="n">
        <v>302713001.009</v>
      </c>
      <c r="AC26" t="n">
        <v>301014417.58</v>
      </c>
      <c r="AD26" t="n">
        <v>316665394.03</v>
      </c>
      <c r="AE26" t="n">
        <v>320826553.987</v>
      </c>
      <c r="AF26" t="n">
        <v>325056179.136</v>
      </c>
      <c r="AG26" t="n">
        <v>300609616.289</v>
      </c>
      <c r="AH26" t="n">
        <v>312133500.256</v>
      </c>
      <c r="AI26" t="n">
        <v>322548236.952</v>
      </c>
      <c r="AJ26" t="n">
        <v>362350329.916</v>
      </c>
      <c r="AK26" t="n">
        <v>375790365.66</v>
      </c>
      <c r="AL26" t="n">
        <v>384388239.569</v>
      </c>
      <c r="AM26" t="n">
        <v>422784321.704</v>
      </c>
      <c r="AN26" t="n">
        <v>404966393.119</v>
      </c>
      <c r="AO26" t="n">
        <v>454239946.224</v>
      </c>
      <c r="AP26" t="n">
        <v>476792719.93</v>
      </c>
      <c r="AQ26" t="n">
        <v>456498729.261</v>
      </c>
      <c r="AR26" t="n">
        <v>498654429.635</v>
      </c>
      <c r="AS26" t="n">
        <v>524447190.841</v>
      </c>
      <c r="AT26" t="n">
        <v>523942644.19</v>
      </c>
      <c r="AU26" t="n">
        <v>533498816.156</v>
      </c>
      <c r="AV26" t="n">
        <v>547622458.267</v>
      </c>
      <c r="AW26" t="n">
        <v>523000721.757</v>
      </c>
      <c r="AX26" t="n">
        <v>588621435.976</v>
      </c>
      <c r="AY26" t="n">
        <v>592141981.4119999</v>
      </c>
      <c r="AZ26" t="n">
        <v>556279317.334</v>
      </c>
      <c r="BA26" t="n">
        <v>576456115.428</v>
      </c>
      <c r="BB26" t="n">
        <v>560965389.607</v>
      </c>
      <c r="BC26" t="n">
        <v>592120180.492</v>
      </c>
      <c r="BD26" t="n">
        <v>592047543.673</v>
      </c>
      <c r="BE26" t="n">
        <v>595763456.614</v>
      </c>
      <c r="BF26" t="n">
        <v>563873638.534</v>
      </c>
      <c r="BG26" t="n">
        <v>612033815.436</v>
      </c>
      <c r="BH26" t="n">
        <v>559697571.772</v>
      </c>
      <c r="BI26" t="n">
        <v>603492984.222</v>
      </c>
      <c r="BJ26" t="n">
        <v>564054892.255</v>
      </c>
      <c r="BK26" t="n">
        <v>601355880.575</v>
      </c>
      <c r="BL26" t="n">
        <v>643799830.482</v>
      </c>
      <c r="BM26" t="n">
        <v>739576432.0829999</v>
      </c>
      <c r="BN26" t="n">
        <v>764009407.617</v>
      </c>
      <c r="BO26" t="n">
        <v>730869693.987</v>
      </c>
      <c r="BP26" t="n">
        <v>746587558.8430001</v>
      </c>
      <c r="BQ26" t="n">
        <v>795771244.375</v>
      </c>
      <c r="BR26" t="n">
        <v>810554563.8710001</v>
      </c>
      <c r="BS26" t="n">
        <v>832096045.591</v>
      </c>
      <c r="BT26" t="n">
        <v>850656571.772</v>
      </c>
    </row>
    <row r="27">
      <c r="A27" t="inlineStr">
        <is>
          <t>MC_new_GE</t>
        </is>
      </c>
      <c r="B27" t="inlineStr">
        <is>
          <t>ok</t>
        </is>
      </c>
      <c r="C27" t="n">
        <v>290249032.995</v>
      </c>
      <c r="D27" t="n">
        <v>302443817.483</v>
      </c>
      <c r="E27" t="n">
        <v>324734997.303</v>
      </c>
      <c r="F27" t="n">
        <v>383388119.475</v>
      </c>
      <c r="G27" t="n">
        <v>377783623.126</v>
      </c>
      <c r="H27" t="n">
        <v>436246606.326</v>
      </c>
      <c r="I27" t="n">
        <v>482253441.128</v>
      </c>
      <c r="J27" t="n">
        <v>487045910.211</v>
      </c>
      <c r="K27" t="n">
        <v>448536343.587</v>
      </c>
      <c r="L27" t="n">
        <v>431268471.688</v>
      </c>
      <c r="M27" t="n">
        <v>521333421.747</v>
      </c>
      <c r="N27" t="n">
        <v>467671368.774</v>
      </c>
      <c r="O27" t="n">
        <v>488622794.598</v>
      </c>
      <c r="P27" t="n">
        <v>522265234.04</v>
      </c>
      <c r="Q27" t="n">
        <v>585055624.887</v>
      </c>
      <c r="R27" t="n">
        <v>587111207.635</v>
      </c>
      <c r="S27" t="n">
        <v>671488494.0829999</v>
      </c>
      <c r="T27" t="n">
        <v>689540053.8559999</v>
      </c>
      <c r="U27" t="n">
        <v>681525084.836</v>
      </c>
      <c r="V27" t="n">
        <v>689861180.559</v>
      </c>
      <c r="W27" t="n">
        <v>740346335.4119999</v>
      </c>
      <c r="X27" t="n">
        <v>725406435.7539999</v>
      </c>
      <c r="Y27" t="n">
        <v>775307549.127</v>
      </c>
      <c r="Z27" t="n">
        <v>855892576.5880001</v>
      </c>
      <c r="AA27" t="n">
        <v>925539850.52</v>
      </c>
      <c r="AB27" t="n">
        <v>960693855.08</v>
      </c>
      <c r="AC27" t="n">
        <v>951028194.4349999</v>
      </c>
      <c r="AD27" t="n">
        <v>999723467.126</v>
      </c>
      <c r="AE27" t="n">
        <v>991335120.775</v>
      </c>
      <c r="AF27" t="n">
        <v>1019613639.699</v>
      </c>
      <c r="AG27" t="n">
        <v>931388649.424</v>
      </c>
      <c r="AH27" t="n">
        <v>954180769.799</v>
      </c>
      <c r="AI27" t="n">
        <v>989137431.043</v>
      </c>
      <c r="AJ27" t="n">
        <v>1130979682.769</v>
      </c>
      <c r="AK27" t="n">
        <v>1166648568.113</v>
      </c>
      <c r="AL27" t="n">
        <v>1195577244.938</v>
      </c>
      <c r="AM27" t="n">
        <v>1306125080.126</v>
      </c>
      <c r="AN27" t="n">
        <v>1250261805.985</v>
      </c>
      <c r="AO27" t="n">
        <v>1402335721.925</v>
      </c>
      <c r="AP27" t="n">
        <v>1461381397.989</v>
      </c>
      <c r="AQ27" t="n">
        <v>1383831225.452</v>
      </c>
      <c r="AR27" t="n">
        <v>1517130737.574</v>
      </c>
      <c r="AS27" t="n">
        <v>1597737990.508</v>
      </c>
      <c r="AT27" t="n">
        <v>1600679325.381</v>
      </c>
      <c r="AU27" t="n">
        <v>1637270756.941</v>
      </c>
      <c r="AV27" t="n">
        <v>1680814614.471</v>
      </c>
      <c r="AW27" t="n">
        <v>1601473336.099</v>
      </c>
      <c r="AX27" t="n">
        <v>1802240594.69</v>
      </c>
      <c r="AY27" t="n">
        <v>1821839034.725</v>
      </c>
      <c r="AZ27" t="n">
        <v>1722601302.737</v>
      </c>
      <c r="BA27" t="n">
        <v>1773571019.033</v>
      </c>
      <c r="BB27" t="n">
        <v>1735099847.513</v>
      </c>
      <c r="BC27" t="n">
        <v>1828519441.821</v>
      </c>
      <c r="BD27" t="n">
        <v>1830590741.773</v>
      </c>
      <c r="BE27" t="n">
        <v>1838629600.662</v>
      </c>
      <c r="BF27" t="n">
        <v>1739425170.436</v>
      </c>
      <c r="BG27" t="n">
        <v>1887565276.177</v>
      </c>
      <c r="BH27" t="n">
        <v>1720675845.757</v>
      </c>
      <c r="BI27" t="n">
        <v>1868262892.968</v>
      </c>
      <c r="BJ27" t="n">
        <v>1747596507.599</v>
      </c>
      <c r="BK27" t="n">
        <v>1867995329.723</v>
      </c>
      <c r="BL27" t="n">
        <v>1987014511.767</v>
      </c>
      <c r="BM27" t="n">
        <v>2285271490.153</v>
      </c>
      <c r="BN27" t="n">
        <v>2357681690.292</v>
      </c>
      <c r="BO27" t="n">
        <v>2260610484.88</v>
      </c>
      <c r="BP27" t="n">
        <v>2335960593.023</v>
      </c>
      <c r="BQ27" t="n">
        <v>2485401644.48</v>
      </c>
      <c r="BR27" t="n">
        <v>2520253893.799</v>
      </c>
      <c r="BS27" t="n">
        <v>2575077168.399</v>
      </c>
      <c r="BT27" t="n">
        <v>2621864346.578</v>
      </c>
    </row>
    <row r="28">
      <c r="A28" t="inlineStr">
        <is>
          <t>MC_new_TE_EEfix</t>
        </is>
      </c>
      <c r="B28" t="inlineStr">
        <is>
          <t>ok</t>
        </is>
      </c>
      <c r="C28" t="n">
        <v>607939560.036</v>
      </c>
      <c r="D28" t="n">
        <v>633788130.423</v>
      </c>
      <c r="E28" t="n">
        <v>686143112.594</v>
      </c>
      <c r="F28" t="n">
        <v>772941178.569</v>
      </c>
      <c r="G28" t="n">
        <v>766706656.528</v>
      </c>
      <c r="H28" t="n">
        <v>888570677.255</v>
      </c>
      <c r="I28" t="n">
        <v>962264999.804</v>
      </c>
      <c r="J28" t="n">
        <v>979137389.406</v>
      </c>
      <c r="K28" t="n">
        <v>910463428.645</v>
      </c>
      <c r="L28" t="n">
        <v>883143674.103</v>
      </c>
      <c r="M28" t="n">
        <v>1053548040.748</v>
      </c>
      <c r="N28" t="n">
        <v>951111227.063</v>
      </c>
      <c r="O28" t="n">
        <v>1015285119.979</v>
      </c>
      <c r="P28" t="n">
        <v>1092985517.776</v>
      </c>
      <c r="Q28" t="n">
        <v>1208411387.759</v>
      </c>
      <c r="R28" t="n">
        <v>1214444953.894</v>
      </c>
      <c r="S28" t="n">
        <v>1400702636.786</v>
      </c>
      <c r="T28" t="n">
        <v>1434361864.186</v>
      </c>
      <c r="U28" t="n">
        <v>1414155806.206</v>
      </c>
      <c r="V28" t="n">
        <v>1438298857.778</v>
      </c>
      <c r="W28" t="n">
        <v>1539432032.335</v>
      </c>
      <c r="X28" t="n">
        <v>1498490993.706</v>
      </c>
      <c r="Y28" t="n">
        <v>1636617402.347</v>
      </c>
      <c r="Z28" t="n">
        <v>1802127755.005</v>
      </c>
      <c r="AA28" t="n">
        <v>1965996174.075</v>
      </c>
      <c r="AB28" t="n">
        <v>2028398303.975</v>
      </c>
      <c r="AC28" t="n">
        <v>1997917688.305</v>
      </c>
      <c r="AD28" t="n">
        <v>2094218481.15</v>
      </c>
      <c r="AE28" t="n">
        <v>2031231053.438</v>
      </c>
      <c r="AF28" t="n">
        <v>2103449558.047</v>
      </c>
      <c r="AG28" t="n">
        <v>1918195187.804</v>
      </c>
      <c r="AH28" t="n">
        <v>1959994910.344</v>
      </c>
      <c r="AI28" t="n">
        <v>2036860103.141</v>
      </c>
      <c r="AJ28" t="n">
        <v>2340445039.033</v>
      </c>
      <c r="AK28" t="n">
        <v>2398703467.089</v>
      </c>
      <c r="AL28" t="n">
        <v>2445079434.673</v>
      </c>
      <c r="AM28" t="n">
        <v>2628998066.418</v>
      </c>
      <c r="AN28" t="n">
        <v>2533390412.5</v>
      </c>
      <c r="AO28" t="n">
        <v>2825045499.347</v>
      </c>
      <c r="AP28" t="n">
        <v>2911870948.832</v>
      </c>
      <c r="AQ28" t="n">
        <v>2748768025.624</v>
      </c>
      <c r="AR28" t="n">
        <v>2996807017.785</v>
      </c>
      <c r="AS28" t="n">
        <v>3155144311.964</v>
      </c>
      <c r="AT28" t="n">
        <v>3171721724.854</v>
      </c>
      <c r="AU28" t="n">
        <v>3248152531.49</v>
      </c>
      <c r="AV28" t="n">
        <v>3318019108.499</v>
      </c>
      <c r="AW28" t="n">
        <v>3168559776.64</v>
      </c>
      <c r="AX28" t="n">
        <v>3557179252.895</v>
      </c>
      <c r="AY28" t="n">
        <v>3605250106.923</v>
      </c>
      <c r="AZ28" t="n">
        <v>3442793673.471</v>
      </c>
      <c r="BA28" t="n">
        <v>3509307501.856</v>
      </c>
      <c r="BB28" t="n">
        <v>3442166009.135</v>
      </c>
      <c r="BC28" t="n">
        <v>3609714126.965</v>
      </c>
      <c r="BD28" t="n">
        <v>3605336000.359</v>
      </c>
      <c r="BE28" t="n">
        <v>3632497891.873</v>
      </c>
      <c r="BF28" t="n">
        <v>3418874434.681</v>
      </c>
      <c r="BG28" t="n">
        <v>3686553436.314</v>
      </c>
      <c r="BH28" t="n">
        <v>3356027319.589</v>
      </c>
      <c r="BI28" t="n">
        <v>3609250522.859</v>
      </c>
      <c r="BJ28" t="n">
        <v>3421103745.729</v>
      </c>
      <c r="BK28" t="n">
        <v>3618834460.615</v>
      </c>
      <c r="BL28" t="n">
        <v>3856350691.748</v>
      </c>
      <c r="BM28" t="n">
        <v>4415646455.25</v>
      </c>
      <c r="BN28" t="n">
        <v>4552743615.59</v>
      </c>
      <c r="BO28" t="n">
        <v>4390546566.91</v>
      </c>
      <c r="BP28" t="n">
        <v>4543020858.203</v>
      </c>
      <c r="BQ28" t="n">
        <v>4802169376.234</v>
      </c>
      <c r="BR28" t="n">
        <v>4835484399.185</v>
      </c>
      <c r="BS28" t="n">
        <v>4984093493.803</v>
      </c>
      <c r="BT28" t="n">
        <v>5060173303.605</v>
      </c>
    </row>
    <row r="30">
      <c r="A30" t="inlineStr">
        <is>
          <t>Catch tonnage on a named group: 197,852,454 of 197,852,454 (100.0 %). Unresolved taxa contribute nothing to the model rows and everything to the simple row, so the two are not directly comparable until coverage is 100 %.</t>
        </is>
      </c>
    </row>
    <row r="31">
      <c r="A31" t="inlineStr">
        <is>
          <t>Coverage by year, %:</t>
        </is>
      </c>
    </row>
    <row r="32">
      <c r="A32" t="inlineStr">
        <is>
          <t>catch on a named group, %</t>
        </is>
      </c>
      <c r="B32" t="inlineStr"/>
      <c r="C32" t="n">
        <v>100</v>
      </c>
      <c r="D32" t="n">
        <v>100</v>
      </c>
      <c r="E32" t="n">
        <v>100</v>
      </c>
      <c r="F32" t="n">
        <v>100</v>
      </c>
      <c r="G32" t="n">
        <v>100</v>
      </c>
      <c r="H32" t="n">
        <v>100</v>
      </c>
      <c r="I32" t="n">
        <v>100</v>
      </c>
      <c r="J32" t="n">
        <v>100</v>
      </c>
      <c r="K32" t="n">
        <v>100</v>
      </c>
      <c r="L32" t="n">
        <v>100</v>
      </c>
      <c r="M32" t="n">
        <v>100</v>
      </c>
      <c r="N32" t="n">
        <v>100</v>
      </c>
      <c r="O32" t="n">
        <v>100</v>
      </c>
      <c r="P32" t="n">
        <v>100</v>
      </c>
      <c r="Q32" t="n">
        <v>100</v>
      </c>
      <c r="R32" t="n">
        <v>100</v>
      </c>
      <c r="S32" t="n">
        <v>100</v>
      </c>
      <c r="T32" t="n">
        <v>100</v>
      </c>
      <c r="U32" t="n">
        <v>100</v>
      </c>
      <c r="V32" t="n">
        <v>100</v>
      </c>
      <c r="W32" t="n">
        <v>100</v>
      </c>
      <c r="X32" t="n">
        <v>100</v>
      </c>
      <c r="Y32" t="n">
        <v>100</v>
      </c>
      <c r="Z32" t="n">
        <v>100</v>
      </c>
      <c r="AA32" t="n">
        <v>100</v>
      </c>
      <c r="AB32" t="n">
        <v>100</v>
      </c>
      <c r="AC32" t="n">
        <v>100</v>
      </c>
      <c r="AD32" t="n">
        <v>100</v>
      </c>
      <c r="AE32" t="n">
        <v>100</v>
      </c>
      <c r="AF32" t="n">
        <v>100</v>
      </c>
      <c r="AG32" t="n">
        <v>100</v>
      </c>
      <c r="AH32" t="n">
        <v>100</v>
      </c>
      <c r="AI32" t="n">
        <v>100</v>
      </c>
      <c r="AJ32" t="n">
        <v>100</v>
      </c>
      <c r="AK32" t="n">
        <v>100</v>
      </c>
      <c r="AL32" t="n">
        <v>100</v>
      </c>
      <c r="AM32" t="n">
        <v>100</v>
      </c>
      <c r="AN32" t="n">
        <v>100</v>
      </c>
      <c r="AO32" t="n">
        <v>100</v>
      </c>
      <c r="AP32" t="n">
        <v>100</v>
      </c>
      <c r="AQ32" t="n">
        <v>100</v>
      </c>
      <c r="AR32" t="n">
        <v>100</v>
      </c>
      <c r="AS32" t="n">
        <v>100</v>
      </c>
      <c r="AT32" t="n">
        <v>100</v>
      </c>
      <c r="AU32" t="n">
        <v>100</v>
      </c>
      <c r="AV32" t="n">
        <v>100</v>
      </c>
      <c r="AW32" t="n">
        <v>100</v>
      </c>
      <c r="AX32" t="n">
        <v>100</v>
      </c>
      <c r="AY32" t="n">
        <v>100</v>
      </c>
      <c r="AZ32" t="n">
        <v>100</v>
      </c>
      <c r="BA32" t="n">
        <v>100</v>
      </c>
      <c r="BB32" t="n">
        <v>100</v>
      </c>
      <c r="BC32" t="n">
        <v>100</v>
      </c>
      <c r="BD32" t="n">
        <v>100</v>
      </c>
      <c r="BE32" t="n">
        <v>100</v>
      </c>
      <c r="BF32" t="n">
        <v>100</v>
      </c>
      <c r="BG32" t="n">
        <v>100</v>
      </c>
      <c r="BH32" t="n">
        <v>100</v>
      </c>
      <c r="BI32" t="n">
        <v>100</v>
      </c>
      <c r="BJ32" t="n">
        <v>100</v>
      </c>
      <c r="BK32" t="n">
        <v>100</v>
      </c>
      <c r="BL32" t="n">
        <v>100</v>
      </c>
      <c r="BM32" t="n">
        <v>100</v>
      </c>
      <c r="BN32" t="n">
        <v>100</v>
      </c>
      <c r="BO32" t="n">
        <v>100</v>
      </c>
      <c r="BP32" t="n">
        <v>100</v>
      </c>
      <c r="BQ32" t="n">
        <v>100</v>
      </c>
      <c r="BR32" t="n">
        <v>100</v>
      </c>
      <c r="BS32" t="n">
        <v>100</v>
      </c>
      <c r="BT32"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437"/>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11" t="n">
        <v>2019</v>
      </c>
      <c r="C4" s="10"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row>
    <row r="7">
      <c r="A7" s="2" t="inlineStr">
        <is>
          <t>ALL TAXA</t>
        </is>
      </c>
      <c r="C7" s="2">
        <f>SUM(C8:C437)</f>
        <v/>
      </c>
      <c r="D7" s="2">
        <f>SUM(D8:D437)</f>
        <v/>
      </c>
      <c r="E7" s="2">
        <f>SUM(E8:E437)</f>
        <v/>
      </c>
      <c r="F7" s="2">
        <f>SUM(F8:F437)</f>
        <v/>
      </c>
      <c r="G7" s="2">
        <f>SUM(G8:G437)</f>
        <v/>
      </c>
      <c r="H7" s="2">
        <f>SUM(H8:H437)</f>
        <v/>
      </c>
      <c r="I7" s="2">
        <f>SUM(I8:I437)</f>
        <v/>
      </c>
      <c r="J7" s="2">
        <f>SUM(J8:J437)</f>
        <v/>
      </c>
      <c r="K7" s="2">
        <f>SUM(K8:K437)</f>
        <v/>
      </c>
      <c r="L7" s="2">
        <f>SUM(L8:L437)</f>
        <v/>
      </c>
      <c r="M7" s="2">
        <f>SUM(M8:M437)</f>
        <v/>
      </c>
      <c r="N7" s="2">
        <f>SUM(N8:N437)</f>
        <v/>
      </c>
      <c r="O7" s="2">
        <f>SUM(O8:O437)</f>
        <v/>
      </c>
      <c r="P7" s="2">
        <f>SUM(P8:P437)</f>
        <v/>
      </c>
      <c r="Q7" s="2">
        <f>SUM(Q8:Q437)</f>
        <v/>
      </c>
      <c r="R7" s="2">
        <f>SUM(R8:R437)</f>
        <v/>
      </c>
      <c r="S7" s="2">
        <f>SUM(S8:S437)</f>
        <v/>
      </c>
      <c r="T7" s="2">
        <f>SUM(T8:T437)</f>
        <v/>
      </c>
      <c r="U7" s="2">
        <f>SUM(U8:U437)</f>
        <v/>
      </c>
      <c r="V7" s="2">
        <f>SUM(V8:V437)</f>
        <v/>
      </c>
      <c r="W7" s="2">
        <f>SUM(W8:W437)</f>
        <v/>
      </c>
    </row>
    <row r="8">
      <c r="A8" t="inlineStr">
        <is>
          <t>Marine fishes not identified</t>
        </is>
      </c>
      <c r="B8">
        <f>IFERROR(INDEX(SPPR!$D:$D,MATCH($A8,SPPR!$A:$A,0)),"")</f>
        <v/>
      </c>
      <c r="C8">
        <f>IFERROR(INDEX(Catch!$E:$BV,MATCH($A8,Catch!$A:$A,0),MATCH($B$4,Catch!$E$1:$BV$1,0)),0)</f>
        <v/>
      </c>
      <c r="D8">
        <f>IFERROR($C8*INDEX(SPPR!$E:$X,MATCH($A8,SPPR!$A:$A,0),1),"")</f>
        <v/>
      </c>
      <c r="E8">
        <f>IFERROR($C8*INDEX(SPPR!$E:$X,MATCH($A8,SPPR!$A:$A,0),2),"")</f>
        <v/>
      </c>
      <c r="F8">
        <f>IFERROR($C8*INDEX(SPPR!$E:$X,MATCH($A8,SPPR!$A:$A,0),3),"")</f>
        <v/>
      </c>
      <c r="G8">
        <f>IFERROR($C8*INDEX(SPPR!$E:$X,MATCH($A8,SPPR!$A:$A,0),4),"")</f>
        <v/>
      </c>
      <c r="H8">
        <f>IFERROR($C8*INDEX(SPPR!$E:$X,MATCH($A8,SPPR!$A:$A,0),5),"")</f>
        <v/>
      </c>
      <c r="I8">
        <f>IFERROR($C8*INDEX(SPPR!$E:$X,MATCH($A8,SPPR!$A:$A,0),6),"")</f>
        <v/>
      </c>
      <c r="J8">
        <f>IFERROR($C8*INDEX(SPPR!$E:$X,MATCH($A8,SPPR!$A:$A,0),7),"")</f>
        <v/>
      </c>
      <c r="K8">
        <f>IFERROR($C8*INDEX(SPPR!$E:$X,MATCH($A8,SPPR!$A:$A,0),8),"")</f>
        <v/>
      </c>
      <c r="L8">
        <f>IFERROR($C8*INDEX(SPPR!$E:$X,MATCH($A8,SPPR!$A:$A,0),9),"")</f>
        <v/>
      </c>
      <c r="M8">
        <f>IFERROR($C8*INDEX(SPPR!$E:$X,MATCH($A8,SPPR!$A:$A,0),10),"")</f>
        <v/>
      </c>
      <c r="N8">
        <f>IFERROR($C8*INDEX(SPPR!$E:$X,MATCH($A8,SPPR!$A:$A,0),11),"")</f>
        <v/>
      </c>
      <c r="O8">
        <f>IFERROR($C8*INDEX(SPPR!$E:$X,MATCH($A8,SPPR!$A:$A,0),12),"")</f>
        <v/>
      </c>
      <c r="P8">
        <f>IFERROR($C8*INDEX(SPPR!$E:$X,MATCH($A8,SPPR!$A:$A,0),13),"")</f>
        <v/>
      </c>
      <c r="Q8">
        <f>IFERROR($C8*INDEX(SPPR!$E:$X,MATCH($A8,SPPR!$A:$A,0),14),"")</f>
        <v/>
      </c>
      <c r="R8">
        <f>IFERROR($C8*INDEX(SPPR!$E:$X,MATCH($A8,SPPR!$A:$A,0),15),"")</f>
        <v/>
      </c>
      <c r="S8">
        <f>IFERROR($C8*INDEX(SPPR!$E:$X,MATCH($A8,SPPR!$A:$A,0),16),"")</f>
        <v/>
      </c>
      <c r="T8">
        <f>IFERROR($C8*INDEX(SPPR!$E:$X,MATCH($A8,SPPR!$A:$A,0),17),"")</f>
        <v/>
      </c>
      <c r="U8">
        <f>IFERROR($C8*INDEX(SPPR!$E:$X,MATCH($A8,SPPR!$A:$A,0),18),"")</f>
        <v/>
      </c>
      <c r="V8">
        <f>IFERROR($C8*INDEX(SPPR!$E:$X,MATCH($A8,SPPR!$A:$A,0),19),"")</f>
        <v/>
      </c>
      <c r="W8">
        <f>IFERROR($C8*INDEX(SPPR!$E:$X,MATCH($A8,SPPR!$A:$A,0),20),"")</f>
        <v/>
      </c>
    </row>
    <row r="9">
      <c r="A9" t="inlineStr">
        <is>
          <t>Sardinella longiceps</t>
        </is>
      </c>
      <c r="B9">
        <f>IFERROR(INDEX(SPPR!$D:$D,MATCH($A9,SPPR!$A:$A,0)),"")</f>
        <v/>
      </c>
      <c r="C9">
        <f>IFERROR(INDEX(Catch!$E:$BV,MATCH($A9,Catch!$A:$A,0),MATCH($B$4,Catch!$E$1:$BV$1,0)),0)</f>
        <v/>
      </c>
      <c r="D9">
        <f>IFERROR($C9*INDEX(SPPR!$E:$X,MATCH($A9,SPPR!$A:$A,0),1),"")</f>
        <v/>
      </c>
      <c r="E9">
        <f>IFERROR($C9*INDEX(SPPR!$E:$X,MATCH($A9,SPPR!$A:$A,0),2),"")</f>
        <v/>
      </c>
      <c r="F9">
        <f>IFERROR($C9*INDEX(SPPR!$E:$X,MATCH($A9,SPPR!$A:$A,0),3),"")</f>
        <v/>
      </c>
      <c r="G9">
        <f>IFERROR($C9*INDEX(SPPR!$E:$X,MATCH($A9,SPPR!$A:$A,0),4),"")</f>
        <v/>
      </c>
      <c r="H9">
        <f>IFERROR($C9*INDEX(SPPR!$E:$X,MATCH($A9,SPPR!$A:$A,0),5),"")</f>
        <v/>
      </c>
      <c r="I9">
        <f>IFERROR($C9*INDEX(SPPR!$E:$X,MATCH($A9,SPPR!$A:$A,0),6),"")</f>
        <v/>
      </c>
      <c r="J9">
        <f>IFERROR($C9*INDEX(SPPR!$E:$X,MATCH($A9,SPPR!$A:$A,0),7),"")</f>
        <v/>
      </c>
      <c r="K9">
        <f>IFERROR($C9*INDEX(SPPR!$E:$X,MATCH($A9,SPPR!$A:$A,0),8),"")</f>
        <v/>
      </c>
      <c r="L9">
        <f>IFERROR($C9*INDEX(SPPR!$E:$X,MATCH($A9,SPPR!$A:$A,0),9),"")</f>
        <v/>
      </c>
      <c r="M9">
        <f>IFERROR($C9*INDEX(SPPR!$E:$X,MATCH($A9,SPPR!$A:$A,0),10),"")</f>
        <v/>
      </c>
      <c r="N9">
        <f>IFERROR($C9*INDEX(SPPR!$E:$X,MATCH($A9,SPPR!$A:$A,0),11),"")</f>
        <v/>
      </c>
      <c r="O9">
        <f>IFERROR($C9*INDEX(SPPR!$E:$X,MATCH($A9,SPPR!$A:$A,0),12),"")</f>
        <v/>
      </c>
      <c r="P9">
        <f>IFERROR($C9*INDEX(SPPR!$E:$X,MATCH($A9,SPPR!$A:$A,0),13),"")</f>
        <v/>
      </c>
      <c r="Q9">
        <f>IFERROR($C9*INDEX(SPPR!$E:$X,MATCH($A9,SPPR!$A:$A,0),14),"")</f>
        <v/>
      </c>
      <c r="R9">
        <f>IFERROR($C9*INDEX(SPPR!$E:$X,MATCH($A9,SPPR!$A:$A,0),15),"")</f>
        <v/>
      </c>
      <c r="S9">
        <f>IFERROR($C9*INDEX(SPPR!$E:$X,MATCH($A9,SPPR!$A:$A,0),16),"")</f>
        <v/>
      </c>
      <c r="T9">
        <f>IFERROR($C9*INDEX(SPPR!$E:$X,MATCH($A9,SPPR!$A:$A,0),17),"")</f>
        <v/>
      </c>
      <c r="U9">
        <f>IFERROR($C9*INDEX(SPPR!$E:$X,MATCH($A9,SPPR!$A:$A,0),18),"")</f>
        <v/>
      </c>
      <c r="V9">
        <f>IFERROR($C9*INDEX(SPPR!$E:$X,MATCH($A9,SPPR!$A:$A,0),19),"")</f>
        <v/>
      </c>
      <c r="W9">
        <f>IFERROR($C9*INDEX(SPPR!$E:$X,MATCH($A9,SPPR!$A:$A,0),20),"")</f>
        <v/>
      </c>
    </row>
    <row r="10">
      <c r="A10" t="inlineStr">
        <is>
          <t>Penaeidae</t>
        </is>
      </c>
      <c r="B10">
        <f>IFERROR(INDEX(SPPR!$D:$D,MATCH($A10,SPPR!$A:$A,0)),"")</f>
        <v/>
      </c>
      <c r="C10">
        <f>IFERROR(INDEX(Catch!$E:$BV,MATCH($A10,Catch!$A:$A,0),MATCH($B$4,Catch!$E$1:$BV$1,0)),0)</f>
        <v/>
      </c>
      <c r="D10">
        <f>IFERROR($C10*INDEX(SPPR!$E:$X,MATCH($A10,SPPR!$A:$A,0),1),"")</f>
        <v/>
      </c>
      <c r="E10">
        <f>IFERROR($C10*INDEX(SPPR!$E:$X,MATCH($A10,SPPR!$A:$A,0),2),"")</f>
        <v/>
      </c>
      <c r="F10">
        <f>IFERROR($C10*INDEX(SPPR!$E:$X,MATCH($A10,SPPR!$A:$A,0),3),"")</f>
        <v/>
      </c>
      <c r="G10">
        <f>IFERROR($C10*INDEX(SPPR!$E:$X,MATCH($A10,SPPR!$A:$A,0),4),"")</f>
        <v/>
      </c>
      <c r="H10">
        <f>IFERROR($C10*INDEX(SPPR!$E:$X,MATCH($A10,SPPR!$A:$A,0),5),"")</f>
        <v/>
      </c>
      <c r="I10">
        <f>IFERROR($C10*INDEX(SPPR!$E:$X,MATCH($A10,SPPR!$A:$A,0),6),"")</f>
        <v/>
      </c>
      <c r="J10">
        <f>IFERROR($C10*INDEX(SPPR!$E:$X,MATCH($A10,SPPR!$A:$A,0),7),"")</f>
        <v/>
      </c>
      <c r="K10">
        <f>IFERROR($C10*INDEX(SPPR!$E:$X,MATCH($A10,SPPR!$A:$A,0),8),"")</f>
        <v/>
      </c>
      <c r="L10">
        <f>IFERROR($C10*INDEX(SPPR!$E:$X,MATCH($A10,SPPR!$A:$A,0),9),"")</f>
        <v/>
      </c>
      <c r="M10">
        <f>IFERROR($C10*INDEX(SPPR!$E:$X,MATCH($A10,SPPR!$A:$A,0),10),"")</f>
        <v/>
      </c>
      <c r="N10">
        <f>IFERROR($C10*INDEX(SPPR!$E:$X,MATCH($A10,SPPR!$A:$A,0),11),"")</f>
        <v/>
      </c>
      <c r="O10">
        <f>IFERROR($C10*INDEX(SPPR!$E:$X,MATCH($A10,SPPR!$A:$A,0),12),"")</f>
        <v/>
      </c>
      <c r="P10">
        <f>IFERROR($C10*INDEX(SPPR!$E:$X,MATCH($A10,SPPR!$A:$A,0),13),"")</f>
        <v/>
      </c>
      <c r="Q10">
        <f>IFERROR($C10*INDEX(SPPR!$E:$X,MATCH($A10,SPPR!$A:$A,0),14),"")</f>
        <v/>
      </c>
      <c r="R10">
        <f>IFERROR($C10*INDEX(SPPR!$E:$X,MATCH($A10,SPPR!$A:$A,0),15),"")</f>
        <v/>
      </c>
      <c r="S10">
        <f>IFERROR($C10*INDEX(SPPR!$E:$X,MATCH($A10,SPPR!$A:$A,0),16),"")</f>
        <v/>
      </c>
      <c r="T10">
        <f>IFERROR($C10*INDEX(SPPR!$E:$X,MATCH($A10,SPPR!$A:$A,0),17),"")</f>
        <v/>
      </c>
      <c r="U10">
        <f>IFERROR($C10*INDEX(SPPR!$E:$X,MATCH($A10,SPPR!$A:$A,0),18),"")</f>
        <v/>
      </c>
      <c r="V10">
        <f>IFERROR($C10*INDEX(SPPR!$E:$X,MATCH($A10,SPPR!$A:$A,0),19),"")</f>
        <v/>
      </c>
      <c r="W10">
        <f>IFERROR($C10*INDEX(SPPR!$E:$X,MATCH($A10,SPPR!$A:$A,0),20),"")</f>
        <v/>
      </c>
    </row>
    <row r="11">
      <c r="A11" t="inlineStr">
        <is>
          <t>Rastrelliger kanagurta</t>
        </is>
      </c>
      <c r="B11">
        <f>IFERROR(INDEX(SPPR!$D:$D,MATCH($A11,SPPR!$A:$A,0)),"")</f>
        <v/>
      </c>
      <c r="C11">
        <f>IFERROR(INDEX(Catch!$E:$BV,MATCH($A11,Catch!$A:$A,0),MATCH($B$4,Catch!$E$1:$BV$1,0)),0)</f>
        <v/>
      </c>
      <c r="D11">
        <f>IFERROR($C11*INDEX(SPPR!$E:$X,MATCH($A11,SPPR!$A:$A,0),1),"")</f>
        <v/>
      </c>
      <c r="E11">
        <f>IFERROR($C11*INDEX(SPPR!$E:$X,MATCH($A11,SPPR!$A:$A,0),2),"")</f>
        <v/>
      </c>
      <c r="F11">
        <f>IFERROR($C11*INDEX(SPPR!$E:$X,MATCH($A11,SPPR!$A:$A,0),3),"")</f>
        <v/>
      </c>
      <c r="G11">
        <f>IFERROR($C11*INDEX(SPPR!$E:$X,MATCH($A11,SPPR!$A:$A,0),4),"")</f>
        <v/>
      </c>
      <c r="H11">
        <f>IFERROR($C11*INDEX(SPPR!$E:$X,MATCH($A11,SPPR!$A:$A,0),5),"")</f>
        <v/>
      </c>
      <c r="I11">
        <f>IFERROR($C11*INDEX(SPPR!$E:$X,MATCH($A11,SPPR!$A:$A,0),6),"")</f>
        <v/>
      </c>
      <c r="J11">
        <f>IFERROR($C11*INDEX(SPPR!$E:$X,MATCH($A11,SPPR!$A:$A,0),7),"")</f>
        <v/>
      </c>
      <c r="K11">
        <f>IFERROR($C11*INDEX(SPPR!$E:$X,MATCH($A11,SPPR!$A:$A,0),8),"")</f>
        <v/>
      </c>
      <c r="L11">
        <f>IFERROR($C11*INDEX(SPPR!$E:$X,MATCH($A11,SPPR!$A:$A,0),9),"")</f>
        <v/>
      </c>
      <c r="M11">
        <f>IFERROR($C11*INDEX(SPPR!$E:$X,MATCH($A11,SPPR!$A:$A,0),10),"")</f>
        <v/>
      </c>
      <c r="N11">
        <f>IFERROR($C11*INDEX(SPPR!$E:$X,MATCH($A11,SPPR!$A:$A,0),11),"")</f>
        <v/>
      </c>
      <c r="O11">
        <f>IFERROR($C11*INDEX(SPPR!$E:$X,MATCH($A11,SPPR!$A:$A,0),12),"")</f>
        <v/>
      </c>
      <c r="P11">
        <f>IFERROR($C11*INDEX(SPPR!$E:$X,MATCH($A11,SPPR!$A:$A,0),13),"")</f>
        <v/>
      </c>
      <c r="Q11">
        <f>IFERROR($C11*INDEX(SPPR!$E:$X,MATCH($A11,SPPR!$A:$A,0),14),"")</f>
        <v/>
      </c>
      <c r="R11">
        <f>IFERROR($C11*INDEX(SPPR!$E:$X,MATCH($A11,SPPR!$A:$A,0),15),"")</f>
        <v/>
      </c>
      <c r="S11">
        <f>IFERROR($C11*INDEX(SPPR!$E:$X,MATCH($A11,SPPR!$A:$A,0),16),"")</f>
        <v/>
      </c>
      <c r="T11">
        <f>IFERROR($C11*INDEX(SPPR!$E:$X,MATCH($A11,SPPR!$A:$A,0),17),"")</f>
        <v/>
      </c>
      <c r="U11">
        <f>IFERROR($C11*INDEX(SPPR!$E:$X,MATCH($A11,SPPR!$A:$A,0),18),"")</f>
        <v/>
      </c>
      <c r="V11">
        <f>IFERROR($C11*INDEX(SPPR!$E:$X,MATCH($A11,SPPR!$A:$A,0),19),"")</f>
        <v/>
      </c>
      <c r="W11">
        <f>IFERROR($C11*INDEX(SPPR!$E:$X,MATCH($A11,SPPR!$A:$A,0),20),"")</f>
        <v/>
      </c>
    </row>
    <row r="12">
      <c r="A12" t="inlineStr">
        <is>
          <t>Sciaenidae</t>
        </is>
      </c>
      <c r="B12">
        <f>IFERROR(INDEX(SPPR!$D:$D,MATCH($A12,SPPR!$A:$A,0)),"")</f>
        <v/>
      </c>
      <c r="C12">
        <f>IFERROR(INDEX(Catch!$E:$BV,MATCH($A12,Catch!$A:$A,0),MATCH($B$4,Catch!$E$1:$BV$1,0)),0)</f>
        <v/>
      </c>
      <c r="D12">
        <f>IFERROR($C12*INDEX(SPPR!$E:$X,MATCH($A12,SPPR!$A:$A,0),1),"")</f>
        <v/>
      </c>
      <c r="E12">
        <f>IFERROR($C12*INDEX(SPPR!$E:$X,MATCH($A12,SPPR!$A:$A,0),2),"")</f>
        <v/>
      </c>
      <c r="F12">
        <f>IFERROR($C12*INDEX(SPPR!$E:$X,MATCH($A12,SPPR!$A:$A,0),3),"")</f>
        <v/>
      </c>
      <c r="G12">
        <f>IFERROR($C12*INDEX(SPPR!$E:$X,MATCH($A12,SPPR!$A:$A,0),4),"")</f>
        <v/>
      </c>
      <c r="H12">
        <f>IFERROR($C12*INDEX(SPPR!$E:$X,MATCH($A12,SPPR!$A:$A,0),5),"")</f>
        <v/>
      </c>
      <c r="I12">
        <f>IFERROR($C12*INDEX(SPPR!$E:$X,MATCH($A12,SPPR!$A:$A,0),6),"")</f>
        <v/>
      </c>
      <c r="J12">
        <f>IFERROR($C12*INDEX(SPPR!$E:$X,MATCH($A12,SPPR!$A:$A,0),7),"")</f>
        <v/>
      </c>
      <c r="K12">
        <f>IFERROR($C12*INDEX(SPPR!$E:$X,MATCH($A12,SPPR!$A:$A,0),8),"")</f>
        <v/>
      </c>
      <c r="L12">
        <f>IFERROR($C12*INDEX(SPPR!$E:$X,MATCH($A12,SPPR!$A:$A,0),9),"")</f>
        <v/>
      </c>
      <c r="M12">
        <f>IFERROR($C12*INDEX(SPPR!$E:$X,MATCH($A12,SPPR!$A:$A,0),10),"")</f>
        <v/>
      </c>
      <c r="N12">
        <f>IFERROR($C12*INDEX(SPPR!$E:$X,MATCH($A12,SPPR!$A:$A,0),11),"")</f>
        <v/>
      </c>
      <c r="O12">
        <f>IFERROR($C12*INDEX(SPPR!$E:$X,MATCH($A12,SPPR!$A:$A,0),12),"")</f>
        <v/>
      </c>
      <c r="P12">
        <f>IFERROR($C12*INDEX(SPPR!$E:$X,MATCH($A12,SPPR!$A:$A,0),13),"")</f>
        <v/>
      </c>
      <c r="Q12">
        <f>IFERROR($C12*INDEX(SPPR!$E:$X,MATCH($A12,SPPR!$A:$A,0),14),"")</f>
        <v/>
      </c>
      <c r="R12">
        <f>IFERROR($C12*INDEX(SPPR!$E:$X,MATCH($A12,SPPR!$A:$A,0),15),"")</f>
        <v/>
      </c>
      <c r="S12">
        <f>IFERROR($C12*INDEX(SPPR!$E:$X,MATCH($A12,SPPR!$A:$A,0),16),"")</f>
        <v/>
      </c>
      <c r="T12">
        <f>IFERROR($C12*INDEX(SPPR!$E:$X,MATCH($A12,SPPR!$A:$A,0),17),"")</f>
        <v/>
      </c>
      <c r="U12">
        <f>IFERROR($C12*INDEX(SPPR!$E:$X,MATCH($A12,SPPR!$A:$A,0),18),"")</f>
        <v/>
      </c>
      <c r="V12">
        <f>IFERROR($C12*INDEX(SPPR!$E:$X,MATCH($A12,SPPR!$A:$A,0),19),"")</f>
        <v/>
      </c>
      <c r="W12">
        <f>IFERROR($C12*INDEX(SPPR!$E:$X,MATCH($A12,SPPR!$A:$A,0),20),"")</f>
        <v/>
      </c>
    </row>
    <row r="13">
      <c r="A13" t="inlineStr">
        <is>
          <t>Decapoda</t>
        </is>
      </c>
      <c r="B13">
        <f>IFERROR(INDEX(SPPR!$D:$D,MATCH($A13,SPPR!$A:$A,0)),"")</f>
        <v/>
      </c>
      <c r="C13">
        <f>IFERROR(INDEX(Catch!$E:$BV,MATCH($A13,Catch!$A:$A,0),MATCH($B$4,Catch!$E$1:$BV$1,0)),0)</f>
        <v/>
      </c>
      <c r="D13">
        <f>IFERROR($C13*INDEX(SPPR!$E:$X,MATCH($A13,SPPR!$A:$A,0),1),"")</f>
        <v/>
      </c>
      <c r="E13">
        <f>IFERROR($C13*INDEX(SPPR!$E:$X,MATCH($A13,SPPR!$A:$A,0),2),"")</f>
        <v/>
      </c>
      <c r="F13">
        <f>IFERROR($C13*INDEX(SPPR!$E:$X,MATCH($A13,SPPR!$A:$A,0),3),"")</f>
        <v/>
      </c>
      <c r="G13">
        <f>IFERROR($C13*INDEX(SPPR!$E:$X,MATCH($A13,SPPR!$A:$A,0),4),"")</f>
        <v/>
      </c>
      <c r="H13">
        <f>IFERROR($C13*INDEX(SPPR!$E:$X,MATCH($A13,SPPR!$A:$A,0),5),"")</f>
        <v/>
      </c>
      <c r="I13">
        <f>IFERROR($C13*INDEX(SPPR!$E:$X,MATCH($A13,SPPR!$A:$A,0),6),"")</f>
        <v/>
      </c>
      <c r="J13">
        <f>IFERROR($C13*INDEX(SPPR!$E:$X,MATCH($A13,SPPR!$A:$A,0),7),"")</f>
        <v/>
      </c>
      <c r="K13">
        <f>IFERROR($C13*INDEX(SPPR!$E:$X,MATCH($A13,SPPR!$A:$A,0),8),"")</f>
        <v/>
      </c>
      <c r="L13">
        <f>IFERROR($C13*INDEX(SPPR!$E:$X,MATCH($A13,SPPR!$A:$A,0),9),"")</f>
        <v/>
      </c>
      <c r="M13">
        <f>IFERROR($C13*INDEX(SPPR!$E:$X,MATCH($A13,SPPR!$A:$A,0),10),"")</f>
        <v/>
      </c>
      <c r="N13">
        <f>IFERROR($C13*INDEX(SPPR!$E:$X,MATCH($A13,SPPR!$A:$A,0),11),"")</f>
        <v/>
      </c>
      <c r="O13">
        <f>IFERROR($C13*INDEX(SPPR!$E:$X,MATCH($A13,SPPR!$A:$A,0),12),"")</f>
        <v/>
      </c>
      <c r="P13">
        <f>IFERROR($C13*INDEX(SPPR!$E:$X,MATCH($A13,SPPR!$A:$A,0),13),"")</f>
        <v/>
      </c>
      <c r="Q13">
        <f>IFERROR($C13*INDEX(SPPR!$E:$X,MATCH($A13,SPPR!$A:$A,0),14),"")</f>
        <v/>
      </c>
      <c r="R13">
        <f>IFERROR($C13*INDEX(SPPR!$E:$X,MATCH($A13,SPPR!$A:$A,0),15),"")</f>
        <v/>
      </c>
      <c r="S13">
        <f>IFERROR($C13*INDEX(SPPR!$E:$X,MATCH($A13,SPPR!$A:$A,0),16),"")</f>
        <v/>
      </c>
      <c r="T13">
        <f>IFERROR($C13*INDEX(SPPR!$E:$X,MATCH($A13,SPPR!$A:$A,0),17),"")</f>
        <v/>
      </c>
      <c r="U13">
        <f>IFERROR($C13*INDEX(SPPR!$E:$X,MATCH($A13,SPPR!$A:$A,0),18),"")</f>
        <v/>
      </c>
      <c r="V13">
        <f>IFERROR($C13*INDEX(SPPR!$E:$X,MATCH($A13,SPPR!$A:$A,0),19),"")</f>
        <v/>
      </c>
      <c r="W13">
        <f>IFERROR($C13*INDEX(SPPR!$E:$X,MATCH($A13,SPPR!$A:$A,0),20),"")</f>
        <v/>
      </c>
    </row>
    <row r="14">
      <c r="A14" t="inlineStr">
        <is>
          <t>Harpadon nehereus</t>
        </is>
      </c>
      <c r="B14">
        <f>IFERROR(INDEX(SPPR!$D:$D,MATCH($A14,SPPR!$A:$A,0)),"")</f>
        <v/>
      </c>
      <c r="C14">
        <f>IFERROR(INDEX(Catch!$E:$BV,MATCH($A14,Catch!$A:$A,0),MATCH($B$4,Catch!$E$1:$BV$1,0)),0)</f>
        <v/>
      </c>
      <c r="D14">
        <f>IFERROR($C14*INDEX(SPPR!$E:$X,MATCH($A14,SPPR!$A:$A,0),1),"")</f>
        <v/>
      </c>
      <c r="E14">
        <f>IFERROR($C14*INDEX(SPPR!$E:$X,MATCH($A14,SPPR!$A:$A,0),2),"")</f>
        <v/>
      </c>
      <c r="F14">
        <f>IFERROR($C14*INDEX(SPPR!$E:$X,MATCH($A14,SPPR!$A:$A,0),3),"")</f>
        <v/>
      </c>
      <c r="G14">
        <f>IFERROR($C14*INDEX(SPPR!$E:$X,MATCH($A14,SPPR!$A:$A,0),4),"")</f>
        <v/>
      </c>
      <c r="H14">
        <f>IFERROR($C14*INDEX(SPPR!$E:$X,MATCH($A14,SPPR!$A:$A,0),5),"")</f>
        <v/>
      </c>
      <c r="I14">
        <f>IFERROR($C14*INDEX(SPPR!$E:$X,MATCH($A14,SPPR!$A:$A,0),6),"")</f>
        <v/>
      </c>
      <c r="J14">
        <f>IFERROR($C14*INDEX(SPPR!$E:$X,MATCH($A14,SPPR!$A:$A,0),7),"")</f>
        <v/>
      </c>
      <c r="K14">
        <f>IFERROR($C14*INDEX(SPPR!$E:$X,MATCH($A14,SPPR!$A:$A,0),8),"")</f>
        <v/>
      </c>
      <c r="L14">
        <f>IFERROR($C14*INDEX(SPPR!$E:$X,MATCH($A14,SPPR!$A:$A,0),9),"")</f>
        <v/>
      </c>
      <c r="M14">
        <f>IFERROR($C14*INDEX(SPPR!$E:$X,MATCH($A14,SPPR!$A:$A,0),10),"")</f>
        <v/>
      </c>
      <c r="N14">
        <f>IFERROR($C14*INDEX(SPPR!$E:$X,MATCH($A14,SPPR!$A:$A,0),11),"")</f>
        <v/>
      </c>
      <c r="O14">
        <f>IFERROR($C14*INDEX(SPPR!$E:$X,MATCH($A14,SPPR!$A:$A,0),12),"")</f>
        <v/>
      </c>
      <c r="P14">
        <f>IFERROR($C14*INDEX(SPPR!$E:$X,MATCH($A14,SPPR!$A:$A,0),13),"")</f>
        <v/>
      </c>
      <c r="Q14">
        <f>IFERROR($C14*INDEX(SPPR!$E:$X,MATCH($A14,SPPR!$A:$A,0),14),"")</f>
        <v/>
      </c>
      <c r="R14">
        <f>IFERROR($C14*INDEX(SPPR!$E:$X,MATCH($A14,SPPR!$A:$A,0),15),"")</f>
        <v/>
      </c>
      <c r="S14">
        <f>IFERROR($C14*INDEX(SPPR!$E:$X,MATCH($A14,SPPR!$A:$A,0),16),"")</f>
        <v/>
      </c>
      <c r="T14">
        <f>IFERROR($C14*INDEX(SPPR!$E:$X,MATCH($A14,SPPR!$A:$A,0),17),"")</f>
        <v/>
      </c>
      <c r="U14">
        <f>IFERROR($C14*INDEX(SPPR!$E:$X,MATCH($A14,SPPR!$A:$A,0),18),"")</f>
        <v/>
      </c>
      <c r="V14">
        <f>IFERROR($C14*INDEX(SPPR!$E:$X,MATCH($A14,SPPR!$A:$A,0),19),"")</f>
        <v/>
      </c>
      <c r="W14">
        <f>IFERROR($C14*INDEX(SPPR!$E:$X,MATCH($A14,SPPR!$A:$A,0),20),"")</f>
        <v/>
      </c>
    </row>
    <row r="15">
      <c r="A15" t="inlineStr">
        <is>
          <t>Clupeiformes</t>
        </is>
      </c>
      <c r="B15">
        <f>IFERROR(INDEX(SPPR!$D:$D,MATCH($A15,SPPR!$A:$A,0)),"")</f>
        <v/>
      </c>
      <c r="C15">
        <f>IFERROR(INDEX(Catch!$E:$BV,MATCH($A15,Catch!$A:$A,0),MATCH($B$4,Catch!$E$1:$BV$1,0)),0)</f>
        <v/>
      </c>
      <c r="D15">
        <f>IFERROR($C15*INDEX(SPPR!$E:$X,MATCH($A15,SPPR!$A:$A,0),1),"")</f>
        <v/>
      </c>
      <c r="E15">
        <f>IFERROR($C15*INDEX(SPPR!$E:$X,MATCH($A15,SPPR!$A:$A,0),2),"")</f>
        <v/>
      </c>
      <c r="F15">
        <f>IFERROR($C15*INDEX(SPPR!$E:$X,MATCH($A15,SPPR!$A:$A,0),3),"")</f>
        <v/>
      </c>
      <c r="G15">
        <f>IFERROR($C15*INDEX(SPPR!$E:$X,MATCH($A15,SPPR!$A:$A,0),4),"")</f>
        <v/>
      </c>
      <c r="H15">
        <f>IFERROR($C15*INDEX(SPPR!$E:$X,MATCH($A15,SPPR!$A:$A,0),5),"")</f>
        <v/>
      </c>
      <c r="I15">
        <f>IFERROR($C15*INDEX(SPPR!$E:$X,MATCH($A15,SPPR!$A:$A,0),6),"")</f>
        <v/>
      </c>
      <c r="J15">
        <f>IFERROR($C15*INDEX(SPPR!$E:$X,MATCH($A15,SPPR!$A:$A,0),7),"")</f>
        <v/>
      </c>
      <c r="K15">
        <f>IFERROR($C15*INDEX(SPPR!$E:$X,MATCH($A15,SPPR!$A:$A,0),8),"")</f>
        <v/>
      </c>
      <c r="L15">
        <f>IFERROR($C15*INDEX(SPPR!$E:$X,MATCH($A15,SPPR!$A:$A,0),9),"")</f>
        <v/>
      </c>
      <c r="M15">
        <f>IFERROR($C15*INDEX(SPPR!$E:$X,MATCH($A15,SPPR!$A:$A,0),10),"")</f>
        <v/>
      </c>
      <c r="N15">
        <f>IFERROR($C15*INDEX(SPPR!$E:$X,MATCH($A15,SPPR!$A:$A,0),11),"")</f>
        <v/>
      </c>
      <c r="O15">
        <f>IFERROR($C15*INDEX(SPPR!$E:$X,MATCH($A15,SPPR!$A:$A,0),12),"")</f>
        <v/>
      </c>
      <c r="P15">
        <f>IFERROR($C15*INDEX(SPPR!$E:$X,MATCH($A15,SPPR!$A:$A,0),13),"")</f>
        <v/>
      </c>
      <c r="Q15">
        <f>IFERROR($C15*INDEX(SPPR!$E:$X,MATCH($A15,SPPR!$A:$A,0),14),"")</f>
        <v/>
      </c>
      <c r="R15">
        <f>IFERROR($C15*INDEX(SPPR!$E:$X,MATCH($A15,SPPR!$A:$A,0),15),"")</f>
        <v/>
      </c>
      <c r="S15">
        <f>IFERROR($C15*INDEX(SPPR!$E:$X,MATCH($A15,SPPR!$A:$A,0),16),"")</f>
        <v/>
      </c>
      <c r="T15">
        <f>IFERROR($C15*INDEX(SPPR!$E:$X,MATCH($A15,SPPR!$A:$A,0),17),"")</f>
        <v/>
      </c>
      <c r="U15">
        <f>IFERROR($C15*INDEX(SPPR!$E:$X,MATCH($A15,SPPR!$A:$A,0),18),"")</f>
        <v/>
      </c>
      <c r="V15">
        <f>IFERROR($C15*INDEX(SPPR!$E:$X,MATCH($A15,SPPR!$A:$A,0),19),"")</f>
        <v/>
      </c>
      <c r="W15">
        <f>IFERROR($C15*INDEX(SPPR!$E:$X,MATCH($A15,SPPR!$A:$A,0),20),"")</f>
        <v/>
      </c>
    </row>
    <row r="16">
      <c r="A16" t="inlineStr">
        <is>
          <t>Nemipteridae</t>
        </is>
      </c>
      <c r="B16">
        <f>IFERROR(INDEX(SPPR!$D:$D,MATCH($A16,SPPR!$A:$A,0)),"")</f>
        <v/>
      </c>
      <c r="C16">
        <f>IFERROR(INDEX(Catch!$E:$BV,MATCH($A16,Catch!$A:$A,0),MATCH($B$4,Catch!$E$1:$BV$1,0)),0)</f>
        <v/>
      </c>
      <c r="D16">
        <f>IFERROR($C16*INDEX(SPPR!$E:$X,MATCH($A16,SPPR!$A:$A,0),1),"")</f>
        <v/>
      </c>
      <c r="E16">
        <f>IFERROR($C16*INDEX(SPPR!$E:$X,MATCH($A16,SPPR!$A:$A,0),2),"")</f>
        <v/>
      </c>
      <c r="F16">
        <f>IFERROR($C16*INDEX(SPPR!$E:$X,MATCH($A16,SPPR!$A:$A,0),3),"")</f>
        <v/>
      </c>
      <c r="G16">
        <f>IFERROR($C16*INDEX(SPPR!$E:$X,MATCH($A16,SPPR!$A:$A,0),4),"")</f>
        <v/>
      </c>
      <c r="H16">
        <f>IFERROR($C16*INDEX(SPPR!$E:$X,MATCH($A16,SPPR!$A:$A,0),5),"")</f>
        <v/>
      </c>
      <c r="I16">
        <f>IFERROR($C16*INDEX(SPPR!$E:$X,MATCH($A16,SPPR!$A:$A,0),6),"")</f>
        <v/>
      </c>
      <c r="J16">
        <f>IFERROR($C16*INDEX(SPPR!$E:$X,MATCH($A16,SPPR!$A:$A,0),7),"")</f>
        <v/>
      </c>
      <c r="K16">
        <f>IFERROR($C16*INDEX(SPPR!$E:$X,MATCH($A16,SPPR!$A:$A,0),8),"")</f>
        <v/>
      </c>
      <c r="L16">
        <f>IFERROR($C16*INDEX(SPPR!$E:$X,MATCH($A16,SPPR!$A:$A,0),9),"")</f>
        <v/>
      </c>
      <c r="M16">
        <f>IFERROR($C16*INDEX(SPPR!$E:$X,MATCH($A16,SPPR!$A:$A,0),10),"")</f>
        <v/>
      </c>
      <c r="N16">
        <f>IFERROR($C16*INDEX(SPPR!$E:$X,MATCH($A16,SPPR!$A:$A,0),11),"")</f>
        <v/>
      </c>
      <c r="O16">
        <f>IFERROR($C16*INDEX(SPPR!$E:$X,MATCH($A16,SPPR!$A:$A,0),12),"")</f>
        <v/>
      </c>
      <c r="P16">
        <f>IFERROR($C16*INDEX(SPPR!$E:$X,MATCH($A16,SPPR!$A:$A,0),13),"")</f>
        <v/>
      </c>
      <c r="Q16">
        <f>IFERROR($C16*INDEX(SPPR!$E:$X,MATCH($A16,SPPR!$A:$A,0),14),"")</f>
        <v/>
      </c>
      <c r="R16">
        <f>IFERROR($C16*INDEX(SPPR!$E:$X,MATCH($A16,SPPR!$A:$A,0),15),"")</f>
        <v/>
      </c>
      <c r="S16">
        <f>IFERROR($C16*INDEX(SPPR!$E:$X,MATCH($A16,SPPR!$A:$A,0),16),"")</f>
        <v/>
      </c>
      <c r="T16">
        <f>IFERROR($C16*INDEX(SPPR!$E:$X,MATCH($A16,SPPR!$A:$A,0),17),"")</f>
        <v/>
      </c>
      <c r="U16">
        <f>IFERROR($C16*INDEX(SPPR!$E:$X,MATCH($A16,SPPR!$A:$A,0),18),"")</f>
        <v/>
      </c>
      <c r="V16">
        <f>IFERROR($C16*INDEX(SPPR!$E:$X,MATCH($A16,SPPR!$A:$A,0),19),"")</f>
        <v/>
      </c>
      <c r="W16">
        <f>IFERROR($C16*INDEX(SPPR!$E:$X,MATCH($A16,SPPR!$A:$A,0),20),"")</f>
        <v/>
      </c>
    </row>
    <row r="17">
      <c r="A17" t="inlineStr">
        <is>
          <t>Clupeidae</t>
        </is>
      </c>
      <c r="B17">
        <f>IFERROR(INDEX(SPPR!$D:$D,MATCH($A17,SPPR!$A:$A,0)),"")</f>
        <v/>
      </c>
      <c r="C17">
        <f>IFERROR(INDEX(Catch!$E:$BV,MATCH($A17,Catch!$A:$A,0),MATCH($B$4,Catch!$E$1:$BV$1,0)),0)</f>
        <v/>
      </c>
      <c r="D17">
        <f>IFERROR($C17*INDEX(SPPR!$E:$X,MATCH($A17,SPPR!$A:$A,0),1),"")</f>
        <v/>
      </c>
      <c r="E17">
        <f>IFERROR($C17*INDEX(SPPR!$E:$X,MATCH($A17,SPPR!$A:$A,0),2),"")</f>
        <v/>
      </c>
      <c r="F17">
        <f>IFERROR($C17*INDEX(SPPR!$E:$X,MATCH($A17,SPPR!$A:$A,0),3),"")</f>
        <v/>
      </c>
      <c r="G17">
        <f>IFERROR($C17*INDEX(SPPR!$E:$X,MATCH($A17,SPPR!$A:$A,0),4),"")</f>
        <v/>
      </c>
      <c r="H17">
        <f>IFERROR($C17*INDEX(SPPR!$E:$X,MATCH($A17,SPPR!$A:$A,0),5),"")</f>
        <v/>
      </c>
      <c r="I17">
        <f>IFERROR($C17*INDEX(SPPR!$E:$X,MATCH($A17,SPPR!$A:$A,0),6),"")</f>
        <v/>
      </c>
      <c r="J17">
        <f>IFERROR($C17*INDEX(SPPR!$E:$X,MATCH($A17,SPPR!$A:$A,0),7),"")</f>
        <v/>
      </c>
      <c r="K17">
        <f>IFERROR($C17*INDEX(SPPR!$E:$X,MATCH($A17,SPPR!$A:$A,0),8),"")</f>
        <v/>
      </c>
      <c r="L17">
        <f>IFERROR($C17*INDEX(SPPR!$E:$X,MATCH($A17,SPPR!$A:$A,0),9),"")</f>
        <v/>
      </c>
      <c r="M17">
        <f>IFERROR($C17*INDEX(SPPR!$E:$X,MATCH($A17,SPPR!$A:$A,0),10),"")</f>
        <v/>
      </c>
      <c r="N17">
        <f>IFERROR($C17*INDEX(SPPR!$E:$X,MATCH($A17,SPPR!$A:$A,0),11),"")</f>
        <v/>
      </c>
      <c r="O17">
        <f>IFERROR($C17*INDEX(SPPR!$E:$X,MATCH($A17,SPPR!$A:$A,0),12),"")</f>
        <v/>
      </c>
      <c r="P17">
        <f>IFERROR($C17*INDEX(SPPR!$E:$X,MATCH($A17,SPPR!$A:$A,0),13),"")</f>
        <v/>
      </c>
      <c r="Q17">
        <f>IFERROR($C17*INDEX(SPPR!$E:$X,MATCH($A17,SPPR!$A:$A,0),14),"")</f>
        <v/>
      </c>
      <c r="R17">
        <f>IFERROR($C17*INDEX(SPPR!$E:$X,MATCH($A17,SPPR!$A:$A,0),15),"")</f>
        <v/>
      </c>
      <c r="S17">
        <f>IFERROR($C17*INDEX(SPPR!$E:$X,MATCH($A17,SPPR!$A:$A,0),16),"")</f>
        <v/>
      </c>
      <c r="T17">
        <f>IFERROR($C17*INDEX(SPPR!$E:$X,MATCH($A17,SPPR!$A:$A,0),17),"")</f>
        <v/>
      </c>
      <c r="U17">
        <f>IFERROR($C17*INDEX(SPPR!$E:$X,MATCH($A17,SPPR!$A:$A,0),18),"")</f>
        <v/>
      </c>
      <c r="V17">
        <f>IFERROR($C17*INDEX(SPPR!$E:$X,MATCH($A17,SPPR!$A:$A,0),19),"")</f>
        <v/>
      </c>
      <c r="W17">
        <f>IFERROR($C17*INDEX(SPPR!$E:$X,MATCH($A17,SPPR!$A:$A,0),20),"")</f>
        <v/>
      </c>
    </row>
    <row r="18">
      <c r="A18" t="inlineStr">
        <is>
          <t>Bivalvia</t>
        </is>
      </c>
      <c r="B18">
        <f>IFERROR(INDEX(SPPR!$D:$D,MATCH($A18,SPPR!$A:$A,0)),"")</f>
        <v/>
      </c>
      <c r="C18">
        <f>IFERROR(INDEX(Catch!$E:$BV,MATCH($A18,Catch!$A:$A,0),MATCH($B$4,Catch!$E$1:$BV$1,0)),0)</f>
        <v/>
      </c>
      <c r="D18">
        <f>IFERROR($C18*INDEX(SPPR!$E:$X,MATCH($A18,SPPR!$A:$A,0),1),"")</f>
        <v/>
      </c>
      <c r="E18">
        <f>IFERROR($C18*INDEX(SPPR!$E:$X,MATCH($A18,SPPR!$A:$A,0),2),"")</f>
        <v/>
      </c>
      <c r="F18">
        <f>IFERROR($C18*INDEX(SPPR!$E:$X,MATCH($A18,SPPR!$A:$A,0),3),"")</f>
        <v/>
      </c>
      <c r="G18">
        <f>IFERROR($C18*INDEX(SPPR!$E:$X,MATCH($A18,SPPR!$A:$A,0),4),"")</f>
        <v/>
      </c>
      <c r="H18">
        <f>IFERROR($C18*INDEX(SPPR!$E:$X,MATCH($A18,SPPR!$A:$A,0),5),"")</f>
        <v/>
      </c>
      <c r="I18">
        <f>IFERROR($C18*INDEX(SPPR!$E:$X,MATCH($A18,SPPR!$A:$A,0),6),"")</f>
        <v/>
      </c>
      <c r="J18">
        <f>IFERROR($C18*INDEX(SPPR!$E:$X,MATCH($A18,SPPR!$A:$A,0),7),"")</f>
        <v/>
      </c>
      <c r="K18">
        <f>IFERROR($C18*INDEX(SPPR!$E:$X,MATCH($A18,SPPR!$A:$A,0),8),"")</f>
        <v/>
      </c>
      <c r="L18">
        <f>IFERROR($C18*INDEX(SPPR!$E:$X,MATCH($A18,SPPR!$A:$A,0),9),"")</f>
        <v/>
      </c>
      <c r="M18">
        <f>IFERROR($C18*INDEX(SPPR!$E:$X,MATCH($A18,SPPR!$A:$A,0),10),"")</f>
        <v/>
      </c>
      <c r="N18">
        <f>IFERROR($C18*INDEX(SPPR!$E:$X,MATCH($A18,SPPR!$A:$A,0),11),"")</f>
        <v/>
      </c>
      <c r="O18">
        <f>IFERROR($C18*INDEX(SPPR!$E:$X,MATCH($A18,SPPR!$A:$A,0),12),"")</f>
        <v/>
      </c>
      <c r="P18">
        <f>IFERROR($C18*INDEX(SPPR!$E:$X,MATCH($A18,SPPR!$A:$A,0),13),"")</f>
        <v/>
      </c>
      <c r="Q18">
        <f>IFERROR($C18*INDEX(SPPR!$E:$X,MATCH($A18,SPPR!$A:$A,0),14),"")</f>
        <v/>
      </c>
      <c r="R18">
        <f>IFERROR($C18*INDEX(SPPR!$E:$X,MATCH($A18,SPPR!$A:$A,0),15),"")</f>
        <v/>
      </c>
      <c r="S18">
        <f>IFERROR($C18*INDEX(SPPR!$E:$X,MATCH($A18,SPPR!$A:$A,0),16),"")</f>
        <v/>
      </c>
      <c r="T18">
        <f>IFERROR($C18*INDEX(SPPR!$E:$X,MATCH($A18,SPPR!$A:$A,0),17),"")</f>
        <v/>
      </c>
      <c r="U18">
        <f>IFERROR($C18*INDEX(SPPR!$E:$X,MATCH($A18,SPPR!$A:$A,0),18),"")</f>
        <v/>
      </c>
      <c r="V18">
        <f>IFERROR($C18*INDEX(SPPR!$E:$X,MATCH($A18,SPPR!$A:$A,0),19),"")</f>
        <v/>
      </c>
      <c r="W18">
        <f>IFERROR($C18*INDEX(SPPR!$E:$X,MATCH($A18,SPPR!$A:$A,0),20),"")</f>
        <v/>
      </c>
    </row>
    <row r="19">
      <c r="A19" t="inlineStr">
        <is>
          <t>Carangidae</t>
        </is>
      </c>
      <c r="B19">
        <f>IFERROR(INDEX(SPPR!$D:$D,MATCH($A19,SPPR!$A:$A,0)),"")</f>
        <v/>
      </c>
      <c r="C19">
        <f>IFERROR(INDEX(Catch!$E:$BV,MATCH($A19,Catch!$A:$A,0),MATCH($B$4,Catch!$E$1:$BV$1,0)),0)</f>
        <v/>
      </c>
      <c r="D19">
        <f>IFERROR($C19*INDEX(SPPR!$E:$X,MATCH($A19,SPPR!$A:$A,0),1),"")</f>
        <v/>
      </c>
      <c r="E19">
        <f>IFERROR($C19*INDEX(SPPR!$E:$X,MATCH($A19,SPPR!$A:$A,0),2),"")</f>
        <v/>
      </c>
      <c r="F19">
        <f>IFERROR($C19*INDEX(SPPR!$E:$X,MATCH($A19,SPPR!$A:$A,0),3),"")</f>
        <v/>
      </c>
      <c r="G19">
        <f>IFERROR($C19*INDEX(SPPR!$E:$X,MATCH($A19,SPPR!$A:$A,0),4),"")</f>
        <v/>
      </c>
      <c r="H19">
        <f>IFERROR($C19*INDEX(SPPR!$E:$X,MATCH($A19,SPPR!$A:$A,0),5),"")</f>
        <v/>
      </c>
      <c r="I19">
        <f>IFERROR($C19*INDEX(SPPR!$E:$X,MATCH($A19,SPPR!$A:$A,0),6),"")</f>
        <v/>
      </c>
      <c r="J19">
        <f>IFERROR($C19*INDEX(SPPR!$E:$X,MATCH($A19,SPPR!$A:$A,0),7),"")</f>
        <v/>
      </c>
      <c r="K19">
        <f>IFERROR($C19*INDEX(SPPR!$E:$X,MATCH($A19,SPPR!$A:$A,0),8),"")</f>
        <v/>
      </c>
      <c r="L19">
        <f>IFERROR($C19*INDEX(SPPR!$E:$X,MATCH($A19,SPPR!$A:$A,0),9),"")</f>
        <v/>
      </c>
      <c r="M19">
        <f>IFERROR($C19*INDEX(SPPR!$E:$X,MATCH($A19,SPPR!$A:$A,0),10),"")</f>
        <v/>
      </c>
      <c r="N19">
        <f>IFERROR($C19*INDEX(SPPR!$E:$X,MATCH($A19,SPPR!$A:$A,0),11),"")</f>
        <v/>
      </c>
      <c r="O19">
        <f>IFERROR($C19*INDEX(SPPR!$E:$X,MATCH($A19,SPPR!$A:$A,0),12),"")</f>
        <v/>
      </c>
      <c r="P19">
        <f>IFERROR($C19*INDEX(SPPR!$E:$X,MATCH($A19,SPPR!$A:$A,0),13),"")</f>
        <v/>
      </c>
      <c r="Q19">
        <f>IFERROR($C19*INDEX(SPPR!$E:$X,MATCH($A19,SPPR!$A:$A,0),14),"")</f>
        <v/>
      </c>
      <c r="R19">
        <f>IFERROR($C19*INDEX(SPPR!$E:$X,MATCH($A19,SPPR!$A:$A,0),15),"")</f>
        <v/>
      </c>
      <c r="S19">
        <f>IFERROR($C19*INDEX(SPPR!$E:$X,MATCH($A19,SPPR!$A:$A,0),16),"")</f>
        <v/>
      </c>
      <c r="T19">
        <f>IFERROR($C19*INDEX(SPPR!$E:$X,MATCH($A19,SPPR!$A:$A,0),17),"")</f>
        <v/>
      </c>
      <c r="U19">
        <f>IFERROR($C19*INDEX(SPPR!$E:$X,MATCH($A19,SPPR!$A:$A,0),18),"")</f>
        <v/>
      </c>
      <c r="V19">
        <f>IFERROR($C19*INDEX(SPPR!$E:$X,MATCH($A19,SPPR!$A:$A,0),19),"")</f>
        <v/>
      </c>
      <c r="W19">
        <f>IFERROR($C19*INDEX(SPPR!$E:$X,MATCH($A19,SPPR!$A:$A,0),20),"")</f>
        <v/>
      </c>
    </row>
    <row r="20">
      <c r="A20" t="inlineStr">
        <is>
          <t>Scomberomorus commerson</t>
        </is>
      </c>
      <c r="B20">
        <f>IFERROR(INDEX(SPPR!$D:$D,MATCH($A20,SPPR!$A:$A,0)),"")</f>
        <v/>
      </c>
      <c r="C20">
        <f>IFERROR(INDEX(Catch!$E:$BV,MATCH($A20,Catch!$A:$A,0),MATCH($B$4,Catch!$E$1:$BV$1,0)),0)</f>
        <v/>
      </c>
      <c r="D20">
        <f>IFERROR($C20*INDEX(SPPR!$E:$X,MATCH($A20,SPPR!$A:$A,0),1),"")</f>
        <v/>
      </c>
      <c r="E20">
        <f>IFERROR($C20*INDEX(SPPR!$E:$X,MATCH($A20,SPPR!$A:$A,0),2),"")</f>
        <v/>
      </c>
      <c r="F20">
        <f>IFERROR($C20*INDEX(SPPR!$E:$X,MATCH($A20,SPPR!$A:$A,0),3),"")</f>
        <v/>
      </c>
      <c r="G20">
        <f>IFERROR($C20*INDEX(SPPR!$E:$X,MATCH($A20,SPPR!$A:$A,0),4),"")</f>
        <v/>
      </c>
      <c r="H20">
        <f>IFERROR($C20*INDEX(SPPR!$E:$X,MATCH($A20,SPPR!$A:$A,0),5),"")</f>
        <v/>
      </c>
      <c r="I20">
        <f>IFERROR($C20*INDEX(SPPR!$E:$X,MATCH($A20,SPPR!$A:$A,0),6),"")</f>
        <v/>
      </c>
      <c r="J20">
        <f>IFERROR($C20*INDEX(SPPR!$E:$X,MATCH($A20,SPPR!$A:$A,0),7),"")</f>
        <v/>
      </c>
      <c r="K20">
        <f>IFERROR($C20*INDEX(SPPR!$E:$X,MATCH($A20,SPPR!$A:$A,0),8),"")</f>
        <v/>
      </c>
      <c r="L20">
        <f>IFERROR($C20*INDEX(SPPR!$E:$X,MATCH($A20,SPPR!$A:$A,0),9),"")</f>
        <v/>
      </c>
      <c r="M20">
        <f>IFERROR($C20*INDEX(SPPR!$E:$X,MATCH($A20,SPPR!$A:$A,0),10),"")</f>
        <v/>
      </c>
      <c r="N20">
        <f>IFERROR($C20*INDEX(SPPR!$E:$X,MATCH($A20,SPPR!$A:$A,0),11),"")</f>
        <v/>
      </c>
      <c r="O20">
        <f>IFERROR($C20*INDEX(SPPR!$E:$X,MATCH($A20,SPPR!$A:$A,0),12),"")</f>
        <v/>
      </c>
      <c r="P20">
        <f>IFERROR($C20*INDEX(SPPR!$E:$X,MATCH($A20,SPPR!$A:$A,0),13),"")</f>
        <v/>
      </c>
      <c r="Q20">
        <f>IFERROR($C20*INDEX(SPPR!$E:$X,MATCH($A20,SPPR!$A:$A,0),14),"")</f>
        <v/>
      </c>
      <c r="R20">
        <f>IFERROR($C20*INDEX(SPPR!$E:$X,MATCH($A20,SPPR!$A:$A,0),15),"")</f>
        <v/>
      </c>
      <c r="S20">
        <f>IFERROR($C20*INDEX(SPPR!$E:$X,MATCH($A20,SPPR!$A:$A,0),16),"")</f>
        <v/>
      </c>
      <c r="T20">
        <f>IFERROR($C20*INDEX(SPPR!$E:$X,MATCH($A20,SPPR!$A:$A,0),17),"")</f>
        <v/>
      </c>
      <c r="U20">
        <f>IFERROR($C20*INDEX(SPPR!$E:$X,MATCH($A20,SPPR!$A:$A,0),18),"")</f>
        <v/>
      </c>
      <c r="V20">
        <f>IFERROR($C20*INDEX(SPPR!$E:$X,MATCH($A20,SPPR!$A:$A,0),19),"")</f>
        <v/>
      </c>
      <c r="W20">
        <f>IFERROR($C20*INDEX(SPPR!$E:$X,MATCH($A20,SPPR!$A:$A,0),20),"")</f>
        <v/>
      </c>
    </row>
    <row r="21">
      <c r="A21" t="inlineStr">
        <is>
          <t>Thunnus albacares</t>
        </is>
      </c>
      <c r="B21">
        <f>IFERROR(INDEX(SPPR!$D:$D,MATCH($A21,SPPR!$A:$A,0)),"")</f>
        <v/>
      </c>
      <c r="C21">
        <f>IFERROR(INDEX(Catch!$E:$BV,MATCH($A21,Catch!$A:$A,0),MATCH($B$4,Catch!$E$1:$BV$1,0)),0)</f>
        <v/>
      </c>
      <c r="D21">
        <f>IFERROR($C21*INDEX(SPPR!$E:$X,MATCH($A21,SPPR!$A:$A,0),1),"")</f>
        <v/>
      </c>
      <c r="E21">
        <f>IFERROR($C21*INDEX(SPPR!$E:$X,MATCH($A21,SPPR!$A:$A,0),2),"")</f>
        <v/>
      </c>
      <c r="F21">
        <f>IFERROR($C21*INDEX(SPPR!$E:$X,MATCH($A21,SPPR!$A:$A,0),3),"")</f>
        <v/>
      </c>
      <c r="G21">
        <f>IFERROR($C21*INDEX(SPPR!$E:$X,MATCH($A21,SPPR!$A:$A,0),4),"")</f>
        <v/>
      </c>
      <c r="H21">
        <f>IFERROR($C21*INDEX(SPPR!$E:$X,MATCH($A21,SPPR!$A:$A,0),5),"")</f>
        <v/>
      </c>
      <c r="I21">
        <f>IFERROR($C21*INDEX(SPPR!$E:$X,MATCH($A21,SPPR!$A:$A,0),6),"")</f>
        <v/>
      </c>
      <c r="J21">
        <f>IFERROR($C21*INDEX(SPPR!$E:$X,MATCH($A21,SPPR!$A:$A,0),7),"")</f>
        <v/>
      </c>
      <c r="K21">
        <f>IFERROR($C21*INDEX(SPPR!$E:$X,MATCH($A21,SPPR!$A:$A,0),8),"")</f>
        <v/>
      </c>
      <c r="L21">
        <f>IFERROR($C21*INDEX(SPPR!$E:$X,MATCH($A21,SPPR!$A:$A,0),9),"")</f>
        <v/>
      </c>
      <c r="M21">
        <f>IFERROR($C21*INDEX(SPPR!$E:$X,MATCH($A21,SPPR!$A:$A,0),10),"")</f>
        <v/>
      </c>
      <c r="N21">
        <f>IFERROR($C21*INDEX(SPPR!$E:$X,MATCH($A21,SPPR!$A:$A,0),11),"")</f>
        <v/>
      </c>
      <c r="O21">
        <f>IFERROR($C21*INDEX(SPPR!$E:$X,MATCH($A21,SPPR!$A:$A,0),12),"")</f>
        <v/>
      </c>
      <c r="P21">
        <f>IFERROR($C21*INDEX(SPPR!$E:$X,MATCH($A21,SPPR!$A:$A,0),13),"")</f>
        <v/>
      </c>
      <c r="Q21">
        <f>IFERROR($C21*INDEX(SPPR!$E:$X,MATCH($A21,SPPR!$A:$A,0),14),"")</f>
        <v/>
      </c>
      <c r="R21">
        <f>IFERROR($C21*INDEX(SPPR!$E:$X,MATCH($A21,SPPR!$A:$A,0),15),"")</f>
        <v/>
      </c>
      <c r="S21">
        <f>IFERROR($C21*INDEX(SPPR!$E:$X,MATCH($A21,SPPR!$A:$A,0),16),"")</f>
        <v/>
      </c>
      <c r="T21">
        <f>IFERROR($C21*INDEX(SPPR!$E:$X,MATCH($A21,SPPR!$A:$A,0),17),"")</f>
        <v/>
      </c>
      <c r="U21">
        <f>IFERROR($C21*INDEX(SPPR!$E:$X,MATCH($A21,SPPR!$A:$A,0),18),"")</f>
        <v/>
      </c>
      <c r="V21">
        <f>IFERROR($C21*INDEX(SPPR!$E:$X,MATCH($A21,SPPR!$A:$A,0),19),"")</f>
        <v/>
      </c>
      <c r="W21">
        <f>IFERROR($C21*INDEX(SPPR!$E:$X,MATCH($A21,SPPR!$A:$A,0),20),"")</f>
        <v/>
      </c>
    </row>
    <row r="22">
      <c r="A22" t="inlineStr">
        <is>
          <t>Carcharhinidae</t>
        </is>
      </c>
      <c r="B22">
        <f>IFERROR(INDEX(SPPR!$D:$D,MATCH($A22,SPPR!$A:$A,0)),"")</f>
        <v/>
      </c>
      <c r="C22">
        <f>IFERROR(INDEX(Catch!$E:$BV,MATCH($A22,Catch!$A:$A,0),MATCH($B$4,Catch!$E$1:$BV$1,0)),0)</f>
        <v/>
      </c>
      <c r="D22">
        <f>IFERROR($C22*INDEX(SPPR!$E:$X,MATCH($A22,SPPR!$A:$A,0),1),"")</f>
        <v/>
      </c>
      <c r="E22">
        <f>IFERROR($C22*INDEX(SPPR!$E:$X,MATCH($A22,SPPR!$A:$A,0),2),"")</f>
        <v/>
      </c>
      <c r="F22">
        <f>IFERROR($C22*INDEX(SPPR!$E:$X,MATCH($A22,SPPR!$A:$A,0),3),"")</f>
        <v/>
      </c>
      <c r="G22">
        <f>IFERROR($C22*INDEX(SPPR!$E:$X,MATCH($A22,SPPR!$A:$A,0),4),"")</f>
        <v/>
      </c>
      <c r="H22">
        <f>IFERROR($C22*INDEX(SPPR!$E:$X,MATCH($A22,SPPR!$A:$A,0),5),"")</f>
        <v/>
      </c>
      <c r="I22">
        <f>IFERROR($C22*INDEX(SPPR!$E:$X,MATCH($A22,SPPR!$A:$A,0),6),"")</f>
        <v/>
      </c>
      <c r="J22">
        <f>IFERROR($C22*INDEX(SPPR!$E:$X,MATCH($A22,SPPR!$A:$A,0),7),"")</f>
        <v/>
      </c>
      <c r="K22">
        <f>IFERROR($C22*INDEX(SPPR!$E:$X,MATCH($A22,SPPR!$A:$A,0),8),"")</f>
        <v/>
      </c>
      <c r="L22">
        <f>IFERROR($C22*INDEX(SPPR!$E:$X,MATCH($A22,SPPR!$A:$A,0),9),"")</f>
        <v/>
      </c>
      <c r="M22">
        <f>IFERROR($C22*INDEX(SPPR!$E:$X,MATCH($A22,SPPR!$A:$A,0),10),"")</f>
        <v/>
      </c>
      <c r="N22">
        <f>IFERROR($C22*INDEX(SPPR!$E:$X,MATCH($A22,SPPR!$A:$A,0),11),"")</f>
        <v/>
      </c>
      <c r="O22">
        <f>IFERROR($C22*INDEX(SPPR!$E:$X,MATCH($A22,SPPR!$A:$A,0),12),"")</f>
        <v/>
      </c>
      <c r="P22">
        <f>IFERROR($C22*INDEX(SPPR!$E:$X,MATCH($A22,SPPR!$A:$A,0),13),"")</f>
        <v/>
      </c>
      <c r="Q22">
        <f>IFERROR($C22*INDEX(SPPR!$E:$X,MATCH($A22,SPPR!$A:$A,0),14),"")</f>
        <v/>
      </c>
      <c r="R22">
        <f>IFERROR($C22*INDEX(SPPR!$E:$X,MATCH($A22,SPPR!$A:$A,0),15),"")</f>
        <v/>
      </c>
      <c r="S22">
        <f>IFERROR($C22*INDEX(SPPR!$E:$X,MATCH($A22,SPPR!$A:$A,0),16),"")</f>
        <v/>
      </c>
      <c r="T22">
        <f>IFERROR($C22*INDEX(SPPR!$E:$X,MATCH($A22,SPPR!$A:$A,0),17),"")</f>
        <v/>
      </c>
      <c r="U22">
        <f>IFERROR($C22*INDEX(SPPR!$E:$X,MATCH($A22,SPPR!$A:$A,0),18),"")</f>
        <v/>
      </c>
      <c r="V22">
        <f>IFERROR($C22*INDEX(SPPR!$E:$X,MATCH($A22,SPPR!$A:$A,0),19),"")</f>
        <v/>
      </c>
      <c r="W22">
        <f>IFERROR($C22*INDEX(SPPR!$E:$X,MATCH($A22,SPPR!$A:$A,0),20),"")</f>
        <v/>
      </c>
    </row>
    <row r="23">
      <c r="A23" t="inlineStr">
        <is>
          <t>Ariidae</t>
        </is>
      </c>
      <c r="B23">
        <f>IFERROR(INDEX(SPPR!$D:$D,MATCH($A23,SPPR!$A:$A,0)),"")</f>
        <v/>
      </c>
      <c r="C23">
        <f>IFERROR(INDEX(Catch!$E:$BV,MATCH($A23,Catch!$A:$A,0),MATCH($B$4,Catch!$E$1:$BV$1,0)),0)</f>
        <v/>
      </c>
      <c r="D23">
        <f>IFERROR($C23*INDEX(SPPR!$E:$X,MATCH($A23,SPPR!$A:$A,0),1),"")</f>
        <v/>
      </c>
      <c r="E23">
        <f>IFERROR($C23*INDEX(SPPR!$E:$X,MATCH($A23,SPPR!$A:$A,0),2),"")</f>
        <v/>
      </c>
      <c r="F23">
        <f>IFERROR($C23*INDEX(SPPR!$E:$X,MATCH($A23,SPPR!$A:$A,0),3),"")</f>
        <v/>
      </c>
      <c r="G23">
        <f>IFERROR($C23*INDEX(SPPR!$E:$X,MATCH($A23,SPPR!$A:$A,0),4),"")</f>
        <v/>
      </c>
      <c r="H23">
        <f>IFERROR($C23*INDEX(SPPR!$E:$X,MATCH($A23,SPPR!$A:$A,0),5),"")</f>
        <v/>
      </c>
      <c r="I23">
        <f>IFERROR($C23*INDEX(SPPR!$E:$X,MATCH($A23,SPPR!$A:$A,0),6),"")</f>
        <v/>
      </c>
      <c r="J23">
        <f>IFERROR($C23*INDEX(SPPR!$E:$X,MATCH($A23,SPPR!$A:$A,0),7),"")</f>
        <v/>
      </c>
      <c r="K23">
        <f>IFERROR($C23*INDEX(SPPR!$E:$X,MATCH($A23,SPPR!$A:$A,0),8),"")</f>
        <v/>
      </c>
      <c r="L23">
        <f>IFERROR($C23*INDEX(SPPR!$E:$X,MATCH($A23,SPPR!$A:$A,0),9),"")</f>
        <v/>
      </c>
      <c r="M23">
        <f>IFERROR($C23*INDEX(SPPR!$E:$X,MATCH($A23,SPPR!$A:$A,0),10),"")</f>
        <v/>
      </c>
      <c r="N23">
        <f>IFERROR($C23*INDEX(SPPR!$E:$X,MATCH($A23,SPPR!$A:$A,0),11),"")</f>
        <v/>
      </c>
      <c r="O23">
        <f>IFERROR($C23*INDEX(SPPR!$E:$X,MATCH($A23,SPPR!$A:$A,0),12),"")</f>
        <v/>
      </c>
      <c r="P23">
        <f>IFERROR($C23*INDEX(SPPR!$E:$X,MATCH($A23,SPPR!$A:$A,0),13),"")</f>
        <v/>
      </c>
      <c r="Q23">
        <f>IFERROR($C23*INDEX(SPPR!$E:$X,MATCH($A23,SPPR!$A:$A,0),14),"")</f>
        <v/>
      </c>
      <c r="R23">
        <f>IFERROR($C23*INDEX(SPPR!$E:$X,MATCH($A23,SPPR!$A:$A,0),15),"")</f>
        <v/>
      </c>
      <c r="S23">
        <f>IFERROR($C23*INDEX(SPPR!$E:$X,MATCH($A23,SPPR!$A:$A,0),16),"")</f>
        <v/>
      </c>
      <c r="T23">
        <f>IFERROR($C23*INDEX(SPPR!$E:$X,MATCH($A23,SPPR!$A:$A,0),17),"")</f>
        <v/>
      </c>
      <c r="U23">
        <f>IFERROR($C23*INDEX(SPPR!$E:$X,MATCH($A23,SPPR!$A:$A,0),18),"")</f>
        <v/>
      </c>
      <c r="V23">
        <f>IFERROR($C23*INDEX(SPPR!$E:$X,MATCH($A23,SPPR!$A:$A,0),19),"")</f>
        <v/>
      </c>
      <c r="W23">
        <f>IFERROR($C23*INDEX(SPPR!$E:$X,MATCH($A23,SPPR!$A:$A,0),20),"")</f>
        <v/>
      </c>
    </row>
    <row r="24">
      <c r="A24" t="inlineStr">
        <is>
          <t>Elasmobranchii</t>
        </is>
      </c>
      <c r="B24">
        <f>IFERROR(INDEX(SPPR!$D:$D,MATCH($A24,SPPR!$A:$A,0)),"")</f>
        <v/>
      </c>
      <c r="C24">
        <f>IFERROR(INDEX(Catch!$E:$BV,MATCH($A24,Catch!$A:$A,0),MATCH($B$4,Catch!$E$1:$BV$1,0)),0)</f>
        <v/>
      </c>
      <c r="D24">
        <f>IFERROR($C24*INDEX(SPPR!$E:$X,MATCH($A24,SPPR!$A:$A,0),1),"")</f>
        <v/>
      </c>
      <c r="E24">
        <f>IFERROR($C24*INDEX(SPPR!$E:$X,MATCH($A24,SPPR!$A:$A,0),2),"")</f>
        <v/>
      </c>
      <c r="F24">
        <f>IFERROR($C24*INDEX(SPPR!$E:$X,MATCH($A24,SPPR!$A:$A,0),3),"")</f>
        <v/>
      </c>
      <c r="G24">
        <f>IFERROR($C24*INDEX(SPPR!$E:$X,MATCH($A24,SPPR!$A:$A,0),4),"")</f>
        <v/>
      </c>
      <c r="H24">
        <f>IFERROR($C24*INDEX(SPPR!$E:$X,MATCH($A24,SPPR!$A:$A,0),5),"")</f>
        <v/>
      </c>
      <c r="I24">
        <f>IFERROR($C24*INDEX(SPPR!$E:$X,MATCH($A24,SPPR!$A:$A,0),6),"")</f>
        <v/>
      </c>
      <c r="J24">
        <f>IFERROR($C24*INDEX(SPPR!$E:$X,MATCH($A24,SPPR!$A:$A,0),7),"")</f>
        <v/>
      </c>
      <c r="K24">
        <f>IFERROR($C24*INDEX(SPPR!$E:$X,MATCH($A24,SPPR!$A:$A,0),8),"")</f>
        <v/>
      </c>
      <c r="L24">
        <f>IFERROR($C24*INDEX(SPPR!$E:$X,MATCH($A24,SPPR!$A:$A,0),9),"")</f>
        <v/>
      </c>
      <c r="M24">
        <f>IFERROR($C24*INDEX(SPPR!$E:$X,MATCH($A24,SPPR!$A:$A,0),10),"")</f>
        <v/>
      </c>
      <c r="N24">
        <f>IFERROR($C24*INDEX(SPPR!$E:$X,MATCH($A24,SPPR!$A:$A,0),11),"")</f>
        <v/>
      </c>
      <c r="O24">
        <f>IFERROR($C24*INDEX(SPPR!$E:$X,MATCH($A24,SPPR!$A:$A,0),12),"")</f>
        <v/>
      </c>
      <c r="P24">
        <f>IFERROR($C24*INDEX(SPPR!$E:$X,MATCH($A24,SPPR!$A:$A,0),13),"")</f>
        <v/>
      </c>
      <c r="Q24">
        <f>IFERROR($C24*INDEX(SPPR!$E:$X,MATCH($A24,SPPR!$A:$A,0),14),"")</f>
        <v/>
      </c>
      <c r="R24">
        <f>IFERROR($C24*INDEX(SPPR!$E:$X,MATCH($A24,SPPR!$A:$A,0),15),"")</f>
        <v/>
      </c>
      <c r="S24">
        <f>IFERROR($C24*INDEX(SPPR!$E:$X,MATCH($A24,SPPR!$A:$A,0),16),"")</f>
        <v/>
      </c>
      <c r="T24">
        <f>IFERROR($C24*INDEX(SPPR!$E:$X,MATCH($A24,SPPR!$A:$A,0),17),"")</f>
        <v/>
      </c>
      <c r="U24">
        <f>IFERROR($C24*INDEX(SPPR!$E:$X,MATCH($A24,SPPR!$A:$A,0),18),"")</f>
        <v/>
      </c>
      <c r="V24">
        <f>IFERROR($C24*INDEX(SPPR!$E:$X,MATCH($A24,SPPR!$A:$A,0),19),"")</f>
        <v/>
      </c>
      <c r="W24">
        <f>IFERROR($C24*INDEX(SPPR!$E:$X,MATCH($A24,SPPR!$A:$A,0),20),"")</f>
        <v/>
      </c>
    </row>
    <row r="25">
      <c r="A25" t="inlineStr">
        <is>
          <t>Siluriformes</t>
        </is>
      </c>
      <c r="B25">
        <f>IFERROR(INDEX(SPPR!$D:$D,MATCH($A25,SPPR!$A:$A,0)),"")</f>
        <v/>
      </c>
      <c r="C25">
        <f>IFERROR(INDEX(Catch!$E:$BV,MATCH($A25,Catch!$A:$A,0),MATCH($B$4,Catch!$E$1:$BV$1,0)),0)</f>
        <v/>
      </c>
      <c r="D25">
        <f>IFERROR($C25*INDEX(SPPR!$E:$X,MATCH($A25,SPPR!$A:$A,0),1),"")</f>
        <v/>
      </c>
      <c r="E25">
        <f>IFERROR($C25*INDEX(SPPR!$E:$X,MATCH($A25,SPPR!$A:$A,0),2),"")</f>
        <v/>
      </c>
      <c r="F25">
        <f>IFERROR($C25*INDEX(SPPR!$E:$X,MATCH($A25,SPPR!$A:$A,0),3),"")</f>
        <v/>
      </c>
      <c r="G25">
        <f>IFERROR($C25*INDEX(SPPR!$E:$X,MATCH($A25,SPPR!$A:$A,0),4),"")</f>
        <v/>
      </c>
      <c r="H25">
        <f>IFERROR($C25*INDEX(SPPR!$E:$X,MATCH($A25,SPPR!$A:$A,0),5),"")</f>
        <v/>
      </c>
      <c r="I25">
        <f>IFERROR($C25*INDEX(SPPR!$E:$X,MATCH($A25,SPPR!$A:$A,0),6),"")</f>
        <v/>
      </c>
      <c r="J25">
        <f>IFERROR($C25*INDEX(SPPR!$E:$X,MATCH($A25,SPPR!$A:$A,0),7),"")</f>
        <v/>
      </c>
      <c r="K25">
        <f>IFERROR($C25*INDEX(SPPR!$E:$X,MATCH($A25,SPPR!$A:$A,0),8),"")</f>
        <v/>
      </c>
      <c r="L25">
        <f>IFERROR($C25*INDEX(SPPR!$E:$X,MATCH($A25,SPPR!$A:$A,0),9),"")</f>
        <v/>
      </c>
      <c r="M25">
        <f>IFERROR($C25*INDEX(SPPR!$E:$X,MATCH($A25,SPPR!$A:$A,0),10),"")</f>
        <v/>
      </c>
      <c r="N25">
        <f>IFERROR($C25*INDEX(SPPR!$E:$X,MATCH($A25,SPPR!$A:$A,0),11),"")</f>
        <v/>
      </c>
      <c r="O25">
        <f>IFERROR($C25*INDEX(SPPR!$E:$X,MATCH($A25,SPPR!$A:$A,0),12),"")</f>
        <v/>
      </c>
      <c r="P25">
        <f>IFERROR($C25*INDEX(SPPR!$E:$X,MATCH($A25,SPPR!$A:$A,0),13),"")</f>
        <v/>
      </c>
      <c r="Q25">
        <f>IFERROR($C25*INDEX(SPPR!$E:$X,MATCH($A25,SPPR!$A:$A,0),14),"")</f>
        <v/>
      </c>
      <c r="R25">
        <f>IFERROR($C25*INDEX(SPPR!$E:$X,MATCH($A25,SPPR!$A:$A,0),15),"")</f>
        <v/>
      </c>
      <c r="S25">
        <f>IFERROR($C25*INDEX(SPPR!$E:$X,MATCH($A25,SPPR!$A:$A,0),16),"")</f>
        <v/>
      </c>
      <c r="T25">
        <f>IFERROR($C25*INDEX(SPPR!$E:$X,MATCH($A25,SPPR!$A:$A,0),17),"")</f>
        <v/>
      </c>
      <c r="U25">
        <f>IFERROR($C25*INDEX(SPPR!$E:$X,MATCH($A25,SPPR!$A:$A,0),18),"")</f>
        <v/>
      </c>
      <c r="V25">
        <f>IFERROR($C25*INDEX(SPPR!$E:$X,MATCH($A25,SPPR!$A:$A,0),19),"")</f>
        <v/>
      </c>
      <c r="W25">
        <f>IFERROR($C25*INDEX(SPPR!$E:$X,MATCH($A25,SPPR!$A:$A,0),20),"")</f>
        <v/>
      </c>
    </row>
    <row r="26">
      <c r="A26" t="inlineStr">
        <is>
          <t>Netuma thalassina</t>
        </is>
      </c>
      <c r="B26">
        <f>IFERROR(INDEX(SPPR!$D:$D,MATCH($A26,SPPR!$A:$A,0)),"")</f>
        <v/>
      </c>
      <c r="C26">
        <f>IFERROR(INDEX(Catch!$E:$BV,MATCH($A26,Catch!$A:$A,0),MATCH($B$4,Catch!$E$1:$BV$1,0)),0)</f>
        <v/>
      </c>
      <c r="D26">
        <f>IFERROR($C26*INDEX(SPPR!$E:$X,MATCH($A26,SPPR!$A:$A,0),1),"")</f>
        <v/>
      </c>
      <c r="E26">
        <f>IFERROR($C26*INDEX(SPPR!$E:$X,MATCH($A26,SPPR!$A:$A,0),2),"")</f>
        <v/>
      </c>
      <c r="F26">
        <f>IFERROR($C26*INDEX(SPPR!$E:$X,MATCH($A26,SPPR!$A:$A,0),3),"")</f>
        <v/>
      </c>
      <c r="G26">
        <f>IFERROR($C26*INDEX(SPPR!$E:$X,MATCH($A26,SPPR!$A:$A,0),4),"")</f>
        <v/>
      </c>
      <c r="H26">
        <f>IFERROR($C26*INDEX(SPPR!$E:$X,MATCH($A26,SPPR!$A:$A,0),5),"")</f>
        <v/>
      </c>
      <c r="I26">
        <f>IFERROR($C26*INDEX(SPPR!$E:$X,MATCH($A26,SPPR!$A:$A,0),6),"")</f>
        <v/>
      </c>
      <c r="J26">
        <f>IFERROR($C26*INDEX(SPPR!$E:$X,MATCH($A26,SPPR!$A:$A,0),7),"")</f>
        <v/>
      </c>
      <c r="K26">
        <f>IFERROR($C26*INDEX(SPPR!$E:$X,MATCH($A26,SPPR!$A:$A,0),8),"")</f>
        <v/>
      </c>
      <c r="L26">
        <f>IFERROR($C26*INDEX(SPPR!$E:$X,MATCH($A26,SPPR!$A:$A,0),9),"")</f>
        <v/>
      </c>
      <c r="M26">
        <f>IFERROR($C26*INDEX(SPPR!$E:$X,MATCH($A26,SPPR!$A:$A,0),10),"")</f>
        <v/>
      </c>
      <c r="N26">
        <f>IFERROR($C26*INDEX(SPPR!$E:$X,MATCH($A26,SPPR!$A:$A,0),11),"")</f>
        <v/>
      </c>
      <c r="O26">
        <f>IFERROR($C26*INDEX(SPPR!$E:$X,MATCH($A26,SPPR!$A:$A,0),12),"")</f>
        <v/>
      </c>
      <c r="P26">
        <f>IFERROR($C26*INDEX(SPPR!$E:$X,MATCH($A26,SPPR!$A:$A,0),13),"")</f>
        <v/>
      </c>
      <c r="Q26">
        <f>IFERROR($C26*INDEX(SPPR!$E:$X,MATCH($A26,SPPR!$A:$A,0),14),"")</f>
        <v/>
      </c>
      <c r="R26">
        <f>IFERROR($C26*INDEX(SPPR!$E:$X,MATCH($A26,SPPR!$A:$A,0),15),"")</f>
        <v/>
      </c>
      <c r="S26">
        <f>IFERROR($C26*INDEX(SPPR!$E:$X,MATCH($A26,SPPR!$A:$A,0),16),"")</f>
        <v/>
      </c>
      <c r="T26">
        <f>IFERROR($C26*INDEX(SPPR!$E:$X,MATCH($A26,SPPR!$A:$A,0),17),"")</f>
        <v/>
      </c>
      <c r="U26">
        <f>IFERROR($C26*INDEX(SPPR!$E:$X,MATCH($A26,SPPR!$A:$A,0),18),"")</f>
        <v/>
      </c>
      <c r="V26">
        <f>IFERROR($C26*INDEX(SPPR!$E:$X,MATCH($A26,SPPR!$A:$A,0),19),"")</f>
        <v/>
      </c>
      <c r="W26">
        <f>IFERROR($C26*INDEX(SPPR!$E:$X,MATCH($A26,SPPR!$A:$A,0),20),"")</f>
        <v/>
      </c>
    </row>
    <row r="27">
      <c r="A27" t="inlineStr">
        <is>
          <t>Leiognathidae</t>
        </is>
      </c>
      <c r="B27">
        <f>IFERROR(INDEX(SPPR!$D:$D,MATCH($A27,SPPR!$A:$A,0)),"")</f>
        <v/>
      </c>
      <c r="C27">
        <f>IFERROR(INDEX(Catch!$E:$BV,MATCH($A27,Catch!$A:$A,0),MATCH($B$4,Catch!$E$1:$BV$1,0)),0)</f>
        <v/>
      </c>
      <c r="D27">
        <f>IFERROR($C27*INDEX(SPPR!$E:$X,MATCH($A27,SPPR!$A:$A,0),1),"")</f>
        <v/>
      </c>
      <c r="E27">
        <f>IFERROR($C27*INDEX(SPPR!$E:$X,MATCH($A27,SPPR!$A:$A,0),2),"")</f>
        <v/>
      </c>
      <c r="F27">
        <f>IFERROR($C27*INDEX(SPPR!$E:$X,MATCH($A27,SPPR!$A:$A,0),3),"")</f>
        <v/>
      </c>
      <c r="G27">
        <f>IFERROR($C27*INDEX(SPPR!$E:$X,MATCH($A27,SPPR!$A:$A,0),4),"")</f>
        <v/>
      </c>
      <c r="H27">
        <f>IFERROR($C27*INDEX(SPPR!$E:$X,MATCH($A27,SPPR!$A:$A,0),5),"")</f>
        <v/>
      </c>
      <c r="I27">
        <f>IFERROR($C27*INDEX(SPPR!$E:$X,MATCH($A27,SPPR!$A:$A,0),6),"")</f>
        <v/>
      </c>
      <c r="J27">
        <f>IFERROR($C27*INDEX(SPPR!$E:$X,MATCH($A27,SPPR!$A:$A,0),7),"")</f>
        <v/>
      </c>
      <c r="K27">
        <f>IFERROR($C27*INDEX(SPPR!$E:$X,MATCH($A27,SPPR!$A:$A,0),8),"")</f>
        <v/>
      </c>
      <c r="L27">
        <f>IFERROR($C27*INDEX(SPPR!$E:$X,MATCH($A27,SPPR!$A:$A,0),9),"")</f>
        <v/>
      </c>
      <c r="M27">
        <f>IFERROR($C27*INDEX(SPPR!$E:$X,MATCH($A27,SPPR!$A:$A,0),10),"")</f>
        <v/>
      </c>
      <c r="N27">
        <f>IFERROR($C27*INDEX(SPPR!$E:$X,MATCH($A27,SPPR!$A:$A,0),11),"")</f>
        <v/>
      </c>
      <c r="O27">
        <f>IFERROR($C27*INDEX(SPPR!$E:$X,MATCH($A27,SPPR!$A:$A,0),12),"")</f>
        <v/>
      </c>
      <c r="P27">
        <f>IFERROR($C27*INDEX(SPPR!$E:$X,MATCH($A27,SPPR!$A:$A,0),13),"")</f>
        <v/>
      </c>
      <c r="Q27">
        <f>IFERROR($C27*INDEX(SPPR!$E:$X,MATCH($A27,SPPR!$A:$A,0),14),"")</f>
        <v/>
      </c>
      <c r="R27">
        <f>IFERROR($C27*INDEX(SPPR!$E:$X,MATCH($A27,SPPR!$A:$A,0),15),"")</f>
        <v/>
      </c>
      <c r="S27">
        <f>IFERROR($C27*INDEX(SPPR!$E:$X,MATCH($A27,SPPR!$A:$A,0),16),"")</f>
        <v/>
      </c>
      <c r="T27">
        <f>IFERROR($C27*INDEX(SPPR!$E:$X,MATCH($A27,SPPR!$A:$A,0),17),"")</f>
        <v/>
      </c>
      <c r="U27">
        <f>IFERROR($C27*INDEX(SPPR!$E:$X,MATCH($A27,SPPR!$A:$A,0),18),"")</f>
        <v/>
      </c>
      <c r="V27">
        <f>IFERROR($C27*INDEX(SPPR!$E:$X,MATCH($A27,SPPR!$A:$A,0),19),"")</f>
        <v/>
      </c>
      <c r="W27">
        <f>IFERROR($C27*INDEX(SPPR!$E:$X,MATCH($A27,SPPR!$A:$A,0),20),"")</f>
        <v/>
      </c>
    </row>
    <row r="28">
      <c r="A28" t="inlineStr">
        <is>
          <t>Decapterus</t>
        </is>
      </c>
      <c r="B28">
        <f>IFERROR(INDEX(SPPR!$D:$D,MATCH($A28,SPPR!$A:$A,0)),"")</f>
        <v/>
      </c>
      <c r="C28">
        <f>IFERROR(INDEX(Catch!$E:$BV,MATCH($A28,Catch!$A:$A,0),MATCH($B$4,Catch!$E$1:$BV$1,0)),0)</f>
        <v/>
      </c>
      <c r="D28">
        <f>IFERROR($C28*INDEX(SPPR!$E:$X,MATCH($A28,SPPR!$A:$A,0),1),"")</f>
        <v/>
      </c>
      <c r="E28">
        <f>IFERROR($C28*INDEX(SPPR!$E:$X,MATCH($A28,SPPR!$A:$A,0),2),"")</f>
        <v/>
      </c>
      <c r="F28">
        <f>IFERROR($C28*INDEX(SPPR!$E:$X,MATCH($A28,SPPR!$A:$A,0),3),"")</f>
        <v/>
      </c>
      <c r="G28">
        <f>IFERROR($C28*INDEX(SPPR!$E:$X,MATCH($A28,SPPR!$A:$A,0),4),"")</f>
        <v/>
      </c>
      <c r="H28">
        <f>IFERROR($C28*INDEX(SPPR!$E:$X,MATCH($A28,SPPR!$A:$A,0),5),"")</f>
        <v/>
      </c>
      <c r="I28">
        <f>IFERROR($C28*INDEX(SPPR!$E:$X,MATCH($A28,SPPR!$A:$A,0),6),"")</f>
        <v/>
      </c>
      <c r="J28">
        <f>IFERROR($C28*INDEX(SPPR!$E:$X,MATCH($A28,SPPR!$A:$A,0),7),"")</f>
        <v/>
      </c>
      <c r="K28">
        <f>IFERROR($C28*INDEX(SPPR!$E:$X,MATCH($A28,SPPR!$A:$A,0),8),"")</f>
        <v/>
      </c>
      <c r="L28">
        <f>IFERROR($C28*INDEX(SPPR!$E:$X,MATCH($A28,SPPR!$A:$A,0),9),"")</f>
        <v/>
      </c>
      <c r="M28">
        <f>IFERROR($C28*INDEX(SPPR!$E:$X,MATCH($A28,SPPR!$A:$A,0),10),"")</f>
        <v/>
      </c>
      <c r="N28">
        <f>IFERROR($C28*INDEX(SPPR!$E:$X,MATCH($A28,SPPR!$A:$A,0),11),"")</f>
        <v/>
      </c>
      <c r="O28">
        <f>IFERROR($C28*INDEX(SPPR!$E:$X,MATCH($A28,SPPR!$A:$A,0),12),"")</f>
        <v/>
      </c>
      <c r="P28">
        <f>IFERROR($C28*INDEX(SPPR!$E:$X,MATCH($A28,SPPR!$A:$A,0),13),"")</f>
        <v/>
      </c>
      <c r="Q28">
        <f>IFERROR($C28*INDEX(SPPR!$E:$X,MATCH($A28,SPPR!$A:$A,0),14),"")</f>
        <v/>
      </c>
      <c r="R28">
        <f>IFERROR($C28*INDEX(SPPR!$E:$X,MATCH($A28,SPPR!$A:$A,0),15),"")</f>
        <v/>
      </c>
      <c r="S28">
        <f>IFERROR($C28*INDEX(SPPR!$E:$X,MATCH($A28,SPPR!$A:$A,0),16),"")</f>
        <v/>
      </c>
      <c r="T28">
        <f>IFERROR($C28*INDEX(SPPR!$E:$X,MATCH($A28,SPPR!$A:$A,0),17),"")</f>
        <v/>
      </c>
      <c r="U28">
        <f>IFERROR($C28*INDEX(SPPR!$E:$X,MATCH($A28,SPPR!$A:$A,0),18),"")</f>
        <v/>
      </c>
      <c r="V28">
        <f>IFERROR($C28*INDEX(SPPR!$E:$X,MATCH($A28,SPPR!$A:$A,0),19),"")</f>
        <v/>
      </c>
      <c r="W28">
        <f>IFERROR($C28*INDEX(SPPR!$E:$X,MATCH($A28,SPPR!$A:$A,0),20),"")</f>
        <v/>
      </c>
    </row>
    <row r="29">
      <c r="A29" t="inlineStr">
        <is>
          <t>Engraulidae</t>
        </is>
      </c>
      <c r="B29">
        <f>IFERROR(INDEX(SPPR!$D:$D,MATCH($A29,SPPR!$A:$A,0)),"")</f>
        <v/>
      </c>
      <c r="C29">
        <f>IFERROR(INDEX(Catch!$E:$BV,MATCH($A29,Catch!$A:$A,0),MATCH($B$4,Catch!$E$1:$BV$1,0)),0)</f>
        <v/>
      </c>
      <c r="D29">
        <f>IFERROR($C29*INDEX(SPPR!$E:$X,MATCH($A29,SPPR!$A:$A,0),1),"")</f>
        <v/>
      </c>
      <c r="E29">
        <f>IFERROR($C29*INDEX(SPPR!$E:$X,MATCH($A29,SPPR!$A:$A,0),2),"")</f>
        <v/>
      </c>
      <c r="F29">
        <f>IFERROR($C29*INDEX(SPPR!$E:$X,MATCH($A29,SPPR!$A:$A,0),3),"")</f>
        <v/>
      </c>
      <c r="G29">
        <f>IFERROR($C29*INDEX(SPPR!$E:$X,MATCH($A29,SPPR!$A:$A,0),4),"")</f>
        <v/>
      </c>
      <c r="H29">
        <f>IFERROR($C29*INDEX(SPPR!$E:$X,MATCH($A29,SPPR!$A:$A,0),5),"")</f>
        <v/>
      </c>
      <c r="I29">
        <f>IFERROR($C29*INDEX(SPPR!$E:$X,MATCH($A29,SPPR!$A:$A,0),6),"")</f>
        <v/>
      </c>
      <c r="J29">
        <f>IFERROR($C29*INDEX(SPPR!$E:$X,MATCH($A29,SPPR!$A:$A,0),7),"")</f>
        <v/>
      </c>
      <c r="K29">
        <f>IFERROR($C29*INDEX(SPPR!$E:$X,MATCH($A29,SPPR!$A:$A,0),8),"")</f>
        <v/>
      </c>
      <c r="L29">
        <f>IFERROR($C29*INDEX(SPPR!$E:$X,MATCH($A29,SPPR!$A:$A,0),9),"")</f>
        <v/>
      </c>
      <c r="M29">
        <f>IFERROR($C29*INDEX(SPPR!$E:$X,MATCH($A29,SPPR!$A:$A,0),10),"")</f>
        <v/>
      </c>
      <c r="N29">
        <f>IFERROR($C29*INDEX(SPPR!$E:$X,MATCH($A29,SPPR!$A:$A,0),11),"")</f>
        <v/>
      </c>
      <c r="O29">
        <f>IFERROR($C29*INDEX(SPPR!$E:$X,MATCH($A29,SPPR!$A:$A,0),12),"")</f>
        <v/>
      </c>
      <c r="P29">
        <f>IFERROR($C29*INDEX(SPPR!$E:$X,MATCH($A29,SPPR!$A:$A,0),13),"")</f>
        <v/>
      </c>
      <c r="Q29">
        <f>IFERROR($C29*INDEX(SPPR!$E:$X,MATCH($A29,SPPR!$A:$A,0),14),"")</f>
        <v/>
      </c>
      <c r="R29">
        <f>IFERROR($C29*INDEX(SPPR!$E:$X,MATCH($A29,SPPR!$A:$A,0),15),"")</f>
        <v/>
      </c>
      <c r="S29">
        <f>IFERROR($C29*INDEX(SPPR!$E:$X,MATCH($A29,SPPR!$A:$A,0),16),"")</f>
        <v/>
      </c>
      <c r="T29">
        <f>IFERROR($C29*INDEX(SPPR!$E:$X,MATCH($A29,SPPR!$A:$A,0),17),"")</f>
        <v/>
      </c>
      <c r="U29">
        <f>IFERROR($C29*INDEX(SPPR!$E:$X,MATCH($A29,SPPR!$A:$A,0),18),"")</f>
        <v/>
      </c>
      <c r="V29">
        <f>IFERROR($C29*INDEX(SPPR!$E:$X,MATCH($A29,SPPR!$A:$A,0),19),"")</f>
        <v/>
      </c>
      <c r="W29">
        <f>IFERROR($C29*INDEX(SPPR!$E:$X,MATCH($A29,SPPR!$A:$A,0),20),"")</f>
        <v/>
      </c>
    </row>
    <row r="30">
      <c r="A30" t="inlineStr">
        <is>
          <t>Rastrelliger</t>
        </is>
      </c>
      <c r="B30">
        <f>IFERROR(INDEX(SPPR!$D:$D,MATCH($A30,SPPR!$A:$A,0)),"")</f>
        <v/>
      </c>
      <c r="C30">
        <f>IFERROR(INDEX(Catch!$E:$BV,MATCH($A30,Catch!$A:$A,0),MATCH($B$4,Catch!$E$1:$BV$1,0)),0)</f>
        <v/>
      </c>
      <c r="D30">
        <f>IFERROR($C30*INDEX(SPPR!$E:$X,MATCH($A30,SPPR!$A:$A,0),1),"")</f>
        <v/>
      </c>
      <c r="E30">
        <f>IFERROR($C30*INDEX(SPPR!$E:$X,MATCH($A30,SPPR!$A:$A,0),2),"")</f>
        <v/>
      </c>
      <c r="F30">
        <f>IFERROR($C30*INDEX(SPPR!$E:$X,MATCH($A30,SPPR!$A:$A,0),3),"")</f>
        <v/>
      </c>
      <c r="G30">
        <f>IFERROR($C30*INDEX(SPPR!$E:$X,MATCH($A30,SPPR!$A:$A,0),4),"")</f>
        <v/>
      </c>
      <c r="H30">
        <f>IFERROR($C30*INDEX(SPPR!$E:$X,MATCH($A30,SPPR!$A:$A,0),5),"")</f>
        <v/>
      </c>
      <c r="I30">
        <f>IFERROR($C30*INDEX(SPPR!$E:$X,MATCH($A30,SPPR!$A:$A,0),6),"")</f>
        <v/>
      </c>
      <c r="J30">
        <f>IFERROR($C30*INDEX(SPPR!$E:$X,MATCH($A30,SPPR!$A:$A,0),7),"")</f>
        <v/>
      </c>
      <c r="K30">
        <f>IFERROR($C30*INDEX(SPPR!$E:$X,MATCH($A30,SPPR!$A:$A,0),8),"")</f>
        <v/>
      </c>
      <c r="L30">
        <f>IFERROR($C30*INDEX(SPPR!$E:$X,MATCH($A30,SPPR!$A:$A,0),9),"")</f>
        <v/>
      </c>
      <c r="M30">
        <f>IFERROR($C30*INDEX(SPPR!$E:$X,MATCH($A30,SPPR!$A:$A,0),10),"")</f>
        <v/>
      </c>
      <c r="N30">
        <f>IFERROR($C30*INDEX(SPPR!$E:$X,MATCH($A30,SPPR!$A:$A,0),11),"")</f>
        <v/>
      </c>
      <c r="O30">
        <f>IFERROR($C30*INDEX(SPPR!$E:$X,MATCH($A30,SPPR!$A:$A,0),12),"")</f>
        <v/>
      </c>
      <c r="P30">
        <f>IFERROR($C30*INDEX(SPPR!$E:$X,MATCH($A30,SPPR!$A:$A,0),13),"")</f>
        <v/>
      </c>
      <c r="Q30">
        <f>IFERROR($C30*INDEX(SPPR!$E:$X,MATCH($A30,SPPR!$A:$A,0),14),"")</f>
        <v/>
      </c>
      <c r="R30">
        <f>IFERROR($C30*INDEX(SPPR!$E:$X,MATCH($A30,SPPR!$A:$A,0),15),"")</f>
        <v/>
      </c>
      <c r="S30">
        <f>IFERROR($C30*INDEX(SPPR!$E:$X,MATCH($A30,SPPR!$A:$A,0),16),"")</f>
        <v/>
      </c>
      <c r="T30">
        <f>IFERROR($C30*INDEX(SPPR!$E:$X,MATCH($A30,SPPR!$A:$A,0),17),"")</f>
        <v/>
      </c>
      <c r="U30">
        <f>IFERROR($C30*INDEX(SPPR!$E:$X,MATCH($A30,SPPR!$A:$A,0),18),"")</f>
        <v/>
      </c>
      <c r="V30">
        <f>IFERROR($C30*INDEX(SPPR!$E:$X,MATCH($A30,SPPR!$A:$A,0),19),"")</f>
        <v/>
      </c>
      <c r="W30">
        <f>IFERROR($C30*INDEX(SPPR!$E:$X,MATCH($A30,SPPR!$A:$A,0),20),"")</f>
        <v/>
      </c>
    </row>
    <row r="31">
      <c r="A31" t="inlineStr">
        <is>
          <t>Perciformes</t>
        </is>
      </c>
      <c r="B31">
        <f>IFERROR(INDEX(SPPR!$D:$D,MATCH($A31,SPPR!$A:$A,0)),"")</f>
        <v/>
      </c>
      <c r="C31">
        <f>IFERROR(INDEX(Catch!$E:$BV,MATCH($A31,Catch!$A:$A,0),MATCH($B$4,Catch!$E$1:$BV$1,0)),0)</f>
        <v/>
      </c>
      <c r="D31">
        <f>IFERROR($C31*INDEX(SPPR!$E:$X,MATCH($A31,SPPR!$A:$A,0),1),"")</f>
        <v/>
      </c>
      <c r="E31">
        <f>IFERROR($C31*INDEX(SPPR!$E:$X,MATCH($A31,SPPR!$A:$A,0),2),"")</f>
        <v/>
      </c>
      <c r="F31">
        <f>IFERROR($C31*INDEX(SPPR!$E:$X,MATCH($A31,SPPR!$A:$A,0),3),"")</f>
        <v/>
      </c>
      <c r="G31">
        <f>IFERROR($C31*INDEX(SPPR!$E:$X,MATCH($A31,SPPR!$A:$A,0),4),"")</f>
        <v/>
      </c>
      <c r="H31">
        <f>IFERROR($C31*INDEX(SPPR!$E:$X,MATCH($A31,SPPR!$A:$A,0),5),"")</f>
        <v/>
      </c>
      <c r="I31">
        <f>IFERROR($C31*INDEX(SPPR!$E:$X,MATCH($A31,SPPR!$A:$A,0),6),"")</f>
        <v/>
      </c>
      <c r="J31">
        <f>IFERROR($C31*INDEX(SPPR!$E:$X,MATCH($A31,SPPR!$A:$A,0),7),"")</f>
        <v/>
      </c>
      <c r="K31">
        <f>IFERROR($C31*INDEX(SPPR!$E:$X,MATCH($A31,SPPR!$A:$A,0),8),"")</f>
        <v/>
      </c>
      <c r="L31">
        <f>IFERROR($C31*INDEX(SPPR!$E:$X,MATCH($A31,SPPR!$A:$A,0),9),"")</f>
        <v/>
      </c>
      <c r="M31">
        <f>IFERROR($C31*INDEX(SPPR!$E:$X,MATCH($A31,SPPR!$A:$A,0),10),"")</f>
        <v/>
      </c>
      <c r="N31">
        <f>IFERROR($C31*INDEX(SPPR!$E:$X,MATCH($A31,SPPR!$A:$A,0),11),"")</f>
        <v/>
      </c>
      <c r="O31">
        <f>IFERROR($C31*INDEX(SPPR!$E:$X,MATCH($A31,SPPR!$A:$A,0),12),"")</f>
        <v/>
      </c>
      <c r="P31">
        <f>IFERROR($C31*INDEX(SPPR!$E:$X,MATCH($A31,SPPR!$A:$A,0),13),"")</f>
        <v/>
      </c>
      <c r="Q31">
        <f>IFERROR($C31*INDEX(SPPR!$E:$X,MATCH($A31,SPPR!$A:$A,0),14),"")</f>
        <v/>
      </c>
      <c r="R31">
        <f>IFERROR($C31*INDEX(SPPR!$E:$X,MATCH($A31,SPPR!$A:$A,0),15),"")</f>
        <v/>
      </c>
      <c r="S31">
        <f>IFERROR($C31*INDEX(SPPR!$E:$X,MATCH($A31,SPPR!$A:$A,0),16),"")</f>
        <v/>
      </c>
      <c r="T31">
        <f>IFERROR($C31*INDEX(SPPR!$E:$X,MATCH($A31,SPPR!$A:$A,0),17),"")</f>
        <v/>
      </c>
      <c r="U31">
        <f>IFERROR($C31*INDEX(SPPR!$E:$X,MATCH($A31,SPPR!$A:$A,0),18),"")</f>
        <v/>
      </c>
      <c r="V31">
        <f>IFERROR($C31*INDEX(SPPR!$E:$X,MATCH($A31,SPPR!$A:$A,0),19),"")</f>
        <v/>
      </c>
      <c r="W31">
        <f>IFERROR($C31*INDEX(SPPR!$E:$X,MATCH($A31,SPPR!$A:$A,0),20),"")</f>
        <v/>
      </c>
    </row>
    <row r="32">
      <c r="A32" t="inlineStr">
        <is>
          <t>Soleidae</t>
        </is>
      </c>
      <c r="B32">
        <f>IFERROR(INDEX(SPPR!$D:$D,MATCH($A32,SPPR!$A:$A,0)),"")</f>
        <v/>
      </c>
      <c r="C32">
        <f>IFERROR(INDEX(Catch!$E:$BV,MATCH($A32,Catch!$A:$A,0),MATCH($B$4,Catch!$E$1:$BV$1,0)),0)</f>
        <v/>
      </c>
      <c r="D32">
        <f>IFERROR($C32*INDEX(SPPR!$E:$X,MATCH($A32,SPPR!$A:$A,0),1),"")</f>
        <v/>
      </c>
      <c r="E32">
        <f>IFERROR($C32*INDEX(SPPR!$E:$X,MATCH($A32,SPPR!$A:$A,0),2),"")</f>
        <v/>
      </c>
      <c r="F32">
        <f>IFERROR($C32*INDEX(SPPR!$E:$X,MATCH($A32,SPPR!$A:$A,0),3),"")</f>
        <v/>
      </c>
      <c r="G32">
        <f>IFERROR($C32*INDEX(SPPR!$E:$X,MATCH($A32,SPPR!$A:$A,0),4),"")</f>
        <v/>
      </c>
      <c r="H32">
        <f>IFERROR($C32*INDEX(SPPR!$E:$X,MATCH($A32,SPPR!$A:$A,0),5),"")</f>
        <v/>
      </c>
      <c r="I32">
        <f>IFERROR($C32*INDEX(SPPR!$E:$X,MATCH($A32,SPPR!$A:$A,0),6),"")</f>
        <v/>
      </c>
      <c r="J32">
        <f>IFERROR($C32*INDEX(SPPR!$E:$X,MATCH($A32,SPPR!$A:$A,0),7),"")</f>
        <v/>
      </c>
      <c r="K32">
        <f>IFERROR($C32*INDEX(SPPR!$E:$X,MATCH($A32,SPPR!$A:$A,0),8),"")</f>
        <v/>
      </c>
      <c r="L32">
        <f>IFERROR($C32*INDEX(SPPR!$E:$X,MATCH($A32,SPPR!$A:$A,0),9),"")</f>
        <v/>
      </c>
      <c r="M32">
        <f>IFERROR($C32*INDEX(SPPR!$E:$X,MATCH($A32,SPPR!$A:$A,0),10),"")</f>
        <v/>
      </c>
      <c r="N32">
        <f>IFERROR($C32*INDEX(SPPR!$E:$X,MATCH($A32,SPPR!$A:$A,0),11),"")</f>
        <v/>
      </c>
      <c r="O32">
        <f>IFERROR($C32*INDEX(SPPR!$E:$X,MATCH($A32,SPPR!$A:$A,0),12),"")</f>
        <v/>
      </c>
      <c r="P32">
        <f>IFERROR($C32*INDEX(SPPR!$E:$X,MATCH($A32,SPPR!$A:$A,0),13),"")</f>
        <v/>
      </c>
      <c r="Q32">
        <f>IFERROR($C32*INDEX(SPPR!$E:$X,MATCH($A32,SPPR!$A:$A,0),14),"")</f>
        <v/>
      </c>
      <c r="R32">
        <f>IFERROR($C32*INDEX(SPPR!$E:$X,MATCH($A32,SPPR!$A:$A,0),15),"")</f>
        <v/>
      </c>
      <c r="S32">
        <f>IFERROR($C32*INDEX(SPPR!$E:$X,MATCH($A32,SPPR!$A:$A,0),16),"")</f>
        <v/>
      </c>
      <c r="T32">
        <f>IFERROR($C32*INDEX(SPPR!$E:$X,MATCH($A32,SPPR!$A:$A,0),17),"")</f>
        <v/>
      </c>
      <c r="U32">
        <f>IFERROR($C32*INDEX(SPPR!$E:$X,MATCH($A32,SPPR!$A:$A,0),18),"")</f>
        <v/>
      </c>
      <c r="V32">
        <f>IFERROR($C32*INDEX(SPPR!$E:$X,MATCH($A32,SPPR!$A:$A,0),19),"")</f>
        <v/>
      </c>
      <c r="W32">
        <f>IFERROR($C32*INDEX(SPPR!$E:$X,MATCH($A32,SPPR!$A:$A,0),20),"")</f>
        <v/>
      </c>
    </row>
    <row r="33">
      <c r="A33" t="inlineStr">
        <is>
          <t>Cephalopoda</t>
        </is>
      </c>
      <c r="B33">
        <f>IFERROR(INDEX(SPPR!$D:$D,MATCH($A33,SPPR!$A:$A,0)),"")</f>
        <v/>
      </c>
      <c r="C33">
        <f>IFERROR(INDEX(Catch!$E:$BV,MATCH($A33,Catch!$A:$A,0),MATCH($B$4,Catch!$E$1:$BV$1,0)),0)</f>
        <v/>
      </c>
      <c r="D33">
        <f>IFERROR($C33*INDEX(SPPR!$E:$X,MATCH($A33,SPPR!$A:$A,0),1),"")</f>
        <v/>
      </c>
      <c r="E33">
        <f>IFERROR($C33*INDEX(SPPR!$E:$X,MATCH($A33,SPPR!$A:$A,0),2),"")</f>
        <v/>
      </c>
      <c r="F33">
        <f>IFERROR($C33*INDEX(SPPR!$E:$X,MATCH($A33,SPPR!$A:$A,0),3),"")</f>
        <v/>
      </c>
      <c r="G33">
        <f>IFERROR($C33*INDEX(SPPR!$E:$X,MATCH($A33,SPPR!$A:$A,0),4),"")</f>
        <v/>
      </c>
      <c r="H33">
        <f>IFERROR($C33*INDEX(SPPR!$E:$X,MATCH($A33,SPPR!$A:$A,0),5),"")</f>
        <v/>
      </c>
      <c r="I33">
        <f>IFERROR($C33*INDEX(SPPR!$E:$X,MATCH($A33,SPPR!$A:$A,0),6),"")</f>
        <v/>
      </c>
      <c r="J33">
        <f>IFERROR($C33*INDEX(SPPR!$E:$X,MATCH($A33,SPPR!$A:$A,0),7),"")</f>
        <v/>
      </c>
      <c r="K33">
        <f>IFERROR($C33*INDEX(SPPR!$E:$X,MATCH($A33,SPPR!$A:$A,0),8),"")</f>
        <v/>
      </c>
      <c r="L33">
        <f>IFERROR($C33*INDEX(SPPR!$E:$X,MATCH($A33,SPPR!$A:$A,0),9),"")</f>
        <v/>
      </c>
      <c r="M33">
        <f>IFERROR($C33*INDEX(SPPR!$E:$X,MATCH($A33,SPPR!$A:$A,0),10),"")</f>
        <v/>
      </c>
      <c r="N33">
        <f>IFERROR($C33*INDEX(SPPR!$E:$X,MATCH($A33,SPPR!$A:$A,0),11),"")</f>
        <v/>
      </c>
      <c r="O33">
        <f>IFERROR($C33*INDEX(SPPR!$E:$X,MATCH($A33,SPPR!$A:$A,0),12),"")</f>
        <v/>
      </c>
      <c r="P33">
        <f>IFERROR($C33*INDEX(SPPR!$E:$X,MATCH($A33,SPPR!$A:$A,0),13),"")</f>
        <v/>
      </c>
      <c r="Q33">
        <f>IFERROR($C33*INDEX(SPPR!$E:$X,MATCH($A33,SPPR!$A:$A,0),14),"")</f>
        <v/>
      </c>
      <c r="R33">
        <f>IFERROR($C33*INDEX(SPPR!$E:$X,MATCH($A33,SPPR!$A:$A,0),15),"")</f>
        <v/>
      </c>
      <c r="S33">
        <f>IFERROR($C33*INDEX(SPPR!$E:$X,MATCH($A33,SPPR!$A:$A,0),16),"")</f>
        <v/>
      </c>
      <c r="T33">
        <f>IFERROR($C33*INDEX(SPPR!$E:$X,MATCH($A33,SPPR!$A:$A,0),17),"")</f>
        <v/>
      </c>
      <c r="U33">
        <f>IFERROR($C33*INDEX(SPPR!$E:$X,MATCH($A33,SPPR!$A:$A,0),18),"")</f>
        <v/>
      </c>
      <c r="V33">
        <f>IFERROR($C33*INDEX(SPPR!$E:$X,MATCH($A33,SPPR!$A:$A,0),19),"")</f>
        <v/>
      </c>
      <c r="W33">
        <f>IFERROR($C33*INDEX(SPPR!$E:$X,MATCH($A33,SPPR!$A:$A,0),20),"")</f>
        <v/>
      </c>
    </row>
    <row r="34">
      <c r="A34" t="inlineStr">
        <is>
          <t>Stolephorus</t>
        </is>
      </c>
      <c r="B34">
        <f>IFERROR(INDEX(SPPR!$D:$D,MATCH($A34,SPPR!$A:$A,0)),"")</f>
        <v/>
      </c>
      <c r="C34">
        <f>IFERROR(INDEX(Catch!$E:$BV,MATCH($A34,Catch!$A:$A,0),MATCH($B$4,Catch!$E$1:$BV$1,0)),0)</f>
        <v/>
      </c>
      <c r="D34">
        <f>IFERROR($C34*INDEX(SPPR!$E:$X,MATCH($A34,SPPR!$A:$A,0),1),"")</f>
        <v/>
      </c>
      <c r="E34">
        <f>IFERROR($C34*INDEX(SPPR!$E:$X,MATCH($A34,SPPR!$A:$A,0),2),"")</f>
        <v/>
      </c>
      <c r="F34">
        <f>IFERROR($C34*INDEX(SPPR!$E:$X,MATCH($A34,SPPR!$A:$A,0),3),"")</f>
        <v/>
      </c>
      <c r="G34">
        <f>IFERROR($C34*INDEX(SPPR!$E:$X,MATCH($A34,SPPR!$A:$A,0),4),"")</f>
        <v/>
      </c>
      <c r="H34">
        <f>IFERROR($C34*INDEX(SPPR!$E:$X,MATCH($A34,SPPR!$A:$A,0),5),"")</f>
        <v/>
      </c>
      <c r="I34">
        <f>IFERROR($C34*INDEX(SPPR!$E:$X,MATCH($A34,SPPR!$A:$A,0),6),"")</f>
        <v/>
      </c>
      <c r="J34">
        <f>IFERROR($C34*INDEX(SPPR!$E:$X,MATCH($A34,SPPR!$A:$A,0),7),"")</f>
        <v/>
      </c>
      <c r="K34">
        <f>IFERROR($C34*INDEX(SPPR!$E:$X,MATCH($A34,SPPR!$A:$A,0),8),"")</f>
        <v/>
      </c>
      <c r="L34">
        <f>IFERROR($C34*INDEX(SPPR!$E:$X,MATCH($A34,SPPR!$A:$A,0),9),"")</f>
        <v/>
      </c>
      <c r="M34">
        <f>IFERROR($C34*INDEX(SPPR!$E:$X,MATCH($A34,SPPR!$A:$A,0),10),"")</f>
        <v/>
      </c>
      <c r="N34">
        <f>IFERROR($C34*INDEX(SPPR!$E:$X,MATCH($A34,SPPR!$A:$A,0),11),"")</f>
        <v/>
      </c>
      <c r="O34">
        <f>IFERROR($C34*INDEX(SPPR!$E:$X,MATCH($A34,SPPR!$A:$A,0),12),"")</f>
        <v/>
      </c>
      <c r="P34">
        <f>IFERROR($C34*INDEX(SPPR!$E:$X,MATCH($A34,SPPR!$A:$A,0),13),"")</f>
        <v/>
      </c>
      <c r="Q34">
        <f>IFERROR($C34*INDEX(SPPR!$E:$X,MATCH($A34,SPPR!$A:$A,0),14),"")</f>
        <v/>
      </c>
      <c r="R34">
        <f>IFERROR($C34*INDEX(SPPR!$E:$X,MATCH($A34,SPPR!$A:$A,0),15),"")</f>
        <v/>
      </c>
      <c r="S34">
        <f>IFERROR($C34*INDEX(SPPR!$E:$X,MATCH($A34,SPPR!$A:$A,0),16),"")</f>
        <v/>
      </c>
      <c r="T34">
        <f>IFERROR($C34*INDEX(SPPR!$E:$X,MATCH($A34,SPPR!$A:$A,0),17),"")</f>
        <v/>
      </c>
      <c r="U34">
        <f>IFERROR($C34*INDEX(SPPR!$E:$X,MATCH($A34,SPPR!$A:$A,0),18),"")</f>
        <v/>
      </c>
      <c r="V34">
        <f>IFERROR($C34*INDEX(SPPR!$E:$X,MATCH($A34,SPPR!$A:$A,0),19),"")</f>
        <v/>
      </c>
      <c r="W34">
        <f>IFERROR($C34*INDEX(SPPR!$E:$X,MATCH($A34,SPPR!$A:$A,0),20),"")</f>
        <v/>
      </c>
    </row>
    <row r="35">
      <c r="A35" t="inlineStr">
        <is>
          <t>Penaeus semisulcatus</t>
        </is>
      </c>
      <c r="B35">
        <f>IFERROR(INDEX(SPPR!$D:$D,MATCH($A35,SPPR!$A:$A,0)),"")</f>
        <v/>
      </c>
      <c r="C35">
        <f>IFERROR(INDEX(Catch!$E:$BV,MATCH($A35,Catch!$A:$A,0),MATCH($B$4,Catch!$E$1:$BV$1,0)),0)</f>
        <v/>
      </c>
      <c r="D35">
        <f>IFERROR($C35*INDEX(SPPR!$E:$X,MATCH($A35,SPPR!$A:$A,0),1),"")</f>
        <v/>
      </c>
      <c r="E35">
        <f>IFERROR($C35*INDEX(SPPR!$E:$X,MATCH($A35,SPPR!$A:$A,0),2),"")</f>
        <v/>
      </c>
      <c r="F35">
        <f>IFERROR($C35*INDEX(SPPR!$E:$X,MATCH($A35,SPPR!$A:$A,0),3),"")</f>
        <v/>
      </c>
      <c r="G35">
        <f>IFERROR($C35*INDEX(SPPR!$E:$X,MATCH($A35,SPPR!$A:$A,0),4),"")</f>
        <v/>
      </c>
      <c r="H35">
        <f>IFERROR($C35*INDEX(SPPR!$E:$X,MATCH($A35,SPPR!$A:$A,0),5),"")</f>
        <v/>
      </c>
      <c r="I35">
        <f>IFERROR($C35*INDEX(SPPR!$E:$X,MATCH($A35,SPPR!$A:$A,0),6),"")</f>
        <v/>
      </c>
      <c r="J35">
        <f>IFERROR($C35*INDEX(SPPR!$E:$X,MATCH($A35,SPPR!$A:$A,0),7),"")</f>
        <v/>
      </c>
      <c r="K35">
        <f>IFERROR($C35*INDEX(SPPR!$E:$X,MATCH($A35,SPPR!$A:$A,0),8),"")</f>
        <v/>
      </c>
      <c r="L35">
        <f>IFERROR($C35*INDEX(SPPR!$E:$X,MATCH($A35,SPPR!$A:$A,0),9),"")</f>
        <v/>
      </c>
      <c r="M35">
        <f>IFERROR($C35*INDEX(SPPR!$E:$X,MATCH($A35,SPPR!$A:$A,0),10),"")</f>
        <v/>
      </c>
      <c r="N35">
        <f>IFERROR($C35*INDEX(SPPR!$E:$X,MATCH($A35,SPPR!$A:$A,0),11),"")</f>
        <v/>
      </c>
      <c r="O35">
        <f>IFERROR($C35*INDEX(SPPR!$E:$X,MATCH($A35,SPPR!$A:$A,0),12),"")</f>
        <v/>
      </c>
      <c r="P35">
        <f>IFERROR($C35*INDEX(SPPR!$E:$X,MATCH($A35,SPPR!$A:$A,0),13),"")</f>
        <v/>
      </c>
      <c r="Q35">
        <f>IFERROR($C35*INDEX(SPPR!$E:$X,MATCH($A35,SPPR!$A:$A,0),14),"")</f>
        <v/>
      </c>
      <c r="R35">
        <f>IFERROR($C35*INDEX(SPPR!$E:$X,MATCH($A35,SPPR!$A:$A,0),15),"")</f>
        <v/>
      </c>
      <c r="S35">
        <f>IFERROR($C35*INDEX(SPPR!$E:$X,MATCH($A35,SPPR!$A:$A,0),16),"")</f>
        <v/>
      </c>
      <c r="T35">
        <f>IFERROR($C35*INDEX(SPPR!$E:$X,MATCH($A35,SPPR!$A:$A,0),17),"")</f>
        <v/>
      </c>
      <c r="U35">
        <f>IFERROR($C35*INDEX(SPPR!$E:$X,MATCH($A35,SPPR!$A:$A,0),18),"")</f>
        <v/>
      </c>
      <c r="V35">
        <f>IFERROR($C35*INDEX(SPPR!$E:$X,MATCH($A35,SPPR!$A:$A,0),19),"")</f>
        <v/>
      </c>
      <c r="W35">
        <f>IFERROR($C35*INDEX(SPPR!$E:$X,MATCH($A35,SPPR!$A:$A,0),20),"")</f>
        <v/>
      </c>
    </row>
    <row r="36">
      <c r="A36" t="inlineStr">
        <is>
          <t>Trichiurus lepturus</t>
        </is>
      </c>
      <c r="B36">
        <f>IFERROR(INDEX(SPPR!$D:$D,MATCH($A36,SPPR!$A:$A,0)),"")</f>
        <v/>
      </c>
      <c r="C36">
        <f>IFERROR(INDEX(Catch!$E:$BV,MATCH($A36,Catch!$A:$A,0),MATCH($B$4,Catch!$E$1:$BV$1,0)),0)</f>
        <v/>
      </c>
      <c r="D36">
        <f>IFERROR($C36*INDEX(SPPR!$E:$X,MATCH($A36,SPPR!$A:$A,0),1),"")</f>
        <v/>
      </c>
      <c r="E36">
        <f>IFERROR($C36*INDEX(SPPR!$E:$X,MATCH($A36,SPPR!$A:$A,0),2),"")</f>
        <v/>
      </c>
      <c r="F36">
        <f>IFERROR($C36*INDEX(SPPR!$E:$X,MATCH($A36,SPPR!$A:$A,0),3),"")</f>
        <v/>
      </c>
      <c r="G36">
        <f>IFERROR($C36*INDEX(SPPR!$E:$X,MATCH($A36,SPPR!$A:$A,0),4),"")</f>
        <v/>
      </c>
      <c r="H36">
        <f>IFERROR($C36*INDEX(SPPR!$E:$X,MATCH($A36,SPPR!$A:$A,0),5),"")</f>
        <v/>
      </c>
      <c r="I36">
        <f>IFERROR($C36*INDEX(SPPR!$E:$X,MATCH($A36,SPPR!$A:$A,0),6),"")</f>
        <v/>
      </c>
      <c r="J36">
        <f>IFERROR($C36*INDEX(SPPR!$E:$X,MATCH($A36,SPPR!$A:$A,0),7),"")</f>
        <v/>
      </c>
      <c r="K36">
        <f>IFERROR($C36*INDEX(SPPR!$E:$X,MATCH($A36,SPPR!$A:$A,0),8),"")</f>
        <v/>
      </c>
      <c r="L36">
        <f>IFERROR($C36*INDEX(SPPR!$E:$X,MATCH($A36,SPPR!$A:$A,0),9),"")</f>
        <v/>
      </c>
      <c r="M36">
        <f>IFERROR($C36*INDEX(SPPR!$E:$X,MATCH($A36,SPPR!$A:$A,0),10),"")</f>
        <v/>
      </c>
      <c r="N36">
        <f>IFERROR($C36*INDEX(SPPR!$E:$X,MATCH($A36,SPPR!$A:$A,0),11),"")</f>
        <v/>
      </c>
      <c r="O36">
        <f>IFERROR($C36*INDEX(SPPR!$E:$X,MATCH($A36,SPPR!$A:$A,0),12),"")</f>
        <v/>
      </c>
      <c r="P36">
        <f>IFERROR($C36*INDEX(SPPR!$E:$X,MATCH($A36,SPPR!$A:$A,0),13),"")</f>
        <v/>
      </c>
      <c r="Q36">
        <f>IFERROR($C36*INDEX(SPPR!$E:$X,MATCH($A36,SPPR!$A:$A,0),14),"")</f>
        <v/>
      </c>
      <c r="R36">
        <f>IFERROR($C36*INDEX(SPPR!$E:$X,MATCH($A36,SPPR!$A:$A,0),15),"")</f>
        <v/>
      </c>
      <c r="S36">
        <f>IFERROR($C36*INDEX(SPPR!$E:$X,MATCH($A36,SPPR!$A:$A,0),16),"")</f>
        <v/>
      </c>
      <c r="T36">
        <f>IFERROR($C36*INDEX(SPPR!$E:$X,MATCH($A36,SPPR!$A:$A,0),17),"")</f>
        <v/>
      </c>
      <c r="U36">
        <f>IFERROR($C36*INDEX(SPPR!$E:$X,MATCH($A36,SPPR!$A:$A,0),18),"")</f>
        <v/>
      </c>
      <c r="V36">
        <f>IFERROR($C36*INDEX(SPPR!$E:$X,MATCH($A36,SPPR!$A:$A,0),19),"")</f>
        <v/>
      </c>
      <c r="W36">
        <f>IFERROR($C36*INDEX(SPPR!$E:$X,MATCH($A36,SPPR!$A:$A,0),20),"")</f>
        <v/>
      </c>
    </row>
    <row r="37">
      <c r="A37" t="inlineStr">
        <is>
          <t>Sepiidae</t>
        </is>
      </c>
      <c r="B37">
        <f>IFERROR(INDEX(SPPR!$D:$D,MATCH($A37,SPPR!$A:$A,0)),"")</f>
        <v/>
      </c>
      <c r="C37">
        <f>IFERROR(INDEX(Catch!$E:$BV,MATCH($A37,Catch!$A:$A,0),MATCH($B$4,Catch!$E$1:$BV$1,0)),0)</f>
        <v/>
      </c>
      <c r="D37">
        <f>IFERROR($C37*INDEX(SPPR!$E:$X,MATCH($A37,SPPR!$A:$A,0),1),"")</f>
        <v/>
      </c>
      <c r="E37">
        <f>IFERROR($C37*INDEX(SPPR!$E:$X,MATCH($A37,SPPR!$A:$A,0),2),"")</f>
        <v/>
      </c>
      <c r="F37">
        <f>IFERROR($C37*INDEX(SPPR!$E:$X,MATCH($A37,SPPR!$A:$A,0),3),"")</f>
        <v/>
      </c>
      <c r="G37">
        <f>IFERROR($C37*INDEX(SPPR!$E:$X,MATCH($A37,SPPR!$A:$A,0),4),"")</f>
        <v/>
      </c>
      <c r="H37">
        <f>IFERROR($C37*INDEX(SPPR!$E:$X,MATCH($A37,SPPR!$A:$A,0),5),"")</f>
        <v/>
      </c>
      <c r="I37">
        <f>IFERROR($C37*INDEX(SPPR!$E:$X,MATCH($A37,SPPR!$A:$A,0),6),"")</f>
        <v/>
      </c>
      <c r="J37">
        <f>IFERROR($C37*INDEX(SPPR!$E:$X,MATCH($A37,SPPR!$A:$A,0),7),"")</f>
        <v/>
      </c>
      <c r="K37">
        <f>IFERROR($C37*INDEX(SPPR!$E:$X,MATCH($A37,SPPR!$A:$A,0),8),"")</f>
        <v/>
      </c>
      <c r="L37">
        <f>IFERROR($C37*INDEX(SPPR!$E:$X,MATCH($A37,SPPR!$A:$A,0),9),"")</f>
        <v/>
      </c>
      <c r="M37">
        <f>IFERROR($C37*INDEX(SPPR!$E:$X,MATCH($A37,SPPR!$A:$A,0),10),"")</f>
        <v/>
      </c>
      <c r="N37">
        <f>IFERROR($C37*INDEX(SPPR!$E:$X,MATCH($A37,SPPR!$A:$A,0),11),"")</f>
        <v/>
      </c>
      <c r="O37">
        <f>IFERROR($C37*INDEX(SPPR!$E:$X,MATCH($A37,SPPR!$A:$A,0),12),"")</f>
        <v/>
      </c>
      <c r="P37">
        <f>IFERROR($C37*INDEX(SPPR!$E:$X,MATCH($A37,SPPR!$A:$A,0),13),"")</f>
        <v/>
      </c>
      <c r="Q37">
        <f>IFERROR($C37*INDEX(SPPR!$E:$X,MATCH($A37,SPPR!$A:$A,0),14),"")</f>
        <v/>
      </c>
      <c r="R37">
        <f>IFERROR($C37*INDEX(SPPR!$E:$X,MATCH($A37,SPPR!$A:$A,0),15),"")</f>
        <v/>
      </c>
      <c r="S37">
        <f>IFERROR($C37*INDEX(SPPR!$E:$X,MATCH($A37,SPPR!$A:$A,0),16),"")</f>
        <v/>
      </c>
      <c r="T37">
        <f>IFERROR($C37*INDEX(SPPR!$E:$X,MATCH($A37,SPPR!$A:$A,0),17),"")</f>
        <v/>
      </c>
      <c r="U37">
        <f>IFERROR($C37*INDEX(SPPR!$E:$X,MATCH($A37,SPPR!$A:$A,0),18),"")</f>
        <v/>
      </c>
      <c r="V37">
        <f>IFERROR($C37*INDEX(SPPR!$E:$X,MATCH($A37,SPPR!$A:$A,0),19),"")</f>
        <v/>
      </c>
      <c r="W37">
        <f>IFERROR($C37*INDEX(SPPR!$E:$X,MATCH($A37,SPPR!$A:$A,0),20),"")</f>
        <v/>
      </c>
    </row>
    <row r="38">
      <c r="A38" t="inlineStr">
        <is>
          <t>Serranidae</t>
        </is>
      </c>
      <c r="B38">
        <f>IFERROR(INDEX(SPPR!$D:$D,MATCH($A38,SPPR!$A:$A,0)),"")</f>
        <v/>
      </c>
      <c r="C38">
        <f>IFERROR(INDEX(Catch!$E:$BV,MATCH($A38,Catch!$A:$A,0),MATCH($B$4,Catch!$E$1:$BV$1,0)),0)</f>
        <v/>
      </c>
      <c r="D38">
        <f>IFERROR($C38*INDEX(SPPR!$E:$X,MATCH($A38,SPPR!$A:$A,0),1),"")</f>
        <v/>
      </c>
      <c r="E38">
        <f>IFERROR($C38*INDEX(SPPR!$E:$X,MATCH($A38,SPPR!$A:$A,0),2),"")</f>
        <v/>
      </c>
      <c r="F38">
        <f>IFERROR($C38*INDEX(SPPR!$E:$X,MATCH($A38,SPPR!$A:$A,0),3),"")</f>
        <v/>
      </c>
      <c r="G38">
        <f>IFERROR($C38*INDEX(SPPR!$E:$X,MATCH($A38,SPPR!$A:$A,0),4),"")</f>
        <v/>
      </c>
      <c r="H38">
        <f>IFERROR($C38*INDEX(SPPR!$E:$X,MATCH($A38,SPPR!$A:$A,0),5),"")</f>
        <v/>
      </c>
      <c r="I38">
        <f>IFERROR($C38*INDEX(SPPR!$E:$X,MATCH($A38,SPPR!$A:$A,0),6),"")</f>
        <v/>
      </c>
      <c r="J38">
        <f>IFERROR($C38*INDEX(SPPR!$E:$X,MATCH($A38,SPPR!$A:$A,0),7),"")</f>
        <v/>
      </c>
      <c r="K38">
        <f>IFERROR($C38*INDEX(SPPR!$E:$X,MATCH($A38,SPPR!$A:$A,0),8),"")</f>
        <v/>
      </c>
      <c r="L38">
        <f>IFERROR($C38*INDEX(SPPR!$E:$X,MATCH($A38,SPPR!$A:$A,0),9),"")</f>
        <v/>
      </c>
      <c r="M38">
        <f>IFERROR($C38*INDEX(SPPR!$E:$X,MATCH($A38,SPPR!$A:$A,0),10),"")</f>
        <v/>
      </c>
      <c r="N38">
        <f>IFERROR($C38*INDEX(SPPR!$E:$X,MATCH($A38,SPPR!$A:$A,0),11),"")</f>
        <v/>
      </c>
      <c r="O38">
        <f>IFERROR($C38*INDEX(SPPR!$E:$X,MATCH($A38,SPPR!$A:$A,0),12),"")</f>
        <v/>
      </c>
      <c r="P38">
        <f>IFERROR($C38*INDEX(SPPR!$E:$X,MATCH($A38,SPPR!$A:$A,0),13),"")</f>
        <v/>
      </c>
      <c r="Q38">
        <f>IFERROR($C38*INDEX(SPPR!$E:$X,MATCH($A38,SPPR!$A:$A,0),14),"")</f>
        <v/>
      </c>
      <c r="R38">
        <f>IFERROR($C38*INDEX(SPPR!$E:$X,MATCH($A38,SPPR!$A:$A,0),15),"")</f>
        <v/>
      </c>
      <c r="S38">
        <f>IFERROR($C38*INDEX(SPPR!$E:$X,MATCH($A38,SPPR!$A:$A,0),16),"")</f>
        <v/>
      </c>
      <c r="T38">
        <f>IFERROR($C38*INDEX(SPPR!$E:$X,MATCH($A38,SPPR!$A:$A,0),17),"")</f>
        <v/>
      </c>
      <c r="U38">
        <f>IFERROR($C38*INDEX(SPPR!$E:$X,MATCH($A38,SPPR!$A:$A,0),18),"")</f>
        <v/>
      </c>
      <c r="V38">
        <f>IFERROR($C38*INDEX(SPPR!$E:$X,MATCH($A38,SPPR!$A:$A,0),19),"")</f>
        <v/>
      </c>
      <c r="W38">
        <f>IFERROR($C38*INDEX(SPPR!$E:$X,MATCH($A38,SPPR!$A:$A,0),20),"")</f>
        <v/>
      </c>
    </row>
    <row r="39">
      <c r="A39" t="inlineStr">
        <is>
          <t>Thryssa</t>
        </is>
      </c>
      <c r="B39">
        <f>IFERROR(INDEX(SPPR!$D:$D,MATCH($A39,SPPR!$A:$A,0)),"")</f>
        <v/>
      </c>
      <c r="C39">
        <f>IFERROR(INDEX(Catch!$E:$BV,MATCH($A39,Catch!$A:$A,0),MATCH($B$4,Catch!$E$1:$BV$1,0)),0)</f>
        <v/>
      </c>
      <c r="D39">
        <f>IFERROR($C39*INDEX(SPPR!$E:$X,MATCH($A39,SPPR!$A:$A,0),1),"")</f>
        <v/>
      </c>
      <c r="E39">
        <f>IFERROR($C39*INDEX(SPPR!$E:$X,MATCH($A39,SPPR!$A:$A,0),2),"")</f>
        <v/>
      </c>
      <c r="F39">
        <f>IFERROR($C39*INDEX(SPPR!$E:$X,MATCH($A39,SPPR!$A:$A,0),3),"")</f>
        <v/>
      </c>
      <c r="G39">
        <f>IFERROR($C39*INDEX(SPPR!$E:$X,MATCH($A39,SPPR!$A:$A,0),4),"")</f>
        <v/>
      </c>
      <c r="H39">
        <f>IFERROR($C39*INDEX(SPPR!$E:$X,MATCH($A39,SPPR!$A:$A,0),5),"")</f>
        <v/>
      </c>
      <c r="I39">
        <f>IFERROR($C39*INDEX(SPPR!$E:$X,MATCH($A39,SPPR!$A:$A,0),6),"")</f>
        <v/>
      </c>
      <c r="J39">
        <f>IFERROR($C39*INDEX(SPPR!$E:$X,MATCH($A39,SPPR!$A:$A,0),7),"")</f>
        <v/>
      </c>
      <c r="K39">
        <f>IFERROR($C39*INDEX(SPPR!$E:$X,MATCH($A39,SPPR!$A:$A,0),8),"")</f>
        <v/>
      </c>
      <c r="L39">
        <f>IFERROR($C39*INDEX(SPPR!$E:$X,MATCH($A39,SPPR!$A:$A,0),9),"")</f>
        <v/>
      </c>
      <c r="M39">
        <f>IFERROR($C39*INDEX(SPPR!$E:$X,MATCH($A39,SPPR!$A:$A,0),10),"")</f>
        <v/>
      </c>
      <c r="N39">
        <f>IFERROR($C39*INDEX(SPPR!$E:$X,MATCH($A39,SPPR!$A:$A,0),11),"")</f>
        <v/>
      </c>
      <c r="O39">
        <f>IFERROR($C39*INDEX(SPPR!$E:$X,MATCH($A39,SPPR!$A:$A,0),12),"")</f>
        <v/>
      </c>
      <c r="P39">
        <f>IFERROR($C39*INDEX(SPPR!$E:$X,MATCH($A39,SPPR!$A:$A,0),13),"")</f>
        <v/>
      </c>
      <c r="Q39">
        <f>IFERROR($C39*INDEX(SPPR!$E:$X,MATCH($A39,SPPR!$A:$A,0),14),"")</f>
        <v/>
      </c>
      <c r="R39">
        <f>IFERROR($C39*INDEX(SPPR!$E:$X,MATCH($A39,SPPR!$A:$A,0),15),"")</f>
        <v/>
      </c>
      <c r="S39">
        <f>IFERROR($C39*INDEX(SPPR!$E:$X,MATCH($A39,SPPR!$A:$A,0),16),"")</f>
        <v/>
      </c>
      <c r="T39">
        <f>IFERROR($C39*INDEX(SPPR!$E:$X,MATCH($A39,SPPR!$A:$A,0),17),"")</f>
        <v/>
      </c>
      <c r="U39">
        <f>IFERROR($C39*INDEX(SPPR!$E:$X,MATCH($A39,SPPR!$A:$A,0),18),"")</f>
        <v/>
      </c>
      <c r="V39">
        <f>IFERROR($C39*INDEX(SPPR!$E:$X,MATCH($A39,SPPR!$A:$A,0),19),"")</f>
        <v/>
      </c>
      <c r="W39">
        <f>IFERROR($C39*INDEX(SPPR!$E:$X,MATCH($A39,SPPR!$A:$A,0),20),"")</f>
        <v/>
      </c>
    </row>
    <row r="40">
      <c r="A40" t="inlineStr">
        <is>
          <t>Katsuwonus pelamis</t>
        </is>
      </c>
      <c r="B40">
        <f>IFERROR(INDEX(SPPR!$D:$D,MATCH($A40,SPPR!$A:$A,0)),"")</f>
        <v/>
      </c>
      <c r="C40">
        <f>IFERROR(INDEX(Catch!$E:$BV,MATCH($A40,Catch!$A:$A,0),MATCH($B$4,Catch!$E$1:$BV$1,0)),0)</f>
        <v/>
      </c>
      <c r="D40">
        <f>IFERROR($C40*INDEX(SPPR!$E:$X,MATCH($A40,SPPR!$A:$A,0),1),"")</f>
        <v/>
      </c>
      <c r="E40">
        <f>IFERROR($C40*INDEX(SPPR!$E:$X,MATCH($A40,SPPR!$A:$A,0),2),"")</f>
        <v/>
      </c>
      <c r="F40">
        <f>IFERROR($C40*INDEX(SPPR!$E:$X,MATCH($A40,SPPR!$A:$A,0),3),"")</f>
        <v/>
      </c>
      <c r="G40">
        <f>IFERROR($C40*INDEX(SPPR!$E:$X,MATCH($A40,SPPR!$A:$A,0),4),"")</f>
        <v/>
      </c>
      <c r="H40">
        <f>IFERROR($C40*INDEX(SPPR!$E:$X,MATCH($A40,SPPR!$A:$A,0),5),"")</f>
        <v/>
      </c>
      <c r="I40">
        <f>IFERROR($C40*INDEX(SPPR!$E:$X,MATCH($A40,SPPR!$A:$A,0),6),"")</f>
        <v/>
      </c>
      <c r="J40">
        <f>IFERROR($C40*INDEX(SPPR!$E:$X,MATCH($A40,SPPR!$A:$A,0),7),"")</f>
        <v/>
      </c>
      <c r="K40">
        <f>IFERROR($C40*INDEX(SPPR!$E:$X,MATCH($A40,SPPR!$A:$A,0),8),"")</f>
        <v/>
      </c>
      <c r="L40">
        <f>IFERROR($C40*INDEX(SPPR!$E:$X,MATCH($A40,SPPR!$A:$A,0),9),"")</f>
        <v/>
      </c>
      <c r="M40">
        <f>IFERROR($C40*INDEX(SPPR!$E:$X,MATCH($A40,SPPR!$A:$A,0),10),"")</f>
        <v/>
      </c>
      <c r="N40">
        <f>IFERROR($C40*INDEX(SPPR!$E:$X,MATCH($A40,SPPR!$A:$A,0),11),"")</f>
        <v/>
      </c>
      <c r="O40">
        <f>IFERROR($C40*INDEX(SPPR!$E:$X,MATCH($A40,SPPR!$A:$A,0),12),"")</f>
        <v/>
      </c>
      <c r="P40">
        <f>IFERROR($C40*INDEX(SPPR!$E:$X,MATCH($A40,SPPR!$A:$A,0),13),"")</f>
        <v/>
      </c>
      <c r="Q40">
        <f>IFERROR($C40*INDEX(SPPR!$E:$X,MATCH($A40,SPPR!$A:$A,0),14),"")</f>
        <v/>
      </c>
      <c r="R40">
        <f>IFERROR($C40*INDEX(SPPR!$E:$X,MATCH($A40,SPPR!$A:$A,0),15),"")</f>
        <v/>
      </c>
      <c r="S40">
        <f>IFERROR($C40*INDEX(SPPR!$E:$X,MATCH($A40,SPPR!$A:$A,0),16),"")</f>
        <v/>
      </c>
      <c r="T40">
        <f>IFERROR($C40*INDEX(SPPR!$E:$X,MATCH($A40,SPPR!$A:$A,0),17),"")</f>
        <v/>
      </c>
      <c r="U40">
        <f>IFERROR($C40*INDEX(SPPR!$E:$X,MATCH($A40,SPPR!$A:$A,0),18),"")</f>
        <v/>
      </c>
      <c r="V40">
        <f>IFERROR($C40*INDEX(SPPR!$E:$X,MATCH($A40,SPPR!$A:$A,0),19),"")</f>
        <v/>
      </c>
      <c r="W40">
        <f>IFERROR($C40*INDEX(SPPR!$E:$X,MATCH($A40,SPPR!$A:$A,0),20),"")</f>
        <v/>
      </c>
    </row>
    <row r="41">
      <c r="A41" t="inlineStr">
        <is>
          <t>Synodontidae</t>
        </is>
      </c>
      <c r="B41">
        <f>IFERROR(INDEX(SPPR!$D:$D,MATCH($A41,SPPR!$A:$A,0)),"")</f>
        <v/>
      </c>
      <c r="C41">
        <f>IFERROR(INDEX(Catch!$E:$BV,MATCH($A41,Catch!$A:$A,0),MATCH($B$4,Catch!$E$1:$BV$1,0)),0)</f>
        <v/>
      </c>
      <c r="D41">
        <f>IFERROR($C41*INDEX(SPPR!$E:$X,MATCH($A41,SPPR!$A:$A,0),1),"")</f>
        <v/>
      </c>
      <c r="E41">
        <f>IFERROR($C41*INDEX(SPPR!$E:$X,MATCH($A41,SPPR!$A:$A,0),2),"")</f>
        <v/>
      </c>
      <c r="F41">
        <f>IFERROR($C41*INDEX(SPPR!$E:$X,MATCH($A41,SPPR!$A:$A,0),3),"")</f>
        <v/>
      </c>
      <c r="G41">
        <f>IFERROR($C41*INDEX(SPPR!$E:$X,MATCH($A41,SPPR!$A:$A,0),4),"")</f>
        <v/>
      </c>
      <c r="H41">
        <f>IFERROR($C41*INDEX(SPPR!$E:$X,MATCH($A41,SPPR!$A:$A,0),5),"")</f>
        <v/>
      </c>
      <c r="I41">
        <f>IFERROR($C41*INDEX(SPPR!$E:$X,MATCH($A41,SPPR!$A:$A,0),6),"")</f>
        <v/>
      </c>
      <c r="J41">
        <f>IFERROR($C41*INDEX(SPPR!$E:$X,MATCH($A41,SPPR!$A:$A,0),7),"")</f>
        <v/>
      </c>
      <c r="K41">
        <f>IFERROR($C41*INDEX(SPPR!$E:$X,MATCH($A41,SPPR!$A:$A,0),8),"")</f>
        <v/>
      </c>
      <c r="L41">
        <f>IFERROR($C41*INDEX(SPPR!$E:$X,MATCH($A41,SPPR!$A:$A,0),9),"")</f>
        <v/>
      </c>
      <c r="M41">
        <f>IFERROR($C41*INDEX(SPPR!$E:$X,MATCH($A41,SPPR!$A:$A,0),10),"")</f>
        <v/>
      </c>
      <c r="N41">
        <f>IFERROR($C41*INDEX(SPPR!$E:$X,MATCH($A41,SPPR!$A:$A,0),11),"")</f>
        <v/>
      </c>
      <c r="O41">
        <f>IFERROR($C41*INDEX(SPPR!$E:$X,MATCH($A41,SPPR!$A:$A,0),12),"")</f>
        <v/>
      </c>
      <c r="P41">
        <f>IFERROR($C41*INDEX(SPPR!$E:$X,MATCH($A41,SPPR!$A:$A,0),13),"")</f>
        <v/>
      </c>
      <c r="Q41">
        <f>IFERROR($C41*INDEX(SPPR!$E:$X,MATCH($A41,SPPR!$A:$A,0),14),"")</f>
        <v/>
      </c>
      <c r="R41">
        <f>IFERROR($C41*INDEX(SPPR!$E:$X,MATCH($A41,SPPR!$A:$A,0),15),"")</f>
        <v/>
      </c>
      <c r="S41">
        <f>IFERROR($C41*INDEX(SPPR!$E:$X,MATCH($A41,SPPR!$A:$A,0),16),"")</f>
        <v/>
      </c>
      <c r="T41">
        <f>IFERROR($C41*INDEX(SPPR!$E:$X,MATCH($A41,SPPR!$A:$A,0),17),"")</f>
        <v/>
      </c>
      <c r="U41">
        <f>IFERROR($C41*INDEX(SPPR!$E:$X,MATCH($A41,SPPR!$A:$A,0),18),"")</f>
        <v/>
      </c>
      <c r="V41">
        <f>IFERROR($C41*INDEX(SPPR!$E:$X,MATCH($A41,SPPR!$A:$A,0),19),"")</f>
        <v/>
      </c>
      <c r="W41">
        <f>IFERROR($C41*INDEX(SPPR!$E:$X,MATCH($A41,SPPR!$A:$A,0),20),"")</f>
        <v/>
      </c>
    </row>
    <row r="42">
      <c r="A42" t="inlineStr">
        <is>
          <t>Otolithes ruber</t>
        </is>
      </c>
      <c r="B42">
        <f>IFERROR(INDEX(SPPR!$D:$D,MATCH($A42,SPPR!$A:$A,0)),"")</f>
        <v/>
      </c>
      <c r="C42">
        <f>IFERROR(INDEX(Catch!$E:$BV,MATCH($A42,Catch!$A:$A,0),MATCH($B$4,Catch!$E$1:$BV$1,0)),0)</f>
        <v/>
      </c>
      <c r="D42">
        <f>IFERROR($C42*INDEX(SPPR!$E:$X,MATCH($A42,SPPR!$A:$A,0),1),"")</f>
        <v/>
      </c>
      <c r="E42">
        <f>IFERROR($C42*INDEX(SPPR!$E:$X,MATCH($A42,SPPR!$A:$A,0),2),"")</f>
        <v/>
      </c>
      <c r="F42">
        <f>IFERROR($C42*INDEX(SPPR!$E:$X,MATCH($A42,SPPR!$A:$A,0),3),"")</f>
        <v/>
      </c>
      <c r="G42">
        <f>IFERROR($C42*INDEX(SPPR!$E:$X,MATCH($A42,SPPR!$A:$A,0),4),"")</f>
        <v/>
      </c>
      <c r="H42">
        <f>IFERROR($C42*INDEX(SPPR!$E:$X,MATCH($A42,SPPR!$A:$A,0),5),"")</f>
        <v/>
      </c>
      <c r="I42">
        <f>IFERROR($C42*INDEX(SPPR!$E:$X,MATCH($A42,SPPR!$A:$A,0),6),"")</f>
        <v/>
      </c>
      <c r="J42">
        <f>IFERROR($C42*INDEX(SPPR!$E:$X,MATCH($A42,SPPR!$A:$A,0),7),"")</f>
        <v/>
      </c>
      <c r="K42">
        <f>IFERROR($C42*INDEX(SPPR!$E:$X,MATCH($A42,SPPR!$A:$A,0),8),"")</f>
        <v/>
      </c>
      <c r="L42">
        <f>IFERROR($C42*INDEX(SPPR!$E:$X,MATCH($A42,SPPR!$A:$A,0),9),"")</f>
        <v/>
      </c>
      <c r="M42">
        <f>IFERROR($C42*INDEX(SPPR!$E:$X,MATCH($A42,SPPR!$A:$A,0),10),"")</f>
        <v/>
      </c>
      <c r="N42">
        <f>IFERROR($C42*INDEX(SPPR!$E:$X,MATCH($A42,SPPR!$A:$A,0),11),"")</f>
        <v/>
      </c>
      <c r="O42">
        <f>IFERROR($C42*INDEX(SPPR!$E:$X,MATCH($A42,SPPR!$A:$A,0),12),"")</f>
        <v/>
      </c>
      <c r="P42">
        <f>IFERROR($C42*INDEX(SPPR!$E:$X,MATCH($A42,SPPR!$A:$A,0),13),"")</f>
        <v/>
      </c>
      <c r="Q42">
        <f>IFERROR($C42*INDEX(SPPR!$E:$X,MATCH($A42,SPPR!$A:$A,0),14),"")</f>
        <v/>
      </c>
      <c r="R42">
        <f>IFERROR($C42*INDEX(SPPR!$E:$X,MATCH($A42,SPPR!$A:$A,0),15),"")</f>
        <v/>
      </c>
      <c r="S42">
        <f>IFERROR($C42*INDEX(SPPR!$E:$X,MATCH($A42,SPPR!$A:$A,0),16),"")</f>
        <v/>
      </c>
      <c r="T42">
        <f>IFERROR($C42*INDEX(SPPR!$E:$X,MATCH($A42,SPPR!$A:$A,0),17),"")</f>
        <v/>
      </c>
      <c r="U42">
        <f>IFERROR($C42*INDEX(SPPR!$E:$X,MATCH($A42,SPPR!$A:$A,0),18),"")</f>
        <v/>
      </c>
      <c r="V42">
        <f>IFERROR($C42*INDEX(SPPR!$E:$X,MATCH($A42,SPPR!$A:$A,0),19),"")</f>
        <v/>
      </c>
      <c r="W42">
        <f>IFERROR($C42*INDEX(SPPR!$E:$X,MATCH($A42,SPPR!$A:$A,0),20),"")</f>
        <v/>
      </c>
    </row>
    <row r="43">
      <c r="A43" t="inlineStr">
        <is>
          <t>Thunnus tonggol</t>
        </is>
      </c>
      <c r="B43">
        <f>IFERROR(INDEX(SPPR!$D:$D,MATCH($A43,SPPR!$A:$A,0)),"")</f>
        <v/>
      </c>
      <c r="C43">
        <f>IFERROR(INDEX(Catch!$E:$BV,MATCH($A43,Catch!$A:$A,0),MATCH($B$4,Catch!$E$1:$BV$1,0)),0)</f>
        <v/>
      </c>
      <c r="D43">
        <f>IFERROR($C43*INDEX(SPPR!$E:$X,MATCH($A43,SPPR!$A:$A,0),1),"")</f>
        <v/>
      </c>
      <c r="E43">
        <f>IFERROR($C43*INDEX(SPPR!$E:$X,MATCH($A43,SPPR!$A:$A,0),2),"")</f>
        <v/>
      </c>
      <c r="F43">
        <f>IFERROR($C43*INDEX(SPPR!$E:$X,MATCH($A43,SPPR!$A:$A,0),3),"")</f>
        <v/>
      </c>
      <c r="G43">
        <f>IFERROR($C43*INDEX(SPPR!$E:$X,MATCH($A43,SPPR!$A:$A,0),4),"")</f>
        <v/>
      </c>
      <c r="H43">
        <f>IFERROR($C43*INDEX(SPPR!$E:$X,MATCH($A43,SPPR!$A:$A,0),5),"")</f>
        <v/>
      </c>
      <c r="I43">
        <f>IFERROR($C43*INDEX(SPPR!$E:$X,MATCH($A43,SPPR!$A:$A,0),6),"")</f>
        <v/>
      </c>
      <c r="J43">
        <f>IFERROR($C43*INDEX(SPPR!$E:$X,MATCH($A43,SPPR!$A:$A,0),7),"")</f>
        <v/>
      </c>
      <c r="K43">
        <f>IFERROR($C43*INDEX(SPPR!$E:$X,MATCH($A43,SPPR!$A:$A,0),8),"")</f>
        <v/>
      </c>
      <c r="L43">
        <f>IFERROR($C43*INDEX(SPPR!$E:$X,MATCH($A43,SPPR!$A:$A,0),9),"")</f>
        <v/>
      </c>
      <c r="M43">
        <f>IFERROR($C43*INDEX(SPPR!$E:$X,MATCH($A43,SPPR!$A:$A,0),10),"")</f>
        <v/>
      </c>
      <c r="N43">
        <f>IFERROR($C43*INDEX(SPPR!$E:$X,MATCH($A43,SPPR!$A:$A,0),11),"")</f>
        <v/>
      </c>
      <c r="O43">
        <f>IFERROR($C43*INDEX(SPPR!$E:$X,MATCH($A43,SPPR!$A:$A,0),12),"")</f>
        <v/>
      </c>
      <c r="P43">
        <f>IFERROR($C43*INDEX(SPPR!$E:$X,MATCH($A43,SPPR!$A:$A,0),13),"")</f>
        <v/>
      </c>
      <c r="Q43">
        <f>IFERROR($C43*INDEX(SPPR!$E:$X,MATCH($A43,SPPR!$A:$A,0),14),"")</f>
        <v/>
      </c>
      <c r="R43">
        <f>IFERROR($C43*INDEX(SPPR!$E:$X,MATCH($A43,SPPR!$A:$A,0),15),"")</f>
        <v/>
      </c>
      <c r="S43">
        <f>IFERROR($C43*INDEX(SPPR!$E:$X,MATCH($A43,SPPR!$A:$A,0),16),"")</f>
        <v/>
      </c>
      <c r="T43">
        <f>IFERROR($C43*INDEX(SPPR!$E:$X,MATCH($A43,SPPR!$A:$A,0),17),"")</f>
        <v/>
      </c>
      <c r="U43">
        <f>IFERROR($C43*INDEX(SPPR!$E:$X,MATCH($A43,SPPR!$A:$A,0),18),"")</f>
        <v/>
      </c>
      <c r="V43">
        <f>IFERROR($C43*INDEX(SPPR!$E:$X,MATCH($A43,SPPR!$A:$A,0),19),"")</f>
        <v/>
      </c>
      <c r="W43">
        <f>IFERROR($C43*INDEX(SPPR!$E:$X,MATCH($A43,SPPR!$A:$A,0),20),"")</f>
        <v/>
      </c>
    </row>
    <row r="44">
      <c r="A44" t="inlineStr">
        <is>
          <t>Scombridae</t>
        </is>
      </c>
      <c r="B44">
        <f>IFERROR(INDEX(SPPR!$D:$D,MATCH($A44,SPPR!$A:$A,0)),"")</f>
        <v/>
      </c>
      <c r="C44">
        <f>IFERROR(INDEX(Catch!$E:$BV,MATCH($A44,Catch!$A:$A,0),MATCH($B$4,Catch!$E$1:$BV$1,0)),0)</f>
        <v/>
      </c>
      <c r="D44">
        <f>IFERROR($C44*INDEX(SPPR!$E:$X,MATCH($A44,SPPR!$A:$A,0),1),"")</f>
        <v/>
      </c>
      <c r="E44">
        <f>IFERROR($C44*INDEX(SPPR!$E:$X,MATCH($A44,SPPR!$A:$A,0),2),"")</f>
        <v/>
      </c>
      <c r="F44">
        <f>IFERROR($C44*INDEX(SPPR!$E:$X,MATCH($A44,SPPR!$A:$A,0),3),"")</f>
        <v/>
      </c>
      <c r="G44">
        <f>IFERROR($C44*INDEX(SPPR!$E:$X,MATCH($A44,SPPR!$A:$A,0),4),"")</f>
        <v/>
      </c>
      <c r="H44">
        <f>IFERROR($C44*INDEX(SPPR!$E:$X,MATCH($A44,SPPR!$A:$A,0),5),"")</f>
        <v/>
      </c>
      <c r="I44">
        <f>IFERROR($C44*INDEX(SPPR!$E:$X,MATCH($A44,SPPR!$A:$A,0),6),"")</f>
        <v/>
      </c>
      <c r="J44">
        <f>IFERROR($C44*INDEX(SPPR!$E:$X,MATCH($A44,SPPR!$A:$A,0),7),"")</f>
        <v/>
      </c>
      <c r="K44">
        <f>IFERROR($C44*INDEX(SPPR!$E:$X,MATCH($A44,SPPR!$A:$A,0),8),"")</f>
        <v/>
      </c>
      <c r="L44">
        <f>IFERROR($C44*INDEX(SPPR!$E:$X,MATCH($A44,SPPR!$A:$A,0),9),"")</f>
        <v/>
      </c>
      <c r="M44">
        <f>IFERROR($C44*INDEX(SPPR!$E:$X,MATCH($A44,SPPR!$A:$A,0),10),"")</f>
        <v/>
      </c>
      <c r="N44">
        <f>IFERROR($C44*INDEX(SPPR!$E:$X,MATCH($A44,SPPR!$A:$A,0),11),"")</f>
        <v/>
      </c>
      <c r="O44">
        <f>IFERROR($C44*INDEX(SPPR!$E:$X,MATCH($A44,SPPR!$A:$A,0),12),"")</f>
        <v/>
      </c>
      <c r="P44">
        <f>IFERROR($C44*INDEX(SPPR!$E:$X,MATCH($A44,SPPR!$A:$A,0),13),"")</f>
        <v/>
      </c>
      <c r="Q44">
        <f>IFERROR($C44*INDEX(SPPR!$E:$X,MATCH($A44,SPPR!$A:$A,0),14),"")</f>
        <v/>
      </c>
      <c r="R44">
        <f>IFERROR($C44*INDEX(SPPR!$E:$X,MATCH($A44,SPPR!$A:$A,0),15),"")</f>
        <v/>
      </c>
      <c r="S44">
        <f>IFERROR($C44*INDEX(SPPR!$E:$X,MATCH($A44,SPPR!$A:$A,0),16),"")</f>
        <v/>
      </c>
      <c r="T44">
        <f>IFERROR($C44*INDEX(SPPR!$E:$X,MATCH($A44,SPPR!$A:$A,0),17),"")</f>
        <v/>
      </c>
      <c r="U44">
        <f>IFERROR($C44*INDEX(SPPR!$E:$X,MATCH($A44,SPPR!$A:$A,0),18),"")</f>
        <v/>
      </c>
      <c r="V44">
        <f>IFERROR($C44*INDEX(SPPR!$E:$X,MATCH($A44,SPPR!$A:$A,0),19),"")</f>
        <v/>
      </c>
      <c r="W44">
        <f>IFERROR($C44*INDEX(SPPR!$E:$X,MATCH($A44,SPPR!$A:$A,0),20),"")</f>
        <v/>
      </c>
    </row>
    <row r="45">
      <c r="A45" t="inlineStr">
        <is>
          <t>Teuthida</t>
        </is>
      </c>
      <c r="B45">
        <f>IFERROR(INDEX(SPPR!$D:$D,MATCH($A45,SPPR!$A:$A,0)),"")</f>
        <v/>
      </c>
      <c r="C45">
        <f>IFERROR(INDEX(Catch!$E:$BV,MATCH($A45,Catch!$A:$A,0),MATCH($B$4,Catch!$E$1:$BV$1,0)),0)</f>
        <v/>
      </c>
      <c r="D45">
        <f>IFERROR($C45*INDEX(SPPR!$E:$X,MATCH($A45,SPPR!$A:$A,0),1),"")</f>
        <v/>
      </c>
      <c r="E45">
        <f>IFERROR($C45*INDEX(SPPR!$E:$X,MATCH($A45,SPPR!$A:$A,0),2),"")</f>
        <v/>
      </c>
      <c r="F45">
        <f>IFERROR($C45*INDEX(SPPR!$E:$X,MATCH($A45,SPPR!$A:$A,0),3),"")</f>
        <v/>
      </c>
      <c r="G45">
        <f>IFERROR($C45*INDEX(SPPR!$E:$X,MATCH($A45,SPPR!$A:$A,0),4),"")</f>
        <v/>
      </c>
      <c r="H45">
        <f>IFERROR($C45*INDEX(SPPR!$E:$X,MATCH($A45,SPPR!$A:$A,0),5),"")</f>
        <v/>
      </c>
      <c r="I45">
        <f>IFERROR($C45*INDEX(SPPR!$E:$X,MATCH($A45,SPPR!$A:$A,0),6),"")</f>
        <v/>
      </c>
      <c r="J45">
        <f>IFERROR($C45*INDEX(SPPR!$E:$X,MATCH($A45,SPPR!$A:$A,0),7),"")</f>
        <v/>
      </c>
      <c r="K45">
        <f>IFERROR($C45*INDEX(SPPR!$E:$X,MATCH($A45,SPPR!$A:$A,0),8),"")</f>
        <v/>
      </c>
      <c r="L45">
        <f>IFERROR($C45*INDEX(SPPR!$E:$X,MATCH($A45,SPPR!$A:$A,0),9),"")</f>
        <v/>
      </c>
      <c r="M45">
        <f>IFERROR($C45*INDEX(SPPR!$E:$X,MATCH($A45,SPPR!$A:$A,0),10),"")</f>
        <v/>
      </c>
      <c r="N45">
        <f>IFERROR($C45*INDEX(SPPR!$E:$X,MATCH($A45,SPPR!$A:$A,0),11),"")</f>
        <v/>
      </c>
      <c r="O45">
        <f>IFERROR($C45*INDEX(SPPR!$E:$X,MATCH($A45,SPPR!$A:$A,0),12),"")</f>
        <v/>
      </c>
      <c r="P45">
        <f>IFERROR($C45*INDEX(SPPR!$E:$X,MATCH($A45,SPPR!$A:$A,0),13),"")</f>
        <v/>
      </c>
      <c r="Q45">
        <f>IFERROR($C45*INDEX(SPPR!$E:$X,MATCH($A45,SPPR!$A:$A,0),14),"")</f>
        <v/>
      </c>
      <c r="R45">
        <f>IFERROR($C45*INDEX(SPPR!$E:$X,MATCH($A45,SPPR!$A:$A,0),15),"")</f>
        <v/>
      </c>
      <c r="S45">
        <f>IFERROR($C45*INDEX(SPPR!$E:$X,MATCH($A45,SPPR!$A:$A,0),16),"")</f>
        <v/>
      </c>
      <c r="T45">
        <f>IFERROR($C45*INDEX(SPPR!$E:$X,MATCH($A45,SPPR!$A:$A,0),17),"")</f>
        <v/>
      </c>
      <c r="U45">
        <f>IFERROR($C45*INDEX(SPPR!$E:$X,MATCH($A45,SPPR!$A:$A,0),18),"")</f>
        <v/>
      </c>
      <c r="V45">
        <f>IFERROR($C45*INDEX(SPPR!$E:$X,MATCH($A45,SPPR!$A:$A,0),19),"")</f>
        <v/>
      </c>
      <c r="W45">
        <f>IFERROR($C45*INDEX(SPPR!$E:$X,MATCH($A45,SPPR!$A:$A,0),20),"")</f>
        <v/>
      </c>
    </row>
    <row r="46">
      <c r="A46" t="inlineStr">
        <is>
          <t>Portunus pelagicus</t>
        </is>
      </c>
      <c r="B46">
        <f>IFERROR(INDEX(SPPR!$D:$D,MATCH($A46,SPPR!$A:$A,0)),"")</f>
        <v/>
      </c>
      <c r="C46">
        <f>IFERROR(INDEX(Catch!$E:$BV,MATCH($A46,Catch!$A:$A,0),MATCH($B$4,Catch!$E$1:$BV$1,0)),0)</f>
        <v/>
      </c>
      <c r="D46">
        <f>IFERROR($C46*INDEX(SPPR!$E:$X,MATCH($A46,SPPR!$A:$A,0),1),"")</f>
        <v/>
      </c>
      <c r="E46">
        <f>IFERROR($C46*INDEX(SPPR!$E:$X,MATCH($A46,SPPR!$A:$A,0),2),"")</f>
        <v/>
      </c>
      <c r="F46">
        <f>IFERROR($C46*INDEX(SPPR!$E:$X,MATCH($A46,SPPR!$A:$A,0),3),"")</f>
        <v/>
      </c>
      <c r="G46">
        <f>IFERROR($C46*INDEX(SPPR!$E:$X,MATCH($A46,SPPR!$A:$A,0),4),"")</f>
        <v/>
      </c>
      <c r="H46">
        <f>IFERROR($C46*INDEX(SPPR!$E:$X,MATCH($A46,SPPR!$A:$A,0),5),"")</f>
        <v/>
      </c>
      <c r="I46">
        <f>IFERROR($C46*INDEX(SPPR!$E:$X,MATCH($A46,SPPR!$A:$A,0),6),"")</f>
        <v/>
      </c>
      <c r="J46">
        <f>IFERROR($C46*INDEX(SPPR!$E:$X,MATCH($A46,SPPR!$A:$A,0),7),"")</f>
        <v/>
      </c>
      <c r="K46">
        <f>IFERROR($C46*INDEX(SPPR!$E:$X,MATCH($A46,SPPR!$A:$A,0),8),"")</f>
        <v/>
      </c>
      <c r="L46">
        <f>IFERROR($C46*INDEX(SPPR!$E:$X,MATCH($A46,SPPR!$A:$A,0),9),"")</f>
        <v/>
      </c>
      <c r="M46">
        <f>IFERROR($C46*INDEX(SPPR!$E:$X,MATCH($A46,SPPR!$A:$A,0),10),"")</f>
        <v/>
      </c>
      <c r="N46">
        <f>IFERROR($C46*INDEX(SPPR!$E:$X,MATCH($A46,SPPR!$A:$A,0),11),"")</f>
        <v/>
      </c>
      <c r="O46">
        <f>IFERROR($C46*INDEX(SPPR!$E:$X,MATCH($A46,SPPR!$A:$A,0),12),"")</f>
        <v/>
      </c>
      <c r="P46">
        <f>IFERROR($C46*INDEX(SPPR!$E:$X,MATCH($A46,SPPR!$A:$A,0),13),"")</f>
        <v/>
      </c>
      <c r="Q46">
        <f>IFERROR($C46*INDEX(SPPR!$E:$X,MATCH($A46,SPPR!$A:$A,0),14),"")</f>
        <v/>
      </c>
      <c r="R46">
        <f>IFERROR($C46*INDEX(SPPR!$E:$X,MATCH($A46,SPPR!$A:$A,0),15),"")</f>
        <v/>
      </c>
      <c r="S46">
        <f>IFERROR($C46*INDEX(SPPR!$E:$X,MATCH($A46,SPPR!$A:$A,0),16),"")</f>
        <v/>
      </c>
      <c r="T46">
        <f>IFERROR($C46*INDEX(SPPR!$E:$X,MATCH($A46,SPPR!$A:$A,0),17),"")</f>
        <v/>
      </c>
      <c r="U46">
        <f>IFERROR($C46*INDEX(SPPR!$E:$X,MATCH($A46,SPPR!$A:$A,0),18),"")</f>
        <v/>
      </c>
      <c r="V46">
        <f>IFERROR($C46*INDEX(SPPR!$E:$X,MATCH($A46,SPPR!$A:$A,0),19),"")</f>
        <v/>
      </c>
      <c r="W46">
        <f>IFERROR($C46*INDEX(SPPR!$E:$X,MATCH($A46,SPPR!$A:$A,0),20),"")</f>
        <v/>
      </c>
    </row>
    <row r="47">
      <c r="A47" t="inlineStr">
        <is>
          <t>Coryphaena hippurus</t>
        </is>
      </c>
      <c r="B47">
        <f>IFERROR(INDEX(SPPR!$D:$D,MATCH($A47,SPPR!$A:$A,0)),"")</f>
        <v/>
      </c>
      <c r="C47">
        <f>IFERROR(INDEX(Catch!$E:$BV,MATCH($A47,Catch!$A:$A,0),MATCH($B$4,Catch!$E$1:$BV$1,0)),0)</f>
        <v/>
      </c>
      <c r="D47">
        <f>IFERROR($C47*INDEX(SPPR!$E:$X,MATCH($A47,SPPR!$A:$A,0),1),"")</f>
        <v/>
      </c>
      <c r="E47">
        <f>IFERROR($C47*INDEX(SPPR!$E:$X,MATCH($A47,SPPR!$A:$A,0),2),"")</f>
        <v/>
      </c>
      <c r="F47">
        <f>IFERROR($C47*INDEX(SPPR!$E:$X,MATCH($A47,SPPR!$A:$A,0),3),"")</f>
        <v/>
      </c>
      <c r="G47">
        <f>IFERROR($C47*INDEX(SPPR!$E:$X,MATCH($A47,SPPR!$A:$A,0),4),"")</f>
        <v/>
      </c>
      <c r="H47">
        <f>IFERROR($C47*INDEX(SPPR!$E:$X,MATCH($A47,SPPR!$A:$A,0),5),"")</f>
        <v/>
      </c>
      <c r="I47">
        <f>IFERROR($C47*INDEX(SPPR!$E:$X,MATCH($A47,SPPR!$A:$A,0),6),"")</f>
        <v/>
      </c>
      <c r="J47">
        <f>IFERROR($C47*INDEX(SPPR!$E:$X,MATCH($A47,SPPR!$A:$A,0),7),"")</f>
        <v/>
      </c>
      <c r="K47">
        <f>IFERROR($C47*INDEX(SPPR!$E:$X,MATCH($A47,SPPR!$A:$A,0),8),"")</f>
        <v/>
      </c>
      <c r="L47">
        <f>IFERROR($C47*INDEX(SPPR!$E:$X,MATCH($A47,SPPR!$A:$A,0),9),"")</f>
        <v/>
      </c>
      <c r="M47">
        <f>IFERROR($C47*INDEX(SPPR!$E:$X,MATCH($A47,SPPR!$A:$A,0),10),"")</f>
        <v/>
      </c>
      <c r="N47">
        <f>IFERROR($C47*INDEX(SPPR!$E:$X,MATCH($A47,SPPR!$A:$A,0),11),"")</f>
        <v/>
      </c>
      <c r="O47">
        <f>IFERROR($C47*INDEX(SPPR!$E:$X,MATCH($A47,SPPR!$A:$A,0),12),"")</f>
        <v/>
      </c>
      <c r="P47">
        <f>IFERROR($C47*INDEX(SPPR!$E:$X,MATCH($A47,SPPR!$A:$A,0),13),"")</f>
        <v/>
      </c>
      <c r="Q47">
        <f>IFERROR($C47*INDEX(SPPR!$E:$X,MATCH($A47,SPPR!$A:$A,0),14),"")</f>
        <v/>
      </c>
      <c r="R47">
        <f>IFERROR($C47*INDEX(SPPR!$E:$X,MATCH($A47,SPPR!$A:$A,0),15),"")</f>
        <v/>
      </c>
      <c r="S47">
        <f>IFERROR($C47*INDEX(SPPR!$E:$X,MATCH($A47,SPPR!$A:$A,0),16),"")</f>
        <v/>
      </c>
      <c r="T47">
        <f>IFERROR($C47*INDEX(SPPR!$E:$X,MATCH($A47,SPPR!$A:$A,0),17),"")</f>
        <v/>
      </c>
      <c r="U47">
        <f>IFERROR($C47*INDEX(SPPR!$E:$X,MATCH($A47,SPPR!$A:$A,0),18),"")</f>
        <v/>
      </c>
      <c r="V47">
        <f>IFERROR($C47*INDEX(SPPR!$E:$X,MATCH($A47,SPPR!$A:$A,0),19),"")</f>
        <v/>
      </c>
      <c r="W47">
        <f>IFERROR($C47*INDEX(SPPR!$E:$X,MATCH($A47,SPPR!$A:$A,0),20),"")</f>
        <v/>
      </c>
    </row>
    <row r="48">
      <c r="A48" t="inlineStr">
        <is>
          <t>Mugilidae</t>
        </is>
      </c>
      <c r="B48">
        <f>IFERROR(INDEX(SPPR!$D:$D,MATCH($A48,SPPR!$A:$A,0)),"")</f>
        <v/>
      </c>
      <c r="C48">
        <f>IFERROR(INDEX(Catch!$E:$BV,MATCH($A48,Catch!$A:$A,0),MATCH($B$4,Catch!$E$1:$BV$1,0)),0)</f>
        <v/>
      </c>
      <c r="D48">
        <f>IFERROR($C48*INDEX(SPPR!$E:$X,MATCH($A48,SPPR!$A:$A,0),1),"")</f>
        <v/>
      </c>
      <c r="E48">
        <f>IFERROR($C48*INDEX(SPPR!$E:$X,MATCH($A48,SPPR!$A:$A,0),2),"")</f>
        <v/>
      </c>
      <c r="F48">
        <f>IFERROR($C48*INDEX(SPPR!$E:$X,MATCH($A48,SPPR!$A:$A,0),3),"")</f>
        <v/>
      </c>
      <c r="G48">
        <f>IFERROR($C48*INDEX(SPPR!$E:$X,MATCH($A48,SPPR!$A:$A,0),4),"")</f>
        <v/>
      </c>
      <c r="H48">
        <f>IFERROR($C48*INDEX(SPPR!$E:$X,MATCH($A48,SPPR!$A:$A,0),5),"")</f>
        <v/>
      </c>
      <c r="I48">
        <f>IFERROR($C48*INDEX(SPPR!$E:$X,MATCH($A48,SPPR!$A:$A,0),6),"")</f>
        <v/>
      </c>
      <c r="J48">
        <f>IFERROR($C48*INDEX(SPPR!$E:$X,MATCH($A48,SPPR!$A:$A,0),7),"")</f>
        <v/>
      </c>
      <c r="K48">
        <f>IFERROR($C48*INDEX(SPPR!$E:$X,MATCH($A48,SPPR!$A:$A,0),8),"")</f>
        <v/>
      </c>
      <c r="L48">
        <f>IFERROR($C48*INDEX(SPPR!$E:$X,MATCH($A48,SPPR!$A:$A,0),9),"")</f>
        <v/>
      </c>
      <c r="M48">
        <f>IFERROR($C48*INDEX(SPPR!$E:$X,MATCH($A48,SPPR!$A:$A,0),10),"")</f>
        <v/>
      </c>
      <c r="N48">
        <f>IFERROR($C48*INDEX(SPPR!$E:$X,MATCH($A48,SPPR!$A:$A,0),11),"")</f>
        <v/>
      </c>
      <c r="O48">
        <f>IFERROR($C48*INDEX(SPPR!$E:$X,MATCH($A48,SPPR!$A:$A,0),12),"")</f>
        <v/>
      </c>
      <c r="P48">
        <f>IFERROR($C48*INDEX(SPPR!$E:$X,MATCH($A48,SPPR!$A:$A,0),13),"")</f>
        <v/>
      </c>
      <c r="Q48">
        <f>IFERROR($C48*INDEX(SPPR!$E:$X,MATCH($A48,SPPR!$A:$A,0),14),"")</f>
        <v/>
      </c>
      <c r="R48">
        <f>IFERROR($C48*INDEX(SPPR!$E:$X,MATCH($A48,SPPR!$A:$A,0),15),"")</f>
        <v/>
      </c>
      <c r="S48">
        <f>IFERROR($C48*INDEX(SPPR!$E:$X,MATCH($A48,SPPR!$A:$A,0),16),"")</f>
        <v/>
      </c>
      <c r="T48">
        <f>IFERROR($C48*INDEX(SPPR!$E:$X,MATCH($A48,SPPR!$A:$A,0),17),"")</f>
        <v/>
      </c>
      <c r="U48">
        <f>IFERROR($C48*INDEX(SPPR!$E:$X,MATCH($A48,SPPR!$A:$A,0),18),"")</f>
        <v/>
      </c>
      <c r="V48">
        <f>IFERROR($C48*INDEX(SPPR!$E:$X,MATCH($A48,SPPR!$A:$A,0),19),"")</f>
        <v/>
      </c>
      <c r="W48">
        <f>IFERROR($C48*INDEX(SPPR!$E:$X,MATCH($A48,SPPR!$A:$A,0),20),"")</f>
        <v/>
      </c>
    </row>
    <row r="49">
      <c r="A49" t="inlineStr">
        <is>
          <t>Tenualosa ilisha</t>
        </is>
      </c>
      <c r="B49">
        <f>IFERROR(INDEX(SPPR!$D:$D,MATCH($A49,SPPR!$A:$A,0)),"")</f>
        <v/>
      </c>
      <c r="C49">
        <f>IFERROR(INDEX(Catch!$E:$BV,MATCH($A49,Catch!$A:$A,0),MATCH($B$4,Catch!$E$1:$BV$1,0)),0)</f>
        <v/>
      </c>
      <c r="D49">
        <f>IFERROR($C49*INDEX(SPPR!$E:$X,MATCH($A49,SPPR!$A:$A,0),1),"")</f>
        <v/>
      </c>
      <c r="E49">
        <f>IFERROR($C49*INDEX(SPPR!$E:$X,MATCH($A49,SPPR!$A:$A,0),2),"")</f>
        <v/>
      </c>
      <c r="F49">
        <f>IFERROR($C49*INDEX(SPPR!$E:$X,MATCH($A49,SPPR!$A:$A,0),3),"")</f>
        <v/>
      </c>
      <c r="G49">
        <f>IFERROR($C49*INDEX(SPPR!$E:$X,MATCH($A49,SPPR!$A:$A,0),4),"")</f>
        <v/>
      </c>
      <c r="H49">
        <f>IFERROR($C49*INDEX(SPPR!$E:$X,MATCH($A49,SPPR!$A:$A,0),5),"")</f>
        <v/>
      </c>
      <c r="I49">
        <f>IFERROR($C49*INDEX(SPPR!$E:$X,MATCH($A49,SPPR!$A:$A,0),6),"")</f>
        <v/>
      </c>
      <c r="J49">
        <f>IFERROR($C49*INDEX(SPPR!$E:$X,MATCH($A49,SPPR!$A:$A,0),7),"")</f>
        <v/>
      </c>
      <c r="K49">
        <f>IFERROR($C49*INDEX(SPPR!$E:$X,MATCH($A49,SPPR!$A:$A,0),8),"")</f>
        <v/>
      </c>
      <c r="L49">
        <f>IFERROR($C49*INDEX(SPPR!$E:$X,MATCH($A49,SPPR!$A:$A,0),9),"")</f>
        <v/>
      </c>
      <c r="M49">
        <f>IFERROR($C49*INDEX(SPPR!$E:$X,MATCH($A49,SPPR!$A:$A,0),10),"")</f>
        <v/>
      </c>
      <c r="N49">
        <f>IFERROR($C49*INDEX(SPPR!$E:$X,MATCH($A49,SPPR!$A:$A,0),11),"")</f>
        <v/>
      </c>
      <c r="O49">
        <f>IFERROR($C49*INDEX(SPPR!$E:$X,MATCH($A49,SPPR!$A:$A,0),12),"")</f>
        <v/>
      </c>
      <c r="P49">
        <f>IFERROR($C49*INDEX(SPPR!$E:$X,MATCH($A49,SPPR!$A:$A,0),13),"")</f>
        <v/>
      </c>
      <c r="Q49">
        <f>IFERROR($C49*INDEX(SPPR!$E:$X,MATCH($A49,SPPR!$A:$A,0),14),"")</f>
        <v/>
      </c>
      <c r="R49">
        <f>IFERROR($C49*INDEX(SPPR!$E:$X,MATCH($A49,SPPR!$A:$A,0),15),"")</f>
        <v/>
      </c>
      <c r="S49">
        <f>IFERROR($C49*INDEX(SPPR!$E:$X,MATCH($A49,SPPR!$A:$A,0),16),"")</f>
        <v/>
      </c>
      <c r="T49">
        <f>IFERROR($C49*INDEX(SPPR!$E:$X,MATCH($A49,SPPR!$A:$A,0),17),"")</f>
        <v/>
      </c>
      <c r="U49">
        <f>IFERROR($C49*INDEX(SPPR!$E:$X,MATCH($A49,SPPR!$A:$A,0),18),"")</f>
        <v/>
      </c>
      <c r="V49">
        <f>IFERROR($C49*INDEX(SPPR!$E:$X,MATCH($A49,SPPR!$A:$A,0),19),"")</f>
        <v/>
      </c>
      <c r="W49">
        <f>IFERROR($C49*INDEX(SPPR!$E:$X,MATCH($A49,SPPR!$A:$A,0),20),"")</f>
        <v/>
      </c>
    </row>
    <row r="50">
      <c r="A50" t="inlineStr">
        <is>
          <t>Platycaranx chrysophrys</t>
        </is>
      </c>
      <c r="B50">
        <f>IFERROR(INDEX(SPPR!$D:$D,MATCH($A50,SPPR!$A:$A,0)),"")</f>
        <v/>
      </c>
      <c r="C50">
        <f>IFERROR(INDEX(Catch!$E:$BV,MATCH($A50,Catch!$A:$A,0),MATCH($B$4,Catch!$E$1:$BV$1,0)),0)</f>
        <v/>
      </c>
      <c r="D50">
        <f>IFERROR($C50*INDEX(SPPR!$E:$X,MATCH($A50,SPPR!$A:$A,0),1),"")</f>
        <v/>
      </c>
      <c r="E50">
        <f>IFERROR($C50*INDEX(SPPR!$E:$X,MATCH($A50,SPPR!$A:$A,0),2),"")</f>
        <v/>
      </c>
      <c r="F50">
        <f>IFERROR($C50*INDEX(SPPR!$E:$X,MATCH($A50,SPPR!$A:$A,0),3),"")</f>
        <v/>
      </c>
      <c r="G50">
        <f>IFERROR($C50*INDEX(SPPR!$E:$X,MATCH($A50,SPPR!$A:$A,0),4),"")</f>
        <v/>
      </c>
      <c r="H50">
        <f>IFERROR($C50*INDEX(SPPR!$E:$X,MATCH($A50,SPPR!$A:$A,0),5),"")</f>
        <v/>
      </c>
      <c r="I50">
        <f>IFERROR($C50*INDEX(SPPR!$E:$X,MATCH($A50,SPPR!$A:$A,0),6),"")</f>
        <v/>
      </c>
      <c r="J50">
        <f>IFERROR($C50*INDEX(SPPR!$E:$X,MATCH($A50,SPPR!$A:$A,0),7),"")</f>
        <v/>
      </c>
      <c r="K50">
        <f>IFERROR($C50*INDEX(SPPR!$E:$X,MATCH($A50,SPPR!$A:$A,0),8),"")</f>
        <v/>
      </c>
      <c r="L50">
        <f>IFERROR($C50*INDEX(SPPR!$E:$X,MATCH($A50,SPPR!$A:$A,0),9),"")</f>
        <v/>
      </c>
      <c r="M50">
        <f>IFERROR($C50*INDEX(SPPR!$E:$X,MATCH($A50,SPPR!$A:$A,0),10),"")</f>
        <v/>
      </c>
      <c r="N50">
        <f>IFERROR($C50*INDEX(SPPR!$E:$X,MATCH($A50,SPPR!$A:$A,0),11),"")</f>
        <v/>
      </c>
      <c r="O50">
        <f>IFERROR($C50*INDEX(SPPR!$E:$X,MATCH($A50,SPPR!$A:$A,0),12),"")</f>
        <v/>
      </c>
      <c r="P50">
        <f>IFERROR($C50*INDEX(SPPR!$E:$X,MATCH($A50,SPPR!$A:$A,0),13),"")</f>
        <v/>
      </c>
      <c r="Q50">
        <f>IFERROR($C50*INDEX(SPPR!$E:$X,MATCH($A50,SPPR!$A:$A,0),14),"")</f>
        <v/>
      </c>
      <c r="R50">
        <f>IFERROR($C50*INDEX(SPPR!$E:$X,MATCH($A50,SPPR!$A:$A,0),15),"")</f>
        <v/>
      </c>
      <c r="S50">
        <f>IFERROR($C50*INDEX(SPPR!$E:$X,MATCH($A50,SPPR!$A:$A,0),16),"")</f>
        <v/>
      </c>
      <c r="T50">
        <f>IFERROR($C50*INDEX(SPPR!$E:$X,MATCH($A50,SPPR!$A:$A,0),17),"")</f>
        <v/>
      </c>
      <c r="U50">
        <f>IFERROR($C50*INDEX(SPPR!$E:$X,MATCH($A50,SPPR!$A:$A,0),18),"")</f>
        <v/>
      </c>
      <c r="V50">
        <f>IFERROR($C50*INDEX(SPPR!$E:$X,MATCH($A50,SPPR!$A:$A,0),19),"")</f>
        <v/>
      </c>
      <c r="W50">
        <f>IFERROR($C50*INDEX(SPPR!$E:$X,MATCH($A50,SPPR!$A:$A,0),20),"")</f>
        <v/>
      </c>
    </row>
    <row r="51">
      <c r="A51" t="inlineStr">
        <is>
          <t>Alopias superciliosus</t>
        </is>
      </c>
      <c r="B51">
        <f>IFERROR(INDEX(SPPR!$D:$D,MATCH($A51,SPPR!$A:$A,0)),"")</f>
        <v/>
      </c>
      <c r="C51">
        <f>IFERROR(INDEX(Catch!$E:$BV,MATCH($A51,Catch!$A:$A,0),MATCH($B$4,Catch!$E$1:$BV$1,0)),0)</f>
        <v/>
      </c>
      <c r="D51">
        <f>IFERROR($C51*INDEX(SPPR!$E:$X,MATCH($A51,SPPR!$A:$A,0),1),"")</f>
        <v/>
      </c>
      <c r="E51">
        <f>IFERROR($C51*INDEX(SPPR!$E:$X,MATCH($A51,SPPR!$A:$A,0),2),"")</f>
        <v/>
      </c>
      <c r="F51">
        <f>IFERROR($C51*INDEX(SPPR!$E:$X,MATCH($A51,SPPR!$A:$A,0),3),"")</f>
        <v/>
      </c>
      <c r="G51">
        <f>IFERROR($C51*INDEX(SPPR!$E:$X,MATCH($A51,SPPR!$A:$A,0),4),"")</f>
        <v/>
      </c>
      <c r="H51">
        <f>IFERROR($C51*INDEX(SPPR!$E:$X,MATCH($A51,SPPR!$A:$A,0),5),"")</f>
        <v/>
      </c>
      <c r="I51">
        <f>IFERROR($C51*INDEX(SPPR!$E:$X,MATCH($A51,SPPR!$A:$A,0),6),"")</f>
        <v/>
      </c>
      <c r="J51">
        <f>IFERROR($C51*INDEX(SPPR!$E:$X,MATCH($A51,SPPR!$A:$A,0),7),"")</f>
        <v/>
      </c>
      <c r="K51">
        <f>IFERROR($C51*INDEX(SPPR!$E:$X,MATCH($A51,SPPR!$A:$A,0),8),"")</f>
        <v/>
      </c>
      <c r="L51">
        <f>IFERROR($C51*INDEX(SPPR!$E:$X,MATCH($A51,SPPR!$A:$A,0),9),"")</f>
        <v/>
      </c>
      <c r="M51">
        <f>IFERROR($C51*INDEX(SPPR!$E:$X,MATCH($A51,SPPR!$A:$A,0),10),"")</f>
        <v/>
      </c>
      <c r="N51">
        <f>IFERROR($C51*INDEX(SPPR!$E:$X,MATCH($A51,SPPR!$A:$A,0),11),"")</f>
        <v/>
      </c>
      <c r="O51">
        <f>IFERROR($C51*INDEX(SPPR!$E:$X,MATCH($A51,SPPR!$A:$A,0),12),"")</f>
        <v/>
      </c>
      <c r="P51">
        <f>IFERROR($C51*INDEX(SPPR!$E:$X,MATCH($A51,SPPR!$A:$A,0),13),"")</f>
        <v/>
      </c>
      <c r="Q51">
        <f>IFERROR($C51*INDEX(SPPR!$E:$X,MATCH($A51,SPPR!$A:$A,0),14),"")</f>
        <v/>
      </c>
      <c r="R51">
        <f>IFERROR($C51*INDEX(SPPR!$E:$X,MATCH($A51,SPPR!$A:$A,0),15),"")</f>
        <v/>
      </c>
      <c r="S51">
        <f>IFERROR($C51*INDEX(SPPR!$E:$X,MATCH($A51,SPPR!$A:$A,0),16),"")</f>
        <v/>
      </c>
      <c r="T51">
        <f>IFERROR($C51*INDEX(SPPR!$E:$X,MATCH($A51,SPPR!$A:$A,0),17),"")</f>
        <v/>
      </c>
      <c r="U51">
        <f>IFERROR($C51*INDEX(SPPR!$E:$X,MATCH($A51,SPPR!$A:$A,0),18),"")</f>
        <v/>
      </c>
      <c r="V51">
        <f>IFERROR($C51*INDEX(SPPR!$E:$X,MATCH($A51,SPPR!$A:$A,0),19),"")</f>
        <v/>
      </c>
      <c r="W51">
        <f>IFERROR($C51*INDEX(SPPR!$E:$X,MATCH($A51,SPPR!$A:$A,0),20),"")</f>
        <v/>
      </c>
    </row>
    <row r="52">
      <c r="A52" t="inlineStr">
        <is>
          <t>Parastromateus niger</t>
        </is>
      </c>
      <c r="B52">
        <f>IFERROR(INDEX(SPPR!$D:$D,MATCH($A52,SPPR!$A:$A,0)),"")</f>
        <v/>
      </c>
      <c r="C52">
        <f>IFERROR(INDEX(Catch!$E:$BV,MATCH($A52,Catch!$A:$A,0),MATCH($B$4,Catch!$E$1:$BV$1,0)),0)</f>
        <v/>
      </c>
      <c r="D52">
        <f>IFERROR($C52*INDEX(SPPR!$E:$X,MATCH($A52,SPPR!$A:$A,0),1),"")</f>
        <v/>
      </c>
      <c r="E52">
        <f>IFERROR($C52*INDEX(SPPR!$E:$X,MATCH($A52,SPPR!$A:$A,0),2),"")</f>
        <v/>
      </c>
      <c r="F52">
        <f>IFERROR($C52*INDEX(SPPR!$E:$X,MATCH($A52,SPPR!$A:$A,0),3),"")</f>
        <v/>
      </c>
      <c r="G52">
        <f>IFERROR($C52*INDEX(SPPR!$E:$X,MATCH($A52,SPPR!$A:$A,0),4),"")</f>
        <v/>
      </c>
      <c r="H52">
        <f>IFERROR($C52*INDEX(SPPR!$E:$X,MATCH($A52,SPPR!$A:$A,0),5),"")</f>
        <v/>
      </c>
      <c r="I52">
        <f>IFERROR($C52*INDEX(SPPR!$E:$X,MATCH($A52,SPPR!$A:$A,0),6),"")</f>
        <v/>
      </c>
      <c r="J52">
        <f>IFERROR($C52*INDEX(SPPR!$E:$X,MATCH($A52,SPPR!$A:$A,0),7),"")</f>
        <v/>
      </c>
      <c r="K52">
        <f>IFERROR($C52*INDEX(SPPR!$E:$X,MATCH($A52,SPPR!$A:$A,0),8),"")</f>
        <v/>
      </c>
      <c r="L52">
        <f>IFERROR($C52*INDEX(SPPR!$E:$X,MATCH($A52,SPPR!$A:$A,0),9),"")</f>
        <v/>
      </c>
      <c r="M52">
        <f>IFERROR($C52*INDEX(SPPR!$E:$X,MATCH($A52,SPPR!$A:$A,0),10),"")</f>
        <v/>
      </c>
      <c r="N52">
        <f>IFERROR($C52*INDEX(SPPR!$E:$X,MATCH($A52,SPPR!$A:$A,0),11),"")</f>
        <v/>
      </c>
      <c r="O52">
        <f>IFERROR($C52*INDEX(SPPR!$E:$X,MATCH($A52,SPPR!$A:$A,0),12),"")</f>
        <v/>
      </c>
      <c r="P52">
        <f>IFERROR($C52*INDEX(SPPR!$E:$X,MATCH($A52,SPPR!$A:$A,0),13),"")</f>
        <v/>
      </c>
      <c r="Q52">
        <f>IFERROR($C52*INDEX(SPPR!$E:$X,MATCH($A52,SPPR!$A:$A,0),14),"")</f>
        <v/>
      </c>
      <c r="R52">
        <f>IFERROR($C52*INDEX(SPPR!$E:$X,MATCH($A52,SPPR!$A:$A,0),15),"")</f>
        <v/>
      </c>
      <c r="S52">
        <f>IFERROR($C52*INDEX(SPPR!$E:$X,MATCH($A52,SPPR!$A:$A,0),16),"")</f>
        <v/>
      </c>
      <c r="T52">
        <f>IFERROR($C52*INDEX(SPPR!$E:$X,MATCH($A52,SPPR!$A:$A,0),17),"")</f>
        <v/>
      </c>
      <c r="U52">
        <f>IFERROR($C52*INDEX(SPPR!$E:$X,MATCH($A52,SPPR!$A:$A,0),18),"")</f>
        <v/>
      </c>
      <c r="V52">
        <f>IFERROR($C52*INDEX(SPPR!$E:$X,MATCH($A52,SPPR!$A:$A,0),19),"")</f>
        <v/>
      </c>
      <c r="W52">
        <f>IFERROR($C52*INDEX(SPPR!$E:$X,MATCH($A52,SPPR!$A:$A,0),20),"")</f>
        <v/>
      </c>
    </row>
    <row r="53">
      <c r="A53" t="inlineStr">
        <is>
          <t>Isurus oxyrinchus</t>
        </is>
      </c>
      <c r="B53">
        <f>IFERROR(INDEX(SPPR!$D:$D,MATCH($A53,SPPR!$A:$A,0)),"")</f>
        <v/>
      </c>
      <c r="C53">
        <f>IFERROR(INDEX(Catch!$E:$BV,MATCH($A53,Catch!$A:$A,0),MATCH($B$4,Catch!$E$1:$BV$1,0)),0)</f>
        <v/>
      </c>
      <c r="D53">
        <f>IFERROR($C53*INDEX(SPPR!$E:$X,MATCH($A53,SPPR!$A:$A,0),1),"")</f>
        <v/>
      </c>
      <c r="E53">
        <f>IFERROR($C53*INDEX(SPPR!$E:$X,MATCH($A53,SPPR!$A:$A,0),2),"")</f>
        <v/>
      </c>
      <c r="F53">
        <f>IFERROR($C53*INDEX(SPPR!$E:$X,MATCH($A53,SPPR!$A:$A,0),3),"")</f>
        <v/>
      </c>
      <c r="G53">
        <f>IFERROR($C53*INDEX(SPPR!$E:$X,MATCH($A53,SPPR!$A:$A,0),4),"")</f>
        <v/>
      </c>
      <c r="H53">
        <f>IFERROR($C53*INDEX(SPPR!$E:$X,MATCH($A53,SPPR!$A:$A,0),5),"")</f>
        <v/>
      </c>
      <c r="I53">
        <f>IFERROR($C53*INDEX(SPPR!$E:$X,MATCH($A53,SPPR!$A:$A,0),6),"")</f>
        <v/>
      </c>
      <c r="J53">
        <f>IFERROR($C53*INDEX(SPPR!$E:$X,MATCH($A53,SPPR!$A:$A,0),7),"")</f>
        <v/>
      </c>
      <c r="K53">
        <f>IFERROR($C53*INDEX(SPPR!$E:$X,MATCH($A53,SPPR!$A:$A,0),8),"")</f>
        <v/>
      </c>
      <c r="L53">
        <f>IFERROR($C53*INDEX(SPPR!$E:$X,MATCH($A53,SPPR!$A:$A,0),9),"")</f>
        <v/>
      </c>
      <c r="M53">
        <f>IFERROR($C53*INDEX(SPPR!$E:$X,MATCH($A53,SPPR!$A:$A,0),10),"")</f>
        <v/>
      </c>
      <c r="N53">
        <f>IFERROR($C53*INDEX(SPPR!$E:$X,MATCH($A53,SPPR!$A:$A,0),11),"")</f>
        <v/>
      </c>
      <c r="O53">
        <f>IFERROR($C53*INDEX(SPPR!$E:$X,MATCH($A53,SPPR!$A:$A,0),12),"")</f>
        <v/>
      </c>
      <c r="P53">
        <f>IFERROR($C53*INDEX(SPPR!$E:$X,MATCH($A53,SPPR!$A:$A,0),13),"")</f>
        <v/>
      </c>
      <c r="Q53">
        <f>IFERROR($C53*INDEX(SPPR!$E:$X,MATCH($A53,SPPR!$A:$A,0),14),"")</f>
        <v/>
      </c>
      <c r="R53">
        <f>IFERROR($C53*INDEX(SPPR!$E:$X,MATCH($A53,SPPR!$A:$A,0),15),"")</f>
        <v/>
      </c>
      <c r="S53">
        <f>IFERROR($C53*INDEX(SPPR!$E:$X,MATCH($A53,SPPR!$A:$A,0),16),"")</f>
        <v/>
      </c>
      <c r="T53">
        <f>IFERROR($C53*INDEX(SPPR!$E:$X,MATCH($A53,SPPR!$A:$A,0),17),"")</f>
        <v/>
      </c>
      <c r="U53">
        <f>IFERROR($C53*INDEX(SPPR!$E:$X,MATCH($A53,SPPR!$A:$A,0),18),"")</f>
        <v/>
      </c>
      <c r="V53">
        <f>IFERROR($C53*INDEX(SPPR!$E:$X,MATCH($A53,SPPR!$A:$A,0),19),"")</f>
        <v/>
      </c>
      <c r="W53">
        <f>IFERROR($C53*INDEX(SPPR!$E:$X,MATCH($A53,SPPR!$A:$A,0),20),"")</f>
        <v/>
      </c>
    </row>
    <row r="54">
      <c r="A54" t="inlineStr">
        <is>
          <t>Scomberomorus guttatus</t>
        </is>
      </c>
      <c r="B54">
        <f>IFERROR(INDEX(SPPR!$D:$D,MATCH($A54,SPPR!$A:$A,0)),"")</f>
        <v/>
      </c>
      <c r="C54">
        <f>IFERROR(INDEX(Catch!$E:$BV,MATCH($A54,Catch!$A:$A,0),MATCH($B$4,Catch!$E$1:$BV$1,0)),0)</f>
        <v/>
      </c>
      <c r="D54">
        <f>IFERROR($C54*INDEX(SPPR!$E:$X,MATCH($A54,SPPR!$A:$A,0),1),"")</f>
        <v/>
      </c>
      <c r="E54">
        <f>IFERROR($C54*INDEX(SPPR!$E:$X,MATCH($A54,SPPR!$A:$A,0),2),"")</f>
        <v/>
      </c>
      <c r="F54">
        <f>IFERROR($C54*INDEX(SPPR!$E:$X,MATCH($A54,SPPR!$A:$A,0),3),"")</f>
        <v/>
      </c>
      <c r="G54">
        <f>IFERROR($C54*INDEX(SPPR!$E:$X,MATCH($A54,SPPR!$A:$A,0),4),"")</f>
        <v/>
      </c>
      <c r="H54">
        <f>IFERROR($C54*INDEX(SPPR!$E:$X,MATCH($A54,SPPR!$A:$A,0),5),"")</f>
        <v/>
      </c>
      <c r="I54">
        <f>IFERROR($C54*INDEX(SPPR!$E:$X,MATCH($A54,SPPR!$A:$A,0),6),"")</f>
        <v/>
      </c>
      <c r="J54">
        <f>IFERROR($C54*INDEX(SPPR!$E:$X,MATCH($A54,SPPR!$A:$A,0),7),"")</f>
        <v/>
      </c>
      <c r="K54">
        <f>IFERROR($C54*INDEX(SPPR!$E:$X,MATCH($A54,SPPR!$A:$A,0),8),"")</f>
        <v/>
      </c>
      <c r="L54">
        <f>IFERROR($C54*INDEX(SPPR!$E:$X,MATCH($A54,SPPR!$A:$A,0),9),"")</f>
        <v/>
      </c>
      <c r="M54">
        <f>IFERROR($C54*INDEX(SPPR!$E:$X,MATCH($A54,SPPR!$A:$A,0),10),"")</f>
        <v/>
      </c>
      <c r="N54">
        <f>IFERROR($C54*INDEX(SPPR!$E:$X,MATCH($A54,SPPR!$A:$A,0),11),"")</f>
        <v/>
      </c>
      <c r="O54">
        <f>IFERROR($C54*INDEX(SPPR!$E:$X,MATCH($A54,SPPR!$A:$A,0),12),"")</f>
        <v/>
      </c>
      <c r="P54">
        <f>IFERROR($C54*INDEX(SPPR!$E:$X,MATCH($A54,SPPR!$A:$A,0),13),"")</f>
        <v/>
      </c>
      <c r="Q54">
        <f>IFERROR($C54*INDEX(SPPR!$E:$X,MATCH($A54,SPPR!$A:$A,0),14),"")</f>
        <v/>
      </c>
      <c r="R54">
        <f>IFERROR($C54*INDEX(SPPR!$E:$X,MATCH($A54,SPPR!$A:$A,0),15),"")</f>
        <v/>
      </c>
      <c r="S54">
        <f>IFERROR($C54*INDEX(SPPR!$E:$X,MATCH($A54,SPPR!$A:$A,0),16),"")</f>
        <v/>
      </c>
      <c r="T54">
        <f>IFERROR($C54*INDEX(SPPR!$E:$X,MATCH($A54,SPPR!$A:$A,0),17),"")</f>
        <v/>
      </c>
      <c r="U54">
        <f>IFERROR($C54*INDEX(SPPR!$E:$X,MATCH($A54,SPPR!$A:$A,0),18),"")</f>
        <v/>
      </c>
      <c r="V54">
        <f>IFERROR($C54*INDEX(SPPR!$E:$X,MATCH($A54,SPPR!$A:$A,0),19),"")</f>
        <v/>
      </c>
      <c r="W54">
        <f>IFERROR($C54*INDEX(SPPR!$E:$X,MATCH($A54,SPPR!$A:$A,0),20),"")</f>
        <v/>
      </c>
    </row>
    <row r="55">
      <c r="A55" t="inlineStr">
        <is>
          <t>Lactarius lactarius</t>
        </is>
      </c>
      <c r="B55">
        <f>IFERROR(INDEX(SPPR!$D:$D,MATCH($A55,SPPR!$A:$A,0)),"")</f>
        <v/>
      </c>
      <c r="C55">
        <f>IFERROR(INDEX(Catch!$E:$BV,MATCH($A55,Catch!$A:$A,0),MATCH($B$4,Catch!$E$1:$BV$1,0)),0)</f>
        <v/>
      </c>
      <c r="D55">
        <f>IFERROR($C55*INDEX(SPPR!$E:$X,MATCH($A55,SPPR!$A:$A,0),1),"")</f>
        <v/>
      </c>
      <c r="E55">
        <f>IFERROR($C55*INDEX(SPPR!$E:$X,MATCH($A55,SPPR!$A:$A,0),2),"")</f>
        <v/>
      </c>
      <c r="F55">
        <f>IFERROR($C55*INDEX(SPPR!$E:$X,MATCH($A55,SPPR!$A:$A,0),3),"")</f>
        <v/>
      </c>
      <c r="G55">
        <f>IFERROR($C55*INDEX(SPPR!$E:$X,MATCH($A55,SPPR!$A:$A,0),4),"")</f>
        <v/>
      </c>
      <c r="H55">
        <f>IFERROR($C55*INDEX(SPPR!$E:$X,MATCH($A55,SPPR!$A:$A,0),5),"")</f>
        <v/>
      </c>
      <c r="I55">
        <f>IFERROR($C55*INDEX(SPPR!$E:$X,MATCH($A55,SPPR!$A:$A,0),6),"")</f>
        <v/>
      </c>
      <c r="J55">
        <f>IFERROR($C55*INDEX(SPPR!$E:$X,MATCH($A55,SPPR!$A:$A,0),7),"")</f>
        <v/>
      </c>
      <c r="K55">
        <f>IFERROR($C55*INDEX(SPPR!$E:$X,MATCH($A55,SPPR!$A:$A,0),8),"")</f>
        <v/>
      </c>
      <c r="L55">
        <f>IFERROR($C55*INDEX(SPPR!$E:$X,MATCH($A55,SPPR!$A:$A,0),9),"")</f>
        <v/>
      </c>
      <c r="M55">
        <f>IFERROR($C55*INDEX(SPPR!$E:$X,MATCH($A55,SPPR!$A:$A,0),10),"")</f>
        <v/>
      </c>
      <c r="N55">
        <f>IFERROR($C55*INDEX(SPPR!$E:$X,MATCH($A55,SPPR!$A:$A,0),11),"")</f>
        <v/>
      </c>
      <c r="O55">
        <f>IFERROR($C55*INDEX(SPPR!$E:$X,MATCH($A55,SPPR!$A:$A,0),12),"")</f>
        <v/>
      </c>
      <c r="P55">
        <f>IFERROR($C55*INDEX(SPPR!$E:$X,MATCH($A55,SPPR!$A:$A,0),13),"")</f>
        <v/>
      </c>
      <c r="Q55">
        <f>IFERROR($C55*INDEX(SPPR!$E:$X,MATCH($A55,SPPR!$A:$A,0),14),"")</f>
        <v/>
      </c>
      <c r="R55">
        <f>IFERROR($C55*INDEX(SPPR!$E:$X,MATCH($A55,SPPR!$A:$A,0),15),"")</f>
        <v/>
      </c>
      <c r="S55">
        <f>IFERROR($C55*INDEX(SPPR!$E:$X,MATCH($A55,SPPR!$A:$A,0),16),"")</f>
        <v/>
      </c>
      <c r="T55">
        <f>IFERROR($C55*INDEX(SPPR!$E:$X,MATCH($A55,SPPR!$A:$A,0),17),"")</f>
        <v/>
      </c>
      <c r="U55">
        <f>IFERROR($C55*INDEX(SPPR!$E:$X,MATCH($A55,SPPR!$A:$A,0),18),"")</f>
        <v/>
      </c>
      <c r="V55">
        <f>IFERROR($C55*INDEX(SPPR!$E:$X,MATCH($A55,SPPR!$A:$A,0),19),"")</f>
        <v/>
      </c>
      <c r="W55">
        <f>IFERROR($C55*INDEX(SPPR!$E:$X,MATCH($A55,SPPR!$A:$A,0),20),"")</f>
        <v/>
      </c>
    </row>
    <row r="56">
      <c r="A56" t="inlineStr">
        <is>
          <t>Sparidae</t>
        </is>
      </c>
      <c r="B56">
        <f>IFERROR(INDEX(SPPR!$D:$D,MATCH($A56,SPPR!$A:$A,0)),"")</f>
        <v/>
      </c>
      <c r="C56">
        <f>IFERROR(INDEX(Catch!$E:$BV,MATCH($A56,Catch!$A:$A,0),MATCH($B$4,Catch!$E$1:$BV$1,0)),0)</f>
        <v/>
      </c>
      <c r="D56">
        <f>IFERROR($C56*INDEX(SPPR!$E:$X,MATCH($A56,SPPR!$A:$A,0),1),"")</f>
        <v/>
      </c>
      <c r="E56">
        <f>IFERROR($C56*INDEX(SPPR!$E:$X,MATCH($A56,SPPR!$A:$A,0),2),"")</f>
        <v/>
      </c>
      <c r="F56">
        <f>IFERROR($C56*INDEX(SPPR!$E:$X,MATCH($A56,SPPR!$A:$A,0),3),"")</f>
        <v/>
      </c>
      <c r="G56">
        <f>IFERROR($C56*INDEX(SPPR!$E:$X,MATCH($A56,SPPR!$A:$A,0),4),"")</f>
        <v/>
      </c>
      <c r="H56">
        <f>IFERROR($C56*INDEX(SPPR!$E:$X,MATCH($A56,SPPR!$A:$A,0),5),"")</f>
        <v/>
      </c>
      <c r="I56">
        <f>IFERROR($C56*INDEX(SPPR!$E:$X,MATCH($A56,SPPR!$A:$A,0),6),"")</f>
        <v/>
      </c>
      <c r="J56">
        <f>IFERROR($C56*INDEX(SPPR!$E:$X,MATCH($A56,SPPR!$A:$A,0),7),"")</f>
        <v/>
      </c>
      <c r="K56">
        <f>IFERROR($C56*INDEX(SPPR!$E:$X,MATCH($A56,SPPR!$A:$A,0),8),"")</f>
        <v/>
      </c>
      <c r="L56">
        <f>IFERROR($C56*INDEX(SPPR!$E:$X,MATCH($A56,SPPR!$A:$A,0),9),"")</f>
        <v/>
      </c>
      <c r="M56">
        <f>IFERROR($C56*INDEX(SPPR!$E:$X,MATCH($A56,SPPR!$A:$A,0),10),"")</f>
        <v/>
      </c>
      <c r="N56">
        <f>IFERROR($C56*INDEX(SPPR!$E:$X,MATCH($A56,SPPR!$A:$A,0),11),"")</f>
        <v/>
      </c>
      <c r="O56">
        <f>IFERROR($C56*INDEX(SPPR!$E:$X,MATCH($A56,SPPR!$A:$A,0),12),"")</f>
        <v/>
      </c>
      <c r="P56">
        <f>IFERROR($C56*INDEX(SPPR!$E:$X,MATCH($A56,SPPR!$A:$A,0),13),"")</f>
        <v/>
      </c>
      <c r="Q56">
        <f>IFERROR($C56*INDEX(SPPR!$E:$X,MATCH($A56,SPPR!$A:$A,0),14),"")</f>
        <v/>
      </c>
      <c r="R56">
        <f>IFERROR($C56*INDEX(SPPR!$E:$X,MATCH($A56,SPPR!$A:$A,0),15),"")</f>
        <v/>
      </c>
      <c r="S56">
        <f>IFERROR($C56*INDEX(SPPR!$E:$X,MATCH($A56,SPPR!$A:$A,0),16),"")</f>
        <v/>
      </c>
      <c r="T56">
        <f>IFERROR($C56*INDEX(SPPR!$E:$X,MATCH($A56,SPPR!$A:$A,0),17),"")</f>
        <v/>
      </c>
      <c r="U56">
        <f>IFERROR($C56*INDEX(SPPR!$E:$X,MATCH($A56,SPPR!$A:$A,0),18),"")</f>
        <v/>
      </c>
      <c r="V56">
        <f>IFERROR($C56*INDEX(SPPR!$E:$X,MATCH($A56,SPPR!$A:$A,0),19),"")</f>
        <v/>
      </c>
      <c r="W56">
        <f>IFERROR($C56*INDEX(SPPR!$E:$X,MATCH($A56,SPPR!$A:$A,0),20),"")</f>
        <v/>
      </c>
    </row>
    <row r="57">
      <c r="A57" t="inlineStr">
        <is>
          <t>Scomberoides commersonnianus</t>
        </is>
      </c>
      <c r="B57">
        <f>IFERROR(INDEX(SPPR!$D:$D,MATCH($A57,SPPR!$A:$A,0)),"")</f>
        <v/>
      </c>
      <c r="C57">
        <f>IFERROR(INDEX(Catch!$E:$BV,MATCH($A57,Catch!$A:$A,0),MATCH($B$4,Catch!$E$1:$BV$1,0)),0)</f>
        <v/>
      </c>
      <c r="D57">
        <f>IFERROR($C57*INDEX(SPPR!$E:$X,MATCH($A57,SPPR!$A:$A,0),1),"")</f>
        <v/>
      </c>
      <c r="E57">
        <f>IFERROR($C57*INDEX(SPPR!$E:$X,MATCH($A57,SPPR!$A:$A,0),2),"")</f>
        <v/>
      </c>
      <c r="F57">
        <f>IFERROR($C57*INDEX(SPPR!$E:$X,MATCH($A57,SPPR!$A:$A,0),3),"")</f>
        <v/>
      </c>
      <c r="G57">
        <f>IFERROR($C57*INDEX(SPPR!$E:$X,MATCH($A57,SPPR!$A:$A,0),4),"")</f>
        <v/>
      </c>
      <c r="H57">
        <f>IFERROR($C57*INDEX(SPPR!$E:$X,MATCH($A57,SPPR!$A:$A,0),5),"")</f>
        <v/>
      </c>
      <c r="I57">
        <f>IFERROR($C57*INDEX(SPPR!$E:$X,MATCH($A57,SPPR!$A:$A,0),6),"")</f>
        <v/>
      </c>
      <c r="J57">
        <f>IFERROR($C57*INDEX(SPPR!$E:$X,MATCH($A57,SPPR!$A:$A,0),7),"")</f>
        <v/>
      </c>
      <c r="K57">
        <f>IFERROR($C57*INDEX(SPPR!$E:$X,MATCH($A57,SPPR!$A:$A,0),8),"")</f>
        <v/>
      </c>
      <c r="L57">
        <f>IFERROR($C57*INDEX(SPPR!$E:$X,MATCH($A57,SPPR!$A:$A,0),9),"")</f>
        <v/>
      </c>
      <c r="M57">
        <f>IFERROR($C57*INDEX(SPPR!$E:$X,MATCH($A57,SPPR!$A:$A,0),10),"")</f>
        <v/>
      </c>
      <c r="N57">
        <f>IFERROR($C57*INDEX(SPPR!$E:$X,MATCH($A57,SPPR!$A:$A,0),11),"")</f>
        <v/>
      </c>
      <c r="O57">
        <f>IFERROR($C57*INDEX(SPPR!$E:$X,MATCH($A57,SPPR!$A:$A,0),12),"")</f>
        <v/>
      </c>
      <c r="P57">
        <f>IFERROR($C57*INDEX(SPPR!$E:$X,MATCH($A57,SPPR!$A:$A,0),13),"")</f>
        <v/>
      </c>
      <c r="Q57">
        <f>IFERROR($C57*INDEX(SPPR!$E:$X,MATCH($A57,SPPR!$A:$A,0),14),"")</f>
        <v/>
      </c>
      <c r="R57">
        <f>IFERROR($C57*INDEX(SPPR!$E:$X,MATCH($A57,SPPR!$A:$A,0),15),"")</f>
        <v/>
      </c>
      <c r="S57">
        <f>IFERROR($C57*INDEX(SPPR!$E:$X,MATCH($A57,SPPR!$A:$A,0),16),"")</f>
        <v/>
      </c>
      <c r="T57">
        <f>IFERROR($C57*INDEX(SPPR!$E:$X,MATCH($A57,SPPR!$A:$A,0),17),"")</f>
        <v/>
      </c>
      <c r="U57">
        <f>IFERROR($C57*INDEX(SPPR!$E:$X,MATCH($A57,SPPR!$A:$A,0),18),"")</f>
        <v/>
      </c>
      <c r="V57">
        <f>IFERROR($C57*INDEX(SPPR!$E:$X,MATCH($A57,SPPR!$A:$A,0),19),"")</f>
        <v/>
      </c>
      <c r="W57">
        <f>IFERROR($C57*INDEX(SPPR!$E:$X,MATCH($A57,SPPR!$A:$A,0),20),"")</f>
        <v/>
      </c>
    </row>
    <row r="58">
      <c r="A58" t="inlineStr">
        <is>
          <t>Sphyraena barracuda</t>
        </is>
      </c>
      <c r="B58">
        <f>IFERROR(INDEX(SPPR!$D:$D,MATCH($A58,SPPR!$A:$A,0)),"")</f>
        <v/>
      </c>
      <c r="C58">
        <f>IFERROR(INDEX(Catch!$E:$BV,MATCH($A58,Catch!$A:$A,0),MATCH($B$4,Catch!$E$1:$BV$1,0)),0)</f>
        <v/>
      </c>
      <c r="D58">
        <f>IFERROR($C58*INDEX(SPPR!$E:$X,MATCH($A58,SPPR!$A:$A,0),1),"")</f>
        <v/>
      </c>
      <c r="E58">
        <f>IFERROR($C58*INDEX(SPPR!$E:$X,MATCH($A58,SPPR!$A:$A,0),2),"")</f>
        <v/>
      </c>
      <c r="F58">
        <f>IFERROR($C58*INDEX(SPPR!$E:$X,MATCH($A58,SPPR!$A:$A,0),3),"")</f>
        <v/>
      </c>
      <c r="G58">
        <f>IFERROR($C58*INDEX(SPPR!$E:$X,MATCH($A58,SPPR!$A:$A,0),4),"")</f>
        <v/>
      </c>
      <c r="H58">
        <f>IFERROR($C58*INDEX(SPPR!$E:$X,MATCH($A58,SPPR!$A:$A,0),5),"")</f>
        <v/>
      </c>
      <c r="I58">
        <f>IFERROR($C58*INDEX(SPPR!$E:$X,MATCH($A58,SPPR!$A:$A,0),6),"")</f>
        <v/>
      </c>
      <c r="J58">
        <f>IFERROR($C58*INDEX(SPPR!$E:$X,MATCH($A58,SPPR!$A:$A,0),7),"")</f>
        <v/>
      </c>
      <c r="K58">
        <f>IFERROR($C58*INDEX(SPPR!$E:$X,MATCH($A58,SPPR!$A:$A,0),8),"")</f>
        <v/>
      </c>
      <c r="L58">
        <f>IFERROR($C58*INDEX(SPPR!$E:$X,MATCH($A58,SPPR!$A:$A,0),9),"")</f>
        <v/>
      </c>
      <c r="M58">
        <f>IFERROR($C58*INDEX(SPPR!$E:$X,MATCH($A58,SPPR!$A:$A,0),10),"")</f>
        <v/>
      </c>
      <c r="N58">
        <f>IFERROR($C58*INDEX(SPPR!$E:$X,MATCH($A58,SPPR!$A:$A,0),11),"")</f>
        <v/>
      </c>
      <c r="O58">
        <f>IFERROR($C58*INDEX(SPPR!$E:$X,MATCH($A58,SPPR!$A:$A,0),12),"")</f>
        <v/>
      </c>
      <c r="P58">
        <f>IFERROR($C58*INDEX(SPPR!$E:$X,MATCH($A58,SPPR!$A:$A,0),13),"")</f>
        <v/>
      </c>
      <c r="Q58">
        <f>IFERROR($C58*INDEX(SPPR!$E:$X,MATCH($A58,SPPR!$A:$A,0),14),"")</f>
        <v/>
      </c>
      <c r="R58">
        <f>IFERROR($C58*INDEX(SPPR!$E:$X,MATCH($A58,SPPR!$A:$A,0),15),"")</f>
        <v/>
      </c>
      <c r="S58">
        <f>IFERROR($C58*INDEX(SPPR!$E:$X,MATCH($A58,SPPR!$A:$A,0),16),"")</f>
        <v/>
      </c>
      <c r="T58">
        <f>IFERROR($C58*INDEX(SPPR!$E:$X,MATCH($A58,SPPR!$A:$A,0),17),"")</f>
        <v/>
      </c>
      <c r="U58">
        <f>IFERROR($C58*INDEX(SPPR!$E:$X,MATCH($A58,SPPR!$A:$A,0),18),"")</f>
        <v/>
      </c>
      <c r="V58">
        <f>IFERROR($C58*INDEX(SPPR!$E:$X,MATCH($A58,SPPR!$A:$A,0),19),"")</f>
        <v/>
      </c>
      <c r="W58">
        <f>IFERROR($C58*INDEX(SPPR!$E:$X,MATCH($A58,SPPR!$A:$A,0),20),"")</f>
        <v/>
      </c>
    </row>
    <row r="59">
      <c r="A59" t="inlineStr">
        <is>
          <t>Lethrinus nebulosus</t>
        </is>
      </c>
      <c r="B59">
        <f>IFERROR(INDEX(SPPR!$D:$D,MATCH($A59,SPPR!$A:$A,0)),"")</f>
        <v/>
      </c>
      <c r="C59">
        <f>IFERROR(INDEX(Catch!$E:$BV,MATCH($A59,Catch!$A:$A,0),MATCH($B$4,Catch!$E$1:$BV$1,0)),0)</f>
        <v/>
      </c>
      <c r="D59">
        <f>IFERROR($C59*INDEX(SPPR!$E:$X,MATCH($A59,SPPR!$A:$A,0),1),"")</f>
        <v/>
      </c>
      <c r="E59">
        <f>IFERROR($C59*INDEX(SPPR!$E:$X,MATCH($A59,SPPR!$A:$A,0),2),"")</f>
        <v/>
      </c>
      <c r="F59">
        <f>IFERROR($C59*INDEX(SPPR!$E:$X,MATCH($A59,SPPR!$A:$A,0),3),"")</f>
        <v/>
      </c>
      <c r="G59">
        <f>IFERROR($C59*INDEX(SPPR!$E:$X,MATCH($A59,SPPR!$A:$A,0),4),"")</f>
        <v/>
      </c>
      <c r="H59">
        <f>IFERROR($C59*INDEX(SPPR!$E:$X,MATCH($A59,SPPR!$A:$A,0),5),"")</f>
        <v/>
      </c>
      <c r="I59">
        <f>IFERROR($C59*INDEX(SPPR!$E:$X,MATCH($A59,SPPR!$A:$A,0),6),"")</f>
        <v/>
      </c>
      <c r="J59">
        <f>IFERROR($C59*INDEX(SPPR!$E:$X,MATCH($A59,SPPR!$A:$A,0),7),"")</f>
        <v/>
      </c>
      <c r="K59">
        <f>IFERROR($C59*INDEX(SPPR!$E:$X,MATCH($A59,SPPR!$A:$A,0),8),"")</f>
        <v/>
      </c>
      <c r="L59">
        <f>IFERROR($C59*INDEX(SPPR!$E:$X,MATCH($A59,SPPR!$A:$A,0),9),"")</f>
        <v/>
      </c>
      <c r="M59">
        <f>IFERROR($C59*INDEX(SPPR!$E:$X,MATCH($A59,SPPR!$A:$A,0),10),"")</f>
        <v/>
      </c>
      <c r="N59">
        <f>IFERROR($C59*INDEX(SPPR!$E:$X,MATCH($A59,SPPR!$A:$A,0),11),"")</f>
        <v/>
      </c>
      <c r="O59">
        <f>IFERROR($C59*INDEX(SPPR!$E:$X,MATCH($A59,SPPR!$A:$A,0),12),"")</f>
        <v/>
      </c>
      <c r="P59">
        <f>IFERROR($C59*INDEX(SPPR!$E:$X,MATCH($A59,SPPR!$A:$A,0),13),"")</f>
        <v/>
      </c>
      <c r="Q59">
        <f>IFERROR($C59*INDEX(SPPR!$E:$X,MATCH($A59,SPPR!$A:$A,0),14),"")</f>
        <v/>
      </c>
      <c r="R59">
        <f>IFERROR($C59*INDEX(SPPR!$E:$X,MATCH($A59,SPPR!$A:$A,0),15),"")</f>
        <v/>
      </c>
      <c r="S59">
        <f>IFERROR($C59*INDEX(SPPR!$E:$X,MATCH($A59,SPPR!$A:$A,0),16),"")</f>
        <v/>
      </c>
      <c r="T59">
        <f>IFERROR($C59*INDEX(SPPR!$E:$X,MATCH($A59,SPPR!$A:$A,0),17),"")</f>
        <v/>
      </c>
      <c r="U59">
        <f>IFERROR($C59*INDEX(SPPR!$E:$X,MATCH($A59,SPPR!$A:$A,0),18),"")</f>
        <v/>
      </c>
      <c r="V59">
        <f>IFERROR($C59*INDEX(SPPR!$E:$X,MATCH($A59,SPPR!$A:$A,0),19),"")</f>
        <v/>
      </c>
      <c r="W59">
        <f>IFERROR($C59*INDEX(SPPR!$E:$X,MATCH($A59,SPPR!$A:$A,0),20),"")</f>
        <v/>
      </c>
    </row>
    <row r="60">
      <c r="A60" t="inlineStr">
        <is>
          <t>Lethrinidae</t>
        </is>
      </c>
      <c r="B60">
        <f>IFERROR(INDEX(SPPR!$D:$D,MATCH($A60,SPPR!$A:$A,0)),"")</f>
        <v/>
      </c>
      <c r="C60">
        <f>IFERROR(INDEX(Catch!$E:$BV,MATCH($A60,Catch!$A:$A,0),MATCH($B$4,Catch!$E$1:$BV$1,0)),0)</f>
        <v/>
      </c>
      <c r="D60">
        <f>IFERROR($C60*INDEX(SPPR!$E:$X,MATCH($A60,SPPR!$A:$A,0),1),"")</f>
        <v/>
      </c>
      <c r="E60">
        <f>IFERROR($C60*INDEX(SPPR!$E:$X,MATCH($A60,SPPR!$A:$A,0),2),"")</f>
        <v/>
      </c>
      <c r="F60">
        <f>IFERROR($C60*INDEX(SPPR!$E:$X,MATCH($A60,SPPR!$A:$A,0),3),"")</f>
        <v/>
      </c>
      <c r="G60">
        <f>IFERROR($C60*INDEX(SPPR!$E:$X,MATCH($A60,SPPR!$A:$A,0),4),"")</f>
        <v/>
      </c>
      <c r="H60">
        <f>IFERROR($C60*INDEX(SPPR!$E:$X,MATCH($A60,SPPR!$A:$A,0),5),"")</f>
        <v/>
      </c>
      <c r="I60">
        <f>IFERROR($C60*INDEX(SPPR!$E:$X,MATCH($A60,SPPR!$A:$A,0),6),"")</f>
        <v/>
      </c>
      <c r="J60">
        <f>IFERROR($C60*INDEX(SPPR!$E:$X,MATCH($A60,SPPR!$A:$A,0),7),"")</f>
        <v/>
      </c>
      <c r="K60">
        <f>IFERROR($C60*INDEX(SPPR!$E:$X,MATCH($A60,SPPR!$A:$A,0),8),"")</f>
        <v/>
      </c>
      <c r="L60">
        <f>IFERROR($C60*INDEX(SPPR!$E:$X,MATCH($A60,SPPR!$A:$A,0),9),"")</f>
        <v/>
      </c>
      <c r="M60">
        <f>IFERROR($C60*INDEX(SPPR!$E:$X,MATCH($A60,SPPR!$A:$A,0),10),"")</f>
        <v/>
      </c>
      <c r="N60">
        <f>IFERROR($C60*INDEX(SPPR!$E:$X,MATCH($A60,SPPR!$A:$A,0),11),"")</f>
        <v/>
      </c>
      <c r="O60">
        <f>IFERROR($C60*INDEX(SPPR!$E:$X,MATCH($A60,SPPR!$A:$A,0),12),"")</f>
        <v/>
      </c>
      <c r="P60">
        <f>IFERROR($C60*INDEX(SPPR!$E:$X,MATCH($A60,SPPR!$A:$A,0),13),"")</f>
        <v/>
      </c>
      <c r="Q60">
        <f>IFERROR($C60*INDEX(SPPR!$E:$X,MATCH($A60,SPPR!$A:$A,0),14),"")</f>
        <v/>
      </c>
      <c r="R60">
        <f>IFERROR($C60*INDEX(SPPR!$E:$X,MATCH($A60,SPPR!$A:$A,0),15),"")</f>
        <v/>
      </c>
      <c r="S60">
        <f>IFERROR($C60*INDEX(SPPR!$E:$X,MATCH($A60,SPPR!$A:$A,0),16),"")</f>
        <v/>
      </c>
      <c r="T60">
        <f>IFERROR($C60*INDEX(SPPR!$E:$X,MATCH($A60,SPPR!$A:$A,0),17),"")</f>
        <v/>
      </c>
      <c r="U60">
        <f>IFERROR($C60*INDEX(SPPR!$E:$X,MATCH($A60,SPPR!$A:$A,0),18),"")</f>
        <v/>
      </c>
      <c r="V60">
        <f>IFERROR($C60*INDEX(SPPR!$E:$X,MATCH($A60,SPPR!$A:$A,0),19),"")</f>
        <v/>
      </c>
      <c r="W60">
        <f>IFERROR($C60*INDEX(SPPR!$E:$X,MATCH($A60,SPPR!$A:$A,0),20),"")</f>
        <v/>
      </c>
    </row>
    <row r="61">
      <c r="A61" t="inlineStr">
        <is>
          <t>Sardinella sindensis</t>
        </is>
      </c>
      <c r="B61">
        <f>IFERROR(INDEX(SPPR!$D:$D,MATCH($A61,SPPR!$A:$A,0)),"")</f>
        <v/>
      </c>
      <c r="C61">
        <f>IFERROR(INDEX(Catch!$E:$BV,MATCH($A61,Catch!$A:$A,0),MATCH($B$4,Catch!$E$1:$BV$1,0)),0)</f>
        <v/>
      </c>
      <c r="D61">
        <f>IFERROR($C61*INDEX(SPPR!$E:$X,MATCH($A61,SPPR!$A:$A,0),1),"")</f>
        <v/>
      </c>
      <c r="E61">
        <f>IFERROR($C61*INDEX(SPPR!$E:$X,MATCH($A61,SPPR!$A:$A,0),2),"")</f>
        <v/>
      </c>
      <c r="F61">
        <f>IFERROR($C61*INDEX(SPPR!$E:$X,MATCH($A61,SPPR!$A:$A,0),3),"")</f>
        <v/>
      </c>
      <c r="G61">
        <f>IFERROR($C61*INDEX(SPPR!$E:$X,MATCH($A61,SPPR!$A:$A,0),4),"")</f>
        <v/>
      </c>
      <c r="H61">
        <f>IFERROR($C61*INDEX(SPPR!$E:$X,MATCH($A61,SPPR!$A:$A,0),5),"")</f>
        <v/>
      </c>
      <c r="I61">
        <f>IFERROR($C61*INDEX(SPPR!$E:$X,MATCH($A61,SPPR!$A:$A,0),6),"")</f>
        <v/>
      </c>
      <c r="J61">
        <f>IFERROR($C61*INDEX(SPPR!$E:$X,MATCH($A61,SPPR!$A:$A,0),7),"")</f>
        <v/>
      </c>
      <c r="K61">
        <f>IFERROR($C61*INDEX(SPPR!$E:$X,MATCH($A61,SPPR!$A:$A,0),8),"")</f>
        <v/>
      </c>
      <c r="L61">
        <f>IFERROR($C61*INDEX(SPPR!$E:$X,MATCH($A61,SPPR!$A:$A,0),9),"")</f>
        <v/>
      </c>
      <c r="M61">
        <f>IFERROR($C61*INDEX(SPPR!$E:$X,MATCH($A61,SPPR!$A:$A,0),10),"")</f>
        <v/>
      </c>
      <c r="N61">
        <f>IFERROR($C61*INDEX(SPPR!$E:$X,MATCH($A61,SPPR!$A:$A,0),11),"")</f>
        <v/>
      </c>
      <c r="O61">
        <f>IFERROR($C61*INDEX(SPPR!$E:$X,MATCH($A61,SPPR!$A:$A,0),12),"")</f>
        <v/>
      </c>
      <c r="P61">
        <f>IFERROR($C61*INDEX(SPPR!$E:$X,MATCH($A61,SPPR!$A:$A,0),13),"")</f>
        <v/>
      </c>
      <c r="Q61">
        <f>IFERROR($C61*INDEX(SPPR!$E:$X,MATCH($A61,SPPR!$A:$A,0),14),"")</f>
        <v/>
      </c>
      <c r="R61">
        <f>IFERROR($C61*INDEX(SPPR!$E:$X,MATCH($A61,SPPR!$A:$A,0),15),"")</f>
        <v/>
      </c>
      <c r="S61">
        <f>IFERROR($C61*INDEX(SPPR!$E:$X,MATCH($A61,SPPR!$A:$A,0),16),"")</f>
        <v/>
      </c>
      <c r="T61">
        <f>IFERROR($C61*INDEX(SPPR!$E:$X,MATCH($A61,SPPR!$A:$A,0),17),"")</f>
        <v/>
      </c>
      <c r="U61">
        <f>IFERROR($C61*INDEX(SPPR!$E:$X,MATCH($A61,SPPR!$A:$A,0),18),"")</f>
        <v/>
      </c>
      <c r="V61">
        <f>IFERROR($C61*INDEX(SPPR!$E:$X,MATCH($A61,SPPR!$A:$A,0),19),"")</f>
        <v/>
      </c>
      <c r="W61">
        <f>IFERROR($C61*INDEX(SPPR!$E:$X,MATCH($A61,SPPR!$A:$A,0),20),"")</f>
        <v/>
      </c>
    </row>
    <row r="62">
      <c r="A62" t="inlineStr">
        <is>
          <t>Sphyraena</t>
        </is>
      </c>
      <c r="B62">
        <f>IFERROR(INDEX(SPPR!$D:$D,MATCH($A62,SPPR!$A:$A,0)),"")</f>
        <v/>
      </c>
      <c r="C62">
        <f>IFERROR(INDEX(Catch!$E:$BV,MATCH($A62,Catch!$A:$A,0),MATCH($B$4,Catch!$E$1:$BV$1,0)),0)</f>
        <v/>
      </c>
      <c r="D62">
        <f>IFERROR($C62*INDEX(SPPR!$E:$X,MATCH($A62,SPPR!$A:$A,0),1),"")</f>
        <v/>
      </c>
      <c r="E62">
        <f>IFERROR($C62*INDEX(SPPR!$E:$X,MATCH($A62,SPPR!$A:$A,0),2),"")</f>
        <v/>
      </c>
      <c r="F62">
        <f>IFERROR($C62*INDEX(SPPR!$E:$X,MATCH($A62,SPPR!$A:$A,0),3),"")</f>
        <v/>
      </c>
      <c r="G62">
        <f>IFERROR($C62*INDEX(SPPR!$E:$X,MATCH($A62,SPPR!$A:$A,0),4),"")</f>
        <v/>
      </c>
      <c r="H62">
        <f>IFERROR($C62*INDEX(SPPR!$E:$X,MATCH($A62,SPPR!$A:$A,0),5),"")</f>
        <v/>
      </c>
      <c r="I62">
        <f>IFERROR($C62*INDEX(SPPR!$E:$X,MATCH($A62,SPPR!$A:$A,0),6),"")</f>
        <v/>
      </c>
      <c r="J62">
        <f>IFERROR($C62*INDEX(SPPR!$E:$X,MATCH($A62,SPPR!$A:$A,0),7),"")</f>
        <v/>
      </c>
      <c r="K62">
        <f>IFERROR($C62*INDEX(SPPR!$E:$X,MATCH($A62,SPPR!$A:$A,0),8),"")</f>
        <v/>
      </c>
      <c r="L62">
        <f>IFERROR($C62*INDEX(SPPR!$E:$X,MATCH($A62,SPPR!$A:$A,0),9),"")</f>
        <v/>
      </c>
      <c r="M62">
        <f>IFERROR($C62*INDEX(SPPR!$E:$X,MATCH($A62,SPPR!$A:$A,0),10),"")</f>
        <v/>
      </c>
      <c r="N62">
        <f>IFERROR($C62*INDEX(SPPR!$E:$X,MATCH($A62,SPPR!$A:$A,0),11),"")</f>
        <v/>
      </c>
      <c r="O62">
        <f>IFERROR($C62*INDEX(SPPR!$E:$X,MATCH($A62,SPPR!$A:$A,0),12),"")</f>
        <v/>
      </c>
      <c r="P62">
        <f>IFERROR($C62*INDEX(SPPR!$E:$X,MATCH($A62,SPPR!$A:$A,0),13),"")</f>
        <v/>
      </c>
      <c r="Q62">
        <f>IFERROR($C62*INDEX(SPPR!$E:$X,MATCH($A62,SPPR!$A:$A,0),14),"")</f>
        <v/>
      </c>
      <c r="R62">
        <f>IFERROR($C62*INDEX(SPPR!$E:$X,MATCH($A62,SPPR!$A:$A,0),15),"")</f>
        <v/>
      </c>
      <c r="S62">
        <f>IFERROR($C62*INDEX(SPPR!$E:$X,MATCH($A62,SPPR!$A:$A,0),16),"")</f>
        <v/>
      </c>
      <c r="T62">
        <f>IFERROR($C62*INDEX(SPPR!$E:$X,MATCH($A62,SPPR!$A:$A,0),17),"")</f>
        <v/>
      </c>
      <c r="U62">
        <f>IFERROR($C62*INDEX(SPPR!$E:$X,MATCH($A62,SPPR!$A:$A,0),18),"")</f>
        <v/>
      </c>
      <c r="V62">
        <f>IFERROR($C62*INDEX(SPPR!$E:$X,MATCH($A62,SPPR!$A:$A,0),19),"")</f>
        <v/>
      </c>
      <c r="W62">
        <f>IFERROR($C62*INDEX(SPPR!$E:$X,MATCH($A62,SPPR!$A:$A,0),20),"")</f>
        <v/>
      </c>
    </row>
    <row r="63">
      <c r="A63" t="inlineStr">
        <is>
          <t>Scyphozoa</t>
        </is>
      </c>
      <c r="B63">
        <f>IFERROR(INDEX(SPPR!$D:$D,MATCH($A63,SPPR!$A:$A,0)),"")</f>
        <v/>
      </c>
      <c r="C63">
        <f>IFERROR(INDEX(Catch!$E:$BV,MATCH($A63,Catch!$A:$A,0),MATCH($B$4,Catch!$E$1:$BV$1,0)),0)</f>
        <v/>
      </c>
      <c r="D63">
        <f>IFERROR($C63*INDEX(SPPR!$E:$X,MATCH($A63,SPPR!$A:$A,0),1),"")</f>
        <v/>
      </c>
      <c r="E63">
        <f>IFERROR($C63*INDEX(SPPR!$E:$X,MATCH($A63,SPPR!$A:$A,0),2),"")</f>
        <v/>
      </c>
      <c r="F63">
        <f>IFERROR($C63*INDEX(SPPR!$E:$X,MATCH($A63,SPPR!$A:$A,0),3),"")</f>
        <v/>
      </c>
      <c r="G63">
        <f>IFERROR($C63*INDEX(SPPR!$E:$X,MATCH($A63,SPPR!$A:$A,0),4),"")</f>
        <v/>
      </c>
      <c r="H63">
        <f>IFERROR($C63*INDEX(SPPR!$E:$X,MATCH($A63,SPPR!$A:$A,0),5),"")</f>
        <v/>
      </c>
      <c r="I63">
        <f>IFERROR($C63*INDEX(SPPR!$E:$X,MATCH($A63,SPPR!$A:$A,0),6),"")</f>
        <v/>
      </c>
      <c r="J63">
        <f>IFERROR($C63*INDEX(SPPR!$E:$X,MATCH($A63,SPPR!$A:$A,0),7),"")</f>
        <v/>
      </c>
      <c r="K63">
        <f>IFERROR($C63*INDEX(SPPR!$E:$X,MATCH($A63,SPPR!$A:$A,0),8),"")</f>
        <v/>
      </c>
      <c r="L63">
        <f>IFERROR($C63*INDEX(SPPR!$E:$X,MATCH($A63,SPPR!$A:$A,0),9),"")</f>
        <v/>
      </c>
      <c r="M63">
        <f>IFERROR($C63*INDEX(SPPR!$E:$X,MATCH($A63,SPPR!$A:$A,0),10),"")</f>
        <v/>
      </c>
      <c r="N63">
        <f>IFERROR($C63*INDEX(SPPR!$E:$X,MATCH($A63,SPPR!$A:$A,0),11),"")</f>
        <v/>
      </c>
      <c r="O63">
        <f>IFERROR($C63*INDEX(SPPR!$E:$X,MATCH($A63,SPPR!$A:$A,0),12),"")</f>
        <v/>
      </c>
      <c r="P63">
        <f>IFERROR($C63*INDEX(SPPR!$E:$X,MATCH($A63,SPPR!$A:$A,0),13),"")</f>
        <v/>
      </c>
      <c r="Q63">
        <f>IFERROR($C63*INDEX(SPPR!$E:$X,MATCH($A63,SPPR!$A:$A,0),14),"")</f>
        <v/>
      </c>
      <c r="R63">
        <f>IFERROR($C63*INDEX(SPPR!$E:$X,MATCH($A63,SPPR!$A:$A,0),15),"")</f>
        <v/>
      </c>
      <c r="S63">
        <f>IFERROR($C63*INDEX(SPPR!$E:$X,MATCH($A63,SPPR!$A:$A,0),16),"")</f>
        <v/>
      </c>
      <c r="T63">
        <f>IFERROR($C63*INDEX(SPPR!$E:$X,MATCH($A63,SPPR!$A:$A,0),17),"")</f>
        <v/>
      </c>
      <c r="U63">
        <f>IFERROR($C63*INDEX(SPPR!$E:$X,MATCH($A63,SPPR!$A:$A,0),18),"")</f>
        <v/>
      </c>
      <c r="V63">
        <f>IFERROR($C63*INDEX(SPPR!$E:$X,MATCH($A63,SPPR!$A:$A,0),19),"")</f>
        <v/>
      </c>
      <c r="W63">
        <f>IFERROR($C63*INDEX(SPPR!$E:$X,MATCH($A63,SPPR!$A:$A,0),20),"")</f>
        <v/>
      </c>
    </row>
    <row r="64">
      <c r="A64" t="inlineStr">
        <is>
          <t>Euthynnus affinis</t>
        </is>
      </c>
      <c r="B64">
        <f>IFERROR(INDEX(SPPR!$D:$D,MATCH($A64,SPPR!$A:$A,0)),"")</f>
        <v/>
      </c>
      <c r="C64">
        <f>IFERROR(INDEX(Catch!$E:$BV,MATCH($A64,Catch!$A:$A,0),MATCH($B$4,Catch!$E$1:$BV$1,0)),0)</f>
        <v/>
      </c>
      <c r="D64">
        <f>IFERROR($C64*INDEX(SPPR!$E:$X,MATCH($A64,SPPR!$A:$A,0),1),"")</f>
        <v/>
      </c>
      <c r="E64">
        <f>IFERROR($C64*INDEX(SPPR!$E:$X,MATCH($A64,SPPR!$A:$A,0),2),"")</f>
        <v/>
      </c>
      <c r="F64">
        <f>IFERROR($C64*INDEX(SPPR!$E:$X,MATCH($A64,SPPR!$A:$A,0),3),"")</f>
        <v/>
      </c>
      <c r="G64">
        <f>IFERROR($C64*INDEX(SPPR!$E:$X,MATCH($A64,SPPR!$A:$A,0),4),"")</f>
        <v/>
      </c>
      <c r="H64">
        <f>IFERROR($C64*INDEX(SPPR!$E:$X,MATCH($A64,SPPR!$A:$A,0),5),"")</f>
        <v/>
      </c>
      <c r="I64">
        <f>IFERROR($C64*INDEX(SPPR!$E:$X,MATCH($A64,SPPR!$A:$A,0),6),"")</f>
        <v/>
      </c>
      <c r="J64">
        <f>IFERROR($C64*INDEX(SPPR!$E:$X,MATCH($A64,SPPR!$A:$A,0),7),"")</f>
        <v/>
      </c>
      <c r="K64">
        <f>IFERROR($C64*INDEX(SPPR!$E:$X,MATCH($A64,SPPR!$A:$A,0),8),"")</f>
        <v/>
      </c>
      <c r="L64">
        <f>IFERROR($C64*INDEX(SPPR!$E:$X,MATCH($A64,SPPR!$A:$A,0),9),"")</f>
        <v/>
      </c>
      <c r="M64">
        <f>IFERROR($C64*INDEX(SPPR!$E:$X,MATCH($A64,SPPR!$A:$A,0),10),"")</f>
        <v/>
      </c>
      <c r="N64">
        <f>IFERROR($C64*INDEX(SPPR!$E:$X,MATCH($A64,SPPR!$A:$A,0),11),"")</f>
        <v/>
      </c>
      <c r="O64">
        <f>IFERROR($C64*INDEX(SPPR!$E:$X,MATCH($A64,SPPR!$A:$A,0),12),"")</f>
        <v/>
      </c>
      <c r="P64">
        <f>IFERROR($C64*INDEX(SPPR!$E:$X,MATCH($A64,SPPR!$A:$A,0),13),"")</f>
        <v/>
      </c>
      <c r="Q64">
        <f>IFERROR($C64*INDEX(SPPR!$E:$X,MATCH($A64,SPPR!$A:$A,0),14),"")</f>
        <v/>
      </c>
      <c r="R64">
        <f>IFERROR($C64*INDEX(SPPR!$E:$X,MATCH($A64,SPPR!$A:$A,0),15),"")</f>
        <v/>
      </c>
      <c r="S64">
        <f>IFERROR($C64*INDEX(SPPR!$E:$X,MATCH($A64,SPPR!$A:$A,0),16),"")</f>
        <v/>
      </c>
      <c r="T64">
        <f>IFERROR($C64*INDEX(SPPR!$E:$X,MATCH($A64,SPPR!$A:$A,0),17),"")</f>
        <v/>
      </c>
      <c r="U64">
        <f>IFERROR($C64*INDEX(SPPR!$E:$X,MATCH($A64,SPPR!$A:$A,0),18),"")</f>
        <v/>
      </c>
      <c r="V64">
        <f>IFERROR($C64*INDEX(SPPR!$E:$X,MATCH($A64,SPPR!$A:$A,0),19),"")</f>
        <v/>
      </c>
      <c r="W64">
        <f>IFERROR($C64*INDEX(SPPR!$E:$X,MATCH($A64,SPPR!$A:$A,0),20),"")</f>
        <v/>
      </c>
    </row>
    <row r="65">
      <c r="A65" t="inlineStr">
        <is>
          <t>Dendrobranchiata</t>
        </is>
      </c>
      <c r="B65">
        <f>IFERROR(INDEX(SPPR!$D:$D,MATCH($A65,SPPR!$A:$A,0)),"")</f>
        <v/>
      </c>
      <c r="C65">
        <f>IFERROR(INDEX(Catch!$E:$BV,MATCH($A65,Catch!$A:$A,0),MATCH($B$4,Catch!$E$1:$BV$1,0)),0)</f>
        <v/>
      </c>
      <c r="D65">
        <f>IFERROR($C65*INDEX(SPPR!$E:$X,MATCH($A65,SPPR!$A:$A,0),1),"")</f>
        <v/>
      </c>
      <c r="E65">
        <f>IFERROR($C65*INDEX(SPPR!$E:$X,MATCH($A65,SPPR!$A:$A,0),2),"")</f>
        <v/>
      </c>
      <c r="F65">
        <f>IFERROR($C65*INDEX(SPPR!$E:$X,MATCH($A65,SPPR!$A:$A,0),3),"")</f>
        <v/>
      </c>
      <c r="G65">
        <f>IFERROR($C65*INDEX(SPPR!$E:$X,MATCH($A65,SPPR!$A:$A,0),4),"")</f>
        <v/>
      </c>
      <c r="H65">
        <f>IFERROR($C65*INDEX(SPPR!$E:$X,MATCH($A65,SPPR!$A:$A,0),5),"")</f>
        <v/>
      </c>
      <c r="I65">
        <f>IFERROR($C65*INDEX(SPPR!$E:$X,MATCH($A65,SPPR!$A:$A,0),6),"")</f>
        <v/>
      </c>
      <c r="J65">
        <f>IFERROR($C65*INDEX(SPPR!$E:$X,MATCH($A65,SPPR!$A:$A,0),7),"")</f>
        <v/>
      </c>
      <c r="K65">
        <f>IFERROR($C65*INDEX(SPPR!$E:$X,MATCH($A65,SPPR!$A:$A,0),8),"")</f>
        <v/>
      </c>
      <c r="L65">
        <f>IFERROR($C65*INDEX(SPPR!$E:$X,MATCH($A65,SPPR!$A:$A,0),9),"")</f>
        <v/>
      </c>
      <c r="M65">
        <f>IFERROR($C65*INDEX(SPPR!$E:$X,MATCH($A65,SPPR!$A:$A,0),10),"")</f>
        <v/>
      </c>
      <c r="N65">
        <f>IFERROR($C65*INDEX(SPPR!$E:$X,MATCH($A65,SPPR!$A:$A,0),11),"")</f>
        <v/>
      </c>
      <c r="O65">
        <f>IFERROR($C65*INDEX(SPPR!$E:$X,MATCH($A65,SPPR!$A:$A,0),12),"")</f>
        <v/>
      </c>
      <c r="P65">
        <f>IFERROR($C65*INDEX(SPPR!$E:$X,MATCH($A65,SPPR!$A:$A,0),13),"")</f>
        <v/>
      </c>
      <c r="Q65">
        <f>IFERROR($C65*INDEX(SPPR!$E:$X,MATCH($A65,SPPR!$A:$A,0),14),"")</f>
        <v/>
      </c>
      <c r="R65">
        <f>IFERROR($C65*INDEX(SPPR!$E:$X,MATCH($A65,SPPR!$A:$A,0),15),"")</f>
        <v/>
      </c>
      <c r="S65">
        <f>IFERROR($C65*INDEX(SPPR!$E:$X,MATCH($A65,SPPR!$A:$A,0),16),"")</f>
        <v/>
      </c>
      <c r="T65">
        <f>IFERROR($C65*INDEX(SPPR!$E:$X,MATCH($A65,SPPR!$A:$A,0),17),"")</f>
        <v/>
      </c>
      <c r="U65">
        <f>IFERROR($C65*INDEX(SPPR!$E:$X,MATCH($A65,SPPR!$A:$A,0),18),"")</f>
        <v/>
      </c>
      <c r="V65">
        <f>IFERROR($C65*INDEX(SPPR!$E:$X,MATCH($A65,SPPR!$A:$A,0),19),"")</f>
        <v/>
      </c>
      <c r="W65">
        <f>IFERROR($C65*INDEX(SPPR!$E:$X,MATCH($A65,SPPR!$A:$A,0),20),"")</f>
        <v/>
      </c>
    </row>
    <row r="66">
      <c r="A66" t="inlineStr">
        <is>
          <t>Marine pelagic fishes not identified</t>
        </is>
      </c>
      <c r="B66">
        <f>IFERROR(INDEX(SPPR!$D:$D,MATCH($A66,SPPR!$A:$A,0)),"")</f>
        <v/>
      </c>
      <c r="C66">
        <f>IFERROR(INDEX(Catch!$E:$BV,MATCH($A66,Catch!$A:$A,0),MATCH($B$4,Catch!$E$1:$BV$1,0)),0)</f>
        <v/>
      </c>
      <c r="D66">
        <f>IFERROR($C66*INDEX(SPPR!$E:$X,MATCH($A66,SPPR!$A:$A,0),1),"")</f>
        <v/>
      </c>
      <c r="E66">
        <f>IFERROR($C66*INDEX(SPPR!$E:$X,MATCH($A66,SPPR!$A:$A,0),2),"")</f>
        <v/>
      </c>
      <c r="F66">
        <f>IFERROR($C66*INDEX(SPPR!$E:$X,MATCH($A66,SPPR!$A:$A,0),3),"")</f>
        <v/>
      </c>
      <c r="G66">
        <f>IFERROR($C66*INDEX(SPPR!$E:$X,MATCH($A66,SPPR!$A:$A,0),4),"")</f>
        <v/>
      </c>
      <c r="H66">
        <f>IFERROR($C66*INDEX(SPPR!$E:$X,MATCH($A66,SPPR!$A:$A,0),5),"")</f>
        <v/>
      </c>
      <c r="I66">
        <f>IFERROR($C66*INDEX(SPPR!$E:$X,MATCH($A66,SPPR!$A:$A,0),6),"")</f>
        <v/>
      </c>
      <c r="J66">
        <f>IFERROR($C66*INDEX(SPPR!$E:$X,MATCH($A66,SPPR!$A:$A,0),7),"")</f>
        <v/>
      </c>
      <c r="K66">
        <f>IFERROR($C66*INDEX(SPPR!$E:$X,MATCH($A66,SPPR!$A:$A,0),8),"")</f>
        <v/>
      </c>
      <c r="L66">
        <f>IFERROR($C66*INDEX(SPPR!$E:$X,MATCH($A66,SPPR!$A:$A,0),9),"")</f>
        <v/>
      </c>
      <c r="M66">
        <f>IFERROR($C66*INDEX(SPPR!$E:$X,MATCH($A66,SPPR!$A:$A,0),10),"")</f>
        <v/>
      </c>
      <c r="N66">
        <f>IFERROR($C66*INDEX(SPPR!$E:$X,MATCH($A66,SPPR!$A:$A,0),11),"")</f>
        <v/>
      </c>
      <c r="O66">
        <f>IFERROR($C66*INDEX(SPPR!$E:$X,MATCH($A66,SPPR!$A:$A,0),12),"")</f>
        <v/>
      </c>
      <c r="P66">
        <f>IFERROR($C66*INDEX(SPPR!$E:$X,MATCH($A66,SPPR!$A:$A,0),13),"")</f>
        <v/>
      </c>
      <c r="Q66">
        <f>IFERROR($C66*INDEX(SPPR!$E:$X,MATCH($A66,SPPR!$A:$A,0),14),"")</f>
        <v/>
      </c>
      <c r="R66">
        <f>IFERROR($C66*INDEX(SPPR!$E:$X,MATCH($A66,SPPR!$A:$A,0),15),"")</f>
        <v/>
      </c>
      <c r="S66">
        <f>IFERROR($C66*INDEX(SPPR!$E:$X,MATCH($A66,SPPR!$A:$A,0),16),"")</f>
        <v/>
      </c>
      <c r="T66">
        <f>IFERROR($C66*INDEX(SPPR!$E:$X,MATCH($A66,SPPR!$A:$A,0),17),"")</f>
        <v/>
      </c>
      <c r="U66">
        <f>IFERROR($C66*INDEX(SPPR!$E:$X,MATCH($A66,SPPR!$A:$A,0),18),"")</f>
        <v/>
      </c>
      <c r="V66">
        <f>IFERROR($C66*INDEX(SPPR!$E:$X,MATCH($A66,SPPR!$A:$A,0),19),"")</f>
        <v/>
      </c>
      <c r="W66">
        <f>IFERROR($C66*INDEX(SPPR!$E:$X,MATCH($A66,SPPR!$A:$A,0),20),"")</f>
        <v/>
      </c>
    </row>
    <row r="67">
      <c r="A67" t="inlineStr">
        <is>
          <t>Pampus</t>
        </is>
      </c>
      <c r="B67">
        <f>IFERROR(INDEX(SPPR!$D:$D,MATCH($A67,SPPR!$A:$A,0)),"")</f>
        <v/>
      </c>
      <c r="C67">
        <f>IFERROR(INDEX(Catch!$E:$BV,MATCH($A67,Catch!$A:$A,0),MATCH($B$4,Catch!$E$1:$BV$1,0)),0)</f>
        <v/>
      </c>
      <c r="D67">
        <f>IFERROR($C67*INDEX(SPPR!$E:$X,MATCH($A67,SPPR!$A:$A,0),1),"")</f>
        <v/>
      </c>
      <c r="E67">
        <f>IFERROR($C67*INDEX(SPPR!$E:$X,MATCH($A67,SPPR!$A:$A,0),2),"")</f>
        <v/>
      </c>
      <c r="F67">
        <f>IFERROR($C67*INDEX(SPPR!$E:$X,MATCH($A67,SPPR!$A:$A,0),3),"")</f>
        <v/>
      </c>
      <c r="G67">
        <f>IFERROR($C67*INDEX(SPPR!$E:$X,MATCH($A67,SPPR!$A:$A,0),4),"")</f>
        <v/>
      </c>
      <c r="H67">
        <f>IFERROR($C67*INDEX(SPPR!$E:$X,MATCH($A67,SPPR!$A:$A,0),5),"")</f>
        <v/>
      </c>
      <c r="I67">
        <f>IFERROR($C67*INDEX(SPPR!$E:$X,MATCH($A67,SPPR!$A:$A,0),6),"")</f>
        <v/>
      </c>
      <c r="J67">
        <f>IFERROR($C67*INDEX(SPPR!$E:$X,MATCH($A67,SPPR!$A:$A,0),7),"")</f>
        <v/>
      </c>
      <c r="K67">
        <f>IFERROR($C67*INDEX(SPPR!$E:$X,MATCH($A67,SPPR!$A:$A,0),8),"")</f>
        <v/>
      </c>
      <c r="L67">
        <f>IFERROR($C67*INDEX(SPPR!$E:$X,MATCH($A67,SPPR!$A:$A,0),9),"")</f>
        <v/>
      </c>
      <c r="M67">
        <f>IFERROR($C67*INDEX(SPPR!$E:$X,MATCH($A67,SPPR!$A:$A,0),10),"")</f>
        <v/>
      </c>
      <c r="N67">
        <f>IFERROR($C67*INDEX(SPPR!$E:$X,MATCH($A67,SPPR!$A:$A,0),11),"")</f>
        <v/>
      </c>
      <c r="O67">
        <f>IFERROR($C67*INDEX(SPPR!$E:$X,MATCH($A67,SPPR!$A:$A,0),12),"")</f>
        <v/>
      </c>
      <c r="P67">
        <f>IFERROR($C67*INDEX(SPPR!$E:$X,MATCH($A67,SPPR!$A:$A,0),13),"")</f>
        <v/>
      </c>
      <c r="Q67">
        <f>IFERROR($C67*INDEX(SPPR!$E:$X,MATCH($A67,SPPR!$A:$A,0),14),"")</f>
        <v/>
      </c>
      <c r="R67">
        <f>IFERROR($C67*INDEX(SPPR!$E:$X,MATCH($A67,SPPR!$A:$A,0),15),"")</f>
        <v/>
      </c>
      <c r="S67">
        <f>IFERROR($C67*INDEX(SPPR!$E:$X,MATCH($A67,SPPR!$A:$A,0),16),"")</f>
        <v/>
      </c>
      <c r="T67">
        <f>IFERROR($C67*INDEX(SPPR!$E:$X,MATCH($A67,SPPR!$A:$A,0),17),"")</f>
        <v/>
      </c>
      <c r="U67">
        <f>IFERROR($C67*INDEX(SPPR!$E:$X,MATCH($A67,SPPR!$A:$A,0),18),"")</f>
        <v/>
      </c>
      <c r="V67">
        <f>IFERROR($C67*INDEX(SPPR!$E:$X,MATCH($A67,SPPR!$A:$A,0),19),"")</f>
        <v/>
      </c>
      <c r="W67">
        <f>IFERROR($C67*INDEX(SPPR!$E:$X,MATCH($A67,SPPR!$A:$A,0),20),"")</f>
        <v/>
      </c>
    </row>
    <row r="68">
      <c r="A68" t="inlineStr">
        <is>
          <t>Bramidae</t>
        </is>
      </c>
      <c r="B68">
        <f>IFERROR(INDEX(SPPR!$D:$D,MATCH($A68,SPPR!$A:$A,0)),"")</f>
        <v/>
      </c>
      <c r="C68">
        <f>IFERROR(INDEX(Catch!$E:$BV,MATCH($A68,Catch!$A:$A,0),MATCH($B$4,Catch!$E$1:$BV$1,0)),0)</f>
        <v/>
      </c>
      <c r="D68">
        <f>IFERROR($C68*INDEX(SPPR!$E:$X,MATCH($A68,SPPR!$A:$A,0),1),"")</f>
        <v/>
      </c>
      <c r="E68">
        <f>IFERROR($C68*INDEX(SPPR!$E:$X,MATCH($A68,SPPR!$A:$A,0),2),"")</f>
        <v/>
      </c>
      <c r="F68">
        <f>IFERROR($C68*INDEX(SPPR!$E:$X,MATCH($A68,SPPR!$A:$A,0),3),"")</f>
        <v/>
      </c>
      <c r="G68">
        <f>IFERROR($C68*INDEX(SPPR!$E:$X,MATCH($A68,SPPR!$A:$A,0),4),"")</f>
        <v/>
      </c>
      <c r="H68">
        <f>IFERROR($C68*INDEX(SPPR!$E:$X,MATCH($A68,SPPR!$A:$A,0),5),"")</f>
        <v/>
      </c>
      <c r="I68">
        <f>IFERROR($C68*INDEX(SPPR!$E:$X,MATCH($A68,SPPR!$A:$A,0),6),"")</f>
        <v/>
      </c>
      <c r="J68">
        <f>IFERROR($C68*INDEX(SPPR!$E:$X,MATCH($A68,SPPR!$A:$A,0),7),"")</f>
        <v/>
      </c>
      <c r="K68">
        <f>IFERROR($C68*INDEX(SPPR!$E:$X,MATCH($A68,SPPR!$A:$A,0),8),"")</f>
        <v/>
      </c>
      <c r="L68">
        <f>IFERROR($C68*INDEX(SPPR!$E:$X,MATCH($A68,SPPR!$A:$A,0),9),"")</f>
        <v/>
      </c>
      <c r="M68">
        <f>IFERROR($C68*INDEX(SPPR!$E:$X,MATCH($A68,SPPR!$A:$A,0),10),"")</f>
        <v/>
      </c>
      <c r="N68">
        <f>IFERROR($C68*INDEX(SPPR!$E:$X,MATCH($A68,SPPR!$A:$A,0),11),"")</f>
        <v/>
      </c>
      <c r="O68">
        <f>IFERROR($C68*INDEX(SPPR!$E:$X,MATCH($A68,SPPR!$A:$A,0),12),"")</f>
        <v/>
      </c>
      <c r="P68">
        <f>IFERROR($C68*INDEX(SPPR!$E:$X,MATCH($A68,SPPR!$A:$A,0),13),"")</f>
        <v/>
      </c>
      <c r="Q68">
        <f>IFERROR($C68*INDEX(SPPR!$E:$X,MATCH($A68,SPPR!$A:$A,0),14),"")</f>
        <v/>
      </c>
      <c r="R68">
        <f>IFERROR($C68*INDEX(SPPR!$E:$X,MATCH($A68,SPPR!$A:$A,0),15),"")</f>
        <v/>
      </c>
      <c r="S68">
        <f>IFERROR($C68*INDEX(SPPR!$E:$X,MATCH($A68,SPPR!$A:$A,0),16),"")</f>
        <v/>
      </c>
      <c r="T68">
        <f>IFERROR($C68*INDEX(SPPR!$E:$X,MATCH($A68,SPPR!$A:$A,0),17),"")</f>
        <v/>
      </c>
      <c r="U68">
        <f>IFERROR($C68*INDEX(SPPR!$E:$X,MATCH($A68,SPPR!$A:$A,0),18),"")</f>
        <v/>
      </c>
      <c r="V68">
        <f>IFERROR($C68*INDEX(SPPR!$E:$X,MATCH($A68,SPPR!$A:$A,0),19),"")</f>
        <v/>
      </c>
      <c r="W68">
        <f>IFERROR($C68*INDEX(SPPR!$E:$X,MATCH($A68,SPPR!$A:$A,0),20),"")</f>
        <v/>
      </c>
    </row>
    <row r="69">
      <c r="A69" t="inlineStr">
        <is>
          <t>Scomberoides lysan</t>
        </is>
      </c>
      <c r="B69">
        <f>IFERROR(INDEX(SPPR!$D:$D,MATCH($A69,SPPR!$A:$A,0)),"")</f>
        <v/>
      </c>
      <c r="C69">
        <f>IFERROR(INDEX(Catch!$E:$BV,MATCH($A69,Catch!$A:$A,0),MATCH($B$4,Catch!$E$1:$BV$1,0)),0)</f>
        <v/>
      </c>
      <c r="D69">
        <f>IFERROR($C69*INDEX(SPPR!$E:$X,MATCH($A69,SPPR!$A:$A,0),1),"")</f>
        <v/>
      </c>
      <c r="E69">
        <f>IFERROR($C69*INDEX(SPPR!$E:$X,MATCH($A69,SPPR!$A:$A,0),2),"")</f>
        <v/>
      </c>
      <c r="F69">
        <f>IFERROR($C69*INDEX(SPPR!$E:$X,MATCH($A69,SPPR!$A:$A,0),3),"")</f>
        <v/>
      </c>
      <c r="G69">
        <f>IFERROR($C69*INDEX(SPPR!$E:$X,MATCH($A69,SPPR!$A:$A,0),4),"")</f>
        <v/>
      </c>
      <c r="H69">
        <f>IFERROR($C69*INDEX(SPPR!$E:$X,MATCH($A69,SPPR!$A:$A,0),5),"")</f>
        <v/>
      </c>
      <c r="I69">
        <f>IFERROR($C69*INDEX(SPPR!$E:$X,MATCH($A69,SPPR!$A:$A,0),6),"")</f>
        <v/>
      </c>
      <c r="J69">
        <f>IFERROR($C69*INDEX(SPPR!$E:$X,MATCH($A69,SPPR!$A:$A,0),7),"")</f>
        <v/>
      </c>
      <c r="K69">
        <f>IFERROR($C69*INDEX(SPPR!$E:$X,MATCH($A69,SPPR!$A:$A,0),8),"")</f>
        <v/>
      </c>
      <c r="L69">
        <f>IFERROR($C69*INDEX(SPPR!$E:$X,MATCH($A69,SPPR!$A:$A,0),9),"")</f>
        <v/>
      </c>
      <c r="M69">
        <f>IFERROR($C69*INDEX(SPPR!$E:$X,MATCH($A69,SPPR!$A:$A,0),10),"")</f>
        <v/>
      </c>
      <c r="N69">
        <f>IFERROR($C69*INDEX(SPPR!$E:$X,MATCH($A69,SPPR!$A:$A,0),11),"")</f>
        <v/>
      </c>
      <c r="O69">
        <f>IFERROR($C69*INDEX(SPPR!$E:$X,MATCH($A69,SPPR!$A:$A,0),12),"")</f>
        <v/>
      </c>
      <c r="P69">
        <f>IFERROR($C69*INDEX(SPPR!$E:$X,MATCH($A69,SPPR!$A:$A,0),13),"")</f>
        <v/>
      </c>
      <c r="Q69">
        <f>IFERROR($C69*INDEX(SPPR!$E:$X,MATCH($A69,SPPR!$A:$A,0),14),"")</f>
        <v/>
      </c>
      <c r="R69">
        <f>IFERROR($C69*INDEX(SPPR!$E:$X,MATCH($A69,SPPR!$A:$A,0),15),"")</f>
        <v/>
      </c>
      <c r="S69">
        <f>IFERROR($C69*INDEX(SPPR!$E:$X,MATCH($A69,SPPR!$A:$A,0),16),"")</f>
        <v/>
      </c>
      <c r="T69">
        <f>IFERROR($C69*INDEX(SPPR!$E:$X,MATCH($A69,SPPR!$A:$A,0),17),"")</f>
        <v/>
      </c>
      <c r="U69">
        <f>IFERROR($C69*INDEX(SPPR!$E:$X,MATCH($A69,SPPR!$A:$A,0),18),"")</f>
        <v/>
      </c>
      <c r="V69">
        <f>IFERROR($C69*INDEX(SPPR!$E:$X,MATCH($A69,SPPR!$A:$A,0),19),"")</f>
        <v/>
      </c>
      <c r="W69">
        <f>IFERROR($C69*INDEX(SPPR!$E:$X,MATCH($A69,SPPR!$A:$A,0),20),"")</f>
        <v/>
      </c>
    </row>
    <row r="70">
      <c r="A70" t="inlineStr">
        <is>
          <t>Nemipterus japonicus</t>
        </is>
      </c>
      <c r="B70">
        <f>IFERROR(INDEX(SPPR!$D:$D,MATCH($A70,SPPR!$A:$A,0)),"")</f>
        <v/>
      </c>
      <c r="C70">
        <f>IFERROR(INDEX(Catch!$E:$BV,MATCH($A70,Catch!$A:$A,0),MATCH($B$4,Catch!$E$1:$BV$1,0)),0)</f>
        <v/>
      </c>
      <c r="D70">
        <f>IFERROR($C70*INDEX(SPPR!$E:$X,MATCH($A70,SPPR!$A:$A,0),1),"")</f>
        <v/>
      </c>
      <c r="E70">
        <f>IFERROR($C70*INDEX(SPPR!$E:$X,MATCH($A70,SPPR!$A:$A,0),2),"")</f>
        <v/>
      </c>
      <c r="F70">
        <f>IFERROR($C70*INDEX(SPPR!$E:$X,MATCH($A70,SPPR!$A:$A,0),3),"")</f>
        <v/>
      </c>
      <c r="G70">
        <f>IFERROR($C70*INDEX(SPPR!$E:$X,MATCH($A70,SPPR!$A:$A,0),4),"")</f>
        <v/>
      </c>
      <c r="H70">
        <f>IFERROR($C70*INDEX(SPPR!$E:$X,MATCH($A70,SPPR!$A:$A,0),5),"")</f>
        <v/>
      </c>
      <c r="I70">
        <f>IFERROR($C70*INDEX(SPPR!$E:$X,MATCH($A70,SPPR!$A:$A,0),6),"")</f>
        <v/>
      </c>
      <c r="J70">
        <f>IFERROR($C70*INDEX(SPPR!$E:$X,MATCH($A70,SPPR!$A:$A,0),7),"")</f>
        <v/>
      </c>
      <c r="K70">
        <f>IFERROR($C70*INDEX(SPPR!$E:$X,MATCH($A70,SPPR!$A:$A,0),8),"")</f>
        <v/>
      </c>
      <c r="L70">
        <f>IFERROR($C70*INDEX(SPPR!$E:$X,MATCH($A70,SPPR!$A:$A,0),9),"")</f>
        <v/>
      </c>
      <c r="M70">
        <f>IFERROR($C70*INDEX(SPPR!$E:$X,MATCH($A70,SPPR!$A:$A,0),10),"")</f>
        <v/>
      </c>
      <c r="N70">
        <f>IFERROR($C70*INDEX(SPPR!$E:$X,MATCH($A70,SPPR!$A:$A,0),11),"")</f>
        <v/>
      </c>
      <c r="O70">
        <f>IFERROR($C70*INDEX(SPPR!$E:$X,MATCH($A70,SPPR!$A:$A,0),12),"")</f>
        <v/>
      </c>
      <c r="P70">
        <f>IFERROR($C70*INDEX(SPPR!$E:$X,MATCH($A70,SPPR!$A:$A,0),13),"")</f>
        <v/>
      </c>
      <c r="Q70">
        <f>IFERROR($C70*INDEX(SPPR!$E:$X,MATCH($A70,SPPR!$A:$A,0),14),"")</f>
        <v/>
      </c>
      <c r="R70">
        <f>IFERROR($C70*INDEX(SPPR!$E:$X,MATCH($A70,SPPR!$A:$A,0),15),"")</f>
        <v/>
      </c>
      <c r="S70">
        <f>IFERROR($C70*INDEX(SPPR!$E:$X,MATCH($A70,SPPR!$A:$A,0),16),"")</f>
        <v/>
      </c>
      <c r="T70">
        <f>IFERROR($C70*INDEX(SPPR!$E:$X,MATCH($A70,SPPR!$A:$A,0),17),"")</f>
        <v/>
      </c>
      <c r="U70">
        <f>IFERROR($C70*INDEX(SPPR!$E:$X,MATCH($A70,SPPR!$A:$A,0),18),"")</f>
        <v/>
      </c>
      <c r="V70">
        <f>IFERROR($C70*INDEX(SPPR!$E:$X,MATCH($A70,SPPR!$A:$A,0),19),"")</f>
        <v/>
      </c>
      <c r="W70">
        <f>IFERROR($C70*INDEX(SPPR!$E:$X,MATCH($A70,SPPR!$A:$A,0),20),"")</f>
        <v/>
      </c>
    </row>
    <row r="71">
      <c r="A71" t="inlineStr">
        <is>
          <t>Thryssa dussumieri</t>
        </is>
      </c>
      <c r="B71">
        <f>IFERROR(INDEX(SPPR!$D:$D,MATCH($A71,SPPR!$A:$A,0)),"")</f>
        <v/>
      </c>
      <c r="C71">
        <f>IFERROR(INDEX(Catch!$E:$BV,MATCH($A71,Catch!$A:$A,0),MATCH($B$4,Catch!$E$1:$BV$1,0)),0)</f>
        <v/>
      </c>
      <c r="D71">
        <f>IFERROR($C71*INDEX(SPPR!$E:$X,MATCH($A71,SPPR!$A:$A,0),1),"")</f>
        <v/>
      </c>
      <c r="E71">
        <f>IFERROR($C71*INDEX(SPPR!$E:$X,MATCH($A71,SPPR!$A:$A,0),2),"")</f>
        <v/>
      </c>
      <c r="F71">
        <f>IFERROR($C71*INDEX(SPPR!$E:$X,MATCH($A71,SPPR!$A:$A,0),3),"")</f>
        <v/>
      </c>
      <c r="G71">
        <f>IFERROR($C71*INDEX(SPPR!$E:$X,MATCH($A71,SPPR!$A:$A,0),4),"")</f>
        <v/>
      </c>
      <c r="H71">
        <f>IFERROR($C71*INDEX(SPPR!$E:$X,MATCH($A71,SPPR!$A:$A,0),5),"")</f>
        <v/>
      </c>
      <c r="I71">
        <f>IFERROR($C71*INDEX(SPPR!$E:$X,MATCH($A71,SPPR!$A:$A,0),6),"")</f>
        <v/>
      </c>
      <c r="J71">
        <f>IFERROR($C71*INDEX(SPPR!$E:$X,MATCH($A71,SPPR!$A:$A,0),7),"")</f>
        <v/>
      </c>
      <c r="K71">
        <f>IFERROR($C71*INDEX(SPPR!$E:$X,MATCH($A71,SPPR!$A:$A,0),8),"")</f>
        <v/>
      </c>
      <c r="L71">
        <f>IFERROR($C71*INDEX(SPPR!$E:$X,MATCH($A71,SPPR!$A:$A,0),9),"")</f>
        <v/>
      </c>
      <c r="M71">
        <f>IFERROR($C71*INDEX(SPPR!$E:$X,MATCH($A71,SPPR!$A:$A,0),10),"")</f>
        <v/>
      </c>
      <c r="N71">
        <f>IFERROR($C71*INDEX(SPPR!$E:$X,MATCH($A71,SPPR!$A:$A,0),11),"")</f>
        <v/>
      </c>
      <c r="O71">
        <f>IFERROR($C71*INDEX(SPPR!$E:$X,MATCH($A71,SPPR!$A:$A,0),12),"")</f>
        <v/>
      </c>
      <c r="P71">
        <f>IFERROR($C71*INDEX(SPPR!$E:$X,MATCH($A71,SPPR!$A:$A,0),13),"")</f>
        <v/>
      </c>
      <c r="Q71">
        <f>IFERROR($C71*INDEX(SPPR!$E:$X,MATCH($A71,SPPR!$A:$A,0),14),"")</f>
        <v/>
      </c>
      <c r="R71">
        <f>IFERROR($C71*INDEX(SPPR!$E:$X,MATCH($A71,SPPR!$A:$A,0),15),"")</f>
        <v/>
      </c>
      <c r="S71">
        <f>IFERROR($C71*INDEX(SPPR!$E:$X,MATCH($A71,SPPR!$A:$A,0),16),"")</f>
        <v/>
      </c>
      <c r="T71">
        <f>IFERROR($C71*INDEX(SPPR!$E:$X,MATCH($A71,SPPR!$A:$A,0),17),"")</f>
        <v/>
      </c>
      <c r="U71">
        <f>IFERROR($C71*INDEX(SPPR!$E:$X,MATCH($A71,SPPR!$A:$A,0),18),"")</f>
        <v/>
      </c>
      <c r="V71">
        <f>IFERROR($C71*INDEX(SPPR!$E:$X,MATCH($A71,SPPR!$A:$A,0),19),"")</f>
        <v/>
      </c>
      <c r="W71">
        <f>IFERROR($C71*INDEX(SPPR!$E:$X,MATCH($A71,SPPR!$A:$A,0),20),"")</f>
        <v/>
      </c>
    </row>
    <row r="72">
      <c r="A72" t="inlineStr">
        <is>
          <t>Pomadasys stridens</t>
        </is>
      </c>
      <c r="B72">
        <f>IFERROR(INDEX(SPPR!$D:$D,MATCH($A72,SPPR!$A:$A,0)),"")</f>
        <v/>
      </c>
      <c r="C72">
        <f>IFERROR(INDEX(Catch!$E:$BV,MATCH($A72,Catch!$A:$A,0),MATCH($B$4,Catch!$E$1:$BV$1,0)),0)</f>
        <v/>
      </c>
      <c r="D72">
        <f>IFERROR($C72*INDEX(SPPR!$E:$X,MATCH($A72,SPPR!$A:$A,0),1),"")</f>
        <v/>
      </c>
      <c r="E72">
        <f>IFERROR($C72*INDEX(SPPR!$E:$X,MATCH($A72,SPPR!$A:$A,0),2),"")</f>
        <v/>
      </c>
      <c r="F72">
        <f>IFERROR($C72*INDEX(SPPR!$E:$X,MATCH($A72,SPPR!$A:$A,0),3),"")</f>
        <v/>
      </c>
      <c r="G72">
        <f>IFERROR($C72*INDEX(SPPR!$E:$X,MATCH($A72,SPPR!$A:$A,0),4),"")</f>
        <v/>
      </c>
      <c r="H72">
        <f>IFERROR($C72*INDEX(SPPR!$E:$X,MATCH($A72,SPPR!$A:$A,0),5),"")</f>
        <v/>
      </c>
      <c r="I72">
        <f>IFERROR($C72*INDEX(SPPR!$E:$X,MATCH($A72,SPPR!$A:$A,0),6),"")</f>
        <v/>
      </c>
      <c r="J72">
        <f>IFERROR($C72*INDEX(SPPR!$E:$X,MATCH($A72,SPPR!$A:$A,0),7),"")</f>
        <v/>
      </c>
      <c r="K72">
        <f>IFERROR($C72*INDEX(SPPR!$E:$X,MATCH($A72,SPPR!$A:$A,0),8),"")</f>
        <v/>
      </c>
      <c r="L72">
        <f>IFERROR($C72*INDEX(SPPR!$E:$X,MATCH($A72,SPPR!$A:$A,0),9),"")</f>
        <v/>
      </c>
      <c r="M72">
        <f>IFERROR($C72*INDEX(SPPR!$E:$X,MATCH($A72,SPPR!$A:$A,0),10),"")</f>
        <v/>
      </c>
      <c r="N72">
        <f>IFERROR($C72*INDEX(SPPR!$E:$X,MATCH($A72,SPPR!$A:$A,0),11),"")</f>
        <v/>
      </c>
      <c r="O72">
        <f>IFERROR($C72*INDEX(SPPR!$E:$X,MATCH($A72,SPPR!$A:$A,0),12),"")</f>
        <v/>
      </c>
      <c r="P72">
        <f>IFERROR($C72*INDEX(SPPR!$E:$X,MATCH($A72,SPPR!$A:$A,0),13),"")</f>
        <v/>
      </c>
      <c r="Q72">
        <f>IFERROR($C72*INDEX(SPPR!$E:$X,MATCH($A72,SPPR!$A:$A,0),14),"")</f>
        <v/>
      </c>
      <c r="R72">
        <f>IFERROR($C72*INDEX(SPPR!$E:$X,MATCH($A72,SPPR!$A:$A,0),15),"")</f>
        <v/>
      </c>
      <c r="S72">
        <f>IFERROR($C72*INDEX(SPPR!$E:$X,MATCH($A72,SPPR!$A:$A,0),16),"")</f>
        <v/>
      </c>
      <c r="T72">
        <f>IFERROR($C72*INDEX(SPPR!$E:$X,MATCH($A72,SPPR!$A:$A,0),17),"")</f>
        <v/>
      </c>
      <c r="U72">
        <f>IFERROR($C72*INDEX(SPPR!$E:$X,MATCH($A72,SPPR!$A:$A,0),18),"")</f>
        <v/>
      </c>
      <c r="V72">
        <f>IFERROR($C72*INDEX(SPPR!$E:$X,MATCH($A72,SPPR!$A:$A,0),19),"")</f>
        <v/>
      </c>
      <c r="W72">
        <f>IFERROR($C72*INDEX(SPPR!$E:$X,MATCH($A72,SPPR!$A:$A,0),20),"")</f>
        <v/>
      </c>
    </row>
    <row r="73">
      <c r="A73" t="inlineStr">
        <is>
          <t>Epinephelus</t>
        </is>
      </c>
      <c r="B73">
        <f>IFERROR(INDEX(SPPR!$D:$D,MATCH($A73,SPPR!$A:$A,0)),"")</f>
        <v/>
      </c>
      <c r="C73">
        <f>IFERROR(INDEX(Catch!$E:$BV,MATCH($A73,Catch!$A:$A,0),MATCH($B$4,Catch!$E$1:$BV$1,0)),0)</f>
        <v/>
      </c>
      <c r="D73">
        <f>IFERROR($C73*INDEX(SPPR!$E:$X,MATCH($A73,SPPR!$A:$A,0),1),"")</f>
        <v/>
      </c>
      <c r="E73">
        <f>IFERROR($C73*INDEX(SPPR!$E:$X,MATCH($A73,SPPR!$A:$A,0),2),"")</f>
        <v/>
      </c>
      <c r="F73">
        <f>IFERROR($C73*INDEX(SPPR!$E:$X,MATCH($A73,SPPR!$A:$A,0),3),"")</f>
        <v/>
      </c>
      <c r="G73">
        <f>IFERROR($C73*INDEX(SPPR!$E:$X,MATCH($A73,SPPR!$A:$A,0),4),"")</f>
        <v/>
      </c>
      <c r="H73">
        <f>IFERROR($C73*INDEX(SPPR!$E:$X,MATCH($A73,SPPR!$A:$A,0),5),"")</f>
        <v/>
      </c>
      <c r="I73">
        <f>IFERROR($C73*INDEX(SPPR!$E:$X,MATCH($A73,SPPR!$A:$A,0),6),"")</f>
        <v/>
      </c>
      <c r="J73">
        <f>IFERROR($C73*INDEX(SPPR!$E:$X,MATCH($A73,SPPR!$A:$A,0),7),"")</f>
        <v/>
      </c>
      <c r="K73">
        <f>IFERROR($C73*INDEX(SPPR!$E:$X,MATCH($A73,SPPR!$A:$A,0),8),"")</f>
        <v/>
      </c>
      <c r="L73">
        <f>IFERROR($C73*INDEX(SPPR!$E:$X,MATCH($A73,SPPR!$A:$A,0),9),"")</f>
        <v/>
      </c>
      <c r="M73">
        <f>IFERROR($C73*INDEX(SPPR!$E:$X,MATCH($A73,SPPR!$A:$A,0),10),"")</f>
        <v/>
      </c>
      <c r="N73">
        <f>IFERROR($C73*INDEX(SPPR!$E:$X,MATCH($A73,SPPR!$A:$A,0),11),"")</f>
        <v/>
      </c>
      <c r="O73">
        <f>IFERROR($C73*INDEX(SPPR!$E:$X,MATCH($A73,SPPR!$A:$A,0),12),"")</f>
        <v/>
      </c>
      <c r="P73">
        <f>IFERROR($C73*INDEX(SPPR!$E:$X,MATCH($A73,SPPR!$A:$A,0),13),"")</f>
        <v/>
      </c>
      <c r="Q73">
        <f>IFERROR($C73*INDEX(SPPR!$E:$X,MATCH($A73,SPPR!$A:$A,0),14),"")</f>
        <v/>
      </c>
      <c r="R73">
        <f>IFERROR($C73*INDEX(SPPR!$E:$X,MATCH($A73,SPPR!$A:$A,0),15),"")</f>
        <v/>
      </c>
      <c r="S73">
        <f>IFERROR($C73*INDEX(SPPR!$E:$X,MATCH($A73,SPPR!$A:$A,0),16),"")</f>
        <v/>
      </c>
      <c r="T73">
        <f>IFERROR($C73*INDEX(SPPR!$E:$X,MATCH($A73,SPPR!$A:$A,0),17),"")</f>
        <v/>
      </c>
      <c r="U73">
        <f>IFERROR($C73*INDEX(SPPR!$E:$X,MATCH($A73,SPPR!$A:$A,0),18),"")</f>
        <v/>
      </c>
      <c r="V73">
        <f>IFERROR($C73*INDEX(SPPR!$E:$X,MATCH($A73,SPPR!$A:$A,0),19),"")</f>
        <v/>
      </c>
      <c r="W73">
        <f>IFERROR($C73*INDEX(SPPR!$E:$X,MATCH($A73,SPPR!$A:$A,0),20),"")</f>
        <v/>
      </c>
    </row>
    <row r="74">
      <c r="A74" t="inlineStr">
        <is>
          <t>Mullidae</t>
        </is>
      </c>
      <c r="B74">
        <f>IFERROR(INDEX(SPPR!$D:$D,MATCH($A74,SPPR!$A:$A,0)),"")</f>
        <v/>
      </c>
      <c r="C74">
        <f>IFERROR(INDEX(Catch!$E:$BV,MATCH($A74,Catch!$A:$A,0),MATCH($B$4,Catch!$E$1:$BV$1,0)),0)</f>
        <v/>
      </c>
      <c r="D74">
        <f>IFERROR($C74*INDEX(SPPR!$E:$X,MATCH($A74,SPPR!$A:$A,0),1),"")</f>
        <v/>
      </c>
      <c r="E74">
        <f>IFERROR($C74*INDEX(SPPR!$E:$X,MATCH($A74,SPPR!$A:$A,0),2),"")</f>
        <v/>
      </c>
      <c r="F74">
        <f>IFERROR($C74*INDEX(SPPR!$E:$X,MATCH($A74,SPPR!$A:$A,0),3),"")</f>
        <v/>
      </c>
      <c r="G74">
        <f>IFERROR($C74*INDEX(SPPR!$E:$X,MATCH($A74,SPPR!$A:$A,0),4),"")</f>
        <v/>
      </c>
      <c r="H74">
        <f>IFERROR($C74*INDEX(SPPR!$E:$X,MATCH($A74,SPPR!$A:$A,0),5),"")</f>
        <v/>
      </c>
      <c r="I74">
        <f>IFERROR($C74*INDEX(SPPR!$E:$X,MATCH($A74,SPPR!$A:$A,0),6),"")</f>
        <v/>
      </c>
      <c r="J74">
        <f>IFERROR($C74*INDEX(SPPR!$E:$X,MATCH($A74,SPPR!$A:$A,0),7),"")</f>
        <v/>
      </c>
      <c r="K74">
        <f>IFERROR($C74*INDEX(SPPR!$E:$X,MATCH($A74,SPPR!$A:$A,0),8),"")</f>
        <v/>
      </c>
      <c r="L74">
        <f>IFERROR($C74*INDEX(SPPR!$E:$X,MATCH($A74,SPPR!$A:$A,0),9),"")</f>
        <v/>
      </c>
      <c r="M74">
        <f>IFERROR($C74*INDEX(SPPR!$E:$X,MATCH($A74,SPPR!$A:$A,0),10),"")</f>
        <v/>
      </c>
      <c r="N74">
        <f>IFERROR($C74*INDEX(SPPR!$E:$X,MATCH($A74,SPPR!$A:$A,0),11),"")</f>
        <v/>
      </c>
      <c r="O74">
        <f>IFERROR($C74*INDEX(SPPR!$E:$X,MATCH($A74,SPPR!$A:$A,0),12),"")</f>
        <v/>
      </c>
      <c r="P74">
        <f>IFERROR($C74*INDEX(SPPR!$E:$X,MATCH($A74,SPPR!$A:$A,0),13),"")</f>
        <v/>
      </c>
      <c r="Q74">
        <f>IFERROR($C74*INDEX(SPPR!$E:$X,MATCH($A74,SPPR!$A:$A,0),14),"")</f>
        <v/>
      </c>
      <c r="R74">
        <f>IFERROR($C74*INDEX(SPPR!$E:$X,MATCH($A74,SPPR!$A:$A,0),15),"")</f>
        <v/>
      </c>
      <c r="S74">
        <f>IFERROR($C74*INDEX(SPPR!$E:$X,MATCH($A74,SPPR!$A:$A,0),16),"")</f>
        <v/>
      </c>
      <c r="T74">
        <f>IFERROR($C74*INDEX(SPPR!$E:$X,MATCH($A74,SPPR!$A:$A,0),17),"")</f>
        <v/>
      </c>
      <c r="U74">
        <f>IFERROR($C74*INDEX(SPPR!$E:$X,MATCH($A74,SPPR!$A:$A,0),18),"")</f>
        <v/>
      </c>
      <c r="V74">
        <f>IFERROR($C74*INDEX(SPPR!$E:$X,MATCH($A74,SPPR!$A:$A,0),19),"")</f>
        <v/>
      </c>
      <c r="W74">
        <f>IFERROR($C74*INDEX(SPPR!$E:$X,MATCH($A74,SPPR!$A:$A,0),20),"")</f>
        <v/>
      </c>
    </row>
    <row r="75">
      <c r="A75" t="inlineStr">
        <is>
          <t>Siganidae</t>
        </is>
      </c>
      <c r="B75">
        <f>IFERROR(INDEX(SPPR!$D:$D,MATCH($A75,SPPR!$A:$A,0)),"")</f>
        <v/>
      </c>
      <c r="C75">
        <f>IFERROR(INDEX(Catch!$E:$BV,MATCH($A75,Catch!$A:$A,0),MATCH($B$4,Catch!$E$1:$BV$1,0)),0)</f>
        <v/>
      </c>
      <c r="D75">
        <f>IFERROR($C75*INDEX(SPPR!$E:$X,MATCH($A75,SPPR!$A:$A,0),1),"")</f>
        <v/>
      </c>
      <c r="E75">
        <f>IFERROR($C75*INDEX(SPPR!$E:$X,MATCH($A75,SPPR!$A:$A,0),2),"")</f>
        <v/>
      </c>
      <c r="F75">
        <f>IFERROR($C75*INDEX(SPPR!$E:$X,MATCH($A75,SPPR!$A:$A,0),3),"")</f>
        <v/>
      </c>
      <c r="G75">
        <f>IFERROR($C75*INDEX(SPPR!$E:$X,MATCH($A75,SPPR!$A:$A,0),4),"")</f>
        <v/>
      </c>
      <c r="H75">
        <f>IFERROR($C75*INDEX(SPPR!$E:$X,MATCH($A75,SPPR!$A:$A,0),5),"")</f>
        <v/>
      </c>
      <c r="I75">
        <f>IFERROR($C75*INDEX(SPPR!$E:$X,MATCH($A75,SPPR!$A:$A,0),6),"")</f>
        <v/>
      </c>
      <c r="J75">
        <f>IFERROR($C75*INDEX(SPPR!$E:$X,MATCH($A75,SPPR!$A:$A,0),7),"")</f>
        <v/>
      </c>
      <c r="K75">
        <f>IFERROR($C75*INDEX(SPPR!$E:$X,MATCH($A75,SPPR!$A:$A,0),8),"")</f>
        <v/>
      </c>
      <c r="L75">
        <f>IFERROR($C75*INDEX(SPPR!$E:$X,MATCH($A75,SPPR!$A:$A,0),9),"")</f>
        <v/>
      </c>
      <c r="M75">
        <f>IFERROR($C75*INDEX(SPPR!$E:$X,MATCH($A75,SPPR!$A:$A,0),10),"")</f>
        <v/>
      </c>
      <c r="N75">
        <f>IFERROR($C75*INDEX(SPPR!$E:$X,MATCH($A75,SPPR!$A:$A,0),11),"")</f>
        <v/>
      </c>
      <c r="O75">
        <f>IFERROR($C75*INDEX(SPPR!$E:$X,MATCH($A75,SPPR!$A:$A,0),12),"")</f>
        <v/>
      </c>
      <c r="P75">
        <f>IFERROR($C75*INDEX(SPPR!$E:$X,MATCH($A75,SPPR!$A:$A,0),13),"")</f>
        <v/>
      </c>
      <c r="Q75">
        <f>IFERROR($C75*INDEX(SPPR!$E:$X,MATCH($A75,SPPR!$A:$A,0),14),"")</f>
        <v/>
      </c>
      <c r="R75">
        <f>IFERROR($C75*INDEX(SPPR!$E:$X,MATCH($A75,SPPR!$A:$A,0),15),"")</f>
        <v/>
      </c>
      <c r="S75">
        <f>IFERROR($C75*INDEX(SPPR!$E:$X,MATCH($A75,SPPR!$A:$A,0),16),"")</f>
        <v/>
      </c>
      <c r="T75">
        <f>IFERROR($C75*INDEX(SPPR!$E:$X,MATCH($A75,SPPR!$A:$A,0),17),"")</f>
        <v/>
      </c>
      <c r="U75">
        <f>IFERROR($C75*INDEX(SPPR!$E:$X,MATCH($A75,SPPR!$A:$A,0),18),"")</f>
        <v/>
      </c>
      <c r="V75">
        <f>IFERROR($C75*INDEX(SPPR!$E:$X,MATCH($A75,SPPR!$A:$A,0),19),"")</f>
        <v/>
      </c>
      <c r="W75">
        <f>IFERROR($C75*INDEX(SPPR!$E:$X,MATCH($A75,SPPR!$A:$A,0),20),"")</f>
        <v/>
      </c>
    </row>
    <row r="76">
      <c r="A76" t="inlineStr">
        <is>
          <t>Nematalosa nasus</t>
        </is>
      </c>
      <c r="B76">
        <f>IFERROR(INDEX(SPPR!$D:$D,MATCH($A76,SPPR!$A:$A,0)),"")</f>
        <v/>
      </c>
      <c r="C76">
        <f>IFERROR(INDEX(Catch!$E:$BV,MATCH($A76,Catch!$A:$A,0),MATCH($B$4,Catch!$E$1:$BV$1,0)),0)</f>
        <v/>
      </c>
      <c r="D76">
        <f>IFERROR($C76*INDEX(SPPR!$E:$X,MATCH($A76,SPPR!$A:$A,0),1),"")</f>
        <v/>
      </c>
      <c r="E76">
        <f>IFERROR($C76*INDEX(SPPR!$E:$X,MATCH($A76,SPPR!$A:$A,0),2),"")</f>
        <v/>
      </c>
      <c r="F76">
        <f>IFERROR($C76*INDEX(SPPR!$E:$X,MATCH($A76,SPPR!$A:$A,0),3),"")</f>
        <v/>
      </c>
      <c r="G76">
        <f>IFERROR($C76*INDEX(SPPR!$E:$X,MATCH($A76,SPPR!$A:$A,0),4),"")</f>
        <v/>
      </c>
      <c r="H76">
        <f>IFERROR($C76*INDEX(SPPR!$E:$X,MATCH($A76,SPPR!$A:$A,0),5),"")</f>
        <v/>
      </c>
      <c r="I76">
        <f>IFERROR($C76*INDEX(SPPR!$E:$X,MATCH($A76,SPPR!$A:$A,0),6),"")</f>
        <v/>
      </c>
      <c r="J76">
        <f>IFERROR($C76*INDEX(SPPR!$E:$X,MATCH($A76,SPPR!$A:$A,0),7),"")</f>
        <v/>
      </c>
      <c r="K76">
        <f>IFERROR($C76*INDEX(SPPR!$E:$X,MATCH($A76,SPPR!$A:$A,0),8),"")</f>
        <v/>
      </c>
      <c r="L76">
        <f>IFERROR($C76*INDEX(SPPR!$E:$X,MATCH($A76,SPPR!$A:$A,0),9),"")</f>
        <v/>
      </c>
      <c r="M76">
        <f>IFERROR($C76*INDEX(SPPR!$E:$X,MATCH($A76,SPPR!$A:$A,0),10),"")</f>
        <v/>
      </c>
      <c r="N76">
        <f>IFERROR($C76*INDEX(SPPR!$E:$X,MATCH($A76,SPPR!$A:$A,0),11),"")</f>
        <v/>
      </c>
      <c r="O76">
        <f>IFERROR($C76*INDEX(SPPR!$E:$X,MATCH($A76,SPPR!$A:$A,0),12),"")</f>
        <v/>
      </c>
      <c r="P76">
        <f>IFERROR($C76*INDEX(SPPR!$E:$X,MATCH($A76,SPPR!$A:$A,0),13),"")</f>
        <v/>
      </c>
      <c r="Q76">
        <f>IFERROR($C76*INDEX(SPPR!$E:$X,MATCH($A76,SPPR!$A:$A,0),14),"")</f>
        <v/>
      </c>
      <c r="R76">
        <f>IFERROR($C76*INDEX(SPPR!$E:$X,MATCH($A76,SPPR!$A:$A,0),15),"")</f>
        <v/>
      </c>
      <c r="S76">
        <f>IFERROR($C76*INDEX(SPPR!$E:$X,MATCH($A76,SPPR!$A:$A,0),16),"")</f>
        <v/>
      </c>
      <c r="T76">
        <f>IFERROR($C76*INDEX(SPPR!$E:$X,MATCH($A76,SPPR!$A:$A,0),17),"")</f>
        <v/>
      </c>
      <c r="U76">
        <f>IFERROR($C76*INDEX(SPPR!$E:$X,MATCH($A76,SPPR!$A:$A,0),18),"")</f>
        <v/>
      </c>
      <c r="V76">
        <f>IFERROR($C76*INDEX(SPPR!$E:$X,MATCH($A76,SPPR!$A:$A,0),19),"")</f>
        <v/>
      </c>
      <c r="W76">
        <f>IFERROR($C76*INDEX(SPPR!$E:$X,MATCH($A76,SPPR!$A:$A,0),20),"")</f>
        <v/>
      </c>
    </row>
    <row r="77">
      <c r="A77" t="inlineStr">
        <is>
          <t>Scomberoides</t>
        </is>
      </c>
      <c r="B77">
        <f>IFERROR(INDEX(SPPR!$D:$D,MATCH($A77,SPPR!$A:$A,0)),"")</f>
        <v/>
      </c>
      <c r="C77">
        <f>IFERROR(INDEX(Catch!$E:$BV,MATCH($A77,Catch!$A:$A,0),MATCH($B$4,Catch!$E$1:$BV$1,0)),0)</f>
        <v/>
      </c>
      <c r="D77">
        <f>IFERROR($C77*INDEX(SPPR!$E:$X,MATCH($A77,SPPR!$A:$A,0),1),"")</f>
        <v/>
      </c>
      <c r="E77">
        <f>IFERROR($C77*INDEX(SPPR!$E:$X,MATCH($A77,SPPR!$A:$A,0),2),"")</f>
        <v/>
      </c>
      <c r="F77">
        <f>IFERROR($C77*INDEX(SPPR!$E:$X,MATCH($A77,SPPR!$A:$A,0),3),"")</f>
        <v/>
      </c>
      <c r="G77">
        <f>IFERROR($C77*INDEX(SPPR!$E:$X,MATCH($A77,SPPR!$A:$A,0),4),"")</f>
        <v/>
      </c>
      <c r="H77">
        <f>IFERROR($C77*INDEX(SPPR!$E:$X,MATCH($A77,SPPR!$A:$A,0),5),"")</f>
        <v/>
      </c>
      <c r="I77">
        <f>IFERROR($C77*INDEX(SPPR!$E:$X,MATCH($A77,SPPR!$A:$A,0),6),"")</f>
        <v/>
      </c>
      <c r="J77">
        <f>IFERROR($C77*INDEX(SPPR!$E:$X,MATCH($A77,SPPR!$A:$A,0),7),"")</f>
        <v/>
      </c>
      <c r="K77">
        <f>IFERROR($C77*INDEX(SPPR!$E:$X,MATCH($A77,SPPR!$A:$A,0),8),"")</f>
        <v/>
      </c>
      <c r="L77">
        <f>IFERROR($C77*INDEX(SPPR!$E:$X,MATCH($A77,SPPR!$A:$A,0),9),"")</f>
        <v/>
      </c>
      <c r="M77">
        <f>IFERROR($C77*INDEX(SPPR!$E:$X,MATCH($A77,SPPR!$A:$A,0),10),"")</f>
        <v/>
      </c>
      <c r="N77">
        <f>IFERROR($C77*INDEX(SPPR!$E:$X,MATCH($A77,SPPR!$A:$A,0),11),"")</f>
        <v/>
      </c>
      <c r="O77">
        <f>IFERROR($C77*INDEX(SPPR!$E:$X,MATCH($A77,SPPR!$A:$A,0),12),"")</f>
        <v/>
      </c>
      <c r="P77">
        <f>IFERROR($C77*INDEX(SPPR!$E:$X,MATCH($A77,SPPR!$A:$A,0),13),"")</f>
        <v/>
      </c>
      <c r="Q77">
        <f>IFERROR($C77*INDEX(SPPR!$E:$X,MATCH($A77,SPPR!$A:$A,0),14),"")</f>
        <v/>
      </c>
      <c r="R77">
        <f>IFERROR($C77*INDEX(SPPR!$E:$X,MATCH($A77,SPPR!$A:$A,0),15),"")</f>
        <v/>
      </c>
      <c r="S77">
        <f>IFERROR($C77*INDEX(SPPR!$E:$X,MATCH($A77,SPPR!$A:$A,0),16),"")</f>
        <v/>
      </c>
      <c r="T77">
        <f>IFERROR($C77*INDEX(SPPR!$E:$X,MATCH($A77,SPPR!$A:$A,0),17),"")</f>
        <v/>
      </c>
      <c r="U77">
        <f>IFERROR($C77*INDEX(SPPR!$E:$X,MATCH($A77,SPPR!$A:$A,0),18),"")</f>
        <v/>
      </c>
      <c r="V77">
        <f>IFERROR($C77*INDEX(SPPR!$E:$X,MATCH($A77,SPPR!$A:$A,0),19),"")</f>
        <v/>
      </c>
      <c r="W77">
        <f>IFERROR($C77*INDEX(SPPR!$E:$X,MATCH($A77,SPPR!$A:$A,0),20),"")</f>
        <v/>
      </c>
    </row>
    <row r="78">
      <c r="A78" t="inlineStr">
        <is>
          <t>Sepia</t>
        </is>
      </c>
      <c r="B78">
        <f>IFERROR(INDEX(SPPR!$D:$D,MATCH($A78,SPPR!$A:$A,0)),"")</f>
        <v/>
      </c>
      <c r="C78">
        <f>IFERROR(INDEX(Catch!$E:$BV,MATCH($A78,Catch!$A:$A,0),MATCH($B$4,Catch!$E$1:$BV$1,0)),0)</f>
        <v/>
      </c>
      <c r="D78">
        <f>IFERROR($C78*INDEX(SPPR!$E:$X,MATCH($A78,SPPR!$A:$A,0),1),"")</f>
        <v/>
      </c>
      <c r="E78">
        <f>IFERROR($C78*INDEX(SPPR!$E:$X,MATCH($A78,SPPR!$A:$A,0),2),"")</f>
        <v/>
      </c>
      <c r="F78">
        <f>IFERROR($C78*INDEX(SPPR!$E:$X,MATCH($A78,SPPR!$A:$A,0),3),"")</f>
        <v/>
      </c>
      <c r="G78">
        <f>IFERROR($C78*INDEX(SPPR!$E:$X,MATCH($A78,SPPR!$A:$A,0),4),"")</f>
        <v/>
      </c>
      <c r="H78">
        <f>IFERROR($C78*INDEX(SPPR!$E:$X,MATCH($A78,SPPR!$A:$A,0),5),"")</f>
        <v/>
      </c>
      <c r="I78">
        <f>IFERROR($C78*INDEX(SPPR!$E:$X,MATCH($A78,SPPR!$A:$A,0),6),"")</f>
        <v/>
      </c>
      <c r="J78">
        <f>IFERROR($C78*INDEX(SPPR!$E:$X,MATCH($A78,SPPR!$A:$A,0),7),"")</f>
        <v/>
      </c>
      <c r="K78">
        <f>IFERROR($C78*INDEX(SPPR!$E:$X,MATCH($A78,SPPR!$A:$A,0),8),"")</f>
        <v/>
      </c>
      <c r="L78">
        <f>IFERROR($C78*INDEX(SPPR!$E:$X,MATCH($A78,SPPR!$A:$A,0),9),"")</f>
        <v/>
      </c>
      <c r="M78">
        <f>IFERROR($C78*INDEX(SPPR!$E:$X,MATCH($A78,SPPR!$A:$A,0),10),"")</f>
        <v/>
      </c>
      <c r="N78">
        <f>IFERROR($C78*INDEX(SPPR!$E:$X,MATCH($A78,SPPR!$A:$A,0),11),"")</f>
        <v/>
      </c>
      <c r="O78">
        <f>IFERROR($C78*INDEX(SPPR!$E:$X,MATCH($A78,SPPR!$A:$A,0),12),"")</f>
        <v/>
      </c>
      <c r="P78">
        <f>IFERROR($C78*INDEX(SPPR!$E:$X,MATCH($A78,SPPR!$A:$A,0),13),"")</f>
        <v/>
      </c>
      <c r="Q78">
        <f>IFERROR($C78*INDEX(SPPR!$E:$X,MATCH($A78,SPPR!$A:$A,0),14),"")</f>
        <v/>
      </c>
      <c r="R78">
        <f>IFERROR($C78*INDEX(SPPR!$E:$X,MATCH($A78,SPPR!$A:$A,0),15),"")</f>
        <v/>
      </c>
      <c r="S78">
        <f>IFERROR($C78*INDEX(SPPR!$E:$X,MATCH($A78,SPPR!$A:$A,0),16),"")</f>
        <v/>
      </c>
      <c r="T78">
        <f>IFERROR($C78*INDEX(SPPR!$E:$X,MATCH($A78,SPPR!$A:$A,0),17),"")</f>
        <v/>
      </c>
      <c r="U78">
        <f>IFERROR($C78*INDEX(SPPR!$E:$X,MATCH($A78,SPPR!$A:$A,0),18),"")</f>
        <v/>
      </c>
      <c r="V78">
        <f>IFERROR($C78*INDEX(SPPR!$E:$X,MATCH($A78,SPPR!$A:$A,0),19),"")</f>
        <v/>
      </c>
      <c r="W78">
        <f>IFERROR($C78*INDEX(SPPR!$E:$X,MATCH($A78,SPPR!$A:$A,0),20),"")</f>
        <v/>
      </c>
    </row>
    <row r="79">
      <c r="A79" t="inlineStr">
        <is>
          <t>Chirocentrus</t>
        </is>
      </c>
      <c r="B79">
        <f>IFERROR(INDEX(SPPR!$D:$D,MATCH($A79,SPPR!$A:$A,0)),"")</f>
        <v/>
      </c>
      <c r="C79">
        <f>IFERROR(INDEX(Catch!$E:$BV,MATCH($A79,Catch!$A:$A,0),MATCH($B$4,Catch!$E$1:$BV$1,0)),0)</f>
        <v/>
      </c>
      <c r="D79">
        <f>IFERROR($C79*INDEX(SPPR!$E:$X,MATCH($A79,SPPR!$A:$A,0),1),"")</f>
        <v/>
      </c>
      <c r="E79">
        <f>IFERROR($C79*INDEX(SPPR!$E:$X,MATCH($A79,SPPR!$A:$A,0),2),"")</f>
        <v/>
      </c>
      <c r="F79">
        <f>IFERROR($C79*INDEX(SPPR!$E:$X,MATCH($A79,SPPR!$A:$A,0),3),"")</f>
        <v/>
      </c>
      <c r="G79">
        <f>IFERROR($C79*INDEX(SPPR!$E:$X,MATCH($A79,SPPR!$A:$A,0),4),"")</f>
        <v/>
      </c>
      <c r="H79">
        <f>IFERROR($C79*INDEX(SPPR!$E:$X,MATCH($A79,SPPR!$A:$A,0),5),"")</f>
        <v/>
      </c>
      <c r="I79">
        <f>IFERROR($C79*INDEX(SPPR!$E:$X,MATCH($A79,SPPR!$A:$A,0),6),"")</f>
        <v/>
      </c>
      <c r="J79">
        <f>IFERROR($C79*INDEX(SPPR!$E:$X,MATCH($A79,SPPR!$A:$A,0),7),"")</f>
        <v/>
      </c>
      <c r="K79">
        <f>IFERROR($C79*INDEX(SPPR!$E:$X,MATCH($A79,SPPR!$A:$A,0),8),"")</f>
        <v/>
      </c>
      <c r="L79">
        <f>IFERROR($C79*INDEX(SPPR!$E:$X,MATCH($A79,SPPR!$A:$A,0),9),"")</f>
        <v/>
      </c>
      <c r="M79">
        <f>IFERROR($C79*INDEX(SPPR!$E:$X,MATCH($A79,SPPR!$A:$A,0),10),"")</f>
        <v/>
      </c>
      <c r="N79">
        <f>IFERROR($C79*INDEX(SPPR!$E:$X,MATCH($A79,SPPR!$A:$A,0),11),"")</f>
        <v/>
      </c>
      <c r="O79">
        <f>IFERROR($C79*INDEX(SPPR!$E:$X,MATCH($A79,SPPR!$A:$A,0),12),"")</f>
        <v/>
      </c>
      <c r="P79">
        <f>IFERROR($C79*INDEX(SPPR!$E:$X,MATCH($A79,SPPR!$A:$A,0),13),"")</f>
        <v/>
      </c>
      <c r="Q79">
        <f>IFERROR($C79*INDEX(SPPR!$E:$X,MATCH($A79,SPPR!$A:$A,0),14),"")</f>
        <v/>
      </c>
      <c r="R79">
        <f>IFERROR($C79*INDEX(SPPR!$E:$X,MATCH($A79,SPPR!$A:$A,0),15),"")</f>
        <v/>
      </c>
      <c r="S79">
        <f>IFERROR($C79*INDEX(SPPR!$E:$X,MATCH($A79,SPPR!$A:$A,0),16),"")</f>
        <v/>
      </c>
      <c r="T79">
        <f>IFERROR($C79*INDEX(SPPR!$E:$X,MATCH($A79,SPPR!$A:$A,0),17),"")</f>
        <v/>
      </c>
      <c r="U79">
        <f>IFERROR($C79*INDEX(SPPR!$E:$X,MATCH($A79,SPPR!$A:$A,0),18),"")</f>
        <v/>
      </c>
      <c r="V79">
        <f>IFERROR($C79*INDEX(SPPR!$E:$X,MATCH($A79,SPPR!$A:$A,0),19),"")</f>
        <v/>
      </c>
      <c r="W79">
        <f>IFERROR($C79*INDEX(SPPR!$E:$X,MATCH($A79,SPPR!$A:$A,0),20),"")</f>
        <v/>
      </c>
    </row>
    <row r="80">
      <c r="A80" t="inlineStr">
        <is>
          <t>Myliobatidae</t>
        </is>
      </c>
      <c r="B80">
        <f>IFERROR(INDEX(SPPR!$D:$D,MATCH($A80,SPPR!$A:$A,0)),"")</f>
        <v/>
      </c>
      <c r="C80">
        <f>IFERROR(INDEX(Catch!$E:$BV,MATCH($A80,Catch!$A:$A,0),MATCH($B$4,Catch!$E$1:$BV$1,0)),0)</f>
        <v/>
      </c>
      <c r="D80">
        <f>IFERROR($C80*INDEX(SPPR!$E:$X,MATCH($A80,SPPR!$A:$A,0),1),"")</f>
        <v/>
      </c>
      <c r="E80">
        <f>IFERROR($C80*INDEX(SPPR!$E:$X,MATCH($A80,SPPR!$A:$A,0),2),"")</f>
        <v/>
      </c>
      <c r="F80">
        <f>IFERROR($C80*INDEX(SPPR!$E:$X,MATCH($A80,SPPR!$A:$A,0),3),"")</f>
        <v/>
      </c>
      <c r="G80">
        <f>IFERROR($C80*INDEX(SPPR!$E:$X,MATCH($A80,SPPR!$A:$A,0),4),"")</f>
        <v/>
      </c>
      <c r="H80">
        <f>IFERROR($C80*INDEX(SPPR!$E:$X,MATCH($A80,SPPR!$A:$A,0),5),"")</f>
        <v/>
      </c>
      <c r="I80">
        <f>IFERROR($C80*INDEX(SPPR!$E:$X,MATCH($A80,SPPR!$A:$A,0),6),"")</f>
        <v/>
      </c>
      <c r="J80">
        <f>IFERROR($C80*INDEX(SPPR!$E:$X,MATCH($A80,SPPR!$A:$A,0),7),"")</f>
        <v/>
      </c>
      <c r="K80">
        <f>IFERROR($C80*INDEX(SPPR!$E:$X,MATCH($A80,SPPR!$A:$A,0),8),"")</f>
        <v/>
      </c>
      <c r="L80">
        <f>IFERROR($C80*INDEX(SPPR!$E:$X,MATCH($A80,SPPR!$A:$A,0),9),"")</f>
        <v/>
      </c>
      <c r="M80">
        <f>IFERROR($C80*INDEX(SPPR!$E:$X,MATCH($A80,SPPR!$A:$A,0),10),"")</f>
        <v/>
      </c>
      <c r="N80">
        <f>IFERROR($C80*INDEX(SPPR!$E:$X,MATCH($A80,SPPR!$A:$A,0),11),"")</f>
        <v/>
      </c>
      <c r="O80">
        <f>IFERROR($C80*INDEX(SPPR!$E:$X,MATCH($A80,SPPR!$A:$A,0),12),"")</f>
        <v/>
      </c>
      <c r="P80">
        <f>IFERROR($C80*INDEX(SPPR!$E:$X,MATCH($A80,SPPR!$A:$A,0),13),"")</f>
        <v/>
      </c>
      <c r="Q80">
        <f>IFERROR($C80*INDEX(SPPR!$E:$X,MATCH($A80,SPPR!$A:$A,0),14),"")</f>
        <v/>
      </c>
      <c r="R80">
        <f>IFERROR($C80*INDEX(SPPR!$E:$X,MATCH($A80,SPPR!$A:$A,0),15),"")</f>
        <v/>
      </c>
      <c r="S80">
        <f>IFERROR($C80*INDEX(SPPR!$E:$X,MATCH($A80,SPPR!$A:$A,0),16),"")</f>
        <v/>
      </c>
      <c r="T80">
        <f>IFERROR($C80*INDEX(SPPR!$E:$X,MATCH($A80,SPPR!$A:$A,0),17),"")</f>
        <v/>
      </c>
      <c r="U80">
        <f>IFERROR($C80*INDEX(SPPR!$E:$X,MATCH($A80,SPPR!$A:$A,0),18),"")</f>
        <v/>
      </c>
      <c r="V80">
        <f>IFERROR($C80*INDEX(SPPR!$E:$X,MATCH($A80,SPPR!$A:$A,0),19),"")</f>
        <v/>
      </c>
      <c r="W80">
        <f>IFERROR($C80*INDEX(SPPR!$E:$X,MATCH($A80,SPPR!$A:$A,0),20),"")</f>
        <v/>
      </c>
    </row>
    <row r="81">
      <c r="A81" t="inlineStr">
        <is>
          <t>Sepia pharaonis</t>
        </is>
      </c>
      <c r="B81">
        <f>IFERROR(INDEX(SPPR!$D:$D,MATCH($A81,SPPR!$A:$A,0)),"")</f>
        <v/>
      </c>
      <c r="C81">
        <f>IFERROR(INDEX(Catch!$E:$BV,MATCH($A81,Catch!$A:$A,0),MATCH($B$4,Catch!$E$1:$BV$1,0)),0)</f>
        <v/>
      </c>
      <c r="D81">
        <f>IFERROR($C81*INDEX(SPPR!$E:$X,MATCH($A81,SPPR!$A:$A,0),1),"")</f>
        <v/>
      </c>
      <c r="E81">
        <f>IFERROR($C81*INDEX(SPPR!$E:$X,MATCH($A81,SPPR!$A:$A,0),2),"")</f>
        <v/>
      </c>
      <c r="F81">
        <f>IFERROR($C81*INDEX(SPPR!$E:$X,MATCH($A81,SPPR!$A:$A,0),3),"")</f>
        <v/>
      </c>
      <c r="G81">
        <f>IFERROR($C81*INDEX(SPPR!$E:$X,MATCH($A81,SPPR!$A:$A,0),4),"")</f>
        <v/>
      </c>
      <c r="H81">
        <f>IFERROR($C81*INDEX(SPPR!$E:$X,MATCH($A81,SPPR!$A:$A,0),5),"")</f>
        <v/>
      </c>
      <c r="I81">
        <f>IFERROR($C81*INDEX(SPPR!$E:$X,MATCH($A81,SPPR!$A:$A,0),6),"")</f>
        <v/>
      </c>
      <c r="J81">
        <f>IFERROR($C81*INDEX(SPPR!$E:$X,MATCH($A81,SPPR!$A:$A,0),7),"")</f>
        <v/>
      </c>
      <c r="K81">
        <f>IFERROR($C81*INDEX(SPPR!$E:$X,MATCH($A81,SPPR!$A:$A,0),8),"")</f>
        <v/>
      </c>
      <c r="L81">
        <f>IFERROR($C81*INDEX(SPPR!$E:$X,MATCH($A81,SPPR!$A:$A,0),9),"")</f>
        <v/>
      </c>
      <c r="M81">
        <f>IFERROR($C81*INDEX(SPPR!$E:$X,MATCH($A81,SPPR!$A:$A,0),10),"")</f>
        <v/>
      </c>
      <c r="N81">
        <f>IFERROR($C81*INDEX(SPPR!$E:$X,MATCH($A81,SPPR!$A:$A,0),11),"")</f>
        <v/>
      </c>
      <c r="O81">
        <f>IFERROR($C81*INDEX(SPPR!$E:$X,MATCH($A81,SPPR!$A:$A,0),12),"")</f>
        <v/>
      </c>
      <c r="P81">
        <f>IFERROR($C81*INDEX(SPPR!$E:$X,MATCH($A81,SPPR!$A:$A,0),13),"")</f>
        <v/>
      </c>
      <c r="Q81">
        <f>IFERROR($C81*INDEX(SPPR!$E:$X,MATCH($A81,SPPR!$A:$A,0),14),"")</f>
        <v/>
      </c>
      <c r="R81">
        <f>IFERROR($C81*INDEX(SPPR!$E:$X,MATCH($A81,SPPR!$A:$A,0),15),"")</f>
        <v/>
      </c>
      <c r="S81">
        <f>IFERROR($C81*INDEX(SPPR!$E:$X,MATCH($A81,SPPR!$A:$A,0),16),"")</f>
        <v/>
      </c>
      <c r="T81">
        <f>IFERROR($C81*INDEX(SPPR!$E:$X,MATCH($A81,SPPR!$A:$A,0),17),"")</f>
        <v/>
      </c>
      <c r="U81">
        <f>IFERROR($C81*INDEX(SPPR!$E:$X,MATCH($A81,SPPR!$A:$A,0),18),"")</f>
        <v/>
      </c>
      <c r="V81">
        <f>IFERROR($C81*INDEX(SPPR!$E:$X,MATCH($A81,SPPR!$A:$A,0),19),"")</f>
        <v/>
      </c>
      <c r="W81">
        <f>IFERROR($C81*INDEX(SPPR!$E:$X,MATCH($A81,SPPR!$A:$A,0),20),"")</f>
        <v/>
      </c>
    </row>
    <row r="82">
      <c r="A82" t="inlineStr">
        <is>
          <t>Polynemidae</t>
        </is>
      </c>
      <c r="B82">
        <f>IFERROR(INDEX(SPPR!$D:$D,MATCH($A82,SPPR!$A:$A,0)),"")</f>
        <v/>
      </c>
      <c r="C82">
        <f>IFERROR(INDEX(Catch!$E:$BV,MATCH($A82,Catch!$A:$A,0),MATCH($B$4,Catch!$E$1:$BV$1,0)),0)</f>
        <v/>
      </c>
      <c r="D82">
        <f>IFERROR($C82*INDEX(SPPR!$E:$X,MATCH($A82,SPPR!$A:$A,0),1),"")</f>
        <v/>
      </c>
      <c r="E82">
        <f>IFERROR($C82*INDEX(SPPR!$E:$X,MATCH($A82,SPPR!$A:$A,0),2),"")</f>
        <v/>
      </c>
      <c r="F82">
        <f>IFERROR($C82*INDEX(SPPR!$E:$X,MATCH($A82,SPPR!$A:$A,0),3),"")</f>
        <v/>
      </c>
      <c r="G82">
        <f>IFERROR($C82*INDEX(SPPR!$E:$X,MATCH($A82,SPPR!$A:$A,0),4),"")</f>
        <v/>
      </c>
      <c r="H82">
        <f>IFERROR($C82*INDEX(SPPR!$E:$X,MATCH($A82,SPPR!$A:$A,0),5),"")</f>
        <v/>
      </c>
      <c r="I82">
        <f>IFERROR($C82*INDEX(SPPR!$E:$X,MATCH($A82,SPPR!$A:$A,0),6),"")</f>
        <v/>
      </c>
      <c r="J82">
        <f>IFERROR($C82*INDEX(SPPR!$E:$X,MATCH($A82,SPPR!$A:$A,0),7),"")</f>
        <v/>
      </c>
      <c r="K82">
        <f>IFERROR($C82*INDEX(SPPR!$E:$X,MATCH($A82,SPPR!$A:$A,0),8),"")</f>
        <v/>
      </c>
      <c r="L82">
        <f>IFERROR($C82*INDEX(SPPR!$E:$X,MATCH($A82,SPPR!$A:$A,0),9),"")</f>
        <v/>
      </c>
      <c r="M82">
        <f>IFERROR($C82*INDEX(SPPR!$E:$X,MATCH($A82,SPPR!$A:$A,0),10),"")</f>
        <v/>
      </c>
      <c r="N82">
        <f>IFERROR($C82*INDEX(SPPR!$E:$X,MATCH($A82,SPPR!$A:$A,0),11),"")</f>
        <v/>
      </c>
      <c r="O82">
        <f>IFERROR($C82*INDEX(SPPR!$E:$X,MATCH($A82,SPPR!$A:$A,0),12),"")</f>
        <v/>
      </c>
      <c r="P82">
        <f>IFERROR($C82*INDEX(SPPR!$E:$X,MATCH($A82,SPPR!$A:$A,0),13),"")</f>
        <v/>
      </c>
      <c r="Q82">
        <f>IFERROR($C82*INDEX(SPPR!$E:$X,MATCH($A82,SPPR!$A:$A,0),14),"")</f>
        <v/>
      </c>
      <c r="R82">
        <f>IFERROR($C82*INDEX(SPPR!$E:$X,MATCH($A82,SPPR!$A:$A,0),15),"")</f>
        <v/>
      </c>
      <c r="S82">
        <f>IFERROR($C82*INDEX(SPPR!$E:$X,MATCH($A82,SPPR!$A:$A,0),16),"")</f>
        <v/>
      </c>
      <c r="T82">
        <f>IFERROR($C82*INDEX(SPPR!$E:$X,MATCH($A82,SPPR!$A:$A,0),17),"")</f>
        <v/>
      </c>
      <c r="U82">
        <f>IFERROR($C82*INDEX(SPPR!$E:$X,MATCH($A82,SPPR!$A:$A,0),18),"")</f>
        <v/>
      </c>
      <c r="V82">
        <f>IFERROR($C82*INDEX(SPPR!$E:$X,MATCH($A82,SPPR!$A:$A,0),19),"")</f>
        <v/>
      </c>
      <c r="W82">
        <f>IFERROR($C82*INDEX(SPPR!$E:$X,MATCH($A82,SPPR!$A:$A,0),20),"")</f>
        <v/>
      </c>
    </row>
    <row r="83">
      <c r="A83" t="inlineStr">
        <is>
          <t>Anguilliformes</t>
        </is>
      </c>
      <c r="B83">
        <f>IFERROR(INDEX(SPPR!$D:$D,MATCH($A83,SPPR!$A:$A,0)),"")</f>
        <v/>
      </c>
      <c r="C83">
        <f>IFERROR(INDEX(Catch!$E:$BV,MATCH($A83,Catch!$A:$A,0),MATCH($B$4,Catch!$E$1:$BV$1,0)),0)</f>
        <v/>
      </c>
      <c r="D83">
        <f>IFERROR($C83*INDEX(SPPR!$E:$X,MATCH($A83,SPPR!$A:$A,0),1),"")</f>
        <v/>
      </c>
      <c r="E83">
        <f>IFERROR($C83*INDEX(SPPR!$E:$X,MATCH($A83,SPPR!$A:$A,0),2),"")</f>
        <v/>
      </c>
      <c r="F83">
        <f>IFERROR($C83*INDEX(SPPR!$E:$X,MATCH($A83,SPPR!$A:$A,0),3),"")</f>
        <v/>
      </c>
      <c r="G83">
        <f>IFERROR($C83*INDEX(SPPR!$E:$X,MATCH($A83,SPPR!$A:$A,0),4),"")</f>
        <v/>
      </c>
      <c r="H83">
        <f>IFERROR($C83*INDEX(SPPR!$E:$X,MATCH($A83,SPPR!$A:$A,0),5),"")</f>
        <v/>
      </c>
      <c r="I83">
        <f>IFERROR($C83*INDEX(SPPR!$E:$X,MATCH($A83,SPPR!$A:$A,0),6),"")</f>
        <v/>
      </c>
      <c r="J83">
        <f>IFERROR($C83*INDEX(SPPR!$E:$X,MATCH($A83,SPPR!$A:$A,0),7),"")</f>
        <v/>
      </c>
      <c r="K83">
        <f>IFERROR($C83*INDEX(SPPR!$E:$X,MATCH($A83,SPPR!$A:$A,0),8),"")</f>
        <v/>
      </c>
      <c r="L83">
        <f>IFERROR($C83*INDEX(SPPR!$E:$X,MATCH($A83,SPPR!$A:$A,0),9),"")</f>
        <v/>
      </c>
      <c r="M83">
        <f>IFERROR($C83*INDEX(SPPR!$E:$X,MATCH($A83,SPPR!$A:$A,0),10),"")</f>
        <v/>
      </c>
      <c r="N83">
        <f>IFERROR($C83*INDEX(SPPR!$E:$X,MATCH($A83,SPPR!$A:$A,0),11),"")</f>
        <v/>
      </c>
      <c r="O83">
        <f>IFERROR($C83*INDEX(SPPR!$E:$X,MATCH($A83,SPPR!$A:$A,0),12),"")</f>
        <v/>
      </c>
      <c r="P83">
        <f>IFERROR($C83*INDEX(SPPR!$E:$X,MATCH($A83,SPPR!$A:$A,0),13),"")</f>
        <v/>
      </c>
      <c r="Q83">
        <f>IFERROR($C83*INDEX(SPPR!$E:$X,MATCH($A83,SPPR!$A:$A,0),14),"")</f>
        <v/>
      </c>
      <c r="R83">
        <f>IFERROR($C83*INDEX(SPPR!$E:$X,MATCH($A83,SPPR!$A:$A,0),15),"")</f>
        <v/>
      </c>
      <c r="S83">
        <f>IFERROR($C83*INDEX(SPPR!$E:$X,MATCH($A83,SPPR!$A:$A,0),16),"")</f>
        <v/>
      </c>
      <c r="T83">
        <f>IFERROR($C83*INDEX(SPPR!$E:$X,MATCH($A83,SPPR!$A:$A,0),17),"")</f>
        <v/>
      </c>
      <c r="U83">
        <f>IFERROR($C83*INDEX(SPPR!$E:$X,MATCH($A83,SPPR!$A:$A,0),18),"")</f>
        <v/>
      </c>
      <c r="V83">
        <f>IFERROR($C83*INDEX(SPPR!$E:$X,MATCH($A83,SPPR!$A:$A,0),19),"")</f>
        <v/>
      </c>
      <c r="W83">
        <f>IFERROR($C83*INDEX(SPPR!$E:$X,MATCH($A83,SPPR!$A:$A,0),20),"")</f>
        <v/>
      </c>
    </row>
    <row r="84">
      <c r="A84" t="inlineStr">
        <is>
          <t>Pampus argenteus</t>
        </is>
      </c>
      <c r="B84">
        <f>IFERROR(INDEX(SPPR!$D:$D,MATCH($A84,SPPR!$A:$A,0)),"")</f>
        <v/>
      </c>
      <c r="C84">
        <f>IFERROR(INDEX(Catch!$E:$BV,MATCH($A84,Catch!$A:$A,0),MATCH($B$4,Catch!$E$1:$BV$1,0)),0)</f>
        <v/>
      </c>
      <c r="D84">
        <f>IFERROR($C84*INDEX(SPPR!$E:$X,MATCH($A84,SPPR!$A:$A,0),1),"")</f>
        <v/>
      </c>
      <c r="E84">
        <f>IFERROR($C84*INDEX(SPPR!$E:$X,MATCH($A84,SPPR!$A:$A,0),2),"")</f>
        <v/>
      </c>
      <c r="F84">
        <f>IFERROR($C84*INDEX(SPPR!$E:$X,MATCH($A84,SPPR!$A:$A,0),3),"")</f>
        <v/>
      </c>
      <c r="G84">
        <f>IFERROR($C84*INDEX(SPPR!$E:$X,MATCH($A84,SPPR!$A:$A,0),4),"")</f>
        <v/>
      </c>
      <c r="H84">
        <f>IFERROR($C84*INDEX(SPPR!$E:$X,MATCH($A84,SPPR!$A:$A,0),5),"")</f>
        <v/>
      </c>
      <c r="I84">
        <f>IFERROR($C84*INDEX(SPPR!$E:$X,MATCH($A84,SPPR!$A:$A,0),6),"")</f>
        <v/>
      </c>
      <c r="J84">
        <f>IFERROR($C84*INDEX(SPPR!$E:$X,MATCH($A84,SPPR!$A:$A,0),7),"")</f>
        <v/>
      </c>
      <c r="K84">
        <f>IFERROR($C84*INDEX(SPPR!$E:$X,MATCH($A84,SPPR!$A:$A,0),8),"")</f>
        <v/>
      </c>
      <c r="L84">
        <f>IFERROR($C84*INDEX(SPPR!$E:$X,MATCH($A84,SPPR!$A:$A,0),9),"")</f>
        <v/>
      </c>
      <c r="M84">
        <f>IFERROR($C84*INDEX(SPPR!$E:$X,MATCH($A84,SPPR!$A:$A,0),10),"")</f>
        <v/>
      </c>
      <c r="N84">
        <f>IFERROR($C84*INDEX(SPPR!$E:$X,MATCH($A84,SPPR!$A:$A,0),11),"")</f>
        <v/>
      </c>
      <c r="O84">
        <f>IFERROR($C84*INDEX(SPPR!$E:$X,MATCH($A84,SPPR!$A:$A,0),12),"")</f>
        <v/>
      </c>
      <c r="P84">
        <f>IFERROR($C84*INDEX(SPPR!$E:$X,MATCH($A84,SPPR!$A:$A,0),13),"")</f>
        <v/>
      </c>
      <c r="Q84">
        <f>IFERROR($C84*INDEX(SPPR!$E:$X,MATCH($A84,SPPR!$A:$A,0),14),"")</f>
        <v/>
      </c>
      <c r="R84">
        <f>IFERROR($C84*INDEX(SPPR!$E:$X,MATCH($A84,SPPR!$A:$A,0),15),"")</f>
        <v/>
      </c>
      <c r="S84">
        <f>IFERROR($C84*INDEX(SPPR!$E:$X,MATCH($A84,SPPR!$A:$A,0),16),"")</f>
        <v/>
      </c>
      <c r="T84">
        <f>IFERROR($C84*INDEX(SPPR!$E:$X,MATCH($A84,SPPR!$A:$A,0),17),"")</f>
        <v/>
      </c>
      <c r="U84">
        <f>IFERROR($C84*INDEX(SPPR!$E:$X,MATCH($A84,SPPR!$A:$A,0),18),"")</f>
        <v/>
      </c>
      <c r="V84">
        <f>IFERROR($C84*INDEX(SPPR!$E:$X,MATCH($A84,SPPR!$A:$A,0),19),"")</f>
        <v/>
      </c>
      <c r="W84">
        <f>IFERROR($C84*INDEX(SPPR!$E:$X,MATCH($A84,SPPR!$A:$A,0),20),"")</f>
        <v/>
      </c>
    </row>
    <row r="85">
      <c r="A85" t="inlineStr">
        <is>
          <t>Photopectoralis bindus</t>
        </is>
      </c>
      <c r="B85">
        <f>IFERROR(INDEX(SPPR!$D:$D,MATCH($A85,SPPR!$A:$A,0)),"")</f>
        <v/>
      </c>
      <c r="C85">
        <f>IFERROR(INDEX(Catch!$E:$BV,MATCH($A85,Catch!$A:$A,0),MATCH($B$4,Catch!$E$1:$BV$1,0)),0)</f>
        <v/>
      </c>
      <c r="D85">
        <f>IFERROR($C85*INDEX(SPPR!$E:$X,MATCH($A85,SPPR!$A:$A,0),1),"")</f>
        <v/>
      </c>
      <c r="E85">
        <f>IFERROR($C85*INDEX(SPPR!$E:$X,MATCH($A85,SPPR!$A:$A,0),2),"")</f>
        <v/>
      </c>
      <c r="F85">
        <f>IFERROR($C85*INDEX(SPPR!$E:$X,MATCH($A85,SPPR!$A:$A,0),3),"")</f>
        <v/>
      </c>
      <c r="G85">
        <f>IFERROR($C85*INDEX(SPPR!$E:$X,MATCH($A85,SPPR!$A:$A,0),4),"")</f>
        <v/>
      </c>
      <c r="H85">
        <f>IFERROR($C85*INDEX(SPPR!$E:$X,MATCH($A85,SPPR!$A:$A,0),5),"")</f>
        <v/>
      </c>
      <c r="I85">
        <f>IFERROR($C85*INDEX(SPPR!$E:$X,MATCH($A85,SPPR!$A:$A,0),6),"")</f>
        <v/>
      </c>
      <c r="J85">
        <f>IFERROR($C85*INDEX(SPPR!$E:$X,MATCH($A85,SPPR!$A:$A,0),7),"")</f>
        <v/>
      </c>
      <c r="K85">
        <f>IFERROR($C85*INDEX(SPPR!$E:$X,MATCH($A85,SPPR!$A:$A,0),8),"")</f>
        <v/>
      </c>
      <c r="L85">
        <f>IFERROR($C85*INDEX(SPPR!$E:$X,MATCH($A85,SPPR!$A:$A,0),9),"")</f>
        <v/>
      </c>
      <c r="M85">
        <f>IFERROR($C85*INDEX(SPPR!$E:$X,MATCH($A85,SPPR!$A:$A,0),10),"")</f>
        <v/>
      </c>
      <c r="N85">
        <f>IFERROR($C85*INDEX(SPPR!$E:$X,MATCH($A85,SPPR!$A:$A,0),11),"")</f>
        <v/>
      </c>
      <c r="O85">
        <f>IFERROR($C85*INDEX(SPPR!$E:$X,MATCH($A85,SPPR!$A:$A,0),12),"")</f>
        <v/>
      </c>
      <c r="P85">
        <f>IFERROR($C85*INDEX(SPPR!$E:$X,MATCH($A85,SPPR!$A:$A,0),13),"")</f>
        <v/>
      </c>
      <c r="Q85">
        <f>IFERROR($C85*INDEX(SPPR!$E:$X,MATCH($A85,SPPR!$A:$A,0),14),"")</f>
        <v/>
      </c>
      <c r="R85">
        <f>IFERROR($C85*INDEX(SPPR!$E:$X,MATCH($A85,SPPR!$A:$A,0),15),"")</f>
        <v/>
      </c>
      <c r="S85">
        <f>IFERROR($C85*INDEX(SPPR!$E:$X,MATCH($A85,SPPR!$A:$A,0),16),"")</f>
        <v/>
      </c>
      <c r="T85">
        <f>IFERROR($C85*INDEX(SPPR!$E:$X,MATCH($A85,SPPR!$A:$A,0),17),"")</f>
        <v/>
      </c>
      <c r="U85">
        <f>IFERROR($C85*INDEX(SPPR!$E:$X,MATCH($A85,SPPR!$A:$A,0),18),"")</f>
        <v/>
      </c>
      <c r="V85">
        <f>IFERROR($C85*INDEX(SPPR!$E:$X,MATCH($A85,SPPR!$A:$A,0),19),"")</f>
        <v/>
      </c>
      <c r="W85">
        <f>IFERROR($C85*INDEX(SPPR!$E:$X,MATCH($A85,SPPR!$A:$A,0),20),"")</f>
        <v/>
      </c>
    </row>
    <row r="86">
      <c r="A86" t="inlineStr">
        <is>
          <t>Mugil cephalus</t>
        </is>
      </c>
      <c r="B86">
        <f>IFERROR(INDEX(SPPR!$D:$D,MATCH($A86,SPPR!$A:$A,0)),"")</f>
        <v/>
      </c>
      <c r="C86">
        <f>IFERROR(INDEX(Catch!$E:$BV,MATCH($A86,Catch!$A:$A,0),MATCH($B$4,Catch!$E$1:$BV$1,0)),0)</f>
        <v/>
      </c>
      <c r="D86">
        <f>IFERROR($C86*INDEX(SPPR!$E:$X,MATCH($A86,SPPR!$A:$A,0),1),"")</f>
        <v/>
      </c>
      <c r="E86">
        <f>IFERROR($C86*INDEX(SPPR!$E:$X,MATCH($A86,SPPR!$A:$A,0),2),"")</f>
        <v/>
      </c>
      <c r="F86">
        <f>IFERROR($C86*INDEX(SPPR!$E:$X,MATCH($A86,SPPR!$A:$A,0),3),"")</f>
        <v/>
      </c>
      <c r="G86">
        <f>IFERROR($C86*INDEX(SPPR!$E:$X,MATCH($A86,SPPR!$A:$A,0),4),"")</f>
        <v/>
      </c>
      <c r="H86">
        <f>IFERROR($C86*INDEX(SPPR!$E:$X,MATCH($A86,SPPR!$A:$A,0),5),"")</f>
        <v/>
      </c>
      <c r="I86">
        <f>IFERROR($C86*INDEX(SPPR!$E:$X,MATCH($A86,SPPR!$A:$A,0),6),"")</f>
        <v/>
      </c>
      <c r="J86">
        <f>IFERROR($C86*INDEX(SPPR!$E:$X,MATCH($A86,SPPR!$A:$A,0),7),"")</f>
        <v/>
      </c>
      <c r="K86">
        <f>IFERROR($C86*INDEX(SPPR!$E:$X,MATCH($A86,SPPR!$A:$A,0),8),"")</f>
        <v/>
      </c>
      <c r="L86">
        <f>IFERROR($C86*INDEX(SPPR!$E:$X,MATCH($A86,SPPR!$A:$A,0),9),"")</f>
        <v/>
      </c>
      <c r="M86">
        <f>IFERROR($C86*INDEX(SPPR!$E:$X,MATCH($A86,SPPR!$A:$A,0),10),"")</f>
        <v/>
      </c>
      <c r="N86">
        <f>IFERROR($C86*INDEX(SPPR!$E:$X,MATCH($A86,SPPR!$A:$A,0),11),"")</f>
        <v/>
      </c>
      <c r="O86">
        <f>IFERROR($C86*INDEX(SPPR!$E:$X,MATCH($A86,SPPR!$A:$A,0),12),"")</f>
        <v/>
      </c>
      <c r="P86">
        <f>IFERROR($C86*INDEX(SPPR!$E:$X,MATCH($A86,SPPR!$A:$A,0),13),"")</f>
        <v/>
      </c>
      <c r="Q86">
        <f>IFERROR($C86*INDEX(SPPR!$E:$X,MATCH($A86,SPPR!$A:$A,0),14),"")</f>
        <v/>
      </c>
      <c r="R86">
        <f>IFERROR($C86*INDEX(SPPR!$E:$X,MATCH($A86,SPPR!$A:$A,0),15),"")</f>
        <v/>
      </c>
      <c r="S86">
        <f>IFERROR($C86*INDEX(SPPR!$E:$X,MATCH($A86,SPPR!$A:$A,0),16),"")</f>
        <v/>
      </c>
      <c r="T86">
        <f>IFERROR($C86*INDEX(SPPR!$E:$X,MATCH($A86,SPPR!$A:$A,0),17),"")</f>
        <v/>
      </c>
      <c r="U86">
        <f>IFERROR($C86*INDEX(SPPR!$E:$X,MATCH($A86,SPPR!$A:$A,0),18),"")</f>
        <v/>
      </c>
      <c r="V86">
        <f>IFERROR($C86*INDEX(SPPR!$E:$X,MATCH($A86,SPPR!$A:$A,0),19),"")</f>
        <v/>
      </c>
      <c r="W86">
        <f>IFERROR($C86*INDEX(SPPR!$E:$X,MATCH($A86,SPPR!$A:$A,0),20),"")</f>
        <v/>
      </c>
    </row>
    <row r="87">
      <c r="A87" t="inlineStr">
        <is>
          <t>Batoidea</t>
        </is>
      </c>
      <c r="B87">
        <f>IFERROR(INDEX(SPPR!$D:$D,MATCH($A87,SPPR!$A:$A,0)),"")</f>
        <v/>
      </c>
      <c r="C87">
        <f>IFERROR(INDEX(Catch!$E:$BV,MATCH($A87,Catch!$A:$A,0),MATCH($B$4,Catch!$E$1:$BV$1,0)),0)</f>
        <v/>
      </c>
      <c r="D87">
        <f>IFERROR($C87*INDEX(SPPR!$E:$X,MATCH($A87,SPPR!$A:$A,0),1),"")</f>
        <v/>
      </c>
      <c r="E87">
        <f>IFERROR($C87*INDEX(SPPR!$E:$X,MATCH($A87,SPPR!$A:$A,0),2),"")</f>
        <v/>
      </c>
      <c r="F87">
        <f>IFERROR($C87*INDEX(SPPR!$E:$X,MATCH($A87,SPPR!$A:$A,0),3),"")</f>
        <v/>
      </c>
      <c r="G87">
        <f>IFERROR($C87*INDEX(SPPR!$E:$X,MATCH($A87,SPPR!$A:$A,0),4),"")</f>
        <v/>
      </c>
      <c r="H87">
        <f>IFERROR($C87*INDEX(SPPR!$E:$X,MATCH($A87,SPPR!$A:$A,0),5),"")</f>
        <v/>
      </c>
      <c r="I87">
        <f>IFERROR($C87*INDEX(SPPR!$E:$X,MATCH($A87,SPPR!$A:$A,0),6),"")</f>
        <v/>
      </c>
      <c r="J87">
        <f>IFERROR($C87*INDEX(SPPR!$E:$X,MATCH($A87,SPPR!$A:$A,0),7),"")</f>
        <v/>
      </c>
      <c r="K87">
        <f>IFERROR($C87*INDEX(SPPR!$E:$X,MATCH($A87,SPPR!$A:$A,0),8),"")</f>
        <v/>
      </c>
      <c r="L87">
        <f>IFERROR($C87*INDEX(SPPR!$E:$X,MATCH($A87,SPPR!$A:$A,0),9),"")</f>
        <v/>
      </c>
      <c r="M87">
        <f>IFERROR($C87*INDEX(SPPR!$E:$X,MATCH($A87,SPPR!$A:$A,0),10),"")</f>
        <v/>
      </c>
      <c r="N87">
        <f>IFERROR($C87*INDEX(SPPR!$E:$X,MATCH($A87,SPPR!$A:$A,0),11),"")</f>
        <v/>
      </c>
      <c r="O87">
        <f>IFERROR($C87*INDEX(SPPR!$E:$X,MATCH($A87,SPPR!$A:$A,0),12),"")</f>
        <v/>
      </c>
      <c r="P87">
        <f>IFERROR($C87*INDEX(SPPR!$E:$X,MATCH($A87,SPPR!$A:$A,0),13),"")</f>
        <v/>
      </c>
      <c r="Q87">
        <f>IFERROR($C87*INDEX(SPPR!$E:$X,MATCH($A87,SPPR!$A:$A,0),14),"")</f>
        <v/>
      </c>
      <c r="R87">
        <f>IFERROR($C87*INDEX(SPPR!$E:$X,MATCH($A87,SPPR!$A:$A,0),15),"")</f>
        <v/>
      </c>
      <c r="S87">
        <f>IFERROR($C87*INDEX(SPPR!$E:$X,MATCH($A87,SPPR!$A:$A,0),16),"")</f>
        <v/>
      </c>
      <c r="T87">
        <f>IFERROR($C87*INDEX(SPPR!$E:$X,MATCH($A87,SPPR!$A:$A,0),17),"")</f>
        <v/>
      </c>
      <c r="U87">
        <f>IFERROR($C87*INDEX(SPPR!$E:$X,MATCH($A87,SPPR!$A:$A,0),18),"")</f>
        <v/>
      </c>
      <c r="V87">
        <f>IFERROR($C87*INDEX(SPPR!$E:$X,MATCH($A87,SPPR!$A:$A,0),19),"")</f>
        <v/>
      </c>
      <c r="W87">
        <f>IFERROR($C87*INDEX(SPPR!$E:$X,MATCH($A87,SPPR!$A:$A,0),20),"")</f>
        <v/>
      </c>
    </row>
    <row r="88">
      <c r="A88" t="inlineStr">
        <is>
          <t>Rhinobatidae</t>
        </is>
      </c>
      <c r="B88">
        <f>IFERROR(INDEX(SPPR!$D:$D,MATCH($A88,SPPR!$A:$A,0)),"")</f>
        <v/>
      </c>
      <c r="C88">
        <f>IFERROR(INDEX(Catch!$E:$BV,MATCH($A88,Catch!$A:$A,0),MATCH($B$4,Catch!$E$1:$BV$1,0)),0)</f>
        <v/>
      </c>
      <c r="D88">
        <f>IFERROR($C88*INDEX(SPPR!$E:$X,MATCH($A88,SPPR!$A:$A,0),1),"")</f>
        <v/>
      </c>
      <c r="E88">
        <f>IFERROR($C88*INDEX(SPPR!$E:$X,MATCH($A88,SPPR!$A:$A,0),2),"")</f>
        <v/>
      </c>
      <c r="F88">
        <f>IFERROR($C88*INDEX(SPPR!$E:$X,MATCH($A88,SPPR!$A:$A,0),3),"")</f>
        <v/>
      </c>
      <c r="G88">
        <f>IFERROR($C88*INDEX(SPPR!$E:$X,MATCH($A88,SPPR!$A:$A,0),4),"")</f>
        <v/>
      </c>
      <c r="H88">
        <f>IFERROR($C88*INDEX(SPPR!$E:$X,MATCH($A88,SPPR!$A:$A,0),5),"")</f>
        <v/>
      </c>
      <c r="I88">
        <f>IFERROR($C88*INDEX(SPPR!$E:$X,MATCH($A88,SPPR!$A:$A,0),6),"")</f>
        <v/>
      </c>
      <c r="J88">
        <f>IFERROR($C88*INDEX(SPPR!$E:$X,MATCH($A88,SPPR!$A:$A,0),7),"")</f>
        <v/>
      </c>
      <c r="K88">
        <f>IFERROR($C88*INDEX(SPPR!$E:$X,MATCH($A88,SPPR!$A:$A,0),8),"")</f>
        <v/>
      </c>
      <c r="L88">
        <f>IFERROR($C88*INDEX(SPPR!$E:$X,MATCH($A88,SPPR!$A:$A,0),9),"")</f>
        <v/>
      </c>
      <c r="M88">
        <f>IFERROR($C88*INDEX(SPPR!$E:$X,MATCH($A88,SPPR!$A:$A,0),10),"")</f>
        <v/>
      </c>
      <c r="N88">
        <f>IFERROR($C88*INDEX(SPPR!$E:$X,MATCH($A88,SPPR!$A:$A,0),11),"")</f>
        <v/>
      </c>
      <c r="O88">
        <f>IFERROR($C88*INDEX(SPPR!$E:$X,MATCH($A88,SPPR!$A:$A,0),12),"")</f>
        <v/>
      </c>
      <c r="P88">
        <f>IFERROR($C88*INDEX(SPPR!$E:$X,MATCH($A88,SPPR!$A:$A,0),13),"")</f>
        <v/>
      </c>
      <c r="Q88">
        <f>IFERROR($C88*INDEX(SPPR!$E:$X,MATCH($A88,SPPR!$A:$A,0),14),"")</f>
        <v/>
      </c>
      <c r="R88">
        <f>IFERROR($C88*INDEX(SPPR!$E:$X,MATCH($A88,SPPR!$A:$A,0),15),"")</f>
        <v/>
      </c>
      <c r="S88">
        <f>IFERROR($C88*INDEX(SPPR!$E:$X,MATCH($A88,SPPR!$A:$A,0),16),"")</f>
        <v/>
      </c>
      <c r="T88">
        <f>IFERROR($C88*INDEX(SPPR!$E:$X,MATCH($A88,SPPR!$A:$A,0),17),"")</f>
        <v/>
      </c>
      <c r="U88">
        <f>IFERROR($C88*INDEX(SPPR!$E:$X,MATCH($A88,SPPR!$A:$A,0),18),"")</f>
        <v/>
      </c>
      <c r="V88">
        <f>IFERROR($C88*INDEX(SPPR!$E:$X,MATCH($A88,SPPR!$A:$A,0),19),"")</f>
        <v/>
      </c>
      <c r="W88">
        <f>IFERROR($C88*INDEX(SPPR!$E:$X,MATCH($A88,SPPR!$A:$A,0),20),"")</f>
        <v/>
      </c>
    </row>
    <row r="89">
      <c r="A89" t="inlineStr">
        <is>
          <t>Psettodes erumei</t>
        </is>
      </c>
      <c r="B89">
        <f>IFERROR(INDEX(SPPR!$D:$D,MATCH($A89,SPPR!$A:$A,0)),"")</f>
        <v/>
      </c>
      <c r="C89">
        <f>IFERROR(INDEX(Catch!$E:$BV,MATCH($A89,Catch!$A:$A,0),MATCH($B$4,Catch!$E$1:$BV$1,0)),0)</f>
        <v/>
      </c>
      <c r="D89">
        <f>IFERROR($C89*INDEX(SPPR!$E:$X,MATCH($A89,SPPR!$A:$A,0),1),"")</f>
        <v/>
      </c>
      <c r="E89">
        <f>IFERROR($C89*INDEX(SPPR!$E:$X,MATCH($A89,SPPR!$A:$A,0),2),"")</f>
        <v/>
      </c>
      <c r="F89">
        <f>IFERROR($C89*INDEX(SPPR!$E:$X,MATCH($A89,SPPR!$A:$A,0),3),"")</f>
        <v/>
      </c>
      <c r="G89">
        <f>IFERROR($C89*INDEX(SPPR!$E:$X,MATCH($A89,SPPR!$A:$A,0),4),"")</f>
        <v/>
      </c>
      <c r="H89">
        <f>IFERROR($C89*INDEX(SPPR!$E:$X,MATCH($A89,SPPR!$A:$A,0),5),"")</f>
        <v/>
      </c>
      <c r="I89">
        <f>IFERROR($C89*INDEX(SPPR!$E:$X,MATCH($A89,SPPR!$A:$A,0),6),"")</f>
        <v/>
      </c>
      <c r="J89">
        <f>IFERROR($C89*INDEX(SPPR!$E:$X,MATCH($A89,SPPR!$A:$A,0),7),"")</f>
        <v/>
      </c>
      <c r="K89">
        <f>IFERROR($C89*INDEX(SPPR!$E:$X,MATCH($A89,SPPR!$A:$A,0),8),"")</f>
        <v/>
      </c>
      <c r="L89">
        <f>IFERROR($C89*INDEX(SPPR!$E:$X,MATCH($A89,SPPR!$A:$A,0),9),"")</f>
        <v/>
      </c>
      <c r="M89">
        <f>IFERROR($C89*INDEX(SPPR!$E:$X,MATCH($A89,SPPR!$A:$A,0),10),"")</f>
        <v/>
      </c>
      <c r="N89">
        <f>IFERROR($C89*INDEX(SPPR!$E:$X,MATCH($A89,SPPR!$A:$A,0),11),"")</f>
        <v/>
      </c>
      <c r="O89">
        <f>IFERROR($C89*INDEX(SPPR!$E:$X,MATCH($A89,SPPR!$A:$A,0),12),"")</f>
        <v/>
      </c>
      <c r="P89">
        <f>IFERROR($C89*INDEX(SPPR!$E:$X,MATCH($A89,SPPR!$A:$A,0),13),"")</f>
        <v/>
      </c>
      <c r="Q89">
        <f>IFERROR($C89*INDEX(SPPR!$E:$X,MATCH($A89,SPPR!$A:$A,0),14),"")</f>
        <v/>
      </c>
      <c r="R89">
        <f>IFERROR($C89*INDEX(SPPR!$E:$X,MATCH($A89,SPPR!$A:$A,0),15),"")</f>
        <v/>
      </c>
      <c r="S89">
        <f>IFERROR($C89*INDEX(SPPR!$E:$X,MATCH($A89,SPPR!$A:$A,0),16),"")</f>
        <v/>
      </c>
      <c r="T89">
        <f>IFERROR($C89*INDEX(SPPR!$E:$X,MATCH($A89,SPPR!$A:$A,0),17),"")</f>
        <v/>
      </c>
      <c r="U89">
        <f>IFERROR($C89*INDEX(SPPR!$E:$X,MATCH($A89,SPPR!$A:$A,0),18),"")</f>
        <v/>
      </c>
      <c r="V89">
        <f>IFERROR($C89*INDEX(SPPR!$E:$X,MATCH($A89,SPPR!$A:$A,0),19),"")</f>
        <v/>
      </c>
      <c r="W89">
        <f>IFERROR($C89*INDEX(SPPR!$E:$X,MATCH($A89,SPPR!$A:$A,0),20),"")</f>
        <v/>
      </c>
    </row>
    <row r="90">
      <c r="A90" t="inlineStr">
        <is>
          <t>Saurida tumbil</t>
        </is>
      </c>
      <c r="B90">
        <f>IFERROR(INDEX(SPPR!$D:$D,MATCH($A90,SPPR!$A:$A,0)),"")</f>
        <v/>
      </c>
      <c r="C90">
        <f>IFERROR(INDEX(Catch!$E:$BV,MATCH($A90,Catch!$A:$A,0),MATCH($B$4,Catch!$E$1:$BV$1,0)),0)</f>
        <v/>
      </c>
      <c r="D90">
        <f>IFERROR($C90*INDEX(SPPR!$E:$X,MATCH($A90,SPPR!$A:$A,0),1),"")</f>
        <v/>
      </c>
      <c r="E90">
        <f>IFERROR($C90*INDEX(SPPR!$E:$X,MATCH($A90,SPPR!$A:$A,0),2),"")</f>
        <v/>
      </c>
      <c r="F90">
        <f>IFERROR($C90*INDEX(SPPR!$E:$X,MATCH($A90,SPPR!$A:$A,0),3),"")</f>
        <v/>
      </c>
      <c r="G90">
        <f>IFERROR($C90*INDEX(SPPR!$E:$X,MATCH($A90,SPPR!$A:$A,0),4),"")</f>
        <v/>
      </c>
      <c r="H90">
        <f>IFERROR($C90*INDEX(SPPR!$E:$X,MATCH($A90,SPPR!$A:$A,0),5),"")</f>
        <v/>
      </c>
      <c r="I90">
        <f>IFERROR($C90*INDEX(SPPR!$E:$X,MATCH($A90,SPPR!$A:$A,0),6),"")</f>
        <v/>
      </c>
      <c r="J90">
        <f>IFERROR($C90*INDEX(SPPR!$E:$X,MATCH($A90,SPPR!$A:$A,0),7),"")</f>
        <v/>
      </c>
      <c r="K90">
        <f>IFERROR($C90*INDEX(SPPR!$E:$X,MATCH($A90,SPPR!$A:$A,0),8),"")</f>
        <v/>
      </c>
      <c r="L90">
        <f>IFERROR($C90*INDEX(SPPR!$E:$X,MATCH($A90,SPPR!$A:$A,0),9),"")</f>
        <v/>
      </c>
      <c r="M90">
        <f>IFERROR($C90*INDEX(SPPR!$E:$X,MATCH($A90,SPPR!$A:$A,0),10),"")</f>
        <v/>
      </c>
      <c r="N90">
        <f>IFERROR($C90*INDEX(SPPR!$E:$X,MATCH($A90,SPPR!$A:$A,0),11),"")</f>
        <v/>
      </c>
      <c r="O90">
        <f>IFERROR($C90*INDEX(SPPR!$E:$X,MATCH($A90,SPPR!$A:$A,0),12),"")</f>
        <v/>
      </c>
      <c r="P90">
        <f>IFERROR($C90*INDEX(SPPR!$E:$X,MATCH($A90,SPPR!$A:$A,0),13),"")</f>
        <v/>
      </c>
      <c r="Q90">
        <f>IFERROR($C90*INDEX(SPPR!$E:$X,MATCH($A90,SPPR!$A:$A,0),14),"")</f>
        <v/>
      </c>
      <c r="R90">
        <f>IFERROR($C90*INDEX(SPPR!$E:$X,MATCH($A90,SPPR!$A:$A,0),15),"")</f>
        <v/>
      </c>
      <c r="S90">
        <f>IFERROR($C90*INDEX(SPPR!$E:$X,MATCH($A90,SPPR!$A:$A,0),16),"")</f>
        <v/>
      </c>
      <c r="T90">
        <f>IFERROR($C90*INDEX(SPPR!$E:$X,MATCH($A90,SPPR!$A:$A,0),17),"")</f>
        <v/>
      </c>
      <c r="U90">
        <f>IFERROR($C90*INDEX(SPPR!$E:$X,MATCH($A90,SPPR!$A:$A,0),18),"")</f>
        <v/>
      </c>
      <c r="V90">
        <f>IFERROR($C90*INDEX(SPPR!$E:$X,MATCH($A90,SPPR!$A:$A,0),19),"")</f>
        <v/>
      </c>
      <c r="W90">
        <f>IFERROR($C90*INDEX(SPPR!$E:$X,MATCH($A90,SPPR!$A:$A,0),20),"")</f>
        <v/>
      </c>
    </row>
    <row r="91">
      <c r="A91" t="inlineStr">
        <is>
          <t>Anodontostoma chacunda</t>
        </is>
      </c>
      <c r="B91">
        <f>IFERROR(INDEX(SPPR!$D:$D,MATCH($A91,SPPR!$A:$A,0)),"")</f>
        <v/>
      </c>
      <c r="C91">
        <f>IFERROR(INDEX(Catch!$E:$BV,MATCH($A91,Catch!$A:$A,0),MATCH($B$4,Catch!$E$1:$BV$1,0)),0)</f>
        <v/>
      </c>
      <c r="D91">
        <f>IFERROR($C91*INDEX(SPPR!$E:$X,MATCH($A91,SPPR!$A:$A,0),1),"")</f>
        <v/>
      </c>
      <c r="E91">
        <f>IFERROR($C91*INDEX(SPPR!$E:$X,MATCH($A91,SPPR!$A:$A,0),2),"")</f>
        <v/>
      </c>
      <c r="F91">
        <f>IFERROR($C91*INDEX(SPPR!$E:$X,MATCH($A91,SPPR!$A:$A,0),3),"")</f>
        <v/>
      </c>
      <c r="G91">
        <f>IFERROR($C91*INDEX(SPPR!$E:$X,MATCH($A91,SPPR!$A:$A,0),4),"")</f>
        <v/>
      </c>
      <c r="H91">
        <f>IFERROR($C91*INDEX(SPPR!$E:$X,MATCH($A91,SPPR!$A:$A,0),5),"")</f>
        <v/>
      </c>
      <c r="I91">
        <f>IFERROR($C91*INDEX(SPPR!$E:$X,MATCH($A91,SPPR!$A:$A,0),6),"")</f>
        <v/>
      </c>
      <c r="J91">
        <f>IFERROR($C91*INDEX(SPPR!$E:$X,MATCH($A91,SPPR!$A:$A,0),7),"")</f>
        <v/>
      </c>
      <c r="K91">
        <f>IFERROR($C91*INDEX(SPPR!$E:$X,MATCH($A91,SPPR!$A:$A,0),8),"")</f>
        <v/>
      </c>
      <c r="L91">
        <f>IFERROR($C91*INDEX(SPPR!$E:$X,MATCH($A91,SPPR!$A:$A,0),9),"")</f>
        <v/>
      </c>
      <c r="M91">
        <f>IFERROR($C91*INDEX(SPPR!$E:$X,MATCH($A91,SPPR!$A:$A,0),10),"")</f>
        <v/>
      </c>
      <c r="N91">
        <f>IFERROR($C91*INDEX(SPPR!$E:$X,MATCH($A91,SPPR!$A:$A,0),11),"")</f>
        <v/>
      </c>
      <c r="O91">
        <f>IFERROR($C91*INDEX(SPPR!$E:$X,MATCH($A91,SPPR!$A:$A,0),12),"")</f>
        <v/>
      </c>
      <c r="P91">
        <f>IFERROR($C91*INDEX(SPPR!$E:$X,MATCH($A91,SPPR!$A:$A,0),13),"")</f>
        <v/>
      </c>
      <c r="Q91">
        <f>IFERROR($C91*INDEX(SPPR!$E:$X,MATCH($A91,SPPR!$A:$A,0),14),"")</f>
        <v/>
      </c>
      <c r="R91">
        <f>IFERROR($C91*INDEX(SPPR!$E:$X,MATCH($A91,SPPR!$A:$A,0),15),"")</f>
        <v/>
      </c>
      <c r="S91">
        <f>IFERROR($C91*INDEX(SPPR!$E:$X,MATCH($A91,SPPR!$A:$A,0),16),"")</f>
        <v/>
      </c>
      <c r="T91">
        <f>IFERROR($C91*INDEX(SPPR!$E:$X,MATCH($A91,SPPR!$A:$A,0),17),"")</f>
        <v/>
      </c>
      <c r="U91">
        <f>IFERROR($C91*INDEX(SPPR!$E:$X,MATCH($A91,SPPR!$A:$A,0),18),"")</f>
        <v/>
      </c>
      <c r="V91">
        <f>IFERROR($C91*INDEX(SPPR!$E:$X,MATCH($A91,SPPR!$A:$A,0),19),"")</f>
        <v/>
      </c>
      <c r="W91">
        <f>IFERROR($C91*INDEX(SPPR!$E:$X,MATCH($A91,SPPR!$A:$A,0),20),"")</f>
        <v/>
      </c>
    </row>
    <row r="92">
      <c r="A92" t="inlineStr">
        <is>
          <t>Mytilidae</t>
        </is>
      </c>
      <c r="B92">
        <f>IFERROR(INDEX(SPPR!$D:$D,MATCH($A92,SPPR!$A:$A,0)),"")</f>
        <v/>
      </c>
      <c r="C92">
        <f>IFERROR(INDEX(Catch!$E:$BV,MATCH($A92,Catch!$A:$A,0),MATCH($B$4,Catch!$E$1:$BV$1,0)),0)</f>
        <v/>
      </c>
      <c r="D92">
        <f>IFERROR($C92*INDEX(SPPR!$E:$X,MATCH($A92,SPPR!$A:$A,0),1),"")</f>
        <v/>
      </c>
      <c r="E92">
        <f>IFERROR($C92*INDEX(SPPR!$E:$X,MATCH($A92,SPPR!$A:$A,0),2),"")</f>
        <v/>
      </c>
      <c r="F92">
        <f>IFERROR($C92*INDEX(SPPR!$E:$X,MATCH($A92,SPPR!$A:$A,0),3),"")</f>
        <v/>
      </c>
      <c r="G92">
        <f>IFERROR($C92*INDEX(SPPR!$E:$X,MATCH($A92,SPPR!$A:$A,0),4),"")</f>
        <v/>
      </c>
      <c r="H92">
        <f>IFERROR($C92*INDEX(SPPR!$E:$X,MATCH($A92,SPPR!$A:$A,0),5),"")</f>
        <v/>
      </c>
      <c r="I92">
        <f>IFERROR($C92*INDEX(SPPR!$E:$X,MATCH($A92,SPPR!$A:$A,0),6),"")</f>
        <v/>
      </c>
      <c r="J92">
        <f>IFERROR($C92*INDEX(SPPR!$E:$X,MATCH($A92,SPPR!$A:$A,0),7),"")</f>
        <v/>
      </c>
      <c r="K92">
        <f>IFERROR($C92*INDEX(SPPR!$E:$X,MATCH($A92,SPPR!$A:$A,0),8),"")</f>
        <v/>
      </c>
      <c r="L92">
        <f>IFERROR($C92*INDEX(SPPR!$E:$X,MATCH($A92,SPPR!$A:$A,0),9),"")</f>
        <v/>
      </c>
      <c r="M92">
        <f>IFERROR($C92*INDEX(SPPR!$E:$X,MATCH($A92,SPPR!$A:$A,0),10),"")</f>
        <v/>
      </c>
      <c r="N92">
        <f>IFERROR($C92*INDEX(SPPR!$E:$X,MATCH($A92,SPPR!$A:$A,0),11),"")</f>
        <v/>
      </c>
      <c r="O92">
        <f>IFERROR($C92*INDEX(SPPR!$E:$X,MATCH($A92,SPPR!$A:$A,0),12),"")</f>
        <v/>
      </c>
      <c r="P92">
        <f>IFERROR($C92*INDEX(SPPR!$E:$X,MATCH($A92,SPPR!$A:$A,0),13),"")</f>
        <v/>
      </c>
      <c r="Q92">
        <f>IFERROR($C92*INDEX(SPPR!$E:$X,MATCH($A92,SPPR!$A:$A,0),14),"")</f>
        <v/>
      </c>
      <c r="R92">
        <f>IFERROR($C92*INDEX(SPPR!$E:$X,MATCH($A92,SPPR!$A:$A,0),15),"")</f>
        <v/>
      </c>
      <c r="S92">
        <f>IFERROR($C92*INDEX(SPPR!$E:$X,MATCH($A92,SPPR!$A:$A,0),16),"")</f>
        <v/>
      </c>
      <c r="T92">
        <f>IFERROR($C92*INDEX(SPPR!$E:$X,MATCH($A92,SPPR!$A:$A,0),17),"")</f>
        <v/>
      </c>
      <c r="U92">
        <f>IFERROR($C92*INDEX(SPPR!$E:$X,MATCH($A92,SPPR!$A:$A,0),18),"")</f>
        <v/>
      </c>
      <c r="V92">
        <f>IFERROR($C92*INDEX(SPPR!$E:$X,MATCH($A92,SPPR!$A:$A,0),19),"")</f>
        <v/>
      </c>
      <c r="W92">
        <f>IFERROR($C92*INDEX(SPPR!$E:$X,MATCH($A92,SPPR!$A:$A,0),20),"")</f>
        <v/>
      </c>
    </row>
    <row r="93">
      <c r="A93" t="inlineStr">
        <is>
          <t>Caranx ignobilis</t>
        </is>
      </c>
      <c r="B93">
        <f>IFERROR(INDEX(SPPR!$D:$D,MATCH($A93,SPPR!$A:$A,0)),"")</f>
        <v/>
      </c>
      <c r="C93">
        <f>IFERROR(INDEX(Catch!$E:$BV,MATCH($A93,Catch!$A:$A,0),MATCH($B$4,Catch!$E$1:$BV$1,0)),0)</f>
        <v/>
      </c>
      <c r="D93">
        <f>IFERROR($C93*INDEX(SPPR!$E:$X,MATCH($A93,SPPR!$A:$A,0),1),"")</f>
        <v/>
      </c>
      <c r="E93">
        <f>IFERROR($C93*INDEX(SPPR!$E:$X,MATCH($A93,SPPR!$A:$A,0),2),"")</f>
        <v/>
      </c>
      <c r="F93">
        <f>IFERROR($C93*INDEX(SPPR!$E:$X,MATCH($A93,SPPR!$A:$A,0),3),"")</f>
        <v/>
      </c>
      <c r="G93">
        <f>IFERROR($C93*INDEX(SPPR!$E:$X,MATCH($A93,SPPR!$A:$A,0),4),"")</f>
        <v/>
      </c>
      <c r="H93">
        <f>IFERROR($C93*INDEX(SPPR!$E:$X,MATCH($A93,SPPR!$A:$A,0),5),"")</f>
        <v/>
      </c>
      <c r="I93">
        <f>IFERROR($C93*INDEX(SPPR!$E:$X,MATCH($A93,SPPR!$A:$A,0),6),"")</f>
        <v/>
      </c>
      <c r="J93">
        <f>IFERROR($C93*INDEX(SPPR!$E:$X,MATCH($A93,SPPR!$A:$A,0),7),"")</f>
        <v/>
      </c>
      <c r="K93">
        <f>IFERROR($C93*INDEX(SPPR!$E:$X,MATCH($A93,SPPR!$A:$A,0),8),"")</f>
        <v/>
      </c>
      <c r="L93">
        <f>IFERROR($C93*INDEX(SPPR!$E:$X,MATCH($A93,SPPR!$A:$A,0),9),"")</f>
        <v/>
      </c>
      <c r="M93">
        <f>IFERROR($C93*INDEX(SPPR!$E:$X,MATCH($A93,SPPR!$A:$A,0),10),"")</f>
        <v/>
      </c>
      <c r="N93">
        <f>IFERROR($C93*INDEX(SPPR!$E:$X,MATCH($A93,SPPR!$A:$A,0),11),"")</f>
        <v/>
      </c>
      <c r="O93">
        <f>IFERROR($C93*INDEX(SPPR!$E:$X,MATCH($A93,SPPR!$A:$A,0),12),"")</f>
        <v/>
      </c>
      <c r="P93">
        <f>IFERROR($C93*INDEX(SPPR!$E:$X,MATCH($A93,SPPR!$A:$A,0),13),"")</f>
        <v/>
      </c>
      <c r="Q93">
        <f>IFERROR($C93*INDEX(SPPR!$E:$X,MATCH($A93,SPPR!$A:$A,0),14),"")</f>
        <v/>
      </c>
      <c r="R93">
        <f>IFERROR($C93*INDEX(SPPR!$E:$X,MATCH($A93,SPPR!$A:$A,0),15),"")</f>
        <v/>
      </c>
      <c r="S93">
        <f>IFERROR($C93*INDEX(SPPR!$E:$X,MATCH($A93,SPPR!$A:$A,0),16),"")</f>
        <v/>
      </c>
      <c r="T93">
        <f>IFERROR($C93*INDEX(SPPR!$E:$X,MATCH($A93,SPPR!$A:$A,0),17),"")</f>
        <v/>
      </c>
      <c r="U93">
        <f>IFERROR($C93*INDEX(SPPR!$E:$X,MATCH($A93,SPPR!$A:$A,0),18),"")</f>
        <v/>
      </c>
      <c r="V93">
        <f>IFERROR($C93*INDEX(SPPR!$E:$X,MATCH($A93,SPPR!$A:$A,0),19),"")</f>
        <v/>
      </c>
      <c r="W93">
        <f>IFERROR($C93*INDEX(SPPR!$E:$X,MATCH($A93,SPPR!$A:$A,0),20),"")</f>
        <v/>
      </c>
    </row>
    <row r="94">
      <c r="A94" t="inlineStr">
        <is>
          <t>Portunidae</t>
        </is>
      </c>
      <c r="B94">
        <f>IFERROR(INDEX(SPPR!$D:$D,MATCH($A94,SPPR!$A:$A,0)),"")</f>
        <v/>
      </c>
      <c r="C94">
        <f>IFERROR(INDEX(Catch!$E:$BV,MATCH($A94,Catch!$A:$A,0),MATCH($B$4,Catch!$E$1:$BV$1,0)),0)</f>
        <v/>
      </c>
      <c r="D94">
        <f>IFERROR($C94*INDEX(SPPR!$E:$X,MATCH($A94,SPPR!$A:$A,0),1),"")</f>
        <v/>
      </c>
      <c r="E94">
        <f>IFERROR($C94*INDEX(SPPR!$E:$X,MATCH($A94,SPPR!$A:$A,0),2),"")</f>
        <v/>
      </c>
      <c r="F94">
        <f>IFERROR($C94*INDEX(SPPR!$E:$X,MATCH($A94,SPPR!$A:$A,0),3),"")</f>
        <v/>
      </c>
      <c r="G94">
        <f>IFERROR($C94*INDEX(SPPR!$E:$X,MATCH($A94,SPPR!$A:$A,0),4),"")</f>
        <v/>
      </c>
      <c r="H94">
        <f>IFERROR($C94*INDEX(SPPR!$E:$X,MATCH($A94,SPPR!$A:$A,0),5),"")</f>
        <v/>
      </c>
      <c r="I94">
        <f>IFERROR($C94*INDEX(SPPR!$E:$X,MATCH($A94,SPPR!$A:$A,0),6),"")</f>
        <v/>
      </c>
      <c r="J94">
        <f>IFERROR($C94*INDEX(SPPR!$E:$X,MATCH($A94,SPPR!$A:$A,0),7),"")</f>
        <v/>
      </c>
      <c r="K94">
        <f>IFERROR($C94*INDEX(SPPR!$E:$X,MATCH($A94,SPPR!$A:$A,0),8),"")</f>
        <v/>
      </c>
      <c r="L94">
        <f>IFERROR($C94*INDEX(SPPR!$E:$X,MATCH($A94,SPPR!$A:$A,0),9),"")</f>
        <v/>
      </c>
      <c r="M94">
        <f>IFERROR($C94*INDEX(SPPR!$E:$X,MATCH($A94,SPPR!$A:$A,0),10),"")</f>
        <v/>
      </c>
      <c r="N94">
        <f>IFERROR($C94*INDEX(SPPR!$E:$X,MATCH($A94,SPPR!$A:$A,0),11),"")</f>
        <v/>
      </c>
      <c r="O94">
        <f>IFERROR($C94*INDEX(SPPR!$E:$X,MATCH($A94,SPPR!$A:$A,0),12),"")</f>
        <v/>
      </c>
      <c r="P94">
        <f>IFERROR($C94*INDEX(SPPR!$E:$X,MATCH($A94,SPPR!$A:$A,0),13),"")</f>
        <v/>
      </c>
      <c r="Q94">
        <f>IFERROR($C94*INDEX(SPPR!$E:$X,MATCH($A94,SPPR!$A:$A,0),14),"")</f>
        <v/>
      </c>
      <c r="R94">
        <f>IFERROR($C94*INDEX(SPPR!$E:$X,MATCH($A94,SPPR!$A:$A,0),15),"")</f>
        <v/>
      </c>
      <c r="S94">
        <f>IFERROR($C94*INDEX(SPPR!$E:$X,MATCH($A94,SPPR!$A:$A,0),16),"")</f>
        <v/>
      </c>
      <c r="T94">
        <f>IFERROR($C94*INDEX(SPPR!$E:$X,MATCH($A94,SPPR!$A:$A,0),17),"")</f>
        <v/>
      </c>
      <c r="U94">
        <f>IFERROR($C94*INDEX(SPPR!$E:$X,MATCH($A94,SPPR!$A:$A,0),18),"")</f>
        <v/>
      </c>
      <c r="V94">
        <f>IFERROR($C94*INDEX(SPPR!$E:$X,MATCH($A94,SPPR!$A:$A,0),19),"")</f>
        <v/>
      </c>
      <c r="W94">
        <f>IFERROR($C94*INDEX(SPPR!$E:$X,MATCH($A94,SPPR!$A:$A,0),20),"")</f>
        <v/>
      </c>
    </row>
    <row r="95">
      <c r="A95" t="inlineStr">
        <is>
          <t>Chirocentrus nudus</t>
        </is>
      </c>
      <c r="B95">
        <f>IFERROR(INDEX(SPPR!$D:$D,MATCH($A95,SPPR!$A:$A,0)),"")</f>
        <v/>
      </c>
      <c r="C95">
        <f>IFERROR(INDEX(Catch!$E:$BV,MATCH($A95,Catch!$A:$A,0),MATCH($B$4,Catch!$E$1:$BV$1,0)),0)</f>
        <v/>
      </c>
      <c r="D95">
        <f>IFERROR($C95*INDEX(SPPR!$E:$X,MATCH($A95,SPPR!$A:$A,0),1),"")</f>
        <v/>
      </c>
      <c r="E95">
        <f>IFERROR($C95*INDEX(SPPR!$E:$X,MATCH($A95,SPPR!$A:$A,0),2),"")</f>
        <v/>
      </c>
      <c r="F95">
        <f>IFERROR($C95*INDEX(SPPR!$E:$X,MATCH($A95,SPPR!$A:$A,0),3),"")</f>
        <v/>
      </c>
      <c r="G95">
        <f>IFERROR($C95*INDEX(SPPR!$E:$X,MATCH($A95,SPPR!$A:$A,0),4),"")</f>
        <v/>
      </c>
      <c r="H95">
        <f>IFERROR($C95*INDEX(SPPR!$E:$X,MATCH($A95,SPPR!$A:$A,0),5),"")</f>
        <v/>
      </c>
      <c r="I95">
        <f>IFERROR($C95*INDEX(SPPR!$E:$X,MATCH($A95,SPPR!$A:$A,0),6),"")</f>
        <v/>
      </c>
      <c r="J95">
        <f>IFERROR($C95*INDEX(SPPR!$E:$X,MATCH($A95,SPPR!$A:$A,0),7),"")</f>
        <v/>
      </c>
      <c r="K95">
        <f>IFERROR($C95*INDEX(SPPR!$E:$X,MATCH($A95,SPPR!$A:$A,0),8),"")</f>
        <v/>
      </c>
      <c r="L95">
        <f>IFERROR($C95*INDEX(SPPR!$E:$X,MATCH($A95,SPPR!$A:$A,0),9),"")</f>
        <v/>
      </c>
      <c r="M95">
        <f>IFERROR($C95*INDEX(SPPR!$E:$X,MATCH($A95,SPPR!$A:$A,0),10),"")</f>
        <v/>
      </c>
      <c r="N95">
        <f>IFERROR($C95*INDEX(SPPR!$E:$X,MATCH($A95,SPPR!$A:$A,0),11),"")</f>
        <v/>
      </c>
      <c r="O95">
        <f>IFERROR($C95*INDEX(SPPR!$E:$X,MATCH($A95,SPPR!$A:$A,0),12),"")</f>
        <v/>
      </c>
      <c r="P95">
        <f>IFERROR($C95*INDEX(SPPR!$E:$X,MATCH($A95,SPPR!$A:$A,0),13),"")</f>
        <v/>
      </c>
      <c r="Q95">
        <f>IFERROR($C95*INDEX(SPPR!$E:$X,MATCH($A95,SPPR!$A:$A,0),14),"")</f>
        <v/>
      </c>
      <c r="R95">
        <f>IFERROR($C95*INDEX(SPPR!$E:$X,MATCH($A95,SPPR!$A:$A,0),15),"")</f>
        <v/>
      </c>
      <c r="S95">
        <f>IFERROR($C95*INDEX(SPPR!$E:$X,MATCH($A95,SPPR!$A:$A,0),16),"")</f>
        <v/>
      </c>
      <c r="T95">
        <f>IFERROR($C95*INDEX(SPPR!$E:$X,MATCH($A95,SPPR!$A:$A,0),17),"")</f>
        <v/>
      </c>
      <c r="U95">
        <f>IFERROR($C95*INDEX(SPPR!$E:$X,MATCH($A95,SPPR!$A:$A,0),18),"")</f>
        <v/>
      </c>
      <c r="V95">
        <f>IFERROR($C95*INDEX(SPPR!$E:$X,MATCH($A95,SPPR!$A:$A,0),19),"")</f>
        <v/>
      </c>
      <c r="W95">
        <f>IFERROR($C95*INDEX(SPPR!$E:$X,MATCH($A95,SPPR!$A:$A,0),20),"")</f>
        <v/>
      </c>
    </row>
    <row r="96">
      <c r="A96" t="inlineStr">
        <is>
          <t>Carcharhinus sorrah</t>
        </is>
      </c>
      <c r="B96">
        <f>IFERROR(INDEX(SPPR!$D:$D,MATCH($A96,SPPR!$A:$A,0)),"")</f>
        <v/>
      </c>
      <c r="C96">
        <f>IFERROR(INDEX(Catch!$E:$BV,MATCH($A96,Catch!$A:$A,0),MATCH($B$4,Catch!$E$1:$BV$1,0)),0)</f>
        <v/>
      </c>
      <c r="D96">
        <f>IFERROR($C96*INDEX(SPPR!$E:$X,MATCH($A96,SPPR!$A:$A,0),1),"")</f>
        <v/>
      </c>
      <c r="E96">
        <f>IFERROR($C96*INDEX(SPPR!$E:$X,MATCH($A96,SPPR!$A:$A,0),2),"")</f>
        <v/>
      </c>
      <c r="F96">
        <f>IFERROR($C96*INDEX(SPPR!$E:$X,MATCH($A96,SPPR!$A:$A,0),3),"")</f>
        <v/>
      </c>
      <c r="G96">
        <f>IFERROR($C96*INDEX(SPPR!$E:$X,MATCH($A96,SPPR!$A:$A,0),4),"")</f>
        <v/>
      </c>
      <c r="H96">
        <f>IFERROR($C96*INDEX(SPPR!$E:$X,MATCH($A96,SPPR!$A:$A,0),5),"")</f>
        <v/>
      </c>
      <c r="I96">
        <f>IFERROR($C96*INDEX(SPPR!$E:$X,MATCH($A96,SPPR!$A:$A,0),6),"")</f>
        <v/>
      </c>
      <c r="J96">
        <f>IFERROR($C96*INDEX(SPPR!$E:$X,MATCH($A96,SPPR!$A:$A,0),7),"")</f>
        <v/>
      </c>
      <c r="K96">
        <f>IFERROR($C96*INDEX(SPPR!$E:$X,MATCH($A96,SPPR!$A:$A,0),8),"")</f>
        <v/>
      </c>
      <c r="L96">
        <f>IFERROR($C96*INDEX(SPPR!$E:$X,MATCH($A96,SPPR!$A:$A,0),9),"")</f>
        <v/>
      </c>
      <c r="M96">
        <f>IFERROR($C96*INDEX(SPPR!$E:$X,MATCH($A96,SPPR!$A:$A,0),10),"")</f>
        <v/>
      </c>
      <c r="N96">
        <f>IFERROR($C96*INDEX(SPPR!$E:$X,MATCH($A96,SPPR!$A:$A,0),11),"")</f>
        <v/>
      </c>
      <c r="O96">
        <f>IFERROR($C96*INDEX(SPPR!$E:$X,MATCH($A96,SPPR!$A:$A,0),12),"")</f>
        <v/>
      </c>
      <c r="P96">
        <f>IFERROR($C96*INDEX(SPPR!$E:$X,MATCH($A96,SPPR!$A:$A,0),13),"")</f>
        <v/>
      </c>
      <c r="Q96">
        <f>IFERROR($C96*INDEX(SPPR!$E:$X,MATCH($A96,SPPR!$A:$A,0),14),"")</f>
        <v/>
      </c>
      <c r="R96">
        <f>IFERROR($C96*INDEX(SPPR!$E:$X,MATCH($A96,SPPR!$A:$A,0),15),"")</f>
        <v/>
      </c>
      <c r="S96">
        <f>IFERROR($C96*INDEX(SPPR!$E:$X,MATCH($A96,SPPR!$A:$A,0),16),"")</f>
        <v/>
      </c>
      <c r="T96">
        <f>IFERROR($C96*INDEX(SPPR!$E:$X,MATCH($A96,SPPR!$A:$A,0),17),"")</f>
        <v/>
      </c>
      <c r="U96">
        <f>IFERROR($C96*INDEX(SPPR!$E:$X,MATCH($A96,SPPR!$A:$A,0),18),"")</f>
        <v/>
      </c>
      <c r="V96">
        <f>IFERROR($C96*INDEX(SPPR!$E:$X,MATCH($A96,SPPR!$A:$A,0),19),"")</f>
        <v/>
      </c>
      <c r="W96">
        <f>IFERROR($C96*INDEX(SPPR!$E:$X,MATCH($A96,SPPR!$A:$A,0),20),"")</f>
        <v/>
      </c>
    </row>
    <row r="97">
      <c r="A97" t="inlineStr">
        <is>
          <t>Lutjanidae</t>
        </is>
      </c>
      <c r="B97">
        <f>IFERROR(INDEX(SPPR!$D:$D,MATCH($A97,SPPR!$A:$A,0)),"")</f>
        <v/>
      </c>
      <c r="C97">
        <f>IFERROR(INDEX(Catch!$E:$BV,MATCH($A97,Catch!$A:$A,0),MATCH($B$4,Catch!$E$1:$BV$1,0)),0)</f>
        <v/>
      </c>
      <c r="D97">
        <f>IFERROR($C97*INDEX(SPPR!$E:$X,MATCH($A97,SPPR!$A:$A,0),1),"")</f>
        <v/>
      </c>
      <c r="E97">
        <f>IFERROR($C97*INDEX(SPPR!$E:$X,MATCH($A97,SPPR!$A:$A,0),2),"")</f>
        <v/>
      </c>
      <c r="F97">
        <f>IFERROR($C97*INDEX(SPPR!$E:$X,MATCH($A97,SPPR!$A:$A,0),3),"")</f>
        <v/>
      </c>
      <c r="G97">
        <f>IFERROR($C97*INDEX(SPPR!$E:$X,MATCH($A97,SPPR!$A:$A,0),4),"")</f>
        <v/>
      </c>
      <c r="H97">
        <f>IFERROR($C97*INDEX(SPPR!$E:$X,MATCH($A97,SPPR!$A:$A,0),5),"")</f>
        <v/>
      </c>
      <c r="I97">
        <f>IFERROR($C97*INDEX(SPPR!$E:$X,MATCH($A97,SPPR!$A:$A,0),6),"")</f>
        <v/>
      </c>
      <c r="J97">
        <f>IFERROR($C97*INDEX(SPPR!$E:$X,MATCH($A97,SPPR!$A:$A,0),7),"")</f>
        <v/>
      </c>
      <c r="K97">
        <f>IFERROR($C97*INDEX(SPPR!$E:$X,MATCH($A97,SPPR!$A:$A,0),8),"")</f>
        <v/>
      </c>
      <c r="L97">
        <f>IFERROR($C97*INDEX(SPPR!$E:$X,MATCH($A97,SPPR!$A:$A,0),9),"")</f>
        <v/>
      </c>
      <c r="M97">
        <f>IFERROR($C97*INDEX(SPPR!$E:$X,MATCH($A97,SPPR!$A:$A,0),10),"")</f>
        <v/>
      </c>
      <c r="N97">
        <f>IFERROR($C97*INDEX(SPPR!$E:$X,MATCH($A97,SPPR!$A:$A,0),11),"")</f>
        <v/>
      </c>
      <c r="O97">
        <f>IFERROR($C97*INDEX(SPPR!$E:$X,MATCH($A97,SPPR!$A:$A,0),12),"")</f>
        <v/>
      </c>
      <c r="P97">
        <f>IFERROR($C97*INDEX(SPPR!$E:$X,MATCH($A97,SPPR!$A:$A,0),13),"")</f>
        <v/>
      </c>
      <c r="Q97">
        <f>IFERROR($C97*INDEX(SPPR!$E:$X,MATCH($A97,SPPR!$A:$A,0),14),"")</f>
        <v/>
      </c>
      <c r="R97">
        <f>IFERROR($C97*INDEX(SPPR!$E:$X,MATCH($A97,SPPR!$A:$A,0),15),"")</f>
        <v/>
      </c>
      <c r="S97">
        <f>IFERROR($C97*INDEX(SPPR!$E:$X,MATCH($A97,SPPR!$A:$A,0),16),"")</f>
        <v/>
      </c>
      <c r="T97">
        <f>IFERROR($C97*INDEX(SPPR!$E:$X,MATCH($A97,SPPR!$A:$A,0),17),"")</f>
        <v/>
      </c>
      <c r="U97">
        <f>IFERROR($C97*INDEX(SPPR!$E:$X,MATCH($A97,SPPR!$A:$A,0),18),"")</f>
        <v/>
      </c>
      <c r="V97">
        <f>IFERROR($C97*INDEX(SPPR!$E:$X,MATCH($A97,SPPR!$A:$A,0),19),"")</f>
        <v/>
      </c>
      <c r="W97">
        <f>IFERROR($C97*INDEX(SPPR!$E:$X,MATCH($A97,SPPR!$A:$A,0),20),"")</f>
        <v/>
      </c>
    </row>
    <row r="98">
      <c r="A98" t="inlineStr">
        <is>
          <t>Sardinella gibbosa</t>
        </is>
      </c>
      <c r="B98">
        <f>IFERROR(INDEX(SPPR!$D:$D,MATCH($A98,SPPR!$A:$A,0)),"")</f>
        <v/>
      </c>
      <c r="C98">
        <f>IFERROR(INDEX(Catch!$E:$BV,MATCH($A98,Catch!$A:$A,0),MATCH($B$4,Catch!$E$1:$BV$1,0)),0)</f>
        <v/>
      </c>
      <c r="D98">
        <f>IFERROR($C98*INDEX(SPPR!$E:$X,MATCH($A98,SPPR!$A:$A,0),1),"")</f>
        <v/>
      </c>
      <c r="E98">
        <f>IFERROR($C98*INDEX(SPPR!$E:$X,MATCH($A98,SPPR!$A:$A,0),2),"")</f>
        <v/>
      </c>
      <c r="F98">
        <f>IFERROR($C98*INDEX(SPPR!$E:$X,MATCH($A98,SPPR!$A:$A,0),3),"")</f>
        <v/>
      </c>
      <c r="G98">
        <f>IFERROR($C98*INDEX(SPPR!$E:$X,MATCH($A98,SPPR!$A:$A,0),4),"")</f>
        <v/>
      </c>
      <c r="H98">
        <f>IFERROR($C98*INDEX(SPPR!$E:$X,MATCH($A98,SPPR!$A:$A,0),5),"")</f>
        <v/>
      </c>
      <c r="I98">
        <f>IFERROR($C98*INDEX(SPPR!$E:$X,MATCH($A98,SPPR!$A:$A,0),6),"")</f>
        <v/>
      </c>
      <c r="J98">
        <f>IFERROR($C98*INDEX(SPPR!$E:$X,MATCH($A98,SPPR!$A:$A,0),7),"")</f>
        <v/>
      </c>
      <c r="K98">
        <f>IFERROR($C98*INDEX(SPPR!$E:$X,MATCH($A98,SPPR!$A:$A,0),8),"")</f>
        <v/>
      </c>
      <c r="L98">
        <f>IFERROR($C98*INDEX(SPPR!$E:$X,MATCH($A98,SPPR!$A:$A,0),9),"")</f>
        <v/>
      </c>
      <c r="M98">
        <f>IFERROR($C98*INDEX(SPPR!$E:$X,MATCH($A98,SPPR!$A:$A,0),10),"")</f>
        <v/>
      </c>
      <c r="N98">
        <f>IFERROR($C98*INDEX(SPPR!$E:$X,MATCH($A98,SPPR!$A:$A,0),11),"")</f>
        <v/>
      </c>
      <c r="O98">
        <f>IFERROR($C98*INDEX(SPPR!$E:$X,MATCH($A98,SPPR!$A:$A,0),12),"")</f>
        <v/>
      </c>
      <c r="P98">
        <f>IFERROR($C98*INDEX(SPPR!$E:$X,MATCH($A98,SPPR!$A:$A,0),13),"")</f>
        <v/>
      </c>
      <c r="Q98">
        <f>IFERROR($C98*INDEX(SPPR!$E:$X,MATCH($A98,SPPR!$A:$A,0),14),"")</f>
        <v/>
      </c>
      <c r="R98">
        <f>IFERROR($C98*INDEX(SPPR!$E:$X,MATCH($A98,SPPR!$A:$A,0),15),"")</f>
        <v/>
      </c>
      <c r="S98">
        <f>IFERROR($C98*INDEX(SPPR!$E:$X,MATCH($A98,SPPR!$A:$A,0),16),"")</f>
        <v/>
      </c>
      <c r="T98">
        <f>IFERROR($C98*INDEX(SPPR!$E:$X,MATCH($A98,SPPR!$A:$A,0),17),"")</f>
        <v/>
      </c>
      <c r="U98">
        <f>IFERROR($C98*INDEX(SPPR!$E:$X,MATCH($A98,SPPR!$A:$A,0),18),"")</f>
        <v/>
      </c>
      <c r="V98">
        <f>IFERROR($C98*INDEX(SPPR!$E:$X,MATCH($A98,SPPR!$A:$A,0),19),"")</f>
        <v/>
      </c>
      <c r="W98">
        <f>IFERROR($C98*INDEX(SPPR!$E:$X,MATCH($A98,SPPR!$A:$A,0),20),"")</f>
        <v/>
      </c>
    </row>
    <row r="99">
      <c r="A99" t="inlineStr">
        <is>
          <t>Sillago sihama</t>
        </is>
      </c>
      <c r="B99">
        <f>IFERROR(INDEX(SPPR!$D:$D,MATCH($A99,SPPR!$A:$A,0)),"")</f>
        <v/>
      </c>
      <c r="C99">
        <f>IFERROR(INDEX(Catch!$E:$BV,MATCH($A99,Catch!$A:$A,0),MATCH($B$4,Catch!$E$1:$BV$1,0)),0)</f>
        <v/>
      </c>
      <c r="D99">
        <f>IFERROR($C99*INDEX(SPPR!$E:$X,MATCH($A99,SPPR!$A:$A,0),1),"")</f>
        <v/>
      </c>
      <c r="E99">
        <f>IFERROR($C99*INDEX(SPPR!$E:$X,MATCH($A99,SPPR!$A:$A,0),2),"")</f>
        <v/>
      </c>
      <c r="F99">
        <f>IFERROR($C99*INDEX(SPPR!$E:$X,MATCH($A99,SPPR!$A:$A,0),3),"")</f>
        <v/>
      </c>
      <c r="G99">
        <f>IFERROR($C99*INDEX(SPPR!$E:$X,MATCH($A99,SPPR!$A:$A,0),4),"")</f>
        <v/>
      </c>
      <c r="H99">
        <f>IFERROR($C99*INDEX(SPPR!$E:$X,MATCH($A99,SPPR!$A:$A,0),5),"")</f>
        <v/>
      </c>
      <c r="I99">
        <f>IFERROR($C99*INDEX(SPPR!$E:$X,MATCH($A99,SPPR!$A:$A,0),6),"")</f>
        <v/>
      </c>
      <c r="J99">
        <f>IFERROR($C99*INDEX(SPPR!$E:$X,MATCH($A99,SPPR!$A:$A,0),7),"")</f>
        <v/>
      </c>
      <c r="K99">
        <f>IFERROR($C99*INDEX(SPPR!$E:$X,MATCH($A99,SPPR!$A:$A,0),8),"")</f>
        <v/>
      </c>
      <c r="L99">
        <f>IFERROR($C99*INDEX(SPPR!$E:$X,MATCH($A99,SPPR!$A:$A,0),9),"")</f>
        <v/>
      </c>
      <c r="M99">
        <f>IFERROR($C99*INDEX(SPPR!$E:$X,MATCH($A99,SPPR!$A:$A,0),10),"")</f>
        <v/>
      </c>
      <c r="N99">
        <f>IFERROR($C99*INDEX(SPPR!$E:$X,MATCH($A99,SPPR!$A:$A,0),11),"")</f>
        <v/>
      </c>
      <c r="O99">
        <f>IFERROR($C99*INDEX(SPPR!$E:$X,MATCH($A99,SPPR!$A:$A,0),12),"")</f>
        <v/>
      </c>
      <c r="P99">
        <f>IFERROR($C99*INDEX(SPPR!$E:$X,MATCH($A99,SPPR!$A:$A,0),13),"")</f>
        <v/>
      </c>
      <c r="Q99">
        <f>IFERROR($C99*INDEX(SPPR!$E:$X,MATCH($A99,SPPR!$A:$A,0),14),"")</f>
        <v/>
      </c>
      <c r="R99">
        <f>IFERROR($C99*INDEX(SPPR!$E:$X,MATCH($A99,SPPR!$A:$A,0),15),"")</f>
        <v/>
      </c>
      <c r="S99">
        <f>IFERROR($C99*INDEX(SPPR!$E:$X,MATCH($A99,SPPR!$A:$A,0),16),"")</f>
        <v/>
      </c>
      <c r="T99">
        <f>IFERROR($C99*INDEX(SPPR!$E:$X,MATCH($A99,SPPR!$A:$A,0),17),"")</f>
        <v/>
      </c>
      <c r="U99">
        <f>IFERROR($C99*INDEX(SPPR!$E:$X,MATCH($A99,SPPR!$A:$A,0),18),"")</f>
        <v/>
      </c>
      <c r="V99">
        <f>IFERROR($C99*INDEX(SPPR!$E:$X,MATCH($A99,SPPR!$A:$A,0),19),"")</f>
        <v/>
      </c>
      <c r="W99">
        <f>IFERROR($C99*INDEX(SPPR!$E:$X,MATCH($A99,SPPR!$A:$A,0),20),"")</f>
        <v/>
      </c>
    </row>
    <row r="100">
      <c r="A100" t="inlineStr">
        <is>
          <t>Rachycentron canadum</t>
        </is>
      </c>
      <c r="B100">
        <f>IFERROR(INDEX(SPPR!$D:$D,MATCH($A100,SPPR!$A:$A,0)),"")</f>
        <v/>
      </c>
      <c r="C100">
        <f>IFERROR(INDEX(Catch!$E:$BV,MATCH($A100,Catch!$A:$A,0),MATCH($B$4,Catch!$E$1:$BV$1,0)),0)</f>
        <v/>
      </c>
      <c r="D100">
        <f>IFERROR($C100*INDEX(SPPR!$E:$X,MATCH($A100,SPPR!$A:$A,0),1),"")</f>
        <v/>
      </c>
      <c r="E100">
        <f>IFERROR($C100*INDEX(SPPR!$E:$X,MATCH($A100,SPPR!$A:$A,0),2),"")</f>
        <v/>
      </c>
      <c r="F100">
        <f>IFERROR($C100*INDEX(SPPR!$E:$X,MATCH($A100,SPPR!$A:$A,0),3),"")</f>
        <v/>
      </c>
      <c r="G100">
        <f>IFERROR($C100*INDEX(SPPR!$E:$X,MATCH($A100,SPPR!$A:$A,0),4),"")</f>
        <v/>
      </c>
      <c r="H100">
        <f>IFERROR($C100*INDEX(SPPR!$E:$X,MATCH($A100,SPPR!$A:$A,0),5),"")</f>
        <v/>
      </c>
      <c r="I100">
        <f>IFERROR($C100*INDEX(SPPR!$E:$X,MATCH($A100,SPPR!$A:$A,0),6),"")</f>
        <v/>
      </c>
      <c r="J100">
        <f>IFERROR($C100*INDEX(SPPR!$E:$X,MATCH($A100,SPPR!$A:$A,0),7),"")</f>
        <v/>
      </c>
      <c r="K100">
        <f>IFERROR($C100*INDEX(SPPR!$E:$X,MATCH($A100,SPPR!$A:$A,0),8),"")</f>
        <v/>
      </c>
      <c r="L100">
        <f>IFERROR($C100*INDEX(SPPR!$E:$X,MATCH($A100,SPPR!$A:$A,0),9),"")</f>
        <v/>
      </c>
      <c r="M100">
        <f>IFERROR($C100*INDEX(SPPR!$E:$X,MATCH($A100,SPPR!$A:$A,0),10),"")</f>
        <v/>
      </c>
      <c r="N100">
        <f>IFERROR($C100*INDEX(SPPR!$E:$X,MATCH($A100,SPPR!$A:$A,0),11),"")</f>
        <v/>
      </c>
      <c r="O100">
        <f>IFERROR($C100*INDEX(SPPR!$E:$X,MATCH($A100,SPPR!$A:$A,0),12),"")</f>
        <v/>
      </c>
      <c r="P100">
        <f>IFERROR($C100*INDEX(SPPR!$E:$X,MATCH($A100,SPPR!$A:$A,0),13),"")</f>
        <v/>
      </c>
      <c r="Q100">
        <f>IFERROR($C100*INDEX(SPPR!$E:$X,MATCH($A100,SPPR!$A:$A,0),14),"")</f>
        <v/>
      </c>
      <c r="R100">
        <f>IFERROR($C100*INDEX(SPPR!$E:$X,MATCH($A100,SPPR!$A:$A,0),15),"")</f>
        <v/>
      </c>
      <c r="S100">
        <f>IFERROR($C100*INDEX(SPPR!$E:$X,MATCH($A100,SPPR!$A:$A,0),16),"")</f>
        <v/>
      </c>
      <c r="T100">
        <f>IFERROR($C100*INDEX(SPPR!$E:$X,MATCH($A100,SPPR!$A:$A,0),17),"")</f>
        <v/>
      </c>
      <c r="U100">
        <f>IFERROR($C100*INDEX(SPPR!$E:$X,MATCH($A100,SPPR!$A:$A,0),18),"")</f>
        <v/>
      </c>
      <c r="V100">
        <f>IFERROR($C100*INDEX(SPPR!$E:$X,MATCH($A100,SPPR!$A:$A,0),19),"")</f>
        <v/>
      </c>
      <c r="W100">
        <f>IFERROR($C100*INDEX(SPPR!$E:$X,MATCH($A100,SPPR!$A:$A,0),20),"")</f>
        <v/>
      </c>
    </row>
    <row r="101">
      <c r="A101" t="inlineStr">
        <is>
          <t>Pleuronectiformes</t>
        </is>
      </c>
      <c r="B101">
        <f>IFERROR(INDEX(SPPR!$D:$D,MATCH($A101,SPPR!$A:$A,0)),"")</f>
        <v/>
      </c>
      <c r="C101">
        <f>IFERROR(INDEX(Catch!$E:$BV,MATCH($A101,Catch!$A:$A,0),MATCH($B$4,Catch!$E$1:$BV$1,0)),0)</f>
        <v/>
      </c>
      <c r="D101">
        <f>IFERROR($C101*INDEX(SPPR!$E:$X,MATCH($A101,SPPR!$A:$A,0),1),"")</f>
        <v/>
      </c>
      <c r="E101">
        <f>IFERROR($C101*INDEX(SPPR!$E:$X,MATCH($A101,SPPR!$A:$A,0),2),"")</f>
        <v/>
      </c>
      <c r="F101">
        <f>IFERROR($C101*INDEX(SPPR!$E:$X,MATCH($A101,SPPR!$A:$A,0),3),"")</f>
        <v/>
      </c>
      <c r="G101">
        <f>IFERROR($C101*INDEX(SPPR!$E:$X,MATCH($A101,SPPR!$A:$A,0),4),"")</f>
        <v/>
      </c>
      <c r="H101">
        <f>IFERROR($C101*INDEX(SPPR!$E:$X,MATCH($A101,SPPR!$A:$A,0),5),"")</f>
        <v/>
      </c>
      <c r="I101">
        <f>IFERROR($C101*INDEX(SPPR!$E:$X,MATCH($A101,SPPR!$A:$A,0),6),"")</f>
        <v/>
      </c>
      <c r="J101">
        <f>IFERROR($C101*INDEX(SPPR!$E:$X,MATCH($A101,SPPR!$A:$A,0),7),"")</f>
        <v/>
      </c>
      <c r="K101">
        <f>IFERROR($C101*INDEX(SPPR!$E:$X,MATCH($A101,SPPR!$A:$A,0),8),"")</f>
        <v/>
      </c>
      <c r="L101">
        <f>IFERROR($C101*INDEX(SPPR!$E:$X,MATCH($A101,SPPR!$A:$A,0),9),"")</f>
        <v/>
      </c>
      <c r="M101">
        <f>IFERROR($C101*INDEX(SPPR!$E:$X,MATCH($A101,SPPR!$A:$A,0),10),"")</f>
        <v/>
      </c>
      <c r="N101">
        <f>IFERROR($C101*INDEX(SPPR!$E:$X,MATCH($A101,SPPR!$A:$A,0),11),"")</f>
        <v/>
      </c>
      <c r="O101">
        <f>IFERROR($C101*INDEX(SPPR!$E:$X,MATCH($A101,SPPR!$A:$A,0),12),"")</f>
        <v/>
      </c>
      <c r="P101">
        <f>IFERROR($C101*INDEX(SPPR!$E:$X,MATCH($A101,SPPR!$A:$A,0),13),"")</f>
        <v/>
      </c>
      <c r="Q101">
        <f>IFERROR($C101*INDEX(SPPR!$E:$X,MATCH($A101,SPPR!$A:$A,0),14),"")</f>
        <v/>
      </c>
      <c r="R101">
        <f>IFERROR($C101*INDEX(SPPR!$E:$X,MATCH($A101,SPPR!$A:$A,0),15),"")</f>
        <v/>
      </c>
      <c r="S101">
        <f>IFERROR($C101*INDEX(SPPR!$E:$X,MATCH($A101,SPPR!$A:$A,0),16),"")</f>
        <v/>
      </c>
      <c r="T101">
        <f>IFERROR($C101*INDEX(SPPR!$E:$X,MATCH($A101,SPPR!$A:$A,0),17),"")</f>
        <v/>
      </c>
      <c r="U101">
        <f>IFERROR($C101*INDEX(SPPR!$E:$X,MATCH($A101,SPPR!$A:$A,0),18),"")</f>
        <v/>
      </c>
      <c r="V101">
        <f>IFERROR($C101*INDEX(SPPR!$E:$X,MATCH($A101,SPPR!$A:$A,0),19),"")</f>
        <v/>
      </c>
      <c r="W101">
        <f>IFERROR($C101*INDEX(SPPR!$E:$X,MATCH($A101,SPPR!$A:$A,0),20),"")</f>
        <v/>
      </c>
    </row>
    <row r="102">
      <c r="A102" t="inlineStr">
        <is>
          <t>Upeneus vittatus</t>
        </is>
      </c>
      <c r="B102">
        <f>IFERROR(INDEX(SPPR!$D:$D,MATCH($A102,SPPR!$A:$A,0)),"")</f>
        <v/>
      </c>
      <c r="C102">
        <f>IFERROR(INDEX(Catch!$E:$BV,MATCH($A102,Catch!$A:$A,0),MATCH($B$4,Catch!$E$1:$BV$1,0)),0)</f>
        <v/>
      </c>
      <c r="D102">
        <f>IFERROR($C102*INDEX(SPPR!$E:$X,MATCH($A102,SPPR!$A:$A,0),1),"")</f>
        <v/>
      </c>
      <c r="E102">
        <f>IFERROR($C102*INDEX(SPPR!$E:$X,MATCH($A102,SPPR!$A:$A,0),2),"")</f>
        <v/>
      </c>
      <c r="F102">
        <f>IFERROR($C102*INDEX(SPPR!$E:$X,MATCH($A102,SPPR!$A:$A,0),3),"")</f>
        <v/>
      </c>
      <c r="G102">
        <f>IFERROR($C102*INDEX(SPPR!$E:$X,MATCH($A102,SPPR!$A:$A,0),4),"")</f>
        <v/>
      </c>
      <c r="H102">
        <f>IFERROR($C102*INDEX(SPPR!$E:$X,MATCH($A102,SPPR!$A:$A,0),5),"")</f>
        <v/>
      </c>
      <c r="I102">
        <f>IFERROR($C102*INDEX(SPPR!$E:$X,MATCH($A102,SPPR!$A:$A,0),6),"")</f>
        <v/>
      </c>
      <c r="J102">
        <f>IFERROR($C102*INDEX(SPPR!$E:$X,MATCH($A102,SPPR!$A:$A,0),7),"")</f>
        <v/>
      </c>
      <c r="K102">
        <f>IFERROR($C102*INDEX(SPPR!$E:$X,MATCH($A102,SPPR!$A:$A,0),8),"")</f>
        <v/>
      </c>
      <c r="L102">
        <f>IFERROR($C102*INDEX(SPPR!$E:$X,MATCH($A102,SPPR!$A:$A,0),9),"")</f>
        <v/>
      </c>
      <c r="M102">
        <f>IFERROR($C102*INDEX(SPPR!$E:$X,MATCH($A102,SPPR!$A:$A,0),10),"")</f>
        <v/>
      </c>
      <c r="N102">
        <f>IFERROR($C102*INDEX(SPPR!$E:$X,MATCH($A102,SPPR!$A:$A,0),11),"")</f>
        <v/>
      </c>
      <c r="O102">
        <f>IFERROR($C102*INDEX(SPPR!$E:$X,MATCH($A102,SPPR!$A:$A,0),12),"")</f>
        <v/>
      </c>
      <c r="P102">
        <f>IFERROR($C102*INDEX(SPPR!$E:$X,MATCH($A102,SPPR!$A:$A,0),13),"")</f>
        <v/>
      </c>
      <c r="Q102">
        <f>IFERROR($C102*INDEX(SPPR!$E:$X,MATCH($A102,SPPR!$A:$A,0),14),"")</f>
        <v/>
      </c>
      <c r="R102">
        <f>IFERROR($C102*INDEX(SPPR!$E:$X,MATCH($A102,SPPR!$A:$A,0),15),"")</f>
        <v/>
      </c>
      <c r="S102">
        <f>IFERROR($C102*INDEX(SPPR!$E:$X,MATCH($A102,SPPR!$A:$A,0),16),"")</f>
        <v/>
      </c>
      <c r="T102">
        <f>IFERROR($C102*INDEX(SPPR!$E:$X,MATCH($A102,SPPR!$A:$A,0),17),"")</f>
        <v/>
      </c>
      <c r="U102">
        <f>IFERROR($C102*INDEX(SPPR!$E:$X,MATCH($A102,SPPR!$A:$A,0),18),"")</f>
        <v/>
      </c>
      <c r="V102">
        <f>IFERROR($C102*INDEX(SPPR!$E:$X,MATCH($A102,SPPR!$A:$A,0),19),"")</f>
        <v/>
      </c>
      <c r="W102">
        <f>IFERROR($C102*INDEX(SPPR!$E:$X,MATCH($A102,SPPR!$A:$A,0),20),"")</f>
        <v/>
      </c>
    </row>
    <row r="103">
      <c r="A103" t="inlineStr">
        <is>
          <t>Pomadasys kaakan</t>
        </is>
      </c>
      <c r="B103">
        <f>IFERROR(INDEX(SPPR!$D:$D,MATCH($A103,SPPR!$A:$A,0)),"")</f>
        <v/>
      </c>
      <c r="C103">
        <f>IFERROR(INDEX(Catch!$E:$BV,MATCH($A103,Catch!$A:$A,0),MATCH($B$4,Catch!$E$1:$BV$1,0)),0)</f>
        <v/>
      </c>
      <c r="D103">
        <f>IFERROR($C103*INDEX(SPPR!$E:$X,MATCH($A103,SPPR!$A:$A,0),1),"")</f>
        <v/>
      </c>
      <c r="E103">
        <f>IFERROR($C103*INDEX(SPPR!$E:$X,MATCH($A103,SPPR!$A:$A,0),2),"")</f>
        <v/>
      </c>
      <c r="F103">
        <f>IFERROR($C103*INDEX(SPPR!$E:$X,MATCH($A103,SPPR!$A:$A,0),3),"")</f>
        <v/>
      </c>
      <c r="G103">
        <f>IFERROR($C103*INDEX(SPPR!$E:$X,MATCH($A103,SPPR!$A:$A,0),4),"")</f>
        <v/>
      </c>
      <c r="H103">
        <f>IFERROR($C103*INDEX(SPPR!$E:$X,MATCH($A103,SPPR!$A:$A,0),5),"")</f>
        <v/>
      </c>
      <c r="I103">
        <f>IFERROR($C103*INDEX(SPPR!$E:$X,MATCH($A103,SPPR!$A:$A,0),6),"")</f>
        <v/>
      </c>
      <c r="J103">
        <f>IFERROR($C103*INDEX(SPPR!$E:$X,MATCH($A103,SPPR!$A:$A,0),7),"")</f>
        <v/>
      </c>
      <c r="K103">
        <f>IFERROR($C103*INDEX(SPPR!$E:$X,MATCH($A103,SPPR!$A:$A,0),8),"")</f>
        <v/>
      </c>
      <c r="L103">
        <f>IFERROR($C103*INDEX(SPPR!$E:$X,MATCH($A103,SPPR!$A:$A,0),9),"")</f>
        <v/>
      </c>
      <c r="M103">
        <f>IFERROR($C103*INDEX(SPPR!$E:$X,MATCH($A103,SPPR!$A:$A,0),10),"")</f>
        <v/>
      </c>
      <c r="N103">
        <f>IFERROR($C103*INDEX(SPPR!$E:$X,MATCH($A103,SPPR!$A:$A,0),11),"")</f>
        <v/>
      </c>
      <c r="O103">
        <f>IFERROR($C103*INDEX(SPPR!$E:$X,MATCH($A103,SPPR!$A:$A,0),12),"")</f>
        <v/>
      </c>
      <c r="P103">
        <f>IFERROR($C103*INDEX(SPPR!$E:$X,MATCH($A103,SPPR!$A:$A,0),13),"")</f>
        <v/>
      </c>
      <c r="Q103">
        <f>IFERROR($C103*INDEX(SPPR!$E:$X,MATCH($A103,SPPR!$A:$A,0),14),"")</f>
        <v/>
      </c>
      <c r="R103">
        <f>IFERROR($C103*INDEX(SPPR!$E:$X,MATCH($A103,SPPR!$A:$A,0),15),"")</f>
        <v/>
      </c>
      <c r="S103">
        <f>IFERROR($C103*INDEX(SPPR!$E:$X,MATCH($A103,SPPR!$A:$A,0),16),"")</f>
        <v/>
      </c>
      <c r="T103">
        <f>IFERROR($C103*INDEX(SPPR!$E:$X,MATCH($A103,SPPR!$A:$A,0),17),"")</f>
        <v/>
      </c>
      <c r="U103">
        <f>IFERROR($C103*INDEX(SPPR!$E:$X,MATCH($A103,SPPR!$A:$A,0),18),"")</f>
        <v/>
      </c>
      <c r="V103">
        <f>IFERROR($C103*INDEX(SPPR!$E:$X,MATCH($A103,SPPR!$A:$A,0),19),"")</f>
        <v/>
      </c>
      <c r="W103">
        <f>IFERROR($C103*INDEX(SPPR!$E:$X,MATCH($A103,SPPR!$A:$A,0),20),"")</f>
        <v/>
      </c>
    </row>
    <row r="104">
      <c r="A104" t="inlineStr">
        <is>
          <t>Haemulidae</t>
        </is>
      </c>
      <c r="B104">
        <f>IFERROR(INDEX(SPPR!$D:$D,MATCH($A104,SPPR!$A:$A,0)),"")</f>
        <v/>
      </c>
      <c r="C104">
        <f>IFERROR(INDEX(Catch!$E:$BV,MATCH($A104,Catch!$A:$A,0),MATCH($B$4,Catch!$E$1:$BV$1,0)),0)</f>
        <v/>
      </c>
      <c r="D104">
        <f>IFERROR($C104*INDEX(SPPR!$E:$X,MATCH($A104,SPPR!$A:$A,0),1),"")</f>
        <v/>
      </c>
      <c r="E104">
        <f>IFERROR($C104*INDEX(SPPR!$E:$X,MATCH($A104,SPPR!$A:$A,0),2),"")</f>
        <v/>
      </c>
      <c r="F104">
        <f>IFERROR($C104*INDEX(SPPR!$E:$X,MATCH($A104,SPPR!$A:$A,0),3),"")</f>
        <v/>
      </c>
      <c r="G104">
        <f>IFERROR($C104*INDEX(SPPR!$E:$X,MATCH($A104,SPPR!$A:$A,0),4),"")</f>
        <v/>
      </c>
      <c r="H104">
        <f>IFERROR($C104*INDEX(SPPR!$E:$X,MATCH($A104,SPPR!$A:$A,0),5),"")</f>
        <v/>
      </c>
      <c r="I104">
        <f>IFERROR($C104*INDEX(SPPR!$E:$X,MATCH($A104,SPPR!$A:$A,0),6),"")</f>
        <v/>
      </c>
      <c r="J104">
        <f>IFERROR($C104*INDEX(SPPR!$E:$X,MATCH($A104,SPPR!$A:$A,0),7),"")</f>
        <v/>
      </c>
      <c r="K104">
        <f>IFERROR($C104*INDEX(SPPR!$E:$X,MATCH($A104,SPPR!$A:$A,0),8),"")</f>
        <v/>
      </c>
      <c r="L104">
        <f>IFERROR($C104*INDEX(SPPR!$E:$X,MATCH($A104,SPPR!$A:$A,0),9),"")</f>
        <v/>
      </c>
      <c r="M104">
        <f>IFERROR($C104*INDEX(SPPR!$E:$X,MATCH($A104,SPPR!$A:$A,0),10),"")</f>
        <v/>
      </c>
      <c r="N104">
        <f>IFERROR($C104*INDEX(SPPR!$E:$X,MATCH($A104,SPPR!$A:$A,0),11),"")</f>
        <v/>
      </c>
      <c r="O104">
        <f>IFERROR($C104*INDEX(SPPR!$E:$X,MATCH($A104,SPPR!$A:$A,0),12),"")</f>
        <v/>
      </c>
      <c r="P104">
        <f>IFERROR($C104*INDEX(SPPR!$E:$X,MATCH($A104,SPPR!$A:$A,0),13),"")</f>
        <v/>
      </c>
      <c r="Q104">
        <f>IFERROR($C104*INDEX(SPPR!$E:$X,MATCH($A104,SPPR!$A:$A,0),14),"")</f>
        <v/>
      </c>
      <c r="R104">
        <f>IFERROR($C104*INDEX(SPPR!$E:$X,MATCH($A104,SPPR!$A:$A,0),15),"")</f>
        <v/>
      </c>
      <c r="S104">
        <f>IFERROR($C104*INDEX(SPPR!$E:$X,MATCH($A104,SPPR!$A:$A,0),16),"")</f>
        <v/>
      </c>
      <c r="T104">
        <f>IFERROR($C104*INDEX(SPPR!$E:$X,MATCH($A104,SPPR!$A:$A,0),17),"")</f>
        <v/>
      </c>
      <c r="U104">
        <f>IFERROR($C104*INDEX(SPPR!$E:$X,MATCH($A104,SPPR!$A:$A,0),18),"")</f>
        <v/>
      </c>
      <c r="V104">
        <f>IFERROR($C104*INDEX(SPPR!$E:$X,MATCH($A104,SPPR!$A:$A,0),19),"")</f>
        <v/>
      </c>
      <c r="W104">
        <f>IFERROR($C104*INDEX(SPPR!$E:$X,MATCH($A104,SPPR!$A:$A,0),20),"")</f>
        <v/>
      </c>
    </row>
    <row r="105">
      <c r="A105" t="inlineStr">
        <is>
          <t>Dussumieria acuta</t>
        </is>
      </c>
      <c r="B105">
        <f>IFERROR(INDEX(SPPR!$D:$D,MATCH($A105,SPPR!$A:$A,0)),"")</f>
        <v/>
      </c>
      <c r="C105">
        <f>IFERROR(INDEX(Catch!$E:$BV,MATCH($A105,Catch!$A:$A,0),MATCH($B$4,Catch!$E$1:$BV$1,0)),0)</f>
        <v/>
      </c>
      <c r="D105">
        <f>IFERROR($C105*INDEX(SPPR!$E:$X,MATCH($A105,SPPR!$A:$A,0),1),"")</f>
        <v/>
      </c>
      <c r="E105">
        <f>IFERROR($C105*INDEX(SPPR!$E:$X,MATCH($A105,SPPR!$A:$A,0),2),"")</f>
        <v/>
      </c>
      <c r="F105">
        <f>IFERROR($C105*INDEX(SPPR!$E:$X,MATCH($A105,SPPR!$A:$A,0),3),"")</f>
        <v/>
      </c>
      <c r="G105">
        <f>IFERROR($C105*INDEX(SPPR!$E:$X,MATCH($A105,SPPR!$A:$A,0),4),"")</f>
        <v/>
      </c>
      <c r="H105">
        <f>IFERROR($C105*INDEX(SPPR!$E:$X,MATCH($A105,SPPR!$A:$A,0),5),"")</f>
        <v/>
      </c>
      <c r="I105">
        <f>IFERROR($C105*INDEX(SPPR!$E:$X,MATCH($A105,SPPR!$A:$A,0),6),"")</f>
        <v/>
      </c>
      <c r="J105">
        <f>IFERROR($C105*INDEX(SPPR!$E:$X,MATCH($A105,SPPR!$A:$A,0),7),"")</f>
        <v/>
      </c>
      <c r="K105">
        <f>IFERROR($C105*INDEX(SPPR!$E:$X,MATCH($A105,SPPR!$A:$A,0),8),"")</f>
        <v/>
      </c>
      <c r="L105">
        <f>IFERROR($C105*INDEX(SPPR!$E:$X,MATCH($A105,SPPR!$A:$A,0),9),"")</f>
        <v/>
      </c>
      <c r="M105">
        <f>IFERROR($C105*INDEX(SPPR!$E:$X,MATCH($A105,SPPR!$A:$A,0),10),"")</f>
        <v/>
      </c>
      <c r="N105">
        <f>IFERROR($C105*INDEX(SPPR!$E:$X,MATCH($A105,SPPR!$A:$A,0),11),"")</f>
        <v/>
      </c>
      <c r="O105">
        <f>IFERROR($C105*INDEX(SPPR!$E:$X,MATCH($A105,SPPR!$A:$A,0),12),"")</f>
        <v/>
      </c>
      <c r="P105">
        <f>IFERROR($C105*INDEX(SPPR!$E:$X,MATCH($A105,SPPR!$A:$A,0),13),"")</f>
        <v/>
      </c>
      <c r="Q105">
        <f>IFERROR($C105*INDEX(SPPR!$E:$X,MATCH($A105,SPPR!$A:$A,0),14),"")</f>
        <v/>
      </c>
      <c r="R105">
        <f>IFERROR($C105*INDEX(SPPR!$E:$X,MATCH($A105,SPPR!$A:$A,0),15),"")</f>
        <v/>
      </c>
      <c r="S105">
        <f>IFERROR($C105*INDEX(SPPR!$E:$X,MATCH($A105,SPPR!$A:$A,0),16),"")</f>
        <v/>
      </c>
      <c r="T105">
        <f>IFERROR($C105*INDEX(SPPR!$E:$X,MATCH($A105,SPPR!$A:$A,0),17),"")</f>
        <v/>
      </c>
      <c r="U105">
        <f>IFERROR($C105*INDEX(SPPR!$E:$X,MATCH($A105,SPPR!$A:$A,0),18),"")</f>
        <v/>
      </c>
      <c r="V105">
        <f>IFERROR($C105*INDEX(SPPR!$E:$X,MATCH($A105,SPPR!$A:$A,0),19),"")</f>
        <v/>
      </c>
      <c r="W105">
        <f>IFERROR($C105*INDEX(SPPR!$E:$X,MATCH($A105,SPPR!$A:$A,0),20),"")</f>
        <v/>
      </c>
    </row>
    <row r="106">
      <c r="A106" t="inlineStr">
        <is>
          <t>Terapon jarbua</t>
        </is>
      </c>
      <c r="B106">
        <f>IFERROR(INDEX(SPPR!$D:$D,MATCH($A106,SPPR!$A:$A,0)),"")</f>
        <v/>
      </c>
      <c r="C106">
        <f>IFERROR(INDEX(Catch!$E:$BV,MATCH($A106,Catch!$A:$A,0),MATCH($B$4,Catch!$E$1:$BV$1,0)),0)</f>
        <v/>
      </c>
      <c r="D106">
        <f>IFERROR($C106*INDEX(SPPR!$E:$X,MATCH($A106,SPPR!$A:$A,0),1),"")</f>
        <v/>
      </c>
      <c r="E106">
        <f>IFERROR($C106*INDEX(SPPR!$E:$X,MATCH($A106,SPPR!$A:$A,0),2),"")</f>
        <v/>
      </c>
      <c r="F106">
        <f>IFERROR($C106*INDEX(SPPR!$E:$X,MATCH($A106,SPPR!$A:$A,0),3),"")</f>
        <v/>
      </c>
      <c r="G106">
        <f>IFERROR($C106*INDEX(SPPR!$E:$X,MATCH($A106,SPPR!$A:$A,0),4),"")</f>
        <v/>
      </c>
      <c r="H106">
        <f>IFERROR($C106*INDEX(SPPR!$E:$X,MATCH($A106,SPPR!$A:$A,0),5),"")</f>
        <v/>
      </c>
      <c r="I106">
        <f>IFERROR($C106*INDEX(SPPR!$E:$X,MATCH($A106,SPPR!$A:$A,0),6),"")</f>
        <v/>
      </c>
      <c r="J106">
        <f>IFERROR($C106*INDEX(SPPR!$E:$X,MATCH($A106,SPPR!$A:$A,0),7),"")</f>
        <v/>
      </c>
      <c r="K106">
        <f>IFERROR($C106*INDEX(SPPR!$E:$X,MATCH($A106,SPPR!$A:$A,0),8),"")</f>
        <v/>
      </c>
      <c r="L106">
        <f>IFERROR($C106*INDEX(SPPR!$E:$X,MATCH($A106,SPPR!$A:$A,0),9),"")</f>
        <v/>
      </c>
      <c r="M106">
        <f>IFERROR($C106*INDEX(SPPR!$E:$X,MATCH($A106,SPPR!$A:$A,0),10),"")</f>
        <v/>
      </c>
      <c r="N106">
        <f>IFERROR($C106*INDEX(SPPR!$E:$X,MATCH($A106,SPPR!$A:$A,0),11),"")</f>
        <v/>
      </c>
      <c r="O106">
        <f>IFERROR($C106*INDEX(SPPR!$E:$X,MATCH($A106,SPPR!$A:$A,0),12),"")</f>
        <v/>
      </c>
      <c r="P106">
        <f>IFERROR($C106*INDEX(SPPR!$E:$X,MATCH($A106,SPPR!$A:$A,0),13),"")</f>
        <v/>
      </c>
      <c r="Q106">
        <f>IFERROR($C106*INDEX(SPPR!$E:$X,MATCH($A106,SPPR!$A:$A,0),14),"")</f>
        <v/>
      </c>
      <c r="R106">
        <f>IFERROR($C106*INDEX(SPPR!$E:$X,MATCH($A106,SPPR!$A:$A,0),15),"")</f>
        <v/>
      </c>
      <c r="S106">
        <f>IFERROR($C106*INDEX(SPPR!$E:$X,MATCH($A106,SPPR!$A:$A,0),16),"")</f>
        <v/>
      </c>
      <c r="T106">
        <f>IFERROR($C106*INDEX(SPPR!$E:$X,MATCH($A106,SPPR!$A:$A,0),17),"")</f>
        <v/>
      </c>
      <c r="U106">
        <f>IFERROR($C106*INDEX(SPPR!$E:$X,MATCH($A106,SPPR!$A:$A,0),18),"")</f>
        <v/>
      </c>
      <c r="V106">
        <f>IFERROR($C106*INDEX(SPPR!$E:$X,MATCH($A106,SPPR!$A:$A,0),19),"")</f>
        <v/>
      </c>
      <c r="W106">
        <f>IFERROR($C106*INDEX(SPPR!$E:$X,MATCH($A106,SPPR!$A:$A,0),20),"")</f>
        <v/>
      </c>
    </row>
    <row r="107">
      <c r="A107" t="inlineStr">
        <is>
          <t>Auxis</t>
        </is>
      </c>
      <c r="B107">
        <f>IFERROR(INDEX(SPPR!$D:$D,MATCH($A107,SPPR!$A:$A,0)),"")</f>
        <v/>
      </c>
      <c r="C107">
        <f>IFERROR(INDEX(Catch!$E:$BV,MATCH($A107,Catch!$A:$A,0),MATCH($B$4,Catch!$E$1:$BV$1,0)),0)</f>
        <v/>
      </c>
      <c r="D107">
        <f>IFERROR($C107*INDEX(SPPR!$E:$X,MATCH($A107,SPPR!$A:$A,0),1),"")</f>
        <v/>
      </c>
      <c r="E107">
        <f>IFERROR($C107*INDEX(SPPR!$E:$X,MATCH($A107,SPPR!$A:$A,0),2),"")</f>
        <v/>
      </c>
      <c r="F107">
        <f>IFERROR($C107*INDEX(SPPR!$E:$X,MATCH($A107,SPPR!$A:$A,0),3),"")</f>
        <v/>
      </c>
      <c r="G107">
        <f>IFERROR($C107*INDEX(SPPR!$E:$X,MATCH($A107,SPPR!$A:$A,0),4),"")</f>
        <v/>
      </c>
      <c r="H107">
        <f>IFERROR($C107*INDEX(SPPR!$E:$X,MATCH($A107,SPPR!$A:$A,0),5),"")</f>
        <v/>
      </c>
      <c r="I107">
        <f>IFERROR($C107*INDEX(SPPR!$E:$X,MATCH($A107,SPPR!$A:$A,0),6),"")</f>
        <v/>
      </c>
      <c r="J107">
        <f>IFERROR($C107*INDEX(SPPR!$E:$X,MATCH($A107,SPPR!$A:$A,0),7),"")</f>
        <v/>
      </c>
      <c r="K107">
        <f>IFERROR($C107*INDEX(SPPR!$E:$X,MATCH($A107,SPPR!$A:$A,0),8),"")</f>
        <v/>
      </c>
      <c r="L107">
        <f>IFERROR($C107*INDEX(SPPR!$E:$X,MATCH($A107,SPPR!$A:$A,0),9),"")</f>
        <v/>
      </c>
      <c r="M107">
        <f>IFERROR($C107*INDEX(SPPR!$E:$X,MATCH($A107,SPPR!$A:$A,0),10),"")</f>
        <v/>
      </c>
      <c r="N107">
        <f>IFERROR($C107*INDEX(SPPR!$E:$X,MATCH($A107,SPPR!$A:$A,0),11),"")</f>
        <v/>
      </c>
      <c r="O107">
        <f>IFERROR($C107*INDEX(SPPR!$E:$X,MATCH($A107,SPPR!$A:$A,0),12),"")</f>
        <v/>
      </c>
      <c r="P107">
        <f>IFERROR($C107*INDEX(SPPR!$E:$X,MATCH($A107,SPPR!$A:$A,0),13),"")</f>
        <v/>
      </c>
      <c r="Q107">
        <f>IFERROR($C107*INDEX(SPPR!$E:$X,MATCH($A107,SPPR!$A:$A,0),14),"")</f>
        <v/>
      </c>
      <c r="R107">
        <f>IFERROR($C107*INDEX(SPPR!$E:$X,MATCH($A107,SPPR!$A:$A,0),15),"")</f>
        <v/>
      </c>
      <c r="S107">
        <f>IFERROR($C107*INDEX(SPPR!$E:$X,MATCH($A107,SPPR!$A:$A,0),16),"")</f>
        <v/>
      </c>
      <c r="T107">
        <f>IFERROR($C107*INDEX(SPPR!$E:$X,MATCH($A107,SPPR!$A:$A,0),17),"")</f>
        <v/>
      </c>
      <c r="U107">
        <f>IFERROR($C107*INDEX(SPPR!$E:$X,MATCH($A107,SPPR!$A:$A,0),18),"")</f>
        <v/>
      </c>
      <c r="V107">
        <f>IFERROR($C107*INDEX(SPPR!$E:$X,MATCH($A107,SPPR!$A:$A,0),19),"")</f>
        <v/>
      </c>
      <c r="W107">
        <f>IFERROR($C107*INDEX(SPPR!$E:$X,MATCH($A107,SPPR!$A:$A,0),20),"")</f>
        <v/>
      </c>
    </row>
    <row r="108">
      <c r="A108" t="inlineStr">
        <is>
          <t>Epinephelus coioides</t>
        </is>
      </c>
      <c r="B108">
        <f>IFERROR(INDEX(SPPR!$D:$D,MATCH($A108,SPPR!$A:$A,0)),"")</f>
        <v/>
      </c>
      <c r="C108">
        <f>IFERROR(INDEX(Catch!$E:$BV,MATCH($A108,Catch!$A:$A,0),MATCH($B$4,Catch!$E$1:$BV$1,0)),0)</f>
        <v/>
      </c>
      <c r="D108">
        <f>IFERROR($C108*INDEX(SPPR!$E:$X,MATCH($A108,SPPR!$A:$A,0),1),"")</f>
        <v/>
      </c>
      <c r="E108">
        <f>IFERROR($C108*INDEX(SPPR!$E:$X,MATCH($A108,SPPR!$A:$A,0),2),"")</f>
        <v/>
      </c>
      <c r="F108">
        <f>IFERROR($C108*INDEX(SPPR!$E:$X,MATCH($A108,SPPR!$A:$A,0),3),"")</f>
        <v/>
      </c>
      <c r="G108">
        <f>IFERROR($C108*INDEX(SPPR!$E:$X,MATCH($A108,SPPR!$A:$A,0),4),"")</f>
        <v/>
      </c>
      <c r="H108">
        <f>IFERROR($C108*INDEX(SPPR!$E:$X,MATCH($A108,SPPR!$A:$A,0),5),"")</f>
        <v/>
      </c>
      <c r="I108">
        <f>IFERROR($C108*INDEX(SPPR!$E:$X,MATCH($A108,SPPR!$A:$A,0),6),"")</f>
        <v/>
      </c>
      <c r="J108">
        <f>IFERROR($C108*INDEX(SPPR!$E:$X,MATCH($A108,SPPR!$A:$A,0),7),"")</f>
        <v/>
      </c>
      <c r="K108">
        <f>IFERROR($C108*INDEX(SPPR!$E:$X,MATCH($A108,SPPR!$A:$A,0),8),"")</f>
        <v/>
      </c>
      <c r="L108">
        <f>IFERROR($C108*INDEX(SPPR!$E:$X,MATCH($A108,SPPR!$A:$A,0),9),"")</f>
        <v/>
      </c>
      <c r="M108">
        <f>IFERROR($C108*INDEX(SPPR!$E:$X,MATCH($A108,SPPR!$A:$A,0),10),"")</f>
        <v/>
      </c>
      <c r="N108">
        <f>IFERROR($C108*INDEX(SPPR!$E:$X,MATCH($A108,SPPR!$A:$A,0),11),"")</f>
        <v/>
      </c>
      <c r="O108">
        <f>IFERROR($C108*INDEX(SPPR!$E:$X,MATCH($A108,SPPR!$A:$A,0),12),"")</f>
        <v/>
      </c>
      <c r="P108">
        <f>IFERROR($C108*INDEX(SPPR!$E:$X,MATCH($A108,SPPR!$A:$A,0),13),"")</f>
        <v/>
      </c>
      <c r="Q108">
        <f>IFERROR($C108*INDEX(SPPR!$E:$X,MATCH($A108,SPPR!$A:$A,0),14),"")</f>
        <v/>
      </c>
      <c r="R108">
        <f>IFERROR($C108*INDEX(SPPR!$E:$X,MATCH($A108,SPPR!$A:$A,0),15),"")</f>
        <v/>
      </c>
      <c r="S108">
        <f>IFERROR($C108*INDEX(SPPR!$E:$X,MATCH($A108,SPPR!$A:$A,0),16),"")</f>
        <v/>
      </c>
      <c r="T108">
        <f>IFERROR($C108*INDEX(SPPR!$E:$X,MATCH($A108,SPPR!$A:$A,0),17),"")</f>
        <v/>
      </c>
      <c r="U108">
        <f>IFERROR($C108*INDEX(SPPR!$E:$X,MATCH($A108,SPPR!$A:$A,0),18),"")</f>
        <v/>
      </c>
      <c r="V108">
        <f>IFERROR($C108*INDEX(SPPR!$E:$X,MATCH($A108,SPPR!$A:$A,0),19),"")</f>
        <v/>
      </c>
      <c r="W108">
        <f>IFERROR($C108*INDEX(SPPR!$E:$X,MATCH($A108,SPPR!$A:$A,0),20),"")</f>
        <v/>
      </c>
    </row>
    <row r="109">
      <c r="A109" t="inlineStr">
        <is>
          <t>Platycephalus indicus</t>
        </is>
      </c>
      <c r="B109">
        <f>IFERROR(INDEX(SPPR!$D:$D,MATCH($A109,SPPR!$A:$A,0)),"")</f>
        <v/>
      </c>
      <c r="C109">
        <f>IFERROR(INDEX(Catch!$E:$BV,MATCH($A109,Catch!$A:$A,0),MATCH($B$4,Catch!$E$1:$BV$1,0)),0)</f>
        <v/>
      </c>
      <c r="D109">
        <f>IFERROR($C109*INDEX(SPPR!$E:$X,MATCH($A109,SPPR!$A:$A,0),1),"")</f>
        <v/>
      </c>
      <c r="E109">
        <f>IFERROR($C109*INDEX(SPPR!$E:$X,MATCH($A109,SPPR!$A:$A,0),2),"")</f>
        <v/>
      </c>
      <c r="F109">
        <f>IFERROR($C109*INDEX(SPPR!$E:$X,MATCH($A109,SPPR!$A:$A,0),3),"")</f>
        <v/>
      </c>
      <c r="G109">
        <f>IFERROR($C109*INDEX(SPPR!$E:$X,MATCH($A109,SPPR!$A:$A,0),4),"")</f>
        <v/>
      </c>
      <c r="H109">
        <f>IFERROR($C109*INDEX(SPPR!$E:$X,MATCH($A109,SPPR!$A:$A,0),5),"")</f>
        <v/>
      </c>
      <c r="I109">
        <f>IFERROR($C109*INDEX(SPPR!$E:$X,MATCH($A109,SPPR!$A:$A,0),6),"")</f>
        <v/>
      </c>
      <c r="J109">
        <f>IFERROR($C109*INDEX(SPPR!$E:$X,MATCH($A109,SPPR!$A:$A,0),7),"")</f>
        <v/>
      </c>
      <c r="K109">
        <f>IFERROR($C109*INDEX(SPPR!$E:$X,MATCH($A109,SPPR!$A:$A,0),8),"")</f>
        <v/>
      </c>
      <c r="L109">
        <f>IFERROR($C109*INDEX(SPPR!$E:$X,MATCH($A109,SPPR!$A:$A,0),9),"")</f>
        <v/>
      </c>
      <c r="M109">
        <f>IFERROR($C109*INDEX(SPPR!$E:$X,MATCH($A109,SPPR!$A:$A,0),10),"")</f>
        <v/>
      </c>
      <c r="N109">
        <f>IFERROR($C109*INDEX(SPPR!$E:$X,MATCH($A109,SPPR!$A:$A,0),11),"")</f>
        <v/>
      </c>
      <c r="O109">
        <f>IFERROR($C109*INDEX(SPPR!$E:$X,MATCH($A109,SPPR!$A:$A,0),12),"")</f>
        <v/>
      </c>
      <c r="P109">
        <f>IFERROR($C109*INDEX(SPPR!$E:$X,MATCH($A109,SPPR!$A:$A,0),13),"")</f>
        <v/>
      </c>
      <c r="Q109">
        <f>IFERROR($C109*INDEX(SPPR!$E:$X,MATCH($A109,SPPR!$A:$A,0),14),"")</f>
        <v/>
      </c>
      <c r="R109">
        <f>IFERROR($C109*INDEX(SPPR!$E:$X,MATCH($A109,SPPR!$A:$A,0),15),"")</f>
        <v/>
      </c>
      <c r="S109">
        <f>IFERROR($C109*INDEX(SPPR!$E:$X,MATCH($A109,SPPR!$A:$A,0),16),"")</f>
        <v/>
      </c>
      <c r="T109">
        <f>IFERROR($C109*INDEX(SPPR!$E:$X,MATCH($A109,SPPR!$A:$A,0),17),"")</f>
        <v/>
      </c>
      <c r="U109">
        <f>IFERROR($C109*INDEX(SPPR!$E:$X,MATCH($A109,SPPR!$A:$A,0),18),"")</f>
        <v/>
      </c>
      <c r="V109">
        <f>IFERROR($C109*INDEX(SPPR!$E:$X,MATCH($A109,SPPR!$A:$A,0),19),"")</f>
        <v/>
      </c>
      <c r="W109">
        <f>IFERROR($C109*INDEX(SPPR!$E:$X,MATCH($A109,SPPR!$A:$A,0),20),"")</f>
        <v/>
      </c>
    </row>
    <row r="110">
      <c r="A110" t="inlineStr">
        <is>
          <t>Pomadasys</t>
        </is>
      </c>
      <c r="B110">
        <f>IFERROR(INDEX(SPPR!$D:$D,MATCH($A110,SPPR!$A:$A,0)),"")</f>
        <v/>
      </c>
      <c r="C110">
        <f>IFERROR(INDEX(Catch!$E:$BV,MATCH($A110,Catch!$A:$A,0),MATCH($B$4,Catch!$E$1:$BV$1,0)),0)</f>
        <v/>
      </c>
      <c r="D110">
        <f>IFERROR($C110*INDEX(SPPR!$E:$X,MATCH($A110,SPPR!$A:$A,0),1),"")</f>
        <v/>
      </c>
      <c r="E110">
        <f>IFERROR($C110*INDEX(SPPR!$E:$X,MATCH($A110,SPPR!$A:$A,0),2),"")</f>
        <v/>
      </c>
      <c r="F110">
        <f>IFERROR($C110*INDEX(SPPR!$E:$X,MATCH($A110,SPPR!$A:$A,0),3),"")</f>
        <v/>
      </c>
      <c r="G110">
        <f>IFERROR($C110*INDEX(SPPR!$E:$X,MATCH($A110,SPPR!$A:$A,0),4),"")</f>
        <v/>
      </c>
      <c r="H110">
        <f>IFERROR($C110*INDEX(SPPR!$E:$X,MATCH($A110,SPPR!$A:$A,0),5),"")</f>
        <v/>
      </c>
      <c r="I110">
        <f>IFERROR($C110*INDEX(SPPR!$E:$X,MATCH($A110,SPPR!$A:$A,0),6),"")</f>
        <v/>
      </c>
      <c r="J110">
        <f>IFERROR($C110*INDEX(SPPR!$E:$X,MATCH($A110,SPPR!$A:$A,0),7),"")</f>
        <v/>
      </c>
      <c r="K110">
        <f>IFERROR($C110*INDEX(SPPR!$E:$X,MATCH($A110,SPPR!$A:$A,0),8),"")</f>
        <v/>
      </c>
      <c r="L110">
        <f>IFERROR($C110*INDEX(SPPR!$E:$X,MATCH($A110,SPPR!$A:$A,0),9),"")</f>
        <v/>
      </c>
      <c r="M110">
        <f>IFERROR($C110*INDEX(SPPR!$E:$X,MATCH($A110,SPPR!$A:$A,0),10),"")</f>
        <v/>
      </c>
      <c r="N110">
        <f>IFERROR($C110*INDEX(SPPR!$E:$X,MATCH($A110,SPPR!$A:$A,0),11),"")</f>
        <v/>
      </c>
      <c r="O110">
        <f>IFERROR($C110*INDEX(SPPR!$E:$X,MATCH($A110,SPPR!$A:$A,0),12),"")</f>
        <v/>
      </c>
      <c r="P110">
        <f>IFERROR($C110*INDEX(SPPR!$E:$X,MATCH($A110,SPPR!$A:$A,0),13),"")</f>
        <v/>
      </c>
      <c r="Q110">
        <f>IFERROR($C110*INDEX(SPPR!$E:$X,MATCH($A110,SPPR!$A:$A,0),14),"")</f>
        <v/>
      </c>
      <c r="R110">
        <f>IFERROR($C110*INDEX(SPPR!$E:$X,MATCH($A110,SPPR!$A:$A,0),15),"")</f>
        <v/>
      </c>
      <c r="S110">
        <f>IFERROR($C110*INDEX(SPPR!$E:$X,MATCH($A110,SPPR!$A:$A,0),16),"")</f>
        <v/>
      </c>
      <c r="T110">
        <f>IFERROR($C110*INDEX(SPPR!$E:$X,MATCH($A110,SPPR!$A:$A,0),17),"")</f>
        <v/>
      </c>
      <c r="U110">
        <f>IFERROR($C110*INDEX(SPPR!$E:$X,MATCH($A110,SPPR!$A:$A,0),18),"")</f>
        <v/>
      </c>
      <c r="V110">
        <f>IFERROR($C110*INDEX(SPPR!$E:$X,MATCH($A110,SPPR!$A:$A,0),19),"")</f>
        <v/>
      </c>
      <c r="W110">
        <f>IFERROR($C110*INDEX(SPPR!$E:$X,MATCH($A110,SPPR!$A:$A,0),20),"")</f>
        <v/>
      </c>
    </row>
    <row r="111">
      <c r="A111" t="inlineStr">
        <is>
          <t>Argyrops spinifer</t>
        </is>
      </c>
      <c r="B111">
        <f>IFERROR(INDEX(SPPR!$D:$D,MATCH($A111,SPPR!$A:$A,0)),"")</f>
        <v/>
      </c>
      <c r="C111">
        <f>IFERROR(INDEX(Catch!$E:$BV,MATCH($A111,Catch!$A:$A,0),MATCH($B$4,Catch!$E$1:$BV$1,0)),0)</f>
        <v/>
      </c>
      <c r="D111">
        <f>IFERROR($C111*INDEX(SPPR!$E:$X,MATCH($A111,SPPR!$A:$A,0),1),"")</f>
        <v/>
      </c>
      <c r="E111">
        <f>IFERROR($C111*INDEX(SPPR!$E:$X,MATCH($A111,SPPR!$A:$A,0),2),"")</f>
        <v/>
      </c>
      <c r="F111">
        <f>IFERROR($C111*INDEX(SPPR!$E:$X,MATCH($A111,SPPR!$A:$A,0),3),"")</f>
        <v/>
      </c>
      <c r="G111">
        <f>IFERROR($C111*INDEX(SPPR!$E:$X,MATCH($A111,SPPR!$A:$A,0),4),"")</f>
        <v/>
      </c>
      <c r="H111">
        <f>IFERROR($C111*INDEX(SPPR!$E:$X,MATCH($A111,SPPR!$A:$A,0),5),"")</f>
        <v/>
      </c>
      <c r="I111">
        <f>IFERROR($C111*INDEX(SPPR!$E:$X,MATCH($A111,SPPR!$A:$A,0),6),"")</f>
        <v/>
      </c>
      <c r="J111">
        <f>IFERROR($C111*INDEX(SPPR!$E:$X,MATCH($A111,SPPR!$A:$A,0),7),"")</f>
        <v/>
      </c>
      <c r="K111">
        <f>IFERROR($C111*INDEX(SPPR!$E:$X,MATCH($A111,SPPR!$A:$A,0),8),"")</f>
        <v/>
      </c>
      <c r="L111">
        <f>IFERROR($C111*INDEX(SPPR!$E:$X,MATCH($A111,SPPR!$A:$A,0),9),"")</f>
        <v/>
      </c>
      <c r="M111">
        <f>IFERROR($C111*INDEX(SPPR!$E:$X,MATCH($A111,SPPR!$A:$A,0),10),"")</f>
        <v/>
      </c>
      <c r="N111">
        <f>IFERROR($C111*INDEX(SPPR!$E:$X,MATCH($A111,SPPR!$A:$A,0),11),"")</f>
        <v/>
      </c>
      <c r="O111">
        <f>IFERROR($C111*INDEX(SPPR!$E:$X,MATCH($A111,SPPR!$A:$A,0),12),"")</f>
        <v/>
      </c>
      <c r="P111">
        <f>IFERROR($C111*INDEX(SPPR!$E:$X,MATCH($A111,SPPR!$A:$A,0),13),"")</f>
        <v/>
      </c>
      <c r="Q111">
        <f>IFERROR($C111*INDEX(SPPR!$E:$X,MATCH($A111,SPPR!$A:$A,0),14),"")</f>
        <v/>
      </c>
      <c r="R111">
        <f>IFERROR($C111*INDEX(SPPR!$E:$X,MATCH($A111,SPPR!$A:$A,0),15),"")</f>
        <v/>
      </c>
      <c r="S111">
        <f>IFERROR($C111*INDEX(SPPR!$E:$X,MATCH($A111,SPPR!$A:$A,0),16),"")</f>
        <v/>
      </c>
      <c r="T111">
        <f>IFERROR($C111*INDEX(SPPR!$E:$X,MATCH($A111,SPPR!$A:$A,0),17),"")</f>
        <v/>
      </c>
      <c r="U111">
        <f>IFERROR($C111*INDEX(SPPR!$E:$X,MATCH($A111,SPPR!$A:$A,0),18),"")</f>
        <v/>
      </c>
      <c r="V111">
        <f>IFERROR($C111*INDEX(SPPR!$E:$X,MATCH($A111,SPPR!$A:$A,0),19),"")</f>
        <v/>
      </c>
      <c r="W111">
        <f>IFERROR($C111*INDEX(SPPR!$E:$X,MATCH($A111,SPPR!$A:$A,0),20),"")</f>
        <v/>
      </c>
    </row>
    <row r="112">
      <c r="A112" t="inlineStr">
        <is>
          <t>Chirocentrus dorab</t>
        </is>
      </c>
      <c r="B112">
        <f>IFERROR(INDEX(SPPR!$D:$D,MATCH($A112,SPPR!$A:$A,0)),"")</f>
        <v/>
      </c>
      <c r="C112">
        <f>IFERROR(INDEX(Catch!$E:$BV,MATCH($A112,Catch!$A:$A,0),MATCH($B$4,Catch!$E$1:$BV$1,0)),0)</f>
        <v/>
      </c>
      <c r="D112">
        <f>IFERROR($C112*INDEX(SPPR!$E:$X,MATCH($A112,SPPR!$A:$A,0),1),"")</f>
        <v/>
      </c>
      <c r="E112">
        <f>IFERROR($C112*INDEX(SPPR!$E:$X,MATCH($A112,SPPR!$A:$A,0),2),"")</f>
        <v/>
      </c>
      <c r="F112">
        <f>IFERROR($C112*INDEX(SPPR!$E:$X,MATCH($A112,SPPR!$A:$A,0),3),"")</f>
        <v/>
      </c>
      <c r="G112">
        <f>IFERROR($C112*INDEX(SPPR!$E:$X,MATCH($A112,SPPR!$A:$A,0),4),"")</f>
        <v/>
      </c>
      <c r="H112">
        <f>IFERROR($C112*INDEX(SPPR!$E:$X,MATCH($A112,SPPR!$A:$A,0),5),"")</f>
        <v/>
      </c>
      <c r="I112">
        <f>IFERROR($C112*INDEX(SPPR!$E:$X,MATCH($A112,SPPR!$A:$A,0),6),"")</f>
        <v/>
      </c>
      <c r="J112">
        <f>IFERROR($C112*INDEX(SPPR!$E:$X,MATCH($A112,SPPR!$A:$A,0),7),"")</f>
        <v/>
      </c>
      <c r="K112">
        <f>IFERROR($C112*INDEX(SPPR!$E:$X,MATCH($A112,SPPR!$A:$A,0),8),"")</f>
        <v/>
      </c>
      <c r="L112">
        <f>IFERROR($C112*INDEX(SPPR!$E:$X,MATCH($A112,SPPR!$A:$A,0),9),"")</f>
        <v/>
      </c>
      <c r="M112">
        <f>IFERROR($C112*INDEX(SPPR!$E:$X,MATCH($A112,SPPR!$A:$A,0),10),"")</f>
        <v/>
      </c>
      <c r="N112">
        <f>IFERROR($C112*INDEX(SPPR!$E:$X,MATCH($A112,SPPR!$A:$A,0),11),"")</f>
        <v/>
      </c>
      <c r="O112">
        <f>IFERROR($C112*INDEX(SPPR!$E:$X,MATCH($A112,SPPR!$A:$A,0),12),"")</f>
        <v/>
      </c>
      <c r="P112">
        <f>IFERROR($C112*INDEX(SPPR!$E:$X,MATCH($A112,SPPR!$A:$A,0),13),"")</f>
        <v/>
      </c>
      <c r="Q112">
        <f>IFERROR($C112*INDEX(SPPR!$E:$X,MATCH($A112,SPPR!$A:$A,0),14),"")</f>
        <v/>
      </c>
      <c r="R112">
        <f>IFERROR($C112*INDEX(SPPR!$E:$X,MATCH($A112,SPPR!$A:$A,0),15),"")</f>
        <v/>
      </c>
      <c r="S112">
        <f>IFERROR($C112*INDEX(SPPR!$E:$X,MATCH($A112,SPPR!$A:$A,0),16),"")</f>
        <v/>
      </c>
      <c r="T112">
        <f>IFERROR($C112*INDEX(SPPR!$E:$X,MATCH($A112,SPPR!$A:$A,0),17),"")</f>
        <v/>
      </c>
      <c r="U112">
        <f>IFERROR($C112*INDEX(SPPR!$E:$X,MATCH($A112,SPPR!$A:$A,0),18),"")</f>
        <v/>
      </c>
      <c r="V112">
        <f>IFERROR($C112*INDEX(SPPR!$E:$X,MATCH($A112,SPPR!$A:$A,0),19),"")</f>
        <v/>
      </c>
      <c r="W112">
        <f>IFERROR($C112*INDEX(SPPR!$E:$X,MATCH($A112,SPPR!$A:$A,0),20),"")</f>
        <v/>
      </c>
    </row>
    <row r="113">
      <c r="A113" t="inlineStr">
        <is>
          <t>Lethrinus</t>
        </is>
      </c>
      <c r="B113">
        <f>IFERROR(INDEX(SPPR!$D:$D,MATCH($A113,SPPR!$A:$A,0)),"")</f>
        <v/>
      </c>
      <c r="C113">
        <f>IFERROR(INDEX(Catch!$E:$BV,MATCH($A113,Catch!$A:$A,0),MATCH($B$4,Catch!$E$1:$BV$1,0)),0)</f>
        <v/>
      </c>
      <c r="D113">
        <f>IFERROR($C113*INDEX(SPPR!$E:$X,MATCH($A113,SPPR!$A:$A,0),1),"")</f>
        <v/>
      </c>
      <c r="E113">
        <f>IFERROR($C113*INDEX(SPPR!$E:$X,MATCH($A113,SPPR!$A:$A,0),2),"")</f>
        <v/>
      </c>
      <c r="F113">
        <f>IFERROR($C113*INDEX(SPPR!$E:$X,MATCH($A113,SPPR!$A:$A,0),3),"")</f>
        <v/>
      </c>
      <c r="G113">
        <f>IFERROR($C113*INDEX(SPPR!$E:$X,MATCH($A113,SPPR!$A:$A,0),4),"")</f>
        <v/>
      </c>
      <c r="H113">
        <f>IFERROR($C113*INDEX(SPPR!$E:$X,MATCH($A113,SPPR!$A:$A,0),5),"")</f>
        <v/>
      </c>
      <c r="I113">
        <f>IFERROR($C113*INDEX(SPPR!$E:$X,MATCH($A113,SPPR!$A:$A,0),6),"")</f>
        <v/>
      </c>
      <c r="J113">
        <f>IFERROR($C113*INDEX(SPPR!$E:$X,MATCH($A113,SPPR!$A:$A,0),7),"")</f>
        <v/>
      </c>
      <c r="K113">
        <f>IFERROR($C113*INDEX(SPPR!$E:$X,MATCH($A113,SPPR!$A:$A,0),8),"")</f>
        <v/>
      </c>
      <c r="L113">
        <f>IFERROR($C113*INDEX(SPPR!$E:$X,MATCH($A113,SPPR!$A:$A,0),9),"")</f>
        <v/>
      </c>
      <c r="M113">
        <f>IFERROR($C113*INDEX(SPPR!$E:$X,MATCH($A113,SPPR!$A:$A,0),10),"")</f>
        <v/>
      </c>
      <c r="N113">
        <f>IFERROR($C113*INDEX(SPPR!$E:$X,MATCH($A113,SPPR!$A:$A,0),11),"")</f>
        <v/>
      </c>
      <c r="O113">
        <f>IFERROR($C113*INDEX(SPPR!$E:$X,MATCH($A113,SPPR!$A:$A,0),12),"")</f>
        <v/>
      </c>
      <c r="P113">
        <f>IFERROR($C113*INDEX(SPPR!$E:$X,MATCH($A113,SPPR!$A:$A,0),13),"")</f>
        <v/>
      </c>
      <c r="Q113">
        <f>IFERROR($C113*INDEX(SPPR!$E:$X,MATCH($A113,SPPR!$A:$A,0),14),"")</f>
        <v/>
      </c>
      <c r="R113">
        <f>IFERROR($C113*INDEX(SPPR!$E:$X,MATCH($A113,SPPR!$A:$A,0),15),"")</f>
        <v/>
      </c>
      <c r="S113">
        <f>IFERROR($C113*INDEX(SPPR!$E:$X,MATCH($A113,SPPR!$A:$A,0),16),"")</f>
        <v/>
      </c>
      <c r="T113">
        <f>IFERROR($C113*INDEX(SPPR!$E:$X,MATCH($A113,SPPR!$A:$A,0),17),"")</f>
        <v/>
      </c>
      <c r="U113">
        <f>IFERROR($C113*INDEX(SPPR!$E:$X,MATCH($A113,SPPR!$A:$A,0),18),"")</f>
        <v/>
      </c>
      <c r="V113">
        <f>IFERROR($C113*INDEX(SPPR!$E:$X,MATCH($A113,SPPR!$A:$A,0),19),"")</f>
        <v/>
      </c>
      <c r="W113">
        <f>IFERROR($C113*INDEX(SPPR!$E:$X,MATCH($A113,SPPR!$A:$A,0),20),"")</f>
        <v/>
      </c>
    </row>
    <row r="114">
      <c r="A114" t="inlineStr">
        <is>
          <t>Lutjanus johnii</t>
        </is>
      </c>
      <c r="B114">
        <f>IFERROR(INDEX(SPPR!$D:$D,MATCH($A114,SPPR!$A:$A,0)),"")</f>
        <v/>
      </c>
      <c r="C114">
        <f>IFERROR(INDEX(Catch!$E:$BV,MATCH($A114,Catch!$A:$A,0),MATCH($B$4,Catch!$E$1:$BV$1,0)),0)</f>
        <v/>
      </c>
      <c r="D114">
        <f>IFERROR($C114*INDEX(SPPR!$E:$X,MATCH($A114,SPPR!$A:$A,0),1),"")</f>
        <v/>
      </c>
      <c r="E114">
        <f>IFERROR($C114*INDEX(SPPR!$E:$X,MATCH($A114,SPPR!$A:$A,0),2),"")</f>
        <v/>
      </c>
      <c r="F114">
        <f>IFERROR($C114*INDEX(SPPR!$E:$X,MATCH($A114,SPPR!$A:$A,0),3),"")</f>
        <v/>
      </c>
      <c r="G114">
        <f>IFERROR($C114*INDEX(SPPR!$E:$X,MATCH($A114,SPPR!$A:$A,0),4),"")</f>
        <v/>
      </c>
      <c r="H114">
        <f>IFERROR($C114*INDEX(SPPR!$E:$X,MATCH($A114,SPPR!$A:$A,0),5),"")</f>
        <v/>
      </c>
      <c r="I114">
        <f>IFERROR($C114*INDEX(SPPR!$E:$X,MATCH($A114,SPPR!$A:$A,0),6),"")</f>
        <v/>
      </c>
      <c r="J114">
        <f>IFERROR($C114*INDEX(SPPR!$E:$X,MATCH($A114,SPPR!$A:$A,0),7),"")</f>
        <v/>
      </c>
      <c r="K114">
        <f>IFERROR($C114*INDEX(SPPR!$E:$X,MATCH($A114,SPPR!$A:$A,0),8),"")</f>
        <v/>
      </c>
      <c r="L114">
        <f>IFERROR($C114*INDEX(SPPR!$E:$X,MATCH($A114,SPPR!$A:$A,0),9),"")</f>
        <v/>
      </c>
      <c r="M114">
        <f>IFERROR($C114*INDEX(SPPR!$E:$X,MATCH($A114,SPPR!$A:$A,0),10),"")</f>
        <v/>
      </c>
      <c r="N114">
        <f>IFERROR($C114*INDEX(SPPR!$E:$X,MATCH($A114,SPPR!$A:$A,0),11),"")</f>
        <v/>
      </c>
      <c r="O114">
        <f>IFERROR($C114*INDEX(SPPR!$E:$X,MATCH($A114,SPPR!$A:$A,0),12),"")</f>
        <v/>
      </c>
      <c r="P114">
        <f>IFERROR($C114*INDEX(SPPR!$E:$X,MATCH($A114,SPPR!$A:$A,0),13),"")</f>
        <v/>
      </c>
      <c r="Q114">
        <f>IFERROR($C114*INDEX(SPPR!$E:$X,MATCH($A114,SPPR!$A:$A,0),14),"")</f>
        <v/>
      </c>
      <c r="R114">
        <f>IFERROR($C114*INDEX(SPPR!$E:$X,MATCH($A114,SPPR!$A:$A,0),15),"")</f>
        <v/>
      </c>
      <c r="S114">
        <f>IFERROR($C114*INDEX(SPPR!$E:$X,MATCH($A114,SPPR!$A:$A,0),16),"")</f>
        <v/>
      </c>
      <c r="T114">
        <f>IFERROR($C114*INDEX(SPPR!$E:$X,MATCH($A114,SPPR!$A:$A,0),17),"")</f>
        <v/>
      </c>
      <c r="U114">
        <f>IFERROR($C114*INDEX(SPPR!$E:$X,MATCH($A114,SPPR!$A:$A,0),18),"")</f>
        <v/>
      </c>
      <c r="V114">
        <f>IFERROR($C114*INDEX(SPPR!$E:$X,MATCH($A114,SPPR!$A:$A,0),19),"")</f>
        <v/>
      </c>
      <c r="W114">
        <f>IFERROR($C114*INDEX(SPPR!$E:$X,MATCH($A114,SPPR!$A:$A,0),20),"")</f>
        <v/>
      </c>
    </row>
    <row r="115">
      <c r="A115" t="inlineStr">
        <is>
          <t>Sardinella albella</t>
        </is>
      </c>
      <c r="B115">
        <f>IFERROR(INDEX(SPPR!$D:$D,MATCH($A115,SPPR!$A:$A,0)),"")</f>
        <v/>
      </c>
      <c r="C115">
        <f>IFERROR(INDEX(Catch!$E:$BV,MATCH($A115,Catch!$A:$A,0),MATCH($B$4,Catch!$E$1:$BV$1,0)),0)</f>
        <v/>
      </c>
      <c r="D115">
        <f>IFERROR($C115*INDEX(SPPR!$E:$X,MATCH($A115,SPPR!$A:$A,0),1),"")</f>
        <v/>
      </c>
      <c r="E115">
        <f>IFERROR($C115*INDEX(SPPR!$E:$X,MATCH($A115,SPPR!$A:$A,0),2),"")</f>
        <v/>
      </c>
      <c r="F115">
        <f>IFERROR($C115*INDEX(SPPR!$E:$X,MATCH($A115,SPPR!$A:$A,0),3),"")</f>
        <v/>
      </c>
      <c r="G115">
        <f>IFERROR($C115*INDEX(SPPR!$E:$X,MATCH($A115,SPPR!$A:$A,0),4),"")</f>
        <v/>
      </c>
      <c r="H115">
        <f>IFERROR($C115*INDEX(SPPR!$E:$X,MATCH($A115,SPPR!$A:$A,0),5),"")</f>
        <v/>
      </c>
      <c r="I115">
        <f>IFERROR($C115*INDEX(SPPR!$E:$X,MATCH($A115,SPPR!$A:$A,0),6),"")</f>
        <v/>
      </c>
      <c r="J115">
        <f>IFERROR($C115*INDEX(SPPR!$E:$X,MATCH($A115,SPPR!$A:$A,0),7),"")</f>
        <v/>
      </c>
      <c r="K115">
        <f>IFERROR($C115*INDEX(SPPR!$E:$X,MATCH($A115,SPPR!$A:$A,0),8),"")</f>
        <v/>
      </c>
      <c r="L115">
        <f>IFERROR($C115*INDEX(SPPR!$E:$X,MATCH($A115,SPPR!$A:$A,0),9),"")</f>
        <v/>
      </c>
      <c r="M115">
        <f>IFERROR($C115*INDEX(SPPR!$E:$X,MATCH($A115,SPPR!$A:$A,0),10),"")</f>
        <v/>
      </c>
      <c r="N115">
        <f>IFERROR($C115*INDEX(SPPR!$E:$X,MATCH($A115,SPPR!$A:$A,0),11),"")</f>
        <v/>
      </c>
      <c r="O115">
        <f>IFERROR($C115*INDEX(SPPR!$E:$X,MATCH($A115,SPPR!$A:$A,0),12),"")</f>
        <v/>
      </c>
      <c r="P115">
        <f>IFERROR($C115*INDEX(SPPR!$E:$X,MATCH($A115,SPPR!$A:$A,0),13),"")</f>
        <v/>
      </c>
      <c r="Q115">
        <f>IFERROR($C115*INDEX(SPPR!$E:$X,MATCH($A115,SPPR!$A:$A,0),14),"")</f>
        <v/>
      </c>
      <c r="R115">
        <f>IFERROR($C115*INDEX(SPPR!$E:$X,MATCH($A115,SPPR!$A:$A,0),15),"")</f>
        <v/>
      </c>
      <c r="S115">
        <f>IFERROR($C115*INDEX(SPPR!$E:$X,MATCH($A115,SPPR!$A:$A,0),16),"")</f>
        <v/>
      </c>
      <c r="T115">
        <f>IFERROR($C115*INDEX(SPPR!$E:$X,MATCH($A115,SPPR!$A:$A,0),17),"")</f>
        <v/>
      </c>
      <c r="U115">
        <f>IFERROR($C115*INDEX(SPPR!$E:$X,MATCH($A115,SPPR!$A:$A,0),18),"")</f>
        <v/>
      </c>
      <c r="V115">
        <f>IFERROR($C115*INDEX(SPPR!$E:$X,MATCH($A115,SPPR!$A:$A,0),19),"")</f>
        <v/>
      </c>
      <c r="W115">
        <f>IFERROR($C115*INDEX(SPPR!$E:$X,MATCH($A115,SPPR!$A:$A,0),20),"")</f>
        <v/>
      </c>
    </row>
    <row r="116">
      <c r="A116" t="inlineStr">
        <is>
          <t>Glaucostegus granulatus</t>
        </is>
      </c>
      <c r="B116">
        <f>IFERROR(INDEX(SPPR!$D:$D,MATCH($A116,SPPR!$A:$A,0)),"")</f>
        <v/>
      </c>
      <c r="C116">
        <f>IFERROR(INDEX(Catch!$E:$BV,MATCH($A116,Catch!$A:$A,0),MATCH($B$4,Catch!$E$1:$BV$1,0)),0)</f>
        <v/>
      </c>
      <c r="D116">
        <f>IFERROR($C116*INDEX(SPPR!$E:$X,MATCH($A116,SPPR!$A:$A,0),1),"")</f>
        <v/>
      </c>
      <c r="E116">
        <f>IFERROR($C116*INDEX(SPPR!$E:$X,MATCH($A116,SPPR!$A:$A,0),2),"")</f>
        <v/>
      </c>
      <c r="F116">
        <f>IFERROR($C116*INDEX(SPPR!$E:$X,MATCH($A116,SPPR!$A:$A,0),3),"")</f>
        <v/>
      </c>
      <c r="G116">
        <f>IFERROR($C116*INDEX(SPPR!$E:$X,MATCH($A116,SPPR!$A:$A,0),4),"")</f>
        <v/>
      </c>
      <c r="H116">
        <f>IFERROR($C116*INDEX(SPPR!$E:$X,MATCH($A116,SPPR!$A:$A,0),5),"")</f>
        <v/>
      </c>
      <c r="I116">
        <f>IFERROR($C116*INDEX(SPPR!$E:$X,MATCH($A116,SPPR!$A:$A,0),6),"")</f>
        <v/>
      </c>
      <c r="J116">
        <f>IFERROR($C116*INDEX(SPPR!$E:$X,MATCH($A116,SPPR!$A:$A,0),7),"")</f>
        <v/>
      </c>
      <c r="K116">
        <f>IFERROR($C116*INDEX(SPPR!$E:$X,MATCH($A116,SPPR!$A:$A,0),8),"")</f>
        <v/>
      </c>
      <c r="L116">
        <f>IFERROR($C116*INDEX(SPPR!$E:$X,MATCH($A116,SPPR!$A:$A,0),9),"")</f>
        <v/>
      </c>
      <c r="M116">
        <f>IFERROR($C116*INDEX(SPPR!$E:$X,MATCH($A116,SPPR!$A:$A,0),10),"")</f>
        <v/>
      </c>
      <c r="N116">
        <f>IFERROR($C116*INDEX(SPPR!$E:$X,MATCH($A116,SPPR!$A:$A,0),11),"")</f>
        <v/>
      </c>
      <c r="O116">
        <f>IFERROR($C116*INDEX(SPPR!$E:$X,MATCH($A116,SPPR!$A:$A,0),12),"")</f>
        <v/>
      </c>
      <c r="P116">
        <f>IFERROR($C116*INDEX(SPPR!$E:$X,MATCH($A116,SPPR!$A:$A,0),13),"")</f>
        <v/>
      </c>
      <c r="Q116">
        <f>IFERROR($C116*INDEX(SPPR!$E:$X,MATCH($A116,SPPR!$A:$A,0),14),"")</f>
        <v/>
      </c>
      <c r="R116">
        <f>IFERROR($C116*INDEX(SPPR!$E:$X,MATCH($A116,SPPR!$A:$A,0),15),"")</f>
        <v/>
      </c>
      <c r="S116">
        <f>IFERROR($C116*INDEX(SPPR!$E:$X,MATCH($A116,SPPR!$A:$A,0),16),"")</f>
        <v/>
      </c>
      <c r="T116">
        <f>IFERROR($C116*INDEX(SPPR!$E:$X,MATCH($A116,SPPR!$A:$A,0),17),"")</f>
        <v/>
      </c>
      <c r="U116">
        <f>IFERROR($C116*INDEX(SPPR!$E:$X,MATCH($A116,SPPR!$A:$A,0),18),"")</f>
        <v/>
      </c>
      <c r="V116">
        <f>IFERROR($C116*INDEX(SPPR!$E:$X,MATCH($A116,SPPR!$A:$A,0),19),"")</f>
        <v/>
      </c>
      <c r="W116">
        <f>IFERROR($C116*INDEX(SPPR!$E:$X,MATCH($A116,SPPR!$A:$A,0),20),"")</f>
        <v/>
      </c>
    </row>
    <row r="117">
      <c r="A117" t="inlineStr">
        <is>
          <t>Monacanthidae</t>
        </is>
      </c>
      <c r="B117">
        <f>IFERROR(INDEX(SPPR!$D:$D,MATCH($A117,SPPR!$A:$A,0)),"")</f>
        <v/>
      </c>
      <c r="C117">
        <f>IFERROR(INDEX(Catch!$E:$BV,MATCH($A117,Catch!$A:$A,0),MATCH($B$4,Catch!$E$1:$BV$1,0)),0)</f>
        <v/>
      </c>
      <c r="D117">
        <f>IFERROR($C117*INDEX(SPPR!$E:$X,MATCH($A117,SPPR!$A:$A,0),1),"")</f>
        <v/>
      </c>
      <c r="E117">
        <f>IFERROR($C117*INDEX(SPPR!$E:$X,MATCH($A117,SPPR!$A:$A,0),2),"")</f>
        <v/>
      </c>
      <c r="F117">
        <f>IFERROR($C117*INDEX(SPPR!$E:$X,MATCH($A117,SPPR!$A:$A,0),3),"")</f>
        <v/>
      </c>
      <c r="G117">
        <f>IFERROR($C117*INDEX(SPPR!$E:$X,MATCH($A117,SPPR!$A:$A,0),4),"")</f>
        <v/>
      </c>
      <c r="H117">
        <f>IFERROR($C117*INDEX(SPPR!$E:$X,MATCH($A117,SPPR!$A:$A,0),5),"")</f>
        <v/>
      </c>
      <c r="I117">
        <f>IFERROR($C117*INDEX(SPPR!$E:$X,MATCH($A117,SPPR!$A:$A,0),6),"")</f>
        <v/>
      </c>
      <c r="J117">
        <f>IFERROR($C117*INDEX(SPPR!$E:$X,MATCH($A117,SPPR!$A:$A,0),7),"")</f>
        <v/>
      </c>
      <c r="K117">
        <f>IFERROR($C117*INDEX(SPPR!$E:$X,MATCH($A117,SPPR!$A:$A,0),8),"")</f>
        <v/>
      </c>
      <c r="L117">
        <f>IFERROR($C117*INDEX(SPPR!$E:$X,MATCH($A117,SPPR!$A:$A,0),9),"")</f>
        <v/>
      </c>
      <c r="M117">
        <f>IFERROR($C117*INDEX(SPPR!$E:$X,MATCH($A117,SPPR!$A:$A,0),10),"")</f>
        <v/>
      </c>
      <c r="N117">
        <f>IFERROR($C117*INDEX(SPPR!$E:$X,MATCH($A117,SPPR!$A:$A,0),11),"")</f>
        <v/>
      </c>
      <c r="O117">
        <f>IFERROR($C117*INDEX(SPPR!$E:$X,MATCH($A117,SPPR!$A:$A,0),12),"")</f>
        <v/>
      </c>
      <c r="P117">
        <f>IFERROR($C117*INDEX(SPPR!$E:$X,MATCH($A117,SPPR!$A:$A,0),13),"")</f>
        <v/>
      </c>
      <c r="Q117">
        <f>IFERROR($C117*INDEX(SPPR!$E:$X,MATCH($A117,SPPR!$A:$A,0),14),"")</f>
        <v/>
      </c>
      <c r="R117">
        <f>IFERROR($C117*INDEX(SPPR!$E:$X,MATCH($A117,SPPR!$A:$A,0),15),"")</f>
        <v/>
      </c>
      <c r="S117">
        <f>IFERROR($C117*INDEX(SPPR!$E:$X,MATCH($A117,SPPR!$A:$A,0),16),"")</f>
        <v/>
      </c>
      <c r="T117">
        <f>IFERROR($C117*INDEX(SPPR!$E:$X,MATCH($A117,SPPR!$A:$A,0),17),"")</f>
        <v/>
      </c>
      <c r="U117">
        <f>IFERROR($C117*INDEX(SPPR!$E:$X,MATCH($A117,SPPR!$A:$A,0),18),"")</f>
        <v/>
      </c>
      <c r="V117">
        <f>IFERROR($C117*INDEX(SPPR!$E:$X,MATCH($A117,SPPR!$A:$A,0),19),"")</f>
        <v/>
      </c>
      <c r="W117">
        <f>IFERROR($C117*INDEX(SPPR!$E:$X,MATCH($A117,SPPR!$A:$A,0),20),"")</f>
        <v/>
      </c>
    </row>
    <row r="118">
      <c r="A118" t="inlineStr">
        <is>
          <t>Lutjanus argentimaculatus</t>
        </is>
      </c>
      <c r="B118">
        <f>IFERROR(INDEX(SPPR!$D:$D,MATCH($A118,SPPR!$A:$A,0)),"")</f>
        <v/>
      </c>
      <c r="C118">
        <f>IFERROR(INDEX(Catch!$E:$BV,MATCH($A118,Catch!$A:$A,0),MATCH($B$4,Catch!$E$1:$BV$1,0)),0)</f>
        <v/>
      </c>
      <c r="D118">
        <f>IFERROR($C118*INDEX(SPPR!$E:$X,MATCH($A118,SPPR!$A:$A,0),1),"")</f>
        <v/>
      </c>
      <c r="E118">
        <f>IFERROR($C118*INDEX(SPPR!$E:$X,MATCH($A118,SPPR!$A:$A,0),2),"")</f>
        <v/>
      </c>
      <c r="F118">
        <f>IFERROR($C118*INDEX(SPPR!$E:$X,MATCH($A118,SPPR!$A:$A,0),3),"")</f>
        <v/>
      </c>
      <c r="G118">
        <f>IFERROR($C118*INDEX(SPPR!$E:$X,MATCH($A118,SPPR!$A:$A,0),4),"")</f>
        <v/>
      </c>
      <c r="H118">
        <f>IFERROR($C118*INDEX(SPPR!$E:$X,MATCH($A118,SPPR!$A:$A,0),5),"")</f>
        <v/>
      </c>
      <c r="I118">
        <f>IFERROR($C118*INDEX(SPPR!$E:$X,MATCH($A118,SPPR!$A:$A,0),6),"")</f>
        <v/>
      </c>
      <c r="J118">
        <f>IFERROR($C118*INDEX(SPPR!$E:$X,MATCH($A118,SPPR!$A:$A,0),7),"")</f>
        <v/>
      </c>
      <c r="K118">
        <f>IFERROR($C118*INDEX(SPPR!$E:$X,MATCH($A118,SPPR!$A:$A,0),8),"")</f>
        <v/>
      </c>
      <c r="L118">
        <f>IFERROR($C118*INDEX(SPPR!$E:$X,MATCH($A118,SPPR!$A:$A,0),9),"")</f>
        <v/>
      </c>
      <c r="M118">
        <f>IFERROR($C118*INDEX(SPPR!$E:$X,MATCH($A118,SPPR!$A:$A,0),10),"")</f>
        <v/>
      </c>
      <c r="N118">
        <f>IFERROR($C118*INDEX(SPPR!$E:$X,MATCH($A118,SPPR!$A:$A,0),11),"")</f>
        <v/>
      </c>
      <c r="O118">
        <f>IFERROR($C118*INDEX(SPPR!$E:$X,MATCH($A118,SPPR!$A:$A,0),12),"")</f>
        <v/>
      </c>
      <c r="P118">
        <f>IFERROR($C118*INDEX(SPPR!$E:$X,MATCH($A118,SPPR!$A:$A,0),13),"")</f>
        <v/>
      </c>
      <c r="Q118">
        <f>IFERROR($C118*INDEX(SPPR!$E:$X,MATCH($A118,SPPR!$A:$A,0),14),"")</f>
        <v/>
      </c>
      <c r="R118">
        <f>IFERROR($C118*INDEX(SPPR!$E:$X,MATCH($A118,SPPR!$A:$A,0),15),"")</f>
        <v/>
      </c>
      <c r="S118">
        <f>IFERROR($C118*INDEX(SPPR!$E:$X,MATCH($A118,SPPR!$A:$A,0),16),"")</f>
        <v/>
      </c>
      <c r="T118">
        <f>IFERROR($C118*INDEX(SPPR!$E:$X,MATCH($A118,SPPR!$A:$A,0),17),"")</f>
        <v/>
      </c>
      <c r="U118">
        <f>IFERROR($C118*INDEX(SPPR!$E:$X,MATCH($A118,SPPR!$A:$A,0),18),"")</f>
        <v/>
      </c>
      <c r="V118">
        <f>IFERROR($C118*INDEX(SPPR!$E:$X,MATCH($A118,SPPR!$A:$A,0),19),"")</f>
        <v/>
      </c>
      <c r="W118">
        <f>IFERROR($C118*INDEX(SPPR!$E:$X,MATCH($A118,SPPR!$A:$A,0),20),"")</f>
        <v/>
      </c>
    </row>
    <row r="119">
      <c r="A119" t="inlineStr">
        <is>
          <t>Chiloscyllium arabicum</t>
        </is>
      </c>
      <c r="B119">
        <f>IFERROR(INDEX(SPPR!$D:$D,MATCH($A119,SPPR!$A:$A,0)),"")</f>
        <v/>
      </c>
      <c r="C119">
        <f>IFERROR(INDEX(Catch!$E:$BV,MATCH($A119,Catch!$A:$A,0),MATCH($B$4,Catch!$E$1:$BV$1,0)),0)</f>
        <v/>
      </c>
      <c r="D119">
        <f>IFERROR($C119*INDEX(SPPR!$E:$X,MATCH($A119,SPPR!$A:$A,0),1),"")</f>
        <v/>
      </c>
      <c r="E119">
        <f>IFERROR($C119*INDEX(SPPR!$E:$X,MATCH($A119,SPPR!$A:$A,0),2),"")</f>
        <v/>
      </c>
      <c r="F119">
        <f>IFERROR($C119*INDEX(SPPR!$E:$X,MATCH($A119,SPPR!$A:$A,0),3),"")</f>
        <v/>
      </c>
      <c r="G119">
        <f>IFERROR($C119*INDEX(SPPR!$E:$X,MATCH($A119,SPPR!$A:$A,0),4),"")</f>
        <v/>
      </c>
      <c r="H119">
        <f>IFERROR($C119*INDEX(SPPR!$E:$X,MATCH($A119,SPPR!$A:$A,0),5),"")</f>
        <v/>
      </c>
      <c r="I119">
        <f>IFERROR($C119*INDEX(SPPR!$E:$X,MATCH($A119,SPPR!$A:$A,0),6),"")</f>
        <v/>
      </c>
      <c r="J119">
        <f>IFERROR($C119*INDEX(SPPR!$E:$X,MATCH($A119,SPPR!$A:$A,0),7),"")</f>
        <v/>
      </c>
      <c r="K119">
        <f>IFERROR($C119*INDEX(SPPR!$E:$X,MATCH($A119,SPPR!$A:$A,0),8),"")</f>
        <v/>
      </c>
      <c r="L119">
        <f>IFERROR($C119*INDEX(SPPR!$E:$X,MATCH($A119,SPPR!$A:$A,0),9),"")</f>
        <v/>
      </c>
      <c r="M119">
        <f>IFERROR($C119*INDEX(SPPR!$E:$X,MATCH($A119,SPPR!$A:$A,0),10),"")</f>
        <v/>
      </c>
      <c r="N119">
        <f>IFERROR($C119*INDEX(SPPR!$E:$X,MATCH($A119,SPPR!$A:$A,0),11),"")</f>
        <v/>
      </c>
      <c r="O119">
        <f>IFERROR($C119*INDEX(SPPR!$E:$X,MATCH($A119,SPPR!$A:$A,0),12),"")</f>
        <v/>
      </c>
      <c r="P119">
        <f>IFERROR($C119*INDEX(SPPR!$E:$X,MATCH($A119,SPPR!$A:$A,0),13),"")</f>
        <v/>
      </c>
      <c r="Q119">
        <f>IFERROR($C119*INDEX(SPPR!$E:$X,MATCH($A119,SPPR!$A:$A,0),14),"")</f>
        <v/>
      </c>
      <c r="R119">
        <f>IFERROR($C119*INDEX(SPPR!$E:$X,MATCH($A119,SPPR!$A:$A,0),15),"")</f>
        <v/>
      </c>
      <c r="S119">
        <f>IFERROR($C119*INDEX(SPPR!$E:$X,MATCH($A119,SPPR!$A:$A,0),16),"")</f>
        <v/>
      </c>
      <c r="T119">
        <f>IFERROR($C119*INDEX(SPPR!$E:$X,MATCH($A119,SPPR!$A:$A,0),17),"")</f>
        <v/>
      </c>
      <c r="U119">
        <f>IFERROR($C119*INDEX(SPPR!$E:$X,MATCH($A119,SPPR!$A:$A,0),18),"")</f>
        <v/>
      </c>
      <c r="V119">
        <f>IFERROR($C119*INDEX(SPPR!$E:$X,MATCH($A119,SPPR!$A:$A,0),19),"")</f>
        <v/>
      </c>
      <c r="W119">
        <f>IFERROR($C119*INDEX(SPPR!$E:$X,MATCH($A119,SPPR!$A:$A,0),20),"")</f>
        <v/>
      </c>
    </row>
    <row r="120">
      <c r="A120" t="inlineStr">
        <is>
          <t>Trichiuridae</t>
        </is>
      </c>
      <c r="B120">
        <f>IFERROR(INDEX(SPPR!$D:$D,MATCH($A120,SPPR!$A:$A,0)),"")</f>
        <v/>
      </c>
      <c r="C120">
        <f>IFERROR(INDEX(Catch!$E:$BV,MATCH($A120,Catch!$A:$A,0),MATCH($B$4,Catch!$E$1:$BV$1,0)),0)</f>
        <v/>
      </c>
      <c r="D120">
        <f>IFERROR($C120*INDEX(SPPR!$E:$X,MATCH($A120,SPPR!$A:$A,0),1),"")</f>
        <v/>
      </c>
      <c r="E120">
        <f>IFERROR($C120*INDEX(SPPR!$E:$X,MATCH($A120,SPPR!$A:$A,0),2),"")</f>
        <v/>
      </c>
      <c r="F120">
        <f>IFERROR($C120*INDEX(SPPR!$E:$X,MATCH($A120,SPPR!$A:$A,0),3),"")</f>
        <v/>
      </c>
      <c r="G120">
        <f>IFERROR($C120*INDEX(SPPR!$E:$X,MATCH($A120,SPPR!$A:$A,0),4),"")</f>
        <v/>
      </c>
      <c r="H120">
        <f>IFERROR($C120*INDEX(SPPR!$E:$X,MATCH($A120,SPPR!$A:$A,0),5),"")</f>
        <v/>
      </c>
      <c r="I120">
        <f>IFERROR($C120*INDEX(SPPR!$E:$X,MATCH($A120,SPPR!$A:$A,0),6),"")</f>
        <v/>
      </c>
      <c r="J120">
        <f>IFERROR($C120*INDEX(SPPR!$E:$X,MATCH($A120,SPPR!$A:$A,0),7),"")</f>
        <v/>
      </c>
      <c r="K120">
        <f>IFERROR($C120*INDEX(SPPR!$E:$X,MATCH($A120,SPPR!$A:$A,0),8),"")</f>
        <v/>
      </c>
      <c r="L120">
        <f>IFERROR($C120*INDEX(SPPR!$E:$X,MATCH($A120,SPPR!$A:$A,0),9),"")</f>
        <v/>
      </c>
      <c r="M120">
        <f>IFERROR($C120*INDEX(SPPR!$E:$X,MATCH($A120,SPPR!$A:$A,0),10),"")</f>
        <v/>
      </c>
      <c r="N120">
        <f>IFERROR($C120*INDEX(SPPR!$E:$X,MATCH($A120,SPPR!$A:$A,0),11),"")</f>
        <v/>
      </c>
      <c r="O120">
        <f>IFERROR($C120*INDEX(SPPR!$E:$X,MATCH($A120,SPPR!$A:$A,0),12),"")</f>
        <v/>
      </c>
      <c r="P120">
        <f>IFERROR($C120*INDEX(SPPR!$E:$X,MATCH($A120,SPPR!$A:$A,0),13),"")</f>
        <v/>
      </c>
      <c r="Q120">
        <f>IFERROR($C120*INDEX(SPPR!$E:$X,MATCH($A120,SPPR!$A:$A,0),14),"")</f>
        <v/>
      </c>
      <c r="R120">
        <f>IFERROR($C120*INDEX(SPPR!$E:$X,MATCH($A120,SPPR!$A:$A,0),15),"")</f>
        <v/>
      </c>
      <c r="S120">
        <f>IFERROR($C120*INDEX(SPPR!$E:$X,MATCH($A120,SPPR!$A:$A,0),16),"")</f>
        <v/>
      </c>
      <c r="T120">
        <f>IFERROR($C120*INDEX(SPPR!$E:$X,MATCH($A120,SPPR!$A:$A,0),17),"")</f>
        <v/>
      </c>
      <c r="U120">
        <f>IFERROR($C120*INDEX(SPPR!$E:$X,MATCH($A120,SPPR!$A:$A,0),18),"")</f>
        <v/>
      </c>
      <c r="V120">
        <f>IFERROR($C120*INDEX(SPPR!$E:$X,MATCH($A120,SPPR!$A:$A,0),19),"")</f>
        <v/>
      </c>
      <c r="W120">
        <f>IFERROR($C120*INDEX(SPPR!$E:$X,MATCH($A120,SPPR!$A:$A,0),20),"")</f>
        <v/>
      </c>
    </row>
    <row r="121">
      <c r="A121" t="inlineStr">
        <is>
          <t>Himantura uarnak</t>
        </is>
      </c>
      <c r="B121">
        <f>IFERROR(INDEX(SPPR!$D:$D,MATCH($A121,SPPR!$A:$A,0)),"")</f>
        <v/>
      </c>
      <c r="C121">
        <f>IFERROR(INDEX(Catch!$E:$BV,MATCH($A121,Catch!$A:$A,0),MATCH($B$4,Catch!$E$1:$BV$1,0)),0)</f>
        <v/>
      </c>
      <c r="D121">
        <f>IFERROR($C121*INDEX(SPPR!$E:$X,MATCH($A121,SPPR!$A:$A,0),1),"")</f>
        <v/>
      </c>
      <c r="E121">
        <f>IFERROR($C121*INDEX(SPPR!$E:$X,MATCH($A121,SPPR!$A:$A,0),2),"")</f>
        <v/>
      </c>
      <c r="F121">
        <f>IFERROR($C121*INDEX(SPPR!$E:$X,MATCH($A121,SPPR!$A:$A,0),3),"")</f>
        <v/>
      </c>
      <c r="G121">
        <f>IFERROR($C121*INDEX(SPPR!$E:$X,MATCH($A121,SPPR!$A:$A,0),4),"")</f>
        <v/>
      </c>
      <c r="H121">
        <f>IFERROR($C121*INDEX(SPPR!$E:$X,MATCH($A121,SPPR!$A:$A,0),5),"")</f>
        <v/>
      </c>
      <c r="I121">
        <f>IFERROR($C121*INDEX(SPPR!$E:$X,MATCH($A121,SPPR!$A:$A,0),6),"")</f>
        <v/>
      </c>
      <c r="J121">
        <f>IFERROR($C121*INDEX(SPPR!$E:$X,MATCH($A121,SPPR!$A:$A,0),7),"")</f>
        <v/>
      </c>
      <c r="K121">
        <f>IFERROR($C121*INDEX(SPPR!$E:$X,MATCH($A121,SPPR!$A:$A,0),8),"")</f>
        <v/>
      </c>
      <c r="L121">
        <f>IFERROR($C121*INDEX(SPPR!$E:$X,MATCH($A121,SPPR!$A:$A,0),9),"")</f>
        <v/>
      </c>
      <c r="M121">
        <f>IFERROR($C121*INDEX(SPPR!$E:$X,MATCH($A121,SPPR!$A:$A,0),10),"")</f>
        <v/>
      </c>
      <c r="N121">
        <f>IFERROR($C121*INDEX(SPPR!$E:$X,MATCH($A121,SPPR!$A:$A,0),11),"")</f>
        <v/>
      </c>
      <c r="O121">
        <f>IFERROR($C121*INDEX(SPPR!$E:$X,MATCH($A121,SPPR!$A:$A,0),12),"")</f>
        <v/>
      </c>
      <c r="P121">
        <f>IFERROR($C121*INDEX(SPPR!$E:$X,MATCH($A121,SPPR!$A:$A,0),13),"")</f>
        <v/>
      </c>
      <c r="Q121">
        <f>IFERROR($C121*INDEX(SPPR!$E:$X,MATCH($A121,SPPR!$A:$A,0),14),"")</f>
        <v/>
      </c>
      <c r="R121">
        <f>IFERROR($C121*INDEX(SPPR!$E:$X,MATCH($A121,SPPR!$A:$A,0),15),"")</f>
        <v/>
      </c>
      <c r="S121">
        <f>IFERROR($C121*INDEX(SPPR!$E:$X,MATCH($A121,SPPR!$A:$A,0),16),"")</f>
        <v/>
      </c>
      <c r="T121">
        <f>IFERROR($C121*INDEX(SPPR!$E:$X,MATCH($A121,SPPR!$A:$A,0),17),"")</f>
        <v/>
      </c>
      <c r="U121">
        <f>IFERROR($C121*INDEX(SPPR!$E:$X,MATCH($A121,SPPR!$A:$A,0),18),"")</f>
        <v/>
      </c>
      <c r="V121">
        <f>IFERROR($C121*INDEX(SPPR!$E:$X,MATCH($A121,SPPR!$A:$A,0),19),"")</f>
        <v/>
      </c>
      <c r="W121">
        <f>IFERROR($C121*INDEX(SPPR!$E:$X,MATCH($A121,SPPR!$A:$A,0),20),"")</f>
        <v/>
      </c>
    </row>
    <row r="122">
      <c r="A122" t="inlineStr">
        <is>
          <t>Saurida</t>
        </is>
      </c>
      <c r="B122">
        <f>IFERROR(INDEX(SPPR!$D:$D,MATCH($A122,SPPR!$A:$A,0)),"")</f>
        <v/>
      </c>
      <c r="C122">
        <f>IFERROR(INDEX(Catch!$E:$BV,MATCH($A122,Catch!$A:$A,0),MATCH($B$4,Catch!$E$1:$BV$1,0)),0)</f>
        <v/>
      </c>
      <c r="D122">
        <f>IFERROR($C122*INDEX(SPPR!$E:$X,MATCH($A122,SPPR!$A:$A,0),1),"")</f>
        <v/>
      </c>
      <c r="E122">
        <f>IFERROR($C122*INDEX(SPPR!$E:$X,MATCH($A122,SPPR!$A:$A,0),2),"")</f>
        <v/>
      </c>
      <c r="F122">
        <f>IFERROR($C122*INDEX(SPPR!$E:$X,MATCH($A122,SPPR!$A:$A,0),3),"")</f>
        <v/>
      </c>
      <c r="G122">
        <f>IFERROR($C122*INDEX(SPPR!$E:$X,MATCH($A122,SPPR!$A:$A,0),4),"")</f>
        <v/>
      </c>
      <c r="H122">
        <f>IFERROR($C122*INDEX(SPPR!$E:$X,MATCH($A122,SPPR!$A:$A,0),5),"")</f>
        <v/>
      </c>
      <c r="I122">
        <f>IFERROR($C122*INDEX(SPPR!$E:$X,MATCH($A122,SPPR!$A:$A,0),6),"")</f>
        <v/>
      </c>
      <c r="J122">
        <f>IFERROR($C122*INDEX(SPPR!$E:$X,MATCH($A122,SPPR!$A:$A,0),7),"")</f>
        <v/>
      </c>
      <c r="K122">
        <f>IFERROR($C122*INDEX(SPPR!$E:$X,MATCH($A122,SPPR!$A:$A,0),8),"")</f>
        <v/>
      </c>
      <c r="L122">
        <f>IFERROR($C122*INDEX(SPPR!$E:$X,MATCH($A122,SPPR!$A:$A,0),9),"")</f>
        <v/>
      </c>
      <c r="M122">
        <f>IFERROR($C122*INDEX(SPPR!$E:$X,MATCH($A122,SPPR!$A:$A,0),10),"")</f>
        <v/>
      </c>
      <c r="N122">
        <f>IFERROR($C122*INDEX(SPPR!$E:$X,MATCH($A122,SPPR!$A:$A,0),11),"")</f>
        <v/>
      </c>
      <c r="O122">
        <f>IFERROR($C122*INDEX(SPPR!$E:$X,MATCH($A122,SPPR!$A:$A,0),12),"")</f>
        <v/>
      </c>
      <c r="P122">
        <f>IFERROR($C122*INDEX(SPPR!$E:$X,MATCH($A122,SPPR!$A:$A,0),13),"")</f>
        <v/>
      </c>
      <c r="Q122">
        <f>IFERROR($C122*INDEX(SPPR!$E:$X,MATCH($A122,SPPR!$A:$A,0),14),"")</f>
        <v/>
      </c>
      <c r="R122">
        <f>IFERROR($C122*INDEX(SPPR!$E:$X,MATCH($A122,SPPR!$A:$A,0),15),"")</f>
        <v/>
      </c>
      <c r="S122">
        <f>IFERROR($C122*INDEX(SPPR!$E:$X,MATCH($A122,SPPR!$A:$A,0),16),"")</f>
        <v/>
      </c>
      <c r="T122">
        <f>IFERROR($C122*INDEX(SPPR!$E:$X,MATCH($A122,SPPR!$A:$A,0),17),"")</f>
        <v/>
      </c>
      <c r="U122">
        <f>IFERROR($C122*INDEX(SPPR!$E:$X,MATCH($A122,SPPR!$A:$A,0),18),"")</f>
        <v/>
      </c>
      <c r="V122">
        <f>IFERROR($C122*INDEX(SPPR!$E:$X,MATCH($A122,SPPR!$A:$A,0),19),"")</f>
        <v/>
      </c>
      <c r="W122">
        <f>IFERROR($C122*INDEX(SPPR!$E:$X,MATCH($A122,SPPR!$A:$A,0),20),"")</f>
        <v/>
      </c>
    </row>
    <row r="123">
      <c r="A123" t="inlineStr">
        <is>
          <t>Planiliza klunzingeri</t>
        </is>
      </c>
      <c r="B123">
        <f>IFERROR(INDEX(SPPR!$D:$D,MATCH($A123,SPPR!$A:$A,0)),"")</f>
        <v/>
      </c>
      <c r="C123">
        <f>IFERROR(INDEX(Catch!$E:$BV,MATCH($A123,Catch!$A:$A,0),MATCH($B$4,Catch!$E$1:$BV$1,0)),0)</f>
        <v/>
      </c>
      <c r="D123">
        <f>IFERROR($C123*INDEX(SPPR!$E:$X,MATCH($A123,SPPR!$A:$A,0),1),"")</f>
        <v/>
      </c>
      <c r="E123">
        <f>IFERROR($C123*INDEX(SPPR!$E:$X,MATCH($A123,SPPR!$A:$A,0),2),"")</f>
        <v/>
      </c>
      <c r="F123">
        <f>IFERROR($C123*INDEX(SPPR!$E:$X,MATCH($A123,SPPR!$A:$A,0),3),"")</f>
        <v/>
      </c>
      <c r="G123">
        <f>IFERROR($C123*INDEX(SPPR!$E:$X,MATCH($A123,SPPR!$A:$A,0),4),"")</f>
        <v/>
      </c>
      <c r="H123">
        <f>IFERROR($C123*INDEX(SPPR!$E:$X,MATCH($A123,SPPR!$A:$A,0),5),"")</f>
        <v/>
      </c>
      <c r="I123">
        <f>IFERROR($C123*INDEX(SPPR!$E:$X,MATCH($A123,SPPR!$A:$A,0),6),"")</f>
        <v/>
      </c>
      <c r="J123">
        <f>IFERROR($C123*INDEX(SPPR!$E:$X,MATCH($A123,SPPR!$A:$A,0),7),"")</f>
        <v/>
      </c>
      <c r="K123">
        <f>IFERROR($C123*INDEX(SPPR!$E:$X,MATCH($A123,SPPR!$A:$A,0),8),"")</f>
        <v/>
      </c>
      <c r="L123">
        <f>IFERROR($C123*INDEX(SPPR!$E:$X,MATCH($A123,SPPR!$A:$A,0),9),"")</f>
        <v/>
      </c>
      <c r="M123">
        <f>IFERROR($C123*INDEX(SPPR!$E:$X,MATCH($A123,SPPR!$A:$A,0),10),"")</f>
        <v/>
      </c>
      <c r="N123">
        <f>IFERROR($C123*INDEX(SPPR!$E:$X,MATCH($A123,SPPR!$A:$A,0),11),"")</f>
        <v/>
      </c>
      <c r="O123">
        <f>IFERROR($C123*INDEX(SPPR!$E:$X,MATCH($A123,SPPR!$A:$A,0),12),"")</f>
        <v/>
      </c>
      <c r="P123">
        <f>IFERROR($C123*INDEX(SPPR!$E:$X,MATCH($A123,SPPR!$A:$A,0),13),"")</f>
        <v/>
      </c>
      <c r="Q123">
        <f>IFERROR($C123*INDEX(SPPR!$E:$X,MATCH($A123,SPPR!$A:$A,0),14),"")</f>
        <v/>
      </c>
      <c r="R123">
        <f>IFERROR($C123*INDEX(SPPR!$E:$X,MATCH($A123,SPPR!$A:$A,0),15),"")</f>
        <v/>
      </c>
      <c r="S123">
        <f>IFERROR($C123*INDEX(SPPR!$E:$X,MATCH($A123,SPPR!$A:$A,0),16),"")</f>
        <v/>
      </c>
      <c r="T123">
        <f>IFERROR($C123*INDEX(SPPR!$E:$X,MATCH($A123,SPPR!$A:$A,0),17),"")</f>
        <v/>
      </c>
      <c r="U123">
        <f>IFERROR($C123*INDEX(SPPR!$E:$X,MATCH($A123,SPPR!$A:$A,0),18),"")</f>
        <v/>
      </c>
      <c r="V123">
        <f>IFERROR($C123*INDEX(SPPR!$E:$X,MATCH($A123,SPPR!$A:$A,0),19),"")</f>
        <v/>
      </c>
      <c r="W123">
        <f>IFERROR($C123*INDEX(SPPR!$E:$X,MATCH($A123,SPPR!$A:$A,0),20),"")</f>
        <v/>
      </c>
    </row>
    <row r="124">
      <c r="A124" t="inlineStr">
        <is>
          <t>Scomberomorus</t>
        </is>
      </c>
      <c r="B124">
        <f>IFERROR(INDEX(SPPR!$D:$D,MATCH($A124,SPPR!$A:$A,0)),"")</f>
        <v/>
      </c>
      <c r="C124">
        <f>IFERROR(INDEX(Catch!$E:$BV,MATCH($A124,Catch!$A:$A,0),MATCH($B$4,Catch!$E$1:$BV$1,0)),0)</f>
        <v/>
      </c>
      <c r="D124">
        <f>IFERROR($C124*INDEX(SPPR!$E:$X,MATCH($A124,SPPR!$A:$A,0),1),"")</f>
        <v/>
      </c>
      <c r="E124">
        <f>IFERROR($C124*INDEX(SPPR!$E:$X,MATCH($A124,SPPR!$A:$A,0),2),"")</f>
        <v/>
      </c>
      <c r="F124">
        <f>IFERROR($C124*INDEX(SPPR!$E:$X,MATCH($A124,SPPR!$A:$A,0),3),"")</f>
        <v/>
      </c>
      <c r="G124">
        <f>IFERROR($C124*INDEX(SPPR!$E:$X,MATCH($A124,SPPR!$A:$A,0),4),"")</f>
        <v/>
      </c>
      <c r="H124">
        <f>IFERROR($C124*INDEX(SPPR!$E:$X,MATCH($A124,SPPR!$A:$A,0),5),"")</f>
        <v/>
      </c>
      <c r="I124">
        <f>IFERROR($C124*INDEX(SPPR!$E:$X,MATCH($A124,SPPR!$A:$A,0),6),"")</f>
        <v/>
      </c>
      <c r="J124">
        <f>IFERROR($C124*INDEX(SPPR!$E:$X,MATCH($A124,SPPR!$A:$A,0),7),"")</f>
        <v/>
      </c>
      <c r="K124">
        <f>IFERROR($C124*INDEX(SPPR!$E:$X,MATCH($A124,SPPR!$A:$A,0),8),"")</f>
        <v/>
      </c>
      <c r="L124">
        <f>IFERROR($C124*INDEX(SPPR!$E:$X,MATCH($A124,SPPR!$A:$A,0),9),"")</f>
        <v/>
      </c>
      <c r="M124">
        <f>IFERROR($C124*INDEX(SPPR!$E:$X,MATCH($A124,SPPR!$A:$A,0),10),"")</f>
        <v/>
      </c>
      <c r="N124">
        <f>IFERROR($C124*INDEX(SPPR!$E:$X,MATCH($A124,SPPR!$A:$A,0),11),"")</f>
        <v/>
      </c>
      <c r="O124">
        <f>IFERROR($C124*INDEX(SPPR!$E:$X,MATCH($A124,SPPR!$A:$A,0),12),"")</f>
        <v/>
      </c>
      <c r="P124">
        <f>IFERROR($C124*INDEX(SPPR!$E:$X,MATCH($A124,SPPR!$A:$A,0),13),"")</f>
        <v/>
      </c>
      <c r="Q124">
        <f>IFERROR($C124*INDEX(SPPR!$E:$X,MATCH($A124,SPPR!$A:$A,0),14),"")</f>
        <v/>
      </c>
      <c r="R124">
        <f>IFERROR($C124*INDEX(SPPR!$E:$X,MATCH($A124,SPPR!$A:$A,0),15),"")</f>
        <v/>
      </c>
      <c r="S124">
        <f>IFERROR($C124*INDEX(SPPR!$E:$X,MATCH($A124,SPPR!$A:$A,0),16),"")</f>
        <v/>
      </c>
      <c r="T124">
        <f>IFERROR($C124*INDEX(SPPR!$E:$X,MATCH($A124,SPPR!$A:$A,0),17),"")</f>
        <v/>
      </c>
      <c r="U124">
        <f>IFERROR($C124*INDEX(SPPR!$E:$X,MATCH($A124,SPPR!$A:$A,0),18),"")</f>
        <v/>
      </c>
      <c r="V124">
        <f>IFERROR($C124*INDEX(SPPR!$E:$X,MATCH($A124,SPPR!$A:$A,0),19),"")</f>
        <v/>
      </c>
      <c r="W124">
        <f>IFERROR($C124*INDEX(SPPR!$E:$X,MATCH($A124,SPPR!$A:$A,0),20),"")</f>
        <v/>
      </c>
    </row>
    <row r="125">
      <c r="A125" t="inlineStr">
        <is>
          <t>Istiophorus platypterus</t>
        </is>
      </c>
      <c r="B125">
        <f>IFERROR(INDEX(SPPR!$D:$D,MATCH($A125,SPPR!$A:$A,0)),"")</f>
        <v/>
      </c>
      <c r="C125">
        <f>IFERROR(INDEX(Catch!$E:$BV,MATCH($A125,Catch!$A:$A,0),MATCH($B$4,Catch!$E$1:$BV$1,0)),0)</f>
        <v/>
      </c>
      <c r="D125">
        <f>IFERROR($C125*INDEX(SPPR!$E:$X,MATCH($A125,SPPR!$A:$A,0),1),"")</f>
        <v/>
      </c>
      <c r="E125">
        <f>IFERROR($C125*INDEX(SPPR!$E:$X,MATCH($A125,SPPR!$A:$A,0),2),"")</f>
        <v/>
      </c>
      <c r="F125">
        <f>IFERROR($C125*INDEX(SPPR!$E:$X,MATCH($A125,SPPR!$A:$A,0),3),"")</f>
        <v/>
      </c>
      <c r="G125">
        <f>IFERROR($C125*INDEX(SPPR!$E:$X,MATCH($A125,SPPR!$A:$A,0),4),"")</f>
        <v/>
      </c>
      <c r="H125">
        <f>IFERROR($C125*INDEX(SPPR!$E:$X,MATCH($A125,SPPR!$A:$A,0),5),"")</f>
        <v/>
      </c>
      <c r="I125">
        <f>IFERROR($C125*INDEX(SPPR!$E:$X,MATCH($A125,SPPR!$A:$A,0),6),"")</f>
        <v/>
      </c>
      <c r="J125">
        <f>IFERROR($C125*INDEX(SPPR!$E:$X,MATCH($A125,SPPR!$A:$A,0),7),"")</f>
        <v/>
      </c>
      <c r="K125">
        <f>IFERROR($C125*INDEX(SPPR!$E:$X,MATCH($A125,SPPR!$A:$A,0),8),"")</f>
        <v/>
      </c>
      <c r="L125">
        <f>IFERROR($C125*INDEX(SPPR!$E:$X,MATCH($A125,SPPR!$A:$A,0),9),"")</f>
        <v/>
      </c>
      <c r="M125">
        <f>IFERROR($C125*INDEX(SPPR!$E:$X,MATCH($A125,SPPR!$A:$A,0),10),"")</f>
        <v/>
      </c>
      <c r="N125">
        <f>IFERROR($C125*INDEX(SPPR!$E:$X,MATCH($A125,SPPR!$A:$A,0),11),"")</f>
        <v/>
      </c>
      <c r="O125">
        <f>IFERROR($C125*INDEX(SPPR!$E:$X,MATCH($A125,SPPR!$A:$A,0),12),"")</f>
        <v/>
      </c>
      <c r="P125">
        <f>IFERROR($C125*INDEX(SPPR!$E:$X,MATCH($A125,SPPR!$A:$A,0),13),"")</f>
        <v/>
      </c>
      <c r="Q125">
        <f>IFERROR($C125*INDEX(SPPR!$E:$X,MATCH($A125,SPPR!$A:$A,0),14),"")</f>
        <v/>
      </c>
      <c r="R125">
        <f>IFERROR($C125*INDEX(SPPR!$E:$X,MATCH($A125,SPPR!$A:$A,0),15),"")</f>
        <v/>
      </c>
      <c r="S125">
        <f>IFERROR($C125*INDEX(SPPR!$E:$X,MATCH($A125,SPPR!$A:$A,0),16),"")</f>
        <v/>
      </c>
      <c r="T125">
        <f>IFERROR($C125*INDEX(SPPR!$E:$X,MATCH($A125,SPPR!$A:$A,0),17),"")</f>
        <v/>
      </c>
      <c r="U125">
        <f>IFERROR($C125*INDEX(SPPR!$E:$X,MATCH($A125,SPPR!$A:$A,0),18),"")</f>
        <v/>
      </c>
      <c r="V125">
        <f>IFERROR($C125*INDEX(SPPR!$E:$X,MATCH($A125,SPPR!$A:$A,0),19),"")</f>
        <v/>
      </c>
      <c r="W125">
        <f>IFERROR($C125*INDEX(SPPR!$E:$X,MATCH($A125,SPPR!$A:$A,0),20),"")</f>
        <v/>
      </c>
    </row>
    <row r="126">
      <c r="A126" t="inlineStr">
        <is>
          <t>Megalaspis cordyla</t>
        </is>
      </c>
      <c r="B126">
        <f>IFERROR(INDEX(SPPR!$D:$D,MATCH($A126,SPPR!$A:$A,0)),"")</f>
        <v/>
      </c>
      <c r="C126">
        <f>IFERROR(INDEX(Catch!$E:$BV,MATCH($A126,Catch!$A:$A,0),MATCH($B$4,Catch!$E$1:$BV$1,0)),0)</f>
        <v/>
      </c>
      <c r="D126">
        <f>IFERROR($C126*INDEX(SPPR!$E:$X,MATCH($A126,SPPR!$A:$A,0),1),"")</f>
        <v/>
      </c>
      <c r="E126">
        <f>IFERROR($C126*INDEX(SPPR!$E:$X,MATCH($A126,SPPR!$A:$A,0),2),"")</f>
        <v/>
      </c>
      <c r="F126">
        <f>IFERROR($C126*INDEX(SPPR!$E:$X,MATCH($A126,SPPR!$A:$A,0),3),"")</f>
        <v/>
      </c>
      <c r="G126">
        <f>IFERROR($C126*INDEX(SPPR!$E:$X,MATCH($A126,SPPR!$A:$A,0),4),"")</f>
        <v/>
      </c>
      <c r="H126">
        <f>IFERROR($C126*INDEX(SPPR!$E:$X,MATCH($A126,SPPR!$A:$A,0),5),"")</f>
        <v/>
      </c>
      <c r="I126">
        <f>IFERROR($C126*INDEX(SPPR!$E:$X,MATCH($A126,SPPR!$A:$A,0),6),"")</f>
        <v/>
      </c>
      <c r="J126">
        <f>IFERROR($C126*INDEX(SPPR!$E:$X,MATCH($A126,SPPR!$A:$A,0),7),"")</f>
        <v/>
      </c>
      <c r="K126">
        <f>IFERROR($C126*INDEX(SPPR!$E:$X,MATCH($A126,SPPR!$A:$A,0),8),"")</f>
        <v/>
      </c>
      <c r="L126">
        <f>IFERROR($C126*INDEX(SPPR!$E:$X,MATCH($A126,SPPR!$A:$A,0),9),"")</f>
        <v/>
      </c>
      <c r="M126">
        <f>IFERROR($C126*INDEX(SPPR!$E:$X,MATCH($A126,SPPR!$A:$A,0),10),"")</f>
        <v/>
      </c>
      <c r="N126">
        <f>IFERROR($C126*INDEX(SPPR!$E:$X,MATCH($A126,SPPR!$A:$A,0),11),"")</f>
        <v/>
      </c>
      <c r="O126">
        <f>IFERROR($C126*INDEX(SPPR!$E:$X,MATCH($A126,SPPR!$A:$A,0),12),"")</f>
        <v/>
      </c>
      <c r="P126">
        <f>IFERROR($C126*INDEX(SPPR!$E:$X,MATCH($A126,SPPR!$A:$A,0),13),"")</f>
        <v/>
      </c>
      <c r="Q126">
        <f>IFERROR($C126*INDEX(SPPR!$E:$X,MATCH($A126,SPPR!$A:$A,0),14),"")</f>
        <v/>
      </c>
      <c r="R126">
        <f>IFERROR($C126*INDEX(SPPR!$E:$X,MATCH($A126,SPPR!$A:$A,0),15),"")</f>
        <v/>
      </c>
      <c r="S126">
        <f>IFERROR($C126*INDEX(SPPR!$E:$X,MATCH($A126,SPPR!$A:$A,0),16),"")</f>
        <v/>
      </c>
      <c r="T126">
        <f>IFERROR($C126*INDEX(SPPR!$E:$X,MATCH($A126,SPPR!$A:$A,0),17),"")</f>
        <v/>
      </c>
      <c r="U126">
        <f>IFERROR($C126*INDEX(SPPR!$E:$X,MATCH($A126,SPPR!$A:$A,0),18),"")</f>
        <v/>
      </c>
      <c r="V126">
        <f>IFERROR($C126*INDEX(SPPR!$E:$X,MATCH($A126,SPPR!$A:$A,0),19),"")</f>
        <v/>
      </c>
      <c r="W126">
        <f>IFERROR($C126*INDEX(SPPR!$E:$X,MATCH($A126,SPPR!$A:$A,0),20),"")</f>
        <v/>
      </c>
    </row>
    <row r="127">
      <c r="A127" t="inlineStr">
        <is>
          <t>Placuna placenta</t>
        </is>
      </c>
      <c r="B127">
        <f>IFERROR(INDEX(SPPR!$D:$D,MATCH($A127,SPPR!$A:$A,0)),"")</f>
        <v/>
      </c>
      <c r="C127">
        <f>IFERROR(INDEX(Catch!$E:$BV,MATCH($A127,Catch!$A:$A,0),MATCH($B$4,Catch!$E$1:$BV$1,0)),0)</f>
        <v/>
      </c>
      <c r="D127">
        <f>IFERROR($C127*INDEX(SPPR!$E:$X,MATCH($A127,SPPR!$A:$A,0),1),"")</f>
        <v/>
      </c>
      <c r="E127">
        <f>IFERROR($C127*INDEX(SPPR!$E:$X,MATCH($A127,SPPR!$A:$A,0),2),"")</f>
        <v/>
      </c>
      <c r="F127">
        <f>IFERROR($C127*INDEX(SPPR!$E:$X,MATCH($A127,SPPR!$A:$A,0),3),"")</f>
        <v/>
      </c>
      <c r="G127">
        <f>IFERROR($C127*INDEX(SPPR!$E:$X,MATCH($A127,SPPR!$A:$A,0),4),"")</f>
        <v/>
      </c>
      <c r="H127">
        <f>IFERROR($C127*INDEX(SPPR!$E:$X,MATCH($A127,SPPR!$A:$A,0),5),"")</f>
        <v/>
      </c>
      <c r="I127">
        <f>IFERROR($C127*INDEX(SPPR!$E:$X,MATCH($A127,SPPR!$A:$A,0),6),"")</f>
        <v/>
      </c>
      <c r="J127">
        <f>IFERROR($C127*INDEX(SPPR!$E:$X,MATCH($A127,SPPR!$A:$A,0),7),"")</f>
        <v/>
      </c>
      <c r="K127">
        <f>IFERROR($C127*INDEX(SPPR!$E:$X,MATCH($A127,SPPR!$A:$A,0),8),"")</f>
        <v/>
      </c>
      <c r="L127">
        <f>IFERROR($C127*INDEX(SPPR!$E:$X,MATCH($A127,SPPR!$A:$A,0),9),"")</f>
        <v/>
      </c>
      <c r="M127">
        <f>IFERROR($C127*INDEX(SPPR!$E:$X,MATCH($A127,SPPR!$A:$A,0),10),"")</f>
        <v/>
      </c>
      <c r="N127">
        <f>IFERROR($C127*INDEX(SPPR!$E:$X,MATCH($A127,SPPR!$A:$A,0),11),"")</f>
        <v/>
      </c>
      <c r="O127">
        <f>IFERROR($C127*INDEX(SPPR!$E:$X,MATCH($A127,SPPR!$A:$A,0),12),"")</f>
        <v/>
      </c>
      <c r="P127">
        <f>IFERROR($C127*INDEX(SPPR!$E:$X,MATCH($A127,SPPR!$A:$A,0),13),"")</f>
        <v/>
      </c>
      <c r="Q127">
        <f>IFERROR($C127*INDEX(SPPR!$E:$X,MATCH($A127,SPPR!$A:$A,0),14),"")</f>
        <v/>
      </c>
      <c r="R127">
        <f>IFERROR($C127*INDEX(SPPR!$E:$X,MATCH($A127,SPPR!$A:$A,0),15),"")</f>
        <v/>
      </c>
      <c r="S127">
        <f>IFERROR($C127*INDEX(SPPR!$E:$X,MATCH($A127,SPPR!$A:$A,0),16),"")</f>
        <v/>
      </c>
      <c r="T127">
        <f>IFERROR($C127*INDEX(SPPR!$E:$X,MATCH($A127,SPPR!$A:$A,0),17),"")</f>
        <v/>
      </c>
      <c r="U127">
        <f>IFERROR($C127*INDEX(SPPR!$E:$X,MATCH($A127,SPPR!$A:$A,0),18),"")</f>
        <v/>
      </c>
      <c r="V127">
        <f>IFERROR($C127*INDEX(SPPR!$E:$X,MATCH($A127,SPPR!$A:$A,0),19),"")</f>
        <v/>
      </c>
      <c r="W127">
        <f>IFERROR($C127*INDEX(SPPR!$E:$X,MATCH($A127,SPPR!$A:$A,0),20),"")</f>
        <v/>
      </c>
    </row>
    <row r="128">
      <c r="A128" t="inlineStr">
        <is>
          <t>Lutjanus</t>
        </is>
      </c>
      <c r="B128">
        <f>IFERROR(INDEX(SPPR!$D:$D,MATCH($A128,SPPR!$A:$A,0)),"")</f>
        <v/>
      </c>
      <c r="C128">
        <f>IFERROR(INDEX(Catch!$E:$BV,MATCH($A128,Catch!$A:$A,0),MATCH($B$4,Catch!$E$1:$BV$1,0)),0)</f>
        <v/>
      </c>
      <c r="D128">
        <f>IFERROR($C128*INDEX(SPPR!$E:$X,MATCH($A128,SPPR!$A:$A,0),1),"")</f>
        <v/>
      </c>
      <c r="E128">
        <f>IFERROR($C128*INDEX(SPPR!$E:$X,MATCH($A128,SPPR!$A:$A,0),2),"")</f>
        <v/>
      </c>
      <c r="F128">
        <f>IFERROR($C128*INDEX(SPPR!$E:$X,MATCH($A128,SPPR!$A:$A,0),3),"")</f>
        <v/>
      </c>
      <c r="G128">
        <f>IFERROR($C128*INDEX(SPPR!$E:$X,MATCH($A128,SPPR!$A:$A,0),4),"")</f>
        <v/>
      </c>
      <c r="H128">
        <f>IFERROR($C128*INDEX(SPPR!$E:$X,MATCH($A128,SPPR!$A:$A,0),5),"")</f>
        <v/>
      </c>
      <c r="I128">
        <f>IFERROR($C128*INDEX(SPPR!$E:$X,MATCH($A128,SPPR!$A:$A,0),6),"")</f>
        <v/>
      </c>
      <c r="J128">
        <f>IFERROR($C128*INDEX(SPPR!$E:$X,MATCH($A128,SPPR!$A:$A,0),7),"")</f>
        <v/>
      </c>
      <c r="K128">
        <f>IFERROR($C128*INDEX(SPPR!$E:$X,MATCH($A128,SPPR!$A:$A,0),8),"")</f>
        <v/>
      </c>
      <c r="L128">
        <f>IFERROR($C128*INDEX(SPPR!$E:$X,MATCH($A128,SPPR!$A:$A,0),9),"")</f>
        <v/>
      </c>
      <c r="M128">
        <f>IFERROR($C128*INDEX(SPPR!$E:$X,MATCH($A128,SPPR!$A:$A,0),10),"")</f>
        <v/>
      </c>
      <c r="N128">
        <f>IFERROR($C128*INDEX(SPPR!$E:$X,MATCH($A128,SPPR!$A:$A,0),11),"")</f>
        <v/>
      </c>
      <c r="O128">
        <f>IFERROR($C128*INDEX(SPPR!$E:$X,MATCH($A128,SPPR!$A:$A,0),12),"")</f>
        <v/>
      </c>
      <c r="P128">
        <f>IFERROR($C128*INDEX(SPPR!$E:$X,MATCH($A128,SPPR!$A:$A,0),13),"")</f>
        <v/>
      </c>
      <c r="Q128">
        <f>IFERROR($C128*INDEX(SPPR!$E:$X,MATCH($A128,SPPR!$A:$A,0),14),"")</f>
        <v/>
      </c>
      <c r="R128">
        <f>IFERROR($C128*INDEX(SPPR!$E:$X,MATCH($A128,SPPR!$A:$A,0),15),"")</f>
        <v/>
      </c>
      <c r="S128">
        <f>IFERROR($C128*INDEX(SPPR!$E:$X,MATCH($A128,SPPR!$A:$A,0),16),"")</f>
        <v/>
      </c>
      <c r="T128">
        <f>IFERROR($C128*INDEX(SPPR!$E:$X,MATCH($A128,SPPR!$A:$A,0),17),"")</f>
        <v/>
      </c>
      <c r="U128">
        <f>IFERROR($C128*INDEX(SPPR!$E:$X,MATCH($A128,SPPR!$A:$A,0),18),"")</f>
        <v/>
      </c>
      <c r="V128">
        <f>IFERROR($C128*INDEX(SPPR!$E:$X,MATCH($A128,SPPR!$A:$A,0),19),"")</f>
        <v/>
      </c>
      <c r="W128">
        <f>IFERROR($C128*INDEX(SPPR!$E:$X,MATCH($A128,SPPR!$A:$A,0),20),"")</f>
        <v/>
      </c>
    </row>
    <row r="129">
      <c r="A129" t="inlineStr">
        <is>
          <t>Metapenaeus affinis</t>
        </is>
      </c>
      <c r="B129">
        <f>IFERROR(INDEX(SPPR!$D:$D,MATCH($A129,SPPR!$A:$A,0)),"")</f>
        <v/>
      </c>
      <c r="C129">
        <f>IFERROR(INDEX(Catch!$E:$BV,MATCH($A129,Catch!$A:$A,0),MATCH($B$4,Catch!$E$1:$BV$1,0)),0)</f>
        <v/>
      </c>
      <c r="D129">
        <f>IFERROR($C129*INDEX(SPPR!$E:$X,MATCH($A129,SPPR!$A:$A,0),1),"")</f>
        <v/>
      </c>
      <c r="E129">
        <f>IFERROR($C129*INDEX(SPPR!$E:$X,MATCH($A129,SPPR!$A:$A,0),2),"")</f>
        <v/>
      </c>
      <c r="F129">
        <f>IFERROR($C129*INDEX(SPPR!$E:$X,MATCH($A129,SPPR!$A:$A,0),3),"")</f>
        <v/>
      </c>
      <c r="G129">
        <f>IFERROR($C129*INDEX(SPPR!$E:$X,MATCH($A129,SPPR!$A:$A,0),4),"")</f>
        <v/>
      </c>
      <c r="H129">
        <f>IFERROR($C129*INDEX(SPPR!$E:$X,MATCH($A129,SPPR!$A:$A,0),5),"")</f>
        <v/>
      </c>
      <c r="I129">
        <f>IFERROR($C129*INDEX(SPPR!$E:$X,MATCH($A129,SPPR!$A:$A,0),6),"")</f>
        <v/>
      </c>
      <c r="J129">
        <f>IFERROR($C129*INDEX(SPPR!$E:$X,MATCH($A129,SPPR!$A:$A,0),7),"")</f>
        <v/>
      </c>
      <c r="K129">
        <f>IFERROR($C129*INDEX(SPPR!$E:$X,MATCH($A129,SPPR!$A:$A,0),8),"")</f>
        <v/>
      </c>
      <c r="L129">
        <f>IFERROR($C129*INDEX(SPPR!$E:$X,MATCH($A129,SPPR!$A:$A,0),9),"")</f>
        <v/>
      </c>
      <c r="M129">
        <f>IFERROR($C129*INDEX(SPPR!$E:$X,MATCH($A129,SPPR!$A:$A,0),10),"")</f>
        <v/>
      </c>
      <c r="N129">
        <f>IFERROR($C129*INDEX(SPPR!$E:$X,MATCH($A129,SPPR!$A:$A,0),11),"")</f>
        <v/>
      </c>
      <c r="O129">
        <f>IFERROR($C129*INDEX(SPPR!$E:$X,MATCH($A129,SPPR!$A:$A,0),12),"")</f>
        <v/>
      </c>
      <c r="P129">
        <f>IFERROR($C129*INDEX(SPPR!$E:$X,MATCH($A129,SPPR!$A:$A,0),13),"")</f>
        <v/>
      </c>
      <c r="Q129">
        <f>IFERROR($C129*INDEX(SPPR!$E:$X,MATCH($A129,SPPR!$A:$A,0),14),"")</f>
        <v/>
      </c>
      <c r="R129">
        <f>IFERROR($C129*INDEX(SPPR!$E:$X,MATCH($A129,SPPR!$A:$A,0),15),"")</f>
        <v/>
      </c>
      <c r="S129">
        <f>IFERROR($C129*INDEX(SPPR!$E:$X,MATCH($A129,SPPR!$A:$A,0),16),"")</f>
        <v/>
      </c>
      <c r="T129">
        <f>IFERROR($C129*INDEX(SPPR!$E:$X,MATCH($A129,SPPR!$A:$A,0),17),"")</f>
        <v/>
      </c>
      <c r="U129">
        <f>IFERROR($C129*INDEX(SPPR!$E:$X,MATCH($A129,SPPR!$A:$A,0),18),"")</f>
        <v/>
      </c>
      <c r="V129">
        <f>IFERROR($C129*INDEX(SPPR!$E:$X,MATCH($A129,SPPR!$A:$A,0),19),"")</f>
        <v/>
      </c>
      <c r="W129">
        <f>IFERROR($C129*INDEX(SPPR!$E:$X,MATCH($A129,SPPR!$A:$A,0),20),"")</f>
        <v/>
      </c>
    </row>
    <row r="130">
      <c r="A130" t="inlineStr">
        <is>
          <t>Muraenesox cinereus</t>
        </is>
      </c>
      <c r="B130">
        <f>IFERROR(INDEX(SPPR!$D:$D,MATCH($A130,SPPR!$A:$A,0)),"")</f>
        <v/>
      </c>
      <c r="C130">
        <f>IFERROR(INDEX(Catch!$E:$BV,MATCH($A130,Catch!$A:$A,0),MATCH($B$4,Catch!$E$1:$BV$1,0)),0)</f>
        <v/>
      </c>
      <c r="D130">
        <f>IFERROR($C130*INDEX(SPPR!$E:$X,MATCH($A130,SPPR!$A:$A,0),1),"")</f>
        <v/>
      </c>
      <c r="E130">
        <f>IFERROR($C130*INDEX(SPPR!$E:$X,MATCH($A130,SPPR!$A:$A,0),2),"")</f>
        <v/>
      </c>
      <c r="F130">
        <f>IFERROR($C130*INDEX(SPPR!$E:$X,MATCH($A130,SPPR!$A:$A,0),3),"")</f>
        <v/>
      </c>
      <c r="G130">
        <f>IFERROR($C130*INDEX(SPPR!$E:$X,MATCH($A130,SPPR!$A:$A,0),4),"")</f>
        <v/>
      </c>
      <c r="H130">
        <f>IFERROR($C130*INDEX(SPPR!$E:$X,MATCH($A130,SPPR!$A:$A,0),5),"")</f>
        <v/>
      </c>
      <c r="I130">
        <f>IFERROR($C130*INDEX(SPPR!$E:$X,MATCH($A130,SPPR!$A:$A,0),6),"")</f>
        <v/>
      </c>
      <c r="J130">
        <f>IFERROR($C130*INDEX(SPPR!$E:$X,MATCH($A130,SPPR!$A:$A,0),7),"")</f>
        <v/>
      </c>
      <c r="K130">
        <f>IFERROR($C130*INDEX(SPPR!$E:$X,MATCH($A130,SPPR!$A:$A,0),8),"")</f>
        <v/>
      </c>
      <c r="L130">
        <f>IFERROR($C130*INDEX(SPPR!$E:$X,MATCH($A130,SPPR!$A:$A,0),9),"")</f>
        <v/>
      </c>
      <c r="M130">
        <f>IFERROR($C130*INDEX(SPPR!$E:$X,MATCH($A130,SPPR!$A:$A,0),10),"")</f>
        <v/>
      </c>
      <c r="N130">
        <f>IFERROR($C130*INDEX(SPPR!$E:$X,MATCH($A130,SPPR!$A:$A,0),11),"")</f>
        <v/>
      </c>
      <c r="O130">
        <f>IFERROR($C130*INDEX(SPPR!$E:$X,MATCH($A130,SPPR!$A:$A,0),12),"")</f>
        <v/>
      </c>
      <c r="P130">
        <f>IFERROR($C130*INDEX(SPPR!$E:$X,MATCH($A130,SPPR!$A:$A,0),13),"")</f>
        <v/>
      </c>
      <c r="Q130">
        <f>IFERROR($C130*INDEX(SPPR!$E:$X,MATCH($A130,SPPR!$A:$A,0),14),"")</f>
        <v/>
      </c>
      <c r="R130">
        <f>IFERROR($C130*INDEX(SPPR!$E:$X,MATCH($A130,SPPR!$A:$A,0),15),"")</f>
        <v/>
      </c>
      <c r="S130">
        <f>IFERROR($C130*INDEX(SPPR!$E:$X,MATCH($A130,SPPR!$A:$A,0),16),"")</f>
        <v/>
      </c>
      <c r="T130">
        <f>IFERROR($C130*INDEX(SPPR!$E:$X,MATCH($A130,SPPR!$A:$A,0),17),"")</f>
        <v/>
      </c>
      <c r="U130">
        <f>IFERROR($C130*INDEX(SPPR!$E:$X,MATCH($A130,SPPR!$A:$A,0),18),"")</f>
        <v/>
      </c>
      <c r="V130">
        <f>IFERROR($C130*INDEX(SPPR!$E:$X,MATCH($A130,SPPR!$A:$A,0),19),"")</f>
        <v/>
      </c>
      <c r="W130">
        <f>IFERROR($C130*INDEX(SPPR!$E:$X,MATCH($A130,SPPR!$A:$A,0),20),"")</f>
        <v/>
      </c>
    </row>
    <row r="131">
      <c r="A131" t="inlineStr">
        <is>
          <t>Muraenesocidae</t>
        </is>
      </c>
      <c r="B131">
        <f>IFERROR(INDEX(SPPR!$D:$D,MATCH($A131,SPPR!$A:$A,0)),"")</f>
        <v/>
      </c>
      <c r="C131">
        <f>IFERROR(INDEX(Catch!$E:$BV,MATCH($A131,Catch!$A:$A,0),MATCH($B$4,Catch!$E$1:$BV$1,0)),0)</f>
        <v/>
      </c>
      <c r="D131">
        <f>IFERROR($C131*INDEX(SPPR!$E:$X,MATCH($A131,SPPR!$A:$A,0),1),"")</f>
        <v/>
      </c>
      <c r="E131">
        <f>IFERROR($C131*INDEX(SPPR!$E:$X,MATCH($A131,SPPR!$A:$A,0),2),"")</f>
        <v/>
      </c>
      <c r="F131">
        <f>IFERROR($C131*INDEX(SPPR!$E:$X,MATCH($A131,SPPR!$A:$A,0),3),"")</f>
        <v/>
      </c>
      <c r="G131">
        <f>IFERROR($C131*INDEX(SPPR!$E:$X,MATCH($A131,SPPR!$A:$A,0),4),"")</f>
        <v/>
      </c>
      <c r="H131">
        <f>IFERROR($C131*INDEX(SPPR!$E:$X,MATCH($A131,SPPR!$A:$A,0),5),"")</f>
        <v/>
      </c>
      <c r="I131">
        <f>IFERROR($C131*INDEX(SPPR!$E:$X,MATCH($A131,SPPR!$A:$A,0),6),"")</f>
        <v/>
      </c>
      <c r="J131">
        <f>IFERROR($C131*INDEX(SPPR!$E:$X,MATCH($A131,SPPR!$A:$A,0),7),"")</f>
        <v/>
      </c>
      <c r="K131">
        <f>IFERROR($C131*INDEX(SPPR!$E:$X,MATCH($A131,SPPR!$A:$A,0),8),"")</f>
        <v/>
      </c>
      <c r="L131">
        <f>IFERROR($C131*INDEX(SPPR!$E:$X,MATCH($A131,SPPR!$A:$A,0),9),"")</f>
        <v/>
      </c>
      <c r="M131">
        <f>IFERROR($C131*INDEX(SPPR!$E:$X,MATCH($A131,SPPR!$A:$A,0),10),"")</f>
        <v/>
      </c>
      <c r="N131">
        <f>IFERROR($C131*INDEX(SPPR!$E:$X,MATCH($A131,SPPR!$A:$A,0),11),"")</f>
        <v/>
      </c>
      <c r="O131">
        <f>IFERROR($C131*INDEX(SPPR!$E:$X,MATCH($A131,SPPR!$A:$A,0),12),"")</f>
        <v/>
      </c>
      <c r="P131">
        <f>IFERROR($C131*INDEX(SPPR!$E:$X,MATCH($A131,SPPR!$A:$A,0),13),"")</f>
        <v/>
      </c>
      <c r="Q131">
        <f>IFERROR($C131*INDEX(SPPR!$E:$X,MATCH($A131,SPPR!$A:$A,0),14),"")</f>
        <v/>
      </c>
      <c r="R131">
        <f>IFERROR($C131*INDEX(SPPR!$E:$X,MATCH($A131,SPPR!$A:$A,0),15),"")</f>
        <v/>
      </c>
      <c r="S131">
        <f>IFERROR($C131*INDEX(SPPR!$E:$X,MATCH($A131,SPPR!$A:$A,0),16),"")</f>
        <v/>
      </c>
      <c r="T131">
        <f>IFERROR($C131*INDEX(SPPR!$E:$X,MATCH($A131,SPPR!$A:$A,0),17),"")</f>
        <v/>
      </c>
      <c r="U131">
        <f>IFERROR($C131*INDEX(SPPR!$E:$X,MATCH($A131,SPPR!$A:$A,0),18),"")</f>
        <v/>
      </c>
      <c r="V131">
        <f>IFERROR($C131*INDEX(SPPR!$E:$X,MATCH($A131,SPPR!$A:$A,0),19),"")</f>
        <v/>
      </c>
      <c r="W131">
        <f>IFERROR($C131*INDEX(SPPR!$E:$X,MATCH($A131,SPPR!$A:$A,0),20),"")</f>
        <v/>
      </c>
    </row>
    <row r="132">
      <c r="A132" t="inlineStr">
        <is>
          <t>Auxis thazard</t>
        </is>
      </c>
      <c r="B132">
        <f>IFERROR(INDEX(SPPR!$D:$D,MATCH($A132,SPPR!$A:$A,0)),"")</f>
        <v/>
      </c>
      <c r="C132">
        <f>IFERROR(INDEX(Catch!$E:$BV,MATCH($A132,Catch!$A:$A,0),MATCH($B$4,Catch!$E$1:$BV$1,0)),0)</f>
        <v/>
      </c>
      <c r="D132">
        <f>IFERROR($C132*INDEX(SPPR!$E:$X,MATCH($A132,SPPR!$A:$A,0),1),"")</f>
        <v/>
      </c>
      <c r="E132">
        <f>IFERROR($C132*INDEX(SPPR!$E:$X,MATCH($A132,SPPR!$A:$A,0),2),"")</f>
        <v/>
      </c>
      <c r="F132">
        <f>IFERROR($C132*INDEX(SPPR!$E:$X,MATCH($A132,SPPR!$A:$A,0),3),"")</f>
        <v/>
      </c>
      <c r="G132">
        <f>IFERROR($C132*INDEX(SPPR!$E:$X,MATCH($A132,SPPR!$A:$A,0),4),"")</f>
        <v/>
      </c>
      <c r="H132">
        <f>IFERROR($C132*INDEX(SPPR!$E:$X,MATCH($A132,SPPR!$A:$A,0),5),"")</f>
        <v/>
      </c>
      <c r="I132">
        <f>IFERROR($C132*INDEX(SPPR!$E:$X,MATCH($A132,SPPR!$A:$A,0),6),"")</f>
        <v/>
      </c>
      <c r="J132">
        <f>IFERROR($C132*INDEX(SPPR!$E:$X,MATCH($A132,SPPR!$A:$A,0),7),"")</f>
        <v/>
      </c>
      <c r="K132">
        <f>IFERROR($C132*INDEX(SPPR!$E:$X,MATCH($A132,SPPR!$A:$A,0),8),"")</f>
        <v/>
      </c>
      <c r="L132">
        <f>IFERROR($C132*INDEX(SPPR!$E:$X,MATCH($A132,SPPR!$A:$A,0),9),"")</f>
        <v/>
      </c>
      <c r="M132">
        <f>IFERROR($C132*INDEX(SPPR!$E:$X,MATCH($A132,SPPR!$A:$A,0),10),"")</f>
        <v/>
      </c>
      <c r="N132">
        <f>IFERROR($C132*INDEX(SPPR!$E:$X,MATCH($A132,SPPR!$A:$A,0),11),"")</f>
        <v/>
      </c>
      <c r="O132">
        <f>IFERROR($C132*INDEX(SPPR!$E:$X,MATCH($A132,SPPR!$A:$A,0),12),"")</f>
        <v/>
      </c>
      <c r="P132">
        <f>IFERROR($C132*INDEX(SPPR!$E:$X,MATCH($A132,SPPR!$A:$A,0),13),"")</f>
        <v/>
      </c>
      <c r="Q132">
        <f>IFERROR($C132*INDEX(SPPR!$E:$X,MATCH($A132,SPPR!$A:$A,0),14),"")</f>
        <v/>
      </c>
      <c r="R132">
        <f>IFERROR($C132*INDEX(SPPR!$E:$X,MATCH($A132,SPPR!$A:$A,0),15),"")</f>
        <v/>
      </c>
      <c r="S132">
        <f>IFERROR($C132*INDEX(SPPR!$E:$X,MATCH($A132,SPPR!$A:$A,0),16),"")</f>
        <v/>
      </c>
      <c r="T132">
        <f>IFERROR($C132*INDEX(SPPR!$E:$X,MATCH($A132,SPPR!$A:$A,0),17),"")</f>
        <v/>
      </c>
      <c r="U132">
        <f>IFERROR($C132*INDEX(SPPR!$E:$X,MATCH($A132,SPPR!$A:$A,0),18),"")</f>
        <v/>
      </c>
      <c r="V132">
        <f>IFERROR($C132*INDEX(SPPR!$E:$X,MATCH($A132,SPPR!$A:$A,0),19),"")</f>
        <v/>
      </c>
      <c r="W132">
        <f>IFERROR($C132*INDEX(SPPR!$E:$X,MATCH($A132,SPPR!$A:$A,0),20),"")</f>
        <v/>
      </c>
    </row>
    <row r="133">
      <c r="A133" t="inlineStr">
        <is>
          <t>Lutjanus malabaricus</t>
        </is>
      </c>
      <c r="B133">
        <f>IFERROR(INDEX(SPPR!$D:$D,MATCH($A133,SPPR!$A:$A,0)),"")</f>
        <v/>
      </c>
      <c r="C133">
        <f>IFERROR(INDEX(Catch!$E:$BV,MATCH($A133,Catch!$A:$A,0),MATCH($B$4,Catch!$E$1:$BV$1,0)),0)</f>
        <v/>
      </c>
      <c r="D133">
        <f>IFERROR($C133*INDEX(SPPR!$E:$X,MATCH($A133,SPPR!$A:$A,0),1),"")</f>
        <v/>
      </c>
      <c r="E133">
        <f>IFERROR($C133*INDEX(SPPR!$E:$X,MATCH($A133,SPPR!$A:$A,0),2),"")</f>
        <v/>
      </c>
      <c r="F133">
        <f>IFERROR($C133*INDEX(SPPR!$E:$X,MATCH($A133,SPPR!$A:$A,0),3),"")</f>
        <v/>
      </c>
      <c r="G133">
        <f>IFERROR($C133*INDEX(SPPR!$E:$X,MATCH($A133,SPPR!$A:$A,0),4),"")</f>
        <v/>
      </c>
      <c r="H133">
        <f>IFERROR($C133*INDEX(SPPR!$E:$X,MATCH($A133,SPPR!$A:$A,0),5),"")</f>
        <v/>
      </c>
      <c r="I133">
        <f>IFERROR($C133*INDEX(SPPR!$E:$X,MATCH($A133,SPPR!$A:$A,0),6),"")</f>
        <v/>
      </c>
      <c r="J133">
        <f>IFERROR($C133*INDEX(SPPR!$E:$X,MATCH($A133,SPPR!$A:$A,0),7),"")</f>
        <v/>
      </c>
      <c r="K133">
        <f>IFERROR($C133*INDEX(SPPR!$E:$X,MATCH($A133,SPPR!$A:$A,0),8),"")</f>
        <v/>
      </c>
      <c r="L133">
        <f>IFERROR($C133*INDEX(SPPR!$E:$X,MATCH($A133,SPPR!$A:$A,0),9),"")</f>
        <v/>
      </c>
      <c r="M133">
        <f>IFERROR($C133*INDEX(SPPR!$E:$X,MATCH($A133,SPPR!$A:$A,0),10),"")</f>
        <v/>
      </c>
      <c r="N133">
        <f>IFERROR($C133*INDEX(SPPR!$E:$X,MATCH($A133,SPPR!$A:$A,0),11),"")</f>
        <v/>
      </c>
      <c r="O133">
        <f>IFERROR($C133*INDEX(SPPR!$E:$X,MATCH($A133,SPPR!$A:$A,0),12),"")</f>
        <v/>
      </c>
      <c r="P133">
        <f>IFERROR($C133*INDEX(SPPR!$E:$X,MATCH($A133,SPPR!$A:$A,0),13),"")</f>
        <v/>
      </c>
      <c r="Q133">
        <f>IFERROR($C133*INDEX(SPPR!$E:$X,MATCH($A133,SPPR!$A:$A,0),14),"")</f>
        <v/>
      </c>
      <c r="R133">
        <f>IFERROR($C133*INDEX(SPPR!$E:$X,MATCH($A133,SPPR!$A:$A,0),15),"")</f>
        <v/>
      </c>
      <c r="S133">
        <f>IFERROR($C133*INDEX(SPPR!$E:$X,MATCH($A133,SPPR!$A:$A,0),16),"")</f>
        <v/>
      </c>
      <c r="T133">
        <f>IFERROR($C133*INDEX(SPPR!$E:$X,MATCH($A133,SPPR!$A:$A,0),17),"")</f>
        <v/>
      </c>
      <c r="U133">
        <f>IFERROR($C133*INDEX(SPPR!$E:$X,MATCH($A133,SPPR!$A:$A,0),18),"")</f>
        <v/>
      </c>
      <c r="V133">
        <f>IFERROR($C133*INDEX(SPPR!$E:$X,MATCH($A133,SPPR!$A:$A,0),19),"")</f>
        <v/>
      </c>
      <c r="W133">
        <f>IFERROR($C133*INDEX(SPPR!$E:$X,MATCH($A133,SPPR!$A:$A,0),20),"")</f>
        <v/>
      </c>
    </row>
    <row r="134">
      <c r="A134" t="inlineStr">
        <is>
          <t>Congresox talabonoides</t>
        </is>
      </c>
      <c r="B134">
        <f>IFERROR(INDEX(SPPR!$D:$D,MATCH($A134,SPPR!$A:$A,0)),"")</f>
        <v/>
      </c>
      <c r="C134">
        <f>IFERROR(INDEX(Catch!$E:$BV,MATCH($A134,Catch!$A:$A,0),MATCH($B$4,Catch!$E$1:$BV$1,0)),0)</f>
        <v/>
      </c>
      <c r="D134">
        <f>IFERROR($C134*INDEX(SPPR!$E:$X,MATCH($A134,SPPR!$A:$A,0),1),"")</f>
        <v/>
      </c>
      <c r="E134">
        <f>IFERROR($C134*INDEX(SPPR!$E:$X,MATCH($A134,SPPR!$A:$A,0),2),"")</f>
        <v/>
      </c>
      <c r="F134">
        <f>IFERROR($C134*INDEX(SPPR!$E:$X,MATCH($A134,SPPR!$A:$A,0),3),"")</f>
        <v/>
      </c>
      <c r="G134">
        <f>IFERROR($C134*INDEX(SPPR!$E:$X,MATCH($A134,SPPR!$A:$A,0),4),"")</f>
        <v/>
      </c>
      <c r="H134">
        <f>IFERROR($C134*INDEX(SPPR!$E:$X,MATCH($A134,SPPR!$A:$A,0),5),"")</f>
        <v/>
      </c>
      <c r="I134">
        <f>IFERROR($C134*INDEX(SPPR!$E:$X,MATCH($A134,SPPR!$A:$A,0),6),"")</f>
        <v/>
      </c>
      <c r="J134">
        <f>IFERROR($C134*INDEX(SPPR!$E:$X,MATCH($A134,SPPR!$A:$A,0),7),"")</f>
        <v/>
      </c>
      <c r="K134">
        <f>IFERROR($C134*INDEX(SPPR!$E:$X,MATCH($A134,SPPR!$A:$A,0),8),"")</f>
        <v/>
      </c>
      <c r="L134">
        <f>IFERROR($C134*INDEX(SPPR!$E:$X,MATCH($A134,SPPR!$A:$A,0),9),"")</f>
        <v/>
      </c>
      <c r="M134">
        <f>IFERROR($C134*INDEX(SPPR!$E:$X,MATCH($A134,SPPR!$A:$A,0),10),"")</f>
        <v/>
      </c>
      <c r="N134">
        <f>IFERROR($C134*INDEX(SPPR!$E:$X,MATCH($A134,SPPR!$A:$A,0),11),"")</f>
        <v/>
      </c>
      <c r="O134">
        <f>IFERROR($C134*INDEX(SPPR!$E:$X,MATCH($A134,SPPR!$A:$A,0),12),"")</f>
        <v/>
      </c>
      <c r="P134">
        <f>IFERROR($C134*INDEX(SPPR!$E:$X,MATCH($A134,SPPR!$A:$A,0),13),"")</f>
        <v/>
      </c>
      <c r="Q134">
        <f>IFERROR($C134*INDEX(SPPR!$E:$X,MATCH($A134,SPPR!$A:$A,0),14),"")</f>
        <v/>
      </c>
      <c r="R134">
        <f>IFERROR($C134*INDEX(SPPR!$E:$X,MATCH($A134,SPPR!$A:$A,0),15),"")</f>
        <v/>
      </c>
      <c r="S134">
        <f>IFERROR($C134*INDEX(SPPR!$E:$X,MATCH($A134,SPPR!$A:$A,0),16),"")</f>
        <v/>
      </c>
      <c r="T134">
        <f>IFERROR($C134*INDEX(SPPR!$E:$X,MATCH($A134,SPPR!$A:$A,0),17),"")</f>
        <v/>
      </c>
      <c r="U134">
        <f>IFERROR($C134*INDEX(SPPR!$E:$X,MATCH($A134,SPPR!$A:$A,0),18),"")</f>
        <v/>
      </c>
      <c r="V134">
        <f>IFERROR($C134*INDEX(SPPR!$E:$X,MATCH($A134,SPPR!$A:$A,0),19),"")</f>
        <v/>
      </c>
      <c r="W134">
        <f>IFERROR($C134*INDEX(SPPR!$E:$X,MATCH($A134,SPPR!$A:$A,0),20),"")</f>
        <v/>
      </c>
    </row>
    <row r="135">
      <c r="A135" t="inlineStr">
        <is>
          <t>Lethrinus lentjan</t>
        </is>
      </c>
      <c r="B135">
        <f>IFERROR(INDEX(SPPR!$D:$D,MATCH($A135,SPPR!$A:$A,0)),"")</f>
        <v/>
      </c>
      <c r="C135">
        <f>IFERROR(INDEX(Catch!$E:$BV,MATCH($A135,Catch!$A:$A,0),MATCH($B$4,Catch!$E$1:$BV$1,0)),0)</f>
        <v/>
      </c>
      <c r="D135">
        <f>IFERROR($C135*INDEX(SPPR!$E:$X,MATCH($A135,SPPR!$A:$A,0),1),"")</f>
        <v/>
      </c>
      <c r="E135">
        <f>IFERROR($C135*INDEX(SPPR!$E:$X,MATCH($A135,SPPR!$A:$A,0),2),"")</f>
        <v/>
      </c>
      <c r="F135">
        <f>IFERROR($C135*INDEX(SPPR!$E:$X,MATCH($A135,SPPR!$A:$A,0),3),"")</f>
        <v/>
      </c>
      <c r="G135">
        <f>IFERROR($C135*INDEX(SPPR!$E:$X,MATCH($A135,SPPR!$A:$A,0),4),"")</f>
        <v/>
      </c>
      <c r="H135">
        <f>IFERROR($C135*INDEX(SPPR!$E:$X,MATCH($A135,SPPR!$A:$A,0),5),"")</f>
        <v/>
      </c>
      <c r="I135">
        <f>IFERROR($C135*INDEX(SPPR!$E:$X,MATCH($A135,SPPR!$A:$A,0),6),"")</f>
        <v/>
      </c>
      <c r="J135">
        <f>IFERROR($C135*INDEX(SPPR!$E:$X,MATCH($A135,SPPR!$A:$A,0),7),"")</f>
        <v/>
      </c>
      <c r="K135">
        <f>IFERROR($C135*INDEX(SPPR!$E:$X,MATCH($A135,SPPR!$A:$A,0),8),"")</f>
        <v/>
      </c>
      <c r="L135">
        <f>IFERROR($C135*INDEX(SPPR!$E:$X,MATCH($A135,SPPR!$A:$A,0),9),"")</f>
        <v/>
      </c>
      <c r="M135">
        <f>IFERROR($C135*INDEX(SPPR!$E:$X,MATCH($A135,SPPR!$A:$A,0),10),"")</f>
        <v/>
      </c>
      <c r="N135">
        <f>IFERROR($C135*INDEX(SPPR!$E:$X,MATCH($A135,SPPR!$A:$A,0),11),"")</f>
        <v/>
      </c>
      <c r="O135">
        <f>IFERROR($C135*INDEX(SPPR!$E:$X,MATCH($A135,SPPR!$A:$A,0),12),"")</f>
        <v/>
      </c>
      <c r="P135">
        <f>IFERROR($C135*INDEX(SPPR!$E:$X,MATCH($A135,SPPR!$A:$A,0),13),"")</f>
        <v/>
      </c>
      <c r="Q135">
        <f>IFERROR($C135*INDEX(SPPR!$E:$X,MATCH($A135,SPPR!$A:$A,0),14),"")</f>
        <v/>
      </c>
      <c r="R135">
        <f>IFERROR($C135*INDEX(SPPR!$E:$X,MATCH($A135,SPPR!$A:$A,0),15),"")</f>
        <v/>
      </c>
      <c r="S135">
        <f>IFERROR($C135*INDEX(SPPR!$E:$X,MATCH($A135,SPPR!$A:$A,0),16),"")</f>
        <v/>
      </c>
      <c r="T135">
        <f>IFERROR($C135*INDEX(SPPR!$E:$X,MATCH($A135,SPPR!$A:$A,0),17),"")</f>
        <v/>
      </c>
      <c r="U135">
        <f>IFERROR($C135*INDEX(SPPR!$E:$X,MATCH($A135,SPPR!$A:$A,0),18),"")</f>
        <v/>
      </c>
      <c r="V135">
        <f>IFERROR($C135*INDEX(SPPR!$E:$X,MATCH($A135,SPPR!$A:$A,0),19),"")</f>
        <v/>
      </c>
      <c r="W135">
        <f>IFERROR($C135*INDEX(SPPR!$E:$X,MATCH($A135,SPPR!$A:$A,0),20),"")</f>
        <v/>
      </c>
    </row>
    <row r="136">
      <c r="A136" t="inlineStr">
        <is>
          <t>Parapenaeopsis stylifera</t>
        </is>
      </c>
      <c r="B136">
        <f>IFERROR(INDEX(SPPR!$D:$D,MATCH($A136,SPPR!$A:$A,0)),"")</f>
        <v/>
      </c>
      <c r="C136">
        <f>IFERROR(INDEX(Catch!$E:$BV,MATCH($A136,Catch!$A:$A,0),MATCH($B$4,Catch!$E$1:$BV$1,0)),0)</f>
        <v/>
      </c>
      <c r="D136">
        <f>IFERROR($C136*INDEX(SPPR!$E:$X,MATCH($A136,SPPR!$A:$A,0),1),"")</f>
        <v/>
      </c>
      <c r="E136">
        <f>IFERROR($C136*INDEX(SPPR!$E:$X,MATCH($A136,SPPR!$A:$A,0),2),"")</f>
        <v/>
      </c>
      <c r="F136">
        <f>IFERROR($C136*INDEX(SPPR!$E:$X,MATCH($A136,SPPR!$A:$A,0),3),"")</f>
        <v/>
      </c>
      <c r="G136">
        <f>IFERROR($C136*INDEX(SPPR!$E:$X,MATCH($A136,SPPR!$A:$A,0),4),"")</f>
        <v/>
      </c>
      <c r="H136">
        <f>IFERROR($C136*INDEX(SPPR!$E:$X,MATCH($A136,SPPR!$A:$A,0),5),"")</f>
        <v/>
      </c>
      <c r="I136">
        <f>IFERROR($C136*INDEX(SPPR!$E:$X,MATCH($A136,SPPR!$A:$A,0),6),"")</f>
        <v/>
      </c>
      <c r="J136">
        <f>IFERROR($C136*INDEX(SPPR!$E:$X,MATCH($A136,SPPR!$A:$A,0),7),"")</f>
        <v/>
      </c>
      <c r="K136">
        <f>IFERROR($C136*INDEX(SPPR!$E:$X,MATCH($A136,SPPR!$A:$A,0),8),"")</f>
        <v/>
      </c>
      <c r="L136">
        <f>IFERROR($C136*INDEX(SPPR!$E:$X,MATCH($A136,SPPR!$A:$A,0),9),"")</f>
        <v/>
      </c>
      <c r="M136">
        <f>IFERROR($C136*INDEX(SPPR!$E:$X,MATCH($A136,SPPR!$A:$A,0),10),"")</f>
        <v/>
      </c>
      <c r="N136">
        <f>IFERROR($C136*INDEX(SPPR!$E:$X,MATCH($A136,SPPR!$A:$A,0),11),"")</f>
        <v/>
      </c>
      <c r="O136">
        <f>IFERROR($C136*INDEX(SPPR!$E:$X,MATCH($A136,SPPR!$A:$A,0),12),"")</f>
        <v/>
      </c>
      <c r="P136">
        <f>IFERROR($C136*INDEX(SPPR!$E:$X,MATCH($A136,SPPR!$A:$A,0),13),"")</f>
        <v/>
      </c>
      <c r="Q136">
        <f>IFERROR($C136*INDEX(SPPR!$E:$X,MATCH($A136,SPPR!$A:$A,0),14),"")</f>
        <v/>
      </c>
      <c r="R136">
        <f>IFERROR($C136*INDEX(SPPR!$E:$X,MATCH($A136,SPPR!$A:$A,0),15),"")</f>
        <v/>
      </c>
      <c r="S136">
        <f>IFERROR($C136*INDEX(SPPR!$E:$X,MATCH($A136,SPPR!$A:$A,0),16),"")</f>
        <v/>
      </c>
      <c r="T136">
        <f>IFERROR($C136*INDEX(SPPR!$E:$X,MATCH($A136,SPPR!$A:$A,0),17),"")</f>
        <v/>
      </c>
      <c r="U136">
        <f>IFERROR($C136*INDEX(SPPR!$E:$X,MATCH($A136,SPPR!$A:$A,0),18),"")</f>
        <v/>
      </c>
      <c r="V136">
        <f>IFERROR($C136*INDEX(SPPR!$E:$X,MATCH($A136,SPPR!$A:$A,0),19),"")</f>
        <v/>
      </c>
      <c r="W136">
        <f>IFERROR($C136*INDEX(SPPR!$E:$X,MATCH($A136,SPPR!$A:$A,0),20),"")</f>
        <v/>
      </c>
    </row>
    <row r="137">
      <c r="A137" t="inlineStr">
        <is>
          <t>Aetobatus narinari</t>
        </is>
      </c>
      <c r="B137">
        <f>IFERROR(INDEX(SPPR!$D:$D,MATCH($A137,SPPR!$A:$A,0)),"")</f>
        <v/>
      </c>
      <c r="C137">
        <f>IFERROR(INDEX(Catch!$E:$BV,MATCH($A137,Catch!$A:$A,0),MATCH($B$4,Catch!$E$1:$BV$1,0)),0)</f>
        <v/>
      </c>
      <c r="D137">
        <f>IFERROR($C137*INDEX(SPPR!$E:$X,MATCH($A137,SPPR!$A:$A,0),1),"")</f>
        <v/>
      </c>
      <c r="E137">
        <f>IFERROR($C137*INDEX(SPPR!$E:$X,MATCH($A137,SPPR!$A:$A,0),2),"")</f>
        <v/>
      </c>
      <c r="F137">
        <f>IFERROR($C137*INDEX(SPPR!$E:$X,MATCH($A137,SPPR!$A:$A,0),3),"")</f>
        <v/>
      </c>
      <c r="G137">
        <f>IFERROR($C137*INDEX(SPPR!$E:$X,MATCH($A137,SPPR!$A:$A,0),4),"")</f>
        <v/>
      </c>
      <c r="H137">
        <f>IFERROR($C137*INDEX(SPPR!$E:$X,MATCH($A137,SPPR!$A:$A,0),5),"")</f>
        <v/>
      </c>
      <c r="I137">
        <f>IFERROR($C137*INDEX(SPPR!$E:$X,MATCH($A137,SPPR!$A:$A,0),6),"")</f>
        <v/>
      </c>
      <c r="J137">
        <f>IFERROR($C137*INDEX(SPPR!$E:$X,MATCH($A137,SPPR!$A:$A,0),7),"")</f>
        <v/>
      </c>
      <c r="K137">
        <f>IFERROR($C137*INDEX(SPPR!$E:$X,MATCH($A137,SPPR!$A:$A,0),8),"")</f>
        <v/>
      </c>
      <c r="L137">
        <f>IFERROR($C137*INDEX(SPPR!$E:$X,MATCH($A137,SPPR!$A:$A,0),9),"")</f>
        <v/>
      </c>
      <c r="M137">
        <f>IFERROR($C137*INDEX(SPPR!$E:$X,MATCH($A137,SPPR!$A:$A,0),10),"")</f>
        <v/>
      </c>
      <c r="N137">
        <f>IFERROR($C137*INDEX(SPPR!$E:$X,MATCH($A137,SPPR!$A:$A,0),11),"")</f>
        <v/>
      </c>
      <c r="O137">
        <f>IFERROR($C137*INDEX(SPPR!$E:$X,MATCH($A137,SPPR!$A:$A,0),12),"")</f>
        <v/>
      </c>
      <c r="P137">
        <f>IFERROR($C137*INDEX(SPPR!$E:$X,MATCH($A137,SPPR!$A:$A,0),13),"")</f>
        <v/>
      </c>
      <c r="Q137">
        <f>IFERROR($C137*INDEX(SPPR!$E:$X,MATCH($A137,SPPR!$A:$A,0),14),"")</f>
        <v/>
      </c>
      <c r="R137">
        <f>IFERROR($C137*INDEX(SPPR!$E:$X,MATCH($A137,SPPR!$A:$A,0),15),"")</f>
        <v/>
      </c>
      <c r="S137">
        <f>IFERROR($C137*INDEX(SPPR!$E:$X,MATCH($A137,SPPR!$A:$A,0),16),"")</f>
        <v/>
      </c>
      <c r="T137">
        <f>IFERROR($C137*INDEX(SPPR!$E:$X,MATCH($A137,SPPR!$A:$A,0),17),"")</f>
        <v/>
      </c>
      <c r="U137">
        <f>IFERROR($C137*INDEX(SPPR!$E:$X,MATCH($A137,SPPR!$A:$A,0),18),"")</f>
        <v/>
      </c>
      <c r="V137">
        <f>IFERROR($C137*INDEX(SPPR!$E:$X,MATCH($A137,SPPR!$A:$A,0),19),"")</f>
        <v/>
      </c>
      <c r="W137">
        <f>IFERROR($C137*INDEX(SPPR!$E:$X,MATCH($A137,SPPR!$A:$A,0),20),"")</f>
        <v/>
      </c>
    </row>
    <row r="138">
      <c r="A138" t="inlineStr">
        <is>
          <t>Pastinachus sephen</t>
        </is>
      </c>
      <c r="B138">
        <f>IFERROR(INDEX(SPPR!$D:$D,MATCH($A138,SPPR!$A:$A,0)),"")</f>
        <v/>
      </c>
      <c r="C138">
        <f>IFERROR(INDEX(Catch!$E:$BV,MATCH($A138,Catch!$A:$A,0),MATCH($B$4,Catch!$E$1:$BV$1,0)),0)</f>
        <v/>
      </c>
      <c r="D138">
        <f>IFERROR($C138*INDEX(SPPR!$E:$X,MATCH($A138,SPPR!$A:$A,0),1),"")</f>
        <v/>
      </c>
      <c r="E138">
        <f>IFERROR($C138*INDEX(SPPR!$E:$X,MATCH($A138,SPPR!$A:$A,0),2),"")</f>
        <v/>
      </c>
      <c r="F138">
        <f>IFERROR($C138*INDEX(SPPR!$E:$X,MATCH($A138,SPPR!$A:$A,0),3),"")</f>
        <v/>
      </c>
      <c r="G138">
        <f>IFERROR($C138*INDEX(SPPR!$E:$X,MATCH($A138,SPPR!$A:$A,0),4),"")</f>
        <v/>
      </c>
      <c r="H138">
        <f>IFERROR($C138*INDEX(SPPR!$E:$X,MATCH($A138,SPPR!$A:$A,0),5),"")</f>
        <v/>
      </c>
      <c r="I138">
        <f>IFERROR($C138*INDEX(SPPR!$E:$X,MATCH($A138,SPPR!$A:$A,0),6),"")</f>
        <v/>
      </c>
      <c r="J138">
        <f>IFERROR($C138*INDEX(SPPR!$E:$X,MATCH($A138,SPPR!$A:$A,0),7),"")</f>
        <v/>
      </c>
      <c r="K138">
        <f>IFERROR($C138*INDEX(SPPR!$E:$X,MATCH($A138,SPPR!$A:$A,0),8),"")</f>
        <v/>
      </c>
      <c r="L138">
        <f>IFERROR($C138*INDEX(SPPR!$E:$X,MATCH($A138,SPPR!$A:$A,0),9),"")</f>
        <v/>
      </c>
      <c r="M138">
        <f>IFERROR($C138*INDEX(SPPR!$E:$X,MATCH($A138,SPPR!$A:$A,0),10),"")</f>
        <v/>
      </c>
      <c r="N138">
        <f>IFERROR($C138*INDEX(SPPR!$E:$X,MATCH($A138,SPPR!$A:$A,0),11),"")</f>
        <v/>
      </c>
      <c r="O138">
        <f>IFERROR($C138*INDEX(SPPR!$E:$X,MATCH($A138,SPPR!$A:$A,0),12),"")</f>
        <v/>
      </c>
      <c r="P138">
        <f>IFERROR($C138*INDEX(SPPR!$E:$X,MATCH($A138,SPPR!$A:$A,0),13),"")</f>
        <v/>
      </c>
      <c r="Q138">
        <f>IFERROR($C138*INDEX(SPPR!$E:$X,MATCH($A138,SPPR!$A:$A,0),14),"")</f>
        <v/>
      </c>
      <c r="R138">
        <f>IFERROR($C138*INDEX(SPPR!$E:$X,MATCH($A138,SPPR!$A:$A,0),15),"")</f>
        <v/>
      </c>
      <c r="S138">
        <f>IFERROR($C138*INDEX(SPPR!$E:$X,MATCH($A138,SPPR!$A:$A,0),16),"")</f>
        <v/>
      </c>
      <c r="T138">
        <f>IFERROR($C138*INDEX(SPPR!$E:$X,MATCH($A138,SPPR!$A:$A,0),17),"")</f>
        <v/>
      </c>
      <c r="U138">
        <f>IFERROR($C138*INDEX(SPPR!$E:$X,MATCH($A138,SPPR!$A:$A,0),18),"")</f>
        <v/>
      </c>
      <c r="V138">
        <f>IFERROR($C138*INDEX(SPPR!$E:$X,MATCH($A138,SPPR!$A:$A,0),19),"")</f>
        <v/>
      </c>
      <c r="W138">
        <f>IFERROR($C138*INDEX(SPPR!$E:$X,MATCH($A138,SPPR!$A:$A,0),20),"")</f>
        <v/>
      </c>
    </row>
    <row r="139">
      <c r="A139" t="inlineStr">
        <is>
          <t>Aetomylaeus nichofii</t>
        </is>
      </c>
      <c r="B139">
        <f>IFERROR(INDEX(SPPR!$D:$D,MATCH($A139,SPPR!$A:$A,0)),"")</f>
        <v/>
      </c>
      <c r="C139">
        <f>IFERROR(INDEX(Catch!$E:$BV,MATCH($A139,Catch!$A:$A,0),MATCH($B$4,Catch!$E$1:$BV$1,0)),0)</f>
        <v/>
      </c>
      <c r="D139">
        <f>IFERROR($C139*INDEX(SPPR!$E:$X,MATCH($A139,SPPR!$A:$A,0),1),"")</f>
        <v/>
      </c>
      <c r="E139">
        <f>IFERROR($C139*INDEX(SPPR!$E:$X,MATCH($A139,SPPR!$A:$A,0),2),"")</f>
        <v/>
      </c>
      <c r="F139">
        <f>IFERROR($C139*INDEX(SPPR!$E:$X,MATCH($A139,SPPR!$A:$A,0),3),"")</f>
        <v/>
      </c>
      <c r="G139">
        <f>IFERROR($C139*INDEX(SPPR!$E:$X,MATCH($A139,SPPR!$A:$A,0),4),"")</f>
        <v/>
      </c>
      <c r="H139">
        <f>IFERROR($C139*INDEX(SPPR!$E:$X,MATCH($A139,SPPR!$A:$A,0),5),"")</f>
        <v/>
      </c>
      <c r="I139">
        <f>IFERROR($C139*INDEX(SPPR!$E:$X,MATCH($A139,SPPR!$A:$A,0),6),"")</f>
        <v/>
      </c>
      <c r="J139">
        <f>IFERROR($C139*INDEX(SPPR!$E:$X,MATCH($A139,SPPR!$A:$A,0),7),"")</f>
        <v/>
      </c>
      <c r="K139">
        <f>IFERROR($C139*INDEX(SPPR!$E:$X,MATCH($A139,SPPR!$A:$A,0),8),"")</f>
        <v/>
      </c>
      <c r="L139">
        <f>IFERROR($C139*INDEX(SPPR!$E:$X,MATCH($A139,SPPR!$A:$A,0),9),"")</f>
        <v/>
      </c>
      <c r="M139">
        <f>IFERROR($C139*INDEX(SPPR!$E:$X,MATCH($A139,SPPR!$A:$A,0),10),"")</f>
        <v/>
      </c>
      <c r="N139">
        <f>IFERROR($C139*INDEX(SPPR!$E:$X,MATCH($A139,SPPR!$A:$A,0),11),"")</f>
        <v/>
      </c>
      <c r="O139">
        <f>IFERROR($C139*INDEX(SPPR!$E:$X,MATCH($A139,SPPR!$A:$A,0),12),"")</f>
        <v/>
      </c>
      <c r="P139">
        <f>IFERROR($C139*INDEX(SPPR!$E:$X,MATCH($A139,SPPR!$A:$A,0),13),"")</f>
        <v/>
      </c>
      <c r="Q139">
        <f>IFERROR($C139*INDEX(SPPR!$E:$X,MATCH($A139,SPPR!$A:$A,0),14),"")</f>
        <v/>
      </c>
      <c r="R139">
        <f>IFERROR($C139*INDEX(SPPR!$E:$X,MATCH($A139,SPPR!$A:$A,0),15),"")</f>
        <v/>
      </c>
      <c r="S139">
        <f>IFERROR($C139*INDEX(SPPR!$E:$X,MATCH($A139,SPPR!$A:$A,0),16),"")</f>
        <v/>
      </c>
      <c r="T139">
        <f>IFERROR($C139*INDEX(SPPR!$E:$X,MATCH($A139,SPPR!$A:$A,0),17),"")</f>
        <v/>
      </c>
      <c r="U139">
        <f>IFERROR($C139*INDEX(SPPR!$E:$X,MATCH($A139,SPPR!$A:$A,0),18),"")</f>
        <v/>
      </c>
      <c r="V139">
        <f>IFERROR($C139*INDEX(SPPR!$E:$X,MATCH($A139,SPPR!$A:$A,0),19),"")</f>
        <v/>
      </c>
      <c r="W139">
        <f>IFERROR($C139*INDEX(SPPR!$E:$X,MATCH($A139,SPPR!$A:$A,0),20),"")</f>
        <v/>
      </c>
    </row>
    <row r="140">
      <c r="A140" t="inlineStr">
        <is>
          <t>Aetomylaeus maculatus</t>
        </is>
      </c>
      <c r="B140">
        <f>IFERROR(INDEX(SPPR!$D:$D,MATCH($A140,SPPR!$A:$A,0)),"")</f>
        <v/>
      </c>
      <c r="C140">
        <f>IFERROR(INDEX(Catch!$E:$BV,MATCH($A140,Catch!$A:$A,0),MATCH($B$4,Catch!$E$1:$BV$1,0)),0)</f>
        <v/>
      </c>
      <c r="D140">
        <f>IFERROR($C140*INDEX(SPPR!$E:$X,MATCH($A140,SPPR!$A:$A,0),1),"")</f>
        <v/>
      </c>
      <c r="E140">
        <f>IFERROR($C140*INDEX(SPPR!$E:$X,MATCH($A140,SPPR!$A:$A,0),2),"")</f>
        <v/>
      </c>
      <c r="F140">
        <f>IFERROR($C140*INDEX(SPPR!$E:$X,MATCH($A140,SPPR!$A:$A,0),3),"")</f>
        <v/>
      </c>
      <c r="G140">
        <f>IFERROR($C140*INDEX(SPPR!$E:$X,MATCH($A140,SPPR!$A:$A,0),4),"")</f>
        <v/>
      </c>
      <c r="H140">
        <f>IFERROR($C140*INDEX(SPPR!$E:$X,MATCH($A140,SPPR!$A:$A,0),5),"")</f>
        <v/>
      </c>
      <c r="I140">
        <f>IFERROR($C140*INDEX(SPPR!$E:$X,MATCH($A140,SPPR!$A:$A,0),6),"")</f>
        <v/>
      </c>
      <c r="J140">
        <f>IFERROR($C140*INDEX(SPPR!$E:$X,MATCH($A140,SPPR!$A:$A,0),7),"")</f>
        <v/>
      </c>
      <c r="K140">
        <f>IFERROR($C140*INDEX(SPPR!$E:$X,MATCH($A140,SPPR!$A:$A,0),8),"")</f>
        <v/>
      </c>
      <c r="L140">
        <f>IFERROR($C140*INDEX(SPPR!$E:$X,MATCH($A140,SPPR!$A:$A,0),9),"")</f>
        <v/>
      </c>
      <c r="M140">
        <f>IFERROR($C140*INDEX(SPPR!$E:$X,MATCH($A140,SPPR!$A:$A,0),10),"")</f>
        <v/>
      </c>
      <c r="N140">
        <f>IFERROR($C140*INDEX(SPPR!$E:$X,MATCH($A140,SPPR!$A:$A,0),11),"")</f>
        <v/>
      </c>
      <c r="O140">
        <f>IFERROR($C140*INDEX(SPPR!$E:$X,MATCH($A140,SPPR!$A:$A,0),12),"")</f>
        <v/>
      </c>
      <c r="P140">
        <f>IFERROR($C140*INDEX(SPPR!$E:$X,MATCH($A140,SPPR!$A:$A,0),13),"")</f>
        <v/>
      </c>
      <c r="Q140">
        <f>IFERROR($C140*INDEX(SPPR!$E:$X,MATCH($A140,SPPR!$A:$A,0),14),"")</f>
        <v/>
      </c>
      <c r="R140">
        <f>IFERROR($C140*INDEX(SPPR!$E:$X,MATCH($A140,SPPR!$A:$A,0),15),"")</f>
        <v/>
      </c>
      <c r="S140">
        <f>IFERROR($C140*INDEX(SPPR!$E:$X,MATCH($A140,SPPR!$A:$A,0),16),"")</f>
        <v/>
      </c>
      <c r="T140">
        <f>IFERROR($C140*INDEX(SPPR!$E:$X,MATCH($A140,SPPR!$A:$A,0),17),"")</f>
        <v/>
      </c>
      <c r="U140">
        <f>IFERROR($C140*INDEX(SPPR!$E:$X,MATCH($A140,SPPR!$A:$A,0),18),"")</f>
        <v/>
      </c>
      <c r="V140">
        <f>IFERROR($C140*INDEX(SPPR!$E:$X,MATCH($A140,SPPR!$A:$A,0),19),"")</f>
        <v/>
      </c>
      <c r="W140">
        <f>IFERROR($C140*INDEX(SPPR!$E:$X,MATCH($A140,SPPR!$A:$A,0),20),"")</f>
        <v/>
      </c>
    </row>
    <row r="141">
      <c r="A141" t="inlineStr">
        <is>
          <t>Argyrosomus heinii</t>
        </is>
      </c>
      <c r="B141">
        <f>IFERROR(INDEX(SPPR!$D:$D,MATCH($A141,SPPR!$A:$A,0)),"")</f>
        <v/>
      </c>
      <c r="C141">
        <f>IFERROR(INDEX(Catch!$E:$BV,MATCH($A141,Catch!$A:$A,0),MATCH($B$4,Catch!$E$1:$BV$1,0)),0)</f>
        <v/>
      </c>
      <c r="D141">
        <f>IFERROR($C141*INDEX(SPPR!$E:$X,MATCH($A141,SPPR!$A:$A,0),1),"")</f>
        <v/>
      </c>
      <c r="E141">
        <f>IFERROR($C141*INDEX(SPPR!$E:$X,MATCH($A141,SPPR!$A:$A,0),2),"")</f>
        <v/>
      </c>
      <c r="F141">
        <f>IFERROR($C141*INDEX(SPPR!$E:$X,MATCH($A141,SPPR!$A:$A,0),3),"")</f>
        <v/>
      </c>
      <c r="G141">
        <f>IFERROR($C141*INDEX(SPPR!$E:$X,MATCH($A141,SPPR!$A:$A,0),4),"")</f>
        <v/>
      </c>
      <c r="H141">
        <f>IFERROR($C141*INDEX(SPPR!$E:$X,MATCH($A141,SPPR!$A:$A,0),5),"")</f>
        <v/>
      </c>
      <c r="I141">
        <f>IFERROR($C141*INDEX(SPPR!$E:$X,MATCH($A141,SPPR!$A:$A,0),6),"")</f>
        <v/>
      </c>
      <c r="J141">
        <f>IFERROR($C141*INDEX(SPPR!$E:$X,MATCH($A141,SPPR!$A:$A,0),7),"")</f>
        <v/>
      </c>
      <c r="K141">
        <f>IFERROR($C141*INDEX(SPPR!$E:$X,MATCH($A141,SPPR!$A:$A,0),8),"")</f>
        <v/>
      </c>
      <c r="L141">
        <f>IFERROR($C141*INDEX(SPPR!$E:$X,MATCH($A141,SPPR!$A:$A,0),9),"")</f>
        <v/>
      </c>
      <c r="M141">
        <f>IFERROR($C141*INDEX(SPPR!$E:$X,MATCH($A141,SPPR!$A:$A,0),10),"")</f>
        <v/>
      </c>
      <c r="N141">
        <f>IFERROR($C141*INDEX(SPPR!$E:$X,MATCH($A141,SPPR!$A:$A,0),11),"")</f>
        <v/>
      </c>
      <c r="O141">
        <f>IFERROR($C141*INDEX(SPPR!$E:$X,MATCH($A141,SPPR!$A:$A,0),12),"")</f>
        <v/>
      </c>
      <c r="P141">
        <f>IFERROR($C141*INDEX(SPPR!$E:$X,MATCH($A141,SPPR!$A:$A,0),13),"")</f>
        <v/>
      </c>
      <c r="Q141">
        <f>IFERROR($C141*INDEX(SPPR!$E:$X,MATCH($A141,SPPR!$A:$A,0),14),"")</f>
        <v/>
      </c>
      <c r="R141">
        <f>IFERROR($C141*INDEX(SPPR!$E:$X,MATCH($A141,SPPR!$A:$A,0),15),"")</f>
        <v/>
      </c>
      <c r="S141">
        <f>IFERROR($C141*INDEX(SPPR!$E:$X,MATCH($A141,SPPR!$A:$A,0),16),"")</f>
        <v/>
      </c>
      <c r="T141">
        <f>IFERROR($C141*INDEX(SPPR!$E:$X,MATCH($A141,SPPR!$A:$A,0),17),"")</f>
        <v/>
      </c>
      <c r="U141">
        <f>IFERROR($C141*INDEX(SPPR!$E:$X,MATCH($A141,SPPR!$A:$A,0),18),"")</f>
        <v/>
      </c>
      <c r="V141">
        <f>IFERROR($C141*INDEX(SPPR!$E:$X,MATCH($A141,SPPR!$A:$A,0),19),"")</f>
        <v/>
      </c>
      <c r="W141">
        <f>IFERROR($C141*INDEX(SPPR!$E:$X,MATCH($A141,SPPR!$A:$A,0),20),"")</f>
        <v/>
      </c>
    </row>
    <row r="142">
      <c r="A142" t="inlineStr">
        <is>
          <t>Protonibea diacanthus</t>
        </is>
      </c>
      <c r="B142">
        <f>IFERROR(INDEX(SPPR!$D:$D,MATCH($A142,SPPR!$A:$A,0)),"")</f>
        <v/>
      </c>
      <c r="C142">
        <f>IFERROR(INDEX(Catch!$E:$BV,MATCH($A142,Catch!$A:$A,0),MATCH($B$4,Catch!$E$1:$BV$1,0)),0)</f>
        <v/>
      </c>
      <c r="D142">
        <f>IFERROR($C142*INDEX(SPPR!$E:$X,MATCH($A142,SPPR!$A:$A,0),1),"")</f>
        <v/>
      </c>
      <c r="E142">
        <f>IFERROR($C142*INDEX(SPPR!$E:$X,MATCH($A142,SPPR!$A:$A,0),2),"")</f>
        <v/>
      </c>
      <c r="F142">
        <f>IFERROR($C142*INDEX(SPPR!$E:$X,MATCH($A142,SPPR!$A:$A,0),3),"")</f>
        <v/>
      </c>
      <c r="G142">
        <f>IFERROR($C142*INDEX(SPPR!$E:$X,MATCH($A142,SPPR!$A:$A,0),4),"")</f>
        <v/>
      </c>
      <c r="H142">
        <f>IFERROR($C142*INDEX(SPPR!$E:$X,MATCH($A142,SPPR!$A:$A,0),5),"")</f>
        <v/>
      </c>
      <c r="I142">
        <f>IFERROR($C142*INDEX(SPPR!$E:$X,MATCH($A142,SPPR!$A:$A,0),6),"")</f>
        <v/>
      </c>
      <c r="J142">
        <f>IFERROR($C142*INDEX(SPPR!$E:$X,MATCH($A142,SPPR!$A:$A,0),7),"")</f>
        <v/>
      </c>
      <c r="K142">
        <f>IFERROR($C142*INDEX(SPPR!$E:$X,MATCH($A142,SPPR!$A:$A,0),8),"")</f>
        <v/>
      </c>
      <c r="L142">
        <f>IFERROR($C142*INDEX(SPPR!$E:$X,MATCH($A142,SPPR!$A:$A,0),9),"")</f>
        <v/>
      </c>
      <c r="M142">
        <f>IFERROR($C142*INDEX(SPPR!$E:$X,MATCH($A142,SPPR!$A:$A,0),10),"")</f>
        <v/>
      </c>
      <c r="N142">
        <f>IFERROR($C142*INDEX(SPPR!$E:$X,MATCH($A142,SPPR!$A:$A,0),11),"")</f>
        <v/>
      </c>
      <c r="O142">
        <f>IFERROR($C142*INDEX(SPPR!$E:$X,MATCH($A142,SPPR!$A:$A,0),12),"")</f>
        <v/>
      </c>
      <c r="P142">
        <f>IFERROR($C142*INDEX(SPPR!$E:$X,MATCH($A142,SPPR!$A:$A,0),13),"")</f>
        <v/>
      </c>
      <c r="Q142">
        <f>IFERROR($C142*INDEX(SPPR!$E:$X,MATCH($A142,SPPR!$A:$A,0),14),"")</f>
        <v/>
      </c>
      <c r="R142">
        <f>IFERROR($C142*INDEX(SPPR!$E:$X,MATCH($A142,SPPR!$A:$A,0),15),"")</f>
        <v/>
      </c>
      <c r="S142">
        <f>IFERROR($C142*INDEX(SPPR!$E:$X,MATCH($A142,SPPR!$A:$A,0),16),"")</f>
        <v/>
      </c>
      <c r="T142">
        <f>IFERROR($C142*INDEX(SPPR!$E:$X,MATCH($A142,SPPR!$A:$A,0),17),"")</f>
        <v/>
      </c>
      <c r="U142">
        <f>IFERROR($C142*INDEX(SPPR!$E:$X,MATCH($A142,SPPR!$A:$A,0),18),"")</f>
        <v/>
      </c>
      <c r="V142">
        <f>IFERROR($C142*INDEX(SPPR!$E:$X,MATCH($A142,SPPR!$A:$A,0),19),"")</f>
        <v/>
      </c>
      <c r="W142">
        <f>IFERROR($C142*INDEX(SPPR!$E:$X,MATCH($A142,SPPR!$A:$A,0),20),"")</f>
        <v/>
      </c>
    </row>
    <row r="143">
      <c r="A143" t="inlineStr">
        <is>
          <t>Bregmaceros mcclellandi</t>
        </is>
      </c>
      <c r="B143">
        <f>IFERROR(INDEX(SPPR!$D:$D,MATCH($A143,SPPR!$A:$A,0)),"")</f>
        <v/>
      </c>
      <c r="C143">
        <f>IFERROR(INDEX(Catch!$E:$BV,MATCH($A143,Catch!$A:$A,0),MATCH($B$4,Catch!$E$1:$BV$1,0)),0)</f>
        <v/>
      </c>
      <c r="D143">
        <f>IFERROR($C143*INDEX(SPPR!$E:$X,MATCH($A143,SPPR!$A:$A,0),1),"")</f>
        <v/>
      </c>
      <c r="E143">
        <f>IFERROR($C143*INDEX(SPPR!$E:$X,MATCH($A143,SPPR!$A:$A,0),2),"")</f>
        <v/>
      </c>
      <c r="F143">
        <f>IFERROR($C143*INDEX(SPPR!$E:$X,MATCH($A143,SPPR!$A:$A,0),3),"")</f>
        <v/>
      </c>
      <c r="G143">
        <f>IFERROR($C143*INDEX(SPPR!$E:$X,MATCH($A143,SPPR!$A:$A,0),4),"")</f>
        <v/>
      </c>
      <c r="H143">
        <f>IFERROR($C143*INDEX(SPPR!$E:$X,MATCH($A143,SPPR!$A:$A,0),5),"")</f>
        <v/>
      </c>
      <c r="I143">
        <f>IFERROR($C143*INDEX(SPPR!$E:$X,MATCH($A143,SPPR!$A:$A,0),6),"")</f>
        <v/>
      </c>
      <c r="J143">
        <f>IFERROR($C143*INDEX(SPPR!$E:$X,MATCH($A143,SPPR!$A:$A,0),7),"")</f>
        <v/>
      </c>
      <c r="K143">
        <f>IFERROR($C143*INDEX(SPPR!$E:$X,MATCH($A143,SPPR!$A:$A,0),8),"")</f>
        <v/>
      </c>
      <c r="L143">
        <f>IFERROR($C143*INDEX(SPPR!$E:$X,MATCH($A143,SPPR!$A:$A,0),9),"")</f>
        <v/>
      </c>
      <c r="M143">
        <f>IFERROR($C143*INDEX(SPPR!$E:$X,MATCH($A143,SPPR!$A:$A,0),10),"")</f>
        <v/>
      </c>
      <c r="N143">
        <f>IFERROR($C143*INDEX(SPPR!$E:$X,MATCH($A143,SPPR!$A:$A,0),11),"")</f>
        <v/>
      </c>
      <c r="O143">
        <f>IFERROR($C143*INDEX(SPPR!$E:$X,MATCH($A143,SPPR!$A:$A,0),12),"")</f>
        <v/>
      </c>
      <c r="P143">
        <f>IFERROR($C143*INDEX(SPPR!$E:$X,MATCH($A143,SPPR!$A:$A,0),13),"")</f>
        <v/>
      </c>
      <c r="Q143">
        <f>IFERROR($C143*INDEX(SPPR!$E:$X,MATCH($A143,SPPR!$A:$A,0),14),"")</f>
        <v/>
      </c>
      <c r="R143">
        <f>IFERROR($C143*INDEX(SPPR!$E:$X,MATCH($A143,SPPR!$A:$A,0),15),"")</f>
        <v/>
      </c>
      <c r="S143">
        <f>IFERROR($C143*INDEX(SPPR!$E:$X,MATCH($A143,SPPR!$A:$A,0),16),"")</f>
        <v/>
      </c>
      <c r="T143">
        <f>IFERROR($C143*INDEX(SPPR!$E:$X,MATCH($A143,SPPR!$A:$A,0),17),"")</f>
        <v/>
      </c>
      <c r="U143">
        <f>IFERROR($C143*INDEX(SPPR!$E:$X,MATCH($A143,SPPR!$A:$A,0),18),"")</f>
        <v/>
      </c>
      <c r="V143">
        <f>IFERROR($C143*INDEX(SPPR!$E:$X,MATCH($A143,SPPR!$A:$A,0),19),"")</f>
        <v/>
      </c>
      <c r="W143">
        <f>IFERROR($C143*INDEX(SPPR!$E:$X,MATCH($A143,SPPR!$A:$A,0),20),"")</f>
        <v/>
      </c>
    </row>
    <row r="144">
      <c r="A144" t="inlineStr">
        <is>
          <t>Acanthopagrus bifasciatus</t>
        </is>
      </c>
      <c r="B144">
        <f>IFERROR(INDEX(SPPR!$D:$D,MATCH($A144,SPPR!$A:$A,0)),"")</f>
        <v/>
      </c>
      <c r="C144">
        <f>IFERROR(INDEX(Catch!$E:$BV,MATCH($A144,Catch!$A:$A,0),MATCH($B$4,Catch!$E$1:$BV$1,0)),0)</f>
        <v/>
      </c>
      <c r="D144">
        <f>IFERROR($C144*INDEX(SPPR!$E:$X,MATCH($A144,SPPR!$A:$A,0),1),"")</f>
        <v/>
      </c>
      <c r="E144">
        <f>IFERROR($C144*INDEX(SPPR!$E:$X,MATCH($A144,SPPR!$A:$A,0),2),"")</f>
        <v/>
      </c>
      <c r="F144">
        <f>IFERROR($C144*INDEX(SPPR!$E:$X,MATCH($A144,SPPR!$A:$A,0),3),"")</f>
        <v/>
      </c>
      <c r="G144">
        <f>IFERROR($C144*INDEX(SPPR!$E:$X,MATCH($A144,SPPR!$A:$A,0),4),"")</f>
        <v/>
      </c>
      <c r="H144">
        <f>IFERROR($C144*INDEX(SPPR!$E:$X,MATCH($A144,SPPR!$A:$A,0),5),"")</f>
        <v/>
      </c>
      <c r="I144">
        <f>IFERROR($C144*INDEX(SPPR!$E:$X,MATCH($A144,SPPR!$A:$A,0),6),"")</f>
        <v/>
      </c>
      <c r="J144">
        <f>IFERROR($C144*INDEX(SPPR!$E:$X,MATCH($A144,SPPR!$A:$A,0),7),"")</f>
        <v/>
      </c>
      <c r="K144">
        <f>IFERROR($C144*INDEX(SPPR!$E:$X,MATCH($A144,SPPR!$A:$A,0),8),"")</f>
        <v/>
      </c>
      <c r="L144">
        <f>IFERROR($C144*INDEX(SPPR!$E:$X,MATCH($A144,SPPR!$A:$A,0),9),"")</f>
        <v/>
      </c>
      <c r="M144">
        <f>IFERROR($C144*INDEX(SPPR!$E:$X,MATCH($A144,SPPR!$A:$A,0),10),"")</f>
        <v/>
      </c>
      <c r="N144">
        <f>IFERROR($C144*INDEX(SPPR!$E:$X,MATCH($A144,SPPR!$A:$A,0),11),"")</f>
        <v/>
      </c>
      <c r="O144">
        <f>IFERROR($C144*INDEX(SPPR!$E:$X,MATCH($A144,SPPR!$A:$A,0),12),"")</f>
        <v/>
      </c>
      <c r="P144">
        <f>IFERROR($C144*INDEX(SPPR!$E:$X,MATCH($A144,SPPR!$A:$A,0),13),"")</f>
        <v/>
      </c>
      <c r="Q144">
        <f>IFERROR($C144*INDEX(SPPR!$E:$X,MATCH($A144,SPPR!$A:$A,0),14),"")</f>
        <v/>
      </c>
      <c r="R144">
        <f>IFERROR($C144*INDEX(SPPR!$E:$X,MATCH($A144,SPPR!$A:$A,0),15),"")</f>
        <v/>
      </c>
      <c r="S144">
        <f>IFERROR($C144*INDEX(SPPR!$E:$X,MATCH($A144,SPPR!$A:$A,0),16),"")</f>
        <v/>
      </c>
      <c r="T144">
        <f>IFERROR($C144*INDEX(SPPR!$E:$X,MATCH($A144,SPPR!$A:$A,0),17),"")</f>
        <v/>
      </c>
      <c r="U144">
        <f>IFERROR($C144*INDEX(SPPR!$E:$X,MATCH($A144,SPPR!$A:$A,0),18),"")</f>
        <v/>
      </c>
      <c r="V144">
        <f>IFERROR($C144*INDEX(SPPR!$E:$X,MATCH($A144,SPPR!$A:$A,0),19),"")</f>
        <v/>
      </c>
      <c r="W144">
        <f>IFERROR($C144*INDEX(SPPR!$E:$X,MATCH($A144,SPPR!$A:$A,0),20),"")</f>
        <v/>
      </c>
    </row>
    <row r="145">
      <c r="A145" t="inlineStr">
        <is>
          <t>Upeneus sulphureus</t>
        </is>
      </c>
      <c r="B145">
        <f>IFERROR(INDEX(SPPR!$D:$D,MATCH($A145,SPPR!$A:$A,0)),"")</f>
        <v/>
      </c>
      <c r="C145">
        <f>IFERROR(INDEX(Catch!$E:$BV,MATCH($A145,Catch!$A:$A,0),MATCH($B$4,Catch!$E$1:$BV$1,0)),0)</f>
        <v/>
      </c>
      <c r="D145">
        <f>IFERROR($C145*INDEX(SPPR!$E:$X,MATCH($A145,SPPR!$A:$A,0),1),"")</f>
        <v/>
      </c>
      <c r="E145">
        <f>IFERROR($C145*INDEX(SPPR!$E:$X,MATCH($A145,SPPR!$A:$A,0),2),"")</f>
        <v/>
      </c>
      <c r="F145">
        <f>IFERROR($C145*INDEX(SPPR!$E:$X,MATCH($A145,SPPR!$A:$A,0),3),"")</f>
        <v/>
      </c>
      <c r="G145">
        <f>IFERROR($C145*INDEX(SPPR!$E:$X,MATCH($A145,SPPR!$A:$A,0),4),"")</f>
        <v/>
      </c>
      <c r="H145">
        <f>IFERROR($C145*INDEX(SPPR!$E:$X,MATCH($A145,SPPR!$A:$A,0),5),"")</f>
        <v/>
      </c>
      <c r="I145">
        <f>IFERROR($C145*INDEX(SPPR!$E:$X,MATCH($A145,SPPR!$A:$A,0),6),"")</f>
        <v/>
      </c>
      <c r="J145">
        <f>IFERROR($C145*INDEX(SPPR!$E:$X,MATCH($A145,SPPR!$A:$A,0),7),"")</f>
        <v/>
      </c>
      <c r="K145">
        <f>IFERROR($C145*INDEX(SPPR!$E:$X,MATCH($A145,SPPR!$A:$A,0),8),"")</f>
        <v/>
      </c>
      <c r="L145">
        <f>IFERROR($C145*INDEX(SPPR!$E:$X,MATCH($A145,SPPR!$A:$A,0),9),"")</f>
        <v/>
      </c>
      <c r="M145">
        <f>IFERROR($C145*INDEX(SPPR!$E:$X,MATCH($A145,SPPR!$A:$A,0),10),"")</f>
        <v/>
      </c>
      <c r="N145">
        <f>IFERROR($C145*INDEX(SPPR!$E:$X,MATCH($A145,SPPR!$A:$A,0),11),"")</f>
        <v/>
      </c>
      <c r="O145">
        <f>IFERROR($C145*INDEX(SPPR!$E:$X,MATCH($A145,SPPR!$A:$A,0),12),"")</f>
        <v/>
      </c>
      <c r="P145">
        <f>IFERROR($C145*INDEX(SPPR!$E:$X,MATCH($A145,SPPR!$A:$A,0),13),"")</f>
        <v/>
      </c>
      <c r="Q145">
        <f>IFERROR($C145*INDEX(SPPR!$E:$X,MATCH($A145,SPPR!$A:$A,0),14),"")</f>
        <v/>
      </c>
      <c r="R145">
        <f>IFERROR($C145*INDEX(SPPR!$E:$X,MATCH($A145,SPPR!$A:$A,0),15),"")</f>
        <v/>
      </c>
      <c r="S145">
        <f>IFERROR($C145*INDEX(SPPR!$E:$X,MATCH($A145,SPPR!$A:$A,0),16),"")</f>
        <v/>
      </c>
      <c r="T145">
        <f>IFERROR($C145*INDEX(SPPR!$E:$X,MATCH($A145,SPPR!$A:$A,0),17),"")</f>
        <v/>
      </c>
      <c r="U145">
        <f>IFERROR($C145*INDEX(SPPR!$E:$X,MATCH($A145,SPPR!$A:$A,0),18),"")</f>
        <v/>
      </c>
      <c r="V145">
        <f>IFERROR($C145*INDEX(SPPR!$E:$X,MATCH($A145,SPPR!$A:$A,0),19),"")</f>
        <v/>
      </c>
      <c r="W145">
        <f>IFERROR($C145*INDEX(SPPR!$E:$X,MATCH($A145,SPPR!$A:$A,0),20),"")</f>
        <v/>
      </c>
    </row>
    <row r="146">
      <c r="A146" t="inlineStr">
        <is>
          <t>Auxis rochei</t>
        </is>
      </c>
      <c r="B146">
        <f>IFERROR(INDEX(SPPR!$D:$D,MATCH($A146,SPPR!$A:$A,0)),"")</f>
        <v/>
      </c>
      <c r="C146">
        <f>IFERROR(INDEX(Catch!$E:$BV,MATCH($A146,Catch!$A:$A,0),MATCH($B$4,Catch!$E$1:$BV$1,0)),0)</f>
        <v/>
      </c>
      <c r="D146">
        <f>IFERROR($C146*INDEX(SPPR!$E:$X,MATCH($A146,SPPR!$A:$A,0),1),"")</f>
        <v/>
      </c>
      <c r="E146">
        <f>IFERROR($C146*INDEX(SPPR!$E:$X,MATCH($A146,SPPR!$A:$A,0),2),"")</f>
        <v/>
      </c>
      <c r="F146">
        <f>IFERROR($C146*INDEX(SPPR!$E:$X,MATCH($A146,SPPR!$A:$A,0),3),"")</f>
        <v/>
      </c>
      <c r="G146">
        <f>IFERROR($C146*INDEX(SPPR!$E:$X,MATCH($A146,SPPR!$A:$A,0),4),"")</f>
        <v/>
      </c>
      <c r="H146">
        <f>IFERROR($C146*INDEX(SPPR!$E:$X,MATCH($A146,SPPR!$A:$A,0),5),"")</f>
        <v/>
      </c>
      <c r="I146">
        <f>IFERROR($C146*INDEX(SPPR!$E:$X,MATCH($A146,SPPR!$A:$A,0),6),"")</f>
        <v/>
      </c>
      <c r="J146">
        <f>IFERROR($C146*INDEX(SPPR!$E:$X,MATCH($A146,SPPR!$A:$A,0),7),"")</f>
        <v/>
      </c>
      <c r="K146">
        <f>IFERROR($C146*INDEX(SPPR!$E:$X,MATCH($A146,SPPR!$A:$A,0),8),"")</f>
        <v/>
      </c>
      <c r="L146">
        <f>IFERROR($C146*INDEX(SPPR!$E:$X,MATCH($A146,SPPR!$A:$A,0),9),"")</f>
        <v/>
      </c>
      <c r="M146">
        <f>IFERROR($C146*INDEX(SPPR!$E:$X,MATCH($A146,SPPR!$A:$A,0),10),"")</f>
        <v/>
      </c>
      <c r="N146">
        <f>IFERROR($C146*INDEX(SPPR!$E:$X,MATCH($A146,SPPR!$A:$A,0),11),"")</f>
        <v/>
      </c>
      <c r="O146">
        <f>IFERROR($C146*INDEX(SPPR!$E:$X,MATCH($A146,SPPR!$A:$A,0),12),"")</f>
        <v/>
      </c>
      <c r="P146">
        <f>IFERROR($C146*INDEX(SPPR!$E:$X,MATCH($A146,SPPR!$A:$A,0),13),"")</f>
        <v/>
      </c>
      <c r="Q146">
        <f>IFERROR($C146*INDEX(SPPR!$E:$X,MATCH($A146,SPPR!$A:$A,0),14),"")</f>
        <v/>
      </c>
      <c r="R146">
        <f>IFERROR($C146*INDEX(SPPR!$E:$X,MATCH($A146,SPPR!$A:$A,0),15),"")</f>
        <v/>
      </c>
      <c r="S146">
        <f>IFERROR($C146*INDEX(SPPR!$E:$X,MATCH($A146,SPPR!$A:$A,0),16),"")</f>
        <v/>
      </c>
      <c r="T146">
        <f>IFERROR($C146*INDEX(SPPR!$E:$X,MATCH($A146,SPPR!$A:$A,0),17),"")</f>
        <v/>
      </c>
      <c r="U146">
        <f>IFERROR($C146*INDEX(SPPR!$E:$X,MATCH($A146,SPPR!$A:$A,0),18),"")</f>
        <v/>
      </c>
      <c r="V146">
        <f>IFERROR($C146*INDEX(SPPR!$E:$X,MATCH($A146,SPPR!$A:$A,0),19),"")</f>
        <v/>
      </c>
      <c r="W146">
        <f>IFERROR($C146*INDEX(SPPR!$E:$X,MATCH($A146,SPPR!$A:$A,0),20),"")</f>
        <v/>
      </c>
    </row>
    <row r="147">
      <c r="A147" t="inlineStr">
        <is>
          <t>Grammoplites suppositus</t>
        </is>
      </c>
      <c r="B147">
        <f>IFERROR(INDEX(SPPR!$D:$D,MATCH($A147,SPPR!$A:$A,0)),"")</f>
        <v/>
      </c>
      <c r="C147">
        <f>IFERROR(INDEX(Catch!$E:$BV,MATCH($A147,Catch!$A:$A,0),MATCH($B$4,Catch!$E$1:$BV$1,0)),0)</f>
        <v/>
      </c>
      <c r="D147">
        <f>IFERROR($C147*INDEX(SPPR!$E:$X,MATCH($A147,SPPR!$A:$A,0),1),"")</f>
        <v/>
      </c>
      <c r="E147">
        <f>IFERROR($C147*INDEX(SPPR!$E:$X,MATCH($A147,SPPR!$A:$A,0),2),"")</f>
        <v/>
      </c>
      <c r="F147">
        <f>IFERROR($C147*INDEX(SPPR!$E:$X,MATCH($A147,SPPR!$A:$A,0),3),"")</f>
        <v/>
      </c>
      <c r="G147">
        <f>IFERROR($C147*INDEX(SPPR!$E:$X,MATCH($A147,SPPR!$A:$A,0),4),"")</f>
        <v/>
      </c>
      <c r="H147">
        <f>IFERROR($C147*INDEX(SPPR!$E:$X,MATCH($A147,SPPR!$A:$A,0),5),"")</f>
        <v/>
      </c>
      <c r="I147">
        <f>IFERROR($C147*INDEX(SPPR!$E:$X,MATCH($A147,SPPR!$A:$A,0),6),"")</f>
        <v/>
      </c>
      <c r="J147">
        <f>IFERROR($C147*INDEX(SPPR!$E:$X,MATCH($A147,SPPR!$A:$A,0),7),"")</f>
        <v/>
      </c>
      <c r="K147">
        <f>IFERROR($C147*INDEX(SPPR!$E:$X,MATCH($A147,SPPR!$A:$A,0),8),"")</f>
        <v/>
      </c>
      <c r="L147">
        <f>IFERROR($C147*INDEX(SPPR!$E:$X,MATCH($A147,SPPR!$A:$A,0),9),"")</f>
        <v/>
      </c>
      <c r="M147">
        <f>IFERROR($C147*INDEX(SPPR!$E:$X,MATCH($A147,SPPR!$A:$A,0),10),"")</f>
        <v/>
      </c>
      <c r="N147">
        <f>IFERROR($C147*INDEX(SPPR!$E:$X,MATCH($A147,SPPR!$A:$A,0),11),"")</f>
        <v/>
      </c>
      <c r="O147">
        <f>IFERROR($C147*INDEX(SPPR!$E:$X,MATCH($A147,SPPR!$A:$A,0),12),"")</f>
        <v/>
      </c>
      <c r="P147">
        <f>IFERROR($C147*INDEX(SPPR!$E:$X,MATCH($A147,SPPR!$A:$A,0),13),"")</f>
        <v/>
      </c>
      <c r="Q147">
        <f>IFERROR($C147*INDEX(SPPR!$E:$X,MATCH($A147,SPPR!$A:$A,0),14),"")</f>
        <v/>
      </c>
      <c r="R147">
        <f>IFERROR($C147*INDEX(SPPR!$E:$X,MATCH($A147,SPPR!$A:$A,0),15),"")</f>
        <v/>
      </c>
      <c r="S147">
        <f>IFERROR($C147*INDEX(SPPR!$E:$X,MATCH($A147,SPPR!$A:$A,0),16),"")</f>
        <v/>
      </c>
      <c r="T147">
        <f>IFERROR($C147*INDEX(SPPR!$E:$X,MATCH($A147,SPPR!$A:$A,0),17),"")</f>
        <v/>
      </c>
      <c r="U147">
        <f>IFERROR($C147*INDEX(SPPR!$E:$X,MATCH($A147,SPPR!$A:$A,0),18),"")</f>
        <v/>
      </c>
      <c r="V147">
        <f>IFERROR($C147*INDEX(SPPR!$E:$X,MATCH($A147,SPPR!$A:$A,0),19),"")</f>
        <v/>
      </c>
      <c r="W147">
        <f>IFERROR($C147*INDEX(SPPR!$E:$X,MATCH($A147,SPPR!$A:$A,0),20),"")</f>
        <v/>
      </c>
    </row>
    <row r="148">
      <c r="A148" t="inlineStr">
        <is>
          <t>Scolopsis taeniata</t>
        </is>
      </c>
      <c r="B148">
        <f>IFERROR(INDEX(SPPR!$D:$D,MATCH($A148,SPPR!$A:$A,0)),"")</f>
        <v/>
      </c>
      <c r="C148">
        <f>IFERROR(INDEX(Catch!$E:$BV,MATCH($A148,Catch!$A:$A,0),MATCH($B$4,Catch!$E$1:$BV$1,0)),0)</f>
        <v/>
      </c>
      <c r="D148">
        <f>IFERROR($C148*INDEX(SPPR!$E:$X,MATCH($A148,SPPR!$A:$A,0),1),"")</f>
        <v/>
      </c>
      <c r="E148">
        <f>IFERROR($C148*INDEX(SPPR!$E:$X,MATCH($A148,SPPR!$A:$A,0),2),"")</f>
        <v/>
      </c>
      <c r="F148">
        <f>IFERROR($C148*INDEX(SPPR!$E:$X,MATCH($A148,SPPR!$A:$A,0),3),"")</f>
        <v/>
      </c>
      <c r="G148">
        <f>IFERROR($C148*INDEX(SPPR!$E:$X,MATCH($A148,SPPR!$A:$A,0),4),"")</f>
        <v/>
      </c>
      <c r="H148">
        <f>IFERROR($C148*INDEX(SPPR!$E:$X,MATCH($A148,SPPR!$A:$A,0),5),"")</f>
        <v/>
      </c>
      <c r="I148">
        <f>IFERROR($C148*INDEX(SPPR!$E:$X,MATCH($A148,SPPR!$A:$A,0),6),"")</f>
        <v/>
      </c>
      <c r="J148">
        <f>IFERROR($C148*INDEX(SPPR!$E:$X,MATCH($A148,SPPR!$A:$A,0),7),"")</f>
        <v/>
      </c>
      <c r="K148">
        <f>IFERROR($C148*INDEX(SPPR!$E:$X,MATCH($A148,SPPR!$A:$A,0),8),"")</f>
        <v/>
      </c>
      <c r="L148">
        <f>IFERROR($C148*INDEX(SPPR!$E:$X,MATCH($A148,SPPR!$A:$A,0),9),"")</f>
        <v/>
      </c>
      <c r="M148">
        <f>IFERROR($C148*INDEX(SPPR!$E:$X,MATCH($A148,SPPR!$A:$A,0),10),"")</f>
        <v/>
      </c>
      <c r="N148">
        <f>IFERROR($C148*INDEX(SPPR!$E:$X,MATCH($A148,SPPR!$A:$A,0),11),"")</f>
        <v/>
      </c>
      <c r="O148">
        <f>IFERROR($C148*INDEX(SPPR!$E:$X,MATCH($A148,SPPR!$A:$A,0),12),"")</f>
        <v/>
      </c>
      <c r="P148">
        <f>IFERROR($C148*INDEX(SPPR!$E:$X,MATCH($A148,SPPR!$A:$A,0),13),"")</f>
        <v/>
      </c>
      <c r="Q148">
        <f>IFERROR($C148*INDEX(SPPR!$E:$X,MATCH($A148,SPPR!$A:$A,0),14),"")</f>
        <v/>
      </c>
      <c r="R148">
        <f>IFERROR($C148*INDEX(SPPR!$E:$X,MATCH($A148,SPPR!$A:$A,0),15),"")</f>
        <v/>
      </c>
      <c r="S148">
        <f>IFERROR($C148*INDEX(SPPR!$E:$X,MATCH($A148,SPPR!$A:$A,0),16),"")</f>
        <v/>
      </c>
      <c r="T148">
        <f>IFERROR($C148*INDEX(SPPR!$E:$X,MATCH($A148,SPPR!$A:$A,0),17),"")</f>
        <v/>
      </c>
      <c r="U148">
        <f>IFERROR($C148*INDEX(SPPR!$E:$X,MATCH($A148,SPPR!$A:$A,0),18),"")</f>
        <v/>
      </c>
      <c r="V148">
        <f>IFERROR($C148*INDEX(SPPR!$E:$X,MATCH($A148,SPPR!$A:$A,0),19),"")</f>
        <v/>
      </c>
      <c r="W148">
        <f>IFERROR($C148*INDEX(SPPR!$E:$X,MATCH($A148,SPPR!$A:$A,0),20),"")</f>
        <v/>
      </c>
    </row>
    <row r="149">
      <c r="A149" t="inlineStr">
        <is>
          <t>Sparidentex hasta</t>
        </is>
      </c>
      <c r="B149">
        <f>IFERROR(INDEX(SPPR!$D:$D,MATCH($A149,SPPR!$A:$A,0)),"")</f>
        <v/>
      </c>
      <c r="C149">
        <f>IFERROR(INDEX(Catch!$E:$BV,MATCH($A149,Catch!$A:$A,0),MATCH($B$4,Catch!$E$1:$BV$1,0)),0)</f>
        <v/>
      </c>
      <c r="D149">
        <f>IFERROR($C149*INDEX(SPPR!$E:$X,MATCH($A149,SPPR!$A:$A,0),1),"")</f>
        <v/>
      </c>
      <c r="E149">
        <f>IFERROR($C149*INDEX(SPPR!$E:$X,MATCH($A149,SPPR!$A:$A,0),2),"")</f>
        <v/>
      </c>
      <c r="F149">
        <f>IFERROR($C149*INDEX(SPPR!$E:$X,MATCH($A149,SPPR!$A:$A,0),3),"")</f>
        <v/>
      </c>
      <c r="G149">
        <f>IFERROR($C149*INDEX(SPPR!$E:$X,MATCH($A149,SPPR!$A:$A,0),4),"")</f>
        <v/>
      </c>
      <c r="H149">
        <f>IFERROR($C149*INDEX(SPPR!$E:$X,MATCH($A149,SPPR!$A:$A,0),5),"")</f>
        <v/>
      </c>
      <c r="I149">
        <f>IFERROR($C149*INDEX(SPPR!$E:$X,MATCH($A149,SPPR!$A:$A,0),6),"")</f>
        <v/>
      </c>
      <c r="J149">
        <f>IFERROR($C149*INDEX(SPPR!$E:$X,MATCH($A149,SPPR!$A:$A,0),7),"")</f>
        <v/>
      </c>
      <c r="K149">
        <f>IFERROR($C149*INDEX(SPPR!$E:$X,MATCH($A149,SPPR!$A:$A,0),8),"")</f>
        <v/>
      </c>
      <c r="L149">
        <f>IFERROR($C149*INDEX(SPPR!$E:$X,MATCH($A149,SPPR!$A:$A,0),9),"")</f>
        <v/>
      </c>
      <c r="M149">
        <f>IFERROR($C149*INDEX(SPPR!$E:$X,MATCH($A149,SPPR!$A:$A,0),10),"")</f>
        <v/>
      </c>
      <c r="N149">
        <f>IFERROR($C149*INDEX(SPPR!$E:$X,MATCH($A149,SPPR!$A:$A,0),11),"")</f>
        <v/>
      </c>
      <c r="O149">
        <f>IFERROR($C149*INDEX(SPPR!$E:$X,MATCH($A149,SPPR!$A:$A,0),12),"")</f>
        <v/>
      </c>
      <c r="P149">
        <f>IFERROR($C149*INDEX(SPPR!$E:$X,MATCH($A149,SPPR!$A:$A,0),13),"")</f>
        <v/>
      </c>
      <c r="Q149">
        <f>IFERROR($C149*INDEX(SPPR!$E:$X,MATCH($A149,SPPR!$A:$A,0),14),"")</f>
        <v/>
      </c>
      <c r="R149">
        <f>IFERROR($C149*INDEX(SPPR!$E:$X,MATCH($A149,SPPR!$A:$A,0),15),"")</f>
        <v/>
      </c>
      <c r="S149">
        <f>IFERROR($C149*INDEX(SPPR!$E:$X,MATCH($A149,SPPR!$A:$A,0),16),"")</f>
        <v/>
      </c>
      <c r="T149">
        <f>IFERROR($C149*INDEX(SPPR!$E:$X,MATCH($A149,SPPR!$A:$A,0),17),"")</f>
        <v/>
      </c>
      <c r="U149">
        <f>IFERROR($C149*INDEX(SPPR!$E:$X,MATCH($A149,SPPR!$A:$A,0),18),"")</f>
        <v/>
      </c>
      <c r="V149">
        <f>IFERROR($C149*INDEX(SPPR!$E:$X,MATCH($A149,SPPR!$A:$A,0),19),"")</f>
        <v/>
      </c>
      <c r="W149">
        <f>IFERROR($C149*INDEX(SPPR!$E:$X,MATCH($A149,SPPR!$A:$A,0),20),"")</f>
        <v/>
      </c>
    </row>
    <row r="150">
      <c r="A150" t="inlineStr">
        <is>
          <t>Loliginidae</t>
        </is>
      </c>
      <c r="B150">
        <f>IFERROR(INDEX(SPPR!$D:$D,MATCH($A150,SPPR!$A:$A,0)),"")</f>
        <v/>
      </c>
      <c r="C150">
        <f>IFERROR(INDEX(Catch!$E:$BV,MATCH($A150,Catch!$A:$A,0),MATCH($B$4,Catch!$E$1:$BV$1,0)),0)</f>
        <v/>
      </c>
      <c r="D150">
        <f>IFERROR($C150*INDEX(SPPR!$E:$X,MATCH($A150,SPPR!$A:$A,0),1),"")</f>
        <v/>
      </c>
      <c r="E150">
        <f>IFERROR($C150*INDEX(SPPR!$E:$X,MATCH($A150,SPPR!$A:$A,0),2),"")</f>
        <v/>
      </c>
      <c r="F150">
        <f>IFERROR($C150*INDEX(SPPR!$E:$X,MATCH($A150,SPPR!$A:$A,0),3),"")</f>
        <v/>
      </c>
      <c r="G150">
        <f>IFERROR($C150*INDEX(SPPR!$E:$X,MATCH($A150,SPPR!$A:$A,0),4),"")</f>
        <v/>
      </c>
      <c r="H150">
        <f>IFERROR($C150*INDEX(SPPR!$E:$X,MATCH($A150,SPPR!$A:$A,0),5),"")</f>
        <v/>
      </c>
      <c r="I150">
        <f>IFERROR($C150*INDEX(SPPR!$E:$X,MATCH($A150,SPPR!$A:$A,0),6),"")</f>
        <v/>
      </c>
      <c r="J150">
        <f>IFERROR($C150*INDEX(SPPR!$E:$X,MATCH($A150,SPPR!$A:$A,0),7),"")</f>
        <v/>
      </c>
      <c r="K150">
        <f>IFERROR($C150*INDEX(SPPR!$E:$X,MATCH($A150,SPPR!$A:$A,0),8),"")</f>
        <v/>
      </c>
      <c r="L150">
        <f>IFERROR($C150*INDEX(SPPR!$E:$X,MATCH($A150,SPPR!$A:$A,0),9),"")</f>
        <v/>
      </c>
      <c r="M150">
        <f>IFERROR($C150*INDEX(SPPR!$E:$X,MATCH($A150,SPPR!$A:$A,0),10),"")</f>
        <v/>
      </c>
      <c r="N150">
        <f>IFERROR($C150*INDEX(SPPR!$E:$X,MATCH($A150,SPPR!$A:$A,0),11),"")</f>
        <v/>
      </c>
      <c r="O150">
        <f>IFERROR($C150*INDEX(SPPR!$E:$X,MATCH($A150,SPPR!$A:$A,0),12),"")</f>
        <v/>
      </c>
      <c r="P150">
        <f>IFERROR($C150*INDEX(SPPR!$E:$X,MATCH($A150,SPPR!$A:$A,0),13),"")</f>
        <v/>
      </c>
      <c r="Q150">
        <f>IFERROR($C150*INDEX(SPPR!$E:$X,MATCH($A150,SPPR!$A:$A,0),14),"")</f>
        <v/>
      </c>
      <c r="R150">
        <f>IFERROR($C150*INDEX(SPPR!$E:$X,MATCH($A150,SPPR!$A:$A,0),15),"")</f>
        <v/>
      </c>
      <c r="S150">
        <f>IFERROR($C150*INDEX(SPPR!$E:$X,MATCH($A150,SPPR!$A:$A,0),16),"")</f>
        <v/>
      </c>
      <c r="T150">
        <f>IFERROR($C150*INDEX(SPPR!$E:$X,MATCH($A150,SPPR!$A:$A,0),17),"")</f>
        <v/>
      </c>
      <c r="U150">
        <f>IFERROR($C150*INDEX(SPPR!$E:$X,MATCH($A150,SPPR!$A:$A,0),18),"")</f>
        <v/>
      </c>
      <c r="V150">
        <f>IFERROR($C150*INDEX(SPPR!$E:$X,MATCH($A150,SPPR!$A:$A,0),19),"")</f>
        <v/>
      </c>
      <c r="W150">
        <f>IFERROR($C150*INDEX(SPPR!$E:$X,MATCH($A150,SPPR!$A:$A,0),20),"")</f>
        <v/>
      </c>
    </row>
    <row r="151">
      <c r="A151" t="inlineStr">
        <is>
          <t>Plectorhinchus</t>
        </is>
      </c>
      <c r="B151">
        <f>IFERROR(INDEX(SPPR!$D:$D,MATCH($A151,SPPR!$A:$A,0)),"")</f>
        <v/>
      </c>
      <c r="C151">
        <f>IFERROR(INDEX(Catch!$E:$BV,MATCH($A151,Catch!$A:$A,0),MATCH($B$4,Catch!$E$1:$BV$1,0)),0)</f>
        <v/>
      </c>
      <c r="D151">
        <f>IFERROR($C151*INDEX(SPPR!$E:$X,MATCH($A151,SPPR!$A:$A,0),1),"")</f>
        <v/>
      </c>
      <c r="E151">
        <f>IFERROR($C151*INDEX(SPPR!$E:$X,MATCH($A151,SPPR!$A:$A,0),2),"")</f>
        <v/>
      </c>
      <c r="F151">
        <f>IFERROR($C151*INDEX(SPPR!$E:$X,MATCH($A151,SPPR!$A:$A,0),3),"")</f>
        <v/>
      </c>
      <c r="G151">
        <f>IFERROR($C151*INDEX(SPPR!$E:$X,MATCH($A151,SPPR!$A:$A,0),4),"")</f>
        <v/>
      </c>
      <c r="H151">
        <f>IFERROR($C151*INDEX(SPPR!$E:$X,MATCH($A151,SPPR!$A:$A,0),5),"")</f>
        <v/>
      </c>
      <c r="I151">
        <f>IFERROR($C151*INDEX(SPPR!$E:$X,MATCH($A151,SPPR!$A:$A,0),6),"")</f>
        <v/>
      </c>
      <c r="J151">
        <f>IFERROR($C151*INDEX(SPPR!$E:$X,MATCH($A151,SPPR!$A:$A,0),7),"")</f>
        <v/>
      </c>
      <c r="K151">
        <f>IFERROR($C151*INDEX(SPPR!$E:$X,MATCH($A151,SPPR!$A:$A,0),8),"")</f>
        <v/>
      </c>
      <c r="L151">
        <f>IFERROR($C151*INDEX(SPPR!$E:$X,MATCH($A151,SPPR!$A:$A,0),9),"")</f>
        <v/>
      </c>
      <c r="M151">
        <f>IFERROR($C151*INDEX(SPPR!$E:$X,MATCH($A151,SPPR!$A:$A,0),10),"")</f>
        <v/>
      </c>
      <c r="N151">
        <f>IFERROR($C151*INDEX(SPPR!$E:$X,MATCH($A151,SPPR!$A:$A,0),11),"")</f>
        <v/>
      </c>
      <c r="O151">
        <f>IFERROR($C151*INDEX(SPPR!$E:$X,MATCH($A151,SPPR!$A:$A,0),12),"")</f>
        <v/>
      </c>
      <c r="P151">
        <f>IFERROR($C151*INDEX(SPPR!$E:$X,MATCH($A151,SPPR!$A:$A,0),13),"")</f>
        <v/>
      </c>
      <c r="Q151">
        <f>IFERROR($C151*INDEX(SPPR!$E:$X,MATCH($A151,SPPR!$A:$A,0),14),"")</f>
        <v/>
      </c>
      <c r="R151">
        <f>IFERROR($C151*INDEX(SPPR!$E:$X,MATCH($A151,SPPR!$A:$A,0),15),"")</f>
        <v/>
      </c>
      <c r="S151">
        <f>IFERROR($C151*INDEX(SPPR!$E:$X,MATCH($A151,SPPR!$A:$A,0),16),"")</f>
        <v/>
      </c>
      <c r="T151">
        <f>IFERROR($C151*INDEX(SPPR!$E:$X,MATCH($A151,SPPR!$A:$A,0),17),"")</f>
        <v/>
      </c>
      <c r="U151">
        <f>IFERROR($C151*INDEX(SPPR!$E:$X,MATCH($A151,SPPR!$A:$A,0),18),"")</f>
        <v/>
      </c>
      <c r="V151">
        <f>IFERROR($C151*INDEX(SPPR!$E:$X,MATCH($A151,SPPR!$A:$A,0),19),"")</f>
        <v/>
      </c>
      <c r="W151">
        <f>IFERROR($C151*INDEX(SPPR!$E:$X,MATCH($A151,SPPR!$A:$A,0),20),"")</f>
        <v/>
      </c>
    </row>
    <row r="152">
      <c r="A152" t="inlineStr">
        <is>
          <t>Gerres oyena</t>
        </is>
      </c>
      <c r="B152">
        <f>IFERROR(INDEX(SPPR!$D:$D,MATCH($A152,SPPR!$A:$A,0)),"")</f>
        <v/>
      </c>
      <c r="C152">
        <f>IFERROR(INDEX(Catch!$E:$BV,MATCH($A152,Catch!$A:$A,0),MATCH($B$4,Catch!$E$1:$BV$1,0)),0)</f>
        <v/>
      </c>
      <c r="D152">
        <f>IFERROR($C152*INDEX(SPPR!$E:$X,MATCH($A152,SPPR!$A:$A,0),1),"")</f>
        <v/>
      </c>
      <c r="E152">
        <f>IFERROR($C152*INDEX(SPPR!$E:$X,MATCH($A152,SPPR!$A:$A,0),2),"")</f>
        <v/>
      </c>
      <c r="F152">
        <f>IFERROR($C152*INDEX(SPPR!$E:$X,MATCH($A152,SPPR!$A:$A,0),3),"")</f>
        <v/>
      </c>
      <c r="G152">
        <f>IFERROR($C152*INDEX(SPPR!$E:$X,MATCH($A152,SPPR!$A:$A,0),4),"")</f>
        <v/>
      </c>
      <c r="H152">
        <f>IFERROR($C152*INDEX(SPPR!$E:$X,MATCH($A152,SPPR!$A:$A,0),5),"")</f>
        <v/>
      </c>
      <c r="I152">
        <f>IFERROR($C152*INDEX(SPPR!$E:$X,MATCH($A152,SPPR!$A:$A,0),6),"")</f>
        <v/>
      </c>
      <c r="J152">
        <f>IFERROR($C152*INDEX(SPPR!$E:$X,MATCH($A152,SPPR!$A:$A,0),7),"")</f>
        <v/>
      </c>
      <c r="K152">
        <f>IFERROR($C152*INDEX(SPPR!$E:$X,MATCH($A152,SPPR!$A:$A,0),8),"")</f>
        <v/>
      </c>
      <c r="L152">
        <f>IFERROR($C152*INDEX(SPPR!$E:$X,MATCH($A152,SPPR!$A:$A,0),9),"")</f>
        <v/>
      </c>
      <c r="M152">
        <f>IFERROR($C152*INDEX(SPPR!$E:$X,MATCH($A152,SPPR!$A:$A,0),10),"")</f>
        <v/>
      </c>
      <c r="N152">
        <f>IFERROR($C152*INDEX(SPPR!$E:$X,MATCH($A152,SPPR!$A:$A,0),11),"")</f>
        <v/>
      </c>
      <c r="O152">
        <f>IFERROR($C152*INDEX(SPPR!$E:$X,MATCH($A152,SPPR!$A:$A,0),12),"")</f>
        <v/>
      </c>
      <c r="P152">
        <f>IFERROR($C152*INDEX(SPPR!$E:$X,MATCH($A152,SPPR!$A:$A,0),13),"")</f>
        <v/>
      </c>
      <c r="Q152">
        <f>IFERROR($C152*INDEX(SPPR!$E:$X,MATCH($A152,SPPR!$A:$A,0),14),"")</f>
        <v/>
      </c>
      <c r="R152">
        <f>IFERROR($C152*INDEX(SPPR!$E:$X,MATCH($A152,SPPR!$A:$A,0),15),"")</f>
        <v/>
      </c>
      <c r="S152">
        <f>IFERROR($C152*INDEX(SPPR!$E:$X,MATCH($A152,SPPR!$A:$A,0),16),"")</f>
        <v/>
      </c>
      <c r="T152">
        <f>IFERROR($C152*INDEX(SPPR!$E:$X,MATCH($A152,SPPR!$A:$A,0),17),"")</f>
        <v/>
      </c>
      <c r="U152">
        <f>IFERROR($C152*INDEX(SPPR!$E:$X,MATCH($A152,SPPR!$A:$A,0),18),"")</f>
        <v/>
      </c>
      <c r="V152">
        <f>IFERROR($C152*INDEX(SPPR!$E:$X,MATCH($A152,SPPR!$A:$A,0),19),"")</f>
        <v/>
      </c>
      <c r="W152">
        <f>IFERROR($C152*INDEX(SPPR!$E:$X,MATCH($A152,SPPR!$A:$A,0),20),"")</f>
        <v/>
      </c>
    </row>
    <row r="153">
      <c r="A153" t="inlineStr">
        <is>
          <t>Caranx</t>
        </is>
      </c>
      <c r="B153">
        <f>IFERROR(INDEX(SPPR!$D:$D,MATCH($A153,SPPR!$A:$A,0)),"")</f>
        <v/>
      </c>
      <c r="C153">
        <f>IFERROR(INDEX(Catch!$E:$BV,MATCH($A153,Catch!$A:$A,0),MATCH($B$4,Catch!$E$1:$BV$1,0)),0)</f>
        <v/>
      </c>
      <c r="D153">
        <f>IFERROR($C153*INDEX(SPPR!$E:$X,MATCH($A153,SPPR!$A:$A,0),1),"")</f>
        <v/>
      </c>
      <c r="E153">
        <f>IFERROR($C153*INDEX(SPPR!$E:$X,MATCH($A153,SPPR!$A:$A,0),2),"")</f>
        <v/>
      </c>
      <c r="F153">
        <f>IFERROR($C153*INDEX(SPPR!$E:$X,MATCH($A153,SPPR!$A:$A,0),3),"")</f>
        <v/>
      </c>
      <c r="G153">
        <f>IFERROR($C153*INDEX(SPPR!$E:$X,MATCH($A153,SPPR!$A:$A,0),4),"")</f>
        <v/>
      </c>
      <c r="H153">
        <f>IFERROR($C153*INDEX(SPPR!$E:$X,MATCH($A153,SPPR!$A:$A,0),5),"")</f>
        <v/>
      </c>
      <c r="I153">
        <f>IFERROR($C153*INDEX(SPPR!$E:$X,MATCH($A153,SPPR!$A:$A,0),6),"")</f>
        <v/>
      </c>
      <c r="J153">
        <f>IFERROR($C153*INDEX(SPPR!$E:$X,MATCH($A153,SPPR!$A:$A,0),7),"")</f>
        <v/>
      </c>
      <c r="K153">
        <f>IFERROR($C153*INDEX(SPPR!$E:$X,MATCH($A153,SPPR!$A:$A,0),8),"")</f>
        <v/>
      </c>
      <c r="L153">
        <f>IFERROR($C153*INDEX(SPPR!$E:$X,MATCH($A153,SPPR!$A:$A,0),9),"")</f>
        <v/>
      </c>
      <c r="M153">
        <f>IFERROR($C153*INDEX(SPPR!$E:$X,MATCH($A153,SPPR!$A:$A,0),10),"")</f>
        <v/>
      </c>
      <c r="N153">
        <f>IFERROR($C153*INDEX(SPPR!$E:$X,MATCH($A153,SPPR!$A:$A,0),11),"")</f>
        <v/>
      </c>
      <c r="O153">
        <f>IFERROR($C153*INDEX(SPPR!$E:$X,MATCH($A153,SPPR!$A:$A,0),12),"")</f>
        <v/>
      </c>
      <c r="P153">
        <f>IFERROR($C153*INDEX(SPPR!$E:$X,MATCH($A153,SPPR!$A:$A,0),13),"")</f>
        <v/>
      </c>
      <c r="Q153">
        <f>IFERROR($C153*INDEX(SPPR!$E:$X,MATCH($A153,SPPR!$A:$A,0),14),"")</f>
        <v/>
      </c>
      <c r="R153">
        <f>IFERROR($C153*INDEX(SPPR!$E:$X,MATCH($A153,SPPR!$A:$A,0),15),"")</f>
        <v/>
      </c>
      <c r="S153">
        <f>IFERROR($C153*INDEX(SPPR!$E:$X,MATCH($A153,SPPR!$A:$A,0),16),"")</f>
        <v/>
      </c>
      <c r="T153">
        <f>IFERROR($C153*INDEX(SPPR!$E:$X,MATCH($A153,SPPR!$A:$A,0),17),"")</f>
        <v/>
      </c>
      <c r="U153">
        <f>IFERROR($C153*INDEX(SPPR!$E:$X,MATCH($A153,SPPR!$A:$A,0),18),"")</f>
        <v/>
      </c>
      <c r="V153">
        <f>IFERROR($C153*INDEX(SPPR!$E:$X,MATCH($A153,SPPR!$A:$A,0),19),"")</f>
        <v/>
      </c>
      <c r="W153">
        <f>IFERROR($C153*INDEX(SPPR!$E:$X,MATCH($A153,SPPR!$A:$A,0),20),"")</f>
        <v/>
      </c>
    </row>
    <row r="154">
      <c r="A154" t="inlineStr">
        <is>
          <t>Siganus</t>
        </is>
      </c>
      <c r="B154">
        <f>IFERROR(INDEX(SPPR!$D:$D,MATCH($A154,SPPR!$A:$A,0)),"")</f>
        <v/>
      </c>
      <c r="C154">
        <f>IFERROR(INDEX(Catch!$E:$BV,MATCH($A154,Catch!$A:$A,0),MATCH($B$4,Catch!$E$1:$BV$1,0)),0)</f>
        <v/>
      </c>
      <c r="D154">
        <f>IFERROR($C154*INDEX(SPPR!$E:$X,MATCH($A154,SPPR!$A:$A,0),1),"")</f>
        <v/>
      </c>
      <c r="E154">
        <f>IFERROR($C154*INDEX(SPPR!$E:$X,MATCH($A154,SPPR!$A:$A,0),2),"")</f>
        <v/>
      </c>
      <c r="F154">
        <f>IFERROR($C154*INDEX(SPPR!$E:$X,MATCH($A154,SPPR!$A:$A,0),3),"")</f>
        <v/>
      </c>
      <c r="G154">
        <f>IFERROR($C154*INDEX(SPPR!$E:$X,MATCH($A154,SPPR!$A:$A,0),4),"")</f>
        <v/>
      </c>
      <c r="H154">
        <f>IFERROR($C154*INDEX(SPPR!$E:$X,MATCH($A154,SPPR!$A:$A,0),5),"")</f>
        <v/>
      </c>
      <c r="I154">
        <f>IFERROR($C154*INDEX(SPPR!$E:$X,MATCH($A154,SPPR!$A:$A,0),6),"")</f>
        <v/>
      </c>
      <c r="J154">
        <f>IFERROR($C154*INDEX(SPPR!$E:$X,MATCH($A154,SPPR!$A:$A,0),7),"")</f>
        <v/>
      </c>
      <c r="K154">
        <f>IFERROR($C154*INDEX(SPPR!$E:$X,MATCH($A154,SPPR!$A:$A,0),8),"")</f>
        <v/>
      </c>
      <c r="L154">
        <f>IFERROR($C154*INDEX(SPPR!$E:$X,MATCH($A154,SPPR!$A:$A,0),9),"")</f>
        <v/>
      </c>
      <c r="M154">
        <f>IFERROR($C154*INDEX(SPPR!$E:$X,MATCH($A154,SPPR!$A:$A,0),10),"")</f>
        <v/>
      </c>
      <c r="N154">
        <f>IFERROR($C154*INDEX(SPPR!$E:$X,MATCH($A154,SPPR!$A:$A,0),11),"")</f>
        <v/>
      </c>
      <c r="O154">
        <f>IFERROR($C154*INDEX(SPPR!$E:$X,MATCH($A154,SPPR!$A:$A,0),12),"")</f>
        <v/>
      </c>
      <c r="P154">
        <f>IFERROR($C154*INDEX(SPPR!$E:$X,MATCH($A154,SPPR!$A:$A,0),13),"")</f>
        <v/>
      </c>
      <c r="Q154">
        <f>IFERROR($C154*INDEX(SPPR!$E:$X,MATCH($A154,SPPR!$A:$A,0),14),"")</f>
        <v/>
      </c>
      <c r="R154">
        <f>IFERROR($C154*INDEX(SPPR!$E:$X,MATCH($A154,SPPR!$A:$A,0),15),"")</f>
        <v/>
      </c>
      <c r="S154">
        <f>IFERROR($C154*INDEX(SPPR!$E:$X,MATCH($A154,SPPR!$A:$A,0),16),"")</f>
        <v/>
      </c>
      <c r="T154">
        <f>IFERROR($C154*INDEX(SPPR!$E:$X,MATCH($A154,SPPR!$A:$A,0),17),"")</f>
        <v/>
      </c>
      <c r="U154">
        <f>IFERROR($C154*INDEX(SPPR!$E:$X,MATCH($A154,SPPR!$A:$A,0),18),"")</f>
        <v/>
      </c>
      <c r="V154">
        <f>IFERROR($C154*INDEX(SPPR!$E:$X,MATCH($A154,SPPR!$A:$A,0),19),"")</f>
        <v/>
      </c>
      <c r="W154">
        <f>IFERROR($C154*INDEX(SPPR!$E:$X,MATCH($A154,SPPR!$A:$A,0),20),"")</f>
        <v/>
      </c>
    </row>
    <row r="155">
      <c r="A155" t="inlineStr">
        <is>
          <t>Sphyraenidae</t>
        </is>
      </c>
      <c r="B155">
        <f>IFERROR(INDEX(SPPR!$D:$D,MATCH($A155,SPPR!$A:$A,0)),"")</f>
        <v/>
      </c>
      <c r="C155">
        <f>IFERROR(INDEX(Catch!$E:$BV,MATCH($A155,Catch!$A:$A,0),MATCH($B$4,Catch!$E$1:$BV$1,0)),0)</f>
        <v/>
      </c>
      <c r="D155">
        <f>IFERROR($C155*INDEX(SPPR!$E:$X,MATCH($A155,SPPR!$A:$A,0),1),"")</f>
        <v/>
      </c>
      <c r="E155">
        <f>IFERROR($C155*INDEX(SPPR!$E:$X,MATCH($A155,SPPR!$A:$A,0),2),"")</f>
        <v/>
      </c>
      <c r="F155">
        <f>IFERROR($C155*INDEX(SPPR!$E:$X,MATCH($A155,SPPR!$A:$A,0),3),"")</f>
        <v/>
      </c>
      <c r="G155">
        <f>IFERROR($C155*INDEX(SPPR!$E:$X,MATCH($A155,SPPR!$A:$A,0),4),"")</f>
        <v/>
      </c>
      <c r="H155">
        <f>IFERROR($C155*INDEX(SPPR!$E:$X,MATCH($A155,SPPR!$A:$A,0),5),"")</f>
        <v/>
      </c>
      <c r="I155">
        <f>IFERROR($C155*INDEX(SPPR!$E:$X,MATCH($A155,SPPR!$A:$A,0),6),"")</f>
        <v/>
      </c>
      <c r="J155">
        <f>IFERROR($C155*INDEX(SPPR!$E:$X,MATCH($A155,SPPR!$A:$A,0),7),"")</f>
        <v/>
      </c>
      <c r="K155">
        <f>IFERROR($C155*INDEX(SPPR!$E:$X,MATCH($A155,SPPR!$A:$A,0),8),"")</f>
        <v/>
      </c>
      <c r="L155">
        <f>IFERROR($C155*INDEX(SPPR!$E:$X,MATCH($A155,SPPR!$A:$A,0),9),"")</f>
        <v/>
      </c>
      <c r="M155">
        <f>IFERROR($C155*INDEX(SPPR!$E:$X,MATCH($A155,SPPR!$A:$A,0),10),"")</f>
        <v/>
      </c>
      <c r="N155">
        <f>IFERROR($C155*INDEX(SPPR!$E:$X,MATCH($A155,SPPR!$A:$A,0),11),"")</f>
        <v/>
      </c>
      <c r="O155">
        <f>IFERROR($C155*INDEX(SPPR!$E:$X,MATCH($A155,SPPR!$A:$A,0),12),"")</f>
        <v/>
      </c>
      <c r="P155">
        <f>IFERROR($C155*INDEX(SPPR!$E:$X,MATCH($A155,SPPR!$A:$A,0),13),"")</f>
        <v/>
      </c>
      <c r="Q155">
        <f>IFERROR($C155*INDEX(SPPR!$E:$X,MATCH($A155,SPPR!$A:$A,0),14),"")</f>
        <v/>
      </c>
      <c r="R155">
        <f>IFERROR($C155*INDEX(SPPR!$E:$X,MATCH($A155,SPPR!$A:$A,0),15),"")</f>
        <v/>
      </c>
      <c r="S155">
        <f>IFERROR($C155*INDEX(SPPR!$E:$X,MATCH($A155,SPPR!$A:$A,0),16),"")</f>
        <v/>
      </c>
      <c r="T155">
        <f>IFERROR($C155*INDEX(SPPR!$E:$X,MATCH($A155,SPPR!$A:$A,0),17),"")</f>
        <v/>
      </c>
      <c r="U155">
        <f>IFERROR($C155*INDEX(SPPR!$E:$X,MATCH($A155,SPPR!$A:$A,0),18),"")</f>
        <v/>
      </c>
      <c r="V155">
        <f>IFERROR($C155*INDEX(SPPR!$E:$X,MATCH($A155,SPPR!$A:$A,0),19),"")</f>
        <v/>
      </c>
      <c r="W155">
        <f>IFERROR($C155*INDEX(SPPR!$E:$X,MATCH($A155,SPPR!$A:$A,0),20),"")</f>
        <v/>
      </c>
    </row>
    <row r="156">
      <c r="A156" t="inlineStr">
        <is>
          <t>Argyrosomus japonicus</t>
        </is>
      </c>
      <c r="B156">
        <f>IFERROR(INDEX(SPPR!$D:$D,MATCH($A156,SPPR!$A:$A,0)),"")</f>
        <v/>
      </c>
      <c r="C156">
        <f>IFERROR(INDEX(Catch!$E:$BV,MATCH($A156,Catch!$A:$A,0),MATCH($B$4,Catch!$E$1:$BV$1,0)),0)</f>
        <v/>
      </c>
      <c r="D156">
        <f>IFERROR($C156*INDEX(SPPR!$E:$X,MATCH($A156,SPPR!$A:$A,0),1),"")</f>
        <v/>
      </c>
      <c r="E156">
        <f>IFERROR($C156*INDEX(SPPR!$E:$X,MATCH($A156,SPPR!$A:$A,0),2),"")</f>
        <v/>
      </c>
      <c r="F156">
        <f>IFERROR($C156*INDEX(SPPR!$E:$X,MATCH($A156,SPPR!$A:$A,0),3),"")</f>
        <v/>
      </c>
      <c r="G156">
        <f>IFERROR($C156*INDEX(SPPR!$E:$X,MATCH($A156,SPPR!$A:$A,0),4),"")</f>
        <v/>
      </c>
      <c r="H156">
        <f>IFERROR($C156*INDEX(SPPR!$E:$X,MATCH($A156,SPPR!$A:$A,0),5),"")</f>
        <v/>
      </c>
      <c r="I156">
        <f>IFERROR($C156*INDEX(SPPR!$E:$X,MATCH($A156,SPPR!$A:$A,0),6),"")</f>
        <v/>
      </c>
      <c r="J156">
        <f>IFERROR($C156*INDEX(SPPR!$E:$X,MATCH($A156,SPPR!$A:$A,0),7),"")</f>
        <v/>
      </c>
      <c r="K156">
        <f>IFERROR($C156*INDEX(SPPR!$E:$X,MATCH($A156,SPPR!$A:$A,0),8),"")</f>
        <v/>
      </c>
      <c r="L156">
        <f>IFERROR($C156*INDEX(SPPR!$E:$X,MATCH($A156,SPPR!$A:$A,0),9),"")</f>
        <v/>
      </c>
      <c r="M156">
        <f>IFERROR($C156*INDEX(SPPR!$E:$X,MATCH($A156,SPPR!$A:$A,0),10),"")</f>
        <v/>
      </c>
      <c r="N156">
        <f>IFERROR($C156*INDEX(SPPR!$E:$X,MATCH($A156,SPPR!$A:$A,0),11),"")</f>
        <v/>
      </c>
      <c r="O156">
        <f>IFERROR($C156*INDEX(SPPR!$E:$X,MATCH($A156,SPPR!$A:$A,0),12),"")</f>
        <v/>
      </c>
      <c r="P156">
        <f>IFERROR($C156*INDEX(SPPR!$E:$X,MATCH($A156,SPPR!$A:$A,0),13),"")</f>
        <v/>
      </c>
      <c r="Q156">
        <f>IFERROR($C156*INDEX(SPPR!$E:$X,MATCH($A156,SPPR!$A:$A,0),14),"")</f>
        <v/>
      </c>
      <c r="R156">
        <f>IFERROR($C156*INDEX(SPPR!$E:$X,MATCH($A156,SPPR!$A:$A,0),15),"")</f>
        <v/>
      </c>
      <c r="S156">
        <f>IFERROR($C156*INDEX(SPPR!$E:$X,MATCH($A156,SPPR!$A:$A,0),16),"")</f>
        <v/>
      </c>
      <c r="T156">
        <f>IFERROR($C156*INDEX(SPPR!$E:$X,MATCH($A156,SPPR!$A:$A,0),17),"")</f>
        <v/>
      </c>
      <c r="U156">
        <f>IFERROR($C156*INDEX(SPPR!$E:$X,MATCH($A156,SPPR!$A:$A,0),18),"")</f>
        <v/>
      </c>
      <c r="V156">
        <f>IFERROR($C156*INDEX(SPPR!$E:$X,MATCH($A156,SPPR!$A:$A,0),19),"")</f>
        <v/>
      </c>
      <c r="W156">
        <f>IFERROR($C156*INDEX(SPPR!$E:$X,MATCH($A156,SPPR!$A:$A,0),20),"")</f>
        <v/>
      </c>
    </row>
    <row r="157">
      <c r="A157" t="inlineStr">
        <is>
          <t>Pteriomorphia</t>
        </is>
      </c>
      <c r="B157">
        <f>IFERROR(INDEX(SPPR!$D:$D,MATCH($A157,SPPR!$A:$A,0)),"")</f>
        <v/>
      </c>
      <c r="C157">
        <f>IFERROR(INDEX(Catch!$E:$BV,MATCH($A157,Catch!$A:$A,0),MATCH($B$4,Catch!$E$1:$BV$1,0)),0)</f>
        <v/>
      </c>
      <c r="D157">
        <f>IFERROR($C157*INDEX(SPPR!$E:$X,MATCH($A157,SPPR!$A:$A,0),1),"")</f>
        <v/>
      </c>
      <c r="E157">
        <f>IFERROR($C157*INDEX(SPPR!$E:$X,MATCH($A157,SPPR!$A:$A,0),2),"")</f>
        <v/>
      </c>
      <c r="F157">
        <f>IFERROR($C157*INDEX(SPPR!$E:$X,MATCH($A157,SPPR!$A:$A,0),3),"")</f>
        <v/>
      </c>
      <c r="G157">
        <f>IFERROR($C157*INDEX(SPPR!$E:$X,MATCH($A157,SPPR!$A:$A,0),4),"")</f>
        <v/>
      </c>
      <c r="H157">
        <f>IFERROR($C157*INDEX(SPPR!$E:$X,MATCH($A157,SPPR!$A:$A,0),5),"")</f>
        <v/>
      </c>
      <c r="I157">
        <f>IFERROR($C157*INDEX(SPPR!$E:$X,MATCH($A157,SPPR!$A:$A,0),6),"")</f>
        <v/>
      </c>
      <c r="J157">
        <f>IFERROR($C157*INDEX(SPPR!$E:$X,MATCH($A157,SPPR!$A:$A,0),7),"")</f>
        <v/>
      </c>
      <c r="K157">
        <f>IFERROR($C157*INDEX(SPPR!$E:$X,MATCH($A157,SPPR!$A:$A,0),8),"")</f>
        <v/>
      </c>
      <c r="L157">
        <f>IFERROR($C157*INDEX(SPPR!$E:$X,MATCH($A157,SPPR!$A:$A,0),9),"")</f>
        <v/>
      </c>
      <c r="M157">
        <f>IFERROR($C157*INDEX(SPPR!$E:$X,MATCH($A157,SPPR!$A:$A,0),10),"")</f>
        <v/>
      </c>
      <c r="N157">
        <f>IFERROR($C157*INDEX(SPPR!$E:$X,MATCH($A157,SPPR!$A:$A,0),11),"")</f>
        <v/>
      </c>
      <c r="O157">
        <f>IFERROR($C157*INDEX(SPPR!$E:$X,MATCH($A157,SPPR!$A:$A,0),12),"")</f>
        <v/>
      </c>
      <c r="P157">
        <f>IFERROR($C157*INDEX(SPPR!$E:$X,MATCH($A157,SPPR!$A:$A,0),13),"")</f>
        <v/>
      </c>
      <c r="Q157">
        <f>IFERROR($C157*INDEX(SPPR!$E:$X,MATCH($A157,SPPR!$A:$A,0),14),"")</f>
        <v/>
      </c>
      <c r="R157">
        <f>IFERROR($C157*INDEX(SPPR!$E:$X,MATCH($A157,SPPR!$A:$A,0),15),"")</f>
        <v/>
      </c>
      <c r="S157">
        <f>IFERROR($C157*INDEX(SPPR!$E:$X,MATCH($A157,SPPR!$A:$A,0),16),"")</f>
        <v/>
      </c>
      <c r="T157">
        <f>IFERROR($C157*INDEX(SPPR!$E:$X,MATCH($A157,SPPR!$A:$A,0),17),"")</f>
        <v/>
      </c>
      <c r="U157">
        <f>IFERROR($C157*INDEX(SPPR!$E:$X,MATCH($A157,SPPR!$A:$A,0),18),"")</f>
        <v/>
      </c>
      <c r="V157">
        <f>IFERROR($C157*INDEX(SPPR!$E:$X,MATCH($A157,SPPR!$A:$A,0),19),"")</f>
        <v/>
      </c>
      <c r="W157">
        <f>IFERROR($C157*INDEX(SPPR!$E:$X,MATCH($A157,SPPR!$A:$A,0),20),"")</f>
        <v/>
      </c>
    </row>
    <row r="158">
      <c r="A158" t="inlineStr">
        <is>
          <t>Thunnus obesus</t>
        </is>
      </c>
      <c r="B158">
        <f>IFERROR(INDEX(SPPR!$D:$D,MATCH($A158,SPPR!$A:$A,0)),"")</f>
        <v/>
      </c>
      <c r="C158">
        <f>IFERROR(INDEX(Catch!$E:$BV,MATCH($A158,Catch!$A:$A,0),MATCH($B$4,Catch!$E$1:$BV$1,0)),0)</f>
        <v/>
      </c>
      <c r="D158">
        <f>IFERROR($C158*INDEX(SPPR!$E:$X,MATCH($A158,SPPR!$A:$A,0),1),"")</f>
        <v/>
      </c>
      <c r="E158">
        <f>IFERROR($C158*INDEX(SPPR!$E:$X,MATCH($A158,SPPR!$A:$A,0),2),"")</f>
        <v/>
      </c>
      <c r="F158">
        <f>IFERROR($C158*INDEX(SPPR!$E:$X,MATCH($A158,SPPR!$A:$A,0),3),"")</f>
        <v/>
      </c>
      <c r="G158">
        <f>IFERROR($C158*INDEX(SPPR!$E:$X,MATCH($A158,SPPR!$A:$A,0),4),"")</f>
        <v/>
      </c>
      <c r="H158">
        <f>IFERROR($C158*INDEX(SPPR!$E:$X,MATCH($A158,SPPR!$A:$A,0),5),"")</f>
        <v/>
      </c>
      <c r="I158">
        <f>IFERROR($C158*INDEX(SPPR!$E:$X,MATCH($A158,SPPR!$A:$A,0),6),"")</f>
        <v/>
      </c>
      <c r="J158">
        <f>IFERROR($C158*INDEX(SPPR!$E:$X,MATCH($A158,SPPR!$A:$A,0),7),"")</f>
        <v/>
      </c>
      <c r="K158">
        <f>IFERROR($C158*INDEX(SPPR!$E:$X,MATCH($A158,SPPR!$A:$A,0),8),"")</f>
        <v/>
      </c>
      <c r="L158">
        <f>IFERROR($C158*INDEX(SPPR!$E:$X,MATCH($A158,SPPR!$A:$A,0),9),"")</f>
        <v/>
      </c>
      <c r="M158">
        <f>IFERROR($C158*INDEX(SPPR!$E:$X,MATCH($A158,SPPR!$A:$A,0),10),"")</f>
        <v/>
      </c>
      <c r="N158">
        <f>IFERROR($C158*INDEX(SPPR!$E:$X,MATCH($A158,SPPR!$A:$A,0),11),"")</f>
        <v/>
      </c>
      <c r="O158">
        <f>IFERROR($C158*INDEX(SPPR!$E:$X,MATCH($A158,SPPR!$A:$A,0),12),"")</f>
        <v/>
      </c>
      <c r="P158">
        <f>IFERROR($C158*INDEX(SPPR!$E:$X,MATCH($A158,SPPR!$A:$A,0),13),"")</f>
        <v/>
      </c>
      <c r="Q158">
        <f>IFERROR($C158*INDEX(SPPR!$E:$X,MATCH($A158,SPPR!$A:$A,0),14),"")</f>
        <v/>
      </c>
      <c r="R158">
        <f>IFERROR($C158*INDEX(SPPR!$E:$X,MATCH($A158,SPPR!$A:$A,0),15),"")</f>
        <v/>
      </c>
      <c r="S158">
        <f>IFERROR($C158*INDEX(SPPR!$E:$X,MATCH($A158,SPPR!$A:$A,0),16),"")</f>
        <v/>
      </c>
      <c r="T158">
        <f>IFERROR($C158*INDEX(SPPR!$E:$X,MATCH($A158,SPPR!$A:$A,0),17),"")</f>
        <v/>
      </c>
      <c r="U158">
        <f>IFERROR($C158*INDEX(SPPR!$E:$X,MATCH($A158,SPPR!$A:$A,0),18),"")</f>
        <v/>
      </c>
      <c r="V158">
        <f>IFERROR($C158*INDEX(SPPR!$E:$X,MATCH($A158,SPPR!$A:$A,0),19),"")</f>
        <v/>
      </c>
      <c r="W158">
        <f>IFERROR($C158*INDEX(SPPR!$E:$X,MATCH($A158,SPPR!$A:$A,0),20),"")</f>
        <v/>
      </c>
    </row>
    <row r="159">
      <c r="A159" t="inlineStr">
        <is>
          <t>Pampus chinensis</t>
        </is>
      </c>
      <c r="B159">
        <f>IFERROR(INDEX(SPPR!$D:$D,MATCH($A159,SPPR!$A:$A,0)),"")</f>
        <v/>
      </c>
      <c r="C159">
        <f>IFERROR(INDEX(Catch!$E:$BV,MATCH($A159,Catch!$A:$A,0),MATCH($B$4,Catch!$E$1:$BV$1,0)),0)</f>
        <v/>
      </c>
      <c r="D159">
        <f>IFERROR($C159*INDEX(SPPR!$E:$X,MATCH($A159,SPPR!$A:$A,0),1),"")</f>
        <v/>
      </c>
      <c r="E159">
        <f>IFERROR($C159*INDEX(SPPR!$E:$X,MATCH($A159,SPPR!$A:$A,0),2),"")</f>
        <v/>
      </c>
      <c r="F159">
        <f>IFERROR($C159*INDEX(SPPR!$E:$X,MATCH($A159,SPPR!$A:$A,0),3),"")</f>
        <v/>
      </c>
      <c r="G159">
        <f>IFERROR($C159*INDEX(SPPR!$E:$X,MATCH($A159,SPPR!$A:$A,0),4),"")</f>
        <v/>
      </c>
      <c r="H159">
        <f>IFERROR($C159*INDEX(SPPR!$E:$X,MATCH($A159,SPPR!$A:$A,0),5),"")</f>
        <v/>
      </c>
      <c r="I159">
        <f>IFERROR($C159*INDEX(SPPR!$E:$X,MATCH($A159,SPPR!$A:$A,0),6),"")</f>
        <v/>
      </c>
      <c r="J159">
        <f>IFERROR($C159*INDEX(SPPR!$E:$X,MATCH($A159,SPPR!$A:$A,0),7),"")</f>
        <v/>
      </c>
      <c r="K159">
        <f>IFERROR($C159*INDEX(SPPR!$E:$X,MATCH($A159,SPPR!$A:$A,0),8),"")</f>
        <v/>
      </c>
      <c r="L159">
        <f>IFERROR($C159*INDEX(SPPR!$E:$X,MATCH($A159,SPPR!$A:$A,0),9),"")</f>
        <v/>
      </c>
      <c r="M159">
        <f>IFERROR($C159*INDEX(SPPR!$E:$X,MATCH($A159,SPPR!$A:$A,0),10),"")</f>
        <v/>
      </c>
      <c r="N159">
        <f>IFERROR($C159*INDEX(SPPR!$E:$X,MATCH($A159,SPPR!$A:$A,0),11),"")</f>
        <v/>
      </c>
      <c r="O159">
        <f>IFERROR($C159*INDEX(SPPR!$E:$X,MATCH($A159,SPPR!$A:$A,0),12),"")</f>
        <v/>
      </c>
      <c r="P159">
        <f>IFERROR($C159*INDEX(SPPR!$E:$X,MATCH($A159,SPPR!$A:$A,0),13),"")</f>
        <v/>
      </c>
      <c r="Q159">
        <f>IFERROR($C159*INDEX(SPPR!$E:$X,MATCH($A159,SPPR!$A:$A,0),14),"")</f>
        <v/>
      </c>
      <c r="R159">
        <f>IFERROR($C159*INDEX(SPPR!$E:$X,MATCH($A159,SPPR!$A:$A,0),15),"")</f>
        <v/>
      </c>
      <c r="S159">
        <f>IFERROR($C159*INDEX(SPPR!$E:$X,MATCH($A159,SPPR!$A:$A,0),16),"")</f>
        <v/>
      </c>
      <c r="T159">
        <f>IFERROR($C159*INDEX(SPPR!$E:$X,MATCH($A159,SPPR!$A:$A,0),17),"")</f>
        <v/>
      </c>
      <c r="U159">
        <f>IFERROR($C159*INDEX(SPPR!$E:$X,MATCH($A159,SPPR!$A:$A,0),18),"")</f>
        <v/>
      </c>
      <c r="V159">
        <f>IFERROR($C159*INDEX(SPPR!$E:$X,MATCH($A159,SPPR!$A:$A,0),19),"")</f>
        <v/>
      </c>
      <c r="W159">
        <f>IFERROR($C159*INDEX(SPPR!$E:$X,MATCH($A159,SPPR!$A:$A,0),20),"")</f>
        <v/>
      </c>
    </row>
    <row r="160">
      <c r="A160" t="inlineStr">
        <is>
          <t>Istiophoridae</t>
        </is>
      </c>
      <c r="B160">
        <f>IFERROR(INDEX(SPPR!$D:$D,MATCH($A160,SPPR!$A:$A,0)),"")</f>
        <v/>
      </c>
      <c r="C160">
        <f>IFERROR(INDEX(Catch!$E:$BV,MATCH($A160,Catch!$A:$A,0),MATCH($B$4,Catch!$E$1:$BV$1,0)),0)</f>
        <v/>
      </c>
      <c r="D160">
        <f>IFERROR($C160*INDEX(SPPR!$E:$X,MATCH($A160,SPPR!$A:$A,0),1),"")</f>
        <v/>
      </c>
      <c r="E160">
        <f>IFERROR($C160*INDEX(SPPR!$E:$X,MATCH($A160,SPPR!$A:$A,0),2),"")</f>
        <v/>
      </c>
      <c r="F160">
        <f>IFERROR($C160*INDEX(SPPR!$E:$X,MATCH($A160,SPPR!$A:$A,0),3),"")</f>
        <v/>
      </c>
      <c r="G160">
        <f>IFERROR($C160*INDEX(SPPR!$E:$X,MATCH($A160,SPPR!$A:$A,0),4),"")</f>
        <v/>
      </c>
      <c r="H160">
        <f>IFERROR($C160*INDEX(SPPR!$E:$X,MATCH($A160,SPPR!$A:$A,0),5),"")</f>
        <v/>
      </c>
      <c r="I160">
        <f>IFERROR($C160*INDEX(SPPR!$E:$X,MATCH($A160,SPPR!$A:$A,0),6),"")</f>
        <v/>
      </c>
      <c r="J160">
        <f>IFERROR($C160*INDEX(SPPR!$E:$X,MATCH($A160,SPPR!$A:$A,0),7),"")</f>
        <v/>
      </c>
      <c r="K160">
        <f>IFERROR($C160*INDEX(SPPR!$E:$X,MATCH($A160,SPPR!$A:$A,0),8),"")</f>
        <v/>
      </c>
      <c r="L160">
        <f>IFERROR($C160*INDEX(SPPR!$E:$X,MATCH($A160,SPPR!$A:$A,0),9),"")</f>
        <v/>
      </c>
      <c r="M160">
        <f>IFERROR($C160*INDEX(SPPR!$E:$X,MATCH($A160,SPPR!$A:$A,0),10),"")</f>
        <v/>
      </c>
      <c r="N160">
        <f>IFERROR($C160*INDEX(SPPR!$E:$X,MATCH($A160,SPPR!$A:$A,0),11),"")</f>
        <v/>
      </c>
      <c r="O160">
        <f>IFERROR($C160*INDEX(SPPR!$E:$X,MATCH($A160,SPPR!$A:$A,0),12),"")</f>
        <v/>
      </c>
      <c r="P160">
        <f>IFERROR($C160*INDEX(SPPR!$E:$X,MATCH($A160,SPPR!$A:$A,0),13),"")</f>
        <v/>
      </c>
      <c r="Q160">
        <f>IFERROR($C160*INDEX(SPPR!$E:$X,MATCH($A160,SPPR!$A:$A,0),14),"")</f>
        <v/>
      </c>
      <c r="R160">
        <f>IFERROR($C160*INDEX(SPPR!$E:$X,MATCH($A160,SPPR!$A:$A,0),15),"")</f>
        <v/>
      </c>
      <c r="S160">
        <f>IFERROR($C160*INDEX(SPPR!$E:$X,MATCH($A160,SPPR!$A:$A,0),16),"")</f>
        <v/>
      </c>
      <c r="T160">
        <f>IFERROR($C160*INDEX(SPPR!$E:$X,MATCH($A160,SPPR!$A:$A,0),17),"")</f>
        <v/>
      </c>
      <c r="U160">
        <f>IFERROR($C160*INDEX(SPPR!$E:$X,MATCH($A160,SPPR!$A:$A,0),18),"")</f>
        <v/>
      </c>
      <c r="V160">
        <f>IFERROR($C160*INDEX(SPPR!$E:$X,MATCH($A160,SPPR!$A:$A,0),19),"")</f>
        <v/>
      </c>
      <c r="W160">
        <f>IFERROR($C160*INDEX(SPPR!$E:$X,MATCH($A160,SPPR!$A:$A,0),20),"")</f>
        <v/>
      </c>
    </row>
    <row r="161">
      <c r="A161" t="inlineStr">
        <is>
          <t>Gerreidae</t>
        </is>
      </c>
      <c r="B161">
        <f>IFERROR(INDEX(SPPR!$D:$D,MATCH($A161,SPPR!$A:$A,0)),"")</f>
        <v/>
      </c>
      <c r="C161">
        <f>IFERROR(INDEX(Catch!$E:$BV,MATCH($A161,Catch!$A:$A,0),MATCH($B$4,Catch!$E$1:$BV$1,0)),0)</f>
        <v/>
      </c>
      <c r="D161">
        <f>IFERROR($C161*INDEX(SPPR!$E:$X,MATCH($A161,SPPR!$A:$A,0),1),"")</f>
        <v/>
      </c>
      <c r="E161">
        <f>IFERROR($C161*INDEX(SPPR!$E:$X,MATCH($A161,SPPR!$A:$A,0),2),"")</f>
        <v/>
      </c>
      <c r="F161">
        <f>IFERROR($C161*INDEX(SPPR!$E:$X,MATCH($A161,SPPR!$A:$A,0),3),"")</f>
        <v/>
      </c>
      <c r="G161">
        <f>IFERROR($C161*INDEX(SPPR!$E:$X,MATCH($A161,SPPR!$A:$A,0),4),"")</f>
        <v/>
      </c>
      <c r="H161">
        <f>IFERROR($C161*INDEX(SPPR!$E:$X,MATCH($A161,SPPR!$A:$A,0),5),"")</f>
        <v/>
      </c>
      <c r="I161">
        <f>IFERROR($C161*INDEX(SPPR!$E:$X,MATCH($A161,SPPR!$A:$A,0),6),"")</f>
        <v/>
      </c>
      <c r="J161">
        <f>IFERROR($C161*INDEX(SPPR!$E:$X,MATCH($A161,SPPR!$A:$A,0),7),"")</f>
        <v/>
      </c>
      <c r="K161">
        <f>IFERROR($C161*INDEX(SPPR!$E:$X,MATCH($A161,SPPR!$A:$A,0),8),"")</f>
        <v/>
      </c>
      <c r="L161">
        <f>IFERROR($C161*INDEX(SPPR!$E:$X,MATCH($A161,SPPR!$A:$A,0),9),"")</f>
        <v/>
      </c>
      <c r="M161">
        <f>IFERROR($C161*INDEX(SPPR!$E:$X,MATCH($A161,SPPR!$A:$A,0),10),"")</f>
        <v/>
      </c>
      <c r="N161">
        <f>IFERROR($C161*INDEX(SPPR!$E:$X,MATCH($A161,SPPR!$A:$A,0),11),"")</f>
        <v/>
      </c>
      <c r="O161">
        <f>IFERROR($C161*INDEX(SPPR!$E:$X,MATCH($A161,SPPR!$A:$A,0),12),"")</f>
        <v/>
      </c>
      <c r="P161">
        <f>IFERROR($C161*INDEX(SPPR!$E:$X,MATCH($A161,SPPR!$A:$A,0),13),"")</f>
        <v/>
      </c>
      <c r="Q161">
        <f>IFERROR($C161*INDEX(SPPR!$E:$X,MATCH($A161,SPPR!$A:$A,0),14),"")</f>
        <v/>
      </c>
      <c r="R161">
        <f>IFERROR($C161*INDEX(SPPR!$E:$X,MATCH($A161,SPPR!$A:$A,0),15),"")</f>
        <v/>
      </c>
      <c r="S161">
        <f>IFERROR($C161*INDEX(SPPR!$E:$X,MATCH($A161,SPPR!$A:$A,0),16),"")</f>
        <v/>
      </c>
      <c r="T161">
        <f>IFERROR($C161*INDEX(SPPR!$E:$X,MATCH($A161,SPPR!$A:$A,0),17),"")</f>
        <v/>
      </c>
      <c r="U161">
        <f>IFERROR($C161*INDEX(SPPR!$E:$X,MATCH($A161,SPPR!$A:$A,0),18),"")</f>
        <v/>
      </c>
      <c r="V161">
        <f>IFERROR($C161*INDEX(SPPR!$E:$X,MATCH($A161,SPPR!$A:$A,0),19),"")</f>
        <v/>
      </c>
      <c r="W161">
        <f>IFERROR($C161*INDEX(SPPR!$E:$X,MATCH($A161,SPPR!$A:$A,0),20),"")</f>
        <v/>
      </c>
    </row>
    <row r="162">
      <c r="A162" t="inlineStr">
        <is>
          <t>Acanthopagrus berda</t>
        </is>
      </c>
      <c r="B162">
        <f>IFERROR(INDEX(SPPR!$D:$D,MATCH($A162,SPPR!$A:$A,0)),"")</f>
        <v/>
      </c>
      <c r="C162">
        <f>IFERROR(INDEX(Catch!$E:$BV,MATCH($A162,Catch!$A:$A,0),MATCH($B$4,Catch!$E$1:$BV$1,0)),0)</f>
        <v/>
      </c>
      <c r="D162">
        <f>IFERROR($C162*INDEX(SPPR!$E:$X,MATCH($A162,SPPR!$A:$A,0),1),"")</f>
        <v/>
      </c>
      <c r="E162">
        <f>IFERROR($C162*INDEX(SPPR!$E:$X,MATCH($A162,SPPR!$A:$A,0),2),"")</f>
        <v/>
      </c>
      <c r="F162">
        <f>IFERROR($C162*INDEX(SPPR!$E:$X,MATCH($A162,SPPR!$A:$A,0),3),"")</f>
        <v/>
      </c>
      <c r="G162">
        <f>IFERROR($C162*INDEX(SPPR!$E:$X,MATCH($A162,SPPR!$A:$A,0),4),"")</f>
        <v/>
      </c>
      <c r="H162">
        <f>IFERROR($C162*INDEX(SPPR!$E:$X,MATCH($A162,SPPR!$A:$A,0),5),"")</f>
        <v/>
      </c>
      <c r="I162">
        <f>IFERROR($C162*INDEX(SPPR!$E:$X,MATCH($A162,SPPR!$A:$A,0),6),"")</f>
        <v/>
      </c>
      <c r="J162">
        <f>IFERROR($C162*INDEX(SPPR!$E:$X,MATCH($A162,SPPR!$A:$A,0),7),"")</f>
        <v/>
      </c>
      <c r="K162">
        <f>IFERROR($C162*INDEX(SPPR!$E:$X,MATCH($A162,SPPR!$A:$A,0),8),"")</f>
        <v/>
      </c>
      <c r="L162">
        <f>IFERROR($C162*INDEX(SPPR!$E:$X,MATCH($A162,SPPR!$A:$A,0),9),"")</f>
        <v/>
      </c>
      <c r="M162">
        <f>IFERROR($C162*INDEX(SPPR!$E:$X,MATCH($A162,SPPR!$A:$A,0),10),"")</f>
        <v/>
      </c>
      <c r="N162">
        <f>IFERROR($C162*INDEX(SPPR!$E:$X,MATCH($A162,SPPR!$A:$A,0),11),"")</f>
        <v/>
      </c>
      <c r="O162">
        <f>IFERROR($C162*INDEX(SPPR!$E:$X,MATCH($A162,SPPR!$A:$A,0),12),"")</f>
        <v/>
      </c>
      <c r="P162">
        <f>IFERROR($C162*INDEX(SPPR!$E:$X,MATCH($A162,SPPR!$A:$A,0),13),"")</f>
        <v/>
      </c>
      <c r="Q162">
        <f>IFERROR($C162*INDEX(SPPR!$E:$X,MATCH($A162,SPPR!$A:$A,0),14),"")</f>
        <v/>
      </c>
      <c r="R162">
        <f>IFERROR($C162*INDEX(SPPR!$E:$X,MATCH($A162,SPPR!$A:$A,0),15),"")</f>
        <v/>
      </c>
      <c r="S162">
        <f>IFERROR($C162*INDEX(SPPR!$E:$X,MATCH($A162,SPPR!$A:$A,0),16),"")</f>
        <v/>
      </c>
      <c r="T162">
        <f>IFERROR($C162*INDEX(SPPR!$E:$X,MATCH($A162,SPPR!$A:$A,0),17),"")</f>
        <v/>
      </c>
      <c r="U162">
        <f>IFERROR($C162*INDEX(SPPR!$E:$X,MATCH($A162,SPPR!$A:$A,0),18),"")</f>
        <v/>
      </c>
      <c r="V162">
        <f>IFERROR($C162*INDEX(SPPR!$E:$X,MATCH($A162,SPPR!$A:$A,0),19),"")</f>
        <v/>
      </c>
      <c r="W162">
        <f>IFERROR($C162*INDEX(SPPR!$E:$X,MATCH($A162,SPPR!$A:$A,0),20),"")</f>
        <v/>
      </c>
    </row>
    <row r="163">
      <c r="A163" t="inlineStr">
        <is>
          <t>Pelates quadrilineatus</t>
        </is>
      </c>
      <c r="B163">
        <f>IFERROR(INDEX(SPPR!$D:$D,MATCH($A163,SPPR!$A:$A,0)),"")</f>
        <v/>
      </c>
      <c r="C163">
        <f>IFERROR(INDEX(Catch!$E:$BV,MATCH($A163,Catch!$A:$A,0),MATCH($B$4,Catch!$E$1:$BV$1,0)),0)</f>
        <v/>
      </c>
      <c r="D163">
        <f>IFERROR($C163*INDEX(SPPR!$E:$X,MATCH($A163,SPPR!$A:$A,0),1),"")</f>
        <v/>
      </c>
      <c r="E163">
        <f>IFERROR($C163*INDEX(SPPR!$E:$X,MATCH($A163,SPPR!$A:$A,0),2),"")</f>
        <v/>
      </c>
      <c r="F163">
        <f>IFERROR($C163*INDEX(SPPR!$E:$X,MATCH($A163,SPPR!$A:$A,0),3),"")</f>
        <v/>
      </c>
      <c r="G163">
        <f>IFERROR($C163*INDEX(SPPR!$E:$X,MATCH($A163,SPPR!$A:$A,0),4),"")</f>
        <v/>
      </c>
      <c r="H163">
        <f>IFERROR($C163*INDEX(SPPR!$E:$X,MATCH($A163,SPPR!$A:$A,0),5),"")</f>
        <v/>
      </c>
      <c r="I163">
        <f>IFERROR($C163*INDEX(SPPR!$E:$X,MATCH($A163,SPPR!$A:$A,0),6),"")</f>
        <v/>
      </c>
      <c r="J163">
        <f>IFERROR($C163*INDEX(SPPR!$E:$X,MATCH($A163,SPPR!$A:$A,0),7),"")</f>
        <v/>
      </c>
      <c r="K163">
        <f>IFERROR($C163*INDEX(SPPR!$E:$X,MATCH($A163,SPPR!$A:$A,0),8),"")</f>
        <v/>
      </c>
      <c r="L163">
        <f>IFERROR($C163*INDEX(SPPR!$E:$X,MATCH($A163,SPPR!$A:$A,0),9),"")</f>
        <v/>
      </c>
      <c r="M163">
        <f>IFERROR($C163*INDEX(SPPR!$E:$X,MATCH($A163,SPPR!$A:$A,0),10),"")</f>
        <v/>
      </c>
      <c r="N163">
        <f>IFERROR($C163*INDEX(SPPR!$E:$X,MATCH($A163,SPPR!$A:$A,0),11),"")</f>
        <v/>
      </c>
      <c r="O163">
        <f>IFERROR($C163*INDEX(SPPR!$E:$X,MATCH($A163,SPPR!$A:$A,0),12),"")</f>
        <v/>
      </c>
      <c r="P163">
        <f>IFERROR($C163*INDEX(SPPR!$E:$X,MATCH($A163,SPPR!$A:$A,0),13),"")</f>
        <v/>
      </c>
      <c r="Q163">
        <f>IFERROR($C163*INDEX(SPPR!$E:$X,MATCH($A163,SPPR!$A:$A,0),14),"")</f>
        <v/>
      </c>
      <c r="R163">
        <f>IFERROR($C163*INDEX(SPPR!$E:$X,MATCH($A163,SPPR!$A:$A,0),15),"")</f>
        <v/>
      </c>
      <c r="S163">
        <f>IFERROR($C163*INDEX(SPPR!$E:$X,MATCH($A163,SPPR!$A:$A,0),16),"")</f>
        <v/>
      </c>
      <c r="T163">
        <f>IFERROR($C163*INDEX(SPPR!$E:$X,MATCH($A163,SPPR!$A:$A,0),17),"")</f>
        <v/>
      </c>
      <c r="U163">
        <f>IFERROR($C163*INDEX(SPPR!$E:$X,MATCH($A163,SPPR!$A:$A,0),18),"")</f>
        <v/>
      </c>
      <c r="V163">
        <f>IFERROR($C163*INDEX(SPPR!$E:$X,MATCH($A163,SPPR!$A:$A,0),19),"")</f>
        <v/>
      </c>
      <c r="W163">
        <f>IFERROR($C163*INDEX(SPPR!$E:$X,MATCH($A163,SPPR!$A:$A,0),20),"")</f>
        <v/>
      </c>
    </row>
    <row r="164">
      <c r="A164" t="inlineStr">
        <is>
          <t>Rhabdosargus sarba</t>
        </is>
      </c>
      <c r="B164">
        <f>IFERROR(INDEX(SPPR!$D:$D,MATCH($A164,SPPR!$A:$A,0)),"")</f>
        <v/>
      </c>
      <c r="C164">
        <f>IFERROR(INDEX(Catch!$E:$BV,MATCH($A164,Catch!$A:$A,0),MATCH($B$4,Catch!$E$1:$BV$1,0)),0)</f>
        <v/>
      </c>
      <c r="D164">
        <f>IFERROR($C164*INDEX(SPPR!$E:$X,MATCH($A164,SPPR!$A:$A,0),1),"")</f>
        <v/>
      </c>
      <c r="E164">
        <f>IFERROR($C164*INDEX(SPPR!$E:$X,MATCH($A164,SPPR!$A:$A,0),2),"")</f>
        <v/>
      </c>
      <c r="F164">
        <f>IFERROR($C164*INDEX(SPPR!$E:$X,MATCH($A164,SPPR!$A:$A,0),3),"")</f>
        <v/>
      </c>
      <c r="G164">
        <f>IFERROR($C164*INDEX(SPPR!$E:$X,MATCH($A164,SPPR!$A:$A,0),4),"")</f>
        <v/>
      </c>
      <c r="H164">
        <f>IFERROR($C164*INDEX(SPPR!$E:$X,MATCH($A164,SPPR!$A:$A,0),5),"")</f>
        <v/>
      </c>
      <c r="I164">
        <f>IFERROR($C164*INDEX(SPPR!$E:$X,MATCH($A164,SPPR!$A:$A,0),6),"")</f>
        <v/>
      </c>
      <c r="J164">
        <f>IFERROR($C164*INDEX(SPPR!$E:$X,MATCH($A164,SPPR!$A:$A,0),7),"")</f>
        <v/>
      </c>
      <c r="K164">
        <f>IFERROR($C164*INDEX(SPPR!$E:$X,MATCH($A164,SPPR!$A:$A,0),8),"")</f>
        <v/>
      </c>
      <c r="L164">
        <f>IFERROR($C164*INDEX(SPPR!$E:$X,MATCH($A164,SPPR!$A:$A,0),9),"")</f>
        <v/>
      </c>
      <c r="M164">
        <f>IFERROR($C164*INDEX(SPPR!$E:$X,MATCH($A164,SPPR!$A:$A,0),10),"")</f>
        <v/>
      </c>
      <c r="N164">
        <f>IFERROR($C164*INDEX(SPPR!$E:$X,MATCH($A164,SPPR!$A:$A,0),11),"")</f>
        <v/>
      </c>
      <c r="O164">
        <f>IFERROR($C164*INDEX(SPPR!$E:$X,MATCH($A164,SPPR!$A:$A,0),12),"")</f>
        <v/>
      </c>
      <c r="P164">
        <f>IFERROR($C164*INDEX(SPPR!$E:$X,MATCH($A164,SPPR!$A:$A,0),13),"")</f>
        <v/>
      </c>
      <c r="Q164">
        <f>IFERROR($C164*INDEX(SPPR!$E:$X,MATCH($A164,SPPR!$A:$A,0),14),"")</f>
        <v/>
      </c>
      <c r="R164">
        <f>IFERROR($C164*INDEX(SPPR!$E:$X,MATCH($A164,SPPR!$A:$A,0),15),"")</f>
        <v/>
      </c>
      <c r="S164">
        <f>IFERROR($C164*INDEX(SPPR!$E:$X,MATCH($A164,SPPR!$A:$A,0),16),"")</f>
        <v/>
      </c>
      <c r="T164">
        <f>IFERROR($C164*INDEX(SPPR!$E:$X,MATCH($A164,SPPR!$A:$A,0),17),"")</f>
        <v/>
      </c>
      <c r="U164">
        <f>IFERROR($C164*INDEX(SPPR!$E:$X,MATCH($A164,SPPR!$A:$A,0),18),"")</f>
        <v/>
      </c>
      <c r="V164">
        <f>IFERROR($C164*INDEX(SPPR!$E:$X,MATCH($A164,SPPR!$A:$A,0),19),"")</f>
        <v/>
      </c>
      <c r="W164">
        <f>IFERROR($C164*INDEX(SPPR!$E:$X,MATCH($A164,SPPR!$A:$A,0),20),"")</f>
        <v/>
      </c>
    </row>
    <row r="165">
      <c r="A165" t="inlineStr">
        <is>
          <t>Rhizostomeae</t>
        </is>
      </c>
      <c r="B165">
        <f>IFERROR(INDEX(SPPR!$D:$D,MATCH($A165,SPPR!$A:$A,0)),"")</f>
        <v/>
      </c>
      <c r="C165">
        <f>IFERROR(INDEX(Catch!$E:$BV,MATCH($A165,Catch!$A:$A,0),MATCH($B$4,Catch!$E$1:$BV$1,0)),0)</f>
        <v/>
      </c>
      <c r="D165">
        <f>IFERROR($C165*INDEX(SPPR!$E:$X,MATCH($A165,SPPR!$A:$A,0),1),"")</f>
        <v/>
      </c>
      <c r="E165">
        <f>IFERROR($C165*INDEX(SPPR!$E:$X,MATCH($A165,SPPR!$A:$A,0),2),"")</f>
        <v/>
      </c>
      <c r="F165">
        <f>IFERROR($C165*INDEX(SPPR!$E:$X,MATCH($A165,SPPR!$A:$A,0),3),"")</f>
        <v/>
      </c>
      <c r="G165">
        <f>IFERROR($C165*INDEX(SPPR!$E:$X,MATCH($A165,SPPR!$A:$A,0),4),"")</f>
        <v/>
      </c>
      <c r="H165">
        <f>IFERROR($C165*INDEX(SPPR!$E:$X,MATCH($A165,SPPR!$A:$A,0),5),"")</f>
        <v/>
      </c>
      <c r="I165">
        <f>IFERROR($C165*INDEX(SPPR!$E:$X,MATCH($A165,SPPR!$A:$A,0),6),"")</f>
        <v/>
      </c>
      <c r="J165">
        <f>IFERROR($C165*INDEX(SPPR!$E:$X,MATCH($A165,SPPR!$A:$A,0),7),"")</f>
        <v/>
      </c>
      <c r="K165">
        <f>IFERROR($C165*INDEX(SPPR!$E:$X,MATCH($A165,SPPR!$A:$A,0),8),"")</f>
        <v/>
      </c>
      <c r="L165">
        <f>IFERROR($C165*INDEX(SPPR!$E:$X,MATCH($A165,SPPR!$A:$A,0),9),"")</f>
        <v/>
      </c>
      <c r="M165">
        <f>IFERROR($C165*INDEX(SPPR!$E:$X,MATCH($A165,SPPR!$A:$A,0),10),"")</f>
        <v/>
      </c>
      <c r="N165">
        <f>IFERROR($C165*INDEX(SPPR!$E:$X,MATCH($A165,SPPR!$A:$A,0),11),"")</f>
        <v/>
      </c>
      <c r="O165">
        <f>IFERROR($C165*INDEX(SPPR!$E:$X,MATCH($A165,SPPR!$A:$A,0),12),"")</f>
        <v/>
      </c>
      <c r="P165">
        <f>IFERROR($C165*INDEX(SPPR!$E:$X,MATCH($A165,SPPR!$A:$A,0),13),"")</f>
        <v/>
      </c>
      <c r="Q165">
        <f>IFERROR($C165*INDEX(SPPR!$E:$X,MATCH($A165,SPPR!$A:$A,0),14),"")</f>
        <v/>
      </c>
      <c r="R165">
        <f>IFERROR($C165*INDEX(SPPR!$E:$X,MATCH($A165,SPPR!$A:$A,0),15),"")</f>
        <v/>
      </c>
      <c r="S165">
        <f>IFERROR($C165*INDEX(SPPR!$E:$X,MATCH($A165,SPPR!$A:$A,0),16),"")</f>
        <v/>
      </c>
      <c r="T165">
        <f>IFERROR($C165*INDEX(SPPR!$E:$X,MATCH($A165,SPPR!$A:$A,0),17),"")</f>
        <v/>
      </c>
      <c r="U165">
        <f>IFERROR($C165*INDEX(SPPR!$E:$X,MATCH($A165,SPPR!$A:$A,0),18),"")</f>
        <v/>
      </c>
      <c r="V165">
        <f>IFERROR($C165*INDEX(SPPR!$E:$X,MATCH($A165,SPPR!$A:$A,0),19),"")</f>
        <v/>
      </c>
      <c r="W165">
        <f>IFERROR($C165*INDEX(SPPR!$E:$X,MATCH($A165,SPPR!$A:$A,0),20),"")</f>
        <v/>
      </c>
    </row>
    <row r="166">
      <c r="A166" t="inlineStr">
        <is>
          <t>Hemiramphus</t>
        </is>
      </c>
      <c r="B166">
        <f>IFERROR(INDEX(SPPR!$D:$D,MATCH($A166,SPPR!$A:$A,0)),"")</f>
        <v/>
      </c>
      <c r="C166">
        <f>IFERROR(INDEX(Catch!$E:$BV,MATCH($A166,Catch!$A:$A,0),MATCH($B$4,Catch!$E$1:$BV$1,0)),0)</f>
        <v/>
      </c>
      <c r="D166">
        <f>IFERROR($C166*INDEX(SPPR!$E:$X,MATCH($A166,SPPR!$A:$A,0),1),"")</f>
        <v/>
      </c>
      <c r="E166">
        <f>IFERROR($C166*INDEX(SPPR!$E:$X,MATCH($A166,SPPR!$A:$A,0),2),"")</f>
        <v/>
      </c>
      <c r="F166">
        <f>IFERROR($C166*INDEX(SPPR!$E:$X,MATCH($A166,SPPR!$A:$A,0),3),"")</f>
        <v/>
      </c>
      <c r="G166">
        <f>IFERROR($C166*INDEX(SPPR!$E:$X,MATCH($A166,SPPR!$A:$A,0),4),"")</f>
        <v/>
      </c>
      <c r="H166">
        <f>IFERROR($C166*INDEX(SPPR!$E:$X,MATCH($A166,SPPR!$A:$A,0),5),"")</f>
        <v/>
      </c>
      <c r="I166">
        <f>IFERROR($C166*INDEX(SPPR!$E:$X,MATCH($A166,SPPR!$A:$A,0),6),"")</f>
        <v/>
      </c>
      <c r="J166">
        <f>IFERROR($C166*INDEX(SPPR!$E:$X,MATCH($A166,SPPR!$A:$A,0),7),"")</f>
        <v/>
      </c>
      <c r="K166">
        <f>IFERROR($C166*INDEX(SPPR!$E:$X,MATCH($A166,SPPR!$A:$A,0),8),"")</f>
        <v/>
      </c>
      <c r="L166">
        <f>IFERROR($C166*INDEX(SPPR!$E:$X,MATCH($A166,SPPR!$A:$A,0),9),"")</f>
        <v/>
      </c>
      <c r="M166">
        <f>IFERROR($C166*INDEX(SPPR!$E:$X,MATCH($A166,SPPR!$A:$A,0),10),"")</f>
        <v/>
      </c>
      <c r="N166">
        <f>IFERROR($C166*INDEX(SPPR!$E:$X,MATCH($A166,SPPR!$A:$A,0),11),"")</f>
        <v/>
      </c>
      <c r="O166">
        <f>IFERROR($C166*INDEX(SPPR!$E:$X,MATCH($A166,SPPR!$A:$A,0),12),"")</f>
        <v/>
      </c>
      <c r="P166">
        <f>IFERROR($C166*INDEX(SPPR!$E:$X,MATCH($A166,SPPR!$A:$A,0),13),"")</f>
        <v/>
      </c>
      <c r="Q166">
        <f>IFERROR($C166*INDEX(SPPR!$E:$X,MATCH($A166,SPPR!$A:$A,0),14),"")</f>
        <v/>
      </c>
      <c r="R166">
        <f>IFERROR($C166*INDEX(SPPR!$E:$X,MATCH($A166,SPPR!$A:$A,0),15),"")</f>
        <v/>
      </c>
      <c r="S166">
        <f>IFERROR($C166*INDEX(SPPR!$E:$X,MATCH($A166,SPPR!$A:$A,0),16),"")</f>
        <v/>
      </c>
      <c r="T166">
        <f>IFERROR($C166*INDEX(SPPR!$E:$X,MATCH($A166,SPPR!$A:$A,0),17),"")</f>
        <v/>
      </c>
      <c r="U166">
        <f>IFERROR($C166*INDEX(SPPR!$E:$X,MATCH($A166,SPPR!$A:$A,0),18),"")</f>
        <v/>
      </c>
      <c r="V166">
        <f>IFERROR($C166*INDEX(SPPR!$E:$X,MATCH($A166,SPPR!$A:$A,0),19),"")</f>
        <v/>
      </c>
      <c r="W166">
        <f>IFERROR($C166*INDEX(SPPR!$E:$X,MATCH($A166,SPPR!$A:$A,0),20),"")</f>
        <v/>
      </c>
    </row>
    <row r="167">
      <c r="A167" t="inlineStr">
        <is>
          <t>Terapon</t>
        </is>
      </c>
      <c r="B167">
        <f>IFERROR(INDEX(SPPR!$D:$D,MATCH($A167,SPPR!$A:$A,0)),"")</f>
        <v/>
      </c>
      <c r="C167">
        <f>IFERROR(INDEX(Catch!$E:$BV,MATCH($A167,Catch!$A:$A,0),MATCH($B$4,Catch!$E$1:$BV$1,0)),0)</f>
        <v/>
      </c>
      <c r="D167">
        <f>IFERROR($C167*INDEX(SPPR!$E:$X,MATCH($A167,SPPR!$A:$A,0),1),"")</f>
        <v/>
      </c>
      <c r="E167">
        <f>IFERROR($C167*INDEX(SPPR!$E:$X,MATCH($A167,SPPR!$A:$A,0),2),"")</f>
        <v/>
      </c>
      <c r="F167">
        <f>IFERROR($C167*INDEX(SPPR!$E:$X,MATCH($A167,SPPR!$A:$A,0),3),"")</f>
        <v/>
      </c>
      <c r="G167">
        <f>IFERROR($C167*INDEX(SPPR!$E:$X,MATCH($A167,SPPR!$A:$A,0),4),"")</f>
        <v/>
      </c>
      <c r="H167">
        <f>IFERROR($C167*INDEX(SPPR!$E:$X,MATCH($A167,SPPR!$A:$A,0),5),"")</f>
        <v/>
      </c>
      <c r="I167">
        <f>IFERROR($C167*INDEX(SPPR!$E:$X,MATCH($A167,SPPR!$A:$A,0),6),"")</f>
        <v/>
      </c>
      <c r="J167">
        <f>IFERROR($C167*INDEX(SPPR!$E:$X,MATCH($A167,SPPR!$A:$A,0),7),"")</f>
        <v/>
      </c>
      <c r="K167">
        <f>IFERROR($C167*INDEX(SPPR!$E:$X,MATCH($A167,SPPR!$A:$A,0),8),"")</f>
        <v/>
      </c>
      <c r="L167">
        <f>IFERROR($C167*INDEX(SPPR!$E:$X,MATCH($A167,SPPR!$A:$A,0),9),"")</f>
        <v/>
      </c>
      <c r="M167">
        <f>IFERROR($C167*INDEX(SPPR!$E:$X,MATCH($A167,SPPR!$A:$A,0),10),"")</f>
        <v/>
      </c>
      <c r="N167">
        <f>IFERROR($C167*INDEX(SPPR!$E:$X,MATCH($A167,SPPR!$A:$A,0),11),"")</f>
        <v/>
      </c>
      <c r="O167">
        <f>IFERROR($C167*INDEX(SPPR!$E:$X,MATCH($A167,SPPR!$A:$A,0),12),"")</f>
        <v/>
      </c>
      <c r="P167">
        <f>IFERROR($C167*INDEX(SPPR!$E:$X,MATCH($A167,SPPR!$A:$A,0),13),"")</f>
        <v/>
      </c>
      <c r="Q167">
        <f>IFERROR($C167*INDEX(SPPR!$E:$X,MATCH($A167,SPPR!$A:$A,0),14),"")</f>
        <v/>
      </c>
      <c r="R167">
        <f>IFERROR($C167*INDEX(SPPR!$E:$X,MATCH($A167,SPPR!$A:$A,0),15),"")</f>
        <v/>
      </c>
      <c r="S167">
        <f>IFERROR($C167*INDEX(SPPR!$E:$X,MATCH($A167,SPPR!$A:$A,0),16),"")</f>
        <v/>
      </c>
      <c r="T167">
        <f>IFERROR($C167*INDEX(SPPR!$E:$X,MATCH($A167,SPPR!$A:$A,0),17),"")</f>
        <v/>
      </c>
      <c r="U167">
        <f>IFERROR($C167*INDEX(SPPR!$E:$X,MATCH($A167,SPPR!$A:$A,0),18),"")</f>
        <v/>
      </c>
      <c r="V167">
        <f>IFERROR($C167*INDEX(SPPR!$E:$X,MATCH($A167,SPPR!$A:$A,0),19),"")</f>
        <v/>
      </c>
      <c r="W167">
        <f>IFERROR($C167*INDEX(SPPR!$E:$X,MATCH($A167,SPPR!$A:$A,0),20),"")</f>
        <v/>
      </c>
    </row>
    <row r="168">
      <c r="A168" t="inlineStr">
        <is>
          <t>Pterotolithus maculatus</t>
        </is>
      </c>
      <c r="B168">
        <f>IFERROR(INDEX(SPPR!$D:$D,MATCH($A168,SPPR!$A:$A,0)),"")</f>
        <v/>
      </c>
      <c r="C168">
        <f>IFERROR(INDEX(Catch!$E:$BV,MATCH($A168,Catch!$A:$A,0),MATCH($B$4,Catch!$E$1:$BV$1,0)),0)</f>
        <v/>
      </c>
      <c r="D168">
        <f>IFERROR($C168*INDEX(SPPR!$E:$X,MATCH($A168,SPPR!$A:$A,0),1),"")</f>
        <v/>
      </c>
      <c r="E168">
        <f>IFERROR($C168*INDEX(SPPR!$E:$X,MATCH($A168,SPPR!$A:$A,0),2),"")</f>
        <v/>
      </c>
      <c r="F168">
        <f>IFERROR($C168*INDEX(SPPR!$E:$X,MATCH($A168,SPPR!$A:$A,0),3),"")</f>
        <v/>
      </c>
      <c r="G168">
        <f>IFERROR($C168*INDEX(SPPR!$E:$X,MATCH($A168,SPPR!$A:$A,0),4),"")</f>
        <v/>
      </c>
      <c r="H168">
        <f>IFERROR($C168*INDEX(SPPR!$E:$X,MATCH($A168,SPPR!$A:$A,0),5),"")</f>
        <v/>
      </c>
      <c r="I168">
        <f>IFERROR($C168*INDEX(SPPR!$E:$X,MATCH($A168,SPPR!$A:$A,0),6),"")</f>
        <v/>
      </c>
      <c r="J168">
        <f>IFERROR($C168*INDEX(SPPR!$E:$X,MATCH($A168,SPPR!$A:$A,0),7),"")</f>
        <v/>
      </c>
      <c r="K168">
        <f>IFERROR($C168*INDEX(SPPR!$E:$X,MATCH($A168,SPPR!$A:$A,0),8),"")</f>
        <v/>
      </c>
      <c r="L168">
        <f>IFERROR($C168*INDEX(SPPR!$E:$X,MATCH($A168,SPPR!$A:$A,0),9),"")</f>
        <v/>
      </c>
      <c r="M168">
        <f>IFERROR($C168*INDEX(SPPR!$E:$X,MATCH($A168,SPPR!$A:$A,0),10),"")</f>
        <v/>
      </c>
      <c r="N168">
        <f>IFERROR($C168*INDEX(SPPR!$E:$X,MATCH($A168,SPPR!$A:$A,0),11),"")</f>
        <v/>
      </c>
      <c r="O168">
        <f>IFERROR($C168*INDEX(SPPR!$E:$X,MATCH($A168,SPPR!$A:$A,0),12),"")</f>
        <v/>
      </c>
      <c r="P168">
        <f>IFERROR($C168*INDEX(SPPR!$E:$X,MATCH($A168,SPPR!$A:$A,0),13),"")</f>
        <v/>
      </c>
      <c r="Q168">
        <f>IFERROR($C168*INDEX(SPPR!$E:$X,MATCH($A168,SPPR!$A:$A,0),14),"")</f>
        <v/>
      </c>
      <c r="R168">
        <f>IFERROR($C168*INDEX(SPPR!$E:$X,MATCH($A168,SPPR!$A:$A,0),15),"")</f>
        <v/>
      </c>
      <c r="S168">
        <f>IFERROR($C168*INDEX(SPPR!$E:$X,MATCH($A168,SPPR!$A:$A,0),16),"")</f>
        <v/>
      </c>
      <c r="T168">
        <f>IFERROR($C168*INDEX(SPPR!$E:$X,MATCH($A168,SPPR!$A:$A,0),17),"")</f>
        <v/>
      </c>
      <c r="U168">
        <f>IFERROR($C168*INDEX(SPPR!$E:$X,MATCH($A168,SPPR!$A:$A,0),18),"")</f>
        <v/>
      </c>
      <c r="V168">
        <f>IFERROR($C168*INDEX(SPPR!$E:$X,MATCH($A168,SPPR!$A:$A,0),19),"")</f>
        <v/>
      </c>
      <c r="W168">
        <f>IFERROR($C168*INDEX(SPPR!$E:$X,MATCH($A168,SPPR!$A:$A,0),20),"")</f>
        <v/>
      </c>
    </row>
    <row r="169">
      <c r="A169" t="inlineStr">
        <is>
          <t>Flavocaranx bajad</t>
        </is>
      </c>
      <c r="B169">
        <f>IFERROR(INDEX(SPPR!$D:$D,MATCH($A169,SPPR!$A:$A,0)),"")</f>
        <v/>
      </c>
      <c r="C169">
        <f>IFERROR(INDEX(Catch!$E:$BV,MATCH($A169,Catch!$A:$A,0),MATCH($B$4,Catch!$E$1:$BV$1,0)),0)</f>
        <v/>
      </c>
      <c r="D169">
        <f>IFERROR($C169*INDEX(SPPR!$E:$X,MATCH($A169,SPPR!$A:$A,0),1),"")</f>
        <v/>
      </c>
      <c r="E169">
        <f>IFERROR($C169*INDEX(SPPR!$E:$X,MATCH($A169,SPPR!$A:$A,0),2),"")</f>
        <v/>
      </c>
      <c r="F169">
        <f>IFERROR($C169*INDEX(SPPR!$E:$X,MATCH($A169,SPPR!$A:$A,0),3),"")</f>
        <v/>
      </c>
      <c r="G169">
        <f>IFERROR($C169*INDEX(SPPR!$E:$X,MATCH($A169,SPPR!$A:$A,0),4),"")</f>
        <v/>
      </c>
      <c r="H169">
        <f>IFERROR($C169*INDEX(SPPR!$E:$X,MATCH($A169,SPPR!$A:$A,0),5),"")</f>
        <v/>
      </c>
      <c r="I169">
        <f>IFERROR($C169*INDEX(SPPR!$E:$X,MATCH($A169,SPPR!$A:$A,0),6),"")</f>
        <v/>
      </c>
      <c r="J169">
        <f>IFERROR($C169*INDEX(SPPR!$E:$X,MATCH($A169,SPPR!$A:$A,0),7),"")</f>
        <v/>
      </c>
      <c r="K169">
        <f>IFERROR($C169*INDEX(SPPR!$E:$X,MATCH($A169,SPPR!$A:$A,0),8),"")</f>
        <v/>
      </c>
      <c r="L169">
        <f>IFERROR($C169*INDEX(SPPR!$E:$X,MATCH($A169,SPPR!$A:$A,0),9),"")</f>
        <v/>
      </c>
      <c r="M169">
        <f>IFERROR($C169*INDEX(SPPR!$E:$X,MATCH($A169,SPPR!$A:$A,0),10),"")</f>
        <v/>
      </c>
      <c r="N169">
        <f>IFERROR($C169*INDEX(SPPR!$E:$X,MATCH($A169,SPPR!$A:$A,0),11),"")</f>
        <v/>
      </c>
      <c r="O169">
        <f>IFERROR($C169*INDEX(SPPR!$E:$X,MATCH($A169,SPPR!$A:$A,0),12),"")</f>
        <v/>
      </c>
      <c r="P169">
        <f>IFERROR($C169*INDEX(SPPR!$E:$X,MATCH($A169,SPPR!$A:$A,0),13),"")</f>
        <v/>
      </c>
      <c r="Q169">
        <f>IFERROR($C169*INDEX(SPPR!$E:$X,MATCH($A169,SPPR!$A:$A,0),14),"")</f>
        <v/>
      </c>
      <c r="R169">
        <f>IFERROR($C169*INDEX(SPPR!$E:$X,MATCH($A169,SPPR!$A:$A,0),15),"")</f>
        <v/>
      </c>
      <c r="S169">
        <f>IFERROR($C169*INDEX(SPPR!$E:$X,MATCH($A169,SPPR!$A:$A,0),16),"")</f>
        <v/>
      </c>
      <c r="T169">
        <f>IFERROR($C169*INDEX(SPPR!$E:$X,MATCH($A169,SPPR!$A:$A,0),17),"")</f>
        <v/>
      </c>
      <c r="U169">
        <f>IFERROR($C169*INDEX(SPPR!$E:$X,MATCH($A169,SPPR!$A:$A,0),18),"")</f>
        <v/>
      </c>
      <c r="V169">
        <f>IFERROR($C169*INDEX(SPPR!$E:$X,MATCH($A169,SPPR!$A:$A,0),19),"")</f>
        <v/>
      </c>
      <c r="W169">
        <f>IFERROR($C169*INDEX(SPPR!$E:$X,MATCH($A169,SPPR!$A:$A,0),20),"")</f>
        <v/>
      </c>
    </row>
    <row r="170">
      <c r="A170" t="inlineStr">
        <is>
          <t>Selar crumenophthalmus</t>
        </is>
      </c>
      <c r="B170">
        <f>IFERROR(INDEX(SPPR!$D:$D,MATCH($A170,SPPR!$A:$A,0)),"")</f>
        <v/>
      </c>
      <c r="C170">
        <f>IFERROR(INDEX(Catch!$E:$BV,MATCH($A170,Catch!$A:$A,0),MATCH($B$4,Catch!$E$1:$BV$1,0)),0)</f>
        <v/>
      </c>
      <c r="D170">
        <f>IFERROR($C170*INDEX(SPPR!$E:$X,MATCH($A170,SPPR!$A:$A,0),1),"")</f>
        <v/>
      </c>
      <c r="E170">
        <f>IFERROR($C170*INDEX(SPPR!$E:$X,MATCH($A170,SPPR!$A:$A,0),2),"")</f>
        <v/>
      </c>
      <c r="F170">
        <f>IFERROR($C170*INDEX(SPPR!$E:$X,MATCH($A170,SPPR!$A:$A,0),3),"")</f>
        <v/>
      </c>
      <c r="G170">
        <f>IFERROR($C170*INDEX(SPPR!$E:$X,MATCH($A170,SPPR!$A:$A,0),4),"")</f>
        <v/>
      </c>
      <c r="H170">
        <f>IFERROR($C170*INDEX(SPPR!$E:$X,MATCH($A170,SPPR!$A:$A,0),5),"")</f>
        <v/>
      </c>
      <c r="I170">
        <f>IFERROR($C170*INDEX(SPPR!$E:$X,MATCH($A170,SPPR!$A:$A,0),6),"")</f>
        <v/>
      </c>
      <c r="J170">
        <f>IFERROR($C170*INDEX(SPPR!$E:$X,MATCH($A170,SPPR!$A:$A,0),7),"")</f>
        <v/>
      </c>
      <c r="K170">
        <f>IFERROR($C170*INDEX(SPPR!$E:$X,MATCH($A170,SPPR!$A:$A,0),8),"")</f>
        <v/>
      </c>
      <c r="L170">
        <f>IFERROR($C170*INDEX(SPPR!$E:$X,MATCH($A170,SPPR!$A:$A,0),9),"")</f>
        <v/>
      </c>
      <c r="M170">
        <f>IFERROR($C170*INDEX(SPPR!$E:$X,MATCH($A170,SPPR!$A:$A,0),10),"")</f>
        <v/>
      </c>
      <c r="N170">
        <f>IFERROR($C170*INDEX(SPPR!$E:$X,MATCH($A170,SPPR!$A:$A,0),11),"")</f>
        <v/>
      </c>
      <c r="O170">
        <f>IFERROR($C170*INDEX(SPPR!$E:$X,MATCH($A170,SPPR!$A:$A,0),12),"")</f>
        <v/>
      </c>
      <c r="P170">
        <f>IFERROR($C170*INDEX(SPPR!$E:$X,MATCH($A170,SPPR!$A:$A,0),13),"")</f>
        <v/>
      </c>
      <c r="Q170">
        <f>IFERROR($C170*INDEX(SPPR!$E:$X,MATCH($A170,SPPR!$A:$A,0),14),"")</f>
        <v/>
      </c>
      <c r="R170">
        <f>IFERROR($C170*INDEX(SPPR!$E:$X,MATCH($A170,SPPR!$A:$A,0),15),"")</f>
        <v/>
      </c>
      <c r="S170">
        <f>IFERROR($C170*INDEX(SPPR!$E:$X,MATCH($A170,SPPR!$A:$A,0),16),"")</f>
        <v/>
      </c>
      <c r="T170">
        <f>IFERROR($C170*INDEX(SPPR!$E:$X,MATCH($A170,SPPR!$A:$A,0),17),"")</f>
        <v/>
      </c>
      <c r="U170">
        <f>IFERROR($C170*INDEX(SPPR!$E:$X,MATCH($A170,SPPR!$A:$A,0),18),"")</f>
        <v/>
      </c>
      <c r="V170">
        <f>IFERROR($C170*INDEX(SPPR!$E:$X,MATCH($A170,SPPR!$A:$A,0),19),"")</f>
        <v/>
      </c>
      <c r="W170">
        <f>IFERROR($C170*INDEX(SPPR!$E:$X,MATCH($A170,SPPR!$A:$A,0),20),"")</f>
        <v/>
      </c>
    </row>
    <row r="171">
      <c r="A171" t="inlineStr">
        <is>
          <t>Chanos chanos</t>
        </is>
      </c>
      <c r="B171">
        <f>IFERROR(INDEX(SPPR!$D:$D,MATCH($A171,SPPR!$A:$A,0)),"")</f>
        <v/>
      </c>
      <c r="C171">
        <f>IFERROR(INDEX(Catch!$E:$BV,MATCH($A171,Catch!$A:$A,0),MATCH($B$4,Catch!$E$1:$BV$1,0)),0)</f>
        <v/>
      </c>
      <c r="D171">
        <f>IFERROR($C171*INDEX(SPPR!$E:$X,MATCH($A171,SPPR!$A:$A,0),1),"")</f>
        <v/>
      </c>
      <c r="E171">
        <f>IFERROR($C171*INDEX(SPPR!$E:$X,MATCH($A171,SPPR!$A:$A,0),2),"")</f>
        <v/>
      </c>
      <c r="F171">
        <f>IFERROR($C171*INDEX(SPPR!$E:$X,MATCH($A171,SPPR!$A:$A,0),3),"")</f>
        <v/>
      </c>
      <c r="G171">
        <f>IFERROR($C171*INDEX(SPPR!$E:$X,MATCH($A171,SPPR!$A:$A,0),4),"")</f>
        <v/>
      </c>
      <c r="H171">
        <f>IFERROR($C171*INDEX(SPPR!$E:$X,MATCH($A171,SPPR!$A:$A,0),5),"")</f>
        <v/>
      </c>
      <c r="I171">
        <f>IFERROR($C171*INDEX(SPPR!$E:$X,MATCH($A171,SPPR!$A:$A,0),6),"")</f>
        <v/>
      </c>
      <c r="J171">
        <f>IFERROR($C171*INDEX(SPPR!$E:$X,MATCH($A171,SPPR!$A:$A,0),7),"")</f>
        <v/>
      </c>
      <c r="K171">
        <f>IFERROR($C171*INDEX(SPPR!$E:$X,MATCH($A171,SPPR!$A:$A,0),8),"")</f>
        <v/>
      </c>
      <c r="L171">
        <f>IFERROR($C171*INDEX(SPPR!$E:$X,MATCH($A171,SPPR!$A:$A,0),9),"")</f>
        <v/>
      </c>
      <c r="M171">
        <f>IFERROR($C171*INDEX(SPPR!$E:$X,MATCH($A171,SPPR!$A:$A,0),10),"")</f>
        <v/>
      </c>
      <c r="N171">
        <f>IFERROR($C171*INDEX(SPPR!$E:$X,MATCH($A171,SPPR!$A:$A,0),11),"")</f>
        <v/>
      </c>
      <c r="O171">
        <f>IFERROR($C171*INDEX(SPPR!$E:$X,MATCH($A171,SPPR!$A:$A,0),12),"")</f>
        <v/>
      </c>
      <c r="P171">
        <f>IFERROR($C171*INDEX(SPPR!$E:$X,MATCH($A171,SPPR!$A:$A,0),13),"")</f>
        <v/>
      </c>
      <c r="Q171">
        <f>IFERROR($C171*INDEX(SPPR!$E:$X,MATCH($A171,SPPR!$A:$A,0),14),"")</f>
        <v/>
      </c>
      <c r="R171">
        <f>IFERROR($C171*INDEX(SPPR!$E:$X,MATCH($A171,SPPR!$A:$A,0),15),"")</f>
        <v/>
      </c>
      <c r="S171">
        <f>IFERROR($C171*INDEX(SPPR!$E:$X,MATCH($A171,SPPR!$A:$A,0),16),"")</f>
        <v/>
      </c>
      <c r="T171">
        <f>IFERROR($C171*INDEX(SPPR!$E:$X,MATCH($A171,SPPR!$A:$A,0),17),"")</f>
        <v/>
      </c>
      <c r="U171">
        <f>IFERROR($C171*INDEX(SPPR!$E:$X,MATCH($A171,SPPR!$A:$A,0),18),"")</f>
        <v/>
      </c>
      <c r="V171">
        <f>IFERROR($C171*INDEX(SPPR!$E:$X,MATCH($A171,SPPR!$A:$A,0),19),"")</f>
        <v/>
      </c>
      <c r="W171">
        <f>IFERROR($C171*INDEX(SPPR!$E:$X,MATCH($A171,SPPR!$A:$A,0),20),"")</f>
        <v/>
      </c>
    </row>
    <row r="172">
      <c r="A172" t="inlineStr">
        <is>
          <t>Palinuridae</t>
        </is>
      </c>
      <c r="B172">
        <f>IFERROR(INDEX(SPPR!$D:$D,MATCH($A172,SPPR!$A:$A,0)),"")</f>
        <v/>
      </c>
      <c r="C172">
        <f>IFERROR(INDEX(Catch!$E:$BV,MATCH($A172,Catch!$A:$A,0),MATCH($B$4,Catch!$E$1:$BV$1,0)),0)</f>
        <v/>
      </c>
      <c r="D172">
        <f>IFERROR($C172*INDEX(SPPR!$E:$X,MATCH($A172,SPPR!$A:$A,0),1),"")</f>
        <v/>
      </c>
      <c r="E172">
        <f>IFERROR($C172*INDEX(SPPR!$E:$X,MATCH($A172,SPPR!$A:$A,0),2),"")</f>
        <v/>
      </c>
      <c r="F172">
        <f>IFERROR($C172*INDEX(SPPR!$E:$X,MATCH($A172,SPPR!$A:$A,0),3),"")</f>
        <v/>
      </c>
      <c r="G172">
        <f>IFERROR($C172*INDEX(SPPR!$E:$X,MATCH($A172,SPPR!$A:$A,0),4),"")</f>
        <v/>
      </c>
      <c r="H172">
        <f>IFERROR($C172*INDEX(SPPR!$E:$X,MATCH($A172,SPPR!$A:$A,0),5),"")</f>
        <v/>
      </c>
      <c r="I172">
        <f>IFERROR($C172*INDEX(SPPR!$E:$X,MATCH($A172,SPPR!$A:$A,0),6),"")</f>
        <v/>
      </c>
      <c r="J172">
        <f>IFERROR($C172*INDEX(SPPR!$E:$X,MATCH($A172,SPPR!$A:$A,0),7),"")</f>
        <v/>
      </c>
      <c r="K172">
        <f>IFERROR($C172*INDEX(SPPR!$E:$X,MATCH($A172,SPPR!$A:$A,0),8),"")</f>
        <v/>
      </c>
      <c r="L172">
        <f>IFERROR($C172*INDEX(SPPR!$E:$X,MATCH($A172,SPPR!$A:$A,0),9),"")</f>
        <v/>
      </c>
      <c r="M172">
        <f>IFERROR($C172*INDEX(SPPR!$E:$X,MATCH($A172,SPPR!$A:$A,0),10),"")</f>
        <v/>
      </c>
      <c r="N172">
        <f>IFERROR($C172*INDEX(SPPR!$E:$X,MATCH($A172,SPPR!$A:$A,0),11),"")</f>
        <v/>
      </c>
      <c r="O172">
        <f>IFERROR($C172*INDEX(SPPR!$E:$X,MATCH($A172,SPPR!$A:$A,0),12),"")</f>
        <v/>
      </c>
      <c r="P172">
        <f>IFERROR($C172*INDEX(SPPR!$E:$X,MATCH($A172,SPPR!$A:$A,0),13),"")</f>
        <v/>
      </c>
      <c r="Q172">
        <f>IFERROR($C172*INDEX(SPPR!$E:$X,MATCH($A172,SPPR!$A:$A,0),14),"")</f>
        <v/>
      </c>
      <c r="R172">
        <f>IFERROR($C172*INDEX(SPPR!$E:$X,MATCH($A172,SPPR!$A:$A,0),15),"")</f>
        <v/>
      </c>
      <c r="S172">
        <f>IFERROR($C172*INDEX(SPPR!$E:$X,MATCH($A172,SPPR!$A:$A,0),16),"")</f>
        <v/>
      </c>
      <c r="T172">
        <f>IFERROR($C172*INDEX(SPPR!$E:$X,MATCH($A172,SPPR!$A:$A,0),17),"")</f>
        <v/>
      </c>
      <c r="U172">
        <f>IFERROR($C172*INDEX(SPPR!$E:$X,MATCH($A172,SPPR!$A:$A,0),18),"")</f>
        <v/>
      </c>
      <c r="V172">
        <f>IFERROR($C172*INDEX(SPPR!$E:$X,MATCH($A172,SPPR!$A:$A,0),19),"")</f>
        <v/>
      </c>
      <c r="W172">
        <f>IFERROR($C172*INDEX(SPPR!$E:$X,MATCH($A172,SPPR!$A:$A,0),20),"")</f>
        <v/>
      </c>
    </row>
    <row r="173">
      <c r="A173" t="inlineStr">
        <is>
          <t>Sardinella</t>
        </is>
      </c>
      <c r="B173">
        <f>IFERROR(INDEX(SPPR!$D:$D,MATCH($A173,SPPR!$A:$A,0)),"")</f>
        <v/>
      </c>
      <c r="C173">
        <f>IFERROR(INDEX(Catch!$E:$BV,MATCH($A173,Catch!$A:$A,0),MATCH($B$4,Catch!$E$1:$BV$1,0)),0)</f>
        <v/>
      </c>
      <c r="D173">
        <f>IFERROR($C173*INDEX(SPPR!$E:$X,MATCH($A173,SPPR!$A:$A,0),1),"")</f>
        <v/>
      </c>
      <c r="E173">
        <f>IFERROR($C173*INDEX(SPPR!$E:$X,MATCH($A173,SPPR!$A:$A,0),2),"")</f>
        <v/>
      </c>
      <c r="F173">
        <f>IFERROR($C173*INDEX(SPPR!$E:$X,MATCH($A173,SPPR!$A:$A,0),3),"")</f>
        <v/>
      </c>
      <c r="G173">
        <f>IFERROR($C173*INDEX(SPPR!$E:$X,MATCH($A173,SPPR!$A:$A,0),4),"")</f>
        <v/>
      </c>
      <c r="H173">
        <f>IFERROR($C173*INDEX(SPPR!$E:$X,MATCH($A173,SPPR!$A:$A,0),5),"")</f>
        <v/>
      </c>
      <c r="I173">
        <f>IFERROR($C173*INDEX(SPPR!$E:$X,MATCH($A173,SPPR!$A:$A,0),6),"")</f>
        <v/>
      </c>
      <c r="J173">
        <f>IFERROR($C173*INDEX(SPPR!$E:$X,MATCH($A173,SPPR!$A:$A,0),7),"")</f>
        <v/>
      </c>
      <c r="K173">
        <f>IFERROR($C173*INDEX(SPPR!$E:$X,MATCH($A173,SPPR!$A:$A,0),8),"")</f>
        <v/>
      </c>
      <c r="L173">
        <f>IFERROR($C173*INDEX(SPPR!$E:$X,MATCH($A173,SPPR!$A:$A,0),9),"")</f>
        <v/>
      </c>
      <c r="M173">
        <f>IFERROR($C173*INDEX(SPPR!$E:$X,MATCH($A173,SPPR!$A:$A,0),10),"")</f>
        <v/>
      </c>
      <c r="N173">
        <f>IFERROR($C173*INDEX(SPPR!$E:$X,MATCH($A173,SPPR!$A:$A,0),11),"")</f>
        <v/>
      </c>
      <c r="O173">
        <f>IFERROR($C173*INDEX(SPPR!$E:$X,MATCH($A173,SPPR!$A:$A,0),12),"")</f>
        <v/>
      </c>
      <c r="P173">
        <f>IFERROR($C173*INDEX(SPPR!$E:$X,MATCH($A173,SPPR!$A:$A,0),13),"")</f>
        <v/>
      </c>
      <c r="Q173">
        <f>IFERROR($C173*INDEX(SPPR!$E:$X,MATCH($A173,SPPR!$A:$A,0),14),"")</f>
        <v/>
      </c>
      <c r="R173">
        <f>IFERROR($C173*INDEX(SPPR!$E:$X,MATCH($A173,SPPR!$A:$A,0),15),"")</f>
        <v/>
      </c>
      <c r="S173">
        <f>IFERROR($C173*INDEX(SPPR!$E:$X,MATCH($A173,SPPR!$A:$A,0),16),"")</f>
        <v/>
      </c>
      <c r="T173">
        <f>IFERROR($C173*INDEX(SPPR!$E:$X,MATCH($A173,SPPR!$A:$A,0),17),"")</f>
        <v/>
      </c>
      <c r="U173">
        <f>IFERROR($C173*INDEX(SPPR!$E:$X,MATCH($A173,SPPR!$A:$A,0),18),"")</f>
        <v/>
      </c>
      <c r="V173">
        <f>IFERROR($C173*INDEX(SPPR!$E:$X,MATCH($A173,SPPR!$A:$A,0),19),"")</f>
        <v/>
      </c>
      <c r="W173">
        <f>IFERROR($C173*INDEX(SPPR!$E:$X,MATCH($A173,SPPR!$A:$A,0),20),"")</f>
        <v/>
      </c>
    </row>
    <row r="174">
      <c r="A174" t="inlineStr">
        <is>
          <t>Octopus</t>
        </is>
      </c>
      <c r="B174">
        <f>IFERROR(INDEX(SPPR!$D:$D,MATCH($A174,SPPR!$A:$A,0)),"")</f>
        <v/>
      </c>
      <c r="C174">
        <f>IFERROR(INDEX(Catch!$E:$BV,MATCH($A174,Catch!$A:$A,0),MATCH($B$4,Catch!$E$1:$BV$1,0)),0)</f>
        <v/>
      </c>
      <c r="D174">
        <f>IFERROR($C174*INDEX(SPPR!$E:$X,MATCH($A174,SPPR!$A:$A,0),1),"")</f>
        <v/>
      </c>
      <c r="E174">
        <f>IFERROR($C174*INDEX(SPPR!$E:$X,MATCH($A174,SPPR!$A:$A,0),2),"")</f>
        <v/>
      </c>
      <c r="F174">
        <f>IFERROR($C174*INDEX(SPPR!$E:$X,MATCH($A174,SPPR!$A:$A,0),3),"")</f>
        <v/>
      </c>
      <c r="G174">
        <f>IFERROR($C174*INDEX(SPPR!$E:$X,MATCH($A174,SPPR!$A:$A,0),4),"")</f>
        <v/>
      </c>
      <c r="H174">
        <f>IFERROR($C174*INDEX(SPPR!$E:$X,MATCH($A174,SPPR!$A:$A,0),5),"")</f>
        <v/>
      </c>
      <c r="I174">
        <f>IFERROR($C174*INDEX(SPPR!$E:$X,MATCH($A174,SPPR!$A:$A,0),6),"")</f>
        <v/>
      </c>
      <c r="J174">
        <f>IFERROR($C174*INDEX(SPPR!$E:$X,MATCH($A174,SPPR!$A:$A,0),7),"")</f>
        <v/>
      </c>
      <c r="K174">
        <f>IFERROR($C174*INDEX(SPPR!$E:$X,MATCH($A174,SPPR!$A:$A,0),8),"")</f>
        <v/>
      </c>
      <c r="L174">
        <f>IFERROR($C174*INDEX(SPPR!$E:$X,MATCH($A174,SPPR!$A:$A,0),9),"")</f>
        <v/>
      </c>
      <c r="M174">
        <f>IFERROR($C174*INDEX(SPPR!$E:$X,MATCH($A174,SPPR!$A:$A,0),10),"")</f>
        <v/>
      </c>
      <c r="N174">
        <f>IFERROR($C174*INDEX(SPPR!$E:$X,MATCH($A174,SPPR!$A:$A,0),11),"")</f>
        <v/>
      </c>
      <c r="O174">
        <f>IFERROR($C174*INDEX(SPPR!$E:$X,MATCH($A174,SPPR!$A:$A,0),12),"")</f>
        <v/>
      </c>
      <c r="P174">
        <f>IFERROR($C174*INDEX(SPPR!$E:$X,MATCH($A174,SPPR!$A:$A,0),13),"")</f>
        <v/>
      </c>
      <c r="Q174">
        <f>IFERROR($C174*INDEX(SPPR!$E:$X,MATCH($A174,SPPR!$A:$A,0),14),"")</f>
        <v/>
      </c>
      <c r="R174">
        <f>IFERROR($C174*INDEX(SPPR!$E:$X,MATCH($A174,SPPR!$A:$A,0),15),"")</f>
        <v/>
      </c>
      <c r="S174">
        <f>IFERROR($C174*INDEX(SPPR!$E:$X,MATCH($A174,SPPR!$A:$A,0),16),"")</f>
        <v/>
      </c>
      <c r="T174">
        <f>IFERROR($C174*INDEX(SPPR!$E:$X,MATCH($A174,SPPR!$A:$A,0),17),"")</f>
        <v/>
      </c>
      <c r="U174">
        <f>IFERROR($C174*INDEX(SPPR!$E:$X,MATCH($A174,SPPR!$A:$A,0),18),"")</f>
        <v/>
      </c>
      <c r="V174">
        <f>IFERROR($C174*INDEX(SPPR!$E:$X,MATCH($A174,SPPR!$A:$A,0),19),"")</f>
        <v/>
      </c>
      <c r="W174">
        <f>IFERROR($C174*INDEX(SPPR!$E:$X,MATCH($A174,SPPR!$A:$A,0),20),"")</f>
        <v/>
      </c>
    </row>
    <row r="175">
      <c r="A175" t="inlineStr">
        <is>
          <t>Eleutheronema tetradactylum</t>
        </is>
      </c>
      <c r="B175">
        <f>IFERROR(INDEX(SPPR!$D:$D,MATCH($A175,SPPR!$A:$A,0)),"")</f>
        <v/>
      </c>
      <c r="C175">
        <f>IFERROR(INDEX(Catch!$E:$BV,MATCH($A175,Catch!$A:$A,0),MATCH($B$4,Catch!$E$1:$BV$1,0)),0)</f>
        <v/>
      </c>
      <c r="D175">
        <f>IFERROR($C175*INDEX(SPPR!$E:$X,MATCH($A175,SPPR!$A:$A,0),1),"")</f>
        <v/>
      </c>
      <c r="E175">
        <f>IFERROR($C175*INDEX(SPPR!$E:$X,MATCH($A175,SPPR!$A:$A,0),2),"")</f>
        <v/>
      </c>
      <c r="F175">
        <f>IFERROR($C175*INDEX(SPPR!$E:$X,MATCH($A175,SPPR!$A:$A,0),3),"")</f>
        <v/>
      </c>
      <c r="G175">
        <f>IFERROR($C175*INDEX(SPPR!$E:$X,MATCH($A175,SPPR!$A:$A,0),4),"")</f>
        <v/>
      </c>
      <c r="H175">
        <f>IFERROR($C175*INDEX(SPPR!$E:$X,MATCH($A175,SPPR!$A:$A,0),5),"")</f>
        <v/>
      </c>
      <c r="I175">
        <f>IFERROR($C175*INDEX(SPPR!$E:$X,MATCH($A175,SPPR!$A:$A,0),6),"")</f>
        <v/>
      </c>
      <c r="J175">
        <f>IFERROR($C175*INDEX(SPPR!$E:$X,MATCH($A175,SPPR!$A:$A,0),7),"")</f>
        <v/>
      </c>
      <c r="K175">
        <f>IFERROR($C175*INDEX(SPPR!$E:$X,MATCH($A175,SPPR!$A:$A,0),8),"")</f>
        <v/>
      </c>
      <c r="L175">
        <f>IFERROR($C175*INDEX(SPPR!$E:$X,MATCH($A175,SPPR!$A:$A,0),9),"")</f>
        <v/>
      </c>
      <c r="M175">
        <f>IFERROR($C175*INDEX(SPPR!$E:$X,MATCH($A175,SPPR!$A:$A,0),10),"")</f>
        <v/>
      </c>
      <c r="N175">
        <f>IFERROR($C175*INDEX(SPPR!$E:$X,MATCH($A175,SPPR!$A:$A,0),11),"")</f>
        <v/>
      </c>
      <c r="O175">
        <f>IFERROR($C175*INDEX(SPPR!$E:$X,MATCH($A175,SPPR!$A:$A,0),12),"")</f>
        <v/>
      </c>
      <c r="P175">
        <f>IFERROR($C175*INDEX(SPPR!$E:$X,MATCH($A175,SPPR!$A:$A,0),13),"")</f>
        <v/>
      </c>
      <c r="Q175">
        <f>IFERROR($C175*INDEX(SPPR!$E:$X,MATCH($A175,SPPR!$A:$A,0),14),"")</f>
        <v/>
      </c>
      <c r="R175">
        <f>IFERROR($C175*INDEX(SPPR!$E:$X,MATCH($A175,SPPR!$A:$A,0),15),"")</f>
        <v/>
      </c>
      <c r="S175">
        <f>IFERROR($C175*INDEX(SPPR!$E:$X,MATCH($A175,SPPR!$A:$A,0),16),"")</f>
        <v/>
      </c>
      <c r="T175">
        <f>IFERROR($C175*INDEX(SPPR!$E:$X,MATCH($A175,SPPR!$A:$A,0),17),"")</f>
        <v/>
      </c>
      <c r="U175">
        <f>IFERROR($C175*INDEX(SPPR!$E:$X,MATCH($A175,SPPR!$A:$A,0),18),"")</f>
        <v/>
      </c>
      <c r="V175">
        <f>IFERROR($C175*INDEX(SPPR!$E:$X,MATCH($A175,SPPR!$A:$A,0),19),"")</f>
        <v/>
      </c>
      <c r="W175">
        <f>IFERROR($C175*INDEX(SPPR!$E:$X,MATCH($A175,SPPR!$A:$A,0),20),"")</f>
        <v/>
      </c>
    </row>
    <row r="176">
      <c r="A176" t="inlineStr">
        <is>
          <t>Panulirus homarus</t>
        </is>
      </c>
      <c r="B176">
        <f>IFERROR(INDEX(SPPR!$D:$D,MATCH($A176,SPPR!$A:$A,0)),"")</f>
        <v/>
      </c>
      <c r="C176">
        <f>IFERROR(INDEX(Catch!$E:$BV,MATCH($A176,Catch!$A:$A,0),MATCH($B$4,Catch!$E$1:$BV$1,0)),0)</f>
        <v/>
      </c>
      <c r="D176">
        <f>IFERROR($C176*INDEX(SPPR!$E:$X,MATCH($A176,SPPR!$A:$A,0),1),"")</f>
        <v/>
      </c>
      <c r="E176">
        <f>IFERROR($C176*INDEX(SPPR!$E:$X,MATCH($A176,SPPR!$A:$A,0),2),"")</f>
        <v/>
      </c>
      <c r="F176">
        <f>IFERROR($C176*INDEX(SPPR!$E:$X,MATCH($A176,SPPR!$A:$A,0),3),"")</f>
        <v/>
      </c>
      <c r="G176">
        <f>IFERROR($C176*INDEX(SPPR!$E:$X,MATCH($A176,SPPR!$A:$A,0),4),"")</f>
        <v/>
      </c>
      <c r="H176">
        <f>IFERROR($C176*INDEX(SPPR!$E:$X,MATCH($A176,SPPR!$A:$A,0),5),"")</f>
        <v/>
      </c>
      <c r="I176">
        <f>IFERROR($C176*INDEX(SPPR!$E:$X,MATCH($A176,SPPR!$A:$A,0),6),"")</f>
        <v/>
      </c>
      <c r="J176">
        <f>IFERROR($C176*INDEX(SPPR!$E:$X,MATCH($A176,SPPR!$A:$A,0),7),"")</f>
        <v/>
      </c>
      <c r="K176">
        <f>IFERROR($C176*INDEX(SPPR!$E:$X,MATCH($A176,SPPR!$A:$A,0),8),"")</f>
        <v/>
      </c>
      <c r="L176">
        <f>IFERROR($C176*INDEX(SPPR!$E:$X,MATCH($A176,SPPR!$A:$A,0),9),"")</f>
        <v/>
      </c>
      <c r="M176">
        <f>IFERROR($C176*INDEX(SPPR!$E:$X,MATCH($A176,SPPR!$A:$A,0),10),"")</f>
        <v/>
      </c>
      <c r="N176">
        <f>IFERROR($C176*INDEX(SPPR!$E:$X,MATCH($A176,SPPR!$A:$A,0),11),"")</f>
        <v/>
      </c>
      <c r="O176">
        <f>IFERROR($C176*INDEX(SPPR!$E:$X,MATCH($A176,SPPR!$A:$A,0),12),"")</f>
        <v/>
      </c>
      <c r="P176">
        <f>IFERROR($C176*INDEX(SPPR!$E:$X,MATCH($A176,SPPR!$A:$A,0),13),"")</f>
        <v/>
      </c>
      <c r="Q176">
        <f>IFERROR($C176*INDEX(SPPR!$E:$X,MATCH($A176,SPPR!$A:$A,0),14),"")</f>
        <v/>
      </c>
      <c r="R176">
        <f>IFERROR($C176*INDEX(SPPR!$E:$X,MATCH($A176,SPPR!$A:$A,0),15),"")</f>
        <v/>
      </c>
      <c r="S176">
        <f>IFERROR($C176*INDEX(SPPR!$E:$X,MATCH($A176,SPPR!$A:$A,0),16),"")</f>
        <v/>
      </c>
      <c r="T176">
        <f>IFERROR($C176*INDEX(SPPR!$E:$X,MATCH($A176,SPPR!$A:$A,0),17),"")</f>
        <v/>
      </c>
      <c r="U176">
        <f>IFERROR($C176*INDEX(SPPR!$E:$X,MATCH($A176,SPPR!$A:$A,0),18),"")</f>
        <v/>
      </c>
      <c r="V176">
        <f>IFERROR($C176*INDEX(SPPR!$E:$X,MATCH($A176,SPPR!$A:$A,0),19),"")</f>
        <v/>
      </c>
      <c r="W176">
        <f>IFERROR($C176*INDEX(SPPR!$E:$X,MATCH($A176,SPPR!$A:$A,0),20),"")</f>
        <v/>
      </c>
    </row>
    <row r="177">
      <c r="A177" t="inlineStr">
        <is>
          <t>Drepane punctata</t>
        </is>
      </c>
      <c r="B177">
        <f>IFERROR(INDEX(SPPR!$D:$D,MATCH($A177,SPPR!$A:$A,0)),"")</f>
        <v/>
      </c>
      <c r="C177">
        <f>IFERROR(INDEX(Catch!$E:$BV,MATCH($A177,Catch!$A:$A,0),MATCH($B$4,Catch!$E$1:$BV$1,0)),0)</f>
        <v/>
      </c>
      <c r="D177">
        <f>IFERROR($C177*INDEX(SPPR!$E:$X,MATCH($A177,SPPR!$A:$A,0),1),"")</f>
        <v/>
      </c>
      <c r="E177">
        <f>IFERROR($C177*INDEX(SPPR!$E:$X,MATCH($A177,SPPR!$A:$A,0),2),"")</f>
        <v/>
      </c>
      <c r="F177">
        <f>IFERROR($C177*INDEX(SPPR!$E:$X,MATCH($A177,SPPR!$A:$A,0),3),"")</f>
        <v/>
      </c>
      <c r="G177">
        <f>IFERROR($C177*INDEX(SPPR!$E:$X,MATCH($A177,SPPR!$A:$A,0),4),"")</f>
        <v/>
      </c>
      <c r="H177">
        <f>IFERROR($C177*INDEX(SPPR!$E:$X,MATCH($A177,SPPR!$A:$A,0),5),"")</f>
        <v/>
      </c>
      <c r="I177">
        <f>IFERROR($C177*INDEX(SPPR!$E:$X,MATCH($A177,SPPR!$A:$A,0),6),"")</f>
        <v/>
      </c>
      <c r="J177">
        <f>IFERROR($C177*INDEX(SPPR!$E:$X,MATCH($A177,SPPR!$A:$A,0),7),"")</f>
        <v/>
      </c>
      <c r="K177">
        <f>IFERROR($C177*INDEX(SPPR!$E:$X,MATCH($A177,SPPR!$A:$A,0),8),"")</f>
        <v/>
      </c>
      <c r="L177">
        <f>IFERROR($C177*INDEX(SPPR!$E:$X,MATCH($A177,SPPR!$A:$A,0),9),"")</f>
        <v/>
      </c>
      <c r="M177">
        <f>IFERROR($C177*INDEX(SPPR!$E:$X,MATCH($A177,SPPR!$A:$A,0),10),"")</f>
        <v/>
      </c>
      <c r="N177">
        <f>IFERROR($C177*INDEX(SPPR!$E:$X,MATCH($A177,SPPR!$A:$A,0),11),"")</f>
        <v/>
      </c>
      <c r="O177">
        <f>IFERROR($C177*INDEX(SPPR!$E:$X,MATCH($A177,SPPR!$A:$A,0),12),"")</f>
        <v/>
      </c>
      <c r="P177">
        <f>IFERROR($C177*INDEX(SPPR!$E:$X,MATCH($A177,SPPR!$A:$A,0),13),"")</f>
        <v/>
      </c>
      <c r="Q177">
        <f>IFERROR($C177*INDEX(SPPR!$E:$X,MATCH($A177,SPPR!$A:$A,0),14),"")</f>
        <v/>
      </c>
      <c r="R177">
        <f>IFERROR($C177*INDEX(SPPR!$E:$X,MATCH($A177,SPPR!$A:$A,0),15),"")</f>
        <v/>
      </c>
      <c r="S177">
        <f>IFERROR($C177*INDEX(SPPR!$E:$X,MATCH($A177,SPPR!$A:$A,0),16),"")</f>
        <v/>
      </c>
      <c r="T177">
        <f>IFERROR($C177*INDEX(SPPR!$E:$X,MATCH($A177,SPPR!$A:$A,0),17),"")</f>
        <v/>
      </c>
      <c r="U177">
        <f>IFERROR($C177*INDEX(SPPR!$E:$X,MATCH($A177,SPPR!$A:$A,0),18),"")</f>
        <v/>
      </c>
      <c r="V177">
        <f>IFERROR($C177*INDEX(SPPR!$E:$X,MATCH($A177,SPPR!$A:$A,0),19),"")</f>
        <v/>
      </c>
      <c r="W177">
        <f>IFERROR($C177*INDEX(SPPR!$E:$X,MATCH($A177,SPPR!$A:$A,0),20),"")</f>
        <v/>
      </c>
    </row>
    <row r="178">
      <c r="A178" t="inlineStr">
        <is>
          <t>Lates calcarifer</t>
        </is>
      </c>
      <c r="B178">
        <f>IFERROR(INDEX(SPPR!$D:$D,MATCH($A178,SPPR!$A:$A,0)),"")</f>
        <v/>
      </c>
      <c r="C178">
        <f>IFERROR(INDEX(Catch!$E:$BV,MATCH($A178,Catch!$A:$A,0),MATCH($B$4,Catch!$E$1:$BV$1,0)),0)</f>
        <v/>
      </c>
      <c r="D178">
        <f>IFERROR($C178*INDEX(SPPR!$E:$X,MATCH($A178,SPPR!$A:$A,0),1),"")</f>
        <v/>
      </c>
      <c r="E178">
        <f>IFERROR($C178*INDEX(SPPR!$E:$X,MATCH($A178,SPPR!$A:$A,0),2),"")</f>
        <v/>
      </c>
      <c r="F178">
        <f>IFERROR($C178*INDEX(SPPR!$E:$X,MATCH($A178,SPPR!$A:$A,0),3),"")</f>
        <v/>
      </c>
      <c r="G178">
        <f>IFERROR($C178*INDEX(SPPR!$E:$X,MATCH($A178,SPPR!$A:$A,0),4),"")</f>
        <v/>
      </c>
      <c r="H178">
        <f>IFERROR($C178*INDEX(SPPR!$E:$X,MATCH($A178,SPPR!$A:$A,0),5),"")</f>
        <v/>
      </c>
      <c r="I178">
        <f>IFERROR($C178*INDEX(SPPR!$E:$X,MATCH($A178,SPPR!$A:$A,0),6),"")</f>
        <v/>
      </c>
      <c r="J178">
        <f>IFERROR($C178*INDEX(SPPR!$E:$X,MATCH($A178,SPPR!$A:$A,0),7),"")</f>
        <v/>
      </c>
      <c r="K178">
        <f>IFERROR($C178*INDEX(SPPR!$E:$X,MATCH($A178,SPPR!$A:$A,0),8),"")</f>
        <v/>
      </c>
      <c r="L178">
        <f>IFERROR($C178*INDEX(SPPR!$E:$X,MATCH($A178,SPPR!$A:$A,0),9),"")</f>
        <v/>
      </c>
      <c r="M178">
        <f>IFERROR($C178*INDEX(SPPR!$E:$X,MATCH($A178,SPPR!$A:$A,0),10),"")</f>
        <v/>
      </c>
      <c r="N178">
        <f>IFERROR($C178*INDEX(SPPR!$E:$X,MATCH($A178,SPPR!$A:$A,0),11),"")</f>
        <v/>
      </c>
      <c r="O178">
        <f>IFERROR($C178*INDEX(SPPR!$E:$X,MATCH($A178,SPPR!$A:$A,0),12),"")</f>
        <v/>
      </c>
      <c r="P178">
        <f>IFERROR($C178*INDEX(SPPR!$E:$X,MATCH($A178,SPPR!$A:$A,0),13),"")</f>
        <v/>
      </c>
      <c r="Q178">
        <f>IFERROR($C178*INDEX(SPPR!$E:$X,MATCH($A178,SPPR!$A:$A,0),14),"")</f>
        <v/>
      </c>
      <c r="R178">
        <f>IFERROR($C178*INDEX(SPPR!$E:$X,MATCH($A178,SPPR!$A:$A,0),15),"")</f>
        <v/>
      </c>
      <c r="S178">
        <f>IFERROR($C178*INDEX(SPPR!$E:$X,MATCH($A178,SPPR!$A:$A,0),16),"")</f>
        <v/>
      </c>
      <c r="T178">
        <f>IFERROR($C178*INDEX(SPPR!$E:$X,MATCH($A178,SPPR!$A:$A,0),17),"")</f>
        <v/>
      </c>
      <c r="U178">
        <f>IFERROR($C178*INDEX(SPPR!$E:$X,MATCH($A178,SPPR!$A:$A,0),18),"")</f>
        <v/>
      </c>
      <c r="V178">
        <f>IFERROR($C178*INDEX(SPPR!$E:$X,MATCH($A178,SPPR!$A:$A,0),19),"")</f>
        <v/>
      </c>
      <c r="W178">
        <f>IFERROR($C178*INDEX(SPPR!$E:$X,MATCH($A178,SPPR!$A:$A,0),20),"")</f>
        <v/>
      </c>
    </row>
    <row r="179">
      <c r="A179" t="inlineStr">
        <is>
          <t>Epinephelus malabaricus</t>
        </is>
      </c>
      <c r="B179">
        <f>IFERROR(INDEX(SPPR!$D:$D,MATCH($A179,SPPR!$A:$A,0)),"")</f>
        <v/>
      </c>
      <c r="C179">
        <f>IFERROR(INDEX(Catch!$E:$BV,MATCH($A179,Catch!$A:$A,0),MATCH($B$4,Catch!$E$1:$BV$1,0)),0)</f>
        <v/>
      </c>
      <c r="D179">
        <f>IFERROR($C179*INDEX(SPPR!$E:$X,MATCH($A179,SPPR!$A:$A,0),1),"")</f>
        <v/>
      </c>
      <c r="E179">
        <f>IFERROR($C179*INDEX(SPPR!$E:$X,MATCH($A179,SPPR!$A:$A,0),2),"")</f>
        <v/>
      </c>
      <c r="F179">
        <f>IFERROR($C179*INDEX(SPPR!$E:$X,MATCH($A179,SPPR!$A:$A,0),3),"")</f>
        <v/>
      </c>
      <c r="G179">
        <f>IFERROR($C179*INDEX(SPPR!$E:$X,MATCH($A179,SPPR!$A:$A,0),4),"")</f>
        <v/>
      </c>
      <c r="H179">
        <f>IFERROR($C179*INDEX(SPPR!$E:$X,MATCH($A179,SPPR!$A:$A,0),5),"")</f>
        <v/>
      </c>
      <c r="I179">
        <f>IFERROR($C179*INDEX(SPPR!$E:$X,MATCH($A179,SPPR!$A:$A,0),6),"")</f>
        <v/>
      </c>
      <c r="J179">
        <f>IFERROR($C179*INDEX(SPPR!$E:$X,MATCH($A179,SPPR!$A:$A,0),7),"")</f>
        <v/>
      </c>
      <c r="K179">
        <f>IFERROR($C179*INDEX(SPPR!$E:$X,MATCH($A179,SPPR!$A:$A,0),8),"")</f>
        <v/>
      </c>
      <c r="L179">
        <f>IFERROR($C179*INDEX(SPPR!$E:$X,MATCH($A179,SPPR!$A:$A,0),9),"")</f>
        <v/>
      </c>
      <c r="M179">
        <f>IFERROR($C179*INDEX(SPPR!$E:$X,MATCH($A179,SPPR!$A:$A,0),10),"")</f>
        <v/>
      </c>
      <c r="N179">
        <f>IFERROR($C179*INDEX(SPPR!$E:$X,MATCH($A179,SPPR!$A:$A,0),11),"")</f>
        <v/>
      </c>
      <c r="O179">
        <f>IFERROR($C179*INDEX(SPPR!$E:$X,MATCH($A179,SPPR!$A:$A,0),12),"")</f>
        <v/>
      </c>
      <c r="P179">
        <f>IFERROR($C179*INDEX(SPPR!$E:$X,MATCH($A179,SPPR!$A:$A,0),13),"")</f>
        <v/>
      </c>
      <c r="Q179">
        <f>IFERROR($C179*INDEX(SPPR!$E:$X,MATCH($A179,SPPR!$A:$A,0),14),"")</f>
        <v/>
      </c>
      <c r="R179">
        <f>IFERROR($C179*INDEX(SPPR!$E:$X,MATCH($A179,SPPR!$A:$A,0),15),"")</f>
        <v/>
      </c>
      <c r="S179">
        <f>IFERROR($C179*INDEX(SPPR!$E:$X,MATCH($A179,SPPR!$A:$A,0),16),"")</f>
        <v/>
      </c>
      <c r="T179">
        <f>IFERROR($C179*INDEX(SPPR!$E:$X,MATCH($A179,SPPR!$A:$A,0),17),"")</f>
        <v/>
      </c>
      <c r="U179">
        <f>IFERROR($C179*INDEX(SPPR!$E:$X,MATCH($A179,SPPR!$A:$A,0),18),"")</f>
        <v/>
      </c>
      <c r="V179">
        <f>IFERROR($C179*INDEX(SPPR!$E:$X,MATCH($A179,SPPR!$A:$A,0),19),"")</f>
        <v/>
      </c>
      <c r="W179">
        <f>IFERROR($C179*INDEX(SPPR!$E:$X,MATCH($A179,SPPR!$A:$A,0),20),"")</f>
        <v/>
      </c>
    </row>
    <row r="180">
      <c r="A180" t="inlineStr">
        <is>
          <t>Istiompax indica</t>
        </is>
      </c>
      <c r="B180">
        <f>IFERROR(INDEX(SPPR!$D:$D,MATCH($A180,SPPR!$A:$A,0)),"")</f>
        <v/>
      </c>
      <c r="C180">
        <f>IFERROR(INDEX(Catch!$E:$BV,MATCH($A180,Catch!$A:$A,0),MATCH($B$4,Catch!$E$1:$BV$1,0)),0)</f>
        <v/>
      </c>
      <c r="D180">
        <f>IFERROR($C180*INDEX(SPPR!$E:$X,MATCH($A180,SPPR!$A:$A,0),1),"")</f>
        <v/>
      </c>
      <c r="E180">
        <f>IFERROR($C180*INDEX(SPPR!$E:$X,MATCH($A180,SPPR!$A:$A,0),2),"")</f>
        <v/>
      </c>
      <c r="F180">
        <f>IFERROR($C180*INDEX(SPPR!$E:$X,MATCH($A180,SPPR!$A:$A,0),3),"")</f>
        <v/>
      </c>
      <c r="G180">
        <f>IFERROR($C180*INDEX(SPPR!$E:$X,MATCH($A180,SPPR!$A:$A,0),4),"")</f>
        <v/>
      </c>
      <c r="H180">
        <f>IFERROR($C180*INDEX(SPPR!$E:$X,MATCH($A180,SPPR!$A:$A,0),5),"")</f>
        <v/>
      </c>
      <c r="I180">
        <f>IFERROR($C180*INDEX(SPPR!$E:$X,MATCH($A180,SPPR!$A:$A,0),6),"")</f>
        <v/>
      </c>
      <c r="J180">
        <f>IFERROR($C180*INDEX(SPPR!$E:$X,MATCH($A180,SPPR!$A:$A,0),7),"")</f>
        <v/>
      </c>
      <c r="K180">
        <f>IFERROR($C180*INDEX(SPPR!$E:$X,MATCH($A180,SPPR!$A:$A,0),8),"")</f>
        <v/>
      </c>
      <c r="L180">
        <f>IFERROR($C180*INDEX(SPPR!$E:$X,MATCH($A180,SPPR!$A:$A,0),9),"")</f>
        <v/>
      </c>
      <c r="M180">
        <f>IFERROR($C180*INDEX(SPPR!$E:$X,MATCH($A180,SPPR!$A:$A,0),10),"")</f>
        <v/>
      </c>
      <c r="N180">
        <f>IFERROR($C180*INDEX(SPPR!$E:$X,MATCH($A180,SPPR!$A:$A,0),11),"")</f>
        <v/>
      </c>
      <c r="O180">
        <f>IFERROR($C180*INDEX(SPPR!$E:$X,MATCH($A180,SPPR!$A:$A,0),12),"")</f>
        <v/>
      </c>
      <c r="P180">
        <f>IFERROR($C180*INDEX(SPPR!$E:$X,MATCH($A180,SPPR!$A:$A,0),13),"")</f>
        <v/>
      </c>
      <c r="Q180">
        <f>IFERROR($C180*INDEX(SPPR!$E:$X,MATCH($A180,SPPR!$A:$A,0),14),"")</f>
        <v/>
      </c>
      <c r="R180">
        <f>IFERROR($C180*INDEX(SPPR!$E:$X,MATCH($A180,SPPR!$A:$A,0),15),"")</f>
        <v/>
      </c>
      <c r="S180">
        <f>IFERROR($C180*INDEX(SPPR!$E:$X,MATCH($A180,SPPR!$A:$A,0),16),"")</f>
        <v/>
      </c>
      <c r="T180">
        <f>IFERROR($C180*INDEX(SPPR!$E:$X,MATCH($A180,SPPR!$A:$A,0),17),"")</f>
        <v/>
      </c>
      <c r="U180">
        <f>IFERROR($C180*INDEX(SPPR!$E:$X,MATCH($A180,SPPR!$A:$A,0),18),"")</f>
        <v/>
      </c>
      <c r="V180">
        <f>IFERROR($C180*INDEX(SPPR!$E:$X,MATCH($A180,SPPR!$A:$A,0),19),"")</f>
        <v/>
      </c>
      <c r="W180">
        <f>IFERROR($C180*INDEX(SPPR!$E:$X,MATCH($A180,SPPR!$A:$A,0),20),"")</f>
        <v/>
      </c>
    </row>
    <row r="181">
      <c r="A181" t="inlineStr">
        <is>
          <t>Leiognathus</t>
        </is>
      </c>
      <c r="B181">
        <f>IFERROR(INDEX(SPPR!$D:$D,MATCH($A181,SPPR!$A:$A,0)),"")</f>
        <v/>
      </c>
      <c r="C181">
        <f>IFERROR(INDEX(Catch!$E:$BV,MATCH($A181,Catch!$A:$A,0),MATCH($B$4,Catch!$E$1:$BV$1,0)),0)</f>
        <v/>
      </c>
      <c r="D181">
        <f>IFERROR($C181*INDEX(SPPR!$E:$X,MATCH($A181,SPPR!$A:$A,0),1),"")</f>
        <v/>
      </c>
      <c r="E181">
        <f>IFERROR($C181*INDEX(SPPR!$E:$X,MATCH($A181,SPPR!$A:$A,0),2),"")</f>
        <v/>
      </c>
      <c r="F181">
        <f>IFERROR($C181*INDEX(SPPR!$E:$X,MATCH($A181,SPPR!$A:$A,0),3),"")</f>
        <v/>
      </c>
      <c r="G181">
        <f>IFERROR($C181*INDEX(SPPR!$E:$X,MATCH($A181,SPPR!$A:$A,0),4),"")</f>
        <v/>
      </c>
      <c r="H181">
        <f>IFERROR($C181*INDEX(SPPR!$E:$X,MATCH($A181,SPPR!$A:$A,0),5),"")</f>
        <v/>
      </c>
      <c r="I181">
        <f>IFERROR($C181*INDEX(SPPR!$E:$X,MATCH($A181,SPPR!$A:$A,0),6),"")</f>
        <v/>
      </c>
      <c r="J181">
        <f>IFERROR($C181*INDEX(SPPR!$E:$X,MATCH($A181,SPPR!$A:$A,0),7),"")</f>
        <v/>
      </c>
      <c r="K181">
        <f>IFERROR($C181*INDEX(SPPR!$E:$X,MATCH($A181,SPPR!$A:$A,0),8),"")</f>
        <v/>
      </c>
      <c r="L181">
        <f>IFERROR($C181*INDEX(SPPR!$E:$X,MATCH($A181,SPPR!$A:$A,0),9),"")</f>
        <v/>
      </c>
      <c r="M181">
        <f>IFERROR($C181*INDEX(SPPR!$E:$X,MATCH($A181,SPPR!$A:$A,0),10),"")</f>
        <v/>
      </c>
      <c r="N181">
        <f>IFERROR($C181*INDEX(SPPR!$E:$X,MATCH($A181,SPPR!$A:$A,0),11),"")</f>
        <v/>
      </c>
      <c r="O181">
        <f>IFERROR($C181*INDEX(SPPR!$E:$X,MATCH($A181,SPPR!$A:$A,0),12),"")</f>
        <v/>
      </c>
      <c r="P181">
        <f>IFERROR($C181*INDEX(SPPR!$E:$X,MATCH($A181,SPPR!$A:$A,0),13),"")</f>
        <v/>
      </c>
      <c r="Q181">
        <f>IFERROR($C181*INDEX(SPPR!$E:$X,MATCH($A181,SPPR!$A:$A,0),14),"")</f>
        <v/>
      </c>
      <c r="R181">
        <f>IFERROR($C181*INDEX(SPPR!$E:$X,MATCH($A181,SPPR!$A:$A,0),15),"")</f>
        <v/>
      </c>
      <c r="S181">
        <f>IFERROR($C181*INDEX(SPPR!$E:$X,MATCH($A181,SPPR!$A:$A,0),16),"")</f>
        <v/>
      </c>
      <c r="T181">
        <f>IFERROR($C181*INDEX(SPPR!$E:$X,MATCH($A181,SPPR!$A:$A,0),17),"")</f>
        <v/>
      </c>
      <c r="U181">
        <f>IFERROR($C181*INDEX(SPPR!$E:$X,MATCH($A181,SPPR!$A:$A,0),18),"")</f>
        <v/>
      </c>
      <c r="V181">
        <f>IFERROR($C181*INDEX(SPPR!$E:$X,MATCH($A181,SPPR!$A:$A,0),19),"")</f>
        <v/>
      </c>
      <c r="W181">
        <f>IFERROR($C181*INDEX(SPPR!$E:$X,MATCH($A181,SPPR!$A:$A,0),20),"")</f>
        <v/>
      </c>
    </row>
    <row r="182">
      <c r="A182" t="inlineStr">
        <is>
          <t>Alepes</t>
        </is>
      </c>
      <c r="B182">
        <f>IFERROR(INDEX(SPPR!$D:$D,MATCH($A182,SPPR!$A:$A,0)),"")</f>
        <v/>
      </c>
      <c r="C182">
        <f>IFERROR(INDEX(Catch!$E:$BV,MATCH($A182,Catch!$A:$A,0),MATCH($B$4,Catch!$E$1:$BV$1,0)),0)</f>
        <v/>
      </c>
      <c r="D182">
        <f>IFERROR($C182*INDEX(SPPR!$E:$X,MATCH($A182,SPPR!$A:$A,0),1),"")</f>
        <v/>
      </c>
      <c r="E182">
        <f>IFERROR($C182*INDEX(SPPR!$E:$X,MATCH($A182,SPPR!$A:$A,0),2),"")</f>
        <v/>
      </c>
      <c r="F182">
        <f>IFERROR($C182*INDEX(SPPR!$E:$X,MATCH($A182,SPPR!$A:$A,0),3),"")</f>
        <v/>
      </c>
      <c r="G182">
        <f>IFERROR($C182*INDEX(SPPR!$E:$X,MATCH($A182,SPPR!$A:$A,0),4),"")</f>
        <v/>
      </c>
      <c r="H182">
        <f>IFERROR($C182*INDEX(SPPR!$E:$X,MATCH($A182,SPPR!$A:$A,0),5),"")</f>
        <v/>
      </c>
      <c r="I182">
        <f>IFERROR($C182*INDEX(SPPR!$E:$X,MATCH($A182,SPPR!$A:$A,0),6),"")</f>
        <v/>
      </c>
      <c r="J182">
        <f>IFERROR($C182*INDEX(SPPR!$E:$X,MATCH($A182,SPPR!$A:$A,0),7),"")</f>
        <v/>
      </c>
      <c r="K182">
        <f>IFERROR($C182*INDEX(SPPR!$E:$X,MATCH($A182,SPPR!$A:$A,0),8),"")</f>
        <v/>
      </c>
      <c r="L182">
        <f>IFERROR($C182*INDEX(SPPR!$E:$X,MATCH($A182,SPPR!$A:$A,0),9),"")</f>
        <v/>
      </c>
      <c r="M182">
        <f>IFERROR($C182*INDEX(SPPR!$E:$X,MATCH($A182,SPPR!$A:$A,0),10),"")</f>
        <v/>
      </c>
      <c r="N182">
        <f>IFERROR($C182*INDEX(SPPR!$E:$X,MATCH($A182,SPPR!$A:$A,0),11),"")</f>
        <v/>
      </c>
      <c r="O182">
        <f>IFERROR($C182*INDEX(SPPR!$E:$X,MATCH($A182,SPPR!$A:$A,0),12),"")</f>
        <v/>
      </c>
      <c r="P182">
        <f>IFERROR($C182*INDEX(SPPR!$E:$X,MATCH($A182,SPPR!$A:$A,0),13),"")</f>
        <v/>
      </c>
      <c r="Q182">
        <f>IFERROR($C182*INDEX(SPPR!$E:$X,MATCH($A182,SPPR!$A:$A,0),14),"")</f>
        <v/>
      </c>
      <c r="R182">
        <f>IFERROR($C182*INDEX(SPPR!$E:$X,MATCH($A182,SPPR!$A:$A,0),15),"")</f>
        <v/>
      </c>
      <c r="S182">
        <f>IFERROR($C182*INDEX(SPPR!$E:$X,MATCH($A182,SPPR!$A:$A,0),16),"")</f>
        <v/>
      </c>
      <c r="T182">
        <f>IFERROR($C182*INDEX(SPPR!$E:$X,MATCH($A182,SPPR!$A:$A,0),17),"")</f>
        <v/>
      </c>
      <c r="U182">
        <f>IFERROR($C182*INDEX(SPPR!$E:$X,MATCH($A182,SPPR!$A:$A,0),18),"")</f>
        <v/>
      </c>
      <c r="V182">
        <f>IFERROR($C182*INDEX(SPPR!$E:$X,MATCH($A182,SPPR!$A:$A,0),19),"")</f>
        <v/>
      </c>
      <c r="W182">
        <f>IFERROR($C182*INDEX(SPPR!$E:$X,MATCH($A182,SPPR!$A:$A,0),20),"")</f>
        <v/>
      </c>
    </row>
    <row r="183">
      <c r="A183" t="inlineStr">
        <is>
          <t>Chondrichthyes</t>
        </is>
      </c>
      <c r="B183">
        <f>IFERROR(INDEX(SPPR!$D:$D,MATCH($A183,SPPR!$A:$A,0)),"")</f>
        <v/>
      </c>
      <c r="C183">
        <f>IFERROR(INDEX(Catch!$E:$BV,MATCH($A183,Catch!$A:$A,0),MATCH($B$4,Catch!$E$1:$BV$1,0)),0)</f>
        <v/>
      </c>
      <c r="D183">
        <f>IFERROR($C183*INDEX(SPPR!$E:$X,MATCH($A183,SPPR!$A:$A,0),1),"")</f>
        <v/>
      </c>
      <c r="E183">
        <f>IFERROR($C183*INDEX(SPPR!$E:$X,MATCH($A183,SPPR!$A:$A,0),2),"")</f>
        <v/>
      </c>
      <c r="F183">
        <f>IFERROR($C183*INDEX(SPPR!$E:$X,MATCH($A183,SPPR!$A:$A,0),3),"")</f>
        <v/>
      </c>
      <c r="G183">
        <f>IFERROR($C183*INDEX(SPPR!$E:$X,MATCH($A183,SPPR!$A:$A,0),4),"")</f>
        <v/>
      </c>
      <c r="H183">
        <f>IFERROR($C183*INDEX(SPPR!$E:$X,MATCH($A183,SPPR!$A:$A,0),5),"")</f>
        <v/>
      </c>
      <c r="I183">
        <f>IFERROR($C183*INDEX(SPPR!$E:$X,MATCH($A183,SPPR!$A:$A,0),6),"")</f>
        <v/>
      </c>
      <c r="J183">
        <f>IFERROR($C183*INDEX(SPPR!$E:$X,MATCH($A183,SPPR!$A:$A,0),7),"")</f>
        <v/>
      </c>
      <c r="K183">
        <f>IFERROR($C183*INDEX(SPPR!$E:$X,MATCH($A183,SPPR!$A:$A,0),8),"")</f>
        <v/>
      </c>
      <c r="L183">
        <f>IFERROR($C183*INDEX(SPPR!$E:$X,MATCH($A183,SPPR!$A:$A,0),9),"")</f>
        <v/>
      </c>
      <c r="M183">
        <f>IFERROR($C183*INDEX(SPPR!$E:$X,MATCH($A183,SPPR!$A:$A,0),10),"")</f>
        <v/>
      </c>
      <c r="N183">
        <f>IFERROR($C183*INDEX(SPPR!$E:$X,MATCH($A183,SPPR!$A:$A,0),11),"")</f>
        <v/>
      </c>
      <c r="O183">
        <f>IFERROR($C183*INDEX(SPPR!$E:$X,MATCH($A183,SPPR!$A:$A,0),12),"")</f>
        <v/>
      </c>
      <c r="P183">
        <f>IFERROR($C183*INDEX(SPPR!$E:$X,MATCH($A183,SPPR!$A:$A,0),13),"")</f>
        <v/>
      </c>
      <c r="Q183">
        <f>IFERROR($C183*INDEX(SPPR!$E:$X,MATCH($A183,SPPR!$A:$A,0),14),"")</f>
        <v/>
      </c>
      <c r="R183">
        <f>IFERROR($C183*INDEX(SPPR!$E:$X,MATCH($A183,SPPR!$A:$A,0),15),"")</f>
        <v/>
      </c>
      <c r="S183">
        <f>IFERROR($C183*INDEX(SPPR!$E:$X,MATCH($A183,SPPR!$A:$A,0),16),"")</f>
        <v/>
      </c>
      <c r="T183">
        <f>IFERROR($C183*INDEX(SPPR!$E:$X,MATCH($A183,SPPR!$A:$A,0),17),"")</f>
        <v/>
      </c>
      <c r="U183">
        <f>IFERROR($C183*INDEX(SPPR!$E:$X,MATCH($A183,SPPR!$A:$A,0),18),"")</f>
        <v/>
      </c>
      <c r="V183">
        <f>IFERROR($C183*INDEX(SPPR!$E:$X,MATCH($A183,SPPR!$A:$A,0),19),"")</f>
        <v/>
      </c>
      <c r="W183">
        <f>IFERROR($C183*INDEX(SPPR!$E:$X,MATCH($A183,SPPR!$A:$A,0),20),"")</f>
        <v/>
      </c>
    </row>
    <row r="184">
      <c r="A184" t="inlineStr">
        <is>
          <t>Leiognathus equula</t>
        </is>
      </c>
      <c r="B184">
        <f>IFERROR(INDEX(SPPR!$D:$D,MATCH($A184,SPPR!$A:$A,0)),"")</f>
        <v/>
      </c>
      <c r="C184">
        <f>IFERROR(INDEX(Catch!$E:$BV,MATCH($A184,Catch!$A:$A,0),MATCH($B$4,Catch!$E$1:$BV$1,0)),0)</f>
        <v/>
      </c>
      <c r="D184">
        <f>IFERROR($C184*INDEX(SPPR!$E:$X,MATCH($A184,SPPR!$A:$A,0),1),"")</f>
        <v/>
      </c>
      <c r="E184">
        <f>IFERROR($C184*INDEX(SPPR!$E:$X,MATCH($A184,SPPR!$A:$A,0),2),"")</f>
        <v/>
      </c>
      <c r="F184">
        <f>IFERROR($C184*INDEX(SPPR!$E:$X,MATCH($A184,SPPR!$A:$A,0),3),"")</f>
        <v/>
      </c>
      <c r="G184">
        <f>IFERROR($C184*INDEX(SPPR!$E:$X,MATCH($A184,SPPR!$A:$A,0),4),"")</f>
        <v/>
      </c>
      <c r="H184">
        <f>IFERROR($C184*INDEX(SPPR!$E:$X,MATCH($A184,SPPR!$A:$A,0),5),"")</f>
        <v/>
      </c>
      <c r="I184">
        <f>IFERROR($C184*INDEX(SPPR!$E:$X,MATCH($A184,SPPR!$A:$A,0),6),"")</f>
        <v/>
      </c>
      <c r="J184">
        <f>IFERROR($C184*INDEX(SPPR!$E:$X,MATCH($A184,SPPR!$A:$A,0),7),"")</f>
        <v/>
      </c>
      <c r="K184">
        <f>IFERROR($C184*INDEX(SPPR!$E:$X,MATCH($A184,SPPR!$A:$A,0),8),"")</f>
        <v/>
      </c>
      <c r="L184">
        <f>IFERROR($C184*INDEX(SPPR!$E:$X,MATCH($A184,SPPR!$A:$A,0),9),"")</f>
        <v/>
      </c>
      <c r="M184">
        <f>IFERROR($C184*INDEX(SPPR!$E:$X,MATCH($A184,SPPR!$A:$A,0),10),"")</f>
        <v/>
      </c>
      <c r="N184">
        <f>IFERROR($C184*INDEX(SPPR!$E:$X,MATCH($A184,SPPR!$A:$A,0),11),"")</f>
        <v/>
      </c>
      <c r="O184">
        <f>IFERROR($C184*INDEX(SPPR!$E:$X,MATCH($A184,SPPR!$A:$A,0),12),"")</f>
        <v/>
      </c>
      <c r="P184">
        <f>IFERROR($C184*INDEX(SPPR!$E:$X,MATCH($A184,SPPR!$A:$A,0),13),"")</f>
        <v/>
      </c>
      <c r="Q184">
        <f>IFERROR($C184*INDEX(SPPR!$E:$X,MATCH($A184,SPPR!$A:$A,0),14),"")</f>
        <v/>
      </c>
      <c r="R184">
        <f>IFERROR($C184*INDEX(SPPR!$E:$X,MATCH($A184,SPPR!$A:$A,0),15),"")</f>
        <v/>
      </c>
      <c r="S184">
        <f>IFERROR($C184*INDEX(SPPR!$E:$X,MATCH($A184,SPPR!$A:$A,0),16),"")</f>
        <v/>
      </c>
      <c r="T184">
        <f>IFERROR($C184*INDEX(SPPR!$E:$X,MATCH($A184,SPPR!$A:$A,0),17),"")</f>
        <v/>
      </c>
      <c r="U184">
        <f>IFERROR($C184*INDEX(SPPR!$E:$X,MATCH($A184,SPPR!$A:$A,0),18),"")</f>
        <v/>
      </c>
      <c r="V184">
        <f>IFERROR($C184*INDEX(SPPR!$E:$X,MATCH($A184,SPPR!$A:$A,0),19),"")</f>
        <v/>
      </c>
      <c r="W184">
        <f>IFERROR($C184*INDEX(SPPR!$E:$X,MATCH($A184,SPPR!$A:$A,0),20),"")</f>
        <v/>
      </c>
    </row>
    <row r="185">
      <c r="A185" t="inlineStr">
        <is>
          <t>Epinephelus tauvina</t>
        </is>
      </c>
      <c r="B185">
        <f>IFERROR(INDEX(SPPR!$D:$D,MATCH($A185,SPPR!$A:$A,0)),"")</f>
        <v/>
      </c>
      <c r="C185">
        <f>IFERROR(INDEX(Catch!$E:$BV,MATCH($A185,Catch!$A:$A,0),MATCH($B$4,Catch!$E$1:$BV$1,0)),0)</f>
        <v/>
      </c>
      <c r="D185">
        <f>IFERROR($C185*INDEX(SPPR!$E:$X,MATCH($A185,SPPR!$A:$A,0),1),"")</f>
        <v/>
      </c>
      <c r="E185">
        <f>IFERROR($C185*INDEX(SPPR!$E:$X,MATCH($A185,SPPR!$A:$A,0),2),"")</f>
        <v/>
      </c>
      <c r="F185">
        <f>IFERROR($C185*INDEX(SPPR!$E:$X,MATCH($A185,SPPR!$A:$A,0),3),"")</f>
        <v/>
      </c>
      <c r="G185">
        <f>IFERROR($C185*INDEX(SPPR!$E:$X,MATCH($A185,SPPR!$A:$A,0),4),"")</f>
        <v/>
      </c>
      <c r="H185">
        <f>IFERROR($C185*INDEX(SPPR!$E:$X,MATCH($A185,SPPR!$A:$A,0),5),"")</f>
        <v/>
      </c>
      <c r="I185">
        <f>IFERROR($C185*INDEX(SPPR!$E:$X,MATCH($A185,SPPR!$A:$A,0),6),"")</f>
        <v/>
      </c>
      <c r="J185">
        <f>IFERROR($C185*INDEX(SPPR!$E:$X,MATCH($A185,SPPR!$A:$A,0),7),"")</f>
        <v/>
      </c>
      <c r="K185">
        <f>IFERROR($C185*INDEX(SPPR!$E:$X,MATCH($A185,SPPR!$A:$A,0),8),"")</f>
        <v/>
      </c>
      <c r="L185">
        <f>IFERROR($C185*INDEX(SPPR!$E:$X,MATCH($A185,SPPR!$A:$A,0),9),"")</f>
        <v/>
      </c>
      <c r="M185">
        <f>IFERROR($C185*INDEX(SPPR!$E:$X,MATCH($A185,SPPR!$A:$A,0),10),"")</f>
        <v/>
      </c>
      <c r="N185">
        <f>IFERROR($C185*INDEX(SPPR!$E:$X,MATCH($A185,SPPR!$A:$A,0),11),"")</f>
        <v/>
      </c>
      <c r="O185">
        <f>IFERROR($C185*INDEX(SPPR!$E:$X,MATCH($A185,SPPR!$A:$A,0),12),"")</f>
        <v/>
      </c>
      <c r="P185">
        <f>IFERROR($C185*INDEX(SPPR!$E:$X,MATCH($A185,SPPR!$A:$A,0),13),"")</f>
        <v/>
      </c>
      <c r="Q185">
        <f>IFERROR($C185*INDEX(SPPR!$E:$X,MATCH($A185,SPPR!$A:$A,0),14),"")</f>
        <v/>
      </c>
      <c r="R185">
        <f>IFERROR($C185*INDEX(SPPR!$E:$X,MATCH($A185,SPPR!$A:$A,0),15),"")</f>
        <v/>
      </c>
      <c r="S185">
        <f>IFERROR($C185*INDEX(SPPR!$E:$X,MATCH($A185,SPPR!$A:$A,0),16),"")</f>
        <v/>
      </c>
      <c r="T185">
        <f>IFERROR($C185*INDEX(SPPR!$E:$X,MATCH($A185,SPPR!$A:$A,0),17),"")</f>
        <v/>
      </c>
      <c r="U185">
        <f>IFERROR($C185*INDEX(SPPR!$E:$X,MATCH($A185,SPPR!$A:$A,0),18),"")</f>
        <v/>
      </c>
      <c r="V185">
        <f>IFERROR($C185*INDEX(SPPR!$E:$X,MATCH($A185,SPPR!$A:$A,0),19),"")</f>
        <v/>
      </c>
      <c r="W185">
        <f>IFERROR($C185*INDEX(SPPR!$E:$X,MATCH($A185,SPPR!$A:$A,0),20),"")</f>
        <v/>
      </c>
    </row>
    <row r="186">
      <c r="A186" t="inlineStr">
        <is>
          <t>Gastropoda</t>
        </is>
      </c>
      <c r="B186">
        <f>IFERROR(INDEX(SPPR!$D:$D,MATCH($A186,SPPR!$A:$A,0)),"")</f>
        <v/>
      </c>
      <c r="C186">
        <f>IFERROR(INDEX(Catch!$E:$BV,MATCH($A186,Catch!$A:$A,0),MATCH($B$4,Catch!$E$1:$BV$1,0)),0)</f>
        <v/>
      </c>
      <c r="D186">
        <f>IFERROR($C186*INDEX(SPPR!$E:$X,MATCH($A186,SPPR!$A:$A,0),1),"")</f>
        <v/>
      </c>
      <c r="E186">
        <f>IFERROR($C186*INDEX(SPPR!$E:$X,MATCH($A186,SPPR!$A:$A,0),2),"")</f>
        <v/>
      </c>
      <c r="F186">
        <f>IFERROR($C186*INDEX(SPPR!$E:$X,MATCH($A186,SPPR!$A:$A,0),3),"")</f>
        <v/>
      </c>
      <c r="G186">
        <f>IFERROR($C186*INDEX(SPPR!$E:$X,MATCH($A186,SPPR!$A:$A,0),4),"")</f>
        <v/>
      </c>
      <c r="H186">
        <f>IFERROR($C186*INDEX(SPPR!$E:$X,MATCH($A186,SPPR!$A:$A,0),5),"")</f>
        <v/>
      </c>
      <c r="I186">
        <f>IFERROR($C186*INDEX(SPPR!$E:$X,MATCH($A186,SPPR!$A:$A,0),6),"")</f>
        <v/>
      </c>
      <c r="J186">
        <f>IFERROR($C186*INDEX(SPPR!$E:$X,MATCH($A186,SPPR!$A:$A,0),7),"")</f>
        <v/>
      </c>
      <c r="K186">
        <f>IFERROR($C186*INDEX(SPPR!$E:$X,MATCH($A186,SPPR!$A:$A,0),8),"")</f>
        <v/>
      </c>
      <c r="L186">
        <f>IFERROR($C186*INDEX(SPPR!$E:$X,MATCH($A186,SPPR!$A:$A,0),9),"")</f>
        <v/>
      </c>
      <c r="M186">
        <f>IFERROR($C186*INDEX(SPPR!$E:$X,MATCH($A186,SPPR!$A:$A,0),10),"")</f>
        <v/>
      </c>
      <c r="N186">
        <f>IFERROR($C186*INDEX(SPPR!$E:$X,MATCH($A186,SPPR!$A:$A,0),11),"")</f>
        <v/>
      </c>
      <c r="O186">
        <f>IFERROR($C186*INDEX(SPPR!$E:$X,MATCH($A186,SPPR!$A:$A,0),12),"")</f>
        <v/>
      </c>
      <c r="P186">
        <f>IFERROR($C186*INDEX(SPPR!$E:$X,MATCH($A186,SPPR!$A:$A,0),13),"")</f>
        <v/>
      </c>
      <c r="Q186">
        <f>IFERROR($C186*INDEX(SPPR!$E:$X,MATCH($A186,SPPR!$A:$A,0),14),"")</f>
        <v/>
      </c>
      <c r="R186">
        <f>IFERROR($C186*INDEX(SPPR!$E:$X,MATCH($A186,SPPR!$A:$A,0),15),"")</f>
        <v/>
      </c>
      <c r="S186">
        <f>IFERROR($C186*INDEX(SPPR!$E:$X,MATCH($A186,SPPR!$A:$A,0),16),"")</f>
        <v/>
      </c>
      <c r="T186">
        <f>IFERROR($C186*INDEX(SPPR!$E:$X,MATCH($A186,SPPR!$A:$A,0),17),"")</f>
        <v/>
      </c>
      <c r="U186">
        <f>IFERROR($C186*INDEX(SPPR!$E:$X,MATCH($A186,SPPR!$A:$A,0),18),"")</f>
        <v/>
      </c>
      <c r="V186">
        <f>IFERROR($C186*INDEX(SPPR!$E:$X,MATCH($A186,SPPR!$A:$A,0),19),"")</f>
        <v/>
      </c>
      <c r="W186">
        <f>IFERROR($C186*INDEX(SPPR!$E:$X,MATCH($A186,SPPR!$A:$A,0),20),"")</f>
        <v/>
      </c>
    </row>
    <row r="187">
      <c r="A187" t="inlineStr">
        <is>
          <t>Catostylus perezi</t>
        </is>
      </c>
      <c r="B187">
        <f>IFERROR(INDEX(SPPR!$D:$D,MATCH($A187,SPPR!$A:$A,0)),"")</f>
        <v/>
      </c>
      <c r="C187">
        <f>IFERROR(INDEX(Catch!$E:$BV,MATCH($A187,Catch!$A:$A,0),MATCH($B$4,Catch!$E$1:$BV$1,0)),0)</f>
        <v/>
      </c>
      <c r="D187">
        <f>IFERROR($C187*INDEX(SPPR!$E:$X,MATCH($A187,SPPR!$A:$A,0),1),"")</f>
        <v/>
      </c>
      <c r="E187">
        <f>IFERROR($C187*INDEX(SPPR!$E:$X,MATCH($A187,SPPR!$A:$A,0),2),"")</f>
        <v/>
      </c>
      <c r="F187">
        <f>IFERROR($C187*INDEX(SPPR!$E:$X,MATCH($A187,SPPR!$A:$A,0),3),"")</f>
        <v/>
      </c>
      <c r="G187">
        <f>IFERROR($C187*INDEX(SPPR!$E:$X,MATCH($A187,SPPR!$A:$A,0),4),"")</f>
        <v/>
      </c>
      <c r="H187">
        <f>IFERROR($C187*INDEX(SPPR!$E:$X,MATCH($A187,SPPR!$A:$A,0),5),"")</f>
        <v/>
      </c>
      <c r="I187">
        <f>IFERROR($C187*INDEX(SPPR!$E:$X,MATCH($A187,SPPR!$A:$A,0),6),"")</f>
        <v/>
      </c>
      <c r="J187">
        <f>IFERROR($C187*INDEX(SPPR!$E:$X,MATCH($A187,SPPR!$A:$A,0),7),"")</f>
        <v/>
      </c>
      <c r="K187">
        <f>IFERROR($C187*INDEX(SPPR!$E:$X,MATCH($A187,SPPR!$A:$A,0),8),"")</f>
        <v/>
      </c>
      <c r="L187">
        <f>IFERROR($C187*INDEX(SPPR!$E:$X,MATCH($A187,SPPR!$A:$A,0),9),"")</f>
        <v/>
      </c>
      <c r="M187">
        <f>IFERROR($C187*INDEX(SPPR!$E:$X,MATCH($A187,SPPR!$A:$A,0),10),"")</f>
        <v/>
      </c>
      <c r="N187">
        <f>IFERROR($C187*INDEX(SPPR!$E:$X,MATCH($A187,SPPR!$A:$A,0),11),"")</f>
        <v/>
      </c>
      <c r="O187">
        <f>IFERROR($C187*INDEX(SPPR!$E:$X,MATCH($A187,SPPR!$A:$A,0),12),"")</f>
        <v/>
      </c>
      <c r="P187">
        <f>IFERROR($C187*INDEX(SPPR!$E:$X,MATCH($A187,SPPR!$A:$A,0),13),"")</f>
        <v/>
      </c>
      <c r="Q187">
        <f>IFERROR($C187*INDEX(SPPR!$E:$X,MATCH($A187,SPPR!$A:$A,0),14),"")</f>
        <v/>
      </c>
      <c r="R187">
        <f>IFERROR($C187*INDEX(SPPR!$E:$X,MATCH($A187,SPPR!$A:$A,0),15),"")</f>
        <v/>
      </c>
      <c r="S187">
        <f>IFERROR($C187*INDEX(SPPR!$E:$X,MATCH($A187,SPPR!$A:$A,0),16),"")</f>
        <v/>
      </c>
      <c r="T187">
        <f>IFERROR($C187*INDEX(SPPR!$E:$X,MATCH($A187,SPPR!$A:$A,0),17),"")</f>
        <v/>
      </c>
      <c r="U187">
        <f>IFERROR($C187*INDEX(SPPR!$E:$X,MATCH($A187,SPPR!$A:$A,0),18),"")</f>
        <v/>
      </c>
      <c r="V187">
        <f>IFERROR($C187*INDEX(SPPR!$E:$X,MATCH($A187,SPPR!$A:$A,0),19),"")</f>
        <v/>
      </c>
      <c r="W187">
        <f>IFERROR($C187*INDEX(SPPR!$E:$X,MATCH($A187,SPPR!$A:$A,0),20),"")</f>
        <v/>
      </c>
    </row>
    <row r="188">
      <c r="A188" t="inlineStr">
        <is>
          <t>Gnathanodon speciosus</t>
        </is>
      </c>
      <c r="B188">
        <f>IFERROR(INDEX(SPPR!$D:$D,MATCH($A188,SPPR!$A:$A,0)),"")</f>
        <v/>
      </c>
      <c r="C188">
        <f>IFERROR(INDEX(Catch!$E:$BV,MATCH($A188,Catch!$A:$A,0),MATCH($B$4,Catch!$E$1:$BV$1,0)),0)</f>
        <v/>
      </c>
      <c r="D188">
        <f>IFERROR($C188*INDEX(SPPR!$E:$X,MATCH($A188,SPPR!$A:$A,0),1),"")</f>
        <v/>
      </c>
      <c r="E188">
        <f>IFERROR($C188*INDEX(SPPR!$E:$X,MATCH($A188,SPPR!$A:$A,0),2),"")</f>
        <v/>
      </c>
      <c r="F188">
        <f>IFERROR($C188*INDEX(SPPR!$E:$X,MATCH($A188,SPPR!$A:$A,0),3),"")</f>
        <v/>
      </c>
      <c r="G188">
        <f>IFERROR($C188*INDEX(SPPR!$E:$X,MATCH($A188,SPPR!$A:$A,0),4),"")</f>
        <v/>
      </c>
      <c r="H188">
        <f>IFERROR($C188*INDEX(SPPR!$E:$X,MATCH($A188,SPPR!$A:$A,0),5),"")</f>
        <v/>
      </c>
      <c r="I188">
        <f>IFERROR($C188*INDEX(SPPR!$E:$X,MATCH($A188,SPPR!$A:$A,0),6),"")</f>
        <v/>
      </c>
      <c r="J188">
        <f>IFERROR($C188*INDEX(SPPR!$E:$X,MATCH($A188,SPPR!$A:$A,0),7),"")</f>
        <v/>
      </c>
      <c r="K188">
        <f>IFERROR($C188*INDEX(SPPR!$E:$X,MATCH($A188,SPPR!$A:$A,0),8),"")</f>
        <v/>
      </c>
      <c r="L188">
        <f>IFERROR($C188*INDEX(SPPR!$E:$X,MATCH($A188,SPPR!$A:$A,0),9),"")</f>
        <v/>
      </c>
      <c r="M188">
        <f>IFERROR($C188*INDEX(SPPR!$E:$X,MATCH($A188,SPPR!$A:$A,0),10),"")</f>
        <v/>
      </c>
      <c r="N188">
        <f>IFERROR($C188*INDEX(SPPR!$E:$X,MATCH($A188,SPPR!$A:$A,0),11),"")</f>
        <v/>
      </c>
      <c r="O188">
        <f>IFERROR($C188*INDEX(SPPR!$E:$X,MATCH($A188,SPPR!$A:$A,0),12),"")</f>
        <v/>
      </c>
      <c r="P188">
        <f>IFERROR($C188*INDEX(SPPR!$E:$X,MATCH($A188,SPPR!$A:$A,0),13),"")</f>
        <v/>
      </c>
      <c r="Q188">
        <f>IFERROR($C188*INDEX(SPPR!$E:$X,MATCH($A188,SPPR!$A:$A,0),14),"")</f>
        <v/>
      </c>
      <c r="R188">
        <f>IFERROR($C188*INDEX(SPPR!$E:$X,MATCH($A188,SPPR!$A:$A,0),15),"")</f>
        <v/>
      </c>
      <c r="S188">
        <f>IFERROR($C188*INDEX(SPPR!$E:$X,MATCH($A188,SPPR!$A:$A,0),16),"")</f>
        <v/>
      </c>
      <c r="T188">
        <f>IFERROR($C188*INDEX(SPPR!$E:$X,MATCH($A188,SPPR!$A:$A,0),17),"")</f>
        <v/>
      </c>
      <c r="U188">
        <f>IFERROR($C188*INDEX(SPPR!$E:$X,MATCH($A188,SPPR!$A:$A,0),18),"")</f>
        <v/>
      </c>
      <c r="V188">
        <f>IFERROR($C188*INDEX(SPPR!$E:$X,MATCH($A188,SPPR!$A:$A,0),19),"")</f>
        <v/>
      </c>
      <c r="W188">
        <f>IFERROR($C188*INDEX(SPPR!$E:$X,MATCH($A188,SPPR!$A:$A,0),20),"")</f>
        <v/>
      </c>
    </row>
    <row r="189">
      <c r="A189" t="inlineStr">
        <is>
          <t>Carcharhinus melanopterus</t>
        </is>
      </c>
      <c r="B189">
        <f>IFERROR(INDEX(SPPR!$D:$D,MATCH($A189,SPPR!$A:$A,0)),"")</f>
        <v/>
      </c>
      <c r="C189">
        <f>IFERROR(INDEX(Catch!$E:$BV,MATCH($A189,Catch!$A:$A,0),MATCH($B$4,Catch!$E$1:$BV$1,0)),0)</f>
        <v/>
      </c>
      <c r="D189">
        <f>IFERROR($C189*INDEX(SPPR!$E:$X,MATCH($A189,SPPR!$A:$A,0),1),"")</f>
        <v/>
      </c>
      <c r="E189">
        <f>IFERROR($C189*INDEX(SPPR!$E:$X,MATCH($A189,SPPR!$A:$A,0),2),"")</f>
        <v/>
      </c>
      <c r="F189">
        <f>IFERROR($C189*INDEX(SPPR!$E:$X,MATCH($A189,SPPR!$A:$A,0),3),"")</f>
        <v/>
      </c>
      <c r="G189">
        <f>IFERROR($C189*INDEX(SPPR!$E:$X,MATCH($A189,SPPR!$A:$A,0),4),"")</f>
        <v/>
      </c>
      <c r="H189">
        <f>IFERROR($C189*INDEX(SPPR!$E:$X,MATCH($A189,SPPR!$A:$A,0),5),"")</f>
        <v/>
      </c>
      <c r="I189">
        <f>IFERROR($C189*INDEX(SPPR!$E:$X,MATCH($A189,SPPR!$A:$A,0),6),"")</f>
        <v/>
      </c>
      <c r="J189">
        <f>IFERROR($C189*INDEX(SPPR!$E:$X,MATCH($A189,SPPR!$A:$A,0),7),"")</f>
        <v/>
      </c>
      <c r="K189">
        <f>IFERROR($C189*INDEX(SPPR!$E:$X,MATCH($A189,SPPR!$A:$A,0),8),"")</f>
        <v/>
      </c>
      <c r="L189">
        <f>IFERROR($C189*INDEX(SPPR!$E:$X,MATCH($A189,SPPR!$A:$A,0),9),"")</f>
        <v/>
      </c>
      <c r="M189">
        <f>IFERROR($C189*INDEX(SPPR!$E:$X,MATCH($A189,SPPR!$A:$A,0),10),"")</f>
        <v/>
      </c>
      <c r="N189">
        <f>IFERROR($C189*INDEX(SPPR!$E:$X,MATCH($A189,SPPR!$A:$A,0),11),"")</f>
        <v/>
      </c>
      <c r="O189">
        <f>IFERROR($C189*INDEX(SPPR!$E:$X,MATCH($A189,SPPR!$A:$A,0),12),"")</f>
        <v/>
      </c>
      <c r="P189">
        <f>IFERROR($C189*INDEX(SPPR!$E:$X,MATCH($A189,SPPR!$A:$A,0),13),"")</f>
        <v/>
      </c>
      <c r="Q189">
        <f>IFERROR($C189*INDEX(SPPR!$E:$X,MATCH($A189,SPPR!$A:$A,0),14),"")</f>
        <v/>
      </c>
      <c r="R189">
        <f>IFERROR($C189*INDEX(SPPR!$E:$X,MATCH($A189,SPPR!$A:$A,0),15),"")</f>
        <v/>
      </c>
      <c r="S189">
        <f>IFERROR($C189*INDEX(SPPR!$E:$X,MATCH($A189,SPPR!$A:$A,0),16),"")</f>
        <v/>
      </c>
      <c r="T189">
        <f>IFERROR($C189*INDEX(SPPR!$E:$X,MATCH($A189,SPPR!$A:$A,0),17),"")</f>
        <v/>
      </c>
      <c r="U189">
        <f>IFERROR($C189*INDEX(SPPR!$E:$X,MATCH($A189,SPPR!$A:$A,0),18),"")</f>
        <v/>
      </c>
      <c r="V189">
        <f>IFERROR($C189*INDEX(SPPR!$E:$X,MATCH($A189,SPPR!$A:$A,0),19),"")</f>
        <v/>
      </c>
      <c r="W189">
        <f>IFERROR($C189*INDEX(SPPR!$E:$X,MATCH($A189,SPPR!$A:$A,0),20),"")</f>
        <v/>
      </c>
    </row>
    <row r="190">
      <c r="A190" t="inlineStr">
        <is>
          <t>Tetraodontidae</t>
        </is>
      </c>
      <c r="B190">
        <f>IFERROR(INDEX(SPPR!$D:$D,MATCH($A190,SPPR!$A:$A,0)),"")</f>
        <v/>
      </c>
      <c r="C190">
        <f>IFERROR(INDEX(Catch!$E:$BV,MATCH($A190,Catch!$A:$A,0),MATCH($B$4,Catch!$E$1:$BV$1,0)),0)</f>
        <v/>
      </c>
      <c r="D190">
        <f>IFERROR($C190*INDEX(SPPR!$E:$X,MATCH($A190,SPPR!$A:$A,0),1),"")</f>
        <v/>
      </c>
      <c r="E190">
        <f>IFERROR($C190*INDEX(SPPR!$E:$X,MATCH($A190,SPPR!$A:$A,0),2),"")</f>
        <v/>
      </c>
      <c r="F190">
        <f>IFERROR($C190*INDEX(SPPR!$E:$X,MATCH($A190,SPPR!$A:$A,0),3),"")</f>
        <v/>
      </c>
      <c r="G190">
        <f>IFERROR($C190*INDEX(SPPR!$E:$X,MATCH($A190,SPPR!$A:$A,0),4),"")</f>
        <v/>
      </c>
      <c r="H190">
        <f>IFERROR($C190*INDEX(SPPR!$E:$X,MATCH($A190,SPPR!$A:$A,0),5),"")</f>
        <v/>
      </c>
      <c r="I190">
        <f>IFERROR($C190*INDEX(SPPR!$E:$X,MATCH($A190,SPPR!$A:$A,0),6),"")</f>
        <v/>
      </c>
      <c r="J190">
        <f>IFERROR($C190*INDEX(SPPR!$E:$X,MATCH($A190,SPPR!$A:$A,0),7),"")</f>
        <v/>
      </c>
      <c r="K190">
        <f>IFERROR($C190*INDEX(SPPR!$E:$X,MATCH($A190,SPPR!$A:$A,0),8),"")</f>
        <v/>
      </c>
      <c r="L190">
        <f>IFERROR($C190*INDEX(SPPR!$E:$X,MATCH($A190,SPPR!$A:$A,0),9),"")</f>
        <v/>
      </c>
      <c r="M190">
        <f>IFERROR($C190*INDEX(SPPR!$E:$X,MATCH($A190,SPPR!$A:$A,0),10),"")</f>
        <v/>
      </c>
      <c r="N190">
        <f>IFERROR($C190*INDEX(SPPR!$E:$X,MATCH($A190,SPPR!$A:$A,0),11),"")</f>
        <v/>
      </c>
      <c r="O190">
        <f>IFERROR($C190*INDEX(SPPR!$E:$X,MATCH($A190,SPPR!$A:$A,0),12),"")</f>
        <v/>
      </c>
      <c r="P190">
        <f>IFERROR($C190*INDEX(SPPR!$E:$X,MATCH($A190,SPPR!$A:$A,0),13),"")</f>
        <v/>
      </c>
      <c r="Q190">
        <f>IFERROR($C190*INDEX(SPPR!$E:$X,MATCH($A190,SPPR!$A:$A,0),14),"")</f>
        <v/>
      </c>
      <c r="R190">
        <f>IFERROR($C190*INDEX(SPPR!$E:$X,MATCH($A190,SPPR!$A:$A,0),15),"")</f>
        <v/>
      </c>
      <c r="S190">
        <f>IFERROR($C190*INDEX(SPPR!$E:$X,MATCH($A190,SPPR!$A:$A,0),16),"")</f>
        <v/>
      </c>
      <c r="T190">
        <f>IFERROR($C190*INDEX(SPPR!$E:$X,MATCH($A190,SPPR!$A:$A,0),17),"")</f>
        <v/>
      </c>
      <c r="U190">
        <f>IFERROR($C190*INDEX(SPPR!$E:$X,MATCH($A190,SPPR!$A:$A,0),18),"")</f>
        <v/>
      </c>
      <c r="V190">
        <f>IFERROR($C190*INDEX(SPPR!$E:$X,MATCH($A190,SPPR!$A:$A,0),19),"")</f>
        <v/>
      </c>
      <c r="W190">
        <f>IFERROR($C190*INDEX(SPPR!$E:$X,MATCH($A190,SPPR!$A:$A,0),20),"")</f>
        <v/>
      </c>
    </row>
    <row r="191">
      <c r="A191" t="inlineStr">
        <is>
          <t>Rhabdosargus haffara</t>
        </is>
      </c>
      <c r="B191">
        <f>IFERROR(INDEX(SPPR!$D:$D,MATCH($A191,SPPR!$A:$A,0)),"")</f>
        <v/>
      </c>
      <c r="C191">
        <f>IFERROR(INDEX(Catch!$E:$BV,MATCH($A191,Catch!$A:$A,0),MATCH($B$4,Catch!$E$1:$BV$1,0)),0)</f>
        <v/>
      </c>
      <c r="D191">
        <f>IFERROR($C191*INDEX(SPPR!$E:$X,MATCH($A191,SPPR!$A:$A,0),1),"")</f>
        <v/>
      </c>
      <c r="E191">
        <f>IFERROR($C191*INDEX(SPPR!$E:$X,MATCH($A191,SPPR!$A:$A,0),2),"")</f>
        <v/>
      </c>
      <c r="F191">
        <f>IFERROR($C191*INDEX(SPPR!$E:$X,MATCH($A191,SPPR!$A:$A,0),3),"")</f>
        <v/>
      </c>
      <c r="G191">
        <f>IFERROR($C191*INDEX(SPPR!$E:$X,MATCH($A191,SPPR!$A:$A,0),4),"")</f>
        <v/>
      </c>
      <c r="H191">
        <f>IFERROR($C191*INDEX(SPPR!$E:$X,MATCH($A191,SPPR!$A:$A,0),5),"")</f>
        <v/>
      </c>
      <c r="I191">
        <f>IFERROR($C191*INDEX(SPPR!$E:$X,MATCH($A191,SPPR!$A:$A,0),6),"")</f>
        <v/>
      </c>
      <c r="J191">
        <f>IFERROR($C191*INDEX(SPPR!$E:$X,MATCH($A191,SPPR!$A:$A,0),7),"")</f>
        <v/>
      </c>
      <c r="K191">
        <f>IFERROR($C191*INDEX(SPPR!$E:$X,MATCH($A191,SPPR!$A:$A,0),8),"")</f>
        <v/>
      </c>
      <c r="L191">
        <f>IFERROR($C191*INDEX(SPPR!$E:$X,MATCH($A191,SPPR!$A:$A,0),9),"")</f>
        <v/>
      </c>
      <c r="M191">
        <f>IFERROR($C191*INDEX(SPPR!$E:$X,MATCH($A191,SPPR!$A:$A,0),10),"")</f>
        <v/>
      </c>
      <c r="N191">
        <f>IFERROR($C191*INDEX(SPPR!$E:$X,MATCH($A191,SPPR!$A:$A,0),11),"")</f>
        <v/>
      </c>
      <c r="O191">
        <f>IFERROR($C191*INDEX(SPPR!$E:$X,MATCH($A191,SPPR!$A:$A,0),12),"")</f>
        <v/>
      </c>
      <c r="P191">
        <f>IFERROR($C191*INDEX(SPPR!$E:$X,MATCH($A191,SPPR!$A:$A,0),13),"")</f>
        <v/>
      </c>
      <c r="Q191">
        <f>IFERROR($C191*INDEX(SPPR!$E:$X,MATCH($A191,SPPR!$A:$A,0),14),"")</f>
        <v/>
      </c>
      <c r="R191">
        <f>IFERROR($C191*INDEX(SPPR!$E:$X,MATCH($A191,SPPR!$A:$A,0),15),"")</f>
        <v/>
      </c>
      <c r="S191">
        <f>IFERROR($C191*INDEX(SPPR!$E:$X,MATCH($A191,SPPR!$A:$A,0),16),"")</f>
        <v/>
      </c>
      <c r="T191">
        <f>IFERROR($C191*INDEX(SPPR!$E:$X,MATCH($A191,SPPR!$A:$A,0),17),"")</f>
        <v/>
      </c>
      <c r="U191">
        <f>IFERROR($C191*INDEX(SPPR!$E:$X,MATCH($A191,SPPR!$A:$A,0),18),"")</f>
        <v/>
      </c>
      <c r="V191">
        <f>IFERROR($C191*INDEX(SPPR!$E:$X,MATCH($A191,SPPR!$A:$A,0),19),"")</f>
        <v/>
      </c>
      <c r="W191">
        <f>IFERROR($C191*INDEX(SPPR!$E:$X,MATCH($A191,SPPR!$A:$A,0),20),"")</f>
        <v/>
      </c>
    </row>
    <row r="192">
      <c r="A192" t="inlineStr">
        <is>
          <t>Gerres</t>
        </is>
      </c>
      <c r="B192">
        <f>IFERROR(INDEX(SPPR!$D:$D,MATCH($A192,SPPR!$A:$A,0)),"")</f>
        <v/>
      </c>
      <c r="C192">
        <f>IFERROR(INDEX(Catch!$E:$BV,MATCH($A192,Catch!$A:$A,0),MATCH($B$4,Catch!$E$1:$BV$1,0)),0)</f>
        <v/>
      </c>
      <c r="D192">
        <f>IFERROR($C192*INDEX(SPPR!$E:$X,MATCH($A192,SPPR!$A:$A,0),1),"")</f>
        <v/>
      </c>
      <c r="E192">
        <f>IFERROR($C192*INDEX(SPPR!$E:$X,MATCH($A192,SPPR!$A:$A,0),2),"")</f>
        <v/>
      </c>
      <c r="F192">
        <f>IFERROR($C192*INDEX(SPPR!$E:$X,MATCH($A192,SPPR!$A:$A,0),3),"")</f>
        <v/>
      </c>
      <c r="G192">
        <f>IFERROR($C192*INDEX(SPPR!$E:$X,MATCH($A192,SPPR!$A:$A,0),4),"")</f>
        <v/>
      </c>
      <c r="H192">
        <f>IFERROR($C192*INDEX(SPPR!$E:$X,MATCH($A192,SPPR!$A:$A,0),5),"")</f>
        <v/>
      </c>
      <c r="I192">
        <f>IFERROR($C192*INDEX(SPPR!$E:$X,MATCH($A192,SPPR!$A:$A,0),6),"")</f>
        <v/>
      </c>
      <c r="J192">
        <f>IFERROR($C192*INDEX(SPPR!$E:$X,MATCH($A192,SPPR!$A:$A,0),7),"")</f>
        <v/>
      </c>
      <c r="K192">
        <f>IFERROR($C192*INDEX(SPPR!$E:$X,MATCH($A192,SPPR!$A:$A,0),8),"")</f>
        <v/>
      </c>
      <c r="L192">
        <f>IFERROR($C192*INDEX(SPPR!$E:$X,MATCH($A192,SPPR!$A:$A,0),9),"")</f>
        <v/>
      </c>
      <c r="M192">
        <f>IFERROR($C192*INDEX(SPPR!$E:$X,MATCH($A192,SPPR!$A:$A,0),10),"")</f>
        <v/>
      </c>
      <c r="N192">
        <f>IFERROR($C192*INDEX(SPPR!$E:$X,MATCH($A192,SPPR!$A:$A,0),11),"")</f>
        <v/>
      </c>
      <c r="O192">
        <f>IFERROR($C192*INDEX(SPPR!$E:$X,MATCH($A192,SPPR!$A:$A,0),12),"")</f>
        <v/>
      </c>
      <c r="P192">
        <f>IFERROR($C192*INDEX(SPPR!$E:$X,MATCH($A192,SPPR!$A:$A,0),13),"")</f>
        <v/>
      </c>
      <c r="Q192">
        <f>IFERROR($C192*INDEX(SPPR!$E:$X,MATCH($A192,SPPR!$A:$A,0),14),"")</f>
        <v/>
      </c>
      <c r="R192">
        <f>IFERROR($C192*INDEX(SPPR!$E:$X,MATCH($A192,SPPR!$A:$A,0),15),"")</f>
        <v/>
      </c>
      <c r="S192">
        <f>IFERROR($C192*INDEX(SPPR!$E:$X,MATCH($A192,SPPR!$A:$A,0),16),"")</f>
        <v/>
      </c>
      <c r="T192">
        <f>IFERROR($C192*INDEX(SPPR!$E:$X,MATCH($A192,SPPR!$A:$A,0),17),"")</f>
        <v/>
      </c>
      <c r="U192">
        <f>IFERROR($C192*INDEX(SPPR!$E:$X,MATCH($A192,SPPR!$A:$A,0),18),"")</f>
        <v/>
      </c>
      <c r="V192">
        <f>IFERROR($C192*INDEX(SPPR!$E:$X,MATCH($A192,SPPR!$A:$A,0),19),"")</f>
        <v/>
      </c>
      <c r="W192">
        <f>IFERROR($C192*INDEX(SPPR!$E:$X,MATCH($A192,SPPR!$A:$A,0),20),"")</f>
        <v/>
      </c>
    </row>
    <row r="193">
      <c r="A193" t="inlineStr">
        <is>
          <t>Platycephalidae</t>
        </is>
      </c>
      <c r="B193">
        <f>IFERROR(INDEX(SPPR!$D:$D,MATCH($A193,SPPR!$A:$A,0)),"")</f>
        <v/>
      </c>
      <c r="C193">
        <f>IFERROR(INDEX(Catch!$E:$BV,MATCH($A193,Catch!$A:$A,0),MATCH($B$4,Catch!$E$1:$BV$1,0)),0)</f>
        <v/>
      </c>
      <c r="D193">
        <f>IFERROR($C193*INDEX(SPPR!$E:$X,MATCH($A193,SPPR!$A:$A,0),1),"")</f>
        <v/>
      </c>
      <c r="E193">
        <f>IFERROR($C193*INDEX(SPPR!$E:$X,MATCH($A193,SPPR!$A:$A,0),2),"")</f>
        <v/>
      </c>
      <c r="F193">
        <f>IFERROR($C193*INDEX(SPPR!$E:$X,MATCH($A193,SPPR!$A:$A,0),3),"")</f>
        <v/>
      </c>
      <c r="G193">
        <f>IFERROR($C193*INDEX(SPPR!$E:$X,MATCH($A193,SPPR!$A:$A,0),4),"")</f>
        <v/>
      </c>
      <c r="H193">
        <f>IFERROR($C193*INDEX(SPPR!$E:$X,MATCH($A193,SPPR!$A:$A,0),5),"")</f>
        <v/>
      </c>
      <c r="I193">
        <f>IFERROR($C193*INDEX(SPPR!$E:$X,MATCH($A193,SPPR!$A:$A,0),6),"")</f>
        <v/>
      </c>
      <c r="J193">
        <f>IFERROR($C193*INDEX(SPPR!$E:$X,MATCH($A193,SPPR!$A:$A,0),7),"")</f>
        <v/>
      </c>
      <c r="K193">
        <f>IFERROR($C193*INDEX(SPPR!$E:$X,MATCH($A193,SPPR!$A:$A,0),8),"")</f>
        <v/>
      </c>
      <c r="L193">
        <f>IFERROR($C193*INDEX(SPPR!$E:$X,MATCH($A193,SPPR!$A:$A,0),9),"")</f>
        <v/>
      </c>
      <c r="M193">
        <f>IFERROR($C193*INDEX(SPPR!$E:$X,MATCH($A193,SPPR!$A:$A,0),10),"")</f>
        <v/>
      </c>
      <c r="N193">
        <f>IFERROR($C193*INDEX(SPPR!$E:$X,MATCH($A193,SPPR!$A:$A,0),11),"")</f>
        <v/>
      </c>
      <c r="O193">
        <f>IFERROR($C193*INDEX(SPPR!$E:$X,MATCH($A193,SPPR!$A:$A,0),12),"")</f>
        <v/>
      </c>
      <c r="P193">
        <f>IFERROR($C193*INDEX(SPPR!$E:$X,MATCH($A193,SPPR!$A:$A,0),13),"")</f>
        <v/>
      </c>
      <c r="Q193">
        <f>IFERROR($C193*INDEX(SPPR!$E:$X,MATCH($A193,SPPR!$A:$A,0),14),"")</f>
        <v/>
      </c>
      <c r="R193">
        <f>IFERROR($C193*INDEX(SPPR!$E:$X,MATCH($A193,SPPR!$A:$A,0),15),"")</f>
        <v/>
      </c>
      <c r="S193">
        <f>IFERROR($C193*INDEX(SPPR!$E:$X,MATCH($A193,SPPR!$A:$A,0),16),"")</f>
        <v/>
      </c>
      <c r="T193">
        <f>IFERROR($C193*INDEX(SPPR!$E:$X,MATCH($A193,SPPR!$A:$A,0),17),"")</f>
        <v/>
      </c>
      <c r="U193">
        <f>IFERROR($C193*INDEX(SPPR!$E:$X,MATCH($A193,SPPR!$A:$A,0),18),"")</f>
        <v/>
      </c>
      <c r="V193">
        <f>IFERROR($C193*INDEX(SPPR!$E:$X,MATCH($A193,SPPR!$A:$A,0),19),"")</f>
        <v/>
      </c>
      <c r="W193">
        <f>IFERROR($C193*INDEX(SPPR!$E:$X,MATCH($A193,SPPR!$A:$A,0),20),"")</f>
        <v/>
      </c>
    </row>
    <row r="194">
      <c r="A194" t="inlineStr">
        <is>
          <t>Cephea</t>
        </is>
      </c>
      <c r="B194">
        <f>IFERROR(INDEX(SPPR!$D:$D,MATCH($A194,SPPR!$A:$A,0)),"")</f>
        <v/>
      </c>
      <c r="C194">
        <f>IFERROR(INDEX(Catch!$E:$BV,MATCH($A194,Catch!$A:$A,0),MATCH($B$4,Catch!$E$1:$BV$1,0)),0)</f>
        <v/>
      </c>
      <c r="D194">
        <f>IFERROR($C194*INDEX(SPPR!$E:$X,MATCH($A194,SPPR!$A:$A,0),1),"")</f>
        <v/>
      </c>
      <c r="E194">
        <f>IFERROR($C194*INDEX(SPPR!$E:$X,MATCH($A194,SPPR!$A:$A,0),2),"")</f>
        <v/>
      </c>
      <c r="F194">
        <f>IFERROR($C194*INDEX(SPPR!$E:$X,MATCH($A194,SPPR!$A:$A,0),3),"")</f>
        <v/>
      </c>
      <c r="G194">
        <f>IFERROR($C194*INDEX(SPPR!$E:$X,MATCH($A194,SPPR!$A:$A,0),4),"")</f>
        <v/>
      </c>
      <c r="H194">
        <f>IFERROR($C194*INDEX(SPPR!$E:$X,MATCH($A194,SPPR!$A:$A,0),5),"")</f>
        <v/>
      </c>
      <c r="I194">
        <f>IFERROR($C194*INDEX(SPPR!$E:$X,MATCH($A194,SPPR!$A:$A,0),6),"")</f>
        <v/>
      </c>
      <c r="J194">
        <f>IFERROR($C194*INDEX(SPPR!$E:$X,MATCH($A194,SPPR!$A:$A,0),7),"")</f>
        <v/>
      </c>
      <c r="K194">
        <f>IFERROR($C194*INDEX(SPPR!$E:$X,MATCH($A194,SPPR!$A:$A,0),8),"")</f>
        <v/>
      </c>
      <c r="L194">
        <f>IFERROR($C194*INDEX(SPPR!$E:$X,MATCH($A194,SPPR!$A:$A,0),9),"")</f>
        <v/>
      </c>
      <c r="M194">
        <f>IFERROR($C194*INDEX(SPPR!$E:$X,MATCH($A194,SPPR!$A:$A,0),10),"")</f>
        <v/>
      </c>
      <c r="N194">
        <f>IFERROR($C194*INDEX(SPPR!$E:$X,MATCH($A194,SPPR!$A:$A,0),11),"")</f>
        <v/>
      </c>
      <c r="O194">
        <f>IFERROR($C194*INDEX(SPPR!$E:$X,MATCH($A194,SPPR!$A:$A,0),12),"")</f>
        <v/>
      </c>
      <c r="P194">
        <f>IFERROR($C194*INDEX(SPPR!$E:$X,MATCH($A194,SPPR!$A:$A,0),13),"")</f>
        <v/>
      </c>
      <c r="Q194">
        <f>IFERROR($C194*INDEX(SPPR!$E:$X,MATCH($A194,SPPR!$A:$A,0),14),"")</f>
        <v/>
      </c>
      <c r="R194">
        <f>IFERROR($C194*INDEX(SPPR!$E:$X,MATCH($A194,SPPR!$A:$A,0),15),"")</f>
        <v/>
      </c>
      <c r="S194">
        <f>IFERROR($C194*INDEX(SPPR!$E:$X,MATCH($A194,SPPR!$A:$A,0),16),"")</f>
        <v/>
      </c>
      <c r="T194">
        <f>IFERROR($C194*INDEX(SPPR!$E:$X,MATCH($A194,SPPR!$A:$A,0),17),"")</f>
        <v/>
      </c>
      <c r="U194">
        <f>IFERROR($C194*INDEX(SPPR!$E:$X,MATCH($A194,SPPR!$A:$A,0),18),"")</f>
        <v/>
      </c>
      <c r="V194">
        <f>IFERROR($C194*INDEX(SPPR!$E:$X,MATCH($A194,SPPR!$A:$A,0),19),"")</f>
        <v/>
      </c>
      <c r="W194">
        <f>IFERROR($C194*INDEX(SPPR!$E:$X,MATCH($A194,SPPR!$A:$A,0),20),"")</f>
        <v/>
      </c>
    </row>
    <row r="195">
      <c r="A195" t="inlineStr">
        <is>
          <t>Panulirus polyphagus</t>
        </is>
      </c>
      <c r="B195">
        <f>IFERROR(INDEX(SPPR!$D:$D,MATCH($A195,SPPR!$A:$A,0)),"")</f>
        <v/>
      </c>
      <c r="C195">
        <f>IFERROR(INDEX(Catch!$E:$BV,MATCH($A195,Catch!$A:$A,0),MATCH($B$4,Catch!$E$1:$BV$1,0)),0)</f>
        <v/>
      </c>
      <c r="D195">
        <f>IFERROR($C195*INDEX(SPPR!$E:$X,MATCH($A195,SPPR!$A:$A,0),1),"")</f>
        <v/>
      </c>
      <c r="E195">
        <f>IFERROR($C195*INDEX(SPPR!$E:$X,MATCH($A195,SPPR!$A:$A,0),2),"")</f>
        <v/>
      </c>
      <c r="F195">
        <f>IFERROR($C195*INDEX(SPPR!$E:$X,MATCH($A195,SPPR!$A:$A,0),3),"")</f>
        <v/>
      </c>
      <c r="G195">
        <f>IFERROR($C195*INDEX(SPPR!$E:$X,MATCH($A195,SPPR!$A:$A,0),4),"")</f>
        <v/>
      </c>
      <c r="H195">
        <f>IFERROR($C195*INDEX(SPPR!$E:$X,MATCH($A195,SPPR!$A:$A,0),5),"")</f>
        <v/>
      </c>
      <c r="I195">
        <f>IFERROR($C195*INDEX(SPPR!$E:$X,MATCH($A195,SPPR!$A:$A,0),6),"")</f>
        <v/>
      </c>
      <c r="J195">
        <f>IFERROR($C195*INDEX(SPPR!$E:$X,MATCH($A195,SPPR!$A:$A,0),7),"")</f>
        <v/>
      </c>
      <c r="K195">
        <f>IFERROR($C195*INDEX(SPPR!$E:$X,MATCH($A195,SPPR!$A:$A,0),8),"")</f>
        <v/>
      </c>
      <c r="L195">
        <f>IFERROR($C195*INDEX(SPPR!$E:$X,MATCH($A195,SPPR!$A:$A,0),9),"")</f>
        <v/>
      </c>
      <c r="M195">
        <f>IFERROR($C195*INDEX(SPPR!$E:$X,MATCH($A195,SPPR!$A:$A,0),10),"")</f>
        <v/>
      </c>
      <c r="N195">
        <f>IFERROR($C195*INDEX(SPPR!$E:$X,MATCH($A195,SPPR!$A:$A,0),11),"")</f>
        <v/>
      </c>
      <c r="O195">
        <f>IFERROR($C195*INDEX(SPPR!$E:$X,MATCH($A195,SPPR!$A:$A,0),12),"")</f>
        <v/>
      </c>
      <c r="P195">
        <f>IFERROR($C195*INDEX(SPPR!$E:$X,MATCH($A195,SPPR!$A:$A,0),13),"")</f>
        <v/>
      </c>
      <c r="Q195">
        <f>IFERROR($C195*INDEX(SPPR!$E:$X,MATCH($A195,SPPR!$A:$A,0),14),"")</f>
        <v/>
      </c>
      <c r="R195">
        <f>IFERROR($C195*INDEX(SPPR!$E:$X,MATCH($A195,SPPR!$A:$A,0),15),"")</f>
        <v/>
      </c>
      <c r="S195">
        <f>IFERROR($C195*INDEX(SPPR!$E:$X,MATCH($A195,SPPR!$A:$A,0),16),"")</f>
        <v/>
      </c>
      <c r="T195">
        <f>IFERROR($C195*INDEX(SPPR!$E:$X,MATCH($A195,SPPR!$A:$A,0),17),"")</f>
        <v/>
      </c>
      <c r="U195">
        <f>IFERROR($C195*INDEX(SPPR!$E:$X,MATCH($A195,SPPR!$A:$A,0),18),"")</f>
        <v/>
      </c>
      <c r="V195">
        <f>IFERROR($C195*INDEX(SPPR!$E:$X,MATCH($A195,SPPR!$A:$A,0),19),"")</f>
        <v/>
      </c>
      <c r="W195">
        <f>IFERROR($C195*INDEX(SPPR!$E:$X,MATCH($A195,SPPR!$A:$A,0),20),"")</f>
        <v/>
      </c>
    </row>
    <row r="196">
      <c r="A196" t="inlineStr">
        <is>
          <t>Decapterus russelli</t>
        </is>
      </c>
      <c r="B196">
        <f>IFERROR(INDEX(SPPR!$D:$D,MATCH($A196,SPPR!$A:$A,0)),"")</f>
        <v/>
      </c>
      <c r="C196">
        <f>IFERROR(INDEX(Catch!$E:$BV,MATCH($A196,Catch!$A:$A,0),MATCH($B$4,Catch!$E$1:$BV$1,0)),0)</f>
        <v/>
      </c>
      <c r="D196">
        <f>IFERROR($C196*INDEX(SPPR!$E:$X,MATCH($A196,SPPR!$A:$A,0),1),"")</f>
        <v/>
      </c>
      <c r="E196">
        <f>IFERROR($C196*INDEX(SPPR!$E:$X,MATCH($A196,SPPR!$A:$A,0),2),"")</f>
        <v/>
      </c>
      <c r="F196">
        <f>IFERROR($C196*INDEX(SPPR!$E:$X,MATCH($A196,SPPR!$A:$A,0),3),"")</f>
        <v/>
      </c>
      <c r="G196">
        <f>IFERROR($C196*INDEX(SPPR!$E:$X,MATCH($A196,SPPR!$A:$A,0),4),"")</f>
        <v/>
      </c>
      <c r="H196">
        <f>IFERROR($C196*INDEX(SPPR!$E:$X,MATCH($A196,SPPR!$A:$A,0),5),"")</f>
        <v/>
      </c>
      <c r="I196">
        <f>IFERROR($C196*INDEX(SPPR!$E:$X,MATCH($A196,SPPR!$A:$A,0),6),"")</f>
        <v/>
      </c>
      <c r="J196">
        <f>IFERROR($C196*INDEX(SPPR!$E:$X,MATCH($A196,SPPR!$A:$A,0),7),"")</f>
        <v/>
      </c>
      <c r="K196">
        <f>IFERROR($C196*INDEX(SPPR!$E:$X,MATCH($A196,SPPR!$A:$A,0),8),"")</f>
        <v/>
      </c>
      <c r="L196">
        <f>IFERROR($C196*INDEX(SPPR!$E:$X,MATCH($A196,SPPR!$A:$A,0),9),"")</f>
        <v/>
      </c>
      <c r="M196">
        <f>IFERROR($C196*INDEX(SPPR!$E:$X,MATCH($A196,SPPR!$A:$A,0),10),"")</f>
        <v/>
      </c>
      <c r="N196">
        <f>IFERROR($C196*INDEX(SPPR!$E:$X,MATCH($A196,SPPR!$A:$A,0),11),"")</f>
        <v/>
      </c>
      <c r="O196">
        <f>IFERROR($C196*INDEX(SPPR!$E:$X,MATCH($A196,SPPR!$A:$A,0),12),"")</f>
        <v/>
      </c>
      <c r="P196">
        <f>IFERROR($C196*INDEX(SPPR!$E:$X,MATCH($A196,SPPR!$A:$A,0),13),"")</f>
        <v/>
      </c>
      <c r="Q196">
        <f>IFERROR($C196*INDEX(SPPR!$E:$X,MATCH($A196,SPPR!$A:$A,0),14),"")</f>
        <v/>
      </c>
      <c r="R196">
        <f>IFERROR($C196*INDEX(SPPR!$E:$X,MATCH($A196,SPPR!$A:$A,0),15),"")</f>
        <v/>
      </c>
      <c r="S196">
        <f>IFERROR($C196*INDEX(SPPR!$E:$X,MATCH($A196,SPPR!$A:$A,0),16),"")</f>
        <v/>
      </c>
      <c r="T196">
        <f>IFERROR($C196*INDEX(SPPR!$E:$X,MATCH($A196,SPPR!$A:$A,0),17),"")</f>
        <v/>
      </c>
      <c r="U196">
        <f>IFERROR($C196*INDEX(SPPR!$E:$X,MATCH($A196,SPPR!$A:$A,0),18),"")</f>
        <v/>
      </c>
      <c r="V196">
        <f>IFERROR($C196*INDEX(SPPR!$E:$X,MATCH($A196,SPPR!$A:$A,0),19),"")</f>
        <v/>
      </c>
      <c r="W196">
        <f>IFERROR($C196*INDEX(SPPR!$E:$X,MATCH($A196,SPPR!$A:$A,0),20),"")</f>
        <v/>
      </c>
    </row>
    <row r="197">
      <c r="A197" t="inlineStr">
        <is>
          <t>Pristipomoides filamentosus</t>
        </is>
      </c>
      <c r="B197">
        <f>IFERROR(INDEX(SPPR!$D:$D,MATCH($A197,SPPR!$A:$A,0)),"")</f>
        <v/>
      </c>
      <c r="C197">
        <f>IFERROR(INDEX(Catch!$E:$BV,MATCH($A197,Catch!$A:$A,0),MATCH($B$4,Catch!$E$1:$BV$1,0)),0)</f>
        <v/>
      </c>
      <c r="D197">
        <f>IFERROR($C197*INDEX(SPPR!$E:$X,MATCH($A197,SPPR!$A:$A,0),1),"")</f>
        <v/>
      </c>
      <c r="E197">
        <f>IFERROR($C197*INDEX(SPPR!$E:$X,MATCH($A197,SPPR!$A:$A,0),2),"")</f>
        <v/>
      </c>
      <c r="F197">
        <f>IFERROR($C197*INDEX(SPPR!$E:$X,MATCH($A197,SPPR!$A:$A,0),3),"")</f>
        <v/>
      </c>
      <c r="G197">
        <f>IFERROR($C197*INDEX(SPPR!$E:$X,MATCH($A197,SPPR!$A:$A,0),4),"")</f>
        <v/>
      </c>
      <c r="H197">
        <f>IFERROR($C197*INDEX(SPPR!$E:$X,MATCH($A197,SPPR!$A:$A,0),5),"")</f>
        <v/>
      </c>
      <c r="I197">
        <f>IFERROR($C197*INDEX(SPPR!$E:$X,MATCH($A197,SPPR!$A:$A,0),6),"")</f>
        <v/>
      </c>
      <c r="J197">
        <f>IFERROR($C197*INDEX(SPPR!$E:$X,MATCH($A197,SPPR!$A:$A,0),7),"")</f>
        <v/>
      </c>
      <c r="K197">
        <f>IFERROR($C197*INDEX(SPPR!$E:$X,MATCH($A197,SPPR!$A:$A,0),8),"")</f>
        <v/>
      </c>
      <c r="L197">
        <f>IFERROR($C197*INDEX(SPPR!$E:$X,MATCH($A197,SPPR!$A:$A,0),9),"")</f>
        <v/>
      </c>
      <c r="M197">
        <f>IFERROR($C197*INDEX(SPPR!$E:$X,MATCH($A197,SPPR!$A:$A,0),10),"")</f>
        <v/>
      </c>
      <c r="N197">
        <f>IFERROR($C197*INDEX(SPPR!$E:$X,MATCH($A197,SPPR!$A:$A,0),11),"")</f>
        <v/>
      </c>
      <c r="O197">
        <f>IFERROR($C197*INDEX(SPPR!$E:$X,MATCH($A197,SPPR!$A:$A,0),12),"")</f>
        <v/>
      </c>
      <c r="P197">
        <f>IFERROR($C197*INDEX(SPPR!$E:$X,MATCH($A197,SPPR!$A:$A,0),13),"")</f>
        <v/>
      </c>
      <c r="Q197">
        <f>IFERROR($C197*INDEX(SPPR!$E:$X,MATCH($A197,SPPR!$A:$A,0),14),"")</f>
        <v/>
      </c>
      <c r="R197">
        <f>IFERROR($C197*INDEX(SPPR!$E:$X,MATCH($A197,SPPR!$A:$A,0),15),"")</f>
        <v/>
      </c>
      <c r="S197">
        <f>IFERROR($C197*INDEX(SPPR!$E:$X,MATCH($A197,SPPR!$A:$A,0),16),"")</f>
        <v/>
      </c>
      <c r="T197">
        <f>IFERROR($C197*INDEX(SPPR!$E:$X,MATCH($A197,SPPR!$A:$A,0),17),"")</f>
        <v/>
      </c>
      <c r="U197">
        <f>IFERROR($C197*INDEX(SPPR!$E:$X,MATCH($A197,SPPR!$A:$A,0),18),"")</f>
        <v/>
      </c>
      <c r="V197">
        <f>IFERROR($C197*INDEX(SPPR!$E:$X,MATCH($A197,SPPR!$A:$A,0),19),"")</f>
        <v/>
      </c>
      <c r="W197">
        <f>IFERROR($C197*INDEX(SPPR!$E:$X,MATCH($A197,SPPR!$A:$A,0),20),"")</f>
        <v/>
      </c>
    </row>
    <row r="198">
      <c r="A198" t="inlineStr">
        <is>
          <t>Lamnidae</t>
        </is>
      </c>
      <c r="B198">
        <f>IFERROR(INDEX(SPPR!$D:$D,MATCH($A198,SPPR!$A:$A,0)),"")</f>
        <v/>
      </c>
      <c r="C198">
        <f>IFERROR(INDEX(Catch!$E:$BV,MATCH($A198,Catch!$A:$A,0),MATCH($B$4,Catch!$E$1:$BV$1,0)),0)</f>
        <v/>
      </c>
      <c r="D198">
        <f>IFERROR($C198*INDEX(SPPR!$E:$X,MATCH($A198,SPPR!$A:$A,0),1),"")</f>
        <v/>
      </c>
      <c r="E198">
        <f>IFERROR($C198*INDEX(SPPR!$E:$X,MATCH($A198,SPPR!$A:$A,0),2),"")</f>
        <v/>
      </c>
      <c r="F198">
        <f>IFERROR($C198*INDEX(SPPR!$E:$X,MATCH($A198,SPPR!$A:$A,0),3),"")</f>
        <v/>
      </c>
      <c r="G198">
        <f>IFERROR($C198*INDEX(SPPR!$E:$X,MATCH($A198,SPPR!$A:$A,0),4),"")</f>
        <v/>
      </c>
      <c r="H198">
        <f>IFERROR($C198*INDEX(SPPR!$E:$X,MATCH($A198,SPPR!$A:$A,0),5),"")</f>
        <v/>
      </c>
      <c r="I198">
        <f>IFERROR($C198*INDEX(SPPR!$E:$X,MATCH($A198,SPPR!$A:$A,0),6),"")</f>
        <v/>
      </c>
      <c r="J198">
        <f>IFERROR($C198*INDEX(SPPR!$E:$X,MATCH($A198,SPPR!$A:$A,0),7),"")</f>
        <v/>
      </c>
      <c r="K198">
        <f>IFERROR($C198*INDEX(SPPR!$E:$X,MATCH($A198,SPPR!$A:$A,0),8),"")</f>
        <v/>
      </c>
      <c r="L198">
        <f>IFERROR($C198*INDEX(SPPR!$E:$X,MATCH($A198,SPPR!$A:$A,0),9),"")</f>
        <v/>
      </c>
      <c r="M198">
        <f>IFERROR($C198*INDEX(SPPR!$E:$X,MATCH($A198,SPPR!$A:$A,0),10),"")</f>
        <v/>
      </c>
      <c r="N198">
        <f>IFERROR($C198*INDEX(SPPR!$E:$X,MATCH($A198,SPPR!$A:$A,0),11),"")</f>
        <v/>
      </c>
      <c r="O198">
        <f>IFERROR($C198*INDEX(SPPR!$E:$X,MATCH($A198,SPPR!$A:$A,0),12),"")</f>
        <v/>
      </c>
      <c r="P198">
        <f>IFERROR($C198*INDEX(SPPR!$E:$X,MATCH($A198,SPPR!$A:$A,0),13),"")</f>
        <v/>
      </c>
      <c r="Q198">
        <f>IFERROR($C198*INDEX(SPPR!$E:$X,MATCH($A198,SPPR!$A:$A,0),14),"")</f>
        <v/>
      </c>
      <c r="R198">
        <f>IFERROR($C198*INDEX(SPPR!$E:$X,MATCH($A198,SPPR!$A:$A,0),15),"")</f>
        <v/>
      </c>
      <c r="S198">
        <f>IFERROR($C198*INDEX(SPPR!$E:$X,MATCH($A198,SPPR!$A:$A,0),16),"")</f>
        <v/>
      </c>
      <c r="T198">
        <f>IFERROR($C198*INDEX(SPPR!$E:$X,MATCH($A198,SPPR!$A:$A,0),17),"")</f>
        <v/>
      </c>
      <c r="U198">
        <f>IFERROR($C198*INDEX(SPPR!$E:$X,MATCH($A198,SPPR!$A:$A,0),18),"")</f>
        <v/>
      </c>
      <c r="V198">
        <f>IFERROR($C198*INDEX(SPPR!$E:$X,MATCH($A198,SPPR!$A:$A,0),19),"")</f>
        <v/>
      </c>
      <c r="W198">
        <f>IFERROR($C198*INDEX(SPPR!$E:$X,MATCH($A198,SPPR!$A:$A,0),20),"")</f>
        <v/>
      </c>
    </row>
    <row r="199">
      <c r="A199" t="inlineStr">
        <is>
          <t>Sphyrnidae</t>
        </is>
      </c>
      <c r="B199">
        <f>IFERROR(INDEX(SPPR!$D:$D,MATCH($A199,SPPR!$A:$A,0)),"")</f>
        <v/>
      </c>
      <c r="C199">
        <f>IFERROR(INDEX(Catch!$E:$BV,MATCH($A199,Catch!$A:$A,0),MATCH($B$4,Catch!$E$1:$BV$1,0)),0)</f>
        <v/>
      </c>
      <c r="D199">
        <f>IFERROR($C199*INDEX(SPPR!$E:$X,MATCH($A199,SPPR!$A:$A,0),1),"")</f>
        <v/>
      </c>
      <c r="E199">
        <f>IFERROR($C199*INDEX(SPPR!$E:$X,MATCH($A199,SPPR!$A:$A,0),2),"")</f>
        <v/>
      </c>
      <c r="F199">
        <f>IFERROR($C199*INDEX(SPPR!$E:$X,MATCH($A199,SPPR!$A:$A,0),3),"")</f>
        <v/>
      </c>
      <c r="G199">
        <f>IFERROR($C199*INDEX(SPPR!$E:$X,MATCH($A199,SPPR!$A:$A,0),4),"")</f>
        <v/>
      </c>
      <c r="H199">
        <f>IFERROR($C199*INDEX(SPPR!$E:$X,MATCH($A199,SPPR!$A:$A,0),5),"")</f>
        <v/>
      </c>
      <c r="I199">
        <f>IFERROR($C199*INDEX(SPPR!$E:$X,MATCH($A199,SPPR!$A:$A,0),6),"")</f>
        <v/>
      </c>
      <c r="J199">
        <f>IFERROR($C199*INDEX(SPPR!$E:$X,MATCH($A199,SPPR!$A:$A,0),7),"")</f>
        <v/>
      </c>
      <c r="K199">
        <f>IFERROR($C199*INDEX(SPPR!$E:$X,MATCH($A199,SPPR!$A:$A,0),8),"")</f>
        <v/>
      </c>
      <c r="L199">
        <f>IFERROR($C199*INDEX(SPPR!$E:$X,MATCH($A199,SPPR!$A:$A,0),9),"")</f>
        <v/>
      </c>
      <c r="M199">
        <f>IFERROR($C199*INDEX(SPPR!$E:$X,MATCH($A199,SPPR!$A:$A,0),10),"")</f>
        <v/>
      </c>
      <c r="N199">
        <f>IFERROR($C199*INDEX(SPPR!$E:$X,MATCH($A199,SPPR!$A:$A,0),11),"")</f>
        <v/>
      </c>
      <c r="O199">
        <f>IFERROR($C199*INDEX(SPPR!$E:$X,MATCH($A199,SPPR!$A:$A,0),12),"")</f>
        <v/>
      </c>
      <c r="P199">
        <f>IFERROR($C199*INDEX(SPPR!$E:$X,MATCH($A199,SPPR!$A:$A,0),13),"")</f>
        <v/>
      </c>
      <c r="Q199">
        <f>IFERROR($C199*INDEX(SPPR!$E:$X,MATCH($A199,SPPR!$A:$A,0),14),"")</f>
        <v/>
      </c>
      <c r="R199">
        <f>IFERROR($C199*INDEX(SPPR!$E:$X,MATCH($A199,SPPR!$A:$A,0),15),"")</f>
        <v/>
      </c>
      <c r="S199">
        <f>IFERROR($C199*INDEX(SPPR!$E:$X,MATCH($A199,SPPR!$A:$A,0),16),"")</f>
        <v/>
      </c>
      <c r="T199">
        <f>IFERROR($C199*INDEX(SPPR!$E:$X,MATCH($A199,SPPR!$A:$A,0),17),"")</f>
        <v/>
      </c>
      <c r="U199">
        <f>IFERROR($C199*INDEX(SPPR!$E:$X,MATCH($A199,SPPR!$A:$A,0),18),"")</f>
        <v/>
      </c>
      <c r="V199">
        <f>IFERROR($C199*INDEX(SPPR!$E:$X,MATCH($A199,SPPR!$A:$A,0),19),"")</f>
        <v/>
      </c>
      <c r="W199">
        <f>IFERROR($C199*INDEX(SPPR!$E:$X,MATCH($A199,SPPR!$A:$A,0),20),"")</f>
        <v/>
      </c>
    </row>
    <row r="200">
      <c r="A200" t="inlineStr">
        <is>
          <t>Saccostrea cuccullata</t>
        </is>
      </c>
      <c r="B200">
        <f>IFERROR(INDEX(SPPR!$D:$D,MATCH($A200,SPPR!$A:$A,0)),"")</f>
        <v/>
      </c>
      <c r="C200">
        <f>IFERROR(INDEX(Catch!$E:$BV,MATCH($A200,Catch!$A:$A,0),MATCH($B$4,Catch!$E$1:$BV$1,0)),0)</f>
        <v/>
      </c>
      <c r="D200">
        <f>IFERROR($C200*INDEX(SPPR!$E:$X,MATCH($A200,SPPR!$A:$A,0),1),"")</f>
        <v/>
      </c>
      <c r="E200">
        <f>IFERROR($C200*INDEX(SPPR!$E:$X,MATCH($A200,SPPR!$A:$A,0),2),"")</f>
        <v/>
      </c>
      <c r="F200">
        <f>IFERROR($C200*INDEX(SPPR!$E:$X,MATCH($A200,SPPR!$A:$A,0),3),"")</f>
        <v/>
      </c>
      <c r="G200">
        <f>IFERROR($C200*INDEX(SPPR!$E:$X,MATCH($A200,SPPR!$A:$A,0),4),"")</f>
        <v/>
      </c>
      <c r="H200">
        <f>IFERROR($C200*INDEX(SPPR!$E:$X,MATCH($A200,SPPR!$A:$A,0),5),"")</f>
        <v/>
      </c>
      <c r="I200">
        <f>IFERROR($C200*INDEX(SPPR!$E:$X,MATCH($A200,SPPR!$A:$A,0),6),"")</f>
        <v/>
      </c>
      <c r="J200">
        <f>IFERROR($C200*INDEX(SPPR!$E:$X,MATCH($A200,SPPR!$A:$A,0),7),"")</f>
        <v/>
      </c>
      <c r="K200">
        <f>IFERROR($C200*INDEX(SPPR!$E:$X,MATCH($A200,SPPR!$A:$A,0),8),"")</f>
        <v/>
      </c>
      <c r="L200">
        <f>IFERROR($C200*INDEX(SPPR!$E:$X,MATCH($A200,SPPR!$A:$A,0),9),"")</f>
        <v/>
      </c>
      <c r="M200">
        <f>IFERROR($C200*INDEX(SPPR!$E:$X,MATCH($A200,SPPR!$A:$A,0),10),"")</f>
        <v/>
      </c>
      <c r="N200">
        <f>IFERROR($C200*INDEX(SPPR!$E:$X,MATCH($A200,SPPR!$A:$A,0),11),"")</f>
        <v/>
      </c>
      <c r="O200">
        <f>IFERROR($C200*INDEX(SPPR!$E:$X,MATCH($A200,SPPR!$A:$A,0),12),"")</f>
        <v/>
      </c>
      <c r="P200">
        <f>IFERROR($C200*INDEX(SPPR!$E:$X,MATCH($A200,SPPR!$A:$A,0),13),"")</f>
        <v/>
      </c>
      <c r="Q200">
        <f>IFERROR($C200*INDEX(SPPR!$E:$X,MATCH($A200,SPPR!$A:$A,0),14),"")</f>
        <v/>
      </c>
      <c r="R200">
        <f>IFERROR($C200*INDEX(SPPR!$E:$X,MATCH($A200,SPPR!$A:$A,0),15),"")</f>
        <v/>
      </c>
      <c r="S200">
        <f>IFERROR($C200*INDEX(SPPR!$E:$X,MATCH($A200,SPPR!$A:$A,0),16),"")</f>
        <v/>
      </c>
      <c r="T200">
        <f>IFERROR($C200*INDEX(SPPR!$E:$X,MATCH($A200,SPPR!$A:$A,0),17),"")</f>
        <v/>
      </c>
      <c r="U200">
        <f>IFERROR($C200*INDEX(SPPR!$E:$X,MATCH($A200,SPPR!$A:$A,0),18),"")</f>
        <v/>
      </c>
      <c r="V200">
        <f>IFERROR($C200*INDEX(SPPR!$E:$X,MATCH($A200,SPPR!$A:$A,0),19),"")</f>
        <v/>
      </c>
      <c r="W200">
        <f>IFERROR($C200*INDEX(SPPR!$E:$X,MATCH($A200,SPPR!$A:$A,0),20),"")</f>
        <v/>
      </c>
    </row>
    <row r="201">
      <c r="A201" t="inlineStr">
        <is>
          <t>Xiphias gladius</t>
        </is>
      </c>
      <c r="B201">
        <f>IFERROR(INDEX(SPPR!$D:$D,MATCH($A201,SPPR!$A:$A,0)),"")</f>
        <v/>
      </c>
      <c r="C201">
        <f>IFERROR(INDEX(Catch!$E:$BV,MATCH($A201,Catch!$A:$A,0),MATCH($B$4,Catch!$E$1:$BV$1,0)),0)</f>
        <v/>
      </c>
      <c r="D201">
        <f>IFERROR($C201*INDEX(SPPR!$E:$X,MATCH($A201,SPPR!$A:$A,0),1),"")</f>
        <v/>
      </c>
      <c r="E201">
        <f>IFERROR($C201*INDEX(SPPR!$E:$X,MATCH($A201,SPPR!$A:$A,0),2),"")</f>
        <v/>
      </c>
      <c r="F201">
        <f>IFERROR($C201*INDEX(SPPR!$E:$X,MATCH($A201,SPPR!$A:$A,0),3),"")</f>
        <v/>
      </c>
      <c r="G201">
        <f>IFERROR($C201*INDEX(SPPR!$E:$X,MATCH($A201,SPPR!$A:$A,0),4),"")</f>
        <v/>
      </c>
      <c r="H201">
        <f>IFERROR($C201*INDEX(SPPR!$E:$X,MATCH($A201,SPPR!$A:$A,0),5),"")</f>
        <v/>
      </c>
      <c r="I201">
        <f>IFERROR($C201*INDEX(SPPR!$E:$X,MATCH($A201,SPPR!$A:$A,0),6),"")</f>
        <v/>
      </c>
      <c r="J201">
        <f>IFERROR($C201*INDEX(SPPR!$E:$X,MATCH($A201,SPPR!$A:$A,0),7),"")</f>
        <v/>
      </c>
      <c r="K201">
        <f>IFERROR($C201*INDEX(SPPR!$E:$X,MATCH($A201,SPPR!$A:$A,0),8),"")</f>
        <v/>
      </c>
      <c r="L201">
        <f>IFERROR($C201*INDEX(SPPR!$E:$X,MATCH($A201,SPPR!$A:$A,0),9),"")</f>
        <v/>
      </c>
      <c r="M201">
        <f>IFERROR($C201*INDEX(SPPR!$E:$X,MATCH($A201,SPPR!$A:$A,0),10),"")</f>
        <v/>
      </c>
      <c r="N201">
        <f>IFERROR($C201*INDEX(SPPR!$E:$X,MATCH($A201,SPPR!$A:$A,0),11),"")</f>
        <v/>
      </c>
      <c r="O201">
        <f>IFERROR($C201*INDEX(SPPR!$E:$X,MATCH($A201,SPPR!$A:$A,0),12),"")</f>
        <v/>
      </c>
      <c r="P201">
        <f>IFERROR($C201*INDEX(SPPR!$E:$X,MATCH($A201,SPPR!$A:$A,0),13),"")</f>
        <v/>
      </c>
      <c r="Q201">
        <f>IFERROR($C201*INDEX(SPPR!$E:$X,MATCH($A201,SPPR!$A:$A,0),14),"")</f>
        <v/>
      </c>
      <c r="R201">
        <f>IFERROR($C201*INDEX(SPPR!$E:$X,MATCH($A201,SPPR!$A:$A,0),15),"")</f>
        <v/>
      </c>
      <c r="S201">
        <f>IFERROR($C201*INDEX(SPPR!$E:$X,MATCH($A201,SPPR!$A:$A,0),16),"")</f>
        <v/>
      </c>
      <c r="T201">
        <f>IFERROR($C201*INDEX(SPPR!$E:$X,MATCH($A201,SPPR!$A:$A,0),17),"")</f>
        <v/>
      </c>
      <c r="U201">
        <f>IFERROR($C201*INDEX(SPPR!$E:$X,MATCH($A201,SPPR!$A:$A,0),18),"")</f>
        <v/>
      </c>
      <c r="V201">
        <f>IFERROR($C201*INDEX(SPPR!$E:$X,MATCH($A201,SPPR!$A:$A,0),19),"")</f>
        <v/>
      </c>
      <c r="W201">
        <f>IFERROR($C201*INDEX(SPPR!$E:$X,MATCH($A201,SPPR!$A:$A,0),20),"")</f>
        <v/>
      </c>
    </row>
    <row r="202">
      <c r="A202" t="inlineStr">
        <is>
          <t>Hilsa kelee</t>
        </is>
      </c>
      <c r="B202">
        <f>IFERROR(INDEX(SPPR!$D:$D,MATCH($A202,SPPR!$A:$A,0)),"")</f>
        <v/>
      </c>
      <c r="C202">
        <f>IFERROR(INDEX(Catch!$E:$BV,MATCH($A202,Catch!$A:$A,0),MATCH($B$4,Catch!$E$1:$BV$1,0)),0)</f>
        <v/>
      </c>
      <c r="D202">
        <f>IFERROR($C202*INDEX(SPPR!$E:$X,MATCH($A202,SPPR!$A:$A,0),1),"")</f>
        <v/>
      </c>
      <c r="E202">
        <f>IFERROR($C202*INDEX(SPPR!$E:$X,MATCH($A202,SPPR!$A:$A,0),2),"")</f>
        <v/>
      </c>
      <c r="F202">
        <f>IFERROR($C202*INDEX(SPPR!$E:$X,MATCH($A202,SPPR!$A:$A,0),3),"")</f>
        <v/>
      </c>
      <c r="G202">
        <f>IFERROR($C202*INDEX(SPPR!$E:$X,MATCH($A202,SPPR!$A:$A,0),4),"")</f>
        <v/>
      </c>
      <c r="H202">
        <f>IFERROR($C202*INDEX(SPPR!$E:$X,MATCH($A202,SPPR!$A:$A,0),5),"")</f>
        <v/>
      </c>
      <c r="I202">
        <f>IFERROR($C202*INDEX(SPPR!$E:$X,MATCH($A202,SPPR!$A:$A,0),6),"")</f>
        <v/>
      </c>
      <c r="J202">
        <f>IFERROR($C202*INDEX(SPPR!$E:$X,MATCH($A202,SPPR!$A:$A,0),7),"")</f>
        <v/>
      </c>
      <c r="K202">
        <f>IFERROR($C202*INDEX(SPPR!$E:$X,MATCH($A202,SPPR!$A:$A,0),8),"")</f>
        <v/>
      </c>
      <c r="L202">
        <f>IFERROR($C202*INDEX(SPPR!$E:$X,MATCH($A202,SPPR!$A:$A,0),9),"")</f>
        <v/>
      </c>
      <c r="M202">
        <f>IFERROR($C202*INDEX(SPPR!$E:$X,MATCH($A202,SPPR!$A:$A,0),10),"")</f>
        <v/>
      </c>
      <c r="N202">
        <f>IFERROR($C202*INDEX(SPPR!$E:$X,MATCH($A202,SPPR!$A:$A,0),11),"")</f>
        <v/>
      </c>
      <c r="O202">
        <f>IFERROR($C202*INDEX(SPPR!$E:$X,MATCH($A202,SPPR!$A:$A,0),12),"")</f>
        <v/>
      </c>
      <c r="P202">
        <f>IFERROR($C202*INDEX(SPPR!$E:$X,MATCH($A202,SPPR!$A:$A,0),13),"")</f>
        <v/>
      </c>
      <c r="Q202">
        <f>IFERROR($C202*INDEX(SPPR!$E:$X,MATCH($A202,SPPR!$A:$A,0),14),"")</f>
        <v/>
      </c>
      <c r="R202">
        <f>IFERROR($C202*INDEX(SPPR!$E:$X,MATCH($A202,SPPR!$A:$A,0),15),"")</f>
        <v/>
      </c>
      <c r="S202">
        <f>IFERROR($C202*INDEX(SPPR!$E:$X,MATCH($A202,SPPR!$A:$A,0),16),"")</f>
        <v/>
      </c>
      <c r="T202">
        <f>IFERROR($C202*INDEX(SPPR!$E:$X,MATCH($A202,SPPR!$A:$A,0),17),"")</f>
        <v/>
      </c>
      <c r="U202">
        <f>IFERROR($C202*INDEX(SPPR!$E:$X,MATCH($A202,SPPR!$A:$A,0),18),"")</f>
        <v/>
      </c>
      <c r="V202">
        <f>IFERROR($C202*INDEX(SPPR!$E:$X,MATCH($A202,SPPR!$A:$A,0),19),"")</f>
        <v/>
      </c>
      <c r="W202">
        <f>IFERROR($C202*INDEX(SPPR!$E:$X,MATCH($A202,SPPR!$A:$A,0),20),"")</f>
        <v/>
      </c>
    </row>
    <row r="203">
      <c r="A203" t="inlineStr">
        <is>
          <t>Sphyraena obtusata</t>
        </is>
      </c>
      <c r="B203">
        <f>IFERROR(INDEX(SPPR!$D:$D,MATCH($A203,SPPR!$A:$A,0)),"")</f>
        <v/>
      </c>
      <c r="C203">
        <f>IFERROR(INDEX(Catch!$E:$BV,MATCH($A203,Catch!$A:$A,0),MATCH($B$4,Catch!$E$1:$BV$1,0)),0)</f>
        <v/>
      </c>
      <c r="D203">
        <f>IFERROR($C203*INDEX(SPPR!$E:$X,MATCH($A203,SPPR!$A:$A,0),1),"")</f>
        <v/>
      </c>
      <c r="E203">
        <f>IFERROR($C203*INDEX(SPPR!$E:$X,MATCH($A203,SPPR!$A:$A,0),2),"")</f>
        <v/>
      </c>
      <c r="F203">
        <f>IFERROR($C203*INDEX(SPPR!$E:$X,MATCH($A203,SPPR!$A:$A,0),3),"")</f>
        <v/>
      </c>
      <c r="G203">
        <f>IFERROR($C203*INDEX(SPPR!$E:$X,MATCH($A203,SPPR!$A:$A,0),4),"")</f>
        <v/>
      </c>
      <c r="H203">
        <f>IFERROR($C203*INDEX(SPPR!$E:$X,MATCH($A203,SPPR!$A:$A,0),5),"")</f>
        <v/>
      </c>
      <c r="I203">
        <f>IFERROR($C203*INDEX(SPPR!$E:$X,MATCH($A203,SPPR!$A:$A,0),6),"")</f>
        <v/>
      </c>
      <c r="J203">
        <f>IFERROR($C203*INDEX(SPPR!$E:$X,MATCH($A203,SPPR!$A:$A,0),7),"")</f>
        <v/>
      </c>
      <c r="K203">
        <f>IFERROR($C203*INDEX(SPPR!$E:$X,MATCH($A203,SPPR!$A:$A,0),8),"")</f>
        <v/>
      </c>
      <c r="L203">
        <f>IFERROR($C203*INDEX(SPPR!$E:$X,MATCH($A203,SPPR!$A:$A,0),9),"")</f>
        <v/>
      </c>
      <c r="M203">
        <f>IFERROR($C203*INDEX(SPPR!$E:$X,MATCH($A203,SPPR!$A:$A,0),10),"")</f>
        <v/>
      </c>
      <c r="N203">
        <f>IFERROR($C203*INDEX(SPPR!$E:$X,MATCH($A203,SPPR!$A:$A,0),11),"")</f>
        <v/>
      </c>
      <c r="O203">
        <f>IFERROR($C203*INDEX(SPPR!$E:$X,MATCH($A203,SPPR!$A:$A,0),12),"")</f>
        <v/>
      </c>
      <c r="P203">
        <f>IFERROR($C203*INDEX(SPPR!$E:$X,MATCH($A203,SPPR!$A:$A,0),13),"")</f>
        <v/>
      </c>
      <c r="Q203">
        <f>IFERROR($C203*INDEX(SPPR!$E:$X,MATCH($A203,SPPR!$A:$A,0),14),"")</f>
        <v/>
      </c>
      <c r="R203">
        <f>IFERROR($C203*INDEX(SPPR!$E:$X,MATCH($A203,SPPR!$A:$A,0),15),"")</f>
        <v/>
      </c>
      <c r="S203">
        <f>IFERROR($C203*INDEX(SPPR!$E:$X,MATCH($A203,SPPR!$A:$A,0),16),"")</f>
        <v/>
      </c>
      <c r="T203">
        <f>IFERROR($C203*INDEX(SPPR!$E:$X,MATCH($A203,SPPR!$A:$A,0),17),"")</f>
        <v/>
      </c>
      <c r="U203">
        <f>IFERROR($C203*INDEX(SPPR!$E:$X,MATCH($A203,SPPR!$A:$A,0),18),"")</f>
        <v/>
      </c>
      <c r="V203">
        <f>IFERROR($C203*INDEX(SPPR!$E:$X,MATCH($A203,SPPR!$A:$A,0),19),"")</f>
        <v/>
      </c>
      <c r="W203">
        <f>IFERROR($C203*INDEX(SPPR!$E:$X,MATCH($A203,SPPR!$A:$A,0),20),"")</f>
        <v/>
      </c>
    </row>
    <row r="204">
      <c r="A204" t="inlineStr">
        <is>
          <t>Platycaranx malabaricus</t>
        </is>
      </c>
      <c r="B204">
        <f>IFERROR(INDEX(SPPR!$D:$D,MATCH($A204,SPPR!$A:$A,0)),"")</f>
        <v/>
      </c>
      <c r="C204">
        <f>IFERROR(INDEX(Catch!$E:$BV,MATCH($A204,Catch!$A:$A,0),MATCH($B$4,Catch!$E$1:$BV$1,0)),0)</f>
        <v/>
      </c>
      <c r="D204">
        <f>IFERROR($C204*INDEX(SPPR!$E:$X,MATCH($A204,SPPR!$A:$A,0),1),"")</f>
        <v/>
      </c>
      <c r="E204">
        <f>IFERROR($C204*INDEX(SPPR!$E:$X,MATCH($A204,SPPR!$A:$A,0),2),"")</f>
        <v/>
      </c>
      <c r="F204">
        <f>IFERROR($C204*INDEX(SPPR!$E:$X,MATCH($A204,SPPR!$A:$A,0),3),"")</f>
        <v/>
      </c>
      <c r="G204">
        <f>IFERROR($C204*INDEX(SPPR!$E:$X,MATCH($A204,SPPR!$A:$A,0),4),"")</f>
        <v/>
      </c>
      <c r="H204">
        <f>IFERROR($C204*INDEX(SPPR!$E:$X,MATCH($A204,SPPR!$A:$A,0),5),"")</f>
        <v/>
      </c>
      <c r="I204">
        <f>IFERROR($C204*INDEX(SPPR!$E:$X,MATCH($A204,SPPR!$A:$A,0),6),"")</f>
        <v/>
      </c>
      <c r="J204">
        <f>IFERROR($C204*INDEX(SPPR!$E:$X,MATCH($A204,SPPR!$A:$A,0),7),"")</f>
        <v/>
      </c>
      <c r="K204">
        <f>IFERROR($C204*INDEX(SPPR!$E:$X,MATCH($A204,SPPR!$A:$A,0),8),"")</f>
        <v/>
      </c>
      <c r="L204">
        <f>IFERROR($C204*INDEX(SPPR!$E:$X,MATCH($A204,SPPR!$A:$A,0),9),"")</f>
        <v/>
      </c>
      <c r="M204">
        <f>IFERROR($C204*INDEX(SPPR!$E:$X,MATCH($A204,SPPR!$A:$A,0),10),"")</f>
        <v/>
      </c>
      <c r="N204">
        <f>IFERROR($C204*INDEX(SPPR!$E:$X,MATCH($A204,SPPR!$A:$A,0),11),"")</f>
        <v/>
      </c>
      <c r="O204">
        <f>IFERROR($C204*INDEX(SPPR!$E:$X,MATCH($A204,SPPR!$A:$A,0),12),"")</f>
        <v/>
      </c>
      <c r="P204">
        <f>IFERROR($C204*INDEX(SPPR!$E:$X,MATCH($A204,SPPR!$A:$A,0),13),"")</f>
        <v/>
      </c>
      <c r="Q204">
        <f>IFERROR($C204*INDEX(SPPR!$E:$X,MATCH($A204,SPPR!$A:$A,0),14),"")</f>
        <v/>
      </c>
      <c r="R204">
        <f>IFERROR($C204*INDEX(SPPR!$E:$X,MATCH($A204,SPPR!$A:$A,0),15),"")</f>
        <v/>
      </c>
      <c r="S204">
        <f>IFERROR($C204*INDEX(SPPR!$E:$X,MATCH($A204,SPPR!$A:$A,0),16),"")</f>
        <v/>
      </c>
      <c r="T204">
        <f>IFERROR($C204*INDEX(SPPR!$E:$X,MATCH($A204,SPPR!$A:$A,0),17),"")</f>
        <v/>
      </c>
      <c r="U204">
        <f>IFERROR($C204*INDEX(SPPR!$E:$X,MATCH($A204,SPPR!$A:$A,0),18),"")</f>
        <v/>
      </c>
      <c r="V204">
        <f>IFERROR($C204*INDEX(SPPR!$E:$X,MATCH($A204,SPPR!$A:$A,0),19),"")</f>
        <v/>
      </c>
      <c r="W204">
        <f>IFERROR($C204*INDEX(SPPR!$E:$X,MATCH($A204,SPPR!$A:$A,0),20),"")</f>
        <v/>
      </c>
    </row>
    <row r="205">
      <c r="A205" t="inlineStr">
        <is>
          <t>Moolgarda seheli</t>
        </is>
      </c>
      <c r="B205">
        <f>IFERROR(INDEX(SPPR!$D:$D,MATCH($A205,SPPR!$A:$A,0)),"")</f>
        <v/>
      </c>
      <c r="C205">
        <f>IFERROR(INDEX(Catch!$E:$BV,MATCH($A205,Catch!$A:$A,0),MATCH($B$4,Catch!$E$1:$BV$1,0)),0)</f>
        <v/>
      </c>
      <c r="D205">
        <f>IFERROR($C205*INDEX(SPPR!$E:$X,MATCH($A205,SPPR!$A:$A,0),1),"")</f>
        <v/>
      </c>
      <c r="E205">
        <f>IFERROR($C205*INDEX(SPPR!$E:$X,MATCH($A205,SPPR!$A:$A,0),2),"")</f>
        <v/>
      </c>
      <c r="F205">
        <f>IFERROR($C205*INDEX(SPPR!$E:$X,MATCH($A205,SPPR!$A:$A,0),3),"")</f>
        <v/>
      </c>
      <c r="G205">
        <f>IFERROR($C205*INDEX(SPPR!$E:$X,MATCH($A205,SPPR!$A:$A,0),4),"")</f>
        <v/>
      </c>
      <c r="H205">
        <f>IFERROR($C205*INDEX(SPPR!$E:$X,MATCH($A205,SPPR!$A:$A,0),5),"")</f>
        <v/>
      </c>
      <c r="I205">
        <f>IFERROR($C205*INDEX(SPPR!$E:$X,MATCH($A205,SPPR!$A:$A,0),6),"")</f>
        <v/>
      </c>
      <c r="J205">
        <f>IFERROR($C205*INDEX(SPPR!$E:$X,MATCH($A205,SPPR!$A:$A,0),7),"")</f>
        <v/>
      </c>
      <c r="K205">
        <f>IFERROR($C205*INDEX(SPPR!$E:$X,MATCH($A205,SPPR!$A:$A,0),8),"")</f>
        <v/>
      </c>
      <c r="L205">
        <f>IFERROR($C205*INDEX(SPPR!$E:$X,MATCH($A205,SPPR!$A:$A,0),9),"")</f>
        <v/>
      </c>
      <c r="M205">
        <f>IFERROR($C205*INDEX(SPPR!$E:$X,MATCH($A205,SPPR!$A:$A,0),10),"")</f>
        <v/>
      </c>
      <c r="N205">
        <f>IFERROR($C205*INDEX(SPPR!$E:$X,MATCH($A205,SPPR!$A:$A,0),11),"")</f>
        <v/>
      </c>
      <c r="O205">
        <f>IFERROR($C205*INDEX(SPPR!$E:$X,MATCH($A205,SPPR!$A:$A,0),12),"")</f>
        <v/>
      </c>
      <c r="P205">
        <f>IFERROR($C205*INDEX(SPPR!$E:$X,MATCH($A205,SPPR!$A:$A,0),13),"")</f>
        <v/>
      </c>
      <c r="Q205">
        <f>IFERROR($C205*INDEX(SPPR!$E:$X,MATCH($A205,SPPR!$A:$A,0),14),"")</f>
        <v/>
      </c>
      <c r="R205">
        <f>IFERROR($C205*INDEX(SPPR!$E:$X,MATCH($A205,SPPR!$A:$A,0),15),"")</f>
        <v/>
      </c>
      <c r="S205">
        <f>IFERROR($C205*INDEX(SPPR!$E:$X,MATCH($A205,SPPR!$A:$A,0),16),"")</f>
        <v/>
      </c>
      <c r="T205">
        <f>IFERROR($C205*INDEX(SPPR!$E:$X,MATCH($A205,SPPR!$A:$A,0),17),"")</f>
        <v/>
      </c>
      <c r="U205">
        <f>IFERROR($C205*INDEX(SPPR!$E:$X,MATCH($A205,SPPR!$A:$A,0),18),"")</f>
        <v/>
      </c>
      <c r="V205">
        <f>IFERROR($C205*INDEX(SPPR!$E:$X,MATCH($A205,SPPR!$A:$A,0),19),"")</f>
        <v/>
      </c>
      <c r="W205">
        <f>IFERROR($C205*INDEX(SPPR!$E:$X,MATCH($A205,SPPR!$A:$A,0),20),"")</f>
        <v/>
      </c>
    </row>
    <row r="206">
      <c r="A206" t="inlineStr">
        <is>
          <t>Epinephelus areolatus</t>
        </is>
      </c>
      <c r="B206">
        <f>IFERROR(INDEX(SPPR!$D:$D,MATCH($A206,SPPR!$A:$A,0)),"")</f>
        <v/>
      </c>
      <c r="C206">
        <f>IFERROR(INDEX(Catch!$E:$BV,MATCH($A206,Catch!$A:$A,0),MATCH($B$4,Catch!$E$1:$BV$1,0)),0)</f>
        <v/>
      </c>
      <c r="D206">
        <f>IFERROR($C206*INDEX(SPPR!$E:$X,MATCH($A206,SPPR!$A:$A,0),1),"")</f>
        <v/>
      </c>
      <c r="E206">
        <f>IFERROR($C206*INDEX(SPPR!$E:$X,MATCH($A206,SPPR!$A:$A,0),2),"")</f>
        <v/>
      </c>
      <c r="F206">
        <f>IFERROR($C206*INDEX(SPPR!$E:$X,MATCH($A206,SPPR!$A:$A,0),3),"")</f>
        <v/>
      </c>
      <c r="G206">
        <f>IFERROR($C206*INDEX(SPPR!$E:$X,MATCH($A206,SPPR!$A:$A,0),4),"")</f>
        <v/>
      </c>
      <c r="H206">
        <f>IFERROR($C206*INDEX(SPPR!$E:$X,MATCH($A206,SPPR!$A:$A,0),5),"")</f>
        <v/>
      </c>
      <c r="I206">
        <f>IFERROR($C206*INDEX(SPPR!$E:$X,MATCH($A206,SPPR!$A:$A,0),6),"")</f>
        <v/>
      </c>
      <c r="J206">
        <f>IFERROR($C206*INDEX(SPPR!$E:$X,MATCH($A206,SPPR!$A:$A,0),7),"")</f>
        <v/>
      </c>
      <c r="K206">
        <f>IFERROR($C206*INDEX(SPPR!$E:$X,MATCH($A206,SPPR!$A:$A,0),8),"")</f>
        <v/>
      </c>
      <c r="L206">
        <f>IFERROR($C206*INDEX(SPPR!$E:$X,MATCH($A206,SPPR!$A:$A,0),9),"")</f>
        <v/>
      </c>
      <c r="M206">
        <f>IFERROR($C206*INDEX(SPPR!$E:$X,MATCH($A206,SPPR!$A:$A,0),10),"")</f>
        <v/>
      </c>
      <c r="N206">
        <f>IFERROR($C206*INDEX(SPPR!$E:$X,MATCH($A206,SPPR!$A:$A,0),11),"")</f>
        <v/>
      </c>
      <c r="O206">
        <f>IFERROR($C206*INDEX(SPPR!$E:$X,MATCH($A206,SPPR!$A:$A,0),12),"")</f>
        <v/>
      </c>
      <c r="P206">
        <f>IFERROR($C206*INDEX(SPPR!$E:$X,MATCH($A206,SPPR!$A:$A,0),13),"")</f>
        <v/>
      </c>
      <c r="Q206">
        <f>IFERROR($C206*INDEX(SPPR!$E:$X,MATCH($A206,SPPR!$A:$A,0),14),"")</f>
        <v/>
      </c>
      <c r="R206">
        <f>IFERROR($C206*INDEX(SPPR!$E:$X,MATCH($A206,SPPR!$A:$A,0),15),"")</f>
        <v/>
      </c>
      <c r="S206">
        <f>IFERROR($C206*INDEX(SPPR!$E:$X,MATCH($A206,SPPR!$A:$A,0),16),"")</f>
        <v/>
      </c>
      <c r="T206">
        <f>IFERROR($C206*INDEX(SPPR!$E:$X,MATCH($A206,SPPR!$A:$A,0),17),"")</f>
        <v/>
      </c>
      <c r="U206">
        <f>IFERROR($C206*INDEX(SPPR!$E:$X,MATCH($A206,SPPR!$A:$A,0),18),"")</f>
        <v/>
      </c>
      <c r="V206">
        <f>IFERROR($C206*INDEX(SPPR!$E:$X,MATCH($A206,SPPR!$A:$A,0),19),"")</f>
        <v/>
      </c>
      <c r="W206">
        <f>IFERROR($C206*INDEX(SPPR!$E:$X,MATCH($A206,SPPR!$A:$A,0),20),"")</f>
        <v/>
      </c>
    </row>
    <row r="207">
      <c r="A207" t="inlineStr">
        <is>
          <t>Carcharhinus limbatus</t>
        </is>
      </c>
      <c r="B207">
        <f>IFERROR(INDEX(SPPR!$D:$D,MATCH($A207,SPPR!$A:$A,0)),"")</f>
        <v/>
      </c>
      <c r="C207">
        <f>IFERROR(INDEX(Catch!$E:$BV,MATCH($A207,Catch!$A:$A,0),MATCH($B$4,Catch!$E$1:$BV$1,0)),0)</f>
        <v/>
      </c>
      <c r="D207">
        <f>IFERROR($C207*INDEX(SPPR!$E:$X,MATCH($A207,SPPR!$A:$A,0),1),"")</f>
        <v/>
      </c>
      <c r="E207">
        <f>IFERROR($C207*INDEX(SPPR!$E:$X,MATCH($A207,SPPR!$A:$A,0),2),"")</f>
        <v/>
      </c>
      <c r="F207">
        <f>IFERROR($C207*INDEX(SPPR!$E:$X,MATCH($A207,SPPR!$A:$A,0),3),"")</f>
        <v/>
      </c>
      <c r="G207">
        <f>IFERROR($C207*INDEX(SPPR!$E:$X,MATCH($A207,SPPR!$A:$A,0),4),"")</f>
        <v/>
      </c>
      <c r="H207">
        <f>IFERROR($C207*INDEX(SPPR!$E:$X,MATCH($A207,SPPR!$A:$A,0),5),"")</f>
        <v/>
      </c>
      <c r="I207">
        <f>IFERROR($C207*INDEX(SPPR!$E:$X,MATCH($A207,SPPR!$A:$A,0),6),"")</f>
        <v/>
      </c>
      <c r="J207">
        <f>IFERROR($C207*INDEX(SPPR!$E:$X,MATCH($A207,SPPR!$A:$A,0),7),"")</f>
        <v/>
      </c>
      <c r="K207">
        <f>IFERROR($C207*INDEX(SPPR!$E:$X,MATCH($A207,SPPR!$A:$A,0),8),"")</f>
        <v/>
      </c>
      <c r="L207">
        <f>IFERROR($C207*INDEX(SPPR!$E:$X,MATCH($A207,SPPR!$A:$A,0),9),"")</f>
        <v/>
      </c>
      <c r="M207">
        <f>IFERROR($C207*INDEX(SPPR!$E:$X,MATCH($A207,SPPR!$A:$A,0),10),"")</f>
        <v/>
      </c>
      <c r="N207">
        <f>IFERROR($C207*INDEX(SPPR!$E:$X,MATCH($A207,SPPR!$A:$A,0),11),"")</f>
        <v/>
      </c>
      <c r="O207">
        <f>IFERROR($C207*INDEX(SPPR!$E:$X,MATCH($A207,SPPR!$A:$A,0),12),"")</f>
        <v/>
      </c>
      <c r="P207">
        <f>IFERROR($C207*INDEX(SPPR!$E:$X,MATCH($A207,SPPR!$A:$A,0),13),"")</f>
        <v/>
      </c>
      <c r="Q207">
        <f>IFERROR($C207*INDEX(SPPR!$E:$X,MATCH($A207,SPPR!$A:$A,0),14),"")</f>
        <v/>
      </c>
      <c r="R207">
        <f>IFERROR($C207*INDEX(SPPR!$E:$X,MATCH($A207,SPPR!$A:$A,0),15),"")</f>
        <v/>
      </c>
      <c r="S207">
        <f>IFERROR($C207*INDEX(SPPR!$E:$X,MATCH($A207,SPPR!$A:$A,0),16),"")</f>
        <v/>
      </c>
      <c r="T207">
        <f>IFERROR($C207*INDEX(SPPR!$E:$X,MATCH($A207,SPPR!$A:$A,0),17),"")</f>
        <v/>
      </c>
      <c r="U207">
        <f>IFERROR($C207*INDEX(SPPR!$E:$X,MATCH($A207,SPPR!$A:$A,0),18),"")</f>
        <v/>
      </c>
      <c r="V207">
        <f>IFERROR($C207*INDEX(SPPR!$E:$X,MATCH($A207,SPPR!$A:$A,0),19),"")</f>
        <v/>
      </c>
      <c r="W207">
        <f>IFERROR($C207*INDEX(SPPR!$E:$X,MATCH($A207,SPPR!$A:$A,0),20),"")</f>
        <v/>
      </c>
    </row>
    <row r="208">
      <c r="A208" t="inlineStr">
        <is>
          <t>Siganus canaliculatus</t>
        </is>
      </c>
      <c r="B208">
        <f>IFERROR(INDEX(SPPR!$D:$D,MATCH($A208,SPPR!$A:$A,0)),"")</f>
        <v/>
      </c>
      <c r="C208">
        <f>IFERROR(INDEX(Catch!$E:$BV,MATCH($A208,Catch!$A:$A,0),MATCH($B$4,Catch!$E$1:$BV$1,0)),0)</f>
        <v/>
      </c>
      <c r="D208">
        <f>IFERROR($C208*INDEX(SPPR!$E:$X,MATCH($A208,SPPR!$A:$A,0),1),"")</f>
        <v/>
      </c>
      <c r="E208">
        <f>IFERROR($C208*INDEX(SPPR!$E:$X,MATCH($A208,SPPR!$A:$A,0),2),"")</f>
        <v/>
      </c>
      <c r="F208">
        <f>IFERROR($C208*INDEX(SPPR!$E:$X,MATCH($A208,SPPR!$A:$A,0),3),"")</f>
        <v/>
      </c>
      <c r="G208">
        <f>IFERROR($C208*INDEX(SPPR!$E:$X,MATCH($A208,SPPR!$A:$A,0),4),"")</f>
        <v/>
      </c>
      <c r="H208">
        <f>IFERROR($C208*INDEX(SPPR!$E:$X,MATCH($A208,SPPR!$A:$A,0),5),"")</f>
        <v/>
      </c>
      <c r="I208">
        <f>IFERROR($C208*INDEX(SPPR!$E:$X,MATCH($A208,SPPR!$A:$A,0),6),"")</f>
        <v/>
      </c>
      <c r="J208">
        <f>IFERROR($C208*INDEX(SPPR!$E:$X,MATCH($A208,SPPR!$A:$A,0),7),"")</f>
        <v/>
      </c>
      <c r="K208">
        <f>IFERROR($C208*INDEX(SPPR!$E:$X,MATCH($A208,SPPR!$A:$A,0),8),"")</f>
        <v/>
      </c>
      <c r="L208">
        <f>IFERROR($C208*INDEX(SPPR!$E:$X,MATCH($A208,SPPR!$A:$A,0),9),"")</f>
        <v/>
      </c>
      <c r="M208">
        <f>IFERROR($C208*INDEX(SPPR!$E:$X,MATCH($A208,SPPR!$A:$A,0),10),"")</f>
        <v/>
      </c>
      <c r="N208">
        <f>IFERROR($C208*INDEX(SPPR!$E:$X,MATCH($A208,SPPR!$A:$A,0),11),"")</f>
        <v/>
      </c>
      <c r="O208">
        <f>IFERROR($C208*INDEX(SPPR!$E:$X,MATCH($A208,SPPR!$A:$A,0),12),"")</f>
        <v/>
      </c>
      <c r="P208">
        <f>IFERROR($C208*INDEX(SPPR!$E:$X,MATCH($A208,SPPR!$A:$A,0),13),"")</f>
        <v/>
      </c>
      <c r="Q208">
        <f>IFERROR($C208*INDEX(SPPR!$E:$X,MATCH($A208,SPPR!$A:$A,0),14),"")</f>
        <v/>
      </c>
      <c r="R208">
        <f>IFERROR($C208*INDEX(SPPR!$E:$X,MATCH($A208,SPPR!$A:$A,0),15),"")</f>
        <v/>
      </c>
      <c r="S208">
        <f>IFERROR($C208*INDEX(SPPR!$E:$X,MATCH($A208,SPPR!$A:$A,0),16),"")</f>
        <v/>
      </c>
      <c r="T208">
        <f>IFERROR($C208*INDEX(SPPR!$E:$X,MATCH($A208,SPPR!$A:$A,0),17),"")</f>
        <v/>
      </c>
      <c r="U208">
        <f>IFERROR($C208*INDEX(SPPR!$E:$X,MATCH($A208,SPPR!$A:$A,0),18),"")</f>
        <v/>
      </c>
      <c r="V208">
        <f>IFERROR($C208*INDEX(SPPR!$E:$X,MATCH($A208,SPPR!$A:$A,0),19),"")</f>
        <v/>
      </c>
      <c r="W208">
        <f>IFERROR($C208*INDEX(SPPR!$E:$X,MATCH($A208,SPPR!$A:$A,0),20),"")</f>
        <v/>
      </c>
    </row>
    <row r="209">
      <c r="A209" t="inlineStr">
        <is>
          <t>Panulirus</t>
        </is>
      </c>
      <c r="B209">
        <f>IFERROR(INDEX(SPPR!$D:$D,MATCH($A209,SPPR!$A:$A,0)),"")</f>
        <v/>
      </c>
      <c r="C209">
        <f>IFERROR(INDEX(Catch!$E:$BV,MATCH($A209,Catch!$A:$A,0),MATCH($B$4,Catch!$E$1:$BV$1,0)),0)</f>
        <v/>
      </c>
      <c r="D209">
        <f>IFERROR($C209*INDEX(SPPR!$E:$X,MATCH($A209,SPPR!$A:$A,0),1),"")</f>
        <v/>
      </c>
      <c r="E209">
        <f>IFERROR($C209*INDEX(SPPR!$E:$X,MATCH($A209,SPPR!$A:$A,0),2),"")</f>
        <v/>
      </c>
      <c r="F209">
        <f>IFERROR($C209*INDEX(SPPR!$E:$X,MATCH($A209,SPPR!$A:$A,0),3),"")</f>
        <v/>
      </c>
      <c r="G209">
        <f>IFERROR($C209*INDEX(SPPR!$E:$X,MATCH($A209,SPPR!$A:$A,0),4),"")</f>
        <v/>
      </c>
      <c r="H209">
        <f>IFERROR($C209*INDEX(SPPR!$E:$X,MATCH($A209,SPPR!$A:$A,0),5),"")</f>
        <v/>
      </c>
      <c r="I209">
        <f>IFERROR($C209*INDEX(SPPR!$E:$X,MATCH($A209,SPPR!$A:$A,0),6),"")</f>
        <v/>
      </c>
      <c r="J209">
        <f>IFERROR($C209*INDEX(SPPR!$E:$X,MATCH($A209,SPPR!$A:$A,0),7),"")</f>
        <v/>
      </c>
      <c r="K209">
        <f>IFERROR($C209*INDEX(SPPR!$E:$X,MATCH($A209,SPPR!$A:$A,0),8),"")</f>
        <v/>
      </c>
      <c r="L209">
        <f>IFERROR($C209*INDEX(SPPR!$E:$X,MATCH($A209,SPPR!$A:$A,0),9),"")</f>
        <v/>
      </c>
      <c r="M209">
        <f>IFERROR($C209*INDEX(SPPR!$E:$X,MATCH($A209,SPPR!$A:$A,0),10),"")</f>
        <v/>
      </c>
      <c r="N209">
        <f>IFERROR($C209*INDEX(SPPR!$E:$X,MATCH($A209,SPPR!$A:$A,0),11),"")</f>
        <v/>
      </c>
      <c r="O209">
        <f>IFERROR($C209*INDEX(SPPR!$E:$X,MATCH($A209,SPPR!$A:$A,0),12),"")</f>
        <v/>
      </c>
      <c r="P209">
        <f>IFERROR($C209*INDEX(SPPR!$E:$X,MATCH($A209,SPPR!$A:$A,0),13),"")</f>
        <v/>
      </c>
      <c r="Q209">
        <f>IFERROR($C209*INDEX(SPPR!$E:$X,MATCH($A209,SPPR!$A:$A,0),14),"")</f>
        <v/>
      </c>
      <c r="R209">
        <f>IFERROR($C209*INDEX(SPPR!$E:$X,MATCH($A209,SPPR!$A:$A,0),15),"")</f>
        <v/>
      </c>
      <c r="S209">
        <f>IFERROR($C209*INDEX(SPPR!$E:$X,MATCH($A209,SPPR!$A:$A,0),16),"")</f>
        <v/>
      </c>
      <c r="T209">
        <f>IFERROR($C209*INDEX(SPPR!$E:$X,MATCH($A209,SPPR!$A:$A,0),17),"")</f>
        <v/>
      </c>
      <c r="U209">
        <f>IFERROR($C209*INDEX(SPPR!$E:$X,MATCH($A209,SPPR!$A:$A,0),18),"")</f>
        <v/>
      </c>
      <c r="V209">
        <f>IFERROR($C209*INDEX(SPPR!$E:$X,MATCH($A209,SPPR!$A:$A,0),19),"")</f>
        <v/>
      </c>
      <c r="W209">
        <f>IFERROR($C209*INDEX(SPPR!$E:$X,MATCH($A209,SPPR!$A:$A,0),20),"")</f>
        <v/>
      </c>
    </row>
    <row r="210">
      <c r="A210" t="inlineStr">
        <is>
          <t>Rhynchobatus djiddensis</t>
        </is>
      </c>
      <c r="B210">
        <f>IFERROR(INDEX(SPPR!$D:$D,MATCH($A210,SPPR!$A:$A,0)),"")</f>
        <v/>
      </c>
      <c r="C210">
        <f>IFERROR(INDEX(Catch!$E:$BV,MATCH($A210,Catch!$A:$A,0),MATCH($B$4,Catch!$E$1:$BV$1,0)),0)</f>
        <v/>
      </c>
      <c r="D210">
        <f>IFERROR($C210*INDEX(SPPR!$E:$X,MATCH($A210,SPPR!$A:$A,0),1),"")</f>
        <v/>
      </c>
      <c r="E210">
        <f>IFERROR($C210*INDEX(SPPR!$E:$X,MATCH($A210,SPPR!$A:$A,0),2),"")</f>
        <v/>
      </c>
      <c r="F210">
        <f>IFERROR($C210*INDEX(SPPR!$E:$X,MATCH($A210,SPPR!$A:$A,0),3),"")</f>
        <v/>
      </c>
      <c r="G210">
        <f>IFERROR($C210*INDEX(SPPR!$E:$X,MATCH($A210,SPPR!$A:$A,0),4),"")</f>
        <v/>
      </c>
      <c r="H210">
        <f>IFERROR($C210*INDEX(SPPR!$E:$X,MATCH($A210,SPPR!$A:$A,0),5),"")</f>
        <v/>
      </c>
      <c r="I210">
        <f>IFERROR($C210*INDEX(SPPR!$E:$X,MATCH($A210,SPPR!$A:$A,0),6),"")</f>
        <v/>
      </c>
      <c r="J210">
        <f>IFERROR($C210*INDEX(SPPR!$E:$X,MATCH($A210,SPPR!$A:$A,0),7),"")</f>
        <v/>
      </c>
      <c r="K210">
        <f>IFERROR($C210*INDEX(SPPR!$E:$X,MATCH($A210,SPPR!$A:$A,0),8),"")</f>
        <v/>
      </c>
      <c r="L210">
        <f>IFERROR($C210*INDEX(SPPR!$E:$X,MATCH($A210,SPPR!$A:$A,0),9),"")</f>
        <v/>
      </c>
      <c r="M210">
        <f>IFERROR($C210*INDEX(SPPR!$E:$X,MATCH($A210,SPPR!$A:$A,0),10),"")</f>
        <v/>
      </c>
      <c r="N210">
        <f>IFERROR($C210*INDEX(SPPR!$E:$X,MATCH($A210,SPPR!$A:$A,0),11),"")</f>
        <v/>
      </c>
      <c r="O210">
        <f>IFERROR($C210*INDEX(SPPR!$E:$X,MATCH($A210,SPPR!$A:$A,0),12),"")</f>
        <v/>
      </c>
      <c r="P210">
        <f>IFERROR($C210*INDEX(SPPR!$E:$X,MATCH($A210,SPPR!$A:$A,0),13),"")</f>
        <v/>
      </c>
      <c r="Q210">
        <f>IFERROR($C210*INDEX(SPPR!$E:$X,MATCH($A210,SPPR!$A:$A,0),14),"")</f>
        <v/>
      </c>
      <c r="R210">
        <f>IFERROR($C210*INDEX(SPPR!$E:$X,MATCH($A210,SPPR!$A:$A,0),15),"")</f>
        <v/>
      </c>
      <c r="S210">
        <f>IFERROR($C210*INDEX(SPPR!$E:$X,MATCH($A210,SPPR!$A:$A,0),16),"")</f>
        <v/>
      </c>
      <c r="T210">
        <f>IFERROR($C210*INDEX(SPPR!$E:$X,MATCH($A210,SPPR!$A:$A,0),17),"")</f>
        <v/>
      </c>
      <c r="U210">
        <f>IFERROR($C210*INDEX(SPPR!$E:$X,MATCH($A210,SPPR!$A:$A,0),18),"")</f>
        <v/>
      </c>
      <c r="V210">
        <f>IFERROR($C210*INDEX(SPPR!$E:$X,MATCH($A210,SPPR!$A:$A,0),19),"")</f>
        <v/>
      </c>
      <c r="W210">
        <f>IFERROR($C210*INDEX(SPPR!$E:$X,MATCH($A210,SPPR!$A:$A,0),20),"")</f>
        <v/>
      </c>
    </row>
    <row r="211">
      <c r="A211" t="inlineStr">
        <is>
          <t>Isurus paucus</t>
        </is>
      </c>
      <c r="B211">
        <f>IFERROR(INDEX(SPPR!$D:$D,MATCH($A211,SPPR!$A:$A,0)),"")</f>
        <v/>
      </c>
      <c r="C211">
        <f>IFERROR(INDEX(Catch!$E:$BV,MATCH($A211,Catch!$A:$A,0),MATCH($B$4,Catch!$E$1:$BV$1,0)),0)</f>
        <v/>
      </c>
      <c r="D211">
        <f>IFERROR($C211*INDEX(SPPR!$E:$X,MATCH($A211,SPPR!$A:$A,0),1),"")</f>
        <v/>
      </c>
      <c r="E211">
        <f>IFERROR($C211*INDEX(SPPR!$E:$X,MATCH($A211,SPPR!$A:$A,0),2),"")</f>
        <v/>
      </c>
      <c r="F211">
        <f>IFERROR($C211*INDEX(SPPR!$E:$X,MATCH($A211,SPPR!$A:$A,0),3),"")</f>
        <v/>
      </c>
      <c r="G211">
        <f>IFERROR($C211*INDEX(SPPR!$E:$X,MATCH($A211,SPPR!$A:$A,0),4),"")</f>
        <v/>
      </c>
      <c r="H211">
        <f>IFERROR($C211*INDEX(SPPR!$E:$X,MATCH($A211,SPPR!$A:$A,0),5),"")</f>
        <v/>
      </c>
      <c r="I211">
        <f>IFERROR($C211*INDEX(SPPR!$E:$X,MATCH($A211,SPPR!$A:$A,0),6),"")</f>
        <v/>
      </c>
      <c r="J211">
        <f>IFERROR($C211*INDEX(SPPR!$E:$X,MATCH($A211,SPPR!$A:$A,0),7),"")</f>
        <v/>
      </c>
      <c r="K211">
        <f>IFERROR($C211*INDEX(SPPR!$E:$X,MATCH($A211,SPPR!$A:$A,0),8),"")</f>
        <v/>
      </c>
      <c r="L211">
        <f>IFERROR($C211*INDEX(SPPR!$E:$X,MATCH($A211,SPPR!$A:$A,0),9),"")</f>
        <v/>
      </c>
      <c r="M211">
        <f>IFERROR($C211*INDEX(SPPR!$E:$X,MATCH($A211,SPPR!$A:$A,0),10),"")</f>
        <v/>
      </c>
      <c r="N211">
        <f>IFERROR($C211*INDEX(SPPR!$E:$X,MATCH($A211,SPPR!$A:$A,0),11),"")</f>
        <v/>
      </c>
      <c r="O211">
        <f>IFERROR($C211*INDEX(SPPR!$E:$X,MATCH($A211,SPPR!$A:$A,0),12),"")</f>
        <v/>
      </c>
      <c r="P211">
        <f>IFERROR($C211*INDEX(SPPR!$E:$X,MATCH($A211,SPPR!$A:$A,0),13),"")</f>
        <v/>
      </c>
      <c r="Q211">
        <f>IFERROR($C211*INDEX(SPPR!$E:$X,MATCH($A211,SPPR!$A:$A,0),14),"")</f>
        <v/>
      </c>
      <c r="R211">
        <f>IFERROR($C211*INDEX(SPPR!$E:$X,MATCH($A211,SPPR!$A:$A,0),15),"")</f>
        <v/>
      </c>
      <c r="S211">
        <f>IFERROR($C211*INDEX(SPPR!$E:$X,MATCH($A211,SPPR!$A:$A,0),16),"")</f>
        <v/>
      </c>
      <c r="T211">
        <f>IFERROR($C211*INDEX(SPPR!$E:$X,MATCH($A211,SPPR!$A:$A,0),17),"")</f>
        <v/>
      </c>
      <c r="U211">
        <f>IFERROR($C211*INDEX(SPPR!$E:$X,MATCH($A211,SPPR!$A:$A,0),18),"")</f>
        <v/>
      </c>
      <c r="V211">
        <f>IFERROR($C211*INDEX(SPPR!$E:$X,MATCH($A211,SPPR!$A:$A,0),19),"")</f>
        <v/>
      </c>
      <c r="W211">
        <f>IFERROR($C211*INDEX(SPPR!$E:$X,MATCH($A211,SPPR!$A:$A,0),20),"")</f>
        <v/>
      </c>
    </row>
    <row r="212">
      <c r="A212" t="inlineStr">
        <is>
          <t>Diagramma pictum</t>
        </is>
      </c>
      <c r="B212">
        <f>IFERROR(INDEX(SPPR!$D:$D,MATCH($A212,SPPR!$A:$A,0)),"")</f>
        <v/>
      </c>
      <c r="C212">
        <f>IFERROR(INDEX(Catch!$E:$BV,MATCH($A212,Catch!$A:$A,0),MATCH($B$4,Catch!$E$1:$BV$1,0)),0)</f>
        <v/>
      </c>
      <c r="D212">
        <f>IFERROR($C212*INDEX(SPPR!$E:$X,MATCH($A212,SPPR!$A:$A,0),1),"")</f>
        <v/>
      </c>
      <c r="E212">
        <f>IFERROR($C212*INDEX(SPPR!$E:$X,MATCH($A212,SPPR!$A:$A,0),2),"")</f>
        <v/>
      </c>
      <c r="F212">
        <f>IFERROR($C212*INDEX(SPPR!$E:$X,MATCH($A212,SPPR!$A:$A,0),3),"")</f>
        <v/>
      </c>
      <c r="G212">
        <f>IFERROR($C212*INDEX(SPPR!$E:$X,MATCH($A212,SPPR!$A:$A,0),4),"")</f>
        <v/>
      </c>
      <c r="H212">
        <f>IFERROR($C212*INDEX(SPPR!$E:$X,MATCH($A212,SPPR!$A:$A,0),5),"")</f>
        <v/>
      </c>
      <c r="I212">
        <f>IFERROR($C212*INDEX(SPPR!$E:$X,MATCH($A212,SPPR!$A:$A,0),6),"")</f>
        <v/>
      </c>
      <c r="J212">
        <f>IFERROR($C212*INDEX(SPPR!$E:$X,MATCH($A212,SPPR!$A:$A,0),7),"")</f>
        <v/>
      </c>
      <c r="K212">
        <f>IFERROR($C212*INDEX(SPPR!$E:$X,MATCH($A212,SPPR!$A:$A,0),8),"")</f>
        <v/>
      </c>
      <c r="L212">
        <f>IFERROR($C212*INDEX(SPPR!$E:$X,MATCH($A212,SPPR!$A:$A,0),9),"")</f>
        <v/>
      </c>
      <c r="M212">
        <f>IFERROR($C212*INDEX(SPPR!$E:$X,MATCH($A212,SPPR!$A:$A,0),10),"")</f>
        <v/>
      </c>
      <c r="N212">
        <f>IFERROR($C212*INDEX(SPPR!$E:$X,MATCH($A212,SPPR!$A:$A,0),11),"")</f>
        <v/>
      </c>
      <c r="O212">
        <f>IFERROR($C212*INDEX(SPPR!$E:$X,MATCH($A212,SPPR!$A:$A,0),12),"")</f>
        <v/>
      </c>
      <c r="P212">
        <f>IFERROR($C212*INDEX(SPPR!$E:$X,MATCH($A212,SPPR!$A:$A,0),13),"")</f>
        <v/>
      </c>
      <c r="Q212">
        <f>IFERROR($C212*INDEX(SPPR!$E:$X,MATCH($A212,SPPR!$A:$A,0),14),"")</f>
        <v/>
      </c>
      <c r="R212">
        <f>IFERROR($C212*INDEX(SPPR!$E:$X,MATCH($A212,SPPR!$A:$A,0),15),"")</f>
        <v/>
      </c>
      <c r="S212">
        <f>IFERROR($C212*INDEX(SPPR!$E:$X,MATCH($A212,SPPR!$A:$A,0),16),"")</f>
        <v/>
      </c>
      <c r="T212">
        <f>IFERROR($C212*INDEX(SPPR!$E:$X,MATCH($A212,SPPR!$A:$A,0),17),"")</f>
        <v/>
      </c>
      <c r="U212">
        <f>IFERROR($C212*INDEX(SPPR!$E:$X,MATCH($A212,SPPR!$A:$A,0),18),"")</f>
        <v/>
      </c>
      <c r="V212">
        <f>IFERROR($C212*INDEX(SPPR!$E:$X,MATCH($A212,SPPR!$A:$A,0),19),"")</f>
        <v/>
      </c>
      <c r="W212">
        <f>IFERROR($C212*INDEX(SPPR!$E:$X,MATCH($A212,SPPR!$A:$A,0),20),"")</f>
        <v/>
      </c>
    </row>
    <row r="213">
      <c r="A213" t="inlineStr">
        <is>
          <t>Alopias vulpinus</t>
        </is>
      </c>
      <c r="B213">
        <f>IFERROR(INDEX(SPPR!$D:$D,MATCH($A213,SPPR!$A:$A,0)),"")</f>
        <v/>
      </c>
      <c r="C213">
        <f>IFERROR(INDEX(Catch!$E:$BV,MATCH($A213,Catch!$A:$A,0),MATCH($B$4,Catch!$E$1:$BV$1,0)),0)</f>
        <v/>
      </c>
      <c r="D213">
        <f>IFERROR($C213*INDEX(SPPR!$E:$X,MATCH($A213,SPPR!$A:$A,0),1),"")</f>
        <v/>
      </c>
      <c r="E213">
        <f>IFERROR($C213*INDEX(SPPR!$E:$X,MATCH($A213,SPPR!$A:$A,0),2),"")</f>
        <v/>
      </c>
      <c r="F213">
        <f>IFERROR($C213*INDEX(SPPR!$E:$X,MATCH($A213,SPPR!$A:$A,0),3),"")</f>
        <v/>
      </c>
      <c r="G213">
        <f>IFERROR($C213*INDEX(SPPR!$E:$X,MATCH($A213,SPPR!$A:$A,0),4),"")</f>
        <v/>
      </c>
      <c r="H213">
        <f>IFERROR($C213*INDEX(SPPR!$E:$X,MATCH($A213,SPPR!$A:$A,0),5),"")</f>
        <v/>
      </c>
      <c r="I213">
        <f>IFERROR($C213*INDEX(SPPR!$E:$X,MATCH($A213,SPPR!$A:$A,0),6),"")</f>
        <v/>
      </c>
      <c r="J213">
        <f>IFERROR($C213*INDEX(SPPR!$E:$X,MATCH($A213,SPPR!$A:$A,0),7),"")</f>
        <v/>
      </c>
      <c r="K213">
        <f>IFERROR($C213*INDEX(SPPR!$E:$X,MATCH($A213,SPPR!$A:$A,0),8),"")</f>
        <v/>
      </c>
      <c r="L213">
        <f>IFERROR($C213*INDEX(SPPR!$E:$X,MATCH($A213,SPPR!$A:$A,0),9),"")</f>
        <v/>
      </c>
      <c r="M213">
        <f>IFERROR($C213*INDEX(SPPR!$E:$X,MATCH($A213,SPPR!$A:$A,0),10),"")</f>
        <v/>
      </c>
      <c r="N213">
        <f>IFERROR($C213*INDEX(SPPR!$E:$X,MATCH($A213,SPPR!$A:$A,0),11),"")</f>
        <v/>
      </c>
      <c r="O213">
        <f>IFERROR($C213*INDEX(SPPR!$E:$X,MATCH($A213,SPPR!$A:$A,0),12),"")</f>
        <v/>
      </c>
      <c r="P213">
        <f>IFERROR($C213*INDEX(SPPR!$E:$X,MATCH($A213,SPPR!$A:$A,0),13),"")</f>
        <v/>
      </c>
      <c r="Q213">
        <f>IFERROR($C213*INDEX(SPPR!$E:$X,MATCH($A213,SPPR!$A:$A,0),14),"")</f>
        <v/>
      </c>
      <c r="R213">
        <f>IFERROR($C213*INDEX(SPPR!$E:$X,MATCH($A213,SPPR!$A:$A,0),15),"")</f>
        <v/>
      </c>
      <c r="S213">
        <f>IFERROR($C213*INDEX(SPPR!$E:$X,MATCH($A213,SPPR!$A:$A,0),16),"")</f>
        <v/>
      </c>
      <c r="T213">
        <f>IFERROR($C213*INDEX(SPPR!$E:$X,MATCH($A213,SPPR!$A:$A,0),17),"")</f>
        <v/>
      </c>
      <c r="U213">
        <f>IFERROR($C213*INDEX(SPPR!$E:$X,MATCH($A213,SPPR!$A:$A,0),18),"")</f>
        <v/>
      </c>
      <c r="V213">
        <f>IFERROR($C213*INDEX(SPPR!$E:$X,MATCH($A213,SPPR!$A:$A,0),19),"")</f>
        <v/>
      </c>
      <c r="W213">
        <f>IFERROR($C213*INDEX(SPPR!$E:$X,MATCH($A213,SPPR!$A:$A,0),20),"")</f>
        <v/>
      </c>
    </row>
    <row r="214">
      <c r="A214" t="inlineStr">
        <is>
          <t>Sphyraena forsteri</t>
        </is>
      </c>
      <c r="B214">
        <f>IFERROR(INDEX(SPPR!$D:$D,MATCH($A214,SPPR!$A:$A,0)),"")</f>
        <v/>
      </c>
      <c r="C214">
        <f>IFERROR(INDEX(Catch!$E:$BV,MATCH($A214,Catch!$A:$A,0),MATCH($B$4,Catch!$E$1:$BV$1,0)),0)</f>
        <v/>
      </c>
      <c r="D214">
        <f>IFERROR($C214*INDEX(SPPR!$E:$X,MATCH($A214,SPPR!$A:$A,0),1),"")</f>
        <v/>
      </c>
      <c r="E214">
        <f>IFERROR($C214*INDEX(SPPR!$E:$X,MATCH($A214,SPPR!$A:$A,0),2),"")</f>
        <v/>
      </c>
      <c r="F214">
        <f>IFERROR($C214*INDEX(SPPR!$E:$X,MATCH($A214,SPPR!$A:$A,0),3),"")</f>
        <v/>
      </c>
      <c r="G214">
        <f>IFERROR($C214*INDEX(SPPR!$E:$X,MATCH($A214,SPPR!$A:$A,0),4),"")</f>
        <v/>
      </c>
      <c r="H214">
        <f>IFERROR($C214*INDEX(SPPR!$E:$X,MATCH($A214,SPPR!$A:$A,0),5),"")</f>
        <v/>
      </c>
      <c r="I214">
        <f>IFERROR($C214*INDEX(SPPR!$E:$X,MATCH($A214,SPPR!$A:$A,0),6),"")</f>
        <v/>
      </c>
      <c r="J214">
        <f>IFERROR($C214*INDEX(SPPR!$E:$X,MATCH($A214,SPPR!$A:$A,0),7),"")</f>
        <v/>
      </c>
      <c r="K214">
        <f>IFERROR($C214*INDEX(SPPR!$E:$X,MATCH($A214,SPPR!$A:$A,0),8),"")</f>
        <v/>
      </c>
      <c r="L214">
        <f>IFERROR($C214*INDEX(SPPR!$E:$X,MATCH($A214,SPPR!$A:$A,0),9),"")</f>
        <v/>
      </c>
      <c r="M214">
        <f>IFERROR($C214*INDEX(SPPR!$E:$X,MATCH($A214,SPPR!$A:$A,0),10),"")</f>
        <v/>
      </c>
      <c r="N214">
        <f>IFERROR($C214*INDEX(SPPR!$E:$X,MATCH($A214,SPPR!$A:$A,0),11),"")</f>
        <v/>
      </c>
      <c r="O214">
        <f>IFERROR($C214*INDEX(SPPR!$E:$X,MATCH($A214,SPPR!$A:$A,0),12),"")</f>
        <v/>
      </c>
      <c r="P214">
        <f>IFERROR($C214*INDEX(SPPR!$E:$X,MATCH($A214,SPPR!$A:$A,0),13),"")</f>
        <v/>
      </c>
      <c r="Q214">
        <f>IFERROR($C214*INDEX(SPPR!$E:$X,MATCH($A214,SPPR!$A:$A,0),14),"")</f>
        <v/>
      </c>
      <c r="R214">
        <f>IFERROR($C214*INDEX(SPPR!$E:$X,MATCH($A214,SPPR!$A:$A,0),15),"")</f>
        <v/>
      </c>
      <c r="S214">
        <f>IFERROR($C214*INDEX(SPPR!$E:$X,MATCH($A214,SPPR!$A:$A,0),16),"")</f>
        <v/>
      </c>
      <c r="T214">
        <f>IFERROR($C214*INDEX(SPPR!$E:$X,MATCH($A214,SPPR!$A:$A,0),17),"")</f>
        <v/>
      </c>
      <c r="U214">
        <f>IFERROR($C214*INDEX(SPPR!$E:$X,MATCH($A214,SPPR!$A:$A,0),18),"")</f>
        <v/>
      </c>
      <c r="V214">
        <f>IFERROR($C214*INDEX(SPPR!$E:$X,MATCH($A214,SPPR!$A:$A,0),19),"")</f>
        <v/>
      </c>
      <c r="W214">
        <f>IFERROR($C214*INDEX(SPPR!$E:$X,MATCH($A214,SPPR!$A:$A,0),20),"")</f>
        <v/>
      </c>
    </row>
    <row r="215">
      <c r="A215" t="inlineStr">
        <is>
          <t>Lethrinus olivaceus</t>
        </is>
      </c>
      <c r="B215">
        <f>IFERROR(INDEX(SPPR!$D:$D,MATCH($A215,SPPR!$A:$A,0)),"")</f>
        <v/>
      </c>
      <c r="C215">
        <f>IFERROR(INDEX(Catch!$E:$BV,MATCH($A215,Catch!$A:$A,0),MATCH($B$4,Catch!$E$1:$BV$1,0)),0)</f>
        <v/>
      </c>
      <c r="D215">
        <f>IFERROR($C215*INDEX(SPPR!$E:$X,MATCH($A215,SPPR!$A:$A,0),1),"")</f>
        <v/>
      </c>
      <c r="E215">
        <f>IFERROR($C215*INDEX(SPPR!$E:$X,MATCH($A215,SPPR!$A:$A,0),2),"")</f>
        <v/>
      </c>
      <c r="F215">
        <f>IFERROR($C215*INDEX(SPPR!$E:$X,MATCH($A215,SPPR!$A:$A,0),3),"")</f>
        <v/>
      </c>
      <c r="G215">
        <f>IFERROR($C215*INDEX(SPPR!$E:$X,MATCH($A215,SPPR!$A:$A,0),4),"")</f>
        <v/>
      </c>
      <c r="H215">
        <f>IFERROR($C215*INDEX(SPPR!$E:$X,MATCH($A215,SPPR!$A:$A,0),5),"")</f>
        <v/>
      </c>
      <c r="I215">
        <f>IFERROR($C215*INDEX(SPPR!$E:$X,MATCH($A215,SPPR!$A:$A,0),6),"")</f>
        <v/>
      </c>
      <c r="J215">
        <f>IFERROR($C215*INDEX(SPPR!$E:$X,MATCH($A215,SPPR!$A:$A,0),7),"")</f>
        <v/>
      </c>
      <c r="K215">
        <f>IFERROR($C215*INDEX(SPPR!$E:$X,MATCH($A215,SPPR!$A:$A,0),8),"")</f>
        <v/>
      </c>
      <c r="L215">
        <f>IFERROR($C215*INDEX(SPPR!$E:$X,MATCH($A215,SPPR!$A:$A,0),9),"")</f>
        <v/>
      </c>
      <c r="M215">
        <f>IFERROR($C215*INDEX(SPPR!$E:$X,MATCH($A215,SPPR!$A:$A,0),10),"")</f>
        <v/>
      </c>
      <c r="N215">
        <f>IFERROR($C215*INDEX(SPPR!$E:$X,MATCH($A215,SPPR!$A:$A,0),11),"")</f>
        <v/>
      </c>
      <c r="O215">
        <f>IFERROR($C215*INDEX(SPPR!$E:$X,MATCH($A215,SPPR!$A:$A,0),12),"")</f>
        <v/>
      </c>
      <c r="P215">
        <f>IFERROR($C215*INDEX(SPPR!$E:$X,MATCH($A215,SPPR!$A:$A,0),13),"")</f>
        <v/>
      </c>
      <c r="Q215">
        <f>IFERROR($C215*INDEX(SPPR!$E:$X,MATCH($A215,SPPR!$A:$A,0),14),"")</f>
        <v/>
      </c>
      <c r="R215">
        <f>IFERROR($C215*INDEX(SPPR!$E:$X,MATCH($A215,SPPR!$A:$A,0),15),"")</f>
        <v/>
      </c>
      <c r="S215">
        <f>IFERROR($C215*INDEX(SPPR!$E:$X,MATCH($A215,SPPR!$A:$A,0),16),"")</f>
        <v/>
      </c>
      <c r="T215">
        <f>IFERROR($C215*INDEX(SPPR!$E:$X,MATCH($A215,SPPR!$A:$A,0),17),"")</f>
        <v/>
      </c>
      <c r="U215">
        <f>IFERROR($C215*INDEX(SPPR!$E:$X,MATCH($A215,SPPR!$A:$A,0),18),"")</f>
        <v/>
      </c>
      <c r="V215">
        <f>IFERROR($C215*INDEX(SPPR!$E:$X,MATCH($A215,SPPR!$A:$A,0),19),"")</f>
        <v/>
      </c>
      <c r="W215">
        <f>IFERROR($C215*INDEX(SPPR!$E:$X,MATCH($A215,SPPR!$A:$A,0),20),"")</f>
        <v/>
      </c>
    </row>
    <row r="216">
      <c r="A216" t="inlineStr">
        <is>
          <t>Lethrinus borbonicus</t>
        </is>
      </c>
      <c r="B216">
        <f>IFERROR(INDEX(SPPR!$D:$D,MATCH($A216,SPPR!$A:$A,0)),"")</f>
        <v/>
      </c>
      <c r="C216">
        <f>IFERROR(INDEX(Catch!$E:$BV,MATCH($A216,Catch!$A:$A,0),MATCH($B$4,Catch!$E$1:$BV$1,0)),0)</f>
        <v/>
      </c>
      <c r="D216">
        <f>IFERROR($C216*INDEX(SPPR!$E:$X,MATCH($A216,SPPR!$A:$A,0),1),"")</f>
        <v/>
      </c>
      <c r="E216">
        <f>IFERROR($C216*INDEX(SPPR!$E:$X,MATCH($A216,SPPR!$A:$A,0),2),"")</f>
        <v/>
      </c>
      <c r="F216">
        <f>IFERROR($C216*INDEX(SPPR!$E:$X,MATCH($A216,SPPR!$A:$A,0),3),"")</f>
        <v/>
      </c>
      <c r="G216">
        <f>IFERROR($C216*INDEX(SPPR!$E:$X,MATCH($A216,SPPR!$A:$A,0),4),"")</f>
        <v/>
      </c>
      <c r="H216">
        <f>IFERROR($C216*INDEX(SPPR!$E:$X,MATCH($A216,SPPR!$A:$A,0),5),"")</f>
        <v/>
      </c>
      <c r="I216">
        <f>IFERROR($C216*INDEX(SPPR!$E:$X,MATCH($A216,SPPR!$A:$A,0),6),"")</f>
        <v/>
      </c>
      <c r="J216">
        <f>IFERROR($C216*INDEX(SPPR!$E:$X,MATCH($A216,SPPR!$A:$A,0),7),"")</f>
        <v/>
      </c>
      <c r="K216">
        <f>IFERROR($C216*INDEX(SPPR!$E:$X,MATCH($A216,SPPR!$A:$A,0),8),"")</f>
        <v/>
      </c>
      <c r="L216">
        <f>IFERROR($C216*INDEX(SPPR!$E:$X,MATCH($A216,SPPR!$A:$A,0),9),"")</f>
        <v/>
      </c>
      <c r="M216">
        <f>IFERROR($C216*INDEX(SPPR!$E:$X,MATCH($A216,SPPR!$A:$A,0),10),"")</f>
        <v/>
      </c>
      <c r="N216">
        <f>IFERROR($C216*INDEX(SPPR!$E:$X,MATCH($A216,SPPR!$A:$A,0),11),"")</f>
        <v/>
      </c>
      <c r="O216">
        <f>IFERROR($C216*INDEX(SPPR!$E:$X,MATCH($A216,SPPR!$A:$A,0),12),"")</f>
        <v/>
      </c>
      <c r="P216">
        <f>IFERROR($C216*INDEX(SPPR!$E:$X,MATCH($A216,SPPR!$A:$A,0),13),"")</f>
        <v/>
      </c>
      <c r="Q216">
        <f>IFERROR($C216*INDEX(SPPR!$E:$X,MATCH($A216,SPPR!$A:$A,0),14),"")</f>
        <v/>
      </c>
      <c r="R216">
        <f>IFERROR($C216*INDEX(SPPR!$E:$X,MATCH($A216,SPPR!$A:$A,0),15),"")</f>
        <v/>
      </c>
      <c r="S216">
        <f>IFERROR($C216*INDEX(SPPR!$E:$X,MATCH($A216,SPPR!$A:$A,0),16),"")</f>
        <v/>
      </c>
      <c r="T216">
        <f>IFERROR($C216*INDEX(SPPR!$E:$X,MATCH($A216,SPPR!$A:$A,0),17),"")</f>
        <v/>
      </c>
      <c r="U216">
        <f>IFERROR($C216*INDEX(SPPR!$E:$X,MATCH($A216,SPPR!$A:$A,0),18),"")</f>
        <v/>
      </c>
      <c r="V216">
        <f>IFERROR($C216*INDEX(SPPR!$E:$X,MATCH($A216,SPPR!$A:$A,0),19),"")</f>
        <v/>
      </c>
      <c r="W216">
        <f>IFERROR($C216*INDEX(SPPR!$E:$X,MATCH($A216,SPPR!$A:$A,0),20),"")</f>
        <v/>
      </c>
    </row>
    <row r="217">
      <c r="A217" t="inlineStr">
        <is>
          <t>Sphyraena jello</t>
        </is>
      </c>
      <c r="B217">
        <f>IFERROR(INDEX(SPPR!$D:$D,MATCH($A217,SPPR!$A:$A,0)),"")</f>
        <v/>
      </c>
      <c r="C217">
        <f>IFERROR(INDEX(Catch!$E:$BV,MATCH($A217,Catch!$A:$A,0),MATCH($B$4,Catch!$E$1:$BV$1,0)),0)</f>
        <v/>
      </c>
      <c r="D217">
        <f>IFERROR($C217*INDEX(SPPR!$E:$X,MATCH($A217,SPPR!$A:$A,0),1),"")</f>
        <v/>
      </c>
      <c r="E217">
        <f>IFERROR($C217*INDEX(SPPR!$E:$X,MATCH($A217,SPPR!$A:$A,0),2),"")</f>
        <v/>
      </c>
      <c r="F217">
        <f>IFERROR($C217*INDEX(SPPR!$E:$X,MATCH($A217,SPPR!$A:$A,0),3),"")</f>
        <v/>
      </c>
      <c r="G217">
        <f>IFERROR($C217*INDEX(SPPR!$E:$X,MATCH($A217,SPPR!$A:$A,0),4),"")</f>
        <v/>
      </c>
      <c r="H217">
        <f>IFERROR($C217*INDEX(SPPR!$E:$X,MATCH($A217,SPPR!$A:$A,0),5),"")</f>
        <v/>
      </c>
      <c r="I217">
        <f>IFERROR($C217*INDEX(SPPR!$E:$X,MATCH($A217,SPPR!$A:$A,0),6),"")</f>
        <v/>
      </c>
      <c r="J217">
        <f>IFERROR($C217*INDEX(SPPR!$E:$X,MATCH($A217,SPPR!$A:$A,0),7),"")</f>
        <v/>
      </c>
      <c r="K217">
        <f>IFERROR($C217*INDEX(SPPR!$E:$X,MATCH($A217,SPPR!$A:$A,0),8),"")</f>
        <v/>
      </c>
      <c r="L217">
        <f>IFERROR($C217*INDEX(SPPR!$E:$X,MATCH($A217,SPPR!$A:$A,0),9),"")</f>
        <v/>
      </c>
      <c r="M217">
        <f>IFERROR($C217*INDEX(SPPR!$E:$X,MATCH($A217,SPPR!$A:$A,0),10),"")</f>
        <v/>
      </c>
      <c r="N217">
        <f>IFERROR($C217*INDEX(SPPR!$E:$X,MATCH($A217,SPPR!$A:$A,0),11),"")</f>
        <v/>
      </c>
      <c r="O217">
        <f>IFERROR($C217*INDEX(SPPR!$E:$X,MATCH($A217,SPPR!$A:$A,0),12),"")</f>
        <v/>
      </c>
      <c r="P217">
        <f>IFERROR($C217*INDEX(SPPR!$E:$X,MATCH($A217,SPPR!$A:$A,0),13),"")</f>
        <v/>
      </c>
      <c r="Q217">
        <f>IFERROR($C217*INDEX(SPPR!$E:$X,MATCH($A217,SPPR!$A:$A,0),14),"")</f>
        <v/>
      </c>
      <c r="R217">
        <f>IFERROR($C217*INDEX(SPPR!$E:$X,MATCH($A217,SPPR!$A:$A,0),15),"")</f>
        <v/>
      </c>
      <c r="S217">
        <f>IFERROR($C217*INDEX(SPPR!$E:$X,MATCH($A217,SPPR!$A:$A,0),16),"")</f>
        <v/>
      </c>
      <c r="T217">
        <f>IFERROR($C217*INDEX(SPPR!$E:$X,MATCH($A217,SPPR!$A:$A,0),17),"")</f>
        <v/>
      </c>
      <c r="U217">
        <f>IFERROR($C217*INDEX(SPPR!$E:$X,MATCH($A217,SPPR!$A:$A,0),18),"")</f>
        <v/>
      </c>
      <c r="V217">
        <f>IFERROR($C217*INDEX(SPPR!$E:$X,MATCH($A217,SPPR!$A:$A,0),19),"")</f>
        <v/>
      </c>
      <c r="W217">
        <f>IFERROR($C217*INDEX(SPPR!$E:$X,MATCH($A217,SPPR!$A:$A,0),20),"")</f>
        <v/>
      </c>
    </row>
    <row r="218">
      <c r="A218" t="inlineStr">
        <is>
          <t>Acanthocybium solandri</t>
        </is>
      </c>
      <c r="B218">
        <f>IFERROR(INDEX(SPPR!$D:$D,MATCH($A218,SPPR!$A:$A,0)),"")</f>
        <v/>
      </c>
      <c r="C218">
        <f>IFERROR(INDEX(Catch!$E:$BV,MATCH($A218,Catch!$A:$A,0),MATCH($B$4,Catch!$E$1:$BV$1,0)),0)</f>
        <v/>
      </c>
      <c r="D218">
        <f>IFERROR($C218*INDEX(SPPR!$E:$X,MATCH($A218,SPPR!$A:$A,0),1),"")</f>
        <v/>
      </c>
      <c r="E218">
        <f>IFERROR($C218*INDEX(SPPR!$E:$X,MATCH($A218,SPPR!$A:$A,0),2),"")</f>
        <v/>
      </c>
      <c r="F218">
        <f>IFERROR($C218*INDEX(SPPR!$E:$X,MATCH($A218,SPPR!$A:$A,0),3),"")</f>
        <v/>
      </c>
      <c r="G218">
        <f>IFERROR($C218*INDEX(SPPR!$E:$X,MATCH($A218,SPPR!$A:$A,0),4),"")</f>
        <v/>
      </c>
      <c r="H218">
        <f>IFERROR($C218*INDEX(SPPR!$E:$X,MATCH($A218,SPPR!$A:$A,0),5),"")</f>
        <v/>
      </c>
      <c r="I218">
        <f>IFERROR($C218*INDEX(SPPR!$E:$X,MATCH($A218,SPPR!$A:$A,0),6),"")</f>
        <v/>
      </c>
      <c r="J218">
        <f>IFERROR($C218*INDEX(SPPR!$E:$X,MATCH($A218,SPPR!$A:$A,0),7),"")</f>
        <v/>
      </c>
      <c r="K218">
        <f>IFERROR($C218*INDEX(SPPR!$E:$X,MATCH($A218,SPPR!$A:$A,0),8),"")</f>
        <v/>
      </c>
      <c r="L218">
        <f>IFERROR($C218*INDEX(SPPR!$E:$X,MATCH($A218,SPPR!$A:$A,0),9),"")</f>
        <v/>
      </c>
      <c r="M218">
        <f>IFERROR($C218*INDEX(SPPR!$E:$X,MATCH($A218,SPPR!$A:$A,0),10),"")</f>
        <v/>
      </c>
      <c r="N218">
        <f>IFERROR($C218*INDEX(SPPR!$E:$X,MATCH($A218,SPPR!$A:$A,0),11),"")</f>
        <v/>
      </c>
      <c r="O218">
        <f>IFERROR($C218*INDEX(SPPR!$E:$X,MATCH($A218,SPPR!$A:$A,0),12),"")</f>
        <v/>
      </c>
      <c r="P218">
        <f>IFERROR($C218*INDEX(SPPR!$E:$X,MATCH($A218,SPPR!$A:$A,0),13),"")</f>
        <v/>
      </c>
      <c r="Q218">
        <f>IFERROR($C218*INDEX(SPPR!$E:$X,MATCH($A218,SPPR!$A:$A,0),14),"")</f>
        <v/>
      </c>
      <c r="R218">
        <f>IFERROR($C218*INDEX(SPPR!$E:$X,MATCH($A218,SPPR!$A:$A,0),15),"")</f>
        <v/>
      </c>
      <c r="S218">
        <f>IFERROR($C218*INDEX(SPPR!$E:$X,MATCH($A218,SPPR!$A:$A,0),16),"")</f>
        <v/>
      </c>
      <c r="T218">
        <f>IFERROR($C218*INDEX(SPPR!$E:$X,MATCH($A218,SPPR!$A:$A,0),17),"")</f>
        <v/>
      </c>
      <c r="U218">
        <f>IFERROR($C218*INDEX(SPPR!$E:$X,MATCH($A218,SPPR!$A:$A,0),18),"")</f>
        <v/>
      </c>
      <c r="V218">
        <f>IFERROR($C218*INDEX(SPPR!$E:$X,MATCH($A218,SPPR!$A:$A,0),19),"")</f>
        <v/>
      </c>
      <c r="W218">
        <f>IFERROR($C218*INDEX(SPPR!$E:$X,MATCH($A218,SPPR!$A:$A,0),20),"")</f>
        <v/>
      </c>
    </row>
    <row r="219">
      <c r="A219" t="inlineStr">
        <is>
          <t>Rhizoprionodon acutus</t>
        </is>
      </c>
      <c r="B219">
        <f>IFERROR(INDEX(SPPR!$D:$D,MATCH($A219,SPPR!$A:$A,0)),"")</f>
        <v/>
      </c>
      <c r="C219">
        <f>IFERROR(INDEX(Catch!$E:$BV,MATCH($A219,Catch!$A:$A,0),MATCH($B$4,Catch!$E$1:$BV$1,0)),0)</f>
        <v/>
      </c>
      <c r="D219">
        <f>IFERROR($C219*INDEX(SPPR!$E:$X,MATCH($A219,SPPR!$A:$A,0),1),"")</f>
        <v/>
      </c>
      <c r="E219">
        <f>IFERROR($C219*INDEX(SPPR!$E:$X,MATCH($A219,SPPR!$A:$A,0),2),"")</f>
        <v/>
      </c>
      <c r="F219">
        <f>IFERROR($C219*INDEX(SPPR!$E:$X,MATCH($A219,SPPR!$A:$A,0),3),"")</f>
        <v/>
      </c>
      <c r="G219">
        <f>IFERROR($C219*INDEX(SPPR!$E:$X,MATCH($A219,SPPR!$A:$A,0),4),"")</f>
        <v/>
      </c>
      <c r="H219">
        <f>IFERROR($C219*INDEX(SPPR!$E:$X,MATCH($A219,SPPR!$A:$A,0),5),"")</f>
        <v/>
      </c>
      <c r="I219">
        <f>IFERROR($C219*INDEX(SPPR!$E:$X,MATCH($A219,SPPR!$A:$A,0),6),"")</f>
        <v/>
      </c>
      <c r="J219">
        <f>IFERROR($C219*INDEX(SPPR!$E:$X,MATCH($A219,SPPR!$A:$A,0),7),"")</f>
        <v/>
      </c>
      <c r="K219">
        <f>IFERROR($C219*INDEX(SPPR!$E:$X,MATCH($A219,SPPR!$A:$A,0),8),"")</f>
        <v/>
      </c>
      <c r="L219">
        <f>IFERROR($C219*INDEX(SPPR!$E:$X,MATCH($A219,SPPR!$A:$A,0),9),"")</f>
        <v/>
      </c>
      <c r="M219">
        <f>IFERROR($C219*INDEX(SPPR!$E:$X,MATCH($A219,SPPR!$A:$A,0),10),"")</f>
        <v/>
      </c>
      <c r="N219">
        <f>IFERROR($C219*INDEX(SPPR!$E:$X,MATCH($A219,SPPR!$A:$A,0),11),"")</f>
        <v/>
      </c>
      <c r="O219">
        <f>IFERROR($C219*INDEX(SPPR!$E:$X,MATCH($A219,SPPR!$A:$A,0),12),"")</f>
        <v/>
      </c>
      <c r="P219">
        <f>IFERROR($C219*INDEX(SPPR!$E:$X,MATCH($A219,SPPR!$A:$A,0),13),"")</f>
        <v/>
      </c>
      <c r="Q219">
        <f>IFERROR($C219*INDEX(SPPR!$E:$X,MATCH($A219,SPPR!$A:$A,0),14),"")</f>
        <v/>
      </c>
      <c r="R219">
        <f>IFERROR($C219*INDEX(SPPR!$E:$X,MATCH($A219,SPPR!$A:$A,0),15),"")</f>
        <v/>
      </c>
      <c r="S219">
        <f>IFERROR($C219*INDEX(SPPR!$E:$X,MATCH($A219,SPPR!$A:$A,0),16),"")</f>
        <v/>
      </c>
      <c r="T219">
        <f>IFERROR($C219*INDEX(SPPR!$E:$X,MATCH($A219,SPPR!$A:$A,0),17),"")</f>
        <v/>
      </c>
      <c r="U219">
        <f>IFERROR($C219*INDEX(SPPR!$E:$X,MATCH($A219,SPPR!$A:$A,0),18),"")</f>
        <v/>
      </c>
      <c r="V219">
        <f>IFERROR($C219*INDEX(SPPR!$E:$X,MATCH($A219,SPPR!$A:$A,0),19),"")</f>
        <v/>
      </c>
      <c r="W219">
        <f>IFERROR($C219*INDEX(SPPR!$E:$X,MATCH($A219,SPPR!$A:$A,0),20),"")</f>
        <v/>
      </c>
    </row>
    <row r="220">
      <c r="A220" t="inlineStr">
        <is>
          <t>Atule mate</t>
        </is>
      </c>
      <c r="B220">
        <f>IFERROR(INDEX(SPPR!$D:$D,MATCH($A220,SPPR!$A:$A,0)),"")</f>
        <v/>
      </c>
      <c r="C220">
        <f>IFERROR(INDEX(Catch!$E:$BV,MATCH($A220,Catch!$A:$A,0),MATCH($B$4,Catch!$E$1:$BV$1,0)),0)</f>
        <v/>
      </c>
      <c r="D220">
        <f>IFERROR($C220*INDEX(SPPR!$E:$X,MATCH($A220,SPPR!$A:$A,0),1),"")</f>
        <v/>
      </c>
      <c r="E220">
        <f>IFERROR($C220*INDEX(SPPR!$E:$X,MATCH($A220,SPPR!$A:$A,0),2),"")</f>
        <v/>
      </c>
      <c r="F220">
        <f>IFERROR($C220*INDEX(SPPR!$E:$X,MATCH($A220,SPPR!$A:$A,0),3),"")</f>
        <v/>
      </c>
      <c r="G220">
        <f>IFERROR($C220*INDEX(SPPR!$E:$X,MATCH($A220,SPPR!$A:$A,0),4),"")</f>
        <v/>
      </c>
      <c r="H220">
        <f>IFERROR($C220*INDEX(SPPR!$E:$X,MATCH($A220,SPPR!$A:$A,0),5),"")</f>
        <v/>
      </c>
      <c r="I220">
        <f>IFERROR($C220*INDEX(SPPR!$E:$X,MATCH($A220,SPPR!$A:$A,0),6),"")</f>
        <v/>
      </c>
      <c r="J220">
        <f>IFERROR($C220*INDEX(SPPR!$E:$X,MATCH($A220,SPPR!$A:$A,0),7),"")</f>
        <v/>
      </c>
      <c r="K220">
        <f>IFERROR($C220*INDEX(SPPR!$E:$X,MATCH($A220,SPPR!$A:$A,0),8),"")</f>
        <v/>
      </c>
      <c r="L220">
        <f>IFERROR($C220*INDEX(SPPR!$E:$X,MATCH($A220,SPPR!$A:$A,0),9),"")</f>
        <v/>
      </c>
      <c r="M220">
        <f>IFERROR($C220*INDEX(SPPR!$E:$X,MATCH($A220,SPPR!$A:$A,0),10),"")</f>
        <v/>
      </c>
      <c r="N220">
        <f>IFERROR($C220*INDEX(SPPR!$E:$X,MATCH($A220,SPPR!$A:$A,0),11),"")</f>
        <v/>
      </c>
      <c r="O220">
        <f>IFERROR($C220*INDEX(SPPR!$E:$X,MATCH($A220,SPPR!$A:$A,0),12),"")</f>
        <v/>
      </c>
      <c r="P220">
        <f>IFERROR($C220*INDEX(SPPR!$E:$X,MATCH($A220,SPPR!$A:$A,0),13),"")</f>
        <v/>
      </c>
      <c r="Q220">
        <f>IFERROR($C220*INDEX(SPPR!$E:$X,MATCH($A220,SPPR!$A:$A,0),14),"")</f>
        <v/>
      </c>
      <c r="R220">
        <f>IFERROR($C220*INDEX(SPPR!$E:$X,MATCH($A220,SPPR!$A:$A,0),15),"")</f>
        <v/>
      </c>
      <c r="S220">
        <f>IFERROR($C220*INDEX(SPPR!$E:$X,MATCH($A220,SPPR!$A:$A,0),16),"")</f>
        <v/>
      </c>
      <c r="T220">
        <f>IFERROR($C220*INDEX(SPPR!$E:$X,MATCH($A220,SPPR!$A:$A,0),17),"")</f>
        <v/>
      </c>
      <c r="U220">
        <f>IFERROR($C220*INDEX(SPPR!$E:$X,MATCH($A220,SPPR!$A:$A,0),18),"")</f>
        <v/>
      </c>
      <c r="V220">
        <f>IFERROR($C220*INDEX(SPPR!$E:$X,MATCH($A220,SPPR!$A:$A,0),19),"")</f>
        <v/>
      </c>
      <c r="W220">
        <f>IFERROR($C220*INDEX(SPPR!$E:$X,MATCH($A220,SPPR!$A:$A,0),20),"")</f>
        <v/>
      </c>
    </row>
    <row r="221">
      <c r="A221" t="inlineStr">
        <is>
          <t>Selaroides leptolepis</t>
        </is>
      </c>
      <c r="B221">
        <f>IFERROR(INDEX(SPPR!$D:$D,MATCH($A221,SPPR!$A:$A,0)),"")</f>
        <v/>
      </c>
      <c r="C221">
        <f>IFERROR(INDEX(Catch!$E:$BV,MATCH($A221,Catch!$A:$A,0),MATCH($B$4,Catch!$E$1:$BV$1,0)),0)</f>
        <v/>
      </c>
      <c r="D221">
        <f>IFERROR($C221*INDEX(SPPR!$E:$X,MATCH($A221,SPPR!$A:$A,0),1),"")</f>
        <v/>
      </c>
      <c r="E221">
        <f>IFERROR($C221*INDEX(SPPR!$E:$X,MATCH($A221,SPPR!$A:$A,0),2),"")</f>
        <v/>
      </c>
      <c r="F221">
        <f>IFERROR($C221*INDEX(SPPR!$E:$X,MATCH($A221,SPPR!$A:$A,0),3),"")</f>
        <v/>
      </c>
      <c r="G221">
        <f>IFERROR($C221*INDEX(SPPR!$E:$X,MATCH($A221,SPPR!$A:$A,0),4),"")</f>
        <v/>
      </c>
      <c r="H221">
        <f>IFERROR($C221*INDEX(SPPR!$E:$X,MATCH($A221,SPPR!$A:$A,0),5),"")</f>
        <v/>
      </c>
      <c r="I221">
        <f>IFERROR($C221*INDEX(SPPR!$E:$X,MATCH($A221,SPPR!$A:$A,0),6),"")</f>
        <v/>
      </c>
      <c r="J221">
        <f>IFERROR($C221*INDEX(SPPR!$E:$X,MATCH($A221,SPPR!$A:$A,0),7),"")</f>
        <v/>
      </c>
      <c r="K221">
        <f>IFERROR($C221*INDEX(SPPR!$E:$X,MATCH($A221,SPPR!$A:$A,0),8),"")</f>
        <v/>
      </c>
      <c r="L221">
        <f>IFERROR($C221*INDEX(SPPR!$E:$X,MATCH($A221,SPPR!$A:$A,0),9),"")</f>
        <v/>
      </c>
      <c r="M221">
        <f>IFERROR($C221*INDEX(SPPR!$E:$X,MATCH($A221,SPPR!$A:$A,0),10),"")</f>
        <v/>
      </c>
      <c r="N221">
        <f>IFERROR($C221*INDEX(SPPR!$E:$X,MATCH($A221,SPPR!$A:$A,0),11),"")</f>
        <v/>
      </c>
      <c r="O221">
        <f>IFERROR($C221*INDEX(SPPR!$E:$X,MATCH($A221,SPPR!$A:$A,0),12),"")</f>
        <v/>
      </c>
      <c r="P221">
        <f>IFERROR($C221*INDEX(SPPR!$E:$X,MATCH($A221,SPPR!$A:$A,0),13),"")</f>
        <v/>
      </c>
      <c r="Q221">
        <f>IFERROR($C221*INDEX(SPPR!$E:$X,MATCH($A221,SPPR!$A:$A,0),14),"")</f>
        <v/>
      </c>
      <c r="R221">
        <f>IFERROR($C221*INDEX(SPPR!$E:$X,MATCH($A221,SPPR!$A:$A,0),15),"")</f>
        <v/>
      </c>
      <c r="S221">
        <f>IFERROR($C221*INDEX(SPPR!$E:$X,MATCH($A221,SPPR!$A:$A,0),16),"")</f>
        <v/>
      </c>
      <c r="T221">
        <f>IFERROR($C221*INDEX(SPPR!$E:$X,MATCH($A221,SPPR!$A:$A,0),17),"")</f>
        <v/>
      </c>
      <c r="U221">
        <f>IFERROR($C221*INDEX(SPPR!$E:$X,MATCH($A221,SPPR!$A:$A,0),18),"")</f>
        <v/>
      </c>
      <c r="V221">
        <f>IFERROR($C221*INDEX(SPPR!$E:$X,MATCH($A221,SPPR!$A:$A,0),19),"")</f>
        <v/>
      </c>
      <c r="W221">
        <f>IFERROR($C221*INDEX(SPPR!$E:$X,MATCH($A221,SPPR!$A:$A,0),20),"")</f>
        <v/>
      </c>
    </row>
    <row r="222">
      <c r="A222" t="inlineStr">
        <is>
          <t>Sarda orientalis</t>
        </is>
      </c>
      <c r="B222">
        <f>IFERROR(INDEX(SPPR!$D:$D,MATCH($A222,SPPR!$A:$A,0)),"")</f>
        <v/>
      </c>
      <c r="C222">
        <f>IFERROR(INDEX(Catch!$E:$BV,MATCH($A222,Catch!$A:$A,0),MATCH($B$4,Catch!$E$1:$BV$1,0)),0)</f>
        <v/>
      </c>
      <c r="D222">
        <f>IFERROR($C222*INDEX(SPPR!$E:$X,MATCH($A222,SPPR!$A:$A,0),1),"")</f>
        <v/>
      </c>
      <c r="E222">
        <f>IFERROR($C222*INDEX(SPPR!$E:$X,MATCH($A222,SPPR!$A:$A,0),2),"")</f>
        <v/>
      </c>
      <c r="F222">
        <f>IFERROR($C222*INDEX(SPPR!$E:$X,MATCH($A222,SPPR!$A:$A,0),3),"")</f>
        <v/>
      </c>
      <c r="G222">
        <f>IFERROR($C222*INDEX(SPPR!$E:$X,MATCH($A222,SPPR!$A:$A,0),4),"")</f>
        <v/>
      </c>
      <c r="H222">
        <f>IFERROR($C222*INDEX(SPPR!$E:$X,MATCH($A222,SPPR!$A:$A,0),5),"")</f>
        <v/>
      </c>
      <c r="I222">
        <f>IFERROR($C222*INDEX(SPPR!$E:$X,MATCH($A222,SPPR!$A:$A,0),6),"")</f>
        <v/>
      </c>
      <c r="J222">
        <f>IFERROR($C222*INDEX(SPPR!$E:$X,MATCH($A222,SPPR!$A:$A,0),7),"")</f>
        <v/>
      </c>
      <c r="K222">
        <f>IFERROR($C222*INDEX(SPPR!$E:$X,MATCH($A222,SPPR!$A:$A,0),8),"")</f>
        <v/>
      </c>
      <c r="L222">
        <f>IFERROR($C222*INDEX(SPPR!$E:$X,MATCH($A222,SPPR!$A:$A,0),9),"")</f>
        <v/>
      </c>
      <c r="M222">
        <f>IFERROR($C222*INDEX(SPPR!$E:$X,MATCH($A222,SPPR!$A:$A,0),10),"")</f>
        <v/>
      </c>
      <c r="N222">
        <f>IFERROR($C222*INDEX(SPPR!$E:$X,MATCH($A222,SPPR!$A:$A,0),11),"")</f>
        <v/>
      </c>
      <c r="O222">
        <f>IFERROR($C222*INDEX(SPPR!$E:$X,MATCH($A222,SPPR!$A:$A,0),12),"")</f>
        <v/>
      </c>
      <c r="P222">
        <f>IFERROR($C222*INDEX(SPPR!$E:$X,MATCH($A222,SPPR!$A:$A,0),13),"")</f>
        <v/>
      </c>
      <c r="Q222">
        <f>IFERROR($C222*INDEX(SPPR!$E:$X,MATCH($A222,SPPR!$A:$A,0),14),"")</f>
        <v/>
      </c>
      <c r="R222">
        <f>IFERROR($C222*INDEX(SPPR!$E:$X,MATCH($A222,SPPR!$A:$A,0),15),"")</f>
        <v/>
      </c>
      <c r="S222">
        <f>IFERROR($C222*INDEX(SPPR!$E:$X,MATCH($A222,SPPR!$A:$A,0),16),"")</f>
        <v/>
      </c>
      <c r="T222">
        <f>IFERROR($C222*INDEX(SPPR!$E:$X,MATCH($A222,SPPR!$A:$A,0),17),"")</f>
        <v/>
      </c>
      <c r="U222">
        <f>IFERROR($C222*INDEX(SPPR!$E:$X,MATCH($A222,SPPR!$A:$A,0),18),"")</f>
        <v/>
      </c>
      <c r="V222">
        <f>IFERROR($C222*INDEX(SPPR!$E:$X,MATCH($A222,SPPR!$A:$A,0),19),"")</f>
        <v/>
      </c>
      <c r="W222">
        <f>IFERROR($C222*INDEX(SPPR!$E:$X,MATCH($A222,SPPR!$A:$A,0),20),"")</f>
        <v/>
      </c>
    </row>
    <row r="223">
      <c r="A223" t="inlineStr">
        <is>
          <t>Marine groundfishes not identified</t>
        </is>
      </c>
      <c r="B223">
        <f>IFERROR(INDEX(SPPR!$D:$D,MATCH($A223,SPPR!$A:$A,0)),"")</f>
        <v/>
      </c>
      <c r="C223">
        <f>IFERROR(INDEX(Catch!$E:$BV,MATCH($A223,Catch!$A:$A,0),MATCH($B$4,Catch!$E$1:$BV$1,0)),0)</f>
        <v/>
      </c>
      <c r="D223">
        <f>IFERROR($C223*INDEX(SPPR!$E:$X,MATCH($A223,SPPR!$A:$A,0),1),"")</f>
        <v/>
      </c>
      <c r="E223">
        <f>IFERROR($C223*INDEX(SPPR!$E:$X,MATCH($A223,SPPR!$A:$A,0),2),"")</f>
        <v/>
      </c>
      <c r="F223">
        <f>IFERROR($C223*INDEX(SPPR!$E:$X,MATCH($A223,SPPR!$A:$A,0),3),"")</f>
        <v/>
      </c>
      <c r="G223">
        <f>IFERROR($C223*INDEX(SPPR!$E:$X,MATCH($A223,SPPR!$A:$A,0),4),"")</f>
        <v/>
      </c>
      <c r="H223">
        <f>IFERROR($C223*INDEX(SPPR!$E:$X,MATCH($A223,SPPR!$A:$A,0),5),"")</f>
        <v/>
      </c>
      <c r="I223">
        <f>IFERROR($C223*INDEX(SPPR!$E:$X,MATCH($A223,SPPR!$A:$A,0),6),"")</f>
        <v/>
      </c>
      <c r="J223">
        <f>IFERROR($C223*INDEX(SPPR!$E:$X,MATCH($A223,SPPR!$A:$A,0),7),"")</f>
        <v/>
      </c>
      <c r="K223">
        <f>IFERROR($C223*INDEX(SPPR!$E:$X,MATCH($A223,SPPR!$A:$A,0),8),"")</f>
        <v/>
      </c>
      <c r="L223">
        <f>IFERROR($C223*INDEX(SPPR!$E:$X,MATCH($A223,SPPR!$A:$A,0),9),"")</f>
        <v/>
      </c>
      <c r="M223">
        <f>IFERROR($C223*INDEX(SPPR!$E:$X,MATCH($A223,SPPR!$A:$A,0),10),"")</f>
        <v/>
      </c>
      <c r="N223">
        <f>IFERROR($C223*INDEX(SPPR!$E:$X,MATCH($A223,SPPR!$A:$A,0),11),"")</f>
        <v/>
      </c>
      <c r="O223">
        <f>IFERROR($C223*INDEX(SPPR!$E:$X,MATCH($A223,SPPR!$A:$A,0),12),"")</f>
        <v/>
      </c>
      <c r="P223">
        <f>IFERROR($C223*INDEX(SPPR!$E:$X,MATCH($A223,SPPR!$A:$A,0),13),"")</f>
        <v/>
      </c>
      <c r="Q223">
        <f>IFERROR($C223*INDEX(SPPR!$E:$X,MATCH($A223,SPPR!$A:$A,0),14),"")</f>
        <v/>
      </c>
      <c r="R223">
        <f>IFERROR($C223*INDEX(SPPR!$E:$X,MATCH($A223,SPPR!$A:$A,0),15),"")</f>
        <v/>
      </c>
      <c r="S223">
        <f>IFERROR($C223*INDEX(SPPR!$E:$X,MATCH($A223,SPPR!$A:$A,0),16),"")</f>
        <v/>
      </c>
      <c r="T223">
        <f>IFERROR($C223*INDEX(SPPR!$E:$X,MATCH($A223,SPPR!$A:$A,0),17),"")</f>
        <v/>
      </c>
      <c r="U223">
        <f>IFERROR($C223*INDEX(SPPR!$E:$X,MATCH($A223,SPPR!$A:$A,0),18),"")</f>
        <v/>
      </c>
      <c r="V223">
        <f>IFERROR($C223*INDEX(SPPR!$E:$X,MATCH($A223,SPPR!$A:$A,0),19),"")</f>
        <v/>
      </c>
      <c r="W223">
        <f>IFERROR($C223*INDEX(SPPR!$E:$X,MATCH($A223,SPPR!$A:$A,0),20),"")</f>
        <v/>
      </c>
    </row>
    <row r="224">
      <c r="A224" t="inlineStr">
        <is>
          <t>Epinephelus polylepis</t>
        </is>
      </c>
      <c r="B224">
        <f>IFERROR(INDEX(SPPR!$D:$D,MATCH($A224,SPPR!$A:$A,0)),"")</f>
        <v/>
      </c>
      <c r="C224">
        <f>IFERROR(INDEX(Catch!$E:$BV,MATCH($A224,Catch!$A:$A,0),MATCH($B$4,Catch!$E$1:$BV$1,0)),0)</f>
        <v/>
      </c>
      <c r="D224">
        <f>IFERROR($C224*INDEX(SPPR!$E:$X,MATCH($A224,SPPR!$A:$A,0),1),"")</f>
        <v/>
      </c>
      <c r="E224">
        <f>IFERROR($C224*INDEX(SPPR!$E:$X,MATCH($A224,SPPR!$A:$A,0),2),"")</f>
        <v/>
      </c>
      <c r="F224">
        <f>IFERROR($C224*INDEX(SPPR!$E:$X,MATCH($A224,SPPR!$A:$A,0),3),"")</f>
        <v/>
      </c>
      <c r="G224">
        <f>IFERROR($C224*INDEX(SPPR!$E:$X,MATCH($A224,SPPR!$A:$A,0),4),"")</f>
        <v/>
      </c>
      <c r="H224">
        <f>IFERROR($C224*INDEX(SPPR!$E:$X,MATCH($A224,SPPR!$A:$A,0),5),"")</f>
        <v/>
      </c>
      <c r="I224">
        <f>IFERROR($C224*INDEX(SPPR!$E:$X,MATCH($A224,SPPR!$A:$A,0),6),"")</f>
        <v/>
      </c>
      <c r="J224">
        <f>IFERROR($C224*INDEX(SPPR!$E:$X,MATCH($A224,SPPR!$A:$A,0),7),"")</f>
        <v/>
      </c>
      <c r="K224">
        <f>IFERROR($C224*INDEX(SPPR!$E:$X,MATCH($A224,SPPR!$A:$A,0),8),"")</f>
        <v/>
      </c>
      <c r="L224">
        <f>IFERROR($C224*INDEX(SPPR!$E:$X,MATCH($A224,SPPR!$A:$A,0),9),"")</f>
        <v/>
      </c>
      <c r="M224">
        <f>IFERROR($C224*INDEX(SPPR!$E:$X,MATCH($A224,SPPR!$A:$A,0),10),"")</f>
        <v/>
      </c>
      <c r="N224">
        <f>IFERROR($C224*INDEX(SPPR!$E:$X,MATCH($A224,SPPR!$A:$A,0),11),"")</f>
        <v/>
      </c>
      <c r="O224">
        <f>IFERROR($C224*INDEX(SPPR!$E:$X,MATCH($A224,SPPR!$A:$A,0),12),"")</f>
        <v/>
      </c>
      <c r="P224">
        <f>IFERROR($C224*INDEX(SPPR!$E:$X,MATCH($A224,SPPR!$A:$A,0),13),"")</f>
        <v/>
      </c>
      <c r="Q224">
        <f>IFERROR($C224*INDEX(SPPR!$E:$X,MATCH($A224,SPPR!$A:$A,0),14),"")</f>
        <v/>
      </c>
      <c r="R224">
        <f>IFERROR($C224*INDEX(SPPR!$E:$X,MATCH($A224,SPPR!$A:$A,0),15),"")</f>
        <v/>
      </c>
      <c r="S224">
        <f>IFERROR($C224*INDEX(SPPR!$E:$X,MATCH($A224,SPPR!$A:$A,0),16),"")</f>
        <v/>
      </c>
      <c r="T224">
        <f>IFERROR($C224*INDEX(SPPR!$E:$X,MATCH($A224,SPPR!$A:$A,0),17),"")</f>
        <v/>
      </c>
      <c r="U224">
        <f>IFERROR($C224*INDEX(SPPR!$E:$X,MATCH($A224,SPPR!$A:$A,0),18),"")</f>
        <v/>
      </c>
      <c r="V224">
        <f>IFERROR($C224*INDEX(SPPR!$E:$X,MATCH($A224,SPPR!$A:$A,0),19),"")</f>
        <v/>
      </c>
      <c r="W224">
        <f>IFERROR($C224*INDEX(SPPR!$E:$X,MATCH($A224,SPPR!$A:$A,0),20),"")</f>
        <v/>
      </c>
    </row>
    <row r="225">
      <c r="A225" t="inlineStr">
        <is>
          <t>Sphyrna</t>
        </is>
      </c>
      <c r="B225">
        <f>IFERROR(INDEX(SPPR!$D:$D,MATCH($A225,SPPR!$A:$A,0)),"")</f>
        <v/>
      </c>
      <c r="C225">
        <f>IFERROR(INDEX(Catch!$E:$BV,MATCH($A225,Catch!$A:$A,0),MATCH($B$4,Catch!$E$1:$BV$1,0)),0)</f>
        <v/>
      </c>
      <c r="D225">
        <f>IFERROR($C225*INDEX(SPPR!$E:$X,MATCH($A225,SPPR!$A:$A,0),1),"")</f>
        <v/>
      </c>
      <c r="E225">
        <f>IFERROR($C225*INDEX(SPPR!$E:$X,MATCH($A225,SPPR!$A:$A,0),2),"")</f>
        <v/>
      </c>
      <c r="F225">
        <f>IFERROR($C225*INDEX(SPPR!$E:$X,MATCH($A225,SPPR!$A:$A,0),3),"")</f>
        <v/>
      </c>
      <c r="G225">
        <f>IFERROR($C225*INDEX(SPPR!$E:$X,MATCH($A225,SPPR!$A:$A,0),4),"")</f>
        <v/>
      </c>
      <c r="H225">
        <f>IFERROR($C225*INDEX(SPPR!$E:$X,MATCH($A225,SPPR!$A:$A,0),5),"")</f>
        <v/>
      </c>
      <c r="I225">
        <f>IFERROR($C225*INDEX(SPPR!$E:$X,MATCH($A225,SPPR!$A:$A,0),6),"")</f>
        <v/>
      </c>
      <c r="J225">
        <f>IFERROR($C225*INDEX(SPPR!$E:$X,MATCH($A225,SPPR!$A:$A,0),7),"")</f>
        <v/>
      </c>
      <c r="K225">
        <f>IFERROR($C225*INDEX(SPPR!$E:$X,MATCH($A225,SPPR!$A:$A,0),8),"")</f>
        <v/>
      </c>
      <c r="L225">
        <f>IFERROR($C225*INDEX(SPPR!$E:$X,MATCH($A225,SPPR!$A:$A,0),9),"")</f>
        <v/>
      </c>
      <c r="M225">
        <f>IFERROR($C225*INDEX(SPPR!$E:$X,MATCH($A225,SPPR!$A:$A,0),10),"")</f>
        <v/>
      </c>
      <c r="N225">
        <f>IFERROR($C225*INDEX(SPPR!$E:$X,MATCH($A225,SPPR!$A:$A,0),11),"")</f>
        <v/>
      </c>
      <c r="O225">
        <f>IFERROR($C225*INDEX(SPPR!$E:$X,MATCH($A225,SPPR!$A:$A,0),12),"")</f>
        <v/>
      </c>
      <c r="P225">
        <f>IFERROR($C225*INDEX(SPPR!$E:$X,MATCH($A225,SPPR!$A:$A,0),13),"")</f>
        <v/>
      </c>
      <c r="Q225">
        <f>IFERROR($C225*INDEX(SPPR!$E:$X,MATCH($A225,SPPR!$A:$A,0),14),"")</f>
        <v/>
      </c>
      <c r="R225">
        <f>IFERROR($C225*INDEX(SPPR!$E:$X,MATCH($A225,SPPR!$A:$A,0),15),"")</f>
        <v/>
      </c>
      <c r="S225">
        <f>IFERROR($C225*INDEX(SPPR!$E:$X,MATCH($A225,SPPR!$A:$A,0),16),"")</f>
        <v/>
      </c>
      <c r="T225">
        <f>IFERROR($C225*INDEX(SPPR!$E:$X,MATCH($A225,SPPR!$A:$A,0),17),"")</f>
        <v/>
      </c>
      <c r="U225">
        <f>IFERROR($C225*INDEX(SPPR!$E:$X,MATCH($A225,SPPR!$A:$A,0),18),"")</f>
        <v/>
      </c>
      <c r="V225">
        <f>IFERROR($C225*INDEX(SPPR!$E:$X,MATCH($A225,SPPR!$A:$A,0),19),"")</f>
        <v/>
      </c>
      <c r="W225">
        <f>IFERROR($C225*INDEX(SPPR!$E:$X,MATCH($A225,SPPR!$A:$A,0),20),"")</f>
        <v/>
      </c>
    </row>
    <row r="226">
      <c r="A226" t="inlineStr">
        <is>
          <t>Pomadasys olivaceus</t>
        </is>
      </c>
      <c r="B226">
        <f>IFERROR(INDEX(SPPR!$D:$D,MATCH($A226,SPPR!$A:$A,0)),"")</f>
        <v/>
      </c>
      <c r="C226">
        <f>IFERROR(INDEX(Catch!$E:$BV,MATCH($A226,Catch!$A:$A,0),MATCH($B$4,Catch!$E$1:$BV$1,0)),0)</f>
        <v/>
      </c>
      <c r="D226">
        <f>IFERROR($C226*INDEX(SPPR!$E:$X,MATCH($A226,SPPR!$A:$A,0),1),"")</f>
        <v/>
      </c>
      <c r="E226">
        <f>IFERROR($C226*INDEX(SPPR!$E:$X,MATCH($A226,SPPR!$A:$A,0),2),"")</f>
        <v/>
      </c>
      <c r="F226">
        <f>IFERROR($C226*INDEX(SPPR!$E:$X,MATCH($A226,SPPR!$A:$A,0),3),"")</f>
        <v/>
      </c>
      <c r="G226">
        <f>IFERROR($C226*INDEX(SPPR!$E:$X,MATCH($A226,SPPR!$A:$A,0),4),"")</f>
        <v/>
      </c>
      <c r="H226">
        <f>IFERROR($C226*INDEX(SPPR!$E:$X,MATCH($A226,SPPR!$A:$A,0),5),"")</f>
        <v/>
      </c>
      <c r="I226">
        <f>IFERROR($C226*INDEX(SPPR!$E:$X,MATCH($A226,SPPR!$A:$A,0),6),"")</f>
        <v/>
      </c>
      <c r="J226">
        <f>IFERROR($C226*INDEX(SPPR!$E:$X,MATCH($A226,SPPR!$A:$A,0),7),"")</f>
        <v/>
      </c>
      <c r="K226">
        <f>IFERROR($C226*INDEX(SPPR!$E:$X,MATCH($A226,SPPR!$A:$A,0),8),"")</f>
        <v/>
      </c>
      <c r="L226">
        <f>IFERROR($C226*INDEX(SPPR!$E:$X,MATCH($A226,SPPR!$A:$A,0),9),"")</f>
        <v/>
      </c>
      <c r="M226">
        <f>IFERROR($C226*INDEX(SPPR!$E:$X,MATCH($A226,SPPR!$A:$A,0),10),"")</f>
        <v/>
      </c>
      <c r="N226">
        <f>IFERROR($C226*INDEX(SPPR!$E:$X,MATCH($A226,SPPR!$A:$A,0),11),"")</f>
        <v/>
      </c>
      <c r="O226">
        <f>IFERROR($C226*INDEX(SPPR!$E:$X,MATCH($A226,SPPR!$A:$A,0),12),"")</f>
        <v/>
      </c>
      <c r="P226">
        <f>IFERROR($C226*INDEX(SPPR!$E:$X,MATCH($A226,SPPR!$A:$A,0),13),"")</f>
        <v/>
      </c>
      <c r="Q226">
        <f>IFERROR($C226*INDEX(SPPR!$E:$X,MATCH($A226,SPPR!$A:$A,0),14),"")</f>
        <v/>
      </c>
      <c r="R226">
        <f>IFERROR($C226*INDEX(SPPR!$E:$X,MATCH($A226,SPPR!$A:$A,0),15),"")</f>
        <v/>
      </c>
      <c r="S226">
        <f>IFERROR($C226*INDEX(SPPR!$E:$X,MATCH($A226,SPPR!$A:$A,0),16),"")</f>
        <v/>
      </c>
      <c r="T226">
        <f>IFERROR($C226*INDEX(SPPR!$E:$X,MATCH($A226,SPPR!$A:$A,0),17),"")</f>
        <v/>
      </c>
      <c r="U226">
        <f>IFERROR($C226*INDEX(SPPR!$E:$X,MATCH($A226,SPPR!$A:$A,0),18),"")</f>
        <v/>
      </c>
      <c r="V226">
        <f>IFERROR($C226*INDEX(SPPR!$E:$X,MATCH($A226,SPPR!$A:$A,0),19),"")</f>
        <v/>
      </c>
      <c r="W226">
        <f>IFERROR($C226*INDEX(SPPR!$E:$X,MATCH($A226,SPPR!$A:$A,0),20),"")</f>
        <v/>
      </c>
    </row>
    <row r="227">
      <c r="A227" t="inlineStr">
        <is>
          <t>Equulites klunzingeri</t>
        </is>
      </c>
      <c r="B227">
        <f>IFERROR(INDEX(SPPR!$D:$D,MATCH($A227,SPPR!$A:$A,0)),"")</f>
        <v/>
      </c>
      <c r="C227">
        <f>IFERROR(INDEX(Catch!$E:$BV,MATCH($A227,Catch!$A:$A,0),MATCH($B$4,Catch!$E$1:$BV$1,0)),0)</f>
        <v/>
      </c>
      <c r="D227">
        <f>IFERROR($C227*INDEX(SPPR!$E:$X,MATCH($A227,SPPR!$A:$A,0),1),"")</f>
        <v/>
      </c>
      <c r="E227">
        <f>IFERROR($C227*INDEX(SPPR!$E:$X,MATCH($A227,SPPR!$A:$A,0),2),"")</f>
        <v/>
      </c>
      <c r="F227">
        <f>IFERROR($C227*INDEX(SPPR!$E:$X,MATCH($A227,SPPR!$A:$A,0),3),"")</f>
        <v/>
      </c>
      <c r="G227">
        <f>IFERROR($C227*INDEX(SPPR!$E:$X,MATCH($A227,SPPR!$A:$A,0),4),"")</f>
        <v/>
      </c>
      <c r="H227">
        <f>IFERROR($C227*INDEX(SPPR!$E:$X,MATCH($A227,SPPR!$A:$A,0),5),"")</f>
        <v/>
      </c>
      <c r="I227">
        <f>IFERROR($C227*INDEX(SPPR!$E:$X,MATCH($A227,SPPR!$A:$A,0),6),"")</f>
        <v/>
      </c>
      <c r="J227">
        <f>IFERROR($C227*INDEX(SPPR!$E:$X,MATCH($A227,SPPR!$A:$A,0),7),"")</f>
        <v/>
      </c>
      <c r="K227">
        <f>IFERROR($C227*INDEX(SPPR!$E:$X,MATCH($A227,SPPR!$A:$A,0),8),"")</f>
        <v/>
      </c>
      <c r="L227">
        <f>IFERROR($C227*INDEX(SPPR!$E:$X,MATCH($A227,SPPR!$A:$A,0),9),"")</f>
        <v/>
      </c>
      <c r="M227">
        <f>IFERROR($C227*INDEX(SPPR!$E:$X,MATCH($A227,SPPR!$A:$A,0),10),"")</f>
        <v/>
      </c>
      <c r="N227">
        <f>IFERROR($C227*INDEX(SPPR!$E:$X,MATCH($A227,SPPR!$A:$A,0),11),"")</f>
        <v/>
      </c>
      <c r="O227">
        <f>IFERROR($C227*INDEX(SPPR!$E:$X,MATCH($A227,SPPR!$A:$A,0),12),"")</f>
        <v/>
      </c>
      <c r="P227">
        <f>IFERROR($C227*INDEX(SPPR!$E:$X,MATCH($A227,SPPR!$A:$A,0),13),"")</f>
        <v/>
      </c>
      <c r="Q227">
        <f>IFERROR($C227*INDEX(SPPR!$E:$X,MATCH($A227,SPPR!$A:$A,0),14),"")</f>
        <v/>
      </c>
      <c r="R227">
        <f>IFERROR($C227*INDEX(SPPR!$E:$X,MATCH($A227,SPPR!$A:$A,0),15),"")</f>
        <v/>
      </c>
      <c r="S227">
        <f>IFERROR($C227*INDEX(SPPR!$E:$X,MATCH($A227,SPPR!$A:$A,0),16),"")</f>
        <v/>
      </c>
      <c r="T227">
        <f>IFERROR($C227*INDEX(SPPR!$E:$X,MATCH($A227,SPPR!$A:$A,0),17),"")</f>
        <v/>
      </c>
      <c r="U227">
        <f>IFERROR($C227*INDEX(SPPR!$E:$X,MATCH($A227,SPPR!$A:$A,0),18),"")</f>
        <v/>
      </c>
      <c r="V227">
        <f>IFERROR($C227*INDEX(SPPR!$E:$X,MATCH($A227,SPPR!$A:$A,0),19),"")</f>
        <v/>
      </c>
      <c r="W227">
        <f>IFERROR($C227*INDEX(SPPR!$E:$X,MATCH($A227,SPPR!$A:$A,0),20),"")</f>
        <v/>
      </c>
    </row>
    <row r="228">
      <c r="A228" t="inlineStr">
        <is>
          <t>Carcharhinus dussumieri</t>
        </is>
      </c>
      <c r="B228">
        <f>IFERROR(INDEX(SPPR!$D:$D,MATCH($A228,SPPR!$A:$A,0)),"")</f>
        <v/>
      </c>
      <c r="C228">
        <f>IFERROR(INDEX(Catch!$E:$BV,MATCH($A228,Catch!$A:$A,0),MATCH($B$4,Catch!$E$1:$BV$1,0)),0)</f>
        <v/>
      </c>
      <c r="D228">
        <f>IFERROR($C228*INDEX(SPPR!$E:$X,MATCH($A228,SPPR!$A:$A,0),1),"")</f>
        <v/>
      </c>
      <c r="E228">
        <f>IFERROR($C228*INDEX(SPPR!$E:$X,MATCH($A228,SPPR!$A:$A,0),2),"")</f>
        <v/>
      </c>
      <c r="F228">
        <f>IFERROR($C228*INDEX(SPPR!$E:$X,MATCH($A228,SPPR!$A:$A,0),3),"")</f>
        <v/>
      </c>
      <c r="G228">
        <f>IFERROR($C228*INDEX(SPPR!$E:$X,MATCH($A228,SPPR!$A:$A,0),4),"")</f>
        <v/>
      </c>
      <c r="H228">
        <f>IFERROR($C228*INDEX(SPPR!$E:$X,MATCH($A228,SPPR!$A:$A,0),5),"")</f>
        <v/>
      </c>
      <c r="I228">
        <f>IFERROR($C228*INDEX(SPPR!$E:$X,MATCH($A228,SPPR!$A:$A,0),6),"")</f>
        <v/>
      </c>
      <c r="J228">
        <f>IFERROR($C228*INDEX(SPPR!$E:$X,MATCH($A228,SPPR!$A:$A,0),7),"")</f>
        <v/>
      </c>
      <c r="K228">
        <f>IFERROR($C228*INDEX(SPPR!$E:$X,MATCH($A228,SPPR!$A:$A,0),8),"")</f>
        <v/>
      </c>
      <c r="L228">
        <f>IFERROR($C228*INDEX(SPPR!$E:$X,MATCH($A228,SPPR!$A:$A,0),9),"")</f>
        <v/>
      </c>
      <c r="M228">
        <f>IFERROR($C228*INDEX(SPPR!$E:$X,MATCH($A228,SPPR!$A:$A,0),10),"")</f>
        <v/>
      </c>
      <c r="N228">
        <f>IFERROR($C228*INDEX(SPPR!$E:$X,MATCH($A228,SPPR!$A:$A,0),11),"")</f>
        <v/>
      </c>
      <c r="O228">
        <f>IFERROR($C228*INDEX(SPPR!$E:$X,MATCH($A228,SPPR!$A:$A,0),12),"")</f>
        <v/>
      </c>
      <c r="P228">
        <f>IFERROR($C228*INDEX(SPPR!$E:$X,MATCH($A228,SPPR!$A:$A,0),13),"")</f>
        <v/>
      </c>
      <c r="Q228">
        <f>IFERROR($C228*INDEX(SPPR!$E:$X,MATCH($A228,SPPR!$A:$A,0),14),"")</f>
        <v/>
      </c>
      <c r="R228">
        <f>IFERROR($C228*INDEX(SPPR!$E:$X,MATCH($A228,SPPR!$A:$A,0),15),"")</f>
        <v/>
      </c>
      <c r="S228">
        <f>IFERROR($C228*INDEX(SPPR!$E:$X,MATCH($A228,SPPR!$A:$A,0),16),"")</f>
        <v/>
      </c>
      <c r="T228">
        <f>IFERROR($C228*INDEX(SPPR!$E:$X,MATCH($A228,SPPR!$A:$A,0),17),"")</f>
        <v/>
      </c>
      <c r="U228">
        <f>IFERROR($C228*INDEX(SPPR!$E:$X,MATCH($A228,SPPR!$A:$A,0),18),"")</f>
        <v/>
      </c>
      <c r="V228">
        <f>IFERROR($C228*INDEX(SPPR!$E:$X,MATCH($A228,SPPR!$A:$A,0),19),"")</f>
        <v/>
      </c>
      <c r="W228">
        <f>IFERROR($C228*INDEX(SPPR!$E:$X,MATCH($A228,SPPR!$A:$A,0),20),"")</f>
        <v/>
      </c>
    </row>
    <row r="229">
      <c r="A229" t="inlineStr">
        <is>
          <t>Alepes djedaba</t>
        </is>
      </c>
      <c r="B229">
        <f>IFERROR(INDEX(SPPR!$D:$D,MATCH($A229,SPPR!$A:$A,0)),"")</f>
        <v/>
      </c>
      <c r="C229">
        <f>IFERROR(INDEX(Catch!$E:$BV,MATCH($A229,Catch!$A:$A,0),MATCH($B$4,Catch!$E$1:$BV$1,0)),0)</f>
        <v/>
      </c>
      <c r="D229">
        <f>IFERROR($C229*INDEX(SPPR!$E:$X,MATCH($A229,SPPR!$A:$A,0),1),"")</f>
        <v/>
      </c>
      <c r="E229">
        <f>IFERROR($C229*INDEX(SPPR!$E:$X,MATCH($A229,SPPR!$A:$A,0),2),"")</f>
        <v/>
      </c>
      <c r="F229">
        <f>IFERROR($C229*INDEX(SPPR!$E:$X,MATCH($A229,SPPR!$A:$A,0),3),"")</f>
        <v/>
      </c>
      <c r="G229">
        <f>IFERROR($C229*INDEX(SPPR!$E:$X,MATCH($A229,SPPR!$A:$A,0),4),"")</f>
        <v/>
      </c>
      <c r="H229">
        <f>IFERROR($C229*INDEX(SPPR!$E:$X,MATCH($A229,SPPR!$A:$A,0),5),"")</f>
        <v/>
      </c>
      <c r="I229">
        <f>IFERROR($C229*INDEX(SPPR!$E:$X,MATCH($A229,SPPR!$A:$A,0),6),"")</f>
        <v/>
      </c>
      <c r="J229">
        <f>IFERROR($C229*INDEX(SPPR!$E:$X,MATCH($A229,SPPR!$A:$A,0),7),"")</f>
        <v/>
      </c>
      <c r="K229">
        <f>IFERROR($C229*INDEX(SPPR!$E:$X,MATCH($A229,SPPR!$A:$A,0),8),"")</f>
        <v/>
      </c>
      <c r="L229">
        <f>IFERROR($C229*INDEX(SPPR!$E:$X,MATCH($A229,SPPR!$A:$A,0),9),"")</f>
        <v/>
      </c>
      <c r="M229">
        <f>IFERROR($C229*INDEX(SPPR!$E:$X,MATCH($A229,SPPR!$A:$A,0),10),"")</f>
        <v/>
      </c>
      <c r="N229">
        <f>IFERROR($C229*INDEX(SPPR!$E:$X,MATCH($A229,SPPR!$A:$A,0),11),"")</f>
        <v/>
      </c>
      <c r="O229">
        <f>IFERROR($C229*INDEX(SPPR!$E:$X,MATCH($A229,SPPR!$A:$A,0),12),"")</f>
        <v/>
      </c>
      <c r="P229">
        <f>IFERROR($C229*INDEX(SPPR!$E:$X,MATCH($A229,SPPR!$A:$A,0),13),"")</f>
        <v/>
      </c>
      <c r="Q229">
        <f>IFERROR($C229*INDEX(SPPR!$E:$X,MATCH($A229,SPPR!$A:$A,0),14),"")</f>
        <v/>
      </c>
      <c r="R229">
        <f>IFERROR($C229*INDEX(SPPR!$E:$X,MATCH($A229,SPPR!$A:$A,0),15),"")</f>
        <v/>
      </c>
      <c r="S229">
        <f>IFERROR($C229*INDEX(SPPR!$E:$X,MATCH($A229,SPPR!$A:$A,0),16),"")</f>
        <v/>
      </c>
      <c r="T229">
        <f>IFERROR($C229*INDEX(SPPR!$E:$X,MATCH($A229,SPPR!$A:$A,0),17),"")</f>
        <v/>
      </c>
      <c r="U229">
        <f>IFERROR($C229*INDEX(SPPR!$E:$X,MATCH($A229,SPPR!$A:$A,0),18),"")</f>
        <v/>
      </c>
      <c r="V229">
        <f>IFERROR($C229*INDEX(SPPR!$E:$X,MATCH($A229,SPPR!$A:$A,0),19),"")</f>
        <v/>
      </c>
      <c r="W229">
        <f>IFERROR($C229*INDEX(SPPR!$E:$X,MATCH($A229,SPPR!$A:$A,0),20),"")</f>
        <v/>
      </c>
    </row>
    <row r="230">
      <c r="A230" t="inlineStr">
        <is>
          <t>Carcharhinus amblyrhynchos</t>
        </is>
      </c>
      <c r="B230">
        <f>IFERROR(INDEX(SPPR!$D:$D,MATCH($A230,SPPR!$A:$A,0)),"")</f>
        <v/>
      </c>
      <c r="C230">
        <f>IFERROR(INDEX(Catch!$E:$BV,MATCH($A230,Catch!$A:$A,0),MATCH($B$4,Catch!$E$1:$BV$1,0)),0)</f>
        <v/>
      </c>
      <c r="D230">
        <f>IFERROR($C230*INDEX(SPPR!$E:$X,MATCH($A230,SPPR!$A:$A,0),1),"")</f>
        <v/>
      </c>
      <c r="E230">
        <f>IFERROR($C230*INDEX(SPPR!$E:$X,MATCH($A230,SPPR!$A:$A,0),2),"")</f>
        <v/>
      </c>
      <c r="F230">
        <f>IFERROR($C230*INDEX(SPPR!$E:$X,MATCH($A230,SPPR!$A:$A,0),3),"")</f>
        <v/>
      </c>
      <c r="G230">
        <f>IFERROR($C230*INDEX(SPPR!$E:$X,MATCH($A230,SPPR!$A:$A,0),4),"")</f>
        <v/>
      </c>
      <c r="H230">
        <f>IFERROR($C230*INDEX(SPPR!$E:$X,MATCH($A230,SPPR!$A:$A,0),5),"")</f>
        <v/>
      </c>
      <c r="I230">
        <f>IFERROR($C230*INDEX(SPPR!$E:$X,MATCH($A230,SPPR!$A:$A,0),6),"")</f>
        <v/>
      </c>
      <c r="J230">
        <f>IFERROR($C230*INDEX(SPPR!$E:$X,MATCH($A230,SPPR!$A:$A,0),7),"")</f>
        <v/>
      </c>
      <c r="K230">
        <f>IFERROR($C230*INDEX(SPPR!$E:$X,MATCH($A230,SPPR!$A:$A,0),8),"")</f>
        <v/>
      </c>
      <c r="L230">
        <f>IFERROR($C230*INDEX(SPPR!$E:$X,MATCH($A230,SPPR!$A:$A,0),9),"")</f>
        <v/>
      </c>
      <c r="M230">
        <f>IFERROR($C230*INDEX(SPPR!$E:$X,MATCH($A230,SPPR!$A:$A,0),10),"")</f>
        <v/>
      </c>
      <c r="N230">
        <f>IFERROR($C230*INDEX(SPPR!$E:$X,MATCH($A230,SPPR!$A:$A,0),11),"")</f>
        <v/>
      </c>
      <c r="O230">
        <f>IFERROR($C230*INDEX(SPPR!$E:$X,MATCH($A230,SPPR!$A:$A,0),12),"")</f>
        <v/>
      </c>
      <c r="P230">
        <f>IFERROR($C230*INDEX(SPPR!$E:$X,MATCH($A230,SPPR!$A:$A,0),13),"")</f>
        <v/>
      </c>
      <c r="Q230">
        <f>IFERROR($C230*INDEX(SPPR!$E:$X,MATCH($A230,SPPR!$A:$A,0),14),"")</f>
        <v/>
      </c>
      <c r="R230">
        <f>IFERROR($C230*INDEX(SPPR!$E:$X,MATCH($A230,SPPR!$A:$A,0),15),"")</f>
        <v/>
      </c>
      <c r="S230">
        <f>IFERROR($C230*INDEX(SPPR!$E:$X,MATCH($A230,SPPR!$A:$A,0),16),"")</f>
        <v/>
      </c>
      <c r="T230">
        <f>IFERROR($C230*INDEX(SPPR!$E:$X,MATCH($A230,SPPR!$A:$A,0),17),"")</f>
        <v/>
      </c>
      <c r="U230">
        <f>IFERROR($C230*INDEX(SPPR!$E:$X,MATCH($A230,SPPR!$A:$A,0),18),"")</f>
        <v/>
      </c>
      <c r="V230">
        <f>IFERROR($C230*INDEX(SPPR!$E:$X,MATCH($A230,SPPR!$A:$A,0),19),"")</f>
        <v/>
      </c>
      <c r="W230">
        <f>IFERROR($C230*INDEX(SPPR!$E:$X,MATCH($A230,SPPR!$A:$A,0),20),"")</f>
        <v/>
      </c>
    </row>
    <row r="231">
      <c r="A231" t="inlineStr">
        <is>
          <t>Triakidae</t>
        </is>
      </c>
      <c r="B231">
        <f>IFERROR(INDEX(SPPR!$D:$D,MATCH($A231,SPPR!$A:$A,0)),"")</f>
        <v/>
      </c>
      <c r="C231">
        <f>IFERROR(INDEX(Catch!$E:$BV,MATCH($A231,Catch!$A:$A,0),MATCH($B$4,Catch!$E$1:$BV$1,0)),0)</f>
        <v/>
      </c>
      <c r="D231">
        <f>IFERROR($C231*INDEX(SPPR!$E:$X,MATCH($A231,SPPR!$A:$A,0),1),"")</f>
        <v/>
      </c>
      <c r="E231">
        <f>IFERROR($C231*INDEX(SPPR!$E:$X,MATCH($A231,SPPR!$A:$A,0),2),"")</f>
        <v/>
      </c>
      <c r="F231">
        <f>IFERROR($C231*INDEX(SPPR!$E:$X,MATCH($A231,SPPR!$A:$A,0),3),"")</f>
        <v/>
      </c>
      <c r="G231">
        <f>IFERROR($C231*INDEX(SPPR!$E:$X,MATCH($A231,SPPR!$A:$A,0),4),"")</f>
        <v/>
      </c>
      <c r="H231">
        <f>IFERROR($C231*INDEX(SPPR!$E:$X,MATCH($A231,SPPR!$A:$A,0),5),"")</f>
        <v/>
      </c>
      <c r="I231">
        <f>IFERROR($C231*INDEX(SPPR!$E:$X,MATCH($A231,SPPR!$A:$A,0),6),"")</f>
        <v/>
      </c>
      <c r="J231">
        <f>IFERROR($C231*INDEX(SPPR!$E:$X,MATCH($A231,SPPR!$A:$A,0),7),"")</f>
        <v/>
      </c>
      <c r="K231">
        <f>IFERROR($C231*INDEX(SPPR!$E:$X,MATCH($A231,SPPR!$A:$A,0),8),"")</f>
        <v/>
      </c>
      <c r="L231">
        <f>IFERROR($C231*INDEX(SPPR!$E:$X,MATCH($A231,SPPR!$A:$A,0),9),"")</f>
        <v/>
      </c>
      <c r="M231">
        <f>IFERROR($C231*INDEX(SPPR!$E:$X,MATCH($A231,SPPR!$A:$A,0),10),"")</f>
        <v/>
      </c>
      <c r="N231">
        <f>IFERROR($C231*INDEX(SPPR!$E:$X,MATCH($A231,SPPR!$A:$A,0),11),"")</f>
        <v/>
      </c>
      <c r="O231">
        <f>IFERROR($C231*INDEX(SPPR!$E:$X,MATCH($A231,SPPR!$A:$A,0),12),"")</f>
        <v/>
      </c>
      <c r="P231">
        <f>IFERROR($C231*INDEX(SPPR!$E:$X,MATCH($A231,SPPR!$A:$A,0),13),"")</f>
        <v/>
      </c>
      <c r="Q231">
        <f>IFERROR($C231*INDEX(SPPR!$E:$X,MATCH($A231,SPPR!$A:$A,0),14),"")</f>
        <v/>
      </c>
      <c r="R231">
        <f>IFERROR($C231*INDEX(SPPR!$E:$X,MATCH($A231,SPPR!$A:$A,0),15),"")</f>
        <v/>
      </c>
      <c r="S231">
        <f>IFERROR($C231*INDEX(SPPR!$E:$X,MATCH($A231,SPPR!$A:$A,0),16),"")</f>
        <v/>
      </c>
      <c r="T231">
        <f>IFERROR($C231*INDEX(SPPR!$E:$X,MATCH($A231,SPPR!$A:$A,0),17),"")</f>
        <v/>
      </c>
      <c r="U231">
        <f>IFERROR($C231*INDEX(SPPR!$E:$X,MATCH($A231,SPPR!$A:$A,0),18),"")</f>
        <v/>
      </c>
      <c r="V231">
        <f>IFERROR($C231*INDEX(SPPR!$E:$X,MATCH($A231,SPPR!$A:$A,0),19),"")</f>
        <v/>
      </c>
      <c r="W231">
        <f>IFERROR($C231*INDEX(SPPR!$E:$X,MATCH($A231,SPPR!$A:$A,0),20),"")</f>
        <v/>
      </c>
    </row>
    <row r="232">
      <c r="A232" t="inlineStr">
        <is>
          <t>Scyris indica</t>
        </is>
      </c>
      <c r="B232">
        <f>IFERROR(INDEX(SPPR!$D:$D,MATCH($A232,SPPR!$A:$A,0)),"")</f>
        <v/>
      </c>
      <c r="C232">
        <f>IFERROR(INDEX(Catch!$E:$BV,MATCH($A232,Catch!$A:$A,0),MATCH($B$4,Catch!$E$1:$BV$1,0)),0)</f>
        <v/>
      </c>
      <c r="D232">
        <f>IFERROR($C232*INDEX(SPPR!$E:$X,MATCH($A232,SPPR!$A:$A,0),1),"")</f>
        <v/>
      </c>
      <c r="E232">
        <f>IFERROR($C232*INDEX(SPPR!$E:$X,MATCH($A232,SPPR!$A:$A,0),2),"")</f>
        <v/>
      </c>
      <c r="F232">
        <f>IFERROR($C232*INDEX(SPPR!$E:$X,MATCH($A232,SPPR!$A:$A,0),3),"")</f>
        <v/>
      </c>
      <c r="G232">
        <f>IFERROR($C232*INDEX(SPPR!$E:$X,MATCH($A232,SPPR!$A:$A,0),4),"")</f>
        <v/>
      </c>
      <c r="H232">
        <f>IFERROR($C232*INDEX(SPPR!$E:$X,MATCH($A232,SPPR!$A:$A,0),5),"")</f>
        <v/>
      </c>
      <c r="I232">
        <f>IFERROR($C232*INDEX(SPPR!$E:$X,MATCH($A232,SPPR!$A:$A,0),6),"")</f>
        <v/>
      </c>
      <c r="J232">
        <f>IFERROR($C232*INDEX(SPPR!$E:$X,MATCH($A232,SPPR!$A:$A,0),7),"")</f>
        <v/>
      </c>
      <c r="K232">
        <f>IFERROR($C232*INDEX(SPPR!$E:$X,MATCH($A232,SPPR!$A:$A,0),8),"")</f>
        <v/>
      </c>
      <c r="L232">
        <f>IFERROR($C232*INDEX(SPPR!$E:$X,MATCH($A232,SPPR!$A:$A,0),9),"")</f>
        <v/>
      </c>
      <c r="M232">
        <f>IFERROR($C232*INDEX(SPPR!$E:$X,MATCH($A232,SPPR!$A:$A,0),10),"")</f>
        <v/>
      </c>
      <c r="N232">
        <f>IFERROR($C232*INDEX(SPPR!$E:$X,MATCH($A232,SPPR!$A:$A,0),11),"")</f>
        <v/>
      </c>
      <c r="O232">
        <f>IFERROR($C232*INDEX(SPPR!$E:$X,MATCH($A232,SPPR!$A:$A,0),12),"")</f>
        <v/>
      </c>
      <c r="P232">
        <f>IFERROR($C232*INDEX(SPPR!$E:$X,MATCH($A232,SPPR!$A:$A,0),13),"")</f>
        <v/>
      </c>
      <c r="Q232">
        <f>IFERROR($C232*INDEX(SPPR!$E:$X,MATCH($A232,SPPR!$A:$A,0),14),"")</f>
        <v/>
      </c>
      <c r="R232">
        <f>IFERROR($C232*INDEX(SPPR!$E:$X,MATCH($A232,SPPR!$A:$A,0),15),"")</f>
        <v/>
      </c>
      <c r="S232">
        <f>IFERROR($C232*INDEX(SPPR!$E:$X,MATCH($A232,SPPR!$A:$A,0),16),"")</f>
        <v/>
      </c>
      <c r="T232">
        <f>IFERROR($C232*INDEX(SPPR!$E:$X,MATCH($A232,SPPR!$A:$A,0),17),"")</f>
        <v/>
      </c>
      <c r="U232">
        <f>IFERROR($C232*INDEX(SPPR!$E:$X,MATCH($A232,SPPR!$A:$A,0),18),"")</f>
        <v/>
      </c>
      <c r="V232">
        <f>IFERROR($C232*INDEX(SPPR!$E:$X,MATCH($A232,SPPR!$A:$A,0),19),"")</f>
        <v/>
      </c>
      <c r="W232">
        <f>IFERROR($C232*INDEX(SPPR!$E:$X,MATCH($A232,SPPR!$A:$A,0),20),"")</f>
        <v/>
      </c>
    </row>
    <row r="233">
      <c r="A233" t="inlineStr">
        <is>
          <t>Echinoidea</t>
        </is>
      </c>
      <c r="B233">
        <f>IFERROR(INDEX(SPPR!$D:$D,MATCH($A233,SPPR!$A:$A,0)),"")</f>
        <v/>
      </c>
      <c r="C233">
        <f>IFERROR(INDEX(Catch!$E:$BV,MATCH($A233,Catch!$A:$A,0),MATCH($B$4,Catch!$E$1:$BV$1,0)),0)</f>
        <v/>
      </c>
      <c r="D233">
        <f>IFERROR($C233*INDEX(SPPR!$E:$X,MATCH($A233,SPPR!$A:$A,0),1),"")</f>
        <v/>
      </c>
      <c r="E233">
        <f>IFERROR($C233*INDEX(SPPR!$E:$X,MATCH($A233,SPPR!$A:$A,0),2),"")</f>
        <v/>
      </c>
      <c r="F233">
        <f>IFERROR($C233*INDEX(SPPR!$E:$X,MATCH($A233,SPPR!$A:$A,0),3),"")</f>
        <v/>
      </c>
      <c r="G233">
        <f>IFERROR($C233*INDEX(SPPR!$E:$X,MATCH($A233,SPPR!$A:$A,0),4),"")</f>
        <v/>
      </c>
      <c r="H233">
        <f>IFERROR($C233*INDEX(SPPR!$E:$X,MATCH($A233,SPPR!$A:$A,0),5),"")</f>
        <v/>
      </c>
      <c r="I233">
        <f>IFERROR($C233*INDEX(SPPR!$E:$X,MATCH($A233,SPPR!$A:$A,0),6),"")</f>
        <v/>
      </c>
      <c r="J233">
        <f>IFERROR($C233*INDEX(SPPR!$E:$X,MATCH($A233,SPPR!$A:$A,0),7),"")</f>
        <v/>
      </c>
      <c r="K233">
        <f>IFERROR($C233*INDEX(SPPR!$E:$X,MATCH($A233,SPPR!$A:$A,0),8),"")</f>
        <v/>
      </c>
      <c r="L233">
        <f>IFERROR($C233*INDEX(SPPR!$E:$X,MATCH($A233,SPPR!$A:$A,0),9),"")</f>
        <v/>
      </c>
      <c r="M233">
        <f>IFERROR($C233*INDEX(SPPR!$E:$X,MATCH($A233,SPPR!$A:$A,0),10),"")</f>
        <v/>
      </c>
      <c r="N233">
        <f>IFERROR($C233*INDEX(SPPR!$E:$X,MATCH($A233,SPPR!$A:$A,0),11),"")</f>
        <v/>
      </c>
      <c r="O233">
        <f>IFERROR($C233*INDEX(SPPR!$E:$X,MATCH($A233,SPPR!$A:$A,0),12),"")</f>
        <v/>
      </c>
      <c r="P233">
        <f>IFERROR($C233*INDEX(SPPR!$E:$X,MATCH($A233,SPPR!$A:$A,0),13),"")</f>
        <v/>
      </c>
      <c r="Q233">
        <f>IFERROR($C233*INDEX(SPPR!$E:$X,MATCH($A233,SPPR!$A:$A,0),14),"")</f>
        <v/>
      </c>
      <c r="R233">
        <f>IFERROR($C233*INDEX(SPPR!$E:$X,MATCH($A233,SPPR!$A:$A,0),15),"")</f>
        <v/>
      </c>
      <c r="S233">
        <f>IFERROR($C233*INDEX(SPPR!$E:$X,MATCH($A233,SPPR!$A:$A,0),16),"")</f>
        <v/>
      </c>
      <c r="T233">
        <f>IFERROR($C233*INDEX(SPPR!$E:$X,MATCH($A233,SPPR!$A:$A,0),17),"")</f>
        <v/>
      </c>
      <c r="U233">
        <f>IFERROR($C233*INDEX(SPPR!$E:$X,MATCH($A233,SPPR!$A:$A,0),18),"")</f>
        <v/>
      </c>
      <c r="V233">
        <f>IFERROR($C233*INDEX(SPPR!$E:$X,MATCH($A233,SPPR!$A:$A,0),19),"")</f>
        <v/>
      </c>
      <c r="W233">
        <f>IFERROR($C233*INDEX(SPPR!$E:$X,MATCH($A233,SPPR!$A:$A,0),20),"")</f>
        <v/>
      </c>
    </row>
    <row r="234">
      <c r="A234" t="inlineStr">
        <is>
          <t>Carcharhinus falciformis</t>
        </is>
      </c>
      <c r="B234">
        <f>IFERROR(INDEX(SPPR!$D:$D,MATCH($A234,SPPR!$A:$A,0)),"")</f>
        <v/>
      </c>
      <c r="C234">
        <f>IFERROR(INDEX(Catch!$E:$BV,MATCH($A234,Catch!$A:$A,0),MATCH($B$4,Catch!$E$1:$BV$1,0)),0)</f>
        <v/>
      </c>
      <c r="D234">
        <f>IFERROR($C234*INDEX(SPPR!$E:$X,MATCH($A234,SPPR!$A:$A,0),1),"")</f>
        <v/>
      </c>
      <c r="E234">
        <f>IFERROR($C234*INDEX(SPPR!$E:$X,MATCH($A234,SPPR!$A:$A,0),2),"")</f>
        <v/>
      </c>
      <c r="F234">
        <f>IFERROR($C234*INDEX(SPPR!$E:$X,MATCH($A234,SPPR!$A:$A,0),3),"")</f>
        <v/>
      </c>
      <c r="G234">
        <f>IFERROR($C234*INDEX(SPPR!$E:$X,MATCH($A234,SPPR!$A:$A,0),4),"")</f>
        <v/>
      </c>
      <c r="H234">
        <f>IFERROR($C234*INDEX(SPPR!$E:$X,MATCH($A234,SPPR!$A:$A,0),5),"")</f>
        <v/>
      </c>
      <c r="I234">
        <f>IFERROR($C234*INDEX(SPPR!$E:$X,MATCH($A234,SPPR!$A:$A,0),6),"")</f>
        <v/>
      </c>
      <c r="J234">
        <f>IFERROR($C234*INDEX(SPPR!$E:$X,MATCH($A234,SPPR!$A:$A,0),7),"")</f>
        <v/>
      </c>
      <c r="K234">
        <f>IFERROR($C234*INDEX(SPPR!$E:$X,MATCH($A234,SPPR!$A:$A,0),8),"")</f>
        <v/>
      </c>
      <c r="L234">
        <f>IFERROR($C234*INDEX(SPPR!$E:$X,MATCH($A234,SPPR!$A:$A,0),9),"")</f>
        <v/>
      </c>
      <c r="M234">
        <f>IFERROR($C234*INDEX(SPPR!$E:$X,MATCH($A234,SPPR!$A:$A,0),10),"")</f>
        <v/>
      </c>
      <c r="N234">
        <f>IFERROR($C234*INDEX(SPPR!$E:$X,MATCH($A234,SPPR!$A:$A,0),11),"")</f>
        <v/>
      </c>
      <c r="O234">
        <f>IFERROR($C234*INDEX(SPPR!$E:$X,MATCH($A234,SPPR!$A:$A,0),12),"")</f>
        <v/>
      </c>
      <c r="P234">
        <f>IFERROR($C234*INDEX(SPPR!$E:$X,MATCH($A234,SPPR!$A:$A,0),13),"")</f>
        <v/>
      </c>
      <c r="Q234">
        <f>IFERROR($C234*INDEX(SPPR!$E:$X,MATCH($A234,SPPR!$A:$A,0),14),"")</f>
        <v/>
      </c>
      <c r="R234">
        <f>IFERROR($C234*INDEX(SPPR!$E:$X,MATCH($A234,SPPR!$A:$A,0),15),"")</f>
        <v/>
      </c>
      <c r="S234">
        <f>IFERROR($C234*INDEX(SPPR!$E:$X,MATCH($A234,SPPR!$A:$A,0),16),"")</f>
        <v/>
      </c>
      <c r="T234">
        <f>IFERROR($C234*INDEX(SPPR!$E:$X,MATCH($A234,SPPR!$A:$A,0),17),"")</f>
        <v/>
      </c>
      <c r="U234">
        <f>IFERROR($C234*INDEX(SPPR!$E:$X,MATCH($A234,SPPR!$A:$A,0),18),"")</f>
        <v/>
      </c>
      <c r="V234">
        <f>IFERROR($C234*INDEX(SPPR!$E:$X,MATCH($A234,SPPR!$A:$A,0),19),"")</f>
        <v/>
      </c>
      <c r="W234">
        <f>IFERROR($C234*INDEX(SPPR!$E:$X,MATCH($A234,SPPR!$A:$A,0),20),"")</f>
        <v/>
      </c>
    </row>
    <row r="235">
      <c r="A235" t="inlineStr">
        <is>
          <t>Atropus armatus</t>
        </is>
      </c>
      <c r="B235">
        <f>IFERROR(INDEX(SPPR!$D:$D,MATCH($A235,SPPR!$A:$A,0)),"")</f>
        <v/>
      </c>
      <c r="C235">
        <f>IFERROR(INDEX(Catch!$E:$BV,MATCH($A235,Catch!$A:$A,0),MATCH($B$4,Catch!$E$1:$BV$1,0)),0)</f>
        <v/>
      </c>
      <c r="D235">
        <f>IFERROR($C235*INDEX(SPPR!$E:$X,MATCH($A235,SPPR!$A:$A,0),1),"")</f>
        <v/>
      </c>
      <c r="E235">
        <f>IFERROR($C235*INDEX(SPPR!$E:$X,MATCH($A235,SPPR!$A:$A,0),2),"")</f>
        <v/>
      </c>
      <c r="F235">
        <f>IFERROR($C235*INDEX(SPPR!$E:$X,MATCH($A235,SPPR!$A:$A,0),3),"")</f>
        <v/>
      </c>
      <c r="G235">
        <f>IFERROR($C235*INDEX(SPPR!$E:$X,MATCH($A235,SPPR!$A:$A,0),4),"")</f>
        <v/>
      </c>
      <c r="H235">
        <f>IFERROR($C235*INDEX(SPPR!$E:$X,MATCH($A235,SPPR!$A:$A,0),5),"")</f>
        <v/>
      </c>
      <c r="I235">
        <f>IFERROR($C235*INDEX(SPPR!$E:$X,MATCH($A235,SPPR!$A:$A,0),6),"")</f>
        <v/>
      </c>
      <c r="J235">
        <f>IFERROR($C235*INDEX(SPPR!$E:$X,MATCH($A235,SPPR!$A:$A,0),7),"")</f>
        <v/>
      </c>
      <c r="K235">
        <f>IFERROR($C235*INDEX(SPPR!$E:$X,MATCH($A235,SPPR!$A:$A,0),8),"")</f>
        <v/>
      </c>
      <c r="L235">
        <f>IFERROR($C235*INDEX(SPPR!$E:$X,MATCH($A235,SPPR!$A:$A,0),9),"")</f>
        <v/>
      </c>
      <c r="M235">
        <f>IFERROR($C235*INDEX(SPPR!$E:$X,MATCH($A235,SPPR!$A:$A,0),10),"")</f>
        <v/>
      </c>
      <c r="N235">
        <f>IFERROR($C235*INDEX(SPPR!$E:$X,MATCH($A235,SPPR!$A:$A,0),11),"")</f>
        <v/>
      </c>
      <c r="O235">
        <f>IFERROR($C235*INDEX(SPPR!$E:$X,MATCH($A235,SPPR!$A:$A,0),12),"")</f>
        <v/>
      </c>
      <c r="P235">
        <f>IFERROR($C235*INDEX(SPPR!$E:$X,MATCH($A235,SPPR!$A:$A,0),13),"")</f>
        <v/>
      </c>
      <c r="Q235">
        <f>IFERROR($C235*INDEX(SPPR!$E:$X,MATCH($A235,SPPR!$A:$A,0),14),"")</f>
        <v/>
      </c>
      <c r="R235">
        <f>IFERROR($C235*INDEX(SPPR!$E:$X,MATCH($A235,SPPR!$A:$A,0),15),"")</f>
        <v/>
      </c>
      <c r="S235">
        <f>IFERROR($C235*INDEX(SPPR!$E:$X,MATCH($A235,SPPR!$A:$A,0),16),"")</f>
        <v/>
      </c>
      <c r="T235">
        <f>IFERROR($C235*INDEX(SPPR!$E:$X,MATCH($A235,SPPR!$A:$A,0),17),"")</f>
        <v/>
      </c>
      <c r="U235">
        <f>IFERROR($C235*INDEX(SPPR!$E:$X,MATCH($A235,SPPR!$A:$A,0),18),"")</f>
        <v/>
      </c>
      <c r="V235">
        <f>IFERROR($C235*INDEX(SPPR!$E:$X,MATCH($A235,SPPR!$A:$A,0),19),"")</f>
        <v/>
      </c>
      <c r="W235">
        <f>IFERROR($C235*INDEX(SPPR!$E:$X,MATCH($A235,SPPR!$A:$A,0),20),"")</f>
        <v/>
      </c>
    </row>
    <row r="236">
      <c r="A236" t="inlineStr">
        <is>
          <t>Scaridae</t>
        </is>
      </c>
      <c r="B236">
        <f>IFERROR(INDEX(SPPR!$D:$D,MATCH($A236,SPPR!$A:$A,0)),"")</f>
        <v/>
      </c>
      <c r="C236">
        <f>IFERROR(INDEX(Catch!$E:$BV,MATCH($A236,Catch!$A:$A,0),MATCH($B$4,Catch!$E$1:$BV$1,0)),0)</f>
        <v/>
      </c>
      <c r="D236">
        <f>IFERROR($C236*INDEX(SPPR!$E:$X,MATCH($A236,SPPR!$A:$A,0),1),"")</f>
        <v/>
      </c>
      <c r="E236">
        <f>IFERROR($C236*INDEX(SPPR!$E:$X,MATCH($A236,SPPR!$A:$A,0),2),"")</f>
        <v/>
      </c>
      <c r="F236">
        <f>IFERROR($C236*INDEX(SPPR!$E:$X,MATCH($A236,SPPR!$A:$A,0),3),"")</f>
        <v/>
      </c>
      <c r="G236">
        <f>IFERROR($C236*INDEX(SPPR!$E:$X,MATCH($A236,SPPR!$A:$A,0),4),"")</f>
        <v/>
      </c>
      <c r="H236">
        <f>IFERROR($C236*INDEX(SPPR!$E:$X,MATCH($A236,SPPR!$A:$A,0),5),"")</f>
        <v/>
      </c>
      <c r="I236">
        <f>IFERROR($C236*INDEX(SPPR!$E:$X,MATCH($A236,SPPR!$A:$A,0),6),"")</f>
        <v/>
      </c>
      <c r="J236">
        <f>IFERROR($C236*INDEX(SPPR!$E:$X,MATCH($A236,SPPR!$A:$A,0),7),"")</f>
        <v/>
      </c>
      <c r="K236">
        <f>IFERROR($C236*INDEX(SPPR!$E:$X,MATCH($A236,SPPR!$A:$A,0),8),"")</f>
        <v/>
      </c>
      <c r="L236">
        <f>IFERROR($C236*INDEX(SPPR!$E:$X,MATCH($A236,SPPR!$A:$A,0),9),"")</f>
        <v/>
      </c>
      <c r="M236">
        <f>IFERROR($C236*INDEX(SPPR!$E:$X,MATCH($A236,SPPR!$A:$A,0),10),"")</f>
        <v/>
      </c>
      <c r="N236">
        <f>IFERROR($C236*INDEX(SPPR!$E:$X,MATCH($A236,SPPR!$A:$A,0),11),"")</f>
        <v/>
      </c>
      <c r="O236">
        <f>IFERROR($C236*INDEX(SPPR!$E:$X,MATCH($A236,SPPR!$A:$A,0),12),"")</f>
        <v/>
      </c>
      <c r="P236">
        <f>IFERROR($C236*INDEX(SPPR!$E:$X,MATCH($A236,SPPR!$A:$A,0),13),"")</f>
        <v/>
      </c>
      <c r="Q236">
        <f>IFERROR($C236*INDEX(SPPR!$E:$X,MATCH($A236,SPPR!$A:$A,0),14),"")</f>
        <v/>
      </c>
      <c r="R236">
        <f>IFERROR($C236*INDEX(SPPR!$E:$X,MATCH($A236,SPPR!$A:$A,0),15),"")</f>
        <v/>
      </c>
      <c r="S236">
        <f>IFERROR($C236*INDEX(SPPR!$E:$X,MATCH($A236,SPPR!$A:$A,0),16),"")</f>
        <v/>
      </c>
      <c r="T236">
        <f>IFERROR($C236*INDEX(SPPR!$E:$X,MATCH($A236,SPPR!$A:$A,0),17),"")</f>
        <v/>
      </c>
      <c r="U236">
        <f>IFERROR($C236*INDEX(SPPR!$E:$X,MATCH($A236,SPPR!$A:$A,0),18),"")</f>
        <v/>
      </c>
      <c r="V236">
        <f>IFERROR($C236*INDEX(SPPR!$E:$X,MATCH($A236,SPPR!$A:$A,0),19),"")</f>
        <v/>
      </c>
      <c r="W236">
        <f>IFERROR($C236*INDEX(SPPR!$E:$X,MATCH($A236,SPPR!$A:$A,0),20),"")</f>
        <v/>
      </c>
    </row>
    <row r="237">
      <c r="A237" t="inlineStr">
        <is>
          <t>Siganus sutor</t>
        </is>
      </c>
      <c r="B237">
        <f>IFERROR(INDEX(SPPR!$D:$D,MATCH($A237,SPPR!$A:$A,0)),"")</f>
        <v/>
      </c>
      <c r="C237">
        <f>IFERROR(INDEX(Catch!$E:$BV,MATCH($A237,Catch!$A:$A,0),MATCH($B$4,Catch!$E$1:$BV$1,0)),0)</f>
        <v/>
      </c>
      <c r="D237">
        <f>IFERROR($C237*INDEX(SPPR!$E:$X,MATCH($A237,SPPR!$A:$A,0),1),"")</f>
        <v/>
      </c>
      <c r="E237">
        <f>IFERROR($C237*INDEX(SPPR!$E:$X,MATCH($A237,SPPR!$A:$A,0),2),"")</f>
        <v/>
      </c>
      <c r="F237">
        <f>IFERROR($C237*INDEX(SPPR!$E:$X,MATCH($A237,SPPR!$A:$A,0),3),"")</f>
        <v/>
      </c>
      <c r="G237">
        <f>IFERROR($C237*INDEX(SPPR!$E:$X,MATCH($A237,SPPR!$A:$A,0),4),"")</f>
        <v/>
      </c>
      <c r="H237">
        <f>IFERROR($C237*INDEX(SPPR!$E:$X,MATCH($A237,SPPR!$A:$A,0),5),"")</f>
        <v/>
      </c>
      <c r="I237">
        <f>IFERROR($C237*INDEX(SPPR!$E:$X,MATCH($A237,SPPR!$A:$A,0),6),"")</f>
        <v/>
      </c>
      <c r="J237">
        <f>IFERROR($C237*INDEX(SPPR!$E:$X,MATCH($A237,SPPR!$A:$A,0),7),"")</f>
        <v/>
      </c>
      <c r="K237">
        <f>IFERROR($C237*INDEX(SPPR!$E:$X,MATCH($A237,SPPR!$A:$A,0),8),"")</f>
        <v/>
      </c>
      <c r="L237">
        <f>IFERROR($C237*INDEX(SPPR!$E:$X,MATCH($A237,SPPR!$A:$A,0),9),"")</f>
        <v/>
      </c>
      <c r="M237">
        <f>IFERROR($C237*INDEX(SPPR!$E:$X,MATCH($A237,SPPR!$A:$A,0),10),"")</f>
        <v/>
      </c>
      <c r="N237">
        <f>IFERROR($C237*INDEX(SPPR!$E:$X,MATCH($A237,SPPR!$A:$A,0),11),"")</f>
        <v/>
      </c>
      <c r="O237">
        <f>IFERROR($C237*INDEX(SPPR!$E:$X,MATCH($A237,SPPR!$A:$A,0),12),"")</f>
        <v/>
      </c>
      <c r="P237">
        <f>IFERROR($C237*INDEX(SPPR!$E:$X,MATCH($A237,SPPR!$A:$A,0),13),"")</f>
        <v/>
      </c>
      <c r="Q237">
        <f>IFERROR($C237*INDEX(SPPR!$E:$X,MATCH($A237,SPPR!$A:$A,0),14),"")</f>
        <v/>
      </c>
      <c r="R237">
        <f>IFERROR($C237*INDEX(SPPR!$E:$X,MATCH($A237,SPPR!$A:$A,0),15),"")</f>
        <v/>
      </c>
      <c r="S237">
        <f>IFERROR($C237*INDEX(SPPR!$E:$X,MATCH($A237,SPPR!$A:$A,0),16),"")</f>
        <v/>
      </c>
      <c r="T237">
        <f>IFERROR($C237*INDEX(SPPR!$E:$X,MATCH($A237,SPPR!$A:$A,0),17),"")</f>
        <v/>
      </c>
      <c r="U237">
        <f>IFERROR($C237*INDEX(SPPR!$E:$X,MATCH($A237,SPPR!$A:$A,0),18),"")</f>
        <v/>
      </c>
      <c r="V237">
        <f>IFERROR($C237*INDEX(SPPR!$E:$X,MATCH($A237,SPPR!$A:$A,0),19),"")</f>
        <v/>
      </c>
      <c r="W237">
        <f>IFERROR($C237*INDEX(SPPR!$E:$X,MATCH($A237,SPPR!$A:$A,0),20),"")</f>
        <v/>
      </c>
    </row>
    <row r="238">
      <c r="A238" t="inlineStr">
        <is>
          <t>Coryphaena</t>
        </is>
      </c>
      <c r="B238">
        <f>IFERROR(INDEX(SPPR!$D:$D,MATCH($A238,SPPR!$A:$A,0)),"")</f>
        <v/>
      </c>
      <c r="C238">
        <f>IFERROR(INDEX(Catch!$E:$BV,MATCH($A238,Catch!$A:$A,0),MATCH($B$4,Catch!$E$1:$BV$1,0)),0)</f>
        <v/>
      </c>
      <c r="D238">
        <f>IFERROR($C238*INDEX(SPPR!$E:$X,MATCH($A238,SPPR!$A:$A,0),1),"")</f>
        <v/>
      </c>
      <c r="E238">
        <f>IFERROR($C238*INDEX(SPPR!$E:$X,MATCH($A238,SPPR!$A:$A,0),2),"")</f>
        <v/>
      </c>
      <c r="F238">
        <f>IFERROR($C238*INDEX(SPPR!$E:$X,MATCH($A238,SPPR!$A:$A,0),3),"")</f>
        <v/>
      </c>
      <c r="G238">
        <f>IFERROR($C238*INDEX(SPPR!$E:$X,MATCH($A238,SPPR!$A:$A,0),4),"")</f>
        <v/>
      </c>
      <c r="H238">
        <f>IFERROR($C238*INDEX(SPPR!$E:$X,MATCH($A238,SPPR!$A:$A,0),5),"")</f>
        <v/>
      </c>
      <c r="I238">
        <f>IFERROR($C238*INDEX(SPPR!$E:$X,MATCH($A238,SPPR!$A:$A,0),6),"")</f>
        <v/>
      </c>
      <c r="J238">
        <f>IFERROR($C238*INDEX(SPPR!$E:$X,MATCH($A238,SPPR!$A:$A,0),7),"")</f>
        <v/>
      </c>
      <c r="K238">
        <f>IFERROR($C238*INDEX(SPPR!$E:$X,MATCH($A238,SPPR!$A:$A,0),8),"")</f>
        <v/>
      </c>
      <c r="L238">
        <f>IFERROR($C238*INDEX(SPPR!$E:$X,MATCH($A238,SPPR!$A:$A,0),9),"")</f>
        <v/>
      </c>
      <c r="M238">
        <f>IFERROR($C238*INDEX(SPPR!$E:$X,MATCH($A238,SPPR!$A:$A,0),10),"")</f>
        <v/>
      </c>
      <c r="N238">
        <f>IFERROR($C238*INDEX(SPPR!$E:$X,MATCH($A238,SPPR!$A:$A,0),11),"")</f>
        <v/>
      </c>
      <c r="O238">
        <f>IFERROR($C238*INDEX(SPPR!$E:$X,MATCH($A238,SPPR!$A:$A,0),12),"")</f>
        <v/>
      </c>
      <c r="P238">
        <f>IFERROR($C238*INDEX(SPPR!$E:$X,MATCH($A238,SPPR!$A:$A,0),13),"")</f>
        <v/>
      </c>
      <c r="Q238">
        <f>IFERROR($C238*INDEX(SPPR!$E:$X,MATCH($A238,SPPR!$A:$A,0),14),"")</f>
        <v/>
      </c>
      <c r="R238">
        <f>IFERROR($C238*INDEX(SPPR!$E:$X,MATCH($A238,SPPR!$A:$A,0),15),"")</f>
        <v/>
      </c>
      <c r="S238">
        <f>IFERROR($C238*INDEX(SPPR!$E:$X,MATCH($A238,SPPR!$A:$A,0),16),"")</f>
        <v/>
      </c>
      <c r="T238">
        <f>IFERROR($C238*INDEX(SPPR!$E:$X,MATCH($A238,SPPR!$A:$A,0),17),"")</f>
        <v/>
      </c>
      <c r="U238">
        <f>IFERROR($C238*INDEX(SPPR!$E:$X,MATCH($A238,SPPR!$A:$A,0),18),"")</f>
        <v/>
      </c>
      <c r="V238">
        <f>IFERROR($C238*INDEX(SPPR!$E:$X,MATCH($A238,SPPR!$A:$A,0),19),"")</f>
        <v/>
      </c>
      <c r="W238">
        <f>IFERROR($C238*INDEX(SPPR!$E:$X,MATCH($A238,SPPR!$A:$A,0),20),"")</f>
        <v/>
      </c>
    </row>
    <row r="239">
      <c r="A239" t="inlineStr">
        <is>
          <t>Kajikia audax</t>
        </is>
      </c>
      <c r="B239">
        <f>IFERROR(INDEX(SPPR!$D:$D,MATCH($A239,SPPR!$A:$A,0)),"")</f>
        <v/>
      </c>
      <c r="C239">
        <f>IFERROR(INDEX(Catch!$E:$BV,MATCH($A239,Catch!$A:$A,0),MATCH($B$4,Catch!$E$1:$BV$1,0)),0)</f>
        <v/>
      </c>
      <c r="D239">
        <f>IFERROR($C239*INDEX(SPPR!$E:$X,MATCH($A239,SPPR!$A:$A,0),1),"")</f>
        <v/>
      </c>
      <c r="E239">
        <f>IFERROR($C239*INDEX(SPPR!$E:$X,MATCH($A239,SPPR!$A:$A,0),2),"")</f>
        <v/>
      </c>
      <c r="F239">
        <f>IFERROR($C239*INDEX(SPPR!$E:$X,MATCH($A239,SPPR!$A:$A,0),3),"")</f>
        <v/>
      </c>
      <c r="G239">
        <f>IFERROR($C239*INDEX(SPPR!$E:$X,MATCH($A239,SPPR!$A:$A,0),4),"")</f>
        <v/>
      </c>
      <c r="H239">
        <f>IFERROR($C239*INDEX(SPPR!$E:$X,MATCH($A239,SPPR!$A:$A,0),5),"")</f>
        <v/>
      </c>
      <c r="I239">
        <f>IFERROR($C239*INDEX(SPPR!$E:$X,MATCH($A239,SPPR!$A:$A,0),6),"")</f>
        <v/>
      </c>
      <c r="J239">
        <f>IFERROR($C239*INDEX(SPPR!$E:$X,MATCH($A239,SPPR!$A:$A,0),7),"")</f>
        <v/>
      </c>
      <c r="K239">
        <f>IFERROR($C239*INDEX(SPPR!$E:$X,MATCH($A239,SPPR!$A:$A,0),8),"")</f>
        <v/>
      </c>
      <c r="L239">
        <f>IFERROR($C239*INDEX(SPPR!$E:$X,MATCH($A239,SPPR!$A:$A,0),9),"")</f>
        <v/>
      </c>
      <c r="M239">
        <f>IFERROR($C239*INDEX(SPPR!$E:$X,MATCH($A239,SPPR!$A:$A,0),10),"")</f>
        <v/>
      </c>
      <c r="N239">
        <f>IFERROR($C239*INDEX(SPPR!$E:$X,MATCH($A239,SPPR!$A:$A,0),11),"")</f>
        <v/>
      </c>
      <c r="O239">
        <f>IFERROR($C239*INDEX(SPPR!$E:$X,MATCH($A239,SPPR!$A:$A,0),12),"")</f>
        <v/>
      </c>
      <c r="P239">
        <f>IFERROR($C239*INDEX(SPPR!$E:$X,MATCH($A239,SPPR!$A:$A,0),13),"")</f>
        <v/>
      </c>
      <c r="Q239">
        <f>IFERROR($C239*INDEX(SPPR!$E:$X,MATCH($A239,SPPR!$A:$A,0),14),"")</f>
        <v/>
      </c>
      <c r="R239">
        <f>IFERROR($C239*INDEX(SPPR!$E:$X,MATCH($A239,SPPR!$A:$A,0),15),"")</f>
        <v/>
      </c>
      <c r="S239">
        <f>IFERROR($C239*INDEX(SPPR!$E:$X,MATCH($A239,SPPR!$A:$A,0),16),"")</f>
        <v/>
      </c>
      <c r="T239">
        <f>IFERROR($C239*INDEX(SPPR!$E:$X,MATCH($A239,SPPR!$A:$A,0),17),"")</f>
        <v/>
      </c>
      <c r="U239">
        <f>IFERROR($C239*INDEX(SPPR!$E:$X,MATCH($A239,SPPR!$A:$A,0),18),"")</f>
        <v/>
      </c>
      <c r="V239">
        <f>IFERROR($C239*INDEX(SPPR!$E:$X,MATCH($A239,SPPR!$A:$A,0),19),"")</f>
        <v/>
      </c>
      <c r="W239">
        <f>IFERROR($C239*INDEX(SPPR!$E:$X,MATCH($A239,SPPR!$A:$A,0),20),"")</f>
        <v/>
      </c>
    </row>
    <row r="240">
      <c r="A240" t="inlineStr">
        <is>
          <t>Leptomelanosoma indicum</t>
        </is>
      </c>
      <c r="B240">
        <f>IFERROR(INDEX(SPPR!$D:$D,MATCH($A240,SPPR!$A:$A,0)),"")</f>
        <v/>
      </c>
      <c r="C240">
        <f>IFERROR(INDEX(Catch!$E:$BV,MATCH($A240,Catch!$A:$A,0),MATCH($B$4,Catch!$E$1:$BV$1,0)),0)</f>
        <v/>
      </c>
      <c r="D240">
        <f>IFERROR($C240*INDEX(SPPR!$E:$X,MATCH($A240,SPPR!$A:$A,0),1),"")</f>
        <v/>
      </c>
      <c r="E240">
        <f>IFERROR($C240*INDEX(SPPR!$E:$X,MATCH($A240,SPPR!$A:$A,0),2),"")</f>
        <v/>
      </c>
      <c r="F240">
        <f>IFERROR($C240*INDEX(SPPR!$E:$X,MATCH($A240,SPPR!$A:$A,0),3),"")</f>
        <v/>
      </c>
      <c r="G240">
        <f>IFERROR($C240*INDEX(SPPR!$E:$X,MATCH($A240,SPPR!$A:$A,0),4),"")</f>
        <v/>
      </c>
      <c r="H240">
        <f>IFERROR($C240*INDEX(SPPR!$E:$X,MATCH($A240,SPPR!$A:$A,0),5),"")</f>
        <v/>
      </c>
      <c r="I240">
        <f>IFERROR($C240*INDEX(SPPR!$E:$X,MATCH($A240,SPPR!$A:$A,0),6),"")</f>
        <v/>
      </c>
      <c r="J240">
        <f>IFERROR($C240*INDEX(SPPR!$E:$X,MATCH($A240,SPPR!$A:$A,0),7),"")</f>
        <v/>
      </c>
      <c r="K240">
        <f>IFERROR($C240*INDEX(SPPR!$E:$X,MATCH($A240,SPPR!$A:$A,0),8),"")</f>
        <v/>
      </c>
      <c r="L240">
        <f>IFERROR($C240*INDEX(SPPR!$E:$X,MATCH($A240,SPPR!$A:$A,0),9),"")</f>
        <v/>
      </c>
      <c r="M240">
        <f>IFERROR($C240*INDEX(SPPR!$E:$X,MATCH($A240,SPPR!$A:$A,0),10),"")</f>
        <v/>
      </c>
      <c r="N240">
        <f>IFERROR($C240*INDEX(SPPR!$E:$X,MATCH($A240,SPPR!$A:$A,0),11),"")</f>
        <v/>
      </c>
      <c r="O240">
        <f>IFERROR($C240*INDEX(SPPR!$E:$X,MATCH($A240,SPPR!$A:$A,0),12),"")</f>
        <v/>
      </c>
      <c r="P240">
        <f>IFERROR($C240*INDEX(SPPR!$E:$X,MATCH($A240,SPPR!$A:$A,0),13),"")</f>
        <v/>
      </c>
      <c r="Q240">
        <f>IFERROR($C240*INDEX(SPPR!$E:$X,MATCH($A240,SPPR!$A:$A,0),14),"")</f>
        <v/>
      </c>
      <c r="R240">
        <f>IFERROR($C240*INDEX(SPPR!$E:$X,MATCH($A240,SPPR!$A:$A,0),15),"")</f>
        <v/>
      </c>
      <c r="S240">
        <f>IFERROR($C240*INDEX(SPPR!$E:$X,MATCH($A240,SPPR!$A:$A,0),16),"")</f>
        <v/>
      </c>
      <c r="T240">
        <f>IFERROR($C240*INDEX(SPPR!$E:$X,MATCH($A240,SPPR!$A:$A,0),17),"")</f>
        <v/>
      </c>
      <c r="U240">
        <f>IFERROR($C240*INDEX(SPPR!$E:$X,MATCH($A240,SPPR!$A:$A,0),18),"")</f>
        <v/>
      </c>
      <c r="V240">
        <f>IFERROR($C240*INDEX(SPPR!$E:$X,MATCH($A240,SPPR!$A:$A,0),19),"")</f>
        <v/>
      </c>
      <c r="W240">
        <f>IFERROR($C240*INDEX(SPPR!$E:$X,MATCH($A240,SPPR!$A:$A,0),20),"")</f>
        <v/>
      </c>
    </row>
    <row r="241">
      <c r="A241" t="inlineStr">
        <is>
          <t>Gobiidae</t>
        </is>
      </c>
      <c r="B241">
        <f>IFERROR(INDEX(SPPR!$D:$D,MATCH($A241,SPPR!$A:$A,0)),"")</f>
        <v/>
      </c>
      <c r="C241">
        <f>IFERROR(INDEX(Catch!$E:$BV,MATCH($A241,Catch!$A:$A,0),MATCH($B$4,Catch!$E$1:$BV$1,0)),0)</f>
        <v/>
      </c>
      <c r="D241">
        <f>IFERROR($C241*INDEX(SPPR!$E:$X,MATCH($A241,SPPR!$A:$A,0),1),"")</f>
        <v/>
      </c>
      <c r="E241">
        <f>IFERROR($C241*INDEX(SPPR!$E:$X,MATCH($A241,SPPR!$A:$A,0),2),"")</f>
        <v/>
      </c>
      <c r="F241">
        <f>IFERROR($C241*INDEX(SPPR!$E:$X,MATCH($A241,SPPR!$A:$A,0),3),"")</f>
        <v/>
      </c>
      <c r="G241">
        <f>IFERROR($C241*INDEX(SPPR!$E:$X,MATCH($A241,SPPR!$A:$A,0),4),"")</f>
        <v/>
      </c>
      <c r="H241">
        <f>IFERROR($C241*INDEX(SPPR!$E:$X,MATCH($A241,SPPR!$A:$A,0),5),"")</f>
        <v/>
      </c>
      <c r="I241">
        <f>IFERROR($C241*INDEX(SPPR!$E:$X,MATCH($A241,SPPR!$A:$A,0),6),"")</f>
        <v/>
      </c>
      <c r="J241">
        <f>IFERROR($C241*INDEX(SPPR!$E:$X,MATCH($A241,SPPR!$A:$A,0),7),"")</f>
        <v/>
      </c>
      <c r="K241">
        <f>IFERROR($C241*INDEX(SPPR!$E:$X,MATCH($A241,SPPR!$A:$A,0),8),"")</f>
        <v/>
      </c>
      <c r="L241">
        <f>IFERROR($C241*INDEX(SPPR!$E:$X,MATCH($A241,SPPR!$A:$A,0),9),"")</f>
        <v/>
      </c>
      <c r="M241">
        <f>IFERROR($C241*INDEX(SPPR!$E:$X,MATCH($A241,SPPR!$A:$A,0),10),"")</f>
        <v/>
      </c>
      <c r="N241">
        <f>IFERROR($C241*INDEX(SPPR!$E:$X,MATCH($A241,SPPR!$A:$A,0),11),"")</f>
        <v/>
      </c>
      <c r="O241">
        <f>IFERROR($C241*INDEX(SPPR!$E:$X,MATCH($A241,SPPR!$A:$A,0),12),"")</f>
        <v/>
      </c>
      <c r="P241">
        <f>IFERROR($C241*INDEX(SPPR!$E:$X,MATCH($A241,SPPR!$A:$A,0),13),"")</f>
        <v/>
      </c>
      <c r="Q241">
        <f>IFERROR($C241*INDEX(SPPR!$E:$X,MATCH($A241,SPPR!$A:$A,0),14),"")</f>
        <v/>
      </c>
      <c r="R241">
        <f>IFERROR($C241*INDEX(SPPR!$E:$X,MATCH($A241,SPPR!$A:$A,0),15),"")</f>
        <v/>
      </c>
      <c r="S241">
        <f>IFERROR($C241*INDEX(SPPR!$E:$X,MATCH($A241,SPPR!$A:$A,0),16),"")</f>
        <v/>
      </c>
      <c r="T241">
        <f>IFERROR($C241*INDEX(SPPR!$E:$X,MATCH($A241,SPPR!$A:$A,0),17),"")</f>
        <v/>
      </c>
      <c r="U241">
        <f>IFERROR($C241*INDEX(SPPR!$E:$X,MATCH($A241,SPPR!$A:$A,0),18),"")</f>
        <v/>
      </c>
      <c r="V241">
        <f>IFERROR($C241*INDEX(SPPR!$E:$X,MATCH($A241,SPPR!$A:$A,0),19),"")</f>
        <v/>
      </c>
      <c r="W241">
        <f>IFERROR($C241*INDEX(SPPR!$E:$X,MATCH($A241,SPPR!$A:$A,0),20),"")</f>
        <v/>
      </c>
    </row>
    <row r="242">
      <c r="A242" t="inlineStr">
        <is>
          <t>Epinephelus diacanthus</t>
        </is>
      </c>
      <c r="B242">
        <f>IFERROR(INDEX(SPPR!$D:$D,MATCH($A242,SPPR!$A:$A,0)),"")</f>
        <v/>
      </c>
      <c r="C242">
        <f>IFERROR(INDEX(Catch!$E:$BV,MATCH($A242,Catch!$A:$A,0),MATCH($B$4,Catch!$E$1:$BV$1,0)),0)</f>
        <v/>
      </c>
      <c r="D242">
        <f>IFERROR($C242*INDEX(SPPR!$E:$X,MATCH($A242,SPPR!$A:$A,0),1),"")</f>
        <v/>
      </c>
      <c r="E242">
        <f>IFERROR($C242*INDEX(SPPR!$E:$X,MATCH($A242,SPPR!$A:$A,0),2),"")</f>
        <v/>
      </c>
      <c r="F242">
        <f>IFERROR($C242*INDEX(SPPR!$E:$X,MATCH($A242,SPPR!$A:$A,0),3),"")</f>
        <v/>
      </c>
      <c r="G242">
        <f>IFERROR($C242*INDEX(SPPR!$E:$X,MATCH($A242,SPPR!$A:$A,0),4),"")</f>
        <v/>
      </c>
      <c r="H242">
        <f>IFERROR($C242*INDEX(SPPR!$E:$X,MATCH($A242,SPPR!$A:$A,0),5),"")</f>
        <v/>
      </c>
      <c r="I242">
        <f>IFERROR($C242*INDEX(SPPR!$E:$X,MATCH($A242,SPPR!$A:$A,0),6),"")</f>
        <v/>
      </c>
      <c r="J242">
        <f>IFERROR($C242*INDEX(SPPR!$E:$X,MATCH($A242,SPPR!$A:$A,0),7),"")</f>
        <v/>
      </c>
      <c r="K242">
        <f>IFERROR($C242*INDEX(SPPR!$E:$X,MATCH($A242,SPPR!$A:$A,0),8),"")</f>
        <v/>
      </c>
      <c r="L242">
        <f>IFERROR($C242*INDEX(SPPR!$E:$X,MATCH($A242,SPPR!$A:$A,0),9),"")</f>
        <v/>
      </c>
      <c r="M242">
        <f>IFERROR($C242*INDEX(SPPR!$E:$X,MATCH($A242,SPPR!$A:$A,0),10),"")</f>
        <v/>
      </c>
      <c r="N242">
        <f>IFERROR($C242*INDEX(SPPR!$E:$X,MATCH($A242,SPPR!$A:$A,0),11),"")</f>
        <v/>
      </c>
      <c r="O242">
        <f>IFERROR($C242*INDEX(SPPR!$E:$X,MATCH($A242,SPPR!$A:$A,0),12),"")</f>
        <v/>
      </c>
      <c r="P242">
        <f>IFERROR($C242*INDEX(SPPR!$E:$X,MATCH($A242,SPPR!$A:$A,0),13),"")</f>
        <v/>
      </c>
      <c r="Q242">
        <f>IFERROR($C242*INDEX(SPPR!$E:$X,MATCH($A242,SPPR!$A:$A,0),14),"")</f>
        <v/>
      </c>
      <c r="R242">
        <f>IFERROR($C242*INDEX(SPPR!$E:$X,MATCH($A242,SPPR!$A:$A,0),15),"")</f>
        <v/>
      </c>
      <c r="S242">
        <f>IFERROR($C242*INDEX(SPPR!$E:$X,MATCH($A242,SPPR!$A:$A,0),16),"")</f>
        <v/>
      </c>
      <c r="T242">
        <f>IFERROR($C242*INDEX(SPPR!$E:$X,MATCH($A242,SPPR!$A:$A,0),17),"")</f>
        <v/>
      </c>
      <c r="U242">
        <f>IFERROR($C242*INDEX(SPPR!$E:$X,MATCH($A242,SPPR!$A:$A,0),18),"")</f>
        <v/>
      </c>
      <c r="V242">
        <f>IFERROR($C242*INDEX(SPPR!$E:$X,MATCH($A242,SPPR!$A:$A,0),19),"")</f>
        <v/>
      </c>
      <c r="W242">
        <f>IFERROR($C242*INDEX(SPPR!$E:$X,MATCH($A242,SPPR!$A:$A,0),20),"")</f>
        <v/>
      </c>
    </row>
    <row r="243">
      <c r="A243" t="inlineStr">
        <is>
          <t>Cnidaria</t>
        </is>
      </c>
      <c r="B243">
        <f>IFERROR(INDEX(SPPR!$D:$D,MATCH($A243,SPPR!$A:$A,0)),"")</f>
        <v/>
      </c>
      <c r="C243">
        <f>IFERROR(INDEX(Catch!$E:$BV,MATCH($A243,Catch!$A:$A,0),MATCH($B$4,Catch!$E$1:$BV$1,0)),0)</f>
        <v/>
      </c>
      <c r="D243">
        <f>IFERROR($C243*INDEX(SPPR!$E:$X,MATCH($A243,SPPR!$A:$A,0),1),"")</f>
        <v/>
      </c>
      <c r="E243">
        <f>IFERROR($C243*INDEX(SPPR!$E:$X,MATCH($A243,SPPR!$A:$A,0),2),"")</f>
        <v/>
      </c>
      <c r="F243">
        <f>IFERROR($C243*INDEX(SPPR!$E:$X,MATCH($A243,SPPR!$A:$A,0),3),"")</f>
        <v/>
      </c>
      <c r="G243">
        <f>IFERROR($C243*INDEX(SPPR!$E:$X,MATCH($A243,SPPR!$A:$A,0),4),"")</f>
        <v/>
      </c>
      <c r="H243">
        <f>IFERROR($C243*INDEX(SPPR!$E:$X,MATCH($A243,SPPR!$A:$A,0),5),"")</f>
        <v/>
      </c>
      <c r="I243">
        <f>IFERROR($C243*INDEX(SPPR!$E:$X,MATCH($A243,SPPR!$A:$A,0),6),"")</f>
        <v/>
      </c>
      <c r="J243">
        <f>IFERROR($C243*INDEX(SPPR!$E:$X,MATCH($A243,SPPR!$A:$A,0),7),"")</f>
        <v/>
      </c>
      <c r="K243">
        <f>IFERROR($C243*INDEX(SPPR!$E:$X,MATCH($A243,SPPR!$A:$A,0),8),"")</f>
        <v/>
      </c>
      <c r="L243">
        <f>IFERROR($C243*INDEX(SPPR!$E:$X,MATCH($A243,SPPR!$A:$A,0),9),"")</f>
        <v/>
      </c>
      <c r="M243">
        <f>IFERROR($C243*INDEX(SPPR!$E:$X,MATCH($A243,SPPR!$A:$A,0),10),"")</f>
        <v/>
      </c>
      <c r="N243">
        <f>IFERROR($C243*INDEX(SPPR!$E:$X,MATCH($A243,SPPR!$A:$A,0),11),"")</f>
        <v/>
      </c>
      <c r="O243">
        <f>IFERROR($C243*INDEX(SPPR!$E:$X,MATCH($A243,SPPR!$A:$A,0),12),"")</f>
        <v/>
      </c>
      <c r="P243">
        <f>IFERROR($C243*INDEX(SPPR!$E:$X,MATCH($A243,SPPR!$A:$A,0),13),"")</f>
        <v/>
      </c>
      <c r="Q243">
        <f>IFERROR($C243*INDEX(SPPR!$E:$X,MATCH($A243,SPPR!$A:$A,0),14),"")</f>
        <v/>
      </c>
      <c r="R243">
        <f>IFERROR($C243*INDEX(SPPR!$E:$X,MATCH($A243,SPPR!$A:$A,0),15),"")</f>
        <v/>
      </c>
      <c r="S243">
        <f>IFERROR($C243*INDEX(SPPR!$E:$X,MATCH($A243,SPPR!$A:$A,0),16),"")</f>
        <v/>
      </c>
      <c r="T243">
        <f>IFERROR($C243*INDEX(SPPR!$E:$X,MATCH($A243,SPPR!$A:$A,0),17),"")</f>
        <v/>
      </c>
      <c r="U243">
        <f>IFERROR($C243*INDEX(SPPR!$E:$X,MATCH($A243,SPPR!$A:$A,0),18),"")</f>
        <v/>
      </c>
      <c r="V243">
        <f>IFERROR($C243*INDEX(SPPR!$E:$X,MATCH($A243,SPPR!$A:$A,0),19),"")</f>
        <v/>
      </c>
      <c r="W243">
        <f>IFERROR($C243*INDEX(SPPR!$E:$X,MATCH($A243,SPPR!$A:$A,0),20),"")</f>
        <v/>
      </c>
    </row>
    <row r="244">
      <c r="A244" t="inlineStr">
        <is>
          <t>Drepane</t>
        </is>
      </c>
      <c r="B244">
        <f>IFERROR(INDEX(SPPR!$D:$D,MATCH($A244,SPPR!$A:$A,0)),"")</f>
        <v/>
      </c>
      <c r="C244">
        <f>IFERROR(INDEX(Catch!$E:$BV,MATCH($A244,Catch!$A:$A,0),MATCH($B$4,Catch!$E$1:$BV$1,0)),0)</f>
        <v/>
      </c>
      <c r="D244">
        <f>IFERROR($C244*INDEX(SPPR!$E:$X,MATCH($A244,SPPR!$A:$A,0),1),"")</f>
        <v/>
      </c>
      <c r="E244">
        <f>IFERROR($C244*INDEX(SPPR!$E:$X,MATCH($A244,SPPR!$A:$A,0),2),"")</f>
        <v/>
      </c>
      <c r="F244">
        <f>IFERROR($C244*INDEX(SPPR!$E:$X,MATCH($A244,SPPR!$A:$A,0),3),"")</f>
        <v/>
      </c>
      <c r="G244">
        <f>IFERROR($C244*INDEX(SPPR!$E:$X,MATCH($A244,SPPR!$A:$A,0),4),"")</f>
        <v/>
      </c>
      <c r="H244">
        <f>IFERROR($C244*INDEX(SPPR!$E:$X,MATCH($A244,SPPR!$A:$A,0),5),"")</f>
        <v/>
      </c>
      <c r="I244">
        <f>IFERROR($C244*INDEX(SPPR!$E:$X,MATCH($A244,SPPR!$A:$A,0),6),"")</f>
        <v/>
      </c>
      <c r="J244">
        <f>IFERROR($C244*INDEX(SPPR!$E:$X,MATCH($A244,SPPR!$A:$A,0),7),"")</f>
        <v/>
      </c>
      <c r="K244">
        <f>IFERROR($C244*INDEX(SPPR!$E:$X,MATCH($A244,SPPR!$A:$A,0),8),"")</f>
        <v/>
      </c>
      <c r="L244">
        <f>IFERROR($C244*INDEX(SPPR!$E:$X,MATCH($A244,SPPR!$A:$A,0),9),"")</f>
        <v/>
      </c>
      <c r="M244">
        <f>IFERROR($C244*INDEX(SPPR!$E:$X,MATCH($A244,SPPR!$A:$A,0),10),"")</f>
        <v/>
      </c>
      <c r="N244">
        <f>IFERROR($C244*INDEX(SPPR!$E:$X,MATCH($A244,SPPR!$A:$A,0),11),"")</f>
        <v/>
      </c>
      <c r="O244">
        <f>IFERROR($C244*INDEX(SPPR!$E:$X,MATCH($A244,SPPR!$A:$A,0),12),"")</f>
        <v/>
      </c>
      <c r="P244">
        <f>IFERROR($C244*INDEX(SPPR!$E:$X,MATCH($A244,SPPR!$A:$A,0),13),"")</f>
        <v/>
      </c>
      <c r="Q244">
        <f>IFERROR($C244*INDEX(SPPR!$E:$X,MATCH($A244,SPPR!$A:$A,0),14),"")</f>
        <v/>
      </c>
      <c r="R244">
        <f>IFERROR($C244*INDEX(SPPR!$E:$X,MATCH($A244,SPPR!$A:$A,0),15),"")</f>
        <v/>
      </c>
      <c r="S244">
        <f>IFERROR($C244*INDEX(SPPR!$E:$X,MATCH($A244,SPPR!$A:$A,0),16),"")</f>
        <v/>
      </c>
      <c r="T244">
        <f>IFERROR($C244*INDEX(SPPR!$E:$X,MATCH($A244,SPPR!$A:$A,0),17),"")</f>
        <v/>
      </c>
      <c r="U244">
        <f>IFERROR($C244*INDEX(SPPR!$E:$X,MATCH($A244,SPPR!$A:$A,0),18),"")</f>
        <v/>
      </c>
      <c r="V244">
        <f>IFERROR($C244*INDEX(SPPR!$E:$X,MATCH($A244,SPPR!$A:$A,0),19),"")</f>
        <v/>
      </c>
      <c r="W244">
        <f>IFERROR($C244*INDEX(SPPR!$E:$X,MATCH($A244,SPPR!$A:$A,0),20),"")</f>
        <v/>
      </c>
    </row>
    <row r="245">
      <c r="A245" t="inlineStr">
        <is>
          <t>Alopias pelagicus</t>
        </is>
      </c>
      <c r="B245">
        <f>IFERROR(INDEX(SPPR!$D:$D,MATCH($A245,SPPR!$A:$A,0)),"")</f>
        <v/>
      </c>
      <c r="C245">
        <f>IFERROR(INDEX(Catch!$E:$BV,MATCH($A245,Catch!$A:$A,0),MATCH($B$4,Catch!$E$1:$BV$1,0)),0)</f>
        <v/>
      </c>
      <c r="D245">
        <f>IFERROR($C245*INDEX(SPPR!$E:$X,MATCH($A245,SPPR!$A:$A,0),1),"")</f>
        <v/>
      </c>
      <c r="E245">
        <f>IFERROR($C245*INDEX(SPPR!$E:$X,MATCH($A245,SPPR!$A:$A,0),2),"")</f>
        <v/>
      </c>
      <c r="F245">
        <f>IFERROR($C245*INDEX(SPPR!$E:$X,MATCH($A245,SPPR!$A:$A,0),3),"")</f>
        <v/>
      </c>
      <c r="G245">
        <f>IFERROR($C245*INDEX(SPPR!$E:$X,MATCH($A245,SPPR!$A:$A,0),4),"")</f>
        <v/>
      </c>
      <c r="H245">
        <f>IFERROR($C245*INDEX(SPPR!$E:$X,MATCH($A245,SPPR!$A:$A,0),5),"")</f>
        <v/>
      </c>
      <c r="I245">
        <f>IFERROR($C245*INDEX(SPPR!$E:$X,MATCH($A245,SPPR!$A:$A,0),6),"")</f>
        <v/>
      </c>
      <c r="J245">
        <f>IFERROR($C245*INDEX(SPPR!$E:$X,MATCH($A245,SPPR!$A:$A,0),7),"")</f>
        <v/>
      </c>
      <c r="K245">
        <f>IFERROR($C245*INDEX(SPPR!$E:$X,MATCH($A245,SPPR!$A:$A,0),8),"")</f>
        <v/>
      </c>
      <c r="L245">
        <f>IFERROR($C245*INDEX(SPPR!$E:$X,MATCH($A245,SPPR!$A:$A,0),9),"")</f>
        <v/>
      </c>
      <c r="M245">
        <f>IFERROR($C245*INDEX(SPPR!$E:$X,MATCH($A245,SPPR!$A:$A,0),10),"")</f>
        <v/>
      </c>
      <c r="N245">
        <f>IFERROR($C245*INDEX(SPPR!$E:$X,MATCH($A245,SPPR!$A:$A,0),11),"")</f>
        <v/>
      </c>
      <c r="O245">
        <f>IFERROR($C245*INDEX(SPPR!$E:$X,MATCH($A245,SPPR!$A:$A,0),12),"")</f>
        <v/>
      </c>
      <c r="P245">
        <f>IFERROR($C245*INDEX(SPPR!$E:$X,MATCH($A245,SPPR!$A:$A,0),13),"")</f>
        <v/>
      </c>
      <c r="Q245">
        <f>IFERROR($C245*INDEX(SPPR!$E:$X,MATCH($A245,SPPR!$A:$A,0),14),"")</f>
        <v/>
      </c>
      <c r="R245">
        <f>IFERROR($C245*INDEX(SPPR!$E:$X,MATCH($A245,SPPR!$A:$A,0),15),"")</f>
        <v/>
      </c>
      <c r="S245">
        <f>IFERROR($C245*INDEX(SPPR!$E:$X,MATCH($A245,SPPR!$A:$A,0),16),"")</f>
        <v/>
      </c>
      <c r="T245">
        <f>IFERROR($C245*INDEX(SPPR!$E:$X,MATCH($A245,SPPR!$A:$A,0),17),"")</f>
        <v/>
      </c>
      <c r="U245">
        <f>IFERROR($C245*INDEX(SPPR!$E:$X,MATCH($A245,SPPR!$A:$A,0),18),"")</f>
        <v/>
      </c>
      <c r="V245">
        <f>IFERROR($C245*INDEX(SPPR!$E:$X,MATCH($A245,SPPR!$A:$A,0),19),"")</f>
        <v/>
      </c>
      <c r="W245">
        <f>IFERROR($C245*INDEX(SPPR!$E:$X,MATCH($A245,SPPR!$A:$A,0),20),"")</f>
        <v/>
      </c>
    </row>
    <row r="246">
      <c r="A246" t="inlineStr">
        <is>
          <t>Brama brama</t>
        </is>
      </c>
      <c r="B246">
        <f>IFERROR(INDEX(SPPR!$D:$D,MATCH($A246,SPPR!$A:$A,0)),"")</f>
        <v/>
      </c>
      <c r="C246">
        <f>IFERROR(INDEX(Catch!$E:$BV,MATCH($A246,Catch!$A:$A,0),MATCH($B$4,Catch!$E$1:$BV$1,0)),0)</f>
        <v/>
      </c>
      <c r="D246">
        <f>IFERROR($C246*INDEX(SPPR!$E:$X,MATCH($A246,SPPR!$A:$A,0),1),"")</f>
        <v/>
      </c>
      <c r="E246">
        <f>IFERROR($C246*INDEX(SPPR!$E:$X,MATCH($A246,SPPR!$A:$A,0),2),"")</f>
        <v/>
      </c>
      <c r="F246">
        <f>IFERROR($C246*INDEX(SPPR!$E:$X,MATCH($A246,SPPR!$A:$A,0),3),"")</f>
        <v/>
      </c>
      <c r="G246">
        <f>IFERROR($C246*INDEX(SPPR!$E:$X,MATCH($A246,SPPR!$A:$A,0),4),"")</f>
        <v/>
      </c>
      <c r="H246">
        <f>IFERROR($C246*INDEX(SPPR!$E:$X,MATCH($A246,SPPR!$A:$A,0),5),"")</f>
        <v/>
      </c>
      <c r="I246">
        <f>IFERROR($C246*INDEX(SPPR!$E:$X,MATCH($A246,SPPR!$A:$A,0),6),"")</f>
        <v/>
      </c>
      <c r="J246">
        <f>IFERROR($C246*INDEX(SPPR!$E:$X,MATCH($A246,SPPR!$A:$A,0),7),"")</f>
        <v/>
      </c>
      <c r="K246">
        <f>IFERROR($C246*INDEX(SPPR!$E:$X,MATCH($A246,SPPR!$A:$A,0),8),"")</f>
        <v/>
      </c>
      <c r="L246">
        <f>IFERROR($C246*INDEX(SPPR!$E:$X,MATCH($A246,SPPR!$A:$A,0),9),"")</f>
        <v/>
      </c>
      <c r="M246">
        <f>IFERROR($C246*INDEX(SPPR!$E:$X,MATCH($A246,SPPR!$A:$A,0),10),"")</f>
        <v/>
      </c>
      <c r="N246">
        <f>IFERROR($C246*INDEX(SPPR!$E:$X,MATCH($A246,SPPR!$A:$A,0),11),"")</f>
        <v/>
      </c>
      <c r="O246">
        <f>IFERROR($C246*INDEX(SPPR!$E:$X,MATCH($A246,SPPR!$A:$A,0),12),"")</f>
        <v/>
      </c>
      <c r="P246">
        <f>IFERROR($C246*INDEX(SPPR!$E:$X,MATCH($A246,SPPR!$A:$A,0),13),"")</f>
        <v/>
      </c>
      <c r="Q246">
        <f>IFERROR($C246*INDEX(SPPR!$E:$X,MATCH($A246,SPPR!$A:$A,0),14),"")</f>
        <v/>
      </c>
      <c r="R246">
        <f>IFERROR($C246*INDEX(SPPR!$E:$X,MATCH($A246,SPPR!$A:$A,0),15),"")</f>
        <v/>
      </c>
      <c r="S246">
        <f>IFERROR($C246*INDEX(SPPR!$E:$X,MATCH($A246,SPPR!$A:$A,0),16),"")</f>
        <v/>
      </c>
      <c r="T246">
        <f>IFERROR($C246*INDEX(SPPR!$E:$X,MATCH($A246,SPPR!$A:$A,0),17),"")</f>
        <v/>
      </c>
      <c r="U246">
        <f>IFERROR($C246*INDEX(SPPR!$E:$X,MATCH($A246,SPPR!$A:$A,0),18),"")</f>
        <v/>
      </c>
      <c r="V246">
        <f>IFERROR($C246*INDEX(SPPR!$E:$X,MATCH($A246,SPPR!$A:$A,0),19),"")</f>
        <v/>
      </c>
      <c r="W246">
        <f>IFERROR($C246*INDEX(SPPR!$E:$X,MATCH($A246,SPPR!$A:$A,0),20),"")</f>
        <v/>
      </c>
    </row>
    <row r="247">
      <c r="A247" t="inlineStr">
        <is>
          <t>Aprion virescens</t>
        </is>
      </c>
      <c r="B247">
        <f>IFERROR(INDEX(SPPR!$D:$D,MATCH($A247,SPPR!$A:$A,0)),"")</f>
        <v/>
      </c>
      <c r="C247">
        <f>IFERROR(INDEX(Catch!$E:$BV,MATCH($A247,Catch!$A:$A,0),MATCH($B$4,Catch!$E$1:$BV$1,0)),0)</f>
        <v/>
      </c>
      <c r="D247">
        <f>IFERROR($C247*INDEX(SPPR!$E:$X,MATCH($A247,SPPR!$A:$A,0),1),"")</f>
        <v/>
      </c>
      <c r="E247">
        <f>IFERROR($C247*INDEX(SPPR!$E:$X,MATCH($A247,SPPR!$A:$A,0),2),"")</f>
        <v/>
      </c>
      <c r="F247">
        <f>IFERROR($C247*INDEX(SPPR!$E:$X,MATCH($A247,SPPR!$A:$A,0),3),"")</f>
        <v/>
      </c>
      <c r="G247">
        <f>IFERROR($C247*INDEX(SPPR!$E:$X,MATCH($A247,SPPR!$A:$A,0),4),"")</f>
        <v/>
      </c>
      <c r="H247">
        <f>IFERROR($C247*INDEX(SPPR!$E:$X,MATCH($A247,SPPR!$A:$A,0),5),"")</f>
        <v/>
      </c>
      <c r="I247">
        <f>IFERROR($C247*INDEX(SPPR!$E:$X,MATCH($A247,SPPR!$A:$A,0),6),"")</f>
        <v/>
      </c>
      <c r="J247">
        <f>IFERROR($C247*INDEX(SPPR!$E:$X,MATCH($A247,SPPR!$A:$A,0),7),"")</f>
        <v/>
      </c>
      <c r="K247">
        <f>IFERROR($C247*INDEX(SPPR!$E:$X,MATCH($A247,SPPR!$A:$A,0),8),"")</f>
        <v/>
      </c>
      <c r="L247">
        <f>IFERROR($C247*INDEX(SPPR!$E:$X,MATCH($A247,SPPR!$A:$A,0),9),"")</f>
        <v/>
      </c>
      <c r="M247">
        <f>IFERROR($C247*INDEX(SPPR!$E:$X,MATCH($A247,SPPR!$A:$A,0),10),"")</f>
        <v/>
      </c>
      <c r="N247">
        <f>IFERROR($C247*INDEX(SPPR!$E:$X,MATCH($A247,SPPR!$A:$A,0),11),"")</f>
        <v/>
      </c>
      <c r="O247">
        <f>IFERROR($C247*INDEX(SPPR!$E:$X,MATCH($A247,SPPR!$A:$A,0),12),"")</f>
        <v/>
      </c>
      <c r="P247">
        <f>IFERROR($C247*INDEX(SPPR!$E:$X,MATCH($A247,SPPR!$A:$A,0),13),"")</f>
        <v/>
      </c>
      <c r="Q247">
        <f>IFERROR($C247*INDEX(SPPR!$E:$X,MATCH($A247,SPPR!$A:$A,0),14),"")</f>
        <v/>
      </c>
      <c r="R247">
        <f>IFERROR($C247*INDEX(SPPR!$E:$X,MATCH($A247,SPPR!$A:$A,0),15),"")</f>
        <v/>
      </c>
      <c r="S247">
        <f>IFERROR($C247*INDEX(SPPR!$E:$X,MATCH($A247,SPPR!$A:$A,0),16),"")</f>
        <v/>
      </c>
      <c r="T247">
        <f>IFERROR($C247*INDEX(SPPR!$E:$X,MATCH($A247,SPPR!$A:$A,0),17),"")</f>
        <v/>
      </c>
      <c r="U247">
        <f>IFERROR($C247*INDEX(SPPR!$E:$X,MATCH($A247,SPPR!$A:$A,0),18),"")</f>
        <v/>
      </c>
      <c r="V247">
        <f>IFERROR($C247*INDEX(SPPR!$E:$X,MATCH($A247,SPPR!$A:$A,0),19),"")</f>
        <v/>
      </c>
      <c r="W247">
        <f>IFERROR($C247*INDEX(SPPR!$E:$X,MATCH($A247,SPPR!$A:$A,0),20),"")</f>
        <v/>
      </c>
    </row>
    <row r="248">
      <c r="A248" t="inlineStr">
        <is>
          <t>Thunnus alalunga</t>
        </is>
      </c>
      <c r="B248">
        <f>IFERROR(INDEX(SPPR!$D:$D,MATCH($A248,SPPR!$A:$A,0)),"")</f>
        <v/>
      </c>
      <c r="C248">
        <f>IFERROR(INDEX(Catch!$E:$BV,MATCH($A248,Catch!$A:$A,0),MATCH($B$4,Catch!$E$1:$BV$1,0)),0)</f>
        <v/>
      </c>
      <c r="D248">
        <f>IFERROR($C248*INDEX(SPPR!$E:$X,MATCH($A248,SPPR!$A:$A,0),1),"")</f>
        <v/>
      </c>
      <c r="E248">
        <f>IFERROR($C248*INDEX(SPPR!$E:$X,MATCH($A248,SPPR!$A:$A,0),2),"")</f>
        <v/>
      </c>
      <c r="F248">
        <f>IFERROR($C248*INDEX(SPPR!$E:$X,MATCH($A248,SPPR!$A:$A,0),3),"")</f>
        <v/>
      </c>
      <c r="G248">
        <f>IFERROR($C248*INDEX(SPPR!$E:$X,MATCH($A248,SPPR!$A:$A,0),4),"")</f>
        <v/>
      </c>
      <c r="H248">
        <f>IFERROR($C248*INDEX(SPPR!$E:$X,MATCH($A248,SPPR!$A:$A,0),5),"")</f>
        <v/>
      </c>
      <c r="I248">
        <f>IFERROR($C248*INDEX(SPPR!$E:$X,MATCH($A248,SPPR!$A:$A,0),6),"")</f>
        <v/>
      </c>
      <c r="J248">
        <f>IFERROR($C248*INDEX(SPPR!$E:$X,MATCH($A248,SPPR!$A:$A,0),7),"")</f>
        <v/>
      </c>
      <c r="K248">
        <f>IFERROR($C248*INDEX(SPPR!$E:$X,MATCH($A248,SPPR!$A:$A,0),8),"")</f>
        <v/>
      </c>
      <c r="L248">
        <f>IFERROR($C248*INDEX(SPPR!$E:$X,MATCH($A248,SPPR!$A:$A,0),9),"")</f>
        <v/>
      </c>
      <c r="M248">
        <f>IFERROR($C248*INDEX(SPPR!$E:$X,MATCH($A248,SPPR!$A:$A,0),10),"")</f>
        <v/>
      </c>
      <c r="N248">
        <f>IFERROR($C248*INDEX(SPPR!$E:$X,MATCH($A248,SPPR!$A:$A,0),11),"")</f>
        <v/>
      </c>
      <c r="O248">
        <f>IFERROR($C248*INDEX(SPPR!$E:$X,MATCH($A248,SPPR!$A:$A,0),12),"")</f>
        <v/>
      </c>
      <c r="P248">
        <f>IFERROR($C248*INDEX(SPPR!$E:$X,MATCH($A248,SPPR!$A:$A,0),13),"")</f>
        <v/>
      </c>
      <c r="Q248">
        <f>IFERROR($C248*INDEX(SPPR!$E:$X,MATCH($A248,SPPR!$A:$A,0),14),"")</f>
        <v/>
      </c>
      <c r="R248">
        <f>IFERROR($C248*INDEX(SPPR!$E:$X,MATCH($A248,SPPR!$A:$A,0),15),"")</f>
        <v/>
      </c>
      <c r="S248">
        <f>IFERROR($C248*INDEX(SPPR!$E:$X,MATCH($A248,SPPR!$A:$A,0),16),"")</f>
        <v/>
      </c>
      <c r="T248">
        <f>IFERROR($C248*INDEX(SPPR!$E:$X,MATCH($A248,SPPR!$A:$A,0),17),"")</f>
        <v/>
      </c>
      <c r="U248">
        <f>IFERROR($C248*INDEX(SPPR!$E:$X,MATCH($A248,SPPR!$A:$A,0),18),"")</f>
        <v/>
      </c>
      <c r="V248">
        <f>IFERROR($C248*INDEX(SPPR!$E:$X,MATCH($A248,SPPR!$A:$A,0),19),"")</f>
        <v/>
      </c>
      <c r="W248">
        <f>IFERROR($C248*INDEX(SPPR!$E:$X,MATCH($A248,SPPR!$A:$A,0),20),"")</f>
        <v/>
      </c>
    </row>
    <row r="249">
      <c r="A249" t="inlineStr">
        <is>
          <t>Epinephelus chlorostigma</t>
        </is>
      </c>
      <c r="B249">
        <f>IFERROR(INDEX(SPPR!$D:$D,MATCH($A249,SPPR!$A:$A,0)),"")</f>
        <v/>
      </c>
      <c r="C249">
        <f>IFERROR(INDEX(Catch!$E:$BV,MATCH($A249,Catch!$A:$A,0),MATCH($B$4,Catch!$E$1:$BV$1,0)),0)</f>
        <v/>
      </c>
      <c r="D249">
        <f>IFERROR($C249*INDEX(SPPR!$E:$X,MATCH($A249,SPPR!$A:$A,0),1),"")</f>
        <v/>
      </c>
      <c r="E249">
        <f>IFERROR($C249*INDEX(SPPR!$E:$X,MATCH($A249,SPPR!$A:$A,0),2),"")</f>
        <v/>
      </c>
      <c r="F249">
        <f>IFERROR($C249*INDEX(SPPR!$E:$X,MATCH($A249,SPPR!$A:$A,0),3),"")</f>
        <v/>
      </c>
      <c r="G249">
        <f>IFERROR($C249*INDEX(SPPR!$E:$X,MATCH($A249,SPPR!$A:$A,0),4),"")</f>
        <v/>
      </c>
      <c r="H249">
        <f>IFERROR($C249*INDEX(SPPR!$E:$X,MATCH($A249,SPPR!$A:$A,0),5),"")</f>
        <v/>
      </c>
      <c r="I249">
        <f>IFERROR($C249*INDEX(SPPR!$E:$X,MATCH($A249,SPPR!$A:$A,0),6),"")</f>
        <v/>
      </c>
      <c r="J249">
        <f>IFERROR($C249*INDEX(SPPR!$E:$X,MATCH($A249,SPPR!$A:$A,0),7),"")</f>
        <v/>
      </c>
      <c r="K249">
        <f>IFERROR($C249*INDEX(SPPR!$E:$X,MATCH($A249,SPPR!$A:$A,0),8),"")</f>
        <v/>
      </c>
      <c r="L249">
        <f>IFERROR($C249*INDEX(SPPR!$E:$X,MATCH($A249,SPPR!$A:$A,0),9),"")</f>
        <v/>
      </c>
      <c r="M249">
        <f>IFERROR($C249*INDEX(SPPR!$E:$X,MATCH($A249,SPPR!$A:$A,0),10),"")</f>
        <v/>
      </c>
      <c r="N249">
        <f>IFERROR($C249*INDEX(SPPR!$E:$X,MATCH($A249,SPPR!$A:$A,0),11),"")</f>
        <v/>
      </c>
      <c r="O249">
        <f>IFERROR($C249*INDEX(SPPR!$E:$X,MATCH($A249,SPPR!$A:$A,0),12),"")</f>
        <v/>
      </c>
      <c r="P249">
        <f>IFERROR($C249*INDEX(SPPR!$E:$X,MATCH($A249,SPPR!$A:$A,0),13),"")</f>
        <v/>
      </c>
      <c r="Q249">
        <f>IFERROR($C249*INDEX(SPPR!$E:$X,MATCH($A249,SPPR!$A:$A,0),14),"")</f>
        <v/>
      </c>
      <c r="R249">
        <f>IFERROR($C249*INDEX(SPPR!$E:$X,MATCH($A249,SPPR!$A:$A,0),15),"")</f>
        <v/>
      </c>
      <c r="S249">
        <f>IFERROR($C249*INDEX(SPPR!$E:$X,MATCH($A249,SPPR!$A:$A,0),16),"")</f>
        <v/>
      </c>
      <c r="T249">
        <f>IFERROR($C249*INDEX(SPPR!$E:$X,MATCH($A249,SPPR!$A:$A,0),17),"")</f>
        <v/>
      </c>
      <c r="U249">
        <f>IFERROR($C249*INDEX(SPPR!$E:$X,MATCH($A249,SPPR!$A:$A,0),18),"")</f>
        <v/>
      </c>
      <c r="V249">
        <f>IFERROR($C249*INDEX(SPPR!$E:$X,MATCH($A249,SPPR!$A:$A,0),19),"")</f>
        <v/>
      </c>
      <c r="W249">
        <f>IFERROR($C249*INDEX(SPPR!$E:$X,MATCH($A249,SPPR!$A:$A,0),20),"")</f>
        <v/>
      </c>
    </row>
    <row r="250">
      <c r="A250" t="inlineStr">
        <is>
          <t>Ophichthidae</t>
        </is>
      </c>
      <c r="B250">
        <f>IFERROR(INDEX(SPPR!$D:$D,MATCH($A250,SPPR!$A:$A,0)),"")</f>
        <v/>
      </c>
      <c r="C250">
        <f>IFERROR(INDEX(Catch!$E:$BV,MATCH($A250,Catch!$A:$A,0),MATCH($B$4,Catch!$E$1:$BV$1,0)),0)</f>
        <v/>
      </c>
      <c r="D250">
        <f>IFERROR($C250*INDEX(SPPR!$E:$X,MATCH($A250,SPPR!$A:$A,0),1),"")</f>
        <v/>
      </c>
      <c r="E250">
        <f>IFERROR($C250*INDEX(SPPR!$E:$X,MATCH($A250,SPPR!$A:$A,0),2),"")</f>
        <v/>
      </c>
      <c r="F250">
        <f>IFERROR($C250*INDEX(SPPR!$E:$X,MATCH($A250,SPPR!$A:$A,0),3),"")</f>
        <v/>
      </c>
      <c r="G250">
        <f>IFERROR($C250*INDEX(SPPR!$E:$X,MATCH($A250,SPPR!$A:$A,0),4),"")</f>
        <v/>
      </c>
      <c r="H250">
        <f>IFERROR($C250*INDEX(SPPR!$E:$X,MATCH($A250,SPPR!$A:$A,0),5),"")</f>
        <v/>
      </c>
      <c r="I250">
        <f>IFERROR($C250*INDEX(SPPR!$E:$X,MATCH($A250,SPPR!$A:$A,0),6),"")</f>
        <v/>
      </c>
      <c r="J250">
        <f>IFERROR($C250*INDEX(SPPR!$E:$X,MATCH($A250,SPPR!$A:$A,0),7),"")</f>
        <v/>
      </c>
      <c r="K250">
        <f>IFERROR($C250*INDEX(SPPR!$E:$X,MATCH($A250,SPPR!$A:$A,0),8),"")</f>
        <v/>
      </c>
      <c r="L250">
        <f>IFERROR($C250*INDEX(SPPR!$E:$X,MATCH($A250,SPPR!$A:$A,0),9),"")</f>
        <v/>
      </c>
      <c r="M250">
        <f>IFERROR($C250*INDEX(SPPR!$E:$X,MATCH($A250,SPPR!$A:$A,0),10),"")</f>
        <v/>
      </c>
      <c r="N250">
        <f>IFERROR($C250*INDEX(SPPR!$E:$X,MATCH($A250,SPPR!$A:$A,0),11),"")</f>
        <v/>
      </c>
      <c r="O250">
        <f>IFERROR($C250*INDEX(SPPR!$E:$X,MATCH($A250,SPPR!$A:$A,0),12),"")</f>
        <v/>
      </c>
      <c r="P250">
        <f>IFERROR($C250*INDEX(SPPR!$E:$X,MATCH($A250,SPPR!$A:$A,0),13),"")</f>
        <v/>
      </c>
      <c r="Q250">
        <f>IFERROR($C250*INDEX(SPPR!$E:$X,MATCH($A250,SPPR!$A:$A,0),14),"")</f>
        <v/>
      </c>
      <c r="R250">
        <f>IFERROR($C250*INDEX(SPPR!$E:$X,MATCH($A250,SPPR!$A:$A,0),15),"")</f>
        <v/>
      </c>
      <c r="S250">
        <f>IFERROR($C250*INDEX(SPPR!$E:$X,MATCH($A250,SPPR!$A:$A,0),16),"")</f>
        <v/>
      </c>
      <c r="T250">
        <f>IFERROR($C250*INDEX(SPPR!$E:$X,MATCH($A250,SPPR!$A:$A,0),17),"")</f>
        <v/>
      </c>
      <c r="U250">
        <f>IFERROR($C250*INDEX(SPPR!$E:$X,MATCH($A250,SPPR!$A:$A,0),18),"")</f>
        <v/>
      </c>
      <c r="V250">
        <f>IFERROR($C250*INDEX(SPPR!$E:$X,MATCH($A250,SPPR!$A:$A,0),19),"")</f>
        <v/>
      </c>
      <c r="W250">
        <f>IFERROR($C250*INDEX(SPPR!$E:$X,MATCH($A250,SPPR!$A:$A,0),20),"")</f>
        <v/>
      </c>
    </row>
    <row r="251">
      <c r="A251" t="inlineStr">
        <is>
          <t>Mollusca</t>
        </is>
      </c>
      <c r="B251">
        <f>IFERROR(INDEX(SPPR!$D:$D,MATCH($A251,SPPR!$A:$A,0)),"")</f>
        <v/>
      </c>
      <c r="C251">
        <f>IFERROR(INDEX(Catch!$E:$BV,MATCH($A251,Catch!$A:$A,0),MATCH($B$4,Catch!$E$1:$BV$1,0)),0)</f>
        <v/>
      </c>
      <c r="D251">
        <f>IFERROR($C251*INDEX(SPPR!$E:$X,MATCH($A251,SPPR!$A:$A,0),1),"")</f>
        <v/>
      </c>
      <c r="E251">
        <f>IFERROR($C251*INDEX(SPPR!$E:$X,MATCH($A251,SPPR!$A:$A,0),2),"")</f>
        <v/>
      </c>
      <c r="F251">
        <f>IFERROR($C251*INDEX(SPPR!$E:$X,MATCH($A251,SPPR!$A:$A,0),3),"")</f>
        <v/>
      </c>
      <c r="G251">
        <f>IFERROR($C251*INDEX(SPPR!$E:$X,MATCH($A251,SPPR!$A:$A,0),4),"")</f>
        <v/>
      </c>
      <c r="H251">
        <f>IFERROR($C251*INDEX(SPPR!$E:$X,MATCH($A251,SPPR!$A:$A,0),5),"")</f>
        <v/>
      </c>
      <c r="I251">
        <f>IFERROR($C251*INDEX(SPPR!$E:$X,MATCH($A251,SPPR!$A:$A,0),6),"")</f>
        <v/>
      </c>
      <c r="J251">
        <f>IFERROR($C251*INDEX(SPPR!$E:$X,MATCH($A251,SPPR!$A:$A,0),7),"")</f>
        <v/>
      </c>
      <c r="K251">
        <f>IFERROR($C251*INDEX(SPPR!$E:$X,MATCH($A251,SPPR!$A:$A,0),8),"")</f>
        <v/>
      </c>
      <c r="L251">
        <f>IFERROR($C251*INDEX(SPPR!$E:$X,MATCH($A251,SPPR!$A:$A,0),9),"")</f>
        <v/>
      </c>
      <c r="M251">
        <f>IFERROR($C251*INDEX(SPPR!$E:$X,MATCH($A251,SPPR!$A:$A,0),10),"")</f>
        <v/>
      </c>
      <c r="N251">
        <f>IFERROR($C251*INDEX(SPPR!$E:$X,MATCH($A251,SPPR!$A:$A,0),11),"")</f>
        <v/>
      </c>
      <c r="O251">
        <f>IFERROR($C251*INDEX(SPPR!$E:$X,MATCH($A251,SPPR!$A:$A,0),12),"")</f>
        <v/>
      </c>
      <c r="P251">
        <f>IFERROR($C251*INDEX(SPPR!$E:$X,MATCH($A251,SPPR!$A:$A,0),13),"")</f>
        <v/>
      </c>
      <c r="Q251">
        <f>IFERROR($C251*INDEX(SPPR!$E:$X,MATCH($A251,SPPR!$A:$A,0),14),"")</f>
        <v/>
      </c>
      <c r="R251">
        <f>IFERROR($C251*INDEX(SPPR!$E:$X,MATCH($A251,SPPR!$A:$A,0),15),"")</f>
        <v/>
      </c>
      <c r="S251">
        <f>IFERROR($C251*INDEX(SPPR!$E:$X,MATCH($A251,SPPR!$A:$A,0),16),"")</f>
        <v/>
      </c>
      <c r="T251">
        <f>IFERROR($C251*INDEX(SPPR!$E:$X,MATCH($A251,SPPR!$A:$A,0),17),"")</f>
        <v/>
      </c>
      <c r="U251">
        <f>IFERROR($C251*INDEX(SPPR!$E:$X,MATCH($A251,SPPR!$A:$A,0),18),"")</f>
        <v/>
      </c>
      <c r="V251">
        <f>IFERROR($C251*INDEX(SPPR!$E:$X,MATCH($A251,SPPR!$A:$A,0),19),"")</f>
        <v/>
      </c>
      <c r="W251">
        <f>IFERROR($C251*INDEX(SPPR!$E:$X,MATCH($A251,SPPR!$A:$A,0),20),"")</f>
        <v/>
      </c>
    </row>
    <row r="252">
      <c r="A252" t="inlineStr">
        <is>
          <t>Lethrinus microdon</t>
        </is>
      </c>
      <c r="B252">
        <f>IFERROR(INDEX(SPPR!$D:$D,MATCH($A252,SPPR!$A:$A,0)),"")</f>
        <v/>
      </c>
      <c r="C252">
        <f>IFERROR(INDEX(Catch!$E:$BV,MATCH($A252,Catch!$A:$A,0),MATCH($B$4,Catch!$E$1:$BV$1,0)),0)</f>
        <v/>
      </c>
      <c r="D252">
        <f>IFERROR($C252*INDEX(SPPR!$E:$X,MATCH($A252,SPPR!$A:$A,0),1),"")</f>
        <v/>
      </c>
      <c r="E252">
        <f>IFERROR($C252*INDEX(SPPR!$E:$X,MATCH($A252,SPPR!$A:$A,0),2),"")</f>
        <v/>
      </c>
      <c r="F252">
        <f>IFERROR($C252*INDEX(SPPR!$E:$X,MATCH($A252,SPPR!$A:$A,0),3),"")</f>
        <v/>
      </c>
      <c r="G252">
        <f>IFERROR($C252*INDEX(SPPR!$E:$X,MATCH($A252,SPPR!$A:$A,0),4),"")</f>
        <v/>
      </c>
      <c r="H252">
        <f>IFERROR($C252*INDEX(SPPR!$E:$X,MATCH($A252,SPPR!$A:$A,0),5),"")</f>
        <v/>
      </c>
      <c r="I252">
        <f>IFERROR($C252*INDEX(SPPR!$E:$X,MATCH($A252,SPPR!$A:$A,0),6),"")</f>
        <v/>
      </c>
      <c r="J252">
        <f>IFERROR($C252*INDEX(SPPR!$E:$X,MATCH($A252,SPPR!$A:$A,0),7),"")</f>
        <v/>
      </c>
      <c r="K252">
        <f>IFERROR($C252*INDEX(SPPR!$E:$X,MATCH($A252,SPPR!$A:$A,0),8),"")</f>
        <v/>
      </c>
      <c r="L252">
        <f>IFERROR($C252*INDEX(SPPR!$E:$X,MATCH($A252,SPPR!$A:$A,0),9),"")</f>
        <v/>
      </c>
      <c r="M252">
        <f>IFERROR($C252*INDEX(SPPR!$E:$X,MATCH($A252,SPPR!$A:$A,0),10),"")</f>
        <v/>
      </c>
      <c r="N252">
        <f>IFERROR($C252*INDEX(SPPR!$E:$X,MATCH($A252,SPPR!$A:$A,0),11),"")</f>
        <v/>
      </c>
      <c r="O252">
        <f>IFERROR($C252*INDEX(SPPR!$E:$X,MATCH($A252,SPPR!$A:$A,0),12),"")</f>
        <v/>
      </c>
      <c r="P252">
        <f>IFERROR($C252*INDEX(SPPR!$E:$X,MATCH($A252,SPPR!$A:$A,0),13),"")</f>
        <v/>
      </c>
      <c r="Q252">
        <f>IFERROR($C252*INDEX(SPPR!$E:$X,MATCH($A252,SPPR!$A:$A,0),14),"")</f>
        <v/>
      </c>
      <c r="R252">
        <f>IFERROR($C252*INDEX(SPPR!$E:$X,MATCH($A252,SPPR!$A:$A,0),15),"")</f>
        <v/>
      </c>
      <c r="S252">
        <f>IFERROR($C252*INDEX(SPPR!$E:$X,MATCH($A252,SPPR!$A:$A,0),16),"")</f>
        <v/>
      </c>
      <c r="T252">
        <f>IFERROR($C252*INDEX(SPPR!$E:$X,MATCH($A252,SPPR!$A:$A,0),17),"")</f>
        <v/>
      </c>
      <c r="U252">
        <f>IFERROR($C252*INDEX(SPPR!$E:$X,MATCH($A252,SPPR!$A:$A,0),18),"")</f>
        <v/>
      </c>
      <c r="V252">
        <f>IFERROR($C252*INDEX(SPPR!$E:$X,MATCH($A252,SPPR!$A:$A,0),19),"")</f>
        <v/>
      </c>
      <c r="W252">
        <f>IFERROR($C252*INDEX(SPPR!$E:$X,MATCH($A252,SPPR!$A:$A,0),20),"")</f>
        <v/>
      </c>
    </row>
    <row r="253">
      <c r="A253" t="inlineStr">
        <is>
          <t>Lutjanus gibbus</t>
        </is>
      </c>
      <c r="B253">
        <f>IFERROR(INDEX(SPPR!$D:$D,MATCH($A253,SPPR!$A:$A,0)),"")</f>
        <v/>
      </c>
      <c r="C253">
        <f>IFERROR(INDEX(Catch!$E:$BV,MATCH($A253,Catch!$A:$A,0),MATCH($B$4,Catch!$E$1:$BV$1,0)),0)</f>
        <v/>
      </c>
      <c r="D253">
        <f>IFERROR($C253*INDEX(SPPR!$E:$X,MATCH($A253,SPPR!$A:$A,0),1),"")</f>
        <v/>
      </c>
      <c r="E253">
        <f>IFERROR($C253*INDEX(SPPR!$E:$X,MATCH($A253,SPPR!$A:$A,0),2),"")</f>
        <v/>
      </c>
      <c r="F253">
        <f>IFERROR($C253*INDEX(SPPR!$E:$X,MATCH($A253,SPPR!$A:$A,0),3),"")</f>
        <v/>
      </c>
      <c r="G253">
        <f>IFERROR($C253*INDEX(SPPR!$E:$X,MATCH($A253,SPPR!$A:$A,0),4),"")</f>
        <v/>
      </c>
      <c r="H253">
        <f>IFERROR($C253*INDEX(SPPR!$E:$X,MATCH($A253,SPPR!$A:$A,0),5),"")</f>
        <v/>
      </c>
      <c r="I253">
        <f>IFERROR($C253*INDEX(SPPR!$E:$X,MATCH($A253,SPPR!$A:$A,0),6),"")</f>
        <v/>
      </c>
      <c r="J253">
        <f>IFERROR($C253*INDEX(SPPR!$E:$X,MATCH($A253,SPPR!$A:$A,0),7),"")</f>
        <v/>
      </c>
      <c r="K253">
        <f>IFERROR($C253*INDEX(SPPR!$E:$X,MATCH($A253,SPPR!$A:$A,0),8),"")</f>
        <v/>
      </c>
      <c r="L253">
        <f>IFERROR($C253*INDEX(SPPR!$E:$X,MATCH($A253,SPPR!$A:$A,0),9),"")</f>
        <v/>
      </c>
      <c r="M253">
        <f>IFERROR($C253*INDEX(SPPR!$E:$X,MATCH($A253,SPPR!$A:$A,0),10),"")</f>
        <v/>
      </c>
      <c r="N253">
        <f>IFERROR($C253*INDEX(SPPR!$E:$X,MATCH($A253,SPPR!$A:$A,0),11),"")</f>
        <v/>
      </c>
      <c r="O253">
        <f>IFERROR($C253*INDEX(SPPR!$E:$X,MATCH($A253,SPPR!$A:$A,0),12),"")</f>
        <v/>
      </c>
      <c r="P253">
        <f>IFERROR($C253*INDEX(SPPR!$E:$X,MATCH($A253,SPPR!$A:$A,0),13),"")</f>
        <v/>
      </c>
      <c r="Q253">
        <f>IFERROR($C253*INDEX(SPPR!$E:$X,MATCH($A253,SPPR!$A:$A,0),14),"")</f>
        <v/>
      </c>
      <c r="R253">
        <f>IFERROR($C253*INDEX(SPPR!$E:$X,MATCH($A253,SPPR!$A:$A,0),15),"")</f>
        <v/>
      </c>
      <c r="S253">
        <f>IFERROR($C253*INDEX(SPPR!$E:$X,MATCH($A253,SPPR!$A:$A,0),16),"")</f>
        <v/>
      </c>
      <c r="T253">
        <f>IFERROR($C253*INDEX(SPPR!$E:$X,MATCH($A253,SPPR!$A:$A,0),17),"")</f>
        <v/>
      </c>
      <c r="U253">
        <f>IFERROR($C253*INDEX(SPPR!$E:$X,MATCH($A253,SPPR!$A:$A,0),18),"")</f>
        <v/>
      </c>
      <c r="V253">
        <f>IFERROR($C253*INDEX(SPPR!$E:$X,MATCH($A253,SPPR!$A:$A,0),19),"")</f>
        <v/>
      </c>
      <c r="W253">
        <f>IFERROR($C253*INDEX(SPPR!$E:$X,MATCH($A253,SPPR!$A:$A,0),20),"")</f>
        <v/>
      </c>
    </row>
    <row r="254">
      <c r="A254" t="inlineStr">
        <is>
          <t>Caesionidae</t>
        </is>
      </c>
      <c r="B254">
        <f>IFERROR(INDEX(SPPR!$D:$D,MATCH($A254,SPPR!$A:$A,0)),"")</f>
        <v/>
      </c>
      <c r="C254">
        <f>IFERROR(INDEX(Catch!$E:$BV,MATCH($A254,Catch!$A:$A,0),MATCH($B$4,Catch!$E$1:$BV$1,0)),0)</f>
        <v/>
      </c>
      <c r="D254">
        <f>IFERROR($C254*INDEX(SPPR!$E:$X,MATCH($A254,SPPR!$A:$A,0),1),"")</f>
        <v/>
      </c>
      <c r="E254">
        <f>IFERROR($C254*INDEX(SPPR!$E:$X,MATCH($A254,SPPR!$A:$A,0),2),"")</f>
        <v/>
      </c>
      <c r="F254">
        <f>IFERROR($C254*INDEX(SPPR!$E:$X,MATCH($A254,SPPR!$A:$A,0),3),"")</f>
        <v/>
      </c>
      <c r="G254">
        <f>IFERROR($C254*INDEX(SPPR!$E:$X,MATCH($A254,SPPR!$A:$A,0),4),"")</f>
        <v/>
      </c>
      <c r="H254">
        <f>IFERROR($C254*INDEX(SPPR!$E:$X,MATCH($A254,SPPR!$A:$A,0),5),"")</f>
        <v/>
      </c>
      <c r="I254">
        <f>IFERROR($C254*INDEX(SPPR!$E:$X,MATCH($A254,SPPR!$A:$A,0),6),"")</f>
        <v/>
      </c>
      <c r="J254">
        <f>IFERROR($C254*INDEX(SPPR!$E:$X,MATCH($A254,SPPR!$A:$A,0),7),"")</f>
        <v/>
      </c>
      <c r="K254">
        <f>IFERROR($C254*INDEX(SPPR!$E:$X,MATCH($A254,SPPR!$A:$A,0),8),"")</f>
        <v/>
      </c>
      <c r="L254">
        <f>IFERROR($C254*INDEX(SPPR!$E:$X,MATCH($A254,SPPR!$A:$A,0),9),"")</f>
        <v/>
      </c>
      <c r="M254">
        <f>IFERROR($C254*INDEX(SPPR!$E:$X,MATCH($A254,SPPR!$A:$A,0),10),"")</f>
        <v/>
      </c>
      <c r="N254">
        <f>IFERROR($C254*INDEX(SPPR!$E:$X,MATCH($A254,SPPR!$A:$A,0),11),"")</f>
        <v/>
      </c>
      <c r="O254">
        <f>IFERROR($C254*INDEX(SPPR!$E:$X,MATCH($A254,SPPR!$A:$A,0),12),"")</f>
        <v/>
      </c>
      <c r="P254">
        <f>IFERROR($C254*INDEX(SPPR!$E:$X,MATCH($A254,SPPR!$A:$A,0),13),"")</f>
        <v/>
      </c>
      <c r="Q254">
        <f>IFERROR($C254*INDEX(SPPR!$E:$X,MATCH($A254,SPPR!$A:$A,0),14),"")</f>
        <v/>
      </c>
      <c r="R254">
        <f>IFERROR($C254*INDEX(SPPR!$E:$X,MATCH($A254,SPPR!$A:$A,0),15),"")</f>
        <v/>
      </c>
      <c r="S254">
        <f>IFERROR($C254*INDEX(SPPR!$E:$X,MATCH($A254,SPPR!$A:$A,0),16),"")</f>
        <v/>
      </c>
      <c r="T254">
        <f>IFERROR($C254*INDEX(SPPR!$E:$X,MATCH($A254,SPPR!$A:$A,0),17),"")</f>
        <v/>
      </c>
      <c r="U254">
        <f>IFERROR($C254*INDEX(SPPR!$E:$X,MATCH($A254,SPPR!$A:$A,0),18),"")</f>
        <v/>
      </c>
      <c r="V254">
        <f>IFERROR($C254*INDEX(SPPR!$E:$X,MATCH($A254,SPPR!$A:$A,0),19),"")</f>
        <v/>
      </c>
      <c r="W254">
        <f>IFERROR($C254*INDEX(SPPR!$E:$X,MATCH($A254,SPPR!$A:$A,0),20),"")</f>
        <v/>
      </c>
    </row>
    <row r="255">
      <c r="A255" t="inlineStr">
        <is>
          <t>Pomacanthus maculosus</t>
        </is>
      </c>
      <c r="B255">
        <f>IFERROR(INDEX(SPPR!$D:$D,MATCH($A255,SPPR!$A:$A,0)),"")</f>
        <v/>
      </c>
      <c r="C255">
        <f>IFERROR(INDEX(Catch!$E:$BV,MATCH($A255,Catch!$A:$A,0),MATCH($B$4,Catch!$E$1:$BV$1,0)),0)</f>
        <v/>
      </c>
      <c r="D255">
        <f>IFERROR($C255*INDEX(SPPR!$E:$X,MATCH($A255,SPPR!$A:$A,0),1),"")</f>
        <v/>
      </c>
      <c r="E255">
        <f>IFERROR($C255*INDEX(SPPR!$E:$X,MATCH($A255,SPPR!$A:$A,0),2),"")</f>
        <v/>
      </c>
      <c r="F255">
        <f>IFERROR($C255*INDEX(SPPR!$E:$X,MATCH($A255,SPPR!$A:$A,0),3),"")</f>
        <v/>
      </c>
      <c r="G255">
        <f>IFERROR($C255*INDEX(SPPR!$E:$X,MATCH($A255,SPPR!$A:$A,0),4),"")</f>
        <v/>
      </c>
      <c r="H255">
        <f>IFERROR($C255*INDEX(SPPR!$E:$X,MATCH($A255,SPPR!$A:$A,0),5),"")</f>
        <v/>
      </c>
      <c r="I255">
        <f>IFERROR($C255*INDEX(SPPR!$E:$X,MATCH($A255,SPPR!$A:$A,0),6),"")</f>
        <v/>
      </c>
      <c r="J255">
        <f>IFERROR($C255*INDEX(SPPR!$E:$X,MATCH($A255,SPPR!$A:$A,0),7),"")</f>
        <v/>
      </c>
      <c r="K255">
        <f>IFERROR($C255*INDEX(SPPR!$E:$X,MATCH($A255,SPPR!$A:$A,0),8),"")</f>
        <v/>
      </c>
      <c r="L255">
        <f>IFERROR($C255*INDEX(SPPR!$E:$X,MATCH($A255,SPPR!$A:$A,0),9),"")</f>
        <v/>
      </c>
      <c r="M255">
        <f>IFERROR($C255*INDEX(SPPR!$E:$X,MATCH($A255,SPPR!$A:$A,0),10),"")</f>
        <v/>
      </c>
      <c r="N255">
        <f>IFERROR($C255*INDEX(SPPR!$E:$X,MATCH($A255,SPPR!$A:$A,0),11),"")</f>
        <v/>
      </c>
      <c r="O255">
        <f>IFERROR($C255*INDEX(SPPR!$E:$X,MATCH($A255,SPPR!$A:$A,0),12),"")</f>
        <v/>
      </c>
      <c r="P255">
        <f>IFERROR($C255*INDEX(SPPR!$E:$X,MATCH($A255,SPPR!$A:$A,0),13),"")</f>
        <v/>
      </c>
      <c r="Q255">
        <f>IFERROR($C255*INDEX(SPPR!$E:$X,MATCH($A255,SPPR!$A:$A,0),14),"")</f>
        <v/>
      </c>
      <c r="R255">
        <f>IFERROR($C255*INDEX(SPPR!$E:$X,MATCH($A255,SPPR!$A:$A,0),15),"")</f>
        <v/>
      </c>
      <c r="S255">
        <f>IFERROR($C255*INDEX(SPPR!$E:$X,MATCH($A255,SPPR!$A:$A,0),16),"")</f>
        <v/>
      </c>
      <c r="T255">
        <f>IFERROR($C255*INDEX(SPPR!$E:$X,MATCH($A255,SPPR!$A:$A,0),17),"")</f>
        <v/>
      </c>
      <c r="U255">
        <f>IFERROR($C255*INDEX(SPPR!$E:$X,MATCH($A255,SPPR!$A:$A,0),18),"")</f>
        <v/>
      </c>
      <c r="V255">
        <f>IFERROR($C255*INDEX(SPPR!$E:$X,MATCH($A255,SPPR!$A:$A,0),19),"")</f>
        <v/>
      </c>
      <c r="W255">
        <f>IFERROR($C255*INDEX(SPPR!$E:$X,MATCH($A255,SPPR!$A:$A,0),20),"")</f>
        <v/>
      </c>
    </row>
    <row r="256">
      <c r="A256" t="inlineStr">
        <is>
          <t>Epinephelus multinotatus</t>
        </is>
      </c>
      <c r="B256">
        <f>IFERROR(INDEX(SPPR!$D:$D,MATCH($A256,SPPR!$A:$A,0)),"")</f>
        <v/>
      </c>
      <c r="C256">
        <f>IFERROR(INDEX(Catch!$E:$BV,MATCH($A256,Catch!$A:$A,0),MATCH($B$4,Catch!$E$1:$BV$1,0)),0)</f>
        <v/>
      </c>
      <c r="D256">
        <f>IFERROR($C256*INDEX(SPPR!$E:$X,MATCH($A256,SPPR!$A:$A,0),1),"")</f>
        <v/>
      </c>
      <c r="E256">
        <f>IFERROR($C256*INDEX(SPPR!$E:$X,MATCH($A256,SPPR!$A:$A,0),2),"")</f>
        <v/>
      </c>
      <c r="F256">
        <f>IFERROR($C256*INDEX(SPPR!$E:$X,MATCH($A256,SPPR!$A:$A,0),3),"")</f>
        <v/>
      </c>
      <c r="G256">
        <f>IFERROR($C256*INDEX(SPPR!$E:$X,MATCH($A256,SPPR!$A:$A,0),4),"")</f>
        <v/>
      </c>
      <c r="H256">
        <f>IFERROR($C256*INDEX(SPPR!$E:$X,MATCH($A256,SPPR!$A:$A,0),5),"")</f>
        <v/>
      </c>
      <c r="I256">
        <f>IFERROR($C256*INDEX(SPPR!$E:$X,MATCH($A256,SPPR!$A:$A,0),6),"")</f>
        <v/>
      </c>
      <c r="J256">
        <f>IFERROR($C256*INDEX(SPPR!$E:$X,MATCH($A256,SPPR!$A:$A,0),7),"")</f>
        <v/>
      </c>
      <c r="K256">
        <f>IFERROR($C256*INDEX(SPPR!$E:$X,MATCH($A256,SPPR!$A:$A,0),8),"")</f>
        <v/>
      </c>
      <c r="L256">
        <f>IFERROR($C256*INDEX(SPPR!$E:$X,MATCH($A256,SPPR!$A:$A,0),9),"")</f>
        <v/>
      </c>
      <c r="M256">
        <f>IFERROR($C256*INDEX(SPPR!$E:$X,MATCH($A256,SPPR!$A:$A,0),10),"")</f>
        <v/>
      </c>
      <c r="N256">
        <f>IFERROR($C256*INDEX(SPPR!$E:$X,MATCH($A256,SPPR!$A:$A,0),11),"")</f>
        <v/>
      </c>
      <c r="O256">
        <f>IFERROR($C256*INDEX(SPPR!$E:$X,MATCH($A256,SPPR!$A:$A,0),12),"")</f>
        <v/>
      </c>
      <c r="P256">
        <f>IFERROR($C256*INDEX(SPPR!$E:$X,MATCH($A256,SPPR!$A:$A,0),13),"")</f>
        <v/>
      </c>
      <c r="Q256">
        <f>IFERROR($C256*INDEX(SPPR!$E:$X,MATCH($A256,SPPR!$A:$A,0),14),"")</f>
        <v/>
      </c>
      <c r="R256">
        <f>IFERROR($C256*INDEX(SPPR!$E:$X,MATCH($A256,SPPR!$A:$A,0),15),"")</f>
        <v/>
      </c>
      <c r="S256">
        <f>IFERROR($C256*INDEX(SPPR!$E:$X,MATCH($A256,SPPR!$A:$A,0),16),"")</f>
        <v/>
      </c>
      <c r="T256">
        <f>IFERROR($C256*INDEX(SPPR!$E:$X,MATCH($A256,SPPR!$A:$A,0),17),"")</f>
        <v/>
      </c>
      <c r="U256">
        <f>IFERROR($C256*INDEX(SPPR!$E:$X,MATCH($A256,SPPR!$A:$A,0),18),"")</f>
        <v/>
      </c>
      <c r="V256">
        <f>IFERROR($C256*INDEX(SPPR!$E:$X,MATCH($A256,SPPR!$A:$A,0),19),"")</f>
        <v/>
      </c>
      <c r="W256">
        <f>IFERROR($C256*INDEX(SPPR!$E:$X,MATCH($A256,SPPR!$A:$A,0),20),"")</f>
        <v/>
      </c>
    </row>
    <row r="257">
      <c r="A257" t="inlineStr">
        <is>
          <t>Mene maculata</t>
        </is>
      </c>
      <c r="B257">
        <f>IFERROR(INDEX(SPPR!$D:$D,MATCH($A257,SPPR!$A:$A,0)),"")</f>
        <v/>
      </c>
      <c r="C257">
        <f>IFERROR(INDEX(Catch!$E:$BV,MATCH($A257,Catch!$A:$A,0),MATCH($B$4,Catch!$E$1:$BV$1,0)),0)</f>
        <v/>
      </c>
      <c r="D257">
        <f>IFERROR($C257*INDEX(SPPR!$E:$X,MATCH($A257,SPPR!$A:$A,0),1),"")</f>
        <v/>
      </c>
      <c r="E257">
        <f>IFERROR($C257*INDEX(SPPR!$E:$X,MATCH($A257,SPPR!$A:$A,0),2),"")</f>
        <v/>
      </c>
      <c r="F257">
        <f>IFERROR($C257*INDEX(SPPR!$E:$X,MATCH($A257,SPPR!$A:$A,0),3),"")</f>
        <v/>
      </c>
      <c r="G257">
        <f>IFERROR($C257*INDEX(SPPR!$E:$X,MATCH($A257,SPPR!$A:$A,0),4),"")</f>
        <v/>
      </c>
      <c r="H257">
        <f>IFERROR($C257*INDEX(SPPR!$E:$X,MATCH($A257,SPPR!$A:$A,0),5),"")</f>
        <v/>
      </c>
      <c r="I257">
        <f>IFERROR($C257*INDEX(SPPR!$E:$X,MATCH($A257,SPPR!$A:$A,0),6),"")</f>
        <v/>
      </c>
      <c r="J257">
        <f>IFERROR($C257*INDEX(SPPR!$E:$X,MATCH($A257,SPPR!$A:$A,0),7),"")</f>
        <v/>
      </c>
      <c r="K257">
        <f>IFERROR($C257*INDEX(SPPR!$E:$X,MATCH($A257,SPPR!$A:$A,0),8),"")</f>
        <v/>
      </c>
      <c r="L257">
        <f>IFERROR($C257*INDEX(SPPR!$E:$X,MATCH($A257,SPPR!$A:$A,0),9),"")</f>
        <v/>
      </c>
      <c r="M257">
        <f>IFERROR($C257*INDEX(SPPR!$E:$X,MATCH($A257,SPPR!$A:$A,0),10),"")</f>
        <v/>
      </c>
      <c r="N257">
        <f>IFERROR($C257*INDEX(SPPR!$E:$X,MATCH($A257,SPPR!$A:$A,0),11),"")</f>
        <v/>
      </c>
      <c r="O257">
        <f>IFERROR($C257*INDEX(SPPR!$E:$X,MATCH($A257,SPPR!$A:$A,0),12),"")</f>
        <v/>
      </c>
      <c r="P257">
        <f>IFERROR($C257*INDEX(SPPR!$E:$X,MATCH($A257,SPPR!$A:$A,0),13),"")</f>
        <v/>
      </c>
      <c r="Q257">
        <f>IFERROR($C257*INDEX(SPPR!$E:$X,MATCH($A257,SPPR!$A:$A,0),14),"")</f>
        <v/>
      </c>
      <c r="R257">
        <f>IFERROR($C257*INDEX(SPPR!$E:$X,MATCH($A257,SPPR!$A:$A,0),15),"")</f>
        <v/>
      </c>
      <c r="S257">
        <f>IFERROR($C257*INDEX(SPPR!$E:$X,MATCH($A257,SPPR!$A:$A,0),16),"")</f>
        <v/>
      </c>
      <c r="T257">
        <f>IFERROR($C257*INDEX(SPPR!$E:$X,MATCH($A257,SPPR!$A:$A,0),17),"")</f>
        <v/>
      </c>
      <c r="U257">
        <f>IFERROR($C257*INDEX(SPPR!$E:$X,MATCH($A257,SPPR!$A:$A,0),18),"")</f>
        <v/>
      </c>
      <c r="V257">
        <f>IFERROR($C257*INDEX(SPPR!$E:$X,MATCH($A257,SPPR!$A:$A,0),19),"")</f>
        <v/>
      </c>
      <c r="W257">
        <f>IFERROR($C257*INDEX(SPPR!$E:$X,MATCH($A257,SPPR!$A:$A,0),20),"")</f>
        <v/>
      </c>
    </row>
    <row r="258">
      <c r="A258" t="inlineStr">
        <is>
          <t>Nemipterus</t>
        </is>
      </c>
      <c r="B258">
        <f>IFERROR(INDEX(SPPR!$D:$D,MATCH($A258,SPPR!$A:$A,0)),"")</f>
        <v/>
      </c>
      <c r="C258">
        <f>IFERROR(INDEX(Catch!$E:$BV,MATCH($A258,Catch!$A:$A,0),MATCH($B$4,Catch!$E$1:$BV$1,0)),0)</f>
        <v/>
      </c>
      <c r="D258">
        <f>IFERROR($C258*INDEX(SPPR!$E:$X,MATCH($A258,SPPR!$A:$A,0),1),"")</f>
        <v/>
      </c>
      <c r="E258">
        <f>IFERROR($C258*INDEX(SPPR!$E:$X,MATCH($A258,SPPR!$A:$A,0),2),"")</f>
        <v/>
      </c>
      <c r="F258">
        <f>IFERROR($C258*INDEX(SPPR!$E:$X,MATCH($A258,SPPR!$A:$A,0),3),"")</f>
        <v/>
      </c>
      <c r="G258">
        <f>IFERROR($C258*INDEX(SPPR!$E:$X,MATCH($A258,SPPR!$A:$A,0),4),"")</f>
        <v/>
      </c>
      <c r="H258">
        <f>IFERROR($C258*INDEX(SPPR!$E:$X,MATCH($A258,SPPR!$A:$A,0),5),"")</f>
        <v/>
      </c>
      <c r="I258">
        <f>IFERROR($C258*INDEX(SPPR!$E:$X,MATCH($A258,SPPR!$A:$A,0),6),"")</f>
        <v/>
      </c>
      <c r="J258">
        <f>IFERROR($C258*INDEX(SPPR!$E:$X,MATCH($A258,SPPR!$A:$A,0),7),"")</f>
        <v/>
      </c>
      <c r="K258">
        <f>IFERROR($C258*INDEX(SPPR!$E:$X,MATCH($A258,SPPR!$A:$A,0),8),"")</f>
        <v/>
      </c>
      <c r="L258">
        <f>IFERROR($C258*INDEX(SPPR!$E:$X,MATCH($A258,SPPR!$A:$A,0),9),"")</f>
        <v/>
      </c>
      <c r="M258">
        <f>IFERROR($C258*INDEX(SPPR!$E:$X,MATCH($A258,SPPR!$A:$A,0),10),"")</f>
        <v/>
      </c>
      <c r="N258">
        <f>IFERROR($C258*INDEX(SPPR!$E:$X,MATCH($A258,SPPR!$A:$A,0),11),"")</f>
        <v/>
      </c>
      <c r="O258">
        <f>IFERROR($C258*INDEX(SPPR!$E:$X,MATCH($A258,SPPR!$A:$A,0),12),"")</f>
        <v/>
      </c>
      <c r="P258">
        <f>IFERROR($C258*INDEX(SPPR!$E:$X,MATCH($A258,SPPR!$A:$A,0),13),"")</f>
        <v/>
      </c>
      <c r="Q258">
        <f>IFERROR($C258*INDEX(SPPR!$E:$X,MATCH($A258,SPPR!$A:$A,0),14),"")</f>
        <v/>
      </c>
      <c r="R258">
        <f>IFERROR($C258*INDEX(SPPR!$E:$X,MATCH($A258,SPPR!$A:$A,0),15),"")</f>
        <v/>
      </c>
      <c r="S258">
        <f>IFERROR($C258*INDEX(SPPR!$E:$X,MATCH($A258,SPPR!$A:$A,0),16),"")</f>
        <v/>
      </c>
      <c r="T258">
        <f>IFERROR($C258*INDEX(SPPR!$E:$X,MATCH($A258,SPPR!$A:$A,0),17),"")</f>
        <v/>
      </c>
      <c r="U258">
        <f>IFERROR($C258*INDEX(SPPR!$E:$X,MATCH($A258,SPPR!$A:$A,0),18),"")</f>
        <v/>
      </c>
      <c r="V258">
        <f>IFERROR($C258*INDEX(SPPR!$E:$X,MATCH($A258,SPPR!$A:$A,0),19),"")</f>
        <v/>
      </c>
      <c r="W258">
        <f>IFERROR($C258*INDEX(SPPR!$E:$X,MATCH($A258,SPPR!$A:$A,0),20),"")</f>
        <v/>
      </c>
    </row>
    <row r="259">
      <c r="A259" t="inlineStr">
        <is>
          <t>Pomadasys argenteus</t>
        </is>
      </c>
      <c r="B259">
        <f>IFERROR(INDEX(SPPR!$D:$D,MATCH($A259,SPPR!$A:$A,0)),"")</f>
        <v/>
      </c>
      <c r="C259">
        <f>IFERROR(INDEX(Catch!$E:$BV,MATCH($A259,Catch!$A:$A,0),MATCH($B$4,Catch!$E$1:$BV$1,0)),0)</f>
        <v/>
      </c>
      <c r="D259">
        <f>IFERROR($C259*INDEX(SPPR!$E:$X,MATCH($A259,SPPR!$A:$A,0),1),"")</f>
        <v/>
      </c>
      <c r="E259">
        <f>IFERROR($C259*INDEX(SPPR!$E:$X,MATCH($A259,SPPR!$A:$A,0),2),"")</f>
        <v/>
      </c>
      <c r="F259">
        <f>IFERROR($C259*INDEX(SPPR!$E:$X,MATCH($A259,SPPR!$A:$A,0),3),"")</f>
        <v/>
      </c>
      <c r="G259">
        <f>IFERROR($C259*INDEX(SPPR!$E:$X,MATCH($A259,SPPR!$A:$A,0),4),"")</f>
        <v/>
      </c>
      <c r="H259">
        <f>IFERROR($C259*INDEX(SPPR!$E:$X,MATCH($A259,SPPR!$A:$A,0),5),"")</f>
        <v/>
      </c>
      <c r="I259">
        <f>IFERROR($C259*INDEX(SPPR!$E:$X,MATCH($A259,SPPR!$A:$A,0),6),"")</f>
        <v/>
      </c>
      <c r="J259">
        <f>IFERROR($C259*INDEX(SPPR!$E:$X,MATCH($A259,SPPR!$A:$A,0),7),"")</f>
        <v/>
      </c>
      <c r="K259">
        <f>IFERROR($C259*INDEX(SPPR!$E:$X,MATCH($A259,SPPR!$A:$A,0),8),"")</f>
        <v/>
      </c>
      <c r="L259">
        <f>IFERROR($C259*INDEX(SPPR!$E:$X,MATCH($A259,SPPR!$A:$A,0),9),"")</f>
        <v/>
      </c>
      <c r="M259">
        <f>IFERROR($C259*INDEX(SPPR!$E:$X,MATCH($A259,SPPR!$A:$A,0),10),"")</f>
        <v/>
      </c>
      <c r="N259">
        <f>IFERROR($C259*INDEX(SPPR!$E:$X,MATCH($A259,SPPR!$A:$A,0),11),"")</f>
        <v/>
      </c>
      <c r="O259">
        <f>IFERROR($C259*INDEX(SPPR!$E:$X,MATCH($A259,SPPR!$A:$A,0),12),"")</f>
        <v/>
      </c>
      <c r="P259">
        <f>IFERROR($C259*INDEX(SPPR!$E:$X,MATCH($A259,SPPR!$A:$A,0),13),"")</f>
        <v/>
      </c>
      <c r="Q259">
        <f>IFERROR($C259*INDEX(SPPR!$E:$X,MATCH($A259,SPPR!$A:$A,0),14),"")</f>
        <v/>
      </c>
      <c r="R259">
        <f>IFERROR($C259*INDEX(SPPR!$E:$X,MATCH($A259,SPPR!$A:$A,0),15),"")</f>
        <v/>
      </c>
      <c r="S259">
        <f>IFERROR($C259*INDEX(SPPR!$E:$X,MATCH($A259,SPPR!$A:$A,0),16),"")</f>
        <v/>
      </c>
      <c r="T259">
        <f>IFERROR($C259*INDEX(SPPR!$E:$X,MATCH($A259,SPPR!$A:$A,0),17),"")</f>
        <v/>
      </c>
      <c r="U259">
        <f>IFERROR($C259*INDEX(SPPR!$E:$X,MATCH($A259,SPPR!$A:$A,0),18),"")</f>
        <v/>
      </c>
      <c r="V259">
        <f>IFERROR($C259*INDEX(SPPR!$E:$X,MATCH($A259,SPPR!$A:$A,0),19),"")</f>
        <v/>
      </c>
      <c r="W259">
        <f>IFERROR($C259*INDEX(SPPR!$E:$X,MATCH($A259,SPPR!$A:$A,0),20),"")</f>
        <v/>
      </c>
    </row>
    <row r="260">
      <c r="A260" t="inlineStr">
        <is>
          <t>Lethrinus obsoletus</t>
        </is>
      </c>
      <c r="B260">
        <f>IFERROR(INDEX(SPPR!$D:$D,MATCH($A260,SPPR!$A:$A,0)),"")</f>
        <v/>
      </c>
      <c r="C260">
        <f>IFERROR(INDEX(Catch!$E:$BV,MATCH($A260,Catch!$A:$A,0),MATCH($B$4,Catch!$E$1:$BV$1,0)),0)</f>
        <v/>
      </c>
      <c r="D260">
        <f>IFERROR($C260*INDEX(SPPR!$E:$X,MATCH($A260,SPPR!$A:$A,0),1),"")</f>
        <v/>
      </c>
      <c r="E260">
        <f>IFERROR($C260*INDEX(SPPR!$E:$X,MATCH($A260,SPPR!$A:$A,0),2),"")</f>
        <v/>
      </c>
      <c r="F260">
        <f>IFERROR($C260*INDEX(SPPR!$E:$X,MATCH($A260,SPPR!$A:$A,0),3),"")</f>
        <v/>
      </c>
      <c r="G260">
        <f>IFERROR($C260*INDEX(SPPR!$E:$X,MATCH($A260,SPPR!$A:$A,0),4),"")</f>
        <v/>
      </c>
      <c r="H260">
        <f>IFERROR($C260*INDEX(SPPR!$E:$X,MATCH($A260,SPPR!$A:$A,0),5),"")</f>
        <v/>
      </c>
      <c r="I260">
        <f>IFERROR($C260*INDEX(SPPR!$E:$X,MATCH($A260,SPPR!$A:$A,0),6),"")</f>
        <v/>
      </c>
      <c r="J260">
        <f>IFERROR($C260*INDEX(SPPR!$E:$X,MATCH($A260,SPPR!$A:$A,0),7),"")</f>
        <v/>
      </c>
      <c r="K260">
        <f>IFERROR($C260*INDEX(SPPR!$E:$X,MATCH($A260,SPPR!$A:$A,0),8),"")</f>
        <v/>
      </c>
      <c r="L260">
        <f>IFERROR($C260*INDEX(SPPR!$E:$X,MATCH($A260,SPPR!$A:$A,0),9),"")</f>
        <v/>
      </c>
      <c r="M260">
        <f>IFERROR($C260*INDEX(SPPR!$E:$X,MATCH($A260,SPPR!$A:$A,0),10),"")</f>
        <v/>
      </c>
      <c r="N260">
        <f>IFERROR($C260*INDEX(SPPR!$E:$X,MATCH($A260,SPPR!$A:$A,0),11),"")</f>
        <v/>
      </c>
      <c r="O260">
        <f>IFERROR($C260*INDEX(SPPR!$E:$X,MATCH($A260,SPPR!$A:$A,0),12),"")</f>
        <v/>
      </c>
      <c r="P260">
        <f>IFERROR($C260*INDEX(SPPR!$E:$X,MATCH($A260,SPPR!$A:$A,0),13),"")</f>
        <v/>
      </c>
      <c r="Q260">
        <f>IFERROR($C260*INDEX(SPPR!$E:$X,MATCH($A260,SPPR!$A:$A,0),14),"")</f>
        <v/>
      </c>
      <c r="R260">
        <f>IFERROR($C260*INDEX(SPPR!$E:$X,MATCH($A260,SPPR!$A:$A,0),15),"")</f>
        <v/>
      </c>
      <c r="S260">
        <f>IFERROR($C260*INDEX(SPPR!$E:$X,MATCH($A260,SPPR!$A:$A,0),16),"")</f>
        <v/>
      </c>
      <c r="T260">
        <f>IFERROR($C260*INDEX(SPPR!$E:$X,MATCH($A260,SPPR!$A:$A,0),17),"")</f>
        <v/>
      </c>
      <c r="U260">
        <f>IFERROR($C260*INDEX(SPPR!$E:$X,MATCH($A260,SPPR!$A:$A,0),18),"")</f>
        <v/>
      </c>
      <c r="V260">
        <f>IFERROR($C260*INDEX(SPPR!$E:$X,MATCH($A260,SPPR!$A:$A,0),19),"")</f>
        <v/>
      </c>
      <c r="W260">
        <f>IFERROR($C260*INDEX(SPPR!$E:$X,MATCH($A260,SPPR!$A:$A,0),20),"")</f>
        <v/>
      </c>
    </row>
    <row r="261">
      <c r="A261" t="inlineStr">
        <is>
          <t>Scomberoides tol</t>
        </is>
      </c>
      <c r="B261">
        <f>IFERROR(INDEX(SPPR!$D:$D,MATCH($A261,SPPR!$A:$A,0)),"")</f>
        <v/>
      </c>
      <c r="C261">
        <f>IFERROR(INDEX(Catch!$E:$BV,MATCH($A261,Catch!$A:$A,0),MATCH($B$4,Catch!$E$1:$BV$1,0)),0)</f>
        <v/>
      </c>
      <c r="D261">
        <f>IFERROR($C261*INDEX(SPPR!$E:$X,MATCH($A261,SPPR!$A:$A,0),1),"")</f>
        <v/>
      </c>
      <c r="E261">
        <f>IFERROR($C261*INDEX(SPPR!$E:$X,MATCH($A261,SPPR!$A:$A,0),2),"")</f>
        <v/>
      </c>
      <c r="F261">
        <f>IFERROR($C261*INDEX(SPPR!$E:$X,MATCH($A261,SPPR!$A:$A,0),3),"")</f>
        <v/>
      </c>
      <c r="G261">
        <f>IFERROR($C261*INDEX(SPPR!$E:$X,MATCH($A261,SPPR!$A:$A,0),4),"")</f>
        <v/>
      </c>
      <c r="H261">
        <f>IFERROR($C261*INDEX(SPPR!$E:$X,MATCH($A261,SPPR!$A:$A,0),5),"")</f>
        <v/>
      </c>
      <c r="I261">
        <f>IFERROR($C261*INDEX(SPPR!$E:$X,MATCH($A261,SPPR!$A:$A,0),6),"")</f>
        <v/>
      </c>
      <c r="J261">
        <f>IFERROR($C261*INDEX(SPPR!$E:$X,MATCH($A261,SPPR!$A:$A,0),7),"")</f>
        <v/>
      </c>
      <c r="K261">
        <f>IFERROR($C261*INDEX(SPPR!$E:$X,MATCH($A261,SPPR!$A:$A,0),8),"")</f>
        <v/>
      </c>
      <c r="L261">
        <f>IFERROR($C261*INDEX(SPPR!$E:$X,MATCH($A261,SPPR!$A:$A,0),9),"")</f>
        <v/>
      </c>
      <c r="M261">
        <f>IFERROR($C261*INDEX(SPPR!$E:$X,MATCH($A261,SPPR!$A:$A,0),10),"")</f>
        <v/>
      </c>
      <c r="N261">
        <f>IFERROR($C261*INDEX(SPPR!$E:$X,MATCH($A261,SPPR!$A:$A,0),11),"")</f>
        <v/>
      </c>
      <c r="O261">
        <f>IFERROR($C261*INDEX(SPPR!$E:$X,MATCH($A261,SPPR!$A:$A,0),12),"")</f>
        <v/>
      </c>
      <c r="P261">
        <f>IFERROR($C261*INDEX(SPPR!$E:$X,MATCH($A261,SPPR!$A:$A,0),13),"")</f>
        <v/>
      </c>
      <c r="Q261">
        <f>IFERROR($C261*INDEX(SPPR!$E:$X,MATCH($A261,SPPR!$A:$A,0),14),"")</f>
        <v/>
      </c>
      <c r="R261">
        <f>IFERROR($C261*INDEX(SPPR!$E:$X,MATCH($A261,SPPR!$A:$A,0),15),"")</f>
        <v/>
      </c>
      <c r="S261">
        <f>IFERROR($C261*INDEX(SPPR!$E:$X,MATCH($A261,SPPR!$A:$A,0),16),"")</f>
        <v/>
      </c>
      <c r="T261">
        <f>IFERROR($C261*INDEX(SPPR!$E:$X,MATCH($A261,SPPR!$A:$A,0),17),"")</f>
        <v/>
      </c>
      <c r="U261">
        <f>IFERROR($C261*INDEX(SPPR!$E:$X,MATCH($A261,SPPR!$A:$A,0),18),"")</f>
        <v/>
      </c>
      <c r="V261">
        <f>IFERROR($C261*INDEX(SPPR!$E:$X,MATCH($A261,SPPR!$A:$A,0),19),"")</f>
        <v/>
      </c>
      <c r="W261">
        <f>IFERROR($C261*INDEX(SPPR!$E:$X,MATCH($A261,SPPR!$A:$A,0),20),"")</f>
        <v/>
      </c>
    </row>
    <row r="262">
      <c r="A262" t="inlineStr">
        <is>
          <t>Penaeus monodon</t>
        </is>
      </c>
      <c r="B262">
        <f>IFERROR(INDEX(SPPR!$D:$D,MATCH($A262,SPPR!$A:$A,0)),"")</f>
        <v/>
      </c>
      <c r="C262">
        <f>IFERROR(INDEX(Catch!$E:$BV,MATCH($A262,Catch!$A:$A,0),MATCH($B$4,Catch!$E$1:$BV$1,0)),0)</f>
        <v/>
      </c>
      <c r="D262">
        <f>IFERROR($C262*INDEX(SPPR!$E:$X,MATCH($A262,SPPR!$A:$A,0),1),"")</f>
        <v/>
      </c>
      <c r="E262">
        <f>IFERROR($C262*INDEX(SPPR!$E:$X,MATCH($A262,SPPR!$A:$A,0),2),"")</f>
        <v/>
      </c>
      <c r="F262">
        <f>IFERROR($C262*INDEX(SPPR!$E:$X,MATCH($A262,SPPR!$A:$A,0),3),"")</f>
        <v/>
      </c>
      <c r="G262">
        <f>IFERROR($C262*INDEX(SPPR!$E:$X,MATCH($A262,SPPR!$A:$A,0),4),"")</f>
        <v/>
      </c>
      <c r="H262">
        <f>IFERROR($C262*INDEX(SPPR!$E:$X,MATCH($A262,SPPR!$A:$A,0),5),"")</f>
        <v/>
      </c>
      <c r="I262">
        <f>IFERROR($C262*INDEX(SPPR!$E:$X,MATCH($A262,SPPR!$A:$A,0),6),"")</f>
        <v/>
      </c>
      <c r="J262">
        <f>IFERROR($C262*INDEX(SPPR!$E:$X,MATCH($A262,SPPR!$A:$A,0),7),"")</f>
        <v/>
      </c>
      <c r="K262">
        <f>IFERROR($C262*INDEX(SPPR!$E:$X,MATCH($A262,SPPR!$A:$A,0),8),"")</f>
        <v/>
      </c>
      <c r="L262">
        <f>IFERROR($C262*INDEX(SPPR!$E:$X,MATCH($A262,SPPR!$A:$A,0),9),"")</f>
        <v/>
      </c>
      <c r="M262">
        <f>IFERROR($C262*INDEX(SPPR!$E:$X,MATCH($A262,SPPR!$A:$A,0),10),"")</f>
        <v/>
      </c>
      <c r="N262">
        <f>IFERROR($C262*INDEX(SPPR!$E:$X,MATCH($A262,SPPR!$A:$A,0),11),"")</f>
        <v/>
      </c>
      <c r="O262">
        <f>IFERROR($C262*INDEX(SPPR!$E:$X,MATCH($A262,SPPR!$A:$A,0),12),"")</f>
        <v/>
      </c>
      <c r="P262">
        <f>IFERROR($C262*INDEX(SPPR!$E:$X,MATCH($A262,SPPR!$A:$A,0),13),"")</f>
        <v/>
      </c>
      <c r="Q262">
        <f>IFERROR($C262*INDEX(SPPR!$E:$X,MATCH($A262,SPPR!$A:$A,0),14),"")</f>
        <v/>
      </c>
      <c r="R262">
        <f>IFERROR($C262*INDEX(SPPR!$E:$X,MATCH($A262,SPPR!$A:$A,0),15),"")</f>
        <v/>
      </c>
      <c r="S262">
        <f>IFERROR($C262*INDEX(SPPR!$E:$X,MATCH($A262,SPPR!$A:$A,0),16),"")</f>
        <v/>
      </c>
      <c r="T262">
        <f>IFERROR($C262*INDEX(SPPR!$E:$X,MATCH($A262,SPPR!$A:$A,0),17),"")</f>
        <v/>
      </c>
      <c r="U262">
        <f>IFERROR($C262*INDEX(SPPR!$E:$X,MATCH($A262,SPPR!$A:$A,0),18),"")</f>
        <v/>
      </c>
      <c r="V262">
        <f>IFERROR($C262*INDEX(SPPR!$E:$X,MATCH($A262,SPPR!$A:$A,0),19),"")</f>
        <v/>
      </c>
      <c r="W262">
        <f>IFERROR($C262*INDEX(SPPR!$E:$X,MATCH($A262,SPPR!$A:$A,0),20),"")</f>
        <v/>
      </c>
    </row>
    <row r="263">
      <c r="A263" t="inlineStr">
        <is>
          <t>Sphyrna lewini</t>
        </is>
      </c>
      <c r="B263">
        <f>IFERROR(INDEX(SPPR!$D:$D,MATCH($A263,SPPR!$A:$A,0)),"")</f>
        <v/>
      </c>
      <c r="C263">
        <f>IFERROR(INDEX(Catch!$E:$BV,MATCH($A263,Catch!$A:$A,0),MATCH($B$4,Catch!$E$1:$BV$1,0)),0)</f>
        <v/>
      </c>
      <c r="D263">
        <f>IFERROR($C263*INDEX(SPPR!$E:$X,MATCH($A263,SPPR!$A:$A,0),1),"")</f>
        <v/>
      </c>
      <c r="E263">
        <f>IFERROR($C263*INDEX(SPPR!$E:$X,MATCH($A263,SPPR!$A:$A,0),2),"")</f>
        <v/>
      </c>
      <c r="F263">
        <f>IFERROR($C263*INDEX(SPPR!$E:$X,MATCH($A263,SPPR!$A:$A,0),3),"")</f>
        <v/>
      </c>
      <c r="G263">
        <f>IFERROR($C263*INDEX(SPPR!$E:$X,MATCH($A263,SPPR!$A:$A,0),4),"")</f>
        <v/>
      </c>
      <c r="H263">
        <f>IFERROR($C263*INDEX(SPPR!$E:$X,MATCH($A263,SPPR!$A:$A,0),5),"")</f>
        <v/>
      </c>
      <c r="I263">
        <f>IFERROR($C263*INDEX(SPPR!$E:$X,MATCH($A263,SPPR!$A:$A,0),6),"")</f>
        <v/>
      </c>
      <c r="J263">
        <f>IFERROR($C263*INDEX(SPPR!$E:$X,MATCH($A263,SPPR!$A:$A,0),7),"")</f>
        <v/>
      </c>
      <c r="K263">
        <f>IFERROR($C263*INDEX(SPPR!$E:$X,MATCH($A263,SPPR!$A:$A,0),8),"")</f>
        <v/>
      </c>
      <c r="L263">
        <f>IFERROR($C263*INDEX(SPPR!$E:$X,MATCH($A263,SPPR!$A:$A,0),9),"")</f>
        <v/>
      </c>
      <c r="M263">
        <f>IFERROR($C263*INDEX(SPPR!$E:$X,MATCH($A263,SPPR!$A:$A,0),10),"")</f>
        <v/>
      </c>
      <c r="N263">
        <f>IFERROR($C263*INDEX(SPPR!$E:$X,MATCH($A263,SPPR!$A:$A,0),11),"")</f>
        <v/>
      </c>
      <c r="O263">
        <f>IFERROR($C263*INDEX(SPPR!$E:$X,MATCH($A263,SPPR!$A:$A,0),12),"")</f>
        <v/>
      </c>
      <c r="P263">
        <f>IFERROR($C263*INDEX(SPPR!$E:$X,MATCH($A263,SPPR!$A:$A,0),13),"")</f>
        <v/>
      </c>
      <c r="Q263">
        <f>IFERROR($C263*INDEX(SPPR!$E:$X,MATCH($A263,SPPR!$A:$A,0),14),"")</f>
        <v/>
      </c>
      <c r="R263">
        <f>IFERROR($C263*INDEX(SPPR!$E:$X,MATCH($A263,SPPR!$A:$A,0),15),"")</f>
        <v/>
      </c>
      <c r="S263">
        <f>IFERROR($C263*INDEX(SPPR!$E:$X,MATCH($A263,SPPR!$A:$A,0),16),"")</f>
        <v/>
      </c>
      <c r="T263">
        <f>IFERROR($C263*INDEX(SPPR!$E:$X,MATCH($A263,SPPR!$A:$A,0),17),"")</f>
        <v/>
      </c>
      <c r="U263">
        <f>IFERROR($C263*INDEX(SPPR!$E:$X,MATCH($A263,SPPR!$A:$A,0),18),"")</f>
        <v/>
      </c>
      <c r="V263">
        <f>IFERROR($C263*INDEX(SPPR!$E:$X,MATCH($A263,SPPR!$A:$A,0),19),"")</f>
        <v/>
      </c>
      <c r="W263">
        <f>IFERROR($C263*INDEX(SPPR!$E:$X,MATCH($A263,SPPR!$A:$A,0),20),"")</f>
        <v/>
      </c>
    </row>
    <row r="264">
      <c r="A264" t="inlineStr">
        <is>
          <t>Alectis ciliaris</t>
        </is>
      </c>
      <c r="B264">
        <f>IFERROR(INDEX(SPPR!$D:$D,MATCH($A264,SPPR!$A:$A,0)),"")</f>
        <v/>
      </c>
      <c r="C264">
        <f>IFERROR(INDEX(Catch!$E:$BV,MATCH($A264,Catch!$A:$A,0),MATCH($B$4,Catch!$E$1:$BV$1,0)),0)</f>
        <v/>
      </c>
      <c r="D264">
        <f>IFERROR($C264*INDEX(SPPR!$E:$X,MATCH($A264,SPPR!$A:$A,0),1),"")</f>
        <v/>
      </c>
      <c r="E264">
        <f>IFERROR($C264*INDEX(SPPR!$E:$X,MATCH($A264,SPPR!$A:$A,0),2),"")</f>
        <v/>
      </c>
      <c r="F264">
        <f>IFERROR($C264*INDEX(SPPR!$E:$X,MATCH($A264,SPPR!$A:$A,0),3),"")</f>
        <v/>
      </c>
      <c r="G264">
        <f>IFERROR($C264*INDEX(SPPR!$E:$X,MATCH($A264,SPPR!$A:$A,0),4),"")</f>
        <v/>
      </c>
      <c r="H264">
        <f>IFERROR($C264*INDEX(SPPR!$E:$X,MATCH($A264,SPPR!$A:$A,0),5),"")</f>
        <v/>
      </c>
      <c r="I264">
        <f>IFERROR($C264*INDEX(SPPR!$E:$X,MATCH($A264,SPPR!$A:$A,0),6),"")</f>
        <v/>
      </c>
      <c r="J264">
        <f>IFERROR($C264*INDEX(SPPR!$E:$X,MATCH($A264,SPPR!$A:$A,0),7),"")</f>
        <v/>
      </c>
      <c r="K264">
        <f>IFERROR($C264*INDEX(SPPR!$E:$X,MATCH($A264,SPPR!$A:$A,0),8),"")</f>
        <v/>
      </c>
      <c r="L264">
        <f>IFERROR($C264*INDEX(SPPR!$E:$X,MATCH($A264,SPPR!$A:$A,0),9),"")</f>
        <v/>
      </c>
      <c r="M264">
        <f>IFERROR($C264*INDEX(SPPR!$E:$X,MATCH($A264,SPPR!$A:$A,0),10),"")</f>
        <v/>
      </c>
      <c r="N264">
        <f>IFERROR($C264*INDEX(SPPR!$E:$X,MATCH($A264,SPPR!$A:$A,0),11),"")</f>
        <v/>
      </c>
      <c r="O264">
        <f>IFERROR($C264*INDEX(SPPR!$E:$X,MATCH($A264,SPPR!$A:$A,0),12),"")</f>
        <v/>
      </c>
      <c r="P264">
        <f>IFERROR($C264*INDEX(SPPR!$E:$X,MATCH($A264,SPPR!$A:$A,0),13),"")</f>
        <v/>
      </c>
      <c r="Q264">
        <f>IFERROR($C264*INDEX(SPPR!$E:$X,MATCH($A264,SPPR!$A:$A,0),14),"")</f>
        <v/>
      </c>
      <c r="R264">
        <f>IFERROR($C264*INDEX(SPPR!$E:$X,MATCH($A264,SPPR!$A:$A,0),15),"")</f>
        <v/>
      </c>
      <c r="S264">
        <f>IFERROR($C264*INDEX(SPPR!$E:$X,MATCH($A264,SPPR!$A:$A,0),16),"")</f>
        <v/>
      </c>
      <c r="T264">
        <f>IFERROR($C264*INDEX(SPPR!$E:$X,MATCH($A264,SPPR!$A:$A,0),17),"")</f>
        <v/>
      </c>
      <c r="U264">
        <f>IFERROR($C264*INDEX(SPPR!$E:$X,MATCH($A264,SPPR!$A:$A,0),18),"")</f>
        <v/>
      </c>
      <c r="V264">
        <f>IFERROR($C264*INDEX(SPPR!$E:$X,MATCH($A264,SPPR!$A:$A,0),19),"")</f>
        <v/>
      </c>
      <c r="W264">
        <f>IFERROR($C264*INDEX(SPPR!$E:$X,MATCH($A264,SPPR!$A:$A,0),20),"")</f>
        <v/>
      </c>
    </row>
    <row r="265">
      <c r="A265" t="inlineStr">
        <is>
          <t>Gerres longirostris</t>
        </is>
      </c>
      <c r="B265">
        <f>IFERROR(INDEX(SPPR!$D:$D,MATCH($A265,SPPR!$A:$A,0)),"")</f>
        <v/>
      </c>
      <c r="C265">
        <f>IFERROR(INDEX(Catch!$E:$BV,MATCH($A265,Catch!$A:$A,0),MATCH($B$4,Catch!$E$1:$BV$1,0)),0)</f>
        <v/>
      </c>
      <c r="D265">
        <f>IFERROR($C265*INDEX(SPPR!$E:$X,MATCH($A265,SPPR!$A:$A,0),1),"")</f>
        <v/>
      </c>
      <c r="E265">
        <f>IFERROR($C265*INDEX(SPPR!$E:$X,MATCH($A265,SPPR!$A:$A,0),2),"")</f>
        <v/>
      </c>
      <c r="F265">
        <f>IFERROR($C265*INDEX(SPPR!$E:$X,MATCH($A265,SPPR!$A:$A,0),3),"")</f>
        <v/>
      </c>
      <c r="G265">
        <f>IFERROR($C265*INDEX(SPPR!$E:$X,MATCH($A265,SPPR!$A:$A,0),4),"")</f>
        <v/>
      </c>
      <c r="H265">
        <f>IFERROR($C265*INDEX(SPPR!$E:$X,MATCH($A265,SPPR!$A:$A,0),5),"")</f>
        <v/>
      </c>
      <c r="I265">
        <f>IFERROR($C265*INDEX(SPPR!$E:$X,MATCH($A265,SPPR!$A:$A,0),6),"")</f>
        <v/>
      </c>
      <c r="J265">
        <f>IFERROR($C265*INDEX(SPPR!$E:$X,MATCH($A265,SPPR!$A:$A,0),7),"")</f>
        <v/>
      </c>
      <c r="K265">
        <f>IFERROR($C265*INDEX(SPPR!$E:$X,MATCH($A265,SPPR!$A:$A,0),8),"")</f>
        <v/>
      </c>
      <c r="L265">
        <f>IFERROR($C265*INDEX(SPPR!$E:$X,MATCH($A265,SPPR!$A:$A,0),9),"")</f>
        <v/>
      </c>
      <c r="M265">
        <f>IFERROR($C265*INDEX(SPPR!$E:$X,MATCH($A265,SPPR!$A:$A,0),10),"")</f>
        <v/>
      </c>
      <c r="N265">
        <f>IFERROR($C265*INDEX(SPPR!$E:$X,MATCH($A265,SPPR!$A:$A,0),11),"")</f>
        <v/>
      </c>
      <c r="O265">
        <f>IFERROR($C265*INDEX(SPPR!$E:$X,MATCH($A265,SPPR!$A:$A,0),12),"")</f>
        <v/>
      </c>
      <c r="P265">
        <f>IFERROR($C265*INDEX(SPPR!$E:$X,MATCH($A265,SPPR!$A:$A,0),13),"")</f>
        <v/>
      </c>
      <c r="Q265">
        <f>IFERROR($C265*INDEX(SPPR!$E:$X,MATCH($A265,SPPR!$A:$A,0),14),"")</f>
        <v/>
      </c>
      <c r="R265">
        <f>IFERROR($C265*INDEX(SPPR!$E:$X,MATCH($A265,SPPR!$A:$A,0),15),"")</f>
        <v/>
      </c>
      <c r="S265">
        <f>IFERROR($C265*INDEX(SPPR!$E:$X,MATCH($A265,SPPR!$A:$A,0),16),"")</f>
        <v/>
      </c>
      <c r="T265">
        <f>IFERROR($C265*INDEX(SPPR!$E:$X,MATCH($A265,SPPR!$A:$A,0),17),"")</f>
        <v/>
      </c>
      <c r="U265">
        <f>IFERROR($C265*INDEX(SPPR!$E:$X,MATCH($A265,SPPR!$A:$A,0),18),"")</f>
        <v/>
      </c>
      <c r="V265">
        <f>IFERROR($C265*INDEX(SPPR!$E:$X,MATCH($A265,SPPR!$A:$A,0),19),"")</f>
        <v/>
      </c>
      <c r="W265">
        <f>IFERROR($C265*INDEX(SPPR!$E:$X,MATCH($A265,SPPR!$A:$A,0),20),"")</f>
        <v/>
      </c>
    </row>
    <row r="266">
      <c r="A266" t="inlineStr">
        <is>
          <t>Trachinotus mookalee</t>
        </is>
      </c>
      <c r="B266">
        <f>IFERROR(INDEX(SPPR!$D:$D,MATCH($A266,SPPR!$A:$A,0)),"")</f>
        <v/>
      </c>
      <c r="C266">
        <f>IFERROR(INDEX(Catch!$E:$BV,MATCH($A266,Catch!$A:$A,0),MATCH($B$4,Catch!$E$1:$BV$1,0)),0)</f>
        <v/>
      </c>
      <c r="D266">
        <f>IFERROR($C266*INDEX(SPPR!$E:$X,MATCH($A266,SPPR!$A:$A,0),1),"")</f>
        <v/>
      </c>
      <c r="E266">
        <f>IFERROR($C266*INDEX(SPPR!$E:$X,MATCH($A266,SPPR!$A:$A,0),2),"")</f>
        <v/>
      </c>
      <c r="F266">
        <f>IFERROR($C266*INDEX(SPPR!$E:$X,MATCH($A266,SPPR!$A:$A,0),3),"")</f>
        <v/>
      </c>
      <c r="G266">
        <f>IFERROR($C266*INDEX(SPPR!$E:$X,MATCH($A266,SPPR!$A:$A,0),4),"")</f>
        <v/>
      </c>
      <c r="H266">
        <f>IFERROR($C266*INDEX(SPPR!$E:$X,MATCH($A266,SPPR!$A:$A,0),5),"")</f>
        <v/>
      </c>
      <c r="I266">
        <f>IFERROR($C266*INDEX(SPPR!$E:$X,MATCH($A266,SPPR!$A:$A,0),6),"")</f>
        <v/>
      </c>
      <c r="J266">
        <f>IFERROR($C266*INDEX(SPPR!$E:$X,MATCH($A266,SPPR!$A:$A,0),7),"")</f>
        <v/>
      </c>
      <c r="K266">
        <f>IFERROR($C266*INDEX(SPPR!$E:$X,MATCH($A266,SPPR!$A:$A,0),8),"")</f>
        <v/>
      </c>
      <c r="L266">
        <f>IFERROR($C266*INDEX(SPPR!$E:$X,MATCH($A266,SPPR!$A:$A,0),9),"")</f>
        <v/>
      </c>
      <c r="M266">
        <f>IFERROR($C266*INDEX(SPPR!$E:$X,MATCH($A266,SPPR!$A:$A,0),10),"")</f>
        <v/>
      </c>
      <c r="N266">
        <f>IFERROR($C266*INDEX(SPPR!$E:$X,MATCH($A266,SPPR!$A:$A,0),11),"")</f>
        <v/>
      </c>
      <c r="O266">
        <f>IFERROR($C266*INDEX(SPPR!$E:$X,MATCH($A266,SPPR!$A:$A,0),12),"")</f>
        <v/>
      </c>
      <c r="P266">
        <f>IFERROR($C266*INDEX(SPPR!$E:$X,MATCH($A266,SPPR!$A:$A,0),13),"")</f>
        <v/>
      </c>
      <c r="Q266">
        <f>IFERROR($C266*INDEX(SPPR!$E:$X,MATCH($A266,SPPR!$A:$A,0),14),"")</f>
        <v/>
      </c>
      <c r="R266">
        <f>IFERROR($C266*INDEX(SPPR!$E:$X,MATCH($A266,SPPR!$A:$A,0),15),"")</f>
        <v/>
      </c>
      <c r="S266">
        <f>IFERROR($C266*INDEX(SPPR!$E:$X,MATCH($A266,SPPR!$A:$A,0),16),"")</f>
        <v/>
      </c>
      <c r="T266">
        <f>IFERROR($C266*INDEX(SPPR!$E:$X,MATCH($A266,SPPR!$A:$A,0),17),"")</f>
        <v/>
      </c>
      <c r="U266">
        <f>IFERROR($C266*INDEX(SPPR!$E:$X,MATCH($A266,SPPR!$A:$A,0),18),"")</f>
        <v/>
      </c>
      <c r="V266">
        <f>IFERROR($C266*INDEX(SPPR!$E:$X,MATCH($A266,SPPR!$A:$A,0),19),"")</f>
        <v/>
      </c>
      <c r="W266">
        <f>IFERROR($C266*INDEX(SPPR!$E:$X,MATCH($A266,SPPR!$A:$A,0),20),"")</f>
        <v/>
      </c>
    </row>
    <row r="267">
      <c r="A267" t="inlineStr">
        <is>
          <t>Carcharhinus albimarginatus</t>
        </is>
      </c>
      <c r="B267">
        <f>IFERROR(INDEX(SPPR!$D:$D,MATCH($A267,SPPR!$A:$A,0)),"")</f>
        <v/>
      </c>
      <c r="C267">
        <f>IFERROR(INDEX(Catch!$E:$BV,MATCH($A267,Catch!$A:$A,0),MATCH($B$4,Catch!$E$1:$BV$1,0)),0)</f>
        <v/>
      </c>
      <c r="D267">
        <f>IFERROR($C267*INDEX(SPPR!$E:$X,MATCH($A267,SPPR!$A:$A,0),1),"")</f>
        <v/>
      </c>
      <c r="E267">
        <f>IFERROR($C267*INDEX(SPPR!$E:$X,MATCH($A267,SPPR!$A:$A,0),2),"")</f>
        <v/>
      </c>
      <c r="F267">
        <f>IFERROR($C267*INDEX(SPPR!$E:$X,MATCH($A267,SPPR!$A:$A,0),3),"")</f>
        <v/>
      </c>
      <c r="G267">
        <f>IFERROR($C267*INDEX(SPPR!$E:$X,MATCH($A267,SPPR!$A:$A,0),4),"")</f>
        <v/>
      </c>
      <c r="H267">
        <f>IFERROR($C267*INDEX(SPPR!$E:$X,MATCH($A267,SPPR!$A:$A,0),5),"")</f>
        <v/>
      </c>
      <c r="I267">
        <f>IFERROR($C267*INDEX(SPPR!$E:$X,MATCH($A267,SPPR!$A:$A,0),6),"")</f>
        <v/>
      </c>
      <c r="J267">
        <f>IFERROR($C267*INDEX(SPPR!$E:$X,MATCH($A267,SPPR!$A:$A,0),7),"")</f>
        <v/>
      </c>
      <c r="K267">
        <f>IFERROR($C267*INDEX(SPPR!$E:$X,MATCH($A267,SPPR!$A:$A,0),8),"")</f>
        <v/>
      </c>
      <c r="L267">
        <f>IFERROR($C267*INDEX(SPPR!$E:$X,MATCH($A267,SPPR!$A:$A,0),9),"")</f>
        <v/>
      </c>
      <c r="M267">
        <f>IFERROR($C267*INDEX(SPPR!$E:$X,MATCH($A267,SPPR!$A:$A,0),10),"")</f>
        <v/>
      </c>
      <c r="N267">
        <f>IFERROR($C267*INDEX(SPPR!$E:$X,MATCH($A267,SPPR!$A:$A,0),11),"")</f>
        <v/>
      </c>
      <c r="O267">
        <f>IFERROR($C267*INDEX(SPPR!$E:$X,MATCH($A267,SPPR!$A:$A,0),12),"")</f>
        <v/>
      </c>
      <c r="P267">
        <f>IFERROR($C267*INDEX(SPPR!$E:$X,MATCH($A267,SPPR!$A:$A,0),13),"")</f>
        <v/>
      </c>
      <c r="Q267">
        <f>IFERROR($C267*INDEX(SPPR!$E:$X,MATCH($A267,SPPR!$A:$A,0),14),"")</f>
        <v/>
      </c>
      <c r="R267">
        <f>IFERROR($C267*INDEX(SPPR!$E:$X,MATCH($A267,SPPR!$A:$A,0),15),"")</f>
        <v/>
      </c>
      <c r="S267">
        <f>IFERROR($C267*INDEX(SPPR!$E:$X,MATCH($A267,SPPR!$A:$A,0),16),"")</f>
        <v/>
      </c>
      <c r="T267">
        <f>IFERROR($C267*INDEX(SPPR!$E:$X,MATCH($A267,SPPR!$A:$A,0),17),"")</f>
        <v/>
      </c>
      <c r="U267">
        <f>IFERROR($C267*INDEX(SPPR!$E:$X,MATCH($A267,SPPR!$A:$A,0),18),"")</f>
        <v/>
      </c>
      <c r="V267">
        <f>IFERROR($C267*INDEX(SPPR!$E:$X,MATCH($A267,SPPR!$A:$A,0),19),"")</f>
        <v/>
      </c>
      <c r="W267">
        <f>IFERROR($C267*INDEX(SPPR!$E:$X,MATCH($A267,SPPR!$A:$A,0),20),"")</f>
        <v/>
      </c>
    </row>
    <row r="268">
      <c r="A268" t="inlineStr">
        <is>
          <t>Lutjanus bohar</t>
        </is>
      </c>
      <c r="B268">
        <f>IFERROR(INDEX(SPPR!$D:$D,MATCH($A268,SPPR!$A:$A,0)),"")</f>
        <v/>
      </c>
      <c r="C268">
        <f>IFERROR(INDEX(Catch!$E:$BV,MATCH($A268,Catch!$A:$A,0),MATCH($B$4,Catch!$E$1:$BV$1,0)),0)</f>
        <v/>
      </c>
      <c r="D268">
        <f>IFERROR($C268*INDEX(SPPR!$E:$X,MATCH($A268,SPPR!$A:$A,0),1),"")</f>
        <v/>
      </c>
      <c r="E268">
        <f>IFERROR($C268*INDEX(SPPR!$E:$X,MATCH($A268,SPPR!$A:$A,0),2),"")</f>
        <v/>
      </c>
      <c r="F268">
        <f>IFERROR($C268*INDEX(SPPR!$E:$X,MATCH($A268,SPPR!$A:$A,0),3),"")</f>
        <v/>
      </c>
      <c r="G268">
        <f>IFERROR($C268*INDEX(SPPR!$E:$X,MATCH($A268,SPPR!$A:$A,0),4),"")</f>
        <v/>
      </c>
      <c r="H268">
        <f>IFERROR($C268*INDEX(SPPR!$E:$X,MATCH($A268,SPPR!$A:$A,0),5),"")</f>
        <v/>
      </c>
      <c r="I268">
        <f>IFERROR($C268*INDEX(SPPR!$E:$X,MATCH($A268,SPPR!$A:$A,0),6),"")</f>
        <v/>
      </c>
      <c r="J268">
        <f>IFERROR($C268*INDEX(SPPR!$E:$X,MATCH($A268,SPPR!$A:$A,0),7),"")</f>
        <v/>
      </c>
      <c r="K268">
        <f>IFERROR($C268*INDEX(SPPR!$E:$X,MATCH($A268,SPPR!$A:$A,0),8),"")</f>
        <v/>
      </c>
      <c r="L268">
        <f>IFERROR($C268*INDEX(SPPR!$E:$X,MATCH($A268,SPPR!$A:$A,0),9),"")</f>
        <v/>
      </c>
      <c r="M268">
        <f>IFERROR($C268*INDEX(SPPR!$E:$X,MATCH($A268,SPPR!$A:$A,0),10),"")</f>
        <v/>
      </c>
      <c r="N268">
        <f>IFERROR($C268*INDEX(SPPR!$E:$X,MATCH($A268,SPPR!$A:$A,0),11),"")</f>
        <v/>
      </c>
      <c r="O268">
        <f>IFERROR($C268*INDEX(SPPR!$E:$X,MATCH($A268,SPPR!$A:$A,0),12),"")</f>
        <v/>
      </c>
      <c r="P268">
        <f>IFERROR($C268*INDEX(SPPR!$E:$X,MATCH($A268,SPPR!$A:$A,0),13),"")</f>
        <v/>
      </c>
      <c r="Q268">
        <f>IFERROR($C268*INDEX(SPPR!$E:$X,MATCH($A268,SPPR!$A:$A,0),14),"")</f>
        <v/>
      </c>
      <c r="R268">
        <f>IFERROR($C268*INDEX(SPPR!$E:$X,MATCH($A268,SPPR!$A:$A,0),15),"")</f>
        <v/>
      </c>
      <c r="S268">
        <f>IFERROR($C268*INDEX(SPPR!$E:$X,MATCH($A268,SPPR!$A:$A,0),16),"")</f>
        <v/>
      </c>
      <c r="T268">
        <f>IFERROR($C268*INDEX(SPPR!$E:$X,MATCH($A268,SPPR!$A:$A,0),17),"")</f>
        <v/>
      </c>
      <c r="U268">
        <f>IFERROR($C268*INDEX(SPPR!$E:$X,MATCH($A268,SPPR!$A:$A,0),18),"")</f>
        <v/>
      </c>
      <c r="V268">
        <f>IFERROR($C268*INDEX(SPPR!$E:$X,MATCH($A268,SPPR!$A:$A,0),19),"")</f>
        <v/>
      </c>
      <c r="W268">
        <f>IFERROR($C268*INDEX(SPPR!$E:$X,MATCH($A268,SPPR!$A:$A,0),20),"")</f>
        <v/>
      </c>
    </row>
    <row r="269">
      <c r="A269" t="inlineStr">
        <is>
          <t>Rachycentridae</t>
        </is>
      </c>
      <c r="B269">
        <f>IFERROR(INDEX(SPPR!$D:$D,MATCH($A269,SPPR!$A:$A,0)),"")</f>
        <v/>
      </c>
      <c r="C269">
        <f>IFERROR(INDEX(Catch!$E:$BV,MATCH($A269,Catch!$A:$A,0),MATCH($B$4,Catch!$E$1:$BV$1,0)),0)</f>
        <v/>
      </c>
      <c r="D269">
        <f>IFERROR($C269*INDEX(SPPR!$E:$X,MATCH($A269,SPPR!$A:$A,0),1),"")</f>
        <v/>
      </c>
      <c r="E269">
        <f>IFERROR($C269*INDEX(SPPR!$E:$X,MATCH($A269,SPPR!$A:$A,0),2),"")</f>
        <v/>
      </c>
      <c r="F269">
        <f>IFERROR($C269*INDEX(SPPR!$E:$X,MATCH($A269,SPPR!$A:$A,0),3),"")</f>
        <v/>
      </c>
      <c r="G269">
        <f>IFERROR($C269*INDEX(SPPR!$E:$X,MATCH($A269,SPPR!$A:$A,0),4),"")</f>
        <v/>
      </c>
      <c r="H269">
        <f>IFERROR($C269*INDEX(SPPR!$E:$X,MATCH($A269,SPPR!$A:$A,0),5),"")</f>
        <v/>
      </c>
      <c r="I269">
        <f>IFERROR($C269*INDEX(SPPR!$E:$X,MATCH($A269,SPPR!$A:$A,0),6),"")</f>
        <v/>
      </c>
      <c r="J269">
        <f>IFERROR($C269*INDEX(SPPR!$E:$X,MATCH($A269,SPPR!$A:$A,0),7),"")</f>
        <v/>
      </c>
      <c r="K269">
        <f>IFERROR($C269*INDEX(SPPR!$E:$X,MATCH($A269,SPPR!$A:$A,0),8),"")</f>
        <v/>
      </c>
      <c r="L269">
        <f>IFERROR($C269*INDEX(SPPR!$E:$X,MATCH($A269,SPPR!$A:$A,0),9),"")</f>
        <v/>
      </c>
      <c r="M269">
        <f>IFERROR($C269*INDEX(SPPR!$E:$X,MATCH($A269,SPPR!$A:$A,0),10),"")</f>
        <v/>
      </c>
      <c r="N269">
        <f>IFERROR($C269*INDEX(SPPR!$E:$X,MATCH($A269,SPPR!$A:$A,0),11),"")</f>
        <v/>
      </c>
      <c r="O269">
        <f>IFERROR($C269*INDEX(SPPR!$E:$X,MATCH($A269,SPPR!$A:$A,0),12),"")</f>
        <v/>
      </c>
      <c r="P269">
        <f>IFERROR($C269*INDEX(SPPR!$E:$X,MATCH($A269,SPPR!$A:$A,0),13),"")</f>
        <v/>
      </c>
      <c r="Q269">
        <f>IFERROR($C269*INDEX(SPPR!$E:$X,MATCH($A269,SPPR!$A:$A,0),14),"")</f>
        <v/>
      </c>
      <c r="R269">
        <f>IFERROR($C269*INDEX(SPPR!$E:$X,MATCH($A269,SPPR!$A:$A,0),15),"")</f>
        <v/>
      </c>
      <c r="S269">
        <f>IFERROR($C269*INDEX(SPPR!$E:$X,MATCH($A269,SPPR!$A:$A,0),16),"")</f>
        <v/>
      </c>
      <c r="T269">
        <f>IFERROR($C269*INDEX(SPPR!$E:$X,MATCH($A269,SPPR!$A:$A,0),17),"")</f>
        <v/>
      </c>
      <c r="U269">
        <f>IFERROR($C269*INDEX(SPPR!$E:$X,MATCH($A269,SPPR!$A:$A,0),18),"")</f>
        <v/>
      </c>
      <c r="V269">
        <f>IFERROR($C269*INDEX(SPPR!$E:$X,MATCH($A269,SPPR!$A:$A,0),19),"")</f>
        <v/>
      </c>
      <c r="W269">
        <f>IFERROR($C269*INDEX(SPPR!$E:$X,MATCH($A269,SPPR!$A:$A,0),20),"")</f>
        <v/>
      </c>
    </row>
    <row r="270">
      <c r="A270" t="inlineStr">
        <is>
          <t>Penaeus</t>
        </is>
      </c>
      <c r="B270">
        <f>IFERROR(INDEX(SPPR!$D:$D,MATCH($A270,SPPR!$A:$A,0)),"")</f>
        <v/>
      </c>
      <c r="C270">
        <f>IFERROR(INDEX(Catch!$E:$BV,MATCH($A270,Catch!$A:$A,0),MATCH($B$4,Catch!$E$1:$BV$1,0)),0)</f>
        <v/>
      </c>
      <c r="D270">
        <f>IFERROR($C270*INDEX(SPPR!$E:$X,MATCH($A270,SPPR!$A:$A,0),1),"")</f>
        <v/>
      </c>
      <c r="E270">
        <f>IFERROR($C270*INDEX(SPPR!$E:$X,MATCH($A270,SPPR!$A:$A,0),2),"")</f>
        <v/>
      </c>
      <c r="F270">
        <f>IFERROR($C270*INDEX(SPPR!$E:$X,MATCH($A270,SPPR!$A:$A,0),3),"")</f>
        <v/>
      </c>
      <c r="G270">
        <f>IFERROR($C270*INDEX(SPPR!$E:$X,MATCH($A270,SPPR!$A:$A,0),4),"")</f>
        <v/>
      </c>
      <c r="H270">
        <f>IFERROR($C270*INDEX(SPPR!$E:$X,MATCH($A270,SPPR!$A:$A,0),5),"")</f>
        <v/>
      </c>
      <c r="I270">
        <f>IFERROR($C270*INDEX(SPPR!$E:$X,MATCH($A270,SPPR!$A:$A,0),6),"")</f>
        <v/>
      </c>
      <c r="J270">
        <f>IFERROR($C270*INDEX(SPPR!$E:$X,MATCH($A270,SPPR!$A:$A,0),7),"")</f>
        <v/>
      </c>
      <c r="K270">
        <f>IFERROR($C270*INDEX(SPPR!$E:$X,MATCH($A270,SPPR!$A:$A,0),8),"")</f>
        <v/>
      </c>
      <c r="L270">
        <f>IFERROR($C270*INDEX(SPPR!$E:$X,MATCH($A270,SPPR!$A:$A,0),9),"")</f>
        <v/>
      </c>
      <c r="M270">
        <f>IFERROR($C270*INDEX(SPPR!$E:$X,MATCH($A270,SPPR!$A:$A,0),10),"")</f>
        <v/>
      </c>
      <c r="N270">
        <f>IFERROR($C270*INDEX(SPPR!$E:$X,MATCH($A270,SPPR!$A:$A,0),11),"")</f>
        <v/>
      </c>
      <c r="O270">
        <f>IFERROR($C270*INDEX(SPPR!$E:$X,MATCH($A270,SPPR!$A:$A,0),12),"")</f>
        <v/>
      </c>
      <c r="P270">
        <f>IFERROR($C270*INDEX(SPPR!$E:$X,MATCH($A270,SPPR!$A:$A,0),13),"")</f>
        <v/>
      </c>
      <c r="Q270">
        <f>IFERROR($C270*INDEX(SPPR!$E:$X,MATCH($A270,SPPR!$A:$A,0),14),"")</f>
        <v/>
      </c>
      <c r="R270">
        <f>IFERROR($C270*INDEX(SPPR!$E:$X,MATCH($A270,SPPR!$A:$A,0),15),"")</f>
        <v/>
      </c>
      <c r="S270">
        <f>IFERROR($C270*INDEX(SPPR!$E:$X,MATCH($A270,SPPR!$A:$A,0),16),"")</f>
        <v/>
      </c>
      <c r="T270">
        <f>IFERROR($C270*INDEX(SPPR!$E:$X,MATCH($A270,SPPR!$A:$A,0),17),"")</f>
        <v/>
      </c>
      <c r="U270">
        <f>IFERROR($C270*INDEX(SPPR!$E:$X,MATCH($A270,SPPR!$A:$A,0),18),"")</f>
        <v/>
      </c>
      <c r="V270">
        <f>IFERROR($C270*INDEX(SPPR!$E:$X,MATCH($A270,SPPR!$A:$A,0),19),"")</f>
        <v/>
      </c>
      <c r="W270">
        <f>IFERROR($C270*INDEX(SPPR!$E:$X,MATCH($A270,SPPR!$A:$A,0),20),"")</f>
        <v/>
      </c>
    </row>
    <row r="271">
      <c r="A271" t="inlineStr">
        <is>
          <t>Plectorhinchus gaterinus</t>
        </is>
      </c>
      <c r="B271">
        <f>IFERROR(INDEX(SPPR!$D:$D,MATCH($A271,SPPR!$A:$A,0)),"")</f>
        <v/>
      </c>
      <c r="C271">
        <f>IFERROR(INDEX(Catch!$E:$BV,MATCH($A271,Catch!$A:$A,0),MATCH($B$4,Catch!$E$1:$BV$1,0)),0)</f>
        <v/>
      </c>
      <c r="D271">
        <f>IFERROR($C271*INDEX(SPPR!$E:$X,MATCH($A271,SPPR!$A:$A,0),1),"")</f>
        <v/>
      </c>
      <c r="E271">
        <f>IFERROR($C271*INDEX(SPPR!$E:$X,MATCH($A271,SPPR!$A:$A,0),2),"")</f>
        <v/>
      </c>
      <c r="F271">
        <f>IFERROR($C271*INDEX(SPPR!$E:$X,MATCH($A271,SPPR!$A:$A,0),3),"")</f>
        <v/>
      </c>
      <c r="G271">
        <f>IFERROR($C271*INDEX(SPPR!$E:$X,MATCH($A271,SPPR!$A:$A,0),4),"")</f>
        <v/>
      </c>
      <c r="H271">
        <f>IFERROR($C271*INDEX(SPPR!$E:$X,MATCH($A271,SPPR!$A:$A,0),5),"")</f>
        <v/>
      </c>
      <c r="I271">
        <f>IFERROR($C271*INDEX(SPPR!$E:$X,MATCH($A271,SPPR!$A:$A,0),6),"")</f>
        <v/>
      </c>
      <c r="J271">
        <f>IFERROR($C271*INDEX(SPPR!$E:$X,MATCH($A271,SPPR!$A:$A,0),7),"")</f>
        <v/>
      </c>
      <c r="K271">
        <f>IFERROR($C271*INDEX(SPPR!$E:$X,MATCH($A271,SPPR!$A:$A,0),8),"")</f>
        <v/>
      </c>
      <c r="L271">
        <f>IFERROR($C271*INDEX(SPPR!$E:$X,MATCH($A271,SPPR!$A:$A,0),9),"")</f>
        <v/>
      </c>
      <c r="M271">
        <f>IFERROR($C271*INDEX(SPPR!$E:$X,MATCH($A271,SPPR!$A:$A,0),10),"")</f>
        <v/>
      </c>
      <c r="N271">
        <f>IFERROR($C271*INDEX(SPPR!$E:$X,MATCH($A271,SPPR!$A:$A,0),11),"")</f>
        <v/>
      </c>
      <c r="O271">
        <f>IFERROR($C271*INDEX(SPPR!$E:$X,MATCH($A271,SPPR!$A:$A,0),12),"")</f>
        <v/>
      </c>
      <c r="P271">
        <f>IFERROR($C271*INDEX(SPPR!$E:$X,MATCH($A271,SPPR!$A:$A,0),13),"")</f>
        <v/>
      </c>
      <c r="Q271">
        <f>IFERROR($C271*INDEX(SPPR!$E:$X,MATCH($A271,SPPR!$A:$A,0),14),"")</f>
        <v/>
      </c>
      <c r="R271">
        <f>IFERROR($C271*INDEX(SPPR!$E:$X,MATCH($A271,SPPR!$A:$A,0),15),"")</f>
        <v/>
      </c>
      <c r="S271">
        <f>IFERROR($C271*INDEX(SPPR!$E:$X,MATCH($A271,SPPR!$A:$A,0),16),"")</f>
        <v/>
      </c>
      <c r="T271">
        <f>IFERROR($C271*INDEX(SPPR!$E:$X,MATCH($A271,SPPR!$A:$A,0),17),"")</f>
        <v/>
      </c>
      <c r="U271">
        <f>IFERROR($C271*INDEX(SPPR!$E:$X,MATCH($A271,SPPR!$A:$A,0),18),"")</f>
        <v/>
      </c>
      <c r="V271">
        <f>IFERROR($C271*INDEX(SPPR!$E:$X,MATCH($A271,SPPR!$A:$A,0),19),"")</f>
        <v/>
      </c>
      <c r="W271">
        <f>IFERROR($C271*INDEX(SPPR!$E:$X,MATCH($A271,SPPR!$A:$A,0),20),"")</f>
        <v/>
      </c>
    </row>
    <row r="272">
      <c r="A272" t="inlineStr">
        <is>
          <t>Variola louti</t>
        </is>
      </c>
      <c r="B272">
        <f>IFERROR(INDEX(SPPR!$D:$D,MATCH($A272,SPPR!$A:$A,0)),"")</f>
        <v/>
      </c>
      <c r="C272">
        <f>IFERROR(INDEX(Catch!$E:$BV,MATCH($A272,Catch!$A:$A,0),MATCH($B$4,Catch!$E$1:$BV$1,0)),0)</f>
        <v/>
      </c>
      <c r="D272">
        <f>IFERROR($C272*INDEX(SPPR!$E:$X,MATCH($A272,SPPR!$A:$A,0),1),"")</f>
        <v/>
      </c>
      <c r="E272">
        <f>IFERROR($C272*INDEX(SPPR!$E:$X,MATCH($A272,SPPR!$A:$A,0),2),"")</f>
        <v/>
      </c>
      <c r="F272">
        <f>IFERROR($C272*INDEX(SPPR!$E:$X,MATCH($A272,SPPR!$A:$A,0),3),"")</f>
        <v/>
      </c>
      <c r="G272">
        <f>IFERROR($C272*INDEX(SPPR!$E:$X,MATCH($A272,SPPR!$A:$A,0),4),"")</f>
        <v/>
      </c>
      <c r="H272">
        <f>IFERROR($C272*INDEX(SPPR!$E:$X,MATCH($A272,SPPR!$A:$A,0),5),"")</f>
        <v/>
      </c>
      <c r="I272">
        <f>IFERROR($C272*INDEX(SPPR!$E:$X,MATCH($A272,SPPR!$A:$A,0),6),"")</f>
        <v/>
      </c>
      <c r="J272">
        <f>IFERROR($C272*INDEX(SPPR!$E:$X,MATCH($A272,SPPR!$A:$A,0),7),"")</f>
        <v/>
      </c>
      <c r="K272">
        <f>IFERROR($C272*INDEX(SPPR!$E:$X,MATCH($A272,SPPR!$A:$A,0),8),"")</f>
        <v/>
      </c>
      <c r="L272">
        <f>IFERROR($C272*INDEX(SPPR!$E:$X,MATCH($A272,SPPR!$A:$A,0),9),"")</f>
        <v/>
      </c>
      <c r="M272">
        <f>IFERROR($C272*INDEX(SPPR!$E:$X,MATCH($A272,SPPR!$A:$A,0),10),"")</f>
        <v/>
      </c>
      <c r="N272">
        <f>IFERROR($C272*INDEX(SPPR!$E:$X,MATCH($A272,SPPR!$A:$A,0),11),"")</f>
        <v/>
      </c>
      <c r="O272">
        <f>IFERROR($C272*INDEX(SPPR!$E:$X,MATCH($A272,SPPR!$A:$A,0),12),"")</f>
        <v/>
      </c>
      <c r="P272">
        <f>IFERROR($C272*INDEX(SPPR!$E:$X,MATCH($A272,SPPR!$A:$A,0),13),"")</f>
        <v/>
      </c>
      <c r="Q272">
        <f>IFERROR($C272*INDEX(SPPR!$E:$X,MATCH($A272,SPPR!$A:$A,0),14),"")</f>
        <v/>
      </c>
      <c r="R272">
        <f>IFERROR($C272*INDEX(SPPR!$E:$X,MATCH($A272,SPPR!$A:$A,0),15),"")</f>
        <v/>
      </c>
      <c r="S272">
        <f>IFERROR($C272*INDEX(SPPR!$E:$X,MATCH($A272,SPPR!$A:$A,0),16),"")</f>
        <v/>
      </c>
      <c r="T272">
        <f>IFERROR($C272*INDEX(SPPR!$E:$X,MATCH($A272,SPPR!$A:$A,0),17),"")</f>
        <v/>
      </c>
      <c r="U272">
        <f>IFERROR($C272*INDEX(SPPR!$E:$X,MATCH($A272,SPPR!$A:$A,0),18),"")</f>
        <v/>
      </c>
      <c r="V272">
        <f>IFERROR($C272*INDEX(SPPR!$E:$X,MATCH($A272,SPPR!$A:$A,0),19),"")</f>
        <v/>
      </c>
      <c r="W272">
        <f>IFERROR($C272*INDEX(SPPR!$E:$X,MATCH($A272,SPPR!$A:$A,0),20),"")</f>
        <v/>
      </c>
    </row>
    <row r="273">
      <c r="A273" t="inlineStr">
        <is>
          <t>Lutjanus russellii</t>
        </is>
      </c>
      <c r="B273">
        <f>IFERROR(INDEX(SPPR!$D:$D,MATCH($A273,SPPR!$A:$A,0)),"")</f>
        <v/>
      </c>
      <c r="C273">
        <f>IFERROR(INDEX(Catch!$E:$BV,MATCH($A273,Catch!$A:$A,0),MATCH($B$4,Catch!$E$1:$BV$1,0)),0)</f>
        <v/>
      </c>
      <c r="D273">
        <f>IFERROR($C273*INDEX(SPPR!$E:$X,MATCH($A273,SPPR!$A:$A,0),1),"")</f>
        <v/>
      </c>
      <c r="E273">
        <f>IFERROR($C273*INDEX(SPPR!$E:$X,MATCH($A273,SPPR!$A:$A,0),2),"")</f>
        <v/>
      </c>
      <c r="F273">
        <f>IFERROR($C273*INDEX(SPPR!$E:$X,MATCH($A273,SPPR!$A:$A,0),3),"")</f>
        <v/>
      </c>
      <c r="G273">
        <f>IFERROR($C273*INDEX(SPPR!$E:$X,MATCH($A273,SPPR!$A:$A,0),4),"")</f>
        <v/>
      </c>
      <c r="H273">
        <f>IFERROR($C273*INDEX(SPPR!$E:$X,MATCH($A273,SPPR!$A:$A,0),5),"")</f>
        <v/>
      </c>
      <c r="I273">
        <f>IFERROR($C273*INDEX(SPPR!$E:$X,MATCH($A273,SPPR!$A:$A,0),6),"")</f>
        <v/>
      </c>
      <c r="J273">
        <f>IFERROR($C273*INDEX(SPPR!$E:$X,MATCH($A273,SPPR!$A:$A,0),7),"")</f>
        <v/>
      </c>
      <c r="K273">
        <f>IFERROR($C273*INDEX(SPPR!$E:$X,MATCH($A273,SPPR!$A:$A,0),8),"")</f>
        <v/>
      </c>
      <c r="L273">
        <f>IFERROR($C273*INDEX(SPPR!$E:$X,MATCH($A273,SPPR!$A:$A,0),9),"")</f>
        <v/>
      </c>
      <c r="M273">
        <f>IFERROR($C273*INDEX(SPPR!$E:$X,MATCH($A273,SPPR!$A:$A,0),10),"")</f>
        <v/>
      </c>
      <c r="N273">
        <f>IFERROR($C273*INDEX(SPPR!$E:$X,MATCH($A273,SPPR!$A:$A,0),11),"")</f>
        <v/>
      </c>
      <c r="O273">
        <f>IFERROR($C273*INDEX(SPPR!$E:$X,MATCH($A273,SPPR!$A:$A,0),12),"")</f>
        <v/>
      </c>
      <c r="P273">
        <f>IFERROR($C273*INDEX(SPPR!$E:$X,MATCH($A273,SPPR!$A:$A,0),13),"")</f>
        <v/>
      </c>
      <c r="Q273">
        <f>IFERROR($C273*INDEX(SPPR!$E:$X,MATCH($A273,SPPR!$A:$A,0),14),"")</f>
        <v/>
      </c>
      <c r="R273">
        <f>IFERROR($C273*INDEX(SPPR!$E:$X,MATCH($A273,SPPR!$A:$A,0),15),"")</f>
        <v/>
      </c>
      <c r="S273">
        <f>IFERROR($C273*INDEX(SPPR!$E:$X,MATCH($A273,SPPR!$A:$A,0),16),"")</f>
        <v/>
      </c>
      <c r="T273">
        <f>IFERROR($C273*INDEX(SPPR!$E:$X,MATCH($A273,SPPR!$A:$A,0),17),"")</f>
        <v/>
      </c>
      <c r="U273">
        <f>IFERROR($C273*INDEX(SPPR!$E:$X,MATCH($A273,SPPR!$A:$A,0),18),"")</f>
        <v/>
      </c>
      <c r="V273">
        <f>IFERROR($C273*INDEX(SPPR!$E:$X,MATCH($A273,SPPR!$A:$A,0),19),"")</f>
        <v/>
      </c>
      <c r="W273">
        <f>IFERROR($C273*INDEX(SPPR!$E:$X,MATCH($A273,SPPR!$A:$A,0),20),"")</f>
        <v/>
      </c>
    </row>
    <row r="274">
      <c r="A274" t="inlineStr">
        <is>
          <t>Etelis</t>
        </is>
      </c>
      <c r="B274">
        <f>IFERROR(INDEX(SPPR!$D:$D,MATCH($A274,SPPR!$A:$A,0)),"")</f>
        <v/>
      </c>
      <c r="C274">
        <f>IFERROR(INDEX(Catch!$E:$BV,MATCH($A274,Catch!$A:$A,0),MATCH($B$4,Catch!$E$1:$BV$1,0)),0)</f>
        <v/>
      </c>
      <c r="D274">
        <f>IFERROR($C274*INDEX(SPPR!$E:$X,MATCH($A274,SPPR!$A:$A,0),1),"")</f>
        <v/>
      </c>
      <c r="E274">
        <f>IFERROR($C274*INDEX(SPPR!$E:$X,MATCH($A274,SPPR!$A:$A,0),2),"")</f>
        <v/>
      </c>
      <c r="F274">
        <f>IFERROR($C274*INDEX(SPPR!$E:$X,MATCH($A274,SPPR!$A:$A,0),3),"")</f>
        <v/>
      </c>
      <c r="G274">
        <f>IFERROR($C274*INDEX(SPPR!$E:$X,MATCH($A274,SPPR!$A:$A,0),4),"")</f>
        <v/>
      </c>
      <c r="H274">
        <f>IFERROR($C274*INDEX(SPPR!$E:$X,MATCH($A274,SPPR!$A:$A,0),5),"")</f>
        <v/>
      </c>
      <c r="I274">
        <f>IFERROR($C274*INDEX(SPPR!$E:$X,MATCH($A274,SPPR!$A:$A,0),6),"")</f>
        <v/>
      </c>
      <c r="J274">
        <f>IFERROR($C274*INDEX(SPPR!$E:$X,MATCH($A274,SPPR!$A:$A,0),7),"")</f>
        <v/>
      </c>
      <c r="K274">
        <f>IFERROR($C274*INDEX(SPPR!$E:$X,MATCH($A274,SPPR!$A:$A,0),8),"")</f>
        <v/>
      </c>
      <c r="L274">
        <f>IFERROR($C274*INDEX(SPPR!$E:$X,MATCH($A274,SPPR!$A:$A,0),9),"")</f>
        <v/>
      </c>
      <c r="M274">
        <f>IFERROR($C274*INDEX(SPPR!$E:$X,MATCH($A274,SPPR!$A:$A,0),10),"")</f>
        <v/>
      </c>
      <c r="N274">
        <f>IFERROR($C274*INDEX(SPPR!$E:$X,MATCH($A274,SPPR!$A:$A,0),11),"")</f>
        <v/>
      </c>
      <c r="O274">
        <f>IFERROR($C274*INDEX(SPPR!$E:$X,MATCH($A274,SPPR!$A:$A,0),12),"")</f>
        <v/>
      </c>
      <c r="P274">
        <f>IFERROR($C274*INDEX(SPPR!$E:$X,MATCH($A274,SPPR!$A:$A,0),13),"")</f>
        <v/>
      </c>
      <c r="Q274">
        <f>IFERROR($C274*INDEX(SPPR!$E:$X,MATCH($A274,SPPR!$A:$A,0),14),"")</f>
        <v/>
      </c>
      <c r="R274">
        <f>IFERROR($C274*INDEX(SPPR!$E:$X,MATCH($A274,SPPR!$A:$A,0),15),"")</f>
        <v/>
      </c>
      <c r="S274">
        <f>IFERROR($C274*INDEX(SPPR!$E:$X,MATCH($A274,SPPR!$A:$A,0),16),"")</f>
        <v/>
      </c>
      <c r="T274">
        <f>IFERROR($C274*INDEX(SPPR!$E:$X,MATCH($A274,SPPR!$A:$A,0),17),"")</f>
        <v/>
      </c>
      <c r="U274">
        <f>IFERROR($C274*INDEX(SPPR!$E:$X,MATCH($A274,SPPR!$A:$A,0),18),"")</f>
        <v/>
      </c>
      <c r="V274">
        <f>IFERROR($C274*INDEX(SPPR!$E:$X,MATCH($A274,SPPR!$A:$A,0),19),"")</f>
        <v/>
      </c>
      <c r="W274">
        <f>IFERROR($C274*INDEX(SPPR!$E:$X,MATCH($A274,SPPR!$A:$A,0),20),"")</f>
        <v/>
      </c>
    </row>
    <row r="275">
      <c r="A275" t="inlineStr">
        <is>
          <t>Spratelloides gracilis</t>
        </is>
      </c>
      <c r="B275">
        <f>IFERROR(INDEX(SPPR!$D:$D,MATCH($A275,SPPR!$A:$A,0)),"")</f>
        <v/>
      </c>
      <c r="C275">
        <f>IFERROR(INDEX(Catch!$E:$BV,MATCH($A275,Catch!$A:$A,0),MATCH($B$4,Catch!$E$1:$BV$1,0)),0)</f>
        <v/>
      </c>
      <c r="D275">
        <f>IFERROR($C275*INDEX(SPPR!$E:$X,MATCH($A275,SPPR!$A:$A,0),1),"")</f>
        <v/>
      </c>
      <c r="E275">
        <f>IFERROR($C275*INDEX(SPPR!$E:$X,MATCH($A275,SPPR!$A:$A,0),2),"")</f>
        <v/>
      </c>
      <c r="F275">
        <f>IFERROR($C275*INDEX(SPPR!$E:$X,MATCH($A275,SPPR!$A:$A,0),3),"")</f>
        <v/>
      </c>
      <c r="G275">
        <f>IFERROR($C275*INDEX(SPPR!$E:$X,MATCH($A275,SPPR!$A:$A,0),4),"")</f>
        <v/>
      </c>
      <c r="H275">
        <f>IFERROR($C275*INDEX(SPPR!$E:$X,MATCH($A275,SPPR!$A:$A,0),5),"")</f>
        <v/>
      </c>
      <c r="I275">
        <f>IFERROR($C275*INDEX(SPPR!$E:$X,MATCH($A275,SPPR!$A:$A,0),6),"")</f>
        <v/>
      </c>
      <c r="J275">
        <f>IFERROR($C275*INDEX(SPPR!$E:$X,MATCH($A275,SPPR!$A:$A,0),7),"")</f>
        <v/>
      </c>
      <c r="K275">
        <f>IFERROR($C275*INDEX(SPPR!$E:$X,MATCH($A275,SPPR!$A:$A,0),8),"")</f>
        <v/>
      </c>
      <c r="L275">
        <f>IFERROR($C275*INDEX(SPPR!$E:$X,MATCH($A275,SPPR!$A:$A,0),9),"")</f>
        <v/>
      </c>
      <c r="M275">
        <f>IFERROR($C275*INDEX(SPPR!$E:$X,MATCH($A275,SPPR!$A:$A,0),10),"")</f>
        <v/>
      </c>
      <c r="N275">
        <f>IFERROR($C275*INDEX(SPPR!$E:$X,MATCH($A275,SPPR!$A:$A,0),11),"")</f>
        <v/>
      </c>
      <c r="O275">
        <f>IFERROR($C275*INDEX(SPPR!$E:$X,MATCH($A275,SPPR!$A:$A,0),12),"")</f>
        <v/>
      </c>
      <c r="P275">
        <f>IFERROR($C275*INDEX(SPPR!$E:$X,MATCH($A275,SPPR!$A:$A,0),13),"")</f>
        <v/>
      </c>
      <c r="Q275">
        <f>IFERROR($C275*INDEX(SPPR!$E:$X,MATCH($A275,SPPR!$A:$A,0),14),"")</f>
        <v/>
      </c>
      <c r="R275">
        <f>IFERROR($C275*INDEX(SPPR!$E:$X,MATCH($A275,SPPR!$A:$A,0),15),"")</f>
        <v/>
      </c>
      <c r="S275">
        <f>IFERROR($C275*INDEX(SPPR!$E:$X,MATCH($A275,SPPR!$A:$A,0),16),"")</f>
        <v/>
      </c>
      <c r="T275">
        <f>IFERROR($C275*INDEX(SPPR!$E:$X,MATCH($A275,SPPR!$A:$A,0),17),"")</f>
        <v/>
      </c>
      <c r="U275">
        <f>IFERROR($C275*INDEX(SPPR!$E:$X,MATCH($A275,SPPR!$A:$A,0),18),"")</f>
        <v/>
      </c>
      <c r="V275">
        <f>IFERROR($C275*INDEX(SPPR!$E:$X,MATCH($A275,SPPR!$A:$A,0),19),"")</f>
        <v/>
      </c>
      <c r="W275">
        <f>IFERROR($C275*INDEX(SPPR!$E:$X,MATCH($A275,SPPR!$A:$A,0),20),"")</f>
        <v/>
      </c>
    </row>
    <row r="276">
      <c r="A276" t="inlineStr">
        <is>
          <t>Plectropomus areolatus</t>
        </is>
      </c>
      <c r="B276">
        <f>IFERROR(INDEX(SPPR!$D:$D,MATCH($A276,SPPR!$A:$A,0)),"")</f>
        <v/>
      </c>
      <c r="C276">
        <f>IFERROR(INDEX(Catch!$E:$BV,MATCH($A276,Catch!$A:$A,0),MATCH($B$4,Catch!$E$1:$BV$1,0)),0)</f>
        <v/>
      </c>
      <c r="D276">
        <f>IFERROR($C276*INDEX(SPPR!$E:$X,MATCH($A276,SPPR!$A:$A,0),1),"")</f>
        <v/>
      </c>
      <c r="E276">
        <f>IFERROR($C276*INDEX(SPPR!$E:$X,MATCH($A276,SPPR!$A:$A,0),2),"")</f>
        <v/>
      </c>
      <c r="F276">
        <f>IFERROR($C276*INDEX(SPPR!$E:$X,MATCH($A276,SPPR!$A:$A,0),3),"")</f>
        <v/>
      </c>
      <c r="G276">
        <f>IFERROR($C276*INDEX(SPPR!$E:$X,MATCH($A276,SPPR!$A:$A,0),4),"")</f>
        <v/>
      </c>
      <c r="H276">
        <f>IFERROR($C276*INDEX(SPPR!$E:$X,MATCH($A276,SPPR!$A:$A,0),5),"")</f>
        <v/>
      </c>
      <c r="I276">
        <f>IFERROR($C276*INDEX(SPPR!$E:$X,MATCH($A276,SPPR!$A:$A,0),6),"")</f>
        <v/>
      </c>
      <c r="J276">
        <f>IFERROR($C276*INDEX(SPPR!$E:$X,MATCH($A276,SPPR!$A:$A,0),7),"")</f>
        <v/>
      </c>
      <c r="K276">
        <f>IFERROR($C276*INDEX(SPPR!$E:$X,MATCH($A276,SPPR!$A:$A,0),8),"")</f>
        <v/>
      </c>
      <c r="L276">
        <f>IFERROR($C276*INDEX(SPPR!$E:$X,MATCH($A276,SPPR!$A:$A,0),9),"")</f>
        <v/>
      </c>
      <c r="M276">
        <f>IFERROR($C276*INDEX(SPPR!$E:$X,MATCH($A276,SPPR!$A:$A,0),10),"")</f>
        <v/>
      </c>
      <c r="N276">
        <f>IFERROR($C276*INDEX(SPPR!$E:$X,MATCH($A276,SPPR!$A:$A,0),11),"")</f>
        <v/>
      </c>
      <c r="O276">
        <f>IFERROR($C276*INDEX(SPPR!$E:$X,MATCH($A276,SPPR!$A:$A,0),12),"")</f>
        <v/>
      </c>
      <c r="P276">
        <f>IFERROR($C276*INDEX(SPPR!$E:$X,MATCH($A276,SPPR!$A:$A,0),13),"")</f>
        <v/>
      </c>
      <c r="Q276">
        <f>IFERROR($C276*INDEX(SPPR!$E:$X,MATCH($A276,SPPR!$A:$A,0),14),"")</f>
        <v/>
      </c>
      <c r="R276">
        <f>IFERROR($C276*INDEX(SPPR!$E:$X,MATCH($A276,SPPR!$A:$A,0),15),"")</f>
        <v/>
      </c>
      <c r="S276">
        <f>IFERROR($C276*INDEX(SPPR!$E:$X,MATCH($A276,SPPR!$A:$A,0),16),"")</f>
        <v/>
      </c>
      <c r="T276">
        <f>IFERROR($C276*INDEX(SPPR!$E:$X,MATCH($A276,SPPR!$A:$A,0),17),"")</f>
        <v/>
      </c>
      <c r="U276">
        <f>IFERROR($C276*INDEX(SPPR!$E:$X,MATCH($A276,SPPR!$A:$A,0),18),"")</f>
        <v/>
      </c>
      <c r="V276">
        <f>IFERROR($C276*INDEX(SPPR!$E:$X,MATCH($A276,SPPR!$A:$A,0),19),"")</f>
        <v/>
      </c>
      <c r="W276">
        <f>IFERROR($C276*INDEX(SPPR!$E:$X,MATCH($A276,SPPR!$A:$A,0),20),"")</f>
        <v/>
      </c>
    </row>
    <row r="277">
      <c r="A277" t="inlineStr">
        <is>
          <t>Plectropomus pessuliferus</t>
        </is>
      </c>
      <c r="B277">
        <f>IFERROR(INDEX(SPPR!$D:$D,MATCH($A277,SPPR!$A:$A,0)),"")</f>
        <v/>
      </c>
      <c r="C277">
        <f>IFERROR(INDEX(Catch!$E:$BV,MATCH($A277,Catch!$A:$A,0),MATCH($B$4,Catch!$E$1:$BV$1,0)),0)</f>
        <v/>
      </c>
      <c r="D277">
        <f>IFERROR($C277*INDEX(SPPR!$E:$X,MATCH($A277,SPPR!$A:$A,0),1),"")</f>
        <v/>
      </c>
      <c r="E277">
        <f>IFERROR($C277*INDEX(SPPR!$E:$X,MATCH($A277,SPPR!$A:$A,0),2),"")</f>
        <v/>
      </c>
      <c r="F277">
        <f>IFERROR($C277*INDEX(SPPR!$E:$X,MATCH($A277,SPPR!$A:$A,0),3),"")</f>
        <v/>
      </c>
      <c r="G277">
        <f>IFERROR($C277*INDEX(SPPR!$E:$X,MATCH($A277,SPPR!$A:$A,0),4),"")</f>
        <v/>
      </c>
      <c r="H277">
        <f>IFERROR($C277*INDEX(SPPR!$E:$X,MATCH($A277,SPPR!$A:$A,0),5),"")</f>
        <v/>
      </c>
      <c r="I277">
        <f>IFERROR($C277*INDEX(SPPR!$E:$X,MATCH($A277,SPPR!$A:$A,0),6),"")</f>
        <v/>
      </c>
      <c r="J277">
        <f>IFERROR($C277*INDEX(SPPR!$E:$X,MATCH($A277,SPPR!$A:$A,0),7),"")</f>
        <v/>
      </c>
      <c r="K277">
        <f>IFERROR($C277*INDEX(SPPR!$E:$X,MATCH($A277,SPPR!$A:$A,0),8),"")</f>
        <v/>
      </c>
      <c r="L277">
        <f>IFERROR($C277*INDEX(SPPR!$E:$X,MATCH($A277,SPPR!$A:$A,0),9),"")</f>
        <v/>
      </c>
      <c r="M277">
        <f>IFERROR($C277*INDEX(SPPR!$E:$X,MATCH($A277,SPPR!$A:$A,0),10),"")</f>
        <v/>
      </c>
      <c r="N277">
        <f>IFERROR($C277*INDEX(SPPR!$E:$X,MATCH($A277,SPPR!$A:$A,0),11),"")</f>
        <v/>
      </c>
      <c r="O277">
        <f>IFERROR($C277*INDEX(SPPR!$E:$X,MATCH($A277,SPPR!$A:$A,0),12),"")</f>
        <v/>
      </c>
      <c r="P277">
        <f>IFERROR($C277*INDEX(SPPR!$E:$X,MATCH($A277,SPPR!$A:$A,0),13),"")</f>
        <v/>
      </c>
      <c r="Q277">
        <f>IFERROR($C277*INDEX(SPPR!$E:$X,MATCH($A277,SPPR!$A:$A,0),14),"")</f>
        <v/>
      </c>
      <c r="R277">
        <f>IFERROR($C277*INDEX(SPPR!$E:$X,MATCH($A277,SPPR!$A:$A,0),15),"")</f>
        <v/>
      </c>
      <c r="S277">
        <f>IFERROR($C277*INDEX(SPPR!$E:$X,MATCH($A277,SPPR!$A:$A,0),16),"")</f>
        <v/>
      </c>
      <c r="T277">
        <f>IFERROR($C277*INDEX(SPPR!$E:$X,MATCH($A277,SPPR!$A:$A,0),17),"")</f>
        <v/>
      </c>
      <c r="U277">
        <f>IFERROR($C277*INDEX(SPPR!$E:$X,MATCH($A277,SPPR!$A:$A,0),18),"")</f>
        <v/>
      </c>
      <c r="V277">
        <f>IFERROR($C277*INDEX(SPPR!$E:$X,MATCH($A277,SPPR!$A:$A,0),19),"")</f>
        <v/>
      </c>
      <c r="W277">
        <f>IFERROR($C277*INDEX(SPPR!$E:$X,MATCH($A277,SPPR!$A:$A,0),20),"")</f>
        <v/>
      </c>
    </row>
    <row r="278">
      <c r="A278" t="inlineStr">
        <is>
          <t>Xiphiidae</t>
        </is>
      </c>
      <c r="B278">
        <f>IFERROR(INDEX(SPPR!$D:$D,MATCH($A278,SPPR!$A:$A,0)),"")</f>
        <v/>
      </c>
      <c r="C278">
        <f>IFERROR(INDEX(Catch!$E:$BV,MATCH($A278,Catch!$A:$A,0),MATCH($B$4,Catch!$E$1:$BV$1,0)),0)</f>
        <v/>
      </c>
      <c r="D278">
        <f>IFERROR($C278*INDEX(SPPR!$E:$X,MATCH($A278,SPPR!$A:$A,0),1),"")</f>
        <v/>
      </c>
      <c r="E278">
        <f>IFERROR($C278*INDEX(SPPR!$E:$X,MATCH($A278,SPPR!$A:$A,0),2),"")</f>
        <v/>
      </c>
      <c r="F278">
        <f>IFERROR($C278*INDEX(SPPR!$E:$X,MATCH($A278,SPPR!$A:$A,0),3),"")</f>
        <v/>
      </c>
      <c r="G278">
        <f>IFERROR($C278*INDEX(SPPR!$E:$X,MATCH($A278,SPPR!$A:$A,0),4),"")</f>
        <v/>
      </c>
      <c r="H278">
        <f>IFERROR($C278*INDEX(SPPR!$E:$X,MATCH($A278,SPPR!$A:$A,0),5),"")</f>
        <v/>
      </c>
      <c r="I278">
        <f>IFERROR($C278*INDEX(SPPR!$E:$X,MATCH($A278,SPPR!$A:$A,0),6),"")</f>
        <v/>
      </c>
      <c r="J278">
        <f>IFERROR($C278*INDEX(SPPR!$E:$X,MATCH($A278,SPPR!$A:$A,0),7),"")</f>
        <v/>
      </c>
      <c r="K278">
        <f>IFERROR($C278*INDEX(SPPR!$E:$X,MATCH($A278,SPPR!$A:$A,0),8),"")</f>
        <v/>
      </c>
      <c r="L278">
        <f>IFERROR($C278*INDEX(SPPR!$E:$X,MATCH($A278,SPPR!$A:$A,0),9),"")</f>
        <v/>
      </c>
      <c r="M278">
        <f>IFERROR($C278*INDEX(SPPR!$E:$X,MATCH($A278,SPPR!$A:$A,0),10),"")</f>
        <v/>
      </c>
      <c r="N278">
        <f>IFERROR($C278*INDEX(SPPR!$E:$X,MATCH($A278,SPPR!$A:$A,0),11),"")</f>
        <v/>
      </c>
      <c r="O278">
        <f>IFERROR($C278*INDEX(SPPR!$E:$X,MATCH($A278,SPPR!$A:$A,0),12),"")</f>
        <v/>
      </c>
      <c r="P278">
        <f>IFERROR($C278*INDEX(SPPR!$E:$X,MATCH($A278,SPPR!$A:$A,0),13),"")</f>
        <v/>
      </c>
      <c r="Q278">
        <f>IFERROR($C278*INDEX(SPPR!$E:$X,MATCH($A278,SPPR!$A:$A,0),14),"")</f>
        <v/>
      </c>
      <c r="R278">
        <f>IFERROR($C278*INDEX(SPPR!$E:$X,MATCH($A278,SPPR!$A:$A,0),15),"")</f>
        <v/>
      </c>
      <c r="S278">
        <f>IFERROR($C278*INDEX(SPPR!$E:$X,MATCH($A278,SPPR!$A:$A,0),16),"")</f>
        <v/>
      </c>
      <c r="T278">
        <f>IFERROR($C278*INDEX(SPPR!$E:$X,MATCH($A278,SPPR!$A:$A,0),17),"")</f>
        <v/>
      </c>
      <c r="U278">
        <f>IFERROR($C278*INDEX(SPPR!$E:$X,MATCH($A278,SPPR!$A:$A,0),18),"")</f>
        <v/>
      </c>
      <c r="V278">
        <f>IFERROR($C278*INDEX(SPPR!$E:$X,MATCH($A278,SPPR!$A:$A,0),19),"")</f>
        <v/>
      </c>
      <c r="W278">
        <f>IFERROR($C278*INDEX(SPPR!$E:$X,MATCH($A278,SPPR!$A:$A,0),20),"")</f>
        <v/>
      </c>
    </row>
    <row r="279">
      <c r="A279" t="inlineStr">
        <is>
          <t>Carcharhinus plumbeus</t>
        </is>
      </c>
      <c r="B279">
        <f>IFERROR(INDEX(SPPR!$D:$D,MATCH($A279,SPPR!$A:$A,0)),"")</f>
        <v/>
      </c>
      <c r="C279">
        <f>IFERROR(INDEX(Catch!$E:$BV,MATCH($A279,Catch!$A:$A,0),MATCH($B$4,Catch!$E$1:$BV$1,0)),0)</f>
        <v/>
      </c>
      <c r="D279">
        <f>IFERROR($C279*INDEX(SPPR!$E:$X,MATCH($A279,SPPR!$A:$A,0),1),"")</f>
        <v/>
      </c>
      <c r="E279">
        <f>IFERROR($C279*INDEX(SPPR!$E:$X,MATCH($A279,SPPR!$A:$A,0),2),"")</f>
        <v/>
      </c>
      <c r="F279">
        <f>IFERROR($C279*INDEX(SPPR!$E:$X,MATCH($A279,SPPR!$A:$A,0),3),"")</f>
        <v/>
      </c>
      <c r="G279">
        <f>IFERROR($C279*INDEX(SPPR!$E:$X,MATCH($A279,SPPR!$A:$A,0),4),"")</f>
        <v/>
      </c>
      <c r="H279">
        <f>IFERROR($C279*INDEX(SPPR!$E:$X,MATCH($A279,SPPR!$A:$A,0),5),"")</f>
        <v/>
      </c>
      <c r="I279">
        <f>IFERROR($C279*INDEX(SPPR!$E:$X,MATCH($A279,SPPR!$A:$A,0),6),"")</f>
        <v/>
      </c>
      <c r="J279">
        <f>IFERROR($C279*INDEX(SPPR!$E:$X,MATCH($A279,SPPR!$A:$A,0),7),"")</f>
        <v/>
      </c>
      <c r="K279">
        <f>IFERROR($C279*INDEX(SPPR!$E:$X,MATCH($A279,SPPR!$A:$A,0),8),"")</f>
        <v/>
      </c>
      <c r="L279">
        <f>IFERROR($C279*INDEX(SPPR!$E:$X,MATCH($A279,SPPR!$A:$A,0),9),"")</f>
        <v/>
      </c>
      <c r="M279">
        <f>IFERROR($C279*INDEX(SPPR!$E:$X,MATCH($A279,SPPR!$A:$A,0),10),"")</f>
        <v/>
      </c>
      <c r="N279">
        <f>IFERROR($C279*INDEX(SPPR!$E:$X,MATCH($A279,SPPR!$A:$A,0),11),"")</f>
        <v/>
      </c>
      <c r="O279">
        <f>IFERROR($C279*INDEX(SPPR!$E:$X,MATCH($A279,SPPR!$A:$A,0),12),"")</f>
        <v/>
      </c>
      <c r="P279">
        <f>IFERROR($C279*INDEX(SPPR!$E:$X,MATCH($A279,SPPR!$A:$A,0),13),"")</f>
        <v/>
      </c>
      <c r="Q279">
        <f>IFERROR($C279*INDEX(SPPR!$E:$X,MATCH($A279,SPPR!$A:$A,0),14),"")</f>
        <v/>
      </c>
      <c r="R279">
        <f>IFERROR($C279*INDEX(SPPR!$E:$X,MATCH($A279,SPPR!$A:$A,0),15),"")</f>
        <v/>
      </c>
      <c r="S279">
        <f>IFERROR($C279*INDEX(SPPR!$E:$X,MATCH($A279,SPPR!$A:$A,0),16),"")</f>
        <v/>
      </c>
      <c r="T279">
        <f>IFERROR($C279*INDEX(SPPR!$E:$X,MATCH($A279,SPPR!$A:$A,0),17),"")</f>
        <v/>
      </c>
      <c r="U279">
        <f>IFERROR($C279*INDEX(SPPR!$E:$X,MATCH($A279,SPPR!$A:$A,0),18),"")</f>
        <v/>
      </c>
      <c r="V279">
        <f>IFERROR($C279*INDEX(SPPR!$E:$X,MATCH($A279,SPPR!$A:$A,0),19),"")</f>
        <v/>
      </c>
      <c r="W279">
        <f>IFERROR($C279*INDEX(SPPR!$E:$X,MATCH($A279,SPPR!$A:$A,0),20),"")</f>
        <v/>
      </c>
    </row>
    <row r="280">
      <c r="A280" t="inlineStr">
        <is>
          <t>Turrum fulvoguttatum</t>
        </is>
      </c>
      <c r="B280">
        <f>IFERROR(INDEX(SPPR!$D:$D,MATCH($A280,SPPR!$A:$A,0)),"")</f>
        <v/>
      </c>
      <c r="C280">
        <f>IFERROR(INDEX(Catch!$E:$BV,MATCH($A280,Catch!$A:$A,0),MATCH($B$4,Catch!$E$1:$BV$1,0)),0)</f>
        <v/>
      </c>
      <c r="D280">
        <f>IFERROR($C280*INDEX(SPPR!$E:$X,MATCH($A280,SPPR!$A:$A,0),1),"")</f>
        <v/>
      </c>
      <c r="E280">
        <f>IFERROR($C280*INDEX(SPPR!$E:$X,MATCH($A280,SPPR!$A:$A,0),2),"")</f>
        <v/>
      </c>
      <c r="F280">
        <f>IFERROR($C280*INDEX(SPPR!$E:$X,MATCH($A280,SPPR!$A:$A,0),3),"")</f>
        <v/>
      </c>
      <c r="G280">
        <f>IFERROR($C280*INDEX(SPPR!$E:$X,MATCH($A280,SPPR!$A:$A,0),4),"")</f>
        <v/>
      </c>
      <c r="H280">
        <f>IFERROR($C280*INDEX(SPPR!$E:$X,MATCH($A280,SPPR!$A:$A,0),5),"")</f>
        <v/>
      </c>
      <c r="I280">
        <f>IFERROR($C280*INDEX(SPPR!$E:$X,MATCH($A280,SPPR!$A:$A,0),6),"")</f>
        <v/>
      </c>
      <c r="J280">
        <f>IFERROR($C280*INDEX(SPPR!$E:$X,MATCH($A280,SPPR!$A:$A,0),7),"")</f>
        <v/>
      </c>
      <c r="K280">
        <f>IFERROR($C280*INDEX(SPPR!$E:$X,MATCH($A280,SPPR!$A:$A,0),8),"")</f>
        <v/>
      </c>
      <c r="L280">
        <f>IFERROR($C280*INDEX(SPPR!$E:$X,MATCH($A280,SPPR!$A:$A,0),9),"")</f>
        <v/>
      </c>
      <c r="M280">
        <f>IFERROR($C280*INDEX(SPPR!$E:$X,MATCH($A280,SPPR!$A:$A,0),10),"")</f>
        <v/>
      </c>
      <c r="N280">
        <f>IFERROR($C280*INDEX(SPPR!$E:$X,MATCH($A280,SPPR!$A:$A,0),11),"")</f>
        <v/>
      </c>
      <c r="O280">
        <f>IFERROR($C280*INDEX(SPPR!$E:$X,MATCH($A280,SPPR!$A:$A,0),12),"")</f>
        <v/>
      </c>
      <c r="P280">
        <f>IFERROR($C280*INDEX(SPPR!$E:$X,MATCH($A280,SPPR!$A:$A,0),13),"")</f>
        <v/>
      </c>
      <c r="Q280">
        <f>IFERROR($C280*INDEX(SPPR!$E:$X,MATCH($A280,SPPR!$A:$A,0),14),"")</f>
        <v/>
      </c>
      <c r="R280">
        <f>IFERROR($C280*INDEX(SPPR!$E:$X,MATCH($A280,SPPR!$A:$A,0),15),"")</f>
        <v/>
      </c>
      <c r="S280">
        <f>IFERROR($C280*INDEX(SPPR!$E:$X,MATCH($A280,SPPR!$A:$A,0),16),"")</f>
        <v/>
      </c>
      <c r="T280">
        <f>IFERROR($C280*INDEX(SPPR!$E:$X,MATCH($A280,SPPR!$A:$A,0),17),"")</f>
        <v/>
      </c>
      <c r="U280">
        <f>IFERROR($C280*INDEX(SPPR!$E:$X,MATCH($A280,SPPR!$A:$A,0),18),"")</f>
        <v/>
      </c>
      <c r="V280">
        <f>IFERROR($C280*INDEX(SPPR!$E:$X,MATCH($A280,SPPR!$A:$A,0),19),"")</f>
        <v/>
      </c>
      <c r="W280">
        <f>IFERROR($C280*INDEX(SPPR!$E:$X,MATCH($A280,SPPR!$A:$A,0),20),"")</f>
        <v/>
      </c>
    </row>
    <row r="281">
      <c r="A281" t="inlineStr">
        <is>
          <t>Thenus orientalis</t>
        </is>
      </c>
      <c r="B281">
        <f>IFERROR(INDEX(SPPR!$D:$D,MATCH($A281,SPPR!$A:$A,0)),"")</f>
        <v/>
      </c>
      <c r="C281">
        <f>IFERROR(INDEX(Catch!$E:$BV,MATCH($A281,Catch!$A:$A,0),MATCH($B$4,Catch!$E$1:$BV$1,0)),0)</f>
        <v/>
      </c>
      <c r="D281">
        <f>IFERROR($C281*INDEX(SPPR!$E:$X,MATCH($A281,SPPR!$A:$A,0),1),"")</f>
        <v/>
      </c>
      <c r="E281">
        <f>IFERROR($C281*INDEX(SPPR!$E:$X,MATCH($A281,SPPR!$A:$A,0),2),"")</f>
        <v/>
      </c>
      <c r="F281">
        <f>IFERROR($C281*INDEX(SPPR!$E:$X,MATCH($A281,SPPR!$A:$A,0),3),"")</f>
        <v/>
      </c>
      <c r="G281">
        <f>IFERROR($C281*INDEX(SPPR!$E:$X,MATCH($A281,SPPR!$A:$A,0),4),"")</f>
        <v/>
      </c>
      <c r="H281">
        <f>IFERROR($C281*INDEX(SPPR!$E:$X,MATCH($A281,SPPR!$A:$A,0),5),"")</f>
        <v/>
      </c>
      <c r="I281">
        <f>IFERROR($C281*INDEX(SPPR!$E:$X,MATCH($A281,SPPR!$A:$A,0),6),"")</f>
        <v/>
      </c>
      <c r="J281">
        <f>IFERROR($C281*INDEX(SPPR!$E:$X,MATCH($A281,SPPR!$A:$A,0),7),"")</f>
        <v/>
      </c>
      <c r="K281">
        <f>IFERROR($C281*INDEX(SPPR!$E:$X,MATCH($A281,SPPR!$A:$A,0),8),"")</f>
        <v/>
      </c>
      <c r="L281">
        <f>IFERROR($C281*INDEX(SPPR!$E:$X,MATCH($A281,SPPR!$A:$A,0),9),"")</f>
        <v/>
      </c>
      <c r="M281">
        <f>IFERROR($C281*INDEX(SPPR!$E:$X,MATCH($A281,SPPR!$A:$A,0),10),"")</f>
        <v/>
      </c>
      <c r="N281">
        <f>IFERROR($C281*INDEX(SPPR!$E:$X,MATCH($A281,SPPR!$A:$A,0),11),"")</f>
        <v/>
      </c>
      <c r="O281">
        <f>IFERROR($C281*INDEX(SPPR!$E:$X,MATCH($A281,SPPR!$A:$A,0),12),"")</f>
        <v/>
      </c>
      <c r="P281">
        <f>IFERROR($C281*INDEX(SPPR!$E:$X,MATCH($A281,SPPR!$A:$A,0),13),"")</f>
        <v/>
      </c>
      <c r="Q281">
        <f>IFERROR($C281*INDEX(SPPR!$E:$X,MATCH($A281,SPPR!$A:$A,0),14),"")</f>
        <v/>
      </c>
      <c r="R281">
        <f>IFERROR($C281*INDEX(SPPR!$E:$X,MATCH($A281,SPPR!$A:$A,0),15),"")</f>
        <v/>
      </c>
      <c r="S281">
        <f>IFERROR($C281*INDEX(SPPR!$E:$X,MATCH($A281,SPPR!$A:$A,0),16),"")</f>
        <v/>
      </c>
      <c r="T281">
        <f>IFERROR($C281*INDEX(SPPR!$E:$X,MATCH($A281,SPPR!$A:$A,0),17),"")</f>
        <v/>
      </c>
      <c r="U281">
        <f>IFERROR($C281*INDEX(SPPR!$E:$X,MATCH($A281,SPPR!$A:$A,0),18),"")</f>
        <v/>
      </c>
      <c r="V281">
        <f>IFERROR($C281*INDEX(SPPR!$E:$X,MATCH($A281,SPPR!$A:$A,0),19),"")</f>
        <v/>
      </c>
      <c r="W281">
        <f>IFERROR($C281*INDEX(SPPR!$E:$X,MATCH($A281,SPPR!$A:$A,0),20),"")</f>
        <v/>
      </c>
    </row>
    <row r="282">
      <c r="A282" t="inlineStr">
        <is>
          <t>Lutjanus quinquelineatus</t>
        </is>
      </c>
      <c r="B282">
        <f>IFERROR(INDEX(SPPR!$D:$D,MATCH($A282,SPPR!$A:$A,0)),"")</f>
        <v/>
      </c>
      <c r="C282">
        <f>IFERROR(INDEX(Catch!$E:$BV,MATCH($A282,Catch!$A:$A,0),MATCH($B$4,Catch!$E$1:$BV$1,0)),0)</f>
        <v/>
      </c>
      <c r="D282">
        <f>IFERROR($C282*INDEX(SPPR!$E:$X,MATCH($A282,SPPR!$A:$A,0),1),"")</f>
        <v/>
      </c>
      <c r="E282">
        <f>IFERROR($C282*INDEX(SPPR!$E:$X,MATCH($A282,SPPR!$A:$A,0),2),"")</f>
        <v/>
      </c>
      <c r="F282">
        <f>IFERROR($C282*INDEX(SPPR!$E:$X,MATCH($A282,SPPR!$A:$A,0),3),"")</f>
        <v/>
      </c>
      <c r="G282">
        <f>IFERROR($C282*INDEX(SPPR!$E:$X,MATCH($A282,SPPR!$A:$A,0),4),"")</f>
        <v/>
      </c>
      <c r="H282">
        <f>IFERROR($C282*INDEX(SPPR!$E:$X,MATCH($A282,SPPR!$A:$A,0),5),"")</f>
        <v/>
      </c>
      <c r="I282">
        <f>IFERROR($C282*INDEX(SPPR!$E:$X,MATCH($A282,SPPR!$A:$A,0),6),"")</f>
        <v/>
      </c>
      <c r="J282">
        <f>IFERROR($C282*INDEX(SPPR!$E:$X,MATCH($A282,SPPR!$A:$A,0),7),"")</f>
        <v/>
      </c>
      <c r="K282">
        <f>IFERROR($C282*INDEX(SPPR!$E:$X,MATCH($A282,SPPR!$A:$A,0),8),"")</f>
        <v/>
      </c>
      <c r="L282">
        <f>IFERROR($C282*INDEX(SPPR!$E:$X,MATCH($A282,SPPR!$A:$A,0),9),"")</f>
        <v/>
      </c>
      <c r="M282">
        <f>IFERROR($C282*INDEX(SPPR!$E:$X,MATCH($A282,SPPR!$A:$A,0),10),"")</f>
        <v/>
      </c>
      <c r="N282">
        <f>IFERROR($C282*INDEX(SPPR!$E:$X,MATCH($A282,SPPR!$A:$A,0),11),"")</f>
        <v/>
      </c>
      <c r="O282">
        <f>IFERROR($C282*INDEX(SPPR!$E:$X,MATCH($A282,SPPR!$A:$A,0),12),"")</f>
        <v/>
      </c>
      <c r="P282">
        <f>IFERROR($C282*INDEX(SPPR!$E:$X,MATCH($A282,SPPR!$A:$A,0),13),"")</f>
        <v/>
      </c>
      <c r="Q282">
        <f>IFERROR($C282*INDEX(SPPR!$E:$X,MATCH($A282,SPPR!$A:$A,0),14),"")</f>
        <v/>
      </c>
      <c r="R282">
        <f>IFERROR($C282*INDEX(SPPR!$E:$X,MATCH($A282,SPPR!$A:$A,0),15),"")</f>
        <v/>
      </c>
      <c r="S282">
        <f>IFERROR($C282*INDEX(SPPR!$E:$X,MATCH($A282,SPPR!$A:$A,0),16),"")</f>
        <v/>
      </c>
      <c r="T282">
        <f>IFERROR($C282*INDEX(SPPR!$E:$X,MATCH($A282,SPPR!$A:$A,0),17),"")</f>
        <v/>
      </c>
      <c r="U282">
        <f>IFERROR($C282*INDEX(SPPR!$E:$X,MATCH($A282,SPPR!$A:$A,0),18),"")</f>
        <v/>
      </c>
      <c r="V282">
        <f>IFERROR($C282*INDEX(SPPR!$E:$X,MATCH($A282,SPPR!$A:$A,0),19),"")</f>
        <v/>
      </c>
      <c r="W282">
        <f>IFERROR($C282*INDEX(SPPR!$E:$X,MATCH($A282,SPPR!$A:$A,0),20),"")</f>
        <v/>
      </c>
    </row>
    <row r="283">
      <c r="A283" t="inlineStr">
        <is>
          <t>Metapenaeus</t>
        </is>
      </c>
      <c r="B283">
        <f>IFERROR(INDEX(SPPR!$D:$D,MATCH($A283,SPPR!$A:$A,0)),"")</f>
        <v/>
      </c>
      <c r="C283">
        <f>IFERROR(INDEX(Catch!$E:$BV,MATCH($A283,Catch!$A:$A,0),MATCH($B$4,Catch!$E$1:$BV$1,0)),0)</f>
        <v/>
      </c>
      <c r="D283">
        <f>IFERROR($C283*INDEX(SPPR!$E:$X,MATCH($A283,SPPR!$A:$A,0),1),"")</f>
        <v/>
      </c>
      <c r="E283">
        <f>IFERROR($C283*INDEX(SPPR!$E:$X,MATCH($A283,SPPR!$A:$A,0),2),"")</f>
        <v/>
      </c>
      <c r="F283">
        <f>IFERROR($C283*INDEX(SPPR!$E:$X,MATCH($A283,SPPR!$A:$A,0),3),"")</f>
        <v/>
      </c>
      <c r="G283">
        <f>IFERROR($C283*INDEX(SPPR!$E:$X,MATCH($A283,SPPR!$A:$A,0),4),"")</f>
        <v/>
      </c>
      <c r="H283">
        <f>IFERROR($C283*INDEX(SPPR!$E:$X,MATCH($A283,SPPR!$A:$A,0),5),"")</f>
        <v/>
      </c>
      <c r="I283">
        <f>IFERROR($C283*INDEX(SPPR!$E:$X,MATCH($A283,SPPR!$A:$A,0),6),"")</f>
        <v/>
      </c>
      <c r="J283">
        <f>IFERROR($C283*INDEX(SPPR!$E:$X,MATCH($A283,SPPR!$A:$A,0),7),"")</f>
        <v/>
      </c>
      <c r="K283">
        <f>IFERROR($C283*INDEX(SPPR!$E:$X,MATCH($A283,SPPR!$A:$A,0),8),"")</f>
        <v/>
      </c>
      <c r="L283">
        <f>IFERROR($C283*INDEX(SPPR!$E:$X,MATCH($A283,SPPR!$A:$A,0),9),"")</f>
        <v/>
      </c>
      <c r="M283">
        <f>IFERROR($C283*INDEX(SPPR!$E:$X,MATCH($A283,SPPR!$A:$A,0),10),"")</f>
        <v/>
      </c>
      <c r="N283">
        <f>IFERROR($C283*INDEX(SPPR!$E:$X,MATCH($A283,SPPR!$A:$A,0),11),"")</f>
        <v/>
      </c>
      <c r="O283">
        <f>IFERROR($C283*INDEX(SPPR!$E:$X,MATCH($A283,SPPR!$A:$A,0),12),"")</f>
        <v/>
      </c>
      <c r="P283">
        <f>IFERROR($C283*INDEX(SPPR!$E:$X,MATCH($A283,SPPR!$A:$A,0),13),"")</f>
        <v/>
      </c>
      <c r="Q283">
        <f>IFERROR($C283*INDEX(SPPR!$E:$X,MATCH($A283,SPPR!$A:$A,0),14),"")</f>
        <v/>
      </c>
      <c r="R283">
        <f>IFERROR($C283*INDEX(SPPR!$E:$X,MATCH($A283,SPPR!$A:$A,0),15),"")</f>
        <v/>
      </c>
      <c r="S283">
        <f>IFERROR($C283*INDEX(SPPR!$E:$X,MATCH($A283,SPPR!$A:$A,0),16),"")</f>
        <v/>
      </c>
      <c r="T283">
        <f>IFERROR($C283*INDEX(SPPR!$E:$X,MATCH($A283,SPPR!$A:$A,0),17),"")</f>
        <v/>
      </c>
      <c r="U283">
        <f>IFERROR($C283*INDEX(SPPR!$E:$X,MATCH($A283,SPPR!$A:$A,0),18),"")</f>
        <v/>
      </c>
      <c r="V283">
        <f>IFERROR($C283*INDEX(SPPR!$E:$X,MATCH($A283,SPPR!$A:$A,0),19),"")</f>
        <v/>
      </c>
      <c r="W283">
        <f>IFERROR($C283*INDEX(SPPR!$E:$X,MATCH($A283,SPPR!$A:$A,0),20),"")</f>
        <v/>
      </c>
    </row>
    <row r="284">
      <c r="A284" t="inlineStr">
        <is>
          <t>Galeocerdo cuvier</t>
        </is>
      </c>
      <c r="B284">
        <f>IFERROR(INDEX(SPPR!$D:$D,MATCH($A284,SPPR!$A:$A,0)),"")</f>
        <v/>
      </c>
      <c r="C284">
        <f>IFERROR(INDEX(Catch!$E:$BV,MATCH($A284,Catch!$A:$A,0),MATCH($B$4,Catch!$E$1:$BV$1,0)),0)</f>
        <v/>
      </c>
      <c r="D284">
        <f>IFERROR($C284*INDEX(SPPR!$E:$X,MATCH($A284,SPPR!$A:$A,0),1),"")</f>
        <v/>
      </c>
      <c r="E284">
        <f>IFERROR($C284*INDEX(SPPR!$E:$X,MATCH($A284,SPPR!$A:$A,0),2),"")</f>
        <v/>
      </c>
      <c r="F284">
        <f>IFERROR($C284*INDEX(SPPR!$E:$X,MATCH($A284,SPPR!$A:$A,0),3),"")</f>
        <v/>
      </c>
      <c r="G284">
        <f>IFERROR($C284*INDEX(SPPR!$E:$X,MATCH($A284,SPPR!$A:$A,0),4),"")</f>
        <v/>
      </c>
      <c r="H284">
        <f>IFERROR($C284*INDEX(SPPR!$E:$X,MATCH($A284,SPPR!$A:$A,0),5),"")</f>
        <v/>
      </c>
      <c r="I284">
        <f>IFERROR($C284*INDEX(SPPR!$E:$X,MATCH($A284,SPPR!$A:$A,0),6),"")</f>
        <v/>
      </c>
      <c r="J284">
        <f>IFERROR($C284*INDEX(SPPR!$E:$X,MATCH($A284,SPPR!$A:$A,0),7),"")</f>
        <v/>
      </c>
      <c r="K284">
        <f>IFERROR($C284*INDEX(SPPR!$E:$X,MATCH($A284,SPPR!$A:$A,0),8),"")</f>
        <v/>
      </c>
      <c r="L284">
        <f>IFERROR($C284*INDEX(SPPR!$E:$X,MATCH($A284,SPPR!$A:$A,0),9),"")</f>
        <v/>
      </c>
      <c r="M284">
        <f>IFERROR($C284*INDEX(SPPR!$E:$X,MATCH($A284,SPPR!$A:$A,0),10),"")</f>
        <v/>
      </c>
      <c r="N284">
        <f>IFERROR($C284*INDEX(SPPR!$E:$X,MATCH($A284,SPPR!$A:$A,0),11),"")</f>
        <v/>
      </c>
      <c r="O284">
        <f>IFERROR($C284*INDEX(SPPR!$E:$X,MATCH($A284,SPPR!$A:$A,0),12),"")</f>
        <v/>
      </c>
      <c r="P284">
        <f>IFERROR($C284*INDEX(SPPR!$E:$X,MATCH($A284,SPPR!$A:$A,0),13),"")</f>
        <v/>
      </c>
      <c r="Q284">
        <f>IFERROR($C284*INDEX(SPPR!$E:$X,MATCH($A284,SPPR!$A:$A,0),14),"")</f>
        <v/>
      </c>
      <c r="R284">
        <f>IFERROR($C284*INDEX(SPPR!$E:$X,MATCH($A284,SPPR!$A:$A,0),15),"")</f>
        <v/>
      </c>
      <c r="S284">
        <f>IFERROR($C284*INDEX(SPPR!$E:$X,MATCH($A284,SPPR!$A:$A,0),16),"")</f>
        <v/>
      </c>
      <c r="T284">
        <f>IFERROR($C284*INDEX(SPPR!$E:$X,MATCH($A284,SPPR!$A:$A,0),17),"")</f>
        <v/>
      </c>
      <c r="U284">
        <f>IFERROR($C284*INDEX(SPPR!$E:$X,MATCH($A284,SPPR!$A:$A,0),18),"")</f>
        <v/>
      </c>
      <c r="V284">
        <f>IFERROR($C284*INDEX(SPPR!$E:$X,MATCH($A284,SPPR!$A:$A,0),19),"")</f>
        <v/>
      </c>
      <c r="W284">
        <f>IFERROR($C284*INDEX(SPPR!$E:$X,MATCH($A284,SPPR!$A:$A,0),20),"")</f>
        <v/>
      </c>
    </row>
    <row r="285">
      <c r="A285" t="inlineStr">
        <is>
          <t>Carcharhinus</t>
        </is>
      </c>
      <c r="B285">
        <f>IFERROR(INDEX(SPPR!$D:$D,MATCH($A285,SPPR!$A:$A,0)),"")</f>
        <v/>
      </c>
      <c r="C285">
        <f>IFERROR(INDEX(Catch!$E:$BV,MATCH($A285,Catch!$A:$A,0),MATCH($B$4,Catch!$E$1:$BV$1,0)),0)</f>
        <v/>
      </c>
      <c r="D285">
        <f>IFERROR($C285*INDEX(SPPR!$E:$X,MATCH($A285,SPPR!$A:$A,0),1),"")</f>
        <v/>
      </c>
      <c r="E285">
        <f>IFERROR($C285*INDEX(SPPR!$E:$X,MATCH($A285,SPPR!$A:$A,0),2),"")</f>
        <v/>
      </c>
      <c r="F285">
        <f>IFERROR($C285*INDEX(SPPR!$E:$X,MATCH($A285,SPPR!$A:$A,0),3),"")</f>
        <v/>
      </c>
      <c r="G285">
        <f>IFERROR($C285*INDEX(SPPR!$E:$X,MATCH($A285,SPPR!$A:$A,0),4),"")</f>
        <v/>
      </c>
      <c r="H285">
        <f>IFERROR($C285*INDEX(SPPR!$E:$X,MATCH($A285,SPPR!$A:$A,0),5),"")</f>
        <v/>
      </c>
      <c r="I285">
        <f>IFERROR($C285*INDEX(SPPR!$E:$X,MATCH($A285,SPPR!$A:$A,0),6),"")</f>
        <v/>
      </c>
      <c r="J285">
        <f>IFERROR($C285*INDEX(SPPR!$E:$X,MATCH($A285,SPPR!$A:$A,0),7),"")</f>
        <v/>
      </c>
      <c r="K285">
        <f>IFERROR($C285*INDEX(SPPR!$E:$X,MATCH($A285,SPPR!$A:$A,0),8),"")</f>
        <v/>
      </c>
      <c r="L285">
        <f>IFERROR($C285*INDEX(SPPR!$E:$X,MATCH($A285,SPPR!$A:$A,0),9),"")</f>
        <v/>
      </c>
      <c r="M285">
        <f>IFERROR($C285*INDEX(SPPR!$E:$X,MATCH($A285,SPPR!$A:$A,0),10),"")</f>
        <v/>
      </c>
      <c r="N285">
        <f>IFERROR($C285*INDEX(SPPR!$E:$X,MATCH($A285,SPPR!$A:$A,0),11),"")</f>
        <v/>
      </c>
      <c r="O285">
        <f>IFERROR($C285*INDEX(SPPR!$E:$X,MATCH($A285,SPPR!$A:$A,0),12),"")</f>
        <v/>
      </c>
      <c r="P285">
        <f>IFERROR($C285*INDEX(SPPR!$E:$X,MATCH($A285,SPPR!$A:$A,0),13),"")</f>
        <v/>
      </c>
      <c r="Q285">
        <f>IFERROR($C285*INDEX(SPPR!$E:$X,MATCH($A285,SPPR!$A:$A,0),14),"")</f>
        <v/>
      </c>
      <c r="R285">
        <f>IFERROR($C285*INDEX(SPPR!$E:$X,MATCH($A285,SPPR!$A:$A,0),15),"")</f>
        <v/>
      </c>
      <c r="S285">
        <f>IFERROR($C285*INDEX(SPPR!$E:$X,MATCH($A285,SPPR!$A:$A,0),16),"")</f>
        <v/>
      </c>
      <c r="T285">
        <f>IFERROR($C285*INDEX(SPPR!$E:$X,MATCH($A285,SPPR!$A:$A,0),17),"")</f>
        <v/>
      </c>
      <c r="U285">
        <f>IFERROR($C285*INDEX(SPPR!$E:$X,MATCH($A285,SPPR!$A:$A,0),18),"")</f>
        <v/>
      </c>
      <c r="V285">
        <f>IFERROR($C285*INDEX(SPPR!$E:$X,MATCH($A285,SPPR!$A:$A,0),19),"")</f>
        <v/>
      </c>
      <c r="W285">
        <f>IFERROR($C285*INDEX(SPPR!$E:$X,MATCH($A285,SPPR!$A:$A,0),20),"")</f>
        <v/>
      </c>
    </row>
    <row r="286">
      <c r="A286" t="inlineStr">
        <is>
          <t>Uroteuthis duvaucelii</t>
        </is>
      </c>
      <c r="B286">
        <f>IFERROR(INDEX(SPPR!$D:$D,MATCH($A286,SPPR!$A:$A,0)),"")</f>
        <v/>
      </c>
      <c r="C286">
        <f>IFERROR(INDEX(Catch!$E:$BV,MATCH($A286,Catch!$A:$A,0),MATCH($B$4,Catch!$E$1:$BV$1,0)),0)</f>
        <v/>
      </c>
      <c r="D286">
        <f>IFERROR($C286*INDEX(SPPR!$E:$X,MATCH($A286,SPPR!$A:$A,0),1),"")</f>
        <v/>
      </c>
      <c r="E286">
        <f>IFERROR($C286*INDEX(SPPR!$E:$X,MATCH($A286,SPPR!$A:$A,0),2),"")</f>
        <v/>
      </c>
      <c r="F286">
        <f>IFERROR($C286*INDEX(SPPR!$E:$X,MATCH($A286,SPPR!$A:$A,0),3),"")</f>
        <v/>
      </c>
      <c r="G286">
        <f>IFERROR($C286*INDEX(SPPR!$E:$X,MATCH($A286,SPPR!$A:$A,0),4),"")</f>
        <v/>
      </c>
      <c r="H286">
        <f>IFERROR($C286*INDEX(SPPR!$E:$X,MATCH($A286,SPPR!$A:$A,0),5),"")</f>
        <v/>
      </c>
      <c r="I286">
        <f>IFERROR($C286*INDEX(SPPR!$E:$X,MATCH($A286,SPPR!$A:$A,0),6),"")</f>
        <v/>
      </c>
      <c r="J286">
        <f>IFERROR($C286*INDEX(SPPR!$E:$X,MATCH($A286,SPPR!$A:$A,0),7),"")</f>
        <v/>
      </c>
      <c r="K286">
        <f>IFERROR($C286*INDEX(SPPR!$E:$X,MATCH($A286,SPPR!$A:$A,0),8),"")</f>
        <v/>
      </c>
      <c r="L286">
        <f>IFERROR($C286*INDEX(SPPR!$E:$X,MATCH($A286,SPPR!$A:$A,0),9),"")</f>
        <v/>
      </c>
      <c r="M286">
        <f>IFERROR($C286*INDEX(SPPR!$E:$X,MATCH($A286,SPPR!$A:$A,0),10),"")</f>
        <v/>
      </c>
      <c r="N286">
        <f>IFERROR($C286*INDEX(SPPR!$E:$X,MATCH($A286,SPPR!$A:$A,0),11),"")</f>
        <v/>
      </c>
      <c r="O286">
        <f>IFERROR($C286*INDEX(SPPR!$E:$X,MATCH($A286,SPPR!$A:$A,0),12),"")</f>
        <v/>
      </c>
      <c r="P286">
        <f>IFERROR($C286*INDEX(SPPR!$E:$X,MATCH($A286,SPPR!$A:$A,0),13),"")</f>
        <v/>
      </c>
      <c r="Q286">
        <f>IFERROR($C286*INDEX(SPPR!$E:$X,MATCH($A286,SPPR!$A:$A,0),14),"")</f>
        <v/>
      </c>
      <c r="R286">
        <f>IFERROR($C286*INDEX(SPPR!$E:$X,MATCH($A286,SPPR!$A:$A,0),15),"")</f>
        <v/>
      </c>
      <c r="S286">
        <f>IFERROR($C286*INDEX(SPPR!$E:$X,MATCH($A286,SPPR!$A:$A,0),16),"")</f>
        <v/>
      </c>
      <c r="T286">
        <f>IFERROR($C286*INDEX(SPPR!$E:$X,MATCH($A286,SPPR!$A:$A,0),17),"")</f>
        <v/>
      </c>
      <c r="U286">
        <f>IFERROR($C286*INDEX(SPPR!$E:$X,MATCH($A286,SPPR!$A:$A,0),18),"")</f>
        <v/>
      </c>
      <c r="V286">
        <f>IFERROR($C286*INDEX(SPPR!$E:$X,MATCH($A286,SPPR!$A:$A,0),19),"")</f>
        <v/>
      </c>
      <c r="W286">
        <f>IFERROR($C286*INDEX(SPPR!$E:$X,MATCH($A286,SPPR!$A:$A,0),20),"")</f>
        <v/>
      </c>
    </row>
    <row r="287">
      <c r="A287" t="inlineStr">
        <is>
          <t>Carcharhinus amblyrhynchoides</t>
        </is>
      </c>
      <c r="B287">
        <f>IFERROR(INDEX(SPPR!$D:$D,MATCH($A287,SPPR!$A:$A,0)),"")</f>
        <v/>
      </c>
      <c r="C287">
        <f>IFERROR(INDEX(Catch!$E:$BV,MATCH($A287,Catch!$A:$A,0),MATCH($B$4,Catch!$E$1:$BV$1,0)),0)</f>
        <v/>
      </c>
      <c r="D287">
        <f>IFERROR($C287*INDEX(SPPR!$E:$X,MATCH($A287,SPPR!$A:$A,0),1),"")</f>
        <v/>
      </c>
      <c r="E287">
        <f>IFERROR($C287*INDEX(SPPR!$E:$X,MATCH($A287,SPPR!$A:$A,0),2),"")</f>
        <v/>
      </c>
      <c r="F287">
        <f>IFERROR($C287*INDEX(SPPR!$E:$X,MATCH($A287,SPPR!$A:$A,0),3),"")</f>
        <v/>
      </c>
      <c r="G287">
        <f>IFERROR($C287*INDEX(SPPR!$E:$X,MATCH($A287,SPPR!$A:$A,0),4),"")</f>
        <v/>
      </c>
      <c r="H287">
        <f>IFERROR($C287*INDEX(SPPR!$E:$X,MATCH($A287,SPPR!$A:$A,0),5),"")</f>
        <v/>
      </c>
      <c r="I287">
        <f>IFERROR($C287*INDEX(SPPR!$E:$X,MATCH($A287,SPPR!$A:$A,0),6),"")</f>
        <v/>
      </c>
      <c r="J287">
        <f>IFERROR($C287*INDEX(SPPR!$E:$X,MATCH($A287,SPPR!$A:$A,0),7),"")</f>
        <v/>
      </c>
      <c r="K287">
        <f>IFERROR($C287*INDEX(SPPR!$E:$X,MATCH($A287,SPPR!$A:$A,0),8),"")</f>
        <v/>
      </c>
      <c r="L287">
        <f>IFERROR($C287*INDEX(SPPR!$E:$X,MATCH($A287,SPPR!$A:$A,0),9),"")</f>
        <v/>
      </c>
      <c r="M287">
        <f>IFERROR($C287*INDEX(SPPR!$E:$X,MATCH($A287,SPPR!$A:$A,0),10),"")</f>
        <v/>
      </c>
      <c r="N287">
        <f>IFERROR($C287*INDEX(SPPR!$E:$X,MATCH($A287,SPPR!$A:$A,0),11),"")</f>
        <v/>
      </c>
      <c r="O287">
        <f>IFERROR($C287*INDEX(SPPR!$E:$X,MATCH($A287,SPPR!$A:$A,0),12),"")</f>
        <v/>
      </c>
      <c r="P287">
        <f>IFERROR($C287*INDEX(SPPR!$E:$X,MATCH($A287,SPPR!$A:$A,0),13),"")</f>
        <v/>
      </c>
      <c r="Q287">
        <f>IFERROR($C287*INDEX(SPPR!$E:$X,MATCH($A287,SPPR!$A:$A,0),14),"")</f>
        <v/>
      </c>
      <c r="R287">
        <f>IFERROR($C287*INDEX(SPPR!$E:$X,MATCH($A287,SPPR!$A:$A,0),15),"")</f>
        <v/>
      </c>
      <c r="S287">
        <f>IFERROR($C287*INDEX(SPPR!$E:$X,MATCH($A287,SPPR!$A:$A,0),16),"")</f>
        <v/>
      </c>
      <c r="T287">
        <f>IFERROR($C287*INDEX(SPPR!$E:$X,MATCH($A287,SPPR!$A:$A,0),17),"")</f>
        <v/>
      </c>
      <c r="U287">
        <f>IFERROR($C287*INDEX(SPPR!$E:$X,MATCH($A287,SPPR!$A:$A,0),18),"")</f>
        <v/>
      </c>
      <c r="V287">
        <f>IFERROR($C287*INDEX(SPPR!$E:$X,MATCH($A287,SPPR!$A:$A,0),19),"")</f>
        <v/>
      </c>
      <c r="W287">
        <f>IFERROR($C287*INDEX(SPPR!$E:$X,MATCH($A287,SPPR!$A:$A,0),20),"")</f>
        <v/>
      </c>
    </row>
    <row r="288">
      <c r="A288" t="inlineStr">
        <is>
          <t>Scarus persicus</t>
        </is>
      </c>
      <c r="B288">
        <f>IFERROR(INDEX(SPPR!$D:$D,MATCH($A288,SPPR!$A:$A,0)),"")</f>
        <v/>
      </c>
      <c r="C288">
        <f>IFERROR(INDEX(Catch!$E:$BV,MATCH($A288,Catch!$A:$A,0),MATCH($B$4,Catch!$E$1:$BV$1,0)),0)</f>
        <v/>
      </c>
      <c r="D288">
        <f>IFERROR($C288*INDEX(SPPR!$E:$X,MATCH($A288,SPPR!$A:$A,0),1),"")</f>
        <v/>
      </c>
      <c r="E288">
        <f>IFERROR($C288*INDEX(SPPR!$E:$X,MATCH($A288,SPPR!$A:$A,0),2),"")</f>
        <v/>
      </c>
      <c r="F288">
        <f>IFERROR($C288*INDEX(SPPR!$E:$X,MATCH($A288,SPPR!$A:$A,0),3),"")</f>
        <v/>
      </c>
      <c r="G288">
        <f>IFERROR($C288*INDEX(SPPR!$E:$X,MATCH($A288,SPPR!$A:$A,0),4),"")</f>
        <v/>
      </c>
      <c r="H288">
        <f>IFERROR($C288*INDEX(SPPR!$E:$X,MATCH($A288,SPPR!$A:$A,0),5),"")</f>
        <v/>
      </c>
      <c r="I288">
        <f>IFERROR($C288*INDEX(SPPR!$E:$X,MATCH($A288,SPPR!$A:$A,0),6),"")</f>
        <v/>
      </c>
      <c r="J288">
        <f>IFERROR($C288*INDEX(SPPR!$E:$X,MATCH($A288,SPPR!$A:$A,0),7),"")</f>
        <v/>
      </c>
      <c r="K288">
        <f>IFERROR($C288*INDEX(SPPR!$E:$X,MATCH($A288,SPPR!$A:$A,0),8),"")</f>
        <v/>
      </c>
      <c r="L288">
        <f>IFERROR($C288*INDEX(SPPR!$E:$X,MATCH($A288,SPPR!$A:$A,0),9),"")</f>
        <v/>
      </c>
      <c r="M288">
        <f>IFERROR($C288*INDEX(SPPR!$E:$X,MATCH($A288,SPPR!$A:$A,0),10),"")</f>
        <v/>
      </c>
      <c r="N288">
        <f>IFERROR($C288*INDEX(SPPR!$E:$X,MATCH($A288,SPPR!$A:$A,0),11),"")</f>
        <v/>
      </c>
      <c r="O288">
        <f>IFERROR($C288*INDEX(SPPR!$E:$X,MATCH($A288,SPPR!$A:$A,0),12),"")</f>
        <v/>
      </c>
      <c r="P288">
        <f>IFERROR($C288*INDEX(SPPR!$E:$X,MATCH($A288,SPPR!$A:$A,0),13),"")</f>
        <v/>
      </c>
      <c r="Q288">
        <f>IFERROR($C288*INDEX(SPPR!$E:$X,MATCH($A288,SPPR!$A:$A,0),14),"")</f>
        <v/>
      </c>
      <c r="R288">
        <f>IFERROR($C288*INDEX(SPPR!$E:$X,MATCH($A288,SPPR!$A:$A,0),15),"")</f>
        <v/>
      </c>
      <c r="S288">
        <f>IFERROR($C288*INDEX(SPPR!$E:$X,MATCH($A288,SPPR!$A:$A,0),16),"")</f>
        <v/>
      </c>
      <c r="T288">
        <f>IFERROR($C288*INDEX(SPPR!$E:$X,MATCH($A288,SPPR!$A:$A,0),17),"")</f>
        <v/>
      </c>
      <c r="U288">
        <f>IFERROR($C288*INDEX(SPPR!$E:$X,MATCH($A288,SPPR!$A:$A,0),18),"")</f>
        <v/>
      </c>
      <c r="V288">
        <f>IFERROR($C288*INDEX(SPPR!$E:$X,MATCH($A288,SPPR!$A:$A,0),19),"")</f>
        <v/>
      </c>
      <c r="W288">
        <f>IFERROR($C288*INDEX(SPPR!$E:$X,MATCH($A288,SPPR!$A:$A,0),20),"")</f>
        <v/>
      </c>
    </row>
    <row r="289">
      <c r="A289" t="inlineStr">
        <is>
          <t>Lutjanus fulviflamma</t>
        </is>
      </c>
      <c r="B289">
        <f>IFERROR(INDEX(SPPR!$D:$D,MATCH($A289,SPPR!$A:$A,0)),"")</f>
        <v/>
      </c>
      <c r="C289">
        <f>IFERROR(INDEX(Catch!$E:$BV,MATCH($A289,Catch!$A:$A,0),MATCH($B$4,Catch!$E$1:$BV$1,0)),0)</f>
        <v/>
      </c>
      <c r="D289">
        <f>IFERROR($C289*INDEX(SPPR!$E:$X,MATCH($A289,SPPR!$A:$A,0),1),"")</f>
        <v/>
      </c>
      <c r="E289">
        <f>IFERROR($C289*INDEX(SPPR!$E:$X,MATCH($A289,SPPR!$A:$A,0),2),"")</f>
        <v/>
      </c>
      <c r="F289">
        <f>IFERROR($C289*INDEX(SPPR!$E:$X,MATCH($A289,SPPR!$A:$A,0),3),"")</f>
        <v/>
      </c>
      <c r="G289">
        <f>IFERROR($C289*INDEX(SPPR!$E:$X,MATCH($A289,SPPR!$A:$A,0),4),"")</f>
        <v/>
      </c>
      <c r="H289">
        <f>IFERROR($C289*INDEX(SPPR!$E:$X,MATCH($A289,SPPR!$A:$A,0),5),"")</f>
        <v/>
      </c>
      <c r="I289">
        <f>IFERROR($C289*INDEX(SPPR!$E:$X,MATCH($A289,SPPR!$A:$A,0),6),"")</f>
        <v/>
      </c>
      <c r="J289">
        <f>IFERROR($C289*INDEX(SPPR!$E:$X,MATCH($A289,SPPR!$A:$A,0),7),"")</f>
        <v/>
      </c>
      <c r="K289">
        <f>IFERROR($C289*INDEX(SPPR!$E:$X,MATCH($A289,SPPR!$A:$A,0),8),"")</f>
        <v/>
      </c>
      <c r="L289">
        <f>IFERROR($C289*INDEX(SPPR!$E:$X,MATCH($A289,SPPR!$A:$A,0),9),"")</f>
        <v/>
      </c>
      <c r="M289">
        <f>IFERROR($C289*INDEX(SPPR!$E:$X,MATCH($A289,SPPR!$A:$A,0),10),"")</f>
        <v/>
      </c>
      <c r="N289">
        <f>IFERROR($C289*INDEX(SPPR!$E:$X,MATCH($A289,SPPR!$A:$A,0),11),"")</f>
        <v/>
      </c>
      <c r="O289">
        <f>IFERROR($C289*INDEX(SPPR!$E:$X,MATCH($A289,SPPR!$A:$A,0),12),"")</f>
        <v/>
      </c>
      <c r="P289">
        <f>IFERROR($C289*INDEX(SPPR!$E:$X,MATCH($A289,SPPR!$A:$A,0),13),"")</f>
        <v/>
      </c>
      <c r="Q289">
        <f>IFERROR($C289*INDEX(SPPR!$E:$X,MATCH($A289,SPPR!$A:$A,0),14),"")</f>
        <v/>
      </c>
      <c r="R289">
        <f>IFERROR($C289*INDEX(SPPR!$E:$X,MATCH($A289,SPPR!$A:$A,0),15),"")</f>
        <v/>
      </c>
      <c r="S289">
        <f>IFERROR($C289*INDEX(SPPR!$E:$X,MATCH($A289,SPPR!$A:$A,0),16),"")</f>
        <v/>
      </c>
      <c r="T289">
        <f>IFERROR($C289*INDEX(SPPR!$E:$X,MATCH($A289,SPPR!$A:$A,0),17),"")</f>
        <v/>
      </c>
      <c r="U289">
        <f>IFERROR($C289*INDEX(SPPR!$E:$X,MATCH($A289,SPPR!$A:$A,0),18),"")</f>
        <v/>
      </c>
      <c r="V289">
        <f>IFERROR($C289*INDEX(SPPR!$E:$X,MATCH($A289,SPPR!$A:$A,0),19),"")</f>
        <v/>
      </c>
      <c r="W289">
        <f>IFERROR($C289*INDEX(SPPR!$E:$X,MATCH($A289,SPPR!$A:$A,0),20),"")</f>
        <v/>
      </c>
    </row>
    <row r="290">
      <c r="A290" t="inlineStr">
        <is>
          <t>Pomadasys argyreus</t>
        </is>
      </c>
      <c r="B290">
        <f>IFERROR(INDEX(SPPR!$D:$D,MATCH($A290,SPPR!$A:$A,0)),"")</f>
        <v/>
      </c>
      <c r="C290">
        <f>IFERROR(INDEX(Catch!$E:$BV,MATCH($A290,Catch!$A:$A,0),MATCH($B$4,Catch!$E$1:$BV$1,0)),0)</f>
        <v/>
      </c>
      <c r="D290">
        <f>IFERROR($C290*INDEX(SPPR!$E:$X,MATCH($A290,SPPR!$A:$A,0),1),"")</f>
        <v/>
      </c>
      <c r="E290">
        <f>IFERROR($C290*INDEX(SPPR!$E:$X,MATCH($A290,SPPR!$A:$A,0),2),"")</f>
        <v/>
      </c>
      <c r="F290">
        <f>IFERROR($C290*INDEX(SPPR!$E:$X,MATCH($A290,SPPR!$A:$A,0),3),"")</f>
        <v/>
      </c>
      <c r="G290">
        <f>IFERROR($C290*INDEX(SPPR!$E:$X,MATCH($A290,SPPR!$A:$A,0),4),"")</f>
        <v/>
      </c>
      <c r="H290">
        <f>IFERROR($C290*INDEX(SPPR!$E:$X,MATCH($A290,SPPR!$A:$A,0),5),"")</f>
        <v/>
      </c>
      <c r="I290">
        <f>IFERROR($C290*INDEX(SPPR!$E:$X,MATCH($A290,SPPR!$A:$A,0),6),"")</f>
        <v/>
      </c>
      <c r="J290">
        <f>IFERROR($C290*INDEX(SPPR!$E:$X,MATCH($A290,SPPR!$A:$A,0),7),"")</f>
        <v/>
      </c>
      <c r="K290">
        <f>IFERROR($C290*INDEX(SPPR!$E:$X,MATCH($A290,SPPR!$A:$A,0),8),"")</f>
        <v/>
      </c>
      <c r="L290">
        <f>IFERROR($C290*INDEX(SPPR!$E:$X,MATCH($A290,SPPR!$A:$A,0),9),"")</f>
        <v/>
      </c>
      <c r="M290">
        <f>IFERROR($C290*INDEX(SPPR!$E:$X,MATCH($A290,SPPR!$A:$A,0),10),"")</f>
        <v/>
      </c>
      <c r="N290">
        <f>IFERROR($C290*INDEX(SPPR!$E:$X,MATCH($A290,SPPR!$A:$A,0),11),"")</f>
        <v/>
      </c>
      <c r="O290">
        <f>IFERROR($C290*INDEX(SPPR!$E:$X,MATCH($A290,SPPR!$A:$A,0),12),"")</f>
        <v/>
      </c>
      <c r="P290">
        <f>IFERROR($C290*INDEX(SPPR!$E:$X,MATCH($A290,SPPR!$A:$A,0),13),"")</f>
        <v/>
      </c>
      <c r="Q290">
        <f>IFERROR($C290*INDEX(SPPR!$E:$X,MATCH($A290,SPPR!$A:$A,0),14),"")</f>
        <v/>
      </c>
      <c r="R290">
        <f>IFERROR($C290*INDEX(SPPR!$E:$X,MATCH($A290,SPPR!$A:$A,0),15),"")</f>
        <v/>
      </c>
      <c r="S290">
        <f>IFERROR($C290*INDEX(SPPR!$E:$X,MATCH($A290,SPPR!$A:$A,0),16),"")</f>
        <v/>
      </c>
      <c r="T290">
        <f>IFERROR($C290*INDEX(SPPR!$E:$X,MATCH($A290,SPPR!$A:$A,0),17),"")</f>
        <v/>
      </c>
      <c r="U290">
        <f>IFERROR($C290*INDEX(SPPR!$E:$X,MATCH($A290,SPPR!$A:$A,0),18),"")</f>
        <v/>
      </c>
      <c r="V290">
        <f>IFERROR($C290*INDEX(SPPR!$E:$X,MATCH($A290,SPPR!$A:$A,0),19),"")</f>
        <v/>
      </c>
      <c r="W290">
        <f>IFERROR($C290*INDEX(SPPR!$E:$X,MATCH($A290,SPPR!$A:$A,0),20),"")</f>
        <v/>
      </c>
    </row>
    <row r="291">
      <c r="A291" t="inlineStr">
        <is>
          <t>Miscellaneous marine crustaceans</t>
        </is>
      </c>
      <c r="B291">
        <f>IFERROR(INDEX(SPPR!$D:$D,MATCH($A291,SPPR!$A:$A,0)),"")</f>
        <v/>
      </c>
      <c r="C291">
        <f>IFERROR(INDEX(Catch!$E:$BV,MATCH($A291,Catch!$A:$A,0),MATCH($B$4,Catch!$E$1:$BV$1,0)),0)</f>
        <v/>
      </c>
      <c r="D291">
        <f>IFERROR($C291*INDEX(SPPR!$E:$X,MATCH($A291,SPPR!$A:$A,0),1),"")</f>
        <v/>
      </c>
      <c r="E291">
        <f>IFERROR($C291*INDEX(SPPR!$E:$X,MATCH($A291,SPPR!$A:$A,0),2),"")</f>
        <v/>
      </c>
      <c r="F291">
        <f>IFERROR($C291*INDEX(SPPR!$E:$X,MATCH($A291,SPPR!$A:$A,0),3),"")</f>
        <v/>
      </c>
      <c r="G291">
        <f>IFERROR($C291*INDEX(SPPR!$E:$X,MATCH($A291,SPPR!$A:$A,0),4),"")</f>
        <v/>
      </c>
      <c r="H291">
        <f>IFERROR($C291*INDEX(SPPR!$E:$X,MATCH($A291,SPPR!$A:$A,0),5),"")</f>
        <v/>
      </c>
      <c r="I291">
        <f>IFERROR($C291*INDEX(SPPR!$E:$X,MATCH($A291,SPPR!$A:$A,0),6),"")</f>
        <v/>
      </c>
      <c r="J291">
        <f>IFERROR($C291*INDEX(SPPR!$E:$X,MATCH($A291,SPPR!$A:$A,0),7),"")</f>
        <v/>
      </c>
      <c r="K291">
        <f>IFERROR($C291*INDEX(SPPR!$E:$X,MATCH($A291,SPPR!$A:$A,0),8),"")</f>
        <v/>
      </c>
      <c r="L291">
        <f>IFERROR($C291*INDEX(SPPR!$E:$X,MATCH($A291,SPPR!$A:$A,0),9),"")</f>
        <v/>
      </c>
      <c r="M291">
        <f>IFERROR($C291*INDEX(SPPR!$E:$X,MATCH($A291,SPPR!$A:$A,0),10),"")</f>
        <v/>
      </c>
      <c r="N291">
        <f>IFERROR($C291*INDEX(SPPR!$E:$X,MATCH($A291,SPPR!$A:$A,0),11),"")</f>
        <v/>
      </c>
      <c r="O291">
        <f>IFERROR($C291*INDEX(SPPR!$E:$X,MATCH($A291,SPPR!$A:$A,0),12),"")</f>
        <v/>
      </c>
      <c r="P291">
        <f>IFERROR($C291*INDEX(SPPR!$E:$X,MATCH($A291,SPPR!$A:$A,0),13),"")</f>
        <v/>
      </c>
      <c r="Q291">
        <f>IFERROR($C291*INDEX(SPPR!$E:$X,MATCH($A291,SPPR!$A:$A,0),14),"")</f>
        <v/>
      </c>
      <c r="R291">
        <f>IFERROR($C291*INDEX(SPPR!$E:$X,MATCH($A291,SPPR!$A:$A,0),15),"")</f>
        <v/>
      </c>
      <c r="S291">
        <f>IFERROR($C291*INDEX(SPPR!$E:$X,MATCH($A291,SPPR!$A:$A,0),16),"")</f>
        <v/>
      </c>
      <c r="T291">
        <f>IFERROR($C291*INDEX(SPPR!$E:$X,MATCH($A291,SPPR!$A:$A,0),17),"")</f>
        <v/>
      </c>
      <c r="U291">
        <f>IFERROR($C291*INDEX(SPPR!$E:$X,MATCH($A291,SPPR!$A:$A,0),18),"")</f>
        <v/>
      </c>
      <c r="V291">
        <f>IFERROR($C291*INDEX(SPPR!$E:$X,MATCH($A291,SPPR!$A:$A,0),19),"")</f>
        <v/>
      </c>
      <c r="W291">
        <f>IFERROR($C291*INDEX(SPPR!$E:$X,MATCH($A291,SPPR!$A:$A,0),20),"")</f>
        <v/>
      </c>
    </row>
    <row r="292">
      <c r="A292" t="inlineStr">
        <is>
          <t>Cephalopholis hemistiktos</t>
        </is>
      </c>
      <c r="B292">
        <f>IFERROR(INDEX(SPPR!$D:$D,MATCH($A292,SPPR!$A:$A,0)),"")</f>
        <v/>
      </c>
      <c r="C292">
        <f>IFERROR(INDEX(Catch!$E:$BV,MATCH($A292,Catch!$A:$A,0),MATCH($B$4,Catch!$E$1:$BV$1,0)),0)</f>
        <v/>
      </c>
      <c r="D292">
        <f>IFERROR($C292*INDEX(SPPR!$E:$X,MATCH($A292,SPPR!$A:$A,0),1),"")</f>
        <v/>
      </c>
      <c r="E292">
        <f>IFERROR($C292*INDEX(SPPR!$E:$X,MATCH($A292,SPPR!$A:$A,0),2),"")</f>
        <v/>
      </c>
      <c r="F292">
        <f>IFERROR($C292*INDEX(SPPR!$E:$X,MATCH($A292,SPPR!$A:$A,0),3),"")</f>
        <v/>
      </c>
      <c r="G292">
        <f>IFERROR($C292*INDEX(SPPR!$E:$X,MATCH($A292,SPPR!$A:$A,0),4),"")</f>
        <v/>
      </c>
      <c r="H292">
        <f>IFERROR($C292*INDEX(SPPR!$E:$X,MATCH($A292,SPPR!$A:$A,0),5),"")</f>
        <v/>
      </c>
      <c r="I292">
        <f>IFERROR($C292*INDEX(SPPR!$E:$X,MATCH($A292,SPPR!$A:$A,0),6),"")</f>
        <v/>
      </c>
      <c r="J292">
        <f>IFERROR($C292*INDEX(SPPR!$E:$X,MATCH($A292,SPPR!$A:$A,0),7),"")</f>
        <v/>
      </c>
      <c r="K292">
        <f>IFERROR($C292*INDEX(SPPR!$E:$X,MATCH($A292,SPPR!$A:$A,0),8),"")</f>
        <v/>
      </c>
      <c r="L292">
        <f>IFERROR($C292*INDEX(SPPR!$E:$X,MATCH($A292,SPPR!$A:$A,0),9),"")</f>
        <v/>
      </c>
      <c r="M292">
        <f>IFERROR($C292*INDEX(SPPR!$E:$X,MATCH($A292,SPPR!$A:$A,0),10),"")</f>
        <v/>
      </c>
      <c r="N292">
        <f>IFERROR($C292*INDEX(SPPR!$E:$X,MATCH($A292,SPPR!$A:$A,0),11),"")</f>
        <v/>
      </c>
      <c r="O292">
        <f>IFERROR($C292*INDEX(SPPR!$E:$X,MATCH($A292,SPPR!$A:$A,0),12),"")</f>
        <v/>
      </c>
      <c r="P292">
        <f>IFERROR($C292*INDEX(SPPR!$E:$X,MATCH($A292,SPPR!$A:$A,0),13),"")</f>
        <v/>
      </c>
      <c r="Q292">
        <f>IFERROR($C292*INDEX(SPPR!$E:$X,MATCH($A292,SPPR!$A:$A,0),14),"")</f>
        <v/>
      </c>
      <c r="R292">
        <f>IFERROR($C292*INDEX(SPPR!$E:$X,MATCH($A292,SPPR!$A:$A,0),15),"")</f>
        <v/>
      </c>
      <c r="S292">
        <f>IFERROR($C292*INDEX(SPPR!$E:$X,MATCH($A292,SPPR!$A:$A,0),16),"")</f>
        <v/>
      </c>
      <c r="T292">
        <f>IFERROR($C292*INDEX(SPPR!$E:$X,MATCH($A292,SPPR!$A:$A,0),17),"")</f>
        <v/>
      </c>
      <c r="U292">
        <f>IFERROR($C292*INDEX(SPPR!$E:$X,MATCH($A292,SPPR!$A:$A,0),18),"")</f>
        <v/>
      </c>
      <c r="V292">
        <f>IFERROR($C292*INDEX(SPPR!$E:$X,MATCH($A292,SPPR!$A:$A,0),19),"")</f>
        <v/>
      </c>
      <c r="W292">
        <f>IFERROR($C292*INDEX(SPPR!$E:$X,MATCH($A292,SPPR!$A:$A,0),20),"")</f>
        <v/>
      </c>
    </row>
    <row r="293">
      <c r="A293" t="inlineStr">
        <is>
          <t>Platax orbicularis</t>
        </is>
      </c>
      <c r="B293">
        <f>IFERROR(INDEX(SPPR!$D:$D,MATCH($A293,SPPR!$A:$A,0)),"")</f>
        <v/>
      </c>
      <c r="C293">
        <f>IFERROR(INDEX(Catch!$E:$BV,MATCH($A293,Catch!$A:$A,0),MATCH($B$4,Catch!$E$1:$BV$1,0)),0)</f>
        <v/>
      </c>
      <c r="D293">
        <f>IFERROR($C293*INDEX(SPPR!$E:$X,MATCH($A293,SPPR!$A:$A,0),1),"")</f>
        <v/>
      </c>
      <c r="E293">
        <f>IFERROR($C293*INDEX(SPPR!$E:$X,MATCH($A293,SPPR!$A:$A,0),2),"")</f>
        <v/>
      </c>
      <c r="F293">
        <f>IFERROR($C293*INDEX(SPPR!$E:$X,MATCH($A293,SPPR!$A:$A,0),3),"")</f>
        <v/>
      </c>
      <c r="G293">
        <f>IFERROR($C293*INDEX(SPPR!$E:$X,MATCH($A293,SPPR!$A:$A,0),4),"")</f>
        <v/>
      </c>
      <c r="H293">
        <f>IFERROR($C293*INDEX(SPPR!$E:$X,MATCH($A293,SPPR!$A:$A,0),5),"")</f>
        <v/>
      </c>
      <c r="I293">
        <f>IFERROR($C293*INDEX(SPPR!$E:$X,MATCH($A293,SPPR!$A:$A,0),6),"")</f>
        <v/>
      </c>
      <c r="J293">
        <f>IFERROR($C293*INDEX(SPPR!$E:$X,MATCH($A293,SPPR!$A:$A,0),7),"")</f>
        <v/>
      </c>
      <c r="K293">
        <f>IFERROR($C293*INDEX(SPPR!$E:$X,MATCH($A293,SPPR!$A:$A,0),8),"")</f>
        <v/>
      </c>
      <c r="L293">
        <f>IFERROR($C293*INDEX(SPPR!$E:$X,MATCH($A293,SPPR!$A:$A,0),9),"")</f>
        <v/>
      </c>
      <c r="M293">
        <f>IFERROR($C293*INDEX(SPPR!$E:$X,MATCH($A293,SPPR!$A:$A,0),10),"")</f>
        <v/>
      </c>
      <c r="N293">
        <f>IFERROR($C293*INDEX(SPPR!$E:$X,MATCH($A293,SPPR!$A:$A,0),11),"")</f>
        <v/>
      </c>
      <c r="O293">
        <f>IFERROR($C293*INDEX(SPPR!$E:$X,MATCH($A293,SPPR!$A:$A,0),12),"")</f>
        <v/>
      </c>
      <c r="P293">
        <f>IFERROR($C293*INDEX(SPPR!$E:$X,MATCH($A293,SPPR!$A:$A,0),13),"")</f>
        <v/>
      </c>
      <c r="Q293">
        <f>IFERROR($C293*INDEX(SPPR!$E:$X,MATCH($A293,SPPR!$A:$A,0),14),"")</f>
        <v/>
      </c>
      <c r="R293">
        <f>IFERROR($C293*INDEX(SPPR!$E:$X,MATCH($A293,SPPR!$A:$A,0),15),"")</f>
        <v/>
      </c>
      <c r="S293">
        <f>IFERROR($C293*INDEX(SPPR!$E:$X,MATCH($A293,SPPR!$A:$A,0),16),"")</f>
        <v/>
      </c>
      <c r="T293">
        <f>IFERROR($C293*INDEX(SPPR!$E:$X,MATCH($A293,SPPR!$A:$A,0),17),"")</f>
        <v/>
      </c>
      <c r="U293">
        <f>IFERROR($C293*INDEX(SPPR!$E:$X,MATCH($A293,SPPR!$A:$A,0),18),"")</f>
        <v/>
      </c>
      <c r="V293">
        <f>IFERROR($C293*INDEX(SPPR!$E:$X,MATCH($A293,SPPR!$A:$A,0),19),"")</f>
        <v/>
      </c>
      <c r="W293">
        <f>IFERROR($C293*INDEX(SPPR!$E:$X,MATCH($A293,SPPR!$A:$A,0),20),"")</f>
        <v/>
      </c>
    </row>
    <row r="294">
      <c r="A294" t="inlineStr">
        <is>
          <t>Crenidens crenidens</t>
        </is>
      </c>
      <c r="B294">
        <f>IFERROR(INDEX(SPPR!$D:$D,MATCH($A294,SPPR!$A:$A,0)),"")</f>
        <v/>
      </c>
      <c r="C294">
        <f>IFERROR(INDEX(Catch!$E:$BV,MATCH($A294,Catch!$A:$A,0),MATCH($B$4,Catch!$E$1:$BV$1,0)),0)</f>
        <v/>
      </c>
      <c r="D294">
        <f>IFERROR($C294*INDEX(SPPR!$E:$X,MATCH($A294,SPPR!$A:$A,0),1),"")</f>
        <v/>
      </c>
      <c r="E294">
        <f>IFERROR($C294*INDEX(SPPR!$E:$X,MATCH($A294,SPPR!$A:$A,0),2),"")</f>
        <v/>
      </c>
      <c r="F294">
        <f>IFERROR($C294*INDEX(SPPR!$E:$X,MATCH($A294,SPPR!$A:$A,0),3),"")</f>
        <v/>
      </c>
      <c r="G294">
        <f>IFERROR($C294*INDEX(SPPR!$E:$X,MATCH($A294,SPPR!$A:$A,0),4),"")</f>
        <v/>
      </c>
      <c r="H294">
        <f>IFERROR($C294*INDEX(SPPR!$E:$X,MATCH($A294,SPPR!$A:$A,0),5),"")</f>
        <v/>
      </c>
      <c r="I294">
        <f>IFERROR($C294*INDEX(SPPR!$E:$X,MATCH($A294,SPPR!$A:$A,0),6),"")</f>
        <v/>
      </c>
      <c r="J294">
        <f>IFERROR($C294*INDEX(SPPR!$E:$X,MATCH($A294,SPPR!$A:$A,0),7),"")</f>
        <v/>
      </c>
      <c r="K294">
        <f>IFERROR($C294*INDEX(SPPR!$E:$X,MATCH($A294,SPPR!$A:$A,0),8),"")</f>
        <v/>
      </c>
      <c r="L294">
        <f>IFERROR($C294*INDEX(SPPR!$E:$X,MATCH($A294,SPPR!$A:$A,0),9),"")</f>
        <v/>
      </c>
      <c r="M294">
        <f>IFERROR($C294*INDEX(SPPR!$E:$X,MATCH($A294,SPPR!$A:$A,0),10),"")</f>
        <v/>
      </c>
      <c r="N294">
        <f>IFERROR($C294*INDEX(SPPR!$E:$X,MATCH($A294,SPPR!$A:$A,0),11),"")</f>
        <v/>
      </c>
      <c r="O294">
        <f>IFERROR($C294*INDEX(SPPR!$E:$X,MATCH($A294,SPPR!$A:$A,0),12),"")</f>
        <v/>
      </c>
      <c r="P294">
        <f>IFERROR($C294*INDEX(SPPR!$E:$X,MATCH($A294,SPPR!$A:$A,0),13),"")</f>
        <v/>
      </c>
      <c r="Q294">
        <f>IFERROR($C294*INDEX(SPPR!$E:$X,MATCH($A294,SPPR!$A:$A,0),14),"")</f>
        <v/>
      </c>
      <c r="R294">
        <f>IFERROR($C294*INDEX(SPPR!$E:$X,MATCH($A294,SPPR!$A:$A,0),15),"")</f>
        <v/>
      </c>
      <c r="S294">
        <f>IFERROR($C294*INDEX(SPPR!$E:$X,MATCH($A294,SPPR!$A:$A,0),16),"")</f>
        <v/>
      </c>
      <c r="T294">
        <f>IFERROR($C294*INDEX(SPPR!$E:$X,MATCH($A294,SPPR!$A:$A,0),17),"")</f>
        <v/>
      </c>
      <c r="U294">
        <f>IFERROR($C294*INDEX(SPPR!$E:$X,MATCH($A294,SPPR!$A:$A,0),18),"")</f>
        <v/>
      </c>
      <c r="V294">
        <f>IFERROR($C294*INDEX(SPPR!$E:$X,MATCH($A294,SPPR!$A:$A,0),19),"")</f>
        <v/>
      </c>
      <c r="W294">
        <f>IFERROR($C294*INDEX(SPPR!$E:$X,MATCH($A294,SPPR!$A:$A,0),20),"")</f>
        <v/>
      </c>
    </row>
    <row r="295">
      <c r="A295" t="inlineStr">
        <is>
          <t>Hemiramphidae</t>
        </is>
      </c>
      <c r="B295">
        <f>IFERROR(INDEX(SPPR!$D:$D,MATCH($A295,SPPR!$A:$A,0)),"")</f>
        <v/>
      </c>
      <c r="C295">
        <f>IFERROR(INDEX(Catch!$E:$BV,MATCH($A295,Catch!$A:$A,0),MATCH($B$4,Catch!$E$1:$BV$1,0)),0)</f>
        <v/>
      </c>
      <c r="D295">
        <f>IFERROR($C295*INDEX(SPPR!$E:$X,MATCH($A295,SPPR!$A:$A,0),1),"")</f>
        <v/>
      </c>
      <c r="E295">
        <f>IFERROR($C295*INDEX(SPPR!$E:$X,MATCH($A295,SPPR!$A:$A,0),2),"")</f>
        <v/>
      </c>
      <c r="F295">
        <f>IFERROR($C295*INDEX(SPPR!$E:$X,MATCH($A295,SPPR!$A:$A,0),3),"")</f>
        <v/>
      </c>
      <c r="G295">
        <f>IFERROR($C295*INDEX(SPPR!$E:$X,MATCH($A295,SPPR!$A:$A,0),4),"")</f>
        <v/>
      </c>
      <c r="H295">
        <f>IFERROR($C295*INDEX(SPPR!$E:$X,MATCH($A295,SPPR!$A:$A,0),5),"")</f>
        <v/>
      </c>
      <c r="I295">
        <f>IFERROR($C295*INDEX(SPPR!$E:$X,MATCH($A295,SPPR!$A:$A,0),6),"")</f>
        <v/>
      </c>
      <c r="J295">
        <f>IFERROR($C295*INDEX(SPPR!$E:$X,MATCH($A295,SPPR!$A:$A,0),7),"")</f>
        <v/>
      </c>
      <c r="K295">
        <f>IFERROR($C295*INDEX(SPPR!$E:$X,MATCH($A295,SPPR!$A:$A,0),8),"")</f>
        <v/>
      </c>
      <c r="L295">
        <f>IFERROR($C295*INDEX(SPPR!$E:$X,MATCH($A295,SPPR!$A:$A,0),9),"")</f>
        <v/>
      </c>
      <c r="M295">
        <f>IFERROR($C295*INDEX(SPPR!$E:$X,MATCH($A295,SPPR!$A:$A,0),10),"")</f>
        <v/>
      </c>
      <c r="N295">
        <f>IFERROR($C295*INDEX(SPPR!$E:$X,MATCH($A295,SPPR!$A:$A,0),11),"")</f>
        <v/>
      </c>
      <c r="O295">
        <f>IFERROR($C295*INDEX(SPPR!$E:$X,MATCH($A295,SPPR!$A:$A,0),12),"")</f>
        <v/>
      </c>
      <c r="P295">
        <f>IFERROR($C295*INDEX(SPPR!$E:$X,MATCH($A295,SPPR!$A:$A,0),13),"")</f>
        <v/>
      </c>
      <c r="Q295">
        <f>IFERROR($C295*INDEX(SPPR!$E:$X,MATCH($A295,SPPR!$A:$A,0),14),"")</f>
        <v/>
      </c>
      <c r="R295">
        <f>IFERROR($C295*INDEX(SPPR!$E:$X,MATCH($A295,SPPR!$A:$A,0),15),"")</f>
        <v/>
      </c>
      <c r="S295">
        <f>IFERROR($C295*INDEX(SPPR!$E:$X,MATCH($A295,SPPR!$A:$A,0),16),"")</f>
        <v/>
      </c>
      <c r="T295">
        <f>IFERROR($C295*INDEX(SPPR!$E:$X,MATCH($A295,SPPR!$A:$A,0),17),"")</f>
        <v/>
      </c>
      <c r="U295">
        <f>IFERROR($C295*INDEX(SPPR!$E:$X,MATCH($A295,SPPR!$A:$A,0),18),"")</f>
        <v/>
      </c>
      <c r="V295">
        <f>IFERROR($C295*INDEX(SPPR!$E:$X,MATCH($A295,SPPR!$A:$A,0),19),"")</f>
        <v/>
      </c>
      <c r="W295">
        <f>IFERROR($C295*INDEX(SPPR!$E:$X,MATCH($A295,SPPR!$A:$A,0),20),"")</f>
        <v/>
      </c>
    </row>
    <row r="296">
      <c r="A296" t="inlineStr">
        <is>
          <t>Plectorhinchus schotaf</t>
        </is>
      </c>
      <c r="B296">
        <f>IFERROR(INDEX(SPPR!$D:$D,MATCH($A296,SPPR!$A:$A,0)),"")</f>
        <v/>
      </c>
      <c r="C296">
        <f>IFERROR(INDEX(Catch!$E:$BV,MATCH($A296,Catch!$A:$A,0),MATCH($B$4,Catch!$E$1:$BV$1,0)),0)</f>
        <v/>
      </c>
      <c r="D296">
        <f>IFERROR($C296*INDEX(SPPR!$E:$X,MATCH($A296,SPPR!$A:$A,0),1),"")</f>
        <v/>
      </c>
      <c r="E296">
        <f>IFERROR($C296*INDEX(SPPR!$E:$X,MATCH($A296,SPPR!$A:$A,0),2),"")</f>
        <v/>
      </c>
      <c r="F296">
        <f>IFERROR($C296*INDEX(SPPR!$E:$X,MATCH($A296,SPPR!$A:$A,0),3),"")</f>
        <v/>
      </c>
      <c r="G296">
        <f>IFERROR($C296*INDEX(SPPR!$E:$X,MATCH($A296,SPPR!$A:$A,0),4),"")</f>
        <v/>
      </c>
      <c r="H296">
        <f>IFERROR($C296*INDEX(SPPR!$E:$X,MATCH($A296,SPPR!$A:$A,0),5),"")</f>
        <v/>
      </c>
      <c r="I296">
        <f>IFERROR($C296*INDEX(SPPR!$E:$X,MATCH($A296,SPPR!$A:$A,0),6),"")</f>
        <v/>
      </c>
      <c r="J296">
        <f>IFERROR($C296*INDEX(SPPR!$E:$X,MATCH($A296,SPPR!$A:$A,0),7),"")</f>
        <v/>
      </c>
      <c r="K296">
        <f>IFERROR($C296*INDEX(SPPR!$E:$X,MATCH($A296,SPPR!$A:$A,0),8),"")</f>
        <v/>
      </c>
      <c r="L296">
        <f>IFERROR($C296*INDEX(SPPR!$E:$X,MATCH($A296,SPPR!$A:$A,0),9),"")</f>
        <v/>
      </c>
      <c r="M296">
        <f>IFERROR($C296*INDEX(SPPR!$E:$X,MATCH($A296,SPPR!$A:$A,0),10),"")</f>
        <v/>
      </c>
      <c r="N296">
        <f>IFERROR($C296*INDEX(SPPR!$E:$X,MATCH($A296,SPPR!$A:$A,0),11),"")</f>
        <v/>
      </c>
      <c r="O296">
        <f>IFERROR($C296*INDEX(SPPR!$E:$X,MATCH($A296,SPPR!$A:$A,0),12),"")</f>
        <v/>
      </c>
      <c r="P296">
        <f>IFERROR($C296*INDEX(SPPR!$E:$X,MATCH($A296,SPPR!$A:$A,0),13),"")</f>
        <v/>
      </c>
      <c r="Q296">
        <f>IFERROR($C296*INDEX(SPPR!$E:$X,MATCH($A296,SPPR!$A:$A,0),14),"")</f>
        <v/>
      </c>
      <c r="R296">
        <f>IFERROR($C296*INDEX(SPPR!$E:$X,MATCH($A296,SPPR!$A:$A,0),15),"")</f>
        <v/>
      </c>
      <c r="S296">
        <f>IFERROR($C296*INDEX(SPPR!$E:$X,MATCH($A296,SPPR!$A:$A,0),16),"")</f>
        <v/>
      </c>
      <c r="T296">
        <f>IFERROR($C296*INDEX(SPPR!$E:$X,MATCH($A296,SPPR!$A:$A,0),17),"")</f>
        <v/>
      </c>
      <c r="U296">
        <f>IFERROR($C296*INDEX(SPPR!$E:$X,MATCH($A296,SPPR!$A:$A,0),18),"")</f>
        <v/>
      </c>
      <c r="V296">
        <f>IFERROR($C296*INDEX(SPPR!$E:$X,MATCH($A296,SPPR!$A:$A,0),19),"")</f>
        <v/>
      </c>
      <c r="W296">
        <f>IFERROR($C296*INDEX(SPPR!$E:$X,MATCH($A296,SPPR!$A:$A,0),20),"")</f>
        <v/>
      </c>
    </row>
    <row r="297">
      <c r="A297" t="inlineStr">
        <is>
          <t>Acanthurus dussumieri</t>
        </is>
      </c>
      <c r="B297">
        <f>IFERROR(INDEX(SPPR!$D:$D,MATCH($A297,SPPR!$A:$A,0)),"")</f>
        <v/>
      </c>
      <c r="C297">
        <f>IFERROR(INDEX(Catch!$E:$BV,MATCH($A297,Catch!$A:$A,0),MATCH($B$4,Catch!$E$1:$BV$1,0)),0)</f>
        <v/>
      </c>
      <c r="D297">
        <f>IFERROR($C297*INDEX(SPPR!$E:$X,MATCH($A297,SPPR!$A:$A,0),1),"")</f>
        <v/>
      </c>
      <c r="E297">
        <f>IFERROR($C297*INDEX(SPPR!$E:$X,MATCH($A297,SPPR!$A:$A,0),2),"")</f>
        <v/>
      </c>
      <c r="F297">
        <f>IFERROR($C297*INDEX(SPPR!$E:$X,MATCH($A297,SPPR!$A:$A,0),3),"")</f>
        <v/>
      </c>
      <c r="G297">
        <f>IFERROR($C297*INDEX(SPPR!$E:$X,MATCH($A297,SPPR!$A:$A,0),4),"")</f>
        <v/>
      </c>
      <c r="H297">
        <f>IFERROR($C297*INDEX(SPPR!$E:$X,MATCH($A297,SPPR!$A:$A,0),5),"")</f>
        <v/>
      </c>
      <c r="I297">
        <f>IFERROR($C297*INDEX(SPPR!$E:$X,MATCH($A297,SPPR!$A:$A,0),6),"")</f>
        <v/>
      </c>
      <c r="J297">
        <f>IFERROR($C297*INDEX(SPPR!$E:$X,MATCH($A297,SPPR!$A:$A,0),7),"")</f>
        <v/>
      </c>
      <c r="K297">
        <f>IFERROR($C297*INDEX(SPPR!$E:$X,MATCH($A297,SPPR!$A:$A,0),8),"")</f>
        <v/>
      </c>
      <c r="L297">
        <f>IFERROR($C297*INDEX(SPPR!$E:$X,MATCH($A297,SPPR!$A:$A,0),9),"")</f>
        <v/>
      </c>
      <c r="M297">
        <f>IFERROR($C297*INDEX(SPPR!$E:$X,MATCH($A297,SPPR!$A:$A,0),10),"")</f>
        <v/>
      </c>
      <c r="N297">
        <f>IFERROR($C297*INDEX(SPPR!$E:$X,MATCH($A297,SPPR!$A:$A,0),11),"")</f>
        <v/>
      </c>
      <c r="O297">
        <f>IFERROR($C297*INDEX(SPPR!$E:$X,MATCH($A297,SPPR!$A:$A,0),12),"")</f>
        <v/>
      </c>
      <c r="P297">
        <f>IFERROR($C297*INDEX(SPPR!$E:$X,MATCH($A297,SPPR!$A:$A,0),13),"")</f>
        <v/>
      </c>
      <c r="Q297">
        <f>IFERROR($C297*INDEX(SPPR!$E:$X,MATCH($A297,SPPR!$A:$A,0),14),"")</f>
        <v/>
      </c>
      <c r="R297">
        <f>IFERROR($C297*INDEX(SPPR!$E:$X,MATCH($A297,SPPR!$A:$A,0),15),"")</f>
        <v/>
      </c>
      <c r="S297">
        <f>IFERROR($C297*INDEX(SPPR!$E:$X,MATCH($A297,SPPR!$A:$A,0),16),"")</f>
        <v/>
      </c>
      <c r="T297">
        <f>IFERROR($C297*INDEX(SPPR!$E:$X,MATCH($A297,SPPR!$A:$A,0),17),"")</f>
        <v/>
      </c>
      <c r="U297">
        <f>IFERROR($C297*INDEX(SPPR!$E:$X,MATCH($A297,SPPR!$A:$A,0),18),"")</f>
        <v/>
      </c>
      <c r="V297">
        <f>IFERROR($C297*INDEX(SPPR!$E:$X,MATCH($A297,SPPR!$A:$A,0),19),"")</f>
        <v/>
      </c>
      <c r="W297">
        <f>IFERROR($C297*INDEX(SPPR!$E:$X,MATCH($A297,SPPR!$A:$A,0),20),"")</f>
        <v/>
      </c>
    </row>
    <row r="298">
      <c r="A298" t="inlineStr">
        <is>
          <t>Rajiformes</t>
        </is>
      </c>
      <c r="B298">
        <f>IFERROR(INDEX(SPPR!$D:$D,MATCH($A298,SPPR!$A:$A,0)),"")</f>
        <v/>
      </c>
      <c r="C298">
        <f>IFERROR(INDEX(Catch!$E:$BV,MATCH($A298,Catch!$A:$A,0),MATCH($B$4,Catch!$E$1:$BV$1,0)),0)</f>
        <v/>
      </c>
      <c r="D298">
        <f>IFERROR($C298*INDEX(SPPR!$E:$X,MATCH($A298,SPPR!$A:$A,0),1),"")</f>
        <v/>
      </c>
      <c r="E298">
        <f>IFERROR($C298*INDEX(SPPR!$E:$X,MATCH($A298,SPPR!$A:$A,0),2),"")</f>
        <v/>
      </c>
      <c r="F298">
        <f>IFERROR($C298*INDEX(SPPR!$E:$X,MATCH($A298,SPPR!$A:$A,0),3),"")</f>
        <v/>
      </c>
      <c r="G298">
        <f>IFERROR($C298*INDEX(SPPR!$E:$X,MATCH($A298,SPPR!$A:$A,0),4),"")</f>
        <v/>
      </c>
      <c r="H298">
        <f>IFERROR($C298*INDEX(SPPR!$E:$X,MATCH($A298,SPPR!$A:$A,0),5),"")</f>
        <v/>
      </c>
      <c r="I298">
        <f>IFERROR($C298*INDEX(SPPR!$E:$X,MATCH($A298,SPPR!$A:$A,0),6),"")</f>
        <v/>
      </c>
      <c r="J298">
        <f>IFERROR($C298*INDEX(SPPR!$E:$X,MATCH($A298,SPPR!$A:$A,0),7),"")</f>
        <v/>
      </c>
      <c r="K298">
        <f>IFERROR($C298*INDEX(SPPR!$E:$X,MATCH($A298,SPPR!$A:$A,0),8),"")</f>
        <v/>
      </c>
      <c r="L298">
        <f>IFERROR($C298*INDEX(SPPR!$E:$X,MATCH($A298,SPPR!$A:$A,0),9),"")</f>
        <v/>
      </c>
      <c r="M298">
        <f>IFERROR($C298*INDEX(SPPR!$E:$X,MATCH($A298,SPPR!$A:$A,0),10),"")</f>
        <v/>
      </c>
      <c r="N298">
        <f>IFERROR($C298*INDEX(SPPR!$E:$X,MATCH($A298,SPPR!$A:$A,0),11),"")</f>
        <v/>
      </c>
      <c r="O298">
        <f>IFERROR($C298*INDEX(SPPR!$E:$X,MATCH($A298,SPPR!$A:$A,0),12),"")</f>
        <v/>
      </c>
      <c r="P298">
        <f>IFERROR($C298*INDEX(SPPR!$E:$X,MATCH($A298,SPPR!$A:$A,0),13),"")</f>
        <v/>
      </c>
      <c r="Q298">
        <f>IFERROR($C298*INDEX(SPPR!$E:$X,MATCH($A298,SPPR!$A:$A,0),14),"")</f>
        <v/>
      </c>
      <c r="R298">
        <f>IFERROR($C298*INDEX(SPPR!$E:$X,MATCH($A298,SPPR!$A:$A,0),15),"")</f>
        <v/>
      </c>
      <c r="S298">
        <f>IFERROR($C298*INDEX(SPPR!$E:$X,MATCH($A298,SPPR!$A:$A,0),16),"")</f>
        <v/>
      </c>
      <c r="T298">
        <f>IFERROR($C298*INDEX(SPPR!$E:$X,MATCH($A298,SPPR!$A:$A,0),17),"")</f>
        <v/>
      </c>
      <c r="U298">
        <f>IFERROR($C298*INDEX(SPPR!$E:$X,MATCH($A298,SPPR!$A:$A,0),18),"")</f>
        <v/>
      </c>
      <c r="V298">
        <f>IFERROR($C298*INDEX(SPPR!$E:$X,MATCH($A298,SPPR!$A:$A,0),19),"")</f>
        <v/>
      </c>
      <c r="W298">
        <f>IFERROR($C298*INDEX(SPPR!$E:$X,MATCH($A298,SPPR!$A:$A,0),20),"")</f>
        <v/>
      </c>
    </row>
    <row r="299">
      <c r="A299" t="inlineStr">
        <is>
          <t>Caranx sexfasciatus</t>
        </is>
      </c>
      <c r="B299">
        <f>IFERROR(INDEX(SPPR!$D:$D,MATCH($A299,SPPR!$A:$A,0)),"")</f>
        <v/>
      </c>
      <c r="C299">
        <f>IFERROR(INDEX(Catch!$E:$BV,MATCH($A299,Catch!$A:$A,0),MATCH($B$4,Catch!$E$1:$BV$1,0)),0)</f>
        <v/>
      </c>
      <c r="D299">
        <f>IFERROR($C299*INDEX(SPPR!$E:$X,MATCH($A299,SPPR!$A:$A,0),1),"")</f>
        <v/>
      </c>
      <c r="E299">
        <f>IFERROR($C299*INDEX(SPPR!$E:$X,MATCH($A299,SPPR!$A:$A,0),2),"")</f>
        <v/>
      </c>
      <c r="F299">
        <f>IFERROR($C299*INDEX(SPPR!$E:$X,MATCH($A299,SPPR!$A:$A,0),3),"")</f>
        <v/>
      </c>
      <c r="G299">
        <f>IFERROR($C299*INDEX(SPPR!$E:$X,MATCH($A299,SPPR!$A:$A,0),4),"")</f>
        <v/>
      </c>
      <c r="H299">
        <f>IFERROR($C299*INDEX(SPPR!$E:$X,MATCH($A299,SPPR!$A:$A,0),5),"")</f>
        <v/>
      </c>
      <c r="I299">
        <f>IFERROR($C299*INDEX(SPPR!$E:$X,MATCH($A299,SPPR!$A:$A,0),6),"")</f>
        <v/>
      </c>
      <c r="J299">
        <f>IFERROR($C299*INDEX(SPPR!$E:$X,MATCH($A299,SPPR!$A:$A,0),7),"")</f>
        <v/>
      </c>
      <c r="K299">
        <f>IFERROR($C299*INDEX(SPPR!$E:$X,MATCH($A299,SPPR!$A:$A,0),8),"")</f>
        <v/>
      </c>
      <c r="L299">
        <f>IFERROR($C299*INDEX(SPPR!$E:$X,MATCH($A299,SPPR!$A:$A,0),9),"")</f>
        <v/>
      </c>
      <c r="M299">
        <f>IFERROR($C299*INDEX(SPPR!$E:$X,MATCH($A299,SPPR!$A:$A,0),10),"")</f>
        <v/>
      </c>
      <c r="N299">
        <f>IFERROR($C299*INDEX(SPPR!$E:$X,MATCH($A299,SPPR!$A:$A,0),11),"")</f>
        <v/>
      </c>
      <c r="O299">
        <f>IFERROR($C299*INDEX(SPPR!$E:$X,MATCH($A299,SPPR!$A:$A,0),12),"")</f>
        <v/>
      </c>
      <c r="P299">
        <f>IFERROR($C299*INDEX(SPPR!$E:$X,MATCH($A299,SPPR!$A:$A,0),13),"")</f>
        <v/>
      </c>
      <c r="Q299">
        <f>IFERROR($C299*INDEX(SPPR!$E:$X,MATCH($A299,SPPR!$A:$A,0),14),"")</f>
        <v/>
      </c>
      <c r="R299">
        <f>IFERROR($C299*INDEX(SPPR!$E:$X,MATCH($A299,SPPR!$A:$A,0),15),"")</f>
        <v/>
      </c>
      <c r="S299">
        <f>IFERROR($C299*INDEX(SPPR!$E:$X,MATCH($A299,SPPR!$A:$A,0),16),"")</f>
        <v/>
      </c>
      <c r="T299">
        <f>IFERROR($C299*INDEX(SPPR!$E:$X,MATCH($A299,SPPR!$A:$A,0),17),"")</f>
        <v/>
      </c>
      <c r="U299">
        <f>IFERROR($C299*INDEX(SPPR!$E:$X,MATCH($A299,SPPR!$A:$A,0),18),"")</f>
        <v/>
      </c>
      <c r="V299">
        <f>IFERROR($C299*INDEX(SPPR!$E:$X,MATCH($A299,SPPR!$A:$A,0),19),"")</f>
        <v/>
      </c>
      <c r="W299">
        <f>IFERROR($C299*INDEX(SPPR!$E:$X,MATCH($A299,SPPR!$A:$A,0),20),"")</f>
        <v/>
      </c>
    </row>
    <row r="300">
      <c r="A300" t="inlineStr">
        <is>
          <t>Lethrinus mahsena</t>
        </is>
      </c>
      <c r="B300">
        <f>IFERROR(INDEX(SPPR!$D:$D,MATCH($A300,SPPR!$A:$A,0)),"")</f>
        <v/>
      </c>
      <c r="C300">
        <f>IFERROR(INDEX(Catch!$E:$BV,MATCH($A300,Catch!$A:$A,0),MATCH($B$4,Catch!$E$1:$BV$1,0)),0)</f>
        <v/>
      </c>
      <c r="D300">
        <f>IFERROR($C300*INDEX(SPPR!$E:$X,MATCH($A300,SPPR!$A:$A,0),1),"")</f>
        <v/>
      </c>
      <c r="E300">
        <f>IFERROR($C300*INDEX(SPPR!$E:$X,MATCH($A300,SPPR!$A:$A,0),2),"")</f>
        <v/>
      </c>
      <c r="F300">
        <f>IFERROR($C300*INDEX(SPPR!$E:$X,MATCH($A300,SPPR!$A:$A,0),3),"")</f>
        <v/>
      </c>
      <c r="G300">
        <f>IFERROR($C300*INDEX(SPPR!$E:$X,MATCH($A300,SPPR!$A:$A,0),4),"")</f>
        <v/>
      </c>
      <c r="H300">
        <f>IFERROR($C300*INDEX(SPPR!$E:$X,MATCH($A300,SPPR!$A:$A,0),5),"")</f>
        <v/>
      </c>
      <c r="I300">
        <f>IFERROR($C300*INDEX(SPPR!$E:$X,MATCH($A300,SPPR!$A:$A,0),6),"")</f>
        <v/>
      </c>
      <c r="J300">
        <f>IFERROR($C300*INDEX(SPPR!$E:$X,MATCH($A300,SPPR!$A:$A,0),7),"")</f>
        <v/>
      </c>
      <c r="K300">
        <f>IFERROR($C300*INDEX(SPPR!$E:$X,MATCH($A300,SPPR!$A:$A,0),8),"")</f>
        <v/>
      </c>
      <c r="L300">
        <f>IFERROR($C300*INDEX(SPPR!$E:$X,MATCH($A300,SPPR!$A:$A,0),9),"")</f>
        <v/>
      </c>
      <c r="M300">
        <f>IFERROR($C300*INDEX(SPPR!$E:$X,MATCH($A300,SPPR!$A:$A,0),10),"")</f>
        <v/>
      </c>
      <c r="N300">
        <f>IFERROR($C300*INDEX(SPPR!$E:$X,MATCH($A300,SPPR!$A:$A,0),11),"")</f>
        <v/>
      </c>
      <c r="O300">
        <f>IFERROR($C300*INDEX(SPPR!$E:$X,MATCH($A300,SPPR!$A:$A,0),12),"")</f>
        <v/>
      </c>
      <c r="P300">
        <f>IFERROR($C300*INDEX(SPPR!$E:$X,MATCH($A300,SPPR!$A:$A,0),13),"")</f>
        <v/>
      </c>
      <c r="Q300">
        <f>IFERROR($C300*INDEX(SPPR!$E:$X,MATCH($A300,SPPR!$A:$A,0),14),"")</f>
        <v/>
      </c>
      <c r="R300">
        <f>IFERROR($C300*INDEX(SPPR!$E:$X,MATCH($A300,SPPR!$A:$A,0),15),"")</f>
        <v/>
      </c>
      <c r="S300">
        <f>IFERROR($C300*INDEX(SPPR!$E:$X,MATCH($A300,SPPR!$A:$A,0),16),"")</f>
        <v/>
      </c>
      <c r="T300">
        <f>IFERROR($C300*INDEX(SPPR!$E:$X,MATCH($A300,SPPR!$A:$A,0),17),"")</f>
        <v/>
      </c>
      <c r="U300">
        <f>IFERROR($C300*INDEX(SPPR!$E:$X,MATCH($A300,SPPR!$A:$A,0),18),"")</f>
        <v/>
      </c>
      <c r="V300">
        <f>IFERROR($C300*INDEX(SPPR!$E:$X,MATCH($A300,SPPR!$A:$A,0),19),"")</f>
        <v/>
      </c>
      <c r="W300">
        <f>IFERROR($C300*INDEX(SPPR!$E:$X,MATCH($A300,SPPR!$A:$A,0),20),"")</f>
        <v/>
      </c>
    </row>
    <row r="301">
      <c r="A301" t="inlineStr">
        <is>
          <t>Nebrius ferrugineus</t>
        </is>
      </c>
      <c r="B301">
        <f>IFERROR(INDEX(SPPR!$D:$D,MATCH($A301,SPPR!$A:$A,0)),"")</f>
        <v/>
      </c>
      <c r="C301">
        <f>IFERROR(INDEX(Catch!$E:$BV,MATCH($A301,Catch!$A:$A,0),MATCH($B$4,Catch!$E$1:$BV$1,0)),0)</f>
        <v/>
      </c>
      <c r="D301">
        <f>IFERROR($C301*INDEX(SPPR!$E:$X,MATCH($A301,SPPR!$A:$A,0),1),"")</f>
        <v/>
      </c>
      <c r="E301">
        <f>IFERROR($C301*INDEX(SPPR!$E:$X,MATCH($A301,SPPR!$A:$A,0),2),"")</f>
        <v/>
      </c>
      <c r="F301">
        <f>IFERROR($C301*INDEX(SPPR!$E:$X,MATCH($A301,SPPR!$A:$A,0),3),"")</f>
        <v/>
      </c>
      <c r="G301">
        <f>IFERROR($C301*INDEX(SPPR!$E:$X,MATCH($A301,SPPR!$A:$A,0),4),"")</f>
        <v/>
      </c>
      <c r="H301">
        <f>IFERROR($C301*INDEX(SPPR!$E:$X,MATCH($A301,SPPR!$A:$A,0),5),"")</f>
        <v/>
      </c>
      <c r="I301">
        <f>IFERROR($C301*INDEX(SPPR!$E:$X,MATCH($A301,SPPR!$A:$A,0),6),"")</f>
        <v/>
      </c>
      <c r="J301">
        <f>IFERROR($C301*INDEX(SPPR!$E:$X,MATCH($A301,SPPR!$A:$A,0),7),"")</f>
        <v/>
      </c>
      <c r="K301">
        <f>IFERROR($C301*INDEX(SPPR!$E:$X,MATCH($A301,SPPR!$A:$A,0),8),"")</f>
        <v/>
      </c>
      <c r="L301">
        <f>IFERROR($C301*INDEX(SPPR!$E:$X,MATCH($A301,SPPR!$A:$A,0),9),"")</f>
        <v/>
      </c>
      <c r="M301">
        <f>IFERROR($C301*INDEX(SPPR!$E:$X,MATCH($A301,SPPR!$A:$A,0),10),"")</f>
        <v/>
      </c>
      <c r="N301">
        <f>IFERROR($C301*INDEX(SPPR!$E:$X,MATCH($A301,SPPR!$A:$A,0),11),"")</f>
        <v/>
      </c>
      <c r="O301">
        <f>IFERROR($C301*INDEX(SPPR!$E:$X,MATCH($A301,SPPR!$A:$A,0),12),"")</f>
        <v/>
      </c>
      <c r="P301">
        <f>IFERROR($C301*INDEX(SPPR!$E:$X,MATCH($A301,SPPR!$A:$A,0),13),"")</f>
        <v/>
      </c>
      <c r="Q301">
        <f>IFERROR($C301*INDEX(SPPR!$E:$X,MATCH($A301,SPPR!$A:$A,0),14),"")</f>
        <v/>
      </c>
      <c r="R301">
        <f>IFERROR($C301*INDEX(SPPR!$E:$X,MATCH($A301,SPPR!$A:$A,0),15),"")</f>
        <v/>
      </c>
      <c r="S301">
        <f>IFERROR($C301*INDEX(SPPR!$E:$X,MATCH($A301,SPPR!$A:$A,0),16),"")</f>
        <v/>
      </c>
      <c r="T301">
        <f>IFERROR($C301*INDEX(SPPR!$E:$X,MATCH($A301,SPPR!$A:$A,0),17),"")</f>
        <v/>
      </c>
      <c r="U301">
        <f>IFERROR($C301*INDEX(SPPR!$E:$X,MATCH($A301,SPPR!$A:$A,0),18),"")</f>
        <v/>
      </c>
      <c r="V301">
        <f>IFERROR($C301*INDEX(SPPR!$E:$X,MATCH($A301,SPPR!$A:$A,0),19),"")</f>
        <v/>
      </c>
      <c r="W301">
        <f>IFERROR($C301*INDEX(SPPR!$E:$X,MATCH($A301,SPPR!$A:$A,0),20),"")</f>
        <v/>
      </c>
    </row>
    <row r="302">
      <c r="A302" t="inlineStr">
        <is>
          <t>Solenidae</t>
        </is>
      </c>
      <c r="B302">
        <f>IFERROR(INDEX(SPPR!$D:$D,MATCH($A302,SPPR!$A:$A,0)),"")</f>
        <v/>
      </c>
      <c r="C302">
        <f>IFERROR(INDEX(Catch!$E:$BV,MATCH($A302,Catch!$A:$A,0),MATCH($B$4,Catch!$E$1:$BV$1,0)),0)</f>
        <v/>
      </c>
      <c r="D302">
        <f>IFERROR($C302*INDEX(SPPR!$E:$X,MATCH($A302,SPPR!$A:$A,0),1),"")</f>
        <v/>
      </c>
      <c r="E302">
        <f>IFERROR($C302*INDEX(SPPR!$E:$X,MATCH($A302,SPPR!$A:$A,0),2),"")</f>
        <v/>
      </c>
      <c r="F302">
        <f>IFERROR($C302*INDEX(SPPR!$E:$X,MATCH($A302,SPPR!$A:$A,0),3),"")</f>
        <v/>
      </c>
      <c r="G302">
        <f>IFERROR($C302*INDEX(SPPR!$E:$X,MATCH($A302,SPPR!$A:$A,0),4),"")</f>
        <v/>
      </c>
      <c r="H302">
        <f>IFERROR($C302*INDEX(SPPR!$E:$X,MATCH($A302,SPPR!$A:$A,0),5),"")</f>
        <v/>
      </c>
      <c r="I302">
        <f>IFERROR($C302*INDEX(SPPR!$E:$X,MATCH($A302,SPPR!$A:$A,0),6),"")</f>
        <v/>
      </c>
      <c r="J302">
        <f>IFERROR($C302*INDEX(SPPR!$E:$X,MATCH($A302,SPPR!$A:$A,0),7),"")</f>
        <v/>
      </c>
      <c r="K302">
        <f>IFERROR($C302*INDEX(SPPR!$E:$X,MATCH($A302,SPPR!$A:$A,0),8),"")</f>
        <v/>
      </c>
      <c r="L302">
        <f>IFERROR($C302*INDEX(SPPR!$E:$X,MATCH($A302,SPPR!$A:$A,0),9),"")</f>
        <v/>
      </c>
      <c r="M302">
        <f>IFERROR($C302*INDEX(SPPR!$E:$X,MATCH($A302,SPPR!$A:$A,0),10),"")</f>
        <v/>
      </c>
      <c r="N302">
        <f>IFERROR($C302*INDEX(SPPR!$E:$X,MATCH($A302,SPPR!$A:$A,0),11),"")</f>
        <v/>
      </c>
      <c r="O302">
        <f>IFERROR($C302*INDEX(SPPR!$E:$X,MATCH($A302,SPPR!$A:$A,0),12),"")</f>
        <v/>
      </c>
      <c r="P302">
        <f>IFERROR($C302*INDEX(SPPR!$E:$X,MATCH($A302,SPPR!$A:$A,0),13),"")</f>
        <v/>
      </c>
      <c r="Q302">
        <f>IFERROR($C302*INDEX(SPPR!$E:$X,MATCH($A302,SPPR!$A:$A,0),14),"")</f>
        <v/>
      </c>
      <c r="R302">
        <f>IFERROR($C302*INDEX(SPPR!$E:$X,MATCH($A302,SPPR!$A:$A,0),15),"")</f>
        <v/>
      </c>
      <c r="S302">
        <f>IFERROR($C302*INDEX(SPPR!$E:$X,MATCH($A302,SPPR!$A:$A,0),16),"")</f>
        <v/>
      </c>
      <c r="T302">
        <f>IFERROR($C302*INDEX(SPPR!$E:$X,MATCH($A302,SPPR!$A:$A,0),17),"")</f>
        <v/>
      </c>
      <c r="U302">
        <f>IFERROR($C302*INDEX(SPPR!$E:$X,MATCH($A302,SPPR!$A:$A,0),18),"")</f>
        <v/>
      </c>
      <c r="V302">
        <f>IFERROR($C302*INDEX(SPPR!$E:$X,MATCH($A302,SPPR!$A:$A,0),19),"")</f>
        <v/>
      </c>
      <c r="W302">
        <f>IFERROR($C302*INDEX(SPPR!$E:$X,MATCH($A302,SPPR!$A:$A,0),20),"")</f>
        <v/>
      </c>
    </row>
    <row r="303">
      <c r="A303" t="inlineStr">
        <is>
          <t>Synanceiidae</t>
        </is>
      </c>
      <c r="B303">
        <f>IFERROR(INDEX(SPPR!$D:$D,MATCH($A303,SPPR!$A:$A,0)),"")</f>
        <v/>
      </c>
      <c r="C303">
        <f>IFERROR(INDEX(Catch!$E:$BV,MATCH($A303,Catch!$A:$A,0),MATCH($B$4,Catch!$E$1:$BV$1,0)),0)</f>
        <v/>
      </c>
      <c r="D303">
        <f>IFERROR($C303*INDEX(SPPR!$E:$X,MATCH($A303,SPPR!$A:$A,0),1),"")</f>
        <v/>
      </c>
      <c r="E303">
        <f>IFERROR($C303*INDEX(SPPR!$E:$X,MATCH($A303,SPPR!$A:$A,0),2),"")</f>
        <v/>
      </c>
      <c r="F303">
        <f>IFERROR($C303*INDEX(SPPR!$E:$X,MATCH($A303,SPPR!$A:$A,0),3),"")</f>
        <v/>
      </c>
      <c r="G303">
        <f>IFERROR($C303*INDEX(SPPR!$E:$X,MATCH($A303,SPPR!$A:$A,0),4),"")</f>
        <v/>
      </c>
      <c r="H303">
        <f>IFERROR($C303*INDEX(SPPR!$E:$X,MATCH($A303,SPPR!$A:$A,0),5),"")</f>
        <v/>
      </c>
      <c r="I303">
        <f>IFERROR($C303*INDEX(SPPR!$E:$X,MATCH($A303,SPPR!$A:$A,0),6),"")</f>
        <v/>
      </c>
      <c r="J303">
        <f>IFERROR($C303*INDEX(SPPR!$E:$X,MATCH($A303,SPPR!$A:$A,0),7),"")</f>
        <v/>
      </c>
      <c r="K303">
        <f>IFERROR($C303*INDEX(SPPR!$E:$X,MATCH($A303,SPPR!$A:$A,0),8),"")</f>
        <v/>
      </c>
      <c r="L303">
        <f>IFERROR($C303*INDEX(SPPR!$E:$X,MATCH($A303,SPPR!$A:$A,0),9),"")</f>
        <v/>
      </c>
      <c r="M303">
        <f>IFERROR($C303*INDEX(SPPR!$E:$X,MATCH($A303,SPPR!$A:$A,0),10),"")</f>
        <v/>
      </c>
      <c r="N303">
        <f>IFERROR($C303*INDEX(SPPR!$E:$X,MATCH($A303,SPPR!$A:$A,0),11),"")</f>
        <v/>
      </c>
      <c r="O303">
        <f>IFERROR($C303*INDEX(SPPR!$E:$X,MATCH($A303,SPPR!$A:$A,0),12),"")</f>
        <v/>
      </c>
      <c r="P303">
        <f>IFERROR($C303*INDEX(SPPR!$E:$X,MATCH($A303,SPPR!$A:$A,0),13),"")</f>
        <v/>
      </c>
      <c r="Q303">
        <f>IFERROR($C303*INDEX(SPPR!$E:$X,MATCH($A303,SPPR!$A:$A,0),14),"")</f>
        <v/>
      </c>
      <c r="R303">
        <f>IFERROR($C303*INDEX(SPPR!$E:$X,MATCH($A303,SPPR!$A:$A,0),15),"")</f>
        <v/>
      </c>
      <c r="S303">
        <f>IFERROR($C303*INDEX(SPPR!$E:$X,MATCH($A303,SPPR!$A:$A,0),16),"")</f>
        <v/>
      </c>
      <c r="T303">
        <f>IFERROR($C303*INDEX(SPPR!$E:$X,MATCH($A303,SPPR!$A:$A,0),17),"")</f>
        <v/>
      </c>
      <c r="U303">
        <f>IFERROR($C303*INDEX(SPPR!$E:$X,MATCH($A303,SPPR!$A:$A,0),18),"")</f>
        <v/>
      </c>
      <c r="V303">
        <f>IFERROR($C303*INDEX(SPPR!$E:$X,MATCH($A303,SPPR!$A:$A,0),19),"")</f>
        <v/>
      </c>
      <c r="W303">
        <f>IFERROR($C303*INDEX(SPPR!$E:$X,MATCH($A303,SPPR!$A:$A,0),20),"")</f>
        <v/>
      </c>
    </row>
    <row r="304">
      <c r="A304" t="inlineStr">
        <is>
          <t>Istiophorus</t>
        </is>
      </c>
      <c r="B304">
        <f>IFERROR(INDEX(SPPR!$D:$D,MATCH($A304,SPPR!$A:$A,0)),"")</f>
        <v/>
      </c>
      <c r="C304">
        <f>IFERROR(INDEX(Catch!$E:$BV,MATCH($A304,Catch!$A:$A,0),MATCH($B$4,Catch!$E$1:$BV$1,0)),0)</f>
        <v/>
      </c>
      <c r="D304">
        <f>IFERROR($C304*INDEX(SPPR!$E:$X,MATCH($A304,SPPR!$A:$A,0),1),"")</f>
        <v/>
      </c>
      <c r="E304">
        <f>IFERROR($C304*INDEX(SPPR!$E:$X,MATCH($A304,SPPR!$A:$A,0),2),"")</f>
        <v/>
      </c>
      <c r="F304">
        <f>IFERROR($C304*INDEX(SPPR!$E:$X,MATCH($A304,SPPR!$A:$A,0),3),"")</f>
        <v/>
      </c>
      <c r="G304">
        <f>IFERROR($C304*INDEX(SPPR!$E:$X,MATCH($A304,SPPR!$A:$A,0),4),"")</f>
        <v/>
      </c>
      <c r="H304">
        <f>IFERROR($C304*INDEX(SPPR!$E:$X,MATCH($A304,SPPR!$A:$A,0),5),"")</f>
        <v/>
      </c>
      <c r="I304">
        <f>IFERROR($C304*INDEX(SPPR!$E:$X,MATCH($A304,SPPR!$A:$A,0),6),"")</f>
        <v/>
      </c>
      <c r="J304">
        <f>IFERROR($C304*INDEX(SPPR!$E:$X,MATCH($A304,SPPR!$A:$A,0),7),"")</f>
        <v/>
      </c>
      <c r="K304">
        <f>IFERROR($C304*INDEX(SPPR!$E:$X,MATCH($A304,SPPR!$A:$A,0),8),"")</f>
        <v/>
      </c>
      <c r="L304">
        <f>IFERROR($C304*INDEX(SPPR!$E:$X,MATCH($A304,SPPR!$A:$A,0),9),"")</f>
        <v/>
      </c>
      <c r="M304">
        <f>IFERROR($C304*INDEX(SPPR!$E:$X,MATCH($A304,SPPR!$A:$A,0),10),"")</f>
        <v/>
      </c>
      <c r="N304">
        <f>IFERROR($C304*INDEX(SPPR!$E:$X,MATCH($A304,SPPR!$A:$A,0),11),"")</f>
        <v/>
      </c>
      <c r="O304">
        <f>IFERROR($C304*INDEX(SPPR!$E:$X,MATCH($A304,SPPR!$A:$A,0),12),"")</f>
        <v/>
      </c>
      <c r="P304">
        <f>IFERROR($C304*INDEX(SPPR!$E:$X,MATCH($A304,SPPR!$A:$A,0),13),"")</f>
        <v/>
      </c>
      <c r="Q304">
        <f>IFERROR($C304*INDEX(SPPR!$E:$X,MATCH($A304,SPPR!$A:$A,0),14),"")</f>
        <v/>
      </c>
      <c r="R304">
        <f>IFERROR($C304*INDEX(SPPR!$E:$X,MATCH($A304,SPPR!$A:$A,0),15),"")</f>
        <v/>
      </c>
      <c r="S304">
        <f>IFERROR($C304*INDEX(SPPR!$E:$X,MATCH($A304,SPPR!$A:$A,0),16),"")</f>
        <v/>
      </c>
      <c r="T304">
        <f>IFERROR($C304*INDEX(SPPR!$E:$X,MATCH($A304,SPPR!$A:$A,0),17),"")</f>
        <v/>
      </c>
      <c r="U304">
        <f>IFERROR($C304*INDEX(SPPR!$E:$X,MATCH($A304,SPPR!$A:$A,0),18),"")</f>
        <v/>
      </c>
      <c r="V304">
        <f>IFERROR($C304*INDEX(SPPR!$E:$X,MATCH($A304,SPPR!$A:$A,0),19),"")</f>
        <v/>
      </c>
      <c r="W304">
        <f>IFERROR($C304*INDEX(SPPR!$E:$X,MATCH($A304,SPPR!$A:$A,0),20),"")</f>
        <v/>
      </c>
    </row>
    <row r="305">
      <c r="A305" t="inlineStr">
        <is>
          <t>Sepioteuthis lessoniana</t>
        </is>
      </c>
      <c r="B305">
        <f>IFERROR(INDEX(SPPR!$D:$D,MATCH($A305,SPPR!$A:$A,0)),"")</f>
        <v/>
      </c>
      <c r="C305">
        <f>IFERROR(INDEX(Catch!$E:$BV,MATCH($A305,Catch!$A:$A,0),MATCH($B$4,Catch!$E$1:$BV$1,0)),0)</f>
        <v/>
      </c>
      <c r="D305">
        <f>IFERROR($C305*INDEX(SPPR!$E:$X,MATCH($A305,SPPR!$A:$A,0),1),"")</f>
        <v/>
      </c>
      <c r="E305">
        <f>IFERROR($C305*INDEX(SPPR!$E:$X,MATCH($A305,SPPR!$A:$A,0),2),"")</f>
        <v/>
      </c>
      <c r="F305">
        <f>IFERROR($C305*INDEX(SPPR!$E:$X,MATCH($A305,SPPR!$A:$A,0),3),"")</f>
        <v/>
      </c>
      <c r="G305">
        <f>IFERROR($C305*INDEX(SPPR!$E:$X,MATCH($A305,SPPR!$A:$A,0),4),"")</f>
        <v/>
      </c>
      <c r="H305">
        <f>IFERROR($C305*INDEX(SPPR!$E:$X,MATCH($A305,SPPR!$A:$A,0),5),"")</f>
        <v/>
      </c>
      <c r="I305">
        <f>IFERROR($C305*INDEX(SPPR!$E:$X,MATCH($A305,SPPR!$A:$A,0),6),"")</f>
        <v/>
      </c>
      <c r="J305">
        <f>IFERROR($C305*INDEX(SPPR!$E:$X,MATCH($A305,SPPR!$A:$A,0),7),"")</f>
        <v/>
      </c>
      <c r="K305">
        <f>IFERROR($C305*INDEX(SPPR!$E:$X,MATCH($A305,SPPR!$A:$A,0),8),"")</f>
        <v/>
      </c>
      <c r="L305">
        <f>IFERROR($C305*INDEX(SPPR!$E:$X,MATCH($A305,SPPR!$A:$A,0),9),"")</f>
        <v/>
      </c>
      <c r="M305">
        <f>IFERROR($C305*INDEX(SPPR!$E:$X,MATCH($A305,SPPR!$A:$A,0),10),"")</f>
        <v/>
      </c>
      <c r="N305">
        <f>IFERROR($C305*INDEX(SPPR!$E:$X,MATCH($A305,SPPR!$A:$A,0),11),"")</f>
        <v/>
      </c>
      <c r="O305">
        <f>IFERROR($C305*INDEX(SPPR!$E:$X,MATCH($A305,SPPR!$A:$A,0),12),"")</f>
        <v/>
      </c>
      <c r="P305">
        <f>IFERROR($C305*INDEX(SPPR!$E:$X,MATCH($A305,SPPR!$A:$A,0),13),"")</f>
        <v/>
      </c>
      <c r="Q305">
        <f>IFERROR($C305*INDEX(SPPR!$E:$X,MATCH($A305,SPPR!$A:$A,0),14),"")</f>
        <v/>
      </c>
      <c r="R305">
        <f>IFERROR($C305*INDEX(SPPR!$E:$X,MATCH($A305,SPPR!$A:$A,0),15),"")</f>
        <v/>
      </c>
      <c r="S305">
        <f>IFERROR($C305*INDEX(SPPR!$E:$X,MATCH($A305,SPPR!$A:$A,0),16),"")</f>
        <v/>
      </c>
      <c r="T305">
        <f>IFERROR($C305*INDEX(SPPR!$E:$X,MATCH($A305,SPPR!$A:$A,0),17),"")</f>
        <v/>
      </c>
      <c r="U305">
        <f>IFERROR($C305*INDEX(SPPR!$E:$X,MATCH($A305,SPPR!$A:$A,0),18),"")</f>
        <v/>
      </c>
      <c r="V305">
        <f>IFERROR($C305*INDEX(SPPR!$E:$X,MATCH($A305,SPPR!$A:$A,0),19),"")</f>
        <v/>
      </c>
      <c r="W305">
        <f>IFERROR($C305*INDEX(SPPR!$E:$X,MATCH($A305,SPPR!$A:$A,0),20),"")</f>
        <v/>
      </c>
    </row>
    <row r="306">
      <c r="A306" t="inlineStr">
        <is>
          <t>Ariomma indica</t>
        </is>
      </c>
      <c r="B306">
        <f>IFERROR(INDEX(SPPR!$D:$D,MATCH($A306,SPPR!$A:$A,0)),"")</f>
        <v/>
      </c>
      <c r="C306">
        <f>IFERROR(INDEX(Catch!$E:$BV,MATCH($A306,Catch!$A:$A,0),MATCH($B$4,Catch!$E$1:$BV$1,0)),0)</f>
        <v/>
      </c>
      <c r="D306">
        <f>IFERROR($C306*INDEX(SPPR!$E:$X,MATCH($A306,SPPR!$A:$A,0),1),"")</f>
        <v/>
      </c>
      <c r="E306">
        <f>IFERROR($C306*INDEX(SPPR!$E:$X,MATCH($A306,SPPR!$A:$A,0),2),"")</f>
        <v/>
      </c>
      <c r="F306">
        <f>IFERROR($C306*INDEX(SPPR!$E:$X,MATCH($A306,SPPR!$A:$A,0),3),"")</f>
        <v/>
      </c>
      <c r="G306">
        <f>IFERROR($C306*INDEX(SPPR!$E:$X,MATCH($A306,SPPR!$A:$A,0),4),"")</f>
        <v/>
      </c>
      <c r="H306">
        <f>IFERROR($C306*INDEX(SPPR!$E:$X,MATCH($A306,SPPR!$A:$A,0),5),"")</f>
        <v/>
      </c>
      <c r="I306">
        <f>IFERROR($C306*INDEX(SPPR!$E:$X,MATCH($A306,SPPR!$A:$A,0),6),"")</f>
        <v/>
      </c>
      <c r="J306">
        <f>IFERROR($C306*INDEX(SPPR!$E:$X,MATCH($A306,SPPR!$A:$A,0),7),"")</f>
        <v/>
      </c>
      <c r="K306">
        <f>IFERROR($C306*INDEX(SPPR!$E:$X,MATCH($A306,SPPR!$A:$A,0),8),"")</f>
        <v/>
      </c>
      <c r="L306">
        <f>IFERROR($C306*INDEX(SPPR!$E:$X,MATCH($A306,SPPR!$A:$A,0),9),"")</f>
        <v/>
      </c>
      <c r="M306">
        <f>IFERROR($C306*INDEX(SPPR!$E:$X,MATCH($A306,SPPR!$A:$A,0),10),"")</f>
        <v/>
      </c>
      <c r="N306">
        <f>IFERROR($C306*INDEX(SPPR!$E:$X,MATCH($A306,SPPR!$A:$A,0),11),"")</f>
        <v/>
      </c>
      <c r="O306">
        <f>IFERROR($C306*INDEX(SPPR!$E:$X,MATCH($A306,SPPR!$A:$A,0),12),"")</f>
        <v/>
      </c>
      <c r="P306">
        <f>IFERROR($C306*INDEX(SPPR!$E:$X,MATCH($A306,SPPR!$A:$A,0),13),"")</f>
        <v/>
      </c>
      <c r="Q306">
        <f>IFERROR($C306*INDEX(SPPR!$E:$X,MATCH($A306,SPPR!$A:$A,0),14),"")</f>
        <v/>
      </c>
      <c r="R306">
        <f>IFERROR($C306*INDEX(SPPR!$E:$X,MATCH($A306,SPPR!$A:$A,0),15),"")</f>
        <v/>
      </c>
      <c r="S306">
        <f>IFERROR($C306*INDEX(SPPR!$E:$X,MATCH($A306,SPPR!$A:$A,0),16),"")</f>
        <v/>
      </c>
      <c r="T306">
        <f>IFERROR($C306*INDEX(SPPR!$E:$X,MATCH($A306,SPPR!$A:$A,0),17),"")</f>
        <v/>
      </c>
      <c r="U306">
        <f>IFERROR($C306*INDEX(SPPR!$E:$X,MATCH($A306,SPPR!$A:$A,0),18),"")</f>
        <v/>
      </c>
      <c r="V306">
        <f>IFERROR($C306*INDEX(SPPR!$E:$X,MATCH($A306,SPPR!$A:$A,0),19),"")</f>
        <v/>
      </c>
      <c r="W306">
        <f>IFERROR($C306*INDEX(SPPR!$E:$X,MATCH($A306,SPPR!$A:$A,0),20),"")</f>
        <v/>
      </c>
    </row>
    <row r="307">
      <c r="A307" t="inlineStr">
        <is>
          <t>Seriolina nigrofasciata</t>
        </is>
      </c>
      <c r="B307">
        <f>IFERROR(INDEX(SPPR!$D:$D,MATCH($A307,SPPR!$A:$A,0)),"")</f>
        <v/>
      </c>
      <c r="C307">
        <f>IFERROR(INDEX(Catch!$E:$BV,MATCH($A307,Catch!$A:$A,0),MATCH($B$4,Catch!$E$1:$BV$1,0)),0)</f>
        <v/>
      </c>
      <c r="D307">
        <f>IFERROR($C307*INDEX(SPPR!$E:$X,MATCH($A307,SPPR!$A:$A,0),1),"")</f>
        <v/>
      </c>
      <c r="E307">
        <f>IFERROR($C307*INDEX(SPPR!$E:$X,MATCH($A307,SPPR!$A:$A,0),2),"")</f>
        <v/>
      </c>
      <c r="F307">
        <f>IFERROR($C307*INDEX(SPPR!$E:$X,MATCH($A307,SPPR!$A:$A,0),3),"")</f>
        <v/>
      </c>
      <c r="G307">
        <f>IFERROR($C307*INDEX(SPPR!$E:$X,MATCH($A307,SPPR!$A:$A,0),4),"")</f>
        <v/>
      </c>
      <c r="H307">
        <f>IFERROR($C307*INDEX(SPPR!$E:$X,MATCH($A307,SPPR!$A:$A,0),5),"")</f>
        <v/>
      </c>
      <c r="I307">
        <f>IFERROR($C307*INDEX(SPPR!$E:$X,MATCH($A307,SPPR!$A:$A,0),6),"")</f>
        <v/>
      </c>
      <c r="J307">
        <f>IFERROR($C307*INDEX(SPPR!$E:$X,MATCH($A307,SPPR!$A:$A,0),7),"")</f>
        <v/>
      </c>
      <c r="K307">
        <f>IFERROR($C307*INDEX(SPPR!$E:$X,MATCH($A307,SPPR!$A:$A,0),8),"")</f>
        <v/>
      </c>
      <c r="L307">
        <f>IFERROR($C307*INDEX(SPPR!$E:$X,MATCH($A307,SPPR!$A:$A,0),9),"")</f>
        <v/>
      </c>
      <c r="M307">
        <f>IFERROR($C307*INDEX(SPPR!$E:$X,MATCH($A307,SPPR!$A:$A,0),10),"")</f>
        <v/>
      </c>
      <c r="N307">
        <f>IFERROR($C307*INDEX(SPPR!$E:$X,MATCH($A307,SPPR!$A:$A,0),11),"")</f>
        <v/>
      </c>
      <c r="O307">
        <f>IFERROR($C307*INDEX(SPPR!$E:$X,MATCH($A307,SPPR!$A:$A,0),12),"")</f>
        <v/>
      </c>
      <c r="P307">
        <f>IFERROR($C307*INDEX(SPPR!$E:$X,MATCH($A307,SPPR!$A:$A,0),13),"")</f>
        <v/>
      </c>
      <c r="Q307">
        <f>IFERROR($C307*INDEX(SPPR!$E:$X,MATCH($A307,SPPR!$A:$A,0),14),"")</f>
        <v/>
      </c>
      <c r="R307">
        <f>IFERROR($C307*INDEX(SPPR!$E:$X,MATCH($A307,SPPR!$A:$A,0),15),"")</f>
        <v/>
      </c>
      <c r="S307">
        <f>IFERROR($C307*INDEX(SPPR!$E:$X,MATCH($A307,SPPR!$A:$A,0),16),"")</f>
        <v/>
      </c>
      <c r="T307">
        <f>IFERROR($C307*INDEX(SPPR!$E:$X,MATCH($A307,SPPR!$A:$A,0),17),"")</f>
        <v/>
      </c>
      <c r="U307">
        <f>IFERROR($C307*INDEX(SPPR!$E:$X,MATCH($A307,SPPR!$A:$A,0),18),"")</f>
        <v/>
      </c>
      <c r="V307">
        <f>IFERROR($C307*INDEX(SPPR!$E:$X,MATCH($A307,SPPR!$A:$A,0),19),"")</f>
        <v/>
      </c>
      <c r="W307">
        <f>IFERROR($C307*INDEX(SPPR!$E:$X,MATCH($A307,SPPR!$A:$A,0),20),"")</f>
        <v/>
      </c>
    </row>
    <row r="308">
      <c r="A308" t="inlineStr">
        <is>
          <t>Bolbometopon muricatum</t>
        </is>
      </c>
      <c r="B308">
        <f>IFERROR(INDEX(SPPR!$D:$D,MATCH($A308,SPPR!$A:$A,0)),"")</f>
        <v/>
      </c>
      <c r="C308">
        <f>IFERROR(INDEX(Catch!$E:$BV,MATCH($A308,Catch!$A:$A,0),MATCH($B$4,Catch!$E$1:$BV$1,0)),0)</f>
        <v/>
      </c>
      <c r="D308">
        <f>IFERROR($C308*INDEX(SPPR!$E:$X,MATCH($A308,SPPR!$A:$A,0),1),"")</f>
        <v/>
      </c>
      <c r="E308">
        <f>IFERROR($C308*INDEX(SPPR!$E:$X,MATCH($A308,SPPR!$A:$A,0),2),"")</f>
        <v/>
      </c>
      <c r="F308">
        <f>IFERROR($C308*INDEX(SPPR!$E:$X,MATCH($A308,SPPR!$A:$A,0),3),"")</f>
        <v/>
      </c>
      <c r="G308">
        <f>IFERROR($C308*INDEX(SPPR!$E:$X,MATCH($A308,SPPR!$A:$A,0),4),"")</f>
        <v/>
      </c>
      <c r="H308">
        <f>IFERROR($C308*INDEX(SPPR!$E:$X,MATCH($A308,SPPR!$A:$A,0),5),"")</f>
        <v/>
      </c>
      <c r="I308">
        <f>IFERROR($C308*INDEX(SPPR!$E:$X,MATCH($A308,SPPR!$A:$A,0),6),"")</f>
        <v/>
      </c>
      <c r="J308">
        <f>IFERROR($C308*INDEX(SPPR!$E:$X,MATCH($A308,SPPR!$A:$A,0),7),"")</f>
        <v/>
      </c>
      <c r="K308">
        <f>IFERROR($C308*INDEX(SPPR!$E:$X,MATCH($A308,SPPR!$A:$A,0),8),"")</f>
        <v/>
      </c>
      <c r="L308">
        <f>IFERROR($C308*INDEX(SPPR!$E:$X,MATCH($A308,SPPR!$A:$A,0),9),"")</f>
        <v/>
      </c>
      <c r="M308">
        <f>IFERROR($C308*INDEX(SPPR!$E:$X,MATCH($A308,SPPR!$A:$A,0),10),"")</f>
        <v/>
      </c>
      <c r="N308">
        <f>IFERROR($C308*INDEX(SPPR!$E:$X,MATCH($A308,SPPR!$A:$A,0),11),"")</f>
        <v/>
      </c>
      <c r="O308">
        <f>IFERROR($C308*INDEX(SPPR!$E:$X,MATCH($A308,SPPR!$A:$A,0),12),"")</f>
        <v/>
      </c>
      <c r="P308">
        <f>IFERROR($C308*INDEX(SPPR!$E:$X,MATCH($A308,SPPR!$A:$A,0),13),"")</f>
        <v/>
      </c>
      <c r="Q308">
        <f>IFERROR($C308*INDEX(SPPR!$E:$X,MATCH($A308,SPPR!$A:$A,0),14),"")</f>
        <v/>
      </c>
      <c r="R308">
        <f>IFERROR($C308*INDEX(SPPR!$E:$X,MATCH($A308,SPPR!$A:$A,0),15),"")</f>
        <v/>
      </c>
      <c r="S308">
        <f>IFERROR($C308*INDEX(SPPR!$E:$X,MATCH($A308,SPPR!$A:$A,0),16),"")</f>
        <v/>
      </c>
      <c r="T308">
        <f>IFERROR($C308*INDEX(SPPR!$E:$X,MATCH($A308,SPPR!$A:$A,0),17),"")</f>
        <v/>
      </c>
      <c r="U308">
        <f>IFERROR($C308*INDEX(SPPR!$E:$X,MATCH($A308,SPPR!$A:$A,0),18),"")</f>
        <v/>
      </c>
      <c r="V308">
        <f>IFERROR($C308*INDEX(SPPR!$E:$X,MATCH($A308,SPPR!$A:$A,0),19),"")</f>
        <v/>
      </c>
      <c r="W308">
        <f>IFERROR($C308*INDEX(SPPR!$E:$X,MATCH($A308,SPPR!$A:$A,0),20),"")</f>
        <v/>
      </c>
    </row>
    <row r="309">
      <c r="A309" t="inlineStr">
        <is>
          <t>Scombroidei</t>
        </is>
      </c>
      <c r="B309">
        <f>IFERROR(INDEX(SPPR!$D:$D,MATCH($A309,SPPR!$A:$A,0)),"")</f>
        <v/>
      </c>
      <c r="C309">
        <f>IFERROR(INDEX(Catch!$E:$BV,MATCH($A309,Catch!$A:$A,0),MATCH($B$4,Catch!$E$1:$BV$1,0)),0)</f>
        <v/>
      </c>
      <c r="D309">
        <f>IFERROR($C309*INDEX(SPPR!$E:$X,MATCH($A309,SPPR!$A:$A,0),1),"")</f>
        <v/>
      </c>
      <c r="E309">
        <f>IFERROR($C309*INDEX(SPPR!$E:$X,MATCH($A309,SPPR!$A:$A,0),2),"")</f>
        <v/>
      </c>
      <c r="F309">
        <f>IFERROR($C309*INDEX(SPPR!$E:$X,MATCH($A309,SPPR!$A:$A,0),3),"")</f>
        <v/>
      </c>
      <c r="G309">
        <f>IFERROR($C309*INDEX(SPPR!$E:$X,MATCH($A309,SPPR!$A:$A,0),4),"")</f>
        <v/>
      </c>
      <c r="H309">
        <f>IFERROR($C309*INDEX(SPPR!$E:$X,MATCH($A309,SPPR!$A:$A,0),5),"")</f>
        <v/>
      </c>
      <c r="I309">
        <f>IFERROR($C309*INDEX(SPPR!$E:$X,MATCH($A309,SPPR!$A:$A,0),6),"")</f>
        <v/>
      </c>
      <c r="J309">
        <f>IFERROR($C309*INDEX(SPPR!$E:$X,MATCH($A309,SPPR!$A:$A,0),7),"")</f>
        <v/>
      </c>
      <c r="K309">
        <f>IFERROR($C309*INDEX(SPPR!$E:$X,MATCH($A309,SPPR!$A:$A,0),8),"")</f>
        <v/>
      </c>
      <c r="L309">
        <f>IFERROR($C309*INDEX(SPPR!$E:$X,MATCH($A309,SPPR!$A:$A,0),9),"")</f>
        <v/>
      </c>
      <c r="M309">
        <f>IFERROR($C309*INDEX(SPPR!$E:$X,MATCH($A309,SPPR!$A:$A,0),10),"")</f>
        <v/>
      </c>
      <c r="N309">
        <f>IFERROR($C309*INDEX(SPPR!$E:$X,MATCH($A309,SPPR!$A:$A,0),11),"")</f>
        <v/>
      </c>
      <c r="O309">
        <f>IFERROR($C309*INDEX(SPPR!$E:$X,MATCH($A309,SPPR!$A:$A,0),12),"")</f>
        <v/>
      </c>
      <c r="P309">
        <f>IFERROR($C309*INDEX(SPPR!$E:$X,MATCH($A309,SPPR!$A:$A,0),13),"")</f>
        <v/>
      </c>
      <c r="Q309">
        <f>IFERROR($C309*INDEX(SPPR!$E:$X,MATCH($A309,SPPR!$A:$A,0),14),"")</f>
        <v/>
      </c>
      <c r="R309">
        <f>IFERROR($C309*INDEX(SPPR!$E:$X,MATCH($A309,SPPR!$A:$A,0),15),"")</f>
        <v/>
      </c>
      <c r="S309">
        <f>IFERROR($C309*INDEX(SPPR!$E:$X,MATCH($A309,SPPR!$A:$A,0),16),"")</f>
        <v/>
      </c>
      <c r="T309">
        <f>IFERROR($C309*INDEX(SPPR!$E:$X,MATCH($A309,SPPR!$A:$A,0),17),"")</f>
        <v/>
      </c>
      <c r="U309">
        <f>IFERROR($C309*INDEX(SPPR!$E:$X,MATCH($A309,SPPR!$A:$A,0),18),"")</f>
        <v/>
      </c>
      <c r="V309">
        <f>IFERROR($C309*INDEX(SPPR!$E:$X,MATCH($A309,SPPR!$A:$A,0),19),"")</f>
        <v/>
      </c>
      <c r="W309">
        <f>IFERROR($C309*INDEX(SPPR!$E:$X,MATCH($A309,SPPR!$A:$A,0),20),"")</f>
        <v/>
      </c>
    </row>
    <row r="310">
      <c r="A310" t="inlineStr">
        <is>
          <t>Pristidae</t>
        </is>
      </c>
      <c r="B310">
        <f>IFERROR(INDEX(SPPR!$D:$D,MATCH($A310,SPPR!$A:$A,0)),"")</f>
        <v/>
      </c>
      <c r="C310">
        <f>IFERROR(INDEX(Catch!$E:$BV,MATCH($A310,Catch!$A:$A,0),MATCH($B$4,Catch!$E$1:$BV$1,0)),0)</f>
        <v/>
      </c>
      <c r="D310">
        <f>IFERROR($C310*INDEX(SPPR!$E:$X,MATCH($A310,SPPR!$A:$A,0),1),"")</f>
        <v/>
      </c>
      <c r="E310">
        <f>IFERROR($C310*INDEX(SPPR!$E:$X,MATCH($A310,SPPR!$A:$A,0),2),"")</f>
        <v/>
      </c>
      <c r="F310">
        <f>IFERROR($C310*INDEX(SPPR!$E:$X,MATCH($A310,SPPR!$A:$A,0),3),"")</f>
        <v/>
      </c>
      <c r="G310">
        <f>IFERROR($C310*INDEX(SPPR!$E:$X,MATCH($A310,SPPR!$A:$A,0),4),"")</f>
        <v/>
      </c>
      <c r="H310">
        <f>IFERROR($C310*INDEX(SPPR!$E:$X,MATCH($A310,SPPR!$A:$A,0),5),"")</f>
        <v/>
      </c>
      <c r="I310">
        <f>IFERROR($C310*INDEX(SPPR!$E:$X,MATCH($A310,SPPR!$A:$A,0),6),"")</f>
        <v/>
      </c>
      <c r="J310">
        <f>IFERROR($C310*INDEX(SPPR!$E:$X,MATCH($A310,SPPR!$A:$A,0),7),"")</f>
        <v/>
      </c>
      <c r="K310">
        <f>IFERROR($C310*INDEX(SPPR!$E:$X,MATCH($A310,SPPR!$A:$A,0),8),"")</f>
        <v/>
      </c>
      <c r="L310">
        <f>IFERROR($C310*INDEX(SPPR!$E:$X,MATCH($A310,SPPR!$A:$A,0),9),"")</f>
        <v/>
      </c>
      <c r="M310">
        <f>IFERROR($C310*INDEX(SPPR!$E:$X,MATCH($A310,SPPR!$A:$A,0),10),"")</f>
        <v/>
      </c>
      <c r="N310">
        <f>IFERROR($C310*INDEX(SPPR!$E:$X,MATCH($A310,SPPR!$A:$A,0),11),"")</f>
        <v/>
      </c>
      <c r="O310">
        <f>IFERROR($C310*INDEX(SPPR!$E:$X,MATCH($A310,SPPR!$A:$A,0),12),"")</f>
        <v/>
      </c>
      <c r="P310">
        <f>IFERROR($C310*INDEX(SPPR!$E:$X,MATCH($A310,SPPR!$A:$A,0),13),"")</f>
        <v/>
      </c>
      <c r="Q310">
        <f>IFERROR($C310*INDEX(SPPR!$E:$X,MATCH($A310,SPPR!$A:$A,0),14),"")</f>
        <v/>
      </c>
      <c r="R310">
        <f>IFERROR($C310*INDEX(SPPR!$E:$X,MATCH($A310,SPPR!$A:$A,0),15),"")</f>
        <v/>
      </c>
      <c r="S310">
        <f>IFERROR($C310*INDEX(SPPR!$E:$X,MATCH($A310,SPPR!$A:$A,0),16),"")</f>
        <v/>
      </c>
      <c r="T310">
        <f>IFERROR($C310*INDEX(SPPR!$E:$X,MATCH($A310,SPPR!$A:$A,0),17),"")</f>
        <v/>
      </c>
      <c r="U310">
        <f>IFERROR($C310*INDEX(SPPR!$E:$X,MATCH($A310,SPPR!$A:$A,0),18),"")</f>
        <v/>
      </c>
      <c r="V310">
        <f>IFERROR($C310*INDEX(SPPR!$E:$X,MATCH($A310,SPPR!$A:$A,0),19),"")</f>
        <v/>
      </c>
      <c r="W310">
        <f>IFERROR($C310*INDEX(SPPR!$E:$X,MATCH($A310,SPPR!$A:$A,0),20),"")</f>
        <v/>
      </c>
    </row>
    <row r="311">
      <c r="A311" t="inlineStr">
        <is>
          <t>Haliotis</t>
        </is>
      </c>
      <c r="B311">
        <f>IFERROR(INDEX(SPPR!$D:$D,MATCH($A311,SPPR!$A:$A,0)),"")</f>
        <v/>
      </c>
      <c r="C311">
        <f>IFERROR(INDEX(Catch!$E:$BV,MATCH($A311,Catch!$A:$A,0),MATCH($B$4,Catch!$E$1:$BV$1,0)),0)</f>
        <v/>
      </c>
      <c r="D311">
        <f>IFERROR($C311*INDEX(SPPR!$E:$X,MATCH($A311,SPPR!$A:$A,0),1),"")</f>
        <v/>
      </c>
      <c r="E311">
        <f>IFERROR($C311*INDEX(SPPR!$E:$X,MATCH($A311,SPPR!$A:$A,0),2),"")</f>
        <v/>
      </c>
      <c r="F311">
        <f>IFERROR($C311*INDEX(SPPR!$E:$X,MATCH($A311,SPPR!$A:$A,0),3),"")</f>
        <v/>
      </c>
      <c r="G311">
        <f>IFERROR($C311*INDEX(SPPR!$E:$X,MATCH($A311,SPPR!$A:$A,0),4),"")</f>
        <v/>
      </c>
      <c r="H311">
        <f>IFERROR($C311*INDEX(SPPR!$E:$X,MATCH($A311,SPPR!$A:$A,0),5),"")</f>
        <v/>
      </c>
      <c r="I311">
        <f>IFERROR($C311*INDEX(SPPR!$E:$X,MATCH($A311,SPPR!$A:$A,0),6),"")</f>
        <v/>
      </c>
      <c r="J311">
        <f>IFERROR($C311*INDEX(SPPR!$E:$X,MATCH($A311,SPPR!$A:$A,0),7),"")</f>
        <v/>
      </c>
      <c r="K311">
        <f>IFERROR($C311*INDEX(SPPR!$E:$X,MATCH($A311,SPPR!$A:$A,0),8),"")</f>
        <v/>
      </c>
      <c r="L311">
        <f>IFERROR($C311*INDEX(SPPR!$E:$X,MATCH($A311,SPPR!$A:$A,0),9),"")</f>
        <v/>
      </c>
      <c r="M311">
        <f>IFERROR($C311*INDEX(SPPR!$E:$X,MATCH($A311,SPPR!$A:$A,0),10),"")</f>
        <v/>
      </c>
      <c r="N311">
        <f>IFERROR($C311*INDEX(SPPR!$E:$X,MATCH($A311,SPPR!$A:$A,0),11),"")</f>
        <v/>
      </c>
      <c r="O311">
        <f>IFERROR($C311*INDEX(SPPR!$E:$X,MATCH($A311,SPPR!$A:$A,0),12),"")</f>
        <v/>
      </c>
      <c r="P311">
        <f>IFERROR($C311*INDEX(SPPR!$E:$X,MATCH($A311,SPPR!$A:$A,0),13),"")</f>
        <v/>
      </c>
      <c r="Q311">
        <f>IFERROR($C311*INDEX(SPPR!$E:$X,MATCH($A311,SPPR!$A:$A,0),14),"")</f>
        <v/>
      </c>
      <c r="R311">
        <f>IFERROR($C311*INDEX(SPPR!$E:$X,MATCH($A311,SPPR!$A:$A,0),15),"")</f>
        <v/>
      </c>
      <c r="S311">
        <f>IFERROR($C311*INDEX(SPPR!$E:$X,MATCH($A311,SPPR!$A:$A,0),16),"")</f>
        <v/>
      </c>
      <c r="T311">
        <f>IFERROR($C311*INDEX(SPPR!$E:$X,MATCH($A311,SPPR!$A:$A,0),17),"")</f>
        <v/>
      </c>
      <c r="U311">
        <f>IFERROR($C311*INDEX(SPPR!$E:$X,MATCH($A311,SPPR!$A:$A,0),18),"")</f>
        <v/>
      </c>
      <c r="V311">
        <f>IFERROR($C311*INDEX(SPPR!$E:$X,MATCH($A311,SPPR!$A:$A,0),19),"")</f>
        <v/>
      </c>
      <c r="W311">
        <f>IFERROR($C311*INDEX(SPPR!$E:$X,MATCH($A311,SPPR!$A:$A,0),20),"")</f>
        <v/>
      </c>
    </row>
    <row r="312">
      <c r="A312" t="inlineStr">
        <is>
          <t>Cheimerius nufar</t>
        </is>
      </c>
      <c r="B312">
        <f>IFERROR(INDEX(SPPR!$D:$D,MATCH($A312,SPPR!$A:$A,0)),"")</f>
        <v/>
      </c>
      <c r="C312">
        <f>IFERROR(INDEX(Catch!$E:$BV,MATCH($A312,Catch!$A:$A,0),MATCH($B$4,Catch!$E$1:$BV$1,0)),0)</f>
        <v/>
      </c>
      <c r="D312">
        <f>IFERROR($C312*INDEX(SPPR!$E:$X,MATCH($A312,SPPR!$A:$A,0),1),"")</f>
        <v/>
      </c>
      <c r="E312">
        <f>IFERROR($C312*INDEX(SPPR!$E:$X,MATCH($A312,SPPR!$A:$A,0),2),"")</f>
        <v/>
      </c>
      <c r="F312">
        <f>IFERROR($C312*INDEX(SPPR!$E:$X,MATCH($A312,SPPR!$A:$A,0),3),"")</f>
        <v/>
      </c>
      <c r="G312">
        <f>IFERROR($C312*INDEX(SPPR!$E:$X,MATCH($A312,SPPR!$A:$A,0),4),"")</f>
        <v/>
      </c>
      <c r="H312">
        <f>IFERROR($C312*INDEX(SPPR!$E:$X,MATCH($A312,SPPR!$A:$A,0),5),"")</f>
        <v/>
      </c>
      <c r="I312">
        <f>IFERROR($C312*INDEX(SPPR!$E:$X,MATCH($A312,SPPR!$A:$A,0),6),"")</f>
        <v/>
      </c>
      <c r="J312">
        <f>IFERROR($C312*INDEX(SPPR!$E:$X,MATCH($A312,SPPR!$A:$A,0),7),"")</f>
        <v/>
      </c>
      <c r="K312">
        <f>IFERROR($C312*INDEX(SPPR!$E:$X,MATCH($A312,SPPR!$A:$A,0),8),"")</f>
        <v/>
      </c>
      <c r="L312">
        <f>IFERROR($C312*INDEX(SPPR!$E:$X,MATCH($A312,SPPR!$A:$A,0),9),"")</f>
        <v/>
      </c>
      <c r="M312">
        <f>IFERROR($C312*INDEX(SPPR!$E:$X,MATCH($A312,SPPR!$A:$A,0),10),"")</f>
        <v/>
      </c>
      <c r="N312">
        <f>IFERROR($C312*INDEX(SPPR!$E:$X,MATCH($A312,SPPR!$A:$A,0),11),"")</f>
        <v/>
      </c>
      <c r="O312">
        <f>IFERROR($C312*INDEX(SPPR!$E:$X,MATCH($A312,SPPR!$A:$A,0),12),"")</f>
        <v/>
      </c>
      <c r="P312">
        <f>IFERROR($C312*INDEX(SPPR!$E:$X,MATCH($A312,SPPR!$A:$A,0),13),"")</f>
        <v/>
      </c>
      <c r="Q312">
        <f>IFERROR($C312*INDEX(SPPR!$E:$X,MATCH($A312,SPPR!$A:$A,0),14),"")</f>
        <v/>
      </c>
      <c r="R312">
        <f>IFERROR($C312*INDEX(SPPR!$E:$X,MATCH($A312,SPPR!$A:$A,0),15),"")</f>
        <v/>
      </c>
      <c r="S312">
        <f>IFERROR($C312*INDEX(SPPR!$E:$X,MATCH($A312,SPPR!$A:$A,0),16),"")</f>
        <v/>
      </c>
      <c r="T312">
        <f>IFERROR($C312*INDEX(SPPR!$E:$X,MATCH($A312,SPPR!$A:$A,0),17),"")</f>
        <v/>
      </c>
      <c r="U312">
        <f>IFERROR($C312*INDEX(SPPR!$E:$X,MATCH($A312,SPPR!$A:$A,0),18),"")</f>
        <v/>
      </c>
      <c r="V312">
        <f>IFERROR($C312*INDEX(SPPR!$E:$X,MATCH($A312,SPPR!$A:$A,0),19),"")</f>
        <v/>
      </c>
      <c r="W312">
        <f>IFERROR($C312*INDEX(SPPR!$E:$X,MATCH($A312,SPPR!$A:$A,0),20),"")</f>
        <v/>
      </c>
    </row>
    <row r="313">
      <c r="A313" t="inlineStr">
        <is>
          <t>Sillaginidae</t>
        </is>
      </c>
      <c r="B313">
        <f>IFERROR(INDEX(SPPR!$D:$D,MATCH($A313,SPPR!$A:$A,0)),"")</f>
        <v/>
      </c>
      <c r="C313">
        <f>IFERROR(INDEX(Catch!$E:$BV,MATCH($A313,Catch!$A:$A,0),MATCH($B$4,Catch!$E$1:$BV$1,0)),0)</f>
        <v/>
      </c>
      <c r="D313">
        <f>IFERROR($C313*INDEX(SPPR!$E:$X,MATCH($A313,SPPR!$A:$A,0),1),"")</f>
        <v/>
      </c>
      <c r="E313">
        <f>IFERROR($C313*INDEX(SPPR!$E:$X,MATCH($A313,SPPR!$A:$A,0),2),"")</f>
        <v/>
      </c>
      <c r="F313">
        <f>IFERROR($C313*INDEX(SPPR!$E:$X,MATCH($A313,SPPR!$A:$A,0),3),"")</f>
        <v/>
      </c>
      <c r="G313">
        <f>IFERROR($C313*INDEX(SPPR!$E:$X,MATCH($A313,SPPR!$A:$A,0),4),"")</f>
        <v/>
      </c>
      <c r="H313">
        <f>IFERROR($C313*INDEX(SPPR!$E:$X,MATCH($A313,SPPR!$A:$A,0),5),"")</f>
        <v/>
      </c>
      <c r="I313">
        <f>IFERROR($C313*INDEX(SPPR!$E:$X,MATCH($A313,SPPR!$A:$A,0),6),"")</f>
        <v/>
      </c>
      <c r="J313">
        <f>IFERROR($C313*INDEX(SPPR!$E:$X,MATCH($A313,SPPR!$A:$A,0),7),"")</f>
        <v/>
      </c>
      <c r="K313">
        <f>IFERROR($C313*INDEX(SPPR!$E:$X,MATCH($A313,SPPR!$A:$A,0),8),"")</f>
        <v/>
      </c>
      <c r="L313">
        <f>IFERROR($C313*INDEX(SPPR!$E:$X,MATCH($A313,SPPR!$A:$A,0),9),"")</f>
        <v/>
      </c>
      <c r="M313">
        <f>IFERROR($C313*INDEX(SPPR!$E:$X,MATCH($A313,SPPR!$A:$A,0),10),"")</f>
        <v/>
      </c>
      <c r="N313">
        <f>IFERROR($C313*INDEX(SPPR!$E:$X,MATCH($A313,SPPR!$A:$A,0),11),"")</f>
        <v/>
      </c>
      <c r="O313">
        <f>IFERROR($C313*INDEX(SPPR!$E:$X,MATCH($A313,SPPR!$A:$A,0),12),"")</f>
        <v/>
      </c>
      <c r="P313">
        <f>IFERROR($C313*INDEX(SPPR!$E:$X,MATCH($A313,SPPR!$A:$A,0),13),"")</f>
        <v/>
      </c>
      <c r="Q313">
        <f>IFERROR($C313*INDEX(SPPR!$E:$X,MATCH($A313,SPPR!$A:$A,0),14),"")</f>
        <v/>
      </c>
      <c r="R313">
        <f>IFERROR($C313*INDEX(SPPR!$E:$X,MATCH($A313,SPPR!$A:$A,0),15),"")</f>
        <v/>
      </c>
      <c r="S313">
        <f>IFERROR($C313*INDEX(SPPR!$E:$X,MATCH($A313,SPPR!$A:$A,0),16),"")</f>
        <v/>
      </c>
      <c r="T313">
        <f>IFERROR($C313*INDEX(SPPR!$E:$X,MATCH($A313,SPPR!$A:$A,0),17),"")</f>
        <v/>
      </c>
      <c r="U313">
        <f>IFERROR($C313*INDEX(SPPR!$E:$X,MATCH($A313,SPPR!$A:$A,0),18),"")</f>
        <v/>
      </c>
      <c r="V313">
        <f>IFERROR($C313*INDEX(SPPR!$E:$X,MATCH($A313,SPPR!$A:$A,0),19),"")</f>
        <v/>
      </c>
      <c r="W313">
        <f>IFERROR($C313*INDEX(SPPR!$E:$X,MATCH($A313,SPPR!$A:$A,0),20),"")</f>
        <v/>
      </c>
    </row>
    <row r="314">
      <c r="A314" t="inlineStr">
        <is>
          <t>Lutjanus kasmira</t>
        </is>
      </c>
      <c r="B314">
        <f>IFERROR(INDEX(SPPR!$D:$D,MATCH($A314,SPPR!$A:$A,0)),"")</f>
        <v/>
      </c>
      <c r="C314">
        <f>IFERROR(INDEX(Catch!$E:$BV,MATCH($A314,Catch!$A:$A,0),MATCH($B$4,Catch!$E$1:$BV$1,0)),0)</f>
        <v/>
      </c>
      <c r="D314">
        <f>IFERROR($C314*INDEX(SPPR!$E:$X,MATCH($A314,SPPR!$A:$A,0),1),"")</f>
        <v/>
      </c>
      <c r="E314">
        <f>IFERROR($C314*INDEX(SPPR!$E:$X,MATCH($A314,SPPR!$A:$A,0),2),"")</f>
        <v/>
      </c>
      <c r="F314">
        <f>IFERROR($C314*INDEX(SPPR!$E:$X,MATCH($A314,SPPR!$A:$A,0),3),"")</f>
        <v/>
      </c>
      <c r="G314">
        <f>IFERROR($C314*INDEX(SPPR!$E:$X,MATCH($A314,SPPR!$A:$A,0),4),"")</f>
        <v/>
      </c>
      <c r="H314">
        <f>IFERROR($C314*INDEX(SPPR!$E:$X,MATCH($A314,SPPR!$A:$A,0),5),"")</f>
        <v/>
      </c>
      <c r="I314">
        <f>IFERROR($C314*INDEX(SPPR!$E:$X,MATCH($A314,SPPR!$A:$A,0),6),"")</f>
        <v/>
      </c>
      <c r="J314">
        <f>IFERROR($C314*INDEX(SPPR!$E:$X,MATCH($A314,SPPR!$A:$A,0),7),"")</f>
        <v/>
      </c>
      <c r="K314">
        <f>IFERROR($C314*INDEX(SPPR!$E:$X,MATCH($A314,SPPR!$A:$A,0),8),"")</f>
        <v/>
      </c>
      <c r="L314">
        <f>IFERROR($C314*INDEX(SPPR!$E:$X,MATCH($A314,SPPR!$A:$A,0),9),"")</f>
        <v/>
      </c>
      <c r="M314">
        <f>IFERROR($C314*INDEX(SPPR!$E:$X,MATCH($A314,SPPR!$A:$A,0),10),"")</f>
        <v/>
      </c>
      <c r="N314">
        <f>IFERROR($C314*INDEX(SPPR!$E:$X,MATCH($A314,SPPR!$A:$A,0),11),"")</f>
        <v/>
      </c>
      <c r="O314">
        <f>IFERROR($C314*INDEX(SPPR!$E:$X,MATCH($A314,SPPR!$A:$A,0),12),"")</f>
        <v/>
      </c>
      <c r="P314">
        <f>IFERROR($C314*INDEX(SPPR!$E:$X,MATCH($A314,SPPR!$A:$A,0),13),"")</f>
        <v/>
      </c>
      <c r="Q314">
        <f>IFERROR($C314*INDEX(SPPR!$E:$X,MATCH($A314,SPPR!$A:$A,0),14),"")</f>
        <v/>
      </c>
      <c r="R314">
        <f>IFERROR($C314*INDEX(SPPR!$E:$X,MATCH($A314,SPPR!$A:$A,0),15),"")</f>
        <v/>
      </c>
      <c r="S314">
        <f>IFERROR($C314*INDEX(SPPR!$E:$X,MATCH($A314,SPPR!$A:$A,0),16),"")</f>
        <v/>
      </c>
      <c r="T314">
        <f>IFERROR($C314*INDEX(SPPR!$E:$X,MATCH($A314,SPPR!$A:$A,0),17),"")</f>
        <v/>
      </c>
      <c r="U314">
        <f>IFERROR($C314*INDEX(SPPR!$E:$X,MATCH($A314,SPPR!$A:$A,0),18),"")</f>
        <v/>
      </c>
      <c r="V314">
        <f>IFERROR($C314*INDEX(SPPR!$E:$X,MATCH($A314,SPPR!$A:$A,0),19),"")</f>
        <v/>
      </c>
      <c r="W314">
        <f>IFERROR($C314*INDEX(SPPR!$E:$X,MATCH($A314,SPPR!$A:$A,0),20),"")</f>
        <v/>
      </c>
    </row>
    <row r="315">
      <c r="A315" t="inlineStr">
        <is>
          <t>Carcharhiniformes</t>
        </is>
      </c>
      <c r="B315">
        <f>IFERROR(INDEX(SPPR!$D:$D,MATCH($A315,SPPR!$A:$A,0)),"")</f>
        <v/>
      </c>
      <c r="C315">
        <f>IFERROR(INDEX(Catch!$E:$BV,MATCH($A315,Catch!$A:$A,0),MATCH($B$4,Catch!$E$1:$BV$1,0)),0)</f>
        <v/>
      </c>
      <c r="D315">
        <f>IFERROR($C315*INDEX(SPPR!$E:$X,MATCH($A315,SPPR!$A:$A,0),1),"")</f>
        <v/>
      </c>
      <c r="E315">
        <f>IFERROR($C315*INDEX(SPPR!$E:$X,MATCH($A315,SPPR!$A:$A,0),2),"")</f>
        <v/>
      </c>
      <c r="F315">
        <f>IFERROR($C315*INDEX(SPPR!$E:$X,MATCH($A315,SPPR!$A:$A,0),3),"")</f>
        <v/>
      </c>
      <c r="G315">
        <f>IFERROR($C315*INDEX(SPPR!$E:$X,MATCH($A315,SPPR!$A:$A,0),4),"")</f>
        <v/>
      </c>
      <c r="H315">
        <f>IFERROR($C315*INDEX(SPPR!$E:$X,MATCH($A315,SPPR!$A:$A,0),5),"")</f>
        <v/>
      </c>
      <c r="I315">
        <f>IFERROR($C315*INDEX(SPPR!$E:$X,MATCH($A315,SPPR!$A:$A,0),6),"")</f>
        <v/>
      </c>
      <c r="J315">
        <f>IFERROR($C315*INDEX(SPPR!$E:$X,MATCH($A315,SPPR!$A:$A,0),7),"")</f>
        <v/>
      </c>
      <c r="K315">
        <f>IFERROR($C315*INDEX(SPPR!$E:$X,MATCH($A315,SPPR!$A:$A,0),8),"")</f>
        <v/>
      </c>
      <c r="L315">
        <f>IFERROR($C315*INDEX(SPPR!$E:$X,MATCH($A315,SPPR!$A:$A,0),9),"")</f>
        <v/>
      </c>
      <c r="M315">
        <f>IFERROR($C315*INDEX(SPPR!$E:$X,MATCH($A315,SPPR!$A:$A,0),10),"")</f>
        <v/>
      </c>
      <c r="N315">
        <f>IFERROR($C315*INDEX(SPPR!$E:$X,MATCH($A315,SPPR!$A:$A,0),11),"")</f>
        <v/>
      </c>
      <c r="O315">
        <f>IFERROR($C315*INDEX(SPPR!$E:$X,MATCH($A315,SPPR!$A:$A,0),12),"")</f>
        <v/>
      </c>
      <c r="P315">
        <f>IFERROR($C315*INDEX(SPPR!$E:$X,MATCH($A315,SPPR!$A:$A,0),13),"")</f>
        <v/>
      </c>
      <c r="Q315">
        <f>IFERROR($C315*INDEX(SPPR!$E:$X,MATCH($A315,SPPR!$A:$A,0),14),"")</f>
        <v/>
      </c>
      <c r="R315">
        <f>IFERROR($C315*INDEX(SPPR!$E:$X,MATCH($A315,SPPR!$A:$A,0),15),"")</f>
        <v/>
      </c>
      <c r="S315">
        <f>IFERROR($C315*INDEX(SPPR!$E:$X,MATCH($A315,SPPR!$A:$A,0),16),"")</f>
        <v/>
      </c>
      <c r="T315">
        <f>IFERROR($C315*INDEX(SPPR!$E:$X,MATCH($A315,SPPR!$A:$A,0),17),"")</f>
        <v/>
      </c>
      <c r="U315">
        <f>IFERROR($C315*INDEX(SPPR!$E:$X,MATCH($A315,SPPR!$A:$A,0),18),"")</f>
        <v/>
      </c>
      <c r="V315">
        <f>IFERROR($C315*INDEX(SPPR!$E:$X,MATCH($A315,SPPR!$A:$A,0),19),"")</f>
        <v/>
      </c>
      <c r="W315">
        <f>IFERROR($C315*INDEX(SPPR!$E:$X,MATCH($A315,SPPR!$A:$A,0),20),"")</f>
        <v/>
      </c>
    </row>
    <row r="316">
      <c r="A316" t="inlineStr">
        <is>
          <t>Monotaxis grandoculis</t>
        </is>
      </c>
      <c r="B316">
        <f>IFERROR(INDEX(SPPR!$D:$D,MATCH($A316,SPPR!$A:$A,0)),"")</f>
        <v/>
      </c>
      <c r="C316">
        <f>IFERROR(INDEX(Catch!$E:$BV,MATCH($A316,Catch!$A:$A,0),MATCH($B$4,Catch!$E$1:$BV$1,0)),0)</f>
        <v/>
      </c>
      <c r="D316">
        <f>IFERROR($C316*INDEX(SPPR!$E:$X,MATCH($A316,SPPR!$A:$A,0),1),"")</f>
        <v/>
      </c>
      <c r="E316">
        <f>IFERROR($C316*INDEX(SPPR!$E:$X,MATCH($A316,SPPR!$A:$A,0),2),"")</f>
        <v/>
      </c>
      <c r="F316">
        <f>IFERROR($C316*INDEX(SPPR!$E:$X,MATCH($A316,SPPR!$A:$A,0),3),"")</f>
        <v/>
      </c>
      <c r="G316">
        <f>IFERROR($C316*INDEX(SPPR!$E:$X,MATCH($A316,SPPR!$A:$A,0),4),"")</f>
        <v/>
      </c>
      <c r="H316">
        <f>IFERROR($C316*INDEX(SPPR!$E:$X,MATCH($A316,SPPR!$A:$A,0),5),"")</f>
        <v/>
      </c>
      <c r="I316">
        <f>IFERROR($C316*INDEX(SPPR!$E:$X,MATCH($A316,SPPR!$A:$A,0),6),"")</f>
        <v/>
      </c>
      <c r="J316">
        <f>IFERROR($C316*INDEX(SPPR!$E:$X,MATCH($A316,SPPR!$A:$A,0),7),"")</f>
        <v/>
      </c>
      <c r="K316">
        <f>IFERROR($C316*INDEX(SPPR!$E:$X,MATCH($A316,SPPR!$A:$A,0),8),"")</f>
        <v/>
      </c>
      <c r="L316">
        <f>IFERROR($C316*INDEX(SPPR!$E:$X,MATCH($A316,SPPR!$A:$A,0),9),"")</f>
        <v/>
      </c>
      <c r="M316">
        <f>IFERROR($C316*INDEX(SPPR!$E:$X,MATCH($A316,SPPR!$A:$A,0),10),"")</f>
        <v/>
      </c>
      <c r="N316">
        <f>IFERROR($C316*INDEX(SPPR!$E:$X,MATCH($A316,SPPR!$A:$A,0),11),"")</f>
        <v/>
      </c>
      <c r="O316">
        <f>IFERROR($C316*INDEX(SPPR!$E:$X,MATCH($A316,SPPR!$A:$A,0),12),"")</f>
        <v/>
      </c>
      <c r="P316">
        <f>IFERROR($C316*INDEX(SPPR!$E:$X,MATCH($A316,SPPR!$A:$A,0),13),"")</f>
        <v/>
      </c>
      <c r="Q316">
        <f>IFERROR($C316*INDEX(SPPR!$E:$X,MATCH($A316,SPPR!$A:$A,0),14),"")</f>
        <v/>
      </c>
      <c r="R316">
        <f>IFERROR($C316*INDEX(SPPR!$E:$X,MATCH($A316,SPPR!$A:$A,0),15),"")</f>
        <v/>
      </c>
      <c r="S316">
        <f>IFERROR($C316*INDEX(SPPR!$E:$X,MATCH($A316,SPPR!$A:$A,0),16),"")</f>
        <v/>
      </c>
      <c r="T316">
        <f>IFERROR($C316*INDEX(SPPR!$E:$X,MATCH($A316,SPPR!$A:$A,0),17),"")</f>
        <v/>
      </c>
      <c r="U316">
        <f>IFERROR($C316*INDEX(SPPR!$E:$X,MATCH($A316,SPPR!$A:$A,0),18),"")</f>
        <v/>
      </c>
      <c r="V316">
        <f>IFERROR($C316*INDEX(SPPR!$E:$X,MATCH($A316,SPPR!$A:$A,0),19),"")</f>
        <v/>
      </c>
      <c r="W316">
        <f>IFERROR($C316*INDEX(SPPR!$E:$X,MATCH($A316,SPPR!$A:$A,0),20),"")</f>
        <v/>
      </c>
    </row>
    <row r="317">
      <c r="A317" t="inlineStr">
        <is>
          <t>Caranx melampygus</t>
        </is>
      </c>
      <c r="B317">
        <f>IFERROR(INDEX(SPPR!$D:$D,MATCH($A317,SPPR!$A:$A,0)),"")</f>
        <v/>
      </c>
      <c r="C317">
        <f>IFERROR(INDEX(Catch!$E:$BV,MATCH($A317,Catch!$A:$A,0),MATCH($B$4,Catch!$E$1:$BV$1,0)),0)</f>
        <v/>
      </c>
      <c r="D317">
        <f>IFERROR($C317*INDEX(SPPR!$E:$X,MATCH($A317,SPPR!$A:$A,0),1),"")</f>
        <v/>
      </c>
      <c r="E317">
        <f>IFERROR($C317*INDEX(SPPR!$E:$X,MATCH($A317,SPPR!$A:$A,0),2),"")</f>
        <v/>
      </c>
      <c r="F317">
        <f>IFERROR($C317*INDEX(SPPR!$E:$X,MATCH($A317,SPPR!$A:$A,0),3),"")</f>
        <v/>
      </c>
      <c r="G317">
        <f>IFERROR($C317*INDEX(SPPR!$E:$X,MATCH($A317,SPPR!$A:$A,0),4),"")</f>
        <v/>
      </c>
      <c r="H317">
        <f>IFERROR($C317*INDEX(SPPR!$E:$X,MATCH($A317,SPPR!$A:$A,0),5),"")</f>
        <v/>
      </c>
      <c r="I317">
        <f>IFERROR($C317*INDEX(SPPR!$E:$X,MATCH($A317,SPPR!$A:$A,0),6),"")</f>
        <v/>
      </c>
      <c r="J317">
        <f>IFERROR($C317*INDEX(SPPR!$E:$X,MATCH($A317,SPPR!$A:$A,0),7),"")</f>
        <v/>
      </c>
      <c r="K317">
        <f>IFERROR($C317*INDEX(SPPR!$E:$X,MATCH($A317,SPPR!$A:$A,0),8),"")</f>
        <v/>
      </c>
      <c r="L317">
        <f>IFERROR($C317*INDEX(SPPR!$E:$X,MATCH($A317,SPPR!$A:$A,0),9),"")</f>
        <v/>
      </c>
      <c r="M317">
        <f>IFERROR($C317*INDEX(SPPR!$E:$X,MATCH($A317,SPPR!$A:$A,0),10),"")</f>
        <v/>
      </c>
      <c r="N317">
        <f>IFERROR($C317*INDEX(SPPR!$E:$X,MATCH($A317,SPPR!$A:$A,0),11),"")</f>
        <v/>
      </c>
      <c r="O317">
        <f>IFERROR($C317*INDEX(SPPR!$E:$X,MATCH($A317,SPPR!$A:$A,0),12),"")</f>
        <v/>
      </c>
      <c r="P317">
        <f>IFERROR($C317*INDEX(SPPR!$E:$X,MATCH($A317,SPPR!$A:$A,0),13),"")</f>
        <v/>
      </c>
      <c r="Q317">
        <f>IFERROR($C317*INDEX(SPPR!$E:$X,MATCH($A317,SPPR!$A:$A,0),14),"")</f>
        <v/>
      </c>
      <c r="R317">
        <f>IFERROR($C317*INDEX(SPPR!$E:$X,MATCH($A317,SPPR!$A:$A,0),15),"")</f>
        <v/>
      </c>
      <c r="S317">
        <f>IFERROR($C317*INDEX(SPPR!$E:$X,MATCH($A317,SPPR!$A:$A,0),16),"")</f>
        <v/>
      </c>
      <c r="T317">
        <f>IFERROR($C317*INDEX(SPPR!$E:$X,MATCH($A317,SPPR!$A:$A,0),17),"")</f>
        <v/>
      </c>
      <c r="U317">
        <f>IFERROR($C317*INDEX(SPPR!$E:$X,MATCH($A317,SPPR!$A:$A,0),18),"")</f>
        <v/>
      </c>
      <c r="V317">
        <f>IFERROR($C317*INDEX(SPPR!$E:$X,MATCH($A317,SPPR!$A:$A,0),19),"")</f>
        <v/>
      </c>
      <c r="W317">
        <f>IFERROR($C317*INDEX(SPPR!$E:$X,MATCH($A317,SPPR!$A:$A,0),20),"")</f>
        <v/>
      </c>
    </row>
    <row r="318">
      <c r="A318" t="inlineStr">
        <is>
          <t>Balistidae</t>
        </is>
      </c>
      <c r="B318">
        <f>IFERROR(INDEX(SPPR!$D:$D,MATCH($A318,SPPR!$A:$A,0)),"")</f>
        <v/>
      </c>
      <c r="C318">
        <f>IFERROR(INDEX(Catch!$E:$BV,MATCH($A318,Catch!$A:$A,0),MATCH($B$4,Catch!$E$1:$BV$1,0)),0)</f>
        <v/>
      </c>
      <c r="D318">
        <f>IFERROR($C318*INDEX(SPPR!$E:$X,MATCH($A318,SPPR!$A:$A,0),1),"")</f>
        <v/>
      </c>
      <c r="E318">
        <f>IFERROR($C318*INDEX(SPPR!$E:$X,MATCH($A318,SPPR!$A:$A,0),2),"")</f>
        <v/>
      </c>
      <c r="F318">
        <f>IFERROR($C318*INDEX(SPPR!$E:$X,MATCH($A318,SPPR!$A:$A,0),3),"")</f>
        <v/>
      </c>
      <c r="G318">
        <f>IFERROR($C318*INDEX(SPPR!$E:$X,MATCH($A318,SPPR!$A:$A,0),4),"")</f>
        <v/>
      </c>
      <c r="H318">
        <f>IFERROR($C318*INDEX(SPPR!$E:$X,MATCH($A318,SPPR!$A:$A,0),5),"")</f>
        <v/>
      </c>
      <c r="I318">
        <f>IFERROR($C318*INDEX(SPPR!$E:$X,MATCH($A318,SPPR!$A:$A,0),6),"")</f>
        <v/>
      </c>
      <c r="J318">
        <f>IFERROR($C318*INDEX(SPPR!$E:$X,MATCH($A318,SPPR!$A:$A,0),7),"")</f>
        <v/>
      </c>
      <c r="K318">
        <f>IFERROR($C318*INDEX(SPPR!$E:$X,MATCH($A318,SPPR!$A:$A,0),8),"")</f>
        <v/>
      </c>
      <c r="L318">
        <f>IFERROR($C318*INDEX(SPPR!$E:$X,MATCH($A318,SPPR!$A:$A,0),9),"")</f>
        <v/>
      </c>
      <c r="M318">
        <f>IFERROR($C318*INDEX(SPPR!$E:$X,MATCH($A318,SPPR!$A:$A,0),10),"")</f>
        <v/>
      </c>
      <c r="N318">
        <f>IFERROR($C318*INDEX(SPPR!$E:$X,MATCH($A318,SPPR!$A:$A,0),11),"")</f>
        <v/>
      </c>
      <c r="O318">
        <f>IFERROR($C318*INDEX(SPPR!$E:$X,MATCH($A318,SPPR!$A:$A,0),12),"")</f>
        <v/>
      </c>
      <c r="P318">
        <f>IFERROR($C318*INDEX(SPPR!$E:$X,MATCH($A318,SPPR!$A:$A,0),13),"")</f>
        <v/>
      </c>
      <c r="Q318">
        <f>IFERROR($C318*INDEX(SPPR!$E:$X,MATCH($A318,SPPR!$A:$A,0),14),"")</f>
        <v/>
      </c>
      <c r="R318">
        <f>IFERROR($C318*INDEX(SPPR!$E:$X,MATCH($A318,SPPR!$A:$A,0),15),"")</f>
        <v/>
      </c>
      <c r="S318">
        <f>IFERROR($C318*INDEX(SPPR!$E:$X,MATCH($A318,SPPR!$A:$A,0),16),"")</f>
        <v/>
      </c>
      <c r="T318">
        <f>IFERROR($C318*INDEX(SPPR!$E:$X,MATCH($A318,SPPR!$A:$A,0),17),"")</f>
        <v/>
      </c>
      <c r="U318">
        <f>IFERROR($C318*INDEX(SPPR!$E:$X,MATCH($A318,SPPR!$A:$A,0),18),"")</f>
        <v/>
      </c>
      <c r="V318">
        <f>IFERROR($C318*INDEX(SPPR!$E:$X,MATCH($A318,SPPR!$A:$A,0),19),"")</f>
        <v/>
      </c>
      <c r="W318">
        <f>IFERROR($C318*INDEX(SPPR!$E:$X,MATCH($A318,SPPR!$A:$A,0),20),"")</f>
        <v/>
      </c>
    </row>
    <row r="319">
      <c r="A319" t="inlineStr">
        <is>
          <t>Carcharhinus longimanus</t>
        </is>
      </c>
      <c r="B319">
        <f>IFERROR(INDEX(SPPR!$D:$D,MATCH($A319,SPPR!$A:$A,0)),"")</f>
        <v/>
      </c>
      <c r="C319">
        <f>IFERROR(INDEX(Catch!$E:$BV,MATCH($A319,Catch!$A:$A,0),MATCH($B$4,Catch!$E$1:$BV$1,0)),0)</f>
        <v/>
      </c>
      <c r="D319">
        <f>IFERROR($C319*INDEX(SPPR!$E:$X,MATCH($A319,SPPR!$A:$A,0),1),"")</f>
        <v/>
      </c>
      <c r="E319">
        <f>IFERROR($C319*INDEX(SPPR!$E:$X,MATCH($A319,SPPR!$A:$A,0),2),"")</f>
        <v/>
      </c>
      <c r="F319">
        <f>IFERROR($C319*INDEX(SPPR!$E:$X,MATCH($A319,SPPR!$A:$A,0),3),"")</f>
        <v/>
      </c>
      <c r="G319">
        <f>IFERROR($C319*INDEX(SPPR!$E:$X,MATCH($A319,SPPR!$A:$A,0),4),"")</f>
        <v/>
      </c>
      <c r="H319">
        <f>IFERROR($C319*INDEX(SPPR!$E:$X,MATCH($A319,SPPR!$A:$A,0),5),"")</f>
        <v/>
      </c>
      <c r="I319">
        <f>IFERROR($C319*INDEX(SPPR!$E:$X,MATCH($A319,SPPR!$A:$A,0),6),"")</f>
        <v/>
      </c>
      <c r="J319">
        <f>IFERROR($C319*INDEX(SPPR!$E:$X,MATCH($A319,SPPR!$A:$A,0),7),"")</f>
        <v/>
      </c>
      <c r="K319">
        <f>IFERROR($C319*INDEX(SPPR!$E:$X,MATCH($A319,SPPR!$A:$A,0),8),"")</f>
        <v/>
      </c>
      <c r="L319">
        <f>IFERROR($C319*INDEX(SPPR!$E:$X,MATCH($A319,SPPR!$A:$A,0),9),"")</f>
        <v/>
      </c>
      <c r="M319">
        <f>IFERROR($C319*INDEX(SPPR!$E:$X,MATCH($A319,SPPR!$A:$A,0),10),"")</f>
        <v/>
      </c>
      <c r="N319">
        <f>IFERROR($C319*INDEX(SPPR!$E:$X,MATCH($A319,SPPR!$A:$A,0),11),"")</f>
        <v/>
      </c>
      <c r="O319">
        <f>IFERROR($C319*INDEX(SPPR!$E:$X,MATCH($A319,SPPR!$A:$A,0),12),"")</f>
        <v/>
      </c>
      <c r="P319">
        <f>IFERROR($C319*INDEX(SPPR!$E:$X,MATCH($A319,SPPR!$A:$A,0),13),"")</f>
        <v/>
      </c>
      <c r="Q319">
        <f>IFERROR($C319*INDEX(SPPR!$E:$X,MATCH($A319,SPPR!$A:$A,0),14),"")</f>
        <v/>
      </c>
      <c r="R319">
        <f>IFERROR($C319*INDEX(SPPR!$E:$X,MATCH($A319,SPPR!$A:$A,0),15),"")</f>
        <v/>
      </c>
      <c r="S319">
        <f>IFERROR($C319*INDEX(SPPR!$E:$X,MATCH($A319,SPPR!$A:$A,0),16),"")</f>
        <v/>
      </c>
      <c r="T319">
        <f>IFERROR($C319*INDEX(SPPR!$E:$X,MATCH($A319,SPPR!$A:$A,0),17),"")</f>
        <v/>
      </c>
      <c r="U319">
        <f>IFERROR($C319*INDEX(SPPR!$E:$X,MATCH($A319,SPPR!$A:$A,0),18),"")</f>
        <v/>
      </c>
      <c r="V319">
        <f>IFERROR($C319*INDEX(SPPR!$E:$X,MATCH($A319,SPPR!$A:$A,0),19),"")</f>
        <v/>
      </c>
      <c r="W319">
        <f>IFERROR($C319*INDEX(SPPR!$E:$X,MATCH($A319,SPPR!$A:$A,0),20),"")</f>
        <v/>
      </c>
    </row>
    <row r="320">
      <c r="A320" t="inlineStr">
        <is>
          <t>Congridae</t>
        </is>
      </c>
      <c r="B320">
        <f>IFERROR(INDEX(SPPR!$D:$D,MATCH($A320,SPPR!$A:$A,0)),"")</f>
        <v/>
      </c>
      <c r="C320">
        <f>IFERROR(INDEX(Catch!$E:$BV,MATCH($A320,Catch!$A:$A,0),MATCH($B$4,Catch!$E$1:$BV$1,0)),0)</f>
        <v/>
      </c>
      <c r="D320">
        <f>IFERROR($C320*INDEX(SPPR!$E:$X,MATCH($A320,SPPR!$A:$A,0),1),"")</f>
        <v/>
      </c>
      <c r="E320">
        <f>IFERROR($C320*INDEX(SPPR!$E:$X,MATCH($A320,SPPR!$A:$A,0),2),"")</f>
        <v/>
      </c>
      <c r="F320">
        <f>IFERROR($C320*INDEX(SPPR!$E:$X,MATCH($A320,SPPR!$A:$A,0),3),"")</f>
        <v/>
      </c>
      <c r="G320">
        <f>IFERROR($C320*INDEX(SPPR!$E:$X,MATCH($A320,SPPR!$A:$A,0),4),"")</f>
        <v/>
      </c>
      <c r="H320">
        <f>IFERROR($C320*INDEX(SPPR!$E:$X,MATCH($A320,SPPR!$A:$A,0),5),"")</f>
        <v/>
      </c>
      <c r="I320">
        <f>IFERROR($C320*INDEX(SPPR!$E:$X,MATCH($A320,SPPR!$A:$A,0),6),"")</f>
        <v/>
      </c>
      <c r="J320">
        <f>IFERROR($C320*INDEX(SPPR!$E:$X,MATCH($A320,SPPR!$A:$A,0),7),"")</f>
        <v/>
      </c>
      <c r="K320">
        <f>IFERROR($C320*INDEX(SPPR!$E:$X,MATCH($A320,SPPR!$A:$A,0),8),"")</f>
        <v/>
      </c>
      <c r="L320">
        <f>IFERROR($C320*INDEX(SPPR!$E:$X,MATCH($A320,SPPR!$A:$A,0),9),"")</f>
        <v/>
      </c>
      <c r="M320">
        <f>IFERROR($C320*INDEX(SPPR!$E:$X,MATCH($A320,SPPR!$A:$A,0),10),"")</f>
        <v/>
      </c>
      <c r="N320">
        <f>IFERROR($C320*INDEX(SPPR!$E:$X,MATCH($A320,SPPR!$A:$A,0),11),"")</f>
        <v/>
      </c>
      <c r="O320">
        <f>IFERROR($C320*INDEX(SPPR!$E:$X,MATCH($A320,SPPR!$A:$A,0),12),"")</f>
        <v/>
      </c>
      <c r="P320">
        <f>IFERROR($C320*INDEX(SPPR!$E:$X,MATCH($A320,SPPR!$A:$A,0),13),"")</f>
        <v/>
      </c>
      <c r="Q320">
        <f>IFERROR($C320*INDEX(SPPR!$E:$X,MATCH($A320,SPPR!$A:$A,0),14),"")</f>
        <v/>
      </c>
      <c r="R320">
        <f>IFERROR($C320*INDEX(SPPR!$E:$X,MATCH($A320,SPPR!$A:$A,0),15),"")</f>
        <v/>
      </c>
      <c r="S320">
        <f>IFERROR($C320*INDEX(SPPR!$E:$X,MATCH($A320,SPPR!$A:$A,0),16),"")</f>
        <v/>
      </c>
      <c r="T320">
        <f>IFERROR($C320*INDEX(SPPR!$E:$X,MATCH($A320,SPPR!$A:$A,0),17),"")</f>
        <v/>
      </c>
      <c r="U320">
        <f>IFERROR($C320*INDEX(SPPR!$E:$X,MATCH($A320,SPPR!$A:$A,0),18),"")</f>
        <v/>
      </c>
      <c r="V320">
        <f>IFERROR($C320*INDEX(SPPR!$E:$X,MATCH($A320,SPPR!$A:$A,0),19),"")</f>
        <v/>
      </c>
      <c r="W320">
        <f>IFERROR($C320*INDEX(SPPR!$E:$X,MATCH($A320,SPPR!$A:$A,0),20),"")</f>
        <v/>
      </c>
    </row>
    <row r="321">
      <c r="A321" t="inlineStr">
        <is>
          <t>Bothus pantherinus</t>
        </is>
      </c>
      <c r="B321">
        <f>IFERROR(INDEX(SPPR!$D:$D,MATCH($A321,SPPR!$A:$A,0)),"")</f>
        <v/>
      </c>
      <c r="C321">
        <f>IFERROR(INDEX(Catch!$E:$BV,MATCH($A321,Catch!$A:$A,0),MATCH($B$4,Catch!$E$1:$BV$1,0)),0)</f>
        <v/>
      </c>
      <c r="D321">
        <f>IFERROR($C321*INDEX(SPPR!$E:$X,MATCH($A321,SPPR!$A:$A,0),1),"")</f>
        <v/>
      </c>
      <c r="E321">
        <f>IFERROR($C321*INDEX(SPPR!$E:$X,MATCH($A321,SPPR!$A:$A,0),2),"")</f>
        <v/>
      </c>
      <c r="F321">
        <f>IFERROR($C321*INDEX(SPPR!$E:$X,MATCH($A321,SPPR!$A:$A,0),3),"")</f>
        <v/>
      </c>
      <c r="G321">
        <f>IFERROR($C321*INDEX(SPPR!$E:$X,MATCH($A321,SPPR!$A:$A,0),4),"")</f>
        <v/>
      </c>
      <c r="H321">
        <f>IFERROR($C321*INDEX(SPPR!$E:$X,MATCH($A321,SPPR!$A:$A,0),5),"")</f>
        <v/>
      </c>
      <c r="I321">
        <f>IFERROR($C321*INDEX(SPPR!$E:$X,MATCH($A321,SPPR!$A:$A,0),6),"")</f>
        <v/>
      </c>
      <c r="J321">
        <f>IFERROR($C321*INDEX(SPPR!$E:$X,MATCH($A321,SPPR!$A:$A,0),7),"")</f>
        <v/>
      </c>
      <c r="K321">
        <f>IFERROR($C321*INDEX(SPPR!$E:$X,MATCH($A321,SPPR!$A:$A,0),8),"")</f>
        <v/>
      </c>
      <c r="L321">
        <f>IFERROR($C321*INDEX(SPPR!$E:$X,MATCH($A321,SPPR!$A:$A,0),9),"")</f>
        <v/>
      </c>
      <c r="M321">
        <f>IFERROR($C321*INDEX(SPPR!$E:$X,MATCH($A321,SPPR!$A:$A,0),10),"")</f>
        <v/>
      </c>
      <c r="N321">
        <f>IFERROR($C321*INDEX(SPPR!$E:$X,MATCH($A321,SPPR!$A:$A,0),11),"")</f>
        <v/>
      </c>
      <c r="O321">
        <f>IFERROR($C321*INDEX(SPPR!$E:$X,MATCH($A321,SPPR!$A:$A,0),12),"")</f>
        <v/>
      </c>
      <c r="P321">
        <f>IFERROR($C321*INDEX(SPPR!$E:$X,MATCH($A321,SPPR!$A:$A,0),13),"")</f>
        <v/>
      </c>
      <c r="Q321">
        <f>IFERROR($C321*INDEX(SPPR!$E:$X,MATCH($A321,SPPR!$A:$A,0),14),"")</f>
        <v/>
      </c>
      <c r="R321">
        <f>IFERROR($C321*INDEX(SPPR!$E:$X,MATCH($A321,SPPR!$A:$A,0),15),"")</f>
        <v/>
      </c>
      <c r="S321">
        <f>IFERROR($C321*INDEX(SPPR!$E:$X,MATCH($A321,SPPR!$A:$A,0),16),"")</f>
        <v/>
      </c>
      <c r="T321">
        <f>IFERROR($C321*INDEX(SPPR!$E:$X,MATCH($A321,SPPR!$A:$A,0),17),"")</f>
        <v/>
      </c>
      <c r="U321">
        <f>IFERROR($C321*INDEX(SPPR!$E:$X,MATCH($A321,SPPR!$A:$A,0),18),"")</f>
        <v/>
      </c>
      <c r="V321">
        <f>IFERROR($C321*INDEX(SPPR!$E:$X,MATCH($A321,SPPR!$A:$A,0),19),"")</f>
        <v/>
      </c>
      <c r="W321">
        <f>IFERROR($C321*INDEX(SPPR!$E:$X,MATCH($A321,SPPR!$A:$A,0),20),"")</f>
        <v/>
      </c>
    </row>
    <row r="322">
      <c r="A322" t="inlineStr">
        <is>
          <t>Parupeneus indicus</t>
        </is>
      </c>
      <c r="B322">
        <f>IFERROR(INDEX(SPPR!$D:$D,MATCH($A322,SPPR!$A:$A,0)),"")</f>
        <v/>
      </c>
      <c r="C322">
        <f>IFERROR(INDEX(Catch!$E:$BV,MATCH($A322,Catch!$A:$A,0),MATCH($B$4,Catch!$E$1:$BV$1,0)),0)</f>
        <v/>
      </c>
      <c r="D322">
        <f>IFERROR($C322*INDEX(SPPR!$E:$X,MATCH($A322,SPPR!$A:$A,0),1),"")</f>
        <v/>
      </c>
      <c r="E322">
        <f>IFERROR($C322*INDEX(SPPR!$E:$X,MATCH($A322,SPPR!$A:$A,0),2),"")</f>
        <v/>
      </c>
      <c r="F322">
        <f>IFERROR($C322*INDEX(SPPR!$E:$X,MATCH($A322,SPPR!$A:$A,0),3),"")</f>
        <v/>
      </c>
      <c r="G322">
        <f>IFERROR($C322*INDEX(SPPR!$E:$X,MATCH($A322,SPPR!$A:$A,0),4),"")</f>
        <v/>
      </c>
      <c r="H322">
        <f>IFERROR($C322*INDEX(SPPR!$E:$X,MATCH($A322,SPPR!$A:$A,0),5),"")</f>
        <v/>
      </c>
      <c r="I322">
        <f>IFERROR($C322*INDEX(SPPR!$E:$X,MATCH($A322,SPPR!$A:$A,0),6),"")</f>
        <v/>
      </c>
      <c r="J322">
        <f>IFERROR($C322*INDEX(SPPR!$E:$X,MATCH($A322,SPPR!$A:$A,0),7),"")</f>
        <v/>
      </c>
      <c r="K322">
        <f>IFERROR($C322*INDEX(SPPR!$E:$X,MATCH($A322,SPPR!$A:$A,0),8),"")</f>
        <v/>
      </c>
      <c r="L322">
        <f>IFERROR($C322*INDEX(SPPR!$E:$X,MATCH($A322,SPPR!$A:$A,0),9),"")</f>
        <v/>
      </c>
      <c r="M322">
        <f>IFERROR($C322*INDEX(SPPR!$E:$X,MATCH($A322,SPPR!$A:$A,0),10),"")</f>
        <v/>
      </c>
      <c r="N322">
        <f>IFERROR($C322*INDEX(SPPR!$E:$X,MATCH($A322,SPPR!$A:$A,0),11),"")</f>
        <v/>
      </c>
      <c r="O322">
        <f>IFERROR($C322*INDEX(SPPR!$E:$X,MATCH($A322,SPPR!$A:$A,0),12),"")</f>
        <v/>
      </c>
      <c r="P322">
        <f>IFERROR($C322*INDEX(SPPR!$E:$X,MATCH($A322,SPPR!$A:$A,0),13),"")</f>
        <v/>
      </c>
      <c r="Q322">
        <f>IFERROR($C322*INDEX(SPPR!$E:$X,MATCH($A322,SPPR!$A:$A,0),14),"")</f>
        <v/>
      </c>
      <c r="R322">
        <f>IFERROR($C322*INDEX(SPPR!$E:$X,MATCH($A322,SPPR!$A:$A,0),15),"")</f>
        <v/>
      </c>
      <c r="S322">
        <f>IFERROR($C322*INDEX(SPPR!$E:$X,MATCH($A322,SPPR!$A:$A,0),16),"")</f>
        <v/>
      </c>
      <c r="T322">
        <f>IFERROR($C322*INDEX(SPPR!$E:$X,MATCH($A322,SPPR!$A:$A,0),17),"")</f>
        <v/>
      </c>
      <c r="U322">
        <f>IFERROR($C322*INDEX(SPPR!$E:$X,MATCH($A322,SPPR!$A:$A,0),18),"")</f>
        <v/>
      </c>
      <c r="V322">
        <f>IFERROR($C322*INDEX(SPPR!$E:$X,MATCH($A322,SPPR!$A:$A,0),19),"")</f>
        <v/>
      </c>
      <c r="W322">
        <f>IFERROR($C322*INDEX(SPPR!$E:$X,MATCH($A322,SPPR!$A:$A,0),20),"")</f>
        <v/>
      </c>
    </row>
    <row r="323">
      <c r="A323" t="inlineStr">
        <is>
          <t>Sphyraena putnamae</t>
        </is>
      </c>
      <c r="B323">
        <f>IFERROR(INDEX(SPPR!$D:$D,MATCH($A323,SPPR!$A:$A,0)),"")</f>
        <v/>
      </c>
      <c r="C323">
        <f>IFERROR(INDEX(Catch!$E:$BV,MATCH($A323,Catch!$A:$A,0),MATCH($B$4,Catch!$E$1:$BV$1,0)),0)</f>
        <v/>
      </c>
      <c r="D323">
        <f>IFERROR($C323*INDEX(SPPR!$E:$X,MATCH($A323,SPPR!$A:$A,0),1),"")</f>
        <v/>
      </c>
      <c r="E323">
        <f>IFERROR($C323*INDEX(SPPR!$E:$X,MATCH($A323,SPPR!$A:$A,0),2),"")</f>
        <v/>
      </c>
      <c r="F323">
        <f>IFERROR($C323*INDEX(SPPR!$E:$X,MATCH($A323,SPPR!$A:$A,0),3),"")</f>
        <v/>
      </c>
      <c r="G323">
        <f>IFERROR($C323*INDEX(SPPR!$E:$X,MATCH($A323,SPPR!$A:$A,0),4),"")</f>
        <v/>
      </c>
      <c r="H323">
        <f>IFERROR($C323*INDEX(SPPR!$E:$X,MATCH($A323,SPPR!$A:$A,0),5),"")</f>
        <v/>
      </c>
      <c r="I323">
        <f>IFERROR($C323*INDEX(SPPR!$E:$X,MATCH($A323,SPPR!$A:$A,0),6),"")</f>
        <v/>
      </c>
      <c r="J323">
        <f>IFERROR($C323*INDEX(SPPR!$E:$X,MATCH($A323,SPPR!$A:$A,0),7),"")</f>
        <v/>
      </c>
      <c r="K323">
        <f>IFERROR($C323*INDEX(SPPR!$E:$X,MATCH($A323,SPPR!$A:$A,0),8),"")</f>
        <v/>
      </c>
      <c r="L323">
        <f>IFERROR($C323*INDEX(SPPR!$E:$X,MATCH($A323,SPPR!$A:$A,0),9),"")</f>
        <v/>
      </c>
      <c r="M323">
        <f>IFERROR($C323*INDEX(SPPR!$E:$X,MATCH($A323,SPPR!$A:$A,0),10),"")</f>
        <v/>
      </c>
      <c r="N323">
        <f>IFERROR($C323*INDEX(SPPR!$E:$X,MATCH($A323,SPPR!$A:$A,0),11),"")</f>
        <v/>
      </c>
      <c r="O323">
        <f>IFERROR($C323*INDEX(SPPR!$E:$X,MATCH($A323,SPPR!$A:$A,0),12),"")</f>
        <v/>
      </c>
      <c r="P323">
        <f>IFERROR($C323*INDEX(SPPR!$E:$X,MATCH($A323,SPPR!$A:$A,0),13),"")</f>
        <v/>
      </c>
      <c r="Q323">
        <f>IFERROR($C323*INDEX(SPPR!$E:$X,MATCH($A323,SPPR!$A:$A,0),14),"")</f>
        <v/>
      </c>
      <c r="R323">
        <f>IFERROR($C323*INDEX(SPPR!$E:$X,MATCH($A323,SPPR!$A:$A,0),15),"")</f>
        <v/>
      </c>
      <c r="S323">
        <f>IFERROR($C323*INDEX(SPPR!$E:$X,MATCH($A323,SPPR!$A:$A,0),16),"")</f>
        <v/>
      </c>
      <c r="T323">
        <f>IFERROR($C323*INDEX(SPPR!$E:$X,MATCH($A323,SPPR!$A:$A,0),17),"")</f>
        <v/>
      </c>
      <c r="U323">
        <f>IFERROR($C323*INDEX(SPPR!$E:$X,MATCH($A323,SPPR!$A:$A,0),18),"")</f>
        <v/>
      </c>
      <c r="V323">
        <f>IFERROR($C323*INDEX(SPPR!$E:$X,MATCH($A323,SPPR!$A:$A,0),19),"")</f>
        <v/>
      </c>
      <c r="W323">
        <f>IFERROR($C323*INDEX(SPPR!$E:$X,MATCH($A323,SPPR!$A:$A,0),20),"")</f>
        <v/>
      </c>
    </row>
    <row r="324">
      <c r="A324" t="inlineStr">
        <is>
          <t>Turrum coeruleopinnatum</t>
        </is>
      </c>
      <c r="B324">
        <f>IFERROR(INDEX(SPPR!$D:$D,MATCH($A324,SPPR!$A:$A,0)),"")</f>
        <v/>
      </c>
      <c r="C324">
        <f>IFERROR(INDEX(Catch!$E:$BV,MATCH($A324,Catch!$A:$A,0),MATCH($B$4,Catch!$E$1:$BV$1,0)),0)</f>
        <v/>
      </c>
      <c r="D324">
        <f>IFERROR($C324*INDEX(SPPR!$E:$X,MATCH($A324,SPPR!$A:$A,0),1),"")</f>
        <v/>
      </c>
      <c r="E324">
        <f>IFERROR($C324*INDEX(SPPR!$E:$X,MATCH($A324,SPPR!$A:$A,0),2),"")</f>
        <v/>
      </c>
      <c r="F324">
        <f>IFERROR($C324*INDEX(SPPR!$E:$X,MATCH($A324,SPPR!$A:$A,0),3),"")</f>
        <v/>
      </c>
      <c r="G324">
        <f>IFERROR($C324*INDEX(SPPR!$E:$X,MATCH($A324,SPPR!$A:$A,0),4),"")</f>
        <v/>
      </c>
      <c r="H324">
        <f>IFERROR($C324*INDEX(SPPR!$E:$X,MATCH($A324,SPPR!$A:$A,0),5),"")</f>
        <v/>
      </c>
      <c r="I324">
        <f>IFERROR($C324*INDEX(SPPR!$E:$X,MATCH($A324,SPPR!$A:$A,0),6),"")</f>
        <v/>
      </c>
      <c r="J324">
        <f>IFERROR($C324*INDEX(SPPR!$E:$X,MATCH($A324,SPPR!$A:$A,0),7),"")</f>
        <v/>
      </c>
      <c r="K324">
        <f>IFERROR($C324*INDEX(SPPR!$E:$X,MATCH($A324,SPPR!$A:$A,0),8),"")</f>
        <v/>
      </c>
      <c r="L324">
        <f>IFERROR($C324*INDEX(SPPR!$E:$X,MATCH($A324,SPPR!$A:$A,0),9),"")</f>
        <v/>
      </c>
      <c r="M324">
        <f>IFERROR($C324*INDEX(SPPR!$E:$X,MATCH($A324,SPPR!$A:$A,0),10),"")</f>
        <v/>
      </c>
      <c r="N324">
        <f>IFERROR($C324*INDEX(SPPR!$E:$X,MATCH($A324,SPPR!$A:$A,0),11),"")</f>
        <v/>
      </c>
      <c r="O324">
        <f>IFERROR($C324*INDEX(SPPR!$E:$X,MATCH($A324,SPPR!$A:$A,0),12),"")</f>
        <v/>
      </c>
      <c r="P324">
        <f>IFERROR($C324*INDEX(SPPR!$E:$X,MATCH($A324,SPPR!$A:$A,0),13),"")</f>
        <v/>
      </c>
      <c r="Q324">
        <f>IFERROR($C324*INDEX(SPPR!$E:$X,MATCH($A324,SPPR!$A:$A,0),14),"")</f>
        <v/>
      </c>
      <c r="R324">
        <f>IFERROR($C324*INDEX(SPPR!$E:$X,MATCH($A324,SPPR!$A:$A,0),15),"")</f>
        <v/>
      </c>
      <c r="S324">
        <f>IFERROR($C324*INDEX(SPPR!$E:$X,MATCH($A324,SPPR!$A:$A,0),16),"")</f>
        <v/>
      </c>
      <c r="T324">
        <f>IFERROR($C324*INDEX(SPPR!$E:$X,MATCH($A324,SPPR!$A:$A,0),17),"")</f>
        <v/>
      </c>
      <c r="U324">
        <f>IFERROR($C324*INDEX(SPPR!$E:$X,MATCH($A324,SPPR!$A:$A,0),18),"")</f>
        <v/>
      </c>
      <c r="V324">
        <f>IFERROR($C324*INDEX(SPPR!$E:$X,MATCH($A324,SPPR!$A:$A,0),19),"")</f>
        <v/>
      </c>
      <c r="W324">
        <f>IFERROR($C324*INDEX(SPPR!$E:$X,MATCH($A324,SPPR!$A:$A,0),20),"")</f>
        <v/>
      </c>
    </row>
    <row r="325">
      <c r="A325" t="inlineStr">
        <is>
          <t>Carangoides</t>
        </is>
      </c>
      <c r="B325">
        <f>IFERROR(INDEX(SPPR!$D:$D,MATCH($A325,SPPR!$A:$A,0)),"")</f>
        <v/>
      </c>
      <c r="C325">
        <f>IFERROR(INDEX(Catch!$E:$BV,MATCH($A325,Catch!$A:$A,0),MATCH($B$4,Catch!$E$1:$BV$1,0)),0)</f>
        <v/>
      </c>
      <c r="D325">
        <f>IFERROR($C325*INDEX(SPPR!$E:$X,MATCH($A325,SPPR!$A:$A,0),1),"")</f>
        <v/>
      </c>
      <c r="E325">
        <f>IFERROR($C325*INDEX(SPPR!$E:$X,MATCH($A325,SPPR!$A:$A,0),2),"")</f>
        <v/>
      </c>
      <c r="F325">
        <f>IFERROR($C325*INDEX(SPPR!$E:$X,MATCH($A325,SPPR!$A:$A,0),3),"")</f>
        <v/>
      </c>
      <c r="G325">
        <f>IFERROR($C325*INDEX(SPPR!$E:$X,MATCH($A325,SPPR!$A:$A,0),4),"")</f>
        <v/>
      </c>
      <c r="H325">
        <f>IFERROR($C325*INDEX(SPPR!$E:$X,MATCH($A325,SPPR!$A:$A,0),5),"")</f>
        <v/>
      </c>
      <c r="I325">
        <f>IFERROR($C325*INDEX(SPPR!$E:$X,MATCH($A325,SPPR!$A:$A,0),6),"")</f>
        <v/>
      </c>
      <c r="J325">
        <f>IFERROR($C325*INDEX(SPPR!$E:$X,MATCH($A325,SPPR!$A:$A,0),7),"")</f>
        <v/>
      </c>
      <c r="K325">
        <f>IFERROR($C325*INDEX(SPPR!$E:$X,MATCH($A325,SPPR!$A:$A,0),8),"")</f>
        <v/>
      </c>
      <c r="L325">
        <f>IFERROR($C325*INDEX(SPPR!$E:$X,MATCH($A325,SPPR!$A:$A,0),9),"")</f>
        <v/>
      </c>
      <c r="M325">
        <f>IFERROR($C325*INDEX(SPPR!$E:$X,MATCH($A325,SPPR!$A:$A,0),10),"")</f>
        <v/>
      </c>
      <c r="N325">
        <f>IFERROR($C325*INDEX(SPPR!$E:$X,MATCH($A325,SPPR!$A:$A,0),11),"")</f>
        <v/>
      </c>
      <c r="O325">
        <f>IFERROR($C325*INDEX(SPPR!$E:$X,MATCH($A325,SPPR!$A:$A,0),12),"")</f>
        <v/>
      </c>
      <c r="P325">
        <f>IFERROR($C325*INDEX(SPPR!$E:$X,MATCH($A325,SPPR!$A:$A,0),13),"")</f>
        <v/>
      </c>
      <c r="Q325">
        <f>IFERROR($C325*INDEX(SPPR!$E:$X,MATCH($A325,SPPR!$A:$A,0),14),"")</f>
        <v/>
      </c>
      <c r="R325">
        <f>IFERROR($C325*INDEX(SPPR!$E:$X,MATCH($A325,SPPR!$A:$A,0),15),"")</f>
        <v/>
      </c>
      <c r="S325">
        <f>IFERROR($C325*INDEX(SPPR!$E:$X,MATCH($A325,SPPR!$A:$A,0),16),"")</f>
        <v/>
      </c>
      <c r="T325">
        <f>IFERROR($C325*INDEX(SPPR!$E:$X,MATCH($A325,SPPR!$A:$A,0),17),"")</f>
        <v/>
      </c>
      <c r="U325">
        <f>IFERROR($C325*INDEX(SPPR!$E:$X,MATCH($A325,SPPR!$A:$A,0),18),"")</f>
        <v/>
      </c>
      <c r="V325">
        <f>IFERROR($C325*INDEX(SPPR!$E:$X,MATCH($A325,SPPR!$A:$A,0),19),"")</f>
        <v/>
      </c>
      <c r="W325">
        <f>IFERROR($C325*INDEX(SPPR!$E:$X,MATCH($A325,SPPR!$A:$A,0),20),"")</f>
        <v/>
      </c>
    </row>
    <row r="326">
      <c r="A326" t="inlineStr">
        <is>
          <t>Seriola rivoliana</t>
        </is>
      </c>
      <c r="B326">
        <f>IFERROR(INDEX(SPPR!$D:$D,MATCH($A326,SPPR!$A:$A,0)),"")</f>
        <v/>
      </c>
      <c r="C326">
        <f>IFERROR(INDEX(Catch!$E:$BV,MATCH($A326,Catch!$A:$A,0),MATCH($B$4,Catch!$E$1:$BV$1,0)),0)</f>
        <v/>
      </c>
      <c r="D326">
        <f>IFERROR($C326*INDEX(SPPR!$E:$X,MATCH($A326,SPPR!$A:$A,0),1),"")</f>
        <v/>
      </c>
      <c r="E326">
        <f>IFERROR($C326*INDEX(SPPR!$E:$X,MATCH($A326,SPPR!$A:$A,0),2),"")</f>
        <v/>
      </c>
      <c r="F326">
        <f>IFERROR($C326*INDEX(SPPR!$E:$X,MATCH($A326,SPPR!$A:$A,0),3),"")</f>
        <v/>
      </c>
      <c r="G326">
        <f>IFERROR($C326*INDEX(SPPR!$E:$X,MATCH($A326,SPPR!$A:$A,0),4),"")</f>
        <v/>
      </c>
      <c r="H326">
        <f>IFERROR($C326*INDEX(SPPR!$E:$X,MATCH($A326,SPPR!$A:$A,0),5),"")</f>
        <v/>
      </c>
      <c r="I326">
        <f>IFERROR($C326*INDEX(SPPR!$E:$X,MATCH($A326,SPPR!$A:$A,0),6),"")</f>
        <v/>
      </c>
      <c r="J326">
        <f>IFERROR($C326*INDEX(SPPR!$E:$X,MATCH($A326,SPPR!$A:$A,0),7),"")</f>
        <v/>
      </c>
      <c r="K326">
        <f>IFERROR($C326*INDEX(SPPR!$E:$X,MATCH($A326,SPPR!$A:$A,0),8),"")</f>
        <v/>
      </c>
      <c r="L326">
        <f>IFERROR($C326*INDEX(SPPR!$E:$X,MATCH($A326,SPPR!$A:$A,0),9),"")</f>
        <v/>
      </c>
      <c r="M326">
        <f>IFERROR($C326*INDEX(SPPR!$E:$X,MATCH($A326,SPPR!$A:$A,0),10),"")</f>
        <v/>
      </c>
      <c r="N326">
        <f>IFERROR($C326*INDEX(SPPR!$E:$X,MATCH($A326,SPPR!$A:$A,0),11),"")</f>
        <v/>
      </c>
      <c r="O326">
        <f>IFERROR($C326*INDEX(SPPR!$E:$X,MATCH($A326,SPPR!$A:$A,0),12),"")</f>
        <v/>
      </c>
      <c r="P326">
        <f>IFERROR($C326*INDEX(SPPR!$E:$X,MATCH($A326,SPPR!$A:$A,0),13),"")</f>
        <v/>
      </c>
      <c r="Q326">
        <f>IFERROR($C326*INDEX(SPPR!$E:$X,MATCH($A326,SPPR!$A:$A,0),14),"")</f>
        <v/>
      </c>
      <c r="R326">
        <f>IFERROR($C326*INDEX(SPPR!$E:$X,MATCH($A326,SPPR!$A:$A,0),15),"")</f>
        <v/>
      </c>
      <c r="S326">
        <f>IFERROR($C326*INDEX(SPPR!$E:$X,MATCH($A326,SPPR!$A:$A,0),16),"")</f>
        <v/>
      </c>
      <c r="T326">
        <f>IFERROR($C326*INDEX(SPPR!$E:$X,MATCH($A326,SPPR!$A:$A,0),17),"")</f>
        <v/>
      </c>
      <c r="U326">
        <f>IFERROR($C326*INDEX(SPPR!$E:$X,MATCH($A326,SPPR!$A:$A,0),18),"")</f>
        <v/>
      </c>
      <c r="V326">
        <f>IFERROR($C326*INDEX(SPPR!$E:$X,MATCH($A326,SPPR!$A:$A,0),19),"")</f>
        <v/>
      </c>
      <c r="W326">
        <f>IFERROR($C326*INDEX(SPPR!$E:$X,MATCH($A326,SPPR!$A:$A,0),20),"")</f>
        <v/>
      </c>
    </row>
    <row r="327">
      <c r="A327" t="inlineStr">
        <is>
          <t>Encrasicholina heteroloba</t>
        </is>
      </c>
      <c r="B327">
        <f>IFERROR(INDEX(SPPR!$D:$D,MATCH($A327,SPPR!$A:$A,0)),"")</f>
        <v/>
      </c>
      <c r="C327">
        <f>IFERROR(INDEX(Catch!$E:$BV,MATCH($A327,Catch!$A:$A,0),MATCH($B$4,Catch!$E$1:$BV$1,0)),0)</f>
        <v/>
      </c>
      <c r="D327">
        <f>IFERROR($C327*INDEX(SPPR!$E:$X,MATCH($A327,SPPR!$A:$A,0),1),"")</f>
        <v/>
      </c>
      <c r="E327">
        <f>IFERROR($C327*INDEX(SPPR!$E:$X,MATCH($A327,SPPR!$A:$A,0),2),"")</f>
        <v/>
      </c>
      <c r="F327">
        <f>IFERROR($C327*INDEX(SPPR!$E:$X,MATCH($A327,SPPR!$A:$A,0),3),"")</f>
        <v/>
      </c>
      <c r="G327">
        <f>IFERROR($C327*INDEX(SPPR!$E:$X,MATCH($A327,SPPR!$A:$A,0),4),"")</f>
        <v/>
      </c>
      <c r="H327">
        <f>IFERROR($C327*INDEX(SPPR!$E:$X,MATCH($A327,SPPR!$A:$A,0),5),"")</f>
        <v/>
      </c>
      <c r="I327">
        <f>IFERROR($C327*INDEX(SPPR!$E:$X,MATCH($A327,SPPR!$A:$A,0),6),"")</f>
        <v/>
      </c>
      <c r="J327">
        <f>IFERROR($C327*INDEX(SPPR!$E:$X,MATCH($A327,SPPR!$A:$A,0),7),"")</f>
        <v/>
      </c>
      <c r="K327">
        <f>IFERROR($C327*INDEX(SPPR!$E:$X,MATCH($A327,SPPR!$A:$A,0),8),"")</f>
        <v/>
      </c>
      <c r="L327">
        <f>IFERROR($C327*INDEX(SPPR!$E:$X,MATCH($A327,SPPR!$A:$A,0),9),"")</f>
        <v/>
      </c>
      <c r="M327">
        <f>IFERROR($C327*INDEX(SPPR!$E:$X,MATCH($A327,SPPR!$A:$A,0),10),"")</f>
        <v/>
      </c>
      <c r="N327">
        <f>IFERROR($C327*INDEX(SPPR!$E:$X,MATCH($A327,SPPR!$A:$A,0),11),"")</f>
        <v/>
      </c>
      <c r="O327">
        <f>IFERROR($C327*INDEX(SPPR!$E:$X,MATCH($A327,SPPR!$A:$A,0),12),"")</f>
        <v/>
      </c>
      <c r="P327">
        <f>IFERROR($C327*INDEX(SPPR!$E:$X,MATCH($A327,SPPR!$A:$A,0),13),"")</f>
        <v/>
      </c>
      <c r="Q327">
        <f>IFERROR($C327*INDEX(SPPR!$E:$X,MATCH($A327,SPPR!$A:$A,0),14),"")</f>
        <v/>
      </c>
      <c r="R327">
        <f>IFERROR($C327*INDEX(SPPR!$E:$X,MATCH($A327,SPPR!$A:$A,0),15),"")</f>
        <v/>
      </c>
      <c r="S327">
        <f>IFERROR($C327*INDEX(SPPR!$E:$X,MATCH($A327,SPPR!$A:$A,0),16),"")</f>
        <v/>
      </c>
      <c r="T327">
        <f>IFERROR($C327*INDEX(SPPR!$E:$X,MATCH($A327,SPPR!$A:$A,0),17),"")</f>
        <v/>
      </c>
      <c r="U327">
        <f>IFERROR($C327*INDEX(SPPR!$E:$X,MATCH($A327,SPPR!$A:$A,0),18),"")</f>
        <v/>
      </c>
      <c r="V327">
        <f>IFERROR($C327*INDEX(SPPR!$E:$X,MATCH($A327,SPPR!$A:$A,0),19),"")</f>
        <v/>
      </c>
      <c r="W327">
        <f>IFERROR($C327*INDEX(SPPR!$E:$X,MATCH($A327,SPPR!$A:$A,0),20),"")</f>
        <v/>
      </c>
    </row>
    <row r="328">
      <c r="A328" t="inlineStr">
        <is>
          <t>Lethrinus xanthochilus</t>
        </is>
      </c>
      <c r="B328">
        <f>IFERROR(INDEX(SPPR!$D:$D,MATCH($A328,SPPR!$A:$A,0)),"")</f>
        <v/>
      </c>
      <c r="C328">
        <f>IFERROR(INDEX(Catch!$E:$BV,MATCH($A328,Catch!$A:$A,0),MATCH($B$4,Catch!$E$1:$BV$1,0)),0)</f>
        <v/>
      </c>
      <c r="D328">
        <f>IFERROR($C328*INDEX(SPPR!$E:$X,MATCH($A328,SPPR!$A:$A,0),1),"")</f>
        <v/>
      </c>
      <c r="E328">
        <f>IFERROR($C328*INDEX(SPPR!$E:$X,MATCH($A328,SPPR!$A:$A,0),2),"")</f>
        <v/>
      </c>
      <c r="F328">
        <f>IFERROR($C328*INDEX(SPPR!$E:$X,MATCH($A328,SPPR!$A:$A,0),3),"")</f>
        <v/>
      </c>
      <c r="G328">
        <f>IFERROR($C328*INDEX(SPPR!$E:$X,MATCH($A328,SPPR!$A:$A,0),4),"")</f>
        <v/>
      </c>
      <c r="H328">
        <f>IFERROR($C328*INDEX(SPPR!$E:$X,MATCH($A328,SPPR!$A:$A,0),5),"")</f>
        <v/>
      </c>
      <c r="I328">
        <f>IFERROR($C328*INDEX(SPPR!$E:$X,MATCH($A328,SPPR!$A:$A,0),6),"")</f>
        <v/>
      </c>
      <c r="J328">
        <f>IFERROR($C328*INDEX(SPPR!$E:$X,MATCH($A328,SPPR!$A:$A,0),7),"")</f>
        <v/>
      </c>
      <c r="K328">
        <f>IFERROR($C328*INDEX(SPPR!$E:$X,MATCH($A328,SPPR!$A:$A,0),8),"")</f>
        <v/>
      </c>
      <c r="L328">
        <f>IFERROR($C328*INDEX(SPPR!$E:$X,MATCH($A328,SPPR!$A:$A,0),9),"")</f>
        <v/>
      </c>
      <c r="M328">
        <f>IFERROR($C328*INDEX(SPPR!$E:$X,MATCH($A328,SPPR!$A:$A,0),10),"")</f>
        <v/>
      </c>
      <c r="N328">
        <f>IFERROR($C328*INDEX(SPPR!$E:$X,MATCH($A328,SPPR!$A:$A,0),11),"")</f>
        <v/>
      </c>
      <c r="O328">
        <f>IFERROR($C328*INDEX(SPPR!$E:$X,MATCH($A328,SPPR!$A:$A,0),12),"")</f>
        <v/>
      </c>
      <c r="P328">
        <f>IFERROR($C328*INDEX(SPPR!$E:$X,MATCH($A328,SPPR!$A:$A,0),13),"")</f>
        <v/>
      </c>
      <c r="Q328">
        <f>IFERROR($C328*INDEX(SPPR!$E:$X,MATCH($A328,SPPR!$A:$A,0),14),"")</f>
        <v/>
      </c>
      <c r="R328">
        <f>IFERROR($C328*INDEX(SPPR!$E:$X,MATCH($A328,SPPR!$A:$A,0),15),"")</f>
        <v/>
      </c>
      <c r="S328">
        <f>IFERROR($C328*INDEX(SPPR!$E:$X,MATCH($A328,SPPR!$A:$A,0),16),"")</f>
        <v/>
      </c>
      <c r="T328">
        <f>IFERROR($C328*INDEX(SPPR!$E:$X,MATCH($A328,SPPR!$A:$A,0),17),"")</f>
        <v/>
      </c>
      <c r="U328">
        <f>IFERROR($C328*INDEX(SPPR!$E:$X,MATCH($A328,SPPR!$A:$A,0),18),"")</f>
        <v/>
      </c>
      <c r="V328">
        <f>IFERROR($C328*INDEX(SPPR!$E:$X,MATCH($A328,SPPR!$A:$A,0),19),"")</f>
        <v/>
      </c>
      <c r="W328">
        <f>IFERROR($C328*INDEX(SPPR!$E:$X,MATCH($A328,SPPR!$A:$A,0),20),"")</f>
        <v/>
      </c>
    </row>
    <row r="329">
      <c r="A329" t="inlineStr">
        <is>
          <t>Prionace glauca</t>
        </is>
      </c>
      <c r="B329">
        <f>IFERROR(INDEX(SPPR!$D:$D,MATCH($A329,SPPR!$A:$A,0)),"")</f>
        <v/>
      </c>
      <c r="C329">
        <f>IFERROR(INDEX(Catch!$E:$BV,MATCH($A329,Catch!$A:$A,0),MATCH($B$4,Catch!$E$1:$BV$1,0)),0)</f>
        <v/>
      </c>
      <c r="D329">
        <f>IFERROR($C329*INDEX(SPPR!$E:$X,MATCH($A329,SPPR!$A:$A,0),1),"")</f>
        <v/>
      </c>
      <c r="E329">
        <f>IFERROR($C329*INDEX(SPPR!$E:$X,MATCH($A329,SPPR!$A:$A,0),2),"")</f>
        <v/>
      </c>
      <c r="F329">
        <f>IFERROR($C329*INDEX(SPPR!$E:$X,MATCH($A329,SPPR!$A:$A,0),3),"")</f>
        <v/>
      </c>
      <c r="G329">
        <f>IFERROR($C329*INDEX(SPPR!$E:$X,MATCH($A329,SPPR!$A:$A,0),4),"")</f>
        <v/>
      </c>
      <c r="H329">
        <f>IFERROR($C329*INDEX(SPPR!$E:$X,MATCH($A329,SPPR!$A:$A,0),5),"")</f>
        <v/>
      </c>
      <c r="I329">
        <f>IFERROR($C329*INDEX(SPPR!$E:$X,MATCH($A329,SPPR!$A:$A,0),6),"")</f>
        <v/>
      </c>
      <c r="J329">
        <f>IFERROR($C329*INDEX(SPPR!$E:$X,MATCH($A329,SPPR!$A:$A,0),7),"")</f>
        <v/>
      </c>
      <c r="K329">
        <f>IFERROR($C329*INDEX(SPPR!$E:$X,MATCH($A329,SPPR!$A:$A,0),8),"")</f>
        <v/>
      </c>
      <c r="L329">
        <f>IFERROR($C329*INDEX(SPPR!$E:$X,MATCH($A329,SPPR!$A:$A,0),9),"")</f>
        <v/>
      </c>
      <c r="M329">
        <f>IFERROR($C329*INDEX(SPPR!$E:$X,MATCH($A329,SPPR!$A:$A,0),10),"")</f>
        <v/>
      </c>
      <c r="N329">
        <f>IFERROR($C329*INDEX(SPPR!$E:$X,MATCH($A329,SPPR!$A:$A,0),11),"")</f>
        <v/>
      </c>
      <c r="O329">
        <f>IFERROR($C329*INDEX(SPPR!$E:$X,MATCH($A329,SPPR!$A:$A,0),12),"")</f>
        <v/>
      </c>
      <c r="P329">
        <f>IFERROR($C329*INDEX(SPPR!$E:$X,MATCH($A329,SPPR!$A:$A,0),13),"")</f>
        <v/>
      </c>
      <c r="Q329">
        <f>IFERROR($C329*INDEX(SPPR!$E:$X,MATCH($A329,SPPR!$A:$A,0),14),"")</f>
        <v/>
      </c>
      <c r="R329">
        <f>IFERROR($C329*INDEX(SPPR!$E:$X,MATCH($A329,SPPR!$A:$A,0),15),"")</f>
        <v/>
      </c>
      <c r="S329">
        <f>IFERROR($C329*INDEX(SPPR!$E:$X,MATCH($A329,SPPR!$A:$A,0),16),"")</f>
        <v/>
      </c>
      <c r="T329">
        <f>IFERROR($C329*INDEX(SPPR!$E:$X,MATCH($A329,SPPR!$A:$A,0),17),"")</f>
        <v/>
      </c>
      <c r="U329">
        <f>IFERROR($C329*INDEX(SPPR!$E:$X,MATCH($A329,SPPR!$A:$A,0),18),"")</f>
        <v/>
      </c>
      <c r="V329">
        <f>IFERROR($C329*INDEX(SPPR!$E:$X,MATCH($A329,SPPR!$A:$A,0),19),"")</f>
        <v/>
      </c>
      <c r="W329">
        <f>IFERROR($C329*INDEX(SPPR!$E:$X,MATCH($A329,SPPR!$A:$A,0),20),"")</f>
        <v/>
      </c>
    </row>
    <row r="330">
      <c r="A330" t="inlineStr">
        <is>
          <t>Stromateidae</t>
        </is>
      </c>
      <c r="B330">
        <f>IFERROR(INDEX(SPPR!$D:$D,MATCH($A330,SPPR!$A:$A,0)),"")</f>
        <v/>
      </c>
      <c r="C330">
        <f>IFERROR(INDEX(Catch!$E:$BV,MATCH($A330,Catch!$A:$A,0),MATCH($B$4,Catch!$E$1:$BV$1,0)),0)</f>
        <v/>
      </c>
      <c r="D330">
        <f>IFERROR($C330*INDEX(SPPR!$E:$X,MATCH($A330,SPPR!$A:$A,0),1),"")</f>
        <v/>
      </c>
      <c r="E330">
        <f>IFERROR($C330*INDEX(SPPR!$E:$X,MATCH($A330,SPPR!$A:$A,0),2),"")</f>
        <v/>
      </c>
      <c r="F330">
        <f>IFERROR($C330*INDEX(SPPR!$E:$X,MATCH($A330,SPPR!$A:$A,0),3),"")</f>
        <v/>
      </c>
      <c r="G330">
        <f>IFERROR($C330*INDEX(SPPR!$E:$X,MATCH($A330,SPPR!$A:$A,0),4),"")</f>
        <v/>
      </c>
      <c r="H330">
        <f>IFERROR($C330*INDEX(SPPR!$E:$X,MATCH($A330,SPPR!$A:$A,0),5),"")</f>
        <v/>
      </c>
      <c r="I330">
        <f>IFERROR($C330*INDEX(SPPR!$E:$X,MATCH($A330,SPPR!$A:$A,0),6),"")</f>
        <v/>
      </c>
      <c r="J330">
        <f>IFERROR($C330*INDEX(SPPR!$E:$X,MATCH($A330,SPPR!$A:$A,0),7),"")</f>
        <v/>
      </c>
      <c r="K330">
        <f>IFERROR($C330*INDEX(SPPR!$E:$X,MATCH($A330,SPPR!$A:$A,0),8),"")</f>
        <v/>
      </c>
      <c r="L330">
        <f>IFERROR($C330*INDEX(SPPR!$E:$X,MATCH($A330,SPPR!$A:$A,0),9),"")</f>
        <v/>
      </c>
      <c r="M330">
        <f>IFERROR($C330*INDEX(SPPR!$E:$X,MATCH($A330,SPPR!$A:$A,0),10),"")</f>
        <v/>
      </c>
      <c r="N330">
        <f>IFERROR($C330*INDEX(SPPR!$E:$X,MATCH($A330,SPPR!$A:$A,0),11),"")</f>
        <v/>
      </c>
      <c r="O330">
        <f>IFERROR($C330*INDEX(SPPR!$E:$X,MATCH($A330,SPPR!$A:$A,0),12),"")</f>
        <v/>
      </c>
      <c r="P330">
        <f>IFERROR($C330*INDEX(SPPR!$E:$X,MATCH($A330,SPPR!$A:$A,0),13),"")</f>
        <v/>
      </c>
      <c r="Q330">
        <f>IFERROR($C330*INDEX(SPPR!$E:$X,MATCH($A330,SPPR!$A:$A,0),14),"")</f>
        <v/>
      </c>
      <c r="R330">
        <f>IFERROR($C330*INDEX(SPPR!$E:$X,MATCH($A330,SPPR!$A:$A,0),15),"")</f>
        <v/>
      </c>
      <c r="S330">
        <f>IFERROR($C330*INDEX(SPPR!$E:$X,MATCH($A330,SPPR!$A:$A,0),16),"")</f>
        <v/>
      </c>
      <c r="T330">
        <f>IFERROR($C330*INDEX(SPPR!$E:$X,MATCH($A330,SPPR!$A:$A,0),17),"")</f>
        <v/>
      </c>
      <c r="U330">
        <f>IFERROR($C330*INDEX(SPPR!$E:$X,MATCH($A330,SPPR!$A:$A,0),18),"")</f>
        <v/>
      </c>
      <c r="V330">
        <f>IFERROR($C330*INDEX(SPPR!$E:$X,MATCH($A330,SPPR!$A:$A,0),19),"")</f>
        <v/>
      </c>
      <c r="W330">
        <f>IFERROR($C330*INDEX(SPPR!$E:$X,MATCH($A330,SPPR!$A:$A,0),20),"")</f>
        <v/>
      </c>
    </row>
    <row r="331">
      <c r="A331" t="inlineStr">
        <is>
          <t>Zeus faber</t>
        </is>
      </c>
      <c r="B331">
        <f>IFERROR(INDEX(SPPR!$D:$D,MATCH($A331,SPPR!$A:$A,0)),"")</f>
        <v/>
      </c>
      <c r="C331">
        <f>IFERROR(INDEX(Catch!$E:$BV,MATCH($A331,Catch!$A:$A,0),MATCH($B$4,Catch!$E$1:$BV$1,0)),0)</f>
        <v/>
      </c>
      <c r="D331">
        <f>IFERROR($C331*INDEX(SPPR!$E:$X,MATCH($A331,SPPR!$A:$A,0),1),"")</f>
        <v/>
      </c>
      <c r="E331">
        <f>IFERROR($C331*INDEX(SPPR!$E:$X,MATCH($A331,SPPR!$A:$A,0),2),"")</f>
        <v/>
      </c>
      <c r="F331">
        <f>IFERROR($C331*INDEX(SPPR!$E:$X,MATCH($A331,SPPR!$A:$A,0),3),"")</f>
        <v/>
      </c>
      <c r="G331">
        <f>IFERROR($C331*INDEX(SPPR!$E:$X,MATCH($A331,SPPR!$A:$A,0),4),"")</f>
        <v/>
      </c>
      <c r="H331">
        <f>IFERROR($C331*INDEX(SPPR!$E:$X,MATCH($A331,SPPR!$A:$A,0),5),"")</f>
        <v/>
      </c>
      <c r="I331">
        <f>IFERROR($C331*INDEX(SPPR!$E:$X,MATCH($A331,SPPR!$A:$A,0),6),"")</f>
        <v/>
      </c>
      <c r="J331">
        <f>IFERROR($C331*INDEX(SPPR!$E:$X,MATCH($A331,SPPR!$A:$A,0),7),"")</f>
        <v/>
      </c>
      <c r="K331">
        <f>IFERROR($C331*INDEX(SPPR!$E:$X,MATCH($A331,SPPR!$A:$A,0),8),"")</f>
        <v/>
      </c>
      <c r="L331">
        <f>IFERROR($C331*INDEX(SPPR!$E:$X,MATCH($A331,SPPR!$A:$A,0),9),"")</f>
        <v/>
      </c>
      <c r="M331">
        <f>IFERROR($C331*INDEX(SPPR!$E:$X,MATCH($A331,SPPR!$A:$A,0),10),"")</f>
        <v/>
      </c>
      <c r="N331">
        <f>IFERROR($C331*INDEX(SPPR!$E:$X,MATCH($A331,SPPR!$A:$A,0),11),"")</f>
        <v/>
      </c>
      <c r="O331">
        <f>IFERROR($C331*INDEX(SPPR!$E:$X,MATCH($A331,SPPR!$A:$A,0),12),"")</f>
        <v/>
      </c>
      <c r="P331">
        <f>IFERROR($C331*INDEX(SPPR!$E:$X,MATCH($A331,SPPR!$A:$A,0),13),"")</f>
        <v/>
      </c>
      <c r="Q331">
        <f>IFERROR($C331*INDEX(SPPR!$E:$X,MATCH($A331,SPPR!$A:$A,0),14),"")</f>
        <v/>
      </c>
      <c r="R331">
        <f>IFERROR($C331*INDEX(SPPR!$E:$X,MATCH($A331,SPPR!$A:$A,0),15),"")</f>
        <v/>
      </c>
      <c r="S331">
        <f>IFERROR($C331*INDEX(SPPR!$E:$X,MATCH($A331,SPPR!$A:$A,0),16),"")</f>
        <v/>
      </c>
      <c r="T331">
        <f>IFERROR($C331*INDEX(SPPR!$E:$X,MATCH($A331,SPPR!$A:$A,0),17),"")</f>
        <v/>
      </c>
      <c r="U331">
        <f>IFERROR($C331*INDEX(SPPR!$E:$X,MATCH($A331,SPPR!$A:$A,0),18),"")</f>
        <v/>
      </c>
      <c r="V331">
        <f>IFERROR($C331*INDEX(SPPR!$E:$X,MATCH($A331,SPPR!$A:$A,0),19),"")</f>
        <v/>
      </c>
      <c r="W331">
        <f>IFERROR($C331*INDEX(SPPR!$E:$X,MATCH($A331,SPPR!$A:$A,0),20),"")</f>
        <v/>
      </c>
    </row>
    <row r="332">
      <c r="A332" t="inlineStr">
        <is>
          <t>Terapontidae</t>
        </is>
      </c>
      <c r="B332">
        <f>IFERROR(INDEX(SPPR!$D:$D,MATCH($A332,SPPR!$A:$A,0)),"")</f>
        <v/>
      </c>
      <c r="C332">
        <f>IFERROR(INDEX(Catch!$E:$BV,MATCH($A332,Catch!$A:$A,0),MATCH($B$4,Catch!$E$1:$BV$1,0)),0)</f>
        <v/>
      </c>
      <c r="D332">
        <f>IFERROR($C332*INDEX(SPPR!$E:$X,MATCH($A332,SPPR!$A:$A,0),1),"")</f>
        <v/>
      </c>
      <c r="E332">
        <f>IFERROR($C332*INDEX(SPPR!$E:$X,MATCH($A332,SPPR!$A:$A,0),2),"")</f>
        <v/>
      </c>
      <c r="F332">
        <f>IFERROR($C332*INDEX(SPPR!$E:$X,MATCH($A332,SPPR!$A:$A,0),3),"")</f>
        <v/>
      </c>
      <c r="G332">
        <f>IFERROR($C332*INDEX(SPPR!$E:$X,MATCH($A332,SPPR!$A:$A,0),4),"")</f>
        <v/>
      </c>
      <c r="H332">
        <f>IFERROR($C332*INDEX(SPPR!$E:$X,MATCH($A332,SPPR!$A:$A,0),5),"")</f>
        <v/>
      </c>
      <c r="I332">
        <f>IFERROR($C332*INDEX(SPPR!$E:$X,MATCH($A332,SPPR!$A:$A,0),6),"")</f>
        <v/>
      </c>
      <c r="J332">
        <f>IFERROR($C332*INDEX(SPPR!$E:$X,MATCH($A332,SPPR!$A:$A,0),7),"")</f>
        <v/>
      </c>
      <c r="K332">
        <f>IFERROR($C332*INDEX(SPPR!$E:$X,MATCH($A332,SPPR!$A:$A,0),8),"")</f>
        <v/>
      </c>
      <c r="L332">
        <f>IFERROR($C332*INDEX(SPPR!$E:$X,MATCH($A332,SPPR!$A:$A,0),9),"")</f>
        <v/>
      </c>
      <c r="M332">
        <f>IFERROR($C332*INDEX(SPPR!$E:$X,MATCH($A332,SPPR!$A:$A,0),10),"")</f>
        <v/>
      </c>
      <c r="N332">
        <f>IFERROR($C332*INDEX(SPPR!$E:$X,MATCH($A332,SPPR!$A:$A,0),11),"")</f>
        <v/>
      </c>
      <c r="O332">
        <f>IFERROR($C332*INDEX(SPPR!$E:$X,MATCH($A332,SPPR!$A:$A,0),12),"")</f>
        <v/>
      </c>
      <c r="P332">
        <f>IFERROR($C332*INDEX(SPPR!$E:$X,MATCH($A332,SPPR!$A:$A,0),13),"")</f>
        <v/>
      </c>
      <c r="Q332">
        <f>IFERROR($C332*INDEX(SPPR!$E:$X,MATCH($A332,SPPR!$A:$A,0),14),"")</f>
        <v/>
      </c>
      <c r="R332">
        <f>IFERROR($C332*INDEX(SPPR!$E:$X,MATCH($A332,SPPR!$A:$A,0),15),"")</f>
        <v/>
      </c>
      <c r="S332">
        <f>IFERROR($C332*INDEX(SPPR!$E:$X,MATCH($A332,SPPR!$A:$A,0),16),"")</f>
        <v/>
      </c>
      <c r="T332">
        <f>IFERROR($C332*INDEX(SPPR!$E:$X,MATCH($A332,SPPR!$A:$A,0),17),"")</f>
        <v/>
      </c>
      <c r="U332">
        <f>IFERROR($C332*INDEX(SPPR!$E:$X,MATCH($A332,SPPR!$A:$A,0),18),"")</f>
        <v/>
      </c>
      <c r="V332">
        <f>IFERROR($C332*INDEX(SPPR!$E:$X,MATCH($A332,SPPR!$A:$A,0),19),"")</f>
        <v/>
      </c>
      <c r="W332">
        <f>IFERROR($C332*INDEX(SPPR!$E:$X,MATCH($A332,SPPR!$A:$A,0),20),"")</f>
        <v/>
      </c>
    </row>
    <row r="333">
      <c r="A333" t="inlineStr">
        <is>
          <t>Caesio caerulaurea</t>
        </is>
      </c>
      <c r="B333">
        <f>IFERROR(INDEX(SPPR!$D:$D,MATCH($A333,SPPR!$A:$A,0)),"")</f>
        <v/>
      </c>
      <c r="C333">
        <f>IFERROR(INDEX(Catch!$E:$BV,MATCH($A333,Catch!$A:$A,0),MATCH($B$4,Catch!$E$1:$BV$1,0)),0)</f>
        <v/>
      </c>
      <c r="D333">
        <f>IFERROR($C333*INDEX(SPPR!$E:$X,MATCH($A333,SPPR!$A:$A,0),1),"")</f>
        <v/>
      </c>
      <c r="E333">
        <f>IFERROR($C333*INDEX(SPPR!$E:$X,MATCH($A333,SPPR!$A:$A,0),2),"")</f>
        <v/>
      </c>
      <c r="F333">
        <f>IFERROR($C333*INDEX(SPPR!$E:$X,MATCH($A333,SPPR!$A:$A,0),3),"")</f>
        <v/>
      </c>
      <c r="G333">
        <f>IFERROR($C333*INDEX(SPPR!$E:$X,MATCH($A333,SPPR!$A:$A,0),4),"")</f>
        <v/>
      </c>
      <c r="H333">
        <f>IFERROR($C333*INDEX(SPPR!$E:$X,MATCH($A333,SPPR!$A:$A,0),5),"")</f>
        <v/>
      </c>
      <c r="I333">
        <f>IFERROR($C333*INDEX(SPPR!$E:$X,MATCH($A333,SPPR!$A:$A,0),6),"")</f>
        <v/>
      </c>
      <c r="J333">
        <f>IFERROR($C333*INDEX(SPPR!$E:$X,MATCH($A333,SPPR!$A:$A,0),7),"")</f>
        <v/>
      </c>
      <c r="K333">
        <f>IFERROR($C333*INDEX(SPPR!$E:$X,MATCH($A333,SPPR!$A:$A,0),8),"")</f>
        <v/>
      </c>
      <c r="L333">
        <f>IFERROR($C333*INDEX(SPPR!$E:$X,MATCH($A333,SPPR!$A:$A,0),9),"")</f>
        <v/>
      </c>
      <c r="M333">
        <f>IFERROR($C333*INDEX(SPPR!$E:$X,MATCH($A333,SPPR!$A:$A,0),10),"")</f>
        <v/>
      </c>
      <c r="N333">
        <f>IFERROR($C333*INDEX(SPPR!$E:$X,MATCH($A333,SPPR!$A:$A,0),11),"")</f>
        <v/>
      </c>
      <c r="O333">
        <f>IFERROR($C333*INDEX(SPPR!$E:$X,MATCH($A333,SPPR!$A:$A,0),12),"")</f>
        <v/>
      </c>
      <c r="P333">
        <f>IFERROR($C333*INDEX(SPPR!$E:$X,MATCH($A333,SPPR!$A:$A,0),13),"")</f>
        <v/>
      </c>
      <c r="Q333">
        <f>IFERROR($C333*INDEX(SPPR!$E:$X,MATCH($A333,SPPR!$A:$A,0),14),"")</f>
        <v/>
      </c>
      <c r="R333">
        <f>IFERROR($C333*INDEX(SPPR!$E:$X,MATCH($A333,SPPR!$A:$A,0),15),"")</f>
        <v/>
      </c>
      <c r="S333">
        <f>IFERROR($C333*INDEX(SPPR!$E:$X,MATCH($A333,SPPR!$A:$A,0),16),"")</f>
        <v/>
      </c>
      <c r="T333">
        <f>IFERROR($C333*INDEX(SPPR!$E:$X,MATCH($A333,SPPR!$A:$A,0),17),"")</f>
        <v/>
      </c>
      <c r="U333">
        <f>IFERROR($C333*INDEX(SPPR!$E:$X,MATCH($A333,SPPR!$A:$A,0),18),"")</f>
        <v/>
      </c>
      <c r="V333">
        <f>IFERROR($C333*INDEX(SPPR!$E:$X,MATCH($A333,SPPR!$A:$A,0),19),"")</f>
        <v/>
      </c>
      <c r="W333">
        <f>IFERROR($C333*INDEX(SPPR!$E:$X,MATCH($A333,SPPR!$A:$A,0),20),"")</f>
        <v/>
      </c>
    </row>
    <row r="334">
      <c r="A334" t="inlineStr">
        <is>
          <t>Caesio lunaris</t>
        </is>
      </c>
      <c r="B334">
        <f>IFERROR(INDEX(SPPR!$D:$D,MATCH($A334,SPPR!$A:$A,0)),"")</f>
        <v/>
      </c>
      <c r="C334">
        <f>IFERROR(INDEX(Catch!$E:$BV,MATCH($A334,Catch!$A:$A,0),MATCH($B$4,Catch!$E$1:$BV$1,0)),0)</f>
        <v/>
      </c>
      <c r="D334">
        <f>IFERROR($C334*INDEX(SPPR!$E:$X,MATCH($A334,SPPR!$A:$A,0),1),"")</f>
        <v/>
      </c>
      <c r="E334">
        <f>IFERROR($C334*INDEX(SPPR!$E:$X,MATCH($A334,SPPR!$A:$A,0),2),"")</f>
        <v/>
      </c>
      <c r="F334">
        <f>IFERROR($C334*INDEX(SPPR!$E:$X,MATCH($A334,SPPR!$A:$A,0),3),"")</f>
        <v/>
      </c>
      <c r="G334">
        <f>IFERROR($C334*INDEX(SPPR!$E:$X,MATCH($A334,SPPR!$A:$A,0),4),"")</f>
        <v/>
      </c>
      <c r="H334">
        <f>IFERROR($C334*INDEX(SPPR!$E:$X,MATCH($A334,SPPR!$A:$A,0),5),"")</f>
        <v/>
      </c>
      <c r="I334">
        <f>IFERROR($C334*INDEX(SPPR!$E:$X,MATCH($A334,SPPR!$A:$A,0),6),"")</f>
        <v/>
      </c>
      <c r="J334">
        <f>IFERROR($C334*INDEX(SPPR!$E:$X,MATCH($A334,SPPR!$A:$A,0),7),"")</f>
        <v/>
      </c>
      <c r="K334">
        <f>IFERROR($C334*INDEX(SPPR!$E:$X,MATCH($A334,SPPR!$A:$A,0),8),"")</f>
        <v/>
      </c>
      <c r="L334">
        <f>IFERROR($C334*INDEX(SPPR!$E:$X,MATCH($A334,SPPR!$A:$A,0),9),"")</f>
        <v/>
      </c>
      <c r="M334">
        <f>IFERROR($C334*INDEX(SPPR!$E:$X,MATCH($A334,SPPR!$A:$A,0),10),"")</f>
        <v/>
      </c>
      <c r="N334">
        <f>IFERROR($C334*INDEX(SPPR!$E:$X,MATCH($A334,SPPR!$A:$A,0),11),"")</f>
        <v/>
      </c>
      <c r="O334">
        <f>IFERROR($C334*INDEX(SPPR!$E:$X,MATCH($A334,SPPR!$A:$A,0),12),"")</f>
        <v/>
      </c>
      <c r="P334">
        <f>IFERROR($C334*INDEX(SPPR!$E:$X,MATCH($A334,SPPR!$A:$A,0),13),"")</f>
        <v/>
      </c>
      <c r="Q334">
        <f>IFERROR($C334*INDEX(SPPR!$E:$X,MATCH($A334,SPPR!$A:$A,0),14),"")</f>
        <v/>
      </c>
      <c r="R334">
        <f>IFERROR($C334*INDEX(SPPR!$E:$X,MATCH($A334,SPPR!$A:$A,0),15),"")</f>
        <v/>
      </c>
      <c r="S334">
        <f>IFERROR($C334*INDEX(SPPR!$E:$X,MATCH($A334,SPPR!$A:$A,0),16),"")</f>
        <v/>
      </c>
      <c r="T334">
        <f>IFERROR($C334*INDEX(SPPR!$E:$X,MATCH($A334,SPPR!$A:$A,0),17),"")</f>
        <v/>
      </c>
      <c r="U334">
        <f>IFERROR($C334*INDEX(SPPR!$E:$X,MATCH($A334,SPPR!$A:$A,0),18),"")</f>
        <v/>
      </c>
      <c r="V334">
        <f>IFERROR($C334*INDEX(SPPR!$E:$X,MATCH($A334,SPPR!$A:$A,0),19),"")</f>
        <v/>
      </c>
      <c r="W334">
        <f>IFERROR($C334*INDEX(SPPR!$E:$X,MATCH($A334,SPPR!$A:$A,0),20),"")</f>
        <v/>
      </c>
    </row>
    <row r="335">
      <c r="A335" t="inlineStr">
        <is>
          <t>Aphareus furca</t>
        </is>
      </c>
      <c r="B335">
        <f>IFERROR(INDEX(SPPR!$D:$D,MATCH($A335,SPPR!$A:$A,0)),"")</f>
        <v/>
      </c>
      <c r="C335">
        <f>IFERROR(INDEX(Catch!$E:$BV,MATCH($A335,Catch!$A:$A,0),MATCH($B$4,Catch!$E$1:$BV$1,0)),0)</f>
        <v/>
      </c>
      <c r="D335">
        <f>IFERROR($C335*INDEX(SPPR!$E:$X,MATCH($A335,SPPR!$A:$A,0),1),"")</f>
        <v/>
      </c>
      <c r="E335">
        <f>IFERROR($C335*INDEX(SPPR!$E:$X,MATCH($A335,SPPR!$A:$A,0),2),"")</f>
        <v/>
      </c>
      <c r="F335">
        <f>IFERROR($C335*INDEX(SPPR!$E:$X,MATCH($A335,SPPR!$A:$A,0),3),"")</f>
        <v/>
      </c>
      <c r="G335">
        <f>IFERROR($C335*INDEX(SPPR!$E:$X,MATCH($A335,SPPR!$A:$A,0),4),"")</f>
        <v/>
      </c>
      <c r="H335">
        <f>IFERROR($C335*INDEX(SPPR!$E:$X,MATCH($A335,SPPR!$A:$A,0),5),"")</f>
        <v/>
      </c>
      <c r="I335">
        <f>IFERROR($C335*INDEX(SPPR!$E:$X,MATCH($A335,SPPR!$A:$A,0),6),"")</f>
        <v/>
      </c>
      <c r="J335">
        <f>IFERROR($C335*INDEX(SPPR!$E:$X,MATCH($A335,SPPR!$A:$A,0),7),"")</f>
        <v/>
      </c>
      <c r="K335">
        <f>IFERROR($C335*INDEX(SPPR!$E:$X,MATCH($A335,SPPR!$A:$A,0),8),"")</f>
        <v/>
      </c>
      <c r="L335">
        <f>IFERROR($C335*INDEX(SPPR!$E:$X,MATCH($A335,SPPR!$A:$A,0),9),"")</f>
        <v/>
      </c>
      <c r="M335">
        <f>IFERROR($C335*INDEX(SPPR!$E:$X,MATCH($A335,SPPR!$A:$A,0),10),"")</f>
        <v/>
      </c>
      <c r="N335">
        <f>IFERROR($C335*INDEX(SPPR!$E:$X,MATCH($A335,SPPR!$A:$A,0),11),"")</f>
        <v/>
      </c>
      <c r="O335">
        <f>IFERROR($C335*INDEX(SPPR!$E:$X,MATCH($A335,SPPR!$A:$A,0),12),"")</f>
        <v/>
      </c>
      <c r="P335">
        <f>IFERROR($C335*INDEX(SPPR!$E:$X,MATCH($A335,SPPR!$A:$A,0),13),"")</f>
        <v/>
      </c>
      <c r="Q335">
        <f>IFERROR($C335*INDEX(SPPR!$E:$X,MATCH($A335,SPPR!$A:$A,0),14),"")</f>
        <v/>
      </c>
      <c r="R335">
        <f>IFERROR($C335*INDEX(SPPR!$E:$X,MATCH($A335,SPPR!$A:$A,0),15),"")</f>
        <v/>
      </c>
      <c r="S335">
        <f>IFERROR($C335*INDEX(SPPR!$E:$X,MATCH($A335,SPPR!$A:$A,0),16),"")</f>
        <v/>
      </c>
      <c r="T335">
        <f>IFERROR($C335*INDEX(SPPR!$E:$X,MATCH($A335,SPPR!$A:$A,0),17),"")</f>
        <v/>
      </c>
      <c r="U335">
        <f>IFERROR($C335*INDEX(SPPR!$E:$X,MATCH($A335,SPPR!$A:$A,0),18),"")</f>
        <v/>
      </c>
      <c r="V335">
        <f>IFERROR($C335*INDEX(SPPR!$E:$X,MATCH($A335,SPPR!$A:$A,0),19),"")</f>
        <v/>
      </c>
      <c r="W335">
        <f>IFERROR($C335*INDEX(SPPR!$E:$X,MATCH($A335,SPPR!$A:$A,0),20),"")</f>
        <v/>
      </c>
    </row>
    <row r="336">
      <c r="A336" t="inlineStr">
        <is>
          <t>Plectorhinchus pictus</t>
        </is>
      </c>
      <c r="B336">
        <f>IFERROR(INDEX(SPPR!$D:$D,MATCH($A336,SPPR!$A:$A,0)),"")</f>
        <v/>
      </c>
      <c r="C336">
        <f>IFERROR(INDEX(Catch!$E:$BV,MATCH($A336,Catch!$A:$A,0),MATCH($B$4,Catch!$E$1:$BV$1,0)),0)</f>
        <v/>
      </c>
      <c r="D336">
        <f>IFERROR($C336*INDEX(SPPR!$E:$X,MATCH($A336,SPPR!$A:$A,0),1),"")</f>
        <v/>
      </c>
      <c r="E336">
        <f>IFERROR($C336*INDEX(SPPR!$E:$X,MATCH($A336,SPPR!$A:$A,0),2),"")</f>
        <v/>
      </c>
      <c r="F336">
        <f>IFERROR($C336*INDEX(SPPR!$E:$X,MATCH($A336,SPPR!$A:$A,0),3),"")</f>
        <v/>
      </c>
      <c r="G336">
        <f>IFERROR($C336*INDEX(SPPR!$E:$X,MATCH($A336,SPPR!$A:$A,0),4),"")</f>
        <v/>
      </c>
      <c r="H336">
        <f>IFERROR($C336*INDEX(SPPR!$E:$X,MATCH($A336,SPPR!$A:$A,0),5),"")</f>
        <v/>
      </c>
      <c r="I336">
        <f>IFERROR($C336*INDEX(SPPR!$E:$X,MATCH($A336,SPPR!$A:$A,0),6),"")</f>
        <v/>
      </c>
      <c r="J336">
        <f>IFERROR($C336*INDEX(SPPR!$E:$X,MATCH($A336,SPPR!$A:$A,0),7),"")</f>
        <v/>
      </c>
      <c r="K336">
        <f>IFERROR($C336*INDEX(SPPR!$E:$X,MATCH($A336,SPPR!$A:$A,0),8),"")</f>
        <v/>
      </c>
      <c r="L336">
        <f>IFERROR($C336*INDEX(SPPR!$E:$X,MATCH($A336,SPPR!$A:$A,0),9),"")</f>
        <v/>
      </c>
      <c r="M336">
        <f>IFERROR($C336*INDEX(SPPR!$E:$X,MATCH($A336,SPPR!$A:$A,0),10),"")</f>
        <v/>
      </c>
      <c r="N336">
        <f>IFERROR($C336*INDEX(SPPR!$E:$X,MATCH($A336,SPPR!$A:$A,0),11),"")</f>
        <v/>
      </c>
      <c r="O336">
        <f>IFERROR($C336*INDEX(SPPR!$E:$X,MATCH($A336,SPPR!$A:$A,0),12),"")</f>
        <v/>
      </c>
      <c r="P336">
        <f>IFERROR($C336*INDEX(SPPR!$E:$X,MATCH($A336,SPPR!$A:$A,0),13),"")</f>
        <v/>
      </c>
      <c r="Q336">
        <f>IFERROR($C336*INDEX(SPPR!$E:$X,MATCH($A336,SPPR!$A:$A,0),14),"")</f>
        <v/>
      </c>
      <c r="R336">
        <f>IFERROR($C336*INDEX(SPPR!$E:$X,MATCH($A336,SPPR!$A:$A,0),15),"")</f>
        <v/>
      </c>
      <c r="S336">
        <f>IFERROR($C336*INDEX(SPPR!$E:$X,MATCH($A336,SPPR!$A:$A,0),16),"")</f>
        <v/>
      </c>
      <c r="T336">
        <f>IFERROR($C336*INDEX(SPPR!$E:$X,MATCH($A336,SPPR!$A:$A,0),17),"")</f>
        <v/>
      </c>
      <c r="U336">
        <f>IFERROR($C336*INDEX(SPPR!$E:$X,MATCH($A336,SPPR!$A:$A,0),18),"")</f>
        <v/>
      </c>
      <c r="V336">
        <f>IFERROR($C336*INDEX(SPPR!$E:$X,MATCH($A336,SPPR!$A:$A,0),19),"")</f>
        <v/>
      </c>
      <c r="W336">
        <f>IFERROR($C336*INDEX(SPPR!$E:$X,MATCH($A336,SPPR!$A:$A,0),20),"")</f>
        <v/>
      </c>
    </row>
    <row r="337">
      <c r="A337" t="inlineStr">
        <is>
          <t>Centrolophidae</t>
        </is>
      </c>
      <c r="B337">
        <f>IFERROR(INDEX(SPPR!$D:$D,MATCH($A337,SPPR!$A:$A,0)),"")</f>
        <v/>
      </c>
      <c r="C337">
        <f>IFERROR(INDEX(Catch!$E:$BV,MATCH($A337,Catch!$A:$A,0),MATCH($B$4,Catch!$E$1:$BV$1,0)),0)</f>
        <v/>
      </c>
      <c r="D337">
        <f>IFERROR($C337*INDEX(SPPR!$E:$X,MATCH($A337,SPPR!$A:$A,0),1),"")</f>
        <v/>
      </c>
      <c r="E337">
        <f>IFERROR($C337*INDEX(SPPR!$E:$X,MATCH($A337,SPPR!$A:$A,0),2),"")</f>
        <v/>
      </c>
      <c r="F337">
        <f>IFERROR($C337*INDEX(SPPR!$E:$X,MATCH($A337,SPPR!$A:$A,0),3),"")</f>
        <v/>
      </c>
      <c r="G337">
        <f>IFERROR($C337*INDEX(SPPR!$E:$X,MATCH($A337,SPPR!$A:$A,0),4),"")</f>
        <v/>
      </c>
      <c r="H337">
        <f>IFERROR($C337*INDEX(SPPR!$E:$X,MATCH($A337,SPPR!$A:$A,0),5),"")</f>
        <v/>
      </c>
      <c r="I337">
        <f>IFERROR($C337*INDEX(SPPR!$E:$X,MATCH($A337,SPPR!$A:$A,0),6),"")</f>
        <v/>
      </c>
      <c r="J337">
        <f>IFERROR($C337*INDEX(SPPR!$E:$X,MATCH($A337,SPPR!$A:$A,0),7),"")</f>
        <v/>
      </c>
      <c r="K337">
        <f>IFERROR($C337*INDEX(SPPR!$E:$X,MATCH($A337,SPPR!$A:$A,0),8),"")</f>
        <v/>
      </c>
      <c r="L337">
        <f>IFERROR($C337*INDEX(SPPR!$E:$X,MATCH($A337,SPPR!$A:$A,0),9),"")</f>
        <v/>
      </c>
      <c r="M337">
        <f>IFERROR($C337*INDEX(SPPR!$E:$X,MATCH($A337,SPPR!$A:$A,0),10),"")</f>
        <v/>
      </c>
      <c r="N337">
        <f>IFERROR($C337*INDEX(SPPR!$E:$X,MATCH($A337,SPPR!$A:$A,0),11),"")</f>
        <v/>
      </c>
      <c r="O337">
        <f>IFERROR($C337*INDEX(SPPR!$E:$X,MATCH($A337,SPPR!$A:$A,0),12),"")</f>
        <v/>
      </c>
      <c r="P337">
        <f>IFERROR($C337*INDEX(SPPR!$E:$X,MATCH($A337,SPPR!$A:$A,0),13),"")</f>
        <v/>
      </c>
      <c r="Q337">
        <f>IFERROR($C337*INDEX(SPPR!$E:$X,MATCH($A337,SPPR!$A:$A,0),14),"")</f>
        <v/>
      </c>
      <c r="R337">
        <f>IFERROR($C337*INDEX(SPPR!$E:$X,MATCH($A337,SPPR!$A:$A,0),15),"")</f>
        <v/>
      </c>
      <c r="S337">
        <f>IFERROR($C337*INDEX(SPPR!$E:$X,MATCH($A337,SPPR!$A:$A,0),16),"")</f>
        <v/>
      </c>
      <c r="T337">
        <f>IFERROR($C337*INDEX(SPPR!$E:$X,MATCH($A337,SPPR!$A:$A,0),17),"")</f>
        <v/>
      </c>
      <c r="U337">
        <f>IFERROR($C337*INDEX(SPPR!$E:$X,MATCH($A337,SPPR!$A:$A,0),18),"")</f>
        <v/>
      </c>
      <c r="V337">
        <f>IFERROR($C337*INDEX(SPPR!$E:$X,MATCH($A337,SPPR!$A:$A,0),19),"")</f>
        <v/>
      </c>
      <c r="W337">
        <f>IFERROR($C337*INDEX(SPPR!$E:$X,MATCH($A337,SPPR!$A:$A,0),20),"")</f>
        <v/>
      </c>
    </row>
    <row r="338">
      <c r="A338" t="inlineStr">
        <is>
          <t>Lethrinus harak</t>
        </is>
      </c>
      <c r="B338">
        <f>IFERROR(INDEX(SPPR!$D:$D,MATCH($A338,SPPR!$A:$A,0)),"")</f>
        <v/>
      </c>
      <c r="C338">
        <f>IFERROR(INDEX(Catch!$E:$BV,MATCH($A338,Catch!$A:$A,0),MATCH($B$4,Catch!$E$1:$BV$1,0)),0)</f>
        <v/>
      </c>
      <c r="D338">
        <f>IFERROR($C338*INDEX(SPPR!$E:$X,MATCH($A338,SPPR!$A:$A,0),1),"")</f>
        <v/>
      </c>
      <c r="E338">
        <f>IFERROR($C338*INDEX(SPPR!$E:$X,MATCH($A338,SPPR!$A:$A,0),2),"")</f>
        <v/>
      </c>
      <c r="F338">
        <f>IFERROR($C338*INDEX(SPPR!$E:$X,MATCH($A338,SPPR!$A:$A,0),3),"")</f>
        <v/>
      </c>
      <c r="G338">
        <f>IFERROR($C338*INDEX(SPPR!$E:$X,MATCH($A338,SPPR!$A:$A,0),4),"")</f>
        <v/>
      </c>
      <c r="H338">
        <f>IFERROR($C338*INDEX(SPPR!$E:$X,MATCH($A338,SPPR!$A:$A,0),5),"")</f>
        <v/>
      </c>
      <c r="I338">
        <f>IFERROR($C338*INDEX(SPPR!$E:$X,MATCH($A338,SPPR!$A:$A,0),6),"")</f>
        <v/>
      </c>
      <c r="J338">
        <f>IFERROR($C338*INDEX(SPPR!$E:$X,MATCH($A338,SPPR!$A:$A,0),7),"")</f>
        <v/>
      </c>
      <c r="K338">
        <f>IFERROR($C338*INDEX(SPPR!$E:$X,MATCH($A338,SPPR!$A:$A,0),8),"")</f>
        <v/>
      </c>
      <c r="L338">
        <f>IFERROR($C338*INDEX(SPPR!$E:$X,MATCH($A338,SPPR!$A:$A,0),9),"")</f>
        <v/>
      </c>
      <c r="M338">
        <f>IFERROR($C338*INDEX(SPPR!$E:$X,MATCH($A338,SPPR!$A:$A,0),10),"")</f>
        <v/>
      </c>
      <c r="N338">
        <f>IFERROR($C338*INDEX(SPPR!$E:$X,MATCH($A338,SPPR!$A:$A,0),11),"")</f>
        <v/>
      </c>
      <c r="O338">
        <f>IFERROR($C338*INDEX(SPPR!$E:$X,MATCH($A338,SPPR!$A:$A,0),12),"")</f>
        <v/>
      </c>
      <c r="P338">
        <f>IFERROR($C338*INDEX(SPPR!$E:$X,MATCH($A338,SPPR!$A:$A,0),13),"")</f>
        <v/>
      </c>
      <c r="Q338">
        <f>IFERROR($C338*INDEX(SPPR!$E:$X,MATCH($A338,SPPR!$A:$A,0),14),"")</f>
        <v/>
      </c>
      <c r="R338">
        <f>IFERROR($C338*INDEX(SPPR!$E:$X,MATCH($A338,SPPR!$A:$A,0),15),"")</f>
        <v/>
      </c>
      <c r="S338">
        <f>IFERROR($C338*INDEX(SPPR!$E:$X,MATCH($A338,SPPR!$A:$A,0),16),"")</f>
        <v/>
      </c>
      <c r="T338">
        <f>IFERROR($C338*INDEX(SPPR!$E:$X,MATCH($A338,SPPR!$A:$A,0),17),"")</f>
        <v/>
      </c>
      <c r="U338">
        <f>IFERROR($C338*INDEX(SPPR!$E:$X,MATCH($A338,SPPR!$A:$A,0),18),"")</f>
        <v/>
      </c>
      <c r="V338">
        <f>IFERROR($C338*INDEX(SPPR!$E:$X,MATCH($A338,SPPR!$A:$A,0),19),"")</f>
        <v/>
      </c>
      <c r="W338">
        <f>IFERROR($C338*INDEX(SPPR!$E:$X,MATCH($A338,SPPR!$A:$A,0),20),"")</f>
        <v/>
      </c>
    </row>
    <row r="339">
      <c r="A339" t="inlineStr">
        <is>
          <t>Inermiidae</t>
        </is>
      </c>
      <c r="B339">
        <f>IFERROR(INDEX(SPPR!$D:$D,MATCH($A339,SPPR!$A:$A,0)),"")</f>
        <v/>
      </c>
      <c r="C339">
        <f>IFERROR(INDEX(Catch!$E:$BV,MATCH($A339,Catch!$A:$A,0),MATCH($B$4,Catch!$E$1:$BV$1,0)),0)</f>
        <v/>
      </c>
      <c r="D339">
        <f>IFERROR($C339*INDEX(SPPR!$E:$X,MATCH($A339,SPPR!$A:$A,0),1),"")</f>
        <v/>
      </c>
      <c r="E339">
        <f>IFERROR($C339*INDEX(SPPR!$E:$X,MATCH($A339,SPPR!$A:$A,0),2),"")</f>
        <v/>
      </c>
      <c r="F339">
        <f>IFERROR($C339*INDEX(SPPR!$E:$X,MATCH($A339,SPPR!$A:$A,0),3),"")</f>
        <v/>
      </c>
      <c r="G339">
        <f>IFERROR($C339*INDEX(SPPR!$E:$X,MATCH($A339,SPPR!$A:$A,0),4),"")</f>
        <v/>
      </c>
      <c r="H339">
        <f>IFERROR($C339*INDEX(SPPR!$E:$X,MATCH($A339,SPPR!$A:$A,0),5),"")</f>
        <v/>
      </c>
      <c r="I339">
        <f>IFERROR($C339*INDEX(SPPR!$E:$X,MATCH($A339,SPPR!$A:$A,0),6),"")</f>
        <v/>
      </c>
      <c r="J339">
        <f>IFERROR($C339*INDEX(SPPR!$E:$X,MATCH($A339,SPPR!$A:$A,0),7),"")</f>
        <v/>
      </c>
      <c r="K339">
        <f>IFERROR($C339*INDEX(SPPR!$E:$X,MATCH($A339,SPPR!$A:$A,0),8),"")</f>
        <v/>
      </c>
      <c r="L339">
        <f>IFERROR($C339*INDEX(SPPR!$E:$X,MATCH($A339,SPPR!$A:$A,0),9),"")</f>
        <v/>
      </c>
      <c r="M339">
        <f>IFERROR($C339*INDEX(SPPR!$E:$X,MATCH($A339,SPPR!$A:$A,0),10),"")</f>
        <v/>
      </c>
      <c r="N339">
        <f>IFERROR($C339*INDEX(SPPR!$E:$X,MATCH($A339,SPPR!$A:$A,0),11),"")</f>
        <v/>
      </c>
      <c r="O339">
        <f>IFERROR($C339*INDEX(SPPR!$E:$X,MATCH($A339,SPPR!$A:$A,0),12),"")</f>
        <v/>
      </c>
      <c r="P339">
        <f>IFERROR($C339*INDEX(SPPR!$E:$X,MATCH($A339,SPPR!$A:$A,0),13),"")</f>
        <v/>
      </c>
      <c r="Q339">
        <f>IFERROR($C339*INDEX(SPPR!$E:$X,MATCH($A339,SPPR!$A:$A,0),14),"")</f>
        <v/>
      </c>
      <c r="R339">
        <f>IFERROR($C339*INDEX(SPPR!$E:$X,MATCH($A339,SPPR!$A:$A,0),15),"")</f>
        <v/>
      </c>
      <c r="S339">
        <f>IFERROR($C339*INDEX(SPPR!$E:$X,MATCH($A339,SPPR!$A:$A,0),16),"")</f>
        <v/>
      </c>
      <c r="T339">
        <f>IFERROR($C339*INDEX(SPPR!$E:$X,MATCH($A339,SPPR!$A:$A,0),17),"")</f>
        <v/>
      </c>
      <c r="U339">
        <f>IFERROR($C339*INDEX(SPPR!$E:$X,MATCH($A339,SPPR!$A:$A,0),18),"")</f>
        <v/>
      </c>
      <c r="V339">
        <f>IFERROR($C339*INDEX(SPPR!$E:$X,MATCH($A339,SPPR!$A:$A,0),19),"")</f>
        <v/>
      </c>
      <c r="W339">
        <f>IFERROR($C339*INDEX(SPPR!$E:$X,MATCH($A339,SPPR!$A:$A,0),20),"")</f>
        <v/>
      </c>
    </row>
    <row r="340">
      <c r="A340" t="inlineStr">
        <is>
          <t>Epinephelus fuscoguttatus</t>
        </is>
      </c>
      <c r="B340">
        <f>IFERROR(INDEX(SPPR!$D:$D,MATCH($A340,SPPR!$A:$A,0)),"")</f>
        <v/>
      </c>
      <c r="C340">
        <f>IFERROR(INDEX(Catch!$E:$BV,MATCH($A340,Catch!$A:$A,0),MATCH($B$4,Catch!$E$1:$BV$1,0)),0)</f>
        <v/>
      </c>
      <c r="D340">
        <f>IFERROR($C340*INDEX(SPPR!$E:$X,MATCH($A340,SPPR!$A:$A,0),1),"")</f>
        <v/>
      </c>
      <c r="E340">
        <f>IFERROR($C340*INDEX(SPPR!$E:$X,MATCH($A340,SPPR!$A:$A,0),2),"")</f>
        <v/>
      </c>
      <c r="F340">
        <f>IFERROR($C340*INDEX(SPPR!$E:$X,MATCH($A340,SPPR!$A:$A,0),3),"")</f>
        <v/>
      </c>
      <c r="G340">
        <f>IFERROR($C340*INDEX(SPPR!$E:$X,MATCH($A340,SPPR!$A:$A,0),4),"")</f>
        <v/>
      </c>
      <c r="H340">
        <f>IFERROR($C340*INDEX(SPPR!$E:$X,MATCH($A340,SPPR!$A:$A,0),5),"")</f>
        <v/>
      </c>
      <c r="I340">
        <f>IFERROR($C340*INDEX(SPPR!$E:$X,MATCH($A340,SPPR!$A:$A,0),6),"")</f>
        <v/>
      </c>
      <c r="J340">
        <f>IFERROR($C340*INDEX(SPPR!$E:$X,MATCH($A340,SPPR!$A:$A,0),7),"")</f>
        <v/>
      </c>
      <c r="K340">
        <f>IFERROR($C340*INDEX(SPPR!$E:$X,MATCH($A340,SPPR!$A:$A,0),8),"")</f>
        <v/>
      </c>
      <c r="L340">
        <f>IFERROR($C340*INDEX(SPPR!$E:$X,MATCH($A340,SPPR!$A:$A,0),9),"")</f>
        <v/>
      </c>
      <c r="M340">
        <f>IFERROR($C340*INDEX(SPPR!$E:$X,MATCH($A340,SPPR!$A:$A,0),10),"")</f>
        <v/>
      </c>
      <c r="N340">
        <f>IFERROR($C340*INDEX(SPPR!$E:$X,MATCH($A340,SPPR!$A:$A,0),11),"")</f>
        <v/>
      </c>
      <c r="O340">
        <f>IFERROR($C340*INDEX(SPPR!$E:$X,MATCH($A340,SPPR!$A:$A,0),12),"")</f>
        <v/>
      </c>
      <c r="P340">
        <f>IFERROR($C340*INDEX(SPPR!$E:$X,MATCH($A340,SPPR!$A:$A,0),13),"")</f>
        <v/>
      </c>
      <c r="Q340">
        <f>IFERROR($C340*INDEX(SPPR!$E:$X,MATCH($A340,SPPR!$A:$A,0),14),"")</f>
        <v/>
      </c>
      <c r="R340">
        <f>IFERROR($C340*INDEX(SPPR!$E:$X,MATCH($A340,SPPR!$A:$A,0),15),"")</f>
        <v/>
      </c>
      <c r="S340">
        <f>IFERROR($C340*INDEX(SPPR!$E:$X,MATCH($A340,SPPR!$A:$A,0),16),"")</f>
        <v/>
      </c>
      <c r="T340">
        <f>IFERROR($C340*INDEX(SPPR!$E:$X,MATCH($A340,SPPR!$A:$A,0),17),"")</f>
        <v/>
      </c>
      <c r="U340">
        <f>IFERROR($C340*INDEX(SPPR!$E:$X,MATCH($A340,SPPR!$A:$A,0),18),"")</f>
        <v/>
      </c>
      <c r="V340">
        <f>IFERROR($C340*INDEX(SPPR!$E:$X,MATCH($A340,SPPR!$A:$A,0),19),"")</f>
        <v/>
      </c>
      <c r="W340">
        <f>IFERROR($C340*INDEX(SPPR!$E:$X,MATCH($A340,SPPR!$A:$A,0),20),"")</f>
        <v/>
      </c>
    </row>
    <row r="341">
      <c r="A341" t="inlineStr">
        <is>
          <t>Octopodidae</t>
        </is>
      </c>
      <c r="B341">
        <f>IFERROR(INDEX(SPPR!$D:$D,MATCH($A341,SPPR!$A:$A,0)),"")</f>
        <v/>
      </c>
      <c r="C341">
        <f>IFERROR(INDEX(Catch!$E:$BV,MATCH($A341,Catch!$A:$A,0),MATCH($B$4,Catch!$E$1:$BV$1,0)),0)</f>
        <v/>
      </c>
      <c r="D341">
        <f>IFERROR($C341*INDEX(SPPR!$E:$X,MATCH($A341,SPPR!$A:$A,0),1),"")</f>
        <v/>
      </c>
      <c r="E341">
        <f>IFERROR($C341*INDEX(SPPR!$E:$X,MATCH($A341,SPPR!$A:$A,0),2),"")</f>
        <v/>
      </c>
      <c r="F341">
        <f>IFERROR($C341*INDEX(SPPR!$E:$X,MATCH($A341,SPPR!$A:$A,0),3),"")</f>
        <v/>
      </c>
      <c r="G341">
        <f>IFERROR($C341*INDEX(SPPR!$E:$X,MATCH($A341,SPPR!$A:$A,0),4),"")</f>
        <v/>
      </c>
      <c r="H341">
        <f>IFERROR($C341*INDEX(SPPR!$E:$X,MATCH($A341,SPPR!$A:$A,0),5),"")</f>
        <v/>
      </c>
      <c r="I341">
        <f>IFERROR($C341*INDEX(SPPR!$E:$X,MATCH($A341,SPPR!$A:$A,0),6),"")</f>
        <v/>
      </c>
      <c r="J341">
        <f>IFERROR($C341*INDEX(SPPR!$E:$X,MATCH($A341,SPPR!$A:$A,0),7),"")</f>
        <v/>
      </c>
      <c r="K341">
        <f>IFERROR($C341*INDEX(SPPR!$E:$X,MATCH($A341,SPPR!$A:$A,0),8),"")</f>
        <v/>
      </c>
      <c r="L341">
        <f>IFERROR($C341*INDEX(SPPR!$E:$X,MATCH($A341,SPPR!$A:$A,0),9),"")</f>
        <v/>
      </c>
      <c r="M341">
        <f>IFERROR($C341*INDEX(SPPR!$E:$X,MATCH($A341,SPPR!$A:$A,0),10),"")</f>
        <v/>
      </c>
      <c r="N341">
        <f>IFERROR($C341*INDEX(SPPR!$E:$X,MATCH($A341,SPPR!$A:$A,0),11),"")</f>
        <v/>
      </c>
      <c r="O341">
        <f>IFERROR($C341*INDEX(SPPR!$E:$X,MATCH($A341,SPPR!$A:$A,0),12),"")</f>
        <v/>
      </c>
      <c r="P341">
        <f>IFERROR($C341*INDEX(SPPR!$E:$X,MATCH($A341,SPPR!$A:$A,0),13),"")</f>
        <v/>
      </c>
      <c r="Q341">
        <f>IFERROR($C341*INDEX(SPPR!$E:$X,MATCH($A341,SPPR!$A:$A,0),14),"")</f>
        <v/>
      </c>
      <c r="R341">
        <f>IFERROR($C341*INDEX(SPPR!$E:$X,MATCH($A341,SPPR!$A:$A,0),15),"")</f>
        <v/>
      </c>
      <c r="S341">
        <f>IFERROR($C341*INDEX(SPPR!$E:$X,MATCH($A341,SPPR!$A:$A,0),16),"")</f>
        <v/>
      </c>
      <c r="T341">
        <f>IFERROR($C341*INDEX(SPPR!$E:$X,MATCH($A341,SPPR!$A:$A,0),17),"")</f>
        <v/>
      </c>
      <c r="U341">
        <f>IFERROR($C341*INDEX(SPPR!$E:$X,MATCH($A341,SPPR!$A:$A,0),18),"")</f>
        <v/>
      </c>
      <c r="V341">
        <f>IFERROR($C341*INDEX(SPPR!$E:$X,MATCH($A341,SPPR!$A:$A,0),19),"")</f>
        <v/>
      </c>
      <c r="W341">
        <f>IFERROR($C341*INDEX(SPPR!$E:$X,MATCH($A341,SPPR!$A:$A,0),20),"")</f>
        <v/>
      </c>
    </row>
    <row r="342">
      <c r="A342" t="inlineStr">
        <is>
          <t>Ferdauia orthogrammus</t>
        </is>
      </c>
      <c r="B342">
        <f>IFERROR(INDEX(SPPR!$D:$D,MATCH($A342,SPPR!$A:$A,0)),"")</f>
        <v/>
      </c>
      <c r="C342">
        <f>IFERROR(INDEX(Catch!$E:$BV,MATCH($A342,Catch!$A:$A,0),MATCH($B$4,Catch!$E$1:$BV$1,0)),0)</f>
        <v/>
      </c>
      <c r="D342">
        <f>IFERROR($C342*INDEX(SPPR!$E:$X,MATCH($A342,SPPR!$A:$A,0),1),"")</f>
        <v/>
      </c>
      <c r="E342">
        <f>IFERROR($C342*INDEX(SPPR!$E:$X,MATCH($A342,SPPR!$A:$A,0),2),"")</f>
        <v/>
      </c>
      <c r="F342">
        <f>IFERROR($C342*INDEX(SPPR!$E:$X,MATCH($A342,SPPR!$A:$A,0),3),"")</f>
        <v/>
      </c>
      <c r="G342">
        <f>IFERROR($C342*INDEX(SPPR!$E:$X,MATCH($A342,SPPR!$A:$A,0),4),"")</f>
        <v/>
      </c>
      <c r="H342">
        <f>IFERROR($C342*INDEX(SPPR!$E:$X,MATCH($A342,SPPR!$A:$A,0),5),"")</f>
        <v/>
      </c>
      <c r="I342">
        <f>IFERROR($C342*INDEX(SPPR!$E:$X,MATCH($A342,SPPR!$A:$A,0),6),"")</f>
        <v/>
      </c>
      <c r="J342">
        <f>IFERROR($C342*INDEX(SPPR!$E:$X,MATCH($A342,SPPR!$A:$A,0),7),"")</f>
        <v/>
      </c>
      <c r="K342">
        <f>IFERROR($C342*INDEX(SPPR!$E:$X,MATCH($A342,SPPR!$A:$A,0),8),"")</f>
        <v/>
      </c>
      <c r="L342">
        <f>IFERROR($C342*INDEX(SPPR!$E:$X,MATCH($A342,SPPR!$A:$A,0),9),"")</f>
        <v/>
      </c>
      <c r="M342">
        <f>IFERROR($C342*INDEX(SPPR!$E:$X,MATCH($A342,SPPR!$A:$A,0),10),"")</f>
        <v/>
      </c>
      <c r="N342">
        <f>IFERROR($C342*INDEX(SPPR!$E:$X,MATCH($A342,SPPR!$A:$A,0),11),"")</f>
        <v/>
      </c>
      <c r="O342">
        <f>IFERROR($C342*INDEX(SPPR!$E:$X,MATCH($A342,SPPR!$A:$A,0),12),"")</f>
        <v/>
      </c>
      <c r="P342">
        <f>IFERROR($C342*INDEX(SPPR!$E:$X,MATCH($A342,SPPR!$A:$A,0),13),"")</f>
        <v/>
      </c>
      <c r="Q342">
        <f>IFERROR($C342*INDEX(SPPR!$E:$X,MATCH($A342,SPPR!$A:$A,0),14),"")</f>
        <v/>
      </c>
      <c r="R342">
        <f>IFERROR($C342*INDEX(SPPR!$E:$X,MATCH($A342,SPPR!$A:$A,0),15),"")</f>
        <v/>
      </c>
      <c r="S342">
        <f>IFERROR($C342*INDEX(SPPR!$E:$X,MATCH($A342,SPPR!$A:$A,0),16),"")</f>
        <v/>
      </c>
      <c r="T342">
        <f>IFERROR($C342*INDEX(SPPR!$E:$X,MATCH($A342,SPPR!$A:$A,0),17),"")</f>
        <v/>
      </c>
      <c r="U342">
        <f>IFERROR($C342*INDEX(SPPR!$E:$X,MATCH($A342,SPPR!$A:$A,0),18),"")</f>
        <v/>
      </c>
      <c r="V342">
        <f>IFERROR($C342*INDEX(SPPR!$E:$X,MATCH($A342,SPPR!$A:$A,0),19),"")</f>
        <v/>
      </c>
      <c r="W342">
        <f>IFERROR($C342*INDEX(SPPR!$E:$X,MATCH($A342,SPPR!$A:$A,0),20),"")</f>
        <v/>
      </c>
    </row>
    <row r="343">
      <c r="A343" t="inlineStr">
        <is>
          <t>Makaira</t>
        </is>
      </c>
      <c r="B343">
        <f>IFERROR(INDEX(SPPR!$D:$D,MATCH($A343,SPPR!$A:$A,0)),"")</f>
        <v/>
      </c>
      <c r="C343">
        <f>IFERROR(INDEX(Catch!$E:$BV,MATCH($A343,Catch!$A:$A,0),MATCH($B$4,Catch!$E$1:$BV$1,0)),0)</f>
        <v/>
      </c>
      <c r="D343">
        <f>IFERROR($C343*INDEX(SPPR!$E:$X,MATCH($A343,SPPR!$A:$A,0),1),"")</f>
        <v/>
      </c>
      <c r="E343">
        <f>IFERROR($C343*INDEX(SPPR!$E:$X,MATCH($A343,SPPR!$A:$A,0),2),"")</f>
        <v/>
      </c>
      <c r="F343">
        <f>IFERROR($C343*INDEX(SPPR!$E:$X,MATCH($A343,SPPR!$A:$A,0),3),"")</f>
        <v/>
      </c>
      <c r="G343">
        <f>IFERROR($C343*INDEX(SPPR!$E:$X,MATCH($A343,SPPR!$A:$A,0),4),"")</f>
        <v/>
      </c>
      <c r="H343">
        <f>IFERROR($C343*INDEX(SPPR!$E:$X,MATCH($A343,SPPR!$A:$A,0),5),"")</f>
        <v/>
      </c>
      <c r="I343">
        <f>IFERROR($C343*INDEX(SPPR!$E:$X,MATCH($A343,SPPR!$A:$A,0),6),"")</f>
        <v/>
      </c>
      <c r="J343">
        <f>IFERROR($C343*INDEX(SPPR!$E:$X,MATCH($A343,SPPR!$A:$A,0),7),"")</f>
        <v/>
      </c>
      <c r="K343">
        <f>IFERROR($C343*INDEX(SPPR!$E:$X,MATCH($A343,SPPR!$A:$A,0),8),"")</f>
        <v/>
      </c>
      <c r="L343">
        <f>IFERROR($C343*INDEX(SPPR!$E:$X,MATCH($A343,SPPR!$A:$A,0),9),"")</f>
        <v/>
      </c>
      <c r="M343">
        <f>IFERROR($C343*INDEX(SPPR!$E:$X,MATCH($A343,SPPR!$A:$A,0),10),"")</f>
        <v/>
      </c>
      <c r="N343">
        <f>IFERROR($C343*INDEX(SPPR!$E:$X,MATCH($A343,SPPR!$A:$A,0),11),"")</f>
        <v/>
      </c>
      <c r="O343">
        <f>IFERROR($C343*INDEX(SPPR!$E:$X,MATCH($A343,SPPR!$A:$A,0),12),"")</f>
        <v/>
      </c>
      <c r="P343">
        <f>IFERROR($C343*INDEX(SPPR!$E:$X,MATCH($A343,SPPR!$A:$A,0),13),"")</f>
        <v/>
      </c>
      <c r="Q343">
        <f>IFERROR($C343*INDEX(SPPR!$E:$X,MATCH($A343,SPPR!$A:$A,0),14),"")</f>
        <v/>
      </c>
      <c r="R343">
        <f>IFERROR($C343*INDEX(SPPR!$E:$X,MATCH($A343,SPPR!$A:$A,0),15),"")</f>
        <v/>
      </c>
      <c r="S343">
        <f>IFERROR($C343*INDEX(SPPR!$E:$X,MATCH($A343,SPPR!$A:$A,0),16),"")</f>
        <v/>
      </c>
      <c r="T343">
        <f>IFERROR($C343*INDEX(SPPR!$E:$X,MATCH($A343,SPPR!$A:$A,0),17),"")</f>
        <v/>
      </c>
      <c r="U343">
        <f>IFERROR($C343*INDEX(SPPR!$E:$X,MATCH($A343,SPPR!$A:$A,0),18),"")</f>
        <v/>
      </c>
      <c r="V343">
        <f>IFERROR($C343*INDEX(SPPR!$E:$X,MATCH($A343,SPPR!$A:$A,0),19),"")</f>
        <v/>
      </c>
      <c r="W343">
        <f>IFERROR($C343*INDEX(SPPR!$E:$X,MATCH($A343,SPPR!$A:$A,0),20),"")</f>
        <v/>
      </c>
    </row>
    <row r="344">
      <c r="A344" t="inlineStr">
        <is>
          <t>Ephippidae</t>
        </is>
      </c>
      <c r="B344">
        <f>IFERROR(INDEX(SPPR!$D:$D,MATCH($A344,SPPR!$A:$A,0)),"")</f>
        <v/>
      </c>
      <c r="C344">
        <f>IFERROR(INDEX(Catch!$E:$BV,MATCH($A344,Catch!$A:$A,0),MATCH($B$4,Catch!$E$1:$BV$1,0)),0)</f>
        <v/>
      </c>
      <c r="D344">
        <f>IFERROR($C344*INDEX(SPPR!$E:$X,MATCH($A344,SPPR!$A:$A,0),1),"")</f>
        <v/>
      </c>
      <c r="E344">
        <f>IFERROR($C344*INDEX(SPPR!$E:$X,MATCH($A344,SPPR!$A:$A,0),2),"")</f>
        <v/>
      </c>
      <c r="F344">
        <f>IFERROR($C344*INDEX(SPPR!$E:$X,MATCH($A344,SPPR!$A:$A,0),3),"")</f>
        <v/>
      </c>
      <c r="G344">
        <f>IFERROR($C344*INDEX(SPPR!$E:$X,MATCH($A344,SPPR!$A:$A,0),4),"")</f>
        <v/>
      </c>
      <c r="H344">
        <f>IFERROR($C344*INDEX(SPPR!$E:$X,MATCH($A344,SPPR!$A:$A,0),5),"")</f>
        <v/>
      </c>
      <c r="I344">
        <f>IFERROR($C344*INDEX(SPPR!$E:$X,MATCH($A344,SPPR!$A:$A,0),6),"")</f>
        <v/>
      </c>
      <c r="J344">
        <f>IFERROR($C344*INDEX(SPPR!$E:$X,MATCH($A344,SPPR!$A:$A,0),7),"")</f>
        <v/>
      </c>
      <c r="K344">
        <f>IFERROR($C344*INDEX(SPPR!$E:$X,MATCH($A344,SPPR!$A:$A,0),8),"")</f>
        <v/>
      </c>
      <c r="L344">
        <f>IFERROR($C344*INDEX(SPPR!$E:$X,MATCH($A344,SPPR!$A:$A,0),9),"")</f>
        <v/>
      </c>
      <c r="M344">
        <f>IFERROR($C344*INDEX(SPPR!$E:$X,MATCH($A344,SPPR!$A:$A,0),10),"")</f>
        <v/>
      </c>
      <c r="N344">
        <f>IFERROR($C344*INDEX(SPPR!$E:$X,MATCH($A344,SPPR!$A:$A,0),11),"")</f>
        <v/>
      </c>
      <c r="O344">
        <f>IFERROR($C344*INDEX(SPPR!$E:$X,MATCH($A344,SPPR!$A:$A,0),12),"")</f>
        <v/>
      </c>
      <c r="P344">
        <f>IFERROR($C344*INDEX(SPPR!$E:$X,MATCH($A344,SPPR!$A:$A,0),13),"")</f>
        <v/>
      </c>
      <c r="Q344">
        <f>IFERROR($C344*INDEX(SPPR!$E:$X,MATCH($A344,SPPR!$A:$A,0),14),"")</f>
        <v/>
      </c>
      <c r="R344">
        <f>IFERROR($C344*INDEX(SPPR!$E:$X,MATCH($A344,SPPR!$A:$A,0),15),"")</f>
        <v/>
      </c>
      <c r="S344">
        <f>IFERROR($C344*INDEX(SPPR!$E:$X,MATCH($A344,SPPR!$A:$A,0),16),"")</f>
        <v/>
      </c>
      <c r="T344">
        <f>IFERROR($C344*INDEX(SPPR!$E:$X,MATCH($A344,SPPR!$A:$A,0),17),"")</f>
        <v/>
      </c>
      <c r="U344">
        <f>IFERROR($C344*INDEX(SPPR!$E:$X,MATCH($A344,SPPR!$A:$A,0),18),"")</f>
        <v/>
      </c>
      <c r="V344">
        <f>IFERROR($C344*INDEX(SPPR!$E:$X,MATCH($A344,SPPR!$A:$A,0),19),"")</f>
        <v/>
      </c>
      <c r="W344">
        <f>IFERROR($C344*INDEX(SPPR!$E:$X,MATCH($A344,SPPR!$A:$A,0),20),"")</f>
        <v/>
      </c>
    </row>
    <row r="345">
      <c r="A345" t="inlineStr">
        <is>
          <t>Cephalopholis miniata</t>
        </is>
      </c>
      <c r="B345">
        <f>IFERROR(INDEX(SPPR!$D:$D,MATCH($A345,SPPR!$A:$A,0)),"")</f>
        <v/>
      </c>
      <c r="C345">
        <f>IFERROR(INDEX(Catch!$E:$BV,MATCH($A345,Catch!$A:$A,0),MATCH($B$4,Catch!$E$1:$BV$1,0)),0)</f>
        <v/>
      </c>
      <c r="D345">
        <f>IFERROR($C345*INDEX(SPPR!$E:$X,MATCH($A345,SPPR!$A:$A,0),1),"")</f>
        <v/>
      </c>
      <c r="E345">
        <f>IFERROR($C345*INDEX(SPPR!$E:$X,MATCH($A345,SPPR!$A:$A,0),2),"")</f>
        <v/>
      </c>
      <c r="F345">
        <f>IFERROR($C345*INDEX(SPPR!$E:$X,MATCH($A345,SPPR!$A:$A,0),3),"")</f>
        <v/>
      </c>
      <c r="G345">
        <f>IFERROR($C345*INDEX(SPPR!$E:$X,MATCH($A345,SPPR!$A:$A,0),4),"")</f>
        <v/>
      </c>
      <c r="H345">
        <f>IFERROR($C345*INDEX(SPPR!$E:$X,MATCH($A345,SPPR!$A:$A,0),5),"")</f>
        <v/>
      </c>
      <c r="I345">
        <f>IFERROR($C345*INDEX(SPPR!$E:$X,MATCH($A345,SPPR!$A:$A,0),6),"")</f>
        <v/>
      </c>
      <c r="J345">
        <f>IFERROR($C345*INDEX(SPPR!$E:$X,MATCH($A345,SPPR!$A:$A,0),7),"")</f>
        <v/>
      </c>
      <c r="K345">
        <f>IFERROR($C345*INDEX(SPPR!$E:$X,MATCH($A345,SPPR!$A:$A,0),8),"")</f>
        <v/>
      </c>
      <c r="L345">
        <f>IFERROR($C345*INDEX(SPPR!$E:$X,MATCH($A345,SPPR!$A:$A,0),9),"")</f>
        <v/>
      </c>
      <c r="M345">
        <f>IFERROR($C345*INDEX(SPPR!$E:$X,MATCH($A345,SPPR!$A:$A,0),10),"")</f>
        <v/>
      </c>
      <c r="N345">
        <f>IFERROR($C345*INDEX(SPPR!$E:$X,MATCH($A345,SPPR!$A:$A,0),11),"")</f>
        <v/>
      </c>
      <c r="O345">
        <f>IFERROR($C345*INDEX(SPPR!$E:$X,MATCH($A345,SPPR!$A:$A,0),12),"")</f>
        <v/>
      </c>
      <c r="P345">
        <f>IFERROR($C345*INDEX(SPPR!$E:$X,MATCH($A345,SPPR!$A:$A,0),13),"")</f>
        <v/>
      </c>
      <c r="Q345">
        <f>IFERROR($C345*INDEX(SPPR!$E:$X,MATCH($A345,SPPR!$A:$A,0),14),"")</f>
        <v/>
      </c>
      <c r="R345">
        <f>IFERROR($C345*INDEX(SPPR!$E:$X,MATCH($A345,SPPR!$A:$A,0),15),"")</f>
        <v/>
      </c>
      <c r="S345">
        <f>IFERROR($C345*INDEX(SPPR!$E:$X,MATCH($A345,SPPR!$A:$A,0),16),"")</f>
        <v/>
      </c>
      <c r="T345">
        <f>IFERROR($C345*INDEX(SPPR!$E:$X,MATCH($A345,SPPR!$A:$A,0),17),"")</f>
        <v/>
      </c>
      <c r="U345">
        <f>IFERROR($C345*INDEX(SPPR!$E:$X,MATCH($A345,SPPR!$A:$A,0),18),"")</f>
        <v/>
      </c>
      <c r="V345">
        <f>IFERROR($C345*INDEX(SPPR!$E:$X,MATCH($A345,SPPR!$A:$A,0),19),"")</f>
        <v/>
      </c>
      <c r="W345">
        <f>IFERROR($C345*INDEX(SPPR!$E:$X,MATCH($A345,SPPR!$A:$A,0),20),"")</f>
        <v/>
      </c>
    </row>
    <row r="346">
      <c r="A346" t="inlineStr">
        <is>
          <t>Epinephelus fasciatus</t>
        </is>
      </c>
      <c r="B346">
        <f>IFERROR(INDEX(SPPR!$D:$D,MATCH($A346,SPPR!$A:$A,0)),"")</f>
        <v/>
      </c>
      <c r="C346">
        <f>IFERROR(INDEX(Catch!$E:$BV,MATCH($A346,Catch!$A:$A,0),MATCH($B$4,Catch!$E$1:$BV$1,0)),0)</f>
        <v/>
      </c>
      <c r="D346">
        <f>IFERROR($C346*INDEX(SPPR!$E:$X,MATCH($A346,SPPR!$A:$A,0),1),"")</f>
        <v/>
      </c>
      <c r="E346">
        <f>IFERROR($C346*INDEX(SPPR!$E:$X,MATCH($A346,SPPR!$A:$A,0),2),"")</f>
        <v/>
      </c>
      <c r="F346">
        <f>IFERROR($C346*INDEX(SPPR!$E:$X,MATCH($A346,SPPR!$A:$A,0),3),"")</f>
        <v/>
      </c>
      <c r="G346">
        <f>IFERROR($C346*INDEX(SPPR!$E:$X,MATCH($A346,SPPR!$A:$A,0),4),"")</f>
        <v/>
      </c>
      <c r="H346">
        <f>IFERROR($C346*INDEX(SPPR!$E:$X,MATCH($A346,SPPR!$A:$A,0),5),"")</f>
        <v/>
      </c>
      <c r="I346">
        <f>IFERROR($C346*INDEX(SPPR!$E:$X,MATCH($A346,SPPR!$A:$A,0),6),"")</f>
        <v/>
      </c>
      <c r="J346">
        <f>IFERROR($C346*INDEX(SPPR!$E:$X,MATCH($A346,SPPR!$A:$A,0),7),"")</f>
        <v/>
      </c>
      <c r="K346">
        <f>IFERROR($C346*INDEX(SPPR!$E:$X,MATCH($A346,SPPR!$A:$A,0),8),"")</f>
        <v/>
      </c>
      <c r="L346">
        <f>IFERROR($C346*INDEX(SPPR!$E:$X,MATCH($A346,SPPR!$A:$A,0),9),"")</f>
        <v/>
      </c>
      <c r="M346">
        <f>IFERROR($C346*INDEX(SPPR!$E:$X,MATCH($A346,SPPR!$A:$A,0),10),"")</f>
        <v/>
      </c>
      <c r="N346">
        <f>IFERROR($C346*INDEX(SPPR!$E:$X,MATCH($A346,SPPR!$A:$A,0),11),"")</f>
        <v/>
      </c>
      <c r="O346">
        <f>IFERROR($C346*INDEX(SPPR!$E:$X,MATCH($A346,SPPR!$A:$A,0),12),"")</f>
        <v/>
      </c>
      <c r="P346">
        <f>IFERROR($C346*INDEX(SPPR!$E:$X,MATCH($A346,SPPR!$A:$A,0),13),"")</f>
        <v/>
      </c>
      <c r="Q346">
        <f>IFERROR($C346*INDEX(SPPR!$E:$X,MATCH($A346,SPPR!$A:$A,0),14),"")</f>
        <v/>
      </c>
      <c r="R346">
        <f>IFERROR($C346*INDEX(SPPR!$E:$X,MATCH($A346,SPPR!$A:$A,0),15),"")</f>
        <v/>
      </c>
      <c r="S346">
        <f>IFERROR($C346*INDEX(SPPR!$E:$X,MATCH($A346,SPPR!$A:$A,0),16),"")</f>
        <v/>
      </c>
      <c r="T346">
        <f>IFERROR($C346*INDEX(SPPR!$E:$X,MATCH($A346,SPPR!$A:$A,0),17),"")</f>
        <v/>
      </c>
      <c r="U346">
        <f>IFERROR($C346*INDEX(SPPR!$E:$X,MATCH($A346,SPPR!$A:$A,0),18),"")</f>
        <v/>
      </c>
      <c r="V346">
        <f>IFERROR($C346*INDEX(SPPR!$E:$X,MATCH($A346,SPPR!$A:$A,0),19),"")</f>
        <v/>
      </c>
      <c r="W346">
        <f>IFERROR($C346*INDEX(SPPR!$E:$X,MATCH($A346,SPPR!$A:$A,0),20),"")</f>
        <v/>
      </c>
    </row>
    <row r="347">
      <c r="A347" t="inlineStr">
        <is>
          <t>Cephalopholis</t>
        </is>
      </c>
      <c r="B347">
        <f>IFERROR(INDEX(SPPR!$D:$D,MATCH($A347,SPPR!$A:$A,0)),"")</f>
        <v/>
      </c>
      <c r="C347">
        <f>IFERROR(INDEX(Catch!$E:$BV,MATCH($A347,Catch!$A:$A,0),MATCH($B$4,Catch!$E$1:$BV$1,0)),0)</f>
        <v/>
      </c>
      <c r="D347">
        <f>IFERROR($C347*INDEX(SPPR!$E:$X,MATCH($A347,SPPR!$A:$A,0),1),"")</f>
        <v/>
      </c>
      <c r="E347">
        <f>IFERROR($C347*INDEX(SPPR!$E:$X,MATCH($A347,SPPR!$A:$A,0),2),"")</f>
        <v/>
      </c>
      <c r="F347">
        <f>IFERROR($C347*INDEX(SPPR!$E:$X,MATCH($A347,SPPR!$A:$A,0),3),"")</f>
        <v/>
      </c>
      <c r="G347">
        <f>IFERROR($C347*INDEX(SPPR!$E:$X,MATCH($A347,SPPR!$A:$A,0),4),"")</f>
        <v/>
      </c>
      <c r="H347">
        <f>IFERROR($C347*INDEX(SPPR!$E:$X,MATCH($A347,SPPR!$A:$A,0),5),"")</f>
        <v/>
      </c>
      <c r="I347">
        <f>IFERROR($C347*INDEX(SPPR!$E:$X,MATCH($A347,SPPR!$A:$A,0),6),"")</f>
        <v/>
      </c>
      <c r="J347">
        <f>IFERROR($C347*INDEX(SPPR!$E:$X,MATCH($A347,SPPR!$A:$A,0),7),"")</f>
        <v/>
      </c>
      <c r="K347">
        <f>IFERROR($C347*INDEX(SPPR!$E:$X,MATCH($A347,SPPR!$A:$A,0),8),"")</f>
        <v/>
      </c>
      <c r="L347">
        <f>IFERROR($C347*INDEX(SPPR!$E:$X,MATCH($A347,SPPR!$A:$A,0),9),"")</f>
        <v/>
      </c>
      <c r="M347">
        <f>IFERROR($C347*INDEX(SPPR!$E:$X,MATCH($A347,SPPR!$A:$A,0),10),"")</f>
        <v/>
      </c>
      <c r="N347">
        <f>IFERROR($C347*INDEX(SPPR!$E:$X,MATCH($A347,SPPR!$A:$A,0),11),"")</f>
        <v/>
      </c>
      <c r="O347">
        <f>IFERROR($C347*INDEX(SPPR!$E:$X,MATCH($A347,SPPR!$A:$A,0),12),"")</f>
        <v/>
      </c>
      <c r="P347">
        <f>IFERROR($C347*INDEX(SPPR!$E:$X,MATCH($A347,SPPR!$A:$A,0),13),"")</f>
        <v/>
      </c>
      <c r="Q347">
        <f>IFERROR($C347*INDEX(SPPR!$E:$X,MATCH($A347,SPPR!$A:$A,0),14),"")</f>
        <v/>
      </c>
      <c r="R347">
        <f>IFERROR($C347*INDEX(SPPR!$E:$X,MATCH($A347,SPPR!$A:$A,0),15),"")</f>
        <v/>
      </c>
      <c r="S347">
        <f>IFERROR($C347*INDEX(SPPR!$E:$X,MATCH($A347,SPPR!$A:$A,0),16),"")</f>
        <v/>
      </c>
      <c r="T347">
        <f>IFERROR($C347*INDEX(SPPR!$E:$X,MATCH($A347,SPPR!$A:$A,0),17),"")</f>
        <v/>
      </c>
      <c r="U347">
        <f>IFERROR($C347*INDEX(SPPR!$E:$X,MATCH($A347,SPPR!$A:$A,0),18),"")</f>
        <v/>
      </c>
      <c r="V347">
        <f>IFERROR($C347*INDEX(SPPR!$E:$X,MATCH($A347,SPPR!$A:$A,0),19),"")</f>
        <v/>
      </c>
      <c r="W347">
        <f>IFERROR($C347*INDEX(SPPR!$E:$X,MATCH($A347,SPPR!$A:$A,0),20),"")</f>
        <v/>
      </c>
    </row>
    <row r="348">
      <c r="A348" t="inlineStr">
        <is>
          <t>Ablennes hians</t>
        </is>
      </c>
      <c r="B348">
        <f>IFERROR(INDEX(SPPR!$D:$D,MATCH($A348,SPPR!$A:$A,0)),"")</f>
        <v/>
      </c>
      <c r="C348">
        <f>IFERROR(INDEX(Catch!$E:$BV,MATCH($A348,Catch!$A:$A,0),MATCH($B$4,Catch!$E$1:$BV$1,0)),0)</f>
        <v/>
      </c>
      <c r="D348">
        <f>IFERROR($C348*INDEX(SPPR!$E:$X,MATCH($A348,SPPR!$A:$A,0),1),"")</f>
        <v/>
      </c>
      <c r="E348">
        <f>IFERROR($C348*INDEX(SPPR!$E:$X,MATCH($A348,SPPR!$A:$A,0),2),"")</f>
        <v/>
      </c>
      <c r="F348">
        <f>IFERROR($C348*INDEX(SPPR!$E:$X,MATCH($A348,SPPR!$A:$A,0),3),"")</f>
        <v/>
      </c>
      <c r="G348">
        <f>IFERROR($C348*INDEX(SPPR!$E:$X,MATCH($A348,SPPR!$A:$A,0),4),"")</f>
        <v/>
      </c>
      <c r="H348">
        <f>IFERROR($C348*INDEX(SPPR!$E:$X,MATCH($A348,SPPR!$A:$A,0),5),"")</f>
        <v/>
      </c>
      <c r="I348">
        <f>IFERROR($C348*INDEX(SPPR!$E:$X,MATCH($A348,SPPR!$A:$A,0),6),"")</f>
        <v/>
      </c>
      <c r="J348">
        <f>IFERROR($C348*INDEX(SPPR!$E:$X,MATCH($A348,SPPR!$A:$A,0),7),"")</f>
        <v/>
      </c>
      <c r="K348">
        <f>IFERROR($C348*INDEX(SPPR!$E:$X,MATCH($A348,SPPR!$A:$A,0),8),"")</f>
        <v/>
      </c>
      <c r="L348">
        <f>IFERROR($C348*INDEX(SPPR!$E:$X,MATCH($A348,SPPR!$A:$A,0),9),"")</f>
        <v/>
      </c>
      <c r="M348">
        <f>IFERROR($C348*INDEX(SPPR!$E:$X,MATCH($A348,SPPR!$A:$A,0),10),"")</f>
        <v/>
      </c>
      <c r="N348">
        <f>IFERROR($C348*INDEX(SPPR!$E:$X,MATCH($A348,SPPR!$A:$A,0),11),"")</f>
        <v/>
      </c>
      <c r="O348">
        <f>IFERROR($C348*INDEX(SPPR!$E:$X,MATCH($A348,SPPR!$A:$A,0),12),"")</f>
        <v/>
      </c>
      <c r="P348">
        <f>IFERROR($C348*INDEX(SPPR!$E:$X,MATCH($A348,SPPR!$A:$A,0),13),"")</f>
        <v/>
      </c>
      <c r="Q348">
        <f>IFERROR($C348*INDEX(SPPR!$E:$X,MATCH($A348,SPPR!$A:$A,0),14),"")</f>
        <v/>
      </c>
      <c r="R348">
        <f>IFERROR($C348*INDEX(SPPR!$E:$X,MATCH($A348,SPPR!$A:$A,0),15),"")</f>
        <v/>
      </c>
      <c r="S348">
        <f>IFERROR($C348*INDEX(SPPR!$E:$X,MATCH($A348,SPPR!$A:$A,0),16),"")</f>
        <v/>
      </c>
      <c r="T348">
        <f>IFERROR($C348*INDEX(SPPR!$E:$X,MATCH($A348,SPPR!$A:$A,0),17),"")</f>
        <v/>
      </c>
      <c r="U348">
        <f>IFERROR($C348*INDEX(SPPR!$E:$X,MATCH($A348,SPPR!$A:$A,0),18),"")</f>
        <v/>
      </c>
      <c r="V348">
        <f>IFERROR($C348*INDEX(SPPR!$E:$X,MATCH($A348,SPPR!$A:$A,0),19),"")</f>
        <v/>
      </c>
      <c r="W348">
        <f>IFERROR($C348*INDEX(SPPR!$E:$X,MATCH($A348,SPPR!$A:$A,0),20),"")</f>
        <v/>
      </c>
    </row>
    <row r="349">
      <c r="A349" t="inlineStr">
        <is>
          <t>Seriola</t>
        </is>
      </c>
      <c r="B349">
        <f>IFERROR(INDEX(SPPR!$D:$D,MATCH($A349,SPPR!$A:$A,0)),"")</f>
        <v/>
      </c>
      <c r="C349">
        <f>IFERROR(INDEX(Catch!$E:$BV,MATCH($A349,Catch!$A:$A,0),MATCH($B$4,Catch!$E$1:$BV$1,0)),0)</f>
        <v/>
      </c>
      <c r="D349">
        <f>IFERROR($C349*INDEX(SPPR!$E:$X,MATCH($A349,SPPR!$A:$A,0),1),"")</f>
        <v/>
      </c>
      <c r="E349">
        <f>IFERROR($C349*INDEX(SPPR!$E:$X,MATCH($A349,SPPR!$A:$A,0),2),"")</f>
        <v/>
      </c>
      <c r="F349">
        <f>IFERROR($C349*INDEX(SPPR!$E:$X,MATCH($A349,SPPR!$A:$A,0),3),"")</f>
        <v/>
      </c>
      <c r="G349">
        <f>IFERROR($C349*INDEX(SPPR!$E:$X,MATCH($A349,SPPR!$A:$A,0),4),"")</f>
        <v/>
      </c>
      <c r="H349">
        <f>IFERROR($C349*INDEX(SPPR!$E:$X,MATCH($A349,SPPR!$A:$A,0),5),"")</f>
        <v/>
      </c>
      <c r="I349">
        <f>IFERROR($C349*INDEX(SPPR!$E:$X,MATCH($A349,SPPR!$A:$A,0),6),"")</f>
        <v/>
      </c>
      <c r="J349">
        <f>IFERROR($C349*INDEX(SPPR!$E:$X,MATCH($A349,SPPR!$A:$A,0),7),"")</f>
        <v/>
      </c>
      <c r="K349">
        <f>IFERROR($C349*INDEX(SPPR!$E:$X,MATCH($A349,SPPR!$A:$A,0),8),"")</f>
        <v/>
      </c>
      <c r="L349">
        <f>IFERROR($C349*INDEX(SPPR!$E:$X,MATCH($A349,SPPR!$A:$A,0),9),"")</f>
        <v/>
      </c>
      <c r="M349">
        <f>IFERROR($C349*INDEX(SPPR!$E:$X,MATCH($A349,SPPR!$A:$A,0),10),"")</f>
        <v/>
      </c>
      <c r="N349">
        <f>IFERROR($C349*INDEX(SPPR!$E:$X,MATCH($A349,SPPR!$A:$A,0),11),"")</f>
        <v/>
      </c>
      <c r="O349">
        <f>IFERROR($C349*INDEX(SPPR!$E:$X,MATCH($A349,SPPR!$A:$A,0),12),"")</f>
        <v/>
      </c>
      <c r="P349">
        <f>IFERROR($C349*INDEX(SPPR!$E:$X,MATCH($A349,SPPR!$A:$A,0),13),"")</f>
        <v/>
      </c>
      <c r="Q349">
        <f>IFERROR($C349*INDEX(SPPR!$E:$X,MATCH($A349,SPPR!$A:$A,0),14),"")</f>
        <v/>
      </c>
      <c r="R349">
        <f>IFERROR($C349*INDEX(SPPR!$E:$X,MATCH($A349,SPPR!$A:$A,0),15),"")</f>
        <v/>
      </c>
      <c r="S349">
        <f>IFERROR($C349*INDEX(SPPR!$E:$X,MATCH($A349,SPPR!$A:$A,0),16),"")</f>
        <v/>
      </c>
      <c r="T349">
        <f>IFERROR($C349*INDEX(SPPR!$E:$X,MATCH($A349,SPPR!$A:$A,0),17),"")</f>
        <v/>
      </c>
      <c r="U349">
        <f>IFERROR($C349*INDEX(SPPR!$E:$X,MATCH($A349,SPPR!$A:$A,0),18),"")</f>
        <v/>
      </c>
      <c r="V349">
        <f>IFERROR($C349*INDEX(SPPR!$E:$X,MATCH($A349,SPPR!$A:$A,0),19),"")</f>
        <v/>
      </c>
      <c r="W349">
        <f>IFERROR($C349*INDEX(SPPR!$E:$X,MATCH($A349,SPPR!$A:$A,0),20),"")</f>
        <v/>
      </c>
    </row>
    <row r="350">
      <c r="A350" t="inlineStr">
        <is>
          <t>Octopoda</t>
        </is>
      </c>
      <c r="B350">
        <f>IFERROR(INDEX(SPPR!$D:$D,MATCH($A350,SPPR!$A:$A,0)),"")</f>
        <v/>
      </c>
      <c r="C350">
        <f>IFERROR(INDEX(Catch!$E:$BV,MATCH($A350,Catch!$A:$A,0),MATCH($B$4,Catch!$E$1:$BV$1,0)),0)</f>
        <v/>
      </c>
      <c r="D350">
        <f>IFERROR($C350*INDEX(SPPR!$E:$X,MATCH($A350,SPPR!$A:$A,0),1),"")</f>
        <v/>
      </c>
      <c r="E350">
        <f>IFERROR($C350*INDEX(SPPR!$E:$X,MATCH($A350,SPPR!$A:$A,0),2),"")</f>
        <v/>
      </c>
      <c r="F350">
        <f>IFERROR($C350*INDEX(SPPR!$E:$X,MATCH($A350,SPPR!$A:$A,0),3),"")</f>
        <v/>
      </c>
      <c r="G350">
        <f>IFERROR($C350*INDEX(SPPR!$E:$X,MATCH($A350,SPPR!$A:$A,0),4),"")</f>
        <v/>
      </c>
      <c r="H350">
        <f>IFERROR($C350*INDEX(SPPR!$E:$X,MATCH($A350,SPPR!$A:$A,0),5),"")</f>
        <v/>
      </c>
      <c r="I350">
        <f>IFERROR($C350*INDEX(SPPR!$E:$X,MATCH($A350,SPPR!$A:$A,0),6),"")</f>
        <v/>
      </c>
      <c r="J350">
        <f>IFERROR($C350*INDEX(SPPR!$E:$X,MATCH($A350,SPPR!$A:$A,0),7),"")</f>
        <v/>
      </c>
      <c r="K350">
        <f>IFERROR($C350*INDEX(SPPR!$E:$X,MATCH($A350,SPPR!$A:$A,0),8),"")</f>
        <v/>
      </c>
      <c r="L350">
        <f>IFERROR($C350*INDEX(SPPR!$E:$X,MATCH($A350,SPPR!$A:$A,0),9),"")</f>
        <v/>
      </c>
      <c r="M350">
        <f>IFERROR($C350*INDEX(SPPR!$E:$X,MATCH($A350,SPPR!$A:$A,0),10),"")</f>
        <v/>
      </c>
      <c r="N350">
        <f>IFERROR($C350*INDEX(SPPR!$E:$X,MATCH($A350,SPPR!$A:$A,0),11),"")</f>
        <v/>
      </c>
      <c r="O350">
        <f>IFERROR($C350*INDEX(SPPR!$E:$X,MATCH($A350,SPPR!$A:$A,0),12),"")</f>
        <v/>
      </c>
      <c r="P350">
        <f>IFERROR($C350*INDEX(SPPR!$E:$X,MATCH($A350,SPPR!$A:$A,0),13),"")</f>
        <v/>
      </c>
      <c r="Q350">
        <f>IFERROR($C350*INDEX(SPPR!$E:$X,MATCH($A350,SPPR!$A:$A,0),14),"")</f>
        <v/>
      </c>
      <c r="R350">
        <f>IFERROR($C350*INDEX(SPPR!$E:$X,MATCH($A350,SPPR!$A:$A,0),15),"")</f>
        <v/>
      </c>
      <c r="S350">
        <f>IFERROR($C350*INDEX(SPPR!$E:$X,MATCH($A350,SPPR!$A:$A,0),16),"")</f>
        <v/>
      </c>
      <c r="T350">
        <f>IFERROR($C350*INDEX(SPPR!$E:$X,MATCH($A350,SPPR!$A:$A,0),17),"")</f>
        <v/>
      </c>
      <c r="U350">
        <f>IFERROR($C350*INDEX(SPPR!$E:$X,MATCH($A350,SPPR!$A:$A,0),18),"")</f>
        <v/>
      </c>
      <c r="V350">
        <f>IFERROR($C350*INDEX(SPPR!$E:$X,MATCH($A350,SPPR!$A:$A,0),19),"")</f>
        <v/>
      </c>
      <c r="W350">
        <f>IFERROR($C350*INDEX(SPPR!$E:$X,MATCH($A350,SPPR!$A:$A,0),20),"")</f>
        <v/>
      </c>
    </row>
    <row r="351">
      <c r="A351" t="inlineStr">
        <is>
          <t>Scomberomorus lineolatus</t>
        </is>
      </c>
      <c r="B351">
        <f>IFERROR(INDEX(SPPR!$D:$D,MATCH($A351,SPPR!$A:$A,0)),"")</f>
        <v/>
      </c>
      <c r="C351">
        <f>IFERROR(INDEX(Catch!$E:$BV,MATCH($A351,Catch!$A:$A,0),MATCH($B$4,Catch!$E$1:$BV$1,0)),0)</f>
        <v/>
      </c>
      <c r="D351">
        <f>IFERROR($C351*INDEX(SPPR!$E:$X,MATCH($A351,SPPR!$A:$A,0),1),"")</f>
        <v/>
      </c>
      <c r="E351">
        <f>IFERROR($C351*INDEX(SPPR!$E:$X,MATCH($A351,SPPR!$A:$A,0),2),"")</f>
        <v/>
      </c>
      <c r="F351">
        <f>IFERROR($C351*INDEX(SPPR!$E:$X,MATCH($A351,SPPR!$A:$A,0),3),"")</f>
        <v/>
      </c>
      <c r="G351">
        <f>IFERROR($C351*INDEX(SPPR!$E:$X,MATCH($A351,SPPR!$A:$A,0),4),"")</f>
        <v/>
      </c>
      <c r="H351">
        <f>IFERROR($C351*INDEX(SPPR!$E:$X,MATCH($A351,SPPR!$A:$A,0),5),"")</f>
        <v/>
      </c>
      <c r="I351">
        <f>IFERROR($C351*INDEX(SPPR!$E:$X,MATCH($A351,SPPR!$A:$A,0),6),"")</f>
        <v/>
      </c>
      <c r="J351">
        <f>IFERROR($C351*INDEX(SPPR!$E:$X,MATCH($A351,SPPR!$A:$A,0),7),"")</f>
        <v/>
      </c>
      <c r="K351">
        <f>IFERROR($C351*INDEX(SPPR!$E:$X,MATCH($A351,SPPR!$A:$A,0),8),"")</f>
        <v/>
      </c>
      <c r="L351">
        <f>IFERROR($C351*INDEX(SPPR!$E:$X,MATCH($A351,SPPR!$A:$A,0),9),"")</f>
        <v/>
      </c>
      <c r="M351">
        <f>IFERROR($C351*INDEX(SPPR!$E:$X,MATCH($A351,SPPR!$A:$A,0),10),"")</f>
        <v/>
      </c>
      <c r="N351">
        <f>IFERROR($C351*INDEX(SPPR!$E:$X,MATCH($A351,SPPR!$A:$A,0),11),"")</f>
        <v/>
      </c>
      <c r="O351">
        <f>IFERROR($C351*INDEX(SPPR!$E:$X,MATCH($A351,SPPR!$A:$A,0),12),"")</f>
        <v/>
      </c>
      <c r="P351">
        <f>IFERROR($C351*INDEX(SPPR!$E:$X,MATCH($A351,SPPR!$A:$A,0),13),"")</f>
        <v/>
      </c>
      <c r="Q351">
        <f>IFERROR($C351*INDEX(SPPR!$E:$X,MATCH($A351,SPPR!$A:$A,0),14),"")</f>
        <v/>
      </c>
      <c r="R351">
        <f>IFERROR($C351*INDEX(SPPR!$E:$X,MATCH($A351,SPPR!$A:$A,0),15),"")</f>
        <v/>
      </c>
      <c r="S351">
        <f>IFERROR($C351*INDEX(SPPR!$E:$X,MATCH($A351,SPPR!$A:$A,0),16),"")</f>
        <v/>
      </c>
      <c r="T351">
        <f>IFERROR($C351*INDEX(SPPR!$E:$X,MATCH($A351,SPPR!$A:$A,0),17),"")</f>
        <v/>
      </c>
      <c r="U351">
        <f>IFERROR($C351*INDEX(SPPR!$E:$X,MATCH($A351,SPPR!$A:$A,0),18),"")</f>
        <v/>
      </c>
      <c r="V351">
        <f>IFERROR($C351*INDEX(SPPR!$E:$X,MATCH($A351,SPPR!$A:$A,0),19),"")</f>
        <v/>
      </c>
      <c r="W351">
        <f>IFERROR($C351*INDEX(SPPR!$E:$X,MATCH($A351,SPPR!$A:$A,0),20),"")</f>
        <v/>
      </c>
    </row>
    <row r="352">
      <c r="A352" t="inlineStr">
        <is>
          <t>Gymnosarda unicolor</t>
        </is>
      </c>
      <c r="B352">
        <f>IFERROR(INDEX(SPPR!$D:$D,MATCH($A352,SPPR!$A:$A,0)),"")</f>
        <v/>
      </c>
      <c r="C352">
        <f>IFERROR(INDEX(Catch!$E:$BV,MATCH($A352,Catch!$A:$A,0),MATCH($B$4,Catch!$E$1:$BV$1,0)),0)</f>
        <v/>
      </c>
      <c r="D352">
        <f>IFERROR($C352*INDEX(SPPR!$E:$X,MATCH($A352,SPPR!$A:$A,0),1),"")</f>
        <v/>
      </c>
      <c r="E352">
        <f>IFERROR($C352*INDEX(SPPR!$E:$X,MATCH($A352,SPPR!$A:$A,0),2),"")</f>
        <v/>
      </c>
      <c r="F352">
        <f>IFERROR($C352*INDEX(SPPR!$E:$X,MATCH($A352,SPPR!$A:$A,0),3),"")</f>
        <v/>
      </c>
      <c r="G352">
        <f>IFERROR($C352*INDEX(SPPR!$E:$X,MATCH($A352,SPPR!$A:$A,0),4),"")</f>
        <v/>
      </c>
      <c r="H352">
        <f>IFERROR($C352*INDEX(SPPR!$E:$X,MATCH($A352,SPPR!$A:$A,0),5),"")</f>
        <v/>
      </c>
      <c r="I352">
        <f>IFERROR($C352*INDEX(SPPR!$E:$X,MATCH($A352,SPPR!$A:$A,0),6),"")</f>
        <v/>
      </c>
      <c r="J352">
        <f>IFERROR($C352*INDEX(SPPR!$E:$X,MATCH($A352,SPPR!$A:$A,0),7),"")</f>
        <v/>
      </c>
      <c r="K352">
        <f>IFERROR($C352*INDEX(SPPR!$E:$X,MATCH($A352,SPPR!$A:$A,0),8),"")</f>
        <v/>
      </c>
      <c r="L352">
        <f>IFERROR($C352*INDEX(SPPR!$E:$X,MATCH($A352,SPPR!$A:$A,0),9),"")</f>
        <v/>
      </c>
      <c r="M352">
        <f>IFERROR($C352*INDEX(SPPR!$E:$X,MATCH($A352,SPPR!$A:$A,0),10),"")</f>
        <v/>
      </c>
      <c r="N352">
        <f>IFERROR($C352*INDEX(SPPR!$E:$X,MATCH($A352,SPPR!$A:$A,0),11),"")</f>
        <v/>
      </c>
      <c r="O352">
        <f>IFERROR($C352*INDEX(SPPR!$E:$X,MATCH($A352,SPPR!$A:$A,0),12),"")</f>
        <v/>
      </c>
      <c r="P352">
        <f>IFERROR($C352*INDEX(SPPR!$E:$X,MATCH($A352,SPPR!$A:$A,0),13),"")</f>
        <v/>
      </c>
      <c r="Q352">
        <f>IFERROR($C352*INDEX(SPPR!$E:$X,MATCH($A352,SPPR!$A:$A,0),14),"")</f>
        <v/>
      </c>
      <c r="R352">
        <f>IFERROR($C352*INDEX(SPPR!$E:$X,MATCH($A352,SPPR!$A:$A,0),15),"")</f>
        <v/>
      </c>
      <c r="S352">
        <f>IFERROR($C352*INDEX(SPPR!$E:$X,MATCH($A352,SPPR!$A:$A,0),16),"")</f>
        <v/>
      </c>
      <c r="T352">
        <f>IFERROR($C352*INDEX(SPPR!$E:$X,MATCH($A352,SPPR!$A:$A,0),17),"")</f>
        <v/>
      </c>
      <c r="U352">
        <f>IFERROR($C352*INDEX(SPPR!$E:$X,MATCH($A352,SPPR!$A:$A,0),18),"")</f>
        <v/>
      </c>
      <c r="V352">
        <f>IFERROR($C352*INDEX(SPPR!$E:$X,MATCH($A352,SPPR!$A:$A,0),19),"")</f>
        <v/>
      </c>
      <c r="W352">
        <f>IFERROR($C352*INDEX(SPPR!$E:$X,MATCH($A352,SPPR!$A:$A,0),20),"")</f>
        <v/>
      </c>
    </row>
    <row r="353">
      <c r="A353" t="inlineStr">
        <is>
          <t>Scolopsis</t>
        </is>
      </c>
      <c r="B353">
        <f>IFERROR(INDEX(SPPR!$D:$D,MATCH($A353,SPPR!$A:$A,0)),"")</f>
        <v/>
      </c>
      <c r="C353">
        <f>IFERROR(INDEX(Catch!$E:$BV,MATCH($A353,Catch!$A:$A,0),MATCH($B$4,Catch!$E$1:$BV$1,0)),0)</f>
        <v/>
      </c>
      <c r="D353">
        <f>IFERROR($C353*INDEX(SPPR!$E:$X,MATCH($A353,SPPR!$A:$A,0),1),"")</f>
        <v/>
      </c>
      <c r="E353">
        <f>IFERROR($C353*INDEX(SPPR!$E:$X,MATCH($A353,SPPR!$A:$A,0),2),"")</f>
        <v/>
      </c>
      <c r="F353">
        <f>IFERROR($C353*INDEX(SPPR!$E:$X,MATCH($A353,SPPR!$A:$A,0),3),"")</f>
        <v/>
      </c>
      <c r="G353">
        <f>IFERROR($C353*INDEX(SPPR!$E:$X,MATCH($A353,SPPR!$A:$A,0),4),"")</f>
        <v/>
      </c>
      <c r="H353">
        <f>IFERROR($C353*INDEX(SPPR!$E:$X,MATCH($A353,SPPR!$A:$A,0),5),"")</f>
        <v/>
      </c>
      <c r="I353">
        <f>IFERROR($C353*INDEX(SPPR!$E:$X,MATCH($A353,SPPR!$A:$A,0),6),"")</f>
        <v/>
      </c>
      <c r="J353">
        <f>IFERROR($C353*INDEX(SPPR!$E:$X,MATCH($A353,SPPR!$A:$A,0),7),"")</f>
        <v/>
      </c>
      <c r="K353">
        <f>IFERROR($C353*INDEX(SPPR!$E:$X,MATCH($A353,SPPR!$A:$A,0),8),"")</f>
        <v/>
      </c>
      <c r="L353">
        <f>IFERROR($C353*INDEX(SPPR!$E:$X,MATCH($A353,SPPR!$A:$A,0),9),"")</f>
        <v/>
      </c>
      <c r="M353">
        <f>IFERROR($C353*INDEX(SPPR!$E:$X,MATCH($A353,SPPR!$A:$A,0),10),"")</f>
        <v/>
      </c>
      <c r="N353">
        <f>IFERROR($C353*INDEX(SPPR!$E:$X,MATCH($A353,SPPR!$A:$A,0),11),"")</f>
        <v/>
      </c>
      <c r="O353">
        <f>IFERROR($C353*INDEX(SPPR!$E:$X,MATCH($A353,SPPR!$A:$A,0),12),"")</f>
        <v/>
      </c>
      <c r="P353">
        <f>IFERROR($C353*INDEX(SPPR!$E:$X,MATCH($A353,SPPR!$A:$A,0),13),"")</f>
        <v/>
      </c>
      <c r="Q353">
        <f>IFERROR($C353*INDEX(SPPR!$E:$X,MATCH($A353,SPPR!$A:$A,0),14),"")</f>
        <v/>
      </c>
      <c r="R353">
        <f>IFERROR($C353*INDEX(SPPR!$E:$X,MATCH($A353,SPPR!$A:$A,0),15),"")</f>
        <v/>
      </c>
      <c r="S353">
        <f>IFERROR($C353*INDEX(SPPR!$E:$X,MATCH($A353,SPPR!$A:$A,0),16),"")</f>
        <v/>
      </c>
      <c r="T353">
        <f>IFERROR($C353*INDEX(SPPR!$E:$X,MATCH($A353,SPPR!$A:$A,0),17),"")</f>
        <v/>
      </c>
      <c r="U353">
        <f>IFERROR($C353*INDEX(SPPR!$E:$X,MATCH($A353,SPPR!$A:$A,0),18),"")</f>
        <v/>
      </c>
      <c r="V353">
        <f>IFERROR($C353*INDEX(SPPR!$E:$X,MATCH($A353,SPPR!$A:$A,0),19),"")</f>
        <v/>
      </c>
      <c r="W353">
        <f>IFERROR($C353*INDEX(SPPR!$E:$X,MATCH($A353,SPPR!$A:$A,0),20),"")</f>
        <v/>
      </c>
    </row>
    <row r="354">
      <c r="A354" t="inlineStr">
        <is>
          <t>Berycidae</t>
        </is>
      </c>
      <c r="B354">
        <f>IFERROR(INDEX(SPPR!$D:$D,MATCH($A354,SPPR!$A:$A,0)),"")</f>
        <v/>
      </c>
      <c r="C354">
        <f>IFERROR(INDEX(Catch!$E:$BV,MATCH($A354,Catch!$A:$A,0),MATCH($B$4,Catch!$E$1:$BV$1,0)),0)</f>
        <v/>
      </c>
      <c r="D354">
        <f>IFERROR($C354*INDEX(SPPR!$E:$X,MATCH($A354,SPPR!$A:$A,0),1),"")</f>
        <v/>
      </c>
      <c r="E354">
        <f>IFERROR($C354*INDEX(SPPR!$E:$X,MATCH($A354,SPPR!$A:$A,0),2),"")</f>
        <v/>
      </c>
      <c r="F354">
        <f>IFERROR($C354*INDEX(SPPR!$E:$X,MATCH($A354,SPPR!$A:$A,0),3),"")</f>
        <v/>
      </c>
      <c r="G354">
        <f>IFERROR($C354*INDEX(SPPR!$E:$X,MATCH($A354,SPPR!$A:$A,0),4),"")</f>
        <v/>
      </c>
      <c r="H354">
        <f>IFERROR($C354*INDEX(SPPR!$E:$X,MATCH($A354,SPPR!$A:$A,0),5),"")</f>
        <v/>
      </c>
      <c r="I354">
        <f>IFERROR($C354*INDEX(SPPR!$E:$X,MATCH($A354,SPPR!$A:$A,0),6),"")</f>
        <v/>
      </c>
      <c r="J354">
        <f>IFERROR($C354*INDEX(SPPR!$E:$X,MATCH($A354,SPPR!$A:$A,0),7),"")</f>
        <v/>
      </c>
      <c r="K354">
        <f>IFERROR($C354*INDEX(SPPR!$E:$X,MATCH($A354,SPPR!$A:$A,0),8),"")</f>
        <v/>
      </c>
      <c r="L354">
        <f>IFERROR($C354*INDEX(SPPR!$E:$X,MATCH($A354,SPPR!$A:$A,0),9),"")</f>
        <v/>
      </c>
      <c r="M354">
        <f>IFERROR($C354*INDEX(SPPR!$E:$X,MATCH($A354,SPPR!$A:$A,0),10),"")</f>
        <v/>
      </c>
      <c r="N354">
        <f>IFERROR($C354*INDEX(SPPR!$E:$X,MATCH($A354,SPPR!$A:$A,0),11),"")</f>
        <v/>
      </c>
      <c r="O354">
        <f>IFERROR($C354*INDEX(SPPR!$E:$X,MATCH($A354,SPPR!$A:$A,0),12),"")</f>
        <v/>
      </c>
      <c r="P354">
        <f>IFERROR($C354*INDEX(SPPR!$E:$X,MATCH($A354,SPPR!$A:$A,0),13),"")</f>
        <v/>
      </c>
      <c r="Q354">
        <f>IFERROR($C354*INDEX(SPPR!$E:$X,MATCH($A354,SPPR!$A:$A,0),14),"")</f>
        <v/>
      </c>
      <c r="R354">
        <f>IFERROR($C354*INDEX(SPPR!$E:$X,MATCH($A354,SPPR!$A:$A,0),15),"")</f>
        <v/>
      </c>
      <c r="S354">
        <f>IFERROR($C354*INDEX(SPPR!$E:$X,MATCH($A354,SPPR!$A:$A,0),16),"")</f>
        <v/>
      </c>
      <c r="T354">
        <f>IFERROR($C354*INDEX(SPPR!$E:$X,MATCH($A354,SPPR!$A:$A,0),17),"")</f>
        <v/>
      </c>
      <c r="U354">
        <f>IFERROR($C354*INDEX(SPPR!$E:$X,MATCH($A354,SPPR!$A:$A,0),18),"")</f>
        <v/>
      </c>
      <c r="V354">
        <f>IFERROR($C354*INDEX(SPPR!$E:$X,MATCH($A354,SPPR!$A:$A,0),19),"")</f>
        <v/>
      </c>
      <c r="W354">
        <f>IFERROR($C354*INDEX(SPPR!$E:$X,MATCH($A354,SPPR!$A:$A,0),20),"")</f>
        <v/>
      </c>
    </row>
    <row r="355">
      <c r="A355" t="inlineStr">
        <is>
          <t>Aluterus monoceros</t>
        </is>
      </c>
      <c r="B355">
        <f>IFERROR(INDEX(SPPR!$D:$D,MATCH($A355,SPPR!$A:$A,0)),"")</f>
        <v/>
      </c>
      <c r="C355">
        <f>IFERROR(INDEX(Catch!$E:$BV,MATCH($A355,Catch!$A:$A,0),MATCH($B$4,Catch!$E$1:$BV$1,0)),0)</f>
        <v/>
      </c>
      <c r="D355">
        <f>IFERROR($C355*INDEX(SPPR!$E:$X,MATCH($A355,SPPR!$A:$A,0),1),"")</f>
        <v/>
      </c>
      <c r="E355">
        <f>IFERROR($C355*INDEX(SPPR!$E:$X,MATCH($A355,SPPR!$A:$A,0),2),"")</f>
        <v/>
      </c>
      <c r="F355">
        <f>IFERROR($C355*INDEX(SPPR!$E:$X,MATCH($A355,SPPR!$A:$A,0),3),"")</f>
        <v/>
      </c>
      <c r="G355">
        <f>IFERROR($C355*INDEX(SPPR!$E:$X,MATCH($A355,SPPR!$A:$A,0),4),"")</f>
        <v/>
      </c>
      <c r="H355">
        <f>IFERROR($C355*INDEX(SPPR!$E:$X,MATCH($A355,SPPR!$A:$A,0),5),"")</f>
        <v/>
      </c>
      <c r="I355">
        <f>IFERROR($C355*INDEX(SPPR!$E:$X,MATCH($A355,SPPR!$A:$A,0),6),"")</f>
        <v/>
      </c>
      <c r="J355">
        <f>IFERROR($C355*INDEX(SPPR!$E:$X,MATCH($A355,SPPR!$A:$A,0),7),"")</f>
        <v/>
      </c>
      <c r="K355">
        <f>IFERROR($C355*INDEX(SPPR!$E:$X,MATCH($A355,SPPR!$A:$A,0),8),"")</f>
        <v/>
      </c>
      <c r="L355">
        <f>IFERROR($C355*INDEX(SPPR!$E:$X,MATCH($A355,SPPR!$A:$A,0),9),"")</f>
        <v/>
      </c>
      <c r="M355">
        <f>IFERROR($C355*INDEX(SPPR!$E:$X,MATCH($A355,SPPR!$A:$A,0),10),"")</f>
        <v/>
      </c>
      <c r="N355">
        <f>IFERROR($C355*INDEX(SPPR!$E:$X,MATCH($A355,SPPR!$A:$A,0),11),"")</f>
        <v/>
      </c>
      <c r="O355">
        <f>IFERROR($C355*INDEX(SPPR!$E:$X,MATCH($A355,SPPR!$A:$A,0),12),"")</f>
        <v/>
      </c>
      <c r="P355">
        <f>IFERROR($C355*INDEX(SPPR!$E:$X,MATCH($A355,SPPR!$A:$A,0),13),"")</f>
        <v/>
      </c>
      <c r="Q355">
        <f>IFERROR($C355*INDEX(SPPR!$E:$X,MATCH($A355,SPPR!$A:$A,0),14),"")</f>
        <v/>
      </c>
      <c r="R355">
        <f>IFERROR($C355*INDEX(SPPR!$E:$X,MATCH($A355,SPPR!$A:$A,0),15),"")</f>
        <v/>
      </c>
      <c r="S355">
        <f>IFERROR($C355*INDEX(SPPR!$E:$X,MATCH($A355,SPPR!$A:$A,0),16),"")</f>
        <v/>
      </c>
      <c r="T355">
        <f>IFERROR($C355*INDEX(SPPR!$E:$X,MATCH($A355,SPPR!$A:$A,0),17),"")</f>
        <v/>
      </c>
      <c r="U355">
        <f>IFERROR($C355*INDEX(SPPR!$E:$X,MATCH($A355,SPPR!$A:$A,0),18),"")</f>
        <v/>
      </c>
      <c r="V355">
        <f>IFERROR($C355*INDEX(SPPR!$E:$X,MATCH($A355,SPPR!$A:$A,0),19),"")</f>
        <v/>
      </c>
      <c r="W355">
        <f>IFERROR($C355*INDEX(SPPR!$E:$X,MATCH($A355,SPPR!$A:$A,0),20),"")</f>
        <v/>
      </c>
    </row>
    <row r="356">
      <c r="A356" t="inlineStr">
        <is>
          <t>Caranx lugubris</t>
        </is>
      </c>
      <c r="B356">
        <f>IFERROR(INDEX(SPPR!$D:$D,MATCH($A356,SPPR!$A:$A,0)),"")</f>
        <v/>
      </c>
      <c r="C356">
        <f>IFERROR(INDEX(Catch!$E:$BV,MATCH($A356,Catch!$A:$A,0),MATCH($B$4,Catch!$E$1:$BV$1,0)),0)</f>
        <v/>
      </c>
      <c r="D356">
        <f>IFERROR($C356*INDEX(SPPR!$E:$X,MATCH($A356,SPPR!$A:$A,0),1),"")</f>
        <v/>
      </c>
      <c r="E356">
        <f>IFERROR($C356*INDEX(SPPR!$E:$X,MATCH($A356,SPPR!$A:$A,0),2),"")</f>
        <v/>
      </c>
      <c r="F356">
        <f>IFERROR($C356*INDEX(SPPR!$E:$X,MATCH($A356,SPPR!$A:$A,0),3),"")</f>
        <v/>
      </c>
      <c r="G356">
        <f>IFERROR($C356*INDEX(SPPR!$E:$X,MATCH($A356,SPPR!$A:$A,0),4),"")</f>
        <v/>
      </c>
      <c r="H356">
        <f>IFERROR($C356*INDEX(SPPR!$E:$X,MATCH($A356,SPPR!$A:$A,0),5),"")</f>
        <v/>
      </c>
      <c r="I356">
        <f>IFERROR($C356*INDEX(SPPR!$E:$X,MATCH($A356,SPPR!$A:$A,0),6),"")</f>
        <v/>
      </c>
      <c r="J356">
        <f>IFERROR($C356*INDEX(SPPR!$E:$X,MATCH($A356,SPPR!$A:$A,0),7),"")</f>
        <v/>
      </c>
      <c r="K356">
        <f>IFERROR($C356*INDEX(SPPR!$E:$X,MATCH($A356,SPPR!$A:$A,0),8),"")</f>
        <v/>
      </c>
      <c r="L356">
        <f>IFERROR($C356*INDEX(SPPR!$E:$X,MATCH($A356,SPPR!$A:$A,0),9),"")</f>
        <v/>
      </c>
      <c r="M356">
        <f>IFERROR($C356*INDEX(SPPR!$E:$X,MATCH($A356,SPPR!$A:$A,0),10),"")</f>
        <v/>
      </c>
      <c r="N356">
        <f>IFERROR($C356*INDEX(SPPR!$E:$X,MATCH($A356,SPPR!$A:$A,0),11),"")</f>
        <v/>
      </c>
      <c r="O356">
        <f>IFERROR($C356*INDEX(SPPR!$E:$X,MATCH($A356,SPPR!$A:$A,0),12),"")</f>
        <v/>
      </c>
      <c r="P356">
        <f>IFERROR($C356*INDEX(SPPR!$E:$X,MATCH($A356,SPPR!$A:$A,0),13),"")</f>
        <v/>
      </c>
      <c r="Q356">
        <f>IFERROR($C356*INDEX(SPPR!$E:$X,MATCH($A356,SPPR!$A:$A,0),14),"")</f>
        <v/>
      </c>
      <c r="R356">
        <f>IFERROR($C356*INDEX(SPPR!$E:$X,MATCH($A356,SPPR!$A:$A,0),15),"")</f>
        <v/>
      </c>
      <c r="S356">
        <f>IFERROR($C356*INDEX(SPPR!$E:$X,MATCH($A356,SPPR!$A:$A,0),16),"")</f>
        <v/>
      </c>
      <c r="T356">
        <f>IFERROR($C356*INDEX(SPPR!$E:$X,MATCH($A356,SPPR!$A:$A,0),17),"")</f>
        <v/>
      </c>
      <c r="U356">
        <f>IFERROR($C356*INDEX(SPPR!$E:$X,MATCH($A356,SPPR!$A:$A,0),18),"")</f>
        <v/>
      </c>
      <c r="V356">
        <f>IFERROR($C356*INDEX(SPPR!$E:$X,MATCH($A356,SPPR!$A:$A,0),19),"")</f>
        <v/>
      </c>
      <c r="W356">
        <f>IFERROR($C356*INDEX(SPPR!$E:$X,MATCH($A356,SPPR!$A:$A,0),20),"")</f>
        <v/>
      </c>
    </row>
    <row r="357">
      <c r="A357" t="inlineStr">
        <is>
          <t>Aphareus rutilans</t>
        </is>
      </c>
      <c r="B357">
        <f>IFERROR(INDEX(SPPR!$D:$D,MATCH($A357,SPPR!$A:$A,0)),"")</f>
        <v/>
      </c>
      <c r="C357">
        <f>IFERROR(INDEX(Catch!$E:$BV,MATCH($A357,Catch!$A:$A,0),MATCH($B$4,Catch!$E$1:$BV$1,0)),0)</f>
        <v/>
      </c>
      <c r="D357">
        <f>IFERROR($C357*INDEX(SPPR!$E:$X,MATCH($A357,SPPR!$A:$A,0),1),"")</f>
        <v/>
      </c>
      <c r="E357">
        <f>IFERROR($C357*INDEX(SPPR!$E:$X,MATCH($A357,SPPR!$A:$A,0),2),"")</f>
        <v/>
      </c>
      <c r="F357">
        <f>IFERROR($C357*INDEX(SPPR!$E:$X,MATCH($A357,SPPR!$A:$A,0),3),"")</f>
        <v/>
      </c>
      <c r="G357">
        <f>IFERROR($C357*INDEX(SPPR!$E:$X,MATCH($A357,SPPR!$A:$A,0),4),"")</f>
        <v/>
      </c>
      <c r="H357">
        <f>IFERROR($C357*INDEX(SPPR!$E:$X,MATCH($A357,SPPR!$A:$A,0),5),"")</f>
        <v/>
      </c>
      <c r="I357">
        <f>IFERROR($C357*INDEX(SPPR!$E:$X,MATCH($A357,SPPR!$A:$A,0),6),"")</f>
        <v/>
      </c>
      <c r="J357">
        <f>IFERROR($C357*INDEX(SPPR!$E:$X,MATCH($A357,SPPR!$A:$A,0),7),"")</f>
        <v/>
      </c>
      <c r="K357">
        <f>IFERROR($C357*INDEX(SPPR!$E:$X,MATCH($A357,SPPR!$A:$A,0),8),"")</f>
        <v/>
      </c>
      <c r="L357">
        <f>IFERROR($C357*INDEX(SPPR!$E:$X,MATCH($A357,SPPR!$A:$A,0),9),"")</f>
        <v/>
      </c>
      <c r="M357">
        <f>IFERROR($C357*INDEX(SPPR!$E:$X,MATCH($A357,SPPR!$A:$A,0),10),"")</f>
        <v/>
      </c>
      <c r="N357">
        <f>IFERROR($C357*INDEX(SPPR!$E:$X,MATCH($A357,SPPR!$A:$A,0),11),"")</f>
        <v/>
      </c>
      <c r="O357">
        <f>IFERROR($C357*INDEX(SPPR!$E:$X,MATCH($A357,SPPR!$A:$A,0),12),"")</f>
        <v/>
      </c>
      <c r="P357">
        <f>IFERROR($C357*INDEX(SPPR!$E:$X,MATCH($A357,SPPR!$A:$A,0),13),"")</f>
        <v/>
      </c>
      <c r="Q357">
        <f>IFERROR($C357*INDEX(SPPR!$E:$X,MATCH($A357,SPPR!$A:$A,0),14),"")</f>
        <v/>
      </c>
      <c r="R357">
        <f>IFERROR($C357*INDEX(SPPR!$E:$X,MATCH($A357,SPPR!$A:$A,0),15),"")</f>
        <v/>
      </c>
      <c r="S357">
        <f>IFERROR($C357*INDEX(SPPR!$E:$X,MATCH($A357,SPPR!$A:$A,0),16),"")</f>
        <v/>
      </c>
      <c r="T357">
        <f>IFERROR($C357*INDEX(SPPR!$E:$X,MATCH($A357,SPPR!$A:$A,0),17),"")</f>
        <v/>
      </c>
      <c r="U357">
        <f>IFERROR($C357*INDEX(SPPR!$E:$X,MATCH($A357,SPPR!$A:$A,0),18),"")</f>
        <v/>
      </c>
      <c r="V357">
        <f>IFERROR($C357*INDEX(SPPR!$E:$X,MATCH($A357,SPPR!$A:$A,0),19),"")</f>
        <v/>
      </c>
      <c r="W357">
        <f>IFERROR($C357*INDEX(SPPR!$E:$X,MATCH($A357,SPPR!$A:$A,0),20),"")</f>
        <v/>
      </c>
    </row>
    <row r="358">
      <c r="A358" t="inlineStr">
        <is>
          <t>Macolor niger</t>
        </is>
      </c>
      <c r="B358">
        <f>IFERROR(INDEX(SPPR!$D:$D,MATCH($A358,SPPR!$A:$A,0)),"")</f>
        <v/>
      </c>
      <c r="C358">
        <f>IFERROR(INDEX(Catch!$E:$BV,MATCH($A358,Catch!$A:$A,0),MATCH($B$4,Catch!$E$1:$BV$1,0)),0)</f>
        <v/>
      </c>
      <c r="D358">
        <f>IFERROR($C358*INDEX(SPPR!$E:$X,MATCH($A358,SPPR!$A:$A,0),1),"")</f>
        <v/>
      </c>
      <c r="E358">
        <f>IFERROR($C358*INDEX(SPPR!$E:$X,MATCH($A358,SPPR!$A:$A,0),2),"")</f>
        <v/>
      </c>
      <c r="F358">
        <f>IFERROR($C358*INDEX(SPPR!$E:$X,MATCH($A358,SPPR!$A:$A,0),3),"")</f>
        <v/>
      </c>
      <c r="G358">
        <f>IFERROR($C358*INDEX(SPPR!$E:$X,MATCH($A358,SPPR!$A:$A,0),4),"")</f>
        <v/>
      </c>
      <c r="H358">
        <f>IFERROR($C358*INDEX(SPPR!$E:$X,MATCH($A358,SPPR!$A:$A,0),5),"")</f>
        <v/>
      </c>
      <c r="I358">
        <f>IFERROR($C358*INDEX(SPPR!$E:$X,MATCH($A358,SPPR!$A:$A,0),6),"")</f>
        <v/>
      </c>
      <c r="J358">
        <f>IFERROR($C358*INDEX(SPPR!$E:$X,MATCH($A358,SPPR!$A:$A,0),7),"")</f>
        <v/>
      </c>
      <c r="K358">
        <f>IFERROR($C358*INDEX(SPPR!$E:$X,MATCH($A358,SPPR!$A:$A,0),8),"")</f>
        <v/>
      </c>
      <c r="L358">
        <f>IFERROR($C358*INDEX(SPPR!$E:$X,MATCH($A358,SPPR!$A:$A,0),9),"")</f>
        <v/>
      </c>
      <c r="M358">
        <f>IFERROR($C358*INDEX(SPPR!$E:$X,MATCH($A358,SPPR!$A:$A,0),10),"")</f>
        <v/>
      </c>
      <c r="N358">
        <f>IFERROR($C358*INDEX(SPPR!$E:$X,MATCH($A358,SPPR!$A:$A,0),11),"")</f>
        <v/>
      </c>
      <c r="O358">
        <f>IFERROR($C358*INDEX(SPPR!$E:$X,MATCH($A358,SPPR!$A:$A,0),12),"")</f>
        <v/>
      </c>
      <c r="P358">
        <f>IFERROR($C358*INDEX(SPPR!$E:$X,MATCH($A358,SPPR!$A:$A,0),13),"")</f>
        <v/>
      </c>
      <c r="Q358">
        <f>IFERROR($C358*INDEX(SPPR!$E:$X,MATCH($A358,SPPR!$A:$A,0),14),"")</f>
        <v/>
      </c>
      <c r="R358">
        <f>IFERROR($C358*INDEX(SPPR!$E:$X,MATCH($A358,SPPR!$A:$A,0),15),"")</f>
        <v/>
      </c>
      <c r="S358">
        <f>IFERROR($C358*INDEX(SPPR!$E:$X,MATCH($A358,SPPR!$A:$A,0),16),"")</f>
        <v/>
      </c>
      <c r="T358">
        <f>IFERROR($C358*INDEX(SPPR!$E:$X,MATCH($A358,SPPR!$A:$A,0),17),"")</f>
        <v/>
      </c>
      <c r="U358">
        <f>IFERROR($C358*INDEX(SPPR!$E:$X,MATCH($A358,SPPR!$A:$A,0),18),"")</f>
        <v/>
      </c>
      <c r="V358">
        <f>IFERROR($C358*INDEX(SPPR!$E:$X,MATCH($A358,SPPR!$A:$A,0),19),"")</f>
        <v/>
      </c>
      <c r="W358">
        <f>IFERROR($C358*INDEX(SPPR!$E:$X,MATCH($A358,SPPR!$A:$A,0),20),"")</f>
        <v/>
      </c>
    </row>
    <row r="359">
      <c r="A359" t="inlineStr">
        <is>
          <t>Macolor macularis</t>
        </is>
      </c>
      <c r="B359">
        <f>IFERROR(INDEX(SPPR!$D:$D,MATCH($A359,SPPR!$A:$A,0)),"")</f>
        <v/>
      </c>
      <c r="C359">
        <f>IFERROR(INDEX(Catch!$E:$BV,MATCH($A359,Catch!$A:$A,0),MATCH($B$4,Catch!$E$1:$BV$1,0)),0)</f>
        <v/>
      </c>
      <c r="D359">
        <f>IFERROR($C359*INDEX(SPPR!$E:$X,MATCH($A359,SPPR!$A:$A,0),1),"")</f>
        <v/>
      </c>
      <c r="E359">
        <f>IFERROR($C359*INDEX(SPPR!$E:$X,MATCH($A359,SPPR!$A:$A,0),2),"")</f>
        <v/>
      </c>
      <c r="F359">
        <f>IFERROR($C359*INDEX(SPPR!$E:$X,MATCH($A359,SPPR!$A:$A,0),3),"")</f>
        <v/>
      </c>
      <c r="G359">
        <f>IFERROR($C359*INDEX(SPPR!$E:$X,MATCH($A359,SPPR!$A:$A,0),4),"")</f>
        <v/>
      </c>
      <c r="H359">
        <f>IFERROR($C359*INDEX(SPPR!$E:$X,MATCH($A359,SPPR!$A:$A,0),5),"")</f>
        <v/>
      </c>
      <c r="I359">
        <f>IFERROR($C359*INDEX(SPPR!$E:$X,MATCH($A359,SPPR!$A:$A,0),6),"")</f>
        <v/>
      </c>
      <c r="J359">
        <f>IFERROR($C359*INDEX(SPPR!$E:$X,MATCH($A359,SPPR!$A:$A,0),7),"")</f>
        <v/>
      </c>
      <c r="K359">
        <f>IFERROR($C359*INDEX(SPPR!$E:$X,MATCH($A359,SPPR!$A:$A,0),8),"")</f>
        <v/>
      </c>
      <c r="L359">
        <f>IFERROR($C359*INDEX(SPPR!$E:$X,MATCH($A359,SPPR!$A:$A,0),9),"")</f>
        <v/>
      </c>
      <c r="M359">
        <f>IFERROR($C359*INDEX(SPPR!$E:$X,MATCH($A359,SPPR!$A:$A,0),10),"")</f>
        <v/>
      </c>
      <c r="N359">
        <f>IFERROR($C359*INDEX(SPPR!$E:$X,MATCH($A359,SPPR!$A:$A,0),11),"")</f>
        <v/>
      </c>
      <c r="O359">
        <f>IFERROR($C359*INDEX(SPPR!$E:$X,MATCH($A359,SPPR!$A:$A,0),12),"")</f>
        <v/>
      </c>
      <c r="P359">
        <f>IFERROR($C359*INDEX(SPPR!$E:$X,MATCH($A359,SPPR!$A:$A,0),13),"")</f>
        <v/>
      </c>
      <c r="Q359">
        <f>IFERROR($C359*INDEX(SPPR!$E:$X,MATCH($A359,SPPR!$A:$A,0),14),"")</f>
        <v/>
      </c>
      <c r="R359">
        <f>IFERROR($C359*INDEX(SPPR!$E:$X,MATCH($A359,SPPR!$A:$A,0),15),"")</f>
        <v/>
      </c>
      <c r="S359">
        <f>IFERROR($C359*INDEX(SPPR!$E:$X,MATCH($A359,SPPR!$A:$A,0),16),"")</f>
        <v/>
      </c>
      <c r="T359">
        <f>IFERROR($C359*INDEX(SPPR!$E:$X,MATCH($A359,SPPR!$A:$A,0),17),"")</f>
        <v/>
      </c>
      <c r="U359">
        <f>IFERROR($C359*INDEX(SPPR!$E:$X,MATCH($A359,SPPR!$A:$A,0),18),"")</f>
        <v/>
      </c>
      <c r="V359">
        <f>IFERROR($C359*INDEX(SPPR!$E:$X,MATCH($A359,SPPR!$A:$A,0),19),"")</f>
        <v/>
      </c>
      <c r="W359">
        <f>IFERROR($C359*INDEX(SPPR!$E:$X,MATCH($A359,SPPR!$A:$A,0),20),"")</f>
        <v/>
      </c>
    </row>
    <row r="360">
      <c r="A360" t="inlineStr">
        <is>
          <t>Sillago</t>
        </is>
      </c>
      <c r="B360">
        <f>IFERROR(INDEX(SPPR!$D:$D,MATCH($A360,SPPR!$A:$A,0)),"")</f>
        <v/>
      </c>
      <c r="C360">
        <f>IFERROR(INDEX(Catch!$E:$BV,MATCH($A360,Catch!$A:$A,0),MATCH($B$4,Catch!$E$1:$BV$1,0)),0)</f>
        <v/>
      </c>
      <c r="D360">
        <f>IFERROR($C360*INDEX(SPPR!$E:$X,MATCH($A360,SPPR!$A:$A,0),1),"")</f>
        <v/>
      </c>
      <c r="E360">
        <f>IFERROR($C360*INDEX(SPPR!$E:$X,MATCH($A360,SPPR!$A:$A,0),2),"")</f>
        <v/>
      </c>
      <c r="F360">
        <f>IFERROR($C360*INDEX(SPPR!$E:$X,MATCH($A360,SPPR!$A:$A,0),3),"")</f>
        <v/>
      </c>
      <c r="G360">
        <f>IFERROR($C360*INDEX(SPPR!$E:$X,MATCH($A360,SPPR!$A:$A,0),4),"")</f>
        <v/>
      </c>
      <c r="H360">
        <f>IFERROR($C360*INDEX(SPPR!$E:$X,MATCH($A360,SPPR!$A:$A,0),5),"")</f>
        <v/>
      </c>
      <c r="I360">
        <f>IFERROR($C360*INDEX(SPPR!$E:$X,MATCH($A360,SPPR!$A:$A,0),6),"")</f>
        <v/>
      </c>
      <c r="J360">
        <f>IFERROR($C360*INDEX(SPPR!$E:$X,MATCH($A360,SPPR!$A:$A,0),7),"")</f>
        <v/>
      </c>
      <c r="K360">
        <f>IFERROR($C360*INDEX(SPPR!$E:$X,MATCH($A360,SPPR!$A:$A,0),8),"")</f>
        <v/>
      </c>
      <c r="L360">
        <f>IFERROR($C360*INDEX(SPPR!$E:$X,MATCH($A360,SPPR!$A:$A,0),9),"")</f>
        <v/>
      </c>
      <c r="M360">
        <f>IFERROR($C360*INDEX(SPPR!$E:$X,MATCH($A360,SPPR!$A:$A,0),10),"")</f>
        <v/>
      </c>
      <c r="N360">
        <f>IFERROR($C360*INDEX(SPPR!$E:$X,MATCH($A360,SPPR!$A:$A,0),11),"")</f>
        <v/>
      </c>
      <c r="O360">
        <f>IFERROR($C360*INDEX(SPPR!$E:$X,MATCH($A360,SPPR!$A:$A,0),12),"")</f>
        <v/>
      </c>
      <c r="P360">
        <f>IFERROR($C360*INDEX(SPPR!$E:$X,MATCH($A360,SPPR!$A:$A,0),13),"")</f>
        <v/>
      </c>
      <c r="Q360">
        <f>IFERROR($C360*INDEX(SPPR!$E:$X,MATCH($A360,SPPR!$A:$A,0),14),"")</f>
        <v/>
      </c>
      <c r="R360">
        <f>IFERROR($C360*INDEX(SPPR!$E:$X,MATCH($A360,SPPR!$A:$A,0),15),"")</f>
        <v/>
      </c>
      <c r="S360">
        <f>IFERROR($C360*INDEX(SPPR!$E:$X,MATCH($A360,SPPR!$A:$A,0),16),"")</f>
        <v/>
      </c>
      <c r="T360">
        <f>IFERROR($C360*INDEX(SPPR!$E:$X,MATCH($A360,SPPR!$A:$A,0),17),"")</f>
        <v/>
      </c>
      <c r="U360">
        <f>IFERROR($C360*INDEX(SPPR!$E:$X,MATCH($A360,SPPR!$A:$A,0),18),"")</f>
        <v/>
      </c>
      <c r="V360">
        <f>IFERROR($C360*INDEX(SPPR!$E:$X,MATCH($A360,SPPR!$A:$A,0),19),"")</f>
        <v/>
      </c>
      <c r="W360">
        <f>IFERROR($C360*INDEX(SPPR!$E:$X,MATCH($A360,SPPR!$A:$A,0),20),"")</f>
        <v/>
      </c>
    </row>
    <row r="361">
      <c r="A361" t="inlineStr">
        <is>
          <t>Rhincodon typus</t>
        </is>
      </c>
      <c r="B361">
        <f>IFERROR(INDEX(SPPR!$D:$D,MATCH($A361,SPPR!$A:$A,0)),"")</f>
        <v/>
      </c>
      <c r="C361">
        <f>IFERROR(INDEX(Catch!$E:$BV,MATCH($A361,Catch!$A:$A,0),MATCH($B$4,Catch!$E$1:$BV$1,0)),0)</f>
        <v/>
      </c>
      <c r="D361">
        <f>IFERROR($C361*INDEX(SPPR!$E:$X,MATCH($A361,SPPR!$A:$A,0),1),"")</f>
        <v/>
      </c>
      <c r="E361">
        <f>IFERROR($C361*INDEX(SPPR!$E:$X,MATCH($A361,SPPR!$A:$A,0),2),"")</f>
        <v/>
      </c>
      <c r="F361">
        <f>IFERROR($C361*INDEX(SPPR!$E:$X,MATCH($A361,SPPR!$A:$A,0),3),"")</f>
        <v/>
      </c>
      <c r="G361">
        <f>IFERROR($C361*INDEX(SPPR!$E:$X,MATCH($A361,SPPR!$A:$A,0),4),"")</f>
        <v/>
      </c>
      <c r="H361">
        <f>IFERROR($C361*INDEX(SPPR!$E:$X,MATCH($A361,SPPR!$A:$A,0),5),"")</f>
        <v/>
      </c>
      <c r="I361">
        <f>IFERROR($C361*INDEX(SPPR!$E:$X,MATCH($A361,SPPR!$A:$A,0),6),"")</f>
        <v/>
      </c>
      <c r="J361">
        <f>IFERROR($C361*INDEX(SPPR!$E:$X,MATCH($A361,SPPR!$A:$A,0),7),"")</f>
        <v/>
      </c>
      <c r="K361">
        <f>IFERROR($C361*INDEX(SPPR!$E:$X,MATCH($A361,SPPR!$A:$A,0),8),"")</f>
        <v/>
      </c>
      <c r="L361">
        <f>IFERROR($C361*INDEX(SPPR!$E:$X,MATCH($A361,SPPR!$A:$A,0),9),"")</f>
        <v/>
      </c>
      <c r="M361">
        <f>IFERROR($C361*INDEX(SPPR!$E:$X,MATCH($A361,SPPR!$A:$A,0),10),"")</f>
        <v/>
      </c>
      <c r="N361">
        <f>IFERROR($C361*INDEX(SPPR!$E:$X,MATCH($A361,SPPR!$A:$A,0),11),"")</f>
        <v/>
      </c>
      <c r="O361">
        <f>IFERROR($C361*INDEX(SPPR!$E:$X,MATCH($A361,SPPR!$A:$A,0),12),"")</f>
        <v/>
      </c>
      <c r="P361">
        <f>IFERROR($C361*INDEX(SPPR!$E:$X,MATCH($A361,SPPR!$A:$A,0),13),"")</f>
        <v/>
      </c>
      <c r="Q361">
        <f>IFERROR($C361*INDEX(SPPR!$E:$X,MATCH($A361,SPPR!$A:$A,0),14),"")</f>
        <v/>
      </c>
      <c r="R361">
        <f>IFERROR($C361*INDEX(SPPR!$E:$X,MATCH($A361,SPPR!$A:$A,0),15),"")</f>
        <v/>
      </c>
      <c r="S361">
        <f>IFERROR($C361*INDEX(SPPR!$E:$X,MATCH($A361,SPPR!$A:$A,0),16),"")</f>
        <v/>
      </c>
      <c r="T361">
        <f>IFERROR($C361*INDEX(SPPR!$E:$X,MATCH($A361,SPPR!$A:$A,0),17),"")</f>
        <v/>
      </c>
      <c r="U361">
        <f>IFERROR($C361*INDEX(SPPR!$E:$X,MATCH($A361,SPPR!$A:$A,0),18),"")</f>
        <v/>
      </c>
      <c r="V361">
        <f>IFERROR($C361*INDEX(SPPR!$E:$X,MATCH($A361,SPPR!$A:$A,0),19),"")</f>
        <v/>
      </c>
      <c r="W361">
        <f>IFERROR($C361*INDEX(SPPR!$E:$X,MATCH($A361,SPPR!$A:$A,0),20),"")</f>
        <v/>
      </c>
    </row>
    <row r="362">
      <c r="A362" t="inlineStr">
        <is>
          <t>Penaeus indicus</t>
        </is>
      </c>
      <c r="B362">
        <f>IFERROR(INDEX(SPPR!$D:$D,MATCH($A362,SPPR!$A:$A,0)),"")</f>
        <v/>
      </c>
      <c r="C362">
        <f>IFERROR(INDEX(Catch!$E:$BV,MATCH($A362,Catch!$A:$A,0),MATCH($B$4,Catch!$E$1:$BV$1,0)),0)</f>
        <v/>
      </c>
      <c r="D362">
        <f>IFERROR($C362*INDEX(SPPR!$E:$X,MATCH($A362,SPPR!$A:$A,0),1),"")</f>
        <v/>
      </c>
      <c r="E362">
        <f>IFERROR($C362*INDEX(SPPR!$E:$X,MATCH($A362,SPPR!$A:$A,0),2),"")</f>
        <v/>
      </c>
      <c r="F362">
        <f>IFERROR($C362*INDEX(SPPR!$E:$X,MATCH($A362,SPPR!$A:$A,0),3),"")</f>
        <v/>
      </c>
      <c r="G362">
        <f>IFERROR($C362*INDEX(SPPR!$E:$X,MATCH($A362,SPPR!$A:$A,0),4),"")</f>
        <v/>
      </c>
      <c r="H362">
        <f>IFERROR($C362*INDEX(SPPR!$E:$X,MATCH($A362,SPPR!$A:$A,0),5),"")</f>
        <v/>
      </c>
      <c r="I362">
        <f>IFERROR($C362*INDEX(SPPR!$E:$X,MATCH($A362,SPPR!$A:$A,0),6),"")</f>
        <v/>
      </c>
      <c r="J362">
        <f>IFERROR($C362*INDEX(SPPR!$E:$X,MATCH($A362,SPPR!$A:$A,0),7),"")</f>
        <v/>
      </c>
      <c r="K362">
        <f>IFERROR($C362*INDEX(SPPR!$E:$X,MATCH($A362,SPPR!$A:$A,0),8),"")</f>
        <v/>
      </c>
      <c r="L362">
        <f>IFERROR($C362*INDEX(SPPR!$E:$X,MATCH($A362,SPPR!$A:$A,0),9),"")</f>
        <v/>
      </c>
      <c r="M362">
        <f>IFERROR($C362*INDEX(SPPR!$E:$X,MATCH($A362,SPPR!$A:$A,0),10),"")</f>
        <v/>
      </c>
      <c r="N362">
        <f>IFERROR($C362*INDEX(SPPR!$E:$X,MATCH($A362,SPPR!$A:$A,0),11),"")</f>
        <v/>
      </c>
      <c r="O362">
        <f>IFERROR($C362*INDEX(SPPR!$E:$X,MATCH($A362,SPPR!$A:$A,0),12),"")</f>
        <v/>
      </c>
      <c r="P362">
        <f>IFERROR($C362*INDEX(SPPR!$E:$X,MATCH($A362,SPPR!$A:$A,0),13),"")</f>
        <v/>
      </c>
      <c r="Q362">
        <f>IFERROR($C362*INDEX(SPPR!$E:$X,MATCH($A362,SPPR!$A:$A,0),14),"")</f>
        <v/>
      </c>
      <c r="R362">
        <f>IFERROR($C362*INDEX(SPPR!$E:$X,MATCH($A362,SPPR!$A:$A,0),15),"")</f>
        <v/>
      </c>
      <c r="S362">
        <f>IFERROR($C362*INDEX(SPPR!$E:$X,MATCH($A362,SPPR!$A:$A,0),16),"")</f>
        <v/>
      </c>
      <c r="T362">
        <f>IFERROR($C362*INDEX(SPPR!$E:$X,MATCH($A362,SPPR!$A:$A,0),17),"")</f>
        <v/>
      </c>
      <c r="U362">
        <f>IFERROR($C362*INDEX(SPPR!$E:$X,MATCH($A362,SPPR!$A:$A,0),18),"")</f>
        <v/>
      </c>
      <c r="V362">
        <f>IFERROR($C362*INDEX(SPPR!$E:$X,MATCH($A362,SPPR!$A:$A,0),19),"")</f>
        <v/>
      </c>
      <c r="W362">
        <f>IFERROR($C362*INDEX(SPPR!$E:$X,MATCH($A362,SPPR!$A:$A,0),20),"")</f>
        <v/>
      </c>
    </row>
    <row r="363">
      <c r="A363" t="inlineStr">
        <is>
          <t>Nemipterus randalli</t>
        </is>
      </c>
      <c r="B363">
        <f>IFERROR(INDEX(SPPR!$D:$D,MATCH($A363,SPPR!$A:$A,0)),"")</f>
        <v/>
      </c>
      <c r="C363">
        <f>IFERROR(INDEX(Catch!$E:$BV,MATCH($A363,Catch!$A:$A,0),MATCH($B$4,Catch!$E$1:$BV$1,0)),0)</f>
        <v/>
      </c>
      <c r="D363">
        <f>IFERROR($C363*INDEX(SPPR!$E:$X,MATCH($A363,SPPR!$A:$A,0),1),"")</f>
        <v/>
      </c>
      <c r="E363">
        <f>IFERROR($C363*INDEX(SPPR!$E:$X,MATCH($A363,SPPR!$A:$A,0),2),"")</f>
        <v/>
      </c>
      <c r="F363">
        <f>IFERROR($C363*INDEX(SPPR!$E:$X,MATCH($A363,SPPR!$A:$A,0),3),"")</f>
        <v/>
      </c>
      <c r="G363">
        <f>IFERROR($C363*INDEX(SPPR!$E:$X,MATCH($A363,SPPR!$A:$A,0),4),"")</f>
        <v/>
      </c>
      <c r="H363">
        <f>IFERROR($C363*INDEX(SPPR!$E:$X,MATCH($A363,SPPR!$A:$A,0),5),"")</f>
        <v/>
      </c>
      <c r="I363">
        <f>IFERROR($C363*INDEX(SPPR!$E:$X,MATCH($A363,SPPR!$A:$A,0),6),"")</f>
        <v/>
      </c>
      <c r="J363">
        <f>IFERROR($C363*INDEX(SPPR!$E:$X,MATCH($A363,SPPR!$A:$A,0),7),"")</f>
        <v/>
      </c>
      <c r="K363">
        <f>IFERROR($C363*INDEX(SPPR!$E:$X,MATCH($A363,SPPR!$A:$A,0),8),"")</f>
        <v/>
      </c>
      <c r="L363">
        <f>IFERROR($C363*INDEX(SPPR!$E:$X,MATCH($A363,SPPR!$A:$A,0),9),"")</f>
        <v/>
      </c>
      <c r="M363">
        <f>IFERROR($C363*INDEX(SPPR!$E:$X,MATCH($A363,SPPR!$A:$A,0),10),"")</f>
        <v/>
      </c>
      <c r="N363">
        <f>IFERROR($C363*INDEX(SPPR!$E:$X,MATCH($A363,SPPR!$A:$A,0),11),"")</f>
        <v/>
      </c>
      <c r="O363">
        <f>IFERROR($C363*INDEX(SPPR!$E:$X,MATCH($A363,SPPR!$A:$A,0),12),"")</f>
        <v/>
      </c>
      <c r="P363">
        <f>IFERROR($C363*INDEX(SPPR!$E:$X,MATCH($A363,SPPR!$A:$A,0),13),"")</f>
        <v/>
      </c>
      <c r="Q363">
        <f>IFERROR($C363*INDEX(SPPR!$E:$X,MATCH($A363,SPPR!$A:$A,0),14),"")</f>
        <v/>
      </c>
      <c r="R363">
        <f>IFERROR($C363*INDEX(SPPR!$E:$X,MATCH($A363,SPPR!$A:$A,0),15),"")</f>
        <v/>
      </c>
      <c r="S363">
        <f>IFERROR($C363*INDEX(SPPR!$E:$X,MATCH($A363,SPPR!$A:$A,0),16),"")</f>
        <v/>
      </c>
      <c r="T363">
        <f>IFERROR($C363*INDEX(SPPR!$E:$X,MATCH($A363,SPPR!$A:$A,0),17),"")</f>
        <v/>
      </c>
      <c r="U363">
        <f>IFERROR($C363*INDEX(SPPR!$E:$X,MATCH($A363,SPPR!$A:$A,0),18),"")</f>
        <v/>
      </c>
      <c r="V363">
        <f>IFERROR($C363*INDEX(SPPR!$E:$X,MATCH($A363,SPPR!$A:$A,0),19),"")</f>
        <v/>
      </c>
      <c r="W363">
        <f>IFERROR($C363*INDEX(SPPR!$E:$X,MATCH($A363,SPPR!$A:$A,0),20),"")</f>
        <v/>
      </c>
    </row>
    <row r="364">
      <c r="A364" t="inlineStr">
        <is>
          <t>Aethaloperca rogaa</t>
        </is>
      </c>
      <c r="B364">
        <f>IFERROR(INDEX(SPPR!$D:$D,MATCH($A364,SPPR!$A:$A,0)),"")</f>
        <v/>
      </c>
      <c r="C364">
        <f>IFERROR(INDEX(Catch!$E:$BV,MATCH($A364,Catch!$A:$A,0),MATCH($B$4,Catch!$E$1:$BV$1,0)),0)</f>
        <v/>
      </c>
      <c r="D364">
        <f>IFERROR($C364*INDEX(SPPR!$E:$X,MATCH($A364,SPPR!$A:$A,0),1),"")</f>
        <v/>
      </c>
      <c r="E364">
        <f>IFERROR($C364*INDEX(SPPR!$E:$X,MATCH($A364,SPPR!$A:$A,0),2),"")</f>
        <v/>
      </c>
      <c r="F364">
        <f>IFERROR($C364*INDEX(SPPR!$E:$X,MATCH($A364,SPPR!$A:$A,0),3),"")</f>
        <v/>
      </c>
      <c r="G364">
        <f>IFERROR($C364*INDEX(SPPR!$E:$X,MATCH($A364,SPPR!$A:$A,0),4),"")</f>
        <v/>
      </c>
      <c r="H364">
        <f>IFERROR($C364*INDEX(SPPR!$E:$X,MATCH($A364,SPPR!$A:$A,0),5),"")</f>
        <v/>
      </c>
      <c r="I364">
        <f>IFERROR($C364*INDEX(SPPR!$E:$X,MATCH($A364,SPPR!$A:$A,0),6),"")</f>
        <v/>
      </c>
      <c r="J364">
        <f>IFERROR($C364*INDEX(SPPR!$E:$X,MATCH($A364,SPPR!$A:$A,0),7),"")</f>
        <v/>
      </c>
      <c r="K364">
        <f>IFERROR($C364*INDEX(SPPR!$E:$X,MATCH($A364,SPPR!$A:$A,0),8),"")</f>
        <v/>
      </c>
      <c r="L364">
        <f>IFERROR($C364*INDEX(SPPR!$E:$X,MATCH($A364,SPPR!$A:$A,0),9),"")</f>
        <v/>
      </c>
      <c r="M364">
        <f>IFERROR($C364*INDEX(SPPR!$E:$X,MATCH($A364,SPPR!$A:$A,0),10),"")</f>
        <v/>
      </c>
      <c r="N364">
        <f>IFERROR($C364*INDEX(SPPR!$E:$X,MATCH($A364,SPPR!$A:$A,0),11),"")</f>
        <v/>
      </c>
      <c r="O364">
        <f>IFERROR($C364*INDEX(SPPR!$E:$X,MATCH($A364,SPPR!$A:$A,0),12),"")</f>
        <v/>
      </c>
      <c r="P364">
        <f>IFERROR($C364*INDEX(SPPR!$E:$X,MATCH($A364,SPPR!$A:$A,0),13),"")</f>
        <v/>
      </c>
      <c r="Q364">
        <f>IFERROR($C364*INDEX(SPPR!$E:$X,MATCH($A364,SPPR!$A:$A,0),14),"")</f>
        <v/>
      </c>
      <c r="R364">
        <f>IFERROR($C364*INDEX(SPPR!$E:$X,MATCH($A364,SPPR!$A:$A,0),15),"")</f>
        <v/>
      </c>
      <c r="S364">
        <f>IFERROR($C364*INDEX(SPPR!$E:$X,MATCH($A364,SPPR!$A:$A,0),16),"")</f>
        <v/>
      </c>
      <c r="T364">
        <f>IFERROR($C364*INDEX(SPPR!$E:$X,MATCH($A364,SPPR!$A:$A,0),17),"")</f>
        <v/>
      </c>
      <c r="U364">
        <f>IFERROR($C364*INDEX(SPPR!$E:$X,MATCH($A364,SPPR!$A:$A,0),18),"")</f>
        <v/>
      </c>
      <c r="V364">
        <f>IFERROR($C364*INDEX(SPPR!$E:$X,MATCH($A364,SPPR!$A:$A,0),19),"")</f>
        <v/>
      </c>
      <c r="W364">
        <f>IFERROR($C364*INDEX(SPPR!$E:$X,MATCH($A364,SPPR!$A:$A,0),20),"")</f>
        <v/>
      </c>
    </row>
    <row r="365">
      <c r="A365" t="inlineStr">
        <is>
          <t>Plotosidae</t>
        </is>
      </c>
      <c r="B365">
        <f>IFERROR(INDEX(SPPR!$D:$D,MATCH($A365,SPPR!$A:$A,0)),"")</f>
        <v/>
      </c>
      <c r="C365">
        <f>IFERROR(INDEX(Catch!$E:$BV,MATCH($A365,Catch!$A:$A,0),MATCH($B$4,Catch!$E$1:$BV$1,0)),0)</f>
        <v/>
      </c>
      <c r="D365">
        <f>IFERROR($C365*INDEX(SPPR!$E:$X,MATCH($A365,SPPR!$A:$A,0),1),"")</f>
        <v/>
      </c>
      <c r="E365">
        <f>IFERROR($C365*INDEX(SPPR!$E:$X,MATCH($A365,SPPR!$A:$A,0),2),"")</f>
        <v/>
      </c>
      <c r="F365">
        <f>IFERROR($C365*INDEX(SPPR!$E:$X,MATCH($A365,SPPR!$A:$A,0),3),"")</f>
        <v/>
      </c>
      <c r="G365">
        <f>IFERROR($C365*INDEX(SPPR!$E:$X,MATCH($A365,SPPR!$A:$A,0),4),"")</f>
        <v/>
      </c>
      <c r="H365">
        <f>IFERROR($C365*INDEX(SPPR!$E:$X,MATCH($A365,SPPR!$A:$A,0),5),"")</f>
        <v/>
      </c>
      <c r="I365">
        <f>IFERROR($C365*INDEX(SPPR!$E:$X,MATCH($A365,SPPR!$A:$A,0),6),"")</f>
        <v/>
      </c>
      <c r="J365">
        <f>IFERROR($C365*INDEX(SPPR!$E:$X,MATCH($A365,SPPR!$A:$A,0),7),"")</f>
        <v/>
      </c>
      <c r="K365">
        <f>IFERROR($C365*INDEX(SPPR!$E:$X,MATCH($A365,SPPR!$A:$A,0),8),"")</f>
        <v/>
      </c>
      <c r="L365">
        <f>IFERROR($C365*INDEX(SPPR!$E:$X,MATCH($A365,SPPR!$A:$A,0),9),"")</f>
        <v/>
      </c>
      <c r="M365">
        <f>IFERROR($C365*INDEX(SPPR!$E:$X,MATCH($A365,SPPR!$A:$A,0),10),"")</f>
        <v/>
      </c>
      <c r="N365">
        <f>IFERROR($C365*INDEX(SPPR!$E:$X,MATCH($A365,SPPR!$A:$A,0),11),"")</f>
        <v/>
      </c>
      <c r="O365">
        <f>IFERROR($C365*INDEX(SPPR!$E:$X,MATCH($A365,SPPR!$A:$A,0),12),"")</f>
        <v/>
      </c>
      <c r="P365">
        <f>IFERROR($C365*INDEX(SPPR!$E:$X,MATCH($A365,SPPR!$A:$A,0),13),"")</f>
        <v/>
      </c>
      <c r="Q365">
        <f>IFERROR($C365*INDEX(SPPR!$E:$X,MATCH($A365,SPPR!$A:$A,0),14),"")</f>
        <v/>
      </c>
      <c r="R365">
        <f>IFERROR($C365*INDEX(SPPR!$E:$X,MATCH($A365,SPPR!$A:$A,0),15),"")</f>
        <v/>
      </c>
      <c r="S365">
        <f>IFERROR($C365*INDEX(SPPR!$E:$X,MATCH($A365,SPPR!$A:$A,0),16),"")</f>
        <v/>
      </c>
      <c r="T365">
        <f>IFERROR($C365*INDEX(SPPR!$E:$X,MATCH($A365,SPPR!$A:$A,0),17),"")</f>
        <v/>
      </c>
      <c r="U365">
        <f>IFERROR($C365*INDEX(SPPR!$E:$X,MATCH($A365,SPPR!$A:$A,0),18),"")</f>
        <v/>
      </c>
      <c r="V365">
        <f>IFERROR($C365*INDEX(SPPR!$E:$X,MATCH($A365,SPPR!$A:$A,0),19),"")</f>
        <v/>
      </c>
      <c r="W365">
        <f>IFERROR($C365*INDEX(SPPR!$E:$X,MATCH($A365,SPPR!$A:$A,0),20),"")</f>
        <v/>
      </c>
    </row>
    <row r="366">
      <c r="A366" t="inlineStr">
        <is>
          <t>Elagatis bipinnulata</t>
        </is>
      </c>
      <c r="B366">
        <f>IFERROR(INDEX(SPPR!$D:$D,MATCH($A366,SPPR!$A:$A,0)),"")</f>
        <v/>
      </c>
      <c r="C366">
        <f>IFERROR(INDEX(Catch!$E:$BV,MATCH($A366,Catch!$A:$A,0),MATCH($B$4,Catch!$E$1:$BV$1,0)),0)</f>
        <v/>
      </c>
      <c r="D366">
        <f>IFERROR($C366*INDEX(SPPR!$E:$X,MATCH($A366,SPPR!$A:$A,0),1),"")</f>
        <v/>
      </c>
      <c r="E366">
        <f>IFERROR($C366*INDEX(SPPR!$E:$X,MATCH($A366,SPPR!$A:$A,0),2),"")</f>
        <v/>
      </c>
      <c r="F366">
        <f>IFERROR($C366*INDEX(SPPR!$E:$X,MATCH($A366,SPPR!$A:$A,0),3),"")</f>
        <v/>
      </c>
      <c r="G366">
        <f>IFERROR($C366*INDEX(SPPR!$E:$X,MATCH($A366,SPPR!$A:$A,0),4),"")</f>
        <v/>
      </c>
      <c r="H366">
        <f>IFERROR($C366*INDEX(SPPR!$E:$X,MATCH($A366,SPPR!$A:$A,0),5),"")</f>
        <v/>
      </c>
      <c r="I366">
        <f>IFERROR($C366*INDEX(SPPR!$E:$X,MATCH($A366,SPPR!$A:$A,0),6),"")</f>
        <v/>
      </c>
      <c r="J366">
        <f>IFERROR($C366*INDEX(SPPR!$E:$X,MATCH($A366,SPPR!$A:$A,0),7),"")</f>
        <v/>
      </c>
      <c r="K366">
        <f>IFERROR($C366*INDEX(SPPR!$E:$X,MATCH($A366,SPPR!$A:$A,0),8),"")</f>
        <v/>
      </c>
      <c r="L366">
        <f>IFERROR($C366*INDEX(SPPR!$E:$X,MATCH($A366,SPPR!$A:$A,0),9),"")</f>
        <v/>
      </c>
      <c r="M366">
        <f>IFERROR($C366*INDEX(SPPR!$E:$X,MATCH($A366,SPPR!$A:$A,0),10),"")</f>
        <v/>
      </c>
      <c r="N366">
        <f>IFERROR($C366*INDEX(SPPR!$E:$X,MATCH($A366,SPPR!$A:$A,0),11),"")</f>
        <v/>
      </c>
      <c r="O366">
        <f>IFERROR($C366*INDEX(SPPR!$E:$X,MATCH($A366,SPPR!$A:$A,0),12),"")</f>
        <v/>
      </c>
      <c r="P366">
        <f>IFERROR($C366*INDEX(SPPR!$E:$X,MATCH($A366,SPPR!$A:$A,0),13),"")</f>
        <v/>
      </c>
      <c r="Q366">
        <f>IFERROR($C366*INDEX(SPPR!$E:$X,MATCH($A366,SPPR!$A:$A,0),14),"")</f>
        <v/>
      </c>
      <c r="R366">
        <f>IFERROR($C366*INDEX(SPPR!$E:$X,MATCH($A366,SPPR!$A:$A,0),15),"")</f>
        <v/>
      </c>
      <c r="S366">
        <f>IFERROR($C366*INDEX(SPPR!$E:$X,MATCH($A366,SPPR!$A:$A,0),16),"")</f>
        <v/>
      </c>
      <c r="T366">
        <f>IFERROR($C366*INDEX(SPPR!$E:$X,MATCH($A366,SPPR!$A:$A,0),17),"")</f>
        <v/>
      </c>
      <c r="U366">
        <f>IFERROR($C366*INDEX(SPPR!$E:$X,MATCH($A366,SPPR!$A:$A,0),18),"")</f>
        <v/>
      </c>
      <c r="V366">
        <f>IFERROR($C366*INDEX(SPPR!$E:$X,MATCH($A366,SPPR!$A:$A,0),19),"")</f>
        <v/>
      </c>
      <c r="W366">
        <f>IFERROR($C366*INDEX(SPPR!$E:$X,MATCH($A366,SPPR!$A:$A,0),20),"")</f>
        <v/>
      </c>
    </row>
    <row r="367">
      <c r="A367" t="inlineStr">
        <is>
          <t>Malacostraca</t>
        </is>
      </c>
      <c r="B367">
        <f>IFERROR(INDEX(SPPR!$D:$D,MATCH($A367,SPPR!$A:$A,0)),"")</f>
        <v/>
      </c>
      <c r="C367">
        <f>IFERROR(INDEX(Catch!$E:$BV,MATCH($A367,Catch!$A:$A,0),MATCH($B$4,Catch!$E$1:$BV$1,0)),0)</f>
        <v/>
      </c>
      <c r="D367">
        <f>IFERROR($C367*INDEX(SPPR!$E:$X,MATCH($A367,SPPR!$A:$A,0),1),"")</f>
        <v/>
      </c>
      <c r="E367">
        <f>IFERROR($C367*INDEX(SPPR!$E:$X,MATCH($A367,SPPR!$A:$A,0),2),"")</f>
        <v/>
      </c>
      <c r="F367">
        <f>IFERROR($C367*INDEX(SPPR!$E:$X,MATCH($A367,SPPR!$A:$A,0),3),"")</f>
        <v/>
      </c>
      <c r="G367">
        <f>IFERROR($C367*INDEX(SPPR!$E:$X,MATCH($A367,SPPR!$A:$A,0),4),"")</f>
        <v/>
      </c>
      <c r="H367">
        <f>IFERROR($C367*INDEX(SPPR!$E:$X,MATCH($A367,SPPR!$A:$A,0),5),"")</f>
        <v/>
      </c>
      <c r="I367">
        <f>IFERROR($C367*INDEX(SPPR!$E:$X,MATCH($A367,SPPR!$A:$A,0),6),"")</f>
        <v/>
      </c>
      <c r="J367">
        <f>IFERROR($C367*INDEX(SPPR!$E:$X,MATCH($A367,SPPR!$A:$A,0),7),"")</f>
        <v/>
      </c>
      <c r="K367">
        <f>IFERROR($C367*INDEX(SPPR!$E:$X,MATCH($A367,SPPR!$A:$A,0),8),"")</f>
        <v/>
      </c>
      <c r="L367">
        <f>IFERROR($C367*INDEX(SPPR!$E:$X,MATCH($A367,SPPR!$A:$A,0),9),"")</f>
        <v/>
      </c>
      <c r="M367">
        <f>IFERROR($C367*INDEX(SPPR!$E:$X,MATCH($A367,SPPR!$A:$A,0),10),"")</f>
        <v/>
      </c>
      <c r="N367">
        <f>IFERROR($C367*INDEX(SPPR!$E:$X,MATCH($A367,SPPR!$A:$A,0),11),"")</f>
        <v/>
      </c>
      <c r="O367">
        <f>IFERROR($C367*INDEX(SPPR!$E:$X,MATCH($A367,SPPR!$A:$A,0),12),"")</f>
        <v/>
      </c>
      <c r="P367">
        <f>IFERROR($C367*INDEX(SPPR!$E:$X,MATCH($A367,SPPR!$A:$A,0),13),"")</f>
        <v/>
      </c>
      <c r="Q367">
        <f>IFERROR($C367*INDEX(SPPR!$E:$X,MATCH($A367,SPPR!$A:$A,0),14),"")</f>
        <v/>
      </c>
      <c r="R367">
        <f>IFERROR($C367*INDEX(SPPR!$E:$X,MATCH($A367,SPPR!$A:$A,0),15),"")</f>
        <v/>
      </c>
      <c r="S367">
        <f>IFERROR($C367*INDEX(SPPR!$E:$X,MATCH($A367,SPPR!$A:$A,0),16),"")</f>
        <v/>
      </c>
      <c r="T367">
        <f>IFERROR($C367*INDEX(SPPR!$E:$X,MATCH($A367,SPPR!$A:$A,0),17),"")</f>
        <v/>
      </c>
      <c r="U367">
        <f>IFERROR($C367*INDEX(SPPR!$E:$X,MATCH($A367,SPPR!$A:$A,0),18),"")</f>
        <v/>
      </c>
      <c r="V367">
        <f>IFERROR($C367*INDEX(SPPR!$E:$X,MATCH($A367,SPPR!$A:$A,0),19),"")</f>
        <v/>
      </c>
      <c r="W367">
        <f>IFERROR($C367*INDEX(SPPR!$E:$X,MATCH($A367,SPPR!$A:$A,0),20),"")</f>
        <v/>
      </c>
    </row>
    <row r="368">
      <c r="A368" t="inlineStr">
        <is>
          <t>Veneridae</t>
        </is>
      </c>
      <c r="B368">
        <f>IFERROR(INDEX(SPPR!$D:$D,MATCH($A368,SPPR!$A:$A,0)),"")</f>
        <v/>
      </c>
      <c r="C368">
        <f>IFERROR(INDEX(Catch!$E:$BV,MATCH($A368,Catch!$A:$A,0),MATCH($B$4,Catch!$E$1:$BV$1,0)),0)</f>
        <v/>
      </c>
      <c r="D368">
        <f>IFERROR($C368*INDEX(SPPR!$E:$X,MATCH($A368,SPPR!$A:$A,0),1),"")</f>
        <v/>
      </c>
      <c r="E368">
        <f>IFERROR($C368*INDEX(SPPR!$E:$X,MATCH($A368,SPPR!$A:$A,0),2),"")</f>
        <v/>
      </c>
      <c r="F368">
        <f>IFERROR($C368*INDEX(SPPR!$E:$X,MATCH($A368,SPPR!$A:$A,0),3),"")</f>
        <v/>
      </c>
      <c r="G368">
        <f>IFERROR($C368*INDEX(SPPR!$E:$X,MATCH($A368,SPPR!$A:$A,0),4),"")</f>
        <v/>
      </c>
      <c r="H368">
        <f>IFERROR($C368*INDEX(SPPR!$E:$X,MATCH($A368,SPPR!$A:$A,0),5),"")</f>
        <v/>
      </c>
      <c r="I368">
        <f>IFERROR($C368*INDEX(SPPR!$E:$X,MATCH($A368,SPPR!$A:$A,0),6),"")</f>
        <v/>
      </c>
      <c r="J368">
        <f>IFERROR($C368*INDEX(SPPR!$E:$X,MATCH($A368,SPPR!$A:$A,0),7),"")</f>
        <v/>
      </c>
      <c r="K368">
        <f>IFERROR($C368*INDEX(SPPR!$E:$X,MATCH($A368,SPPR!$A:$A,0),8),"")</f>
        <v/>
      </c>
      <c r="L368">
        <f>IFERROR($C368*INDEX(SPPR!$E:$X,MATCH($A368,SPPR!$A:$A,0),9),"")</f>
        <v/>
      </c>
      <c r="M368">
        <f>IFERROR($C368*INDEX(SPPR!$E:$X,MATCH($A368,SPPR!$A:$A,0),10),"")</f>
        <v/>
      </c>
      <c r="N368">
        <f>IFERROR($C368*INDEX(SPPR!$E:$X,MATCH($A368,SPPR!$A:$A,0),11),"")</f>
        <v/>
      </c>
      <c r="O368">
        <f>IFERROR($C368*INDEX(SPPR!$E:$X,MATCH($A368,SPPR!$A:$A,0),12),"")</f>
        <v/>
      </c>
      <c r="P368">
        <f>IFERROR($C368*INDEX(SPPR!$E:$X,MATCH($A368,SPPR!$A:$A,0),13),"")</f>
        <v/>
      </c>
      <c r="Q368">
        <f>IFERROR($C368*INDEX(SPPR!$E:$X,MATCH($A368,SPPR!$A:$A,0),14),"")</f>
        <v/>
      </c>
      <c r="R368">
        <f>IFERROR($C368*INDEX(SPPR!$E:$X,MATCH($A368,SPPR!$A:$A,0),15),"")</f>
        <v/>
      </c>
      <c r="S368">
        <f>IFERROR($C368*INDEX(SPPR!$E:$X,MATCH($A368,SPPR!$A:$A,0),16),"")</f>
        <v/>
      </c>
      <c r="T368">
        <f>IFERROR($C368*INDEX(SPPR!$E:$X,MATCH($A368,SPPR!$A:$A,0),17),"")</f>
        <v/>
      </c>
      <c r="U368">
        <f>IFERROR($C368*INDEX(SPPR!$E:$X,MATCH($A368,SPPR!$A:$A,0),18),"")</f>
        <v/>
      </c>
      <c r="V368">
        <f>IFERROR($C368*INDEX(SPPR!$E:$X,MATCH($A368,SPPR!$A:$A,0),19),"")</f>
        <v/>
      </c>
      <c r="W368">
        <f>IFERROR($C368*INDEX(SPPR!$E:$X,MATCH($A368,SPPR!$A:$A,0),20),"")</f>
        <v/>
      </c>
    </row>
    <row r="369">
      <c r="A369" t="inlineStr">
        <is>
          <t>Haliotidae</t>
        </is>
      </c>
      <c r="B369">
        <f>IFERROR(INDEX(SPPR!$D:$D,MATCH($A369,SPPR!$A:$A,0)),"")</f>
        <v/>
      </c>
      <c r="C369">
        <f>IFERROR(INDEX(Catch!$E:$BV,MATCH($A369,Catch!$A:$A,0),MATCH($B$4,Catch!$E$1:$BV$1,0)),0)</f>
        <v/>
      </c>
      <c r="D369">
        <f>IFERROR($C369*INDEX(SPPR!$E:$X,MATCH($A369,SPPR!$A:$A,0),1),"")</f>
        <v/>
      </c>
      <c r="E369">
        <f>IFERROR($C369*INDEX(SPPR!$E:$X,MATCH($A369,SPPR!$A:$A,0),2),"")</f>
        <v/>
      </c>
      <c r="F369">
        <f>IFERROR($C369*INDEX(SPPR!$E:$X,MATCH($A369,SPPR!$A:$A,0),3),"")</f>
        <v/>
      </c>
      <c r="G369">
        <f>IFERROR($C369*INDEX(SPPR!$E:$X,MATCH($A369,SPPR!$A:$A,0),4),"")</f>
        <v/>
      </c>
      <c r="H369">
        <f>IFERROR($C369*INDEX(SPPR!$E:$X,MATCH($A369,SPPR!$A:$A,0),5),"")</f>
        <v/>
      </c>
      <c r="I369">
        <f>IFERROR($C369*INDEX(SPPR!$E:$X,MATCH($A369,SPPR!$A:$A,0),6),"")</f>
        <v/>
      </c>
      <c r="J369">
        <f>IFERROR($C369*INDEX(SPPR!$E:$X,MATCH($A369,SPPR!$A:$A,0),7),"")</f>
        <v/>
      </c>
      <c r="K369">
        <f>IFERROR($C369*INDEX(SPPR!$E:$X,MATCH($A369,SPPR!$A:$A,0),8),"")</f>
        <v/>
      </c>
      <c r="L369">
        <f>IFERROR($C369*INDEX(SPPR!$E:$X,MATCH($A369,SPPR!$A:$A,0),9),"")</f>
        <v/>
      </c>
      <c r="M369">
        <f>IFERROR($C369*INDEX(SPPR!$E:$X,MATCH($A369,SPPR!$A:$A,0),10),"")</f>
        <v/>
      </c>
      <c r="N369">
        <f>IFERROR($C369*INDEX(SPPR!$E:$X,MATCH($A369,SPPR!$A:$A,0),11),"")</f>
        <v/>
      </c>
      <c r="O369">
        <f>IFERROR($C369*INDEX(SPPR!$E:$X,MATCH($A369,SPPR!$A:$A,0),12),"")</f>
        <v/>
      </c>
      <c r="P369">
        <f>IFERROR($C369*INDEX(SPPR!$E:$X,MATCH($A369,SPPR!$A:$A,0),13),"")</f>
        <v/>
      </c>
      <c r="Q369">
        <f>IFERROR($C369*INDEX(SPPR!$E:$X,MATCH($A369,SPPR!$A:$A,0),14),"")</f>
        <v/>
      </c>
      <c r="R369">
        <f>IFERROR($C369*INDEX(SPPR!$E:$X,MATCH($A369,SPPR!$A:$A,0),15),"")</f>
        <v/>
      </c>
      <c r="S369">
        <f>IFERROR($C369*INDEX(SPPR!$E:$X,MATCH($A369,SPPR!$A:$A,0),16),"")</f>
        <v/>
      </c>
      <c r="T369">
        <f>IFERROR($C369*INDEX(SPPR!$E:$X,MATCH($A369,SPPR!$A:$A,0),17),"")</f>
        <v/>
      </c>
      <c r="U369">
        <f>IFERROR($C369*INDEX(SPPR!$E:$X,MATCH($A369,SPPR!$A:$A,0),18),"")</f>
        <v/>
      </c>
      <c r="V369">
        <f>IFERROR($C369*INDEX(SPPR!$E:$X,MATCH($A369,SPPR!$A:$A,0),19),"")</f>
        <v/>
      </c>
      <c r="W369">
        <f>IFERROR($C369*INDEX(SPPR!$E:$X,MATCH($A369,SPPR!$A:$A,0),20),"")</f>
        <v/>
      </c>
    </row>
    <row r="370">
      <c r="A370" t="inlineStr">
        <is>
          <t>Spratelloides delicatulus</t>
        </is>
      </c>
      <c r="B370">
        <f>IFERROR(INDEX(SPPR!$D:$D,MATCH($A370,SPPR!$A:$A,0)),"")</f>
        <v/>
      </c>
      <c r="C370">
        <f>IFERROR(INDEX(Catch!$E:$BV,MATCH($A370,Catch!$A:$A,0),MATCH($B$4,Catch!$E$1:$BV$1,0)),0)</f>
        <v/>
      </c>
      <c r="D370">
        <f>IFERROR($C370*INDEX(SPPR!$E:$X,MATCH($A370,SPPR!$A:$A,0),1),"")</f>
        <v/>
      </c>
      <c r="E370">
        <f>IFERROR($C370*INDEX(SPPR!$E:$X,MATCH($A370,SPPR!$A:$A,0),2),"")</f>
        <v/>
      </c>
      <c r="F370">
        <f>IFERROR($C370*INDEX(SPPR!$E:$X,MATCH($A370,SPPR!$A:$A,0),3),"")</f>
        <v/>
      </c>
      <c r="G370">
        <f>IFERROR($C370*INDEX(SPPR!$E:$X,MATCH($A370,SPPR!$A:$A,0),4),"")</f>
        <v/>
      </c>
      <c r="H370">
        <f>IFERROR($C370*INDEX(SPPR!$E:$X,MATCH($A370,SPPR!$A:$A,0),5),"")</f>
        <v/>
      </c>
      <c r="I370">
        <f>IFERROR($C370*INDEX(SPPR!$E:$X,MATCH($A370,SPPR!$A:$A,0),6),"")</f>
        <v/>
      </c>
      <c r="J370">
        <f>IFERROR($C370*INDEX(SPPR!$E:$X,MATCH($A370,SPPR!$A:$A,0),7),"")</f>
        <v/>
      </c>
      <c r="K370">
        <f>IFERROR($C370*INDEX(SPPR!$E:$X,MATCH($A370,SPPR!$A:$A,0),8),"")</f>
        <v/>
      </c>
      <c r="L370">
        <f>IFERROR($C370*INDEX(SPPR!$E:$X,MATCH($A370,SPPR!$A:$A,0),9),"")</f>
        <v/>
      </c>
      <c r="M370">
        <f>IFERROR($C370*INDEX(SPPR!$E:$X,MATCH($A370,SPPR!$A:$A,0),10),"")</f>
        <v/>
      </c>
      <c r="N370">
        <f>IFERROR($C370*INDEX(SPPR!$E:$X,MATCH($A370,SPPR!$A:$A,0),11),"")</f>
        <v/>
      </c>
      <c r="O370">
        <f>IFERROR($C370*INDEX(SPPR!$E:$X,MATCH($A370,SPPR!$A:$A,0),12),"")</f>
        <v/>
      </c>
      <c r="P370">
        <f>IFERROR($C370*INDEX(SPPR!$E:$X,MATCH($A370,SPPR!$A:$A,0),13),"")</f>
        <v/>
      </c>
      <c r="Q370">
        <f>IFERROR($C370*INDEX(SPPR!$E:$X,MATCH($A370,SPPR!$A:$A,0),14),"")</f>
        <v/>
      </c>
      <c r="R370">
        <f>IFERROR($C370*INDEX(SPPR!$E:$X,MATCH($A370,SPPR!$A:$A,0),15),"")</f>
        <v/>
      </c>
      <c r="S370">
        <f>IFERROR($C370*INDEX(SPPR!$E:$X,MATCH($A370,SPPR!$A:$A,0),16),"")</f>
        <v/>
      </c>
      <c r="T370">
        <f>IFERROR($C370*INDEX(SPPR!$E:$X,MATCH($A370,SPPR!$A:$A,0),17),"")</f>
        <v/>
      </c>
      <c r="U370">
        <f>IFERROR($C370*INDEX(SPPR!$E:$X,MATCH($A370,SPPR!$A:$A,0),18),"")</f>
        <v/>
      </c>
      <c r="V370">
        <f>IFERROR($C370*INDEX(SPPR!$E:$X,MATCH($A370,SPPR!$A:$A,0),19),"")</f>
        <v/>
      </c>
      <c r="W370">
        <f>IFERROR($C370*INDEX(SPPR!$E:$X,MATCH($A370,SPPR!$A:$A,0),20),"")</f>
        <v/>
      </c>
    </row>
    <row r="371">
      <c r="A371" t="inlineStr">
        <is>
          <t>Sphyrna zygaena</t>
        </is>
      </c>
      <c r="B371">
        <f>IFERROR(INDEX(SPPR!$D:$D,MATCH($A371,SPPR!$A:$A,0)),"")</f>
        <v/>
      </c>
      <c r="C371">
        <f>IFERROR(INDEX(Catch!$E:$BV,MATCH($A371,Catch!$A:$A,0),MATCH($B$4,Catch!$E$1:$BV$1,0)),0)</f>
        <v/>
      </c>
      <c r="D371">
        <f>IFERROR($C371*INDEX(SPPR!$E:$X,MATCH($A371,SPPR!$A:$A,0),1),"")</f>
        <v/>
      </c>
      <c r="E371">
        <f>IFERROR($C371*INDEX(SPPR!$E:$X,MATCH($A371,SPPR!$A:$A,0),2),"")</f>
        <v/>
      </c>
      <c r="F371">
        <f>IFERROR($C371*INDEX(SPPR!$E:$X,MATCH($A371,SPPR!$A:$A,0),3),"")</f>
        <v/>
      </c>
      <c r="G371">
        <f>IFERROR($C371*INDEX(SPPR!$E:$X,MATCH($A371,SPPR!$A:$A,0),4),"")</f>
        <v/>
      </c>
      <c r="H371">
        <f>IFERROR($C371*INDEX(SPPR!$E:$X,MATCH($A371,SPPR!$A:$A,0),5),"")</f>
        <v/>
      </c>
      <c r="I371">
        <f>IFERROR($C371*INDEX(SPPR!$E:$X,MATCH($A371,SPPR!$A:$A,0),6),"")</f>
        <v/>
      </c>
      <c r="J371">
        <f>IFERROR($C371*INDEX(SPPR!$E:$X,MATCH($A371,SPPR!$A:$A,0),7),"")</f>
        <v/>
      </c>
      <c r="K371">
        <f>IFERROR($C371*INDEX(SPPR!$E:$X,MATCH($A371,SPPR!$A:$A,0),8),"")</f>
        <v/>
      </c>
      <c r="L371">
        <f>IFERROR($C371*INDEX(SPPR!$E:$X,MATCH($A371,SPPR!$A:$A,0),9),"")</f>
        <v/>
      </c>
      <c r="M371">
        <f>IFERROR($C371*INDEX(SPPR!$E:$X,MATCH($A371,SPPR!$A:$A,0),10),"")</f>
        <v/>
      </c>
      <c r="N371">
        <f>IFERROR($C371*INDEX(SPPR!$E:$X,MATCH($A371,SPPR!$A:$A,0),11),"")</f>
        <v/>
      </c>
      <c r="O371">
        <f>IFERROR($C371*INDEX(SPPR!$E:$X,MATCH($A371,SPPR!$A:$A,0),12),"")</f>
        <v/>
      </c>
      <c r="P371">
        <f>IFERROR($C371*INDEX(SPPR!$E:$X,MATCH($A371,SPPR!$A:$A,0),13),"")</f>
        <v/>
      </c>
      <c r="Q371">
        <f>IFERROR($C371*INDEX(SPPR!$E:$X,MATCH($A371,SPPR!$A:$A,0),14),"")</f>
        <v/>
      </c>
      <c r="R371">
        <f>IFERROR($C371*INDEX(SPPR!$E:$X,MATCH($A371,SPPR!$A:$A,0),15),"")</f>
        <v/>
      </c>
      <c r="S371">
        <f>IFERROR($C371*INDEX(SPPR!$E:$X,MATCH($A371,SPPR!$A:$A,0),16),"")</f>
        <v/>
      </c>
      <c r="T371">
        <f>IFERROR($C371*INDEX(SPPR!$E:$X,MATCH($A371,SPPR!$A:$A,0),17),"")</f>
        <v/>
      </c>
      <c r="U371">
        <f>IFERROR($C371*INDEX(SPPR!$E:$X,MATCH($A371,SPPR!$A:$A,0),18),"")</f>
        <v/>
      </c>
      <c r="V371">
        <f>IFERROR($C371*INDEX(SPPR!$E:$X,MATCH($A371,SPPR!$A:$A,0),19),"")</f>
        <v/>
      </c>
      <c r="W371">
        <f>IFERROR($C371*INDEX(SPPR!$E:$X,MATCH($A371,SPPR!$A:$A,0),20),"")</f>
        <v/>
      </c>
    </row>
    <row r="372">
      <c r="A372" t="inlineStr">
        <is>
          <t>Plectorhinchus sordidus</t>
        </is>
      </c>
      <c r="B372">
        <f>IFERROR(INDEX(SPPR!$D:$D,MATCH($A372,SPPR!$A:$A,0)),"")</f>
        <v/>
      </c>
      <c r="C372">
        <f>IFERROR(INDEX(Catch!$E:$BV,MATCH($A372,Catch!$A:$A,0),MATCH($B$4,Catch!$E$1:$BV$1,0)),0)</f>
        <v/>
      </c>
      <c r="D372">
        <f>IFERROR($C372*INDEX(SPPR!$E:$X,MATCH($A372,SPPR!$A:$A,0),1),"")</f>
        <v/>
      </c>
      <c r="E372">
        <f>IFERROR($C372*INDEX(SPPR!$E:$X,MATCH($A372,SPPR!$A:$A,0),2),"")</f>
        <v/>
      </c>
      <c r="F372">
        <f>IFERROR($C372*INDEX(SPPR!$E:$X,MATCH($A372,SPPR!$A:$A,0),3),"")</f>
        <v/>
      </c>
      <c r="G372">
        <f>IFERROR($C372*INDEX(SPPR!$E:$X,MATCH($A372,SPPR!$A:$A,0),4),"")</f>
        <v/>
      </c>
      <c r="H372">
        <f>IFERROR($C372*INDEX(SPPR!$E:$X,MATCH($A372,SPPR!$A:$A,0),5),"")</f>
        <v/>
      </c>
      <c r="I372">
        <f>IFERROR($C372*INDEX(SPPR!$E:$X,MATCH($A372,SPPR!$A:$A,0),6),"")</f>
        <v/>
      </c>
      <c r="J372">
        <f>IFERROR($C372*INDEX(SPPR!$E:$X,MATCH($A372,SPPR!$A:$A,0),7),"")</f>
        <v/>
      </c>
      <c r="K372">
        <f>IFERROR($C372*INDEX(SPPR!$E:$X,MATCH($A372,SPPR!$A:$A,0),8),"")</f>
        <v/>
      </c>
      <c r="L372">
        <f>IFERROR($C372*INDEX(SPPR!$E:$X,MATCH($A372,SPPR!$A:$A,0),9),"")</f>
        <v/>
      </c>
      <c r="M372">
        <f>IFERROR($C372*INDEX(SPPR!$E:$X,MATCH($A372,SPPR!$A:$A,0),10),"")</f>
        <v/>
      </c>
      <c r="N372">
        <f>IFERROR($C372*INDEX(SPPR!$E:$X,MATCH($A372,SPPR!$A:$A,0),11),"")</f>
        <v/>
      </c>
      <c r="O372">
        <f>IFERROR($C372*INDEX(SPPR!$E:$X,MATCH($A372,SPPR!$A:$A,0),12),"")</f>
        <v/>
      </c>
      <c r="P372">
        <f>IFERROR($C372*INDEX(SPPR!$E:$X,MATCH($A372,SPPR!$A:$A,0),13),"")</f>
        <v/>
      </c>
      <c r="Q372">
        <f>IFERROR($C372*INDEX(SPPR!$E:$X,MATCH($A372,SPPR!$A:$A,0),14),"")</f>
        <v/>
      </c>
      <c r="R372">
        <f>IFERROR($C372*INDEX(SPPR!$E:$X,MATCH($A372,SPPR!$A:$A,0),15),"")</f>
        <v/>
      </c>
      <c r="S372">
        <f>IFERROR($C372*INDEX(SPPR!$E:$X,MATCH($A372,SPPR!$A:$A,0),16),"")</f>
        <v/>
      </c>
      <c r="T372">
        <f>IFERROR($C372*INDEX(SPPR!$E:$X,MATCH($A372,SPPR!$A:$A,0),17),"")</f>
        <v/>
      </c>
      <c r="U372">
        <f>IFERROR($C372*INDEX(SPPR!$E:$X,MATCH($A372,SPPR!$A:$A,0),18),"")</f>
        <v/>
      </c>
      <c r="V372">
        <f>IFERROR($C372*INDEX(SPPR!$E:$X,MATCH($A372,SPPR!$A:$A,0),19),"")</f>
        <v/>
      </c>
      <c r="W372">
        <f>IFERROR($C372*INDEX(SPPR!$E:$X,MATCH($A372,SPPR!$A:$A,0),20),"")</f>
        <v/>
      </c>
    </row>
    <row r="373">
      <c r="A373" t="inlineStr">
        <is>
          <t>Holothuroidea</t>
        </is>
      </c>
      <c r="B373">
        <f>IFERROR(INDEX(SPPR!$D:$D,MATCH($A373,SPPR!$A:$A,0)),"")</f>
        <v/>
      </c>
      <c r="C373">
        <f>IFERROR(INDEX(Catch!$E:$BV,MATCH($A373,Catch!$A:$A,0),MATCH($B$4,Catch!$E$1:$BV$1,0)),0)</f>
        <v/>
      </c>
      <c r="D373">
        <f>IFERROR($C373*INDEX(SPPR!$E:$X,MATCH($A373,SPPR!$A:$A,0),1),"")</f>
        <v/>
      </c>
      <c r="E373">
        <f>IFERROR($C373*INDEX(SPPR!$E:$X,MATCH($A373,SPPR!$A:$A,0),2),"")</f>
        <v/>
      </c>
      <c r="F373">
        <f>IFERROR($C373*INDEX(SPPR!$E:$X,MATCH($A373,SPPR!$A:$A,0),3),"")</f>
        <v/>
      </c>
      <c r="G373">
        <f>IFERROR($C373*INDEX(SPPR!$E:$X,MATCH($A373,SPPR!$A:$A,0),4),"")</f>
        <v/>
      </c>
      <c r="H373">
        <f>IFERROR($C373*INDEX(SPPR!$E:$X,MATCH($A373,SPPR!$A:$A,0),5),"")</f>
        <v/>
      </c>
      <c r="I373">
        <f>IFERROR($C373*INDEX(SPPR!$E:$X,MATCH($A373,SPPR!$A:$A,0),6),"")</f>
        <v/>
      </c>
      <c r="J373">
        <f>IFERROR($C373*INDEX(SPPR!$E:$X,MATCH($A373,SPPR!$A:$A,0),7),"")</f>
        <v/>
      </c>
      <c r="K373">
        <f>IFERROR($C373*INDEX(SPPR!$E:$X,MATCH($A373,SPPR!$A:$A,0),8),"")</f>
        <v/>
      </c>
      <c r="L373">
        <f>IFERROR($C373*INDEX(SPPR!$E:$X,MATCH($A373,SPPR!$A:$A,0),9),"")</f>
        <v/>
      </c>
      <c r="M373">
        <f>IFERROR($C373*INDEX(SPPR!$E:$X,MATCH($A373,SPPR!$A:$A,0),10),"")</f>
        <v/>
      </c>
      <c r="N373">
        <f>IFERROR($C373*INDEX(SPPR!$E:$X,MATCH($A373,SPPR!$A:$A,0),11),"")</f>
        <v/>
      </c>
      <c r="O373">
        <f>IFERROR($C373*INDEX(SPPR!$E:$X,MATCH($A373,SPPR!$A:$A,0),12),"")</f>
        <v/>
      </c>
      <c r="P373">
        <f>IFERROR($C373*INDEX(SPPR!$E:$X,MATCH($A373,SPPR!$A:$A,0),13),"")</f>
        <v/>
      </c>
      <c r="Q373">
        <f>IFERROR($C373*INDEX(SPPR!$E:$X,MATCH($A373,SPPR!$A:$A,0),14),"")</f>
        <v/>
      </c>
      <c r="R373">
        <f>IFERROR($C373*INDEX(SPPR!$E:$X,MATCH($A373,SPPR!$A:$A,0),15),"")</f>
        <v/>
      </c>
      <c r="S373">
        <f>IFERROR($C373*INDEX(SPPR!$E:$X,MATCH($A373,SPPR!$A:$A,0),16),"")</f>
        <v/>
      </c>
      <c r="T373">
        <f>IFERROR($C373*INDEX(SPPR!$E:$X,MATCH($A373,SPPR!$A:$A,0),17),"")</f>
        <v/>
      </c>
      <c r="U373">
        <f>IFERROR($C373*INDEX(SPPR!$E:$X,MATCH($A373,SPPR!$A:$A,0),18),"")</f>
        <v/>
      </c>
      <c r="V373">
        <f>IFERROR($C373*INDEX(SPPR!$E:$X,MATCH($A373,SPPR!$A:$A,0),19),"")</f>
        <v/>
      </c>
      <c r="W373">
        <f>IFERROR($C373*INDEX(SPPR!$E:$X,MATCH($A373,SPPR!$A:$A,0),20),"")</f>
        <v/>
      </c>
    </row>
    <row r="374">
      <c r="A374" t="inlineStr">
        <is>
          <t>Hemiramphus archipelagicus</t>
        </is>
      </c>
      <c r="B374">
        <f>IFERROR(INDEX(SPPR!$D:$D,MATCH($A374,SPPR!$A:$A,0)),"")</f>
        <v/>
      </c>
      <c r="C374">
        <f>IFERROR(INDEX(Catch!$E:$BV,MATCH($A374,Catch!$A:$A,0),MATCH($B$4,Catch!$E$1:$BV$1,0)),0)</f>
        <v/>
      </c>
      <c r="D374">
        <f>IFERROR($C374*INDEX(SPPR!$E:$X,MATCH($A374,SPPR!$A:$A,0),1),"")</f>
        <v/>
      </c>
      <c r="E374">
        <f>IFERROR($C374*INDEX(SPPR!$E:$X,MATCH($A374,SPPR!$A:$A,0),2),"")</f>
        <v/>
      </c>
      <c r="F374">
        <f>IFERROR($C374*INDEX(SPPR!$E:$X,MATCH($A374,SPPR!$A:$A,0),3),"")</f>
        <v/>
      </c>
      <c r="G374">
        <f>IFERROR($C374*INDEX(SPPR!$E:$X,MATCH($A374,SPPR!$A:$A,0),4),"")</f>
        <v/>
      </c>
      <c r="H374">
        <f>IFERROR($C374*INDEX(SPPR!$E:$X,MATCH($A374,SPPR!$A:$A,0),5),"")</f>
        <v/>
      </c>
      <c r="I374">
        <f>IFERROR($C374*INDEX(SPPR!$E:$X,MATCH($A374,SPPR!$A:$A,0),6),"")</f>
        <v/>
      </c>
      <c r="J374">
        <f>IFERROR($C374*INDEX(SPPR!$E:$X,MATCH($A374,SPPR!$A:$A,0),7),"")</f>
        <v/>
      </c>
      <c r="K374">
        <f>IFERROR($C374*INDEX(SPPR!$E:$X,MATCH($A374,SPPR!$A:$A,0),8),"")</f>
        <v/>
      </c>
      <c r="L374">
        <f>IFERROR($C374*INDEX(SPPR!$E:$X,MATCH($A374,SPPR!$A:$A,0),9),"")</f>
        <v/>
      </c>
      <c r="M374">
        <f>IFERROR($C374*INDEX(SPPR!$E:$X,MATCH($A374,SPPR!$A:$A,0),10),"")</f>
        <v/>
      </c>
      <c r="N374">
        <f>IFERROR($C374*INDEX(SPPR!$E:$X,MATCH($A374,SPPR!$A:$A,0),11),"")</f>
        <v/>
      </c>
      <c r="O374">
        <f>IFERROR($C374*INDEX(SPPR!$E:$X,MATCH($A374,SPPR!$A:$A,0),12),"")</f>
        <v/>
      </c>
      <c r="P374">
        <f>IFERROR($C374*INDEX(SPPR!$E:$X,MATCH($A374,SPPR!$A:$A,0),13),"")</f>
        <v/>
      </c>
      <c r="Q374">
        <f>IFERROR($C374*INDEX(SPPR!$E:$X,MATCH($A374,SPPR!$A:$A,0),14),"")</f>
        <v/>
      </c>
      <c r="R374">
        <f>IFERROR($C374*INDEX(SPPR!$E:$X,MATCH($A374,SPPR!$A:$A,0),15),"")</f>
        <v/>
      </c>
      <c r="S374">
        <f>IFERROR($C374*INDEX(SPPR!$E:$X,MATCH($A374,SPPR!$A:$A,0),16),"")</f>
        <v/>
      </c>
      <c r="T374">
        <f>IFERROR($C374*INDEX(SPPR!$E:$X,MATCH($A374,SPPR!$A:$A,0),17),"")</f>
        <v/>
      </c>
      <c r="U374">
        <f>IFERROR($C374*INDEX(SPPR!$E:$X,MATCH($A374,SPPR!$A:$A,0),18),"")</f>
        <v/>
      </c>
      <c r="V374">
        <f>IFERROR($C374*INDEX(SPPR!$E:$X,MATCH($A374,SPPR!$A:$A,0),19),"")</f>
        <v/>
      </c>
      <c r="W374">
        <f>IFERROR($C374*INDEX(SPPR!$E:$X,MATCH($A374,SPPR!$A:$A,0),20),"")</f>
        <v/>
      </c>
    </row>
    <row r="375">
      <c r="A375" t="inlineStr">
        <is>
          <t>Scorpaenidae</t>
        </is>
      </c>
      <c r="B375">
        <f>IFERROR(INDEX(SPPR!$D:$D,MATCH($A375,SPPR!$A:$A,0)),"")</f>
        <v/>
      </c>
      <c r="C375">
        <f>IFERROR(INDEX(Catch!$E:$BV,MATCH($A375,Catch!$A:$A,0),MATCH($B$4,Catch!$E$1:$BV$1,0)),0)</f>
        <v/>
      </c>
      <c r="D375">
        <f>IFERROR($C375*INDEX(SPPR!$E:$X,MATCH($A375,SPPR!$A:$A,0),1),"")</f>
        <v/>
      </c>
      <c r="E375">
        <f>IFERROR($C375*INDEX(SPPR!$E:$X,MATCH($A375,SPPR!$A:$A,0),2),"")</f>
        <v/>
      </c>
      <c r="F375">
        <f>IFERROR($C375*INDEX(SPPR!$E:$X,MATCH($A375,SPPR!$A:$A,0),3),"")</f>
        <v/>
      </c>
      <c r="G375">
        <f>IFERROR($C375*INDEX(SPPR!$E:$X,MATCH($A375,SPPR!$A:$A,0),4),"")</f>
        <v/>
      </c>
      <c r="H375">
        <f>IFERROR($C375*INDEX(SPPR!$E:$X,MATCH($A375,SPPR!$A:$A,0),5),"")</f>
        <v/>
      </c>
      <c r="I375">
        <f>IFERROR($C375*INDEX(SPPR!$E:$X,MATCH($A375,SPPR!$A:$A,0),6),"")</f>
        <v/>
      </c>
      <c r="J375">
        <f>IFERROR($C375*INDEX(SPPR!$E:$X,MATCH($A375,SPPR!$A:$A,0),7),"")</f>
        <v/>
      </c>
      <c r="K375">
        <f>IFERROR($C375*INDEX(SPPR!$E:$X,MATCH($A375,SPPR!$A:$A,0),8),"")</f>
        <v/>
      </c>
      <c r="L375">
        <f>IFERROR($C375*INDEX(SPPR!$E:$X,MATCH($A375,SPPR!$A:$A,0),9),"")</f>
        <v/>
      </c>
      <c r="M375">
        <f>IFERROR($C375*INDEX(SPPR!$E:$X,MATCH($A375,SPPR!$A:$A,0),10),"")</f>
        <v/>
      </c>
      <c r="N375">
        <f>IFERROR($C375*INDEX(SPPR!$E:$X,MATCH($A375,SPPR!$A:$A,0),11),"")</f>
        <v/>
      </c>
      <c r="O375">
        <f>IFERROR($C375*INDEX(SPPR!$E:$X,MATCH($A375,SPPR!$A:$A,0),12),"")</f>
        <v/>
      </c>
      <c r="P375">
        <f>IFERROR($C375*INDEX(SPPR!$E:$X,MATCH($A375,SPPR!$A:$A,0),13),"")</f>
        <v/>
      </c>
      <c r="Q375">
        <f>IFERROR($C375*INDEX(SPPR!$E:$X,MATCH($A375,SPPR!$A:$A,0),14),"")</f>
        <v/>
      </c>
      <c r="R375">
        <f>IFERROR($C375*INDEX(SPPR!$E:$X,MATCH($A375,SPPR!$A:$A,0),15),"")</f>
        <v/>
      </c>
      <c r="S375">
        <f>IFERROR($C375*INDEX(SPPR!$E:$X,MATCH($A375,SPPR!$A:$A,0),16),"")</f>
        <v/>
      </c>
      <c r="T375">
        <f>IFERROR($C375*INDEX(SPPR!$E:$X,MATCH($A375,SPPR!$A:$A,0),17),"")</f>
        <v/>
      </c>
      <c r="U375">
        <f>IFERROR($C375*INDEX(SPPR!$E:$X,MATCH($A375,SPPR!$A:$A,0),18),"")</f>
        <v/>
      </c>
      <c r="V375">
        <f>IFERROR($C375*INDEX(SPPR!$E:$X,MATCH($A375,SPPR!$A:$A,0),19),"")</f>
        <v/>
      </c>
      <c r="W375">
        <f>IFERROR($C375*INDEX(SPPR!$E:$X,MATCH($A375,SPPR!$A:$A,0),20),"")</f>
        <v/>
      </c>
    </row>
    <row r="376">
      <c r="A376" t="inlineStr">
        <is>
          <t>Chaetodontidae</t>
        </is>
      </c>
      <c r="B376">
        <f>IFERROR(INDEX(SPPR!$D:$D,MATCH($A376,SPPR!$A:$A,0)),"")</f>
        <v/>
      </c>
      <c r="C376">
        <f>IFERROR(INDEX(Catch!$E:$BV,MATCH($A376,Catch!$A:$A,0),MATCH($B$4,Catch!$E$1:$BV$1,0)),0)</f>
        <v/>
      </c>
      <c r="D376">
        <f>IFERROR($C376*INDEX(SPPR!$E:$X,MATCH($A376,SPPR!$A:$A,0),1),"")</f>
        <v/>
      </c>
      <c r="E376">
        <f>IFERROR($C376*INDEX(SPPR!$E:$X,MATCH($A376,SPPR!$A:$A,0),2),"")</f>
        <v/>
      </c>
      <c r="F376">
        <f>IFERROR($C376*INDEX(SPPR!$E:$X,MATCH($A376,SPPR!$A:$A,0),3),"")</f>
        <v/>
      </c>
      <c r="G376">
        <f>IFERROR($C376*INDEX(SPPR!$E:$X,MATCH($A376,SPPR!$A:$A,0),4),"")</f>
        <v/>
      </c>
      <c r="H376">
        <f>IFERROR($C376*INDEX(SPPR!$E:$X,MATCH($A376,SPPR!$A:$A,0),5),"")</f>
        <v/>
      </c>
      <c r="I376">
        <f>IFERROR($C376*INDEX(SPPR!$E:$X,MATCH($A376,SPPR!$A:$A,0),6),"")</f>
        <v/>
      </c>
      <c r="J376">
        <f>IFERROR($C376*INDEX(SPPR!$E:$X,MATCH($A376,SPPR!$A:$A,0),7),"")</f>
        <v/>
      </c>
      <c r="K376">
        <f>IFERROR($C376*INDEX(SPPR!$E:$X,MATCH($A376,SPPR!$A:$A,0),8),"")</f>
        <v/>
      </c>
      <c r="L376">
        <f>IFERROR($C376*INDEX(SPPR!$E:$X,MATCH($A376,SPPR!$A:$A,0),9),"")</f>
        <v/>
      </c>
      <c r="M376">
        <f>IFERROR($C376*INDEX(SPPR!$E:$X,MATCH($A376,SPPR!$A:$A,0),10),"")</f>
        <v/>
      </c>
      <c r="N376">
        <f>IFERROR($C376*INDEX(SPPR!$E:$X,MATCH($A376,SPPR!$A:$A,0),11),"")</f>
        <v/>
      </c>
      <c r="O376">
        <f>IFERROR($C376*INDEX(SPPR!$E:$X,MATCH($A376,SPPR!$A:$A,0),12),"")</f>
        <v/>
      </c>
      <c r="P376">
        <f>IFERROR($C376*INDEX(SPPR!$E:$X,MATCH($A376,SPPR!$A:$A,0),13),"")</f>
        <v/>
      </c>
      <c r="Q376">
        <f>IFERROR($C376*INDEX(SPPR!$E:$X,MATCH($A376,SPPR!$A:$A,0),14),"")</f>
        <v/>
      </c>
      <c r="R376">
        <f>IFERROR($C376*INDEX(SPPR!$E:$X,MATCH($A376,SPPR!$A:$A,0),15),"")</f>
        <v/>
      </c>
      <c r="S376">
        <f>IFERROR($C376*INDEX(SPPR!$E:$X,MATCH($A376,SPPR!$A:$A,0),16),"")</f>
        <v/>
      </c>
      <c r="T376">
        <f>IFERROR($C376*INDEX(SPPR!$E:$X,MATCH($A376,SPPR!$A:$A,0),17),"")</f>
        <v/>
      </c>
      <c r="U376">
        <f>IFERROR($C376*INDEX(SPPR!$E:$X,MATCH($A376,SPPR!$A:$A,0),18),"")</f>
        <v/>
      </c>
      <c r="V376">
        <f>IFERROR($C376*INDEX(SPPR!$E:$X,MATCH($A376,SPPR!$A:$A,0),19),"")</f>
        <v/>
      </c>
      <c r="W376">
        <f>IFERROR($C376*INDEX(SPPR!$E:$X,MATCH($A376,SPPR!$A:$A,0),20),"")</f>
        <v/>
      </c>
    </row>
    <row r="377">
      <c r="A377" t="inlineStr">
        <is>
          <t>Beryx</t>
        </is>
      </c>
      <c r="B377">
        <f>IFERROR(INDEX(SPPR!$D:$D,MATCH($A377,SPPR!$A:$A,0)),"")</f>
        <v/>
      </c>
      <c r="C377">
        <f>IFERROR(INDEX(Catch!$E:$BV,MATCH($A377,Catch!$A:$A,0),MATCH($B$4,Catch!$E$1:$BV$1,0)),0)</f>
        <v/>
      </c>
      <c r="D377">
        <f>IFERROR($C377*INDEX(SPPR!$E:$X,MATCH($A377,SPPR!$A:$A,0),1),"")</f>
        <v/>
      </c>
      <c r="E377">
        <f>IFERROR($C377*INDEX(SPPR!$E:$X,MATCH($A377,SPPR!$A:$A,0),2),"")</f>
        <v/>
      </c>
      <c r="F377">
        <f>IFERROR($C377*INDEX(SPPR!$E:$X,MATCH($A377,SPPR!$A:$A,0),3),"")</f>
        <v/>
      </c>
      <c r="G377">
        <f>IFERROR($C377*INDEX(SPPR!$E:$X,MATCH($A377,SPPR!$A:$A,0),4),"")</f>
        <v/>
      </c>
      <c r="H377">
        <f>IFERROR($C377*INDEX(SPPR!$E:$X,MATCH($A377,SPPR!$A:$A,0),5),"")</f>
        <v/>
      </c>
      <c r="I377">
        <f>IFERROR($C377*INDEX(SPPR!$E:$X,MATCH($A377,SPPR!$A:$A,0),6),"")</f>
        <v/>
      </c>
      <c r="J377">
        <f>IFERROR($C377*INDEX(SPPR!$E:$X,MATCH($A377,SPPR!$A:$A,0),7),"")</f>
        <v/>
      </c>
      <c r="K377">
        <f>IFERROR($C377*INDEX(SPPR!$E:$X,MATCH($A377,SPPR!$A:$A,0),8),"")</f>
        <v/>
      </c>
      <c r="L377">
        <f>IFERROR($C377*INDEX(SPPR!$E:$X,MATCH($A377,SPPR!$A:$A,0),9),"")</f>
        <v/>
      </c>
      <c r="M377">
        <f>IFERROR($C377*INDEX(SPPR!$E:$X,MATCH($A377,SPPR!$A:$A,0),10),"")</f>
        <v/>
      </c>
      <c r="N377">
        <f>IFERROR($C377*INDEX(SPPR!$E:$X,MATCH($A377,SPPR!$A:$A,0),11),"")</f>
        <v/>
      </c>
      <c r="O377">
        <f>IFERROR($C377*INDEX(SPPR!$E:$X,MATCH($A377,SPPR!$A:$A,0),12),"")</f>
        <v/>
      </c>
      <c r="P377">
        <f>IFERROR($C377*INDEX(SPPR!$E:$X,MATCH($A377,SPPR!$A:$A,0),13),"")</f>
        <v/>
      </c>
      <c r="Q377">
        <f>IFERROR($C377*INDEX(SPPR!$E:$X,MATCH($A377,SPPR!$A:$A,0),14),"")</f>
        <v/>
      </c>
      <c r="R377">
        <f>IFERROR($C377*INDEX(SPPR!$E:$X,MATCH($A377,SPPR!$A:$A,0),15),"")</f>
        <v/>
      </c>
      <c r="S377">
        <f>IFERROR($C377*INDEX(SPPR!$E:$X,MATCH($A377,SPPR!$A:$A,0),16),"")</f>
        <v/>
      </c>
      <c r="T377">
        <f>IFERROR($C377*INDEX(SPPR!$E:$X,MATCH($A377,SPPR!$A:$A,0),17),"")</f>
        <v/>
      </c>
      <c r="U377">
        <f>IFERROR($C377*INDEX(SPPR!$E:$X,MATCH($A377,SPPR!$A:$A,0),18),"")</f>
        <v/>
      </c>
      <c r="V377">
        <f>IFERROR($C377*INDEX(SPPR!$E:$X,MATCH($A377,SPPR!$A:$A,0),19),"")</f>
        <v/>
      </c>
      <c r="W377">
        <f>IFERROR($C377*INDEX(SPPR!$E:$X,MATCH($A377,SPPR!$A:$A,0),20),"")</f>
        <v/>
      </c>
    </row>
    <row r="378">
      <c r="A378" t="inlineStr">
        <is>
          <t>Scylla serrata</t>
        </is>
      </c>
      <c r="B378">
        <f>IFERROR(INDEX(SPPR!$D:$D,MATCH($A378,SPPR!$A:$A,0)),"")</f>
        <v/>
      </c>
      <c r="C378">
        <f>IFERROR(INDEX(Catch!$E:$BV,MATCH($A378,Catch!$A:$A,0),MATCH($B$4,Catch!$E$1:$BV$1,0)),0)</f>
        <v/>
      </c>
      <c r="D378">
        <f>IFERROR($C378*INDEX(SPPR!$E:$X,MATCH($A378,SPPR!$A:$A,0),1),"")</f>
        <v/>
      </c>
      <c r="E378">
        <f>IFERROR($C378*INDEX(SPPR!$E:$X,MATCH($A378,SPPR!$A:$A,0),2),"")</f>
        <v/>
      </c>
      <c r="F378">
        <f>IFERROR($C378*INDEX(SPPR!$E:$X,MATCH($A378,SPPR!$A:$A,0),3),"")</f>
        <v/>
      </c>
      <c r="G378">
        <f>IFERROR($C378*INDEX(SPPR!$E:$X,MATCH($A378,SPPR!$A:$A,0),4),"")</f>
        <v/>
      </c>
      <c r="H378">
        <f>IFERROR($C378*INDEX(SPPR!$E:$X,MATCH($A378,SPPR!$A:$A,0),5),"")</f>
        <v/>
      </c>
      <c r="I378">
        <f>IFERROR($C378*INDEX(SPPR!$E:$X,MATCH($A378,SPPR!$A:$A,0),6),"")</f>
        <v/>
      </c>
      <c r="J378">
        <f>IFERROR($C378*INDEX(SPPR!$E:$X,MATCH($A378,SPPR!$A:$A,0),7),"")</f>
        <v/>
      </c>
      <c r="K378">
        <f>IFERROR($C378*INDEX(SPPR!$E:$X,MATCH($A378,SPPR!$A:$A,0),8),"")</f>
        <v/>
      </c>
      <c r="L378">
        <f>IFERROR($C378*INDEX(SPPR!$E:$X,MATCH($A378,SPPR!$A:$A,0),9),"")</f>
        <v/>
      </c>
      <c r="M378">
        <f>IFERROR($C378*INDEX(SPPR!$E:$X,MATCH($A378,SPPR!$A:$A,0),10),"")</f>
        <v/>
      </c>
      <c r="N378">
        <f>IFERROR($C378*INDEX(SPPR!$E:$X,MATCH($A378,SPPR!$A:$A,0),11),"")</f>
        <v/>
      </c>
      <c r="O378">
        <f>IFERROR($C378*INDEX(SPPR!$E:$X,MATCH($A378,SPPR!$A:$A,0),12),"")</f>
        <v/>
      </c>
      <c r="P378">
        <f>IFERROR($C378*INDEX(SPPR!$E:$X,MATCH($A378,SPPR!$A:$A,0),13),"")</f>
        <v/>
      </c>
      <c r="Q378">
        <f>IFERROR($C378*INDEX(SPPR!$E:$X,MATCH($A378,SPPR!$A:$A,0),14),"")</f>
        <v/>
      </c>
      <c r="R378">
        <f>IFERROR($C378*INDEX(SPPR!$E:$X,MATCH($A378,SPPR!$A:$A,0),15),"")</f>
        <v/>
      </c>
      <c r="S378">
        <f>IFERROR($C378*INDEX(SPPR!$E:$X,MATCH($A378,SPPR!$A:$A,0),16),"")</f>
        <v/>
      </c>
      <c r="T378">
        <f>IFERROR($C378*INDEX(SPPR!$E:$X,MATCH($A378,SPPR!$A:$A,0),17),"")</f>
        <v/>
      </c>
      <c r="U378">
        <f>IFERROR($C378*INDEX(SPPR!$E:$X,MATCH($A378,SPPR!$A:$A,0),18),"")</f>
        <v/>
      </c>
      <c r="V378">
        <f>IFERROR($C378*INDEX(SPPR!$E:$X,MATCH($A378,SPPR!$A:$A,0),19),"")</f>
        <v/>
      </c>
      <c r="W378">
        <f>IFERROR($C378*INDEX(SPPR!$E:$X,MATCH($A378,SPPR!$A:$A,0),20),"")</f>
        <v/>
      </c>
    </row>
    <row r="379">
      <c r="A379" t="inlineStr">
        <is>
          <t>Pomatomus saltatrix</t>
        </is>
      </c>
      <c r="B379">
        <f>IFERROR(INDEX(SPPR!$D:$D,MATCH($A379,SPPR!$A:$A,0)),"")</f>
        <v/>
      </c>
      <c r="C379">
        <f>IFERROR(INDEX(Catch!$E:$BV,MATCH($A379,Catch!$A:$A,0),MATCH($B$4,Catch!$E$1:$BV$1,0)),0)</f>
        <v/>
      </c>
      <c r="D379">
        <f>IFERROR($C379*INDEX(SPPR!$E:$X,MATCH($A379,SPPR!$A:$A,0),1),"")</f>
        <v/>
      </c>
      <c r="E379">
        <f>IFERROR($C379*INDEX(SPPR!$E:$X,MATCH($A379,SPPR!$A:$A,0),2),"")</f>
        <v/>
      </c>
      <c r="F379">
        <f>IFERROR($C379*INDEX(SPPR!$E:$X,MATCH($A379,SPPR!$A:$A,0),3),"")</f>
        <v/>
      </c>
      <c r="G379">
        <f>IFERROR($C379*INDEX(SPPR!$E:$X,MATCH($A379,SPPR!$A:$A,0),4),"")</f>
        <v/>
      </c>
      <c r="H379">
        <f>IFERROR($C379*INDEX(SPPR!$E:$X,MATCH($A379,SPPR!$A:$A,0),5),"")</f>
        <v/>
      </c>
      <c r="I379">
        <f>IFERROR($C379*INDEX(SPPR!$E:$X,MATCH($A379,SPPR!$A:$A,0),6),"")</f>
        <v/>
      </c>
      <c r="J379">
        <f>IFERROR($C379*INDEX(SPPR!$E:$X,MATCH($A379,SPPR!$A:$A,0),7),"")</f>
        <v/>
      </c>
      <c r="K379">
        <f>IFERROR($C379*INDEX(SPPR!$E:$X,MATCH($A379,SPPR!$A:$A,0),8),"")</f>
        <v/>
      </c>
      <c r="L379">
        <f>IFERROR($C379*INDEX(SPPR!$E:$X,MATCH($A379,SPPR!$A:$A,0),9),"")</f>
        <v/>
      </c>
      <c r="M379">
        <f>IFERROR($C379*INDEX(SPPR!$E:$X,MATCH($A379,SPPR!$A:$A,0),10),"")</f>
        <v/>
      </c>
      <c r="N379">
        <f>IFERROR($C379*INDEX(SPPR!$E:$X,MATCH($A379,SPPR!$A:$A,0),11),"")</f>
        <v/>
      </c>
      <c r="O379">
        <f>IFERROR($C379*INDEX(SPPR!$E:$X,MATCH($A379,SPPR!$A:$A,0),12),"")</f>
        <v/>
      </c>
      <c r="P379">
        <f>IFERROR($C379*INDEX(SPPR!$E:$X,MATCH($A379,SPPR!$A:$A,0),13),"")</f>
        <v/>
      </c>
      <c r="Q379">
        <f>IFERROR($C379*INDEX(SPPR!$E:$X,MATCH($A379,SPPR!$A:$A,0),14),"")</f>
        <v/>
      </c>
      <c r="R379">
        <f>IFERROR($C379*INDEX(SPPR!$E:$X,MATCH($A379,SPPR!$A:$A,0),15),"")</f>
        <v/>
      </c>
      <c r="S379">
        <f>IFERROR($C379*INDEX(SPPR!$E:$X,MATCH($A379,SPPR!$A:$A,0),16),"")</f>
        <v/>
      </c>
      <c r="T379">
        <f>IFERROR($C379*INDEX(SPPR!$E:$X,MATCH($A379,SPPR!$A:$A,0),17),"")</f>
        <v/>
      </c>
      <c r="U379">
        <f>IFERROR($C379*INDEX(SPPR!$E:$X,MATCH($A379,SPPR!$A:$A,0),18),"")</f>
        <v/>
      </c>
      <c r="V379">
        <f>IFERROR($C379*INDEX(SPPR!$E:$X,MATCH($A379,SPPR!$A:$A,0),19),"")</f>
        <v/>
      </c>
      <c r="W379">
        <f>IFERROR($C379*INDEX(SPPR!$E:$X,MATCH($A379,SPPR!$A:$A,0),20),"")</f>
        <v/>
      </c>
    </row>
    <row r="380">
      <c r="A380" t="inlineStr">
        <is>
          <t>Gadiformes</t>
        </is>
      </c>
      <c r="B380">
        <f>IFERROR(INDEX(SPPR!$D:$D,MATCH($A380,SPPR!$A:$A,0)),"")</f>
        <v/>
      </c>
      <c r="C380">
        <f>IFERROR(INDEX(Catch!$E:$BV,MATCH($A380,Catch!$A:$A,0),MATCH($B$4,Catch!$E$1:$BV$1,0)),0)</f>
        <v/>
      </c>
      <c r="D380">
        <f>IFERROR($C380*INDEX(SPPR!$E:$X,MATCH($A380,SPPR!$A:$A,0),1),"")</f>
        <v/>
      </c>
      <c r="E380">
        <f>IFERROR($C380*INDEX(SPPR!$E:$X,MATCH($A380,SPPR!$A:$A,0),2),"")</f>
        <v/>
      </c>
      <c r="F380">
        <f>IFERROR($C380*INDEX(SPPR!$E:$X,MATCH($A380,SPPR!$A:$A,0),3),"")</f>
        <v/>
      </c>
      <c r="G380">
        <f>IFERROR($C380*INDEX(SPPR!$E:$X,MATCH($A380,SPPR!$A:$A,0),4),"")</f>
        <v/>
      </c>
      <c r="H380">
        <f>IFERROR($C380*INDEX(SPPR!$E:$X,MATCH($A380,SPPR!$A:$A,0),5),"")</f>
        <v/>
      </c>
      <c r="I380">
        <f>IFERROR($C380*INDEX(SPPR!$E:$X,MATCH($A380,SPPR!$A:$A,0),6),"")</f>
        <v/>
      </c>
      <c r="J380">
        <f>IFERROR($C380*INDEX(SPPR!$E:$X,MATCH($A380,SPPR!$A:$A,0),7),"")</f>
        <v/>
      </c>
      <c r="K380">
        <f>IFERROR($C380*INDEX(SPPR!$E:$X,MATCH($A380,SPPR!$A:$A,0),8),"")</f>
        <v/>
      </c>
      <c r="L380">
        <f>IFERROR($C380*INDEX(SPPR!$E:$X,MATCH($A380,SPPR!$A:$A,0),9),"")</f>
        <v/>
      </c>
      <c r="M380">
        <f>IFERROR($C380*INDEX(SPPR!$E:$X,MATCH($A380,SPPR!$A:$A,0),10),"")</f>
        <v/>
      </c>
      <c r="N380">
        <f>IFERROR($C380*INDEX(SPPR!$E:$X,MATCH($A380,SPPR!$A:$A,0),11),"")</f>
        <v/>
      </c>
      <c r="O380">
        <f>IFERROR($C380*INDEX(SPPR!$E:$X,MATCH($A380,SPPR!$A:$A,0),12),"")</f>
        <v/>
      </c>
      <c r="P380">
        <f>IFERROR($C380*INDEX(SPPR!$E:$X,MATCH($A380,SPPR!$A:$A,0),13),"")</f>
        <v/>
      </c>
      <c r="Q380">
        <f>IFERROR($C380*INDEX(SPPR!$E:$X,MATCH($A380,SPPR!$A:$A,0),14),"")</f>
        <v/>
      </c>
      <c r="R380">
        <f>IFERROR($C380*INDEX(SPPR!$E:$X,MATCH($A380,SPPR!$A:$A,0),15),"")</f>
        <v/>
      </c>
      <c r="S380">
        <f>IFERROR($C380*INDEX(SPPR!$E:$X,MATCH($A380,SPPR!$A:$A,0),16),"")</f>
        <v/>
      </c>
      <c r="T380">
        <f>IFERROR($C380*INDEX(SPPR!$E:$X,MATCH($A380,SPPR!$A:$A,0),17),"")</f>
        <v/>
      </c>
      <c r="U380">
        <f>IFERROR($C380*INDEX(SPPR!$E:$X,MATCH($A380,SPPR!$A:$A,0),18),"")</f>
        <v/>
      </c>
      <c r="V380">
        <f>IFERROR($C380*INDEX(SPPR!$E:$X,MATCH($A380,SPPR!$A:$A,0),19),"")</f>
        <v/>
      </c>
      <c r="W380">
        <f>IFERROR($C380*INDEX(SPPR!$E:$X,MATCH($A380,SPPR!$A:$A,0),20),"")</f>
        <v/>
      </c>
    </row>
    <row r="381">
      <c r="A381" t="inlineStr">
        <is>
          <t>Triaenodon obesus</t>
        </is>
      </c>
      <c r="B381">
        <f>IFERROR(INDEX(SPPR!$D:$D,MATCH($A381,SPPR!$A:$A,0)),"")</f>
        <v/>
      </c>
      <c r="C381">
        <f>IFERROR(INDEX(Catch!$E:$BV,MATCH($A381,Catch!$A:$A,0),MATCH($B$4,Catch!$E$1:$BV$1,0)),0)</f>
        <v/>
      </c>
      <c r="D381">
        <f>IFERROR($C381*INDEX(SPPR!$E:$X,MATCH($A381,SPPR!$A:$A,0),1),"")</f>
        <v/>
      </c>
      <c r="E381">
        <f>IFERROR($C381*INDEX(SPPR!$E:$X,MATCH($A381,SPPR!$A:$A,0),2),"")</f>
        <v/>
      </c>
      <c r="F381">
        <f>IFERROR($C381*INDEX(SPPR!$E:$X,MATCH($A381,SPPR!$A:$A,0),3),"")</f>
        <v/>
      </c>
      <c r="G381">
        <f>IFERROR($C381*INDEX(SPPR!$E:$X,MATCH($A381,SPPR!$A:$A,0),4),"")</f>
        <v/>
      </c>
      <c r="H381">
        <f>IFERROR($C381*INDEX(SPPR!$E:$X,MATCH($A381,SPPR!$A:$A,0),5),"")</f>
        <v/>
      </c>
      <c r="I381">
        <f>IFERROR($C381*INDEX(SPPR!$E:$X,MATCH($A381,SPPR!$A:$A,0),6),"")</f>
        <v/>
      </c>
      <c r="J381">
        <f>IFERROR($C381*INDEX(SPPR!$E:$X,MATCH($A381,SPPR!$A:$A,0),7),"")</f>
        <v/>
      </c>
      <c r="K381">
        <f>IFERROR($C381*INDEX(SPPR!$E:$X,MATCH($A381,SPPR!$A:$A,0),8),"")</f>
        <v/>
      </c>
      <c r="L381">
        <f>IFERROR($C381*INDEX(SPPR!$E:$X,MATCH($A381,SPPR!$A:$A,0),9),"")</f>
        <v/>
      </c>
      <c r="M381">
        <f>IFERROR($C381*INDEX(SPPR!$E:$X,MATCH($A381,SPPR!$A:$A,0),10),"")</f>
        <v/>
      </c>
      <c r="N381">
        <f>IFERROR($C381*INDEX(SPPR!$E:$X,MATCH($A381,SPPR!$A:$A,0),11),"")</f>
        <v/>
      </c>
      <c r="O381">
        <f>IFERROR($C381*INDEX(SPPR!$E:$X,MATCH($A381,SPPR!$A:$A,0),12),"")</f>
        <v/>
      </c>
      <c r="P381">
        <f>IFERROR($C381*INDEX(SPPR!$E:$X,MATCH($A381,SPPR!$A:$A,0),13),"")</f>
        <v/>
      </c>
      <c r="Q381">
        <f>IFERROR($C381*INDEX(SPPR!$E:$X,MATCH($A381,SPPR!$A:$A,0),14),"")</f>
        <v/>
      </c>
      <c r="R381">
        <f>IFERROR($C381*INDEX(SPPR!$E:$X,MATCH($A381,SPPR!$A:$A,0),15),"")</f>
        <v/>
      </c>
      <c r="S381">
        <f>IFERROR($C381*INDEX(SPPR!$E:$X,MATCH($A381,SPPR!$A:$A,0),16),"")</f>
        <v/>
      </c>
      <c r="T381">
        <f>IFERROR($C381*INDEX(SPPR!$E:$X,MATCH($A381,SPPR!$A:$A,0),17),"")</f>
        <v/>
      </c>
      <c r="U381">
        <f>IFERROR($C381*INDEX(SPPR!$E:$X,MATCH($A381,SPPR!$A:$A,0),18),"")</f>
        <v/>
      </c>
      <c r="V381">
        <f>IFERROR($C381*INDEX(SPPR!$E:$X,MATCH($A381,SPPR!$A:$A,0),19),"")</f>
        <v/>
      </c>
      <c r="W381">
        <f>IFERROR($C381*INDEX(SPPR!$E:$X,MATCH($A381,SPPR!$A:$A,0),20),"")</f>
        <v/>
      </c>
    </row>
    <row r="382">
      <c r="A382" t="inlineStr">
        <is>
          <t>Lethrinus rubrioperculatus</t>
        </is>
      </c>
      <c r="B382">
        <f>IFERROR(INDEX(SPPR!$D:$D,MATCH($A382,SPPR!$A:$A,0)),"")</f>
        <v/>
      </c>
      <c r="C382">
        <f>IFERROR(INDEX(Catch!$E:$BV,MATCH($A382,Catch!$A:$A,0),MATCH($B$4,Catch!$E$1:$BV$1,0)),0)</f>
        <v/>
      </c>
      <c r="D382">
        <f>IFERROR($C382*INDEX(SPPR!$E:$X,MATCH($A382,SPPR!$A:$A,0),1),"")</f>
        <v/>
      </c>
      <c r="E382">
        <f>IFERROR($C382*INDEX(SPPR!$E:$X,MATCH($A382,SPPR!$A:$A,0),2),"")</f>
        <v/>
      </c>
      <c r="F382">
        <f>IFERROR($C382*INDEX(SPPR!$E:$X,MATCH($A382,SPPR!$A:$A,0),3),"")</f>
        <v/>
      </c>
      <c r="G382">
        <f>IFERROR($C382*INDEX(SPPR!$E:$X,MATCH($A382,SPPR!$A:$A,0),4),"")</f>
        <v/>
      </c>
      <c r="H382">
        <f>IFERROR($C382*INDEX(SPPR!$E:$X,MATCH($A382,SPPR!$A:$A,0),5),"")</f>
        <v/>
      </c>
      <c r="I382">
        <f>IFERROR($C382*INDEX(SPPR!$E:$X,MATCH($A382,SPPR!$A:$A,0),6),"")</f>
        <v/>
      </c>
      <c r="J382">
        <f>IFERROR($C382*INDEX(SPPR!$E:$X,MATCH($A382,SPPR!$A:$A,0),7),"")</f>
        <v/>
      </c>
      <c r="K382">
        <f>IFERROR($C382*INDEX(SPPR!$E:$X,MATCH($A382,SPPR!$A:$A,0),8),"")</f>
        <v/>
      </c>
      <c r="L382">
        <f>IFERROR($C382*INDEX(SPPR!$E:$X,MATCH($A382,SPPR!$A:$A,0),9),"")</f>
        <v/>
      </c>
      <c r="M382">
        <f>IFERROR($C382*INDEX(SPPR!$E:$X,MATCH($A382,SPPR!$A:$A,0),10),"")</f>
        <v/>
      </c>
      <c r="N382">
        <f>IFERROR($C382*INDEX(SPPR!$E:$X,MATCH($A382,SPPR!$A:$A,0),11),"")</f>
        <v/>
      </c>
      <c r="O382">
        <f>IFERROR($C382*INDEX(SPPR!$E:$X,MATCH($A382,SPPR!$A:$A,0),12),"")</f>
        <v/>
      </c>
      <c r="P382">
        <f>IFERROR($C382*INDEX(SPPR!$E:$X,MATCH($A382,SPPR!$A:$A,0),13),"")</f>
        <v/>
      </c>
      <c r="Q382">
        <f>IFERROR($C382*INDEX(SPPR!$E:$X,MATCH($A382,SPPR!$A:$A,0),14),"")</f>
        <v/>
      </c>
      <c r="R382">
        <f>IFERROR($C382*INDEX(SPPR!$E:$X,MATCH($A382,SPPR!$A:$A,0),15),"")</f>
        <v/>
      </c>
      <c r="S382">
        <f>IFERROR($C382*INDEX(SPPR!$E:$X,MATCH($A382,SPPR!$A:$A,0),16),"")</f>
        <v/>
      </c>
      <c r="T382">
        <f>IFERROR($C382*INDEX(SPPR!$E:$X,MATCH($A382,SPPR!$A:$A,0),17),"")</f>
        <v/>
      </c>
      <c r="U382">
        <f>IFERROR($C382*INDEX(SPPR!$E:$X,MATCH($A382,SPPR!$A:$A,0),18),"")</f>
        <v/>
      </c>
      <c r="V382">
        <f>IFERROR($C382*INDEX(SPPR!$E:$X,MATCH($A382,SPPR!$A:$A,0),19),"")</f>
        <v/>
      </c>
      <c r="W382">
        <f>IFERROR($C382*INDEX(SPPR!$E:$X,MATCH($A382,SPPR!$A:$A,0),20),"")</f>
        <v/>
      </c>
    </row>
    <row r="383">
      <c r="A383" t="inlineStr">
        <is>
          <t>Caesio</t>
        </is>
      </c>
      <c r="B383">
        <f>IFERROR(INDEX(SPPR!$D:$D,MATCH($A383,SPPR!$A:$A,0)),"")</f>
        <v/>
      </c>
      <c r="C383">
        <f>IFERROR(INDEX(Catch!$E:$BV,MATCH($A383,Catch!$A:$A,0),MATCH($B$4,Catch!$E$1:$BV$1,0)),0)</f>
        <v/>
      </c>
      <c r="D383">
        <f>IFERROR($C383*INDEX(SPPR!$E:$X,MATCH($A383,SPPR!$A:$A,0),1),"")</f>
        <v/>
      </c>
      <c r="E383">
        <f>IFERROR($C383*INDEX(SPPR!$E:$X,MATCH($A383,SPPR!$A:$A,0),2),"")</f>
        <v/>
      </c>
      <c r="F383">
        <f>IFERROR($C383*INDEX(SPPR!$E:$X,MATCH($A383,SPPR!$A:$A,0),3),"")</f>
        <v/>
      </c>
      <c r="G383">
        <f>IFERROR($C383*INDEX(SPPR!$E:$X,MATCH($A383,SPPR!$A:$A,0),4),"")</f>
        <v/>
      </c>
      <c r="H383">
        <f>IFERROR($C383*INDEX(SPPR!$E:$X,MATCH($A383,SPPR!$A:$A,0),5),"")</f>
        <v/>
      </c>
      <c r="I383">
        <f>IFERROR($C383*INDEX(SPPR!$E:$X,MATCH($A383,SPPR!$A:$A,0),6),"")</f>
        <v/>
      </c>
      <c r="J383">
        <f>IFERROR($C383*INDEX(SPPR!$E:$X,MATCH($A383,SPPR!$A:$A,0),7),"")</f>
        <v/>
      </c>
      <c r="K383">
        <f>IFERROR($C383*INDEX(SPPR!$E:$X,MATCH($A383,SPPR!$A:$A,0),8),"")</f>
        <v/>
      </c>
      <c r="L383">
        <f>IFERROR($C383*INDEX(SPPR!$E:$X,MATCH($A383,SPPR!$A:$A,0),9),"")</f>
        <v/>
      </c>
      <c r="M383">
        <f>IFERROR($C383*INDEX(SPPR!$E:$X,MATCH($A383,SPPR!$A:$A,0),10),"")</f>
        <v/>
      </c>
      <c r="N383">
        <f>IFERROR($C383*INDEX(SPPR!$E:$X,MATCH($A383,SPPR!$A:$A,0),11),"")</f>
        <v/>
      </c>
      <c r="O383">
        <f>IFERROR($C383*INDEX(SPPR!$E:$X,MATCH($A383,SPPR!$A:$A,0),12),"")</f>
        <v/>
      </c>
      <c r="P383">
        <f>IFERROR($C383*INDEX(SPPR!$E:$X,MATCH($A383,SPPR!$A:$A,0),13),"")</f>
        <v/>
      </c>
      <c r="Q383">
        <f>IFERROR($C383*INDEX(SPPR!$E:$X,MATCH($A383,SPPR!$A:$A,0),14),"")</f>
        <v/>
      </c>
      <c r="R383">
        <f>IFERROR($C383*INDEX(SPPR!$E:$X,MATCH($A383,SPPR!$A:$A,0),15),"")</f>
        <v/>
      </c>
      <c r="S383">
        <f>IFERROR($C383*INDEX(SPPR!$E:$X,MATCH($A383,SPPR!$A:$A,0),16),"")</f>
        <v/>
      </c>
      <c r="T383">
        <f>IFERROR($C383*INDEX(SPPR!$E:$X,MATCH($A383,SPPR!$A:$A,0),17),"")</f>
        <v/>
      </c>
      <c r="U383">
        <f>IFERROR($C383*INDEX(SPPR!$E:$X,MATCH($A383,SPPR!$A:$A,0),18),"")</f>
        <v/>
      </c>
      <c r="V383">
        <f>IFERROR($C383*INDEX(SPPR!$E:$X,MATCH($A383,SPPR!$A:$A,0),19),"")</f>
        <v/>
      </c>
      <c r="W383">
        <f>IFERROR($C383*INDEX(SPPR!$E:$X,MATCH($A383,SPPR!$A:$A,0),20),"")</f>
        <v/>
      </c>
    </row>
    <row r="384">
      <c r="A384" t="inlineStr">
        <is>
          <t>Isurus</t>
        </is>
      </c>
      <c r="B384">
        <f>IFERROR(INDEX(SPPR!$D:$D,MATCH($A384,SPPR!$A:$A,0)),"")</f>
        <v/>
      </c>
      <c r="C384">
        <f>IFERROR(INDEX(Catch!$E:$BV,MATCH($A384,Catch!$A:$A,0),MATCH($B$4,Catch!$E$1:$BV$1,0)),0)</f>
        <v/>
      </c>
      <c r="D384">
        <f>IFERROR($C384*INDEX(SPPR!$E:$X,MATCH($A384,SPPR!$A:$A,0),1),"")</f>
        <v/>
      </c>
      <c r="E384">
        <f>IFERROR($C384*INDEX(SPPR!$E:$X,MATCH($A384,SPPR!$A:$A,0),2),"")</f>
        <v/>
      </c>
      <c r="F384">
        <f>IFERROR($C384*INDEX(SPPR!$E:$X,MATCH($A384,SPPR!$A:$A,0),3),"")</f>
        <v/>
      </c>
      <c r="G384">
        <f>IFERROR($C384*INDEX(SPPR!$E:$X,MATCH($A384,SPPR!$A:$A,0),4),"")</f>
        <v/>
      </c>
      <c r="H384">
        <f>IFERROR($C384*INDEX(SPPR!$E:$X,MATCH($A384,SPPR!$A:$A,0),5),"")</f>
        <v/>
      </c>
      <c r="I384">
        <f>IFERROR($C384*INDEX(SPPR!$E:$X,MATCH($A384,SPPR!$A:$A,0),6),"")</f>
        <v/>
      </c>
      <c r="J384">
        <f>IFERROR($C384*INDEX(SPPR!$E:$X,MATCH($A384,SPPR!$A:$A,0),7),"")</f>
        <v/>
      </c>
      <c r="K384">
        <f>IFERROR($C384*INDEX(SPPR!$E:$X,MATCH($A384,SPPR!$A:$A,0),8),"")</f>
        <v/>
      </c>
      <c r="L384">
        <f>IFERROR($C384*INDEX(SPPR!$E:$X,MATCH($A384,SPPR!$A:$A,0),9),"")</f>
        <v/>
      </c>
      <c r="M384">
        <f>IFERROR($C384*INDEX(SPPR!$E:$X,MATCH($A384,SPPR!$A:$A,0),10),"")</f>
        <v/>
      </c>
      <c r="N384">
        <f>IFERROR($C384*INDEX(SPPR!$E:$X,MATCH($A384,SPPR!$A:$A,0),11),"")</f>
        <v/>
      </c>
      <c r="O384">
        <f>IFERROR($C384*INDEX(SPPR!$E:$X,MATCH($A384,SPPR!$A:$A,0),12),"")</f>
        <v/>
      </c>
      <c r="P384">
        <f>IFERROR($C384*INDEX(SPPR!$E:$X,MATCH($A384,SPPR!$A:$A,0),13),"")</f>
        <v/>
      </c>
      <c r="Q384">
        <f>IFERROR($C384*INDEX(SPPR!$E:$X,MATCH($A384,SPPR!$A:$A,0),14),"")</f>
        <v/>
      </c>
      <c r="R384">
        <f>IFERROR($C384*INDEX(SPPR!$E:$X,MATCH($A384,SPPR!$A:$A,0),15),"")</f>
        <v/>
      </c>
      <c r="S384">
        <f>IFERROR($C384*INDEX(SPPR!$E:$X,MATCH($A384,SPPR!$A:$A,0),16),"")</f>
        <v/>
      </c>
      <c r="T384">
        <f>IFERROR($C384*INDEX(SPPR!$E:$X,MATCH($A384,SPPR!$A:$A,0),17),"")</f>
        <v/>
      </c>
      <c r="U384">
        <f>IFERROR($C384*INDEX(SPPR!$E:$X,MATCH($A384,SPPR!$A:$A,0),18),"")</f>
        <v/>
      </c>
      <c r="V384">
        <f>IFERROR($C384*INDEX(SPPR!$E:$X,MATCH($A384,SPPR!$A:$A,0),19),"")</f>
        <v/>
      </c>
      <c r="W384">
        <f>IFERROR($C384*INDEX(SPPR!$E:$X,MATCH($A384,SPPR!$A:$A,0),20),"")</f>
        <v/>
      </c>
    </row>
    <row r="385">
      <c r="A385" t="inlineStr">
        <is>
          <t>Seriola dumerili</t>
        </is>
      </c>
      <c r="B385">
        <f>IFERROR(INDEX(SPPR!$D:$D,MATCH($A385,SPPR!$A:$A,0)),"")</f>
        <v/>
      </c>
      <c r="C385">
        <f>IFERROR(INDEX(Catch!$E:$BV,MATCH($A385,Catch!$A:$A,0),MATCH($B$4,Catch!$E$1:$BV$1,0)),0)</f>
        <v/>
      </c>
      <c r="D385">
        <f>IFERROR($C385*INDEX(SPPR!$E:$X,MATCH($A385,SPPR!$A:$A,0),1),"")</f>
        <v/>
      </c>
      <c r="E385">
        <f>IFERROR($C385*INDEX(SPPR!$E:$X,MATCH($A385,SPPR!$A:$A,0),2),"")</f>
        <v/>
      </c>
      <c r="F385">
        <f>IFERROR($C385*INDEX(SPPR!$E:$X,MATCH($A385,SPPR!$A:$A,0),3),"")</f>
        <v/>
      </c>
      <c r="G385">
        <f>IFERROR($C385*INDEX(SPPR!$E:$X,MATCH($A385,SPPR!$A:$A,0),4),"")</f>
        <v/>
      </c>
      <c r="H385">
        <f>IFERROR($C385*INDEX(SPPR!$E:$X,MATCH($A385,SPPR!$A:$A,0),5),"")</f>
        <v/>
      </c>
      <c r="I385">
        <f>IFERROR($C385*INDEX(SPPR!$E:$X,MATCH($A385,SPPR!$A:$A,0),6),"")</f>
        <v/>
      </c>
      <c r="J385">
        <f>IFERROR($C385*INDEX(SPPR!$E:$X,MATCH($A385,SPPR!$A:$A,0),7),"")</f>
        <v/>
      </c>
      <c r="K385">
        <f>IFERROR($C385*INDEX(SPPR!$E:$X,MATCH($A385,SPPR!$A:$A,0),8),"")</f>
        <v/>
      </c>
      <c r="L385">
        <f>IFERROR($C385*INDEX(SPPR!$E:$X,MATCH($A385,SPPR!$A:$A,0),9),"")</f>
        <v/>
      </c>
      <c r="M385">
        <f>IFERROR($C385*INDEX(SPPR!$E:$X,MATCH($A385,SPPR!$A:$A,0),10),"")</f>
        <v/>
      </c>
      <c r="N385">
        <f>IFERROR($C385*INDEX(SPPR!$E:$X,MATCH($A385,SPPR!$A:$A,0),11),"")</f>
        <v/>
      </c>
      <c r="O385">
        <f>IFERROR($C385*INDEX(SPPR!$E:$X,MATCH($A385,SPPR!$A:$A,0),12),"")</f>
        <v/>
      </c>
      <c r="P385">
        <f>IFERROR($C385*INDEX(SPPR!$E:$X,MATCH($A385,SPPR!$A:$A,0),13),"")</f>
        <v/>
      </c>
      <c r="Q385">
        <f>IFERROR($C385*INDEX(SPPR!$E:$X,MATCH($A385,SPPR!$A:$A,0),14),"")</f>
        <v/>
      </c>
      <c r="R385">
        <f>IFERROR($C385*INDEX(SPPR!$E:$X,MATCH($A385,SPPR!$A:$A,0),15),"")</f>
        <v/>
      </c>
      <c r="S385">
        <f>IFERROR($C385*INDEX(SPPR!$E:$X,MATCH($A385,SPPR!$A:$A,0),16),"")</f>
        <v/>
      </c>
      <c r="T385">
        <f>IFERROR($C385*INDEX(SPPR!$E:$X,MATCH($A385,SPPR!$A:$A,0),17),"")</f>
        <v/>
      </c>
      <c r="U385">
        <f>IFERROR($C385*INDEX(SPPR!$E:$X,MATCH($A385,SPPR!$A:$A,0),18),"")</f>
        <v/>
      </c>
      <c r="V385">
        <f>IFERROR($C385*INDEX(SPPR!$E:$X,MATCH($A385,SPPR!$A:$A,0),19),"")</f>
        <v/>
      </c>
      <c r="W385">
        <f>IFERROR($C385*INDEX(SPPR!$E:$X,MATCH($A385,SPPR!$A:$A,0),20),"")</f>
        <v/>
      </c>
    </row>
    <row r="386">
      <c r="A386" t="inlineStr">
        <is>
          <t>Modiolus</t>
        </is>
      </c>
      <c r="B386">
        <f>IFERROR(INDEX(SPPR!$D:$D,MATCH($A386,SPPR!$A:$A,0)),"")</f>
        <v/>
      </c>
      <c r="C386">
        <f>IFERROR(INDEX(Catch!$E:$BV,MATCH($A386,Catch!$A:$A,0),MATCH($B$4,Catch!$E$1:$BV$1,0)),0)</f>
        <v/>
      </c>
      <c r="D386">
        <f>IFERROR($C386*INDEX(SPPR!$E:$X,MATCH($A386,SPPR!$A:$A,0),1),"")</f>
        <v/>
      </c>
      <c r="E386">
        <f>IFERROR($C386*INDEX(SPPR!$E:$X,MATCH($A386,SPPR!$A:$A,0),2),"")</f>
        <v/>
      </c>
      <c r="F386">
        <f>IFERROR($C386*INDEX(SPPR!$E:$X,MATCH($A386,SPPR!$A:$A,0),3),"")</f>
        <v/>
      </c>
      <c r="G386">
        <f>IFERROR($C386*INDEX(SPPR!$E:$X,MATCH($A386,SPPR!$A:$A,0),4),"")</f>
        <v/>
      </c>
      <c r="H386">
        <f>IFERROR($C386*INDEX(SPPR!$E:$X,MATCH($A386,SPPR!$A:$A,0),5),"")</f>
        <v/>
      </c>
      <c r="I386">
        <f>IFERROR($C386*INDEX(SPPR!$E:$X,MATCH($A386,SPPR!$A:$A,0),6),"")</f>
        <v/>
      </c>
      <c r="J386">
        <f>IFERROR($C386*INDEX(SPPR!$E:$X,MATCH($A386,SPPR!$A:$A,0),7),"")</f>
        <v/>
      </c>
      <c r="K386">
        <f>IFERROR($C386*INDEX(SPPR!$E:$X,MATCH($A386,SPPR!$A:$A,0),8),"")</f>
        <v/>
      </c>
      <c r="L386">
        <f>IFERROR($C386*INDEX(SPPR!$E:$X,MATCH($A386,SPPR!$A:$A,0),9),"")</f>
        <v/>
      </c>
      <c r="M386">
        <f>IFERROR($C386*INDEX(SPPR!$E:$X,MATCH($A386,SPPR!$A:$A,0),10),"")</f>
        <v/>
      </c>
      <c r="N386">
        <f>IFERROR($C386*INDEX(SPPR!$E:$X,MATCH($A386,SPPR!$A:$A,0),11),"")</f>
        <v/>
      </c>
      <c r="O386">
        <f>IFERROR($C386*INDEX(SPPR!$E:$X,MATCH($A386,SPPR!$A:$A,0),12),"")</f>
        <v/>
      </c>
      <c r="P386">
        <f>IFERROR($C386*INDEX(SPPR!$E:$X,MATCH($A386,SPPR!$A:$A,0),13),"")</f>
        <v/>
      </c>
      <c r="Q386">
        <f>IFERROR($C386*INDEX(SPPR!$E:$X,MATCH($A386,SPPR!$A:$A,0),14),"")</f>
        <v/>
      </c>
      <c r="R386">
        <f>IFERROR($C386*INDEX(SPPR!$E:$X,MATCH($A386,SPPR!$A:$A,0),15),"")</f>
        <v/>
      </c>
      <c r="S386">
        <f>IFERROR($C386*INDEX(SPPR!$E:$X,MATCH($A386,SPPR!$A:$A,0),16),"")</f>
        <v/>
      </c>
      <c r="T386">
        <f>IFERROR($C386*INDEX(SPPR!$E:$X,MATCH($A386,SPPR!$A:$A,0),17),"")</f>
        <v/>
      </c>
      <c r="U386">
        <f>IFERROR($C386*INDEX(SPPR!$E:$X,MATCH($A386,SPPR!$A:$A,0),18),"")</f>
        <v/>
      </c>
      <c r="V386">
        <f>IFERROR($C386*INDEX(SPPR!$E:$X,MATCH($A386,SPPR!$A:$A,0),19),"")</f>
        <v/>
      </c>
      <c r="W386">
        <f>IFERROR($C386*INDEX(SPPR!$E:$X,MATCH($A386,SPPR!$A:$A,0),20),"")</f>
        <v/>
      </c>
    </row>
    <row r="387">
      <c r="A387" t="inlineStr">
        <is>
          <t>Miscellaneous aquatic invertebrates</t>
        </is>
      </c>
      <c r="B387">
        <f>IFERROR(INDEX(SPPR!$D:$D,MATCH($A387,SPPR!$A:$A,0)),"")</f>
        <v/>
      </c>
      <c r="C387">
        <f>IFERROR(INDEX(Catch!$E:$BV,MATCH($A387,Catch!$A:$A,0),MATCH($B$4,Catch!$E$1:$BV$1,0)),0)</f>
        <v/>
      </c>
      <c r="D387">
        <f>IFERROR($C387*INDEX(SPPR!$E:$X,MATCH($A387,SPPR!$A:$A,0),1),"")</f>
        <v/>
      </c>
      <c r="E387">
        <f>IFERROR($C387*INDEX(SPPR!$E:$X,MATCH($A387,SPPR!$A:$A,0),2),"")</f>
        <v/>
      </c>
      <c r="F387">
        <f>IFERROR($C387*INDEX(SPPR!$E:$X,MATCH($A387,SPPR!$A:$A,0),3),"")</f>
        <v/>
      </c>
      <c r="G387">
        <f>IFERROR($C387*INDEX(SPPR!$E:$X,MATCH($A387,SPPR!$A:$A,0),4),"")</f>
        <v/>
      </c>
      <c r="H387">
        <f>IFERROR($C387*INDEX(SPPR!$E:$X,MATCH($A387,SPPR!$A:$A,0),5),"")</f>
        <v/>
      </c>
      <c r="I387">
        <f>IFERROR($C387*INDEX(SPPR!$E:$X,MATCH($A387,SPPR!$A:$A,0),6),"")</f>
        <v/>
      </c>
      <c r="J387">
        <f>IFERROR($C387*INDEX(SPPR!$E:$X,MATCH($A387,SPPR!$A:$A,0),7),"")</f>
        <v/>
      </c>
      <c r="K387">
        <f>IFERROR($C387*INDEX(SPPR!$E:$X,MATCH($A387,SPPR!$A:$A,0),8),"")</f>
        <v/>
      </c>
      <c r="L387">
        <f>IFERROR($C387*INDEX(SPPR!$E:$X,MATCH($A387,SPPR!$A:$A,0),9),"")</f>
        <v/>
      </c>
      <c r="M387">
        <f>IFERROR($C387*INDEX(SPPR!$E:$X,MATCH($A387,SPPR!$A:$A,0),10),"")</f>
        <v/>
      </c>
      <c r="N387">
        <f>IFERROR($C387*INDEX(SPPR!$E:$X,MATCH($A387,SPPR!$A:$A,0),11),"")</f>
        <v/>
      </c>
      <c r="O387">
        <f>IFERROR($C387*INDEX(SPPR!$E:$X,MATCH($A387,SPPR!$A:$A,0),12),"")</f>
        <v/>
      </c>
      <c r="P387">
        <f>IFERROR($C387*INDEX(SPPR!$E:$X,MATCH($A387,SPPR!$A:$A,0),13),"")</f>
        <v/>
      </c>
      <c r="Q387">
        <f>IFERROR($C387*INDEX(SPPR!$E:$X,MATCH($A387,SPPR!$A:$A,0),14),"")</f>
        <v/>
      </c>
      <c r="R387">
        <f>IFERROR($C387*INDEX(SPPR!$E:$X,MATCH($A387,SPPR!$A:$A,0),15),"")</f>
        <v/>
      </c>
      <c r="S387">
        <f>IFERROR($C387*INDEX(SPPR!$E:$X,MATCH($A387,SPPR!$A:$A,0),16),"")</f>
        <v/>
      </c>
      <c r="T387">
        <f>IFERROR($C387*INDEX(SPPR!$E:$X,MATCH($A387,SPPR!$A:$A,0),17),"")</f>
        <v/>
      </c>
      <c r="U387">
        <f>IFERROR($C387*INDEX(SPPR!$E:$X,MATCH($A387,SPPR!$A:$A,0),18),"")</f>
        <v/>
      </c>
      <c r="V387">
        <f>IFERROR($C387*INDEX(SPPR!$E:$X,MATCH($A387,SPPR!$A:$A,0),19),"")</f>
        <v/>
      </c>
      <c r="W387">
        <f>IFERROR($C387*INDEX(SPPR!$E:$X,MATCH($A387,SPPR!$A:$A,0),20),"")</f>
        <v/>
      </c>
    </row>
    <row r="388">
      <c r="A388" t="inlineStr">
        <is>
          <t>Holothuria atra</t>
        </is>
      </c>
      <c r="B388">
        <f>IFERROR(INDEX(SPPR!$D:$D,MATCH($A388,SPPR!$A:$A,0)),"")</f>
        <v/>
      </c>
      <c r="C388">
        <f>IFERROR(INDEX(Catch!$E:$BV,MATCH($A388,Catch!$A:$A,0),MATCH($B$4,Catch!$E$1:$BV$1,0)),0)</f>
        <v/>
      </c>
      <c r="D388">
        <f>IFERROR($C388*INDEX(SPPR!$E:$X,MATCH($A388,SPPR!$A:$A,0),1),"")</f>
        <v/>
      </c>
      <c r="E388">
        <f>IFERROR($C388*INDEX(SPPR!$E:$X,MATCH($A388,SPPR!$A:$A,0),2),"")</f>
        <v/>
      </c>
      <c r="F388">
        <f>IFERROR($C388*INDEX(SPPR!$E:$X,MATCH($A388,SPPR!$A:$A,0),3),"")</f>
        <v/>
      </c>
      <c r="G388">
        <f>IFERROR($C388*INDEX(SPPR!$E:$X,MATCH($A388,SPPR!$A:$A,0),4),"")</f>
        <v/>
      </c>
      <c r="H388">
        <f>IFERROR($C388*INDEX(SPPR!$E:$X,MATCH($A388,SPPR!$A:$A,0),5),"")</f>
        <v/>
      </c>
      <c r="I388">
        <f>IFERROR($C388*INDEX(SPPR!$E:$X,MATCH($A388,SPPR!$A:$A,0),6),"")</f>
        <v/>
      </c>
      <c r="J388">
        <f>IFERROR($C388*INDEX(SPPR!$E:$X,MATCH($A388,SPPR!$A:$A,0),7),"")</f>
        <v/>
      </c>
      <c r="K388">
        <f>IFERROR($C388*INDEX(SPPR!$E:$X,MATCH($A388,SPPR!$A:$A,0),8),"")</f>
        <v/>
      </c>
      <c r="L388">
        <f>IFERROR($C388*INDEX(SPPR!$E:$X,MATCH($A388,SPPR!$A:$A,0),9),"")</f>
        <v/>
      </c>
      <c r="M388">
        <f>IFERROR($C388*INDEX(SPPR!$E:$X,MATCH($A388,SPPR!$A:$A,0),10),"")</f>
        <v/>
      </c>
      <c r="N388">
        <f>IFERROR($C388*INDEX(SPPR!$E:$X,MATCH($A388,SPPR!$A:$A,0),11),"")</f>
        <v/>
      </c>
      <c r="O388">
        <f>IFERROR($C388*INDEX(SPPR!$E:$X,MATCH($A388,SPPR!$A:$A,0),12),"")</f>
        <v/>
      </c>
      <c r="P388">
        <f>IFERROR($C388*INDEX(SPPR!$E:$X,MATCH($A388,SPPR!$A:$A,0),13),"")</f>
        <v/>
      </c>
      <c r="Q388">
        <f>IFERROR($C388*INDEX(SPPR!$E:$X,MATCH($A388,SPPR!$A:$A,0),14),"")</f>
        <v/>
      </c>
      <c r="R388">
        <f>IFERROR($C388*INDEX(SPPR!$E:$X,MATCH($A388,SPPR!$A:$A,0),15),"")</f>
        <v/>
      </c>
      <c r="S388">
        <f>IFERROR($C388*INDEX(SPPR!$E:$X,MATCH($A388,SPPR!$A:$A,0),16),"")</f>
        <v/>
      </c>
      <c r="T388">
        <f>IFERROR($C388*INDEX(SPPR!$E:$X,MATCH($A388,SPPR!$A:$A,0),17),"")</f>
        <v/>
      </c>
      <c r="U388">
        <f>IFERROR($C388*INDEX(SPPR!$E:$X,MATCH($A388,SPPR!$A:$A,0),18),"")</f>
        <v/>
      </c>
      <c r="V388">
        <f>IFERROR($C388*INDEX(SPPR!$E:$X,MATCH($A388,SPPR!$A:$A,0),19),"")</f>
        <v/>
      </c>
      <c r="W388">
        <f>IFERROR($C388*INDEX(SPPR!$E:$X,MATCH($A388,SPPR!$A:$A,0),20),"")</f>
        <v/>
      </c>
    </row>
    <row r="389">
      <c r="A389" t="inlineStr">
        <is>
          <t>Gempylidae</t>
        </is>
      </c>
      <c r="B389">
        <f>IFERROR(INDEX(SPPR!$D:$D,MATCH($A389,SPPR!$A:$A,0)),"")</f>
        <v/>
      </c>
      <c r="C389">
        <f>IFERROR(INDEX(Catch!$E:$BV,MATCH($A389,Catch!$A:$A,0),MATCH($B$4,Catch!$E$1:$BV$1,0)),0)</f>
        <v/>
      </c>
      <c r="D389">
        <f>IFERROR($C389*INDEX(SPPR!$E:$X,MATCH($A389,SPPR!$A:$A,0),1),"")</f>
        <v/>
      </c>
      <c r="E389">
        <f>IFERROR($C389*INDEX(SPPR!$E:$X,MATCH($A389,SPPR!$A:$A,0),2),"")</f>
        <v/>
      </c>
      <c r="F389">
        <f>IFERROR($C389*INDEX(SPPR!$E:$X,MATCH($A389,SPPR!$A:$A,0),3),"")</f>
        <v/>
      </c>
      <c r="G389">
        <f>IFERROR($C389*INDEX(SPPR!$E:$X,MATCH($A389,SPPR!$A:$A,0),4),"")</f>
        <v/>
      </c>
      <c r="H389">
        <f>IFERROR($C389*INDEX(SPPR!$E:$X,MATCH($A389,SPPR!$A:$A,0),5),"")</f>
        <v/>
      </c>
      <c r="I389">
        <f>IFERROR($C389*INDEX(SPPR!$E:$X,MATCH($A389,SPPR!$A:$A,0),6),"")</f>
        <v/>
      </c>
      <c r="J389">
        <f>IFERROR($C389*INDEX(SPPR!$E:$X,MATCH($A389,SPPR!$A:$A,0),7),"")</f>
        <v/>
      </c>
      <c r="K389">
        <f>IFERROR($C389*INDEX(SPPR!$E:$X,MATCH($A389,SPPR!$A:$A,0),8),"")</f>
        <v/>
      </c>
      <c r="L389">
        <f>IFERROR($C389*INDEX(SPPR!$E:$X,MATCH($A389,SPPR!$A:$A,0),9),"")</f>
        <v/>
      </c>
      <c r="M389">
        <f>IFERROR($C389*INDEX(SPPR!$E:$X,MATCH($A389,SPPR!$A:$A,0),10),"")</f>
        <v/>
      </c>
      <c r="N389">
        <f>IFERROR($C389*INDEX(SPPR!$E:$X,MATCH($A389,SPPR!$A:$A,0),11),"")</f>
        <v/>
      </c>
      <c r="O389">
        <f>IFERROR($C389*INDEX(SPPR!$E:$X,MATCH($A389,SPPR!$A:$A,0),12),"")</f>
        <v/>
      </c>
      <c r="P389">
        <f>IFERROR($C389*INDEX(SPPR!$E:$X,MATCH($A389,SPPR!$A:$A,0),13),"")</f>
        <v/>
      </c>
      <c r="Q389">
        <f>IFERROR($C389*INDEX(SPPR!$E:$X,MATCH($A389,SPPR!$A:$A,0),14),"")</f>
        <v/>
      </c>
      <c r="R389">
        <f>IFERROR($C389*INDEX(SPPR!$E:$X,MATCH($A389,SPPR!$A:$A,0),15),"")</f>
        <v/>
      </c>
      <c r="S389">
        <f>IFERROR($C389*INDEX(SPPR!$E:$X,MATCH($A389,SPPR!$A:$A,0),16),"")</f>
        <v/>
      </c>
      <c r="T389">
        <f>IFERROR($C389*INDEX(SPPR!$E:$X,MATCH($A389,SPPR!$A:$A,0),17),"")</f>
        <v/>
      </c>
      <c r="U389">
        <f>IFERROR($C389*INDEX(SPPR!$E:$X,MATCH($A389,SPPR!$A:$A,0),18),"")</f>
        <v/>
      </c>
      <c r="V389">
        <f>IFERROR($C389*INDEX(SPPR!$E:$X,MATCH($A389,SPPR!$A:$A,0),19),"")</f>
        <v/>
      </c>
      <c r="W389">
        <f>IFERROR($C389*INDEX(SPPR!$E:$X,MATCH($A389,SPPR!$A:$A,0),20),"")</f>
        <v/>
      </c>
    </row>
    <row r="390">
      <c r="A390" t="inlineStr">
        <is>
          <t>Macolor</t>
        </is>
      </c>
      <c r="B390">
        <f>IFERROR(INDEX(SPPR!$D:$D,MATCH($A390,SPPR!$A:$A,0)),"")</f>
        <v/>
      </c>
      <c r="C390">
        <f>IFERROR(INDEX(Catch!$E:$BV,MATCH($A390,Catch!$A:$A,0),MATCH($B$4,Catch!$E$1:$BV$1,0)),0)</f>
        <v/>
      </c>
      <c r="D390">
        <f>IFERROR($C390*INDEX(SPPR!$E:$X,MATCH($A390,SPPR!$A:$A,0),1),"")</f>
        <v/>
      </c>
      <c r="E390">
        <f>IFERROR($C390*INDEX(SPPR!$E:$X,MATCH($A390,SPPR!$A:$A,0),2),"")</f>
        <v/>
      </c>
      <c r="F390">
        <f>IFERROR($C390*INDEX(SPPR!$E:$X,MATCH($A390,SPPR!$A:$A,0),3),"")</f>
        <v/>
      </c>
      <c r="G390">
        <f>IFERROR($C390*INDEX(SPPR!$E:$X,MATCH($A390,SPPR!$A:$A,0),4),"")</f>
        <v/>
      </c>
      <c r="H390">
        <f>IFERROR($C390*INDEX(SPPR!$E:$X,MATCH($A390,SPPR!$A:$A,0),5),"")</f>
        <v/>
      </c>
      <c r="I390">
        <f>IFERROR($C390*INDEX(SPPR!$E:$X,MATCH($A390,SPPR!$A:$A,0),6),"")</f>
        <v/>
      </c>
      <c r="J390">
        <f>IFERROR($C390*INDEX(SPPR!$E:$X,MATCH($A390,SPPR!$A:$A,0),7),"")</f>
        <v/>
      </c>
      <c r="K390">
        <f>IFERROR($C390*INDEX(SPPR!$E:$X,MATCH($A390,SPPR!$A:$A,0),8),"")</f>
        <v/>
      </c>
      <c r="L390">
        <f>IFERROR($C390*INDEX(SPPR!$E:$X,MATCH($A390,SPPR!$A:$A,0),9),"")</f>
        <v/>
      </c>
      <c r="M390">
        <f>IFERROR($C390*INDEX(SPPR!$E:$X,MATCH($A390,SPPR!$A:$A,0),10),"")</f>
        <v/>
      </c>
      <c r="N390">
        <f>IFERROR($C390*INDEX(SPPR!$E:$X,MATCH($A390,SPPR!$A:$A,0),11),"")</f>
        <v/>
      </c>
      <c r="O390">
        <f>IFERROR($C390*INDEX(SPPR!$E:$X,MATCH($A390,SPPR!$A:$A,0),12),"")</f>
        <v/>
      </c>
      <c r="P390">
        <f>IFERROR($C390*INDEX(SPPR!$E:$X,MATCH($A390,SPPR!$A:$A,0),13),"")</f>
        <v/>
      </c>
      <c r="Q390">
        <f>IFERROR($C390*INDEX(SPPR!$E:$X,MATCH($A390,SPPR!$A:$A,0),14),"")</f>
        <v/>
      </c>
      <c r="R390">
        <f>IFERROR($C390*INDEX(SPPR!$E:$X,MATCH($A390,SPPR!$A:$A,0),15),"")</f>
        <v/>
      </c>
      <c r="S390">
        <f>IFERROR($C390*INDEX(SPPR!$E:$X,MATCH($A390,SPPR!$A:$A,0),16),"")</f>
        <v/>
      </c>
      <c r="T390">
        <f>IFERROR($C390*INDEX(SPPR!$E:$X,MATCH($A390,SPPR!$A:$A,0),17),"")</f>
        <v/>
      </c>
      <c r="U390">
        <f>IFERROR($C390*INDEX(SPPR!$E:$X,MATCH($A390,SPPR!$A:$A,0),18),"")</f>
        <v/>
      </c>
      <c r="V390">
        <f>IFERROR($C390*INDEX(SPPR!$E:$X,MATCH($A390,SPPR!$A:$A,0),19),"")</f>
        <v/>
      </c>
      <c r="W390">
        <f>IFERROR($C390*INDEX(SPPR!$E:$X,MATCH($A390,SPPR!$A:$A,0),20),"")</f>
        <v/>
      </c>
    </row>
    <row r="391">
      <c r="A391" t="inlineStr">
        <is>
          <t>Gerres oblongus</t>
        </is>
      </c>
      <c r="B391">
        <f>IFERROR(INDEX(SPPR!$D:$D,MATCH($A391,SPPR!$A:$A,0)),"")</f>
        <v/>
      </c>
      <c r="C391">
        <f>IFERROR(INDEX(Catch!$E:$BV,MATCH($A391,Catch!$A:$A,0),MATCH($B$4,Catch!$E$1:$BV$1,0)),0)</f>
        <v/>
      </c>
      <c r="D391">
        <f>IFERROR($C391*INDEX(SPPR!$E:$X,MATCH($A391,SPPR!$A:$A,0),1),"")</f>
        <v/>
      </c>
      <c r="E391">
        <f>IFERROR($C391*INDEX(SPPR!$E:$X,MATCH($A391,SPPR!$A:$A,0),2),"")</f>
        <v/>
      </c>
      <c r="F391">
        <f>IFERROR($C391*INDEX(SPPR!$E:$X,MATCH($A391,SPPR!$A:$A,0),3),"")</f>
        <v/>
      </c>
      <c r="G391">
        <f>IFERROR($C391*INDEX(SPPR!$E:$X,MATCH($A391,SPPR!$A:$A,0),4),"")</f>
        <v/>
      </c>
      <c r="H391">
        <f>IFERROR($C391*INDEX(SPPR!$E:$X,MATCH($A391,SPPR!$A:$A,0),5),"")</f>
        <v/>
      </c>
      <c r="I391">
        <f>IFERROR($C391*INDEX(SPPR!$E:$X,MATCH($A391,SPPR!$A:$A,0),6),"")</f>
        <v/>
      </c>
      <c r="J391">
        <f>IFERROR($C391*INDEX(SPPR!$E:$X,MATCH($A391,SPPR!$A:$A,0),7),"")</f>
        <v/>
      </c>
      <c r="K391">
        <f>IFERROR($C391*INDEX(SPPR!$E:$X,MATCH($A391,SPPR!$A:$A,0),8),"")</f>
        <v/>
      </c>
      <c r="L391">
        <f>IFERROR($C391*INDEX(SPPR!$E:$X,MATCH($A391,SPPR!$A:$A,0),9),"")</f>
        <v/>
      </c>
      <c r="M391">
        <f>IFERROR($C391*INDEX(SPPR!$E:$X,MATCH($A391,SPPR!$A:$A,0),10),"")</f>
        <v/>
      </c>
      <c r="N391">
        <f>IFERROR($C391*INDEX(SPPR!$E:$X,MATCH($A391,SPPR!$A:$A,0),11),"")</f>
        <v/>
      </c>
      <c r="O391">
        <f>IFERROR($C391*INDEX(SPPR!$E:$X,MATCH($A391,SPPR!$A:$A,0),12),"")</f>
        <v/>
      </c>
      <c r="P391">
        <f>IFERROR($C391*INDEX(SPPR!$E:$X,MATCH($A391,SPPR!$A:$A,0),13),"")</f>
        <v/>
      </c>
      <c r="Q391">
        <f>IFERROR($C391*INDEX(SPPR!$E:$X,MATCH($A391,SPPR!$A:$A,0),14),"")</f>
        <v/>
      </c>
      <c r="R391">
        <f>IFERROR($C391*INDEX(SPPR!$E:$X,MATCH($A391,SPPR!$A:$A,0),15),"")</f>
        <v/>
      </c>
      <c r="S391">
        <f>IFERROR($C391*INDEX(SPPR!$E:$X,MATCH($A391,SPPR!$A:$A,0),16),"")</f>
        <v/>
      </c>
      <c r="T391">
        <f>IFERROR($C391*INDEX(SPPR!$E:$X,MATCH($A391,SPPR!$A:$A,0),17),"")</f>
        <v/>
      </c>
      <c r="U391">
        <f>IFERROR($C391*INDEX(SPPR!$E:$X,MATCH($A391,SPPR!$A:$A,0),18),"")</f>
        <v/>
      </c>
      <c r="V391">
        <f>IFERROR($C391*INDEX(SPPR!$E:$X,MATCH($A391,SPPR!$A:$A,0),19),"")</f>
        <v/>
      </c>
      <c r="W391">
        <f>IFERROR($C391*INDEX(SPPR!$E:$X,MATCH($A391,SPPR!$A:$A,0),20),"")</f>
        <v/>
      </c>
    </row>
    <row r="392">
      <c r="A392" t="inlineStr">
        <is>
          <t>Zeidae</t>
        </is>
      </c>
      <c r="B392">
        <f>IFERROR(INDEX(SPPR!$D:$D,MATCH($A392,SPPR!$A:$A,0)),"")</f>
        <v/>
      </c>
      <c r="C392">
        <f>IFERROR(INDEX(Catch!$E:$BV,MATCH($A392,Catch!$A:$A,0),MATCH($B$4,Catch!$E$1:$BV$1,0)),0)</f>
        <v/>
      </c>
      <c r="D392">
        <f>IFERROR($C392*INDEX(SPPR!$E:$X,MATCH($A392,SPPR!$A:$A,0),1),"")</f>
        <v/>
      </c>
      <c r="E392">
        <f>IFERROR($C392*INDEX(SPPR!$E:$X,MATCH($A392,SPPR!$A:$A,0),2),"")</f>
        <v/>
      </c>
      <c r="F392">
        <f>IFERROR($C392*INDEX(SPPR!$E:$X,MATCH($A392,SPPR!$A:$A,0),3),"")</f>
        <v/>
      </c>
      <c r="G392">
        <f>IFERROR($C392*INDEX(SPPR!$E:$X,MATCH($A392,SPPR!$A:$A,0),4),"")</f>
        <v/>
      </c>
      <c r="H392">
        <f>IFERROR($C392*INDEX(SPPR!$E:$X,MATCH($A392,SPPR!$A:$A,0),5),"")</f>
        <v/>
      </c>
      <c r="I392">
        <f>IFERROR($C392*INDEX(SPPR!$E:$X,MATCH($A392,SPPR!$A:$A,0),6),"")</f>
        <v/>
      </c>
      <c r="J392">
        <f>IFERROR($C392*INDEX(SPPR!$E:$X,MATCH($A392,SPPR!$A:$A,0),7),"")</f>
        <v/>
      </c>
      <c r="K392">
        <f>IFERROR($C392*INDEX(SPPR!$E:$X,MATCH($A392,SPPR!$A:$A,0),8),"")</f>
        <v/>
      </c>
      <c r="L392">
        <f>IFERROR($C392*INDEX(SPPR!$E:$X,MATCH($A392,SPPR!$A:$A,0),9),"")</f>
        <v/>
      </c>
      <c r="M392">
        <f>IFERROR($C392*INDEX(SPPR!$E:$X,MATCH($A392,SPPR!$A:$A,0),10),"")</f>
        <v/>
      </c>
      <c r="N392">
        <f>IFERROR($C392*INDEX(SPPR!$E:$X,MATCH($A392,SPPR!$A:$A,0),11),"")</f>
        <v/>
      </c>
      <c r="O392">
        <f>IFERROR($C392*INDEX(SPPR!$E:$X,MATCH($A392,SPPR!$A:$A,0),12),"")</f>
        <v/>
      </c>
      <c r="P392">
        <f>IFERROR($C392*INDEX(SPPR!$E:$X,MATCH($A392,SPPR!$A:$A,0),13),"")</f>
        <v/>
      </c>
      <c r="Q392">
        <f>IFERROR($C392*INDEX(SPPR!$E:$X,MATCH($A392,SPPR!$A:$A,0),14),"")</f>
        <v/>
      </c>
      <c r="R392">
        <f>IFERROR($C392*INDEX(SPPR!$E:$X,MATCH($A392,SPPR!$A:$A,0),15),"")</f>
        <v/>
      </c>
      <c r="S392">
        <f>IFERROR($C392*INDEX(SPPR!$E:$X,MATCH($A392,SPPR!$A:$A,0),16),"")</f>
        <v/>
      </c>
      <c r="T392">
        <f>IFERROR($C392*INDEX(SPPR!$E:$X,MATCH($A392,SPPR!$A:$A,0),17),"")</f>
        <v/>
      </c>
      <c r="U392">
        <f>IFERROR($C392*INDEX(SPPR!$E:$X,MATCH($A392,SPPR!$A:$A,0),18),"")</f>
        <v/>
      </c>
      <c r="V392">
        <f>IFERROR($C392*INDEX(SPPR!$E:$X,MATCH($A392,SPPR!$A:$A,0),19),"")</f>
        <v/>
      </c>
      <c r="W392">
        <f>IFERROR($C392*INDEX(SPPR!$E:$X,MATCH($A392,SPPR!$A:$A,0),20),"")</f>
        <v/>
      </c>
    </row>
    <row r="393">
      <c r="A393" t="inlineStr">
        <is>
          <t>Holothuriidae</t>
        </is>
      </c>
      <c r="B393">
        <f>IFERROR(INDEX(SPPR!$D:$D,MATCH($A393,SPPR!$A:$A,0)),"")</f>
        <v/>
      </c>
      <c r="C393">
        <f>IFERROR(INDEX(Catch!$E:$BV,MATCH($A393,Catch!$A:$A,0),MATCH($B$4,Catch!$E$1:$BV$1,0)),0)</f>
        <v/>
      </c>
      <c r="D393">
        <f>IFERROR($C393*INDEX(SPPR!$E:$X,MATCH($A393,SPPR!$A:$A,0),1),"")</f>
        <v/>
      </c>
      <c r="E393">
        <f>IFERROR($C393*INDEX(SPPR!$E:$X,MATCH($A393,SPPR!$A:$A,0),2),"")</f>
        <v/>
      </c>
      <c r="F393">
        <f>IFERROR($C393*INDEX(SPPR!$E:$X,MATCH($A393,SPPR!$A:$A,0),3),"")</f>
        <v/>
      </c>
      <c r="G393">
        <f>IFERROR($C393*INDEX(SPPR!$E:$X,MATCH($A393,SPPR!$A:$A,0),4),"")</f>
        <v/>
      </c>
      <c r="H393">
        <f>IFERROR($C393*INDEX(SPPR!$E:$X,MATCH($A393,SPPR!$A:$A,0),5),"")</f>
        <v/>
      </c>
      <c r="I393">
        <f>IFERROR($C393*INDEX(SPPR!$E:$X,MATCH($A393,SPPR!$A:$A,0),6),"")</f>
        <v/>
      </c>
      <c r="J393">
        <f>IFERROR($C393*INDEX(SPPR!$E:$X,MATCH($A393,SPPR!$A:$A,0),7),"")</f>
        <v/>
      </c>
      <c r="K393">
        <f>IFERROR($C393*INDEX(SPPR!$E:$X,MATCH($A393,SPPR!$A:$A,0),8),"")</f>
        <v/>
      </c>
      <c r="L393">
        <f>IFERROR($C393*INDEX(SPPR!$E:$X,MATCH($A393,SPPR!$A:$A,0),9),"")</f>
        <v/>
      </c>
      <c r="M393">
        <f>IFERROR($C393*INDEX(SPPR!$E:$X,MATCH($A393,SPPR!$A:$A,0),10),"")</f>
        <v/>
      </c>
      <c r="N393">
        <f>IFERROR($C393*INDEX(SPPR!$E:$X,MATCH($A393,SPPR!$A:$A,0),11),"")</f>
        <v/>
      </c>
      <c r="O393">
        <f>IFERROR($C393*INDEX(SPPR!$E:$X,MATCH($A393,SPPR!$A:$A,0),12),"")</f>
        <v/>
      </c>
      <c r="P393">
        <f>IFERROR($C393*INDEX(SPPR!$E:$X,MATCH($A393,SPPR!$A:$A,0),13),"")</f>
        <v/>
      </c>
      <c r="Q393">
        <f>IFERROR($C393*INDEX(SPPR!$E:$X,MATCH($A393,SPPR!$A:$A,0),14),"")</f>
        <v/>
      </c>
      <c r="R393">
        <f>IFERROR($C393*INDEX(SPPR!$E:$X,MATCH($A393,SPPR!$A:$A,0),15),"")</f>
        <v/>
      </c>
      <c r="S393">
        <f>IFERROR($C393*INDEX(SPPR!$E:$X,MATCH($A393,SPPR!$A:$A,0),16),"")</f>
        <v/>
      </c>
      <c r="T393">
        <f>IFERROR($C393*INDEX(SPPR!$E:$X,MATCH($A393,SPPR!$A:$A,0),17),"")</f>
        <v/>
      </c>
      <c r="U393">
        <f>IFERROR($C393*INDEX(SPPR!$E:$X,MATCH($A393,SPPR!$A:$A,0),18),"")</f>
        <v/>
      </c>
      <c r="V393">
        <f>IFERROR($C393*INDEX(SPPR!$E:$X,MATCH($A393,SPPR!$A:$A,0),19),"")</f>
        <v/>
      </c>
      <c r="W393">
        <f>IFERROR($C393*INDEX(SPPR!$E:$X,MATCH($A393,SPPR!$A:$A,0),20),"")</f>
        <v/>
      </c>
    </row>
    <row r="394">
      <c r="A394" t="inlineStr">
        <is>
          <t>Pomacentridae</t>
        </is>
      </c>
      <c r="B394">
        <f>IFERROR(INDEX(SPPR!$D:$D,MATCH($A394,SPPR!$A:$A,0)),"")</f>
        <v/>
      </c>
      <c r="C394">
        <f>IFERROR(INDEX(Catch!$E:$BV,MATCH($A394,Catch!$A:$A,0),MATCH($B$4,Catch!$E$1:$BV$1,0)),0)</f>
        <v/>
      </c>
      <c r="D394">
        <f>IFERROR($C394*INDEX(SPPR!$E:$X,MATCH($A394,SPPR!$A:$A,0),1),"")</f>
        <v/>
      </c>
      <c r="E394">
        <f>IFERROR($C394*INDEX(SPPR!$E:$X,MATCH($A394,SPPR!$A:$A,0),2),"")</f>
        <v/>
      </c>
      <c r="F394">
        <f>IFERROR($C394*INDEX(SPPR!$E:$X,MATCH($A394,SPPR!$A:$A,0),3),"")</f>
        <v/>
      </c>
      <c r="G394">
        <f>IFERROR($C394*INDEX(SPPR!$E:$X,MATCH($A394,SPPR!$A:$A,0),4),"")</f>
        <v/>
      </c>
      <c r="H394">
        <f>IFERROR($C394*INDEX(SPPR!$E:$X,MATCH($A394,SPPR!$A:$A,0),5),"")</f>
        <v/>
      </c>
      <c r="I394">
        <f>IFERROR($C394*INDEX(SPPR!$E:$X,MATCH($A394,SPPR!$A:$A,0),6),"")</f>
        <v/>
      </c>
      <c r="J394">
        <f>IFERROR($C394*INDEX(SPPR!$E:$X,MATCH($A394,SPPR!$A:$A,0),7),"")</f>
        <v/>
      </c>
      <c r="K394">
        <f>IFERROR($C394*INDEX(SPPR!$E:$X,MATCH($A394,SPPR!$A:$A,0),8),"")</f>
        <v/>
      </c>
      <c r="L394">
        <f>IFERROR($C394*INDEX(SPPR!$E:$X,MATCH($A394,SPPR!$A:$A,0),9),"")</f>
        <v/>
      </c>
      <c r="M394">
        <f>IFERROR($C394*INDEX(SPPR!$E:$X,MATCH($A394,SPPR!$A:$A,0),10),"")</f>
        <v/>
      </c>
      <c r="N394">
        <f>IFERROR($C394*INDEX(SPPR!$E:$X,MATCH($A394,SPPR!$A:$A,0),11),"")</f>
        <v/>
      </c>
      <c r="O394">
        <f>IFERROR($C394*INDEX(SPPR!$E:$X,MATCH($A394,SPPR!$A:$A,0),12),"")</f>
        <v/>
      </c>
      <c r="P394">
        <f>IFERROR($C394*INDEX(SPPR!$E:$X,MATCH($A394,SPPR!$A:$A,0),13),"")</f>
        <v/>
      </c>
      <c r="Q394">
        <f>IFERROR($C394*INDEX(SPPR!$E:$X,MATCH($A394,SPPR!$A:$A,0),14),"")</f>
        <v/>
      </c>
      <c r="R394">
        <f>IFERROR($C394*INDEX(SPPR!$E:$X,MATCH($A394,SPPR!$A:$A,0),15),"")</f>
        <v/>
      </c>
      <c r="S394">
        <f>IFERROR($C394*INDEX(SPPR!$E:$X,MATCH($A394,SPPR!$A:$A,0),16),"")</f>
        <v/>
      </c>
      <c r="T394">
        <f>IFERROR($C394*INDEX(SPPR!$E:$X,MATCH($A394,SPPR!$A:$A,0),17),"")</f>
        <v/>
      </c>
      <c r="U394">
        <f>IFERROR($C394*INDEX(SPPR!$E:$X,MATCH($A394,SPPR!$A:$A,0),18),"")</f>
        <v/>
      </c>
      <c r="V394">
        <f>IFERROR($C394*INDEX(SPPR!$E:$X,MATCH($A394,SPPR!$A:$A,0),19),"")</f>
        <v/>
      </c>
      <c r="W394">
        <f>IFERROR($C394*INDEX(SPPR!$E:$X,MATCH($A394,SPPR!$A:$A,0),20),"")</f>
        <v/>
      </c>
    </row>
    <row r="395">
      <c r="A395" t="inlineStr">
        <is>
          <t>Platycaranx talamparoides</t>
        </is>
      </c>
      <c r="B395">
        <f>IFERROR(INDEX(SPPR!$D:$D,MATCH($A395,SPPR!$A:$A,0)),"")</f>
        <v/>
      </c>
      <c r="C395">
        <f>IFERROR(INDEX(Catch!$E:$BV,MATCH($A395,Catch!$A:$A,0),MATCH($B$4,Catch!$E$1:$BV$1,0)),0)</f>
        <v/>
      </c>
      <c r="D395">
        <f>IFERROR($C395*INDEX(SPPR!$E:$X,MATCH($A395,SPPR!$A:$A,0),1),"")</f>
        <v/>
      </c>
      <c r="E395">
        <f>IFERROR($C395*INDEX(SPPR!$E:$X,MATCH($A395,SPPR!$A:$A,0),2),"")</f>
        <v/>
      </c>
      <c r="F395">
        <f>IFERROR($C395*INDEX(SPPR!$E:$X,MATCH($A395,SPPR!$A:$A,0),3),"")</f>
        <v/>
      </c>
      <c r="G395">
        <f>IFERROR($C395*INDEX(SPPR!$E:$X,MATCH($A395,SPPR!$A:$A,0),4),"")</f>
        <v/>
      </c>
      <c r="H395">
        <f>IFERROR($C395*INDEX(SPPR!$E:$X,MATCH($A395,SPPR!$A:$A,0),5),"")</f>
        <v/>
      </c>
      <c r="I395">
        <f>IFERROR($C395*INDEX(SPPR!$E:$X,MATCH($A395,SPPR!$A:$A,0),6),"")</f>
        <v/>
      </c>
      <c r="J395">
        <f>IFERROR($C395*INDEX(SPPR!$E:$X,MATCH($A395,SPPR!$A:$A,0),7),"")</f>
        <v/>
      </c>
      <c r="K395">
        <f>IFERROR($C395*INDEX(SPPR!$E:$X,MATCH($A395,SPPR!$A:$A,0),8),"")</f>
        <v/>
      </c>
      <c r="L395">
        <f>IFERROR($C395*INDEX(SPPR!$E:$X,MATCH($A395,SPPR!$A:$A,0),9),"")</f>
        <v/>
      </c>
      <c r="M395">
        <f>IFERROR($C395*INDEX(SPPR!$E:$X,MATCH($A395,SPPR!$A:$A,0),10),"")</f>
        <v/>
      </c>
      <c r="N395">
        <f>IFERROR($C395*INDEX(SPPR!$E:$X,MATCH($A395,SPPR!$A:$A,0),11),"")</f>
        <v/>
      </c>
      <c r="O395">
        <f>IFERROR($C395*INDEX(SPPR!$E:$X,MATCH($A395,SPPR!$A:$A,0),12),"")</f>
        <v/>
      </c>
      <c r="P395">
        <f>IFERROR($C395*INDEX(SPPR!$E:$X,MATCH($A395,SPPR!$A:$A,0),13),"")</f>
        <v/>
      </c>
      <c r="Q395">
        <f>IFERROR($C395*INDEX(SPPR!$E:$X,MATCH($A395,SPPR!$A:$A,0),14),"")</f>
        <v/>
      </c>
      <c r="R395">
        <f>IFERROR($C395*INDEX(SPPR!$E:$X,MATCH($A395,SPPR!$A:$A,0),15),"")</f>
        <v/>
      </c>
      <c r="S395">
        <f>IFERROR($C395*INDEX(SPPR!$E:$X,MATCH($A395,SPPR!$A:$A,0),16),"")</f>
        <v/>
      </c>
      <c r="T395">
        <f>IFERROR($C395*INDEX(SPPR!$E:$X,MATCH($A395,SPPR!$A:$A,0),17),"")</f>
        <v/>
      </c>
      <c r="U395">
        <f>IFERROR($C395*INDEX(SPPR!$E:$X,MATCH($A395,SPPR!$A:$A,0),18),"")</f>
        <v/>
      </c>
      <c r="V395">
        <f>IFERROR($C395*INDEX(SPPR!$E:$X,MATCH($A395,SPPR!$A:$A,0),19),"")</f>
        <v/>
      </c>
      <c r="W395">
        <f>IFERROR($C395*INDEX(SPPR!$E:$X,MATCH($A395,SPPR!$A:$A,0),20),"")</f>
        <v/>
      </c>
    </row>
    <row r="396">
      <c r="A396" t="inlineStr">
        <is>
          <t>Tetrapturus angustirostris</t>
        </is>
      </c>
      <c r="B396">
        <f>IFERROR(INDEX(SPPR!$D:$D,MATCH($A396,SPPR!$A:$A,0)),"")</f>
        <v/>
      </c>
      <c r="C396">
        <f>IFERROR(INDEX(Catch!$E:$BV,MATCH($A396,Catch!$A:$A,0),MATCH($B$4,Catch!$E$1:$BV$1,0)),0)</f>
        <v/>
      </c>
      <c r="D396">
        <f>IFERROR($C396*INDEX(SPPR!$E:$X,MATCH($A396,SPPR!$A:$A,0),1),"")</f>
        <v/>
      </c>
      <c r="E396">
        <f>IFERROR($C396*INDEX(SPPR!$E:$X,MATCH($A396,SPPR!$A:$A,0),2),"")</f>
        <v/>
      </c>
      <c r="F396">
        <f>IFERROR($C396*INDEX(SPPR!$E:$X,MATCH($A396,SPPR!$A:$A,0),3),"")</f>
        <v/>
      </c>
      <c r="G396">
        <f>IFERROR($C396*INDEX(SPPR!$E:$X,MATCH($A396,SPPR!$A:$A,0),4),"")</f>
        <v/>
      </c>
      <c r="H396">
        <f>IFERROR($C396*INDEX(SPPR!$E:$X,MATCH($A396,SPPR!$A:$A,0),5),"")</f>
        <v/>
      </c>
      <c r="I396">
        <f>IFERROR($C396*INDEX(SPPR!$E:$X,MATCH($A396,SPPR!$A:$A,0),6),"")</f>
        <v/>
      </c>
      <c r="J396">
        <f>IFERROR($C396*INDEX(SPPR!$E:$X,MATCH($A396,SPPR!$A:$A,0),7),"")</f>
        <v/>
      </c>
      <c r="K396">
        <f>IFERROR($C396*INDEX(SPPR!$E:$X,MATCH($A396,SPPR!$A:$A,0),8),"")</f>
        <v/>
      </c>
      <c r="L396">
        <f>IFERROR($C396*INDEX(SPPR!$E:$X,MATCH($A396,SPPR!$A:$A,0),9),"")</f>
        <v/>
      </c>
      <c r="M396">
        <f>IFERROR($C396*INDEX(SPPR!$E:$X,MATCH($A396,SPPR!$A:$A,0),10),"")</f>
        <v/>
      </c>
      <c r="N396">
        <f>IFERROR($C396*INDEX(SPPR!$E:$X,MATCH($A396,SPPR!$A:$A,0),11),"")</f>
        <v/>
      </c>
      <c r="O396">
        <f>IFERROR($C396*INDEX(SPPR!$E:$X,MATCH($A396,SPPR!$A:$A,0),12),"")</f>
        <v/>
      </c>
      <c r="P396">
        <f>IFERROR($C396*INDEX(SPPR!$E:$X,MATCH($A396,SPPR!$A:$A,0),13),"")</f>
        <v/>
      </c>
      <c r="Q396">
        <f>IFERROR($C396*INDEX(SPPR!$E:$X,MATCH($A396,SPPR!$A:$A,0),14),"")</f>
        <v/>
      </c>
      <c r="R396">
        <f>IFERROR($C396*INDEX(SPPR!$E:$X,MATCH($A396,SPPR!$A:$A,0),15),"")</f>
        <v/>
      </c>
      <c r="S396">
        <f>IFERROR($C396*INDEX(SPPR!$E:$X,MATCH($A396,SPPR!$A:$A,0),16),"")</f>
        <v/>
      </c>
      <c r="T396">
        <f>IFERROR($C396*INDEX(SPPR!$E:$X,MATCH($A396,SPPR!$A:$A,0),17),"")</f>
        <v/>
      </c>
      <c r="U396">
        <f>IFERROR($C396*INDEX(SPPR!$E:$X,MATCH($A396,SPPR!$A:$A,0),18),"")</f>
        <v/>
      </c>
      <c r="V396">
        <f>IFERROR($C396*INDEX(SPPR!$E:$X,MATCH($A396,SPPR!$A:$A,0),19),"")</f>
        <v/>
      </c>
      <c r="W396">
        <f>IFERROR($C396*INDEX(SPPR!$E:$X,MATCH($A396,SPPR!$A:$A,0),20),"")</f>
        <v/>
      </c>
    </row>
    <row r="397">
      <c r="A397" t="inlineStr">
        <is>
          <t>Maculabatis gerrardi</t>
        </is>
      </c>
      <c r="B397">
        <f>IFERROR(INDEX(SPPR!$D:$D,MATCH($A397,SPPR!$A:$A,0)),"")</f>
        <v/>
      </c>
      <c r="C397">
        <f>IFERROR(INDEX(Catch!$E:$BV,MATCH($A397,Catch!$A:$A,0),MATCH($B$4,Catch!$E$1:$BV$1,0)),0)</f>
        <v/>
      </c>
      <c r="D397">
        <f>IFERROR($C397*INDEX(SPPR!$E:$X,MATCH($A397,SPPR!$A:$A,0),1),"")</f>
        <v/>
      </c>
      <c r="E397">
        <f>IFERROR($C397*INDEX(SPPR!$E:$X,MATCH($A397,SPPR!$A:$A,0),2),"")</f>
        <v/>
      </c>
      <c r="F397">
        <f>IFERROR($C397*INDEX(SPPR!$E:$X,MATCH($A397,SPPR!$A:$A,0),3),"")</f>
        <v/>
      </c>
      <c r="G397">
        <f>IFERROR($C397*INDEX(SPPR!$E:$X,MATCH($A397,SPPR!$A:$A,0),4),"")</f>
        <v/>
      </c>
      <c r="H397">
        <f>IFERROR($C397*INDEX(SPPR!$E:$X,MATCH($A397,SPPR!$A:$A,0),5),"")</f>
        <v/>
      </c>
      <c r="I397">
        <f>IFERROR($C397*INDEX(SPPR!$E:$X,MATCH($A397,SPPR!$A:$A,0),6),"")</f>
        <v/>
      </c>
      <c r="J397">
        <f>IFERROR($C397*INDEX(SPPR!$E:$X,MATCH($A397,SPPR!$A:$A,0),7),"")</f>
        <v/>
      </c>
      <c r="K397">
        <f>IFERROR($C397*INDEX(SPPR!$E:$X,MATCH($A397,SPPR!$A:$A,0),8),"")</f>
        <v/>
      </c>
      <c r="L397">
        <f>IFERROR($C397*INDEX(SPPR!$E:$X,MATCH($A397,SPPR!$A:$A,0),9),"")</f>
        <v/>
      </c>
      <c r="M397">
        <f>IFERROR($C397*INDEX(SPPR!$E:$X,MATCH($A397,SPPR!$A:$A,0),10),"")</f>
        <v/>
      </c>
      <c r="N397">
        <f>IFERROR($C397*INDEX(SPPR!$E:$X,MATCH($A397,SPPR!$A:$A,0),11),"")</f>
        <v/>
      </c>
      <c r="O397">
        <f>IFERROR($C397*INDEX(SPPR!$E:$X,MATCH($A397,SPPR!$A:$A,0),12),"")</f>
        <v/>
      </c>
      <c r="P397">
        <f>IFERROR($C397*INDEX(SPPR!$E:$X,MATCH($A397,SPPR!$A:$A,0),13),"")</f>
        <v/>
      </c>
      <c r="Q397">
        <f>IFERROR($C397*INDEX(SPPR!$E:$X,MATCH($A397,SPPR!$A:$A,0),14),"")</f>
        <v/>
      </c>
      <c r="R397">
        <f>IFERROR($C397*INDEX(SPPR!$E:$X,MATCH($A397,SPPR!$A:$A,0),15),"")</f>
        <v/>
      </c>
      <c r="S397">
        <f>IFERROR($C397*INDEX(SPPR!$E:$X,MATCH($A397,SPPR!$A:$A,0),16),"")</f>
        <v/>
      </c>
      <c r="T397">
        <f>IFERROR($C397*INDEX(SPPR!$E:$X,MATCH($A397,SPPR!$A:$A,0),17),"")</f>
        <v/>
      </c>
      <c r="U397">
        <f>IFERROR($C397*INDEX(SPPR!$E:$X,MATCH($A397,SPPR!$A:$A,0),18),"")</f>
        <v/>
      </c>
      <c r="V397">
        <f>IFERROR($C397*INDEX(SPPR!$E:$X,MATCH($A397,SPPR!$A:$A,0),19),"")</f>
        <v/>
      </c>
      <c r="W397">
        <f>IFERROR($C397*INDEX(SPPR!$E:$X,MATCH($A397,SPPR!$A:$A,0),20),"")</f>
        <v/>
      </c>
    </row>
    <row r="398">
      <c r="A398" t="inlineStr">
        <is>
          <t>Decapterus macarellus</t>
        </is>
      </c>
      <c r="B398">
        <f>IFERROR(INDEX(SPPR!$D:$D,MATCH($A398,SPPR!$A:$A,0)),"")</f>
        <v/>
      </c>
      <c r="C398">
        <f>IFERROR(INDEX(Catch!$E:$BV,MATCH($A398,Catch!$A:$A,0),MATCH($B$4,Catch!$E$1:$BV$1,0)),0)</f>
        <v/>
      </c>
      <c r="D398">
        <f>IFERROR($C398*INDEX(SPPR!$E:$X,MATCH($A398,SPPR!$A:$A,0),1),"")</f>
        <v/>
      </c>
      <c r="E398">
        <f>IFERROR($C398*INDEX(SPPR!$E:$X,MATCH($A398,SPPR!$A:$A,0),2),"")</f>
        <v/>
      </c>
      <c r="F398">
        <f>IFERROR($C398*INDEX(SPPR!$E:$X,MATCH($A398,SPPR!$A:$A,0),3),"")</f>
        <v/>
      </c>
      <c r="G398">
        <f>IFERROR($C398*INDEX(SPPR!$E:$X,MATCH($A398,SPPR!$A:$A,0),4),"")</f>
        <v/>
      </c>
      <c r="H398">
        <f>IFERROR($C398*INDEX(SPPR!$E:$X,MATCH($A398,SPPR!$A:$A,0),5),"")</f>
        <v/>
      </c>
      <c r="I398">
        <f>IFERROR($C398*INDEX(SPPR!$E:$X,MATCH($A398,SPPR!$A:$A,0),6),"")</f>
        <v/>
      </c>
      <c r="J398">
        <f>IFERROR($C398*INDEX(SPPR!$E:$X,MATCH($A398,SPPR!$A:$A,0),7),"")</f>
        <v/>
      </c>
      <c r="K398">
        <f>IFERROR($C398*INDEX(SPPR!$E:$X,MATCH($A398,SPPR!$A:$A,0),8),"")</f>
        <v/>
      </c>
      <c r="L398">
        <f>IFERROR($C398*INDEX(SPPR!$E:$X,MATCH($A398,SPPR!$A:$A,0),9),"")</f>
        <v/>
      </c>
      <c r="M398">
        <f>IFERROR($C398*INDEX(SPPR!$E:$X,MATCH($A398,SPPR!$A:$A,0),10),"")</f>
        <v/>
      </c>
      <c r="N398">
        <f>IFERROR($C398*INDEX(SPPR!$E:$X,MATCH($A398,SPPR!$A:$A,0),11),"")</f>
        <v/>
      </c>
      <c r="O398">
        <f>IFERROR($C398*INDEX(SPPR!$E:$X,MATCH($A398,SPPR!$A:$A,0),12),"")</f>
        <v/>
      </c>
      <c r="P398">
        <f>IFERROR($C398*INDEX(SPPR!$E:$X,MATCH($A398,SPPR!$A:$A,0),13),"")</f>
        <v/>
      </c>
      <c r="Q398">
        <f>IFERROR($C398*INDEX(SPPR!$E:$X,MATCH($A398,SPPR!$A:$A,0),14),"")</f>
        <v/>
      </c>
      <c r="R398">
        <f>IFERROR($C398*INDEX(SPPR!$E:$X,MATCH($A398,SPPR!$A:$A,0),15),"")</f>
        <v/>
      </c>
      <c r="S398">
        <f>IFERROR($C398*INDEX(SPPR!$E:$X,MATCH($A398,SPPR!$A:$A,0),16),"")</f>
        <v/>
      </c>
      <c r="T398">
        <f>IFERROR($C398*INDEX(SPPR!$E:$X,MATCH($A398,SPPR!$A:$A,0),17),"")</f>
        <v/>
      </c>
      <c r="U398">
        <f>IFERROR($C398*INDEX(SPPR!$E:$X,MATCH($A398,SPPR!$A:$A,0),18),"")</f>
        <v/>
      </c>
      <c r="V398">
        <f>IFERROR($C398*INDEX(SPPR!$E:$X,MATCH($A398,SPPR!$A:$A,0),19),"")</f>
        <v/>
      </c>
      <c r="W398">
        <f>IFERROR($C398*INDEX(SPPR!$E:$X,MATCH($A398,SPPR!$A:$A,0),20),"")</f>
        <v/>
      </c>
    </row>
    <row r="399">
      <c r="A399" t="inlineStr">
        <is>
          <t>Epinephelus polyphekadion</t>
        </is>
      </c>
      <c r="B399">
        <f>IFERROR(INDEX(SPPR!$D:$D,MATCH($A399,SPPR!$A:$A,0)),"")</f>
        <v/>
      </c>
      <c r="C399">
        <f>IFERROR(INDEX(Catch!$E:$BV,MATCH($A399,Catch!$A:$A,0),MATCH($B$4,Catch!$E$1:$BV$1,0)),0)</f>
        <v/>
      </c>
      <c r="D399">
        <f>IFERROR($C399*INDEX(SPPR!$E:$X,MATCH($A399,SPPR!$A:$A,0),1),"")</f>
        <v/>
      </c>
      <c r="E399">
        <f>IFERROR($C399*INDEX(SPPR!$E:$X,MATCH($A399,SPPR!$A:$A,0),2),"")</f>
        <v/>
      </c>
      <c r="F399">
        <f>IFERROR($C399*INDEX(SPPR!$E:$X,MATCH($A399,SPPR!$A:$A,0),3),"")</f>
        <v/>
      </c>
      <c r="G399">
        <f>IFERROR($C399*INDEX(SPPR!$E:$X,MATCH($A399,SPPR!$A:$A,0),4),"")</f>
        <v/>
      </c>
      <c r="H399">
        <f>IFERROR($C399*INDEX(SPPR!$E:$X,MATCH($A399,SPPR!$A:$A,0),5),"")</f>
        <v/>
      </c>
      <c r="I399">
        <f>IFERROR($C399*INDEX(SPPR!$E:$X,MATCH($A399,SPPR!$A:$A,0),6),"")</f>
        <v/>
      </c>
      <c r="J399">
        <f>IFERROR($C399*INDEX(SPPR!$E:$X,MATCH($A399,SPPR!$A:$A,0),7),"")</f>
        <v/>
      </c>
      <c r="K399">
        <f>IFERROR($C399*INDEX(SPPR!$E:$X,MATCH($A399,SPPR!$A:$A,0),8),"")</f>
        <v/>
      </c>
      <c r="L399">
        <f>IFERROR($C399*INDEX(SPPR!$E:$X,MATCH($A399,SPPR!$A:$A,0),9),"")</f>
        <v/>
      </c>
      <c r="M399">
        <f>IFERROR($C399*INDEX(SPPR!$E:$X,MATCH($A399,SPPR!$A:$A,0),10),"")</f>
        <v/>
      </c>
      <c r="N399">
        <f>IFERROR($C399*INDEX(SPPR!$E:$X,MATCH($A399,SPPR!$A:$A,0),11),"")</f>
        <v/>
      </c>
      <c r="O399">
        <f>IFERROR($C399*INDEX(SPPR!$E:$X,MATCH($A399,SPPR!$A:$A,0),12),"")</f>
        <v/>
      </c>
      <c r="P399">
        <f>IFERROR($C399*INDEX(SPPR!$E:$X,MATCH($A399,SPPR!$A:$A,0),13),"")</f>
        <v/>
      </c>
      <c r="Q399">
        <f>IFERROR($C399*INDEX(SPPR!$E:$X,MATCH($A399,SPPR!$A:$A,0),14),"")</f>
        <v/>
      </c>
      <c r="R399">
        <f>IFERROR($C399*INDEX(SPPR!$E:$X,MATCH($A399,SPPR!$A:$A,0),15),"")</f>
        <v/>
      </c>
      <c r="S399">
        <f>IFERROR($C399*INDEX(SPPR!$E:$X,MATCH($A399,SPPR!$A:$A,0),16),"")</f>
        <v/>
      </c>
      <c r="T399">
        <f>IFERROR($C399*INDEX(SPPR!$E:$X,MATCH($A399,SPPR!$A:$A,0),17),"")</f>
        <v/>
      </c>
      <c r="U399">
        <f>IFERROR($C399*INDEX(SPPR!$E:$X,MATCH($A399,SPPR!$A:$A,0),18),"")</f>
        <v/>
      </c>
      <c r="V399">
        <f>IFERROR($C399*INDEX(SPPR!$E:$X,MATCH($A399,SPPR!$A:$A,0),19),"")</f>
        <v/>
      </c>
      <c r="W399">
        <f>IFERROR($C399*INDEX(SPPR!$E:$X,MATCH($A399,SPPR!$A:$A,0),20),"")</f>
        <v/>
      </c>
    </row>
    <row r="400">
      <c r="A400" t="inlineStr">
        <is>
          <t>Holothuria fuscogilva</t>
        </is>
      </c>
      <c r="B400">
        <f>IFERROR(INDEX(SPPR!$D:$D,MATCH($A400,SPPR!$A:$A,0)),"")</f>
        <v/>
      </c>
      <c r="C400">
        <f>IFERROR(INDEX(Catch!$E:$BV,MATCH($A400,Catch!$A:$A,0),MATCH($B$4,Catch!$E$1:$BV$1,0)),0)</f>
        <v/>
      </c>
      <c r="D400">
        <f>IFERROR($C400*INDEX(SPPR!$E:$X,MATCH($A400,SPPR!$A:$A,0),1),"")</f>
        <v/>
      </c>
      <c r="E400">
        <f>IFERROR($C400*INDEX(SPPR!$E:$X,MATCH($A400,SPPR!$A:$A,0),2),"")</f>
        <v/>
      </c>
      <c r="F400">
        <f>IFERROR($C400*INDEX(SPPR!$E:$X,MATCH($A400,SPPR!$A:$A,0),3),"")</f>
        <v/>
      </c>
      <c r="G400">
        <f>IFERROR($C400*INDEX(SPPR!$E:$X,MATCH($A400,SPPR!$A:$A,0),4),"")</f>
        <v/>
      </c>
      <c r="H400">
        <f>IFERROR($C400*INDEX(SPPR!$E:$X,MATCH($A400,SPPR!$A:$A,0),5),"")</f>
        <v/>
      </c>
      <c r="I400">
        <f>IFERROR($C400*INDEX(SPPR!$E:$X,MATCH($A400,SPPR!$A:$A,0),6),"")</f>
        <v/>
      </c>
      <c r="J400">
        <f>IFERROR($C400*INDEX(SPPR!$E:$X,MATCH($A400,SPPR!$A:$A,0),7),"")</f>
        <v/>
      </c>
      <c r="K400">
        <f>IFERROR($C400*INDEX(SPPR!$E:$X,MATCH($A400,SPPR!$A:$A,0),8),"")</f>
        <v/>
      </c>
      <c r="L400">
        <f>IFERROR($C400*INDEX(SPPR!$E:$X,MATCH($A400,SPPR!$A:$A,0),9),"")</f>
        <v/>
      </c>
      <c r="M400">
        <f>IFERROR($C400*INDEX(SPPR!$E:$X,MATCH($A400,SPPR!$A:$A,0),10),"")</f>
        <v/>
      </c>
      <c r="N400">
        <f>IFERROR($C400*INDEX(SPPR!$E:$X,MATCH($A400,SPPR!$A:$A,0),11),"")</f>
        <v/>
      </c>
      <c r="O400">
        <f>IFERROR($C400*INDEX(SPPR!$E:$X,MATCH($A400,SPPR!$A:$A,0),12),"")</f>
        <v/>
      </c>
      <c r="P400">
        <f>IFERROR($C400*INDEX(SPPR!$E:$X,MATCH($A400,SPPR!$A:$A,0),13),"")</f>
        <v/>
      </c>
      <c r="Q400">
        <f>IFERROR($C400*INDEX(SPPR!$E:$X,MATCH($A400,SPPR!$A:$A,0),14),"")</f>
        <v/>
      </c>
      <c r="R400">
        <f>IFERROR($C400*INDEX(SPPR!$E:$X,MATCH($A400,SPPR!$A:$A,0),15),"")</f>
        <v/>
      </c>
      <c r="S400">
        <f>IFERROR($C400*INDEX(SPPR!$E:$X,MATCH($A400,SPPR!$A:$A,0),16),"")</f>
        <v/>
      </c>
      <c r="T400">
        <f>IFERROR($C400*INDEX(SPPR!$E:$X,MATCH($A400,SPPR!$A:$A,0),17),"")</f>
        <v/>
      </c>
      <c r="U400">
        <f>IFERROR($C400*INDEX(SPPR!$E:$X,MATCH($A400,SPPR!$A:$A,0),18),"")</f>
        <v/>
      </c>
      <c r="V400">
        <f>IFERROR($C400*INDEX(SPPR!$E:$X,MATCH($A400,SPPR!$A:$A,0),19),"")</f>
        <v/>
      </c>
      <c r="W400">
        <f>IFERROR($C400*INDEX(SPPR!$E:$X,MATCH($A400,SPPR!$A:$A,0),20),"")</f>
        <v/>
      </c>
    </row>
    <row r="401">
      <c r="A401" t="inlineStr">
        <is>
          <t>Thunnus</t>
        </is>
      </c>
      <c r="B401">
        <f>IFERROR(INDEX(SPPR!$D:$D,MATCH($A401,SPPR!$A:$A,0)),"")</f>
        <v/>
      </c>
      <c r="C401">
        <f>IFERROR(INDEX(Catch!$E:$BV,MATCH($A401,Catch!$A:$A,0),MATCH($B$4,Catch!$E$1:$BV$1,0)),0)</f>
        <v/>
      </c>
      <c r="D401">
        <f>IFERROR($C401*INDEX(SPPR!$E:$X,MATCH($A401,SPPR!$A:$A,0),1),"")</f>
        <v/>
      </c>
      <c r="E401">
        <f>IFERROR($C401*INDEX(SPPR!$E:$X,MATCH($A401,SPPR!$A:$A,0),2),"")</f>
        <v/>
      </c>
      <c r="F401">
        <f>IFERROR($C401*INDEX(SPPR!$E:$X,MATCH($A401,SPPR!$A:$A,0),3),"")</f>
        <v/>
      </c>
      <c r="G401">
        <f>IFERROR($C401*INDEX(SPPR!$E:$X,MATCH($A401,SPPR!$A:$A,0),4),"")</f>
        <v/>
      </c>
      <c r="H401">
        <f>IFERROR($C401*INDEX(SPPR!$E:$X,MATCH($A401,SPPR!$A:$A,0),5),"")</f>
        <v/>
      </c>
      <c r="I401">
        <f>IFERROR($C401*INDEX(SPPR!$E:$X,MATCH($A401,SPPR!$A:$A,0),6),"")</f>
        <v/>
      </c>
      <c r="J401">
        <f>IFERROR($C401*INDEX(SPPR!$E:$X,MATCH($A401,SPPR!$A:$A,0),7),"")</f>
        <v/>
      </c>
      <c r="K401">
        <f>IFERROR($C401*INDEX(SPPR!$E:$X,MATCH($A401,SPPR!$A:$A,0),8),"")</f>
        <v/>
      </c>
      <c r="L401">
        <f>IFERROR($C401*INDEX(SPPR!$E:$X,MATCH($A401,SPPR!$A:$A,0),9),"")</f>
        <v/>
      </c>
      <c r="M401">
        <f>IFERROR($C401*INDEX(SPPR!$E:$X,MATCH($A401,SPPR!$A:$A,0),10),"")</f>
        <v/>
      </c>
      <c r="N401">
        <f>IFERROR($C401*INDEX(SPPR!$E:$X,MATCH($A401,SPPR!$A:$A,0),11),"")</f>
        <v/>
      </c>
      <c r="O401">
        <f>IFERROR($C401*INDEX(SPPR!$E:$X,MATCH($A401,SPPR!$A:$A,0),12),"")</f>
        <v/>
      </c>
      <c r="P401">
        <f>IFERROR($C401*INDEX(SPPR!$E:$X,MATCH($A401,SPPR!$A:$A,0),13),"")</f>
        <v/>
      </c>
      <c r="Q401">
        <f>IFERROR($C401*INDEX(SPPR!$E:$X,MATCH($A401,SPPR!$A:$A,0),14),"")</f>
        <v/>
      </c>
      <c r="R401">
        <f>IFERROR($C401*INDEX(SPPR!$E:$X,MATCH($A401,SPPR!$A:$A,0),15),"")</f>
        <v/>
      </c>
      <c r="S401">
        <f>IFERROR($C401*INDEX(SPPR!$E:$X,MATCH($A401,SPPR!$A:$A,0),16),"")</f>
        <v/>
      </c>
      <c r="T401">
        <f>IFERROR($C401*INDEX(SPPR!$E:$X,MATCH($A401,SPPR!$A:$A,0),17),"")</f>
        <v/>
      </c>
      <c r="U401">
        <f>IFERROR($C401*INDEX(SPPR!$E:$X,MATCH($A401,SPPR!$A:$A,0),18),"")</f>
        <v/>
      </c>
      <c r="V401">
        <f>IFERROR($C401*INDEX(SPPR!$E:$X,MATCH($A401,SPPR!$A:$A,0),19),"")</f>
        <v/>
      </c>
      <c r="W401">
        <f>IFERROR($C401*INDEX(SPPR!$E:$X,MATCH($A401,SPPR!$A:$A,0),20),"")</f>
        <v/>
      </c>
    </row>
    <row r="402">
      <c r="A402" t="inlineStr">
        <is>
          <t>Myctophidae</t>
        </is>
      </c>
      <c r="B402">
        <f>IFERROR(INDEX(SPPR!$D:$D,MATCH($A402,SPPR!$A:$A,0)),"")</f>
        <v/>
      </c>
      <c r="C402">
        <f>IFERROR(INDEX(Catch!$E:$BV,MATCH($A402,Catch!$A:$A,0),MATCH($B$4,Catch!$E$1:$BV$1,0)),0)</f>
        <v/>
      </c>
      <c r="D402">
        <f>IFERROR($C402*INDEX(SPPR!$E:$X,MATCH($A402,SPPR!$A:$A,0),1),"")</f>
        <v/>
      </c>
      <c r="E402">
        <f>IFERROR($C402*INDEX(SPPR!$E:$X,MATCH($A402,SPPR!$A:$A,0),2),"")</f>
        <v/>
      </c>
      <c r="F402">
        <f>IFERROR($C402*INDEX(SPPR!$E:$X,MATCH($A402,SPPR!$A:$A,0),3),"")</f>
        <v/>
      </c>
      <c r="G402">
        <f>IFERROR($C402*INDEX(SPPR!$E:$X,MATCH($A402,SPPR!$A:$A,0),4),"")</f>
        <v/>
      </c>
      <c r="H402">
        <f>IFERROR($C402*INDEX(SPPR!$E:$X,MATCH($A402,SPPR!$A:$A,0),5),"")</f>
        <v/>
      </c>
      <c r="I402">
        <f>IFERROR($C402*INDEX(SPPR!$E:$X,MATCH($A402,SPPR!$A:$A,0),6),"")</f>
        <v/>
      </c>
      <c r="J402">
        <f>IFERROR($C402*INDEX(SPPR!$E:$X,MATCH($A402,SPPR!$A:$A,0),7),"")</f>
        <v/>
      </c>
      <c r="K402">
        <f>IFERROR($C402*INDEX(SPPR!$E:$X,MATCH($A402,SPPR!$A:$A,0),8),"")</f>
        <v/>
      </c>
      <c r="L402">
        <f>IFERROR($C402*INDEX(SPPR!$E:$X,MATCH($A402,SPPR!$A:$A,0),9),"")</f>
        <v/>
      </c>
      <c r="M402">
        <f>IFERROR($C402*INDEX(SPPR!$E:$X,MATCH($A402,SPPR!$A:$A,0),10),"")</f>
        <v/>
      </c>
      <c r="N402">
        <f>IFERROR($C402*INDEX(SPPR!$E:$X,MATCH($A402,SPPR!$A:$A,0),11),"")</f>
        <v/>
      </c>
      <c r="O402">
        <f>IFERROR($C402*INDEX(SPPR!$E:$X,MATCH($A402,SPPR!$A:$A,0),12),"")</f>
        <v/>
      </c>
      <c r="P402">
        <f>IFERROR($C402*INDEX(SPPR!$E:$X,MATCH($A402,SPPR!$A:$A,0),13),"")</f>
        <v/>
      </c>
      <c r="Q402">
        <f>IFERROR($C402*INDEX(SPPR!$E:$X,MATCH($A402,SPPR!$A:$A,0),14),"")</f>
        <v/>
      </c>
      <c r="R402">
        <f>IFERROR($C402*INDEX(SPPR!$E:$X,MATCH($A402,SPPR!$A:$A,0),15),"")</f>
        <v/>
      </c>
      <c r="S402">
        <f>IFERROR($C402*INDEX(SPPR!$E:$X,MATCH($A402,SPPR!$A:$A,0),16),"")</f>
        <v/>
      </c>
      <c r="T402">
        <f>IFERROR($C402*INDEX(SPPR!$E:$X,MATCH($A402,SPPR!$A:$A,0),17),"")</f>
        <v/>
      </c>
      <c r="U402">
        <f>IFERROR($C402*INDEX(SPPR!$E:$X,MATCH($A402,SPPR!$A:$A,0),18),"")</f>
        <v/>
      </c>
      <c r="V402">
        <f>IFERROR($C402*INDEX(SPPR!$E:$X,MATCH($A402,SPPR!$A:$A,0),19),"")</f>
        <v/>
      </c>
      <c r="W402">
        <f>IFERROR($C402*INDEX(SPPR!$E:$X,MATCH($A402,SPPR!$A:$A,0),20),"")</f>
        <v/>
      </c>
    </row>
    <row r="403">
      <c r="A403" t="inlineStr">
        <is>
          <t>Pristipomoides</t>
        </is>
      </c>
      <c r="B403">
        <f>IFERROR(INDEX(SPPR!$D:$D,MATCH($A403,SPPR!$A:$A,0)),"")</f>
        <v/>
      </c>
      <c r="C403">
        <f>IFERROR(INDEX(Catch!$E:$BV,MATCH($A403,Catch!$A:$A,0),MATCH($B$4,Catch!$E$1:$BV$1,0)),0)</f>
        <v/>
      </c>
      <c r="D403">
        <f>IFERROR($C403*INDEX(SPPR!$E:$X,MATCH($A403,SPPR!$A:$A,0),1),"")</f>
        <v/>
      </c>
      <c r="E403">
        <f>IFERROR($C403*INDEX(SPPR!$E:$X,MATCH($A403,SPPR!$A:$A,0),2),"")</f>
        <v/>
      </c>
      <c r="F403">
        <f>IFERROR($C403*INDEX(SPPR!$E:$X,MATCH($A403,SPPR!$A:$A,0),3),"")</f>
        <v/>
      </c>
      <c r="G403">
        <f>IFERROR($C403*INDEX(SPPR!$E:$X,MATCH($A403,SPPR!$A:$A,0),4),"")</f>
        <v/>
      </c>
      <c r="H403">
        <f>IFERROR($C403*INDEX(SPPR!$E:$X,MATCH($A403,SPPR!$A:$A,0),5),"")</f>
        <v/>
      </c>
      <c r="I403">
        <f>IFERROR($C403*INDEX(SPPR!$E:$X,MATCH($A403,SPPR!$A:$A,0),6),"")</f>
        <v/>
      </c>
      <c r="J403">
        <f>IFERROR($C403*INDEX(SPPR!$E:$X,MATCH($A403,SPPR!$A:$A,0),7),"")</f>
        <v/>
      </c>
      <c r="K403">
        <f>IFERROR($C403*INDEX(SPPR!$E:$X,MATCH($A403,SPPR!$A:$A,0),8),"")</f>
        <v/>
      </c>
      <c r="L403">
        <f>IFERROR($C403*INDEX(SPPR!$E:$X,MATCH($A403,SPPR!$A:$A,0),9),"")</f>
        <v/>
      </c>
      <c r="M403">
        <f>IFERROR($C403*INDEX(SPPR!$E:$X,MATCH($A403,SPPR!$A:$A,0),10),"")</f>
        <v/>
      </c>
      <c r="N403">
        <f>IFERROR($C403*INDEX(SPPR!$E:$X,MATCH($A403,SPPR!$A:$A,0),11),"")</f>
        <v/>
      </c>
      <c r="O403">
        <f>IFERROR($C403*INDEX(SPPR!$E:$X,MATCH($A403,SPPR!$A:$A,0),12),"")</f>
        <v/>
      </c>
      <c r="P403">
        <f>IFERROR($C403*INDEX(SPPR!$E:$X,MATCH($A403,SPPR!$A:$A,0),13),"")</f>
        <v/>
      </c>
      <c r="Q403">
        <f>IFERROR($C403*INDEX(SPPR!$E:$X,MATCH($A403,SPPR!$A:$A,0),14),"")</f>
        <v/>
      </c>
      <c r="R403">
        <f>IFERROR($C403*INDEX(SPPR!$E:$X,MATCH($A403,SPPR!$A:$A,0),15),"")</f>
        <v/>
      </c>
      <c r="S403">
        <f>IFERROR($C403*INDEX(SPPR!$E:$X,MATCH($A403,SPPR!$A:$A,0),16),"")</f>
        <v/>
      </c>
      <c r="T403">
        <f>IFERROR($C403*INDEX(SPPR!$E:$X,MATCH($A403,SPPR!$A:$A,0),17),"")</f>
        <v/>
      </c>
      <c r="U403">
        <f>IFERROR($C403*INDEX(SPPR!$E:$X,MATCH($A403,SPPR!$A:$A,0),18),"")</f>
        <v/>
      </c>
      <c r="V403">
        <f>IFERROR($C403*INDEX(SPPR!$E:$X,MATCH($A403,SPPR!$A:$A,0),19),"")</f>
        <v/>
      </c>
      <c r="W403">
        <f>IFERROR($C403*INDEX(SPPR!$E:$X,MATCH($A403,SPPR!$A:$A,0),20),"")</f>
        <v/>
      </c>
    </row>
    <row r="404">
      <c r="A404" t="inlineStr">
        <is>
          <t>Bothidae</t>
        </is>
      </c>
      <c r="B404">
        <f>IFERROR(INDEX(SPPR!$D:$D,MATCH($A404,SPPR!$A:$A,0)),"")</f>
        <v/>
      </c>
      <c r="C404">
        <f>IFERROR(INDEX(Catch!$E:$BV,MATCH($A404,Catch!$A:$A,0),MATCH($B$4,Catch!$E$1:$BV$1,0)),0)</f>
        <v/>
      </c>
      <c r="D404">
        <f>IFERROR($C404*INDEX(SPPR!$E:$X,MATCH($A404,SPPR!$A:$A,0),1),"")</f>
        <v/>
      </c>
      <c r="E404">
        <f>IFERROR($C404*INDEX(SPPR!$E:$X,MATCH($A404,SPPR!$A:$A,0),2),"")</f>
        <v/>
      </c>
      <c r="F404">
        <f>IFERROR($C404*INDEX(SPPR!$E:$X,MATCH($A404,SPPR!$A:$A,0),3),"")</f>
        <v/>
      </c>
      <c r="G404">
        <f>IFERROR($C404*INDEX(SPPR!$E:$X,MATCH($A404,SPPR!$A:$A,0),4),"")</f>
        <v/>
      </c>
      <c r="H404">
        <f>IFERROR($C404*INDEX(SPPR!$E:$X,MATCH($A404,SPPR!$A:$A,0),5),"")</f>
        <v/>
      </c>
      <c r="I404">
        <f>IFERROR($C404*INDEX(SPPR!$E:$X,MATCH($A404,SPPR!$A:$A,0),6),"")</f>
        <v/>
      </c>
      <c r="J404">
        <f>IFERROR($C404*INDEX(SPPR!$E:$X,MATCH($A404,SPPR!$A:$A,0),7),"")</f>
        <v/>
      </c>
      <c r="K404">
        <f>IFERROR($C404*INDEX(SPPR!$E:$X,MATCH($A404,SPPR!$A:$A,0),8),"")</f>
        <v/>
      </c>
      <c r="L404">
        <f>IFERROR($C404*INDEX(SPPR!$E:$X,MATCH($A404,SPPR!$A:$A,0),9),"")</f>
        <v/>
      </c>
      <c r="M404">
        <f>IFERROR($C404*INDEX(SPPR!$E:$X,MATCH($A404,SPPR!$A:$A,0),10),"")</f>
        <v/>
      </c>
      <c r="N404">
        <f>IFERROR($C404*INDEX(SPPR!$E:$X,MATCH($A404,SPPR!$A:$A,0),11),"")</f>
        <v/>
      </c>
      <c r="O404">
        <f>IFERROR($C404*INDEX(SPPR!$E:$X,MATCH($A404,SPPR!$A:$A,0),12),"")</f>
        <v/>
      </c>
      <c r="P404">
        <f>IFERROR($C404*INDEX(SPPR!$E:$X,MATCH($A404,SPPR!$A:$A,0),13),"")</f>
        <v/>
      </c>
      <c r="Q404">
        <f>IFERROR($C404*INDEX(SPPR!$E:$X,MATCH($A404,SPPR!$A:$A,0),14),"")</f>
        <v/>
      </c>
      <c r="R404">
        <f>IFERROR($C404*INDEX(SPPR!$E:$X,MATCH($A404,SPPR!$A:$A,0),15),"")</f>
        <v/>
      </c>
      <c r="S404">
        <f>IFERROR($C404*INDEX(SPPR!$E:$X,MATCH($A404,SPPR!$A:$A,0),16),"")</f>
        <v/>
      </c>
      <c r="T404">
        <f>IFERROR($C404*INDEX(SPPR!$E:$X,MATCH($A404,SPPR!$A:$A,0),17),"")</f>
        <v/>
      </c>
      <c r="U404">
        <f>IFERROR($C404*INDEX(SPPR!$E:$X,MATCH($A404,SPPR!$A:$A,0),18),"")</f>
        <v/>
      </c>
      <c r="V404">
        <f>IFERROR($C404*INDEX(SPPR!$E:$X,MATCH($A404,SPPR!$A:$A,0),19),"")</f>
        <v/>
      </c>
      <c r="W404">
        <f>IFERROR($C404*INDEX(SPPR!$E:$X,MATCH($A404,SPPR!$A:$A,0),20),"")</f>
        <v/>
      </c>
    </row>
    <row r="405">
      <c r="A405" t="inlineStr">
        <is>
          <t>Holothuria edulis</t>
        </is>
      </c>
      <c r="B405">
        <f>IFERROR(INDEX(SPPR!$D:$D,MATCH($A405,SPPR!$A:$A,0)),"")</f>
        <v/>
      </c>
      <c r="C405">
        <f>IFERROR(INDEX(Catch!$E:$BV,MATCH($A405,Catch!$A:$A,0),MATCH($B$4,Catch!$E$1:$BV$1,0)),0)</f>
        <v/>
      </c>
      <c r="D405">
        <f>IFERROR($C405*INDEX(SPPR!$E:$X,MATCH($A405,SPPR!$A:$A,0),1),"")</f>
        <v/>
      </c>
      <c r="E405">
        <f>IFERROR($C405*INDEX(SPPR!$E:$X,MATCH($A405,SPPR!$A:$A,0),2),"")</f>
        <v/>
      </c>
      <c r="F405">
        <f>IFERROR($C405*INDEX(SPPR!$E:$X,MATCH($A405,SPPR!$A:$A,0),3),"")</f>
        <v/>
      </c>
      <c r="G405">
        <f>IFERROR($C405*INDEX(SPPR!$E:$X,MATCH($A405,SPPR!$A:$A,0),4),"")</f>
        <v/>
      </c>
      <c r="H405">
        <f>IFERROR($C405*INDEX(SPPR!$E:$X,MATCH($A405,SPPR!$A:$A,0),5),"")</f>
        <v/>
      </c>
      <c r="I405">
        <f>IFERROR($C405*INDEX(SPPR!$E:$X,MATCH($A405,SPPR!$A:$A,0),6),"")</f>
        <v/>
      </c>
      <c r="J405">
        <f>IFERROR($C405*INDEX(SPPR!$E:$X,MATCH($A405,SPPR!$A:$A,0),7),"")</f>
        <v/>
      </c>
      <c r="K405">
        <f>IFERROR($C405*INDEX(SPPR!$E:$X,MATCH($A405,SPPR!$A:$A,0),8),"")</f>
        <v/>
      </c>
      <c r="L405">
        <f>IFERROR($C405*INDEX(SPPR!$E:$X,MATCH($A405,SPPR!$A:$A,0),9),"")</f>
        <v/>
      </c>
      <c r="M405">
        <f>IFERROR($C405*INDEX(SPPR!$E:$X,MATCH($A405,SPPR!$A:$A,0),10),"")</f>
        <v/>
      </c>
      <c r="N405">
        <f>IFERROR($C405*INDEX(SPPR!$E:$X,MATCH($A405,SPPR!$A:$A,0),11),"")</f>
        <v/>
      </c>
      <c r="O405">
        <f>IFERROR($C405*INDEX(SPPR!$E:$X,MATCH($A405,SPPR!$A:$A,0),12),"")</f>
        <v/>
      </c>
      <c r="P405">
        <f>IFERROR($C405*INDEX(SPPR!$E:$X,MATCH($A405,SPPR!$A:$A,0),13),"")</f>
        <v/>
      </c>
      <c r="Q405">
        <f>IFERROR($C405*INDEX(SPPR!$E:$X,MATCH($A405,SPPR!$A:$A,0),14),"")</f>
        <v/>
      </c>
      <c r="R405">
        <f>IFERROR($C405*INDEX(SPPR!$E:$X,MATCH($A405,SPPR!$A:$A,0),15),"")</f>
        <v/>
      </c>
      <c r="S405">
        <f>IFERROR($C405*INDEX(SPPR!$E:$X,MATCH($A405,SPPR!$A:$A,0),16),"")</f>
        <v/>
      </c>
      <c r="T405">
        <f>IFERROR($C405*INDEX(SPPR!$E:$X,MATCH($A405,SPPR!$A:$A,0),17),"")</f>
        <v/>
      </c>
      <c r="U405">
        <f>IFERROR($C405*INDEX(SPPR!$E:$X,MATCH($A405,SPPR!$A:$A,0),18),"")</f>
        <v/>
      </c>
      <c r="V405">
        <f>IFERROR($C405*INDEX(SPPR!$E:$X,MATCH($A405,SPPR!$A:$A,0),19),"")</f>
        <v/>
      </c>
      <c r="W405">
        <f>IFERROR($C405*INDEX(SPPR!$E:$X,MATCH($A405,SPPR!$A:$A,0),20),"")</f>
        <v/>
      </c>
    </row>
    <row r="406">
      <c r="A406" t="inlineStr">
        <is>
          <t>Holothuria fuscopunctata</t>
        </is>
      </c>
      <c r="B406">
        <f>IFERROR(INDEX(SPPR!$D:$D,MATCH($A406,SPPR!$A:$A,0)),"")</f>
        <v/>
      </c>
      <c r="C406">
        <f>IFERROR(INDEX(Catch!$E:$BV,MATCH($A406,Catch!$A:$A,0),MATCH($B$4,Catch!$E$1:$BV$1,0)),0)</f>
        <v/>
      </c>
      <c r="D406">
        <f>IFERROR($C406*INDEX(SPPR!$E:$X,MATCH($A406,SPPR!$A:$A,0),1),"")</f>
        <v/>
      </c>
      <c r="E406">
        <f>IFERROR($C406*INDEX(SPPR!$E:$X,MATCH($A406,SPPR!$A:$A,0),2),"")</f>
        <v/>
      </c>
      <c r="F406">
        <f>IFERROR($C406*INDEX(SPPR!$E:$X,MATCH($A406,SPPR!$A:$A,0),3),"")</f>
        <v/>
      </c>
      <c r="G406">
        <f>IFERROR($C406*INDEX(SPPR!$E:$X,MATCH($A406,SPPR!$A:$A,0),4),"")</f>
        <v/>
      </c>
      <c r="H406">
        <f>IFERROR($C406*INDEX(SPPR!$E:$X,MATCH($A406,SPPR!$A:$A,0),5),"")</f>
        <v/>
      </c>
      <c r="I406">
        <f>IFERROR($C406*INDEX(SPPR!$E:$X,MATCH($A406,SPPR!$A:$A,0),6),"")</f>
        <v/>
      </c>
      <c r="J406">
        <f>IFERROR($C406*INDEX(SPPR!$E:$X,MATCH($A406,SPPR!$A:$A,0),7),"")</f>
        <v/>
      </c>
      <c r="K406">
        <f>IFERROR($C406*INDEX(SPPR!$E:$X,MATCH($A406,SPPR!$A:$A,0),8),"")</f>
        <v/>
      </c>
      <c r="L406">
        <f>IFERROR($C406*INDEX(SPPR!$E:$X,MATCH($A406,SPPR!$A:$A,0),9),"")</f>
        <v/>
      </c>
      <c r="M406">
        <f>IFERROR($C406*INDEX(SPPR!$E:$X,MATCH($A406,SPPR!$A:$A,0),10),"")</f>
        <v/>
      </c>
      <c r="N406">
        <f>IFERROR($C406*INDEX(SPPR!$E:$X,MATCH($A406,SPPR!$A:$A,0),11),"")</f>
        <v/>
      </c>
      <c r="O406">
        <f>IFERROR($C406*INDEX(SPPR!$E:$X,MATCH($A406,SPPR!$A:$A,0),12),"")</f>
        <v/>
      </c>
      <c r="P406">
        <f>IFERROR($C406*INDEX(SPPR!$E:$X,MATCH($A406,SPPR!$A:$A,0),13),"")</f>
        <v/>
      </c>
      <c r="Q406">
        <f>IFERROR($C406*INDEX(SPPR!$E:$X,MATCH($A406,SPPR!$A:$A,0),14),"")</f>
        <v/>
      </c>
      <c r="R406">
        <f>IFERROR($C406*INDEX(SPPR!$E:$X,MATCH($A406,SPPR!$A:$A,0),15),"")</f>
        <v/>
      </c>
      <c r="S406">
        <f>IFERROR($C406*INDEX(SPPR!$E:$X,MATCH($A406,SPPR!$A:$A,0),16),"")</f>
        <v/>
      </c>
      <c r="T406">
        <f>IFERROR($C406*INDEX(SPPR!$E:$X,MATCH($A406,SPPR!$A:$A,0),17),"")</f>
        <v/>
      </c>
      <c r="U406">
        <f>IFERROR($C406*INDEX(SPPR!$E:$X,MATCH($A406,SPPR!$A:$A,0),18),"")</f>
        <v/>
      </c>
      <c r="V406">
        <f>IFERROR($C406*INDEX(SPPR!$E:$X,MATCH($A406,SPPR!$A:$A,0),19),"")</f>
        <v/>
      </c>
      <c r="W406">
        <f>IFERROR($C406*INDEX(SPPR!$E:$X,MATCH($A406,SPPR!$A:$A,0),20),"")</f>
        <v/>
      </c>
    </row>
    <row r="407">
      <c r="A407" t="inlineStr">
        <is>
          <t>Holothuria leucospilota</t>
        </is>
      </c>
      <c r="B407">
        <f>IFERROR(INDEX(SPPR!$D:$D,MATCH($A407,SPPR!$A:$A,0)),"")</f>
        <v/>
      </c>
      <c r="C407">
        <f>IFERROR(INDEX(Catch!$E:$BV,MATCH($A407,Catch!$A:$A,0),MATCH($B$4,Catch!$E$1:$BV$1,0)),0)</f>
        <v/>
      </c>
      <c r="D407">
        <f>IFERROR($C407*INDEX(SPPR!$E:$X,MATCH($A407,SPPR!$A:$A,0),1),"")</f>
        <v/>
      </c>
      <c r="E407">
        <f>IFERROR($C407*INDEX(SPPR!$E:$X,MATCH($A407,SPPR!$A:$A,0),2),"")</f>
        <v/>
      </c>
      <c r="F407">
        <f>IFERROR($C407*INDEX(SPPR!$E:$X,MATCH($A407,SPPR!$A:$A,0),3),"")</f>
        <v/>
      </c>
      <c r="G407">
        <f>IFERROR($C407*INDEX(SPPR!$E:$X,MATCH($A407,SPPR!$A:$A,0),4),"")</f>
        <v/>
      </c>
      <c r="H407">
        <f>IFERROR($C407*INDEX(SPPR!$E:$X,MATCH($A407,SPPR!$A:$A,0),5),"")</f>
        <v/>
      </c>
      <c r="I407">
        <f>IFERROR($C407*INDEX(SPPR!$E:$X,MATCH($A407,SPPR!$A:$A,0),6),"")</f>
        <v/>
      </c>
      <c r="J407">
        <f>IFERROR($C407*INDEX(SPPR!$E:$X,MATCH($A407,SPPR!$A:$A,0),7),"")</f>
        <v/>
      </c>
      <c r="K407">
        <f>IFERROR($C407*INDEX(SPPR!$E:$X,MATCH($A407,SPPR!$A:$A,0),8),"")</f>
        <v/>
      </c>
      <c r="L407">
        <f>IFERROR($C407*INDEX(SPPR!$E:$X,MATCH($A407,SPPR!$A:$A,0),9),"")</f>
        <v/>
      </c>
      <c r="M407">
        <f>IFERROR($C407*INDEX(SPPR!$E:$X,MATCH($A407,SPPR!$A:$A,0),10),"")</f>
        <v/>
      </c>
      <c r="N407">
        <f>IFERROR($C407*INDEX(SPPR!$E:$X,MATCH($A407,SPPR!$A:$A,0),11),"")</f>
        <v/>
      </c>
      <c r="O407">
        <f>IFERROR($C407*INDEX(SPPR!$E:$X,MATCH($A407,SPPR!$A:$A,0),12),"")</f>
        <v/>
      </c>
      <c r="P407">
        <f>IFERROR($C407*INDEX(SPPR!$E:$X,MATCH($A407,SPPR!$A:$A,0),13),"")</f>
        <v/>
      </c>
      <c r="Q407">
        <f>IFERROR($C407*INDEX(SPPR!$E:$X,MATCH($A407,SPPR!$A:$A,0),14),"")</f>
        <v/>
      </c>
      <c r="R407">
        <f>IFERROR($C407*INDEX(SPPR!$E:$X,MATCH($A407,SPPR!$A:$A,0),15),"")</f>
        <v/>
      </c>
      <c r="S407">
        <f>IFERROR($C407*INDEX(SPPR!$E:$X,MATCH($A407,SPPR!$A:$A,0),16),"")</f>
        <v/>
      </c>
      <c r="T407">
        <f>IFERROR($C407*INDEX(SPPR!$E:$X,MATCH($A407,SPPR!$A:$A,0),17),"")</f>
        <v/>
      </c>
      <c r="U407">
        <f>IFERROR($C407*INDEX(SPPR!$E:$X,MATCH($A407,SPPR!$A:$A,0),18),"")</f>
        <v/>
      </c>
      <c r="V407">
        <f>IFERROR($C407*INDEX(SPPR!$E:$X,MATCH($A407,SPPR!$A:$A,0),19),"")</f>
        <v/>
      </c>
      <c r="W407">
        <f>IFERROR($C407*INDEX(SPPR!$E:$X,MATCH($A407,SPPR!$A:$A,0),20),"")</f>
        <v/>
      </c>
    </row>
    <row r="408">
      <c r="A408" t="inlineStr">
        <is>
          <t>Hexanchus griseus</t>
        </is>
      </c>
      <c r="B408">
        <f>IFERROR(INDEX(SPPR!$D:$D,MATCH($A408,SPPR!$A:$A,0)),"")</f>
        <v/>
      </c>
      <c r="C408">
        <f>IFERROR(INDEX(Catch!$E:$BV,MATCH($A408,Catch!$A:$A,0),MATCH($B$4,Catch!$E$1:$BV$1,0)),0)</f>
        <v/>
      </c>
      <c r="D408">
        <f>IFERROR($C408*INDEX(SPPR!$E:$X,MATCH($A408,SPPR!$A:$A,0),1),"")</f>
        <v/>
      </c>
      <c r="E408">
        <f>IFERROR($C408*INDEX(SPPR!$E:$X,MATCH($A408,SPPR!$A:$A,0),2),"")</f>
        <v/>
      </c>
      <c r="F408">
        <f>IFERROR($C408*INDEX(SPPR!$E:$X,MATCH($A408,SPPR!$A:$A,0),3),"")</f>
        <v/>
      </c>
      <c r="G408">
        <f>IFERROR($C408*INDEX(SPPR!$E:$X,MATCH($A408,SPPR!$A:$A,0),4),"")</f>
        <v/>
      </c>
      <c r="H408">
        <f>IFERROR($C408*INDEX(SPPR!$E:$X,MATCH($A408,SPPR!$A:$A,0),5),"")</f>
        <v/>
      </c>
      <c r="I408">
        <f>IFERROR($C408*INDEX(SPPR!$E:$X,MATCH($A408,SPPR!$A:$A,0),6),"")</f>
        <v/>
      </c>
      <c r="J408">
        <f>IFERROR($C408*INDEX(SPPR!$E:$X,MATCH($A408,SPPR!$A:$A,0),7),"")</f>
        <v/>
      </c>
      <c r="K408">
        <f>IFERROR($C408*INDEX(SPPR!$E:$X,MATCH($A408,SPPR!$A:$A,0),8),"")</f>
        <v/>
      </c>
      <c r="L408">
        <f>IFERROR($C408*INDEX(SPPR!$E:$X,MATCH($A408,SPPR!$A:$A,0),9),"")</f>
        <v/>
      </c>
      <c r="M408">
        <f>IFERROR($C408*INDEX(SPPR!$E:$X,MATCH($A408,SPPR!$A:$A,0),10),"")</f>
        <v/>
      </c>
      <c r="N408">
        <f>IFERROR($C408*INDEX(SPPR!$E:$X,MATCH($A408,SPPR!$A:$A,0),11),"")</f>
        <v/>
      </c>
      <c r="O408">
        <f>IFERROR($C408*INDEX(SPPR!$E:$X,MATCH($A408,SPPR!$A:$A,0),12),"")</f>
        <v/>
      </c>
      <c r="P408">
        <f>IFERROR($C408*INDEX(SPPR!$E:$X,MATCH($A408,SPPR!$A:$A,0),13),"")</f>
        <v/>
      </c>
      <c r="Q408">
        <f>IFERROR($C408*INDEX(SPPR!$E:$X,MATCH($A408,SPPR!$A:$A,0),14),"")</f>
        <v/>
      </c>
      <c r="R408">
        <f>IFERROR($C408*INDEX(SPPR!$E:$X,MATCH($A408,SPPR!$A:$A,0),15),"")</f>
        <v/>
      </c>
      <c r="S408">
        <f>IFERROR($C408*INDEX(SPPR!$E:$X,MATCH($A408,SPPR!$A:$A,0),16),"")</f>
        <v/>
      </c>
      <c r="T408">
        <f>IFERROR($C408*INDEX(SPPR!$E:$X,MATCH($A408,SPPR!$A:$A,0),17),"")</f>
        <v/>
      </c>
      <c r="U408">
        <f>IFERROR($C408*INDEX(SPPR!$E:$X,MATCH($A408,SPPR!$A:$A,0),18),"")</f>
        <v/>
      </c>
      <c r="V408">
        <f>IFERROR($C408*INDEX(SPPR!$E:$X,MATCH($A408,SPPR!$A:$A,0),19),"")</f>
        <v/>
      </c>
      <c r="W408">
        <f>IFERROR($C408*INDEX(SPPR!$E:$X,MATCH($A408,SPPR!$A:$A,0),20),"")</f>
        <v/>
      </c>
    </row>
    <row r="409">
      <c r="A409" t="inlineStr">
        <is>
          <t>Scomber</t>
        </is>
      </c>
      <c r="B409">
        <f>IFERROR(INDEX(SPPR!$D:$D,MATCH($A409,SPPR!$A:$A,0)),"")</f>
        <v/>
      </c>
      <c r="C409">
        <f>IFERROR(INDEX(Catch!$E:$BV,MATCH($A409,Catch!$A:$A,0),MATCH($B$4,Catch!$E$1:$BV$1,0)),0)</f>
        <v/>
      </c>
      <c r="D409">
        <f>IFERROR($C409*INDEX(SPPR!$E:$X,MATCH($A409,SPPR!$A:$A,0),1),"")</f>
        <v/>
      </c>
      <c r="E409">
        <f>IFERROR($C409*INDEX(SPPR!$E:$X,MATCH($A409,SPPR!$A:$A,0),2),"")</f>
        <v/>
      </c>
      <c r="F409">
        <f>IFERROR($C409*INDEX(SPPR!$E:$X,MATCH($A409,SPPR!$A:$A,0),3),"")</f>
        <v/>
      </c>
      <c r="G409">
        <f>IFERROR($C409*INDEX(SPPR!$E:$X,MATCH($A409,SPPR!$A:$A,0),4),"")</f>
        <v/>
      </c>
      <c r="H409">
        <f>IFERROR($C409*INDEX(SPPR!$E:$X,MATCH($A409,SPPR!$A:$A,0),5),"")</f>
        <v/>
      </c>
      <c r="I409">
        <f>IFERROR($C409*INDEX(SPPR!$E:$X,MATCH($A409,SPPR!$A:$A,0),6),"")</f>
        <v/>
      </c>
      <c r="J409">
        <f>IFERROR($C409*INDEX(SPPR!$E:$X,MATCH($A409,SPPR!$A:$A,0),7),"")</f>
        <v/>
      </c>
      <c r="K409">
        <f>IFERROR($C409*INDEX(SPPR!$E:$X,MATCH($A409,SPPR!$A:$A,0),8),"")</f>
        <v/>
      </c>
      <c r="L409">
        <f>IFERROR($C409*INDEX(SPPR!$E:$X,MATCH($A409,SPPR!$A:$A,0),9),"")</f>
        <v/>
      </c>
      <c r="M409">
        <f>IFERROR($C409*INDEX(SPPR!$E:$X,MATCH($A409,SPPR!$A:$A,0),10),"")</f>
        <v/>
      </c>
      <c r="N409">
        <f>IFERROR($C409*INDEX(SPPR!$E:$X,MATCH($A409,SPPR!$A:$A,0),11),"")</f>
        <v/>
      </c>
      <c r="O409">
        <f>IFERROR($C409*INDEX(SPPR!$E:$X,MATCH($A409,SPPR!$A:$A,0),12),"")</f>
        <v/>
      </c>
      <c r="P409">
        <f>IFERROR($C409*INDEX(SPPR!$E:$X,MATCH($A409,SPPR!$A:$A,0),13),"")</f>
        <v/>
      </c>
      <c r="Q409">
        <f>IFERROR($C409*INDEX(SPPR!$E:$X,MATCH($A409,SPPR!$A:$A,0),14),"")</f>
        <v/>
      </c>
      <c r="R409">
        <f>IFERROR($C409*INDEX(SPPR!$E:$X,MATCH($A409,SPPR!$A:$A,0),15),"")</f>
        <v/>
      </c>
      <c r="S409">
        <f>IFERROR($C409*INDEX(SPPR!$E:$X,MATCH($A409,SPPR!$A:$A,0),16),"")</f>
        <v/>
      </c>
      <c r="T409">
        <f>IFERROR($C409*INDEX(SPPR!$E:$X,MATCH($A409,SPPR!$A:$A,0),17),"")</f>
        <v/>
      </c>
      <c r="U409">
        <f>IFERROR($C409*INDEX(SPPR!$E:$X,MATCH($A409,SPPR!$A:$A,0),18),"")</f>
        <v/>
      </c>
      <c r="V409">
        <f>IFERROR($C409*INDEX(SPPR!$E:$X,MATCH($A409,SPPR!$A:$A,0),19),"")</f>
        <v/>
      </c>
      <c r="W409">
        <f>IFERROR($C409*INDEX(SPPR!$E:$X,MATCH($A409,SPPR!$A:$A,0),20),"")</f>
        <v/>
      </c>
    </row>
    <row r="410">
      <c r="A410" t="inlineStr">
        <is>
          <t>Carcharhinus obscurus</t>
        </is>
      </c>
      <c r="B410">
        <f>IFERROR(INDEX(SPPR!$D:$D,MATCH($A410,SPPR!$A:$A,0)),"")</f>
        <v/>
      </c>
      <c r="C410">
        <f>IFERROR(INDEX(Catch!$E:$BV,MATCH($A410,Catch!$A:$A,0),MATCH($B$4,Catch!$E$1:$BV$1,0)),0)</f>
        <v/>
      </c>
      <c r="D410">
        <f>IFERROR($C410*INDEX(SPPR!$E:$X,MATCH($A410,SPPR!$A:$A,0),1),"")</f>
        <v/>
      </c>
      <c r="E410">
        <f>IFERROR($C410*INDEX(SPPR!$E:$X,MATCH($A410,SPPR!$A:$A,0),2),"")</f>
        <v/>
      </c>
      <c r="F410">
        <f>IFERROR($C410*INDEX(SPPR!$E:$X,MATCH($A410,SPPR!$A:$A,0),3),"")</f>
        <v/>
      </c>
      <c r="G410">
        <f>IFERROR($C410*INDEX(SPPR!$E:$X,MATCH($A410,SPPR!$A:$A,0),4),"")</f>
        <v/>
      </c>
      <c r="H410">
        <f>IFERROR($C410*INDEX(SPPR!$E:$X,MATCH($A410,SPPR!$A:$A,0),5),"")</f>
        <v/>
      </c>
      <c r="I410">
        <f>IFERROR($C410*INDEX(SPPR!$E:$X,MATCH($A410,SPPR!$A:$A,0),6),"")</f>
        <v/>
      </c>
      <c r="J410">
        <f>IFERROR($C410*INDEX(SPPR!$E:$X,MATCH($A410,SPPR!$A:$A,0),7),"")</f>
        <v/>
      </c>
      <c r="K410">
        <f>IFERROR($C410*INDEX(SPPR!$E:$X,MATCH($A410,SPPR!$A:$A,0),8),"")</f>
        <v/>
      </c>
      <c r="L410">
        <f>IFERROR($C410*INDEX(SPPR!$E:$X,MATCH($A410,SPPR!$A:$A,0),9),"")</f>
        <v/>
      </c>
      <c r="M410">
        <f>IFERROR($C410*INDEX(SPPR!$E:$X,MATCH($A410,SPPR!$A:$A,0),10),"")</f>
        <v/>
      </c>
      <c r="N410">
        <f>IFERROR($C410*INDEX(SPPR!$E:$X,MATCH($A410,SPPR!$A:$A,0),11),"")</f>
        <v/>
      </c>
      <c r="O410">
        <f>IFERROR($C410*INDEX(SPPR!$E:$X,MATCH($A410,SPPR!$A:$A,0),12),"")</f>
        <v/>
      </c>
      <c r="P410">
        <f>IFERROR($C410*INDEX(SPPR!$E:$X,MATCH($A410,SPPR!$A:$A,0),13),"")</f>
        <v/>
      </c>
      <c r="Q410">
        <f>IFERROR($C410*INDEX(SPPR!$E:$X,MATCH($A410,SPPR!$A:$A,0),14),"")</f>
        <v/>
      </c>
      <c r="R410">
        <f>IFERROR($C410*INDEX(SPPR!$E:$X,MATCH($A410,SPPR!$A:$A,0),15),"")</f>
        <v/>
      </c>
      <c r="S410">
        <f>IFERROR($C410*INDEX(SPPR!$E:$X,MATCH($A410,SPPR!$A:$A,0),16),"")</f>
        <v/>
      </c>
      <c r="T410">
        <f>IFERROR($C410*INDEX(SPPR!$E:$X,MATCH($A410,SPPR!$A:$A,0),17),"")</f>
        <v/>
      </c>
      <c r="U410">
        <f>IFERROR($C410*INDEX(SPPR!$E:$X,MATCH($A410,SPPR!$A:$A,0),18),"")</f>
        <v/>
      </c>
      <c r="V410">
        <f>IFERROR($C410*INDEX(SPPR!$E:$X,MATCH($A410,SPPR!$A:$A,0),19),"")</f>
        <v/>
      </c>
      <c r="W410">
        <f>IFERROR($C410*INDEX(SPPR!$E:$X,MATCH($A410,SPPR!$A:$A,0),20),"")</f>
        <v/>
      </c>
    </row>
    <row r="411">
      <c r="A411" t="inlineStr">
        <is>
          <t>Panulirus versicolor</t>
        </is>
      </c>
      <c r="B411">
        <f>IFERROR(INDEX(SPPR!$D:$D,MATCH($A411,SPPR!$A:$A,0)),"")</f>
        <v/>
      </c>
      <c r="C411">
        <f>IFERROR(INDEX(Catch!$E:$BV,MATCH($A411,Catch!$A:$A,0),MATCH($B$4,Catch!$E$1:$BV$1,0)),0)</f>
        <v/>
      </c>
      <c r="D411">
        <f>IFERROR($C411*INDEX(SPPR!$E:$X,MATCH($A411,SPPR!$A:$A,0),1),"")</f>
        <v/>
      </c>
      <c r="E411">
        <f>IFERROR($C411*INDEX(SPPR!$E:$X,MATCH($A411,SPPR!$A:$A,0),2),"")</f>
        <v/>
      </c>
      <c r="F411">
        <f>IFERROR($C411*INDEX(SPPR!$E:$X,MATCH($A411,SPPR!$A:$A,0),3),"")</f>
        <v/>
      </c>
      <c r="G411">
        <f>IFERROR($C411*INDEX(SPPR!$E:$X,MATCH($A411,SPPR!$A:$A,0),4),"")</f>
        <v/>
      </c>
      <c r="H411">
        <f>IFERROR($C411*INDEX(SPPR!$E:$X,MATCH($A411,SPPR!$A:$A,0),5),"")</f>
        <v/>
      </c>
      <c r="I411">
        <f>IFERROR($C411*INDEX(SPPR!$E:$X,MATCH($A411,SPPR!$A:$A,0),6),"")</f>
        <v/>
      </c>
      <c r="J411">
        <f>IFERROR($C411*INDEX(SPPR!$E:$X,MATCH($A411,SPPR!$A:$A,0),7),"")</f>
        <v/>
      </c>
      <c r="K411">
        <f>IFERROR($C411*INDEX(SPPR!$E:$X,MATCH($A411,SPPR!$A:$A,0),8),"")</f>
        <v/>
      </c>
      <c r="L411">
        <f>IFERROR($C411*INDEX(SPPR!$E:$X,MATCH($A411,SPPR!$A:$A,0),9),"")</f>
        <v/>
      </c>
      <c r="M411">
        <f>IFERROR($C411*INDEX(SPPR!$E:$X,MATCH($A411,SPPR!$A:$A,0),10),"")</f>
        <v/>
      </c>
      <c r="N411">
        <f>IFERROR($C411*INDEX(SPPR!$E:$X,MATCH($A411,SPPR!$A:$A,0),11),"")</f>
        <v/>
      </c>
      <c r="O411">
        <f>IFERROR($C411*INDEX(SPPR!$E:$X,MATCH($A411,SPPR!$A:$A,0),12),"")</f>
        <v/>
      </c>
      <c r="P411">
        <f>IFERROR($C411*INDEX(SPPR!$E:$X,MATCH($A411,SPPR!$A:$A,0),13),"")</f>
        <v/>
      </c>
      <c r="Q411">
        <f>IFERROR($C411*INDEX(SPPR!$E:$X,MATCH($A411,SPPR!$A:$A,0),14),"")</f>
        <v/>
      </c>
      <c r="R411">
        <f>IFERROR($C411*INDEX(SPPR!$E:$X,MATCH($A411,SPPR!$A:$A,0),15),"")</f>
        <v/>
      </c>
      <c r="S411">
        <f>IFERROR($C411*INDEX(SPPR!$E:$X,MATCH($A411,SPPR!$A:$A,0),16),"")</f>
        <v/>
      </c>
      <c r="T411">
        <f>IFERROR($C411*INDEX(SPPR!$E:$X,MATCH($A411,SPPR!$A:$A,0),17),"")</f>
        <v/>
      </c>
      <c r="U411">
        <f>IFERROR($C411*INDEX(SPPR!$E:$X,MATCH($A411,SPPR!$A:$A,0),18),"")</f>
        <v/>
      </c>
      <c r="V411">
        <f>IFERROR($C411*INDEX(SPPR!$E:$X,MATCH($A411,SPPR!$A:$A,0),19),"")</f>
        <v/>
      </c>
      <c r="W411">
        <f>IFERROR($C411*INDEX(SPPR!$E:$X,MATCH($A411,SPPR!$A:$A,0),20),"")</f>
        <v/>
      </c>
    </row>
    <row r="412">
      <c r="A412" t="inlineStr">
        <is>
          <t>Penaeus latisulcatus</t>
        </is>
      </c>
      <c r="B412">
        <f>IFERROR(INDEX(SPPR!$D:$D,MATCH($A412,SPPR!$A:$A,0)),"")</f>
        <v/>
      </c>
      <c r="C412">
        <f>IFERROR(INDEX(Catch!$E:$BV,MATCH($A412,Catch!$A:$A,0),MATCH($B$4,Catch!$E$1:$BV$1,0)),0)</f>
        <v/>
      </c>
      <c r="D412">
        <f>IFERROR($C412*INDEX(SPPR!$E:$X,MATCH($A412,SPPR!$A:$A,0),1),"")</f>
        <v/>
      </c>
      <c r="E412">
        <f>IFERROR($C412*INDEX(SPPR!$E:$X,MATCH($A412,SPPR!$A:$A,0),2),"")</f>
        <v/>
      </c>
      <c r="F412">
        <f>IFERROR($C412*INDEX(SPPR!$E:$X,MATCH($A412,SPPR!$A:$A,0),3),"")</f>
        <v/>
      </c>
      <c r="G412">
        <f>IFERROR($C412*INDEX(SPPR!$E:$X,MATCH($A412,SPPR!$A:$A,0),4),"")</f>
        <v/>
      </c>
      <c r="H412">
        <f>IFERROR($C412*INDEX(SPPR!$E:$X,MATCH($A412,SPPR!$A:$A,0),5),"")</f>
        <v/>
      </c>
      <c r="I412">
        <f>IFERROR($C412*INDEX(SPPR!$E:$X,MATCH($A412,SPPR!$A:$A,0),6),"")</f>
        <v/>
      </c>
      <c r="J412">
        <f>IFERROR($C412*INDEX(SPPR!$E:$X,MATCH($A412,SPPR!$A:$A,0),7),"")</f>
        <v/>
      </c>
      <c r="K412">
        <f>IFERROR($C412*INDEX(SPPR!$E:$X,MATCH($A412,SPPR!$A:$A,0),8),"")</f>
        <v/>
      </c>
      <c r="L412">
        <f>IFERROR($C412*INDEX(SPPR!$E:$X,MATCH($A412,SPPR!$A:$A,0),9),"")</f>
        <v/>
      </c>
      <c r="M412">
        <f>IFERROR($C412*INDEX(SPPR!$E:$X,MATCH($A412,SPPR!$A:$A,0),10),"")</f>
        <v/>
      </c>
      <c r="N412">
        <f>IFERROR($C412*INDEX(SPPR!$E:$X,MATCH($A412,SPPR!$A:$A,0),11),"")</f>
        <v/>
      </c>
      <c r="O412">
        <f>IFERROR($C412*INDEX(SPPR!$E:$X,MATCH($A412,SPPR!$A:$A,0),12),"")</f>
        <v/>
      </c>
      <c r="P412">
        <f>IFERROR($C412*INDEX(SPPR!$E:$X,MATCH($A412,SPPR!$A:$A,0),13),"")</f>
        <v/>
      </c>
      <c r="Q412">
        <f>IFERROR($C412*INDEX(SPPR!$E:$X,MATCH($A412,SPPR!$A:$A,0),14),"")</f>
        <v/>
      </c>
      <c r="R412">
        <f>IFERROR($C412*INDEX(SPPR!$E:$X,MATCH($A412,SPPR!$A:$A,0),15),"")</f>
        <v/>
      </c>
      <c r="S412">
        <f>IFERROR($C412*INDEX(SPPR!$E:$X,MATCH($A412,SPPR!$A:$A,0),16),"")</f>
        <v/>
      </c>
      <c r="T412">
        <f>IFERROR($C412*INDEX(SPPR!$E:$X,MATCH($A412,SPPR!$A:$A,0),17),"")</f>
        <v/>
      </c>
      <c r="U412">
        <f>IFERROR($C412*INDEX(SPPR!$E:$X,MATCH($A412,SPPR!$A:$A,0),18),"")</f>
        <v/>
      </c>
      <c r="V412">
        <f>IFERROR($C412*INDEX(SPPR!$E:$X,MATCH($A412,SPPR!$A:$A,0),19),"")</f>
        <v/>
      </c>
      <c r="W412">
        <f>IFERROR($C412*INDEX(SPPR!$E:$X,MATCH($A412,SPPR!$A:$A,0),20),"")</f>
        <v/>
      </c>
    </row>
    <row r="413">
      <c r="A413" t="inlineStr">
        <is>
          <t>Alopias</t>
        </is>
      </c>
      <c r="B413">
        <f>IFERROR(INDEX(SPPR!$D:$D,MATCH($A413,SPPR!$A:$A,0)),"")</f>
        <v/>
      </c>
      <c r="C413">
        <f>IFERROR(INDEX(Catch!$E:$BV,MATCH($A413,Catch!$A:$A,0),MATCH($B$4,Catch!$E$1:$BV$1,0)),0)</f>
        <v/>
      </c>
      <c r="D413">
        <f>IFERROR($C413*INDEX(SPPR!$E:$X,MATCH($A413,SPPR!$A:$A,0),1),"")</f>
        <v/>
      </c>
      <c r="E413">
        <f>IFERROR($C413*INDEX(SPPR!$E:$X,MATCH($A413,SPPR!$A:$A,0),2),"")</f>
        <v/>
      </c>
      <c r="F413">
        <f>IFERROR($C413*INDEX(SPPR!$E:$X,MATCH($A413,SPPR!$A:$A,0),3),"")</f>
        <v/>
      </c>
      <c r="G413">
        <f>IFERROR($C413*INDEX(SPPR!$E:$X,MATCH($A413,SPPR!$A:$A,0),4),"")</f>
        <v/>
      </c>
      <c r="H413">
        <f>IFERROR($C413*INDEX(SPPR!$E:$X,MATCH($A413,SPPR!$A:$A,0),5),"")</f>
        <v/>
      </c>
      <c r="I413">
        <f>IFERROR($C413*INDEX(SPPR!$E:$X,MATCH($A413,SPPR!$A:$A,0),6),"")</f>
        <v/>
      </c>
      <c r="J413">
        <f>IFERROR($C413*INDEX(SPPR!$E:$X,MATCH($A413,SPPR!$A:$A,0),7),"")</f>
        <v/>
      </c>
      <c r="K413">
        <f>IFERROR($C413*INDEX(SPPR!$E:$X,MATCH($A413,SPPR!$A:$A,0),8),"")</f>
        <v/>
      </c>
      <c r="L413">
        <f>IFERROR($C413*INDEX(SPPR!$E:$X,MATCH($A413,SPPR!$A:$A,0),9),"")</f>
        <v/>
      </c>
      <c r="M413">
        <f>IFERROR($C413*INDEX(SPPR!$E:$X,MATCH($A413,SPPR!$A:$A,0),10),"")</f>
        <v/>
      </c>
      <c r="N413">
        <f>IFERROR($C413*INDEX(SPPR!$E:$X,MATCH($A413,SPPR!$A:$A,0),11),"")</f>
        <v/>
      </c>
      <c r="O413">
        <f>IFERROR($C413*INDEX(SPPR!$E:$X,MATCH($A413,SPPR!$A:$A,0),12),"")</f>
        <v/>
      </c>
      <c r="P413">
        <f>IFERROR($C413*INDEX(SPPR!$E:$X,MATCH($A413,SPPR!$A:$A,0),13),"")</f>
        <v/>
      </c>
      <c r="Q413">
        <f>IFERROR($C413*INDEX(SPPR!$E:$X,MATCH($A413,SPPR!$A:$A,0),14),"")</f>
        <v/>
      </c>
      <c r="R413">
        <f>IFERROR($C413*INDEX(SPPR!$E:$X,MATCH($A413,SPPR!$A:$A,0),15),"")</f>
        <v/>
      </c>
      <c r="S413">
        <f>IFERROR($C413*INDEX(SPPR!$E:$X,MATCH($A413,SPPR!$A:$A,0),16),"")</f>
        <v/>
      </c>
      <c r="T413">
        <f>IFERROR($C413*INDEX(SPPR!$E:$X,MATCH($A413,SPPR!$A:$A,0),17),"")</f>
        <v/>
      </c>
      <c r="U413">
        <f>IFERROR($C413*INDEX(SPPR!$E:$X,MATCH($A413,SPPR!$A:$A,0),18),"")</f>
        <v/>
      </c>
      <c r="V413">
        <f>IFERROR($C413*INDEX(SPPR!$E:$X,MATCH($A413,SPPR!$A:$A,0),19),"")</f>
        <v/>
      </c>
      <c r="W413">
        <f>IFERROR($C413*INDEX(SPPR!$E:$X,MATCH($A413,SPPR!$A:$A,0),20),"")</f>
        <v/>
      </c>
    </row>
    <row r="414">
      <c r="A414" t="inlineStr">
        <is>
          <t>Platax</t>
        </is>
      </c>
      <c r="B414">
        <f>IFERROR(INDEX(SPPR!$D:$D,MATCH($A414,SPPR!$A:$A,0)),"")</f>
        <v/>
      </c>
      <c r="C414">
        <f>IFERROR(INDEX(Catch!$E:$BV,MATCH($A414,Catch!$A:$A,0),MATCH($B$4,Catch!$E$1:$BV$1,0)),0)</f>
        <v/>
      </c>
      <c r="D414">
        <f>IFERROR($C414*INDEX(SPPR!$E:$X,MATCH($A414,SPPR!$A:$A,0),1),"")</f>
        <v/>
      </c>
      <c r="E414">
        <f>IFERROR($C414*INDEX(SPPR!$E:$X,MATCH($A414,SPPR!$A:$A,0),2),"")</f>
        <v/>
      </c>
      <c r="F414">
        <f>IFERROR($C414*INDEX(SPPR!$E:$X,MATCH($A414,SPPR!$A:$A,0),3),"")</f>
        <v/>
      </c>
      <c r="G414">
        <f>IFERROR($C414*INDEX(SPPR!$E:$X,MATCH($A414,SPPR!$A:$A,0),4),"")</f>
        <v/>
      </c>
      <c r="H414">
        <f>IFERROR($C414*INDEX(SPPR!$E:$X,MATCH($A414,SPPR!$A:$A,0),5),"")</f>
        <v/>
      </c>
      <c r="I414">
        <f>IFERROR($C414*INDEX(SPPR!$E:$X,MATCH($A414,SPPR!$A:$A,0),6),"")</f>
        <v/>
      </c>
      <c r="J414">
        <f>IFERROR($C414*INDEX(SPPR!$E:$X,MATCH($A414,SPPR!$A:$A,0),7),"")</f>
        <v/>
      </c>
      <c r="K414">
        <f>IFERROR($C414*INDEX(SPPR!$E:$X,MATCH($A414,SPPR!$A:$A,0),8),"")</f>
        <v/>
      </c>
      <c r="L414">
        <f>IFERROR($C414*INDEX(SPPR!$E:$X,MATCH($A414,SPPR!$A:$A,0),9),"")</f>
        <v/>
      </c>
      <c r="M414">
        <f>IFERROR($C414*INDEX(SPPR!$E:$X,MATCH($A414,SPPR!$A:$A,0),10),"")</f>
        <v/>
      </c>
      <c r="N414">
        <f>IFERROR($C414*INDEX(SPPR!$E:$X,MATCH($A414,SPPR!$A:$A,0),11),"")</f>
        <v/>
      </c>
      <c r="O414">
        <f>IFERROR($C414*INDEX(SPPR!$E:$X,MATCH($A414,SPPR!$A:$A,0),12),"")</f>
        <v/>
      </c>
      <c r="P414">
        <f>IFERROR($C414*INDEX(SPPR!$E:$X,MATCH($A414,SPPR!$A:$A,0),13),"")</f>
        <v/>
      </c>
      <c r="Q414">
        <f>IFERROR($C414*INDEX(SPPR!$E:$X,MATCH($A414,SPPR!$A:$A,0),14),"")</f>
        <v/>
      </c>
      <c r="R414">
        <f>IFERROR($C414*INDEX(SPPR!$E:$X,MATCH($A414,SPPR!$A:$A,0),15),"")</f>
        <v/>
      </c>
      <c r="S414">
        <f>IFERROR($C414*INDEX(SPPR!$E:$X,MATCH($A414,SPPR!$A:$A,0),16),"")</f>
        <v/>
      </c>
      <c r="T414">
        <f>IFERROR($C414*INDEX(SPPR!$E:$X,MATCH($A414,SPPR!$A:$A,0),17),"")</f>
        <v/>
      </c>
      <c r="U414">
        <f>IFERROR($C414*INDEX(SPPR!$E:$X,MATCH($A414,SPPR!$A:$A,0),18),"")</f>
        <v/>
      </c>
      <c r="V414">
        <f>IFERROR($C414*INDEX(SPPR!$E:$X,MATCH($A414,SPPR!$A:$A,0),19),"")</f>
        <v/>
      </c>
      <c r="W414">
        <f>IFERROR($C414*INDEX(SPPR!$E:$X,MATCH($A414,SPPR!$A:$A,0),20),"")</f>
        <v/>
      </c>
    </row>
    <row r="415">
      <c r="A415" t="inlineStr">
        <is>
          <t>Plectropomus laevis</t>
        </is>
      </c>
      <c r="B415">
        <f>IFERROR(INDEX(SPPR!$D:$D,MATCH($A415,SPPR!$A:$A,0)),"")</f>
        <v/>
      </c>
      <c r="C415">
        <f>IFERROR(INDEX(Catch!$E:$BV,MATCH($A415,Catch!$A:$A,0),MATCH($B$4,Catch!$E$1:$BV$1,0)),0)</f>
        <v/>
      </c>
      <c r="D415">
        <f>IFERROR($C415*INDEX(SPPR!$E:$X,MATCH($A415,SPPR!$A:$A,0),1),"")</f>
        <v/>
      </c>
      <c r="E415">
        <f>IFERROR($C415*INDEX(SPPR!$E:$X,MATCH($A415,SPPR!$A:$A,0),2),"")</f>
        <v/>
      </c>
      <c r="F415">
        <f>IFERROR($C415*INDEX(SPPR!$E:$X,MATCH($A415,SPPR!$A:$A,0),3),"")</f>
        <v/>
      </c>
      <c r="G415">
        <f>IFERROR($C415*INDEX(SPPR!$E:$X,MATCH($A415,SPPR!$A:$A,0),4),"")</f>
        <v/>
      </c>
      <c r="H415">
        <f>IFERROR($C415*INDEX(SPPR!$E:$X,MATCH($A415,SPPR!$A:$A,0),5),"")</f>
        <v/>
      </c>
      <c r="I415">
        <f>IFERROR($C415*INDEX(SPPR!$E:$X,MATCH($A415,SPPR!$A:$A,0),6),"")</f>
        <v/>
      </c>
      <c r="J415">
        <f>IFERROR($C415*INDEX(SPPR!$E:$X,MATCH($A415,SPPR!$A:$A,0),7),"")</f>
        <v/>
      </c>
      <c r="K415">
        <f>IFERROR($C415*INDEX(SPPR!$E:$X,MATCH($A415,SPPR!$A:$A,0),8),"")</f>
        <v/>
      </c>
      <c r="L415">
        <f>IFERROR($C415*INDEX(SPPR!$E:$X,MATCH($A415,SPPR!$A:$A,0),9),"")</f>
        <v/>
      </c>
      <c r="M415">
        <f>IFERROR($C415*INDEX(SPPR!$E:$X,MATCH($A415,SPPR!$A:$A,0),10),"")</f>
        <v/>
      </c>
      <c r="N415">
        <f>IFERROR($C415*INDEX(SPPR!$E:$X,MATCH($A415,SPPR!$A:$A,0),11),"")</f>
        <v/>
      </c>
      <c r="O415">
        <f>IFERROR($C415*INDEX(SPPR!$E:$X,MATCH($A415,SPPR!$A:$A,0),12),"")</f>
        <v/>
      </c>
      <c r="P415">
        <f>IFERROR($C415*INDEX(SPPR!$E:$X,MATCH($A415,SPPR!$A:$A,0),13),"")</f>
        <v/>
      </c>
      <c r="Q415">
        <f>IFERROR($C415*INDEX(SPPR!$E:$X,MATCH($A415,SPPR!$A:$A,0),14),"")</f>
        <v/>
      </c>
      <c r="R415">
        <f>IFERROR($C415*INDEX(SPPR!$E:$X,MATCH($A415,SPPR!$A:$A,0),15),"")</f>
        <v/>
      </c>
      <c r="S415">
        <f>IFERROR($C415*INDEX(SPPR!$E:$X,MATCH($A415,SPPR!$A:$A,0),16),"")</f>
        <v/>
      </c>
      <c r="T415">
        <f>IFERROR($C415*INDEX(SPPR!$E:$X,MATCH($A415,SPPR!$A:$A,0),17),"")</f>
        <v/>
      </c>
      <c r="U415">
        <f>IFERROR($C415*INDEX(SPPR!$E:$X,MATCH($A415,SPPR!$A:$A,0),18),"")</f>
        <v/>
      </c>
      <c r="V415">
        <f>IFERROR($C415*INDEX(SPPR!$E:$X,MATCH($A415,SPPR!$A:$A,0),19),"")</f>
        <v/>
      </c>
      <c r="W415">
        <f>IFERROR($C415*INDEX(SPPR!$E:$X,MATCH($A415,SPPR!$A:$A,0),20),"")</f>
        <v/>
      </c>
    </row>
    <row r="416">
      <c r="A416" t="inlineStr">
        <is>
          <t>Cephalopholis argus</t>
        </is>
      </c>
      <c r="B416">
        <f>IFERROR(INDEX(SPPR!$D:$D,MATCH($A416,SPPR!$A:$A,0)),"")</f>
        <v/>
      </c>
      <c r="C416">
        <f>IFERROR(INDEX(Catch!$E:$BV,MATCH($A416,Catch!$A:$A,0),MATCH($B$4,Catch!$E$1:$BV$1,0)),0)</f>
        <v/>
      </c>
      <c r="D416">
        <f>IFERROR($C416*INDEX(SPPR!$E:$X,MATCH($A416,SPPR!$A:$A,0),1),"")</f>
        <v/>
      </c>
      <c r="E416">
        <f>IFERROR($C416*INDEX(SPPR!$E:$X,MATCH($A416,SPPR!$A:$A,0),2),"")</f>
        <v/>
      </c>
      <c r="F416">
        <f>IFERROR($C416*INDEX(SPPR!$E:$X,MATCH($A416,SPPR!$A:$A,0),3),"")</f>
        <v/>
      </c>
      <c r="G416">
        <f>IFERROR($C416*INDEX(SPPR!$E:$X,MATCH($A416,SPPR!$A:$A,0),4),"")</f>
        <v/>
      </c>
      <c r="H416">
        <f>IFERROR($C416*INDEX(SPPR!$E:$X,MATCH($A416,SPPR!$A:$A,0),5),"")</f>
        <v/>
      </c>
      <c r="I416">
        <f>IFERROR($C416*INDEX(SPPR!$E:$X,MATCH($A416,SPPR!$A:$A,0),6),"")</f>
        <v/>
      </c>
      <c r="J416">
        <f>IFERROR($C416*INDEX(SPPR!$E:$X,MATCH($A416,SPPR!$A:$A,0),7),"")</f>
        <v/>
      </c>
      <c r="K416">
        <f>IFERROR($C416*INDEX(SPPR!$E:$X,MATCH($A416,SPPR!$A:$A,0),8),"")</f>
        <v/>
      </c>
      <c r="L416">
        <f>IFERROR($C416*INDEX(SPPR!$E:$X,MATCH($A416,SPPR!$A:$A,0),9),"")</f>
        <v/>
      </c>
      <c r="M416">
        <f>IFERROR($C416*INDEX(SPPR!$E:$X,MATCH($A416,SPPR!$A:$A,0),10),"")</f>
        <v/>
      </c>
      <c r="N416">
        <f>IFERROR($C416*INDEX(SPPR!$E:$X,MATCH($A416,SPPR!$A:$A,0),11),"")</f>
        <v/>
      </c>
      <c r="O416">
        <f>IFERROR($C416*INDEX(SPPR!$E:$X,MATCH($A416,SPPR!$A:$A,0),12),"")</f>
        <v/>
      </c>
      <c r="P416">
        <f>IFERROR($C416*INDEX(SPPR!$E:$X,MATCH($A416,SPPR!$A:$A,0),13),"")</f>
        <v/>
      </c>
      <c r="Q416">
        <f>IFERROR($C416*INDEX(SPPR!$E:$X,MATCH($A416,SPPR!$A:$A,0),14),"")</f>
        <v/>
      </c>
      <c r="R416">
        <f>IFERROR($C416*INDEX(SPPR!$E:$X,MATCH($A416,SPPR!$A:$A,0),15),"")</f>
        <v/>
      </c>
      <c r="S416">
        <f>IFERROR($C416*INDEX(SPPR!$E:$X,MATCH($A416,SPPR!$A:$A,0),16),"")</f>
        <v/>
      </c>
      <c r="T416">
        <f>IFERROR($C416*INDEX(SPPR!$E:$X,MATCH($A416,SPPR!$A:$A,0),17),"")</f>
        <v/>
      </c>
      <c r="U416">
        <f>IFERROR($C416*INDEX(SPPR!$E:$X,MATCH($A416,SPPR!$A:$A,0),18),"")</f>
        <v/>
      </c>
      <c r="V416">
        <f>IFERROR($C416*INDEX(SPPR!$E:$X,MATCH($A416,SPPR!$A:$A,0),19),"")</f>
        <v/>
      </c>
      <c r="W416">
        <f>IFERROR($C416*INDEX(SPPR!$E:$X,MATCH($A416,SPPR!$A:$A,0),20),"")</f>
        <v/>
      </c>
    </row>
    <row r="417">
      <c r="A417" t="inlineStr">
        <is>
          <t>Panulirus penicillatus</t>
        </is>
      </c>
      <c r="B417">
        <f>IFERROR(INDEX(SPPR!$D:$D,MATCH($A417,SPPR!$A:$A,0)),"")</f>
        <v/>
      </c>
      <c r="C417">
        <f>IFERROR(INDEX(Catch!$E:$BV,MATCH($A417,Catch!$A:$A,0),MATCH($B$4,Catch!$E$1:$BV$1,0)),0)</f>
        <v/>
      </c>
      <c r="D417">
        <f>IFERROR($C417*INDEX(SPPR!$E:$X,MATCH($A417,SPPR!$A:$A,0),1),"")</f>
        <v/>
      </c>
      <c r="E417">
        <f>IFERROR($C417*INDEX(SPPR!$E:$X,MATCH($A417,SPPR!$A:$A,0),2),"")</f>
        <v/>
      </c>
      <c r="F417">
        <f>IFERROR($C417*INDEX(SPPR!$E:$X,MATCH($A417,SPPR!$A:$A,0),3),"")</f>
        <v/>
      </c>
      <c r="G417">
        <f>IFERROR($C417*INDEX(SPPR!$E:$X,MATCH($A417,SPPR!$A:$A,0),4),"")</f>
        <v/>
      </c>
      <c r="H417">
        <f>IFERROR($C417*INDEX(SPPR!$E:$X,MATCH($A417,SPPR!$A:$A,0),5),"")</f>
        <v/>
      </c>
      <c r="I417">
        <f>IFERROR($C417*INDEX(SPPR!$E:$X,MATCH($A417,SPPR!$A:$A,0),6),"")</f>
        <v/>
      </c>
      <c r="J417">
        <f>IFERROR($C417*INDEX(SPPR!$E:$X,MATCH($A417,SPPR!$A:$A,0),7),"")</f>
        <v/>
      </c>
      <c r="K417">
        <f>IFERROR($C417*INDEX(SPPR!$E:$X,MATCH($A417,SPPR!$A:$A,0),8),"")</f>
        <v/>
      </c>
      <c r="L417">
        <f>IFERROR($C417*INDEX(SPPR!$E:$X,MATCH($A417,SPPR!$A:$A,0),9),"")</f>
        <v/>
      </c>
      <c r="M417">
        <f>IFERROR($C417*INDEX(SPPR!$E:$X,MATCH($A417,SPPR!$A:$A,0),10),"")</f>
        <v/>
      </c>
      <c r="N417">
        <f>IFERROR($C417*INDEX(SPPR!$E:$X,MATCH($A417,SPPR!$A:$A,0),11),"")</f>
        <v/>
      </c>
      <c r="O417">
        <f>IFERROR($C417*INDEX(SPPR!$E:$X,MATCH($A417,SPPR!$A:$A,0),12),"")</f>
        <v/>
      </c>
      <c r="P417">
        <f>IFERROR($C417*INDEX(SPPR!$E:$X,MATCH($A417,SPPR!$A:$A,0),13),"")</f>
        <v/>
      </c>
      <c r="Q417">
        <f>IFERROR($C417*INDEX(SPPR!$E:$X,MATCH($A417,SPPR!$A:$A,0),14),"")</f>
        <v/>
      </c>
      <c r="R417">
        <f>IFERROR($C417*INDEX(SPPR!$E:$X,MATCH($A417,SPPR!$A:$A,0),15),"")</f>
        <v/>
      </c>
      <c r="S417">
        <f>IFERROR($C417*INDEX(SPPR!$E:$X,MATCH($A417,SPPR!$A:$A,0),16),"")</f>
        <v/>
      </c>
      <c r="T417">
        <f>IFERROR($C417*INDEX(SPPR!$E:$X,MATCH($A417,SPPR!$A:$A,0),17),"")</f>
        <v/>
      </c>
      <c r="U417">
        <f>IFERROR($C417*INDEX(SPPR!$E:$X,MATCH($A417,SPPR!$A:$A,0),18),"")</f>
        <v/>
      </c>
      <c r="V417">
        <f>IFERROR($C417*INDEX(SPPR!$E:$X,MATCH($A417,SPPR!$A:$A,0),19),"")</f>
        <v/>
      </c>
      <c r="W417">
        <f>IFERROR($C417*INDEX(SPPR!$E:$X,MATCH($A417,SPPR!$A:$A,0),20),"")</f>
        <v/>
      </c>
    </row>
    <row r="418">
      <c r="A418" t="inlineStr">
        <is>
          <t>Loligo</t>
        </is>
      </c>
      <c r="B418">
        <f>IFERROR(INDEX(SPPR!$D:$D,MATCH($A418,SPPR!$A:$A,0)),"")</f>
        <v/>
      </c>
      <c r="C418">
        <f>IFERROR(INDEX(Catch!$E:$BV,MATCH($A418,Catch!$A:$A,0),MATCH($B$4,Catch!$E$1:$BV$1,0)),0)</f>
        <v/>
      </c>
      <c r="D418">
        <f>IFERROR($C418*INDEX(SPPR!$E:$X,MATCH($A418,SPPR!$A:$A,0),1),"")</f>
        <v/>
      </c>
      <c r="E418">
        <f>IFERROR($C418*INDEX(SPPR!$E:$X,MATCH($A418,SPPR!$A:$A,0),2),"")</f>
        <v/>
      </c>
      <c r="F418">
        <f>IFERROR($C418*INDEX(SPPR!$E:$X,MATCH($A418,SPPR!$A:$A,0),3),"")</f>
        <v/>
      </c>
      <c r="G418">
        <f>IFERROR($C418*INDEX(SPPR!$E:$X,MATCH($A418,SPPR!$A:$A,0),4),"")</f>
        <v/>
      </c>
      <c r="H418">
        <f>IFERROR($C418*INDEX(SPPR!$E:$X,MATCH($A418,SPPR!$A:$A,0),5),"")</f>
        <v/>
      </c>
      <c r="I418">
        <f>IFERROR($C418*INDEX(SPPR!$E:$X,MATCH($A418,SPPR!$A:$A,0),6),"")</f>
        <v/>
      </c>
      <c r="J418">
        <f>IFERROR($C418*INDEX(SPPR!$E:$X,MATCH($A418,SPPR!$A:$A,0),7),"")</f>
        <v/>
      </c>
      <c r="K418">
        <f>IFERROR($C418*INDEX(SPPR!$E:$X,MATCH($A418,SPPR!$A:$A,0),8),"")</f>
        <v/>
      </c>
      <c r="L418">
        <f>IFERROR($C418*INDEX(SPPR!$E:$X,MATCH($A418,SPPR!$A:$A,0),9),"")</f>
        <v/>
      </c>
      <c r="M418">
        <f>IFERROR($C418*INDEX(SPPR!$E:$X,MATCH($A418,SPPR!$A:$A,0),10),"")</f>
        <v/>
      </c>
      <c r="N418">
        <f>IFERROR($C418*INDEX(SPPR!$E:$X,MATCH($A418,SPPR!$A:$A,0),11),"")</f>
        <v/>
      </c>
      <c r="O418">
        <f>IFERROR($C418*INDEX(SPPR!$E:$X,MATCH($A418,SPPR!$A:$A,0),12),"")</f>
        <v/>
      </c>
      <c r="P418">
        <f>IFERROR($C418*INDEX(SPPR!$E:$X,MATCH($A418,SPPR!$A:$A,0),13),"")</f>
        <v/>
      </c>
      <c r="Q418">
        <f>IFERROR($C418*INDEX(SPPR!$E:$X,MATCH($A418,SPPR!$A:$A,0),14),"")</f>
        <v/>
      </c>
      <c r="R418">
        <f>IFERROR($C418*INDEX(SPPR!$E:$X,MATCH($A418,SPPR!$A:$A,0),15),"")</f>
        <v/>
      </c>
      <c r="S418">
        <f>IFERROR($C418*INDEX(SPPR!$E:$X,MATCH($A418,SPPR!$A:$A,0),16),"")</f>
        <v/>
      </c>
      <c r="T418">
        <f>IFERROR($C418*INDEX(SPPR!$E:$X,MATCH($A418,SPPR!$A:$A,0),17),"")</f>
        <v/>
      </c>
      <c r="U418">
        <f>IFERROR($C418*INDEX(SPPR!$E:$X,MATCH($A418,SPPR!$A:$A,0),18),"")</f>
        <v/>
      </c>
      <c r="V418">
        <f>IFERROR($C418*INDEX(SPPR!$E:$X,MATCH($A418,SPPR!$A:$A,0),19),"")</f>
        <v/>
      </c>
      <c r="W418">
        <f>IFERROR($C418*INDEX(SPPR!$E:$X,MATCH($A418,SPPR!$A:$A,0),20),"")</f>
        <v/>
      </c>
    </row>
    <row r="419">
      <c r="A419" t="inlineStr">
        <is>
          <t>Priacanthidae</t>
        </is>
      </c>
      <c r="B419">
        <f>IFERROR(INDEX(SPPR!$D:$D,MATCH($A419,SPPR!$A:$A,0)),"")</f>
        <v/>
      </c>
      <c r="C419">
        <f>IFERROR(INDEX(Catch!$E:$BV,MATCH($A419,Catch!$A:$A,0),MATCH($B$4,Catch!$E$1:$BV$1,0)),0)</f>
        <v/>
      </c>
      <c r="D419">
        <f>IFERROR($C419*INDEX(SPPR!$E:$X,MATCH($A419,SPPR!$A:$A,0),1),"")</f>
        <v/>
      </c>
      <c r="E419">
        <f>IFERROR($C419*INDEX(SPPR!$E:$X,MATCH($A419,SPPR!$A:$A,0),2),"")</f>
        <v/>
      </c>
      <c r="F419">
        <f>IFERROR($C419*INDEX(SPPR!$E:$X,MATCH($A419,SPPR!$A:$A,0),3),"")</f>
        <v/>
      </c>
      <c r="G419">
        <f>IFERROR($C419*INDEX(SPPR!$E:$X,MATCH($A419,SPPR!$A:$A,0),4),"")</f>
        <v/>
      </c>
      <c r="H419">
        <f>IFERROR($C419*INDEX(SPPR!$E:$X,MATCH($A419,SPPR!$A:$A,0),5),"")</f>
        <v/>
      </c>
      <c r="I419">
        <f>IFERROR($C419*INDEX(SPPR!$E:$X,MATCH($A419,SPPR!$A:$A,0),6),"")</f>
        <v/>
      </c>
      <c r="J419">
        <f>IFERROR($C419*INDEX(SPPR!$E:$X,MATCH($A419,SPPR!$A:$A,0),7),"")</f>
        <v/>
      </c>
      <c r="K419">
        <f>IFERROR($C419*INDEX(SPPR!$E:$X,MATCH($A419,SPPR!$A:$A,0),8),"")</f>
        <v/>
      </c>
      <c r="L419">
        <f>IFERROR($C419*INDEX(SPPR!$E:$X,MATCH($A419,SPPR!$A:$A,0),9),"")</f>
        <v/>
      </c>
      <c r="M419">
        <f>IFERROR($C419*INDEX(SPPR!$E:$X,MATCH($A419,SPPR!$A:$A,0),10),"")</f>
        <v/>
      </c>
      <c r="N419">
        <f>IFERROR($C419*INDEX(SPPR!$E:$X,MATCH($A419,SPPR!$A:$A,0),11),"")</f>
        <v/>
      </c>
      <c r="O419">
        <f>IFERROR($C419*INDEX(SPPR!$E:$X,MATCH($A419,SPPR!$A:$A,0),12),"")</f>
        <v/>
      </c>
      <c r="P419">
        <f>IFERROR($C419*INDEX(SPPR!$E:$X,MATCH($A419,SPPR!$A:$A,0),13),"")</f>
        <v/>
      </c>
      <c r="Q419">
        <f>IFERROR($C419*INDEX(SPPR!$E:$X,MATCH($A419,SPPR!$A:$A,0),14),"")</f>
        <v/>
      </c>
      <c r="R419">
        <f>IFERROR($C419*INDEX(SPPR!$E:$X,MATCH($A419,SPPR!$A:$A,0),15),"")</f>
        <v/>
      </c>
      <c r="S419">
        <f>IFERROR($C419*INDEX(SPPR!$E:$X,MATCH($A419,SPPR!$A:$A,0),16),"")</f>
        <v/>
      </c>
      <c r="T419">
        <f>IFERROR($C419*INDEX(SPPR!$E:$X,MATCH($A419,SPPR!$A:$A,0),17),"")</f>
        <v/>
      </c>
      <c r="U419">
        <f>IFERROR($C419*INDEX(SPPR!$E:$X,MATCH($A419,SPPR!$A:$A,0),18),"")</f>
        <v/>
      </c>
      <c r="V419">
        <f>IFERROR($C419*INDEX(SPPR!$E:$X,MATCH($A419,SPPR!$A:$A,0),19),"")</f>
        <v/>
      </c>
      <c r="W419">
        <f>IFERROR($C419*INDEX(SPPR!$E:$X,MATCH($A419,SPPR!$A:$A,0),20),"")</f>
        <v/>
      </c>
    </row>
    <row r="420">
      <c r="A420" t="inlineStr">
        <is>
          <t>Scarus ghobban</t>
        </is>
      </c>
      <c r="B420">
        <f>IFERROR(INDEX(SPPR!$D:$D,MATCH($A420,SPPR!$A:$A,0)),"")</f>
        <v/>
      </c>
      <c r="C420">
        <f>IFERROR(INDEX(Catch!$E:$BV,MATCH($A420,Catch!$A:$A,0),MATCH($B$4,Catch!$E$1:$BV$1,0)),0)</f>
        <v/>
      </c>
      <c r="D420">
        <f>IFERROR($C420*INDEX(SPPR!$E:$X,MATCH($A420,SPPR!$A:$A,0),1),"")</f>
        <v/>
      </c>
      <c r="E420">
        <f>IFERROR($C420*INDEX(SPPR!$E:$X,MATCH($A420,SPPR!$A:$A,0),2),"")</f>
        <v/>
      </c>
      <c r="F420">
        <f>IFERROR($C420*INDEX(SPPR!$E:$X,MATCH($A420,SPPR!$A:$A,0),3),"")</f>
        <v/>
      </c>
      <c r="G420">
        <f>IFERROR($C420*INDEX(SPPR!$E:$X,MATCH($A420,SPPR!$A:$A,0),4),"")</f>
        <v/>
      </c>
      <c r="H420">
        <f>IFERROR($C420*INDEX(SPPR!$E:$X,MATCH($A420,SPPR!$A:$A,0),5),"")</f>
        <v/>
      </c>
      <c r="I420">
        <f>IFERROR($C420*INDEX(SPPR!$E:$X,MATCH($A420,SPPR!$A:$A,0),6),"")</f>
        <v/>
      </c>
      <c r="J420">
        <f>IFERROR($C420*INDEX(SPPR!$E:$X,MATCH($A420,SPPR!$A:$A,0),7),"")</f>
        <v/>
      </c>
      <c r="K420">
        <f>IFERROR($C420*INDEX(SPPR!$E:$X,MATCH($A420,SPPR!$A:$A,0),8),"")</f>
        <v/>
      </c>
      <c r="L420">
        <f>IFERROR($C420*INDEX(SPPR!$E:$X,MATCH($A420,SPPR!$A:$A,0),9),"")</f>
        <v/>
      </c>
      <c r="M420">
        <f>IFERROR($C420*INDEX(SPPR!$E:$X,MATCH($A420,SPPR!$A:$A,0),10),"")</f>
        <v/>
      </c>
      <c r="N420">
        <f>IFERROR($C420*INDEX(SPPR!$E:$X,MATCH($A420,SPPR!$A:$A,0),11),"")</f>
        <v/>
      </c>
      <c r="O420">
        <f>IFERROR($C420*INDEX(SPPR!$E:$X,MATCH($A420,SPPR!$A:$A,0),12),"")</f>
        <v/>
      </c>
      <c r="P420">
        <f>IFERROR($C420*INDEX(SPPR!$E:$X,MATCH($A420,SPPR!$A:$A,0),13),"")</f>
        <v/>
      </c>
      <c r="Q420">
        <f>IFERROR($C420*INDEX(SPPR!$E:$X,MATCH($A420,SPPR!$A:$A,0),14),"")</f>
        <v/>
      </c>
      <c r="R420">
        <f>IFERROR($C420*INDEX(SPPR!$E:$X,MATCH($A420,SPPR!$A:$A,0),15),"")</f>
        <v/>
      </c>
      <c r="S420">
        <f>IFERROR($C420*INDEX(SPPR!$E:$X,MATCH($A420,SPPR!$A:$A,0),16),"")</f>
        <v/>
      </c>
      <c r="T420">
        <f>IFERROR($C420*INDEX(SPPR!$E:$X,MATCH($A420,SPPR!$A:$A,0),17),"")</f>
        <v/>
      </c>
      <c r="U420">
        <f>IFERROR($C420*INDEX(SPPR!$E:$X,MATCH($A420,SPPR!$A:$A,0),18),"")</f>
        <v/>
      </c>
      <c r="V420">
        <f>IFERROR($C420*INDEX(SPPR!$E:$X,MATCH($A420,SPPR!$A:$A,0),19),"")</f>
        <v/>
      </c>
      <c r="W420">
        <f>IFERROR($C420*INDEX(SPPR!$E:$X,MATCH($A420,SPPR!$A:$A,0),20),"")</f>
        <v/>
      </c>
    </row>
    <row r="421">
      <c r="A421" t="inlineStr">
        <is>
          <t>Trichiurus</t>
        </is>
      </c>
      <c r="B421">
        <f>IFERROR(INDEX(SPPR!$D:$D,MATCH($A421,SPPR!$A:$A,0)),"")</f>
        <v/>
      </c>
      <c r="C421">
        <f>IFERROR(INDEX(Catch!$E:$BV,MATCH($A421,Catch!$A:$A,0),MATCH($B$4,Catch!$E$1:$BV$1,0)),0)</f>
        <v/>
      </c>
      <c r="D421">
        <f>IFERROR($C421*INDEX(SPPR!$E:$X,MATCH($A421,SPPR!$A:$A,0),1),"")</f>
        <v/>
      </c>
      <c r="E421">
        <f>IFERROR($C421*INDEX(SPPR!$E:$X,MATCH($A421,SPPR!$A:$A,0),2),"")</f>
        <v/>
      </c>
      <c r="F421">
        <f>IFERROR($C421*INDEX(SPPR!$E:$X,MATCH($A421,SPPR!$A:$A,0),3),"")</f>
        <v/>
      </c>
      <c r="G421">
        <f>IFERROR($C421*INDEX(SPPR!$E:$X,MATCH($A421,SPPR!$A:$A,0),4),"")</f>
        <v/>
      </c>
      <c r="H421">
        <f>IFERROR($C421*INDEX(SPPR!$E:$X,MATCH($A421,SPPR!$A:$A,0),5),"")</f>
        <v/>
      </c>
      <c r="I421">
        <f>IFERROR($C421*INDEX(SPPR!$E:$X,MATCH($A421,SPPR!$A:$A,0),6),"")</f>
        <v/>
      </c>
      <c r="J421">
        <f>IFERROR($C421*INDEX(SPPR!$E:$X,MATCH($A421,SPPR!$A:$A,0),7),"")</f>
        <v/>
      </c>
      <c r="K421">
        <f>IFERROR($C421*INDEX(SPPR!$E:$X,MATCH($A421,SPPR!$A:$A,0),8),"")</f>
        <v/>
      </c>
      <c r="L421">
        <f>IFERROR($C421*INDEX(SPPR!$E:$X,MATCH($A421,SPPR!$A:$A,0),9),"")</f>
        <v/>
      </c>
      <c r="M421">
        <f>IFERROR($C421*INDEX(SPPR!$E:$X,MATCH($A421,SPPR!$A:$A,0),10),"")</f>
        <v/>
      </c>
      <c r="N421">
        <f>IFERROR($C421*INDEX(SPPR!$E:$X,MATCH($A421,SPPR!$A:$A,0),11),"")</f>
        <v/>
      </c>
      <c r="O421">
        <f>IFERROR($C421*INDEX(SPPR!$E:$X,MATCH($A421,SPPR!$A:$A,0),12),"")</f>
        <v/>
      </c>
      <c r="P421">
        <f>IFERROR($C421*INDEX(SPPR!$E:$X,MATCH($A421,SPPR!$A:$A,0),13),"")</f>
        <v/>
      </c>
      <c r="Q421">
        <f>IFERROR($C421*INDEX(SPPR!$E:$X,MATCH($A421,SPPR!$A:$A,0),14),"")</f>
        <v/>
      </c>
      <c r="R421">
        <f>IFERROR($C421*INDEX(SPPR!$E:$X,MATCH($A421,SPPR!$A:$A,0),15),"")</f>
        <v/>
      </c>
      <c r="S421">
        <f>IFERROR($C421*INDEX(SPPR!$E:$X,MATCH($A421,SPPR!$A:$A,0),16),"")</f>
        <v/>
      </c>
      <c r="T421">
        <f>IFERROR($C421*INDEX(SPPR!$E:$X,MATCH($A421,SPPR!$A:$A,0),17),"")</f>
        <v/>
      </c>
      <c r="U421">
        <f>IFERROR($C421*INDEX(SPPR!$E:$X,MATCH($A421,SPPR!$A:$A,0),18),"")</f>
        <v/>
      </c>
      <c r="V421">
        <f>IFERROR($C421*INDEX(SPPR!$E:$X,MATCH($A421,SPPR!$A:$A,0),19),"")</f>
        <v/>
      </c>
      <c r="W421">
        <f>IFERROR($C421*INDEX(SPPR!$E:$X,MATCH($A421,SPPR!$A:$A,0),20),"")</f>
        <v/>
      </c>
    </row>
    <row r="422">
      <c r="A422" t="inlineStr">
        <is>
          <t>Epinephelus coeruleopunctatus</t>
        </is>
      </c>
      <c r="B422">
        <f>IFERROR(INDEX(SPPR!$D:$D,MATCH($A422,SPPR!$A:$A,0)),"")</f>
        <v/>
      </c>
      <c r="C422">
        <f>IFERROR(INDEX(Catch!$E:$BV,MATCH($A422,Catch!$A:$A,0),MATCH($B$4,Catch!$E$1:$BV$1,0)),0)</f>
        <v/>
      </c>
      <c r="D422">
        <f>IFERROR($C422*INDEX(SPPR!$E:$X,MATCH($A422,SPPR!$A:$A,0),1),"")</f>
        <v/>
      </c>
      <c r="E422">
        <f>IFERROR($C422*INDEX(SPPR!$E:$X,MATCH($A422,SPPR!$A:$A,0),2),"")</f>
        <v/>
      </c>
      <c r="F422">
        <f>IFERROR($C422*INDEX(SPPR!$E:$X,MATCH($A422,SPPR!$A:$A,0),3),"")</f>
        <v/>
      </c>
      <c r="G422">
        <f>IFERROR($C422*INDEX(SPPR!$E:$X,MATCH($A422,SPPR!$A:$A,0),4),"")</f>
        <v/>
      </c>
      <c r="H422">
        <f>IFERROR($C422*INDEX(SPPR!$E:$X,MATCH($A422,SPPR!$A:$A,0),5),"")</f>
        <v/>
      </c>
      <c r="I422">
        <f>IFERROR($C422*INDEX(SPPR!$E:$X,MATCH($A422,SPPR!$A:$A,0),6),"")</f>
        <v/>
      </c>
      <c r="J422">
        <f>IFERROR($C422*INDEX(SPPR!$E:$X,MATCH($A422,SPPR!$A:$A,0),7),"")</f>
        <v/>
      </c>
      <c r="K422">
        <f>IFERROR($C422*INDEX(SPPR!$E:$X,MATCH($A422,SPPR!$A:$A,0),8),"")</f>
        <v/>
      </c>
      <c r="L422">
        <f>IFERROR($C422*INDEX(SPPR!$E:$X,MATCH($A422,SPPR!$A:$A,0),9),"")</f>
        <v/>
      </c>
      <c r="M422">
        <f>IFERROR($C422*INDEX(SPPR!$E:$X,MATCH($A422,SPPR!$A:$A,0),10),"")</f>
        <v/>
      </c>
      <c r="N422">
        <f>IFERROR($C422*INDEX(SPPR!$E:$X,MATCH($A422,SPPR!$A:$A,0),11),"")</f>
        <v/>
      </c>
      <c r="O422">
        <f>IFERROR($C422*INDEX(SPPR!$E:$X,MATCH($A422,SPPR!$A:$A,0),12),"")</f>
        <v/>
      </c>
      <c r="P422">
        <f>IFERROR($C422*INDEX(SPPR!$E:$X,MATCH($A422,SPPR!$A:$A,0),13),"")</f>
        <v/>
      </c>
      <c r="Q422">
        <f>IFERROR($C422*INDEX(SPPR!$E:$X,MATCH($A422,SPPR!$A:$A,0),14),"")</f>
        <v/>
      </c>
      <c r="R422">
        <f>IFERROR($C422*INDEX(SPPR!$E:$X,MATCH($A422,SPPR!$A:$A,0),15),"")</f>
        <v/>
      </c>
      <c r="S422">
        <f>IFERROR($C422*INDEX(SPPR!$E:$X,MATCH($A422,SPPR!$A:$A,0),16),"")</f>
        <v/>
      </c>
      <c r="T422">
        <f>IFERROR($C422*INDEX(SPPR!$E:$X,MATCH($A422,SPPR!$A:$A,0),17),"")</f>
        <v/>
      </c>
      <c r="U422">
        <f>IFERROR($C422*INDEX(SPPR!$E:$X,MATCH($A422,SPPR!$A:$A,0),18),"")</f>
        <v/>
      </c>
      <c r="V422">
        <f>IFERROR($C422*INDEX(SPPR!$E:$X,MATCH($A422,SPPR!$A:$A,0),19),"")</f>
        <v/>
      </c>
      <c r="W422">
        <f>IFERROR($C422*INDEX(SPPR!$E:$X,MATCH($A422,SPPR!$A:$A,0),20),"")</f>
        <v/>
      </c>
    </row>
    <row r="423">
      <c r="A423" t="inlineStr">
        <is>
          <t>Lamniformes</t>
        </is>
      </c>
      <c r="B423">
        <f>IFERROR(INDEX(SPPR!$D:$D,MATCH($A423,SPPR!$A:$A,0)),"")</f>
        <v/>
      </c>
      <c r="C423">
        <f>IFERROR(INDEX(Catch!$E:$BV,MATCH($A423,Catch!$A:$A,0),MATCH($B$4,Catch!$E$1:$BV$1,0)),0)</f>
        <v/>
      </c>
      <c r="D423">
        <f>IFERROR($C423*INDEX(SPPR!$E:$X,MATCH($A423,SPPR!$A:$A,0),1),"")</f>
        <v/>
      </c>
      <c r="E423">
        <f>IFERROR($C423*INDEX(SPPR!$E:$X,MATCH($A423,SPPR!$A:$A,0),2),"")</f>
        <v/>
      </c>
      <c r="F423">
        <f>IFERROR($C423*INDEX(SPPR!$E:$X,MATCH($A423,SPPR!$A:$A,0),3),"")</f>
        <v/>
      </c>
      <c r="G423">
        <f>IFERROR($C423*INDEX(SPPR!$E:$X,MATCH($A423,SPPR!$A:$A,0),4),"")</f>
        <v/>
      </c>
      <c r="H423">
        <f>IFERROR($C423*INDEX(SPPR!$E:$X,MATCH($A423,SPPR!$A:$A,0),5),"")</f>
        <v/>
      </c>
      <c r="I423">
        <f>IFERROR($C423*INDEX(SPPR!$E:$X,MATCH($A423,SPPR!$A:$A,0),6),"")</f>
        <v/>
      </c>
      <c r="J423">
        <f>IFERROR($C423*INDEX(SPPR!$E:$X,MATCH($A423,SPPR!$A:$A,0),7),"")</f>
        <v/>
      </c>
      <c r="K423">
        <f>IFERROR($C423*INDEX(SPPR!$E:$X,MATCH($A423,SPPR!$A:$A,0),8),"")</f>
        <v/>
      </c>
      <c r="L423">
        <f>IFERROR($C423*INDEX(SPPR!$E:$X,MATCH($A423,SPPR!$A:$A,0),9),"")</f>
        <v/>
      </c>
      <c r="M423">
        <f>IFERROR($C423*INDEX(SPPR!$E:$X,MATCH($A423,SPPR!$A:$A,0),10),"")</f>
        <v/>
      </c>
      <c r="N423">
        <f>IFERROR($C423*INDEX(SPPR!$E:$X,MATCH($A423,SPPR!$A:$A,0),11),"")</f>
        <v/>
      </c>
      <c r="O423">
        <f>IFERROR($C423*INDEX(SPPR!$E:$X,MATCH($A423,SPPR!$A:$A,0),12),"")</f>
        <v/>
      </c>
      <c r="P423">
        <f>IFERROR($C423*INDEX(SPPR!$E:$X,MATCH($A423,SPPR!$A:$A,0),13),"")</f>
        <v/>
      </c>
      <c r="Q423">
        <f>IFERROR($C423*INDEX(SPPR!$E:$X,MATCH($A423,SPPR!$A:$A,0),14),"")</f>
        <v/>
      </c>
      <c r="R423">
        <f>IFERROR($C423*INDEX(SPPR!$E:$X,MATCH($A423,SPPR!$A:$A,0),15),"")</f>
        <v/>
      </c>
      <c r="S423">
        <f>IFERROR($C423*INDEX(SPPR!$E:$X,MATCH($A423,SPPR!$A:$A,0),16),"")</f>
        <v/>
      </c>
      <c r="T423">
        <f>IFERROR($C423*INDEX(SPPR!$E:$X,MATCH($A423,SPPR!$A:$A,0),17),"")</f>
        <v/>
      </c>
      <c r="U423">
        <f>IFERROR($C423*INDEX(SPPR!$E:$X,MATCH($A423,SPPR!$A:$A,0),18),"")</f>
        <v/>
      </c>
      <c r="V423">
        <f>IFERROR($C423*INDEX(SPPR!$E:$X,MATCH($A423,SPPR!$A:$A,0),19),"")</f>
        <v/>
      </c>
      <c r="W423">
        <f>IFERROR($C423*INDEX(SPPR!$E:$X,MATCH($A423,SPPR!$A:$A,0),20),"")</f>
        <v/>
      </c>
    </row>
    <row r="424">
      <c r="A424" t="inlineStr">
        <is>
          <t>Lophiidae</t>
        </is>
      </c>
      <c r="B424">
        <f>IFERROR(INDEX(SPPR!$D:$D,MATCH($A424,SPPR!$A:$A,0)),"")</f>
        <v/>
      </c>
      <c r="C424">
        <f>IFERROR(INDEX(Catch!$E:$BV,MATCH($A424,Catch!$A:$A,0),MATCH($B$4,Catch!$E$1:$BV$1,0)),0)</f>
        <v/>
      </c>
      <c r="D424">
        <f>IFERROR($C424*INDEX(SPPR!$E:$X,MATCH($A424,SPPR!$A:$A,0),1),"")</f>
        <v/>
      </c>
      <c r="E424">
        <f>IFERROR($C424*INDEX(SPPR!$E:$X,MATCH($A424,SPPR!$A:$A,0),2),"")</f>
        <v/>
      </c>
      <c r="F424">
        <f>IFERROR($C424*INDEX(SPPR!$E:$X,MATCH($A424,SPPR!$A:$A,0),3),"")</f>
        <v/>
      </c>
      <c r="G424">
        <f>IFERROR($C424*INDEX(SPPR!$E:$X,MATCH($A424,SPPR!$A:$A,0),4),"")</f>
        <v/>
      </c>
      <c r="H424">
        <f>IFERROR($C424*INDEX(SPPR!$E:$X,MATCH($A424,SPPR!$A:$A,0),5),"")</f>
        <v/>
      </c>
      <c r="I424">
        <f>IFERROR($C424*INDEX(SPPR!$E:$X,MATCH($A424,SPPR!$A:$A,0),6),"")</f>
        <v/>
      </c>
      <c r="J424">
        <f>IFERROR($C424*INDEX(SPPR!$E:$X,MATCH($A424,SPPR!$A:$A,0),7),"")</f>
        <v/>
      </c>
      <c r="K424">
        <f>IFERROR($C424*INDEX(SPPR!$E:$X,MATCH($A424,SPPR!$A:$A,0),8),"")</f>
        <v/>
      </c>
      <c r="L424">
        <f>IFERROR($C424*INDEX(SPPR!$E:$X,MATCH($A424,SPPR!$A:$A,0),9),"")</f>
        <v/>
      </c>
      <c r="M424">
        <f>IFERROR($C424*INDEX(SPPR!$E:$X,MATCH($A424,SPPR!$A:$A,0),10),"")</f>
        <v/>
      </c>
      <c r="N424">
        <f>IFERROR($C424*INDEX(SPPR!$E:$X,MATCH($A424,SPPR!$A:$A,0),11),"")</f>
        <v/>
      </c>
      <c r="O424">
        <f>IFERROR($C424*INDEX(SPPR!$E:$X,MATCH($A424,SPPR!$A:$A,0),12),"")</f>
        <v/>
      </c>
      <c r="P424">
        <f>IFERROR($C424*INDEX(SPPR!$E:$X,MATCH($A424,SPPR!$A:$A,0),13),"")</f>
        <v/>
      </c>
      <c r="Q424">
        <f>IFERROR($C424*INDEX(SPPR!$E:$X,MATCH($A424,SPPR!$A:$A,0),14),"")</f>
        <v/>
      </c>
      <c r="R424">
        <f>IFERROR($C424*INDEX(SPPR!$E:$X,MATCH($A424,SPPR!$A:$A,0),15),"")</f>
        <v/>
      </c>
      <c r="S424">
        <f>IFERROR($C424*INDEX(SPPR!$E:$X,MATCH($A424,SPPR!$A:$A,0),16),"")</f>
        <v/>
      </c>
      <c r="T424">
        <f>IFERROR($C424*INDEX(SPPR!$E:$X,MATCH($A424,SPPR!$A:$A,0),17),"")</f>
        <v/>
      </c>
      <c r="U424">
        <f>IFERROR($C424*INDEX(SPPR!$E:$X,MATCH($A424,SPPR!$A:$A,0),18),"")</f>
        <v/>
      </c>
      <c r="V424">
        <f>IFERROR($C424*INDEX(SPPR!$E:$X,MATCH($A424,SPPR!$A:$A,0),19),"")</f>
        <v/>
      </c>
      <c r="W424">
        <f>IFERROR($C424*INDEX(SPPR!$E:$X,MATCH($A424,SPPR!$A:$A,0),20),"")</f>
        <v/>
      </c>
    </row>
    <row r="425">
      <c r="A425" t="inlineStr">
        <is>
          <t>Pristipomoides multidens</t>
        </is>
      </c>
      <c r="B425">
        <f>IFERROR(INDEX(SPPR!$D:$D,MATCH($A425,SPPR!$A:$A,0)),"")</f>
        <v/>
      </c>
      <c r="C425">
        <f>IFERROR(INDEX(Catch!$E:$BV,MATCH($A425,Catch!$A:$A,0),MATCH($B$4,Catch!$E$1:$BV$1,0)),0)</f>
        <v/>
      </c>
      <c r="D425">
        <f>IFERROR($C425*INDEX(SPPR!$E:$X,MATCH($A425,SPPR!$A:$A,0),1),"")</f>
        <v/>
      </c>
      <c r="E425">
        <f>IFERROR($C425*INDEX(SPPR!$E:$X,MATCH($A425,SPPR!$A:$A,0),2),"")</f>
        <v/>
      </c>
      <c r="F425">
        <f>IFERROR($C425*INDEX(SPPR!$E:$X,MATCH($A425,SPPR!$A:$A,0),3),"")</f>
        <v/>
      </c>
      <c r="G425">
        <f>IFERROR($C425*INDEX(SPPR!$E:$X,MATCH($A425,SPPR!$A:$A,0),4),"")</f>
        <v/>
      </c>
      <c r="H425">
        <f>IFERROR($C425*INDEX(SPPR!$E:$X,MATCH($A425,SPPR!$A:$A,0),5),"")</f>
        <v/>
      </c>
      <c r="I425">
        <f>IFERROR($C425*INDEX(SPPR!$E:$X,MATCH($A425,SPPR!$A:$A,0),6),"")</f>
        <v/>
      </c>
      <c r="J425">
        <f>IFERROR($C425*INDEX(SPPR!$E:$X,MATCH($A425,SPPR!$A:$A,0),7),"")</f>
        <v/>
      </c>
      <c r="K425">
        <f>IFERROR($C425*INDEX(SPPR!$E:$X,MATCH($A425,SPPR!$A:$A,0),8),"")</f>
        <v/>
      </c>
      <c r="L425">
        <f>IFERROR($C425*INDEX(SPPR!$E:$X,MATCH($A425,SPPR!$A:$A,0),9),"")</f>
        <v/>
      </c>
      <c r="M425">
        <f>IFERROR($C425*INDEX(SPPR!$E:$X,MATCH($A425,SPPR!$A:$A,0),10),"")</f>
        <v/>
      </c>
      <c r="N425">
        <f>IFERROR($C425*INDEX(SPPR!$E:$X,MATCH($A425,SPPR!$A:$A,0),11),"")</f>
        <v/>
      </c>
      <c r="O425">
        <f>IFERROR($C425*INDEX(SPPR!$E:$X,MATCH($A425,SPPR!$A:$A,0),12),"")</f>
        <v/>
      </c>
      <c r="P425">
        <f>IFERROR($C425*INDEX(SPPR!$E:$X,MATCH($A425,SPPR!$A:$A,0),13),"")</f>
        <v/>
      </c>
      <c r="Q425">
        <f>IFERROR($C425*INDEX(SPPR!$E:$X,MATCH($A425,SPPR!$A:$A,0),14),"")</f>
        <v/>
      </c>
      <c r="R425">
        <f>IFERROR($C425*INDEX(SPPR!$E:$X,MATCH($A425,SPPR!$A:$A,0),15),"")</f>
        <v/>
      </c>
      <c r="S425">
        <f>IFERROR($C425*INDEX(SPPR!$E:$X,MATCH($A425,SPPR!$A:$A,0),16),"")</f>
        <v/>
      </c>
      <c r="T425">
        <f>IFERROR($C425*INDEX(SPPR!$E:$X,MATCH($A425,SPPR!$A:$A,0),17),"")</f>
        <v/>
      </c>
      <c r="U425">
        <f>IFERROR($C425*INDEX(SPPR!$E:$X,MATCH($A425,SPPR!$A:$A,0),18),"")</f>
        <v/>
      </c>
      <c r="V425">
        <f>IFERROR($C425*INDEX(SPPR!$E:$X,MATCH($A425,SPPR!$A:$A,0),19),"")</f>
        <v/>
      </c>
      <c r="W425">
        <f>IFERROR($C425*INDEX(SPPR!$E:$X,MATCH($A425,SPPR!$A:$A,0),20),"")</f>
        <v/>
      </c>
    </row>
    <row r="426">
      <c r="A426" t="inlineStr">
        <is>
          <t>Ruvettus pretiosus</t>
        </is>
      </c>
      <c r="B426">
        <f>IFERROR(INDEX(SPPR!$D:$D,MATCH($A426,SPPR!$A:$A,0)),"")</f>
        <v/>
      </c>
      <c r="C426">
        <f>IFERROR(INDEX(Catch!$E:$BV,MATCH($A426,Catch!$A:$A,0),MATCH($B$4,Catch!$E$1:$BV$1,0)),0)</f>
        <v/>
      </c>
      <c r="D426">
        <f>IFERROR($C426*INDEX(SPPR!$E:$X,MATCH($A426,SPPR!$A:$A,0),1),"")</f>
        <v/>
      </c>
      <c r="E426">
        <f>IFERROR($C426*INDEX(SPPR!$E:$X,MATCH($A426,SPPR!$A:$A,0),2),"")</f>
        <v/>
      </c>
      <c r="F426">
        <f>IFERROR($C426*INDEX(SPPR!$E:$X,MATCH($A426,SPPR!$A:$A,0),3),"")</f>
        <v/>
      </c>
      <c r="G426">
        <f>IFERROR($C426*INDEX(SPPR!$E:$X,MATCH($A426,SPPR!$A:$A,0),4),"")</f>
        <v/>
      </c>
      <c r="H426">
        <f>IFERROR($C426*INDEX(SPPR!$E:$X,MATCH($A426,SPPR!$A:$A,0),5),"")</f>
        <v/>
      </c>
      <c r="I426">
        <f>IFERROR($C426*INDEX(SPPR!$E:$X,MATCH($A426,SPPR!$A:$A,0),6),"")</f>
        <v/>
      </c>
      <c r="J426">
        <f>IFERROR($C426*INDEX(SPPR!$E:$X,MATCH($A426,SPPR!$A:$A,0),7),"")</f>
        <v/>
      </c>
      <c r="K426">
        <f>IFERROR($C426*INDEX(SPPR!$E:$X,MATCH($A426,SPPR!$A:$A,0),8),"")</f>
        <v/>
      </c>
      <c r="L426">
        <f>IFERROR($C426*INDEX(SPPR!$E:$X,MATCH($A426,SPPR!$A:$A,0),9),"")</f>
        <v/>
      </c>
      <c r="M426">
        <f>IFERROR($C426*INDEX(SPPR!$E:$X,MATCH($A426,SPPR!$A:$A,0),10),"")</f>
        <v/>
      </c>
      <c r="N426">
        <f>IFERROR($C426*INDEX(SPPR!$E:$X,MATCH($A426,SPPR!$A:$A,0),11),"")</f>
        <v/>
      </c>
      <c r="O426">
        <f>IFERROR($C426*INDEX(SPPR!$E:$X,MATCH($A426,SPPR!$A:$A,0),12),"")</f>
        <v/>
      </c>
      <c r="P426">
        <f>IFERROR($C426*INDEX(SPPR!$E:$X,MATCH($A426,SPPR!$A:$A,0),13),"")</f>
        <v/>
      </c>
      <c r="Q426">
        <f>IFERROR($C426*INDEX(SPPR!$E:$X,MATCH($A426,SPPR!$A:$A,0),14),"")</f>
        <v/>
      </c>
      <c r="R426">
        <f>IFERROR($C426*INDEX(SPPR!$E:$X,MATCH($A426,SPPR!$A:$A,0),15),"")</f>
        <v/>
      </c>
      <c r="S426">
        <f>IFERROR($C426*INDEX(SPPR!$E:$X,MATCH($A426,SPPR!$A:$A,0),16),"")</f>
        <v/>
      </c>
      <c r="T426">
        <f>IFERROR($C426*INDEX(SPPR!$E:$X,MATCH($A426,SPPR!$A:$A,0),17),"")</f>
        <v/>
      </c>
      <c r="U426">
        <f>IFERROR($C426*INDEX(SPPR!$E:$X,MATCH($A426,SPPR!$A:$A,0),18),"")</f>
        <v/>
      </c>
      <c r="V426">
        <f>IFERROR($C426*INDEX(SPPR!$E:$X,MATCH($A426,SPPR!$A:$A,0),19),"")</f>
        <v/>
      </c>
      <c r="W426">
        <f>IFERROR($C426*INDEX(SPPR!$E:$X,MATCH($A426,SPPR!$A:$A,0),20),"")</f>
        <v/>
      </c>
    </row>
    <row r="427">
      <c r="A427" t="inlineStr">
        <is>
          <t>Lepturacanthus savala</t>
        </is>
      </c>
      <c r="B427">
        <f>IFERROR(INDEX(SPPR!$D:$D,MATCH($A427,SPPR!$A:$A,0)),"")</f>
        <v/>
      </c>
      <c r="C427">
        <f>IFERROR(INDEX(Catch!$E:$BV,MATCH($A427,Catch!$A:$A,0),MATCH($B$4,Catch!$E$1:$BV$1,0)),0)</f>
        <v/>
      </c>
      <c r="D427">
        <f>IFERROR($C427*INDEX(SPPR!$E:$X,MATCH($A427,SPPR!$A:$A,0),1),"")</f>
        <v/>
      </c>
      <c r="E427">
        <f>IFERROR($C427*INDEX(SPPR!$E:$X,MATCH($A427,SPPR!$A:$A,0),2),"")</f>
        <v/>
      </c>
      <c r="F427">
        <f>IFERROR($C427*INDEX(SPPR!$E:$X,MATCH($A427,SPPR!$A:$A,0),3),"")</f>
        <v/>
      </c>
      <c r="G427">
        <f>IFERROR($C427*INDEX(SPPR!$E:$X,MATCH($A427,SPPR!$A:$A,0),4),"")</f>
        <v/>
      </c>
      <c r="H427">
        <f>IFERROR($C427*INDEX(SPPR!$E:$X,MATCH($A427,SPPR!$A:$A,0),5),"")</f>
        <v/>
      </c>
      <c r="I427">
        <f>IFERROR($C427*INDEX(SPPR!$E:$X,MATCH($A427,SPPR!$A:$A,0),6),"")</f>
        <v/>
      </c>
      <c r="J427">
        <f>IFERROR($C427*INDEX(SPPR!$E:$X,MATCH($A427,SPPR!$A:$A,0),7),"")</f>
        <v/>
      </c>
      <c r="K427">
        <f>IFERROR($C427*INDEX(SPPR!$E:$X,MATCH($A427,SPPR!$A:$A,0),8),"")</f>
        <v/>
      </c>
      <c r="L427">
        <f>IFERROR($C427*INDEX(SPPR!$E:$X,MATCH($A427,SPPR!$A:$A,0),9),"")</f>
        <v/>
      </c>
      <c r="M427">
        <f>IFERROR($C427*INDEX(SPPR!$E:$X,MATCH($A427,SPPR!$A:$A,0),10),"")</f>
        <v/>
      </c>
      <c r="N427">
        <f>IFERROR($C427*INDEX(SPPR!$E:$X,MATCH($A427,SPPR!$A:$A,0),11),"")</f>
        <v/>
      </c>
      <c r="O427">
        <f>IFERROR($C427*INDEX(SPPR!$E:$X,MATCH($A427,SPPR!$A:$A,0),12),"")</f>
        <v/>
      </c>
      <c r="P427">
        <f>IFERROR($C427*INDEX(SPPR!$E:$X,MATCH($A427,SPPR!$A:$A,0),13),"")</f>
        <v/>
      </c>
      <c r="Q427">
        <f>IFERROR($C427*INDEX(SPPR!$E:$X,MATCH($A427,SPPR!$A:$A,0),14),"")</f>
        <v/>
      </c>
      <c r="R427">
        <f>IFERROR($C427*INDEX(SPPR!$E:$X,MATCH($A427,SPPR!$A:$A,0),15),"")</f>
        <v/>
      </c>
      <c r="S427">
        <f>IFERROR($C427*INDEX(SPPR!$E:$X,MATCH($A427,SPPR!$A:$A,0),16),"")</f>
        <v/>
      </c>
      <c r="T427">
        <f>IFERROR($C427*INDEX(SPPR!$E:$X,MATCH($A427,SPPR!$A:$A,0),17),"")</f>
        <v/>
      </c>
      <c r="U427">
        <f>IFERROR($C427*INDEX(SPPR!$E:$X,MATCH($A427,SPPR!$A:$A,0),18),"")</f>
        <v/>
      </c>
      <c r="V427">
        <f>IFERROR($C427*INDEX(SPPR!$E:$X,MATCH($A427,SPPR!$A:$A,0),19),"")</f>
        <v/>
      </c>
      <c r="W427">
        <f>IFERROR($C427*INDEX(SPPR!$E:$X,MATCH($A427,SPPR!$A:$A,0),20),"")</f>
        <v/>
      </c>
    </row>
    <row r="428">
      <c r="A428" t="inlineStr">
        <is>
          <t>Mobula birostris</t>
        </is>
      </c>
      <c r="B428">
        <f>IFERROR(INDEX(SPPR!$D:$D,MATCH($A428,SPPR!$A:$A,0)),"")</f>
        <v/>
      </c>
      <c r="C428">
        <f>IFERROR(INDEX(Catch!$E:$BV,MATCH($A428,Catch!$A:$A,0),MATCH($B$4,Catch!$E$1:$BV$1,0)),0)</f>
        <v/>
      </c>
      <c r="D428">
        <f>IFERROR($C428*INDEX(SPPR!$E:$X,MATCH($A428,SPPR!$A:$A,0),1),"")</f>
        <v/>
      </c>
      <c r="E428">
        <f>IFERROR($C428*INDEX(SPPR!$E:$X,MATCH($A428,SPPR!$A:$A,0),2),"")</f>
        <v/>
      </c>
      <c r="F428">
        <f>IFERROR($C428*INDEX(SPPR!$E:$X,MATCH($A428,SPPR!$A:$A,0),3),"")</f>
        <v/>
      </c>
      <c r="G428">
        <f>IFERROR($C428*INDEX(SPPR!$E:$X,MATCH($A428,SPPR!$A:$A,0),4),"")</f>
        <v/>
      </c>
      <c r="H428">
        <f>IFERROR($C428*INDEX(SPPR!$E:$X,MATCH($A428,SPPR!$A:$A,0),5),"")</f>
        <v/>
      </c>
      <c r="I428">
        <f>IFERROR($C428*INDEX(SPPR!$E:$X,MATCH($A428,SPPR!$A:$A,0),6),"")</f>
        <v/>
      </c>
      <c r="J428">
        <f>IFERROR($C428*INDEX(SPPR!$E:$X,MATCH($A428,SPPR!$A:$A,0),7),"")</f>
        <v/>
      </c>
      <c r="K428">
        <f>IFERROR($C428*INDEX(SPPR!$E:$X,MATCH($A428,SPPR!$A:$A,0),8),"")</f>
        <v/>
      </c>
      <c r="L428">
        <f>IFERROR($C428*INDEX(SPPR!$E:$X,MATCH($A428,SPPR!$A:$A,0),9),"")</f>
        <v/>
      </c>
      <c r="M428">
        <f>IFERROR($C428*INDEX(SPPR!$E:$X,MATCH($A428,SPPR!$A:$A,0),10),"")</f>
        <v/>
      </c>
      <c r="N428">
        <f>IFERROR($C428*INDEX(SPPR!$E:$X,MATCH($A428,SPPR!$A:$A,0),11),"")</f>
        <v/>
      </c>
      <c r="O428">
        <f>IFERROR($C428*INDEX(SPPR!$E:$X,MATCH($A428,SPPR!$A:$A,0),12),"")</f>
        <v/>
      </c>
      <c r="P428">
        <f>IFERROR($C428*INDEX(SPPR!$E:$X,MATCH($A428,SPPR!$A:$A,0),13),"")</f>
        <v/>
      </c>
      <c r="Q428">
        <f>IFERROR($C428*INDEX(SPPR!$E:$X,MATCH($A428,SPPR!$A:$A,0),14),"")</f>
        <v/>
      </c>
      <c r="R428">
        <f>IFERROR($C428*INDEX(SPPR!$E:$X,MATCH($A428,SPPR!$A:$A,0),15),"")</f>
        <v/>
      </c>
      <c r="S428">
        <f>IFERROR($C428*INDEX(SPPR!$E:$X,MATCH($A428,SPPR!$A:$A,0),16),"")</f>
        <v/>
      </c>
      <c r="T428">
        <f>IFERROR($C428*INDEX(SPPR!$E:$X,MATCH($A428,SPPR!$A:$A,0),17),"")</f>
        <v/>
      </c>
      <c r="U428">
        <f>IFERROR($C428*INDEX(SPPR!$E:$X,MATCH($A428,SPPR!$A:$A,0),18),"")</f>
        <v/>
      </c>
      <c r="V428">
        <f>IFERROR($C428*INDEX(SPPR!$E:$X,MATCH($A428,SPPR!$A:$A,0),19),"")</f>
        <v/>
      </c>
      <c r="W428">
        <f>IFERROR($C428*INDEX(SPPR!$E:$X,MATCH($A428,SPPR!$A:$A,0),20),"")</f>
        <v/>
      </c>
    </row>
    <row r="429">
      <c r="A429" t="inlineStr">
        <is>
          <t>Gymnocranius grandoculis</t>
        </is>
      </c>
      <c r="B429">
        <f>IFERROR(INDEX(SPPR!$D:$D,MATCH($A429,SPPR!$A:$A,0)),"")</f>
        <v/>
      </c>
      <c r="C429">
        <f>IFERROR(INDEX(Catch!$E:$BV,MATCH($A429,Catch!$A:$A,0),MATCH($B$4,Catch!$E$1:$BV$1,0)),0)</f>
        <v/>
      </c>
      <c r="D429">
        <f>IFERROR($C429*INDEX(SPPR!$E:$X,MATCH($A429,SPPR!$A:$A,0),1),"")</f>
        <v/>
      </c>
      <c r="E429">
        <f>IFERROR($C429*INDEX(SPPR!$E:$X,MATCH($A429,SPPR!$A:$A,0),2),"")</f>
        <v/>
      </c>
      <c r="F429">
        <f>IFERROR($C429*INDEX(SPPR!$E:$X,MATCH($A429,SPPR!$A:$A,0),3),"")</f>
        <v/>
      </c>
      <c r="G429">
        <f>IFERROR($C429*INDEX(SPPR!$E:$X,MATCH($A429,SPPR!$A:$A,0),4),"")</f>
        <v/>
      </c>
      <c r="H429">
        <f>IFERROR($C429*INDEX(SPPR!$E:$X,MATCH($A429,SPPR!$A:$A,0),5),"")</f>
        <v/>
      </c>
      <c r="I429">
        <f>IFERROR($C429*INDEX(SPPR!$E:$X,MATCH($A429,SPPR!$A:$A,0),6),"")</f>
        <v/>
      </c>
      <c r="J429">
        <f>IFERROR($C429*INDEX(SPPR!$E:$X,MATCH($A429,SPPR!$A:$A,0),7),"")</f>
        <v/>
      </c>
      <c r="K429">
        <f>IFERROR($C429*INDEX(SPPR!$E:$X,MATCH($A429,SPPR!$A:$A,0),8),"")</f>
        <v/>
      </c>
      <c r="L429">
        <f>IFERROR($C429*INDEX(SPPR!$E:$X,MATCH($A429,SPPR!$A:$A,0),9),"")</f>
        <v/>
      </c>
      <c r="M429">
        <f>IFERROR($C429*INDEX(SPPR!$E:$X,MATCH($A429,SPPR!$A:$A,0),10),"")</f>
        <v/>
      </c>
      <c r="N429">
        <f>IFERROR($C429*INDEX(SPPR!$E:$X,MATCH($A429,SPPR!$A:$A,0),11),"")</f>
        <v/>
      </c>
      <c r="O429">
        <f>IFERROR($C429*INDEX(SPPR!$E:$X,MATCH($A429,SPPR!$A:$A,0),12),"")</f>
        <v/>
      </c>
      <c r="P429">
        <f>IFERROR($C429*INDEX(SPPR!$E:$X,MATCH($A429,SPPR!$A:$A,0),13),"")</f>
        <v/>
      </c>
      <c r="Q429">
        <f>IFERROR($C429*INDEX(SPPR!$E:$X,MATCH($A429,SPPR!$A:$A,0),14),"")</f>
        <v/>
      </c>
      <c r="R429">
        <f>IFERROR($C429*INDEX(SPPR!$E:$X,MATCH($A429,SPPR!$A:$A,0),15),"")</f>
        <v/>
      </c>
      <c r="S429">
        <f>IFERROR($C429*INDEX(SPPR!$E:$X,MATCH($A429,SPPR!$A:$A,0),16),"")</f>
        <v/>
      </c>
      <c r="T429">
        <f>IFERROR($C429*INDEX(SPPR!$E:$X,MATCH($A429,SPPR!$A:$A,0),17),"")</f>
        <v/>
      </c>
      <c r="U429">
        <f>IFERROR($C429*INDEX(SPPR!$E:$X,MATCH($A429,SPPR!$A:$A,0),18),"")</f>
        <v/>
      </c>
      <c r="V429">
        <f>IFERROR($C429*INDEX(SPPR!$E:$X,MATCH($A429,SPPR!$A:$A,0),19),"")</f>
        <v/>
      </c>
      <c r="W429">
        <f>IFERROR($C429*INDEX(SPPR!$E:$X,MATCH($A429,SPPR!$A:$A,0),20),"")</f>
        <v/>
      </c>
    </row>
    <row r="430">
      <c r="A430" t="inlineStr">
        <is>
          <t>Lepidocybium flavobrunneum</t>
        </is>
      </c>
      <c r="B430">
        <f>IFERROR(INDEX(SPPR!$D:$D,MATCH($A430,SPPR!$A:$A,0)),"")</f>
        <v/>
      </c>
      <c r="C430">
        <f>IFERROR(INDEX(Catch!$E:$BV,MATCH($A430,Catch!$A:$A,0),MATCH($B$4,Catch!$E$1:$BV$1,0)),0)</f>
        <v/>
      </c>
      <c r="D430">
        <f>IFERROR($C430*INDEX(SPPR!$E:$X,MATCH($A430,SPPR!$A:$A,0),1),"")</f>
        <v/>
      </c>
      <c r="E430">
        <f>IFERROR($C430*INDEX(SPPR!$E:$X,MATCH($A430,SPPR!$A:$A,0),2),"")</f>
        <v/>
      </c>
      <c r="F430">
        <f>IFERROR($C430*INDEX(SPPR!$E:$X,MATCH($A430,SPPR!$A:$A,0),3),"")</f>
        <v/>
      </c>
      <c r="G430">
        <f>IFERROR($C430*INDEX(SPPR!$E:$X,MATCH($A430,SPPR!$A:$A,0),4),"")</f>
        <v/>
      </c>
      <c r="H430">
        <f>IFERROR($C430*INDEX(SPPR!$E:$X,MATCH($A430,SPPR!$A:$A,0),5),"")</f>
        <v/>
      </c>
      <c r="I430">
        <f>IFERROR($C430*INDEX(SPPR!$E:$X,MATCH($A430,SPPR!$A:$A,0),6),"")</f>
        <v/>
      </c>
      <c r="J430">
        <f>IFERROR($C430*INDEX(SPPR!$E:$X,MATCH($A430,SPPR!$A:$A,0),7),"")</f>
        <v/>
      </c>
      <c r="K430">
        <f>IFERROR($C430*INDEX(SPPR!$E:$X,MATCH($A430,SPPR!$A:$A,0),8),"")</f>
        <v/>
      </c>
      <c r="L430">
        <f>IFERROR($C430*INDEX(SPPR!$E:$X,MATCH($A430,SPPR!$A:$A,0),9),"")</f>
        <v/>
      </c>
      <c r="M430">
        <f>IFERROR($C430*INDEX(SPPR!$E:$X,MATCH($A430,SPPR!$A:$A,0),10),"")</f>
        <v/>
      </c>
      <c r="N430">
        <f>IFERROR($C430*INDEX(SPPR!$E:$X,MATCH($A430,SPPR!$A:$A,0),11),"")</f>
        <v/>
      </c>
      <c r="O430">
        <f>IFERROR($C430*INDEX(SPPR!$E:$X,MATCH($A430,SPPR!$A:$A,0),12),"")</f>
        <v/>
      </c>
      <c r="P430">
        <f>IFERROR($C430*INDEX(SPPR!$E:$X,MATCH($A430,SPPR!$A:$A,0),13),"")</f>
        <v/>
      </c>
      <c r="Q430">
        <f>IFERROR($C430*INDEX(SPPR!$E:$X,MATCH($A430,SPPR!$A:$A,0),14),"")</f>
        <v/>
      </c>
      <c r="R430">
        <f>IFERROR($C430*INDEX(SPPR!$E:$X,MATCH($A430,SPPR!$A:$A,0),15),"")</f>
        <v/>
      </c>
      <c r="S430">
        <f>IFERROR($C430*INDEX(SPPR!$E:$X,MATCH($A430,SPPR!$A:$A,0),16),"")</f>
        <v/>
      </c>
      <c r="T430">
        <f>IFERROR($C430*INDEX(SPPR!$E:$X,MATCH($A430,SPPR!$A:$A,0),17),"")</f>
        <v/>
      </c>
      <c r="U430">
        <f>IFERROR($C430*INDEX(SPPR!$E:$X,MATCH($A430,SPPR!$A:$A,0),18),"")</f>
        <v/>
      </c>
      <c r="V430">
        <f>IFERROR($C430*INDEX(SPPR!$E:$X,MATCH($A430,SPPR!$A:$A,0),19),"")</f>
        <v/>
      </c>
      <c r="W430">
        <f>IFERROR($C430*INDEX(SPPR!$E:$X,MATCH($A430,SPPR!$A:$A,0),20),"")</f>
        <v/>
      </c>
    </row>
    <row r="431">
      <c r="A431" t="inlineStr">
        <is>
          <t>Plotosus lineatus</t>
        </is>
      </c>
      <c r="B431">
        <f>IFERROR(INDEX(SPPR!$D:$D,MATCH($A431,SPPR!$A:$A,0)),"")</f>
        <v/>
      </c>
      <c r="C431">
        <f>IFERROR(INDEX(Catch!$E:$BV,MATCH($A431,Catch!$A:$A,0),MATCH($B$4,Catch!$E$1:$BV$1,0)),0)</f>
        <v/>
      </c>
      <c r="D431">
        <f>IFERROR($C431*INDEX(SPPR!$E:$X,MATCH($A431,SPPR!$A:$A,0),1),"")</f>
        <v/>
      </c>
      <c r="E431">
        <f>IFERROR($C431*INDEX(SPPR!$E:$X,MATCH($A431,SPPR!$A:$A,0),2),"")</f>
        <v/>
      </c>
      <c r="F431">
        <f>IFERROR($C431*INDEX(SPPR!$E:$X,MATCH($A431,SPPR!$A:$A,0),3),"")</f>
        <v/>
      </c>
      <c r="G431">
        <f>IFERROR($C431*INDEX(SPPR!$E:$X,MATCH($A431,SPPR!$A:$A,0),4),"")</f>
        <v/>
      </c>
      <c r="H431">
        <f>IFERROR($C431*INDEX(SPPR!$E:$X,MATCH($A431,SPPR!$A:$A,0),5),"")</f>
        <v/>
      </c>
      <c r="I431">
        <f>IFERROR($C431*INDEX(SPPR!$E:$X,MATCH($A431,SPPR!$A:$A,0),6),"")</f>
        <v/>
      </c>
      <c r="J431">
        <f>IFERROR($C431*INDEX(SPPR!$E:$X,MATCH($A431,SPPR!$A:$A,0),7),"")</f>
        <v/>
      </c>
      <c r="K431">
        <f>IFERROR($C431*INDEX(SPPR!$E:$X,MATCH($A431,SPPR!$A:$A,0),8),"")</f>
        <v/>
      </c>
      <c r="L431">
        <f>IFERROR($C431*INDEX(SPPR!$E:$X,MATCH($A431,SPPR!$A:$A,0),9),"")</f>
        <v/>
      </c>
      <c r="M431">
        <f>IFERROR($C431*INDEX(SPPR!$E:$X,MATCH($A431,SPPR!$A:$A,0),10),"")</f>
        <v/>
      </c>
      <c r="N431">
        <f>IFERROR($C431*INDEX(SPPR!$E:$X,MATCH($A431,SPPR!$A:$A,0),11),"")</f>
        <v/>
      </c>
      <c r="O431">
        <f>IFERROR($C431*INDEX(SPPR!$E:$X,MATCH($A431,SPPR!$A:$A,0),12),"")</f>
        <v/>
      </c>
      <c r="P431">
        <f>IFERROR($C431*INDEX(SPPR!$E:$X,MATCH($A431,SPPR!$A:$A,0),13),"")</f>
        <v/>
      </c>
      <c r="Q431">
        <f>IFERROR($C431*INDEX(SPPR!$E:$X,MATCH($A431,SPPR!$A:$A,0),14),"")</f>
        <v/>
      </c>
      <c r="R431">
        <f>IFERROR($C431*INDEX(SPPR!$E:$X,MATCH($A431,SPPR!$A:$A,0),15),"")</f>
        <v/>
      </c>
      <c r="S431">
        <f>IFERROR($C431*INDEX(SPPR!$E:$X,MATCH($A431,SPPR!$A:$A,0),16),"")</f>
        <v/>
      </c>
      <c r="T431">
        <f>IFERROR($C431*INDEX(SPPR!$E:$X,MATCH($A431,SPPR!$A:$A,0),17),"")</f>
        <v/>
      </c>
      <c r="U431">
        <f>IFERROR($C431*INDEX(SPPR!$E:$X,MATCH($A431,SPPR!$A:$A,0),18),"")</f>
        <v/>
      </c>
      <c r="V431">
        <f>IFERROR($C431*INDEX(SPPR!$E:$X,MATCH($A431,SPPR!$A:$A,0),19),"")</f>
        <v/>
      </c>
      <c r="W431">
        <f>IFERROR($C431*INDEX(SPPR!$E:$X,MATCH($A431,SPPR!$A:$A,0),20),"")</f>
        <v/>
      </c>
    </row>
    <row r="432">
      <c r="A432" t="inlineStr">
        <is>
          <t>Lampris guttatus</t>
        </is>
      </c>
      <c r="B432">
        <f>IFERROR(INDEX(SPPR!$D:$D,MATCH($A432,SPPR!$A:$A,0)),"")</f>
        <v/>
      </c>
      <c r="C432">
        <f>IFERROR(INDEX(Catch!$E:$BV,MATCH($A432,Catch!$A:$A,0),MATCH($B$4,Catch!$E$1:$BV$1,0)),0)</f>
        <v/>
      </c>
      <c r="D432">
        <f>IFERROR($C432*INDEX(SPPR!$E:$X,MATCH($A432,SPPR!$A:$A,0),1),"")</f>
        <v/>
      </c>
      <c r="E432">
        <f>IFERROR($C432*INDEX(SPPR!$E:$X,MATCH($A432,SPPR!$A:$A,0),2),"")</f>
        <v/>
      </c>
      <c r="F432">
        <f>IFERROR($C432*INDEX(SPPR!$E:$X,MATCH($A432,SPPR!$A:$A,0),3),"")</f>
        <v/>
      </c>
      <c r="G432">
        <f>IFERROR($C432*INDEX(SPPR!$E:$X,MATCH($A432,SPPR!$A:$A,0),4),"")</f>
        <v/>
      </c>
      <c r="H432">
        <f>IFERROR($C432*INDEX(SPPR!$E:$X,MATCH($A432,SPPR!$A:$A,0),5),"")</f>
        <v/>
      </c>
      <c r="I432">
        <f>IFERROR($C432*INDEX(SPPR!$E:$X,MATCH($A432,SPPR!$A:$A,0),6),"")</f>
        <v/>
      </c>
      <c r="J432">
        <f>IFERROR($C432*INDEX(SPPR!$E:$X,MATCH($A432,SPPR!$A:$A,0),7),"")</f>
        <v/>
      </c>
      <c r="K432">
        <f>IFERROR($C432*INDEX(SPPR!$E:$X,MATCH($A432,SPPR!$A:$A,0),8),"")</f>
        <v/>
      </c>
      <c r="L432">
        <f>IFERROR($C432*INDEX(SPPR!$E:$X,MATCH($A432,SPPR!$A:$A,0),9),"")</f>
        <v/>
      </c>
      <c r="M432">
        <f>IFERROR($C432*INDEX(SPPR!$E:$X,MATCH($A432,SPPR!$A:$A,0),10),"")</f>
        <v/>
      </c>
      <c r="N432">
        <f>IFERROR($C432*INDEX(SPPR!$E:$X,MATCH($A432,SPPR!$A:$A,0),11),"")</f>
        <v/>
      </c>
      <c r="O432">
        <f>IFERROR($C432*INDEX(SPPR!$E:$X,MATCH($A432,SPPR!$A:$A,0),12),"")</f>
        <v/>
      </c>
      <c r="P432">
        <f>IFERROR($C432*INDEX(SPPR!$E:$X,MATCH($A432,SPPR!$A:$A,0),13),"")</f>
        <v/>
      </c>
      <c r="Q432">
        <f>IFERROR($C432*INDEX(SPPR!$E:$X,MATCH($A432,SPPR!$A:$A,0),14),"")</f>
        <v/>
      </c>
      <c r="R432">
        <f>IFERROR($C432*INDEX(SPPR!$E:$X,MATCH($A432,SPPR!$A:$A,0),15),"")</f>
        <v/>
      </c>
      <c r="S432">
        <f>IFERROR($C432*INDEX(SPPR!$E:$X,MATCH($A432,SPPR!$A:$A,0),16),"")</f>
        <v/>
      </c>
      <c r="T432">
        <f>IFERROR($C432*INDEX(SPPR!$E:$X,MATCH($A432,SPPR!$A:$A,0),17),"")</f>
        <v/>
      </c>
      <c r="U432">
        <f>IFERROR($C432*INDEX(SPPR!$E:$X,MATCH($A432,SPPR!$A:$A,0),18),"")</f>
        <v/>
      </c>
      <c r="V432">
        <f>IFERROR($C432*INDEX(SPPR!$E:$X,MATCH($A432,SPPR!$A:$A,0),19),"")</f>
        <v/>
      </c>
      <c r="W432">
        <f>IFERROR($C432*INDEX(SPPR!$E:$X,MATCH($A432,SPPR!$A:$A,0),20),"")</f>
        <v/>
      </c>
    </row>
    <row r="433">
      <c r="A433" t="inlineStr">
        <is>
          <t>Carcharhinus macloti</t>
        </is>
      </c>
      <c r="B433">
        <f>IFERROR(INDEX(SPPR!$D:$D,MATCH($A433,SPPR!$A:$A,0)),"")</f>
        <v/>
      </c>
      <c r="C433">
        <f>IFERROR(INDEX(Catch!$E:$BV,MATCH($A433,Catch!$A:$A,0),MATCH($B$4,Catch!$E$1:$BV$1,0)),0)</f>
        <v/>
      </c>
      <c r="D433">
        <f>IFERROR($C433*INDEX(SPPR!$E:$X,MATCH($A433,SPPR!$A:$A,0),1),"")</f>
        <v/>
      </c>
      <c r="E433">
        <f>IFERROR($C433*INDEX(SPPR!$E:$X,MATCH($A433,SPPR!$A:$A,0),2),"")</f>
        <v/>
      </c>
      <c r="F433">
        <f>IFERROR($C433*INDEX(SPPR!$E:$X,MATCH($A433,SPPR!$A:$A,0),3),"")</f>
        <v/>
      </c>
      <c r="G433">
        <f>IFERROR($C433*INDEX(SPPR!$E:$X,MATCH($A433,SPPR!$A:$A,0),4),"")</f>
        <v/>
      </c>
      <c r="H433">
        <f>IFERROR($C433*INDEX(SPPR!$E:$X,MATCH($A433,SPPR!$A:$A,0),5),"")</f>
        <v/>
      </c>
      <c r="I433">
        <f>IFERROR($C433*INDEX(SPPR!$E:$X,MATCH($A433,SPPR!$A:$A,0),6),"")</f>
        <v/>
      </c>
      <c r="J433">
        <f>IFERROR($C433*INDEX(SPPR!$E:$X,MATCH($A433,SPPR!$A:$A,0),7),"")</f>
        <v/>
      </c>
      <c r="K433">
        <f>IFERROR($C433*INDEX(SPPR!$E:$X,MATCH($A433,SPPR!$A:$A,0),8),"")</f>
        <v/>
      </c>
      <c r="L433">
        <f>IFERROR($C433*INDEX(SPPR!$E:$X,MATCH($A433,SPPR!$A:$A,0),9),"")</f>
        <v/>
      </c>
      <c r="M433">
        <f>IFERROR($C433*INDEX(SPPR!$E:$X,MATCH($A433,SPPR!$A:$A,0),10),"")</f>
        <v/>
      </c>
      <c r="N433">
        <f>IFERROR($C433*INDEX(SPPR!$E:$X,MATCH($A433,SPPR!$A:$A,0),11),"")</f>
        <v/>
      </c>
      <c r="O433">
        <f>IFERROR($C433*INDEX(SPPR!$E:$X,MATCH($A433,SPPR!$A:$A,0),12),"")</f>
        <v/>
      </c>
      <c r="P433">
        <f>IFERROR($C433*INDEX(SPPR!$E:$X,MATCH($A433,SPPR!$A:$A,0),13),"")</f>
        <v/>
      </c>
      <c r="Q433">
        <f>IFERROR($C433*INDEX(SPPR!$E:$X,MATCH($A433,SPPR!$A:$A,0),14),"")</f>
        <v/>
      </c>
      <c r="R433">
        <f>IFERROR($C433*INDEX(SPPR!$E:$X,MATCH($A433,SPPR!$A:$A,0),15),"")</f>
        <v/>
      </c>
      <c r="S433">
        <f>IFERROR($C433*INDEX(SPPR!$E:$X,MATCH($A433,SPPR!$A:$A,0),16),"")</f>
        <v/>
      </c>
      <c r="T433">
        <f>IFERROR($C433*INDEX(SPPR!$E:$X,MATCH($A433,SPPR!$A:$A,0),17),"")</f>
        <v/>
      </c>
      <c r="U433">
        <f>IFERROR($C433*INDEX(SPPR!$E:$X,MATCH($A433,SPPR!$A:$A,0),18),"")</f>
        <v/>
      </c>
      <c r="V433">
        <f>IFERROR($C433*INDEX(SPPR!$E:$X,MATCH($A433,SPPR!$A:$A,0),19),"")</f>
        <v/>
      </c>
      <c r="W433">
        <f>IFERROR($C433*INDEX(SPPR!$E:$X,MATCH($A433,SPPR!$A:$A,0),20),"")</f>
        <v/>
      </c>
    </row>
    <row r="434">
      <c r="A434" t="inlineStr">
        <is>
          <t>Labridae</t>
        </is>
      </c>
      <c r="B434">
        <f>IFERROR(INDEX(SPPR!$D:$D,MATCH($A434,SPPR!$A:$A,0)),"")</f>
        <v/>
      </c>
      <c r="C434">
        <f>IFERROR(INDEX(Catch!$E:$BV,MATCH($A434,Catch!$A:$A,0),MATCH($B$4,Catch!$E$1:$BV$1,0)),0)</f>
        <v/>
      </c>
      <c r="D434">
        <f>IFERROR($C434*INDEX(SPPR!$E:$X,MATCH($A434,SPPR!$A:$A,0),1),"")</f>
        <v/>
      </c>
      <c r="E434">
        <f>IFERROR($C434*INDEX(SPPR!$E:$X,MATCH($A434,SPPR!$A:$A,0),2),"")</f>
        <v/>
      </c>
      <c r="F434">
        <f>IFERROR($C434*INDEX(SPPR!$E:$X,MATCH($A434,SPPR!$A:$A,0),3),"")</f>
        <v/>
      </c>
      <c r="G434">
        <f>IFERROR($C434*INDEX(SPPR!$E:$X,MATCH($A434,SPPR!$A:$A,0),4),"")</f>
        <v/>
      </c>
      <c r="H434">
        <f>IFERROR($C434*INDEX(SPPR!$E:$X,MATCH($A434,SPPR!$A:$A,0),5),"")</f>
        <v/>
      </c>
      <c r="I434">
        <f>IFERROR($C434*INDEX(SPPR!$E:$X,MATCH($A434,SPPR!$A:$A,0),6),"")</f>
        <v/>
      </c>
      <c r="J434">
        <f>IFERROR($C434*INDEX(SPPR!$E:$X,MATCH($A434,SPPR!$A:$A,0),7),"")</f>
        <v/>
      </c>
      <c r="K434">
        <f>IFERROR($C434*INDEX(SPPR!$E:$X,MATCH($A434,SPPR!$A:$A,0),8),"")</f>
        <v/>
      </c>
      <c r="L434">
        <f>IFERROR($C434*INDEX(SPPR!$E:$X,MATCH($A434,SPPR!$A:$A,0),9),"")</f>
        <v/>
      </c>
      <c r="M434">
        <f>IFERROR($C434*INDEX(SPPR!$E:$X,MATCH($A434,SPPR!$A:$A,0),10),"")</f>
        <v/>
      </c>
      <c r="N434">
        <f>IFERROR($C434*INDEX(SPPR!$E:$X,MATCH($A434,SPPR!$A:$A,0),11),"")</f>
        <v/>
      </c>
      <c r="O434">
        <f>IFERROR($C434*INDEX(SPPR!$E:$X,MATCH($A434,SPPR!$A:$A,0),12),"")</f>
        <v/>
      </c>
      <c r="P434">
        <f>IFERROR($C434*INDEX(SPPR!$E:$X,MATCH($A434,SPPR!$A:$A,0),13),"")</f>
        <v/>
      </c>
      <c r="Q434">
        <f>IFERROR($C434*INDEX(SPPR!$E:$X,MATCH($A434,SPPR!$A:$A,0),14),"")</f>
        <v/>
      </c>
      <c r="R434">
        <f>IFERROR($C434*INDEX(SPPR!$E:$X,MATCH($A434,SPPR!$A:$A,0),15),"")</f>
        <v/>
      </c>
      <c r="S434">
        <f>IFERROR($C434*INDEX(SPPR!$E:$X,MATCH($A434,SPPR!$A:$A,0),16),"")</f>
        <v/>
      </c>
      <c r="T434">
        <f>IFERROR($C434*INDEX(SPPR!$E:$X,MATCH($A434,SPPR!$A:$A,0),17),"")</f>
        <v/>
      </c>
      <c r="U434">
        <f>IFERROR($C434*INDEX(SPPR!$E:$X,MATCH($A434,SPPR!$A:$A,0),18),"")</f>
        <v/>
      </c>
      <c r="V434">
        <f>IFERROR($C434*INDEX(SPPR!$E:$X,MATCH($A434,SPPR!$A:$A,0),19),"")</f>
        <v/>
      </c>
      <c r="W434">
        <f>IFERROR($C434*INDEX(SPPR!$E:$X,MATCH($A434,SPPR!$A:$A,0),20),"")</f>
        <v/>
      </c>
    </row>
    <row r="435">
      <c r="A435" t="inlineStr">
        <is>
          <t>Portunus</t>
        </is>
      </c>
      <c r="B435">
        <f>IFERROR(INDEX(SPPR!$D:$D,MATCH($A435,SPPR!$A:$A,0)),"")</f>
        <v/>
      </c>
      <c r="C435">
        <f>IFERROR(INDEX(Catch!$E:$BV,MATCH($A435,Catch!$A:$A,0),MATCH($B$4,Catch!$E$1:$BV$1,0)),0)</f>
        <v/>
      </c>
      <c r="D435">
        <f>IFERROR($C435*INDEX(SPPR!$E:$X,MATCH($A435,SPPR!$A:$A,0),1),"")</f>
        <v/>
      </c>
      <c r="E435">
        <f>IFERROR($C435*INDEX(SPPR!$E:$X,MATCH($A435,SPPR!$A:$A,0),2),"")</f>
        <v/>
      </c>
      <c r="F435">
        <f>IFERROR($C435*INDEX(SPPR!$E:$X,MATCH($A435,SPPR!$A:$A,0),3),"")</f>
        <v/>
      </c>
      <c r="G435">
        <f>IFERROR($C435*INDEX(SPPR!$E:$X,MATCH($A435,SPPR!$A:$A,0),4),"")</f>
        <v/>
      </c>
      <c r="H435">
        <f>IFERROR($C435*INDEX(SPPR!$E:$X,MATCH($A435,SPPR!$A:$A,0),5),"")</f>
        <v/>
      </c>
      <c r="I435">
        <f>IFERROR($C435*INDEX(SPPR!$E:$X,MATCH($A435,SPPR!$A:$A,0),6),"")</f>
        <v/>
      </c>
      <c r="J435">
        <f>IFERROR($C435*INDEX(SPPR!$E:$X,MATCH($A435,SPPR!$A:$A,0),7),"")</f>
        <v/>
      </c>
      <c r="K435">
        <f>IFERROR($C435*INDEX(SPPR!$E:$X,MATCH($A435,SPPR!$A:$A,0),8),"")</f>
        <v/>
      </c>
      <c r="L435">
        <f>IFERROR($C435*INDEX(SPPR!$E:$X,MATCH($A435,SPPR!$A:$A,0),9),"")</f>
        <v/>
      </c>
      <c r="M435">
        <f>IFERROR($C435*INDEX(SPPR!$E:$X,MATCH($A435,SPPR!$A:$A,0),10),"")</f>
        <v/>
      </c>
      <c r="N435">
        <f>IFERROR($C435*INDEX(SPPR!$E:$X,MATCH($A435,SPPR!$A:$A,0),11),"")</f>
        <v/>
      </c>
      <c r="O435">
        <f>IFERROR($C435*INDEX(SPPR!$E:$X,MATCH($A435,SPPR!$A:$A,0),12),"")</f>
        <v/>
      </c>
      <c r="P435">
        <f>IFERROR($C435*INDEX(SPPR!$E:$X,MATCH($A435,SPPR!$A:$A,0),13),"")</f>
        <v/>
      </c>
      <c r="Q435">
        <f>IFERROR($C435*INDEX(SPPR!$E:$X,MATCH($A435,SPPR!$A:$A,0),14),"")</f>
        <v/>
      </c>
      <c r="R435">
        <f>IFERROR($C435*INDEX(SPPR!$E:$X,MATCH($A435,SPPR!$A:$A,0),15),"")</f>
        <v/>
      </c>
      <c r="S435">
        <f>IFERROR($C435*INDEX(SPPR!$E:$X,MATCH($A435,SPPR!$A:$A,0),16),"")</f>
        <v/>
      </c>
      <c r="T435">
        <f>IFERROR($C435*INDEX(SPPR!$E:$X,MATCH($A435,SPPR!$A:$A,0),17),"")</f>
        <v/>
      </c>
      <c r="U435">
        <f>IFERROR($C435*INDEX(SPPR!$E:$X,MATCH($A435,SPPR!$A:$A,0),18),"")</f>
        <v/>
      </c>
      <c r="V435">
        <f>IFERROR($C435*INDEX(SPPR!$E:$X,MATCH($A435,SPPR!$A:$A,0),19),"")</f>
        <v/>
      </c>
      <c r="W435">
        <f>IFERROR($C435*INDEX(SPPR!$E:$X,MATCH($A435,SPPR!$A:$A,0),20),"")</f>
        <v/>
      </c>
    </row>
    <row r="436">
      <c r="A436" t="inlineStr">
        <is>
          <t>Pomacanthidae</t>
        </is>
      </c>
      <c r="B436">
        <f>IFERROR(INDEX(SPPR!$D:$D,MATCH($A436,SPPR!$A:$A,0)),"")</f>
        <v/>
      </c>
      <c r="C436">
        <f>IFERROR(INDEX(Catch!$E:$BV,MATCH($A436,Catch!$A:$A,0),MATCH($B$4,Catch!$E$1:$BV$1,0)),0)</f>
        <v/>
      </c>
      <c r="D436">
        <f>IFERROR($C436*INDEX(SPPR!$E:$X,MATCH($A436,SPPR!$A:$A,0),1),"")</f>
        <v/>
      </c>
      <c r="E436">
        <f>IFERROR($C436*INDEX(SPPR!$E:$X,MATCH($A436,SPPR!$A:$A,0),2),"")</f>
        <v/>
      </c>
      <c r="F436">
        <f>IFERROR($C436*INDEX(SPPR!$E:$X,MATCH($A436,SPPR!$A:$A,0),3),"")</f>
        <v/>
      </c>
      <c r="G436">
        <f>IFERROR($C436*INDEX(SPPR!$E:$X,MATCH($A436,SPPR!$A:$A,0),4),"")</f>
        <v/>
      </c>
      <c r="H436">
        <f>IFERROR($C436*INDEX(SPPR!$E:$X,MATCH($A436,SPPR!$A:$A,0),5),"")</f>
        <v/>
      </c>
      <c r="I436">
        <f>IFERROR($C436*INDEX(SPPR!$E:$X,MATCH($A436,SPPR!$A:$A,0),6),"")</f>
        <v/>
      </c>
      <c r="J436">
        <f>IFERROR($C436*INDEX(SPPR!$E:$X,MATCH($A436,SPPR!$A:$A,0),7),"")</f>
        <v/>
      </c>
      <c r="K436">
        <f>IFERROR($C436*INDEX(SPPR!$E:$X,MATCH($A436,SPPR!$A:$A,0),8),"")</f>
        <v/>
      </c>
      <c r="L436">
        <f>IFERROR($C436*INDEX(SPPR!$E:$X,MATCH($A436,SPPR!$A:$A,0),9),"")</f>
        <v/>
      </c>
      <c r="M436">
        <f>IFERROR($C436*INDEX(SPPR!$E:$X,MATCH($A436,SPPR!$A:$A,0),10),"")</f>
        <v/>
      </c>
      <c r="N436">
        <f>IFERROR($C436*INDEX(SPPR!$E:$X,MATCH($A436,SPPR!$A:$A,0),11),"")</f>
        <v/>
      </c>
      <c r="O436">
        <f>IFERROR($C436*INDEX(SPPR!$E:$X,MATCH($A436,SPPR!$A:$A,0),12),"")</f>
        <v/>
      </c>
      <c r="P436">
        <f>IFERROR($C436*INDEX(SPPR!$E:$X,MATCH($A436,SPPR!$A:$A,0),13),"")</f>
        <v/>
      </c>
      <c r="Q436">
        <f>IFERROR($C436*INDEX(SPPR!$E:$X,MATCH($A436,SPPR!$A:$A,0),14),"")</f>
        <v/>
      </c>
      <c r="R436">
        <f>IFERROR($C436*INDEX(SPPR!$E:$X,MATCH($A436,SPPR!$A:$A,0),15),"")</f>
        <v/>
      </c>
      <c r="S436">
        <f>IFERROR($C436*INDEX(SPPR!$E:$X,MATCH($A436,SPPR!$A:$A,0),16),"")</f>
        <v/>
      </c>
      <c r="T436">
        <f>IFERROR($C436*INDEX(SPPR!$E:$X,MATCH($A436,SPPR!$A:$A,0),17),"")</f>
        <v/>
      </c>
      <c r="U436">
        <f>IFERROR($C436*INDEX(SPPR!$E:$X,MATCH($A436,SPPR!$A:$A,0),18),"")</f>
        <v/>
      </c>
      <c r="V436">
        <f>IFERROR($C436*INDEX(SPPR!$E:$X,MATCH($A436,SPPR!$A:$A,0),19),"")</f>
        <v/>
      </c>
      <c r="W436">
        <f>IFERROR($C436*INDEX(SPPR!$E:$X,MATCH($A436,SPPR!$A:$A,0),20),"")</f>
        <v/>
      </c>
    </row>
    <row r="437">
      <c r="A437" t="inlineStr">
        <is>
          <t>Acanthuridae</t>
        </is>
      </c>
      <c r="B437">
        <f>IFERROR(INDEX(SPPR!$D:$D,MATCH($A437,SPPR!$A:$A,0)),"")</f>
        <v/>
      </c>
      <c r="C437">
        <f>IFERROR(INDEX(Catch!$E:$BV,MATCH($A437,Catch!$A:$A,0),MATCH($B$4,Catch!$E$1:$BV$1,0)),0)</f>
        <v/>
      </c>
      <c r="D437">
        <f>IFERROR($C437*INDEX(SPPR!$E:$X,MATCH($A437,SPPR!$A:$A,0),1),"")</f>
        <v/>
      </c>
      <c r="E437">
        <f>IFERROR($C437*INDEX(SPPR!$E:$X,MATCH($A437,SPPR!$A:$A,0),2),"")</f>
        <v/>
      </c>
      <c r="F437">
        <f>IFERROR($C437*INDEX(SPPR!$E:$X,MATCH($A437,SPPR!$A:$A,0),3),"")</f>
        <v/>
      </c>
      <c r="G437">
        <f>IFERROR($C437*INDEX(SPPR!$E:$X,MATCH($A437,SPPR!$A:$A,0),4),"")</f>
        <v/>
      </c>
      <c r="H437">
        <f>IFERROR($C437*INDEX(SPPR!$E:$X,MATCH($A437,SPPR!$A:$A,0),5),"")</f>
        <v/>
      </c>
      <c r="I437">
        <f>IFERROR($C437*INDEX(SPPR!$E:$X,MATCH($A437,SPPR!$A:$A,0),6),"")</f>
        <v/>
      </c>
      <c r="J437">
        <f>IFERROR($C437*INDEX(SPPR!$E:$X,MATCH($A437,SPPR!$A:$A,0),7),"")</f>
        <v/>
      </c>
      <c r="K437">
        <f>IFERROR($C437*INDEX(SPPR!$E:$X,MATCH($A437,SPPR!$A:$A,0),8),"")</f>
        <v/>
      </c>
      <c r="L437">
        <f>IFERROR($C437*INDEX(SPPR!$E:$X,MATCH($A437,SPPR!$A:$A,0),9),"")</f>
        <v/>
      </c>
      <c r="M437">
        <f>IFERROR($C437*INDEX(SPPR!$E:$X,MATCH($A437,SPPR!$A:$A,0),10),"")</f>
        <v/>
      </c>
      <c r="N437">
        <f>IFERROR($C437*INDEX(SPPR!$E:$X,MATCH($A437,SPPR!$A:$A,0),11),"")</f>
        <v/>
      </c>
      <c r="O437">
        <f>IFERROR($C437*INDEX(SPPR!$E:$X,MATCH($A437,SPPR!$A:$A,0),12),"")</f>
        <v/>
      </c>
      <c r="P437">
        <f>IFERROR($C437*INDEX(SPPR!$E:$X,MATCH($A437,SPPR!$A:$A,0),13),"")</f>
        <v/>
      </c>
      <c r="Q437">
        <f>IFERROR($C437*INDEX(SPPR!$E:$X,MATCH($A437,SPPR!$A:$A,0),14),"")</f>
        <v/>
      </c>
      <c r="R437">
        <f>IFERROR($C437*INDEX(SPPR!$E:$X,MATCH($A437,SPPR!$A:$A,0),15),"")</f>
        <v/>
      </c>
      <c r="S437">
        <f>IFERROR($C437*INDEX(SPPR!$E:$X,MATCH($A437,SPPR!$A:$A,0),16),"")</f>
        <v/>
      </c>
      <c r="T437">
        <f>IFERROR($C437*INDEX(SPPR!$E:$X,MATCH($A437,SPPR!$A:$A,0),17),"")</f>
        <v/>
      </c>
      <c r="U437">
        <f>IFERROR($C437*INDEX(SPPR!$E:$X,MATCH($A437,SPPR!$A:$A,0),18),"")</f>
        <v/>
      </c>
      <c r="V437">
        <f>IFERROR($C437*INDEX(SPPR!$E:$X,MATCH($A437,SPPR!$A:$A,0),19),"")</f>
        <v/>
      </c>
      <c r="W437">
        <f>IFERROR($C437*INDEX(SPPR!$E:$X,MATCH($A437,SPPR!$A:$A,0),20),"")</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row>
    <row r="5">
      <c r="A5" t="n">
        <v>1</v>
      </c>
      <c r="B5" t="inlineStr">
        <is>
          <t>Marine Mammals</t>
        </is>
      </c>
      <c r="C5" t="inlineStr">
        <is>
          <t>Regular</t>
        </is>
      </c>
      <c r="D5" t="n">
        <v>4.060789261399965</v>
      </c>
      <c r="E5" t="n">
        <v>0.01568627450980392</v>
      </c>
      <c r="F5" t="n">
        <v>0.05100000000000005</v>
      </c>
      <c r="G5" t="n">
        <v>0.019</v>
      </c>
      <c r="H5" t="n">
        <v>0</v>
      </c>
      <c r="I5" t="n">
        <v>106.362581</v>
      </c>
      <c r="J5" t="n">
        <v>1106.631322</v>
      </c>
      <c r="K5" t="n">
        <v>124.757235</v>
      </c>
      <c r="L5" t="n">
        <v>418.772301</v>
      </c>
      <c r="M5" t="n">
        <v>255333.649841</v>
      </c>
      <c r="N5" t="n">
        <v>269612.527385</v>
      </c>
      <c r="O5" t="n">
        <v>13750.238897</v>
      </c>
      <c r="P5" t="n">
        <v>493549.264902</v>
      </c>
      <c r="Q5" t="n">
        <v>493549.264902</v>
      </c>
      <c r="R5" t="n">
        <v>493549.264902</v>
      </c>
      <c r="S5" t="n">
        <v>14395.898457</v>
      </c>
      <c r="T5" t="n">
        <v>4511.056916</v>
      </c>
      <c r="U5" t="n">
        <v>493549.264902</v>
      </c>
      <c r="V5" t="n">
        <v>493549.264902</v>
      </c>
      <c r="W5" t="n">
        <v>14395.898457</v>
      </c>
      <c r="X5" t="n">
        <v>14395.898457</v>
      </c>
      <c r="Y5" t="n">
        <v>4511.056916</v>
      </c>
      <c r="Z5" t="n">
        <v>4511.056916</v>
      </c>
      <c r="AA5" t="n">
        <v>15601.91986</v>
      </c>
      <c r="AB5" t="n">
        <v>554275.153769</v>
      </c>
    </row>
    <row r="6">
      <c r="A6" t="n">
        <v>2</v>
      </c>
      <c r="B6" t="inlineStr">
        <is>
          <t>Sharks</t>
        </is>
      </c>
      <c r="C6" t="inlineStr">
        <is>
          <t>Regular</t>
        </is>
      </c>
      <c r="D6" t="n">
        <v>4.449079912213808</v>
      </c>
      <c r="E6" t="n">
        <v>0.3852941176470588</v>
      </c>
      <c r="F6" t="n">
        <v>0.709</v>
      </c>
      <c r="G6" t="n">
        <v>0.013</v>
      </c>
      <c r="H6" t="n">
        <v>0.03</v>
      </c>
      <c r="I6" t="n">
        <v>106.362581</v>
      </c>
      <c r="J6" t="n">
        <v>2569.28922</v>
      </c>
      <c r="K6" t="n">
        <v>222.822151</v>
      </c>
      <c r="L6" t="n">
        <v>1308.685037</v>
      </c>
      <c r="M6" t="n">
        <v>1955.186859</v>
      </c>
      <c r="N6" t="n">
        <v>2007.418175</v>
      </c>
      <c r="O6" t="n">
        <v>1423.259486</v>
      </c>
      <c r="P6" t="n">
        <v>3930.042293</v>
      </c>
      <c r="Q6" t="n">
        <v>3930.042293</v>
      </c>
      <c r="R6" t="n">
        <v>3930.042293</v>
      </c>
      <c r="S6" t="n">
        <v>1585.345045</v>
      </c>
      <c r="T6" t="n">
        <v>411.268522</v>
      </c>
      <c r="U6" t="n">
        <v>3930.042293</v>
      </c>
      <c r="V6" t="n">
        <v>3930.042293</v>
      </c>
      <c r="W6" t="n">
        <v>1585.345045</v>
      </c>
      <c r="X6" t="n">
        <v>1585.345045</v>
      </c>
      <c r="Y6" t="n">
        <v>411.268522</v>
      </c>
      <c r="Z6" t="n">
        <v>411.268522</v>
      </c>
      <c r="AA6" t="n">
        <v>1647.369658</v>
      </c>
      <c r="AB6" t="n">
        <v>4507.362005</v>
      </c>
    </row>
    <row r="7">
      <c r="A7" t="n">
        <v>3</v>
      </c>
      <c r="B7" t="inlineStr">
        <is>
          <t>Skates &amp; Rays</t>
        </is>
      </c>
      <c r="C7" t="inlineStr">
        <is>
          <t>Regular</t>
        </is>
      </c>
      <c r="D7" t="n">
        <v>3.586446204061042</v>
      </c>
      <c r="E7" t="n">
        <v>0.1258389261744967</v>
      </c>
      <c r="F7" t="n">
        <v>0.599</v>
      </c>
      <c r="G7" t="n">
        <v>0.022</v>
      </c>
      <c r="H7" t="n">
        <v>0.008999999999999999</v>
      </c>
      <c r="I7" t="n">
        <v>106.362581</v>
      </c>
      <c r="J7" t="n">
        <v>378.025577</v>
      </c>
      <c r="K7" t="n">
        <v>59.545879</v>
      </c>
      <c r="L7" t="n">
        <v>236.053692</v>
      </c>
      <c r="M7" t="n">
        <v>2128.450324</v>
      </c>
      <c r="N7" t="n">
        <v>2171.723686</v>
      </c>
      <c r="O7" t="n">
        <v>1300.862488</v>
      </c>
      <c r="P7" t="n">
        <v>3126.185669</v>
      </c>
      <c r="Q7" t="n">
        <v>3126.185669</v>
      </c>
      <c r="R7" t="n">
        <v>3126.185669</v>
      </c>
      <c r="S7" t="n">
        <v>887.634307</v>
      </c>
      <c r="T7" t="n">
        <v>357.542004</v>
      </c>
      <c r="U7" t="n">
        <v>3126.185669</v>
      </c>
      <c r="V7" t="n">
        <v>3126.185669</v>
      </c>
      <c r="W7" t="n">
        <v>887.634307</v>
      </c>
      <c r="X7" t="n">
        <v>887.634307</v>
      </c>
      <c r="Y7" t="n">
        <v>357.542004</v>
      </c>
      <c r="Z7" t="n">
        <v>357.542004</v>
      </c>
      <c r="AA7" t="n">
        <v>926.257871</v>
      </c>
      <c r="AB7" t="n">
        <v>3406.854319</v>
      </c>
    </row>
    <row r="8">
      <c r="A8" t="n">
        <v>4</v>
      </c>
      <c r="B8" t="inlineStr">
        <is>
          <t>Large Pelagics</t>
        </is>
      </c>
      <c r="C8" t="inlineStr">
        <is>
          <t>Regular</t>
        </is>
      </c>
      <c r="D8" t="n">
        <v>4.17867900620566</v>
      </c>
      <c r="E8" t="n">
        <v>0.4084210526315789</v>
      </c>
      <c r="F8" t="n">
        <v>0.98</v>
      </c>
      <c r="G8" t="n">
        <v>0.061</v>
      </c>
      <c r="H8" t="n">
        <v>0.185</v>
      </c>
      <c r="I8" t="n">
        <v>106.362581</v>
      </c>
      <c r="J8" t="n">
        <v>1182.417917</v>
      </c>
      <c r="K8" t="n">
        <v>130.579526</v>
      </c>
      <c r="L8" t="n">
        <v>655.098468</v>
      </c>
      <c r="M8" t="n">
        <v>848.885192</v>
      </c>
      <c r="N8" t="n">
        <v>883.261112</v>
      </c>
      <c r="O8" t="n">
        <v>865.5958890000001</v>
      </c>
      <c r="P8" t="n">
        <v>1961.116323</v>
      </c>
      <c r="Q8" t="n">
        <v>1961.116323</v>
      </c>
      <c r="R8" t="n">
        <v>1961.116323</v>
      </c>
      <c r="S8" t="n">
        <v>1097.797369</v>
      </c>
      <c r="T8" t="n">
        <v>300.80342</v>
      </c>
      <c r="U8" t="n">
        <v>1961.116323</v>
      </c>
      <c r="V8" t="n">
        <v>1961.116323</v>
      </c>
      <c r="W8" t="n">
        <v>1097.797369</v>
      </c>
      <c r="X8" t="n">
        <v>1097.797369</v>
      </c>
      <c r="Y8" t="n">
        <v>300.80342</v>
      </c>
      <c r="Z8" t="n">
        <v>300.80342</v>
      </c>
      <c r="AA8" t="n">
        <v>1171.90733</v>
      </c>
      <c r="AB8" t="n">
        <v>2200.248768</v>
      </c>
    </row>
    <row r="9">
      <c r="A9" t="n">
        <v>5</v>
      </c>
      <c r="B9" t="inlineStr">
        <is>
          <t>Tunas</t>
        </is>
      </c>
      <c r="C9" t="inlineStr">
        <is>
          <t>Regular</t>
        </is>
      </c>
      <c r="D9" t="n">
        <v>4.142833685893184</v>
      </c>
      <c r="E9" t="n">
        <v>0.3086556169429098</v>
      </c>
      <c r="F9" t="n">
        <v>0.703</v>
      </c>
      <c r="G9" t="n">
        <v>0.032</v>
      </c>
      <c r="H9" t="n">
        <v>0.113</v>
      </c>
      <c r="I9" t="n">
        <v>106.362581</v>
      </c>
      <c r="J9" t="n">
        <v>1377.951482</v>
      </c>
      <c r="K9" t="n">
        <v>145.091076</v>
      </c>
      <c r="L9" t="n">
        <v>354.016089</v>
      </c>
      <c r="M9" t="n">
        <v>804.627355</v>
      </c>
      <c r="N9" t="n">
        <v>818.1011109999999</v>
      </c>
      <c r="O9" t="n">
        <v>575.125081</v>
      </c>
      <c r="P9" t="n">
        <v>970.782826</v>
      </c>
      <c r="Q9" t="n">
        <v>970.782826</v>
      </c>
      <c r="R9" t="n">
        <v>970.782826</v>
      </c>
      <c r="S9" t="n">
        <v>487.056907</v>
      </c>
      <c r="T9" t="n">
        <v>182.863315</v>
      </c>
      <c r="U9" t="n">
        <v>970.782826</v>
      </c>
      <c r="V9" t="n">
        <v>970.782826</v>
      </c>
      <c r="W9" t="n">
        <v>487.056907</v>
      </c>
      <c r="X9" t="n">
        <v>487.056907</v>
      </c>
      <c r="Y9" t="n">
        <v>182.863315</v>
      </c>
      <c r="Z9" t="n">
        <v>182.863315</v>
      </c>
      <c r="AA9" t="n">
        <v>514.9785419999999</v>
      </c>
      <c r="AB9" t="n">
        <v>1083.073415</v>
      </c>
    </row>
    <row r="10">
      <c r="A10" t="n">
        <v>6</v>
      </c>
      <c r="B10" t="inlineStr">
        <is>
          <t>Cephalopods</t>
        </is>
      </c>
      <c r="C10" t="inlineStr">
        <is>
          <t>Regular</t>
        </is>
      </c>
      <c r="D10" t="n">
        <v>4.182810013258459</v>
      </c>
      <c r="E10" t="n">
        <v>0.1270410958904109</v>
      </c>
      <c r="F10" t="n">
        <v>0.975</v>
      </c>
      <c r="G10" t="n">
        <v>0.234</v>
      </c>
      <c r="H10" t="n">
        <v>0.278</v>
      </c>
      <c r="I10" t="n">
        <v>106.362581</v>
      </c>
      <c r="J10" t="n">
        <v>1254.312676</v>
      </c>
      <c r="K10" t="n">
        <v>135.996248</v>
      </c>
      <c r="L10" t="n">
        <v>384.963959</v>
      </c>
      <c r="M10" t="n">
        <v>1331.752693</v>
      </c>
      <c r="N10" t="n">
        <v>1334.257295</v>
      </c>
      <c r="O10" t="n">
        <v>1300.900862</v>
      </c>
      <c r="P10" t="n">
        <v>2933.853362</v>
      </c>
      <c r="Q10" t="n">
        <v>2933.853362</v>
      </c>
      <c r="R10" t="n">
        <v>2933.853362</v>
      </c>
      <c r="S10" t="n">
        <v>1771.03868</v>
      </c>
      <c r="T10" t="n">
        <v>582.871532</v>
      </c>
      <c r="U10" t="n">
        <v>2933.853362</v>
      </c>
      <c r="V10" t="n">
        <v>2933.853362</v>
      </c>
      <c r="W10" t="n">
        <v>1771.03868</v>
      </c>
      <c r="X10" t="n">
        <v>1771.03868</v>
      </c>
      <c r="Y10" t="n">
        <v>582.871532</v>
      </c>
      <c r="Z10" t="n">
        <v>582.871532</v>
      </c>
      <c r="AA10" t="n">
        <v>1904.354617</v>
      </c>
      <c r="AB10" t="n">
        <v>3263.675794</v>
      </c>
    </row>
    <row r="11">
      <c r="A11" t="n">
        <v>7</v>
      </c>
      <c r="B11" t="inlineStr">
        <is>
          <t>Large Benthopelagics</t>
        </is>
      </c>
      <c r="C11" t="inlineStr">
        <is>
          <t>Regular</t>
        </is>
      </c>
      <c r="D11" t="n">
        <v>4.149423978786935</v>
      </c>
      <c r="E11" t="n">
        <v>0.3235335195530726</v>
      </c>
      <c r="F11" t="n">
        <v>0.98</v>
      </c>
      <c r="G11" t="n">
        <v>0.106</v>
      </c>
      <c r="H11" t="n">
        <v>0.351</v>
      </c>
      <c r="I11" t="n">
        <v>106.362581</v>
      </c>
      <c r="J11" t="n">
        <v>1254.298198</v>
      </c>
      <c r="K11" t="n">
        <v>135.995167</v>
      </c>
      <c r="L11" t="n">
        <v>530.875777</v>
      </c>
      <c r="M11" t="n">
        <v>1013.570171</v>
      </c>
      <c r="N11" t="n">
        <v>1067.730872</v>
      </c>
      <c r="O11" t="n">
        <v>1046.376254</v>
      </c>
      <c r="P11" t="n">
        <v>1918.226529</v>
      </c>
      <c r="Q11" t="n">
        <v>1918.226529</v>
      </c>
      <c r="R11" t="n">
        <v>1918.226529</v>
      </c>
      <c r="S11" t="n">
        <v>1111.682878</v>
      </c>
      <c r="T11" t="n">
        <v>334.624507</v>
      </c>
      <c r="U11" t="n">
        <v>1918.226529</v>
      </c>
      <c r="V11" t="n">
        <v>1918.226529</v>
      </c>
      <c r="W11" t="n">
        <v>1111.682878</v>
      </c>
      <c r="X11" t="n">
        <v>1111.682878</v>
      </c>
      <c r="Y11" t="n">
        <v>334.624507</v>
      </c>
      <c r="Z11" t="n">
        <v>334.624507</v>
      </c>
      <c r="AA11" t="n">
        <v>1176.051346</v>
      </c>
      <c r="AB11" t="n">
        <v>2155.084899</v>
      </c>
    </row>
    <row r="12">
      <c r="A12" t="n">
        <v>8</v>
      </c>
      <c r="B12" t="inlineStr">
        <is>
          <t>Large Benthic Carnivores</t>
        </is>
      </c>
      <c r="C12" t="inlineStr">
        <is>
          <t>Regular</t>
        </is>
      </c>
      <c r="D12" t="n">
        <v>4.143639035235906</v>
      </c>
      <c r="E12" t="n">
        <v>0.3432584269662922</v>
      </c>
      <c r="F12" t="n">
        <v>0.98</v>
      </c>
      <c r="G12" t="n">
        <v>0.628</v>
      </c>
      <c r="H12" t="n">
        <v>0.281</v>
      </c>
      <c r="I12" t="n">
        <v>106.362581</v>
      </c>
      <c r="J12" t="n">
        <v>1113.102078</v>
      </c>
      <c r="K12" t="n">
        <v>125.259096</v>
      </c>
      <c r="L12" t="n">
        <v>249.981248</v>
      </c>
      <c r="M12" t="n">
        <v>421.749845</v>
      </c>
      <c r="N12" t="n">
        <v>575.638232</v>
      </c>
      <c r="O12" t="n">
        <v>564.125467</v>
      </c>
      <c r="P12" t="n">
        <v>1114.691652</v>
      </c>
      <c r="Q12" t="n">
        <v>1114.691652</v>
      </c>
      <c r="R12" t="n">
        <v>1114.691652</v>
      </c>
      <c r="S12" t="n">
        <v>635.9376559999999</v>
      </c>
      <c r="T12" t="n">
        <v>217.238675</v>
      </c>
      <c r="U12" t="n">
        <v>1114.691652</v>
      </c>
      <c r="V12" t="n">
        <v>1114.691652</v>
      </c>
      <c r="W12" t="n">
        <v>635.9376559999999</v>
      </c>
      <c r="X12" t="n">
        <v>635.9376559999999</v>
      </c>
      <c r="Y12" t="n">
        <v>217.238675</v>
      </c>
      <c r="Z12" t="n">
        <v>217.238675</v>
      </c>
      <c r="AA12" t="n">
        <v>686.067599</v>
      </c>
      <c r="AB12" t="n">
        <v>1252.543178</v>
      </c>
    </row>
    <row r="13">
      <c r="A13" t="n">
        <v>9</v>
      </c>
      <c r="B13" t="inlineStr">
        <is>
          <t>Med Benthic Carnivores</t>
        </is>
      </c>
      <c r="C13" t="inlineStr">
        <is>
          <t>Regular</t>
        </is>
      </c>
      <c r="D13" t="n">
        <v>3.190446572541063</v>
      </c>
      <c r="E13" t="n">
        <v>0.2970158343483556</v>
      </c>
      <c r="F13" t="n">
        <v>0.981</v>
      </c>
      <c r="G13" t="n">
        <v>0.108</v>
      </c>
      <c r="H13" t="n">
        <v>0.33</v>
      </c>
      <c r="I13" t="n">
        <v>106.362581</v>
      </c>
      <c r="J13" t="n">
        <v>153.506319</v>
      </c>
      <c r="K13" t="n">
        <v>32.014124</v>
      </c>
      <c r="L13" t="n">
        <v>100.68782</v>
      </c>
      <c r="M13" t="n">
        <v>159.061371</v>
      </c>
      <c r="N13" t="n">
        <v>159.061371</v>
      </c>
      <c r="O13" t="n">
        <v>156.039205</v>
      </c>
      <c r="P13" t="n">
        <v>198.208223</v>
      </c>
      <c r="Q13" t="n">
        <v>198.208223</v>
      </c>
      <c r="R13" t="n">
        <v>198.208223</v>
      </c>
      <c r="S13" t="n">
        <v>116.373231</v>
      </c>
      <c r="T13" t="n">
        <v>56.490526</v>
      </c>
      <c r="U13" t="n">
        <v>198.208223</v>
      </c>
      <c r="V13" t="n">
        <v>198.208223</v>
      </c>
      <c r="W13" t="n">
        <v>116.373231</v>
      </c>
      <c r="X13" t="n">
        <v>116.373231</v>
      </c>
      <c r="Y13" t="n">
        <v>56.490526</v>
      </c>
      <c r="Z13" t="n">
        <v>56.490526</v>
      </c>
      <c r="AA13" t="n">
        <v>120.80197</v>
      </c>
      <c r="AB13" t="n">
        <v>213.813007</v>
      </c>
    </row>
    <row r="14">
      <c r="A14" t="n">
        <v>10</v>
      </c>
      <c r="B14" t="inlineStr">
        <is>
          <t>Small Benthic Carnivores</t>
        </is>
      </c>
      <c r="C14" t="inlineStr">
        <is>
          <t>Regular</t>
        </is>
      </c>
      <c r="D14" t="n">
        <v>2.683122789950743</v>
      </c>
      <c r="E14" t="n">
        <v>0.1847124824684432</v>
      </c>
      <c r="F14" t="n">
        <v>0.979</v>
      </c>
      <c r="G14" t="n">
        <v>0.53</v>
      </c>
      <c r="H14" t="n">
        <v>0.8159999999999999</v>
      </c>
      <c r="I14" t="n">
        <v>106.362581</v>
      </c>
      <c r="J14" t="n">
        <v>47.875255</v>
      </c>
      <c r="K14" t="n">
        <v>14.351766</v>
      </c>
      <c r="L14" t="n">
        <v>47.936313</v>
      </c>
      <c r="M14" t="n">
        <v>123.68277</v>
      </c>
      <c r="N14" t="n">
        <v>123.68277</v>
      </c>
      <c r="O14" t="n">
        <v>121.085432</v>
      </c>
      <c r="P14" t="n">
        <v>160.705061</v>
      </c>
      <c r="Q14" t="n">
        <v>160.705061</v>
      </c>
      <c r="R14" t="n">
        <v>160.705061</v>
      </c>
      <c r="S14" t="n">
        <v>86.69575</v>
      </c>
      <c r="T14" t="n">
        <v>48.551122</v>
      </c>
      <c r="U14" t="n">
        <v>160.705061</v>
      </c>
      <c r="V14" t="n">
        <v>160.705061</v>
      </c>
      <c r="W14" t="n">
        <v>86.69575</v>
      </c>
      <c r="X14" t="n">
        <v>86.69575</v>
      </c>
      <c r="Y14" t="n">
        <v>48.551122</v>
      </c>
      <c r="Z14" t="n">
        <v>48.551122</v>
      </c>
      <c r="AA14" t="n">
        <v>90.428786</v>
      </c>
      <c r="AB14" t="n">
        <v>169.279514</v>
      </c>
    </row>
    <row r="15">
      <c r="A15" t="n">
        <v>11</v>
      </c>
      <c r="B15" t="inlineStr">
        <is>
          <t>Small Benthopelagics</t>
        </is>
      </c>
      <c r="C15" t="inlineStr">
        <is>
          <t>Regular</t>
        </is>
      </c>
      <c r="D15" t="n">
        <v>3.878123678001815</v>
      </c>
      <c r="E15" t="n">
        <v>0.1362492853058891</v>
      </c>
      <c r="F15" t="n">
        <v>0.978</v>
      </c>
      <c r="G15" t="n">
        <v>0.281</v>
      </c>
      <c r="H15" t="n">
        <v>0.38</v>
      </c>
      <c r="I15" t="n">
        <v>106.362581</v>
      </c>
      <c r="J15" t="n">
        <v>735.919846</v>
      </c>
      <c r="K15" t="n">
        <v>94.203452</v>
      </c>
      <c r="L15" t="n">
        <v>274.118485</v>
      </c>
      <c r="M15" t="n">
        <v>1003.748472</v>
      </c>
      <c r="N15" t="n">
        <v>1056.007849</v>
      </c>
      <c r="O15" t="n">
        <v>1032.775676</v>
      </c>
      <c r="P15" t="n">
        <v>1426.864607</v>
      </c>
      <c r="Q15" t="n">
        <v>1426.864607</v>
      </c>
      <c r="R15" t="n">
        <v>1426.864607</v>
      </c>
      <c r="S15" t="n">
        <v>914.12906</v>
      </c>
      <c r="T15" t="n">
        <v>345.870401</v>
      </c>
      <c r="U15" t="n">
        <v>1426.864607</v>
      </c>
      <c r="V15" t="n">
        <v>1426.864607</v>
      </c>
      <c r="W15" t="n">
        <v>914.12906</v>
      </c>
      <c r="X15" t="n">
        <v>914.12906</v>
      </c>
      <c r="Y15" t="n">
        <v>345.870401</v>
      </c>
      <c r="Z15" t="n">
        <v>345.870401</v>
      </c>
      <c r="AA15" t="n">
        <v>957.660399</v>
      </c>
      <c r="AB15" t="n">
        <v>1577.210486</v>
      </c>
    </row>
    <row r="16">
      <c r="A16" t="n">
        <v>12</v>
      </c>
      <c r="B16" t="inlineStr">
        <is>
          <t>Mackerel</t>
        </is>
      </c>
      <c r="C16" t="inlineStr">
        <is>
          <t>Regular</t>
        </is>
      </c>
      <c r="D16" t="n">
        <v>2</v>
      </c>
      <c r="E16" t="n">
        <v>0.1000641436818473</v>
      </c>
      <c r="F16" t="n">
        <v>0.98</v>
      </c>
      <c r="G16" t="n">
        <v>0.249</v>
      </c>
      <c r="H16" t="n">
        <v>0.945</v>
      </c>
      <c r="I16" t="n">
        <v>106.362581</v>
      </c>
      <c r="J16" t="n">
        <v>10</v>
      </c>
      <c r="K16" t="n">
        <v>4.881897</v>
      </c>
      <c r="L16" t="n">
        <v>4.881897</v>
      </c>
      <c r="M16" t="n">
        <v>10.197541</v>
      </c>
      <c r="N16" t="n">
        <v>10.197541</v>
      </c>
      <c r="O16" t="n">
        <v>9.993589999999999</v>
      </c>
      <c r="P16" t="n">
        <v>9.458164999999999</v>
      </c>
      <c r="Q16" t="n">
        <v>9.458164999999999</v>
      </c>
      <c r="R16" t="n">
        <v>9.458164999999999</v>
      </c>
      <c r="S16" t="n">
        <v>11.302127</v>
      </c>
      <c r="T16" t="n">
        <v>10.304402</v>
      </c>
      <c r="U16" t="n">
        <v>9.458164999999999</v>
      </c>
      <c r="V16" t="n">
        <v>9.458164999999999</v>
      </c>
      <c r="W16" t="n">
        <v>11.302127</v>
      </c>
      <c r="X16" t="n">
        <v>11.302127</v>
      </c>
      <c r="Y16" t="n">
        <v>10.304402</v>
      </c>
      <c r="Z16" t="n">
        <v>10.304402</v>
      </c>
      <c r="AA16" t="n">
        <v>11.531445</v>
      </c>
      <c r="AB16" t="n">
        <v>9.437369</v>
      </c>
    </row>
    <row r="17">
      <c r="A17" t="n">
        <v>13</v>
      </c>
      <c r="B17" t="inlineStr">
        <is>
          <t>Clupeids</t>
        </is>
      </c>
      <c r="C17" t="inlineStr">
        <is>
          <t>Regular</t>
        </is>
      </c>
      <c r="D17" t="n">
        <v>2.948937447829219</v>
      </c>
      <c r="E17" t="n">
        <v>0.1896595528455285</v>
      </c>
      <c r="F17" t="n">
        <v>0.979</v>
      </c>
      <c r="G17" t="n">
        <v>0.289</v>
      </c>
      <c r="H17" t="n">
        <v>1.439</v>
      </c>
      <c r="I17" t="n">
        <v>106.362581</v>
      </c>
      <c r="J17" t="n">
        <v>88.561632</v>
      </c>
      <c r="K17" t="n">
        <v>21.920534</v>
      </c>
      <c r="L17" t="n">
        <v>63.185331</v>
      </c>
      <c r="M17" t="n">
        <v>125.502905</v>
      </c>
      <c r="N17" t="n">
        <v>125.502905</v>
      </c>
      <c r="O17" t="n">
        <v>122.867344</v>
      </c>
      <c r="P17" t="n">
        <v>135.671609</v>
      </c>
      <c r="Q17" t="n">
        <v>135.671609</v>
      </c>
      <c r="R17" t="n">
        <v>135.671609</v>
      </c>
      <c r="S17" t="n">
        <v>106.962478</v>
      </c>
      <c r="T17" t="n">
        <v>52.045425</v>
      </c>
      <c r="U17" t="n">
        <v>135.671609</v>
      </c>
      <c r="V17" t="n">
        <v>135.671609</v>
      </c>
      <c r="W17" t="n">
        <v>106.962478</v>
      </c>
      <c r="X17" t="n">
        <v>106.962478</v>
      </c>
      <c r="Y17" t="n">
        <v>52.045425</v>
      </c>
      <c r="Z17" t="n">
        <v>52.045425</v>
      </c>
      <c r="AA17" t="n">
        <v>110.161718</v>
      </c>
      <c r="AB17" t="n">
        <v>144.77438</v>
      </c>
    </row>
    <row r="18">
      <c r="A18" t="n">
        <v>14</v>
      </c>
      <c r="B18" t="inlineStr">
        <is>
          <t>Anchovies</t>
        </is>
      </c>
      <c r="C18" t="inlineStr">
        <is>
          <t>Regular</t>
        </is>
      </c>
      <c r="D18" t="n">
        <v>3.48821610547874</v>
      </c>
      <c r="E18" t="n">
        <v>0.1082981715893108</v>
      </c>
      <c r="F18" t="n">
        <v>0.977</v>
      </c>
      <c r="G18" t="n">
        <v>1.11</v>
      </c>
      <c r="H18" t="n">
        <v>0.201</v>
      </c>
      <c r="I18" t="n">
        <v>106.362581</v>
      </c>
      <c r="J18" t="n">
        <v>306.237713</v>
      </c>
      <c r="K18" t="n">
        <v>51.507642</v>
      </c>
      <c r="L18" t="n">
        <v>86.248227</v>
      </c>
      <c r="M18" t="n">
        <v>292.993573</v>
      </c>
      <c r="N18" t="n">
        <v>292.993573</v>
      </c>
      <c r="O18" t="n">
        <v>286.254721</v>
      </c>
      <c r="P18" t="n">
        <v>324.440662</v>
      </c>
      <c r="Q18" t="n">
        <v>324.440662</v>
      </c>
      <c r="R18" t="n">
        <v>324.440662</v>
      </c>
      <c r="S18" t="n">
        <v>245.251402</v>
      </c>
      <c r="T18" t="n">
        <v>121.200331</v>
      </c>
      <c r="U18" t="n">
        <v>324.440662</v>
      </c>
      <c r="V18" t="n">
        <v>324.440662</v>
      </c>
      <c r="W18" t="n">
        <v>245.251402</v>
      </c>
      <c r="X18" t="n">
        <v>245.251402</v>
      </c>
      <c r="Y18" t="n">
        <v>121.200331</v>
      </c>
      <c r="Z18" t="n">
        <v>121.200331</v>
      </c>
      <c r="AA18" t="n">
        <v>255.511169</v>
      </c>
      <c r="AB18" t="n">
        <v>353.493547</v>
      </c>
    </row>
    <row r="19">
      <c r="A19" t="n">
        <v>15</v>
      </c>
      <c r="B19" t="inlineStr">
        <is>
          <t>Crabs &amp; Lobster</t>
        </is>
      </c>
      <c r="C19" t="inlineStr">
        <is>
          <t>Regular</t>
        </is>
      </c>
      <c r="D19" t="n">
        <v>2.893395127873073</v>
      </c>
      <c r="E19" t="n">
        <v>0.4424137931034483</v>
      </c>
      <c r="F19" t="n">
        <v>0.976</v>
      </c>
      <c r="G19" t="n">
        <v>0.14</v>
      </c>
      <c r="H19" t="n">
        <v>0.061</v>
      </c>
      <c r="I19" t="n">
        <v>106.362581</v>
      </c>
      <c r="J19" t="n">
        <v>75.373862</v>
      </c>
      <c r="K19" t="n">
        <v>19.61701</v>
      </c>
      <c r="L19" t="n">
        <v>40.48008</v>
      </c>
      <c r="M19" t="n">
        <v>77.811758</v>
      </c>
      <c r="N19" t="n">
        <v>77.811758</v>
      </c>
      <c r="O19" t="n">
        <v>75.944276</v>
      </c>
      <c r="P19" t="n">
        <v>117.553732</v>
      </c>
      <c r="Q19" t="n">
        <v>117.553732</v>
      </c>
      <c r="R19" t="n">
        <v>117.553732</v>
      </c>
      <c r="S19" t="n">
        <v>38.109542</v>
      </c>
      <c r="T19" t="n">
        <v>24.77877</v>
      </c>
      <c r="U19" t="n">
        <v>117.553732</v>
      </c>
      <c r="V19" t="n">
        <v>117.553732</v>
      </c>
      <c r="W19" t="n">
        <v>38.109542</v>
      </c>
      <c r="X19" t="n">
        <v>38.109542</v>
      </c>
      <c r="Y19" t="n">
        <v>24.77877</v>
      </c>
      <c r="Z19" t="n">
        <v>24.77877</v>
      </c>
      <c r="AA19" t="n">
        <v>41.521391</v>
      </c>
      <c r="AB19" t="n">
        <v>131.082364</v>
      </c>
    </row>
    <row r="20">
      <c r="A20" t="n">
        <v>16</v>
      </c>
      <c r="B20" t="inlineStr">
        <is>
          <t>Shrimps</t>
        </is>
      </c>
      <c r="C20" t="inlineStr">
        <is>
          <t>Regular</t>
        </is>
      </c>
      <c r="D20" t="n">
        <v>3.015458331743569</v>
      </c>
      <c r="E20" t="n">
        <v>0.3479166666666667</v>
      </c>
      <c r="F20" t="n">
        <v>0.98</v>
      </c>
      <c r="G20" t="n">
        <v>0.826</v>
      </c>
      <c r="H20" t="n">
        <v>0.306</v>
      </c>
      <c r="I20" t="n">
        <v>106.362581</v>
      </c>
      <c r="J20" t="n">
        <v>102.724644</v>
      </c>
      <c r="K20" t="n">
        <v>24.278186</v>
      </c>
      <c r="L20" t="n">
        <v>49.254496</v>
      </c>
      <c r="M20" t="n">
        <v>47.332503</v>
      </c>
      <c r="N20" t="n">
        <v>47.332503</v>
      </c>
      <c r="O20" t="n">
        <v>46.385853</v>
      </c>
      <c r="P20" t="n">
        <v>49.861086</v>
      </c>
      <c r="Q20" t="n">
        <v>49.861086</v>
      </c>
      <c r="R20" t="n">
        <v>49.861086</v>
      </c>
      <c r="S20" t="n">
        <v>41.277787</v>
      </c>
      <c r="T20" t="n">
        <v>24.793452</v>
      </c>
      <c r="U20" t="n">
        <v>49.861086</v>
      </c>
      <c r="V20" t="n">
        <v>49.861086</v>
      </c>
      <c r="W20" t="n">
        <v>41.277787</v>
      </c>
      <c r="X20" t="n">
        <v>41.277787</v>
      </c>
      <c r="Y20" t="n">
        <v>24.793452</v>
      </c>
      <c r="Z20" t="n">
        <v>24.793452</v>
      </c>
      <c r="AA20" t="n">
        <v>43.911832</v>
      </c>
      <c r="AB20" t="n">
        <v>53.47357</v>
      </c>
    </row>
    <row r="21">
      <c r="A21" t="n">
        <v>17</v>
      </c>
      <c r="B21" t="inlineStr">
        <is>
          <t>Benthic Omnivores</t>
        </is>
      </c>
      <c r="C21" t="inlineStr">
        <is>
          <t>Regular</t>
        </is>
      </c>
      <c r="D21" t="n">
        <v>2.551475351472505</v>
      </c>
      <c r="E21" t="n">
        <v>0.2318246614397719</v>
      </c>
      <c r="F21" t="n">
        <v>0.98</v>
      </c>
      <c r="G21" t="n">
        <v>0.556</v>
      </c>
      <c r="H21" t="n">
        <v>0.844</v>
      </c>
      <c r="I21" t="n">
        <v>106.362581</v>
      </c>
      <c r="J21" t="n">
        <v>34.853983</v>
      </c>
      <c r="K21" t="n">
        <v>11.533933</v>
      </c>
      <c r="L21" t="n">
        <v>23.954598</v>
      </c>
      <c r="M21" t="n">
        <v>122.110584</v>
      </c>
      <c r="N21" t="n">
        <v>122.110584</v>
      </c>
      <c r="O21" t="n">
        <v>119.668372</v>
      </c>
      <c r="P21" t="n">
        <v>234.326211</v>
      </c>
      <c r="Q21" t="n">
        <v>234.326211</v>
      </c>
      <c r="R21" t="n">
        <v>234.326211</v>
      </c>
      <c r="S21" t="n">
        <v>32.574396</v>
      </c>
      <c r="T21" t="n">
        <v>28.191927</v>
      </c>
      <c r="U21" t="n">
        <v>234.326211</v>
      </c>
      <c r="V21" t="n">
        <v>234.326211</v>
      </c>
      <c r="W21" t="n">
        <v>32.574396</v>
      </c>
      <c r="X21" t="n">
        <v>32.574396</v>
      </c>
      <c r="Y21" t="n">
        <v>28.191927</v>
      </c>
      <c r="Z21" t="n">
        <v>28.191927</v>
      </c>
      <c r="AA21" t="n">
        <v>34.709256</v>
      </c>
      <c r="AB21" t="n">
        <v>257.01226</v>
      </c>
    </row>
    <row r="22">
      <c r="A22" t="n">
        <v>18</v>
      </c>
      <c r="B22" t="inlineStr">
        <is>
          <t>Heterotrophic Benthos</t>
        </is>
      </c>
      <c r="C22" t="inlineStr">
        <is>
          <t>Regular</t>
        </is>
      </c>
      <c r="D22" t="n">
        <v>2.323447957672929</v>
      </c>
      <c r="E22" t="n">
        <v>0.24</v>
      </c>
      <c r="F22" t="n">
        <v>0.124</v>
      </c>
      <c r="G22" t="n">
        <v>38</v>
      </c>
      <c r="H22" t="n">
        <v>0</v>
      </c>
      <c r="I22" t="n">
        <v>106.362581</v>
      </c>
      <c r="J22" t="n">
        <v>19.947374</v>
      </c>
      <c r="K22" t="n">
        <v>7.853921</v>
      </c>
      <c r="L22" t="n">
        <v>13.270207</v>
      </c>
      <c r="M22" t="n">
        <v>123.888042</v>
      </c>
      <c r="N22" t="n">
        <v>123.888042</v>
      </c>
      <c r="O22" t="n">
        <v>15.362117</v>
      </c>
      <c r="P22" t="n">
        <v>260.720597</v>
      </c>
      <c r="Q22" t="n">
        <v>260.720597</v>
      </c>
      <c r="R22" t="n">
        <v>260.720597</v>
      </c>
      <c r="S22" t="n">
        <v>19.314018</v>
      </c>
      <c r="T22" t="n">
        <v>17.703696</v>
      </c>
      <c r="U22" t="n">
        <v>260.720597</v>
      </c>
      <c r="V22" t="n">
        <v>260.720597</v>
      </c>
      <c r="W22" t="n">
        <v>19.314018</v>
      </c>
      <c r="X22" t="n">
        <v>19.314018</v>
      </c>
      <c r="Y22" t="n">
        <v>17.703696</v>
      </c>
      <c r="Z22" t="n">
        <v>17.703696</v>
      </c>
      <c r="AA22" t="n">
        <v>20.650834</v>
      </c>
      <c r="AB22" t="n">
        <v>285.015306</v>
      </c>
    </row>
    <row r="23">
      <c r="A23" t="n">
        <v>19</v>
      </c>
      <c r="B23" t="inlineStr">
        <is>
          <t>Meiobenthos</t>
        </is>
      </c>
      <c r="C23" t="inlineStr">
        <is>
          <t>Regular</t>
        </is>
      </c>
      <c r="D23" t="n">
        <v>2.023493360572012</v>
      </c>
      <c r="E23" t="n">
        <v>0.3125</v>
      </c>
      <c r="F23" t="n">
        <v>0.373</v>
      </c>
      <c r="G23" t="n">
        <v>20</v>
      </c>
      <c r="H23" t="n">
        <v>0</v>
      </c>
      <c r="I23" t="n">
        <v>106.362581</v>
      </c>
      <c r="J23" t="n">
        <v>10.04715</v>
      </c>
      <c r="K23" t="n">
        <v>4.897735</v>
      </c>
      <c r="L23" t="n">
        <v>4.817279</v>
      </c>
      <c r="M23" t="n">
        <v>8.469310999999999</v>
      </c>
      <c r="N23" t="n">
        <v>8.469310999999999</v>
      </c>
      <c r="O23" t="n">
        <v>3.159053</v>
      </c>
      <c r="P23" t="n">
        <v>3.409783</v>
      </c>
      <c r="Q23" t="n">
        <v>3.409783</v>
      </c>
      <c r="R23" t="n">
        <v>3.409783</v>
      </c>
      <c r="S23" t="n">
        <v>7.483182</v>
      </c>
      <c r="T23" t="n">
        <v>9.793669</v>
      </c>
      <c r="U23" t="n">
        <v>3.409783</v>
      </c>
      <c r="V23" t="n">
        <v>3.409783</v>
      </c>
      <c r="W23" t="n">
        <v>7.483182</v>
      </c>
      <c r="X23" t="n">
        <v>7.483182</v>
      </c>
      <c r="Y23" t="n">
        <v>9.793669</v>
      </c>
      <c r="Z23" t="n">
        <v>9.793669</v>
      </c>
      <c r="AA23" t="n">
        <v>8.338305999999999</v>
      </c>
      <c r="AB23" t="n">
        <v>3.399772</v>
      </c>
    </row>
    <row r="24">
      <c r="A24" t="n">
        <v>20</v>
      </c>
      <c r="B24" t="inlineStr">
        <is>
          <t>Micro Nekton</t>
        </is>
      </c>
      <c r="C24" t="inlineStr">
        <is>
          <t>Regular</t>
        </is>
      </c>
      <c r="D24" t="n">
        <v>3.241531914893617</v>
      </c>
      <c r="E24" t="n">
        <v>0.16</v>
      </c>
      <c r="F24" t="n">
        <v>0.778</v>
      </c>
      <c r="G24" t="n">
        <v>0.8</v>
      </c>
      <c r="H24" t="n">
        <v>0</v>
      </c>
      <c r="I24" t="n">
        <v>106.362581</v>
      </c>
      <c r="J24" t="n">
        <v>169.184545</v>
      </c>
      <c r="K24" t="n">
        <v>34.23133</v>
      </c>
      <c r="L24" t="n">
        <v>53.056441</v>
      </c>
      <c r="M24" t="n">
        <v>117.681204</v>
      </c>
      <c r="N24" t="n">
        <v>117.681204</v>
      </c>
      <c r="O24" t="n">
        <v>91.555977</v>
      </c>
      <c r="P24" t="n">
        <v>131.142973</v>
      </c>
      <c r="Q24" t="n">
        <v>131.142973</v>
      </c>
      <c r="R24" t="n">
        <v>131.142973</v>
      </c>
      <c r="S24" t="n">
        <v>96.50135899999999</v>
      </c>
      <c r="T24" t="n">
        <v>51.765447</v>
      </c>
      <c r="U24" t="n">
        <v>131.142973</v>
      </c>
      <c r="V24" t="n">
        <v>131.142973</v>
      </c>
      <c r="W24" t="n">
        <v>96.50135899999999</v>
      </c>
      <c r="X24" t="n">
        <v>96.50135899999999</v>
      </c>
      <c r="Y24" t="n">
        <v>51.765447</v>
      </c>
      <c r="Z24" t="n">
        <v>51.765447</v>
      </c>
      <c r="AA24" t="n">
        <v>99.732336</v>
      </c>
      <c r="AB24" t="n">
        <v>139.39598</v>
      </c>
    </row>
    <row r="25">
      <c r="A25" t="n">
        <v>21</v>
      </c>
      <c r="B25" t="inlineStr">
        <is>
          <t>Large zooplankton</t>
        </is>
      </c>
      <c r="C25" t="inlineStr">
        <is>
          <t>Regular</t>
        </is>
      </c>
      <c r="D25" t="n">
        <v>2.584</v>
      </c>
      <c r="E25" t="n">
        <v>0.1555555555555556</v>
      </c>
      <c r="F25" t="n">
        <v>0.98</v>
      </c>
      <c r="G25" t="n">
        <v>4</v>
      </c>
      <c r="H25" t="n">
        <v>0</v>
      </c>
      <c r="I25" t="n">
        <v>106.362581</v>
      </c>
      <c r="J25" t="n">
        <v>38.370725</v>
      </c>
      <c r="K25" t="n">
        <v>12.323224</v>
      </c>
      <c r="L25" t="n">
        <v>15.949293</v>
      </c>
      <c r="M25" t="n">
        <v>22.27429</v>
      </c>
      <c r="N25" t="n">
        <v>22.27429</v>
      </c>
      <c r="O25" t="n">
        <v>21.828805</v>
      </c>
      <c r="P25" t="n">
        <v>22.27429</v>
      </c>
      <c r="Q25" t="n">
        <v>22.27429</v>
      </c>
      <c r="R25" t="n">
        <v>22.27429</v>
      </c>
      <c r="S25" t="n">
        <v>21.445714</v>
      </c>
      <c r="T25" t="n">
        <v>14.153143</v>
      </c>
      <c r="U25" t="n">
        <v>22.27429</v>
      </c>
      <c r="V25" t="n">
        <v>22.27429</v>
      </c>
      <c r="W25" t="n">
        <v>21.445714</v>
      </c>
      <c r="X25" t="n">
        <v>21.445714</v>
      </c>
      <c r="Y25" t="n">
        <v>14.153143</v>
      </c>
      <c r="Z25" t="n">
        <v>14.153143</v>
      </c>
      <c r="AA25" t="n">
        <v>21.779882</v>
      </c>
      <c r="AB25" t="n">
        <v>23.442772</v>
      </c>
    </row>
    <row r="26">
      <c r="A26" t="n">
        <v>22</v>
      </c>
      <c r="B26" t="inlineStr">
        <is>
          <t>Micro Zooplankton</t>
        </is>
      </c>
      <c r="C26" t="inlineStr">
        <is>
          <t>Regular</t>
        </is>
      </c>
      <c r="D26" t="n">
        <v>2</v>
      </c>
      <c r="E26" t="n">
        <v>0.2</v>
      </c>
      <c r="F26" t="n">
        <v>0.98</v>
      </c>
      <c r="G26" t="n">
        <v>10</v>
      </c>
      <c r="H26" t="n">
        <v>0</v>
      </c>
      <c r="I26" t="n">
        <v>106.362581</v>
      </c>
      <c r="J26" t="n">
        <v>10</v>
      </c>
      <c r="K26" t="n">
        <v>4.881897</v>
      </c>
      <c r="L26" t="n">
        <v>4.881897</v>
      </c>
      <c r="M26" t="n">
        <v>5.102041</v>
      </c>
      <c r="N26" t="n">
        <v>5.102041</v>
      </c>
      <c r="O26" t="n">
        <v>5</v>
      </c>
      <c r="P26" t="n">
        <v>5.102041</v>
      </c>
      <c r="Q26" t="n">
        <v>5.102041</v>
      </c>
      <c r="R26" t="n">
        <v>5.102041</v>
      </c>
      <c r="S26" t="n">
        <v>5</v>
      </c>
      <c r="T26" t="n">
        <v>4</v>
      </c>
      <c r="U26" t="n">
        <v>5.102041</v>
      </c>
      <c r="V26" t="n">
        <v>5.102041</v>
      </c>
      <c r="W26" t="n">
        <v>5</v>
      </c>
      <c r="X26" t="n">
        <v>5</v>
      </c>
      <c r="Y26" t="n">
        <v>4</v>
      </c>
      <c r="Z26" t="n">
        <v>4</v>
      </c>
      <c r="AA26" t="n">
        <v>5.070774</v>
      </c>
      <c r="AB26" t="n">
        <v>5.178339</v>
      </c>
    </row>
    <row r="27">
      <c r="A27" t="n">
        <v>23</v>
      </c>
      <c r="B27" t="inlineStr">
        <is>
          <t>Phytoplankton</t>
        </is>
      </c>
      <c r="C27" t="inlineStr">
        <is>
          <t>PP</t>
        </is>
      </c>
      <c r="D27" t="n">
        <v>1</v>
      </c>
      <c r="E27" t="n">
        <v>1</v>
      </c>
      <c r="F27" t="n">
        <v>0.842</v>
      </c>
      <c r="G27" t="n">
        <v>58.5</v>
      </c>
      <c r="H27" t="n">
        <v>0</v>
      </c>
      <c r="I27" t="n">
        <v>106.362581</v>
      </c>
      <c r="J27" t="n">
        <v>1</v>
      </c>
      <c r="K27" t="n">
        <v>1</v>
      </c>
      <c r="L27" t="n">
        <v>1</v>
      </c>
      <c r="M27" t="n">
        <v>1</v>
      </c>
      <c r="N27" t="n">
        <v>0</v>
      </c>
      <c r="O27" t="n">
        <v>0.842</v>
      </c>
      <c r="P27" t="n">
        <v>1</v>
      </c>
      <c r="Q27" t="n">
        <v>1</v>
      </c>
      <c r="R27" t="n">
        <v>1</v>
      </c>
      <c r="S27" t="n">
        <v>1</v>
      </c>
      <c r="T27" t="n">
        <v>1</v>
      </c>
      <c r="U27" t="n">
        <v>1</v>
      </c>
      <c r="V27" t="n">
        <v>1</v>
      </c>
      <c r="W27" t="n">
        <v>1</v>
      </c>
      <c r="X27" t="n">
        <v>1</v>
      </c>
      <c r="Y27" t="n">
        <v>1</v>
      </c>
      <c r="Z27" t="n">
        <v>1</v>
      </c>
      <c r="AA27" t="n">
        <v>1</v>
      </c>
      <c r="AB27" t="n">
        <v>1</v>
      </c>
    </row>
    <row r="28">
      <c r="A28" t="n">
        <v>24</v>
      </c>
      <c r="B28" t="inlineStr">
        <is>
          <t>Detritus</t>
        </is>
      </c>
      <c r="C28" t="inlineStr">
        <is>
          <t>DET</t>
        </is>
      </c>
      <c r="D28" t="n">
        <v>1</v>
      </c>
      <c r="E28" t="n">
        <v>1</v>
      </c>
      <c r="F28" t="n">
        <v>1</v>
      </c>
      <c r="G28" t="n">
        <v>9.300000000000001</v>
      </c>
      <c r="H28" t="n">
        <v>0</v>
      </c>
      <c r="I28" t="n">
        <v>106.362581</v>
      </c>
      <c r="J28" t="n">
        <v>1</v>
      </c>
      <c r="K28" t="n">
        <v>1</v>
      </c>
      <c r="L28" t="n">
        <v>1</v>
      </c>
      <c r="M28" t="n">
        <v>1</v>
      </c>
      <c r="N28" t="n">
        <v>0</v>
      </c>
      <c r="O28" t="n">
        <v>1</v>
      </c>
      <c r="P28" t="n">
        <v>0.32238</v>
      </c>
      <c r="Q28" t="n">
        <v>0.32238</v>
      </c>
      <c r="R28" t="n">
        <v>0.32238</v>
      </c>
      <c r="S28" t="n">
        <v>2.223717</v>
      </c>
      <c r="T28" t="n">
        <v>3.699779</v>
      </c>
      <c r="U28" t="n">
        <v>0.32238</v>
      </c>
      <c r="V28" t="n">
        <v>0.32238</v>
      </c>
      <c r="W28" t="n">
        <v>2.223717</v>
      </c>
      <c r="X28" t="n">
        <v>2.223717</v>
      </c>
      <c r="Y28" t="n">
        <v>3.699779</v>
      </c>
      <c r="Z28" t="n">
        <v>3.699779</v>
      </c>
      <c r="AA28" t="n">
        <v>2.371627</v>
      </c>
      <c r="AB28" t="n">
        <v>0.32238</v>
      </c>
    </row>
    <row r="29">
      <c r="A29" t="n">
        <v>25</v>
      </c>
      <c r="B29" t="inlineStr">
        <is>
          <t>diet_import</t>
        </is>
      </c>
      <c r="C29" t="inlineStr">
        <is>
          <t>Import</t>
        </is>
      </c>
      <c r="D29" t="n">
        <v>1</v>
      </c>
      <c r="E29" t="n">
        <v>0</v>
      </c>
      <c r="F29" t="n">
        <v>0</v>
      </c>
      <c r="G29" t="n">
        <v>1</v>
      </c>
      <c r="H29" t="n">
        <v>0</v>
      </c>
      <c r="I29" t="n">
        <v>106.362581</v>
      </c>
      <c r="J29" t="n">
        <v>1</v>
      </c>
      <c r="K29" t="n">
        <v>1</v>
      </c>
      <c r="L29" t="n">
        <v>1</v>
      </c>
      <c r="M29" t="n">
        <v>1</v>
      </c>
      <c r="N29" t="n">
        <v>0</v>
      </c>
      <c r="O29" t="n">
        <v>0</v>
      </c>
      <c r="P29" t="n">
        <v>1</v>
      </c>
      <c r="Q29" t="n">
        <v>1</v>
      </c>
      <c r="R29" t="n">
        <v>1</v>
      </c>
      <c r="S29" t="n">
        <v>1</v>
      </c>
      <c r="T29" t="n">
        <v>1</v>
      </c>
      <c r="U29" t="n">
        <v>1</v>
      </c>
      <c r="W29" t="n">
        <v>1</v>
      </c>
      <c r="Y29" t="n">
        <v>1</v>
      </c>
      <c r="AA29" t="n">
        <v>1</v>
      </c>
      <c r="AB2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6" customWidth="1" min="1" max="1"/>
    <col width="22" customWidth="1" min="2" max="2"/>
  </cols>
  <sheetData>
    <row r="1">
      <c r="A1" s="1" t="inlineStr">
        <is>
          <t>Net primary production, 2019, tonnes carbon per year</t>
        </is>
      </c>
    </row>
    <row r="3">
      <c r="A3" s="4" t="inlineStr">
        <is>
          <t>satellite_model</t>
        </is>
      </c>
      <c r="B3" s="4" t="inlineStr">
        <is>
          <t>npp_tC_yr</t>
        </is>
      </c>
    </row>
    <row r="4">
      <c r="A4" t="inlineStr">
        <is>
          <t>Antoine-Morel</t>
        </is>
      </c>
      <c r="B4" t="n">
        <v>1399430163.748474</v>
      </c>
    </row>
    <row r="5">
      <c r="A5" t="inlineStr">
        <is>
          <t>VGPM</t>
        </is>
      </c>
      <c r="B5" t="n">
        <v>1005900651.8821</v>
      </c>
    </row>
    <row r="6">
      <c r="A6" t="inlineStr">
        <is>
          <t>Eppley</t>
        </is>
      </c>
      <c r="B6" t="n">
        <v>1709074597.300374</v>
      </c>
    </row>
    <row r="7">
      <c r="A7" t="inlineStr">
        <is>
          <t>CbPM</t>
        </is>
      </c>
      <c r="B7" t="n">
        <v>1444890041.421413</v>
      </c>
    </row>
    <row r="8">
      <c r="A8" t="inlineStr">
        <is>
          <t>CAFE</t>
        </is>
      </c>
      <c r="B8" t="n">
        <v>693100453.4264123</v>
      </c>
    </row>
    <row r="10">
      <c r="A10" t="inlineStr">
        <is>
          <t>ensemble median</t>
        </is>
      </c>
      <c r="B10" t="n">
        <v>1399430163.748474</v>
      </c>
    </row>
    <row r="11">
      <c r="A11" t="inlineStr">
        <is>
          <t>ensemble min</t>
        </is>
      </c>
      <c r="B11" t="n">
        <v>693100453.4264123</v>
      </c>
    </row>
    <row r="12">
      <c r="A12" t="inlineStr">
        <is>
          <t>ensemble max</t>
        </is>
      </c>
      <c r="B12" t="n">
        <v>1709074597.300374</v>
      </c>
    </row>
    <row r="13">
      <c r="A13" t="inlineStr">
        <is>
          <t>water area (km2)</t>
        </is>
      </c>
      <c r="B13" t="n">
        <v>3931223.639844468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2026-09-06T23:50:44Z</dcterms:created>
  <dcterms:modified xsi:type="dcterms:W3CDTF">2026-09-06T23:50:45Z</dcterms:modified>
</cp:coreProperties>
</file>