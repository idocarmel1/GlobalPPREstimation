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sppr_inner" sheetId="6" state="visible" r:id="rId6"/>
    <sheet name="PPR inner" sheetId="7" state="visible" r:id="rId7"/>
    <sheet name="sppr_PP" sheetId="8" state="visible" r:id="rId8"/>
    <sheet name="PPR PP" sheetId="9" state="visible" r:id="rId9"/>
    <sheet name="Recycling" sheetId="10" state="visible" r:id="rId10"/>
    <sheet name="PPR by taxon" sheetId="11" state="visible" r:id="rId11"/>
    <sheet name="Model groups" sheetId="12" state="visible" r:id="rId12"/>
    <sheet name="NPP" sheetId="13" state="visible" r:id="rId13"/>
  </sheets>
  <definedNames/>
  <calcPr calcId="124519" fullCalcOnLoad="1"/>
</workbook>
</file>

<file path=xl/styles.xml><?xml version="1.0" encoding="utf-8"?>
<styleSheet xmlns="http://schemas.openxmlformats.org/spreadsheetml/2006/main">
  <numFmts count="1">
    <numFmt numFmtId="164" formatCode="#,##0.000000"/>
  </numFmts>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7">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1" fillId="2" borderId="0" applyAlignment="1" pivotButton="0" quotePrefix="0" xfId="0">
      <alignment vertical="center" wrapText="1"/>
    </xf>
    <xf numFmtId="0" fontId="0" fillId="0" borderId="0" applyAlignment="1" pivotButton="0" quotePrefix="0" xfId="0">
      <alignment/>
    </xf>
    <xf numFmtId="164" fontId="0"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8"/>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47_1_East_China_Sea_(1997)</t>
        </is>
      </c>
    </row>
    <row r="3">
      <c r="A3" s="3" t="inlineStr">
        <is>
          <t>2018 preferred; 1997 retained separately. Model coefficients held fixed across catch years. `47_1_East_China_Sea_(1997)`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722777176.729</v>
      </c>
      <c r="E18" t="n">
        <v>31.4606</v>
      </c>
      <c r="F18" t="n">
        <v>35.0862</v>
      </c>
    </row>
    <row r="19">
      <c r="A19" t="n">
        <v>1951</v>
      </c>
      <c r="B19" t="n">
        <v>1258211.787</v>
      </c>
      <c r="C19" t="n">
        <v>724091060.365</v>
      </c>
      <c r="D19" t="n">
        <v>751353264.1339999</v>
      </c>
      <c r="E19" t="n">
        <v>35.15</v>
      </c>
      <c r="F19" t="n">
        <v>36.4734</v>
      </c>
    </row>
    <row r="20">
      <c r="A20" t="n">
        <v>1952</v>
      </c>
      <c r="B20" t="n">
        <v>1335173.044</v>
      </c>
      <c r="C20" t="n">
        <v>801912835.323</v>
      </c>
      <c r="D20" t="n">
        <v>774219165.841</v>
      </c>
      <c r="E20" t="n">
        <v>38.9277</v>
      </c>
      <c r="F20" t="n">
        <v>37.5834</v>
      </c>
    </row>
    <row r="21">
      <c r="A21" t="n">
        <v>1953</v>
      </c>
      <c r="B21" t="n">
        <v>1363247.799</v>
      </c>
      <c r="C21" t="n">
        <v>799650534.286</v>
      </c>
      <c r="D21" t="n">
        <v>860075745.034</v>
      </c>
      <c r="E21" t="n">
        <v>38.8179</v>
      </c>
      <c r="F21" t="n">
        <v>41.7512</v>
      </c>
    </row>
    <row r="22">
      <c r="A22" t="n">
        <v>1954</v>
      </c>
      <c r="B22" t="n">
        <v>1465827.049</v>
      </c>
      <c r="C22" t="n">
        <v>886184547.729</v>
      </c>
      <c r="D22" t="n">
        <v>900703581.135</v>
      </c>
      <c r="E22" t="n">
        <v>43.0186</v>
      </c>
      <c r="F22" t="n">
        <v>43.7234</v>
      </c>
    </row>
    <row r="23">
      <c r="A23" t="n">
        <v>1955</v>
      </c>
      <c r="B23" t="n">
        <v>1544889.249</v>
      </c>
      <c r="C23" t="n">
        <v>986328995.752</v>
      </c>
      <c r="D23" t="n">
        <v>966180596.174</v>
      </c>
      <c r="E23" t="n">
        <v>47.88</v>
      </c>
      <c r="F23" t="n">
        <v>46.9019</v>
      </c>
    </row>
    <row r="24">
      <c r="A24" t="n">
        <v>1956</v>
      </c>
      <c r="B24" t="n">
        <v>1691946.783</v>
      </c>
      <c r="C24" t="n">
        <v>1084666115.085</v>
      </c>
      <c r="D24" t="n">
        <v>936558860.686</v>
      </c>
      <c r="E24" t="n">
        <v>52.6536</v>
      </c>
      <c r="F24" t="n">
        <v>45.4639</v>
      </c>
    </row>
    <row r="25">
      <c r="A25" t="n">
        <v>1957</v>
      </c>
      <c r="B25" t="n">
        <v>1797170.31</v>
      </c>
      <c r="C25" t="n">
        <v>1156940940.81</v>
      </c>
      <c r="D25" t="n">
        <v>887000724.071</v>
      </c>
      <c r="E25" t="n">
        <v>56.1621</v>
      </c>
      <c r="F25" t="n">
        <v>43.0582</v>
      </c>
    </row>
    <row r="26">
      <c r="A26" t="n">
        <v>1958</v>
      </c>
      <c r="B26" t="n">
        <v>1846967.445</v>
      </c>
      <c r="C26" t="n">
        <v>1188556467.802</v>
      </c>
      <c r="D26" t="n">
        <v>832406000.358</v>
      </c>
      <c r="E26" t="n">
        <v>57.6968</v>
      </c>
      <c r="F26" t="n">
        <v>40.408</v>
      </c>
    </row>
    <row r="27">
      <c r="A27" t="n">
        <v>1959</v>
      </c>
      <c r="B27" t="n">
        <v>1838622.514</v>
      </c>
      <c r="C27" t="n">
        <v>1242176262.912</v>
      </c>
      <c r="D27" t="n">
        <v>957099597.477</v>
      </c>
      <c r="E27" t="n">
        <v>60.2997</v>
      </c>
      <c r="F27" t="n">
        <v>46.4611</v>
      </c>
    </row>
    <row r="28">
      <c r="A28" t="n">
        <v>1960</v>
      </c>
      <c r="B28" t="n">
        <v>1887277.919</v>
      </c>
      <c r="C28" t="n">
        <v>1255533498.349</v>
      </c>
      <c r="D28" t="n">
        <v>1064931897.709</v>
      </c>
      <c r="E28" t="n">
        <v>60.9481</v>
      </c>
      <c r="F28" t="n">
        <v>51.6956</v>
      </c>
    </row>
    <row r="29">
      <c r="A29" t="n">
        <v>1961</v>
      </c>
      <c r="B29" t="n">
        <v>1971222.434</v>
      </c>
      <c r="C29" t="n">
        <v>1308649600.866</v>
      </c>
      <c r="D29" t="n">
        <v>968374058.08</v>
      </c>
      <c r="E29" t="n">
        <v>63.5266</v>
      </c>
      <c r="F29" t="n">
        <v>47.0084</v>
      </c>
    </row>
    <row r="30">
      <c r="A30" t="n">
        <v>1962</v>
      </c>
      <c r="B30" t="n">
        <v>2036353.717</v>
      </c>
      <c r="C30" t="n">
        <v>1344910127.605</v>
      </c>
      <c r="D30" t="n">
        <v>961929025.552</v>
      </c>
      <c r="E30" t="n">
        <v>65.2868</v>
      </c>
      <c r="F30" t="n">
        <v>46.6955</v>
      </c>
    </row>
    <row r="31">
      <c r="A31" t="n">
        <v>1963</v>
      </c>
      <c r="B31" t="n">
        <v>1956110.902</v>
      </c>
      <c r="C31" t="n">
        <v>1357679807.624</v>
      </c>
      <c r="D31" t="n">
        <v>999514105.457</v>
      </c>
      <c r="E31" t="n">
        <v>65.9067</v>
      </c>
      <c r="F31" t="n">
        <v>48.52</v>
      </c>
    </row>
    <row r="32">
      <c r="A32" t="n">
        <v>1964</v>
      </c>
      <c r="B32" t="n">
        <v>1946475.505</v>
      </c>
      <c r="C32" t="n">
        <v>1312133486.725</v>
      </c>
      <c r="D32" t="n">
        <v>1120663810.537</v>
      </c>
      <c r="E32" t="n">
        <v>63.6957</v>
      </c>
      <c r="F32" t="n">
        <v>54.401</v>
      </c>
    </row>
    <row r="33">
      <c r="A33" t="n">
        <v>1965</v>
      </c>
      <c r="B33" t="n">
        <v>2069909.048</v>
      </c>
      <c r="C33" t="n">
        <v>1377275287.393</v>
      </c>
      <c r="D33" t="n">
        <v>1135817890.315</v>
      </c>
      <c r="E33" t="n">
        <v>66.8579</v>
      </c>
      <c r="F33" t="n">
        <v>55.1367</v>
      </c>
    </row>
    <row r="34">
      <c r="A34" t="n">
        <v>1966</v>
      </c>
      <c r="B34" t="n">
        <v>2136317.438</v>
      </c>
      <c r="C34" t="n">
        <v>1420916630.112</v>
      </c>
      <c r="D34" t="n">
        <v>1291621894.772</v>
      </c>
      <c r="E34" t="n">
        <v>68.9764</v>
      </c>
      <c r="F34" t="n">
        <v>62.7</v>
      </c>
    </row>
    <row r="35">
      <c r="A35" t="n">
        <v>1967</v>
      </c>
      <c r="B35" t="n">
        <v>2170364.367</v>
      </c>
      <c r="C35" t="n">
        <v>1466872958.765</v>
      </c>
      <c r="D35" t="n">
        <v>1484610046.306</v>
      </c>
      <c r="E35" t="n">
        <v>71.2073</v>
      </c>
      <c r="F35" t="n">
        <v>72.06829999999999</v>
      </c>
    </row>
    <row r="36">
      <c r="A36" t="n">
        <v>1968</v>
      </c>
      <c r="B36" t="n">
        <v>2294065.174</v>
      </c>
      <c r="C36" t="n">
        <v>1513068788.201</v>
      </c>
      <c r="D36" t="n">
        <v>1620041111.986</v>
      </c>
      <c r="E36" t="n">
        <v>73.4498</v>
      </c>
      <c r="F36" t="n">
        <v>78.6426</v>
      </c>
    </row>
    <row r="37">
      <c r="A37" t="n">
        <v>1969</v>
      </c>
      <c r="B37" t="n">
        <v>2343321.861</v>
      </c>
      <c r="C37" t="n">
        <v>1498496570.043</v>
      </c>
      <c r="D37" t="n">
        <v>1660508341.538</v>
      </c>
      <c r="E37" t="n">
        <v>72.7424</v>
      </c>
      <c r="F37" t="n">
        <v>80.607</v>
      </c>
    </row>
    <row r="38">
      <c r="A38" t="n">
        <v>1970</v>
      </c>
      <c r="B38" t="n">
        <v>2467731.716</v>
      </c>
      <c r="C38" t="n">
        <v>1510994547.733</v>
      </c>
      <c r="D38" t="n">
        <v>1707014979.594</v>
      </c>
      <c r="E38" t="n">
        <v>73.34910000000001</v>
      </c>
      <c r="F38" t="n">
        <v>82.8646</v>
      </c>
    </row>
    <row r="39">
      <c r="A39" t="n">
        <v>1971</v>
      </c>
      <c r="B39" t="n">
        <v>2527851.996</v>
      </c>
      <c r="C39" t="n">
        <v>1563566994.63</v>
      </c>
      <c r="D39" t="n">
        <v>1764610512.183</v>
      </c>
      <c r="E39" t="n">
        <v>75.9012</v>
      </c>
      <c r="F39" t="n">
        <v>85.6605</v>
      </c>
    </row>
    <row r="40">
      <c r="A40" t="n">
        <v>1972</v>
      </c>
      <c r="B40" t="n">
        <v>2671439.979</v>
      </c>
      <c r="C40" t="n">
        <v>1768512127.693</v>
      </c>
      <c r="D40" t="n">
        <v>1703165887.156</v>
      </c>
      <c r="E40" t="n">
        <v>85.84990000000001</v>
      </c>
      <c r="F40" t="n">
        <v>82.6778</v>
      </c>
    </row>
    <row r="41">
      <c r="A41" t="n">
        <v>1973</v>
      </c>
      <c r="B41" t="n">
        <v>2977102.69</v>
      </c>
      <c r="C41" t="n">
        <v>1891959380.459</v>
      </c>
      <c r="D41" t="n">
        <v>1768178142.984</v>
      </c>
      <c r="E41" t="n">
        <v>91.8425</v>
      </c>
      <c r="F41" t="n">
        <v>85.83369999999999</v>
      </c>
    </row>
    <row r="42">
      <c r="A42" t="n">
        <v>1974</v>
      </c>
      <c r="B42" t="n">
        <v>3167098.192</v>
      </c>
      <c r="C42" t="n">
        <v>1997751702.564</v>
      </c>
      <c r="D42" t="n">
        <v>1860748428.206</v>
      </c>
      <c r="E42" t="n">
        <v>96.97799999999999</v>
      </c>
      <c r="F42" t="n">
        <v>90.3274</v>
      </c>
    </row>
    <row r="43">
      <c r="A43" t="n">
        <v>1975</v>
      </c>
      <c r="B43" t="n">
        <v>3294057.188</v>
      </c>
      <c r="C43" t="n">
        <v>1900570964.411</v>
      </c>
      <c r="D43" t="n">
        <v>1711339513.904</v>
      </c>
      <c r="E43" t="n">
        <v>92.26049999999999</v>
      </c>
      <c r="F43" t="n">
        <v>83.0746</v>
      </c>
    </row>
    <row r="44">
      <c r="A44" t="n">
        <v>1976</v>
      </c>
      <c r="B44" t="n">
        <v>3421262.754</v>
      </c>
      <c r="C44" t="n">
        <v>1847415337.822</v>
      </c>
      <c r="D44" t="n">
        <v>1887299790.268</v>
      </c>
      <c r="E44" t="n">
        <v>89.6802</v>
      </c>
      <c r="F44" t="n">
        <v>91.6163</v>
      </c>
    </row>
    <row r="45">
      <c r="A45" t="n">
        <v>1977</v>
      </c>
      <c r="B45" t="n">
        <v>3775270.453</v>
      </c>
      <c r="C45" t="n">
        <v>1862902430.533</v>
      </c>
      <c r="D45" t="n">
        <v>2058879577.299</v>
      </c>
      <c r="E45" t="n">
        <v>90.432</v>
      </c>
      <c r="F45" t="n">
        <v>99.94540000000001</v>
      </c>
    </row>
    <row r="46">
      <c r="A46" t="n">
        <v>1978</v>
      </c>
      <c r="B46" t="n">
        <v>4065990.641</v>
      </c>
      <c r="C46" t="n">
        <v>1895045215.305</v>
      </c>
      <c r="D46" t="n">
        <v>2026739129.398</v>
      </c>
      <c r="E46" t="n">
        <v>91.9923</v>
      </c>
      <c r="F46" t="n">
        <v>98.3852</v>
      </c>
    </row>
    <row r="47">
      <c r="A47" t="n">
        <v>1979</v>
      </c>
      <c r="B47" t="n">
        <v>4022334.955</v>
      </c>
      <c r="C47" t="n">
        <v>1970841743.729</v>
      </c>
      <c r="D47" t="n">
        <v>2043447613.742</v>
      </c>
      <c r="E47" t="n">
        <v>95.6717</v>
      </c>
      <c r="F47" t="n">
        <v>99.19629999999999</v>
      </c>
    </row>
    <row r="48">
      <c r="A48" t="n">
        <v>1980</v>
      </c>
      <c r="B48" t="n">
        <v>4078558.268</v>
      </c>
      <c r="C48" t="n">
        <v>2022874564.517</v>
      </c>
      <c r="D48" t="n">
        <v>1958593357.054</v>
      </c>
      <c r="E48" t="n">
        <v>98.19759999999999</v>
      </c>
      <c r="F48" t="n">
        <v>95.0772</v>
      </c>
    </row>
    <row r="49">
      <c r="A49" t="n">
        <v>1981</v>
      </c>
      <c r="B49" t="n">
        <v>4402581.118</v>
      </c>
      <c r="C49" t="n">
        <v>2091877218.797</v>
      </c>
      <c r="D49" t="n">
        <v>2006359934.542</v>
      </c>
      <c r="E49" t="n">
        <v>101.5472</v>
      </c>
      <c r="F49" t="n">
        <v>97.3959</v>
      </c>
    </row>
    <row r="50">
      <c r="A50" t="n">
        <v>1982</v>
      </c>
      <c r="B50" t="n">
        <v>4543298.891</v>
      </c>
      <c r="C50" t="n">
        <v>2112302058.258</v>
      </c>
      <c r="D50" t="n">
        <v>2112156962.855</v>
      </c>
      <c r="E50" t="n">
        <v>102.5387</v>
      </c>
      <c r="F50" t="n">
        <v>102.5317</v>
      </c>
    </row>
    <row r="51">
      <c r="A51" t="n">
        <v>1983</v>
      </c>
      <c r="B51" t="n">
        <v>4795961.613</v>
      </c>
      <c r="C51" t="n">
        <v>2066949087.634</v>
      </c>
      <c r="D51" t="n">
        <v>2115672667.606</v>
      </c>
      <c r="E51" t="n">
        <v>100.3371</v>
      </c>
      <c r="F51" t="n">
        <v>102.7024</v>
      </c>
    </row>
    <row r="52">
      <c r="A52" t="n">
        <v>1984</v>
      </c>
      <c r="B52" t="n">
        <v>5200357.918</v>
      </c>
      <c r="C52" t="n">
        <v>2232103593.893</v>
      </c>
      <c r="D52" t="n">
        <v>2085921197.894</v>
      </c>
      <c r="E52" t="n">
        <v>108.3543</v>
      </c>
      <c r="F52" t="n">
        <v>101.2581</v>
      </c>
    </row>
    <row r="53">
      <c r="A53" t="n">
        <v>1985</v>
      </c>
      <c r="B53" t="n">
        <v>5123922.2</v>
      </c>
      <c r="C53" t="n">
        <v>2132045632.507</v>
      </c>
      <c r="D53" t="n">
        <v>2037657456.692</v>
      </c>
      <c r="E53" t="n">
        <v>103.4972</v>
      </c>
      <c r="F53" t="n">
        <v>98.9152</v>
      </c>
    </row>
    <row r="54">
      <c r="A54" t="n">
        <v>1986</v>
      </c>
      <c r="B54" t="n">
        <v>5626261.441</v>
      </c>
      <c r="C54" t="n">
        <v>2212421884.526</v>
      </c>
      <c r="D54" t="n">
        <v>2171896734.148</v>
      </c>
      <c r="E54" t="n">
        <v>107.3989</v>
      </c>
      <c r="F54" t="n">
        <v>105.4317</v>
      </c>
    </row>
    <row r="55">
      <c r="A55" t="n">
        <v>1987</v>
      </c>
      <c r="B55" t="n">
        <v>5561694.276</v>
      </c>
      <c r="C55" t="n">
        <v>2287561456.659</v>
      </c>
      <c r="D55" t="n">
        <v>2077265105.794</v>
      </c>
      <c r="E55" t="n">
        <v>111.0464</v>
      </c>
      <c r="F55" t="n">
        <v>100.8379</v>
      </c>
    </row>
    <row r="56">
      <c r="A56" t="n">
        <v>1988</v>
      </c>
      <c r="B56" t="n">
        <v>5894659.747</v>
      </c>
      <c r="C56" t="n">
        <v>2318563456.147</v>
      </c>
      <c r="D56" t="n">
        <v>2082245199.072</v>
      </c>
      <c r="E56" t="n">
        <v>112.5514</v>
      </c>
      <c r="F56" t="n">
        <v>101.0797</v>
      </c>
    </row>
    <row r="57">
      <c r="A57" t="n">
        <v>1989</v>
      </c>
      <c r="B57" t="n">
        <v>5716507.479</v>
      </c>
      <c r="C57" t="n">
        <v>2485767848.2</v>
      </c>
      <c r="D57" t="n">
        <v>2028756263.845</v>
      </c>
      <c r="E57" t="n">
        <v>120.6681</v>
      </c>
      <c r="F57" t="n">
        <v>98.48309999999999</v>
      </c>
    </row>
    <row r="58">
      <c r="A58" t="n">
        <v>1990</v>
      </c>
      <c r="B58" t="n">
        <v>5700144.893</v>
      </c>
      <c r="C58" t="n">
        <v>2598256338.77</v>
      </c>
      <c r="D58" t="n">
        <v>2027660425.612</v>
      </c>
      <c r="E58" t="n">
        <v>126.1287</v>
      </c>
      <c r="F58" t="n">
        <v>98.4299</v>
      </c>
    </row>
    <row r="59">
      <c r="A59" t="n">
        <v>1991</v>
      </c>
      <c r="B59" t="n">
        <v>5262334.843</v>
      </c>
      <c r="C59" t="n">
        <v>2835351203.459</v>
      </c>
      <c r="D59" t="n">
        <v>1796599954.004</v>
      </c>
      <c r="E59" t="n">
        <v>137.6381</v>
      </c>
      <c r="F59" t="n">
        <v>87.21339999999999</v>
      </c>
    </row>
    <row r="60">
      <c r="A60" t="n">
        <v>1992</v>
      </c>
      <c r="B60" t="n">
        <v>4973063.242</v>
      </c>
      <c r="C60" t="n">
        <v>2763767631.069</v>
      </c>
      <c r="D60" t="n">
        <v>1657177955.68</v>
      </c>
      <c r="E60" t="n">
        <v>134.1632</v>
      </c>
      <c r="F60" t="n">
        <v>80.44540000000001</v>
      </c>
    </row>
    <row r="61">
      <c r="A61" t="n">
        <v>1993</v>
      </c>
      <c r="B61" t="n">
        <v>5082470.261</v>
      </c>
      <c r="C61" t="n">
        <v>2821857932.722</v>
      </c>
      <c r="D61" t="n">
        <v>1698948480.965</v>
      </c>
      <c r="E61" t="n">
        <v>136.9831</v>
      </c>
      <c r="F61" t="n">
        <v>82.4731</v>
      </c>
    </row>
    <row r="62">
      <c r="A62" t="n">
        <v>1994</v>
      </c>
      <c r="B62" t="n">
        <v>5263656.408</v>
      </c>
      <c r="C62" t="n">
        <v>3317791333.879</v>
      </c>
      <c r="D62" t="n">
        <v>1883619612.997</v>
      </c>
      <c r="E62" t="n">
        <v>161.0575</v>
      </c>
      <c r="F62" t="n">
        <v>91.43770000000001</v>
      </c>
    </row>
    <row r="63">
      <c r="A63" t="n">
        <v>1995</v>
      </c>
      <c r="B63" t="n">
        <v>5522908.532</v>
      </c>
      <c r="C63" t="n">
        <v>3808998600.285</v>
      </c>
      <c r="D63" t="n">
        <v>1906439622.835</v>
      </c>
      <c r="E63" t="n">
        <v>184.9025</v>
      </c>
      <c r="F63" t="n">
        <v>92.5454</v>
      </c>
    </row>
    <row r="64">
      <c r="A64" t="n">
        <v>1996</v>
      </c>
      <c r="B64" t="n">
        <v>5266174.184</v>
      </c>
      <c r="C64" t="n">
        <v>3460663094.574</v>
      </c>
      <c r="D64" t="n">
        <v>1978526144.359</v>
      </c>
      <c r="E64" t="n">
        <v>167.993</v>
      </c>
      <c r="F64" t="n">
        <v>96.0448</v>
      </c>
    </row>
    <row r="65">
      <c r="A65" t="n">
        <v>1997</v>
      </c>
      <c r="B65" t="n">
        <v>5500304.426</v>
      </c>
      <c r="C65" t="n">
        <v>3366855839.294</v>
      </c>
      <c r="D65" t="n">
        <v>1971163689.414</v>
      </c>
      <c r="E65" t="n">
        <v>163.4393</v>
      </c>
      <c r="F65" t="n">
        <v>95.6874</v>
      </c>
    </row>
    <row r="66">
      <c r="A66" t="n">
        <v>1998</v>
      </c>
      <c r="B66" t="n">
        <v>5509887.108</v>
      </c>
      <c r="C66" t="n">
        <v>3649822617.862</v>
      </c>
      <c r="D66" t="n">
        <v>1848411743.121</v>
      </c>
      <c r="E66" t="n">
        <v>177.1755</v>
      </c>
      <c r="F66" t="n">
        <v>89.7285</v>
      </c>
    </row>
    <row r="67">
      <c r="A67" t="n">
        <v>1999</v>
      </c>
      <c r="B67" t="n">
        <v>5254625.691</v>
      </c>
      <c r="C67" t="n">
        <v>3438284801.782</v>
      </c>
      <c r="D67" t="n">
        <v>1700756881.716</v>
      </c>
      <c r="E67" t="n">
        <v>166.9067</v>
      </c>
      <c r="F67" t="n">
        <v>82.5608</v>
      </c>
    </row>
    <row r="68">
      <c r="A68" t="n">
        <v>2000</v>
      </c>
      <c r="B68" t="n">
        <v>5110000.573</v>
      </c>
      <c r="C68" t="n">
        <v>3443982597.202</v>
      </c>
      <c r="D68" t="n">
        <v>1680811450.065</v>
      </c>
      <c r="E68" t="n">
        <v>167.1833</v>
      </c>
      <c r="F68" t="n">
        <v>81.5926</v>
      </c>
    </row>
    <row r="69">
      <c r="A69" t="n">
        <v>2001</v>
      </c>
      <c r="B69" t="n">
        <v>5182054.924</v>
      </c>
      <c r="C69" t="n">
        <v>3424347408.258</v>
      </c>
      <c r="D69" t="n">
        <v>1630655111.078</v>
      </c>
      <c r="E69" t="n">
        <v>166.2301</v>
      </c>
      <c r="F69" t="n">
        <v>79.1579</v>
      </c>
    </row>
    <row r="70">
      <c r="A70" t="n">
        <v>2002</v>
      </c>
      <c r="B70" t="n">
        <v>5054904.843</v>
      </c>
      <c r="C70" t="n">
        <v>3383131612.386</v>
      </c>
      <c r="D70" t="n">
        <v>1644432979.393</v>
      </c>
      <c r="E70" t="n">
        <v>164.2294</v>
      </c>
      <c r="F70" t="n">
        <v>79.8267</v>
      </c>
    </row>
    <row r="71">
      <c r="A71" t="n">
        <v>2003</v>
      </c>
      <c r="B71" t="n">
        <v>5299202.842</v>
      </c>
      <c r="C71" t="n">
        <v>3275867655.799</v>
      </c>
      <c r="D71" t="n">
        <v>1693622944.832</v>
      </c>
      <c r="E71" t="n">
        <v>159.0224</v>
      </c>
      <c r="F71" t="n">
        <v>82.2145</v>
      </c>
    </row>
    <row r="72">
      <c r="A72" t="n">
        <v>2004</v>
      </c>
      <c r="B72" t="n">
        <v>5434642.169</v>
      </c>
      <c r="C72" t="n">
        <v>3626593227.365</v>
      </c>
      <c r="D72" t="n">
        <v>1768904297.072</v>
      </c>
      <c r="E72" t="n">
        <v>176.0479</v>
      </c>
      <c r="F72" t="n">
        <v>85.869</v>
      </c>
    </row>
    <row r="73">
      <c r="A73" t="n">
        <v>2005</v>
      </c>
      <c r="B73" t="n">
        <v>5382331.02</v>
      </c>
      <c r="C73" t="n">
        <v>3445356401.644</v>
      </c>
      <c r="D73" t="n">
        <v>1741182495.877</v>
      </c>
      <c r="E73" t="n">
        <v>167.25</v>
      </c>
      <c r="F73" t="n">
        <v>84.52330000000001</v>
      </c>
    </row>
    <row r="74">
      <c r="A74" t="n">
        <v>2006</v>
      </c>
      <c r="B74" t="n">
        <v>5382807.722</v>
      </c>
      <c r="C74" t="n">
        <v>3616191111.103</v>
      </c>
      <c r="D74" t="n">
        <v>1789109981.781</v>
      </c>
      <c r="E74" t="n">
        <v>175.5429</v>
      </c>
      <c r="F74" t="n">
        <v>86.8498</v>
      </c>
    </row>
    <row r="75">
      <c r="A75" t="n">
        <v>2007</v>
      </c>
      <c r="B75" t="n">
        <v>5288214.329</v>
      </c>
      <c r="C75" t="n">
        <v>3579455504.528</v>
      </c>
      <c r="D75" t="n">
        <v>1333754815.037</v>
      </c>
      <c r="E75" t="n">
        <v>173.7596</v>
      </c>
      <c r="F75" t="n">
        <v>64.7452</v>
      </c>
    </row>
    <row r="76">
      <c r="A76" t="n">
        <v>2008</v>
      </c>
      <c r="B76" t="n">
        <v>5492696.397</v>
      </c>
      <c r="C76" t="n">
        <v>3669749431.625</v>
      </c>
      <c r="D76" t="n">
        <v>1338419403.396</v>
      </c>
      <c r="E76" t="n">
        <v>178.1428</v>
      </c>
      <c r="F76" t="n">
        <v>64.9717</v>
      </c>
    </row>
    <row r="77">
      <c r="A77" t="n">
        <v>2009</v>
      </c>
      <c r="B77" t="n">
        <v>5325827.621</v>
      </c>
      <c r="C77" t="n">
        <v>3524513862.037</v>
      </c>
      <c r="D77" t="n">
        <v>1616866166.513</v>
      </c>
      <c r="E77" t="n">
        <v>171.0926</v>
      </c>
      <c r="F77" t="n">
        <v>78.4885</v>
      </c>
    </row>
    <row r="78">
      <c r="A78" t="n">
        <v>2010</v>
      </c>
      <c r="B78" t="n">
        <v>5390402.26</v>
      </c>
      <c r="C78" t="n">
        <v>3525244047.307</v>
      </c>
      <c r="D78" t="n">
        <v>1697263732.775</v>
      </c>
      <c r="E78" t="n">
        <v>171.128</v>
      </c>
      <c r="F78" t="n">
        <v>82.3913</v>
      </c>
    </row>
    <row r="79">
      <c r="A79" t="n">
        <v>2011</v>
      </c>
      <c r="B79" t="n">
        <v>5852515.43</v>
      </c>
      <c r="C79" t="n">
        <v>3913423344.6</v>
      </c>
      <c r="D79" t="n">
        <v>1607055544.75</v>
      </c>
      <c r="E79" t="n">
        <v>189.9716</v>
      </c>
      <c r="F79" t="n">
        <v>78.01220000000001</v>
      </c>
    </row>
    <row r="80">
      <c r="A80" t="n">
        <v>2012</v>
      </c>
      <c r="B80" t="n">
        <v>5923944.378</v>
      </c>
      <c r="C80" t="n">
        <v>3955333073.871</v>
      </c>
      <c r="D80" t="n">
        <v>1587505020.622</v>
      </c>
      <c r="E80" t="n">
        <v>192.0061</v>
      </c>
      <c r="F80" t="n">
        <v>77.06319999999999</v>
      </c>
    </row>
    <row r="81">
      <c r="A81" t="n">
        <v>2013</v>
      </c>
      <c r="B81" t="n">
        <v>5826324.731</v>
      </c>
      <c r="C81" t="n">
        <v>3827450482.201</v>
      </c>
      <c r="D81" t="n">
        <v>1601650107.223</v>
      </c>
      <c r="E81" t="n">
        <v>185.7982</v>
      </c>
      <c r="F81" t="n">
        <v>77.74979999999999</v>
      </c>
    </row>
    <row r="82">
      <c r="A82" t="n">
        <v>2014</v>
      </c>
      <c r="B82" t="n">
        <v>6246953.911</v>
      </c>
      <c r="C82" t="n">
        <v>4153111947.296</v>
      </c>
      <c r="D82" t="n">
        <v>1676496578.928</v>
      </c>
      <c r="E82" t="n">
        <v>201.607</v>
      </c>
      <c r="F82" t="n">
        <v>81.3832</v>
      </c>
    </row>
    <row r="83">
      <c r="A83" t="n">
        <v>2015</v>
      </c>
      <c r="B83" t="n">
        <v>5780408.223</v>
      </c>
      <c r="C83" t="n">
        <v>3806432969.337</v>
      </c>
      <c r="D83" t="n">
        <v>1549930762.967</v>
      </c>
      <c r="E83" t="n">
        <v>184.7779</v>
      </c>
      <c r="F83" t="n">
        <v>75.2392</v>
      </c>
    </row>
    <row r="84">
      <c r="A84" t="n">
        <v>2016</v>
      </c>
      <c r="B84" t="n">
        <v>5568519.244</v>
      </c>
      <c r="C84" t="n">
        <v>3653287016.453</v>
      </c>
      <c r="D84" t="n">
        <v>1537161823.037</v>
      </c>
      <c r="E84" t="n">
        <v>177.3437</v>
      </c>
      <c r="F84" t="n">
        <v>74.6194</v>
      </c>
    </row>
    <row r="85">
      <c r="A85" t="n">
        <v>2017</v>
      </c>
      <c r="B85" t="n">
        <v>5437618.34</v>
      </c>
      <c r="C85" t="n">
        <v>3520456762.594</v>
      </c>
      <c r="D85" t="n">
        <v>1785044459.705</v>
      </c>
      <c r="E85" t="n">
        <v>170.8956</v>
      </c>
      <c r="F85" t="n">
        <v>86.6525</v>
      </c>
    </row>
    <row r="86">
      <c r="A86" t="n">
        <v>2018</v>
      </c>
      <c r="B86" t="n">
        <v>5375830.797</v>
      </c>
      <c r="C86" t="n">
        <v>3433008254.573</v>
      </c>
      <c r="D86" t="n">
        <v>1476102972.957</v>
      </c>
      <c r="E86" t="n">
        <v>166.6506</v>
      </c>
      <c r="F86" t="n">
        <v>71.6553</v>
      </c>
    </row>
    <row r="87">
      <c r="A87" t="n">
        <v>2019</v>
      </c>
      <c r="B87" t="n">
        <v>5649829.981</v>
      </c>
      <c r="C87" t="n">
        <v>3396644851.015</v>
      </c>
      <c r="D87" t="n">
        <v>1737037783.131</v>
      </c>
      <c r="E87" t="n">
        <v>164.8853</v>
      </c>
      <c r="F87" t="n">
        <v>84.32210000000001</v>
      </c>
    </row>
    <row r="88">
      <c r="A88" t="inlineStr">
        <is>
          <t>PPR/NPP converts wet-weight PP to carbon at 9:1; NPP is the fixed 2019 ensemble median.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All basal sources, including imports. Blank means unavailable, not zero. sppr_simple is an unpartitioned reference.</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ht="21" customHeight="1">
      <c r="A6" t="inlineStr">
        <is>
          <t>Sardinops sagax</t>
        </is>
      </c>
      <c r="B6" t="n">
        <v>2.84</v>
      </c>
      <c r="C6" t="n">
        <v>69.183097</v>
      </c>
      <c r="D6" s="10"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ht="21" customHeight="1">
      <c r="A7" t="inlineStr">
        <is>
          <t>Trichiurus lepturus</t>
        </is>
      </c>
      <c r="B7" t="n">
        <v>4.42</v>
      </c>
      <c r="C7" t="n">
        <v>2630.267992</v>
      </c>
      <c r="D7" s="10"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ht="21" customHeight="1">
      <c r="A8" t="inlineStr">
        <is>
          <t>Engraulis japonicus</t>
        </is>
      </c>
      <c r="B8" t="n">
        <v>3.14</v>
      </c>
      <c r="C8" t="n">
        <v>138.038426</v>
      </c>
      <c r="D8" s="10"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ht="21" customHeight="1">
      <c r="A9" t="inlineStr">
        <is>
          <t>Scomber japonicus</t>
        </is>
      </c>
      <c r="B9" t="n">
        <v>3.38</v>
      </c>
      <c r="C9" t="n">
        <v>239.883292</v>
      </c>
      <c r="D9" s="10"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ht="21" customHeight="1">
      <c r="A10" t="inlineStr">
        <is>
          <t>Scomber</t>
        </is>
      </c>
      <c r="B10" t="n">
        <v>3.65</v>
      </c>
      <c r="C10" t="n">
        <v>446.683592</v>
      </c>
      <c r="D10" s="10"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ht="21" customHeight="1">
      <c r="A11" t="inlineStr">
        <is>
          <t>Cololabis saira</t>
        </is>
      </c>
      <c r="B11" t="n">
        <v>3.71</v>
      </c>
      <c r="C11" t="n">
        <v>512.861384</v>
      </c>
      <c r="D11" s="10"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ht="21" customHeight="1">
      <c r="A12" t="inlineStr">
        <is>
          <t>Mollusca</t>
        </is>
      </c>
      <c r="B12" t="n">
        <v>2.1</v>
      </c>
      <c r="C12" t="n">
        <v>12.589254</v>
      </c>
      <c r="D12" s="10"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ht="21" customHeight="1">
      <c r="A13" t="inlineStr">
        <is>
          <t>Miscellaneous marine crustaceans</t>
        </is>
      </c>
      <c r="B13" t="n">
        <v>2.7</v>
      </c>
      <c r="C13" t="n">
        <v>50.118723</v>
      </c>
      <c r="D13" s="10"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ht="21" customHeight="1">
      <c r="A14" t="inlineStr">
        <is>
          <t>Larimichthys polyactis</t>
        </is>
      </c>
      <c r="B14" t="n">
        <v>3.64</v>
      </c>
      <c r="C14" t="n">
        <v>436.515832</v>
      </c>
      <c r="D14" s="10"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ht="21" customHeight="1">
      <c r="A15" t="inlineStr">
        <is>
          <t>Acetes japonicus</t>
        </is>
      </c>
      <c r="B15" t="n">
        <v>2.54</v>
      </c>
      <c r="C15" t="n">
        <v>34.673685</v>
      </c>
      <c r="D15" s="10"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ht="21" customHeight="1">
      <c r="A16" t="inlineStr">
        <is>
          <t>Todarodes pacificus</t>
        </is>
      </c>
      <c r="B16" t="n">
        <v>4.28</v>
      </c>
      <c r="C16" t="n">
        <v>1905.460718</v>
      </c>
      <c r="D16" s="10"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ht="66" customHeight="1">
      <c r="A17" t="inlineStr">
        <is>
          <t>Sciaenidae</t>
        </is>
      </c>
      <c r="B17" t="n">
        <v>3.76</v>
      </c>
      <c r="C17" t="n">
        <v>575.439937</v>
      </c>
      <c r="D17" s="10"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ht="21" customHeight="1">
      <c r="A18" t="inlineStr">
        <is>
          <t>Stephanolepis cirrhifer</t>
        </is>
      </c>
      <c r="B18" t="n">
        <v>2.84</v>
      </c>
      <c r="C18" t="n">
        <v>69.183097</v>
      </c>
      <c r="D18" s="10"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ht="21" customHeight="1">
      <c r="A19" t="inlineStr">
        <is>
          <t>Pectinidae</t>
        </is>
      </c>
      <c r="B19" t="n">
        <v>2</v>
      </c>
      <c r="C19" t="n">
        <v>10</v>
      </c>
      <c r="D19" s="10"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ht="21" customHeight="1">
      <c r="A20" t="inlineStr">
        <is>
          <t>Scyphozoa</t>
        </is>
      </c>
      <c r="B20" t="n">
        <v>3.46</v>
      </c>
      <c r="C20" t="n">
        <v>288.40315</v>
      </c>
      <c r="D20" s="10"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ht="21" customHeight="1">
      <c r="A21" t="inlineStr">
        <is>
          <t>Pleuronectidae</t>
        </is>
      </c>
      <c r="B21" t="n">
        <v>3.49</v>
      </c>
      <c r="C21" t="n">
        <v>309.029543</v>
      </c>
      <c r="D21" s="10"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ht="21" customHeight="1">
      <c r="A22" t="inlineStr">
        <is>
          <t>Muraenesox cinereus</t>
        </is>
      </c>
      <c r="B22" t="n">
        <v>4.38</v>
      </c>
      <c r="C22" t="n">
        <v>2398.832919</v>
      </c>
      <c r="D22" s="10"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ht="21" customHeight="1">
      <c r="A23" t="inlineStr">
        <is>
          <t>Pennahia argentata</t>
        </is>
      </c>
      <c r="B23" t="n">
        <v>3.47</v>
      </c>
      <c r="C23" t="n">
        <v>295.120923</v>
      </c>
      <c r="D23" s="10"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ht="21" customHeight="1">
      <c r="A24" t="inlineStr">
        <is>
          <t>Gadus macrocephalus</t>
        </is>
      </c>
      <c r="B24" t="n">
        <v>4.16</v>
      </c>
      <c r="C24" t="n">
        <v>1445.439771</v>
      </c>
      <c r="D24" s="10"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ht="36" customHeight="1">
      <c r="A25" t="inlineStr">
        <is>
          <t>Monacanthidae</t>
        </is>
      </c>
      <c r="B25" t="n">
        <v>3</v>
      </c>
      <c r="C25" t="n">
        <v>100</v>
      </c>
      <c r="D25" s="10"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ht="21" customHeight="1">
      <c r="A26" t="inlineStr">
        <is>
          <t>Pampus</t>
        </is>
      </c>
      <c r="B26" t="n">
        <v>3.41</v>
      </c>
      <c r="C26" t="n">
        <v>257.039578</v>
      </c>
      <c r="D26" s="10"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ht="21" customHeight="1">
      <c r="A27" t="inlineStr">
        <is>
          <t>Bivalvia</t>
        </is>
      </c>
      <c r="B27" t="n">
        <v>2.23</v>
      </c>
      <c r="C27" t="n">
        <v>16.982437</v>
      </c>
      <c r="D27" s="10"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ht="21" customHeight="1">
      <c r="A28" t="inlineStr">
        <is>
          <t>Trachysalambria curvirostris</t>
        </is>
      </c>
      <c r="B28" t="n">
        <v>2.7</v>
      </c>
      <c r="C28" t="n">
        <v>50.118723</v>
      </c>
      <c r="D28" s="10"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ht="21" customHeight="1">
      <c r="A29" t="inlineStr">
        <is>
          <t>Nemipterus</t>
        </is>
      </c>
      <c r="B29" t="n">
        <v>3.72</v>
      </c>
      <c r="C29" t="n">
        <v>524.80746</v>
      </c>
      <c r="D29" s="10"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ht="21" customHeight="1">
      <c r="A30" t="inlineStr">
        <is>
          <t>Scomberomorus</t>
        </is>
      </c>
      <c r="B30" t="n">
        <v>4.35</v>
      </c>
      <c r="C30" t="n">
        <v>2238.721139</v>
      </c>
      <c r="D30" s="10"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ht="21" customHeight="1">
      <c r="A31" t="inlineStr">
        <is>
          <t>Portunus trituberculatus</t>
        </is>
      </c>
      <c r="B31" t="n">
        <v>3.73</v>
      </c>
      <c r="C31" t="n">
        <v>537.031796</v>
      </c>
      <c r="D31" s="10"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ht="21" customHeight="1">
      <c r="A32" t="inlineStr">
        <is>
          <t>Octopoda</t>
        </is>
      </c>
      <c r="B32" t="n">
        <v>3.58</v>
      </c>
      <c r="C32" t="n">
        <v>380.189396</v>
      </c>
      <c r="D32" s="10"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ht="21" customHeight="1">
      <c r="A33" t="inlineStr">
        <is>
          <t>Sepiida</t>
        </is>
      </c>
      <c r="B33" t="n">
        <v>3.7</v>
      </c>
      <c r="C33" t="n">
        <v>501.187234</v>
      </c>
      <c r="D33" s="10"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ht="21" customHeight="1">
      <c r="A34" t="inlineStr">
        <is>
          <t>Larimichthys crocea</t>
        </is>
      </c>
      <c r="B34" t="n">
        <v>3.72</v>
      </c>
      <c r="C34" t="n">
        <v>524.80746</v>
      </c>
      <c r="D34" s="10"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ht="21" customHeight="1">
      <c r="A35" t="inlineStr">
        <is>
          <t>Scomberomorus niphonius</t>
        </is>
      </c>
      <c r="B35" t="n">
        <v>4.5</v>
      </c>
      <c r="C35" t="n">
        <v>3162.27766</v>
      </c>
      <c r="D35" s="10"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ht="21" customHeight="1">
      <c r="A36" t="inlineStr">
        <is>
          <t>Planiliza haematocheilus</t>
        </is>
      </c>
      <c r="B36" t="n">
        <v>2.5</v>
      </c>
      <c r="C36" t="n">
        <v>31.622777</v>
      </c>
      <c r="D36" s="10"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ht="21" customHeight="1">
      <c r="A37" t="inlineStr">
        <is>
          <t>Teuthida</t>
        </is>
      </c>
      <c r="B37" t="n">
        <v>4.13</v>
      </c>
      <c r="C37" t="n">
        <v>1348.962883</v>
      </c>
      <c r="D37" s="10"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ht="21" customHeight="1">
      <c r="A38" t="inlineStr">
        <is>
          <t>Penaeus chinensis</t>
        </is>
      </c>
      <c r="B38" t="n">
        <v>2</v>
      </c>
      <c r="C38" t="n">
        <v>10</v>
      </c>
      <c r="D38" s="10"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ht="21" customHeight="1">
      <c r="A39" t="inlineStr">
        <is>
          <t>Oncorhynchus</t>
        </is>
      </c>
      <c r="B39" t="n">
        <v>3.95</v>
      </c>
      <c r="C39" t="n">
        <v>891.250938</v>
      </c>
      <c r="D39" s="10"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ht="36" customHeight="1">
      <c r="A40" t="inlineStr">
        <is>
          <t>Carangidae</t>
        </is>
      </c>
      <c r="B40" t="n">
        <v>4.05</v>
      </c>
      <c r="C40" t="n">
        <v>1122.018454</v>
      </c>
      <c r="D40" s="10"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ht="36" customHeight="1">
      <c r="A41" t="inlineStr">
        <is>
          <t>Psenopsis anomala</t>
        </is>
      </c>
      <c r="B41" t="n">
        <v>4</v>
      </c>
      <c r="C41" t="n">
        <v>1000</v>
      </c>
      <c r="D41" s="10"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ht="21" customHeight="1">
      <c r="A42" t="inlineStr">
        <is>
          <t>Squillidae</t>
        </is>
      </c>
      <c r="B42" t="n">
        <v>3.5</v>
      </c>
      <c r="C42" t="n">
        <v>316.227766</v>
      </c>
      <c r="D42" s="10"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ht="21" customHeight="1">
      <c r="A43" t="inlineStr">
        <is>
          <t>Sparidae</t>
        </is>
      </c>
      <c r="B43" t="n">
        <v>3.31</v>
      </c>
      <c r="C43" t="n">
        <v>204.173794</v>
      </c>
      <c r="D43" s="10"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ht="21" customHeight="1">
      <c r="A44" t="inlineStr">
        <is>
          <t>Alepes</t>
        </is>
      </c>
      <c r="B44" t="n">
        <v>3.32</v>
      </c>
      <c r="C44" t="n">
        <v>208.929613</v>
      </c>
      <c r="D44" s="10"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ht="21" customHeight="1">
      <c r="A45" t="inlineStr">
        <is>
          <t>Sepiidae</t>
        </is>
      </c>
      <c r="B45" t="n">
        <v>3.6</v>
      </c>
      <c r="C45" t="n">
        <v>398.107171</v>
      </c>
      <c r="D45" s="10"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ht="21" customHeight="1">
      <c r="A46" t="inlineStr">
        <is>
          <t>Harpadon nehereus</t>
        </is>
      </c>
      <c r="B46" t="n">
        <v>4.2</v>
      </c>
      <c r="C46" t="n">
        <v>1584.893192</v>
      </c>
      <c r="D46" s="10"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ht="21" customHeight="1">
      <c r="A47" t="inlineStr">
        <is>
          <t>Katsuwonus pelamis</t>
        </is>
      </c>
      <c r="B47" t="n">
        <v>4.43</v>
      </c>
      <c r="C47" t="n">
        <v>2691.534804</v>
      </c>
      <c r="D47" s="10"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ht="21" customHeight="1">
      <c r="A48" t="inlineStr">
        <is>
          <t>Cephalopoda</t>
        </is>
      </c>
      <c r="B48" t="n">
        <v>3.81</v>
      </c>
      <c r="C48" t="n">
        <v>645.654229</v>
      </c>
      <c r="D48" s="10"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ht="21" customHeight="1">
      <c r="A49" t="inlineStr">
        <is>
          <t>Nemipteridae</t>
        </is>
      </c>
      <c r="B49" t="n">
        <v>3.51</v>
      </c>
      <c r="C49" t="n">
        <v>323.593657</v>
      </c>
      <c r="D49" s="10"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ht="21" customHeight="1">
      <c r="A50" t="inlineStr">
        <is>
          <t>Thunnus albacares</t>
        </is>
      </c>
      <c r="B50" t="n">
        <v>4.41</v>
      </c>
      <c r="C50" t="n">
        <v>2570.395783</v>
      </c>
      <c r="D50" s="10"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ht="21" customHeight="1">
      <c r="A51" t="inlineStr">
        <is>
          <t>Trachurus japonicus</t>
        </is>
      </c>
      <c r="B51" t="n">
        <v>3.4</v>
      </c>
      <c r="C51" t="n">
        <v>251.188643</v>
      </c>
      <c r="D51" s="10"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ht="21" customHeight="1">
      <c r="A52" t="inlineStr">
        <is>
          <t>Rhopilema esculentum</t>
        </is>
      </c>
      <c r="B52" t="n">
        <v>3.01</v>
      </c>
      <c r="C52" t="n">
        <v>102.329299</v>
      </c>
      <c r="D52" s="10"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ht="21" customHeight="1">
      <c r="A53" t="inlineStr">
        <is>
          <t>Mugil cephalus</t>
        </is>
      </c>
      <c r="B53" t="n">
        <v>2.14</v>
      </c>
      <c r="C53" t="n">
        <v>13.803843</v>
      </c>
      <c r="D53" s="10"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ht="21" customHeight="1">
      <c r="A54" t="inlineStr">
        <is>
          <t>Dendrobranchiata</t>
        </is>
      </c>
      <c r="B54" t="n">
        <v>3.24</v>
      </c>
      <c r="C54" t="n">
        <v>173.780083</v>
      </c>
      <c r="D54" s="10"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ht="21" customHeight="1">
      <c r="A55" t="inlineStr">
        <is>
          <t>Pagrus major</t>
        </is>
      </c>
      <c r="B55" t="n">
        <v>3.7</v>
      </c>
      <c r="C55" t="n">
        <v>501.187234</v>
      </c>
      <c r="D55" s="10"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ht="21" customHeight="1">
      <c r="A56" t="inlineStr">
        <is>
          <t>Decapoda</t>
        </is>
      </c>
      <c r="B56" t="n">
        <v>3.43</v>
      </c>
      <c r="C56" t="n">
        <v>269.15348</v>
      </c>
      <c r="D56" s="10"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ht="21" customHeight="1">
      <c r="A57" t="inlineStr">
        <is>
          <t>Turbo cornutus</t>
        </is>
      </c>
      <c r="B57" t="n">
        <v>2</v>
      </c>
      <c r="C57" t="n">
        <v>10</v>
      </c>
      <c r="D57" s="10"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ht="21" customHeight="1">
      <c r="A58" t="inlineStr">
        <is>
          <t>Conger myriaster</t>
        </is>
      </c>
      <c r="B58" t="n">
        <v>3.98</v>
      </c>
      <c r="C58" t="n">
        <v>954.992586</v>
      </c>
      <c r="D58" s="10"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ht="36" customHeight="1">
      <c r="A59" t="inlineStr">
        <is>
          <t>Congridae</t>
        </is>
      </c>
      <c r="B59" t="n">
        <v>4.18</v>
      </c>
      <c r="C59" t="n">
        <v>1513.561248</v>
      </c>
      <c r="D59" s="10"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ht="21" customHeight="1">
      <c r="A60" t="inlineStr">
        <is>
          <t>Seriola</t>
        </is>
      </c>
      <c r="B60" t="n">
        <v>4.39</v>
      </c>
      <c r="C60" t="n">
        <v>2454.708916</v>
      </c>
      <c r="D60" s="10"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ht="21" customHeight="1">
      <c r="A61" t="inlineStr">
        <is>
          <t>Ilisha elongata</t>
        </is>
      </c>
      <c r="B61" t="n">
        <v>3.79</v>
      </c>
      <c r="C61" t="n">
        <v>616.595002</v>
      </c>
      <c r="D61" s="10"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ht="21" customHeight="1">
      <c r="A62" t="inlineStr">
        <is>
          <t>Sebastes</t>
        </is>
      </c>
      <c r="B62" t="n">
        <v>3.79</v>
      </c>
      <c r="C62" t="n">
        <v>616.595002</v>
      </c>
      <c r="D62" s="10"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ht="21" customHeight="1">
      <c r="A63" t="inlineStr">
        <is>
          <t>Epinephelus</t>
        </is>
      </c>
      <c r="B63" t="n">
        <v>3.84</v>
      </c>
      <c r="C63" t="n">
        <v>691.830971</v>
      </c>
      <c r="D63" s="10"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ht="21" customHeight="1">
      <c r="A64" t="inlineStr">
        <is>
          <t>Loliginidae</t>
        </is>
      </c>
      <c r="B64" t="n">
        <v>3.9</v>
      </c>
      <c r="C64" t="n">
        <v>794.3282349999999</v>
      </c>
      <c r="D64" s="10"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ht="21" customHeight="1">
      <c r="A65" t="inlineStr">
        <is>
          <t>Stromateidae</t>
        </is>
      </c>
      <c r="B65" t="n">
        <v>3.62</v>
      </c>
      <c r="C65" t="n">
        <v>416.869383</v>
      </c>
      <c r="D65" s="10"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ht="21" customHeight="1">
      <c r="A66" t="inlineStr">
        <is>
          <t>Brachyura</t>
        </is>
      </c>
      <c r="B66" t="n">
        <v>2.6</v>
      </c>
      <c r="C66" t="n">
        <v>39.810717</v>
      </c>
      <c r="D66" s="10"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ht="21" customHeight="1">
      <c r="A67" t="inlineStr">
        <is>
          <t>Octopodidae</t>
        </is>
      </c>
      <c r="B67" t="n">
        <v>3.59</v>
      </c>
      <c r="C67" t="n">
        <v>389.045145</v>
      </c>
      <c r="D67" s="10"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ht="21" customHeight="1">
      <c r="A68" t="inlineStr">
        <is>
          <t>Clupeidae</t>
        </is>
      </c>
      <c r="B68" t="n">
        <v>3.16</v>
      </c>
      <c r="C68" t="n">
        <v>144.543977</v>
      </c>
      <c r="D68" s="10"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ht="21" customHeight="1">
      <c r="A69" t="inlineStr">
        <is>
          <t>Ammodytes personatus</t>
        </is>
      </c>
      <c r="B69" t="n">
        <v>3</v>
      </c>
      <c r="C69" t="n">
        <v>100</v>
      </c>
      <c r="D69" s="10"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ht="21" customHeight="1">
      <c r="A70" t="inlineStr">
        <is>
          <t>Ruditapes philippinarum</t>
        </is>
      </c>
      <c r="B70" t="n">
        <v>2</v>
      </c>
      <c r="C70" t="n">
        <v>10</v>
      </c>
      <c r="D70" s="10"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ht="21" customHeight="1">
      <c r="A71" t="inlineStr">
        <is>
          <t>Dussumieria</t>
        </is>
      </c>
      <c r="B71" t="n">
        <v>3.4</v>
      </c>
      <c r="C71" t="n">
        <v>251.188643</v>
      </c>
      <c r="D71" s="10"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ht="36" customHeight="1">
      <c r="A72" t="inlineStr">
        <is>
          <t>Scombridae</t>
        </is>
      </c>
      <c r="B72" t="n">
        <v>4.26</v>
      </c>
      <c r="C72" t="n">
        <v>1819.700859</v>
      </c>
      <c r="D72" s="10"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ht="21" customHeight="1">
      <c r="A73" t="inlineStr">
        <is>
          <t>Paralichthyidae</t>
        </is>
      </c>
      <c r="B73" t="n">
        <v>4.06</v>
      </c>
      <c r="C73" t="n">
        <v>1148.153621</v>
      </c>
      <c r="D73" s="10"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ht="21" customHeight="1">
      <c r="A74" t="inlineStr">
        <is>
          <t>Elasmobranchii</t>
        </is>
      </c>
      <c r="B74" t="n">
        <v>4.05</v>
      </c>
      <c r="C74" t="n">
        <v>1122.018454</v>
      </c>
      <c r="D74" s="10" t="inlineStr">
        <is>
          <t>Sharks | Benthivores</t>
        </is>
      </c>
      <c r="E74" t="n">
        <v>0</v>
      </c>
      <c r="F74" t="n">
        <v>86.734781</v>
      </c>
      <c r="G74" t="n">
        <v>1.845317</v>
      </c>
      <c r="H74" t="n">
        <v>1.856032</v>
      </c>
      <c r="I74" t="n">
        <v>33.396859</v>
      </c>
      <c r="J74" t="n">
        <v>37.813436</v>
      </c>
      <c r="K74" t="n">
        <v>34.981647</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ht="21" customHeight="1">
      <c r="A75" t="inlineStr">
        <is>
          <t>Konosirus punctatus</t>
        </is>
      </c>
      <c r="B75" t="n">
        <v>2.87</v>
      </c>
      <c r="C75" t="n">
        <v>74.131024</v>
      </c>
      <c r="D75" s="10"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ht="21" customHeight="1">
      <c r="A76" t="inlineStr">
        <is>
          <t>Auxis</t>
        </is>
      </c>
      <c r="B76" t="n">
        <v>4.24</v>
      </c>
      <c r="C76" t="n">
        <v>1737.800829</v>
      </c>
      <c r="D76" s="10"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ht="21" customHeight="1">
      <c r="A77" t="inlineStr">
        <is>
          <t>Tetraodontidae</t>
        </is>
      </c>
      <c r="B77" t="n">
        <v>3.5</v>
      </c>
      <c r="C77" t="n">
        <v>316.227766</v>
      </c>
      <c r="D77" s="10"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ht="21" customHeight="1">
      <c r="A78" t="inlineStr">
        <is>
          <t>Pampus argenteus</t>
        </is>
      </c>
      <c r="B78" t="n">
        <v>3.3</v>
      </c>
      <c r="C78" t="n">
        <v>199.526231</v>
      </c>
      <c r="D78" s="10"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ht="21" customHeight="1">
      <c r="A79" t="inlineStr">
        <is>
          <t>Priacanthus</t>
        </is>
      </c>
      <c r="B79" t="n">
        <v>3.81</v>
      </c>
      <c r="C79" t="n">
        <v>645.654229</v>
      </c>
      <c r="D79" s="10"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ht="21" customHeight="1">
      <c r="A80" t="inlineStr">
        <is>
          <t>Synodontidae</t>
        </is>
      </c>
      <c r="B80" t="n">
        <v>4.3</v>
      </c>
      <c r="C80" t="n">
        <v>1995.262315</v>
      </c>
      <c r="D80" s="10"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ht="21" customHeight="1">
      <c r="A81" t="inlineStr">
        <is>
          <t>Paralichthys olivaceus</t>
        </is>
      </c>
      <c r="B81" t="n">
        <v>4.25</v>
      </c>
      <c r="C81" t="n">
        <v>1778.27941</v>
      </c>
      <c r="D81" s="10"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ht="21" customHeight="1">
      <c r="A82" t="inlineStr">
        <is>
          <t>Coryphaena hippurus</t>
        </is>
      </c>
      <c r="B82" t="n">
        <v>4.37</v>
      </c>
      <c r="C82" t="n">
        <v>2344.228815</v>
      </c>
      <c r="D82" s="10"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ht="21" customHeight="1">
      <c r="A83" t="inlineStr">
        <is>
          <t>Nemipterus virgatus</t>
        </is>
      </c>
      <c r="B83" t="n">
        <v>3.99</v>
      </c>
      <c r="C83" t="n">
        <v>977.237221</v>
      </c>
      <c r="D83" s="10"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ht="21" customHeight="1">
      <c r="A84" t="inlineStr">
        <is>
          <t>Salmonidae</t>
        </is>
      </c>
      <c r="B84" t="n">
        <v>3.3</v>
      </c>
      <c r="C84" t="n">
        <v>199.526231</v>
      </c>
      <c r="D84" s="10"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ht="21" customHeight="1">
      <c r="A85" t="inlineStr">
        <is>
          <t>Portunus pelagicus</t>
        </is>
      </c>
      <c r="B85" t="n">
        <v>2.48</v>
      </c>
      <c r="C85" t="n">
        <v>30.199517</v>
      </c>
      <c r="D85" s="10"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ht="21" customHeight="1">
      <c r="A86" t="inlineStr">
        <is>
          <t>Sardinella zunasi</t>
        </is>
      </c>
      <c r="B86" t="n">
        <v>3.12</v>
      </c>
      <c r="C86" t="n">
        <v>131.825674</v>
      </c>
      <c r="D86" s="10"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ht="21" customHeight="1">
      <c r="A87" t="inlineStr">
        <is>
          <t>Charybdis</t>
        </is>
      </c>
      <c r="B87" t="n">
        <v>2.7</v>
      </c>
      <c r="C87" t="n">
        <v>50.118723</v>
      </c>
      <c r="D87" s="10"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ht="21" customHeight="1">
      <c r="A88" t="inlineStr">
        <is>
          <t>Magallana gigas</t>
        </is>
      </c>
      <c r="B88" t="n">
        <v>2</v>
      </c>
      <c r="C88" t="n">
        <v>10</v>
      </c>
      <c r="D88" s="10"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ht="21" customHeight="1">
      <c r="A89" t="inlineStr">
        <is>
          <t>Anadara</t>
        </is>
      </c>
      <c r="B89" t="n">
        <v>2</v>
      </c>
      <c r="C89" t="n">
        <v>10</v>
      </c>
      <c r="D89" s="10"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ht="21" customHeight="1">
      <c r="A90" t="inlineStr">
        <is>
          <t>Echinoidea</t>
        </is>
      </c>
      <c r="B90" t="n">
        <v>2.51</v>
      </c>
      <c r="C90" t="n">
        <v>32.359366</v>
      </c>
      <c r="D90" s="10"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ht="21" customHeight="1">
      <c r="A91" t="inlineStr">
        <is>
          <t>Decapterus maruadsi</t>
        </is>
      </c>
      <c r="B91" t="n">
        <v>3.4</v>
      </c>
      <c r="C91" t="n">
        <v>251.188643</v>
      </c>
      <c r="D91" s="10"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ht="21" customHeight="1">
      <c r="A92" t="inlineStr">
        <is>
          <t>Lateolabrax japonicus</t>
        </is>
      </c>
      <c r="B92" t="n">
        <v>3.36</v>
      </c>
      <c r="C92" t="n">
        <v>229.086765</v>
      </c>
      <c r="D92" s="10"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ht="21" customHeight="1">
      <c r="A93" t="inlineStr">
        <is>
          <t>Priacanthus macracanthus</t>
        </is>
      </c>
      <c r="B93" t="n">
        <v>4.11</v>
      </c>
      <c r="C93" t="n">
        <v>1288.249552</v>
      </c>
      <c r="D93" s="10"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ht="21" customHeight="1">
      <c r="A94" t="inlineStr">
        <is>
          <t>Exocoetidae</t>
        </is>
      </c>
      <c r="B94" t="n">
        <v>3.57</v>
      </c>
      <c r="C94" t="n">
        <v>371.535229</v>
      </c>
      <c r="D94" s="10"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ht="21" customHeight="1">
      <c r="A95" t="inlineStr">
        <is>
          <t>Scomber australasicus</t>
        </is>
      </c>
      <c r="B95" t="n">
        <v>4.23</v>
      </c>
      <c r="C95" t="n">
        <v>1698.243652</v>
      </c>
      <c r="D95" s="10"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ht="21" customHeight="1">
      <c r="A96" t="inlineStr">
        <is>
          <t>Mytilus coruscus</t>
        </is>
      </c>
      <c r="B96" t="n">
        <v>2</v>
      </c>
      <c r="C96" t="n">
        <v>10</v>
      </c>
      <c r="D96" s="10"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ht="21" customHeight="1">
      <c r="A97" t="inlineStr">
        <is>
          <t>Atrobucca nibe</t>
        </is>
      </c>
      <c r="B97" t="n">
        <v>3.03</v>
      </c>
      <c r="C97" t="n">
        <v>107.151931</v>
      </c>
      <c r="D97" s="10"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ht="21" customHeight="1">
      <c r="A98" t="inlineStr">
        <is>
          <t>Spratelloides gracilis</t>
        </is>
      </c>
      <c r="B98" t="n">
        <v>3.06</v>
      </c>
      <c r="C98" t="n">
        <v>114.815362</v>
      </c>
      <c r="D98" s="10"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ht="21" customHeight="1">
      <c r="A99" t="inlineStr">
        <is>
          <t>Ruvettus pretiosus</t>
        </is>
      </c>
      <c r="B99" t="n">
        <v>4.18</v>
      </c>
      <c r="C99" t="n">
        <v>1513.561248</v>
      </c>
      <c r="D99" s="10"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ht="21" customHeight="1">
      <c r="A100" t="inlineStr">
        <is>
          <t>Lutjanidae</t>
        </is>
      </c>
      <c r="B100" t="n">
        <v>4.02</v>
      </c>
      <c r="C100" t="n">
        <v>1047.128548</v>
      </c>
      <c r="D100" s="10"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ht="21" customHeight="1">
      <c r="A101" t="inlineStr">
        <is>
          <t>Sebastidae</t>
        </is>
      </c>
      <c r="B101" t="n">
        <v>3.74</v>
      </c>
      <c r="C101" t="n">
        <v>549.540874</v>
      </c>
      <c r="D101" s="10"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ht="21" customHeight="1">
      <c r="A102" t="inlineStr">
        <is>
          <t>Pleurogrammus azonus</t>
        </is>
      </c>
      <c r="B102" t="n">
        <v>3.6</v>
      </c>
      <c r="C102" t="n">
        <v>398.107171</v>
      </c>
      <c r="D102" s="10"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ht="21" customHeight="1">
      <c r="A103" t="inlineStr">
        <is>
          <t>Bathylagidae</t>
        </is>
      </c>
      <c r="B103" t="n">
        <v>3.1</v>
      </c>
      <c r="C103" t="n">
        <v>125.892541</v>
      </c>
      <c r="D103" s="10"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ht="51" customHeight="1">
      <c r="A104" t="inlineStr">
        <is>
          <t>Clupeiformes</t>
        </is>
      </c>
      <c r="B104" t="n">
        <v>3.24</v>
      </c>
      <c r="C104" t="n">
        <v>173.780083</v>
      </c>
      <c r="D104" s="10"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ht="21" customHeight="1">
      <c r="A105" t="inlineStr">
        <is>
          <t>Mullidae</t>
        </is>
      </c>
      <c r="B105" t="n">
        <v>3.46</v>
      </c>
      <c r="C105" t="n">
        <v>288.40315</v>
      </c>
      <c r="D105" s="10"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ht="21" customHeight="1">
      <c r="A106" t="inlineStr">
        <is>
          <t>Chelidonichthys kumu</t>
        </is>
      </c>
      <c r="B106" t="n">
        <v>3.68</v>
      </c>
      <c r="C106" t="n">
        <v>478.630092</v>
      </c>
      <c r="D106" s="10"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ht="21" customHeight="1">
      <c r="A107" t="inlineStr">
        <is>
          <t>Nibea mitsukurii</t>
        </is>
      </c>
      <c r="B107" t="n">
        <v>3.5</v>
      </c>
      <c r="C107" t="n">
        <v>316.227766</v>
      </c>
      <c r="D107" s="10"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ht="21" customHeight="1">
      <c r="A108" t="inlineStr">
        <is>
          <t>Saurida tumbil</t>
        </is>
      </c>
      <c r="B108" t="n">
        <v>4.4</v>
      </c>
      <c r="C108" t="n">
        <v>2511.886432</v>
      </c>
      <c r="D108" s="10"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ht="21" customHeight="1">
      <c r="A109" t="inlineStr">
        <is>
          <t>Mugilidae</t>
        </is>
      </c>
      <c r="B109" t="n">
        <v>2.53</v>
      </c>
      <c r="C109" t="n">
        <v>33.884416</v>
      </c>
      <c r="D109" s="10"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ht="21" customHeight="1">
      <c r="A110" t="inlineStr">
        <is>
          <t>Coryphaena</t>
        </is>
      </c>
      <c r="B110" t="n">
        <v>4.49</v>
      </c>
      <c r="C110" t="n">
        <v>3090.295433</v>
      </c>
      <c r="D110" s="10"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ht="21" customHeight="1">
      <c r="A111" t="inlineStr">
        <is>
          <t>Thunnus alalunga</t>
        </is>
      </c>
      <c r="B111" t="n">
        <v>4.3</v>
      </c>
      <c r="C111" t="n">
        <v>1995.262315</v>
      </c>
      <c r="D111" s="10"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ht="21" customHeight="1">
      <c r="A112" t="inlineStr">
        <is>
          <t>Platycephalus indicus</t>
        </is>
      </c>
      <c r="B112" t="n">
        <v>3.6</v>
      </c>
      <c r="C112" t="n">
        <v>398.107171</v>
      </c>
      <c r="D112" s="10"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ht="21" customHeight="1">
      <c r="A113" t="inlineStr">
        <is>
          <t>Mactridae</t>
        </is>
      </c>
      <c r="B113" t="n">
        <v>2</v>
      </c>
      <c r="C113" t="n">
        <v>10</v>
      </c>
      <c r="D113" s="10"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ht="21" customHeight="1">
      <c r="A114" t="inlineStr">
        <is>
          <t>Muraenesocidae</t>
        </is>
      </c>
      <c r="B114" t="n">
        <v>3.9</v>
      </c>
      <c r="C114" t="n">
        <v>794.3282349999999</v>
      </c>
      <c r="D114" s="10"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ht="21" customHeight="1">
      <c r="A115" t="inlineStr">
        <is>
          <t>Squalidae</t>
        </is>
      </c>
      <c r="D115" s="10" t="inlineStr">
        <is>
          <t>Sharks</t>
        </is>
      </c>
      <c r="E115" t="n">
        <v>0</v>
      </c>
      <c r="F115" t="n">
        <v>1154.744061</v>
      </c>
      <c r="G115" t="n">
        <v>2.745621</v>
      </c>
      <c r="H115" t="n">
        <v>2.742397</v>
      </c>
      <c r="I115" t="n">
        <v>0</v>
      </c>
      <c r="J115" t="n">
        <v>152.583853</v>
      </c>
      <c r="K115" t="n">
        <v>0</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ht="21" customHeight="1">
      <c r="A116" t="inlineStr">
        <is>
          <t>Seriola lalandi</t>
        </is>
      </c>
      <c r="D116" s="10"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ht="21" customHeight="1">
      <c r="A117" t="inlineStr">
        <is>
          <t>Portunidae</t>
        </is>
      </c>
      <c r="B117" t="n">
        <v>3.56</v>
      </c>
      <c r="C117" t="n">
        <v>363.078055</v>
      </c>
      <c r="D117" s="10"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ht="21" customHeight="1">
      <c r="A118" t="inlineStr">
        <is>
          <t>Pagrus auratus</t>
        </is>
      </c>
      <c r="B118" t="n">
        <v>3.59</v>
      </c>
      <c r="C118" t="n">
        <v>389.045145</v>
      </c>
      <c r="D118" s="10"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ht="21" customHeight="1">
      <c r="A119" t="inlineStr">
        <is>
          <t>Thunnus obesus</t>
        </is>
      </c>
      <c r="B119" t="n">
        <v>4.49</v>
      </c>
      <c r="C119" t="n">
        <v>3090.295433</v>
      </c>
      <c r="D119" s="10"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ht="21" customHeight="1">
      <c r="A120" t="inlineStr">
        <is>
          <t>Haemulidae</t>
        </is>
      </c>
      <c r="B120" t="n">
        <v>3.36</v>
      </c>
      <c r="C120" t="n">
        <v>229.086765</v>
      </c>
      <c r="D120" s="10"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ht="21" customHeight="1">
      <c r="A121" t="inlineStr">
        <is>
          <t>Gastropoda</t>
        </is>
      </c>
      <c r="B121" t="n">
        <v>3.06</v>
      </c>
      <c r="C121" t="n">
        <v>114.815362</v>
      </c>
      <c r="D121" s="10"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ht="21" customHeight="1">
      <c r="A122" t="inlineStr">
        <is>
          <t>Holothuroidea</t>
        </is>
      </c>
      <c r="B122" t="n">
        <v>2</v>
      </c>
      <c r="C122" t="n">
        <v>10</v>
      </c>
      <c r="D122" s="10"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ht="21" customHeight="1">
      <c r="A123" t="inlineStr">
        <is>
          <t>Penaeus japonicus</t>
        </is>
      </c>
      <c r="B123" t="n">
        <v>2.7</v>
      </c>
      <c r="C123" t="n">
        <v>50.118723</v>
      </c>
      <c r="D123" s="10"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ht="21" customHeight="1">
      <c r="A124" t="inlineStr">
        <is>
          <t>Mytilidae</t>
        </is>
      </c>
      <c r="B124" t="n">
        <v>2</v>
      </c>
      <c r="C124" t="n">
        <v>10</v>
      </c>
      <c r="D124" s="10"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ht="21" customHeight="1">
      <c r="A125" t="inlineStr">
        <is>
          <t>Penaeidae</t>
        </is>
      </c>
      <c r="B125" t="n">
        <v>3.31</v>
      </c>
      <c r="C125" t="n">
        <v>204.173794</v>
      </c>
      <c r="D125" s="10"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ht="21" customHeight="1">
      <c r="A126" t="inlineStr">
        <is>
          <t>Trichiuridae</t>
        </is>
      </c>
      <c r="B126" t="n">
        <v>4.15</v>
      </c>
      <c r="C126" t="n">
        <v>1412.537545</v>
      </c>
      <c r="D126" s="10"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ht="21" customHeight="1">
      <c r="A127" t="inlineStr">
        <is>
          <t>Parastromateus niger</t>
        </is>
      </c>
      <c r="B127" t="n">
        <v>2.93</v>
      </c>
      <c r="C127" t="n">
        <v>85.113804</v>
      </c>
      <c r="D127" s="10"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ht="21" customHeight="1">
      <c r="A128" t="inlineStr">
        <is>
          <t>Miichthys miiuy</t>
        </is>
      </c>
      <c r="B128" t="n">
        <v>3.5</v>
      </c>
      <c r="C128" t="n">
        <v>316.227766</v>
      </c>
      <c r="D128" s="10"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ht="21" customHeight="1">
      <c r="A129" t="inlineStr">
        <is>
          <t>Nemopilema nomurai</t>
        </is>
      </c>
      <c r="B129" t="n">
        <v>3.57</v>
      </c>
      <c r="C129" t="n">
        <v>371.535229</v>
      </c>
      <c r="D129" s="10"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ht="21" customHeight="1">
      <c r="A130" t="inlineStr">
        <is>
          <t>Decapterus</t>
        </is>
      </c>
      <c r="B130" t="n">
        <v>3.63</v>
      </c>
      <c r="C130" t="n">
        <v>426.579519</v>
      </c>
      <c r="D130" s="10"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ht="21" customHeight="1">
      <c r="A131" t="inlineStr">
        <is>
          <t>Gadus chalcogrammus</t>
        </is>
      </c>
      <c r="B131" t="n">
        <v>3.57</v>
      </c>
      <c r="C131" t="n">
        <v>371.535229</v>
      </c>
      <c r="D131" s="10"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ht="21" customHeight="1">
      <c r="A132" t="inlineStr">
        <is>
          <t>Branchiostegus japonicus</t>
        </is>
      </c>
      <c r="D132" s="10"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ht="21" customHeight="1">
      <c r="A133" t="inlineStr">
        <is>
          <t>Meretrix lusoria</t>
        </is>
      </c>
      <c r="B133" t="n">
        <v>2</v>
      </c>
      <c r="C133" t="n">
        <v>10</v>
      </c>
      <c r="D133" s="10"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ht="36" customHeight="1">
      <c r="A134" t="inlineStr">
        <is>
          <t>Gadidae</t>
        </is>
      </c>
      <c r="B134" t="n">
        <v>3.84</v>
      </c>
      <c r="C134" t="n">
        <v>691.830971</v>
      </c>
      <c r="D134" s="10"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ht="21" customHeight="1">
      <c r="A135" t="inlineStr">
        <is>
          <t>Scomberomorus guttatus</t>
        </is>
      </c>
      <c r="B135" t="n">
        <v>4.28</v>
      </c>
      <c r="C135" t="n">
        <v>1905.460718</v>
      </c>
      <c r="D135" s="10"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ht="21" customHeight="1">
      <c r="A136" t="inlineStr">
        <is>
          <t>Tegillarca granosa</t>
        </is>
      </c>
      <c r="B136" t="n">
        <v>2</v>
      </c>
      <c r="C136" t="n">
        <v>10</v>
      </c>
      <c r="D136" s="10"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ht="21" customHeight="1">
      <c r="A137" t="inlineStr">
        <is>
          <t>Menidae</t>
        </is>
      </c>
      <c r="B137" t="n">
        <v>3.45</v>
      </c>
      <c r="C137" t="n">
        <v>281.838293</v>
      </c>
      <c r="D137" s="10"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ht="21" customHeight="1">
      <c r="A138" t="inlineStr">
        <is>
          <t>Scorpaenidae</t>
        </is>
      </c>
      <c r="B138" t="n">
        <v>3.92</v>
      </c>
      <c r="C138" t="n">
        <v>831.763771</v>
      </c>
      <c r="D138" s="10"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ht="21" customHeight="1">
      <c r="A139" t="inlineStr">
        <is>
          <t>Ommastrephidae</t>
        </is>
      </c>
      <c r="B139" t="n">
        <v>4.09</v>
      </c>
      <c r="C139" t="n">
        <v>1230.268771</v>
      </c>
      <c r="D139" s="10"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ht="21" customHeight="1">
      <c r="A140" t="inlineStr">
        <is>
          <t>Veneridae</t>
        </is>
      </c>
      <c r="B140" t="n">
        <v>2</v>
      </c>
      <c r="C140" t="n">
        <v>10</v>
      </c>
      <c r="D140" s="10"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ht="21" customHeight="1">
      <c r="A141" t="inlineStr">
        <is>
          <t>Meretrix</t>
        </is>
      </c>
      <c r="D141" s="10"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ht="36" customHeight="1">
      <c r="A142" t="inlineStr">
        <is>
          <t>Miscellaneous aquatic invertebrates</t>
        </is>
      </c>
      <c r="B142" t="n">
        <v>2.43</v>
      </c>
      <c r="C142" t="n">
        <v>26.915348</v>
      </c>
      <c r="D142" s="10"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ht="21" customHeight="1">
      <c r="A143" t="inlineStr">
        <is>
          <t>Ariidae</t>
        </is>
      </c>
      <c r="B143" t="n">
        <v>3.48</v>
      </c>
      <c r="C143" t="n">
        <v>301.995172</v>
      </c>
      <c r="D143" s="10"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ht="21" customHeight="1">
      <c r="A144" t="inlineStr">
        <is>
          <t>Mene maculata</t>
        </is>
      </c>
      <c r="B144" t="n">
        <v>3.45</v>
      </c>
      <c r="C144" t="n">
        <v>281.838293</v>
      </c>
      <c r="D144" s="10"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ht="21" customHeight="1">
      <c r="A145" t="inlineStr">
        <is>
          <t>Acanthopagrus schlegelii</t>
        </is>
      </c>
      <c r="B145" t="n">
        <v>3.24</v>
      </c>
      <c r="C145" t="n">
        <v>173.780083</v>
      </c>
      <c r="D145" s="10"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ht="21" customHeight="1">
      <c r="A146" t="inlineStr">
        <is>
          <t>Octopus</t>
        </is>
      </c>
      <c r="B146" t="n">
        <v>3.8</v>
      </c>
      <c r="C146" t="n">
        <v>630.957344</v>
      </c>
      <c r="D146" s="10"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ht="21" customHeight="1">
      <c r="A147" t="inlineStr">
        <is>
          <t>Apostichopus japonicus</t>
        </is>
      </c>
      <c r="B147" t="n">
        <v>2.3</v>
      </c>
      <c r="C147" t="n">
        <v>19.952623</v>
      </c>
      <c r="D147" s="10"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ht="21" customHeight="1">
      <c r="A148" t="inlineStr">
        <is>
          <t>Arctoscopus japonicus</t>
        </is>
      </c>
      <c r="B148" t="n">
        <v>3.51</v>
      </c>
      <c r="C148" t="n">
        <v>323.593657</v>
      </c>
      <c r="D148" s="10"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ht="21" customHeight="1">
      <c r="A149" t="inlineStr">
        <is>
          <t>Batoidea</t>
        </is>
      </c>
      <c r="B149" t="n">
        <v>3.72</v>
      </c>
      <c r="C149" t="n">
        <v>524.80746</v>
      </c>
      <c r="D149" s="10"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ht="51" customHeight="1">
      <c r="A150" t="inlineStr">
        <is>
          <t>Perciformes</t>
        </is>
      </c>
      <c r="B150" t="n">
        <v>3.53</v>
      </c>
      <c r="C150" t="n">
        <v>338.844156</v>
      </c>
      <c r="D150" s="10"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ht="21" customHeight="1">
      <c r="A151" t="inlineStr">
        <is>
          <t>Ostreidae</t>
        </is>
      </c>
      <c r="B151" t="n">
        <v>2</v>
      </c>
      <c r="C151" t="n">
        <v>10</v>
      </c>
      <c r="D151" s="10"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ht="21" customHeight="1">
      <c r="A152" t="inlineStr">
        <is>
          <t>Portunus</t>
        </is>
      </c>
      <c r="B152" t="n">
        <v>3.26</v>
      </c>
      <c r="C152" t="n">
        <v>181.970086</v>
      </c>
      <c r="D152" s="10"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ht="21" customHeight="1">
      <c r="A153" t="inlineStr">
        <is>
          <t>Penaeus penicillatus</t>
        </is>
      </c>
      <c r="B153" t="n">
        <v>2.7</v>
      </c>
      <c r="C153" t="n">
        <v>50.118723</v>
      </c>
      <c r="D153" s="10"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ht="21" customHeight="1">
      <c r="A154" t="inlineStr">
        <is>
          <t>Thunnus orientalis</t>
        </is>
      </c>
      <c r="B154" t="n">
        <v>4.05</v>
      </c>
      <c r="C154" t="n">
        <v>1122.018454</v>
      </c>
      <c r="D154" s="10"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ht="21" customHeight="1">
      <c r="A155" t="inlineStr">
        <is>
          <t>Liparis tanakae</t>
        </is>
      </c>
      <c r="B155" t="n">
        <v>3.42</v>
      </c>
      <c r="C155" t="n">
        <v>263.026799</v>
      </c>
      <c r="D155" s="10"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ht="21" customHeight="1">
      <c r="A156" t="inlineStr">
        <is>
          <t>Trachurus</t>
        </is>
      </c>
      <c r="B156" t="n">
        <v>3.69</v>
      </c>
      <c r="C156" t="n">
        <v>489.778819</v>
      </c>
      <c r="D156" s="10"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ht="21" customHeight="1">
      <c r="A157" t="inlineStr">
        <is>
          <t>Hyporhamphus sajori</t>
        </is>
      </c>
      <c r="B157" t="n">
        <v>3.4</v>
      </c>
      <c r="C157" t="n">
        <v>251.188643</v>
      </c>
      <c r="D157" s="10"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ht="21" customHeight="1">
      <c r="A158" t="inlineStr">
        <is>
          <t>Kajikia audax</t>
        </is>
      </c>
      <c r="B158" t="n">
        <v>4.58</v>
      </c>
      <c r="C158" t="n">
        <v>3801.893963</v>
      </c>
      <c r="D158" s="10"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ht="21" customHeight="1">
      <c r="A159" t="inlineStr">
        <is>
          <t>Clupea pallasii</t>
        </is>
      </c>
      <c r="B159" t="n">
        <v>3.16</v>
      </c>
      <c r="C159" t="n">
        <v>144.543977</v>
      </c>
      <c r="D159" s="10"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ht="21" customHeight="1">
      <c r="A160" t="inlineStr">
        <is>
          <t>Sepia</t>
        </is>
      </c>
      <c r="B160" t="n">
        <v>3.69</v>
      </c>
      <c r="C160" t="n">
        <v>489.778819</v>
      </c>
      <c r="D160" s="10"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ht="21" customHeight="1">
      <c r="A161" t="inlineStr">
        <is>
          <t>Haliotidae</t>
        </is>
      </c>
      <c r="B161" t="n">
        <v>2</v>
      </c>
      <c r="C161" t="n">
        <v>10</v>
      </c>
      <c r="D161" s="10"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ht="21" customHeight="1">
      <c r="A162" t="inlineStr">
        <is>
          <t>Metapenaeus</t>
        </is>
      </c>
      <c r="B162" t="n">
        <v>2.7</v>
      </c>
      <c r="C162" t="n">
        <v>50.118723</v>
      </c>
      <c r="D162" s="10"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ht="21" customHeight="1">
      <c r="A163" t="inlineStr">
        <is>
          <t>Serranidae</t>
        </is>
      </c>
      <c r="B163" t="n">
        <v>3.98</v>
      </c>
      <c r="C163" t="n">
        <v>954.992586</v>
      </c>
      <c r="D163" s="10"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ht="36" customHeight="1">
      <c r="A164" t="inlineStr">
        <is>
          <t>Pleuronectiformes</t>
        </is>
      </c>
      <c r="B164" t="n">
        <v>3.57</v>
      </c>
      <c r="C164" t="n">
        <v>371.535229</v>
      </c>
      <c r="D164" s="10"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ht="21" customHeight="1">
      <c r="A165" t="inlineStr">
        <is>
          <t>Scomberomorus commerson</t>
        </is>
      </c>
      <c r="B165" t="n">
        <v>4.5</v>
      </c>
      <c r="C165" t="n">
        <v>3162.27766</v>
      </c>
      <c r="D165" s="10"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ht="21" customHeight="1">
      <c r="A166" t="inlineStr">
        <is>
          <t>Engraulidae</t>
        </is>
      </c>
      <c r="B166" t="n">
        <v>3.2</v>
      </c>
      <c r="C166" t="n">
        <v>158.489319</v>
      </c>
      <c r="D166" s="10"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ht="21" customHeight="1">
      <c r="A167" t="inlineStr">
        <is>
          <t>Metapenaeus joyneri</t>
        </is>
      </c>
      <c r="B167" t="n">
        <v>3.2</v>
      </c>
      <c r="C167" t="n">
        <v>158.489319</v>
      </c>
      <c r="D167" s="10"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ht="21" customHeight="1">
      <c r="A168" t="inlineStr">
        <is>
          <t>Kyphosidae</t>
        </is>
      </c>
      <c r="B168" t="n">
        <v>2.19</v>
      </c>
      <c r="C168" t="n">
        <v>15.488166</v>
      </c>
      <c r="D168" s="10"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ht="51" customHeight="1">
      <c r="A169" t="inlineStr">
        <is>
          <t>Marine finfishes not identified</t>
        </is>
      </c>
      <c r="B169" t="n">
        <v>3.23</v>
      </c>
      <c r="C169" t="n">
        <v>169.824365</v>
      </c>
      <c r="D169" s="10"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ht="21" customHeight="1">
      <c r="A170" t="inlineStr">
        <is>
          <t>Oplegnathus fasciatus</t>
        </is>
      </c>
      <c r="B170" t="n">
        <v>3.55</v>
      </c>
      <c r="C170" t="n">
        <v>354.813389</v>
      </c>
      <c r="D170" s="10"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ht="21" customHeight="1">
      <c r="A171" t="inlineStr">
        <is>
          <t>Cardiidae</t>
        </is>
      </c>
      <c r="B171" t="n">
        <v>2</v>
      </c>
      <c r="C171" t="n">
        <v>10</v>
      </c>
      <c r="D171" s="10"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ht="21" customHeight="1">
      <c r="A172" t="inlineStr">
        <is>
          <t>Lethrinidae</t>
        </is>
      </c>
      <c r="B172" t="n">
        <v>3.59</v>
      </c>
      <c r="C172" t="n">
        <v>389.045145</v>
      </c>
      <c r="D172" s="10"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ht="21" customHeight="1">
      <c r="A173" t="inlineStr">
        <is>
          <t>Chondrichthyes</t>
        </is>
      </c>
      <c r="B173" t="n">
        <v>4</v>
      </c>
      <c r="C173" t="n">
        <v>1000</v>
      </c>
      <c r="D173" s="10" t="inlineStr">
        <is>
          <t>Sharks | Benthivores</t>
        </is>
      </c>
      <c r="E173" t="n">
        <v>0</v>
      </c>
      <c r="F173" t="n">
        <v>86.734781</v>
      </c>
      <c r="G173" t="n">
        <v>1.845317</v>
      </c>
      <c r="H173" t="n">
        <v>1.856032</v>
      </c>
      <c r="I173" t="n">
        <v>33.396859</v>
      </c>
      <c r="J173" t="n">
        <v>37.813436</v>
      </c>
      <c r="K173" t="n">
        <v>34.981647</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ht="21" customHeight="1">
      <c r="A174" t="inlineStr">
        <is>
          <t>Parapristipoma trilineatum</t>
        </is>
      </c>
      <c r="D174" s="10"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ht="21" customHeight="1">
      <c r="A175" t="inlineStr">
        <is>
          <t>Evynnis tumifrons</t>
        </is>
      </c>
      <c r="B175" t="n">
        <v>3.97</v>
      </c>
      <c r="C175" t="n">
        <v>933.2543010000001</v>
      </c>
      <c r="D175" s="10"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ht="21" customHeight="1">
      <c r="A176" t="inlineStr">
        <is>
          <t>Scyllaridae</t>
        </is>
      </c>
      <c r="B176" t="n">
        <v>2.87</v>
      </c>
      <c r="C176" t="n">
        <v>74.131024</v>
      </c>
      <c r="D176" s="10"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ht="21" customHeight="1">
      <c r="A177" t="inlineStr">
        <is>
          <t>Xiphias gladius</t>
        </is>
      </c>
      <c r="B177" t="n">
        <v>4.53</v>
      </c>
      <c r="C177" t="n">
        <v>3388.441561</v>
      </c>
      <c r="D177" s="10"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ht="21" customHeight="1">
      <c r="A178" t="inlineStr">
        <is>
          <t>Epinephelus coioides</t>
        </is>
      </c>
      <c r="B178" t="n">
        <v>4</v>
      </c>
      <c r="C178" t="n">
        <v>1000</v>
      </c>
      <c r="D178" s="10"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ht="21" customHeight="1">
      <c r="A179" t="inlineStr">
        <is>
          <t>Gobiidae</t>
        </is>
      </c>
      <c r="B179" t="n">
        <v>3.11</v>
      </c>
      <c r="C179" t="n">
        <v>128.824955</v>
      </c>
      <c r="D179" s="10"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ht="21" customHeight="1">
      <c r="A180" t="inlineStr">
        <is>
          <t>Ariomma indica</t>
        </is>
      </c>
      <c r="B180" t="n">
        <v>3.63</v>
      </c>
      <c r="C180" t="n">
        <v>426.579519</v>
      </c>
      <c r="D180" s="10"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ht="21" customHeight="1">
      <c r="A181" t="inlineStr">
        <is>
          <t>Platycaranx talamparoides</t>
        </is>
      </c>
      <c r="B181" t="n">
        <v>4.4</v>
      </c>
      <c r="C181" t="n">
        <v>2511.886432</v>
      </c>
      <c r="D181" s="10"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ht="21" customHeight="1">
      <c r="A182" t="inlineStr">
        <is>
          <t>Decapterus russelli</t>
        </is>
      </c>
      <c r="B182" t="n">
        <v>3.68</v>
      </c>
      <c r="C182" t="n">
        <v>478.630092</v>
      </c>
      <c r="D182" s="10"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ht="21" customHeight="1">
      <c r="A183" t="inlineStr">
        <is>
          <t>Panulirus</t>
        </is>
      </c>
      <c r="D183" s="10"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ht="21" customHeight="1">
      <c r="A184" t="inlineStr">
        <is>
          <t>Niphon spinosus</t>
        </is>
      </c>
      <c r="B184" t="n">
        <v>4.5</v>
      </c>
      <c r="C184" t="n">
        <v>3162.27766</v>
      </c>
      <c r="D184" s="10"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ht="21" customHeight="1">
      <c r="A185" t="inlineStr">
        <is>
          <t>Chanos chanos</t>
        </is>
      </c>
      <c r="B185" t="n">
        <v>2.03</v>
      </c>
      <c r="C185" t="n">
        <v>10.715193</v>
      </c>
      <c r="D185" s="10"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ht="21" customHeight="1">
      <c r="A186" t="inlineStr">
        <is>
          <t>Istiompax indica</t>
        </is>
      </c>
      <c r="B186" t="n">
        <v>4.5</v>
      </c>
      <c r="C186" t="n">
        <v>3162.27766</v>
      </c>
      <c r="D186" s="10"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ht="21" customHeight="1">
      <c r="A187" t="inlineStr">
        <is>
          <t>Panulirus longipes</t>
        </is>
      </c>
      <c r="B187" t="n">
        <v>2.6</v>
      </c>
      <c r="C187" t="n">
        <v>39.810717</v>
      </c>
      <c r="D187" s="10"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ht="21" customHeight="1">
      <c r="A188" t="inlineStr">
        <is>
          <t>Sillaginidae</t>
        </is>
      </c>
      <c r="B188" t="n">
        <v>3.25</v>
      </c>
      <c r="C188" t="n">
        <v>177.827941</v>
      </c>
      <c r="D188" s="10"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ht="21" customHeight="1">
      <c r="A189" t="inlineStr">
        <is>
          <t>Lateolabracidae</t>
        </is>
      </c>
      <c r="B189" t="n">
        <v>3.78</v>
      </c>
      <c r="C189" t="n">
        <v>602.559586</v>
      </c>
      <c r="D189" s="10"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ht="21" customHeight="1">
      <c r="A190" t="inlineStr">
        <is>
          <t>Ammodytes</t>
        </is>
      </c>
      <c r="B190" t="n">
        <v>3.11</v>
      </c>
      <c r="C190" t="n">
        <v>128.824955</v>
      </c>
      <c r="D190" s="10"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ht="21" customHeight="1">
      <c r="A191" t="inlineStr">
        <is>
          <t>Cypselurus</t>
        </is>
      </c>
      <c r="B191" t="n">
        <v>3.4</v>
      </c>
      <c r="C191" t="n">
        <v>251.188643</v>
      </c>
      <c r="D191" s="10"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ht="21" customHeight="1">
      <c r="A192" t="inlineStr">
        <is>
          <t>Gymnocranius</t>
        </is>
      </c>
      <c r="B192" t="n">
        <v>3.4</v>
      </c>
      <c r="C192" t="n">
        <v>251.188643</v>
      </c>
      <c r="D192" s="10"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ht="21" customHeight="1">
      <c r="A193" t="inlineStr">
        <is>
          <t>Muraenidae</t>
        </is>
      </c>
      <c r="B193" t="n">
        <v>4.07</v>
      </c>
      <c r="C193" t="n">
        <v>1174.897555</v>
      </c>
      <c r="D193" s="10"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ht="21" customHeight="1">
      <c r="A194" t="inlineStr">
        <is>
          <t>Ibacus ciliatus</t>
        </is>
      </c>
      <c r="B194" t="n">
        <v>2.6</v>
      </c>
      <c r="C194" t="n">
        <v>39.810717</v>
      </c>
      <c r="D194" s="10"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ht="21" customHeight="1">
      <c r="A195" t="inlineStr">
        <is>
          <t>Scylla serrata</t>
        </is>
      </c>
      <c r="B195" t="n">
        <v>3.17</v>
      </c>
      <c r="C195" t="n">
        <v>147.910839</v>
      </c>
      <c r="D195" s="10"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ht="21" customHeight="1">
      <c r="A196" t="inlineStr">
        <is>
          <t>Istiophoridae</t>
        </is>
      </c>
      <c r="B196" t="n">
        <v>4.48</v>
      </c>
      <c r="C196" t="n">
        <v>3019.95172</v>
      </c>
      <c r="D196" s="10"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ht="21" customHeight="1">
      <c r="A197" t="inlineStr">
        <is>
          <t>Megalaspis cordyla</t>
        </is>
      </c>
      <c r="B197" t="n">
        <v>4.24</v>
      </c>
      <c r="C197" t="n">
        <v>1737.800829</v>
      </c>
      <c r="D197" s="10"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ht="21" customHeight="1">
      <c r="A198" t="inlineStr">
        <is>
          <t>Hexagrammos otakii</t>
        </is>
      </c>
      <c r="D198" s="10"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ht="21" customHeight="1">
      <c r="A199" t="inlineStr">
        <is>
          <t>Mizuhopecten yessoensis</t>
        </is>
      </c>
      <c r="B199" t="n">
        <v>2.1</v>
      </c>
      <c r="C199" t="n">
        <v>12.589254</v>
      </c>
      <c r="D199" s="10"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ht="21" customHeight="1">
      <c r="A200" t="inlineStr">
        <is>
          <t>Platycaranx malabaricus</t>
        </is>
      </c>
      <c r="B200" t="n">
        <v>3.88</v>
      </c>
      <c r="C200" t="n">
        <v>758.577575</v>
      </c>
      <c r="D200" s="10"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ht="21" customHeight="1">
      <c r="A201" t="inlineStr">
        <is>
          <t>Rachycentridae</t>
        </is>
      </c>
      <c r="B201" t="n">
        <v>3.96</v>
      </c>
      <c r="C201" t="n">
        <v>912.010839</v>
      </c>
      <c r="D201" s="10"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ht="21" customHeight="1">
      <c r="A202" t="inlineStr">
        <is>
          <t>Haliotis</t>
        </is>
      </c>
      <c r="B202" t="n">
        <v>2</v>
      </c>
      <c r="C202" t="n">
        <v>10</v>
      </c>
      <c r="D202" s="10"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ht="21" customHeight="1">
      <c r="A203" t="inlineStr">
        <is>
          <t>Sillago</t>
        </is>
      </c>
      <c r="B203" t="n">
        <v>3.33</v>
      </c>
      <c r="C203" t="n">
        <v>213.796209</v>
      </c>
      <c r="D203" s="10"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ht="21" customHeight="1">
      <c r="A204" t="inlineStr">
        <is>
          <t>Hemiramphidae</t>
        </is>
      </c>
      <c r="B204" t="n">
        <v>2.82</v>
      </c>
      <c r="C204" t="n">
        <v>66.069345</v>
      </c>
      <c r="D204" s="10"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ht="21" customHeight="1">
      <c r="A205" t="inlineStr">
        <is>
          <t>Hypoptychus dybowskii</t>
        </is>
      </c>
      <c r="D205" s="10"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ht="21" customHeight="1">
      <c r="A206" t="inlineStr">
        <is>
          <t>Bramidae</t>
        </is>
      </c>
      <c r="B206" t="n">
        <v>4.14</v>
      </c>
      <c r="C206" t="n">
        <v>1380.384265</v>
      </c>
      <c r="D206" s="10"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ht="21" customHeight="1">
      <c r="A207" t="inlineStr">
        <is>
          <t>Penaeus monodon</t>
        </is>
      </c>
      <c r="B207" t="n">
        <v>2.6</v>
      </c>
      <c r="C207" t="n">
        <v>39.810717</v>
      </c>
      <c r="D207" s="10"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ht="21" customHeight="1">
      <c r="A208" t="inlineStr">
        <is>
          <t>Acanthocybium solandri</t>
        </is>
      </c>
      <c r="B208" t="n">
        <v>4.26</v>
      </c>
      <c r="C208" t="n">
        <v>1819.700859</v>
      </c>
      <c r="D208" s="10"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ht="21" customHeight="1">
      <c r="A209" t="inlineStr">
        <is>
          <t>Saurida undosquamis</t>
        </is>
      </c>
      <c r="B209" t="n">
        <v>4.46</v>
      </c>
      <c r="C209" t="n">
        <v>2884.031503</v>
      </c>
      <c r="D209" s="10"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ht="21" customHeight="1">
      <c r="A210" t="inlineStr">
        <is>
          <t>Beryx splendens</t>
        </is>
      </c>
      <c r="B210" t="n">
        <v>4.27</v>
      </c>
      <c r="C210" t="n">
        <v>1862.087137</v>
      </c>
      <c r="D210" s="10"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ht="21" customHeight="1">
      <c r="A211" t="inlineStr">
        <is>
          <t>Auxis rochei</t>
        </is>
      </c>
      <c r="B211" t="n">
        <v>4.13</v>
      </c>
      <c r="C211" t="n">
        <v>1348.962883</v>
      </c>
      <c r="D211" s="10"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ht="36" customHeight="1">
      <c r="A212" t="inlineStr">
        <is>
          <t>Scorpaeniformes</t>
        </is>
      </c>
      <c r="B212" t="n">
        <v>3.78</v>
      </c>
      <c r="C212" t="n">
        <v>602.559586</v>
      </c>
      <c r="D212" s="10"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ht="21" customHeight="1">
      <c r="A213" t="inlineStr">
        <is>
          <t>Epinephelus maculatus</t>
        </is>
      </c>
      <c r="B213" t="n">
        <v>3.98</v>
      </c>
      <c r="C213" t="n">
        <v>954.992586</v>
      </c>
      <c r="D213" s="10"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ht="21" customHeight="1">
      <c r="A214" t="inlineStr">
        <is>
          <t>Isurus</t>
        </is>
      </c>
      <c r="B214" t="n">
        <v>4.5</v>
      </c>
      <c r="C214" t="n">
        <v>3162.27766</v>
      </c>
      <c r="D214" s="10" t="inlineStr">
        <is>
          <t>Sharks</t>
        </is>
      </c>
      <c r="E214" t="n">
        <v>0</v>
      </c>
      <c r="F214" t="n">
        <v>1154.744061</v>
      </c>
      <c r="G214" t="n">
        <v>2.745621</v>
      </c>
      <c r="H214" t="n">
        <v>2.742397</v>
      </c>
      <c r="I214" t="n">
        <v>0</v>
      </c>
      <c r="J214" t="n">
        <v>152.583853</v>
      </c>
      <c r="K214" t="n">
        <v>0</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ht="21" customHeight="1">
      <c r="A215" t="inlineStr">
        <is>
          <t>Dussumieria elopsoides</t>
        </is>
      </c>
      <c r="B215" t="n">
        <v>3.4</v>
      </c>
      <c r="C215" t="n">
        <v>251.188643</v>
      </c>
      <c r="D215" s="10"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ht="21" customHeight="1">
      <c r="A216" t="inlineStr">
        <is>
          <t>Chirocentrus dorab</t>
        </is>
      </c>
      <c r="D216" s="10"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ht="21" customHeight="1">
      <c r="A217" t="inlineStr">
        <is>
          <t>Oratosquilla oratoria</t>
        </is>
      </c>
      <c r="B217" t="n">
        <v>3.27</v>
      </c>
      <c r="C217" t="n">
        <v>186.208714</v>
      </c>
      <c r="D217" s="10"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ht="21" customHeight="1">
      <c r="A218" t="inlineStr">
        <is>
          <t>Saurida</t>
        </is>
      </c>
      <c r="B218" t="n">
        <v>4.35</v>
      </c>
      <c r="C218" t="n">
        <v>2238.721139</v>
      </c>
      <c r="D218" s="10"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ht="21" customHeight="1">
      <c r="A219" t="inlineStr">
        <is>
          <t>Stolephorus</t>
        </is>
      </c>
      <c r="D219" s="10"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ht="21" customHeight="1">
      <c r="A220" t="inlineStr">
        <is>
          <t>Sphyraena</t>
        </is>
      </c>
      <c r="B220" t="n">
        <v>4.4</v>
      </c>
      <c r="C220" t="n">
        <v>2511.886432</v>
      </c>
      <c r="D220" s="10"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ht="21" customHeight="1">
      <c r="A221" t="inlineStr">
        <is>
          <t>Rapana</t>
        </is>
      </c>
      <c r="B221" t="n">
        <v>3</v>
      </c>
      <c r="C221" t="n">
        <v>100</v>
      </c>
      <c r="D221" s="10"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ht="21" customHeight="1">
      <c r="A222" t="inlineStr">
        <is>
          <t>Sphyraenidae</t>
        </is>
      </c>
      <c r="B222" t="n">
        <v>4.4</v>
      </c>
      <c r="C222" t="n">
        <v>2511.886432</v>
      </c>
      <c r="D222" s="10"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ht="21" customHeight="1">
      <c r="A223" t="inlineStr">
        <is>
          <t>Pseudopleuronectes herzensteini</t>
        </is>
      </c>
      <c r="B223" t="n">
        <v>3.15</v>
      </c>
      <c r="C223" t="n">
        <v>141.253754</v>
      </c>
      <c r="D223" s="10"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ht="21" customHeight="1">
      <c r="A224" t="inlineStr">
        <is>
          <t>Hemitriakis japanica</t>
        </is>
      </c>
      <c r="D224" s="10" t="inlineStr">
        <is>
          <t>Sharks</t>
        </is>
      </c>
      <c r="E224" t="n">
        <v>0</v>
      </c>
      <c r="F224" t="n">
        <v>1154.744061</v>
      </c>
      <c r="G224" t="n">
        <v>2.745621</v>
      </c>
      <c r="H224" t="n">
        <v>2.742397</v>
      </c>
      <c r="I224" t="n">
        <v>0</v>
      </c>
      <c r="J224" t="n">
        <v>152.583853</v>
      </c>
      <c r="K224" t="n">
        <v>0</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ht="21" customHeight="1">
      <c r="A225" t="inlineStr">
        <is>
          <t>Makaira mazara</t>
        </is>
      </c>
      <c r="B225" t="n">
        <v>4.46</v>
      </c>
      <c r="C225" t="n">
        <v>2884.031503</v>
      </c>
      <c r="D225" s="10"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ht="51" customHeight="1">
      <c r="A226" t="inlineStr">
        <is>
          <t>Marine pelagic fishes not identified</t>
        </is>
      </c>
      <c r="B226" t="n">
        <v>3.35</v>
      </c>
      <c r="C226" t="n">
        <v>223.872114</v>
      </c>
      <c r="D226" s="10"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ht="21" customHeight="1">
      <c r="A227" t="inlineStr">
        <is>
          <t>Mierspenaeopsis hardwickii</t>
        </is>
      </c>
      <c r="B227" t="n">
        <v>2.71</v>
      </c>
      <c r="C227" t="n">
        <v>51.286138</v>
      </c>
      <c r="D227" s="10"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ht="21" customHeight="1">
      <c r="A228" t="inlineStr">
        <is>
          <t>Beryx</t>
        </is>
      </c>
      <c r="B228" t="n">
        <v>3.97</v>
      </c>
      <c r="C228" t="n">
        <v>933.2543010000001</v>
      </c>
      <c r="D228" s="10"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ht="21" customHeight="1">
      <c r="A229" t="inlineStr">
        <is>
          <t>Auxis thazard</t>
        </is>
      </c>
      <c r="B229" t="n">
        <v>4.37</v>
      </c>
      <c r="C229" t="n">
        <v>2344.228815</v>
      </c>
      <c r="D229" s="10"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ht="21" customHeight="1">
      <c r="A230" t="inlineStr">
        <is>
          <t>Polydactylus sexfilis</t>
        </is>
      </c>
      <c r="B230" t="n">
        <v>3.43</v>
      </c>
      <c r="C230" t="n">
        <v>269.15348</v>
      </c>
      <c r="D230" s="10"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ht="21" customHeight="1">
      <c r="A231" t="inlineStr">
        <is>
          <t>Seriola dumerili</t>
        </is>
      </c>
      <c r="B231" t="n">
        <v>4.5</v>
      </c>
      <c r="C231" t="n">
        <v>3162.27766</v>
      </c>
      <c r="D231" s="10"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ht="21" customHeight="1">
      <c r="A232" t="inlineStr">
        <is>
          <t>Cheilopogon unicolor</t>
        </is>
      </c>
      <c r="B232" t="n">
        <v>3.7</v>
      </c>
      <c r="C232" t="n">
        <v>501.187234</v>
      </c>
      <c r="D232" s="10"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ht="21" customHeight="1">
      <c r="A233" t="inlineStr">
        <is>
          <t>Lates calcarifer</t>
        </is>
      </c>
      <c r="B233" t="n">
        <v>4.35</v>
      </c>
      <c r="C233" t="n">
        <v>2238.721139</v>
      </c>
      <c r="D233" s="10"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ht="21" customHeight="1">
      <c r="A234" t="inlineStr">
        <is>
          <t>Hexagrammidae</t>
        </is>
      </c>
      <c r="B234" t="n">
        <v>3.72</v>
      </c>
      <c r="C234" t="n">
        <v>524.80746</v>
      </c>
      <c r="D234" s="10"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ht="21" customHeight="1">
      <c r="A235" t="inlineStr">
        <is>
          <t>Clupanodon thrissa</t>
        </is>
      </c>
      <c r="B235" t="n">
        <v>3.01</v>
      </c>
      <c r="C235" t="n">
        <v>102.329299</v>
      </c>
      <c r="D235" s="10"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ht="21" customHeight="1">
      <c r="A236" t="inlineStr">
        <is>
          <t>Ommastrephes bartramii</t>
        </is>
      </c>
      <c r="B236" t="n">
        <v>4.37</v>
      </c>
      <c r="C236" t="n">
        <v>2344.228815</v>
      </c>
      <c r="D236" s="10"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ht="21" customHeight="1">
      <c r="A240" t="inlineStr">
        <is>
          <t>Chionoecetes</t>
        </is>
      </c>
      <c r="D240" s="10"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ht="21" customHeight="1">
      <c r="A241" t="inlineStr">
        <is>
          <t>Prionace glauca</t>
        </is>
      </c>
      <c r="B241" t="n">
        <v>4.35</v>
      </c>
      <c r="C241" t="n">
        <v>2238.721139</v>
      </c>
      <c r="D241" s="10" t="inlineStr">
        <is>
          <t>Sharks</t>
        </is>
      </c>
      <c r="E241" t="n">
        <v>0</v>
      </c>
      <c r="F241" t="n">
        <v>1154.744061</v>
      </c>
      <c r="G241" t="n">
        <v>2.745621</v>
      </c>
      <c r="H241" t="n">
        <v>2.742397</v>
      </c>
      <c r="I241" t="n">
        <v>0</v>
      </c>
      <c r="J241" t="n">
        <v>152.583853</v>
      </c>
      <c r="K241" t="n">
        <v>0</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ht="21" customHeight="1">
      <c r="A242" t="inlineStr">
        <is>
          <t>Scylla</t>
        </is>
      </c>
      <c r="B242" t="n">
        <v>3.17</v>
      </c>
      <c r="C242" t="n">
        <v>147.910839</v>
      </c>
      <c r="D242" s="10"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ht="21" customHeight="1">
      <c r="A243" t="inlineStr">
        <is>
          <t>Gadiformes</t>
        </is>
      </c>
      <c r="D243" s="10"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ht="21" customHeight="1">
      <c r="A244" t="inlineStr">
        <is>
          <t>Encrasicholina punctifer</t>
        </is>
      </c>
      <c r="B244" t="n">
        <v>3.25</v>
      </c>
      <c r="C244" t="n">
        <v>177.827941</v>
      </c>
      <c r="D244" s="10"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ht="21" customHeight="1">
      <c r="A245" t="inlineStr">
        <is>
          <t>Nibea albiflora</t>
        </is>
      </c>
      <c r="B245" t="n">
        <v>3.5</v>
      </c>
      <c r="C245" t="n">
        <v>316.227766</v>
      </c>
      <c r="D245" s="10"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ht="21" customHeight="1">
      <c r="A246" t="inlineStr">
        <is>
          <t>Carcharhinus falciformis</t>
        </is>
      </c>
      <c r="B246" t="n">
        <v>4.51</v>
      </c>
      <c r="C246" t="n">
        <v>3235.936569</v>
      </c>
      <c r="D246" s="10" t="inlineStr">
        <is>
          <t>Sharks</t>
        </is>
      </c>
      <c r="E246" t="n">
        <v>0</v>
      </c>
      <c r="F246" t="n">
        <v>1154.744061</v>
      </c>
      <c r="G246" t="n">
        <v>2.745621</v>
      </c>
      <c r="H246" t="n">
        <v>2.742397</v>
      </c>
      <c r="I246" t="n">
        <v>0</v>
      </c>
      <c r="J246" t="n">
        <v>152.583853</v>
      </c>
      <c r="K246" t="n">
        <v>0</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ht="21" customHeight="1">
      <c r="A247" t="inlineStr">
        <is>
          <t>Parupeneus barberinus</t>
        </is>
      </c>
      <c r="B247" t="n">
        <v>3.22</v>
      </c>
      <c r="C247" t="n">
        <v>165.958691</v>
      </c>
      <c r="D247" s="10"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ht="21" customHeight="1">
      <c r="A248" t="inlineStr">
        <is>
          <t>Epinephelus malabaricus</t>
        </is>
      </c>
      <c r="B248" t="n">
        <v>4.16</v>
      </c>
      <c r="C248" t="n">
        <v>1445.439771</v>
      </c>
      <c r="D248" s="10"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ht="21" customHeight="1">
      <c r="A249" t="inlineStr">
        <is>
          <t>Ranina ranina</t>
        </is>
      </c>
      <c r="D249" s="10"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ht="21" customHeight="1">
      <c r="A250" t="inlineStr">
        <is>
          <t>Metapenaeus ensis</t>
        </is>
      </c>
      <c r="B250" t="n">
        <v>2.7</v>
      </c>
      <c r="C250" t="n">
        <v>50.118723</v>
      </c>
      <c r="D250" s="10"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ht="21" customHeight="1">
      <c r="A251" t="inlineStr">
        <is>
          <t>Rachycentron canadum</t>
        </is>
      </c>
      <c r="B251" t="n">
        <v>3.96</v>
      </c>
      <c r="C251" t="n">
        <v>912.010839</v>
      </c>
      <c r="D251" s="10"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ht="21" customHeight="1">
      <c r="A252" t="inlineStr">
        <is>
          <t>Sphyraena barracuda</t>
        </is>
      </c>
      <c r="B252" t="n">
        <v>4.49</v>
      </c>
      <c r="C252" t="n">
        <v>3090.295433</v>
      </c>
      <c r="D252" s="10"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ht="21" customHeight="1">
      <c r="A253" t="inlineStr">
        <is>
          <t>Berycidae</t>
        </is>
      </c>
      <c r="B253" t="n">
        <v>3.99</v>
      </c>
      <c r="C253" t="n">
        <v>977.237221</v>
      </c>
      <c r="D253" s="10"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ht="21" customHeight="1">
      <c r="A254" t="inlineStr">
        <is>
          <t>Psettodes erumei</t>
        </is>
      </c>
      <c r="B254" t="n">
        <v>4.39</v>
      </c>
      <c r="C254" t="n">
        <v>2454.708916</v>
      </c>
      <c r="D254" s="10"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ht="21" customHeight="1">
      <c r="A255" t="inlineStr">
        <is>
          <t>Paralithodes</t>
        </is>
      </c>
      <c r="D255" s="10"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ht="21" customHeight="1">
      <c r="A256" t="inlineStr">
        <is>
          <t>Hemitrygon akajei</t>
        </is>
      </c>
      <c r="B256" t="n">
        <v>3.84</v>
      </c>
      <c r="C256" t="n">
        <v>691.830971</v>
      </c>
      <c r="D256" s="10"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ht="21" customHeight="1">
      <c r="A257" t="inlineStr">
        <is>
          <t>Chionoecetes opilio</t>
        </is>
      </c>
      <c r="B257" t="n">
        <v>3.54</v>
      </c>
      <c r="C257" t="n">
        <v>346.73685</v>
      </c>
      <c r="D257" s="10"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ht="21" customHeight="1">
      <c r="A258" t="inlineStr">
        <is>
          <t>Sillago sihama</t>
        </is>
      </c>
      <c r="B258" t="n">
        <v>3.33</v>
      </c>
      <c r="C258" t="n">
        <v>213.796209</v>
      </c>
      <c r="D258" s="10"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ht="21" customHeight="1">
      <c r="A259" t="inlineStr">
        <is>
          <t>Lethrinus miniatus</t>
        </is>
      </c>
      <c r="B259" t="n">
        <v>4.19</v>
      </c>
      <c r="C259" t="n">
        <v>1548.816619</v>
      </c>
      <c r="D259" s="10"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ht="21" customHeight="1">
      <c r="A260" t="inlineStr">
        <is>
          <t>Istiophorus platypterus</t>
        </is>
      </c>
      <c r="B260" t="n">
        <v>4.5</v>
      </c>
      <c r="C260" t="n">
        <v>3162.27766</v>
      </c>
      <c r="D260" s="10"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ht="21" customHeight="1">
      <c r="A261" t="inlineStr">
        <is>
          <t>Lutjanus bohar</t>
        </is>
      </c>
      <c r="B261" t="n">
        <v>4.27</v>
      </c>
      <c r="C261" t="n">
        <v>1862.087137</v>
      </c>
      <c r="D261" s="10"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ht="21" customHeight="1">
      <c r="A262" t="inlineStr">
        <is>
          <t>Rhincodon typus</t>
        </is>
      </c>
      <c r="D262" s="10" t="inlineStr">
        <is>
          <t>Sharks</t>
        </is>
      </c>
      <c r="E262" t="n">
        <v>0</v>
      </c>
      <c r="F262" t="n">
        <v>1154.744061</v>
      </c>
      <c r="G262" t="n">
        <v>2.745621</v>
      </c>
      <c r="H262" t="n">
        <v>2.742397</v>
      </c>
      <c r="I262" t="n">
        <v>0</v>
      </c>
      <c r="J262" t="n">
        <v>152.583853</v>
      </c>
      <c r="K262" t="n">
        <v>0</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ht="21" customHeight="1">
      <c r="A263" t="inlineStr">
        <is>
          <t>Sergestidae</t>
        </is>
      </c>
      <c r="B263" t="n">
        <v>2.93</v>
      </c>
      <c r="C263" t="n">
        <v>85.113804</v>
      </c>
      <c r="D263" s="10"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ht="21" customHeight="1">
      <c r="A264" t="inlineStr">
        <is>
          <t>Lepidocybium flavobrunneum</t>
        </is>
      </c>
      <c r="D264" s="10"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ht="21" customHeight="1">
      <c r="A265" t="inlineStr">
        <is>
          <t>Acetes</t>
        </is>
      </c>
      <c r="B265" t="n">
        <v>2.7</v>
      </c>
      <c r="C265" t="n">
        <v>50.118723</v>
      </c>
      <c r="D265" s="10"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ht="21" customHeight="1">
      <c r="A266" t="inlineStr">
        <is>
          <t>Zenopsis nebulosa</t>
        </is>
      </c>
      <c r="B266" t="n">
        <v>3.98</v>
      </c>
      <c r="C266" t="n">
        <v>954.992586</v>
      </c>
      <c r="D266" s="10"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ht="21" customHeight="1">
      <c r="A267" t="inlineStr">
        <is>
          <t>Carcharhinus longimanus</t>
        </is>
      </c>
      <c r="B267" t="n">
        <v>4.16</v>
      </c>
      <c r="C267" t="n">
        <v>1445.439771</v>
      </c>
      <c r="D267" s="10" t="inlineStr">
        <is>
          <t>Sharks</t>
        </is>
      </c>
      <c r="E267" t="n">
        <v>0</v>
      </c>
      <c r="F267" t="n">
        <v>1154.744061</v>
      </c>
      <c r="G267" t="n">
        <v>2.745621</v>
      </c>
      <c r="H267" t="n">
        <v>2.742397</v>
      </c>
      <c r="I267" t="n">
        <v>0</v>
      </c>
      <c r="J267" t="n">
        <v>152.583853</v>
      </c>
      <c r="K267" t="n">
        <v>0</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ht="21" customHeight="1">
      <c r="A268" t="inlineStr">
        <is>
          <t>Lutjanus</t>
        </is>
      </c>
      <c r="B268" t="n">
        <v>4.02</v>
      </c>
      <c r="C268" t="n">
        <v>1047.128548</v>
      </c>
      <c r="D268" s="10"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ht="21" customHeight="1">
      <c r="A269" t="inlineStr">
        <is>
          <t>Alopias</t>
        </is>
      </c>
      <c r="B269" t="n">
        <v>4.5</v>
      </c>
      <c r="C269" t="n">
        <v>3162.27766</v>
      </c>
      <c r="D269" s="10" t="inlineStr">
        <is>
          <t>Sharks</t>
        </is>
      </c>
      <c r="E269" t="n">
        <v>0</v>
      </c>
      <c r="F269" t="n">
        <v>1154.744061</v>
      </c>
      <c r="G269" t="n">
        <v>2.745621</v>
      </c>
      <c r="H269" t="n">
        <v>2.742397</v>
      </c>
      <c r="I269" t="n">
        <v>0</v>
      </c>
      <c r="J269" t="n">
        <v>152.583853</v>
      </c>
      <c r="K269" t="n">
        <v>0</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ht="21" customHeight="1">
      <c r="A270" t="inlineStr">
        <is>
          <t>Holothuriidae</t>
        </is>
      </c>
      <c r="B270" t="n">
        <v>2</v>
      </c>
      <c r="C270" t="n">
        <v>10</v>
      </c>
      <c r="D270" s="10"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ht="21" customHeight="1">
      <c r="A271" t="inlineStr">
        <is>
          <t>Tripneustes gratilla</t>
        </is>
      </c>
      <c r="B271" t="n">
        <v>2</v>
      </c>
      <c r="C271" t="n">
        <v>10</v>
      </c>
      <c r="D271" s="10"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ht="21" customHeight="1">
      <c r="A272" t="inlineStr">
        <is>
          <t>Chionoecetes japonicus</t>
        </is>
      </c>
      <c r="B272" t="n">
        <v>3.74</v>
      </c>
      <c r="C272" t="n">
        <v>549.540874</v>
      </c>
      <c r="D272" s="10"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ht="21" customHeight="1">
      <c r="A273" t="inlineStr">
        <is>
          <t>Upeneus</t>
        </is>
      </c>
      <c r="D273" s="10"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ht="21" customHeight="1">
      <c r="A274" t="inlineStr">
        <is>
          <t>Echinozoa</t>
        </is>
      </c>
      <c r="D274" s="10"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ht="21" customHeight="1">
      <c r="A275" t="inlineStr">
        <is>
          <t>Rhopilema hispidum</t>
        </is>
      </c>
      <c r="B275" t="n">
        <v>3.46</v>
      </c>
      <c r="C275" t="n">
        <v>288.40315</v>
      </c>
      <c r="D275" s="10"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ht="21" customHeight="1">
      <c r="A276" t="inlineStr">
        <is>
          <t>Sphyrna</t>
        </is>
      </c>
      <c r="B276" t="n">
        <v>4.2</v>
      </c>
      <c r="C276" t="n">
        <v>1584.893192</v>
      </c>
      <c r="D276" s="10" t="inlineStr">
        <is>
          <t>Sharks</t>
        </is>
      </c>
      <c r="E276" t="n">
        <v>0</v>
      </c>
      <c r="F276" t="n">
        <v>1154.744061</v>
      </c>
      <c r="G276" t="n">
        <v>2.745621</v>
      </c>
      <c r="H276" t="n">
        <v>2.742397</v>
      </c>
      <c r="I276" t="n">
        <v>0</v>
      </c>
      <c r="J276" t="n">
        <v>152.583853</v>
      </c>
      <c r="K276" t="n">
        <v>0</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ht="21" customHeight="1">
      <c r="A277" t="inlineStr">
        <is>
          <t>Isurus oxyrinchus</t>
        </is>
      </c>
      <c r="B277" t="n">
        <v>4.5</v>
      </c>
      <c r="C277" t="n">
        <v>3162.27766</v>
      </c>
      <c r="D277" s="10" t="inlineStr">
        <is>
          <t>Sharks</t>
        </is>
      </c>
      <c r="E277" t="n">
        <v>0</v>
      </c>
      <c r="F277" t="n">
        <v>1154.744061</v>
      </c>
      <c r="G277" t="n">
        <v>2.745621</v>
      </c>
      <c r="H277" t="n">
        <v>2.742397</v>
      </c>
      <c r="I277" t="n">
        <v>0</v>
      </c>
      <c r="J277" t="n">
        <v>152.583853</v>
      </c>
      <c r="K277" t="n">
        <v>0</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ht="21" customHeight="1">
      <c r="A278" t="inlineStr">
        <is>
          <t>Pinctada</t>
        </is>
      </c>
      <c r="D278" s="10"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ht="36" customHeight="1">
      <c r="A279" t="inlineStr">
        <is>
          <t>Scombroidei</t>
        </is>
      </c>
      <c r="D279" s="10"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ht="21" customHeight="1">
      <c r="A280" t="inlineStr">
        <is>
          <t>Caranx</t>
        </is>
      </c>
      <c r="D280" s="10"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All basal sources, including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101114086.981</v>
      </c>
      <c r="D15" t="n">
        <v>110275612.828</v>
      </c>
      <c r="E15" t="n">
        <v>118954828.449</v>
      </c>
      <c r="F15" t="n">
        <v>120347634.238</v>
      </c>
      <c r="G15" t="n">
        <v>134512851.437</v>
      </c>
      <c r="H15" t="n">
        <v>142557131.987</v>
      </c>
      <c r="I15" t="n">
        <v>154671936.669</v>
      </c>
      <c r="J15" t="n">
        <v>162339711.494</v>
      </c>
      <c r="K15" t="n">
        <v>168138020.943</v>
      </c>
      <c r="L15" t="n">
        <v>167204094.851</v>
      </c>
      <c r="M15" t="n">
        <v>173540733.463</v>
      </c>
      <c r="N15" t="n">
        <v>171653471.529</v>
      </c>
      <c r="O15" t="n">
        <v>178419898.022</v>
      </c>
      <c r="P15" t="n">
        <v>171844983.46</v>
      </c>
      <c r="Q15" t="n">
        <v>171340690.449</v>
      </c>
      <c r="R15" t="n">
        <v>186135511.67</v>
      </c>
      <c r="S15" t="n">
        <v>190098670.732</v>
      </c>
      <c r="T15" t="n">
        <v>197462901.678</v>
      </c>
      <c r="U15" t="n">
        <v>203546880.403</v>
      </c>
      <c r="V15" t="n">
        <v>211770257.066</v>
      </c>
      <c r="W15" t="n">
        <v>226965803.394</v>
      </c>
      <c r="X15" t="n">
        <v>231386875.331</v>
      </c>
      <c r="Y15" t="n">
        <v>253434197.496</v>
      </c>
      <c r="Z15" t="n">
        <v>277027773.288</v>
      </c>
      <c r="AA15" t="n">
        <v>296598479.169</v>
      </c>
      <c r="AB15" t="n">
        <v>288557064.953</v>
      </c>
      <c r="AC15" t="n">
        <v>285195807.069</v>
      </c>
      <c r="AD15" t="n">
        <v>315723191.391</v>
      </c>
      <c r="AE15" t="n">
        <v>336822076.235</v>
      </c>
      <c r="AF15" t="n">
        <v>332943996.885</v>
      </c>
      <c r="AG15" t="n">
        <v>338695849.279</v>
      </c>
      <c r="AH15" t="n">
        <v>364199335.504</v>
      </c>
      <c r="AI15" t="n">
        <v>365103998.591</v>
      </c>
      <c r="AJ15" t="n">
        <v>375131890.797</v>
      </c>
      <c r="AK15" t="n">
        <v>404156541.481</v>
      </c>
      <c r="AL15" t="n">
        <v>393071875.89</v>
      </c>
      <c r="AM15" t="n">
        <v>429068238.994</v>
      </c>
      <c r="AN15" t="n">
        <v>427151140.821</v>
      </c>
      <c r="AO15" t="n">
        <v>443038399.727</v>
      </c>
      <c r="AP15" t="n">
        <v>452166655.699</v>
      </c>
      <c r="AQ15" t="n">
        <v>450871142.187</v>
      </c>
      <c r="AR15" t="n">
        <v>439267589.931</v>
      </c>
      <c r="AS15" t="n">
        <v>411422242.349</v>
      </c>
      <c r="AT15" t="n">
        <v>419701697.917</v>
      </c>
      <c r="AU15" t="n">
        <v>459467866.896</v>
      </c>
      <c r="AV15" t="n">
        <v>497287706.735</v>
      </c>
      <c r="AW15" t="n">
        <v>501396849.239</v>
      </c>
      <c r="AX15" t="n">
        <v>490829760.123</v>
      </c>
      <c r="AY15" t="n">
        <v>506740555.024</v>
      </c>
      <c r="AZ15" t="n">
        <v>479655198.579</v>
      </c>
      <c r="BA15" t="n">
        <v>471104498.909</v>
      </c>
      <c r="BB15" t="n">
        <v>482073637.504</v>
      </c>
      <c r="BC15" t="n">
        <v>472542879.745</v>
      </c>
      <c r="BD15" t="n">
        <v>478366127.127</v>
      </c>
      <c r="BE15" t="n">
        <v>510280231.256</v>
      </c>
      <c r="BF15" t="n">
        <v>497333046.092</v>
      </c>
      <c r="BG15" t="n">
        <v>508237968.842</v>
      </c>
      <c r="BH15" t="n">
        <v>499715200.174</v>
      </c>
      <c r="BI15" t="n">
        <v>523156481.391</v>
      </c>
      <c r="BJ15" t="n">
        <v>496779519.1</v>
      </c>
      <c r="BK15" t="n">
        <v>496605663.56</v>
      </c>
      <c r="BL15" t="n">
        <v>549018989.6849999</v>
      </c>
      <c r="BM15" t="n">
        <v>550683499.267</v>
      </c>
      <c r="BN15" t="n">
        <v>536778082.84</v>
      </c>
      <c r="BO15" t="n">
        <v>573886941.346</v>
      </c>
      <c r="BP15" t="n">
        <v>525247454.16</v>
      </c>
      <c r="BQ15" t="n">
        <v>507732793.903</v>
      </c>
      <c r="BR15" t="n">
        <v>492185521.27</v>
      </c>
      <c r="BS15" t="n">
        <v>483267067.265</v>
      </c>
      <c r="BT15" t="n">
        <v>497610972.382</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Internal sources: primary producers and detritus; excludes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E5" t="n">
        <v>0</v>
      </c>
      <c r="F5" t="n">
        <v>166.961545</v>
      </c>
      <c r="G5" t="n">
        <v>2.045106</v>
      </c>
      <c r="H5" t="n">
        <v>2.060755</v>
      </c>
      <c r="I5" t="n">
        <v>186.169499</v>
      </c>
      <c r="J5" t="n">
        <v>192.680384</v>
      </c>
      <c r="K5" t="n">
        <v>114.316945</v>
      </c>
      <c r="L5" t="n">
        <v>287.676992</v>
      </c>
      <c r="M5" t="n">
        <v>287.676992</v>
      </c>
      <c r="N5" t="n">
        <v>291.908148</v>
      </c>
      <c r="O5" t="n">
        <v>34.836971</v>
      </c>
      <c r="P5" t="n">
        <v>19.545313</v>
      </c>
      <c r="Q5" t="n">
        <v>291.908148</v>
      </c>
      <c r="R5" t="n">
        <v>287.676992</v>
      </c>
      <c r="S5" t="n">
        <v>34.836971</v>
      </c>
      <c r="T5" t="n">
        <v>34.836971</v>
      </c>
      <c r="U5" t="n">
        <v>19.545313</v>
      </c>
      <c r="V5" t="n">
        <v>19.545313</v>
      </c>
      <c r="W5" t="n">
        <v>35.81931</v>
      </c>
      <c r="X5" t="n">
        <v>216.24497</v>
      </c>
    </row>
    <row r="6" ht="21" customHeight="1">
      <c r="A6" t="inlineStr">
        <is>
          <t>Sardinops sagax</t>
        </is>
      </c>
      <c r="B6" t="n">
        <v>2.84</v>
      </c>
      <c r="C6" t="n">
        <v>69.183097</v>
      </c>
      <c r="D6" s="10" t="inlineStr">
        <is>
          <t>Planktivores</t>
        </is>
      </c>
      <c r="E6" t="n">
        <v>0</v>
      </c>
      <c r="F6" t="n">
        <v>100.997642</v>
      </c>
      <c r="G6" t="n">
        <v>1.93677</v>
      </c>
      <c r="H6" t="n">
        <v>1.93149</v>
      </c>
      <c r="I6" t="n">
        <v>53.479795</v>
      </c>
      <c r="J6" t="n">
        <v>53.479795</v>
      </c>
      <c r="K6" t="n">
        <v>53.372836</v>
      </c>
      <c r="L6" t="n">
        <v>51.741399</v>
      </c>
      <c r="M6" t="n">
        <v>51.741399</v>
      </c>
      <c r="N6" t="n">
        <v>52.283119</v>
      </c>
      <c r="O6" t="n">
        <v>17.749881</v>
      </c>
      <c r="P6" t="n">
        <v>11.404035</v>
      </c>
      <c r="Q6" t="n">
        <v>52.283119</v>
      </c>
      <c r="R6" t="n">
        <v>51.741399</v>
      </c>
      <c r="S6" t="n">
        <v>17.749881</v>
      </c>
      <c r="T6" t="n">
        <v>17.749881</v>
      </c>
      <c r="U6" t="n">
        <v>11.404035</v>
      </c>
      <c r="V6" t="n">
        <v>11.404035</v>
      </c>
      <c r="W6" t="n">
        <v>17.839302</v>
      </c>
      <c r="X6" t="n">
        <v>54.129601</v>
      </c>
    </row>
    <row r="7" ht="21" customHeight="1">
      <c r="A7" t="inlineStr">
        <is>
          <t>Trichiurus lepturus</t>
        </is>
      </c>
      <c r="B7" t="n">
        <v>4.42</v>
      </c>
      <c r="C7" t="n">
        <v>2630.267992</v>
      </c>
      <c r="D7" s="10" t="inlineStr">
        <is>
          <t>Hairtails</t>
        </is>
      </c>
      <c r="E7" t="n">
        <v>0</v>
      </c>
      <c r="F7" t="n">
        <v>137.300843</v>
      </c>
      <c r="G7" t="n">
        <v>2.023855</v>
      </c>
      <c r="H7" t="n">
        <v>1.935295</v>
      </c>
      <c r="I7" t="n">
        <v>245.6862</v>
      </c>
      <c r="J7" t="n">
        <v>262.948295</v>
      </c>
      <c r="K7" t="n">
        <v>262.422398</v>
      </c>
      <c r="L7" t="n">
        <v>395.11592</v>
      </c>
      <c r="M7" t="n">
        <v>395.11592</v>
      </c>
      <c r="N7" t="n">
        <v>400.567632</v>
      </c>
      <c r="O7" t="n">
        <v>71.211755</v>
      </c>
      <c r="P7" t="n">
        <v>35.749118</v>
      </c>
      <c r="Q7" t="n">
        <v>400.567632</v>
      </c>
      <c r="R7" t="n">
        <v>395.11592</v>
      </c>
      <c r="S7" t="n">
        <v>71.211755</v>
      </c>
      <c r="T7" t="n">
        <v>71.211755</v>
      </c>
      <c r="U7" t="n">
        <v>35.749118</v>
      </c>
      <c r="V7" t="n">
        <v>35.749118</v>
      </c>
      <c r="W7" t="n">
        <v>71.925944</v>
      </c>
      <c r="X7" t="n">
        <v>401.698177</v>
      </c>
    </row>
    <row r="8" ht="21" customHeight="1">
      <c r="A8" t="inlineStr">
        <is>
          <t>Engraulis japonicus</t>
        </is>
      </c>
      <c r="B8" t="n">
        <v>3.14</v>
      </c>
      <c r="C8" t="n">
        <v>138.038426</v>
      </c>
      <c r="D8" s="10" t="inlineStr">
        <is>
          <t>Planktivores</t>
        </is>
      </c>
      <c r="E8" t="n">
        <v>0</v>
      </c>
      <c r="F8" t="n">
        <v>100.997642</v>
      </c>
      <c r="G8" t="n">
        <v>1.93677</v>
      </c>
      <c r="H8" t="n">
        <v>1.93149</v>
      </c>
      <c r="I8" t="n">
        <v>53.479795</v>
      </c>
      <c r="J8" t="n">
        <v>53.479795</v>
      </c>
      <c r="K8" t="n">
        <v>53.372836</v>
      </c>
      <c r="L8" t="n">
        <v>51.741399</v>
      </c>
      <c r="M8" t="n">
        <v>51.741399</v>
      </c>
      <c r="N8" t="n">
        <v>52.283119</v>
      </c>
      <c r="O8" t="n">
        <v>17.749881</v>
      </c>
      <c r="P8" t="n">
        <v>11.404035</v>
      </c>
      <c r="Q8" t="n">
        <v>52.283119</v>
      </c>
      <c r="R8" t="n">
        <v>51.741399</v>
      </c>
      <c r="S8" t="n">
        <v>17.749881</v>
      </c>
      <c r="T8" t="n">
        <v>17.749881</v>
      </c>
      <c r="U8" t="n">
        <v>11.404035</v>
      </c>
      <c r="V8" t="n">
        <v>11.404035</v>
      </c>
      <c r="W8" t="n">
        <v>17.839302</v>
      </c>
      <c r="X8" t="n">
        <v>54.129601</v>
      </c>
    </row>
    <row r="9" ht="21" customHeight="1">
      <c r="A9" t="inlineStr">
        <is>
          <t>Scomber japonicus</t>
        </is>
      </c>
      <c r="B9" t="n">
        <v>3.38</v>
      </c>
      <c r="C9" t="n">
        <v>239.883292</v>
      </c>
      <c r="D9" s="10" t="inlineStr">
        <is>
          <t>Planktivores/Benthivores</t>
        </is>
      </c>
      <c r="E9" t="n">
        <v>0</v>
      </c>
      <c r="F9" t="n">
        <v>90.84783299999999</v>
      </c>
      <c r="G9" t="n">
        <v>1.907611</v>
      </c>
      <c r="H9" t="n">
        <v>1.91205</v>
      </c>
      <c r="I9" t="n">
        <v>124.271163</v>
      </c>
      <c r="J9" t="n">
        <v>124.271163</v>
      </c>
      <c r="K9" t="n">
        <v>113.832386</v>
      </c>
      <c r="L9" t="n">
        <v>118.840107</v>
      </c>
      <c r="M9" t="n">
        <v>118.840107</v>
      </c>
      <c r="N9" t="n">
        <v>120.054666</v>
      </c>
      <c r="O9" t="n">
        <v>37.420523</v>
      </c>
      <c r="P9" t="n">
        <v>24.182504</v>
      </c>
      <c r="Q9" t="n">
        <v>120.054666</v>
      </c>
      <c r="R9" t="n">
        <v>118.840107</v>
      </c>
      <c r="S9" t="n">
        <v>37.420523</v>
      </c>
      <c r="T9" t="n">
        <v>37.420523</v>
      </c>
      <c r="U9" t="n">
        <v>24.182504</v>
      </c>
      <c r="V9" t="n">
        <v>24.182504</v>
      </c>
      <c r="W9" t="n">
        <v>38.102317</v>
      </c>
      <c r="X9" t="n">
        <v>122.241888</v>
      </c>
    </row>
    <row r="10" ht="21" customHeight="1">
      <c r="A10" t="inlineStr">
        <is>
          <t>Scomber</t>
        </is>
      </c>
      <c r="B10" t="n">
        <v>3.65</v>
      </c>
      <c r="C10" t="n">
        <v>446.683592</v>
      </c>
      <c r="D10" s="10" t="inlineStr">
        <is>
          <t>Planktivores/Benthivores</t>
        </is>
      </c>
      <c r="E10" t="n">
        <v>0</v>
      </c>
      <c r="F10" t="n">
        <v>90.84783299999999</v>
      </c>
      <c r="G10" t="n">
        <v>1.907611</v>
      </c>
      <c r="H10" t="n">
        <v>1.91205</v>
      </c>
      <c r="I10" t="n">
        <v>124.271163</v>
      </c>
      <c r="J10" t="n">
        <v>124.271163</v>
      </c>
      <c r="K10" t="n">
        <v>113.832386</v>
      </c>
      <c r="L10" t="n">
        <v>118.840107</v>
      </c>
      <c r="M10" t="n">
        <v>118.840107</v>
      </c>
      <c r="N10" t="n">
        <v>120.054666</v>
      </c>
      <c r="O10" t="n">
        <v>37.420523</v>
      </c>
      <c r="P10" t="n">
        <v>24.182504</v>
      </c>
      <c r="Q10" t="n">
        <v>120.054666</v>
      </c>
      <c r="R10" t="n">
        <v>118.840107</v>
      </c>
      <c r="S10" t="n">
        <v>37.420523</v>
      </c>
      <c r="T10" t="n">
        <v>37.420523</v>
      </c>
      <c r="U10" t="n">
        <v>24.182504</v>
      </c>
      <c r="V10" t="n">
        <v>24.182504</v>
      </c>
      <c r="W10" t="n">
        <v>38.102317</v>
      </c>
      <c r="X10" t="n">
        <v>122.241888</v>
      </c>
    </row>
    <row r="11" ht="21" customHeight="1">
      <c r="A11" t="inlineStr">
        <is>
          <t>Cololabis saira</t>
        </is>
      </c>
      <c r="B11" t="n">
        <v>3.71</v>
      </c>
      <c r="C11" t="n">
        <v>512.861384</v>
      </c>
      <c r="D11" s="10" t="inlineStr">
        <is>
          <t>Planktivores</t>
        </is>
      </c>
      <c r="E11" t="n">
        <v>0</v>
      </c>
      <c r="F11" t="n">
        <v>100.997642</v>
      </c>
      <c r="G11" t="n">
        <v>1.93677</v>
      </c>
      <c r="H11" t="n">
        <v>1.93149</v>
      </c>
      <c r="I11" t="n">
        <v>53.479795</v>
      </c>
      <c r="J11" t="n">
        <v>53.479795</v>
      </c>
      <c r="K11" t="n">
        <v>53.372836</v>
      </c>
      <c r="L11" t="n">
        <v>51.741399</v>
      </c>
      <c r="M11" t="n">
        <v>51.741399</v>
      </c>
      <c r="N11" t="n">
        <v>52.283119</v>
      </c>
      <c r="O11" t="n">
        <v>17.749881</v>
      </c>
      <c r="P11" t="n">
        <v>11.404035</v>
      </c>
      <c r="Q11" t="n">
        <v>52.283119</v>
      </c>
      <c r="R11" t="n">
        <v>51.741399</v>
      </c>
      <c r="S11" t="n">
        <v>17.749881</v>
      </c>
      <c r="T11" t="n">
        <v>17.749881</v>
      </c>
      <c r="U11" t="n">
        <v>11.404035</v>
      </c>
      <c r="V11" t="n">
        <v>11.404035</v>
      </c>
      <c r="W11" t="n">
        <v>17.839302</v>
      </c>
      <c r="X11" t="n">
        <v>54.129601</v>
      </c>
    </row>
    <row r="12" ht="21" customHeight="1">
      <c r="A12" t="inlineStr">
        <is>
          <t>Mollusca</t>
        </is>
      </c>
      <c r="B12" t="n">
        <v>2.1</v>
      </c>
      <c r="C12" t="n">
        <v>12.589254</v>
      </c>
      <c r="D12" s="10" t="inlineStr">
        <is>
          <t>Mollusks</t>
        </is>
      </c>
      <c r="E12" t="n">
        <v>0</v>
      </c>
      <c r="F12" t="n">
        <v>14.497407</v>
      </c>
      <c r="G12" t="n">
        <v>1.466668</v>
      </c>
      <c r="H12" t="n">
        <v>1.466497</v>
      </c>
      <c r="I12" t="n">
        <v>17.850747</v>
      </c>
      <c r="J12" t="n">
        <v>17.850747</v>
      </c>
      <c r="K12" t="n">
        <v>5.355224</v>
      </c>
      <c r="L12" t="n">
        <v>17.186608</v>
      </c>
      <c r="M12" t="n">
        <v>17.186608</v>
      </c>
      <c r="N12" t="n">
        <v>17.598965</v>
      </c>
      <c r="O12" t="n">
        <v>3.995111</v>
      </c>
      <c r="P12" t="n">
        <v>2.967513</v>
      </c>
      <c r="Q12" t="n">
        <v>17.598965</v>
      </c>
      <c r="R12" t="n">
        <v>17.186608</v>
      </c>
      <c r="S12" t="n">
        <v>3.995111</v>
      </c>
      <c r="T12" t="n">
        <v>3.995111</v>
      </c>
      <c r="U12" t="n">
        <v>2.967513</v>
      </c>
      <c r="V12" t="n">
        <v>2.967513</v>
      </c>
      <c r="W12" t="n">
        <v>3.990277</v>
      </c>
      <c r="X12" t="n">
        <v>17.941416</v>
      </c>
    </row>
    <row r="13" ht="21" customHeight="1">
      <c r="A13" t="inlineStr">
        <is>
          <t>Miscellaneous marine crustaceans</t>
        </is>
      </c>
      <c r="B13" t="n">
        <v>2.7</v>
      </c>
      <c r="C13" t="n">
        <v>50.118723</v>
      </c>
      <c r="D13" s="10" t="inlineStr">
        <is>
          <t>Shrimps | Crabs</t>
        </is>
      </c>
      <c r="E13" t="n">
        <v>0</v>
      </c>
      <c r="F13" t="n">
        <v>20.706252</v>
      </c>
      <c r="G13" t="n">
        <v>1.54349</v>
      </c>
      <c r="H13" t="n">
        <v>1.562479</v>
      </c>
      <c r="I13" t="n">
        <v>14.308705</v>
      </c>
      <c r="J13" t="n">
        <v>14.308705</v>
      </c>
      <c r="K13" t="n">
        <v>14.042094</v>
      </c>
      <c r="L13" t="n">
        <v>13.196282</v>
      </c>
      <c r="M13" t="n">
        <v>13.196282</v>
      </c>
      <c r="N13" t="n">
        <v>13.444431</v>
      </c>
      <c r="O13" t="n">
        <v>7.849897</v>
      </c>
      <c r="P13" t="n">
        <v>5.562855</v>
      </c>
      <c r="Q13" t="n">
        <v>13.444431</v>
      </c>
      <c r="R13" t="n">
        <v>13.196282</v>
      </c>
      <c r="S13" t="n">
        <v>7.849897</v>
      </c>
      <c r="T13" t="n">
        <v>7.849897</v>
      </c>
      <c r="U13" t="n">
        <v>5.562855</v>
      </c>
      <c r="V13" t="n">
        <v>5.562855</v>
      </c>
      <c r="W13" t="n">
        <v>7.985273</v>
      </c>
      <c r="X13" t="n">
        <v>13.913077</v>
      </c>
    </row>
    <row r="14" ht="21" customHeight="1">
      <c r="A14" t="inlineStr">
        <is>
          <t>Larimichthys polyactis</t>
        </is>
      </c>
      <c r="B14" t="n">
        <v>3.64</v>
      </c>
      <c r="C14" t="n">
        <v>436.515832</v>
      </c>
      <c r="D14" s="10" t="inlineStr">
        <is>
          <t>Small yellow croakers</t>
        </is>
      </c>
      <c r="E14" t="n">
        <v>0</v>
      </c>
      <c r="F14" t="n">
        <v>133.416232</v>
      </c>
      <c r="G14" t="n">
        <v>2.015553</v>
      </c>
      <c r="H14" t="n">
        <v>2.043652</v>
      </c>
      <c r="I14" t="n">
        <v>272.245191</v>
      </c>
      <c r="J14" t="n">
        <v>278.64023</v>
      </c>
      <c r="K14" t="n">
        <v>62.972692</v>
      </c>
      <c r="L14" t="n">
        <v>308.698938</v>
      </c>
      <c r="M14" t="n">
        <v>308.698938</v>
      </c>
      <c r="N14" t="n">
        <v>312.828133</v>
      </c>
      <c r="O14" t="n">
        <v>15.479061</v>
      </c>
      <c r="P14" t="n">
        <v>8.820708</v>
      </c>
      <c r="Q14" t="n">
        <v>312.828133</v>
      </c>
      <c r="R14" t="n">
        <v>308.698938</v>
      </c>
      <c r="S14" t="n">
        <v>15.479061</v>
      </c>
      <c r="T14" t="n">
        <v>15.479061</v>
      </c>
      <c r="U14" t="n">
        <v>8.820708</v>
      </c>
      <c r="V14" t="n">
        <v>8.820708</v>
      </c>
      <c r="W14" t="n">
        <v>15.817561</v>
      </c>
      <c r="X14" t="n">
        <v>303.129451</v>
      </c>
    </row>
    <row r="15" ht="21" customHeight="1">
      <c r="A15" t="inlineStr">
        <is>
          <t>Acetes japonicus</t>
        </is>
      </c>
      <c r="B15" t="n">
        <v>2.54</v>
      </c>
      <c r="C15" t="n">
        <v>34.673685</v>
      </c>
      <c r="D15" s="10" t="inlineStr">
        <is>
          <t>Shrimps</t>
        </is>
      </c>
      <c r="E15" t="n">
        <v>0</v>
      </c>
      <c r="F15" t="n">
        <v>20.606299</v>
      </c>
      <c r="G15" t="n">
        <v>1.542427</v>
      </c>
      <c r="H15" t="n">
        <v>1.561295</v>
      </c>
      <c r="I15" t="n">
        <v>15.075177</v>
      </c>
      <c r="J15" t="n">
        <v>15.075177</v>
      </c>
      <c r="K15" t="n">
        <v>15.060102</v>
      </c>
      <c r="L15" t="n">
        <v>13.927162</v>
      </c>
      <c r="M15" t="n">
        <v>13.927162</v>
      </c>
      <c r="N15" t="n">
        <v>14.183251</v>
      </c>
      <c r="O15" t="n">
        <v>7.969433</v>
      </c>
      <c r="P15" t="n">
        <v>5.681336</v>
      </c>
      <c r="Q15" t="n">
        <v>14.183251</v>
      </c>
      <c r="R15" t="n">
        <v>13.927162</v>
      </c>
      <c r="S15" t="n">
        <v>7.969433</v>
      </c>
      <c r="T15" t="n">
        <v>7.969433</v>
      </c>
      <c r="U15" t="n">
        <v>5.681336</v>
      </c>
      <c r="V15" t="n">
        <v>5.681336</v>
      </c>
      <c r="W15" t="n">
        <v>8.136905</v>
      </c>
      <c r="X15" t="n">
        <v>14.885026</v>
      </c>
    </row>
    <row r="16" ht="21" customHeight="1">
      <c r="A16" t="inlineStr">
        <is>
          <t>Todarodes pacificus</t>
        </is>
      </c>
      <c r="B16" t="n">
        <v>4.28</v>
      </c>
      <c r="C16" t="n">
        <v>1905.460718</v>
      </c>
      <c r="D16" s="10" t="inlineStr">
        <is>
          <t>Cephalopods</t>
        </is>
      </c>
      <c r="E16" t="n">
        <v>0</v>
      </c>
      <c r="F16" t="n">
        <v>65.929169</v>
      </c>
      <c r="G16" t="n">
        <v>1.821994</v>
      </c>
      <c r="H16" t="n">
        <v>1.839433</v>
      </c>
      <c r="I16" t="n">
        <v>38.382342</v>
      </c>
      <c r="J16" t="n">
        <v>38.382342</v>
      </c>
      <c r="K16" t="n">
        <v>37.768225</v>
      </c>
      <c r="L16" t="n">
        <v>36.734327</v>
      </c>
      <c r="M16" t="n">
        <v>36.734327</v>
      </c>
      <c r="N16" t="n">
        <v>37.111337</v>
      </c>
      <c r="O16" t="n">
        <v>12.794003</v>
      </c>
      <c r="P16" t="n">
        <v>8.242232</v>
      </c>
      <c r="Q16" t="n">
        <v>37.111337</v>
      </c>
      <c r="R16" t="n">
        <v>36.734327</v>
      </c>
      <c r="S16" t="n">
        <v>12.794003</v>
      </c>
      <c r="T16" t="n">
        <v>12.794003</v>
      </c>
      <c r="U16" t="n">
        <v>8.242232</v>
      </c>
      <c r="V16" t="n">
        <v>8.242232</v>
      </c>
      <c r="W16" t="n">
        <v>12.757448</v>
      </c>
      <c r="X16" t="n">
        <v>38.53303</v>
      </c>
    </row>
    <row r="17" ht="66" customHeight="1">
      <c r="A17" t="inlineStr">
        <is>
          <t>Sciaenidae</t>
        </is>
      </c>
      <c r="B17" t="n">
        <v>3.76</v>
      </c>
      <c r="C17" t="n">
        <v>575.439937</v>
      </c>
      <c r="D17" s="10" t="inlineStr">
        <is>
          <t>Benthivores | Piscivores | Benthivores/piscivores | Omnivores | Large yellow croakers | Small yellow croakers</t>
        </is>
      </c>
      <c r="E17" t="n">
        <v>0</v>
      </c>
      <c r="F17" t="n">
        <v>173.538806</v>
      </c>
      <c r="G17" t="n">
        <v>2.056327</v>
      </c>
      <c r="H17" t="n">
        <v>2.078984</v>
      </c>
      <c r="I17" t="n">
        <v>126.848654</v>
      </c>
      <c r="J17" t="n">
        <v>128.748509</v>
      </c>
      <c r="K17" t="n">
        <v>90.18966500000001</v>
      </c>
      <c r="L17" t="n">
        <v>217.718498</v>
      </c>
      <c r="M17" t="n">
        <v>217.718498</v>
      </c>
      <c r="N17" t="n">
        <v>220.823291</v>
      </c>
      <c r="O17" t="n">
        <v>25.68197</v>
      </c>
      <c r="P17" t="n">
        <v>14.042971</v>
      </c>
      <c r="Q17" t="n">
        <v>220.823291</v>
      </c>
      <c r="R17" t="n">
        <v>217.718498</v>
      </c>
      <c r="S17" t="n">
        <v>25.68197</v>
      </c>
      <c r="T17" t="n">
        <v>25.68197</v>
      </c>
      <c r="U17" t="n">
        <v>14.042971</v>
      </c>
      <c r="V17" t="n">
        <v>14.042971</v>
      </c>
      <c r="W17" t="n">
        <v>26.350181</v>
      </c>
      <c r="X17" t="n">
        <v>139.946072</v>
      </c>
    </row>
    <row r="18" ht="21" customHeight="1">
      <c r="A18" t="inlineStr">
        <is>
          <t>Stephanolepis cirrhifer</t>
        </is>
      </c>
      <c r="B18" t="n">
        <v>2.84</v>
      </c>
      <c r="C18" t="n">
        <v>69.183097</v>
      </c>
      <c r="D18" s="10" t="inlineStr">
        <is>
          <t>Benthivores</t>
        </is>
      </c>
      <c r="E18" t="n">
        <v>0</v>
      </c>
      <c r="F18" t="n">
        <v>67.81478300000001</v>
      </c>
      <c r="G18" t="n">
        <v>1.829368</v>
      </c>
      <c r="H18" t="n">
        <v>1.84033</v>
      </c>
      <c r="I18" t="n">
        <v>33.988491</v>
      </c>
      <c r="J18" t="n">
        <v>35.780255</v>
      </c>
      <c r="K18" t="n">
        <v>35.601354</v>
      </c>
      <c r="L18" t="n">
        <v>385.228839</v>
      </c>
      <c r="M18" t="n">
        <v>385.228839</v>
      </c>
      <c r="N18" t="n">
        <v>391.588003</v>
      </c>
      <c r="O18" t="n">
        <v>16.66963</v>
      </c>
      <c r="P18" t="n">
        <v>9.973879999999999</v>
      </c>
      <c r="Q18" t="n">
        <v>391.588003</v>
      </c>
      <c r="R18" t="n">
        <v>385.228839</v>
      </c>
      <c r="S18" t="n">
        <v>16.66963</v>
      </c>
      <c r="T18" t="n">
        <v>16.66963</v>
      </c>
      <c r="U18" t="n">
        <v>9.973879999999999</v>
      </c>
      <c r="V18" t="n">
        <v>9.973879999999999</v>
      </c>
      <c r="W18" t="n">
        <v>17.246706</v>
      </c>
      <c r="X18" t="n">
        <v>42.474741</v>
      </c>
    </row>
    <row r="19" ht="21" customHeight="1">
      <c r="A19" t="inlineStr">
        <is>
          <t>Pectinidae</t>
        </is>
      </c>
      <c r="B19" t="n">
        <v>2</v>
      </c>
      <c r="C19" t="n">
        <v>10</v>
      </c>
      <c r="D19" s="10" t="inlineStr">
        <is>
          <t>Mollusks</t>
        </is>
      </c>
      <c r="E19" t="n">
        <v>0</v>
      </c>
      <c r="F19" t="n">
        <v>14.497407</v>
      </c>
      <c r="G19" t="n">
        <v>1.466668</v>
      </c>
      <c r="H19" t="n">
        <v>1.466497</v>
      </c>
      <c r="I19" t="n">
        <v>17.850747</v>
      </c>
      <c r="J19" t="n">
        <v>17.850747</v>
      </c>
      <c r="K19" t="n">
        <v>5.355224</v>
      </c>
      <c r="L19" t="n">
        <v>17.186608</v>
      </c>
      <c r="M19" t="n">
        <v>17.186608</v>
      </c>
      <c r="N19" t="n">
        <v>17.598965</v>
      </c>
      <c r="O19" t="n">
        <v>3.995111</v>
      </c>
      <c r="P19" t="n">
        <v>2.967513</v>
      </c>
      <c r="Q19" t="n">
        <v>17.598965</v>
      </c>
      <c r="R19" t="n">
        <v>17.186608</v>
      </c>
      <c r="S19" t="n">
        <v>3.995111</v>
      </c>
      <c r="T19" t="n">
        <v>3.995111</v>
      </c>
      <c r="U19" t="n">
        <v>2.967513</v>
      </c>
      <c r="V19" t="n">
        <v>2.967513</v>
      </c>
      <c r="W19" t="n">
        <v>3.990277</v>
      </c>
      <c r="X19" t="n">
        <v>17.941416</v>
      </c>
    </row>
    <row r="20" ht="21" customHeight="1">
      <c r="A20" t="inlineStr">
        <is>
          <t>Scyphozoa</t>
        </is>
      </c>
      <c r="B20" t="n">
        <v>3.46</v>
      </c>
      <c r="C20" t="n">
        <v>288.40315</v>
      </c>
      <c r="D20" s="10" t="inlineStr">
        <is>
          <t>Other invertebrates</t>
        </is>
      </c>
      <c r="E20" t="n">
        <v>0</v>
      </c>
      <c r="F20" t="n">
        <v>10</v>
      </c>
      <c r="G20" t="n">
        <v>1.39069</v>
      </c>
      <c r="H20" t="n">
        <v>1.39069</v>
      </c>
      <c r="I20" t="n">
        <v>14.61039</v>
      </c>
      <c r="J20" t="n">
        <v>14.61039</v>
      </c>
      <c r="K20" t="n">
        <v>9</v>
      </c>
      <c r="L20" t="n">
        <v>13.760094</v>
      </c>
      <c r="M20" t="n">
        <v>13.760094</v>
      </c>
      <c r="N20" t="n">
        <v>13.94977</v>
      </c>
      <c r="O20" t="n">
        <v>9.664044000000001</v>
      </c>
      <c r="P20" t="n">
        <v>7.828167</v>
      </c>
      <c r="Q20" t="n">
        <v>13.94977</v>
      </c>
      <c r="R20" t="n">
        <v>13.760094</v>
      </c>
      <c r="S20" t="n">
        <v>9.664044000000001</v>
      </c>
      <c r="T20" t="n">
        <v>9.664044000000001</v>
      </c>
      <c r="U20" t="n">
        <v>7.828167</v>
      </c>
      <c r="V20" t="n">
        <v>7.828167</v>
      </c>
      <c r="W20" t="n">
        <v>9.661211</v>
      </c>
      <c r="X20" t="n">
        <v>13.78907</v>
      </c>
    </row>
    <row r="21" ht="21" customHeight="1">
      <c r="A21" t="inlineStr">
        <is>
          <t>Pleuronectidae</t>
        </is>
      </c>
      <c r="B21" t="n">
        <v>3.49</v>
      </c>
      <c r="C21" t="n">
        <v>309.029543</v>
      </c>
      <c r="D21" s="10" t="inlineStr">
        <is>
          <t>Benthivores</t>
        </is>
      </c>
      <c r="E21" t="n">
        <v>0</v>
      </c>
      <c r="F21" t="n">
        <v>67.81478300000001</v>
      </c>
      <c r="G21" t="n">
        <v>1.829368</v>
      </c>
      <c r="H21" t="n">
        <v>1.84033</v>
      </c>
      <c r="I21" t="n">
        <v>33.988491</v>
      </c>
      <c r="J21" t="n">
        <v>35.780255</v>
      </c>
      <c r="K21" t="n">
        <v>35.601354</v>
      </c>
      <c r="L21" t="n">
        <v>385.228839</v>
      </c>
      <c r="M21" t="n">
        <v>385.228839</v>
      </c>
      <c r="N21" t="n">
        <v>391.588003</v>
      </c>
      <c r="O21" t="n">
        <v>16.66963</v>
      </c>
      <c r="P21" t="n">
        <v>9.973879999999999</v>
      </c>
      <c r="Q21" t="n">
        <v>391.588003</v>
      </c>
      <c r="R21" t="n">
        <v>385.228839</v>
      </c>
      <c r="S21" t="n">
        <v>16.66963</v>
      </c>
      <c r="T21" t="n">
        <v>16.66963</v>
      </c>
      <c r="U21" t="n">
        <v>9.973879999999999</v>
      </c>
      <c r="V21" t="n">
        <v>9.973879999999999</v>
      </c>
      <c r="W21" t="n">
        <v>17.246706</v>
      </c>
      <c r="X21" t="n">
        <v>42.474741</v>
      </c>
    </row>
    <row r="22" ht="21" customHeight="1">
      <c r="A22" t="inlineStr">
        <is>
          <t>Muraenesox cinereus</t>
        </is>
      </c>
      <c r="B22" t="n">
        <v>4.38</v>
      </c>
      <c r="C22" t="n">
        <v>2398.832919</v>
      </c>
      <c r="D22" s="10" t="inlineStr">
        <is>
          <t>Piscivores</t>
        </is>
      </c>
      <c r="E22" t="n">
        <v>0</v>
      </c>
      <c r="F22" t="n">
        <v>304.388999</v>
      </c>
      <c r="G22" t="n">
        <v>2.268309</v>
      </c>
      <c r="H22" t="n">
        <v>2.300314</v>
      </c>
      <c r="I22" t="n">
        <v>249.259877</v>
      </c>
      <c r="J22" t="n">
        <v>251.428736</v>
      </c>
      <c r="K22" t="n">
        <v>202.148704</v>
      </c>
      <c r="L22" t="n">
        <v>282.597002</v>
      </c>
      <c r="M22" t="n">
        <v>282.597002</v>
      </c>
      <c r="N22" t="n">
        <v>286.033173</v>
      </c>
      <c r="O22" t="n">
        <v>49.797649</v>
      </c>
      <c r="P22" t="n">
        <v>25.643377</v>
      </c>
      <c r="Q22" t="n">
        <v>286.033173</v>
      </c>
      <c r="R22" t="n">
        <v>282.597002</v>
      </c>
      <c r="S22" t="n">
        <v>49.797649</v>
      </c>
      <c r="T22" t="n">
        <v>49.797649</v>
      </c>
      <c r="U22" t="n">
        <v>25.643377</v>
      </c>
      <c r="V22" t="n">
        <v>25.643377</v>
      </c>
      <c r="W22" t="n">
        <v>51.082514</v>
      </c>
      <c r="X22" t="n">
        <v>274.518943</v>
      </c>
    </row>
    <row r="23" ht="21" customHeight="1">
      <c r="A23" t="inlineStr">
        <is>
          <t>Pennahia argentata</t>
        </is>
      </c>
      <c r="B23" t="n">
        <v>3.47</v>
      </c>
      <c r="C23" t="n">
        <v>295.120923</v>
      </c>
      <c r="D23" s="10" t="inlineStr">
        <is>
          <t>Benthivores/piscivores</t>
        </is>
      </c>
      <c r="E23" t="n">
        <v>0</v>
      </c>
      <c r="F23" t="n">
        <v>136.120059</v>
      </c>
      <c r="G23" t="n">
        <v>2.021353</v>
      </c>
      <c r="H23" t="n">
        <v>2.039787</v>
      </c>
      <c r="I23" t="n">
        <v>36.046055</v>
      </c>
      <c r="J23" t="n">
        <v>36.076344</v>
      </c>
      <c r="K23" t="n">
        <v>35.535199</v>
      </c>
      <c r="L23" t="n">
        <v>34.759886</v>
      </c>
      <c r="M23" t="n">
        <v>34.759886</v>
      </c>
      <c r="N23" t="n">
        <v>35.313702</v>
      </c>
      <c r="O23" t="n">
        <v>13.890783</v>
      </c>
      <c r="P23" t="n">
        <v>8.319739999999999</v>
      </c>
      <c r="Q23" t="n">
        <v>35.313702</v>
      </c>
      <c r="R23" t="n">
        <v>34.759886</v>
      </c>
      <c r="S23" t="n">
        <v>13.890783</v>
      </c>
      <c r="T23" t="n">
        <v>13.890783</v>
      </c>
      <c r="U23" t="n">
        <v>8.319739999999999</v>
      </c>
      <c r="V23" t="n">
        <v>8.319739999999999</v>
      </c>
      <c r="W23" t="n">
        <v>14.220855</v>
      </c>
      <c r="X23" t="n">
        <v>35.767132</v>
      </c>
    </row>
    <row r="24" ht="21" customHeight="1">
      <c r="A24" t="inlineStr">
        <is>
          <t>Gadus macrocephalus</t>
        </is>
      </c>
      <c r="B24" t="n">
        <v>4.16</v>
      </c>
      <c r="C24" t="n">
        <v>1445.439771</v>
      </c>
      <c r="D24" s="10" t="inlineStr">
        <is>
          <t>Benthivores/piscivores</t>
        </is>
      </c>
      <c r="E24" t="n">
        <v>0</v>
      </c>
      <c r="F24" t="n">
        <v>136.120059</v>
      </c>
      <c r="G24" t="n">
        <v>2.021353</v>
      </c>
      <c r="H24" t="n">
        <v>2.039787</v>
      </c>
      <c r="I24" t="n">
        <v>36.046055</v>
      </c>
      <c r="J24" t="n">
        <v>36.076344</v>
      </c>
      <c r="K24" t="n">
        <v>35.535199</v>
      </c>
      <c r="L24" t="n">
        <v>34.759886</v>
      </c>
      <c r="M24" t="n">
        <v>34.759886</v>
      </c>
      <c r="N24" t="n">
        <v>35.313702</v>
      </c>
      <c r="O24" t="n">
        <v>13.890783</v>
      </c>
      <c r="P24" t="n">
        <v>8.319739999999999</v>
      </c>
      <c r="Q24" t="n">
        <v>35.313702</v>
      </c>
      <c r="R24" t="n">
        <v>34.759886</v>
      </c>
      <c r="S24" t="n">
        <v>13.890783</v>
      </c>
      <c r="T24" t="n">
        <v>13.890783</v>
      </c>
      <c r="U24" t="n">
        <v>8.319739999999999</v>
      </c>
      <c r="V24" t="n">
        <v>8.319739999999999</v>
      </c>
      <c r="W24" t="n">
        <v>14.220855</v>
      </c>
      <c r="X24" t="n">
        <v>35.767132</v>
      </c>
    </row>
    <row r="25" ht="36" customHeight="1">
      <c r="A25" t="inlineStr">
        <is>
          <t>Monacanthidae</t>
        </is>
      </c>
      <c r="B25" t="n">
        <v>3</v>
      </c>
      <c r="C25" t="n">
        <v>100</v>
      </c>
      <c r="D25" s="10" t="inlineStr">
        <is>
          <t>Benthivores | Planktivores/piscivores</t>
        </is>
      </c>
      <c r="E25" t="n">
        <v>0</v>
      </c>
      <c r="F25" t="n">
        <v>92.061187</v>
      </c>
      <c r="G25" t="n">
        <v>1.900898</v>
      </c>
      <c r="H25" t="n">
        <v>1.900649</v>
      </c>
      <c r="I25" t="n">
        <v>264.905053</v>
      </c>
      <c r="J25" t="n">
        <v>279.938864</v>
      </c>
      <c r="K25" t="n">
        <v>111.710951</v>
      </c>
      <c r="L25" t="n">
        <v>505.856712</v>
      </c>
      <c r="M25" t="n">
        <v>505.856712</v>
      </c>
      <c r="N25" t="n">
        <v>513.812668</v>
      </c>
      <c r="O25" t="n">
        <v>41.321907</v>
      </c>
      <c r="P25" t="n">
        <v>24.49538</v>
      </c>
      <c r="Q25" t="n">
        <v>513.812668</v>
      </c>
      <c r="R25" t="n">
        <v>505.856712</v>
      </c>
      <c r="S25" t="n">
        <v>41.321907</v>
      </c>
      <c r="T25" t="n">
        <v>41.321907</v>
      </c>
      <c r="U25" t="n">
        <v>24.49538</v>
      </c>
      <c r="V25" t="n">
        <v>24.49538</v>
      </c>
      <c r="W25" t="n">
        <v>42.670715</v>
      </c>
      <c r="X25" t="n">
        <v>323.855245</v>
      </c>
    </row>
    <row r="26" ht="21" customHeight="1">
      <c r="A26" t="inlineStr">
        <is>
          <t>Pampus</t>
        </is>
      </c>
      <c r="B26" t="n">
        <v>3.41</v>
      </c>
      <c r="C26" t="n">
        <v>257.039578</v>
      </c>
      <c r="D26" s="10" t="inlineStr">
        <is>
          <t>Planktivores/piscivores</t>
        </is>
      </c>
      <c r="E26" t="n">
        <v>0</v>
      </c>
      <c r="F26" t="n">
        <v>123.077794</v>
      </c>
      <c r="G26" t="n">
        <v>1.992402</v>
      </c>
      <c r="H26" t="n">
        <v>1.97781</v>
      </c>
      <c r="I26" t="n">
        <v>560.299311</v>
      </c>
      <c r="J26" t="n">
        <v>592.272682</v>
      </c>
      <c r="K26" t="n">
        <v>209.072257</v>
      </c>
      <c r="L26" t="n">
        <v>660.166914</v>
      </c>
      <c r="M26" t="n">
        <v>660.166914</v>
      </c>
      <c r="N26" t="n">
        <v>670.165526</v>
      </c>
      <c r="O26" t="n">
        <v>72.857719</v>
      </c>
      <c r="P26" t="n">
        <v>43.071646</v>
      </c>
      <c r="Q26" t="n">
        <v>670.165526</v>
      </c>
      <c r="R26" t="n">
        <v>660.166914</v>
      </c>
      <c r="S26" t="n">
        <v>72.857719</v>
      </c>
      <c r="T26" t="n">
        <v>72.857719</v>
      </c>
      <c r="U26" t="n">
        <v>43.071646</v>
      </c>
      <c r="V26" t="n">
        <v>43.071646</v>
      </c>
      <c r="W26" t="n">
        <v>75.193746</v>
      </c>
      <c r="X26" t="n">
        <v>683.804243</v>
      </c>
    </row>
    <row r="27" ht="21" customHeight="1">
      <c r="A27" t="inlineStr">
        <is>
          <t>Bivalvia</t>
        </is>
      </c>
      <c r="B27" t="n">
        <v>2.23</v>
      </c>
      <c r="C27" t="n">
        <v>16.982437</v>
      </c>
      <c r="D27" s="10" t="inlineStr">
        <is>
          <t>Mollusks</t>
        </is>
      </c>
      <c r="E27" t="n">
        <v>0</v>
      </c>
      <c r="F27" t="n">
        <v>14.497407</v>
      </c>
      <c r="G27" t="n">
        <v>1.466668</v>
      </c>
      <c r="H27" t="n">
        <v>1.466497</v>
      </c>
      <c r="I27" t="n">
        <v>17.850747</v>
      </c>
      <c r="J27" t="n">
        <v>17.850747</v>
      </c>
      <c r="K27" t="n">
        <v>5.355224</v>
      </c>
      <c r="L27" t="n">
        <v>17.186608</v>
      </c>
      <c r="M27" t="n">
        <v>17.186608</v>
      </c>
      <c r="N27" t="n">
        <v>17.598965</v>
      </c>
      <c r="O27" t="n">
        <v>3.995111</v>
      </c>
      <c r="P27" t="n">
        <v>2.967513</v>
      </c>
      <c r="Q27" t="n">
        <v>17.598965</v>
      </c>
      <c r="R27" t="n">
        <v>17.186608</v>
      </c>
      <c r="S27" t="n">
        <v>3.995111</v>
      </c>
      <c r="T27" t="n">
        <v>3.995111</v>
      </c>
      <c r="U27" t="n">
        <v>2.967513</v>
      </c>
      <c r="V27" t="n">
        <v>2.967513</v>
      </c>
      <c r="W27" t="n">
        <v>3.990277</v>
      </c>
      <c r="X27" t="n">
        <v>17.941416</v>
      </c>
    </row>
    <row r="28" ht="21" customHeight="1">
      <c r="A28" t="inlineStr">
        <is>
          <t>Trachysalambria curvirostris</t>
        </is>
      </c>
      <c r="B28" t="n">
        <v>2.7</v>
      </c>
      <c r="C28" t="n">
        <v>50.118723</v>
      </c>
      <c r="D28" s="10" t="inlineStr">
        <is>
          <t>Shrimps</t>
        </is>
      </c>
      <c r="E28" t="n">
        <v>0</v>
      </c>
      <c r="F28" t="n">
        <v>20.606299</v>
      </c>
      <c r="G28" t="n">
        <v>1.542427</v>
      </c>
      <c r="H28" t="n">
        <v>1.561295</v>
      </c>
      <c r="I28" t="n">
        <v>15.075177</v>
      </c>
      <c r="J28" t="n">
        <v>15.075177</v>
      </c>
      <c r="K28" t="n">
        <v>15.060102</v>
      </c>
      <c r="L28" t="n">
        <v>13.927162</v>
      </c>
      <c r="M28" t="n">
        <v>13.927162</v>
      </c>
      <c r="N28" t="n">
        <v>14.183251</v>
      </c>
      <c r="O28" t="n">
        <v>7.969433</v>
      </c>
      <c r="P28" t="n">
        <v>5.681336</v>
      </c>
      <c r="Q28" t="n">
        <v>14.183251</v>
      </c>
      <c r="R28" t="n">
        <v>13.927162</v>
      </c>
      <c r="S28" t="n">
        <v>7.969433</v>
      </c>
      <c r="T28" t="n">
        <v>7.969433</v>
      </c>
      <c r="U28" t="n">
        <v>5.681336</v>
      </c>
      <c r="V28" t="n">
        <v>5.681336</v>
      </c>
      <c r="W28" t="n">
        <v>8.136905</v>
      </c>
      <c r="X28" t="n">
        <v>14.885026</v>
      </c>
    </row>
    <row r="29" ht="21" customHeight="1">
      <c r="A29" t="inlineStr">
        <is>
          <t>Nemipterus</t>
        </is>
      </c>
      <c r="B29" t="n">
        <v>3.72</v>
      </c>
      <c r="C29" t="n">
        <v>524.80746</v>
      </c>
      <c r="D29" s="10" t="inlineStr">
        <is>
          <t>Benthivores/piscivores</t>
        </is>
      </c>
      <c r="E29" t="n">
        <v>0</v>
      </c>
      <c r="F29" t="n">
        <v>136.120059</v>
      </c>
      <c r="G29" t="n">
        <v>2.021353</v>
      </c>
      <c r="H29" t="n">
        <v>2.039787</v>
      </c>
      <c r="I29" t="n">
        <v>36.046055</v>
      </c>
      <c r="J29" t="n">
        <v>36.076344</v>
      </c>
      <c r="K29" t="n">
        <v>35.535199</v>
      </c>
      <c r="L29" t="n">
        <v>34.759886</v>
      </c>
      <c r="M29" t="n">
        <v>34.759886</v>
      </c>
      <c r="N29" t="n">
        <v>35.313702</v>
      </c>
      <c r="O29" t="n">
        <v>13.890783</v>
      </c>
      <c r="P29" t="n">
        <v>8.319739999999999</v>
      </c>
      <c r="Q29" t="n">
        <v>35.313702</v>
      </c>
      <c r="R29" t="n">
        <v>34.759886</v>
      </c>
      <c r="S29" t="n">
        <v>13.890783</v>
      </c>
      <c r="T29" t="n">
        <v>13.890783</v>
      </c>
      <c r="U29" t="n">
        <v>8.319739999999999</v>
      </c>
      <c r="V29" t="n">
        <v>8.319739999999999</v>
      </c>
      <c r="W29" t="n">
        <v>14.220855</v>
      </c>
      <c r="X29" t="n">
        <v>35.767132</v>
      </c>
    </row>
    <row r="30" ht="21" customHeight="1">
      <c r="A30" t="inlineStr">
        <is>
          <t>Scomberomorus</t>
        </is>
      </c>
      <c r="B30" t="n">
        <v>4.35</v>
      </c>
      <c r="C30" t="n">
        <v>2238.721139</v>
      </c>
      <c r="D30" s="10" t="inlineStr">
        <is>
          <t>Piscivores</t>
        </is>
      </c>
      <c r="E30" t="n">
        <v>0</v>
      </c>
      <c r="F30" t="n">
        <v>304.388999</v>
      </c>
      <c r="G30" t="n">
        <v>2.268309</v>
      </c>
      <c r="H30" t="n">
        <v>2.300314</v>
      </c>
      <c r="I30" t="n">
        <v>249.259877</v>
      </c>
      <c r="J30" t="n">
        <v>251.428736</v>
      </c>
      <c r="K30" t="n">
        <v>202.148704</v>
      </c>
      <c r="L30" t="n">
        <v>282.597002</v>
      </c>
      <c r="M30" t="n">
        <v>282.597002</v>
      </c>
      <c r="N30" t="n">
        <v>286.033173</v>
      </c>
      <c r="O30" t="n">
        <v>49.797649</v>
      </c>
      <c r="P30" t="n">
        <v>25.643377</v>
      </c>
      <c r="Q30" t="n">
        <v>286.033173</v>
      </c>
      <c r="R30" t="n">
        <v>282.597002</v>
      </c>
      <c r="S30" t="n">
        <v>49.797649</v>
      </c>
      <c r="T30" t="n">
        <v>49.797649</v>
      </c>
      <c r="U30" t="n">
        <v>25.643377</v>
      </c>
      <c r="V30" t="n">
        <v>25.643377</v>
      </c>
      <c r="W30" t="n">
        <v>51.082514</v>
      </c>
      <c r="X30" t="n">
        <v>274.518943</v>
      </c>
    </row>
    <row r="31" ht="21" customHeight="1">
      <c r="A31" t="inlineStr">
        <is>
          <t>Portunus trituberculatus</t>
        </is>
      </c>
      <c r="B31" t="n">
        <v>3.73</v>
      </c>
      <c r="C31" t="n">
        <v>537.031796</v>
      </c>
      <c r="D31" s="10" t="inlineStr">
        <is>
          <t>Crabs</t>
        </is>
      </c>
      <c r="E31" t="n">
        <v>0</v>
      </c>
      <c r="F31" t="n">
        <v>21.002175</v>
      </c>
      <c r="G31" t="n">
        <v>1.546636</v>
      </c>
      <c r="H31" t="n">
        <v>1.565985</v>
      </c>
      <c r="I31" t="n">
        <v>12.039474</v>
      </c>
      <c r="J31" t="n">
        <v>12.039474</v>
      </c>
      <c r="K31" t="n">
        <v>11.028158</v>
      </c>
      <c r="L31" t="n">
        <v>11.032425</v>
      </c>
      <c r="M31" t="n">
        <v>11.032425</v>
      </c>
      <c r="N31" t="n">
        <v>11.257068</v>
      </c>
      <c r="O31" t="n">
        <v>7.495998</v>
      </c>
      <c r="P31" t="n">
        <v>5.212079</v>
      </c>
      <c r="Q31" t="n">
        <v>11.257068</v>
      </c>
      <c r="R31" t="n">
        <v>11.032425</v>
      </c>
      <c r="S31" t="n">
        <v>7.495998</v>
      </c>
      <c r="T31" t="n">
        <v>7.495998</v>
      </c>
      <c r="U31" t="n">
        <v>5.212079</v>
      </c>
      <c r="V31" t="n">
        <v>5.212079</v>
      </c>
      <c r="W31" t="n">
        <v>7.53635</v>
      </c>
      <c r="X31" t="n">
        <v>11.035506</v>
      </c>
    </row>
    <row r="32" ht="21" customHeight="1">
      <c r="A32" t="inlineStr">
        <is>
          <t>Octopoda</t>
        </is>
      </c>
      <c r="B32" t="n">
        <v>3.58</v>
      </c>
      <c r="C32" t="n">
        <v>380.189396</v>
      </c>
      <c r="D32" s="10" t="inlineStr">
        <is>
          <t>Cephalopods</t>
        </is>
      </c>
      <c r="E32" t="n">
        <v>0</v>
      </c>
      <c r="F32" t="n">
        <v>65.929169</v>
      </c>
      <c r="G32" t="n">
        <v>1.821994</v>
      </c>
      <c r="H32" t="n">
        <v>1.839433</v>
      </c>
      <c r="I32" t="n">
        <v>38.382342</v>
      </c>
      <c r="J32" t="n">
        <v>38.382342</v>
      </c>
      <c r="K32" t="n">
        <v>37.768225</v>
      </c>
      <c r="L32" t="n">
        <v>36.734327</v>
      </c>
      <c r="M32" t="n">
        <v>36.734327</v>
      </c>
      <c r="N32" t="n">
        <v>37.111337</v>
      </c>
      <c r="O32" t="n">
        <v>12.794003</v>
      </c>
      <c r="P32" t="n">
        <v>8.242232</v>
      </c>
      <c r="Q32" t="n">
        <v>37.111337</v>
      </c>
      <c r="R32" t="n">
        <v>36.734327</v>
      </c>
      <c r="S32" t="n">
        <v>12.794003</v>
      </c>
      <c r="T32" t="n">
        <v>12.794003</v>
      </c>
      <c r="U32" t="n">
        <v>8.242232</v>
      </c>
      <c r="V32" t="n">
        <v>8.242232</v>
      </c>
      <c r="W32" t="n">
        <v>12.757448</v>
      </c>
      <c r="X32" t="n">
        <v>38.53303</v>
      </c>
    </row>
    <row r="33" ht="21" customHeight="1">
      <c r="A33" t="inlineStr">
        <is>
          <t>Sepiida</t>
        </is>
      </c>
      <c r="B33" t="n">
        <v>3.7</v>
      </c>
      <c r="C33" t="n">
        <v>501.187234</v>
      </c>
      <c r="D33" s="10" t="inlineStr">
        <is>
          <t>Cephalopods</t>
        </is>
      </c>
      <c r="E33" t="n">
        <v>0</v>
      </c>
      <c r="F33" t="n">
        <v>65.929169</v>
      </c>
      <c r="G33" t="n">
        <v>1.821994</v>
      </c>
      <c r="H33" t="n">
        <v>1.839433</v>
      </c>
      <c r="I33" t="n">
        <v>38.382342</v>
      </c>
      <c r="J33" t="n">
        <v>38.382342</v>
      </c>
      <c r="K33" t="n">
        <v>37.768225</v>
      </c>
      <c r="L33" t="n">
        <v>36.734327</v>
      </c>
      <c r="M33" t="n">
        <v>36.734327</v>
      </c>
      <c r="N33" t="n">
        <v>37.111337</v>
      </c>
      <c r="O33" t="n">
        <v>12.794003</v>
      </c>
      <c r="P33" t="n">
        <v>8.242232</v>
      </c>
      <c r="Q33" t="n">
        <v>37.111337</v>
      </c>
      <c r="R33" t="n">
        <v>36.734327</v>
      </c>
      <c r="S33" t="n">
        <v>12.794003</v>
      </c>
      <c r="T33" t="n">
        <v>12.794003</v>
      </c>
      <c r="U33" t="n">
        <v>8.242232</v>
      </c>
      <c r="V33" t="n">
        <v>8.242232</v>
      </c>
      <c r="W33" t="n">
        <v>12.757448</v>
      </c>
      <c r="X33" t="n">
        <v>38.53303</v>
      </c>
    </row>
    <row r="34" ht="21" customHeight="1">
      <c r="A34" t="inlineStr">
        <is>
          <t>Larimichthys crocea</t>
        </is>
      </c>
      <c r="B34" t="n">
        <v>3.72</v>
      </c>
      <c r="C34" t="n">
        <v>524.80746</v>
      </c>
      <c r="D34" s="10" t="inlineStr">
        <is>
          <t>Large yellow croakers</t>
        </is>
      </c>
      <c r="E34" t="n">
        <v>0</v>
      </c>
      <c r="F34" t="n">
        <v>245.321683</v>
      </c>
      <c r="G34" t="n">
        <v>2.19929</v>
      </c>
      <c r="H34" t="n">
        <v>2.227316</v>
      </c>
      <c r="I34" t="n">
        <v>53.229062</v>
      </c>
      <c r="J34" t="n">
        <v>53.229062</v>
      </c>
      <c r="K34" t="n">
        <v>53.069375</v>
      </c>
      <c r="L34" t="n">
        <v>50.554211</v>
      </c>
      <c r="M34" t="n">
        <v>50.554211</v>
      </c>
      <c r="N34" t="n">
        <v>51.236033</v>
      </c>
      <c r="O34" t="n">
        <v>21.207838</v>
      </c>
      <c r="P34" t="n">
        <v>11.769056</v>
      </c>
      <c r="Q34" t="n">
        <v>51.236033</v>
      </c>
      <c r="R34" t="n">
        <v>50.554211</v>
      </c>
      <c r="S34" t="n">
        <v>21.207838</v>
      </c>
      <c r="T34" t="n">
        <v>21.207838</v>
      </c>
      <c r="U34" t="n">
        <v>11.769056</v>
      </c>
      <c r="V34" t="n">
        <v>11.769056</v>
      </c>
      <c r="W34" t="n">
        <v>21.896355</v>
      </c>
      <c r="X34" t="n">
        <v>53.886477</v>
      </c>
    </row>
    <row r="35" ht="21" customHeight="1">
      <c r="A35" t="inlineStr">
        <is>
          <t>Scomberomorus niphonius</t>
        </is>
      </c>
      <c r="B35" t="n">
        <v>4.5</v>
      </c>
      <c r="C35" t="n">
        <v>3162.27766</v>
      </c>
      <c r="D35" s="10" t="inlineStr">
        <is>
          <t>Piscivores</t>
        </is>
      </c>
      <c r="E35" t="n">
        <v>0</v>
      </c>
      <c r="F35" t="n">
        <v>304.388999</v>
      </c>
      <c r="G35" t="n">
        <v>2.268309</v>
      </c>
      <c r="H35" t="n">
        <v>2.300314</v>
      </c>
      <c r="I35" t="n">
        <v>249.259877</v>
      </c>
      <c r="J35" t="n">
        <v>251.428736</v>
      </c>
      <c r="K35" t="n">
        <v>202.148704</v>
      </c>
      <c r="L35" t="n">
        <v>282.597002</v>
      </c>
      <c r="M35" t="n">
        <v>282.597002</v>
      </c>
      <c r="N35" t="n">
        <v>286.033173</v>
      </c>
      <c r="O35" t="n">
        <v>49.797649</v>
      </c>
      <c r="P35" t="n">
        <v>25.643377</v>
      </c>
      <c r="Q35" t="n">
        <v>286.033173</v>
      </c>
      <c r="R35" t="n">
        <v>282.597002</v>
      </c>
      <c r="S35" t="n">
        <v>49.797649</v>
      </c>
      <c r="T35" t="n">
        <v>49.797649</v>
      </c>
      <c r="U35" t="n">
        <v>25.643377</v>
      </c>
      <c r="V35" t="n">
        <v>25.643377</v>
      </c>
      <c r="W35" t="n">
        <v>51.082514</v>
      </c>
      <c r="X35" t="n">
        <v>274.518943</v>
      </c>
    </row>
    <row r="36" ht="21" customHeight="1">
      <c r="A36" t="inlineStr">
        <is>
          <t>Planiliza haematocheilus</t>
        </is>
      </c>
      <c r="B36" t="n">
        <v>2.5</v>
      </c>
      <c r="C36" t="n">
        <v>31.622777</v>
      </c>
      <c r="D36" s="10" t="inlineStr">
        <is>
          <t>Benthivores</t>
        </is>
      </c>
      <c r="E36" t="n">
        <v>0</v>
      </c>
      <c r="F36" t="n">
        <v>67.81478300000001</v>
      </c>
      <c r="G36" t="n">
        <v>1.829368</v>
      </c>
      <c r="H36" t="n">
        <v>1.84033</v>
      </c>
      <c r="I36" t="n">
        <v>33.988491</v>
      </c>
      <c r="J36" t="n">
        <v>35.780255</v>
      </c>
      <c r="K36" t="n">
        <v>35.601354</v>
      </c>
      <c r="L36" t="n">
        <v>385.228839</v>
      </c>
      <c r="M36" t="n">
        <v>385.228839</v>
      </c>
      <c r="N36" t="n">
        <v>391.588003</v>
      </c>
      <c r="O36" t="n">
        <v>16.66963</v>
      </c>
      <c r="P36" t="n">
        <v>9.973879999999999</v>
      </c>
      <c r="Q36" t="n">
        <v>391.588003</v>
      </c>
      <c r="R36" t="n">
        <v>385.228839</v>
      </c>
      <c r="S36" t="n">
        <v>16.66963</v>
      </c>
      <c r="T36" t="n">
        <v>16.66963</v>
      </c>
      <c r="U36" t="n">
        <v>9.973879999999999</v>
      </c>
      <c r="V36" t="n">
        <v>9.973879999999999</v>
      </c>
      <c r="W36" t="n">
        <v>17.246706</v>
      </c>
      <c r="X36" t="n">
        <v>42.474741</v>
      </c>
    </row>
    <row r="37" ht="21" customHeight="1">
      <c r="A37" t="inlineStr">
        <is>
          <t>Teuthida</t>
        </is>
      </c>
      <c r="B37" t="n">
        <v>4.13</v>
      </c>
      <c r="C37" t="n">
        <v>1348.962883</v>
      </c>
      <c r="D37" s="10" t="inlineStr">
        <is>
          <t>Cephalopods</t>
        </is>
      </c>
      <c r="E37" t="n">
        <v>0</v>
      </c>
      <c r="F37" t="n">
        <v>65.929169</v>
      </c>
      <c r="G37" t="n">
        <v>1.821994</v>
      </c>
      <c r="H37" t="n">
        <v>1.839433</v>
      </c>
      <c r="I37" t="n">
        <v>38.382342</v>
      </c>
      <c r="J37" t="n">
        <v>38.382342</v>
      </c>
      <c r="K37" t="n">
        <v>37.768225</v>
      </c>
      <c r="L37" t="n">
        <v>36.734327</v>
      </c>
      <c r="M37" t="n">
        <v>36.734327</v>
      </c>
      <c r="N37" t="n">
        <v>37.111337</v>
      </c>
      <c r="O37" t="n">
        <v>12.794003</v>
      </c>
      <c r="P37" t="n">
        <v>8.242232</v>
      </c>
      <c r="Q37" t="n">
        <v>37.111337</v>
      </c>
      <c r="R37" t="n">
        <v>36.734327</v>
      </c>
      <c r="S37" t="n">
        <v>12.794003</v>
      </c>
      <c r="T37" t="n">
        <v>12.794003</v>
      </c>
      <c r="U37" t="n">
        <v>8.242232</v>
      </c>
      <c r="V37" t="n">
        <v>8.242232</v>
      </c>
      <c r="W37" t="n">
        <v>12.757448</v>
      </c>
      <c r="X37" t="n">
        <v>38.53303</v>
      </c>
    </row>
    <row r="38" ht="21" customHeight="1">
      <c r="A38" t="inlineStr">
        <is>
          <t>Penaeus chinensis</t>
        </is>
      </c>
      <c r="B38" t="n">
        <v>2</v>
      </c>
      <c r="C38" t="n">
        <v>10</v>
      </c>
      <c r="D38" s="10" t="inlineStr">
        <is>
          <t>Shrimps</t>
        </is>
      </c>
      <c r="E38" t="n">
        <v>0</v>
      </c>
      <c r="F38" t="n">
        <v>20.606299</v>
      </c>
      <c r="G38" t="n">
        <v>1.542427</v>
      </c>
      <c r="H38" t="n">
        <v>1.561295</v>
      </c>
      <c r="I38" t="n">
        <v>15.075177</v>
      </c>
      <c r="J38" t="n">
        <v>15.075177</v>
      </c>
      <c r="K38" t="n">
        <v>15.060102</v>
      </c>
      <c r="L38" t="n">
        <v>13.927162</v>
      </c>
      <c r="M38" t="n">
        <v>13.927162</v>
      </c>
      <c r="N38" t="n">
        <v>14.183251</v>
      </c>
      <c r="O38" t="n">
        <v>7.969433</v>
      </c>
      <c r="P38" t="n">
        <v>5.681336</v>
      </c>
      <c r="Q38" t="n">
        <v>14.183251</v>
      </c>
      <c r="R38" t="n">
        <v>13.927162</v>
      </c>
      <c r="S38" t="n">
        <v>7.969433</v>
      </c>
      <c r="T38" t="n">
        <v>7.969433</v>
      </c>
      <c r="U38" t="n">
        <v>5.681336</v>
      </c>
      <c r="V38" t="n">
        <v>5.681336</v>
      </c>
      <c r="W38" t="n">
        <v>8.136905</v>
      </c>
      <c r="X38" t="n">
        <v>14.885026</v>
      </c>
    </row>
    <row r="39" ht="21" customHeight="1">
      <c r="A39" t="inlineStr">
        <is>
          <t>Oncorhynchus</t>
        </is>
      </c>
      <c r="B39" t="n">
        <v>3.95</v>
      </c>
      <c r="C39" t="n">
        <v>891.250938</v>
      </c>
      <c r="D39" s="10" t="inlineStr">
        <is>
          <t>Planktivores/piscivores</t>
        </is>
      </c>
      <c r="E39" t="n">
        <v>0</v>
      </c>
      <c r="F39" t="n">
        <v>123.077794</v>
      </c>
      <c r="G39" t="n">
        <v>1.992402</v>
      </c>
      <c r="H39" t="n">
        <v>1.97781</v>
      </c>
      <c r="I39" t="n">
        <v>560.299311</v>
      </c>
      <c r="J39" t="n">
        <v>592.272682</v>
      </c>
      <c r="K39" t="n">
        <v>209.072257</v>
      </c>
      <c r="L39" t="n">
        <v>660.166914</v>
      </c>
      <c r="M39" t="n">
        <v>660.166914</v>
      </c>
      <c r="N39" t="n">
        <v>670.165526</v>
      </c>
      <c r="O39" t="n">
        <v>72.857719</v>
      </c>
      <c r="P39" t="n">
        <v>43.071646</v>
      </c>
      <c r="Q39" t="n">
        <v>670.165526</v>
      </c>
      <c r="R39" t="n">
        <v>660.166914</v>
      </c>
      <c r="S39" t="n">
        <v>72.857719</v>
      </c>
      <c r="T39" t="n">
        <v>72.857719</v>
      </c>
      <c r="U39" t="n">
        <v>43.071646</v>
      </c>
      <c r="V39" t="n">
        <v>43.071646</v>
      </c>
      <c r="W39" t="n">
        <v>75.193746</v>
      </c>
      <c r="X39" t="n">
        <v>683.804243</v>
      </c>
    </row>
    <row r="40" ht="36" customHeight="1">
      <c r="A40" t="inlineStr">
        <is>
          <t>Carangidae</t>
        </is>
      </c>
      <c r="B40" t="n">
        <v>4.05</v>
      </c>
      <c r="C40" t="n">
        <v>1122.018454</v>
      </c>
      <c r="D40" s="10" t="inlineStr">
        <is>
          <t>Planktivores/piscivores | Omnivores</t>
        </is>
      </c>
      <c r="E40" t="n">
        <v>0</v>
      </c>
      <c r="F40" t="n">
        <v>125.430939</v>
      </c>
      <c r="G40" t="n">
        <v>1.997709</v>
      </c>
      <c r="H40" t="n">
        <v>1.994663</v>
      </c>
      <c r="I40" t="n">
        <v>417.482414</v>
      </c>
      <c r="J40" t="n">
        <v>440.855967</v>
      </c>
      <c r="K40" t="n">
        <v>168.363076</v>
      </c>
      <c r="L40" t="n">
        <v>490.371269</v>
      </c>
      <c r="M40" t="n">
        <v>490.371269</v>
      </c>
      <c r="N40" t="n">
        <v>497.77774</v>
      </c>
      <c r="O40" t="n">
        <v>56.861895</v>
      </c>
      <c r="P40" t="n">
        <v>33.524871</v>
      </c>
      <c r="Q40" t="n">
        <v>497.77774</v>
      </c>
      <c r="R40" t="n">
        <v>490.371269</v>
      </c>
      <c r="S40" t="n">
        <v>56.861895</v>
      </c>
      <c r="T40" t="n">
        <v>56.861895</v>
      </c>
      <c r="U40" t="n">
        <v>33.524871</v>
      </c>
      <c r="V40" t="n">
        <v>33.524871</v>
      </c>
      <c r="W40" t="n">
        <v>58.582041</v>
      </c>
      <c r="X40" t="n">
        <v>507.267986</v>
      </c>
    </row>
    <row r="41" ht="36" customHeight="1">
      <c r="A41" t="inlineStr">
        <is>
          <t>Psenopsis anomala</t>
        </is>
      </c>
      <c r="B41" t="n">
        <v>4</v>
      </c>
      <c r="C41" t="n">
        <v>1000</v>
      </c>
      <c r="D41" s="10" t="inlineStr">
        <is>
          <t>Planktivores/Benthivores | Planktivores/piscivores</t>
        </is>
      </c>
      <c r="E41" t="n">
        <v>0</v>
      </c>
      <c r="F41" t="n">
        <v>106.962813</v>
      </c>
      <c r="G41" t="n">
        <v>1.950007</v>
      </c>
      <c r="H41" t="n">
        <v>1.94493</v>
      </c>
      <c r="I41" t="n">
        <v>342.285237</v>
      </c>
      <c r="J41" t="n">
        <v>358.271923</v>
      </c>
      <c r="K41" t="n">
        <v>161.452321</v>
      </c>
      <c r="L41" t="n">
        <v>389.503511</v>
      </c>
      <c r="M41" t="n">
        <v>389.503511</v>
      </c>
      <c r="N41" t="n">
        <v>395.110096</v>
      </c>
      <c r="O41" t="n">
        <v>55.139121</v>
      </c>
      <c r="P41" t="n">
        <v>33.627075</v>
      </c>
      <c r="Q41" t="n">
        <v>395.110096</v>
      </c>
      <c r="R41" t="n">
        <v>389.503511</v>
      </c>
      <c r="S41" t="n">
        <v>55.139121</v>
      </c>
      <c r="T41" t="n">
        <v>55.139121</v>
      </c>
      <c r="U41" t="n">
        <v>33.627075</v>
      </c>
      <c r="V41" t="n">
        <v>33.627075</v>
      </c>
      <c r="W41" t="n">
        <v>56.648032</v>
      </c>
      <c r="X41" t="n">
        <v>403.023066</v>
      </c>
    </row>
    <row r="42" ht="21" customHeight="1">
      <c r="A42" t="inlineStr">
        <is>
          <t>Squillidae</t>
        </is>
      </c>
      <c r="B42" t="n">
        <v>3.5</v>
      </c>
      <c r="C42" t="n">
        <v>316.227766</v>
      </c>
      <c r="D42" s="10" t="inlineStr">
        <is>
          <t>Shrimps</t>
        </is>
      </c>
      <c r="E42" t="n">
        <v>0</v>
      </c>
      <c r="F42" t="n">
        <v>20.606299</v>
      </c>
      <c r="G42" t="n">
        <v>1.542427</v>
      </c>
      <c r="H42" t="n">
        <v>1.561295</v>
      </c>
      <c r="I42" t="n">
        <v>15.075177</v>
      </c>
      <c r="J42" t="n">
        <v>15.075177</v>
      </c>
      <c r="K42" t="n">
        <v>15.060102</v>
      </c>
      <c r="L42" t="n">
        <v>13.927162</v>
      </c>
      <c r="M42" t="n">
        <v>13.927162</v>
      </c>
      <c r="N42" t="n">
        <v>14.183251</v>
      </c>
      <c r="O42" t="n">
        <v>7.969433</v>
      </c>
      <c r="P42" t="n">
        <v>5.681336</v>
      </c>
      <c r="Q42" t="n">
        <v>14.183251</v>
      </c>
      <c r="R42" t="n">
        <v>13.927162</v>
      </c>
      <c r="S42" t="n">
        <v>7.969433</v>
      </c>
      <c r="T42" t="n">
        <v>7.969433</v>
      </c>
      <c r="U42" t="n">
        <v>5.681336</v>
      </c>
      <c r="V42" t="n">
        <v>5.681336</v>
      </c>
      <c r="W42" t="n">
        <v>8.136905</v>
      </c>
      <c r="X42" t="n">
        <v>14.885026</v>
      </c>
    </row>
    <row r="43" ht="21" customHeight="1">
      <c r="A43" t="inlineStr">
        <is>
          <t>Sparidae</t>
        </is>
      </c>
      <c r="B43" t="n">
        <v>3.31</v>
      </c>
      <c r="C43" t="n">
        <v>204.173794</v>
      </c>
      <c r="D43" s="10" t="inlineStr">
        <is>
          <t>Omnivores</t>
        </is>
      </c>
      <c r="E43" t="n">
        <v>0</v>
      </c>
      <c r="F43" t="n">
        <v>131.221463</v>
      </c>
      <c r="G43" t="n">
        <v>2.01077</v>
      </c>
      <c r="H43" t="n">
        <v>2.036134</v>
      </c>
      <c r="I43" t="n">
        <v>66.04435700000001</v>
      </c>
      <c r="J43" t="n">
        <v>68.25582300000001</v>
      </c>
      <c r="K43" t="n">
        <v>68.187568</v>
      </c>
      <c r="L43" t="n">
        <v>72.544996</v>
      </c>
      <c r="M43" t="n">
        <v>72.544996</v>
      </c>
      <c r="N43" t="n">
        <v>73.57283200000001</v>
      </c>
      <c r="O43" t="n">
        <v>17.500018</v>
      </c>
      <c r="P43" t="n">
        <v>10.032554</v>
      </c>
      <c r="Q43" t="n">
        <v>73.57283200000001</v>
      </c>
      <c r="R43" t="n">
        <v>72.544996</v>
      </c>
      <c r="S43" t="n">
        <v>17.500018</v>
      </c>
      <c r="T43" t="n">
        <v>17.500018</v>
      </c>
      <c r="U43" t="n">
        <v>10.032554</v>
      </c>
      <c r="V43" t="n">
        <v>10.032554</v>
      </c>
      <c r="W43" t="n">
        <v>17.704629</v>
      </c>
      <c r="X43" t="n">
        <v>72.854687</v>
      </c>
    </row>
    <row r="44" ht="21" customHeight="1">
      <c r="A44" t="inlineStr">
        <is>
          <t>Alepes</t>
        </is>
      </c>
      <c r="B44" t="n">
        <v>3.32</v>
      </c>
      <c r="C44" t="n">
        <v>208.929613</v>
      </c>
      <c r="D44" s="10" t="inlineStr">
        <is>
          <t>Planktivores/piscivores</t>
        </is>
      </c>
      <c r="E44" t="n">
        <v>0</v>
      </c>
      <c r="F44" t="n">
        <v>123.077794</v>
      </c>
      <c r="G44" t="n">
        <v>1.992402</v>
      </c>
      <c r="H44" t="n">
        <v>1.97781</v>
      </c>
      <c r="I44" t="n">
        <v>560.299311</v>
      </c>
      <c r="J44" t="n">
        <v>592.272682</v>
      </c>
      <c r="K44" t="n">
        <v>209.072257</v>
      </c>
      <c r="L44" t="n">
        <v>660.166914</v>
      </c>
      <c r="M44" t="n">
        <v>660.166914</v>
      </c>
      <c r="N44" t="n">
        <v>670.165526</v>
      </c>
      <c r="O44" t="n">
        <v>72.857719</v>
      </c>
      <c r="P44" t="n">
        <v>43.071646</v>
      </c>
      <c r="Q44" t="n">
        <v>670.165526</v>
      </c>
      <c r="R44" t="n">
        <v>660.166914</v>
      </c>
      <c r="S44" t="n">
        <v>72.857719</v>
      </c>
      <c r="T44" t="n">
        <v>72.857719</v>
      </c>
      <c r="U44" t="n">
        <v>43.071646</v>
      </c>
      <c r="V44" t="n">
        <v>43.071646</v>
      </c>
      <c r="W44" t="n">
        <v>75.193746</v>
      </c>
      <c r="X44" t="n">
        <v>683.804243</v>
      </c>
    </row>
    <row r="45" ht="21" customHeight="1">
      <c r="A45" t="inlineStr">
        <is>
          <t>Sepiidae</t>
        </is>
      </c>
      <c r="B45" t="n">
        <v>3.6</v>
      </c>
      <c r="C45" t="n">
        <v>398.107171</v>
      </c>
      <c r="D45" s="10" t="inlineStr">
        <is>
          <t>Cephalopods</t>
        </is>
      </c>
      <c r="E45" t="n">
        <v>0</v>
      </c>
      <c r="F45" t="n">
        <v>65.929169</v>
      </c>
      <c r="G45" t="n">
        <v>1.821994</v>
      </c>
      <c r="H45" t="n">
        <v>1.839433</v>
      </c>
      <c r="I45" t="n">
        <v>38.382342</v>
      </c>
      <c r="J45" t="n">
        <v>38.382342</v>
      </c>
      <c r="K45" t="n">
        <v>37.768225</v>
      </c>
      <c r="L45" t="n">
        <v>36.734327</v>
      </c>
      <c r="M45" t="n">
        <v>36.734327</v>
      </c>
      <c r="N45" t="n">
        <v>37.111337</v>
      </c>
      <c r="O45" t="n">
        <v>12.794003</v>
      </c>
      <c r="P45" t="n">
        <v>8.242232</v>
      </c>
      <c r="Q45" t="n">
        <v>37.111337</v>
      </c>
      <c r="R45" t="n">
        <v>36.734327</v>
      </c>
      <c r="S45" t="n">
        <v>12.794003</v>
      </c>
      <c r="T45" t="n">
        <v>12.794003</v>
      </c>
      <c r="U45" t="n">
        <v>8.242232</v>
      </c>
      <c r="V45" t="n">
        <v>8.242232</v>
      </c>
      <c r="W45" t="n">
        <v>12.757448</v>
      </c>
      <c r="X45" t="n">
        <v>38.53303</v>
      </c>
    </row>
    <row r="46" ht="21" customHeight="1">
      <c r="A46" t="inlineStr">
        <is>
          <t>Harpadon nehereus</t>
        </is>
      </c>
      <c r="B46" t="n">
        <v>4.2</v>
      </c>
      <c r="C46" t="n">
        <v>1584.893192</v>
      </c>
      <c r="D46" s="10" t="inlineStr">
        <is>
          <t>Bombay duck</t>
        </is>
      </c>
      <c r="E46" t="n">
        <v>0</v>
      </c>
      <c r="F46" t="n">
        <v>475.616645</v>
      </c>
      <c r="G46" t="n">
        <v>2.418044</v>
      </c>
      <c r="H46" t="n">
        <v>2.223977</v>
      </c>
      <c r="I46" t="n">
        <v>163.550723</v>
      </c>
      <c r="J46" t="n">
        <v>171.388581</v>
      </c>
      <c r="K46" t="n">
        <v>163.847484</v>
      </c>
      <c r="L46" t="n">
        <v>276.894756</v>
      </c>
      <c r="M46" t="n">
        <v>276.894756</v>
      </c>
      <c r="N46" t="n">
        <v>279.916961</v>
      </c>
      <c r="O46" t="n">
        <v>82.586051</v>
      </c>
      <c r="P46" t="n">
        <v>39.003364</v>
      </c>
      <c r="Q46" t="n">
        <v>279.916961</v>
      </c>
      <c r="R46" t="n">
        <v>276.894756</v>
      </c>
      <c r="S46" t="n">
        <v>82.586051</v>
      </c>
      <c r="T46" t="n">
        <v>82.586051</v>
      </c>
      <c r="U46" t="n">
        <v>39.003364</v>
      </c>
      <c r="V46" t="n">
        <v>39.003364</v>
      </c>
      <c r="W46" t="n">
        <v>82.572946</v>
      </c>
      <c r="X46" t="n">
        <v>277.056741</v>
      </c>
    </row>
    <row r="47" ht="21" customHeight="1">
      <c r="A47" t="inlineStr">
        <is>
          <t>Katsuwonus pelamis</t>
        </is>
      </c>
      <c r="B47" t="n">
        <v>4.43</v>
      </c>
      <c r="C47" t="n">
        <v>2691.534804</v>
      </c>
      <c r="D47" s="10" t="inlineStr">
        <is>
          <t>Piscivores</t>
        </is>
      </c>
      <c r="E47" t="n">
        <v>0</v>
      </c>
      <c r="F47" t="n">
        <v>304.388999</v>
      </c>
      <c r="G47" t="n">
        <v>2.268309</v>
      </c>
      <c r="H47" t="n">
        <v>2.300314</v>
      </c>
      <c r="I47" t="n">
        <v>249.259877</v>
      </c>
      <c r="J47" t="n">
        <v>251.428736</v>
      </c>
      <c r="K47" t="n">
        <v>202.148704</v>
      </c>
      <c r="L47" t="n">
        <v>282.597002</v>
      </c>
      <c r="M47" t="n">
        <v>282.597002</v>
      </c>
      <c r="N47" t="n">
        <v>286.033173</v>
      </c>
      <c r="O47" t="n">
        <v>49.797649</v>
      </c>
      <c r="P47" t="n">
        <v>25.643377</v>
      </c>
      <c r="Q47" t="n">
        <v>286.033173</v>
      </c>
      <c r="R47" t="n">
        <v>282.597002</v>
      </c>
      <c r="S47" t="n">
        <v>49.797649</v>
      </c>
      <c r="T47" t="n">
        <v>49.797649</v>
      </c>
      <c r="U47" t="n">
        <v>25.643377</v>
      </c>
      <c r="V47" t="n">
        <v>25.643377</v>
      </c>
      <c r="W47" t="n">
        <v>51.082514</v>
      </c>
      <c r="X47" t="n">
        <v>274.518943</v>
      </c>
    </row>
    <row r="48" ht="21" customHeight="1">
      <c r="A48" t="inlineStr">
        <is>
          <t>Cephalopoda</t>
        </is>
      </c>
      <c r="B48" t="n">
        <v>3.81</v>
      </c>
      <c r="C48" t="n">
        <v>645.654229</v>
      </c>
      <c r="D48" s="10" t="inlineStr">
        <is>
          <t>Cephalopods</t>
        </is>
      </c>
      <c r="E48" t="n">
        <v>0</v>
      </c>
      <c r="F48" t="n">
        <v>65.929169</v>
      </c>
      <c r="G48" t="n">
        <v>1.821994</v>
      </c>
      <c r="H48" t="n">
        <v>1.839433</v>
      </c>
      <c r="I48" t="n">
        <v>38.382342</v>
      </c>
      <c r="J48" t="n">
        <v>38.382342</v>
      </c>
      <c r="K48" t="n">
        <v>37.768225</v>
      </c>
      <c r="L48" t="n">
        <v>36.734327</v>
      </c>
      <c r="M48" t="n">
        <v>36.734327</v>
      </c>
      <c r="N48" t="n">
        <v>37.111337</v>
      </c>
      <c r="O48" t="n">
        <v>12.794003</v>
      </c>
      <c r="P48" t="n">
        <v>8.242232</v>
      </c>
      <c r="Q48" t="n">
        <v>37.111337</v>
      </c>
      <c r="R48" t="n">
        <v>36.734327</v>
      </c>
      <c r="S48" t="n">
        <v>12.794003</v>
      </c>
      <c r="T48" t="n">
        <v>12.794003</v>
      </c>
      <c r="U48" t="n">
        <v>8.242232</v>
      </c>
      <c r="V48" t="n">
        <v>8.242232</v>
      </c>
      <c r="W48" t="n">
        <v>12.757448</v>
      </c>
      <c r="X48" t="n">
        <v>38.53303</v>
      </c>
    </row>
    <row r="49" ht="21" customHeight="1">
      <c r="A49" t="inlineStr">
        <is>
          <t>Nemipteridae</t>
        </is>
      </c>
      <c r="B49" t="n">
        <v>3.51</v>
      </c>
      <c r="C49" t="n">
        <v>323.593657</v>
      </c>
      <c r="D49" s="10" t="inlineStr">
        <is>
          <t>Benthivores/piscivores</t>
        </is>
      </c>
      <c r="E49" t="n">
        <v>0</v>
      </c>
      <c r="F49" t="n">
        <v>136.120059</v>
      </c>
      <c r="G49" t="n">
        <v>2.021353</v>
      </c>
      <c r="H49" t="n">
        <v>2.039787</v>
      </c>
      <c r="I49" t="n">
        <v>36.046055</v>
      </c>
      <c r="J49" t="n">
        <v>36.076344</v>
      </c>
      <c r="K49" t="n">
        <v>35.535199</v>
      </c>
      <c r="L49" t="n">
        <v>34.759886</v>
      </c>
      <c r="M49" t="n">
        <v>34.759886</v>
      </c>
      <c r="N49" t="n">
        <v>35.313702</v>
      </c>
      <c r="O49" t="n">
        <v>13.890783</v>
      </c>
      <c r="P49" t="n">
        <v>8.319739999999999</v>
      </c>
      <c r="Q49" t="n">
        <v>35.313702</v>
      </c>
      <c r="R49" t="n">
        <v>34.759886</v>
      </c>
      <c r="S49" t="n">
        <v>13.890783</v>
      </c>
      <c r="T49" t="n">
        <v>13.890783</v>
      </c>
      <c r="U49" t="n">
        <v>8.319739999999999</v>
      </c>
      <c r="V49" t="n">
        <v>8.319739999999999</v>
      </c>
      <c r="W49" t="n">
        <v>14.220855</v>
      </c>
      <c r="X49" t="n">
        <v>35.767132</v>
      </c>
    </row>
    <row r="50" ht="21" customHeight="1">
      <c r="A50" t="inlineStr">
        <is>
          <t>Thunnus albacares</t>
        </is>
      </c>
      <c r="B50" t="n">
        <v>4.41</v>
      </c>
      <c r="C50" t="n">
        <v>2570.395783</v>
      </c>
      <c r="D50" s="10" t="inlineStr">
        <is>
          <t>Piscivores</t>
        </is>
      </c>
      <c r="E50" t="n">
        <v>0</v>
      </c>
      <c r="F50" t="n">
        <v>304.388999</v>
      </c>
      <c r="G50" t="n">
        <v>2.268309</v>
      </c>
      <c r="H50" t="n">
        <v>2.300314</v>
      </c>
      <c r="I50" t="n">
        <v>249.259877</v>
      </c>
      <c r="J50" t="n">
        <v>251.428736</v>
      </c>
      <c r="K50" t="n">
        <v>202.148704</v>
      </c>
      <c r="L50" t="n">
        <v>282.597002</v>
      </c>
      <c r="M50" t="n">
        <v>282.597002</v>
      </c>
      <c r="N50" t="n">
        <v>286.033173</v>
      </c>
      <c r="O50" t="n">
        <v>49.797649</v>
      </c>
      <c r="P50" t="n">
        <v>25.643377</v>
      </c>
      <c r="Q50" t="n">
        <v>286.033173</v>
      </c>
      <c r="R50" t="n">
        <v>282.597002</v>
      </c>
      <c r="S50" t="n">
        <v>49.797649</v>
      </c>
      <c r="T50" t="n">
        <v>49.797649</v>
      </c>
      <c r="U50" t="n">
        <v>25.643377</v>
      </c>
      <c r="V50" t="n">
        <v>25.643377</v>
      </c>
      <c r="W50" t="n">
        <v>51.082514</v>
      </c>
      <c r="X50" t="n">
        <v>274.518943</v>
      </c>
    </row>
    <row r="51" ht="21" customHeight="1">
      <c r="A51" t="inlineStr">
        <is>
          <t>Trachurus japonicus</t>
        </is>
      </c>
      <c r="B51" t="n">
        <v>3.4</v>
      </c>
      <c r="C51" t="n">
        <v>251.188643</v>
      </c>
      <c r="D51" s="10" t="inlineStr">
        <is>
          <t>Planktivores/piscivores</t>
        </is>
      </c>
      <c r="E51" t="n">
        <v>0</v>
      </c>
      <c r="F51" t="n">
        <v>123.077794</v>
      </c>
      <c r="G51" t="n">
        <v>1.992402</v>
      </c>
      <c r="H51" t="n">
        <v>1.97781</v>
      </c>
      <c r="I51" t="n">
        <v>560.299311</v>
      </c>
      <c r="J51" t="n">
        <v>592.272682</v>
      </c>
      <c r="K51" t="n">
        <v>209.072257</v>
      </c>
      <c r="L51" t="n">
        <v>660.166914</v>
      </c>
      <c r="M51" t="n">
        <v>660.166914</v>
      </c>
      <c r="N51" t="n">
        <v>670.165526</v>
      </c>
      <c r="O51" t="n">
        <v>72.857719</v>
      </c>
      <c r="P51" t="n">
        <v>43.071646</v>
      </c>
      <c r="Q51" t="n">
        <v>670.165526</v>
      </c>
      <c r="R51" t="n">
        <v>660.166914</v>
      </c>
      <c r="S51" t="n">
        <v>72.857719</v>
      </c>
      <c r="T51" t="n">
        <v>72.857719</v>
      </c>
      <c r="U51" t="n">
        <v>43.071646</v>
      </c>
      <c r="V51" t="n">
        <v>43.071646</v>
      </c>
      <c r="W51" t="n">
        <v>75.193746</v>
      </c>
      <c r="X51" t="n">
        <v>683.804243</v>
      </c>
    </row>
    <row r="52" ht="21" customHeight="1">
      <c r="A52" t="inlineStr">
        <is>
          <t>Rhopilema esculentum</t>
        </is>
      </c>
      <c r="B52" t="n">
        <v>3.01</v>
      </c>
      <c r="C52" t="n">
        <v>102.329299</v>
      </c>
      <c r="D52" s="10" t="inlineStr">
        <is>
          <t>Other invertebrates</t>
        </is>
      </c>
      <c r="E52" t="n">
        <v>0</v>
      </c>
      <c r="F52" t="n">
        <v>10</v>
      </c>
      <c r="G52" t="n">
        <v>1.39069</v>
      </c>
      <c r="H52" t="n">
        <v>1.39069</v>
      </c>
      <c r="I52" t="n">
        <v>14.61039</v>
      </c>
      <c r="J52" t="n">
        <v>14.61039</v>
      </c>
      <c r="K52" t="n">
        <v>9</v>
      </c>
      <c r="L52" t="n">
        <v>13.760094</v>
      </c>
      <c r="M52" t="n">
        <v>13.760094</v>
      </c>
      <c r="N52" t="n">
        <v>13.94977</v>
      </c>
      <c r="O52" t="n">
        <v>9.664044000000001</v>
      </c>
      <c r="P52" t="n">
        <v>7.828167</v>
      </c>
      <c r="Q52" t="n">
        <v>13.94977</v>
      </c>
      <c r="R52" t="n">
        <v>13.760094</v>
      </c>
      <c r="S52" t="n">
        <v>9.664044000000001</v>
      </c>
      <c r="T52" t="n">
        <v>9.664044000000001</v>
      </c>
      <c r="U52" t="n">
        <v>7.828167</v>
      </c>
      <c r="V52" t="n">
        <v>7.828167</v>
      </c>
      <c r="W52" t="n">
        <v>9.661211</v>
      </c>
      <c r="X52" t="n">
        <v>13.78907</v>
      </c>
    </row>
    <row r="53" ht="21" customHeight="1">
      <c r="A53" t="inlineStr">
        <is>
          <t>Mugil cephalus</t>
        </is>
      </c>
      <c r="B53" t="n">
        <v>2.14</v>
      </c>
      <c r="C53" t="n">
        <v>13.803843</v>
      </c>
      <c r="D53" s="10" t="inlineStr">
        <is>
          <t>Benthivores</t>
        </is>
      </c>
      <c r="E53" t="n">
        <v>0</v>
      </c>
      <c r="F53" t="n">
        <v>67.81478300000001</v>
      </c>
      <c r="G53" t="n">
        <v>1.829368</v>
      </c>
      <c r="H53" t="n">
        <v>1.84033</v>
      </c>
      <c r="I53" t="n">
        <v>33.988491</v>
      </c>
      <c r="J53" t="n">
        <v>35.780255</v>
      </c>
      <c r="K53" t="n">
        <v>35.601354</v>
      </c>
      <c r="L53" t="n">
        <v>385.228839</v>
      </c>
      <c r="M53" t="n">
        <v>385.228839</v>
      </c>
      <c r="N53" t="n">
        <v>391.588003</v>
      </c>
      <c r="O53" t="n">
        <v>16.66963</v>
      </c>
      <c r="P53" t="n">
        <v>9.973879999999999</v>
      </c>
      <c r="Q53" t="n">
        <v>391.588003</v>
      </c>
      <c r="R53" t="n">
        <v>385.228839</v>
      </c>
      <c r="S53" t="n">
        <v>16.66963</v>
      </c>
      <c r="T53" t="n">
        <v>16.66963</v>
      </c>
      <c r="U53" t="n">
        <v>9.973879999999999</v>
      </c>
      <c r="V53" t="n">
        <v>9.973879999999999</v>
      </c>
      <c r="W53" t="n">
        <v>17.246706</v>
      </c>
      <c r="X53" t="n">
        <v>42.474741</v>
      </c>
    </row>
    <row r="54" ht="21" customHeight="1">
      <c r="A54" t="inlineStr">
        <is>
          <t>Dendrobranchiata</t>
        </is>
      </c>
      <c r="B54" t="n">
        <v>3.24</v>
      </c>
      <c r="C54" t="n">
        <v>173.780083</v>
      </c>
      <c r="D54" s="10" t="inlineStr">
        <is>
          <t>Shrimps</t>
        </is>
      </c>
      <c r="E54" t="n">
        <v>0</v>
      </c>
      <c r="F54" t="n">
        <v>20.606299</v>
      </c>
      <c r="G54" t="n">
        <v>1.542427</v>
      </c>
      <c r="H54" t="n">
        <v>1.561295</v>
      </c>
      <c r="I54" t="n">
        <v>15.075177</v>
      </c>
      <c r="J54" t="n">
        <v>15.075177</v>
      </c>
      <c r="K54" t="n">
        <v>15.060102</v>
      </c>
      <c r="L54" t="n">
        <v>13.927162</v>
      </c>
      <c r="M54" t="n">
        <v>13.927162</v>
      </c>
      <c r="N54" t="n">
        <v>14.183251</v>
      </c>
      <c r="O54" t="n">
        <v>7.969433</v>
      </c>
      <c r="P54" t="n">
        <v>5.681336</v>
      </c>
      <c r="Q54" t="n">
        <v>14.183251</v>
      </c>
      <c r="R54" t="n">
        <v>13.927162</v>
      </c>
      <c r="S54" t="n">
        <v>7.969433</v>
      </c>
      <c r="T54" t="n">
        <v>7.969433</v>
      </c>
      <c r="U54" t="n">
        <v>5.681336</v>
      </c>
      <c r="V54" t="n">
        <v>5.681336</v>
      </c>
      <c r="W54" t="n">
        <v>8.136905</v>
      </c>
      <c r="X54" t="n">
        <v>14.885026</v>
      </c>
    </row>
    <row r="55" ht="21" customHeight="1">
      <c r="A55" t="inlineStr">
        <is>
          <t>Pagrus major</t>
        </is>
      </c>
      <c r="B55" t="n">
        <v>3.7</v>
      </c>
      <c r="C55" t="n">
        <v>501.187234</v>
      </c>
      <c r="D55" s="10" t="inlineStr">
        <is>
          <t>Omnivores</t>
        </is>
      </c>
      <c r="E55" t="n">
        <v>0</v>
      </c>
      <c r="F55" t="n">
        <v>131.221463</v>
      </c>
      <c r="G55" t="n">
        <v>2.01077</v>
      </c>
      <c r="H55" t="n">
        <v>2.036134</v>
      </c>
      <c r="I55" t="n">
        <v>66.04435700000001</v>
      </c>
      <c r="J55" t="n">
        <v>68.25582300000001</v>
      </c>
      <c r="K55" t="n">
        <v>68.187568</v>
      </c>
      <c r="L55" t="n">
        <v>72.544996</v>
      </c>
      <c r="M55" t="n">
        <v>72.544996</v>
      </c>
      <c r="N55" t="n">
        <v>73.57283200000001</v>
      </c>
      <c r="O55" t="n">
        <v>17.500018</v>
      </c>
      <c r="P55" t="n">
        <v>10.032554</v>
      </c>
      <c r="Q55" t="n">
        <v>73.57283200000001</v>
      </c>
      <c r="R55" t="n">
        <v>72.544996</v>
      </c>
      <c r="S55" t="n">
        <v>17.500018</v>
      </c>
      <c r="T55" t="n">
        <v>17.500018</v>
      </c>
      <c r="U55" t="n">
        <v>10.032554</v>
      </c>
      <c r="V55" t="n">
        <v>10.032554</v>
      </c>
      <c r="W55" t="n">
        <v>17.704629</v>
      </c>
      <c r="X55" t="n">
        <v>72.854687</v>
      </c>
    </row>
    <row r="56" ht="21" customHeight="1">
      <c r="A56" t="inlineStr">
        <is>
          <t>Decapoda</t>
        </is>
      </c>
      <c r="B56" t="n">
        <v>3.43</v>
      </c>
      <c r="C56" t="n">
        <v>269.15348</v>
      </c>
      <c r="D56" s="10" t="inlineStr">
        <is>
          <t>Crabs | Shrimps</t>
        </is>
      </c>
      <c r="E56" t="n">
        <v>0</v>
      </c>
      <c r="F56" t="n">
        <v>20.706252</v>
      </c>
      <c r="G56" t="n">
        <v>1.54349</v>
      </c>
      <c r="H56" t="n">
        <v>1.562479</v>
      </c>
      <c r="I56" t="n">
        <v>14.308705</v>
      </c>
      <c r="J56" t="n">
        <v>14.308705</v>
      </c>
      <c r="K56" t="n">
        <v>14.042094</v>
      </c>
      <c r="L56" t="n">
        <v>13.196282</v>
      </c>
      <c r="M56" t="n">
        <v>13.196282</v>
      </c>
      <c r="N56" t="n">
        <v>13.444431</v>
      </c>
      <c r="O56" t="n">
        <v>7.849897</v>
      </c>
      <c r="P56" t="n">
        <v>5.562855</v>
      </c>
      <c r="Q56" t="n">
        <v>13.444431</v>
      </c>
      <c r="R56" t="n">
        <v>13.196282</v>
      </c>
      <c r="S56" t="n">
        <v>7.849897</v>
      </c>
      <c r="T56" t="n">
        <v>7.849897</v>
      </c>
      <c r="U56" t="n">
        <v>5.562855</v>
      </c>
      <c r="V56" t="n">
        <v>5.562855</v>
      </c>
      <c r="W56" t="n">
        <v>7.985273</v>
      </c>
      <c r="X56" t="n">
        <v>13.913077</v>
      </c>
    </row>
    <row r="57" ht="21" customHeight="1">
      <c r="A57" t="inlineStr">
        <is>
          <t>Turbo cornutus</t>
        </is>
      </c>
      <c r="B57" t="n">
        <v>2</v>
      </c>
      <c r="C57" t="n">
        <v>10</v>
      </c>
      <c r="D57" s="10" t="inlineStr">
        <is>
          <t>Mollusks</t>
        </is>
      </c>
      <c r="E57" t="n">
        <v>0</v>
      </c>
      <c r="F57" t="n">
        <v>14.497407</v>
      </c>
      <c r="G57" t="n">
        <v>1.466668</v>
      </c>
      <c r="H57" t="n">
        <v>1.466497</v>
      </c>
      <c r="I57" t="n">
        <v>17.850747</v>
      </c>
      <c r="J57" t="n">
        <v>17.850747</v>
      </c>
      <c r="K57" t="n">
        <v>5.355224</v>
      </c>
      <c r="L57" t="n">
        <v>17.186608</v>
      </c>
      <c r="M57" t="n">
        <v>17.186608</v>
      </c>
      <c r="N57" t="n">
        <v>17.598965</v>
      </c>
      <c r="O57" t="n">
        <v>3.995111</v>
      </c>
      <c r="P57" t="n">
        <v>2.967513</v>
      </c>
      <c r="Q57" t="n">
        <v>17.598965</v>
      </c>
      <c r="R57" t="n">
        <v>17.186608</v>
      </c>
      <c r="S57" t="n">
        <v>3.995111</v>
      </c>
      <c r="T57" t="n">
        <v>3.995111</v>
      </c>
      <c r="U57" t="n">
        <v>2.967513</v>
      </c>
      <c r="V57" t="n">
        <v>2.967513</v>
      </c>
      <c r="W57" t="n">
        <v>3.990277</v>
      </c>
      <c r="X57" t="n">
        <v>17.941416</v>
      </c>
    </row>
    <row r="58" ht="21" customHeight="1">
      <c r="A58" t="inlineStr">
        <is>
          <t>Conger myriaster</t>
        </is>
      </c>
      <c r="B58" t="n">
        <v>3.98</v>
      </c>
      <c r="C58" t="n">
        <v>954.992586</v>
      </c>
      <c r="D58" s="10" t="inlineStr">
        <is>
          <t>Benthivores/piscivores</t>
        </is>
      </c>
      <c r="E58" t="n">
        <v>0</v>
      </c>
      <c r="F58" t="n">
        <v>136.120059</v>
      </c>
      <c r="G58" t="n">
        <v>2.021353</v>
      </c>
      <c r="H58" t="n">
        <v>2.039787</v>
      </c>
      <c r="I58" t="n">
        <v>36.046055</v>
      </c>
      <c r="J58" t="n">
        <v>36.076344</v>
      </c>
      <c r="K58" t="n">
        <v>35.535199</v>
      </c>
      <c r="L58" t="n">
        <v>34.759886</v>
      </c>
      <c r="M58" t="n">
        <v>34.759886</v>
      </c>
      <c r="N58" t="n">
        <v>35.313702</v>
      </c>
      <c r="O58" t="n">
        <v>13.890783</v>
      </c>
      <c r="P58" t="n">
        <v>8.319739999999999</v>
      </c>
      <c r="Q58" t="n">
        <v>35.313702</v>
      </c>
      <c r="R58" t="n">
        <v>34.759886</v>
      </c>
      <c r="S58" t="n">
        <v>13.890783</v>
      </c>
      <c r="T58" t="n">
        <v>13.890783</v>
      </c>
      <c r="U58" t="n">
        <v>8.319739999999999</v>
      </c>
      <c r="V58" t="n">
        <v>8.319739999999999</v>
      </c>
      <c r="W58" t="n">
        <v>14.220855</v>
      </c>
      <c r="X58" t="n">
        <v>35.767132</v>
      </c>
    </row>
    <row r="59" ht="36" customHeight="1">
      <c r="A59" t="inlineStr">
        <is>
          <t>Congridae</t>
        </is>
      </c>
      <c r="B59" t="n">
        <v>4.18</v>
      </c>
      <c r="C59" t="n">
        <v>1513.561248</v>
      </c>
      <c r="D59" s="10" t="inlineStr">
        <is>
          <t>Benthivores | Benthivores/piscivores</t>
        </is>
      </c>
      <c r="E59" t="n">
        <v>0</v>
      </c>
      <c r="F59" t="n">
        <v>105.627174</v>
      </c>
      <c r="G59" t="n">
        <v>1.935647</v>
      </c>
      <c r="H59" t="n">
        <v>1.950745</v>
      </c>
      <c r="I59" t="n">
        <v>35.127516</v>
      </c>
      <c r="J59" t="n">
        <v>35.944164</v>
      </c>
      <c r="K59" t="n">
        <v>35.564732</v>
      </c>
      <c r="L59" t="n">
        <v>191.216462</v>
      </c>
      <c r="M59" t="n">
        <v>191.216462</v>
      </c>
      <c r="N59" t="n">
        <v>194.361905</v>
      </c>
      <c r="O59" t="n">
        <v>15.131318</v>
      </c>
      <c r="P59" t="n">
        <v>9.058182</v>
      </c>
      <c r="Q59" t="n">
        <v>194.361905</v>
      </c>
      <c r="R59" t="n">
        <v>191.216462</v>
      </c>
      <c r="S59" t="n">
        <v>15.131318</v>
      </c>
      <c r="T59" t="n">
        <v>15.131318</v>
      </c>
      <c r="U59" t="n">
        <v>9.058182</v>
      </c>
      <c r="V59" t="n">
        <v>9.058182</v>
      </c>
      <c r="W59" t="n">
        <v>15.571657</v>
      </c>
      <c r="X59" t="n">
        <v>38.761547</v>
      </c>
    </row>
    <row r="60" ht="21" customHeight="1">
      <c r="A60" t="inlineStr">
        <is>
          <t>Seriola</t>
        </is>
      </c>
      <c r="B60" t="n">
        <v>4.39</v>
      </c>
      <c r="C60" t="n">
        <v>2454.708916</v>
      </c>
      <c r="D60" s="10" t="inlineStr">
        <is>
          <t>Piscivores</t>
        </is>
      </c>
      <c r="E60" t="n">
        <v>0</v>
      </c>
      <c r="F60" t="n">
        <v>304.388999</v>
      </c>
      <c r="G60" t="n">
        <v>2.268309</v>
      </c>
      <c r="H60" t="n">
        <v>2.300314</v>
      </c>
      <c r="I60" t="n">
        <v>249.259877</v>
      </c>
      <c r="J60" t="n">
        <v>251.428736</v>
      </c>
      <c r="K60" t="n">
        <v>202.148704</v>
      </c>
      <c r="L60" t="n">
        <v>282.597002</v>
      </c>
      <c r="M60" t="n">
        <v>282.597002</v>
      </c>
      <c r="N60" t="n">
        <v>286.033173</v>
      </c>
      <c r="O60" t="n">
        <v>49.797649</v>
      </c>
      <c r="P60" t="n">
        <v>25.643377</v>
      </c>
      <c r="Q60" t="n">
        <v>286.033173</v>
      </c>
      <c r="R60" t="n">
        <v>282.597002</v>
      </c>
      <c r="S60" t="n">
        <v>49.797649</v>
      </c>
      <c r="T60" t="n">
        <v>49.797649</v>
      </c>
      <c r="U60" t="n">
        <v>25.643377</v>
      </c>
      <c r="V60" t="n">
        <v>25.643377</v>
      </c>
      <c r="W60" t="n">
        <v>51.082514</v>
      </c>
      <c r="X60" t="n">
        <v>274.518943</v>
      </c>
    </row>
    <row r="61" ht="21" customHeight="1">
      <c r="A61" t="inlineStr">
        <is>
          <t>Ilisha elongata</t>
        </is>
      </c>
      <c r="B61" t="n">
        <v>3.79</v>
      </c>
      <c r="C61" t="n">
        <v>616.595002</v>
      </c>
      <c r="D61" s="10" t="inlineStr">
        <is>
          <t>Omnivores</t>
        </is>
      </c>
      <c r="E61" t="n">
        <v>0</v>
      </c>
      <c r="F61" t="n">
        <v>131.221463</v>
      </c>
      <c r="G61" t="n">
        <v>2.01077</v>
      </c>
      <c r="H61" t="n">
        <v>2.036134</v>
      </c>
      <c r="I61" t="n">
        <v>66.04435700000001</v>
      </c>
      <c r="J61" t="n">
        <v>68.25582300000001</v>
      </c>
      <c r="K61" t="n">
        <v>68.187568</v>
      </c>
      <c r="L61" t="n">
        <v>72.544996</v>
      </c>
      <c r="M61" t="n">
        <v>72.544996</v>
      </c>
      <c r="N61" t="n">
        <v>73.57283200000001</v>
      </c>
      <c r="O61" t="n">
        <v>17.500018</v>
      </c>
      <c r="P61" t="n">
        <v>10.032554</v>
      </c>
      <c r="Q61" t="n">
        <v>73.57283200000001</v>
      </c>
      <c r="R61" t="n">
        <v>72.544996</v>
      </c>
      <c r="S61" t="n">
        <v>17.500018</v>
      </c>
      <c r="T61" t="n">
        <v>17.500018</v>
      </c>
      <c r="U61" t="n">
        <v>10.032554</v>
      </c>
      <c r="V61" t="n">
        <v>10.032554</v>
      </c>
      <c r="W61" t="n">
        <v>17.704629</v>
      </c>
      <c r="X61" t="n">
        <v>72.854687</v>
      </c>
    </row>
    <row r="62" ht="21" customHeight="1">
      <c r="A62" t="inlineStr">
        <is>
          <t>Sebastes</t>
        </is>
      </c>
      <c r="B62" t="n">
        <v>3.79</v>
      </c>
      <c r="C62" t="n">
        <v>616.595002</v>
      </c>
      <c r="D62" s="10" t="inlineStr">
        <is>
          <t>Benthivores/piscivores</t>
        </is>
      </c>
      <c r="E62" t="n">
        <v>0</v>
      </c>
      <c r="F62" t="n">
        <v>136.120059</v>
      </c>
      <c r="G62" t="n">
        <v>2.021353</v>
      </c>
      <c r="H62" t="n">
        <v>2.039787</v>
      </c>
      <c r="I62" t="n">
        <v>36.046055</v>
      </c>
      <c r="J62" t="n">
        <v>36.076344</v>
      </c>
      <c r="K62" t="n">
        <v>35.535199</v>
      </c>
      <c r="L62" t="n">
        <v>34.759886</v>
      </c>
      <c r="M62" t="n">
        <v>34.759886</v>
      </c>
      <c r="N62" t="n">
        <v>35.313702</v>
      </c>
      <c r="O62" t="n">
        <v>13.890783</v>
      </c>
      <c r="P62" t="n">
        <v>8.319739999999999</v>
      </c>
      <c r="Q62" t="n">
        <v>35.313702</v>
      </c>
      <c r="R62" t="n">
        <v>34.759886</v>
      </c>
      <c r="S62" t="n">
        <v>13.890783</v>
      </c>
      <c r="T62" t="n">
        <v>13.890783</v>
      </c>
      <c r="U62" t="n">
        <v>8.319739999999999</v>
      </c>
      <c r="V62" t="n">
        <v>8.319739999999999</v>
      </c>
      <c r="W62" t="n">
        <v>14.220855</v>
      </c>
      <c r="X62" t="n">
        <v>35.767132</v>
      </c>
    </row>
    <row r="63" ht="21" customHeight="1">
      <c r="A63" t="inlineStr">
        <is>
          <t>Epinephelus</t>
        </is>
      </c>
      <c r="B63" t="n">
        <v>3.84</v>
      </c>
      <c r="C63" t="n">
        <v>691.830971</v>
      </c>
      <c r="D63" s="10" t="inlineStr">
        <is>
          <t>Piscivores</t>
        </is>
      </c>
      <c r="E63" t="n">
        <v>0</v>
      </c>
      <c r="F63" t="n">
        <v>304.388999</v>
      </c>
      <c r="G63" t="n">
        <v>2.268309</v>
      </c>
      <c r="H63" t="n">
        <v>2.300314</v>
      </c>
      <c r="I63" t="n">
        <v>249.259877</v>
      </c>
      <c r="J63" t="n">
        <v>251.428736</v>
      </c>
      <c r="K63" t="n">
        <v>202.148704</v>
      </c>
      <c r="L63" t="n">
        <v>282.597002</v>
      </c>
      <c r="M63" t="n">
        <v>282.597002</v>
      </c>
      <c r="N63" t="n">
        <v>286.033173</v>
      </c>
      <c r="O63" t="n">
        <v>49.797649</v>
      </c>
      <c r="P63" t="n">
        <v>25.643377</v>
      </c>
      <c r="Q63" t="n">
        <v>286.033173</v>
      </c>
      <c r="R63" t="n">
        <v>282.597002</v>
      </c>
      <c r="S63" t="n">
        <v>49.797649</v>
      </c>
      <c r="T63" t="n">
        <v>49.797649</v>
      </c>
      <c r="U63" t="n">
        <v>25.643377</v>
      </c>
      <c r="V63" t="n">
        <v>25.643377</v>
      </c>
      <c r="W63" t="n">
        <v>51.082514</v>
      </c>
      <c r="X63" t="n">
        <v>274.518943</v>
      </c>
    </row>
    <row r="64" ht="21" customHeight="1">
      <c r="A64" t="inlineStr">
        <is>
          <t>Loliginidae</t>
        </is>
      </c>
      <c r="B64" t="n">
        <v>3.9</v>
      </c>
      <c r="C64" t="n">
        <v>794.3282349999999</v>
      </c>
      <c r="D64" s="10" t="inlineStr">
        <is>
          <t>Cephalopods</t>
        </is>
      </c>
      <c r="E64" t="n">
        <v>0</v>
      </c>
      <c r="F64" t="n">
        <v>65.929169</v>
      </c>
      <c r="G64" t="n">
        <v>1.821994</v>
      </c>
      <c r="H64" t="n">
        <v>1.839433</v>
      </c>
      <c r="I64" t="n">
        <v>38.382342</v>
      </c>
      <c r="J64" t="n">
        <v>38.382342</v>
      </c>
      <c r="K64" t="n">
        <v>37.768225</v>
      </c>
      <c r="L64" t="n">
        <v>36.734327</v>
      </c>
      <c r="M64" t="n">
        <v>36.734327</v>
      </c>
      <c r="N64" t="n">
        <v>37.111337</v>
      </c>
      <c r="O64" t="n">
        <v>12.794003</v>
      </c>
      <c r="P64" t="n">
        <v>8.242232</v>
      </c>
      <c r="Q64" t="n">
        <v>37.111337</v>
      </c>
      <c r="R64" t="n">
        <v>36.734327</v>
      </c>
      <c r="S64" t="n">
        <v>12.794003</v>
      </c>
      <c r="T64" t="n">
        <v>12.794003</v>
      </c>
      <c r="U64" t="n">
        <v>8.242232</v>
      </c>
      <c r="V64" t="n">
        <v>8.242232</v>
      </c>
      <c r="W64" t="n">
        <v>12.757448</v>
      </c>
      <c r="X64" t="n">
        <v>38.53303</v>
      </c>
    </row>
    <row r="65" ht="21" customHeight="1">
      <c r="A65" t="inlineStr">
        <is>
          <t>Stromateidae</t>
        </is>
      </c>
      <c r="B65" t="n">
        <v>3.62</v>
      </c>
      <c r="C65" t="n">
        <v>416.869383</v>
      </c>
      <c r="D65" s="10" t="inlineStr">
        <is>
          <t>Planktivores/piscivores</t>
        </is>
      </c>
      <c r="E65" t="n">
        <v>0</v>
      </c>
      <c r="F65" t="n">
        <v>123.077794</v>
      </c>
      <c r="G65" t="n">
        <v>1.992402</v>
      </c>
      <c r="H65" t="n">
        <v>1.97781</v>
      </c>
      <c r="I65" t="n">
        <v>560.299311</v>
      </c>
      <c r="J65" t="n">
        <v>592.272682</v>
      </c>
      <c r="K65" t="n">
        <v>209.072257</v>
      </c>
      <c r="L65" t="n">
        <v>660.166914</v>
      </c>
      <c r="M65" t="n">
        <v>660.166914</v>
      </c>
      <c r="N65" t="n">
        <v>670.165526</v>
      </c>
      <c r="O65" t="n">
        <v>72.857719</v>
      </c>
      <c r="P65" t="n">
        <v>43.071646</v>
      </c>
      <c r="Q65" t="n">
        <v>670.165526</v>
      </c>
      <c r="R65" t="n">
        <v>660.166914</v>
      </c>
      <c r="S65" t="n">
        <v>72.857719</v>
      </c>
      <c r="T65" t="n">
        <v>72.857719</v>
      </c>
      <c r="U65" t="n">
        <v>43.071646</v>
      </c>
      <c r="V65" t="n">
        <v>43.071646</v>
      </c>
      <c r="W65" t="n">
        <v>75.193746</v>
      </c>
      <c r="X65" t="n">
        <v>683.804243</v>
      </c>
    </row>
    <row r="66" ht="21" customHeight="1">
      <c r="A66" t="inlineStr">
        <is>
          <t>Brachyura</t>
        </is>
      </c>
      <c r="B66" t="n">
        <v>2.6</v>
      </c>
      <c r="C66" t="n">
        <v>39.810717</v>
      </c>
      <c r="D66" s="10" t="inlineStr">
        <is>
          <t>Crabs</t>
        </is>
      </c>
      <c r="E66" t="n">
        <v>0</v>
      </c>
      <c r="F66" t="n">
        <v>21.002175</v>
      </c>
      <c r="G66" t="n">
        <v>1.546636</v>
      </c>
      <c r="H66" t="n">
        <v>1.565985</v>
      </c>
      <c r="I66" t="n">
        <v>12.039474</v>
      </c>
      <c r="J66" t="n">
        <v>12.039474</v>
      </c>
      <c r="K66" t="n">
        <v>11.028158</v>
      </c>
      <c r="L66" t="n">
        <v>11.032425</v>
      </c>
      <c r="M66" t="n">
        <v>11.032425</v>
      </c>
      <c r="N66" t="n">
        <v>11.257068</v>
      </c>
      <c r="O66" t="n">
        <v>7.495998</v>
      </c>
      <c r="P66" t="n">
        <v>5.212079</v>
      </c>
      <c r="Q66" t="n">
        <v>11.257068</v>
      </c>
      <c r="R66" t="n">
        <v>11.032425</v>
      </c>
      <c r="S66" t="n">
        <v>7.495998</v>
      </c>
      <c r="T66" t="n">
        <v>7.495998</v>
      </c>
      <c r="U66" t="n">
        <v>5.212079</v>
      </c>
      <c r="V66" t="n">
        <v>5.212079</v>
      </c>
      <c r="W66" t="n">
        <v>7.53635</v>
      </c>
      <c r="X66" t="n">
        <v>11.035506</v>
      </c>
    </row>
    <row r="67" ht="21" customHeight="1">
      <c r="A67" t="inlineStr">
        <is>
          <t>Octopodidae</t>
        </is>
      </c>
      <c r="B67" t="n">
        <v>3.59</v>
      </c>
      <c r="C67" t="n">
        <v>389.045145</v>
      </c>
      <c r="D67" s="10" t="inlineStr">
        <is>
          <t>Cephalopods</t>
        </is>
      </c>
      <c r="E67" t="n">
        <v>0</v>
      </c>
      <c r="F67" t="n">
        <v>65.929169</v>
      </c>
      <c r="G67" t="n">
        <v>1.821994</v>
      </c>
      <c r="H67" t="n">
        <v>1.839433</v>
      </c>
      <c r="I67" t="n">
        <v>38.382342</v>
      </c>
      <c r="J67" t="n">
        <v>38.382342</v>
      </c>
      <c r="K67" t="n">
        <v>37.768225</v>
      </c>
      <c r="L67" t="n">
        <v>36.734327</v>
      </c>
      <c r="M67" t="n">
        <v>36.734327</v>
      </c>
      <c r="N67" t="n">
        <v>37.111337</v>
      </c>
      <c r="O67" t="n">
        <v>12.794003</v>
      </c>
      <c r="P67" t="n">
        <v>8.242232</v>
      </c>
      <c r="Q67" t="n">
        <v>37.111337</v>
      </c>
      <c r="R67" t="n">
        <v>36.734327</v>
      </c>
      <c r="S67" t="n">
        <v>12.794003</v>
      </c>
      <c r="T67" t="n">
        <v>12.794003</v>
      </c>
      <c r="U67" t="n">
        <v>8.242232</v>
      </c>
      <c r="V67" t="n">
        <v>8.242232</v>
      </c>
      <c r="W67" t="n">
        <v>12.757448</v>
      </c>
      <c r="X67" t="n">
        <v>38.53303</v>
      </c>
    </row>
    <row r="68" ht="21" customHeight="1">
      <c r="A68" t="inlineStr">
        <is>
          <t>Clupeidae</t>
        </is>
      </c>
      <c r="B68" t="n">
        <v>3.16</v>
      </c>
      <c r="C68" t="n">
        <v>144.543977</v>
      </c>
      <c r="D68" s="10" t="inlineStr">
        <is>
          <t>Planktivores</t>
        </is>
      </c>
      <c r="E68" t="n">
        <v>0</v>
      </c>
      <c r="F68" t="n">
        <v>100.997642</v>
      </c>
      <c r="G68" t="n">
        <v>1.93677</v>
      </c>
      <c r="H68" t="n">
        <v>1.93149</v>
      </c>
      <c r="I68" t="n">
        <v>53.479795</v>
      </c>
      <c r="J68" t="n">
        <v>53.479795</v>
      </c>
      <c r="K68" t="n">
        <v>53.372836</v>
      </c>
      <c r="L68" t="n">
        <v>51.741399</v>
      </c>
      <c r="M68" t="n">
        <v>51.741399</v>
      </c>
      <c r="N68" t="n">
        <v>52.283119</v>
      </c>
      <c r="O68" t="n">
        <v>17.749881</v>
      </c>
      <c r="P68" t="n">
        <v>11.404035</v>
      </c>
      <c r="Q68" t="n">
        <v>52.283119</v>
      </c>
      <c r="R68" t="n">
        <v>51.741399</v>
      </c>
      <c r="S68" t="n">
        <v>17.749881</v>
      </c>
      <c r="T68" t="n">
        <v>17.749881</v>
      </c>
      <c r="U68" t="n">
        <v>11.404035</v>
      </c>
      <c r="V68" t="n">
        <v>11.404035</v>
      </c>
      <c r="W68" t="n">
        <v>17.839302</v>
      </c>
      <c r="X68" t="n">
        <v>54.129601</v>
      </c>
    </row>
    <row r="69" ht="21" customHeight="1">
      <c r="A69" t="inlineStr">
        <is>
          <t>Ammodytes personatus</t>
        </is>
      </c>
      <c r="B69" t="n">
        <v>3</v>
      </c>
      <c r="C69" t="n">
        <v>100</v>
      </c>
      <c r="D69" s="10" t="inlineStr">
        <is>
          <t>Planktivores</t>
        </is>
      </c>
      <c r="E69" t="n">
        <v>0</v>
      </c>
      <c r="F69" t="n">
        <v>100.997642</v>
      </c>
      <c r="G69" t="n">
        <v>1.93677</v>
      </c>
      <c r="H69" t="n">
        <v>1.93149</v>
      </c>
      <c r="I69" t="n">
        <v>53.479795</v>
      </c>
      <c r="J69" t="n">
        <v>53.479795</v>
      </c>
      <c r="K69" t="n">
        <v>53.372836</v>
      </c>
      <c r="L69" t="n">
        <v>51.741399</v>
      </c>
      <c r="M69" t="n">
        <v>51.741399</v>
      </c>
      <c r="N69" t="n">
        <v>52.283119</v>
      </c>
      <c r="O69" t="n">
        <v>17.749881</v>
      </c>
      <c r="P69" t="n">
        <v>11.404035</v>
      </c>
      <c r="Q69" t="n">
        <v>52.283119</v>
      </c>
      <c r="R69" t="n">
        <v>51.741399</v>
      </c>
      <c r="S69" t="n">
        <v>17.749881</v>
      </c>
      <c r="T69" t="n">
        <v>17.749881</v>
      </c>
      <c r="U69" t="n">
        <v>11.404035</v>
      </c>
      <c r="V69" t="n">
        <v>11.404035</v>
      </c>
      <c r="W69" t="n">
        <v>17.839302</v>
      </c>
      <c r="X69" t="n">
        <v>54.129601</v>
      </c>
    </row>
    <row r="70" ht="21" customHeight="1">
      <c r="A70" t="inlineStr">
        <is>
          <t>Ruditapes philippinarum</t>
        </is>
      </c>
      <c r="B70" t="n">
        <v>2</v>
      </c>
      <c r="C70" t="n">
        <v>10</v>
      </c>
      <c r="D70" s="10" t="inlineStr">
        <is>
          <t>Mollusks</t>
        </is>
      </c>
      <c r="E70" t="n">
        <v>0</v>
      </c>
      <c r="F70" t="n">
        <v>14.497407</v>
      </c>
      <c r="G70" t="n">
        <v>1.466668</v>
      </c>
      <c r="H70" t="n">
        <v>1.466497</v>
      </c>
      <c r="I70" t="n">
        <v>17.850747</v>
      </c>
      <c r="J70" t="n">
        <v>17.850747</v>
      </c>
      <c r="K70" t="n">
        <v>5.355224</v>
      </c>
      <c r="L70" t="n">
        <v>17.186608</v>
      </c>
      <c r="M70" t="n">
        <v>17.186608</v>
      </c>
      <c r="N70" t="n">
        <v>17.598965</v>
      </c>
      <c r="O70" t="n">
        <v>3.995111</v>
      </c>
      <c r="P70" t="n">
        <v>2.967513</v>
      </c>
      <c r="Q70" t="n">
        <v>17.598965</v>
      </c>
      <c r="R70" t="n">
        <v>17.186608</v>
      </c>
      <c r="S70" t="n">
        <v>3.995111</v>
      </c>
      <c r="T70" t="n">
        <v>3.995111</v>
      </c>
      <c r="U70" t="n">
        <v>2.967513</v>
      </c>
      <c r="V70" t="n">
        <v>2.967513</v>
      </c>
      <c r="W70" t="n">
        <v>3.990277</v>
      </c>
      <c r="X70" t="n">
        <v>17.941416</v>
      </c>
    </row>
    <row r="71" ht="21" customHeight="1">
      <c r="A71" t="inlineStr">
        <is>
          <t>Dussumieria</t>
        </is>
      </c>
      <c r="B71" t="n">
        <v>3.4</v>
      </c>
      <c r="C71" t="n">
        <v>251.188643</v>
      </c>
      <c r="D71" s="10" t="inlineStr">
        <is>
          <t>Planktivores</t>
        </is>
      </c>
      <c r="E71" t="n">
        <v>0</v>
      </c>
      <c r="F71" t="n">
        <v>100.997642</v>
      </c>
      <c r="G71" t="n">
        <v>1.93677</v>
      </c>
      <c r="H71" t="n">
        <v>1.93149</v>
      </c>
      <c r="I71" t="n">
        <v>53.479795</v>
      </c>
      <c r="J71" t="n">
        <v>53.479795</v>
      </c>
      <c r="K71" t="n">
        <v>53.372836</v>
      </c>
      <c r="L71" t="n">
        <v>51.741399</v>
      </c>
      <c r="M71" t="n">
        <v>51.741399</v>
      </c>
      <c r="N71" t="n">
        <v>52.283119</v>
      </c>
      <c r="O71" t="n">
        <v>17.749881</v>
      </c>
      <c r="P71" t="n">
        <v>11.404035</v>
      </c>
      <c r="Q71" t="n">
        <v>52.283119</v>
      </c>
      <c r="R71" t="n">
        <v>51.741399</v>
      </c>
      <c r="S71" t="n">
        <v>17.749881</v>
      </c>
      <c r="T71" t="n">
        <v>17.749881</v>
      </c>
      <c r="U71" t="n">
        <v>11.404035</v>
      </c>
      <c r="V71" t="n">
        <v>11.404035</v>
      </c>
      <c r="W71" t="n">
        <v>17.839302</v>
      </c>
      <c r="X71" t="n">
        <v>54.129601</v>
      </c>
    </row>
    <row r="72" ht="36" customHeight="1">
      <c r="A72" t="inlineStr">
        <is>
          <t>Scombridae</t>
        </is>
      </c>
      <c r="B72" t="n">
        <v>4.26</v>
      </c>
      <c r="C72" t="n">
        <v>1819.700859</v>
      </c>
      <c r="D72" s="10" t="inlineStr">
        <is>
          <t>Piscivores | Planktivores/Benthivores</t>
        </is>
      </c>
      <c r="E72" t="n">
        <v>0</v>
      </c>
      <c r="F72" t="n">
        <v>182.29247</v>
      </c>
      <c r="G72" t="n">
        <v>2.062072</v>
      </c>
      <c r="H72" t="n">
        <v>2.078316</v>
      </c>
      <c r="I72" t="n">
        <v>177.795024</v>
      </c>
      <c r="J72" t="n">
        <v>178.723793</v>
      </c>
      <c r="K72" t="n">
        <v>151.652043</v>
      </c>
      <c r="L72" t="n">
        <v>188.965648</v>
      </c>
      <c r="M72" t="n">
        <v>188.965648</v>
      </c>
      <c r="N72" t="n">
        <v>191.131567</v>
      </c>
      <c r="O72" t="n">
        <v>42.720774</v>
      </c>
      <c r="P72" t="n">
        <v>24.808093</v>
      </c>
      <c r="Q72" t="n">
        <v>191.131567</v>
      </c>
      <c r="R72" t="n">
        <v>188.965648</v>
      </c>
      <c r="S72" t="n">
        <v>42.720774</v>
      </c>
      <c r="T72" t="n">
        <v>42.720774</v>
      </c>
      <c r="U72" t="n">
        <v>24.808093</v>
      </c>
      <c r="V72" t="n">
        <v>24.808093</v>
      </c>
      <c r="W72" t="n">
        <v>43.660821</v>
      </c>
      <c r="X72" t="n">
        <v>187.451422</v>
      </c>
    </row>
    <row r="73" ht="21" customHeight="1">
      <c r="A73" t="inlineStr">
        <is>
          <t>Paralichthyidae</t>
        </is>
      </c>
      <c r="B73" t="n">
        <v>4.06</v>
      </c>
      <c r="C73" t="n">
        <v>1148.153621</v>
      </c>
      <c r="D73" s="10" t="inlineStr">
        <is>
          <t>Piscivores</t>
        </is>
      </c>
      <c r="E73" t="n">
        <v>0</v>
      </c>
      <c r="F73" t="n">
        <v>304.388999</v>
      </c>
      <c r="G73" t="n">
        <v>2.268309</v>
      </c>
      <c r="H73" t="n">
        <v>2.300314</v>
      </c>
      <c r="I73" t="n">
        <v>249.259877</v>
      </c>
      <c r="J73" t="n">
        <v>251.428736</v>
      </c>
      <c r="K73" t="n">
        <v>202.148704</v>
      </c>
      <c r="L73" t="n">
        <v>282.597002</v>
      </c>
      <c r="M73" t="n">
        <v>282.597002</v>
      </c>
      <c r="N73" t="n">
        <v>286.033173</v>
      </c>
      <c r="O73" t="n">
        <v>49.797649</v>
      </c>
      <c r="P73" t="n">
        <v>25.643377</v>
      </c>
      <c r="Q73" t="n">
        <v>286.033173</v>
      </c>
      <c r="R73" t="n">
        <v>282.597002</v>
      </c>
      <c r="S73" t="n">
        <v>49.797649</v>
      </c>
      <c r="T73" t="n">
        <v>49.797649</v>
      </c>
      <c r="U73" t="n">
        <v>25.643377</v>
      </c>
      <c r="V73" t="n">
        <v>25.643377</v>
      </c>
      <c r="W73" t="n">
        <v>51.082514</v>
      </c>
      <c r="X73" t="n">
        <v>274.518943</v>
      </c>
    </row>
    <row r="74" ht="21" customHeight="1">
      <c r="A74" t="inlineStr">
        <is>
          <t>Elasmobranchii</t>
        </is>
      </c>
      <c r="B74" t="n">
        <v>4.05</v>
      </c>
      <c r="C74" t="n">
        <v>1122.018454</v>
      </c>
      <c r="D74" s="10" t="inlineStr">
        <is>
          <t>Sharks | Benthivores</t>
        </is>
      </c>
      <c r="E74" t="n">
        <v>0</v>
      </c>
      <c r="F74" t="n">
        <v>86.734781</v>
      </c>
      <c r="G74" t="n">
        <v>1.845317</v>
      </c>
      <c r="H74" t="n">
        <v>1.856032</v>
      </c>
      <c r="I74" t="n">
        <v>33.396859</v>
      </c>
      <c r="J74" t="n">
        <v>37.813436</v>
      </c>
      <c r="L74" t="n">
        <v>378.523224</v>
      </c>
      <c r="M74" t="n">
        <v>378.523224</v>
      </c>
      <c r="N74" t="n">
        <v>384.771695</v>
      </c>
      <c r="O74" t="n">
        <v>19.951341</v>
      </c>
      <c r="P74" t="n">
        <v>11.433576</v>
      </c>
      <c r="Q74" t="n">
        <v>384.771695</v>
      </c>
      <c r="R74" t="n">
        <v>378.523224</v>
      </c>
      <c r="S74" t="n">
        <v>19.951341</v>
      </c>
      <c r="T74" t="n">
        <v>19.951341</v>
      </c>
      <c r="U74" t="n">
        <v>11.433576</v>
      </c>
      <c r="V74" t="n">
        <v>11.433576</v>
      </c>
      <c r="W74" t="n">
        <v>20.527001</v>
      </c>
      <c r="X74" t="n">
        <v>41.735391</v>
      </c>
    </row>
    <row r="75" ht="21" customHeight="1">
      <c r="A75" t="inlineStr">
        <is>
          <t>Konosirus punctatus</t>
        </is>
      </c>
      <c r="B75" t="n">
        <v>2.87</v>
      </c>
      <c r="C75" t="n">
        <v>74.131024</v>
      </c>
      <c r="D75" s="10" t="inlineStr">
        <is>
          <t>Planktivores</t>
        </is>
      </c>
      <c r="E75" t="n">
        <v>0</v>
      </c>
      <c r="F75" t="n">
        <v>100.997642</v>
      </c>
      <c r="G75" t="n">
        <v>1.93677</v>
      </c>
      <c r="H75" t="n">
        <v>1.93149</v>
      </c>
      <c r="I75" t="n">
        <v>53.479795</v>
      </c>
      <c r="J75" t="n">
        <v>53.479795</v>
      </c>
      <c r="K75" t="n">
        <v>53.372836</v>
      </c>
      <c r="L75" t="n">
        <v>51.741399</v>
      </c>
      <c r="M75" t="n">
        <v>51.741399</v>
      </c>
      <c r="N75" t="n">
        <v>52.283119</v>
      </c>
      <c r="O75" t="n">
        <v>17.749881</v>
      </c>
      <c r="P75" t="n">
        <v>11.404035</v>
      </c>
      <c r="Q75" t="n">
        <v>52.283119</v>
      </c>
      <c r="R75" t="n">
        <v>51.741399</v>
      </c>
      <c r="S75" t="n">
        <v>17.749881</v>
      </c>
      <c r="T75" t="n">
        <v>17.749881</v>
      </c>
      <c r="U75" t="n">
        <v>11.404035</v>
      </c>
      <c r="V75" t="n">
        <v>11.404035</v>
      </c>
      <c r="W75" t="n">
        <v>17.839302</v>
      </c>
      <c r="X75" t="n">
        <v>54.129601</v>
      </c>
    </row>
    <row r="76" ht="21" customHeight="1">
      <c r="A76" t="inlineStr">
        <is>
          <t>Auxis</t>
        </is>
      </c>
      <c r="B76" t="n">
        <v>4.24</v>
      </c>
      <c r="C76" t="n">
        <v>1737.800829</v>
      </c>
      <c r="D76" s="10" t="inlineStr">
        <is>
          <t>Piscivores</t>
        </is>
      </c>
      <c r="E76" t="n">
        <v>0</v>
      </c>
      <c r="F76" t="n">
        <v>304.388999</v>
      </c>
      <c r="G76" t="n">
        <v>2.268309</v>
      </c>
      <c r="H76" t="n">
        <v>2.300314</v>
      </c>
      <c r="I76" t="n">
        <v>249.259877</v>
      </c>
      <c r="J76" t="n">
        <v>251.428736</v>
      </c>
      <c r="K76" t="n">
        <v>202.148704</v>
      </c>
      <c r="L76" t="n">
        <v>282.597002</v>
      </c>
      <c r="M76" t="n">
        <v>282.597002</v>
      </c>
      <c r="N76" t="n">
        <v>286.033173</v>
      </c>
      <c r="O76" t="n">
        <v>49.797649</v>
      </c>
      <c r="P76" t="n">
        <v>25.643377</v>
      </c>
      <c r="Q76" t="n">
        <v>286.033173</v>
      </c>
      <c r="R76" t="n">
        <v>282.597002</v>
      </c>
      <c r="S76" t="n">
        <v>49.797649</v>
      </c>
      <c r="T76" t="n">
        <v>49.797649</v>
      </c>
      <c r="U76" t="n">
        <v>25.643377</v>
      </c>
      <c r="V76" t="n">
        <v>25.643377</v>
      </c>
      <c r="W76" t="n">
        <v>51.082514</v>
      </c>
      <c r="X76" t="n">
        <v>274.518943</v>
      </c>
    </row>
    <row r="77" ht="21" customHeight="1">
      <c r="A77" t="inlineStr">
        <is>
          <t>Tetraodontidae</t>
        </is>
      </c>
      <c r="B77" t="n">
        <v>3.5</v>
      </c>
      <c r="C77" t="n">
        <v>316.227766</v>
      </c>
      <c r="D77" s="10" t="inlineStr">
        <is>
          <t>Benthivores/piscivores</t>
        </is>
      </c>
      <c r="E77" t="n">
        <v>0</v>
      </c>
      <c r="F77" t="n">
        <v>136.120059</v>
      </c>
      <c r="G77" t="n">
        <v>2.021353</v>
      </c>
      <c r="H77" t="n">
        <v>2.039787</v>
      </c>
      <c r="I77" t="n">
        <v>36.046055</v>
      </c>
      <c r="J77" t="n">
        <v>36.076344</v>
      </c>
      <c r="K77" t="n">
        <v>35.535199</v>
      </c>
      <c r="L77" t="n">
        <v>34.759886</v>
      </c>
      <c r="M77" t="n">
        <v>34.759886</v>
      </c>
      <c r="N77" t="n">
        <v>35.313702</v>
      </c>
      <c r="O77" t="n">
        <v>13.890783</v>
      </c>
      <c r="P77" t="n">
        <v>8.319739999999999</v>
      </c>
      <c r="Q77" t="n">
        <v>35.313702</v>
      </c>
      <c r="R77" t="n">
        <v>34.759886</v>
      </c>
      <c r="S77" t="n">
        <v>13.890783</v>
      </c>
      <c r="T77" t="n">
        <v>13.890783</v>
      </c>
      <c r="U77" t="n">
        <v>8.319739999999999</v>
      </c>
      <c r="V77" t="n">
        <v>8.319739999999999</v>
      </c>
      <c r="W77" t="n">
        <v>14.220855</v>
      </c>
      <c r="X77" t="n">
        <v>35.767132</v>
      </c>
    </row>
    <row r="78" ht="21" customHeight="1">
      <c r="A78" t="inlineStr">
        <is>
          <t>Pampus argenteus</t>
        </is>
      </c>
      <c r="B78" t="n">
        <v>3.3</v>
      </c>
      <c r="C78" t="n">
        <v>199.526231</v>
      </c>
      <c r="D78" s="10" t="inlineStr">
        <is>
          <t>Planktivores/piscivores</t>
        </is>
      </c>
      <c r="E78" t="n">
        <v>0</v>
      </c>
      <c r="F78" t="n">
        <v>123.077794</v>
      </c>
      <c r="G78" t="n">
        <v>1.992402</v>
      </c>
      <c r="H78" t="n">
        <v>1.97781</v>
      </c>
      <c r="I78" t="n">
        <v>560.299311</v>
      </c>
      <c r="J78" t="n">
        <v>592.272682</v>
      </c>
      <c r="K78" t="n">
        <v>209.072257</v>
      </c>
      <c r="L78" t="n">
        <v>660.166914</v>
      </c>
      <c r="M78" t="n">
        <v>660.166914</v>
      </c>
      <c r="N78" t="n">
        <v>670.165526</v>
      </c>
      <c r="O78" t="n">
        <v>72.857719</v>
      </c>
      <c r="P78" t="n">
        <v>43.071646</v>
      </c>
      <c r="Q78" t="n">
        <v>670.165526</v>
      </c>
      <c r="R78" t="n">
        <v>660.166914</v>
      </c>
      <c r="S78" t="n">
        <v>72.857719</v>
      </c>
      <c r="T78" t="n">
        <v>72.857719</v>
      </c>
      <c r="U78" t="n">
        <v>43.071646</v>
      </c>
      <c r="V78" t="n">
        <v>43.071646</v>
      </c>
      <c r="W78" t="n">
        <v>75.193746</v>
      </c>
      <c r="X78" t="n">
        <v>683.804243</v>
      </c>
    </row>
    <row r="79" ht="21" customHeight="1">
      <c r="A79" t="inlineStr">
        <is>
          <t>Priacanthus</t>
        </is>
      </c>
      <c r="B79" t="n">
        <v>3.81</v>
      </c>
      <c r="C79" t="n">
        <v>645.654229</v>
      </c>
      <c r="D79" s="10" t="inlineStr">
        <is>
          <t>Benthivores/piscivores</t>
        </is>
      </c>
      <c r="E79" t="n">
        <v>0</v>
      </c>
      <c r="F79" t="n">
        <v>136.120059</v>
      </c>
      <c r="G79" t="n">
        <v>2.021353</v>
      </c>
      <c r="H79" t="n">
        <v>2.039787</v>
      </c>
      <c r="I79" t="n">
        <v>36.046055</v>
      </c>
      <c r="J79" t="n">
        <v>36.076344</v>
      </c>
      <c r="K79" t="n">
        <v>35.535199</v>
      </c>
      <c r="L79" t="n">
        <v>34.759886</v>
      </c>
      <c r="M79" t="n">
        <v>34.759886</v>
      </c>
      <c r="N79" t="n">
        <v>35.313702</v>
      </c>
      <c r="O79" t="n">
        <v>13.890783</v>
      </c>
      <c r="P79" t="n">
        <v>8.319739999999999</v>
      </c>
      <c r="Q79" t="n">
        <v>35.313702</v>
      </c>
      <c r="R79" t="n">
        <v>34.759886</v>
      </c>
      <c r="S79" t="n">
        <v>13.890783</v>
      </c>
      <c r="T79" t="n">
        <v>13.890783</v>
      </c>
      <c r="U79" t="n">
        <v>8.319739999999999</v>
      </c>
      <c r="V79" t="n">
        <v>8.319739999999999</v>
      </c>
      <c r="W79" t="n">
        <v>14.220855</v>
      </c>
      <c r="X79" t="n">
        <v>35.767132</v>
      </c>
    </row>
    <row r="80" ht="21" customHeight="1">
      <c r="A80" t="inlineStr">
        <is>
          <t>Synodontidae</t>
        </is>
      </c>
      <c r="B80" t="n">
        <v>4.3</v>
      </c>
      <c r="C80" t="n">
        <v>1995.262315</v>
      </c>
      <c r="D80" s="10" t="inlineStr">
        <is>
          <t>Piscivores</t>
        </is>
      </c>
      <c r="E80" t="n">
        <v>0</v>
      </c>
      <c r="F80" t="n">
        <v>304.388999</v>
      </c>
      <c r="G80" t="n">
        <v>2.268309</v>
      </c>
      <c r="H80" t="n">
        <v>2.300314</v>
      </c>
      <c r="I80" t="n">
        <v>249.259877</v>
      </c>
      <c r="J80" t="n">
        <v>251.428736</v>
      </c>
      <c r="K80" t="n">
        <v>202.148704</v>
      </c>
      <c r="L80" t="n">
        <v>282.597002</v>
      </c>
      <c r="M80" t="n">
        <v>282.597002</v>
      </c>
      <c r="N80" t="n">
        <v>286.033173</v>
      </c>
      <c r="O80" t="n">
        <v>49.797649</v>
      </c>
      <c r="P80" t="n">
        <v>25.643377</v>
      </c>
      <c r="Q80" t="n">
        <v>286.033173</v>
      </c>
      <c r="R80" t="n">
        <v>282.597002</v>
      </c>
      <c r="S80" t="n">
        <v>49.797649</v>
      </c>
      <c r="T80" t="n">
        <v>49.797649</v>
      </c>
      <c r="U80" t="n">
        <v>25.643377</v>
      </c>
      <c r="V80" t="n">
        <v>25.643377</v>
      </c>
      <c r="W80" t="n">
        <v>51.082514</v>
      </c>
      <c r="X80" t="n">
        <v>274.518943</v>
      </c>
    </row>
    <row r="81" ht="21" customHeight="1">
      <c r="A81" t="inlineStr">
        <is>
          <t>Paralichthys olivaceus</t>
        </is>
      </c>
      <c r="B81" t="n">
        <v>4.25</v>
      </c>
      <c r="C81" t="n">
        <v>1778.27941</v>
      </c>
      <c r="D81" s="10" t="inlineStr">
        <is>
          <t>Piscivores</t>
        </is>
      </c>
      <c r="E81" t="n">
        <v>0</v>
      </c>
      <c r="F81" t="n">
        <v>304.388999</v>
      </c>
      <c r="G81" t="n">
        <v>2.268309</v>
      </c>
      <c r="H81" t="n">
        <v>2.300314</v>
      </c>
      <c r="I81" t="n">
        <v>249.259877</v>
      </c>
      <c r="J81" t="n">
        <v>251.428736</v>
      </c>
      <c r="K81" t="n">
        <v>202.148704</v>
      </c>
      <c r="L81" t="n">
        <v>282.597002</v>
      </c>
      <c r="M81" t="n">
        <v>282.597002</v>
      </c>
      <c r="N81" t="n">
        <v>286.033173</v>
      </c>
      <c r="O81" t="n">
        <v>49.797649</v>
      </c>
      <c r="P81" t="n">
        <v>25.643377</v>
      </c>
      <c r="Q81" t="n">
        <v>286.033173</v>
      </c>
      <c r="R81" t="n">
        <v>282.597002</v>
      </c>
      <c r="S81" t="n">
        <v>49.797649</v>
      </c>
      <c r="T81" t="n">
        <v>49.797649</v>
      </c>
      <c r="U81" t="n">
        <v>25.643377</v>
      </c>
      <c r="V81" t="n">
        <v>25.643377</v>
      </c>
      <c r="W81" t="n">
        <v>51.082514</v>
      </c>
      <c r="X81" t="n">
        <v>274.518943</v>
      </c>
    </row>
    <row r="82" ht="21" customHeight="1">
      <c r="A82" t="inlineStr">
        <is>
          <t>Coryphaena hippurus</t>
        </is>
      </c>
      <c r="B82" t="n">
        <v>4.37</v>
      </c>
      <c r="C82" t="n">
        <v>2344.228815</v>
      </c>
      <c r="D82" s="10" t="inlineStr">
        <is>
          <t>Piscivores</t>
        </is>
      </c>
      <c r="E82" t="n">
        <v>0</v>
      </c>
      <c r="F82" t="n">
        <v>304.388999</v>
      </c>
      <c r="G82" t="n">
        <v>2.268309</v>
      </c>
      <c r="H82" t="n">
        <v>2.300314</v>
      </c>
      <c r="I82" t="n">
        <v>249.259877</v>
      </c>
      <c r="J82" t="n">
        <v>251.428736</v>
      </c>
      <c r="K82" t="n">
        <v>202.148704</v>
      </c>
      <c r="L82" t="n">
        <v>282.597002</v>
      </c>
      <c r="M82" t="n">
        <v>282.597002</v>
      </c>
      <c r="N82" t="n">
        <v>286.033173</v>
      </c>
      <c r="O82" t="n">
        <v>49.797649</v>
      </c>
      <c r="P82" t="n">
        <v>25.643377</v>
      </c>
      <c r="Q82" t="n">
        <v>286.033173</v>
      </c>
      <c r="R82" t="n">
        <v>282.597002</v>
      </c>
      <c r="S82" t="n">
        <v>49.797649</v>
      </c>
      <c r="T82" t="n">
        <v>49.797649</v>
      </c>
      <c r="U82" t="n">
        <v>25.643377</v>
      </c>
      <c r="V82" t="n">
        <v>25.643377</v>
      </c>
      <c r="W82" t="n">
        <v>51.082514</v>
      </c>
      <c r="X82" t="n">
        <v>274.518943</v>
      </c>
    </row>
    <row r="83" ht="21" customHeight="1">
      <c r="A83" t="inlineStr">
        <is>
          <t>Nemipterus virgatus</t>
        </is>
      </c>
      <c r="B83" t="n">
        <v>3.99</v>
      </c>
      <c r="C83" t="n">
        <v>977.237221</v>
      </c>
      <c r="D83" s="10" t="inlineStr">
        <is>
          <t>Benthivores/piscivores</t>
        </is>
      </c>
      <c r="E83" t="n">
        <v>0</v>
      </c>
      <c r="F83" t="n">
        <v>136.120059</v>
      </c>
      <c r="G83" t="n">
        <v>2.021353</v>
      </c>
      <c r="H83" t="n">
        <v>2.039787</v>
      </c>
      <c r="I83" t="n">
        <v>36.046055</v>
      </c>
      <c r="J83" t="n">
        <v>36.076344</v>
      </c>
      <c r="K83" t="n">
        <v>35.535199</v>
      </c>
      <c r="L83" t="n">
        <v>34.759886</v>
      </c>
      <c r="M83" t="n">
        <v>34.759886</v>
      </c>
      <c r="N83" t="n">
        <v>35.313702</v>
      </c>
      <c r="O83" t="n">
        <v>13.890783</v>
      </c>
      <c r="P83" t="n">
        <v>8.319739999999999</v>
      </c>
      <c r="Q83" t="n">
        <v>35.313702</v>
      </c>
      <c r="R83" t="n">
        <v>34.759886</v>
      </c>
      <c r="S83" t="n">
        <v>13.890783</v>
      </c>
      <c r="T83" t="n">
        <v>13.890783</v>
      </c>
      <c r="U83" t="n">
        <v>8.319739999999999</v>
      </c>
      <c r="V83" t="n">
        <v>8.319739999999999</v>
      </c>
      <c r="W83" t="n">
        <v>14.220855</v>
      </c>
      <c r="X83" t="n">
        <v>35.767132</v>
      </c>
    </row>
    <row r="84" ht="21" customHeight="1">
      <c r="A84" t="inlineStr">
        <is>
          <t>Salmonidae</t>
        </is>
      </c>
      <c r="B84" t="n">
        <v>3.3</v>
      </c>
      <c r="C84" t="n">
        <v>199.526231</v>
      </c>
      <c r="D84" s="10" t="inlineStr">
        <is>
          <t>Planktivores/piscivores</t>
        </is>
      </c>
      <c r="E84" t="n">
        <v>0</v>
      </c>
      <c r="F84" t="n">
        <v>123.077794</v>
      </c>
      <c r="G84" t="n">
        <v>1.992402</v>
      </c>
      <c r="H84" t="n">
        <v>1.97781</v>
      </c>
      <c r="I84" t="n">
        <v>560.299311</v>
      </c>
      <c r="J84" t="n">
        <v>592.272682</v>
      </c>
      <c r="K84" t="n">
        <v>209.072257</v>
      </c>
      <c r="L84" t="n">
        <v>660.166914</v>
      </c>
      <c r="M84" t="n">
        <v>660.166914</v>
      </c>
      <c r="N84" t="n">
        <v>670.165526</v>
      </c>
      <c r="O84" t="n">
        <v>72.857719</v>
      </c>
      <c r="P84" t="n">
        <v>43.071646</v>
      </c>
      <c r="Q84" t="n">
        <v>670.165526</v>
      </c>
      <c r="R84" t="n">
        <v>660.166914</v>
      </c>
      <c r="S84" t="n">
        <v>72.857719</v>
      </c>
      <c r="T84" t="n">
        <v>72.857719</v>
      </c>
      <c r="U84" t="n">
        <v>43.071646</v>
      </c>
      <c r="V84" t="n">
        <v>43.071646</v>
      </c>
      <c r="W84" t="n">
        <v>75.193746</v>
      </c>
      <c r="X84" t="n">
        <v>683.804243</v>
      </c>
    </row>
    <row r="85" ht="21" customHeight="1">
      <c r="A85" t="inlineStr">
        <is>
          <t>Portunus pelagicus</t>
        </is>
      </c>
      <c r="B85" t="n">
        <v>2.48</v>
      </c>
      <c r="C85" t="n">
        <v>30.199517</v>
      </c>
      <c r="D85" s="10" t="inlineStr">
        <is>
          <t>Crabs</t>
        </is>
      </c>
      <c r="E85" t="n">
        <v>0</v>
      </c>
      <c r="F85" t="n">
        <v>21.002175</v>
      </c>
      <c r="G85" t="n">
        <v>1.546636</v>
      </c>
      <c r="H85" t="n">
        <v>1.565985</v>
      </c>
      <c r="I85" t="n">
        <v>12.039474</v>
      </c>
      <c r="J85" t="n">
        <v>12.039474</v>
      </c>
      <c r="K85" t="n">
        <v>11.028158</v>
      </c>
      <c r="L85" t="n">
        <v>11.032425</v>
      </c>
      <c r="M85" t="n">
        <v>11.032425</v>
      </c>
      <c r="N85" t="n">
        <v>11.257068</v>
      </c>
      <c r="O85" t="n">
        <v>7.495998</v>
      </c>
      <c r="P85" t="n">
        <v>5.212079</v>
      </c>
      <c r="Q85" t="n">
        <v>11.257068</v>
      </c>
      <c r="R85" t="n">
        <v>11.032425</v>
      </c>
      <c r="S85" t="n">
        <v>7.495998</v>
      </c>
      <c r="T85" t="n">
        <v>7.495998</v>
      </c>
      <c r="U85" t="n">
        <v>5.212079</v>
      </c>
      <c r="V85" t="n">
        <v>5.212079</v>
      </c>
      <c r="W85" t="n">
        <v>7.53635</v>
      </c>
      <c r="X85" t="n">
        <v>11.035506</v>
      </c>
    </row>
    <row r="86" ht="21" customHeight="1">
      <c r="A86" t="inlineStr">
        <is>
          <t>Sardinella zunasi</t>
        </is>
      </c>
      <c r="B86" t="n">
        <v>3.12</v>
      </c>
      <c r="C86" t="n">
        <v>131.825674</v>
      </c>
      <c r="D86" s="10" t="inlineStr">
        <is>
          <t>Planktivores</t>
        </is>
      </c>
      <c r="E86" t="n">
        <v>0</v>
      </c>
      <c r="F86" t="n">
        <v>100.997642</v>
      </c>
      <c r="G86" t="n">
        <v>1.93677</v>
      </c>
      <c r="H86" t="n">
        <v>1.93149</v>
      </c>
      <c r="I86" t="n">
        <v>53.479795</v>
      </c>
      <c r="J86" t="n">
        <v>53.479795</v>
      </c>
      <c r="K86" t="n">
        <v>53.372836</v>
      </c>
      <c r="L86" t="n">
        <v>51.741399</v>
      </c>
      <c r="M86" t="n">
        <v>51.741399</v>
      </c>
      <c r="N86" t="n">
        <v>52.283119</v>
      </c>
      <c r="O86" t="n">
        <v>17.749881</v>
      </c>
      <c r="P86" t="n">
        <v>11.404035</v>
      </c>
      <c r="Q86" t="n">
        <v>52.283119</v>
      </c>
      <c r="R86" t="n">
        <v>51.741399</v>
      </c>
      <c r="S86" t="n">
        <v>17.749881</v>
      </c>
      <c r="T86" t="n">
        <v>17.749881</v>
      </c>
      <c r="U86" t="n">
        <v>11.404035</v>
      </c>
      <c r="V86" t="n">
        <v>11.404035</v>
      </c>
      <c r="W86" t="n">
        <v>17.839302</v>
      </c>
      <c r="X86" t="n">
        <v>54.129601</v>
      </c>
    </row>
    <row r="87" ht="21" customHeight="1">
      <c r="A87" t="inlineStr">
        <is>
          <t>Charybdis</t>
        </is>
      </c>
      <c r="B87" t="n">
        <v>2.7</v>
      </c>
      <c r="C87" t="n">
        <v>50.118723</v>
      </c>
      <c r="D87" s="10" t="inlineStr">
        <is>
          <t>Crabs</t>
        </is>
      </c>
      <c r="E87" t="n">
        <v>0</v>
      </c>
      <c r="F87" t="n">
        <v>21.002175</v>
      </c>
      <c r="G87" t="n">
        <v>1.546636</v>
      </c>
      <c r="H87" t="n">
        <v>1.565985</v>
      </c>
      <c r="I87" t="n">
        <v>12.039474</v>
      </c>
      <c r="J87" t="n">
        <v>12.039474</v>
      </c>
      <c r="K87" t="n">
        <v>11.028158</v>
      </c>
      <c r="L87" t="n">
        <v>11.032425</v>
      </c>
      <c r="M87" t="n">
        <v>11.032425</v>
      </c>
      <c r="N87" t="n">
        <v>11.257068</v>
      </c>
      <c r="O87" t="n">
        <v>7.495998</v>
      </c>
      <c r="P87" t="n">
        <v>5.212079</v>
      </c>
      <c r="Q87" t="n">
        <v>11.257068</v>
      </c>
      <c r="R87" t="n">
        <v>11.032425</v>
      </c>
      <c r="S87" t="n">
        <v>7.495998</v>
      </c>
      <c r="T87" t="n">
        <v>7.495998</v>
      </c>
      <c r="U87" t="n">
        <v>5.212079</v>
      </c>
      <c r="V87" t="n">
        <v>5.212079</v>
      </c>
      <c r="W87" t="n">
        <v>7.53635</v>
      </c>
      <c r="X87" t="n">
        <v>11.035506</v>
      </c>
    </row>
    <row r="88" ht="21" customHeight="1">
      <c r="A88" t="inlineStr">
        <is>
          <t>Magallana gigas</t>
        </is>
      </c>
      <c r="B88" t="n">
        <v>2</v>
      </c>
      <c r="C88" t="n">
        <v>10</v>
      </c>
      <c r="D88" s="10" t="inlineStr">
        <is>
          <t>Mollusks</t>
        </is>
      </c>
      <c r="E88" t="n">
        <v>0</v>
      </c>
      <c r="F88" t="n">
        <v>14.497407</v>
      </c>
      <c r="G88" t="n">
        <v>1.466668</v>
      </c>
      <c r="H88" t="n">
        <v>1.466497</v>
      </c>
      <c r="I88" t="n">
        <v>17.850747</v>
      </c>
      <c r="J88" t="n">
        <v>17.850747</v>
      </c>
      <c r="K88" t="n">
        <v>5.355224</v>
      </c>
      <c r="L88" t="n">
        <v>17.186608</v>
      </c>
      <c r="M88" t="n">
        <v>17.186608</v>
      </c>
      <c r="N88" t="n">
        <v>17.598965</v>
      </c>
      <c r="O88" t="n">
        <v>3.995111</v>
      </c>
      <c r="P88" t="n">
        <v>2.967513</v>
      </c>
      <c r="Q88" t="n">
        <v>17.598965</v>
      </c>
      <c r="R88" t="n">
        <v>17.186608</v>
      </c>
      <c r="S88" t="n">
        <v>3.995111</v>
      </c>
      <c r="T88" t="n">
        <v>3.995111</v>
      </c>
      <c r="U88" t="n">
        <v>2.967513</v>
      </c>
      <c r="V88" t="n">
        <v>2.967513</v>
      </c>
      <c r="W88" t="n">
        <v>3.990277</v>
      </c>
      <c r="X88" t="n">
        <v>17.941416</v>
      </c>
    </row>
    <row r="89" ht="21" customHeight="1">
      <c r="A89" t="inlineStr">
        <is>
          <t>Anadara</t>
        </is>
      </c>
      <c r="B89" t="n">
        <v>2</v>
      </c>
      <c r="C89" t="n">
        <v>10</v>
      </c>
      <c r="D89" s="10" t="inlineStr">
        <is>
          <t>Mollusks</t>
        </is>
      </c>
      <c r="E89" t="n">
        <v>0</v>
      </c>
      <c r="F89" t="n">
        <v>14.497407</v>
      </c>
      <c r="G89" t="n">
        <v>1.466668</v>
      </c>
      <c r="H89" t="n">
        <v>1.466497</v>
      </c>
      <c r="I89" t="n">
        <v>17.850747</v>
      </c>
      <c r="J89" t="n">
        <v>17.850747</v>
      </c>
      <c r="K89" t="n">
        <v>5.355224</v>
      </c>
      <c r="L89" t="n">
        <v>17.186608</v>
      </c>
      <c r="M89" t="n">
        <v>17.186608</v>
      </c>
      <c r="N89" t="n">
        <v>17.598965</v>
      </c>
      <c r="O89" t="n">
        <v>3.995111</v>
      </c>
      <c r="P89" t="n">
        <v>2.967513</v>
      </c>
      <c r="Q89" t="n">
        <v>17.598965</v>
      </c>
      <c r="R89" t="n">
        <v>17.186608</v>
      </c>
      <c r="S89" t="n">
        <v>3.995111</v>
      </c>
      <c r="T89" t="n">
        <v>3.995111</v>
      </c>
      <c r="U89" t="n">
        <v>2.967513</v>
      </c>
      <c r="V89" t="n">
        <v>2.967513</v>
      </c>
      <c r="W89" t="n">
        <v>3.990277</v>
      </c>
      <c r="X89" t="n">
        <v>17.941416</v>
      </c>
    </row>
    <row r="90" ht="21" customHeight="1">
      <c r="A90" t="inlineStr">
        <is>
          <t>Echinoidea</t>
        </is>
      </c>
      <c r="B90" t="n">
        <v>2.51</v>
      </c>
      <c r="C90" t="n">
        <v>32.359366</v>
      </c>
      <c r="D90" s="10" t="inlineStr">
        <is>
          <t>Echinoderms</t>
        </is>
      </c>
      <c r="E90" t="n">
        <v>0</v>
      </c>
      <c r="F90" t="n">
        <v>14.362944</v>
      </c>
      <c r="G90" t="n">
        <v>1.464712</v>
      </c>
      <c r="H90" t="n">
        <v>1.389744</v>
      </c>
      <c r="I90" t="n">
        <v>47.528559</v>
      </c>
      <c r="J90" t="n">
        <v>47.528559</v>
      </c>
      <c r="K90" t="n">
        <v>8.650198</v>
      </c>
      <c r="L90" t="n">
        <v>98169.820373</v>
      </c>
      <c r="M90" t="n">
        <v>98169.820373</v>
      </c>
      <c r="N90" t="n">
        <v>99766.36788799999</v>
      </c>
      <c r="O90" t="n">
        <v>7.082345</v>
      </c>
      <c r="P90" t="n">
        <v>4.85352</v>
      </c>
      <c r="Q90" t="n">
        <v>99766.36788799999</v>
      </c>
      <c r="R90" t="n">
        <v>98169.820373</v>
      </c>
      <c r="S90" t="n">
        <v>7.082345</v>
      </c>
      <c r="T90" t="n">
        <v>7.082345</v>
      </c>
      <c r="U90" t="n">
        <v>4.85352</v>
      </c>
      <c r="V90" t="n">
        <v>4.85352</v>
      </c>
      <c r="W90" t="n">
        <v>7.237529</v>
      </c>
      <c r="X90" t="n">
        <v>1019.755013</v>
      </c>
    </row>
    <row r="91" ht="21" customHeight="1">
      <c r="A91" t="inlineStr">
        <is>
          <t>Decapterus maruadsi</t>
        </is>
      </c>
      <c r="B91" t="n">
        <v>3.4</v>
      </c>
      <c r="C91" t="n">
        <v>251.188643</v>
      </c>
      <c r="D91" s="10" t="inlineStr">
        <is>
          <t>Planktivores/piscivores</t>
        </is>
      </c>
      <c r="E91" t="n">
        <v>0</v>
      </c>
      <c r="F91" t="n">
        <v>123.077794</v>
      </c>
      <c r="G91" t="n">
        <v>1.992402</v>
      </c>
      <c r="H91" t="n">
        <v>1.97781</v>
      </c>
      <c r="I91" t="n">
        <v>560.299311</v>
      </c>
      <c r="J91" t="n">
        <v>592.272682</v>
      </c>
      <c r="K91" t="n">
        <v>209.072257</v>
      </c>
      <c r="L91" t="n">
        <v>660.166914</v>
      </c>
      <c r="M91" t="n">
        <v>660.166914</v>
      </c>
      <c r="N91" t="n">
        <v>670.165526</v>
      </c>
      <c r="O91" t="n">
        <v>72.857719</v>
      </c>
      <c r="P91" t="n">
        <v>43.071646</v>
      </c>
      <c r="Q91" t="n">
        <v>670.165526</v>
      </c>
      <c r="R91" t="n">
        <v>660.166914</v>
      </c>
      <c r="S91" t="n">
        <v>72.857719</v>
      </c>
      <c r="T91" t="n">
        <v>72.857719</v>
      </c>
      <c r="U91" t="n">
        <v>43.071646</v>
      </c>
      <c r="V91" t="n">
        <v>43.071646</v>
      </c>
      <c r="W91" t="n">
        <v>75.193746</v>
      </c>
      <c r="X91" t="n">
        <v>683.804243</v>
      </c>
    </row>
    <row r="92" ht="21" customHeight="1">
      <c r="A92" t="inlineStr">
        <is>
          <t>Lateolabrax japonicus</t>
        </is>
      </c>
      <c r="B92" t="n">
        <v>3.36</v>
      </c>
      <c r="C92" t="n">
        <v>229.086765</v>
      </c>
      <c r="D92" s="10" t="inlineStr">
        <is>
          <t>Benthivores/piscivores</t>
        </is>
      </c>
      <c r="E92" t="n">
        <v>0</v>
      </c>
      <c r="F92" t="n">
        <v>136.120059</v>
      </c>
      <c r="G92" t="n">
        <v>2.021353</v>
      </c>
      <c r="H92" t="n">
        <v>2.039787</v>
      </c>
      <c r="I92" t="n">
        <v>36.046055</v>
      </c>
      <c r="J92" t="n">
        <v>36.076344</v>
      </c>
      <c r="K92" t="n">
        <v>35.535199</v>
      </c>
      <c r="L92" t="n">
        <v>34.759886</v>
      </c>
      <c r="M92" t="n">
        <v>34.759886</v>
      </c>
      <c r="N92" t="n">
        <v>35.313702</v>
      </c>
      <c r="O92" t="n">
        <v>13.890783</v>
      </c>
      <c r="P92" t="n">
        <v>8.319739999999999</v>
      </c>
      <c r="Q92" t="n">
        <v>35.313702</v>
      </c>
      <c r="R92" t="n">
        <v>34.759886</v>
      </c>
      <c r="S92" t="n">
        <v>13.890783</v>
      </c>
      <c r="T92" t="n">
        <v>13.890783</v>
      </c>
      <c r="U92" t="n">
        <v>8.319739999999999</v>
      </c>
      <c r="V92" t="n">
        <v>8.319739999999999</v>
      </c>
      <c r="W92" t="n">
        <v>14.220855</v>
      </c>
      <c r="X92" t="n">
        <v>35.767132</v>
      </c>
    </row>
    <row r="93" ht="21" customHeight="1">
      <c r="A93" t="inlineStr">
        <is>
          <t>Priacanthus macracanthus</t>
        </is>
      </c>
      <c r="B93" t="n">
        <v>4.11</v>
      </c>
      <c r="C93" t="n">
        <v>1288.249552</v>
      </c>
      <c r="D93" s="10" t="inlineStr">
        <is>
          <t>Benthivores/piscivores</t>
        </is>
      </c>
      <c r="E93" t="n">
        <v>0</v>
      </c>
      <c r="F93" t="n">
        <v>136.120059</v>
      </c>
      <c r="G93" t="n">
        <v>2.021353</v>
      </c>
      <c r="H93" t="n">
        <v>2.039787</v>
      </c>
      <c r="I93" t="n">
        <v>36.046055</v>
      </c>
      <c r="J93" t="n">
        <v>36.076344</v>
      </c>
      <c r="K93" t="n">
        <v>35.535199</v>
      </c>
      <c r="L93" t="n">
        <v>34.759886</v>
      </c>
      <c r="M93" t="n">
        <v>34.759886</v>
      </c>
      <c r="N93" t="n">
        <v>35.313702</v>
      </c>
      <c r="O93" t="n">
        <v>13.890783</v>
      </c>
      <c r="P93" t="n">
        <v>8.319739999999999</v>
      </c>
      <c r="Q93" t="n">
        <v>35.313702</v>
      </c>
      <c r="R93" t="n">
        <v>34.759886</v>
      </c>
      <c r="S93" t="n">
        <v>13.890783</v>
      </c>
      <c r="T93" t="n">
        <v>13.890783</v>
      </c>
      <c r="U93" t="n">
        <v>8.319739999999999</v>
      </c>
      <c r="V93" t="n">
        <v>8.319739999999999</v>
      </c>
      <c r="W93" t="n">
        <v>14.220855</v>
      </c>
      <c r="X93" t="n">
        <v>35.767132</v>
      </c>
    </row>
    <row r="94" ht="21" customHeight="1">
      <c r="A94" t="inlineStr">
        <is>
          <t>Exocoetidae</t>
        </is>
      </c>
      <c r="B94" t="n">
        <v>3.57</v>
      </c>
      <c r="C94" t="n">
        <v>371.535229</v>
      </c>
      <c r="D94" s="10" t="inlineStr">
        <is>
          <t>Planktivores</t>
        </is>
      </c>
      <c r="E94" t="n">
        <v>0</v>
      </c>
      <c r="F94" t="n">
        <v>100.997642</v>
      </c>
      <c r="G94" t="n">
        <v>1.93677</v>
      </c>
      <c r="H94" t="n">
        <v>1.93149</v>
      </c>
      <c r="I94" t="n">
        <v>53.479795</v>
      </c>
      <c r="J94" t="n">
        <v>53.479795</v>
      </c>
      <c r="K94" t="n">
        <v>53.372836</v>
      </c>
      <c r="L94" t="n">
        <v>51.741399</v>
      </c>
      <c r="M94" t="n">
        <v>51.741399</v>
      </c>
      <c r="N94" t="n">
        <v>52.283119</v>
      </c>
      <c r="O94" t="n">
        <v>17.749881</v>
      </c>
      <c r="P94" t="n">
        <v>11.404035</v>
      </c>
      <c r="Q94" t="n">
        <v>52.283119</v>
      </c>
      <c r="R94" t="n">
        <v>51.741399</v>
      </c>
      <c r="S94" t="n">
        <v>17.749881</v>
      </c>
      <c r="T94" t="n">
        <v>17.749881</v>
      </c>
      <c r="U94" t="n">
        <v>11.404035</v>
      </c>
      <c r="V94" t="n">
        <v>11.404035</v>
      </c>
      <c r="W94" t="n">
        <v>17.839302</v>
      </c>
      <c r="X94" t="n">
        <v>54.129601</v>
      </c>
    </row>
    <row r="95" ht="21" customHeight="1">
      <c r="A95" t="inlineStr">
        <is>
          <t>Scomber australasicus</t>
        </is>
      </c>
      <c r="B95" t="n">
        <v>4.23</v>
      </c>
      <c r="C95" t="n">
        <v>1698.243652</v>
      </c>
      <c r="D95" s="10" t="inlineStr">
        <is>
          <t>Planktivores/Benthivores</t>
        </is>
      </c>
      <c r="E95" t="n">
        <v>0</v>
      </c>
      <c r="F95" t="n">
        <v>90.84783299999999</v>
      </c>
      <c r="G95" t="n">
        <v>1.907611</v>
      </c>
      <c r="H95" t="n">
        <v>1.91205</v>
      </c>
      <c r="I95" t="n">
        <v>124.271163</v>
      </c>
      <c r="J95" t="n">
        <v>124.271163</v>
      </c>
      <c r="K95" t="n">
        <v>113.832386</v>
      </c>
      <c r="L95" t="n">
        <v>118.840107</v>
      </c>
      <c r="M95" t="n">
        <v>118.840107</v>
      </c>
      <c r="N95" t="n">
        <v>120.054666</v>
      </c>
      <c r="O95" t="n">
        <v>37.420523</v>
      </c>
      <c r="P95" t="n">
        <v>24.182504</v>
      </c>
      <c r="Q95" t="n">
        <v>120.054666</v>
      </c>
      <c r="R95" t="n">
        <v>118.840107</v>
      </c>
      <c r="S95" t="n">
        <v>37.420523</v>
      </c>
      <c r="T95" t="n">
        <v>37.420523</v>
      </c>
      <c r="U95" t="n">
        <v>24.182504</v>
      </c>
      <c r="V95" t="n">
        <v>24.182504</v>
      </c>
      <c r="W95" t="n">
        <v>38.102317</v>
      </c>
      <c r="X95" t="n">
        <v>122.241888</v>
      </c>
    </row>
    <row r="96" ht="21" customHeight="1">
      <c r="A96" t="inlineStr">
        <is>
          <t>Mytilus coruscus</t>
        </is>
      </c>
      <c r="B96" t="n">
        <v>2</v>
      </c>
      <c r="C96" t="n">
        <v>10</v>
      </c>
      <c r="D96" s="10" t="inlineStr">
        <is>
          <t>Mollusks</t>
        </is>
      </c>
      <c r="E96" t="n">
        <v>0</v>
      </c>
      <c r="F96" t="n">
        <v>14.497407</v>
      </c>
      <c r="G96" t="n">
        <v>1.466668</v>
      </c>
      <c r="H96" t="n">
        <v>1.466497</v>
      </c>
      <c r="I96" t="n">
        <v>17.850747</v>
      </c>
      <c r="J96" t="n">
        <v>17.850747</v>
      </c>
      <c r="K96" t="n">
        <v>5.355224</v>
      </c>
      <c r="L96" t="n">
        <v>17.186608</v>
      </c>
      <c r="M96" t="n">
        <v>17.186608</v>
      </c>
      <c r="N96" t="n">
        <v>17.598965</v>
      </c>
      <c r="O96" t="n">
        <v>3.995111</v>
      </c>
      <c r="P96" t="n">
        <v>2.967513</v>
      </c>
      <c r="Q96" t="n">
        <v>17.598965</v>
      </c>
      <c r="R96" t="n">
        <v>17.186608</v>
      </c>
      <c r="S96" t="n">
        <v>3.995111</v>
      </c>
      <c r="T96" t="n">
        <v>3.995111</v>
      </c>
      <c r="U96" t="n">
        <v>2.967513</v>
      </c>
      <c r="V96" t="n">
        <v>2.967513</v>
      </c>
      <c r="W96" t="n">
        <v>3.990277</v>
      </c>
      <c r="X96" t="n">
        <v>17.941416</v>
      </c>
    </row>
    <row r="97" ht="21" customHeight="1">
      <c r="A97" t="inlineStr">
        <is>
          <t>Atrobucca nibe</t>
        </is>
      </c>
      <c r="B97" t="n">
        <v>3.03</v>
      </c>
      <c r="C97" t="n">
        <v>107.151931</v>
      </c>
      <c r="D97" s="10" t="inlineStr">
        <is>
          <t>Benthivores/piscivores</t>
        </is>
      </c>
      <c r="E97" t="n">
        <v>0</v>
      </c>
      <c r="F97" t="n">
        <v>136.120059</v>
      </c>
      <c r="G97" t="n">
        <v>2.021353</v>
      </c>
      <c r="H97" t="n">
        <v>2.039787</v>
      </c>
      <c r="I97" t="n">
        <v>36.046055</v>
      </c>
      <c r="J97" t="n">
        <v>36.076344</v>
      </c>
      <c r="K97" t="n">
        <v>35.535199</v>
      </c>
      <c r="L97" t="n">
        <v>34.759886</v>
      </c>
      <c r="M97" t="n">
        <v>34.759886</v>
      </c>
      <c r="N97" t="n">
        <v>35.313702</v>
      </c>
      <c r="O97" t="n">
        <v>13.890783</v>
      </c>
      <c r="P97" t="n">
        <v>8.319739999999999</v>
      </c>
      <c r="Q97" t="n">
        <v>35.313702</v>
      </c>
      <c r="R97" t="n">
        <v>34.759886</v>
      </c>
      <c r="S97" t="n">
        <v>13.890783</v>
      </c>
      <c r="T97" t="n">
        <v>13.890783</v>
      </c>
      <c r="U97" t="n">
        <v>8.319739999999999</v>
      </c>
      <c r="V97" t="n">
        <v>8.319739999999999</v>
      </c>
      <c r="W97" t="n">
        <v>14.220855</v>
      </c>
      <c r="X97" t="n">
        <v>35.767132</v>
      </c>
    </row>
    <row r="98" ht="21" customHeight="1">
      <c r="A98" t="inlineStr">
        <is>
          <t>Spratelloides gracilis</t>
        </is>
      </c>
      <c r="B98" t="n">
        <v>3.06</v>
      </c>
      <c r="C98" t="n">
        <v>114.815362</v>
      </c>
      <c r="D98" s="10" t="inlineStr">
        <is>
          <t>Planktivores</t>
        </is>
      </c>
      <c r="E98" t="n">
        <v>0</v>
      </c>
      <c r="F98" t="n">
        <v>100.997642</v>
      </c>
      <c r="G98" t="n">
        <v>1.93677</v>
      </c>
      <c r="H98" t="n">
        <v>1.93149</v>
      </c>
      <c r="I98" t="n">
        <v>53.479795</v>
      </c>
      <c r="J98" t="n">
        <v>53.479795</v>
      </c>
      <c r="K98" t="n">
        <v>53.372836</v>
      </c>
      <c r="L98" t="n">
        <v>51.741399</v>
      </c>
      <c r="M98" t="n">
        <v>51.741399</v>
      </c>
      <c r="N98" t="n">
        <v>52.283119</v>
      </c>
      <c r="O98" t="n">
        <v>17.749881</v>
      </c>
      <c r="P98" t="n">
        <v>11.404035</v>
      </c>
      <c r="Q98" t="n">
        <v>52.283119</v>
      </c>
      <c r="R98" t="n">
        <v>51.741399</v>
      </c>
      <c r="S98" t="n">
        <v>17.749881</v>
      </c>
      <c r="T98" t="n">
        <v>17.749881</v>
      </c>
      <c r="U98" t="n">
        <v>11.404035</v>
      </c>
      <c r="V98" t="n">
        <v>11.404035</v>
      </c>
      <c r="W98" t="n">
        <v>17.839302</v>
      </c>
      <c r="X98" t="n">
        <v>54.129601</v>
      </c>
    </row>
    <row r="99" ht="21" customHeight="1">
      <c r="A99" t="inlineStr">
        <is>
          <t>Ruvettus pretiosus</t>
        </is>
      </c>
      <c r="B99" t="n">
        <v>4.18</v>
      </c>
      <c r="C99" t="n">
        <v>1513.561248</v>
      </c>
      <c r="D99" s="10" t="inlineStr">
        <is>
          <t>Benthivores/piscivores</t>
        </is>
      </c>
      <c r="E99" t="n">
        <v>0</v>
      </c>
      <c r="F99" t="n">
        <v>136.120059</v>
      </c>
      <c r="G99" t="n">
        <v>2.021353</v>
      </c>
      <c r="H99" t="n">
        <v>2.039787</v>
      </c>
      <c r="I99" t="n">
        <v>36.046055</v>
      </c>
      <c r="J99" t="n">
        <v>36.076344</v>
      </c>
      <c r="K99" t="n">
        <v>35.535199</v>
      </c>
      <c r="L99" t="n">
        <v>34.759886</v>
      </c>
      <c r="M99" t="n">
        <v>34.759886</v>
      </c>
      <c r="N99" t="n">
        <v>35.313702</v>
      </c>
      <c r="O99" t="n">
        <v>13.890783</v>
      </c>
      <c r="P99" t="n">
        <v>8.319739999999999</v>
      </c>
      <c r="Q99" t="n">
        <v>35.313702</v>
      </c>
      <c r="R99" t="n">
        <v>34.759886</v>
      </c>
      <c r="S99" t="n">
        <v>13.890783</v>
      </c>
      <c r="T99" t="n">
        <v>13.890783</v>
      </c>
      <c r="U99" t="n">
        <v>8.319739999999999</v>
      </c>
      <c r="V99" t="n">
        <v>8.319739999999999</v>
      </c>
      <c r="W99" t="n">
        <v>14.220855</v>
      </c>
      <c r="X99" t="n">
        <v>35.767132</v>
      </c>
    </row>
    <row r="100" ht="21" customHeight="1">
      <c r="A100" t="inlineStr">
        <is>
          <t>Lutjanidae</t>
        </is>
      </c>
      <c r="B100" t="n">
        <v>4.02</v>
      </c>
      <c r="C100" t="n">
        <v>1047.128548</v>
      </c>
      <c r="D100" s="10" t="inlineStr">
        <is>
          <t>Piscivores</t>
        </is>
      </c>
      <c r="E100" t="n">
        <v>0</v>
      </c>
      <c r="F100" t="n">
        <v>304.388999</v>
      </c>
      <c r="G100" t="n">
        <v>2.268309</v>
      </c>
      <c r="H100" t="n">
        <v>2.300314</v>
      </c>
      <c r="I100" t="n">
        <v>249.259877</v>
      </c>
      <c r="J100" t="n">
        <v>251.428736</v>
      </c>
      <c r="K100" t="n">
        <v>202.148704</v>
      </c>
      <c r="L100" t="n">
        <v>282.597002</v>
      </c>
      <c r="M100" t="n">
        <v>282.597002</v>
      </c>
      <c r="N100" t="n">
        <v>286.033173</v>
      </c>
      <c r="O100" t="n">
        <v>49.797649</v>
      </c>
      <c r="P100" t="n">
        <v>25.643377</v>
      </c>
      <c r="Q100" t="n">
        <v>286.033173</v>
      </c>
      <c r="R100" t="n">
        <v>282.597002</v>
      </c>
      <c r="S100" t="n">
        <v>49.797649</v>
      </c>
      <c r="T100" t="n">
        <v>49.797649</v>
      </c>
      <c r="U100" t="n">
        <v>25.643377</v>
      </c>
      <c r="V100" t="n">
        <v>25.643377</v>
      </c>
      <c r="W100" t="n">
        <v>51.082514</v>
      </c>
      <c r="X100" t="n">
        <v>274.518943</v>
      </c>
    </row>
    <row r="101" ht="21" customHeight="1">
      <c r="A101" t="inlineStr">
        <is>
          <t>Sebastidae</t>
        </is>
      </c>
      <c r="B101" t="n">
        <v>3.74</v>
      </c>
      <c r="C101" t="n">
        <v>549.540874</v>
      </c>
      <c r="D101" s="10" t="inlineStr">
        <is>
          <t>Benthivores/piscivores</t>
        </is>
      </c>
      <c r="E101" t="n">
        <v>0</v>
      </c>
      <c r="F101" t="n">
        <v>136.120059</v>
      </c>
      <c r="G101" t="n">
        <v>2.021353</v>
      </c>
      <c r="H101" t="n">
        <v>2.039787</v>
      </c>
      <c r="I101" t="n">
        <v>36.046055</v>
      </c>
      <c r="J101" t="n">
        <v>36.076344</v>
      </c>
      <c r="K101" t="n">
        <v>35.535199</v>
      </c>
      <c r="L101" t="n">
        <v>34.759886</v>
      </c>
      <c r="M101" t="n">
        <v>34.759886</v>
      </c>
      <c r="N101" t="n">
        <v>35.313702</v>
      </c>
      <c r="O101" t="n">
        <v>13.890783</v>
      </c>
      <c r="P101" t="n">
        <v>8.319739999999999</v>
      </c>
      <c r="Q101" t="n">
        <v>35.313702</v>
      </c>
      <c r="R101" t="n">
        <v>34.759886</v>
      </c>
      <c r="S101" t="n">
        <v>13.890783</v>
      </c>
      <c r="T101" t="n">
        <v>13.890783</v>
      </c>
      <c r="U101" t="n">
        <v>8.319739999999999</v>
      </c>
      <c r="V101" t="n">
        <v>8.319739999999999</v>
      </c>
      <c r="W101" t="n">
        <v>14.220855</v>
      </c>
      <c r="X101" t="n">
        <v>35.767132</v>
      </c>
    </row>
    <row r="102" ht="21" customHeight="1">
      <c r="A102" t="inlineStr">
        <is>
          <t>Pleurogrammus azonus</t>
        </is>
      </c>
      <c r="B102" t="n">
        <v>3.6</v>
      </c>
      <c r="C102" t="n">
        <v>398.107171</v>
      </c>
      <c r="D102" s="10" t="inlineStr">
        <is>
          <t>Planktivores/Benthivores</t>
        </is>
      </c>
      <c r="E102" t="n">
        <v>0</v>
      </c>
      <c r="F102" t="n">
        <v>90.84783299999999</v>
      </c>
      <c r="G102" t="n">
        <v>1.907611</v>
      </c>
      <c r="H102" t="n">
        <v>1.91205</v>
      </c>
      <c r="I102" t="n">
        <v>124.271163</v>
      </c>
      <c r="J102" t="n">
        <v>124.271163</v>
      </c>
      <c r="K102" t="n">
        <v>113.832386</v>
      </c>
      <c r="L102" t="n">
        <v>118.840107</v>
      </c>
      <c r="M102" t="n">
        <v>118.840107</v>
      </c>
      <c r="N102" t="n">
        <v>120.054666</v>
      </c>
      <c r="O102" t="n">
        <v>37.420523</v>
      </c>
      <c r="P102" t="n">
        <v>24.182504</v>
      </c>
      <c r="Q102" t="n">
        <v>120.054666</v>
      </c>
      <c r="R102" t="n">
        <v>118.840107</v>
      </c>
      <c r="S102" t="n">
        <v>37.420523</v>
      </c>
      <c r="T102" t="n">
        <v>37.420523</v>
      </c>
      <c r="U102" t="n">
        <v>24.182504</v>
      </c>
      <c r="V102" t="n">
        <v>24.182504</v>
      </c>
      <c r="W102" t="n">
        <v>38.102317</v>
      </c>
      <c r="X102" t="n">
        <v>122.241888</v>
      </c>
    </row>
    <row r="103" ht="21" customHeight="1">
      <c r="A103" t="inlineStr">
        <is>
          <t>Bathylagidae</t>
        </is>
      </c>
      <c r="B103" t="n">
        <v>3.1</v>
      </c>
      <c r="C103" t="n">
        <v>125.892541</v>
      </c>
      <c r="D103" s="10" t="inlineStr">
        <is>
          <t>Planktivores</t>
        </is>
      </c>
      <c r="E103" t="n">
        <v>0</v>
      </c>
      <c r="F103" t="n">
        <v>100.997642</v>
      </c>
      <c r="G103" t="n">
        <v>1.93677</v>
      </c>
      <c r="H103" t="n">
        <v>1.93149</v>
      </c>
      <c r="I103" t="n">
        <v>53.479795</v>
      </c>
      <c r="J103" t="n">
        <v>53.479795</v>
      </c>
      <c r="K103" t="n">
        <v>53.372836</v>
      </c>
      <c r="L103" t="n">
        <v>51.741399</v>
      </c>
      <c r="M103" t="n">
        <v>51.741399</v>
      </c>
      <c r="N103" t="n">
        <v>52.283119</v>
      </c>
      <c r="O103" t="n">
        <v>17.749881</v>
      </c>
      <c r="P103" t="n">
        <v>11.404035</v>
      </c>
      <c r="Q103" t="n">
        <v>52.283119</v>
      </c>
      <c r="R103" t="n">
        <v>51.741399</v>
      </c>
      <c r="S103" t="n">
        <v>17.749881</v>
      </c>
      <c r="T103" t="n">
        <v>17.749881</v>
      </c>
      <c r="U103" t="n">
        <v>11.404035</v>
      </c>
      <c r="V103" t="n">
        <v>11.404035</v>
      </c>
      <c r="W103" t="n">
        <v>17.839302</v>
      </c>
      <c r="X103" t="n">
        <v>54.129601</v>
      </c>
    </row>
    <row r="104" ht="51" customHeight="1">
      <c r="A104" t="inlineStr">
        <is>
          <t>Clupeiformes</t>
        </is>
      </c>
      <c r="B104" t="n">
        <v>3.24</v>
      </c>
      <c r="C104" t="n">
        <v>173.780083</v>
      </c>
      <c r="D104" s="10" t="inlineStr">
        <is>
          <t>Planktivores | Planktivores/Benthivores | Omnivores</t>
        </is>
      </c>
      <c r="E104" t="n">
        <v>0</v>
      </c>
      <c r="F104" t="n">
        <v>99.675156</v>
      </c>
      <c r="G104" t="n">
        <v>1.932333</v>
      </c>
      <c r="H104" t="n">
        <v>1.931281</v>
      </c>
      <c r="I104" t="n">
        <v>73.80964899999999</v>
      </c>
      <c r="J104" t="n">
        <v>73.919605</v>
      </c>
      <c r="K104" t="n">
        <v>70.93865700000001</v>
      </c>
      <c r="L104" t="n">
        <v>71.45303699999999</v>
      </c>
      <c r="M104" t="n">
        <v>71.45303699999999</v>
      </c>
      <c r="N104" t="n">
        <v>72.206215</v>
      </c>
      <c r="O104" t="n">
        <v>23.212878</v>
      </c>
      <c r="P104" t="n">
        <v>14.892794</v>
      </c>
      <c r="Q104" t="n">
        <v>72.206215</v>
      </c>
      <c r="R104" t="n">
        <v>71.45303699999999</v>
      </c>
      <c r="S104" t="n">
        <v>23.212878</v>
      </c>
      <c r="T104" t="n">
        <v>23.212878</v>
      </c>
      <c r="U104" t="n">
        <v>14.892794</v>
      </c>
      <c r="V104" t="n">
        <v>14.892794</v>
      </c>
      <c r="W104" t="n">
        <v>23.472917</v>
      </c>
      <c r="X104" t="n">
        <v>74.020027</v>
      </c>
    </row>
    <row r="105" ht="21" customHeight="1">
      <c r="A105" t="inlineStr">
        <is>
          <t>Mullidae</t>
        </is>
      </c>
      <c r="B105" t="n">
        <v>3.46</v>
      </c>
      <c r="C105" t="n">
        <v>288.40315</v>
      </c>
      <c r="D105" s="10" t="inlineStr">
        <is>
          <t>Benthivores</t>
        </is>
      </c>
      <c r="E105" t="n">
        <v>0</v>
      </c>
      <c r="F105" t="n">
        <v>67.81478300000001</v>
      </c>
      <c r="G105" t="n">
        <v>1.829368</v>
      </c>
      <c r="H105" t="n">
        <v>1.84033</v>
      </c>
      <c r="I105" t="n">
        <v>33.988491</v>
      </c>
      <c r="J105" t="n">
        <v>35.780255</v>
      </c>
      <c r="K105" t="n">
        <v>35.601354</v>
      </c>
      <c r="L105" t="n">
        <v>385.228839</v>
      </c>
      <c r="M105" t="n">
        <v>385.228839</v>
      </c>
      <c r="N105" t="n">
        <v>391.588003</v>
      </c>
      <c r="O105" t="n">
        <v>16.66963</v>
      </c>
      <c r="P105" t="n">
        <v>9.973879999999999</v>
      </c>
      <c r="Q105" t="n">
        <v>391.588003</v>
      </c>
      <c r="R105" t="n">
        <v>385.228839</v>
      </c>
      <c r="S105" t="n">
        <v>16.66963</v>
      </c>
      <c r="T105" t="n">
        <v>16.66963</v>
      </c>
      <c r="U105" t="n">
        <v>9.973879999999999</v>
      </c>
      <c r="V105" t="n">
        <v>9.973879999999999</v>
      </c>
      <c r="W105" t="n">
        <v>17.246706</v>
      </c>
      <c r="X105" t="n">
        <v>42.474741</v>
      </c>
    </row>
    <row r="106" ht="21" customHeight="1">
      <c r="A106" t="inlineStr">
        <is>
          <t>Chelidonichthys kumu</t>
        </is>
      </c>
      <c r="B106" t="n">
        <v>3.68</v>
      </c>
      <c r="C106" t="n">
        <v>478.630092</v>
      </c>
      <c r="D106" s="10" t="inlineStr">
        <is>
          <t>Benthivores</t>
        </is>
      </c>
      <c r="E106" t="n">
        <v>0</v>
      </c>
      <c r="F106" t="n">
        <v>67.81478300000001</v>
      </c>
      <c r="G106" t="n">
        <v>1.829368</v>
      </c>
      <c r="H106" t="n">
        <v>1.84033</v>
      </c>
      <c r="I106" t="n">
        <v>33.988491</v>
      </c>
      <c r="J106" t="n">
        <v>35.780255</v>
      </c>
      <c r="K106" t="n">
        <v>35.601354</v>
      </c>
      <c r="L106" t="n">
        <v>385.228839</v>
      </c>
      <c r="M106" t="n">
        <v>385.228839</v>
      </c>
      <c r="N106" t="n">
        <v>391.588003</v>
      </c>
      <c r="O106" t="n">
        <v>16.66963</v>
      </c>
      <c r="P106" t="n">
        <v>9.973879999999999</v>
      </c>
      <c r="Q106" t="n">
        <v>391.588003</v>
      </c>
      <c r="R106" t="n">
        <v>385.228839</v>
      </c>
      <c r="S106" t="n">
        <v>16.66963</v>
      </c>
      <c r="T106" t="n">
        <v>16.66963</v>
      </c>
      <c r="U106" t="n">
        <v>9.973879999999999</v>
      </c>
      <c r="V106" t="n">
        <v>9.973879999999999</v>
      </c>
      <c r="W106" t="n">
        <v>17.246706</v>
      </c>
      <c r="X106" t="n">
        <v>42.474741</v>
      </c>
    </row>
    <row r="107" ht="21" customHeight="1">
      <c r="A107" t="inlineStr">
        <is>
          <t>Nibea mitsukurii</t>
        </is>
      </c>
      <c r="B107" t="n">
        <v>3.5</v>
      </c>
      <c r="C107" t="n">
        <v>316.227766</v>
      </c>
      <c r="D107" s="10" t="inlineStr">
        <is>
          <t>Omnivores</t>
        </is>
      </c>
      <c r="E107" t="n">
        <v>0</v>
      </c>
      <c r="F107" t="n">
        <v>131.221463</v>
      </c>
      <c r="G107" t="n">
        <v>2.01077</v>
      </c>
      <c r="H107" t="n">
        <v>2.036134</v>
      </c>
      <c r="I107" t="n">
        <v>66.04435700000001</v>
      </c>
      <c r="J107" t="n">
        <v>68.25582300000001</v>
      </c>
      <c r="K107" t="n">
        <v>68.187568</v>
      </c>
      <c r="L107" t="n">
        <v>72.544996</v>
      </c>
      <c r="M107" t="n">
        <v>72.544996</v>
      </c>
      <c r="N107" t="n">
        <v>73.57283200000001</v>
      </c>
      <c r="O107" t="n">
        <v>17.500018</v>
      </c>
      <c r="P107" t="n">
        <v>10.032554</v>
      </c>
      <c r="Q107" t="n">
        <v>73.57283200000001</v>
      </c>
      <c r="R107" t="n">
        <v>72.544996</v>
      </c>
      <c r="S107" t="n">
        <v>17.500018</v>
      </c>
      <c r="T107" t="n">
        <v>17.500018</v>
      </c>
      <c r="U107" t="n">
        <v>10.032554</v>
      </c>
      <c r="V107" t="n">
        <v>10.032554</v>
      </c>
      <c r="W107" t="n">
        <v>17.704629</v>
      </c>
      <c r="X107" t="n">
        <v>72.854687</v>
      </c>
    </row>
    <row r="108" ht="21" customHeight="1">
      <c r="A108" t="inlineStr">
        <is>
          <t>Saurida tumbil</t>
        </is>
      </c>
      <c r="B108" t="n">
        <v>4.4</v>
      </c>
      <c r="C108" t="n">
        <v>2511.886432</v>
      </c>
      <c r="D108" s="10" t="inlineStr">
        <is>
          <t>Piscivores</t>
        </is>
      </c>
      <c r="E108" t="n">
        <v>0</v>
      </c>
      <c r="F108" t="n">
        <v>304.388999</v>
      </c>
      <c r="G108" t="n">
        <v>2.268309</v>
      </c>
      <c r="H108" t="n">
        <v>2.300314</v>
      </c>
      <c r="I108" t="n">
        <v>249.259877</v>
      </c>
      <c r="J108" t="n">
        <v>251.428736</v>
      </c>
      <c r="K108" t="n">
        <v>202.148704</v>
      </c>
      <c r="L108" t="n">
        <v>282.597002</v>
      </c>
      <c r="M108" t="n">
        <v>282.597002</v>
      </c>
      <c r="N108" t="n">
        <v>286.033173</v>
      </c>
      <c r="O108" t="n">
        <v>49.797649</v>
      </c>
      <c r="P108" t="n">
        <v>25.643377</v>
      </c>
      <c r="Q108" t="n">
        <v>286.033173</v>
      </c>
      <c r="R108" t="n">
        <v>282.597002</v>
      </c>
      <c r="S108" t="n">
        <v>49.797649</v>
      </c>
      <c r="T108" t="n">
        <v>49.797649</v>
      </c>
      <c r="U108" t="n">
        <v>25.643377</v>
      </c>
      <c r="V108" t="n">
        <v>25.643377</v>
      </c>
      <c r="W108" t="n">
        <v>51.082514</v>
      </c>
      <c r="X108" t="n">
        <v>274.518943</v>
      </c>
    </row>
    <row r="109" ht="21" customHeight="1">
      <c r="A109" t="inlineStr">
        <is>
          <t>Mugilidae</t>
        </is>
      </c>
      <c r="B109" t="n">
        <v>2.53</v>
      </c>
      <c r="C109" t="n">
        <v>33.884416</v>
      </c>
      <c r="D109" s="10" t="inlineStr">
        <is>
          <t>Benthivores</t>
        </is>
      </c>
      <c r="E109" t="n">
        <v>0</v>
      </c>
      <c r="F109" t="n">
        <v>67.81478300000001</v>
      </c>
      <c r="G109" t="n">
        <v>1.829368</v>
      </c>
      <c r="H109" t="n">
        <v>1.84033</v>
      </c>
      <c r="I109" t="n">
        <v>33.988491</v>
      </c>
      <c r="J109" t="n">
        <v>35.780255</v>
      </c>
      <c r="K109" t="n">
        <v>35.601354</v>
      </c>
      <c r="L109" t="n">
        <v>385.228839</v>
      </c>
      <c r="M109" t="n">
        <v>385.228839</v>
      </c>
      <c r="N109" t="n">
        <v>391.588003</v>
      </c>
      <c r="O109" t="n">
        <v>16.66963</v>
      </c>
      <c r="P109" t="n">
        <v>9.973879999999999</v>
      </c>
      <c r="Q109" t="n">
        <v>391.588003</v>
      </c>
      <c r="R109" t="n">
        <v>385.228839</v>
      </c>
      <c r="S109" t="n">
        <v>16.66963</v>
      </c>
      <c r="T109" t="n">
        <v>16.66963</v>
      </c>
      <c r="U109" t="n">
        <v>9.973879999999999</v>
      </c>
      <c r="V109" t="n">
        <v>9.973879999999999</v>
      </c>
      <c r="W109" t="n">
        <v>17.246706</v>
      </c>
      <c r="X109" t="n">
        <v>42.474741</v>
      </c>
    </row>
    <row r="110" ht="21" customHeight="1">
      <c r="A110" t="inlineStr">
        <is>
          <t>Coryphaena</t>
        </is>
      </c>
      <c r="B110" t="n">
        <v>4.49</v>
      </c>
      <c r="C110" t="n">
        <v>3090.295433</v>
      </c>
      <c r="D110" s="10" t="inlineStr">
        <is>
          <t>Piscivores</t>
        </is>
      </c>
      <c r="E110" t="n">
        <v>0</v>
      </c>
      <c r="F110" t="n">
        <v>304.388999</v>
      </c>
      <c r="G110" t="n">
        <v>2.268309</v>
      </c>
      <c r="H110" t="n">
        <v>2.300314</v>
      </c>
      <c r="I110" t="n">
        <v>249.259877</v>
      </c>
      <c r="J110" t="n">
        <v>251.428736</v>
      </c>
      <c r="K110" t="n">
        <v>202.148704</v>
      </c>
      <c r="L110" t="n">
        <v>282.597002</v>
      </c>
      <c r="M110" t="n">
        <v>282.597002</v>
      </c>
      <c r="N110" t="n">
        <v>286.033173</v>
      </c>
      <c r="O110" t="n">
        <v>49.797649</v>
      </c>
      <c r="P110" t="n">
        <v>25.643377</v>
      </c>
      <c r="Q110" t="n">
        <v>286.033173</v>
      </c>
      <c r="R110" t="n">
        <v>282.597002</v>
      </c>
      <c r="S110" t="n">
        <v>49.797649</v>
      </c>
      <c r="T110" t="n">
        <v>49.797649</v>
      </c>
      <c r="U110" t="n">
        <v>25.643377</v>
      </c>
      <c r="V110" t="n">
        <v>25.643377</v>
      </c>
      <c r="W110" t="n">
        <v>51.082514</v>
      </c>
      <c r="X110" t="n">
        <v>274.518943</v>
      </c>
    </row>
    <row r="111" ht="21" customHeight="1">
      <c r="A111" t="inlineStr">
        <is>
          <t>Thunnus alalunga</t>
        </is>
      </c>
      <c r="B111" t="n">
        <v>4.3</v>
      </c>
      <c r="C111" t="n">
        <v>1995.262315</v>
      </c>
      <c r="D111" s="10" t="inlineStr">
        <is>
          <t>Piscivores</t>
        </is>
      </c>
      <c r="E111" t="n">
        <v>0</v>
      </c>
      <c r="F111" t="n">
        <v>304.388999</v>
      </c>
      <c r="G111" t="n">
        <v>2.268309</v>
      </c>
      <c r="H111" t="n">
        <v>2.300314</v>
      </c>
      <c r="I111" t="n">
        <v>249.259877</v>
      </c>
      <c r="J111" t="n">
        <v>251.428736</v>
      </c>
      <c r="K111" t="n">
        <v>202.148704</v>
      </c>
      <c r="L111" t="n">
        <v>282.597002</v>
      </c>
      <c r="M111" t="n">
        <v>282.597002</v>
      </c>
      <c r="N111" t="n">
        <v>286.033173</v>
      </c>
      <c r="O111" t="n">
        <v>49.797649</v>
      </c>
      <c r="P111" t="n">
        <v>25.643377</v>
      </c>
      <c r="Q111" t="n">
        <v>286.033173</v>
      </c>
      <c r="R111" t="n">
        <v>282.597002</v>
      </c>
      <c r="S111" t="n">
        <v>49.797649</v>
      </c>
      <c r="T111" t="n">
        <v>49.797649</v>
      </c>
      <c r="U111" t="n">
        <v>25.643377</v>
      </c>
      <c r="V111" t="n">
        <v>25.643377</v>
      </c>
      <c r="W111" t="n">
        <v>51.082514</v>
      </c>
      <c r="X111" t="n">
        <v>274.518943</v>
      </c>
    </row>
    <row r="112" ht="21" customHeight="1">
      <c r="A112" t="inlineStr">
        <is>
          <t>Platycephalus indicus</t>
        </is>
      </c>
      <c r="B112" t="n">
        <v>3.6</v>
      </c>
      <c r="C112" t="n">
        <v>398.107171</v>
      </c>
      <c r="D112" s="10" t="inlineStr">
        <is>
          <t>Piscivores</t>
        </is>
      </c>
      <c r="E112" t="n">
        <v>0</v>
      </c>
      <c r="F112" t="n">
        <v>304.388999</v>
      </c>
      <c r="G112" t="n">
        <v>2.268309</v>
      </c>
      <c r="H112" t="n">
        <v>2.300314</v>
      </c>
      <c r="I112" t="n">
        <v>249.259877</v>
      </c>
      <c r="J112" t="n">
        <v>251.428736</v>
      </c>
      <c r="K112" t="n">
        <v>202.148704</v>
      </c>
      <c r="L112" t="n">
        <v>282.597002</v>
      </c>
      <c r="M112" t="n">
        <v>282.597002</v>
      </c>
      <c r="N112" t="n">
        <v>286.033173</v>
      </c>
      <c r="O112" t="n">
        <v>49.797649</v>
      </c>
      <c r="P112" t="n">
        <v>25.643377</v>
      </c>
      <c r="Q112" t="n">
        <v>286.033173</v>
      </c>
      <c r="R112" t="n">
        <v>282.597002</v>
      </c>
      <c r="S112" t="n">
        <v>49.797649</v>
      </c>
      <c r="T112" t="n">
        <v>49.797649</v>
      </c>
      <c r="U112" t="n">
        <v>25.643377</v>
      </c>
      <c r="V112" t="n">
        <v>25.643377</v>
      </c>
      <c r="W112" t="n">
        <v>51.082514</v>
      </c>
      <c r="X112" t="n">
        <v>274.518943</v>
      </c>
    </row>
    <row r="113" ht="21" customHeight="1">
      <c r="A113" t="inlineStr">
        <is>
          <t>Mactridae</t>
        </is>
      </c>
      <c r="B113" t="n">
        <v>2</v>
      </c>
      <c r="C113" t="n">
        <v>10</v>
      </c>
      <c r="D113" s="10" t="inlineStr">
        <is>
          <t>Mollusks</t>
        </is>
      </c>
      <c r="E113" t="n">
        <v>0</v>
      </c>
      <c r="F113" t="n">
        <v>14.497407</v>
      </c>
      <c r="G113" t="n">
        <v>1.466668</v>
      </c>
      <c r="H113" t="n">
        <v>1.466497</v>
      </c>
      <c r="I113" t="n">
        <v>17.850747</v>
      </c>
      <c r="J113" t="n">
        <v>17.850747</v>
      </c>
      <c r="K113" t="n">
        <v>5.355224</v>
      </c>
      <c r="L113" t="n">
        <v>17.186608</v>
      </c>
      <c r="M113" t="n">
        <v>17.186608</v>
      </c>
      <c r="N113" t="n">
        <v>17.598965</v>
      </c>
      <c r="O113" t="n">
        <v>3.995111</v>
      </c>
      <c r="P113" t="n">
        <v>2.967513</v>
      </c>
      <c r="Q113" t="n">
        <v>17.598965</v>
      </c>
      <c r="R113" t="n">
        <v>17.186608</v>
      </c>
      <c r="S113" t="n">
        <v>3.995111</v>
      </c>
      <c r="T113" t="n">
        <v>3.995111</v>
      </c>
      <c r="U113" t="n">
        <v>2.967513</v>
      </c>
      <c r="V113" t="n">
        <v>2.967513</v>
      </c>
      <c r="W113" t="n">
        <v>3.990277</v>
      </c>
      <c r="X113" t="n">
        <v>17.941416</v>
      </c>
    </row>
    <row r="114" ht="21" customHeight="1">
      <c r="A114" t="inlineStr">
        <is>
          <t>Muraenesocidae</t>
        </is>
      </c>
      <c r="B114" t="n">
        <v>3.9</v>
      </c>
      <c r="C114" t="n">
        <v>794.3282349999999</v>
      </c>
      <c r="D114" s="10" t="inlineStr">
        <is>
          <t>Piscivores</t>
        </is>
      </c>
      <c r="E114" t="n">
        <v>0</v>
      </c>
      <c r="F114" t="n">
        <v>304.388999</v>
      </c>
      <c r="G114" t="n">
        <v>2.268309</v>
      </c>
      <c r="H114" t="n">
        <v>2.300314</v>
      </c>
      <c r="I114" t="n">
        <v>249.259877</v>
      </c>
      <c r="J114" t="n">
        <v>251.428736</v>
      </c>
      <c r="K114" t="n">
        <v>202.148704</v>
      </c>
      <c r="L114" t="n">
        <v>282.597002</v>
      </c>
      <c r="M114" t="n">
        <v>282.597002</v>
      </c>
      <c r="N114" t="n">
        <v>286.033173</v>
      </c>
      <c r="O114" t="n">
        <v>49.797649</v>
      </c>
      <c r="P114" t="n">
        <v>25.643377</v>
      </c>
      <c r="Q114" t="n">
        <v>286.033173</v>
      </c>
      <c r="R114" t="n">
        <v>282.597002</v>
      </c>
      <c r="S114" t="n">
        <v>49.797649</v>
      </c>
      <c r="T114" t="n">
        <v>49.797649</v>
      </c>
      <c r="U114" t="n">
        <v>25.643377</v>
      </c>
      <c r="V114" t="n">
        <v>25.643377</v>
      </c>
      <c r="W114" t="n">
        <v>51.082514</v>
      </c>
      <c r="X114" t="n">
        <v>274.518943</v>
      </c>
    </row>
    <row r="115" ht="21" customHeight="1">
      <c r="A115" t="inlineStr">
        <is>
          <t>Squalidae</t>
        </is>
      </c>
      <c r="D115" s="10" t="inlineStr">
        <is>
          <t>Sharks</t>
        </is>
      </c>
      <c r="E115" t="n">
        <v>0</v>
      </c>
      <c r="F115" t="n">
        <v>1154.744061</v>
      </c>
      <c r="G115" t="n">
        <v>2.745621</v>
      </c>
      <c r="H115" t="n">
        <v>2.742397</v>
      </c>
      <c r="I115" t="n">
        <v>0</v>
      </c>
      <c r="J115" t="n">
        <v>152.583853</v>
      </c>
      <c r="L115" t="n">
        <v>0</v>
      </c>
      <c r="M115" t="n">
        <v>0</v>
      </c>
      <c r="N115" t="n">
        <v>0</v>
      </c>
      <c r="O115" t="n">
        <v>205.199674</v>
      </c>
      <c r="P115" t="n">
        <v>93.831501</v>
      </c>
      <c r="Q115" t="n">
        <v>0</v>
      </c>
      <c r="R115" t="n">
        <v>0</v>
      </c>
      <c r="S115" t="n">
        <v>205.199674</v>
      </c>
      <c r="T115" t="n">
        <v>205.199674</v>
      </c>
      <c r="U115" t="n">
        <v>93.831501</v>
      </c>
      <c r="V115" t="n">
        <v>93.831501</v>
      </c>
      <c r="W115" t="n">
        <v>205.695409</v>
      </c>
      <c r="X115" t="n">
        <v>0</v>
      </c>
    </row>
    <row r="116" ht="21" customHeight="1">
      <c r="A116" t="inlineStr">
        <is>
          <t>Seriola lalandi</t>
        </is>
      </c>
      <c r="D116" s="10" t="inlineStr">
        <is>
          <t>Piscivores</t>
        </is>
      </c>
      <c r="E116" t="n">
        <v>0</v>
      </c>
      <c r="F116" t="n">
        <v>304.388999</v>
      </c>
      <c r="G116" t="n">
        <v>2.268309</v>
      </c>
      <c r="H116" t="n">
        <v>2.300314</v>
      </c>
      <c r="I116" t="n">
        <v>249.259877</v>
      </c>
      <c r="J116" t="n">
        <v>251.428736</v>
      </c>
      <c r="K116" t="n">
        <v>202.148704</v>
      </c>
      <c r="L116" t="n">
        <v>282.597002</v>
      </c>
      <c r="M116" t="n">
        <v>282.597002</v>
      </c>
      <c r="N116" t="n">
        <v>286.033173</v>
      </c>
      <c r="O116" t="n">
        <v>49.797649</v>
      </c>
      <c r="P116" t="n">
        <v>25.643377</v>
      </c>
      <c r="Q116" t="n">
        <v>286.033173</v>
      </c>
      <c r="R116" t="n">
        <v>282.597002</v>
      </c>
      <c r="S116" t="n">
        <v>49.797649</v>
      </c>
      <c r="T116" t="n">
        <v>49.797649</v>
      </c>
      <c r="U116" t="n">
        <v>25.643377</v>
      </c>
      <c r="V116" t="n">
        <v>25.643377</v>
      </c>
      <c r="W116" t="n">
        <v>51.082514</v>
      </c>
      <c r="X116" t="n">
        <v>274.518943</v>
      </c>
    </row>
    <row r="117" ht="21" customHeight="1">
      <c r="A117" t="inlineStr">
        <is>
          <t>Portunidae</t>
        </is>
      </c>
      <c r="B117" t="n">
        <v>3.56</v>
      </c>
      <c r="C117" t="n">
        <v>363.078055</v>
      </c>
      <c r="D117" s="10" t="inlineStr">
        <is>
          <t>Crabs</t>
        </is>
      </c>
      <c r="E117" t="n">
        <v>0</v>
      </c>
      <c r="F117" t="n">
        <v>21.002175</v>
      </c>
      <c r="G117" t="n">
        <v>1.546636</v>
      </c>
      <c r="H117" t="n">
        <v>1.565985</v>
      </c>
      <c r="I117" t="n">
        <v>12.039474</v>
      </c>
      <c r="J117" t="n">
        <v>12.039474</v>
      </c>
      <c r="K117" t="n">
        <v>11.028158</v>
      </c>
      <c r="L117" t="n">
        <v>11.032425</v>
      </c>
      <c r="M117" t="n">
        <v>11.032425</v>
      </c>
      <c r="N117" t="n">
        <v>11.257068</v>
      </c>
      <c r="O117" t="n">
        <v>7.495998</v>
      </c>
      <c r="P117" t="n">
        <v>5.212079</v>
      </c>
      <c r="Q117" t="n">
        <v>11.257068</v>
      </c>
      <c r="R117" t="n">
        <v>11.032425</v>
      </c>
      <c r="S117" t="n">
        <v>7.495998</v>
      </c>
      <c r="T117" t="n">
        <v>7.495998</v>
      </c>
      <c r="U117" t="n">
        <v>5.212079</v>
      </c>
      <c r="V117" t="n">
        <v>5.212079</v>
      </c>
      <c r="W117" t="n">
        <v>7.53635</v>
      </c>
      <c r="X117" t="n">
        <v>11.035506</v>
      </c>
    </row>
    <row r="118" ht="21" customHeight="1">
      <c r="A118" t="inlineStr">
        <is>
          <t>Pagrus auratus</t>
        </is>
      </c>
      <c r="B118" t="n">
        <v>3.59</v>
      </c>
      <c r="C118" t="n">
        <v>389.045145</v>
      </c>
      <c r="D118" s="10" t="inlineStr">
        <is>
          <t>Omnivores</t>
        </is>
      </c>
      <c r="E118" t="n">
        <v>0</v>
      </c>
      <c r="F118" t="n">
        <v>131.221463</v>
      </c>
      <c r="G118" t="n">
        <v>2.01077</v>
      </c>
      <c r="H118" t="n">
        <v>2.036134</v>
      </c>
      <c r="I118" t="n">
        <v>66.04435700000001</v>
      </c>
      <c r="J118" t="n">
        <v>68.25582300000001</v>
      </c>
      <c r="K118" t="n">
        <v>68.187568</v>
      </c>
      <c r="L118" t="n">
        <v>72.544996</v>
      </c>
      <c r="M118" t="n">
        <v>72.544996</v>
      </c>
      <c r="N118" t="n">
        <v>73.57283200000001</v>
      </c>
      <c r="O118" t="n">
        <v>17.500018</v>
      </c>
      <c r="P118" t="n">
        <v>10.032554</v>
      </c>
      <c r="Q118" t="n">
        <v>73.57283200000001</v>
      </c>
      <c r="R118" t="n">
        <v>72.544996</v>
      </c>
      <c r="S118" t="n">
        <v>17.500018</v>
      </c>
      <c r="T118" t="n">
        <v>17.500018</v>
      </c>
      <c r="U118" t="n">
        <v>10.032554</v>
      </c>
      <c r="V118" t="n">
        <v>10.032554</v>
      </c>
      <c r="W118" t="n">
        <v>17.704629</v>
      </c>
      <c r="X118" t="n">
        <v>72.854687</v>
      </c>
    </row>
    <row r="119" ht="21" customHeight="1">
      <c r="A119" t="inlineStr">
        <is>
          <t>Thunnus obesus</t>
        </is>
      </c>
      <c r="B119" t="n">
        <v>4.49</v>
      </c>
      <c r="C119" t="n">
        <v>3090.295433</v>
      </c>
      <c r="D119" s="10" t="inlineStr">
        <is>
          <t>Piscivores</t>
        </is>
      </c>
      <c r="E119" t="n">
        <v>0</v>
      </c>
      <c r="F119" t="n">
        <v>304.388999</v>
      </c>
      <c r="G119" t="n">
        <v>2.268309</v>
      </c>
      <c r="H119" t="n">
        <v>2.300314</v>
      </c>
      <c r="I119" t="n">
        <v>249.259877</v>
      </c>
      <c r="J119" t="n">
        <v>251.428736</v>
      </c>
      <c r="K119" t="n">
        <v>202.148704</v>
      </c>
      <c r="L119" t="n">
        <v>282.597002</v>
      </c>
      <c r="M119" t="n">
        <v>282.597002</v>
      </c>
      <c r="N119" t="n">
        <v>286.033173</v>
      </c>
      <c r="O119" t="n">
        <v>49.797649</v>
      </c>
      <c r="P119" t="n">
        <v>25.643377</v>
      </c>
      <c r="Q119" t="n">
        <v>286.033173</v>
      </c>
      <c r="R119" t="n">
        <v>282.597002</v>
      </c>
      <c r="S119" t="n">
        <v>49.797649</v>
      </c>
      <c r="T119" t="n">
        <v>49.797649</v>
      </c>
      <c r="U119" t="n">
        <v>25.643377</v>
      </c>
      <c r="V119" t="n">
        <v>25.643377</v>
      </c>
      <c r="W119" t="n">
        <v>51.082514</v>
      </c>
      <c r="X119" t="n">
        <v>274.518943</v>
      </c>
    </row>
    <row r="120" ht="21" customHeight="1">
      <c r="A120" t="inlineStr">
        <is>
          <t>Haemulidae</t>
        </is>
      </c>
      <c r="B120" t="n">
        <v>3.36</v>
      </c>
      <c r="C120" t="n">
        <v>229.086765</v>
      </c>
      <c r="D120" s="10" t="inlineStr">
        <is>
          <t>Benthivores</t>
        </is>
      </c>
      <c r="E120" t="n">
        <v>0</v>
      </c>
      <c r="F120" t="n">
        <v>67.81478300000001</v>
      </c>
      <c r="G120" t="n">
        <v>1.829368</v>
      </c>
      <c r="H120" t="n">
        <v>1.84033</v>
      </c>
      <c r="I120" t="n">
        <v>33.988491</v>
      </c>
      <c r="J120" t="n">
        <v>35.780255</v>
      </c>
      <c r="K120" t="n">
        <v>35.601354</v>
      </c>
      <c r="L120" t="n">
        <v>385.228839</v>
      </c>
      <c r="M120" t="n">
        <v>385.228839</v>
      </c>
      <c r="N120" t="n">
        <v>391.588003</v>
      </c>
      <c r="O120" t="n">
        <v>16.66963</v>
      </c>
      <c r="P120" t="n">
        <v>9.973879999999999</v>
      </c>
      <c r="Q120" t="n">
        <v>391.588003</v>
      </c>
      <c r="R120" t="n">
        <v>385.228839</v>
      </c>
      <c r="S120" t="n">
        <v>16.66963</v>
      </c>
      <c r="T120" t="n">
        <v>16.66963</v>
      </c>
      <c r="U120" t="n">
        <v>9.973879999999999</v>
      </c>
      <c r="V120" t="n">
        <v>9.973879999999999</v>
      </c>
      <c r="W120" t="n">
        <v>17.246706</v>
      </c>
      <c r="X120" t="n">
        <v>42.474741</v>
      </c>
    </row>
    <row r="121" ht="21" customHeight="1">
      <c r="A121" t="inlineStr">
        <is>
          <t>Gastropoda</t>
        </is>
      </c>
      <c r="B121" t="n">
        <v>3.06</v>
      </c>
      <c r="C121" t="n">
        <v>114.815362</v>
      </c>
      <c r="D121" s="10" t="inlineStr">
        <is>
          <t>Mollusks</t>
        </is>
      </c>
      <c r="E121" t="n">
        <v>0</v>
      </c>
      <c r="F121" t="n">
        <v>14.497407</v>
      </c>
      <c r="G121" t="n">
        <v>1.466668</v>
      </c>
      <c r="H121" t="n">
        <v>1.466497</v>
      </c>
      <c r="I121" t="n">
        <v>17.850747</v>
      </c>
      <c r="J121" t="n">
        <v>17.850747</v>
      </c>
      <c r="K121" t="n">
        <v>5.355224</v>
      </c>
      <c r="L121" t="n">
        <v>17.186608</v>
      </c>
      <c r="M121" t="n">
        <v>17.186608</v>
      </c>
      <c r="N121" t="n">
        <v>17.598965</v>
      </c>
      <c r="O121" t="n">
        <v>3.995111</v>
      </c>
      <c r="P121" t="n">
        <v>2.967513</v>
      </c>
      <c r="Q121" t="n">
        <v>17.598965</v>
      </c>
      <c r="R121" t="n">
        <v>17.186608</v>
      </c>
      <c r="S121" t="n">
        <v>3.995111</v>
      </c>
      <c r="T121" t="n">
        <v>3.995111</v>
      </c>
      <c r="U121" t="n">
        <v>2.967513</v>
      </c>
      <c r="V121" t="n">
        <v>2.967513</v>
      </c>
      <c r="W121" t="n">
        <v>3.990277</v>
      </c>
      <c r="X121" t="n">
        <v>17.941416</v>
      </c>
    </row>
    <row r="122" ht="21" customHeight="1">
      <c r="A122" t="inlineStr">
        <is>
          <t>Holothuroidea</t>
        </is>
      </c>
      <c r="B122" t="n">
        <v>2</v>
      </c>
      <c r="C122" t="n">
        <v>10</v>
      </c>
      <c r="D122" s="10" t="inlineStr">
        <is>
          <t>Echinoderms</t>
        </is>
      </c>
      <c r="E122" t="n">
        <v>0</v>
      </c>
      <c r="F122" t="n">
        <v>14.362944</v>
      </c>
      <c r="G122" t="n">
        <v>1.464712</v>
      </c>
      <c r="H122" t="n">
        <v>1.389744</v>
      </c>
      <c r="I122" t="n">
        <v>47.528559</v>
      </c>
      <c r="J122" t="n">
        <v>47.528559</v>
      </c>
      <c r="K122" t="n">
        <v>8.650198</v>
      </c>
      <c r="L122" t="n">
        <v>98169.820373</v>
      </c>
      <c r="M122" t="n">
        <v>98169.820373</v>
      </c>
      <c r="N122" t="n">
        <v>99766.36788799999</v>
      </c>
      <c r="O122" t="n">
        <v>7.082345</v>
      </c>
      <c r="P122" t="n">
        <v>4.85352</v>
      </c>
      <c r="Q122" t="n">
        <v>99766.36788799999</v>
      </c>
      <c r="R122" t="n">
        <v>98169.820373</v>
      </c>
      <c r="S122" t="n">
        <v>7.082345</v>
      </c>
      <c r="T122" t="n">
        <v>7.082345</v>
      </c>
      <c r="U122" t="n">
        <v>4.85352</v>
      </c>
      <c r="V122" t="n">
        <v>4.85352</v>
      </c>
      <c r="W122" t="n">
        <v>7.237529</v>
      </c>
      <c r="X122" t="n">
        <v>1019.755013</v>
      </c>
    </row>
    <row r="123" ht="21" customHeight="1">
      <c r="A123" t="inlineStr">
        <is>
          <t>Penaeus japonicus</t>
        </is>
      </c>
      <c r="B123" t="n">
        <v>2.7</v>
      </c>
      <c r="C123" t="n">
        <v>50.118723</v>
      </c>
      <c r="D123" s="10" t="inlineStr">
        <is>
          <t>Shrimps</t>
        </is>
      </c>
      <c r="E123" t="n">
        <v>0</v>
      </c>
      <c r="F123" t="n">
        <v>20.606299</v>
      </c>
      <c r="G123" t="n">
        <v>1.542427</v>
      </c>
      <c r="H123" t="n">
        <v>1.561295</v>
      </c>
      <c r="I123" t="n">
        <v>15.075177</v>
      </c>
      <c r="J123" t="n">
        <v>15.075177</v>
      </c>
      <c r="K123" t="n">
        <v>15.060102</v>
      </c>
      <c r="L123" t="n">
        <v>13.927162</v>
      </c>
      <c r="M123" t="n">
        <v>13.927162</v>
      </c>
      <c r="N123" t="n">
        <v>14.183251</v>
      </c>
      <c r="O123" t="n">
        <v>7.969433</v>
      </c>
      <c r="P123" t="n">
        <v>5.681336</v>
      </c>
      <c r="Q123" t="n">
        <v>14.183251</v>
      </c>
      <c r="R123" t="n">
        <v>13.927162</v>
      </c>
      <c r="S123" t="n">
        <v>7.969433</v>
      </c>
      <c r="T123" t="n">
        <v>7.969433</v>
      </c>
      <c r="U123" t="n">
        <v>5.681336</v>
      </c>
      <c r="V123" t="n">
        <v>5.681336</v>
      </c>
      <c r="W123" t="n">
        <v>8.136905</v>
      </c>
      <c r="X123" t="n">
        <v>14.885026</v>
      </c>
    </row>
    <row r="124" ht="21" customHeight="1">
      <c r="A124" t="inlineStr">
        <is>
          <t>Mytilidae</t>
        </is>
      </c>
      <c r="B124" t="n">
        <v>2</v>
      </c>
      <c r="C124" t="n">
        <v>10</v>
      </c>
      <c r="D124" s="10" t="inlineStr">
        <is>
          <t>Mollusks</t>
        </is>
      </c>
      <c r="E124" t="n">
        <v>0</v>
      </c>
      <c r="F124" t="n">
        <v>14.497407</v>
      </c>
      <c r="G124" t="n">
        <v>1.466668</v>
      </c>
      <c r="H124" t="n">
        <v>1.466497</v>
      </c>
      <c r="I124" t="n">
        <v>17.850747</v>
      </c>
      <c r="J124" t="n">
        <v>17.850747</v>
      </c>
      <c r="K124" t="n">
        <v>5.355224</v>
      </c>
      <c r="L124" t="n">
        <v>17.186608</v>
      </c>
      <c r="M124" t="n">
        <v>17.186608</v>
      </c>
      <c r="N124" t="n">
        <v>17.598965</v>
      </c>
      <c r="O124" t="n">
        <v>3.995111</v>
      </c>
      <c r="P124" t="n">
        <v>2.967513</v>
      </c>
      <c r="Q124" t="n">
        <v>17.598965</v>
      </c>
      <c r="R124" t="n">
        <v>17.186608</v>
      </c>
      <c r="S124" t="n">
        <v>3.995111</v>
      </c>
      <c r="T124" t="n">
        <v>3.995111</v>
      </c>
      <c r="U124" t="n">
        <v>2.967513</v>
      </c>
      <c r="V124" t="n">
        <v>2.967513</v>
      </c>
      <c r="W124" t="n">
        <v>3.990277</v>
      </c>
      <c r="X124" t="n">
        <v>17.941416</v>
      </c>
    </row>
    <row r="125" ht="21" customHeight="1">
      <c r="A125" t="inlineStr">
        <is>
          <t>Penaeidae</t>
        </is>
      </c>
      <c r="B125" t="n">
        <v>3.31</v>
      </c>
      <c r="C125" t="n">
        <v>204.173794</v>
      </c>
      <c r="D125" s="10" t="inlineStr">
        <is>
          <t>Shrimps</t>
        </is>
      </c>
      <c r="E125" t="n">
        <v>0</v>
      </c>
      <c r="F125" t="n">
        <v>20.606299</v>
      </c>
      <c r="G125" t="n">
        <v>1.542427</v>
      </c>
      <c r="H125" t="n">
        <v>1.561295</v>
      </c>
      <c r="I125" t="n">
        <v>15.075177</v>
      </c>
      <c r="J125" t="n">
        <v>15.075177</v>
      </c>
      <c r="K125" t="n">
        <v>15.060102</v>
      </c>
      <c r="L125" t="n">
        <v>13.927162</v>
      </c>
      <c r="M125" t="n">
        <v>13.927162</v>
      </c>
      <c r="N125" t="n">
        <v>14.183251</v>
      </c>
      <c r="O125" t="n">
        <v>7.969433</v>
      </c>
      <c r="P125" t="n">
        <v>5.681336</v>
      </c>
      <c r="Q125" t="n">
        <v>14.183251</v>
      </c>
      <c r="R125" t="n">
        <v>13.927162</v>
      </c>
      <c r="S125" t="n">
        <v>7.969433</v>
      </c>
      <c r="T125" t="n">
        <v>7.969433</v>
      </c>
      <c r="U125" t="n">
        <v>5.681336</v>
      </c>
      <c r="V125" t="n">
        <v>5.681336</v>
      </c>
      <c r="W125" t="n">
        <v>8.136905</v>
      </c>
      <c r="X125" t="n">
        <v>14.885026</v>
      </c>
    </row>
    <row r="126" ht="21" customHeight="1">
      <c r="A126" t="inlineStr">
        <is>
          <t>Trichiuridae</t>
        </is>
      </c>
      <c r="B126" t="n">
        <v>4.15</v>
      </c>
      <c r="C126" t="n">
        <v>1412.537545</v>
      </c>
      <c r="D126" s="10" t="inlineStr">
        <is>
          <t>Hairtails</t>
        </is>
      </c>
      <c r="E126" t="n">
        <v>0</v>
      </c>
      <c r="F126" t="n">
        <v>137.300843</v>
      </c>
      <c r="G126" t="n">
        <v>2.023855</v>
      </c>
      <c r="H126" t="n">
        <v>1.935295</v>
      </c>
      <c r="I126" t="n">
        <v>245.6862</v>
      </c>
      <c r="J126" t="n">
        <v>262.948295</v>
      </c>
      <c r="K126" t="n">
        <v>262.422398</v>
      </c>
      <c r="L126" t="n">
        <v>395.11592</v>
      </c>
      <c r="M126" t="n">
        <v>395.11592</v>
      </c>
      <c r="N126" t="n">
        <v>400.567632</v>
      </c>
      <c r="O126" t="n">
        <v>71.211755</v>
      </c>
      <c r="P126" t="n">
        <v>35.749118</v>
      </c>
      <c r="Q126" t="n">
        <v>400.567632</v>
      </c>
      <c r="R126" t="n">
        <v>395.11592</v>
      </c>
      <c r="S126" t="n">
        <v>71.211755</v>
      </c>
      <c r="T126" t="n">
        <v>71.211755</v>
      </c>
      <c r="U126" t="n">
        <v>35.749118</v>
      </c>
      <c r="V126" t="n">
        <v>35.749118</v>
      </c>
      <c r="W126" t="n">
        <v>71.925944</v>
      </c>
      <c r="X126" t="n">
        <v>401.698177</v>
      </c>
    </row>
    <row r="127" ht="21" customHeight="1">
      <c r="A127" t="inlineStr">
        <is>
          <t>Parastromateus niger</t>
        </is>
      </c>
      <c r="B127" t="n">
        <v>2.93</v>
      </c>
      <c r="C127" t="n">
        <v>85.113804</v>
      </c>
      <c r="D127" s="10" t="inlineStr">
        <is>
          <t>Planktivores/piscivores</t>
        </is>
      </c>
      <c r="E127" t="n">
        <v>0</v>
      </c>
      <c r="F127" t="n">
        <v>123.077794</v>
      </c>
      <c r="G127" t="n">
        <v>1.992402</v>
      </c>
      <c r="H127" t="n">
        <v>1.97781</v>
      </c>
      <c r="I127" t="n">
        <v>560.299311</v>
      </c>
      <c r="J127" t="n">
        <v>592.272682</v>
      </c>
      <c r="K127" t="n">
        <v>209.072257</v>
      </c>
      <c r="L127" t="n">
        <v>660.166914</v>
      </c>
      <c r="M127" t="n">
        <v>660.166914</v>
      </c>
      <c r="N127" t="n">
        <v>670.165526</v>
      </c>
      <c r="O127" t="n">
        <v>72.857719</v>
      </c>
      <c r="P127" t="n">
        <v>43.071646</v>
      </c>
      <c r="Q127" t="n">
        <v>670.165526</v>
      </c>
      <c r="R127" t="n">
        <v>660.166914</v>
      </c>
      <c r="S127" t="n">
        <v>72.857719</v>
      </c>
      <c r="T127" t="n">
        <v>72.857719</v>
      </c>
      <c r="U127" t="n">
        <v>43.071646</v>
      </c>
      <c r="V127" t="n">
        <v>43.071646</v>
      </c>
      <c r="W127" t="n">
        <v>75.193746</v>
      </c>
      <c r="X127" t="n">
        <v>683.804243</v>
      </c>
    </row>
    <row r="128" ht="21" customHeight="1">
      <c r="A128" t="inlineStr">
        <is>
          <t>Miichthys miiuy</t>
        </is>
      </c>
      <c r="B128" t="n">
        <v>3.5</v>
      </c>
      <c r="C128" t="n">
        <v>316.227766</v>
      </c>
      <c r="D128" s="10" t="inlineStr">
        <is>
          <t>Benthivores/piscivores</t>
        </is>
      </c>
      <c r="E128" t="n">
        <v>0</v>
      </c>
      <c r="F128" t="n">
        <v>136.120059</v>
      </c>
      <c r="G128" t="n">
        <v>2.021353</v>
      </c>
      <c r="H128" t="n">
        <v>2.039787</v>
      </c>
      <c r="I128" t="n">
        <v>36.046055</v>
      </c>
      <c r="J128" t="n">
        <v>36.076344</v>
      </c>
      <c r="K128" t="n">
        <v>35.535199</v>
      </c>
      <c r="L128" t="n">
        <v>34.759886</v>
      </c>
      <c r="M128" t="n">
        <v>34.759886</v>
      </c>
      <c r="N128" t="n">
        <v>35.313702</v>
      </c>
      <c r="O128" t="n">
        <v>13.890783</v>
      </c>
      <c r="P128" t="n">
        <v>8.319739999999999</v>
      </c>
      <c r="Q128" t="n">
        <v>35.313702</v>
      </c>
      <c r="R128" t="n">
        <v>34.759886</v>
      </c>
      <c r="S128" t="n">
        <v>13.890783</v>
      </c>
      <c r="T128" t="n">
        <v>13.890783</v>
      </c>
      <c r="U128" t="n">
        <v>8.319739999999999</v>
      </c>
      <c r="V128" t="n">
        <v>8.319739999999999</v>
      </c>
      <c r="W128" t="n">
        <v>14.220855</v>
      </c>
      <c r="X128" t="n">
        <v>35.767132</v>
      </c>
    </row>
    <row r="129" ht="21" customHeight="1">
      <c r="A129" t="inlineStr">
        <is>
          <t>Nemopilema nomurai</t>
        </is>
      </c>
      <c r="B129" t="n">
        <v>3.57</v>
      </c>
      <c r="C129" t="n">
        <v>371.535229</v>
      </c>
      <c r="D129" s="10" t="inlineStr">
        <is>
          <t>Other invertebrates</t>
        </is>
      </c>
      <c r="E129" t="n">
        <v>0</v>
      </c>
      <c r="F129" t="n">
        <v>10</v>
      </c>
      <c r="G129" t="n">
        <v>1.39069</v>
      </c>
      <c r="H129" t="n">
        <v>1.39069</v>
      </c>
      <c r="I129" t="n">
        <v>14.61039</v>
      </c>
      <c r="J129" t="n">
        <v>14.61039</v>
      </c>
      <c r="K129" t="n">
        <v>9</v>
      </c>
      <c r="L129" t="n">
        <v>13.760094</v>
      </c>
      <c r="M129" t="n">
        <v>13.760094</v>
      </c>
      <c r="N129" t="n">
        <v>13.94977</v>
      </c>
      <c r="O129" t="n">
        <v>9.664044000000001</v>
      </c>
      <c r="P129" t="n">
        <v>7.828167</v>
      </c>
      <c r="Q129" t="n">
        <v>13.94977</v>
      </c>
      <c r="R129" t="n">
        <v>13.760094</v>
      </c>
      <c r="S129" t="n">
        <v>9.664044000000001</v>
      </c>
      <c r="T129" t="n">
        <v>9.664044000000001</v>
      </c>
      <c r="U129" t="n">
        <v>7.828167</v>
      </c>
      <c r="V129" t="n">
        <v>7.828167</v>
      </c>
      <c r="W129" t="n">
        <v>9.661211</v>
      </c>
      <c r="X129" t="n">
        <v>13.78907</v>
      </c>
    </row>
    <row r="130" ht="21" customHeight="1">
      <c r="A130" t="inlineStr">
        <is>
          <t>Decapterus</t>
        </is>
      </c>
      <c r="B130" t="n">
        <v>3.63</v>
      </c>
      <c r="C130" t="n">
        <v>426.579519</v>
      </c>
      <c r="D130" s="10" t="inlineStr">
        <is>
          <t>Planktivores/piscivores</t>
        </is>
      </c>
      <c r="E130" t="n">
        <v>0</v>
      </c>
      <c r="F130" t="n">
        <v>123.077794</v>
      </c>
      <c r="G130" t="n">
        <v>1.992402</v>
      </c>
      <c r="H130" t="n">
        <v>1.97781</v>
      </c>
      <c r="I130" t="n">
        <v>560.299311</v>
      </c>
      <c r="J130" t="n">
        <v>592.272682</v>
      </c>
      <c r="K130" t="n">
        <v>209.072257</v>
      </c>
      <c r="L130" t="n">
        <v>660.166914</v>
      </c>
      <c r="M130" t="n">
        <v>660.166914</v>
      </c>
      <c r="N130" t="n">
        <v>670.165526</v>
      </c>
      <c r="O130" t="n">
        <v>72.857719</v>
      </c>
      <c r="P130" t="n">
        <v>43.071646</v>
      </c>
      <c r="Q130" t="n">
        <v>670.165526</v>
      </c>
      <c r="R130" t="n">
        <v>660.166914</v>
      </c>
      <c r="S130" t="n">
        <v>72.857719</v>
      </c>
      <c r="T130" t="n">
        <v>72.857719</v>
      </c>
      <c r="U130" t="n">
        <v>43.071646</v>
      </c>
      <c r="V130" t="n">
        <v>43.071646</v>
      </c>
      <c r="W130" t="n">
        <v>75.193746</v>
      </c>
      <c r="X130" t="n">
        <v>683.804243</v>
      </c>
    </row>
    <row r="131" ht="21" customHeight="1">
      <c r="A131" t="inlineStr">
        <is>
          <t>Gadus chalcogrammus</t>
        </is>
      </c>
      <c r="B131" t="n">
        <v>3.57</v>
      </c>
      <c r="C131" t="n">
        <v>371.535229</v>
      </c>
      <c r="D131" s="10" t="inlineStr">
        <is>
          <t>Planktivores/piscivores</t>
        </is>
      </c>
      <c r="E131" t="n">
        <v>0</v>
      </c>
      <c r="F131" t="n">
        <v>123.077794</v>
      </c>
      <c r="G131" t="n">
        <v>1.992402</v>
      </c>
      <c r="H131" t="n">
        <v>1.97781</v>
      </c>
      <c r="I131" t="n">
        <v>560.299311</v>
      </c>
      <c r="J131" t="n">
        <v>592.272682</v>
      </c>
      <c r="K131" t="n">
        <v>209.072257</v>
      </c>
      <c r="L131" t="n">
        <v>660.166914</v>
      </c>
      <c r="M131" t="n">
        <v>660.166914</v>
      </c>
      <c r="N131" t="n">
        <v>670.165526</v>
      </c>
      <c r="O131" t="n">
        <v>72.857719</v>
      </c>
      <c r="P131" t="n">
        <v>43.071646</v>
      </c>
      <c r="Q131" t="n">
        <v>670.165526</v>
      </c>
      <c r="R131" t="n">
        <v>660.166914</v>
      </c>
      <c r="S131" t="n">
        <v>72.857719</v>
      </c>
      <c r="T131" t="n">
        <v>72.857719</v>
      </c>
      <c r="U131" t="n">
        <v>43.071646</v>
      </c>
      <c r="V131" t="n">
        <v>43.071646</v>
      </c>
      <c r="W131" t="n">
        <v>75.193746</v>
      </c>
      <c r="X131" t="n">
        <v>683.804243</v>
      </c>
    </row>
    <row r="132" ht="21" customHeight="1">
      <c r="A132" t="inlineStr">
        <is>
          <t>Branchiostegus japonicus</t>
        </is>
      </c>
      <c r="D132" s="10" t="inlineStr">
        <is>
          <t>Benthivores/piscivores</t>
        </is>
      </c>
      <c r="E132" t="n">
        <v>0</v>
      </c>
      <c r="F132" t="n">
        <v>136.120059</v>
      </c>
      <c r="G132" t="n">
        <v>2.021353</v>
      </c>
      <c r="H132" t="n">
        <v>2.039787</v>
      </c>
      <c r="I132" t="n">
        <v>36.046055</v>
      </c>
      <c r="J132" t="n">
        <v>36.076344</v>
      </c>
      <c r="K132" t="n">
        <v>35.535199</v>
      </c>
      <c r="L132" t="n">
        <v>34.759886</v>
      </c>
      <c r="M132" t="n">
        <v>34.759886</v>
      </c>
      <c r="N132" t="n">
        <v>35.313702</v>
      </c>
      <c r="O132" t="n">
        <v>13.890783</v>
      </c>
      <c r="P132" t="n">
        <v>8.319739999999999</v>
      </c>
      <c r="Q132" t="n">
        <v>35.313702</v>
      </c>
      <c r="R132" t="n">
        <v>34.759886</v>
      </c>
      <c r="S132" t="n">
        <v>13.890783</v>
      </c>
      <c r="T132" t="n">
        <v>13.890783</v>
      </c>
      <c r="U132" t="n">
        <v>8.319739999999999</v>
      </c>
      <c r="V132" t="n">
        <v>8.319739999999999</v>
      </c>
      <c r="W132" t="n">
        <v>14.220855</v>
      </c>
      <c r="X132" t="n">
        <v>35.767132</v>
      </c>
    </row>
    <row r="133" ht="21" customHeight="1">
      <c r="A133" t="inlineStr">
        <is>
          <t>Meretrix lusoria</t>
        </is>
      </c>
      <c r="B133" t="n">
        <v>2</v>
      </c>
      <c r="C133" t="n">
        <v>10</v>
      </c>
      <c r="D133" s="10" t="inlineStr">
        <is>
          <t>Mollusks</t>
        </is>
      </c>
      <c r="E133" t="n">
        <v>0</v>
      </c>
      <c r="F133" t="n">
        <v>14.497407</v>
      </c>
      <c r="G133" t="n">
        <v>1.466668</v>
      </c>
      <c r="H133" t="n">
        <v>1.466497</v>
      </c>
      <c r="I133" t="n">
        <v>17.850747</v>
      </c>
      <c r="J133" t="n">
        <v>17.850747</v>
      </c>
      <c r="K133" t="n">
        <v>5.355224</v>
      </c>
      <c r="L133" t="n">
        <v>17.186608</v>
      </c>
      <c r="M133" t="n">
        <v>17.186608</v>
      </c>
      <c r="N133" t="n">
        <v>17.598965</v>
      </c>
      <c r="O133" t="n">
        <v>3.995111</v>
      </c>
      <c r="P133" t="n">
        <v>2.967513</v>
      </c>
      <c r="Q133" t="n">
        <v>17.598965</v>
      </c>
      <c r="R133" t="n">
        <v>17.186608</v>
      </c>
      <c r="S133" t="n">
        <v>3.995111</v>
      </c>
      <c r="T133" t="n">
        <v>3.995111</v>
      </c>
      <c r="U133" t="n">
        <v>2.967513</v>
      </c>
      <c r="V133" t="n">
        <v>2.967513</v>
      </c>
      <c r="W133" t="n">
        <v>3.990277</v>
      </c>
      <c r="X133" t="n">
        <v>17.941416</v>
      </c>
    </row>
    <row r="134" ht="36" customHeight="1">
      <c r="A134" t="inlineStr">
        <is>
          <t>Gadidae</t>
        </is>
      </c>
      <c r="B134" t="n">
        <v>3.84</v>
      </c>
      <c r="C134" t="n">
        <v>691.830971</v>
      </c>
      <c r="D134" s="10" t="inlineStr">
        <is>
          <t>Benthivores/piscivores | Planktivores/piscivores</t>
        </is>
      </c>
      <c r="E134" t="n">
        <v>0</v>
      </c>
      <c r="F134" t="n">
        <v>131.077212</v>
      </c>
      <c r="G134" t="n">
        <v>2.010159</v>
      </c>
      <c r="H134" t="n">
        <v>2.015823</v>
      </c>
      <c r="I134" t="n">
        <v>238.750801</v>
      </c>
      <c r="J134" t="n">
        <v>251.132019</v>
      </c>
      <c r="K134" t="n">
        <v>102.634039</v>
      </c>
      <c r="L134" t="n">
        <v>276.576167</v>
      </c>
      <c r="M134" t="n">
        <v>276.576167</v>
      </c>
      <c r="N134" t="n">
        <v>280.781854</v>
      </c>
      <c r="O134" t="n">
        <v>36.690599</v>
      </c>
      <c r="P134" t="n">
        <v>21.756712</v>
      </c>
      <c r="Q134" t="n">
        <v>280.781854</v>
      </c>
      <c r="R134" t="n">
        <v>276.576167</v>
      </c>
      <c r="S134" t="n">
        <v>36.690599</v>
      </c>
      <c r="T134" t="n">
        <v>36.690599</v>
      </c>
      <c r="U134" t="n">
        <v>21.756712</v>
      </c>
      <c r="V134" t="n">
        <v>21.756712</v>
      </c>
      <c r="W134" t="n">
        <v>37.796282</v>
      </c>
      <c r="X134" t="n">
        <v>286.333431</v>
      </c>
    </row>
    <row r="135" ht="21" customHeight="1">
      <c r="A135" t="inlineStr">
        <is>
          <t>Scomberomorus guttatus</t>
        </is>
      </c>
      <c r="B135" t="n">
        <v>4.28</v>
      </c>
      <c r="C135" t="n">
        <v>1905.460718</v>
      </c>
      <c r="D135" s="10" t="inlineStr">
        <is>
          <t>Piscivores</t>
        </is>
      </c>
      <c r="E135" t="n">
        <v>0</v>
      </c>
      <c r="F135" t="n">
        <v>304.388999</v>
      </c>
      <c r="G135" t="n">
        <v>2.268309</v>
      </c>
      <c r="H135" t="n">
        <v>2.300314</v>
      </c>
      <c r="I135" t="n">
        <v>249.259877</v>
      </c>
      <c r="J135" t="n">
        <v>251.428736</v>
      </c>
      <c r="K135" t="n">
        <v>202.148704</v>
      </c>
      <c r="L135" t="n">
        <v>282.597002</v>
      </c>
      <c r="M135" t="n">
        <v>282.597002</v>
      </c>
      <c r="N135" t="n">
        <v>286.033173</v>
      </c>
      <c r="O135" t="n">
        <v>49.797649</v>
      </c>
      <c r="P135" t="n">
        <v>25.643377</v>
      </c>
      <c r="Q135" t="n">
        <v>286.033173</v>
      </c>
      <c r="R135" t="n">
        <v>282.597002</v>
      </c>
      <c r="S135" t="n">
        <v>49.797649</v>
      </c>
      <c r="T135" t="n">
        <v>49.797649</v>
      </c>
      <c r="U135" t="n">
        <v>25.643377</v>
      </c>
      <c r="V135" t="n">
        <v>25.643377</v>
      </c>
      <c r="W135" t="n">
        <v>51.082514</v>
      </c>
      <c r="X135" t="n">
        <v>274.518943</v>
      </c>
    </row>
    <row r="136" ht="21" customHeight="1">
      <c r="A136" t="inlineStr">
        <is>
          <t>Tegillarca granosa</t>
        </is>
      </c>
      <c r="B136" t="n">
        <v>2</v>
      </c>
      <c r="C136" t="n">
        <v>10</v>
      </c>
      <c r="D136" s="10" t="inlineStr">
        <is>
          <t>Mollusks</t>
        </is>
      </c>
      <c r="E136" t="n">
        <v>0</v>
      </c>
      <c r="F136" t="n">
        <v>14.497407</v>
      </c>
      <c r="G136" t="n">
        <v>1.466668</v>
      </c>
      <c r="H136" t="n">
        <v>1.466497</v>
      </c>
      <c r="I136" t="n">
        <v>17.850747</v>
      </c>
      <c r="J136" t="n">
        <v>17.850747</v>
      </c>
      <c r="K136" t="n">
        <v>5.355224</v>
      </c>
      <c r="L136" t="n">
        <v>17.186608</v>
      </c>
      <c r="M136" t="n">
        <v>17.186608</v>
      </c>
      <c r="N136" t="n">
        <v>17.598965</v>
      </c>
      <c r="O136" t="n">
        <v>3.995111</v>
      </c>
      <c r="P136" t="n">
        <v>2.967513</v>
      </c>
      <c r="Q136" t="n">
        <v>17.598965</v>
      </c>
      <c r="R136" t="n">
        <v>17.186608</v>
      </c>
      <c r="S136" t="n">
        <v>3.995111</v>
      </c>
      <c r="T136" t="n">
        <v>3.995111</v>
      </c>
      <c r="U136" t="n">
        <v>2.967513</v>
      </c>
      <c r="V136" t="n">
        <v>2.967513</v>
      </c>
      <c r="W136" t="n">
        <v>3.990277</v>
      </c>
      <c r="X136" t="n">
        <v>17.941416</v>
      </c>
    </row>
    <row r="137" ht="21" customHeight="1">
      <c r="A137" t="inlineStr">
        <is>
          <t>Menidae</t>
        </is>
      </c>
      <c r="B137" t="n">
        <v>3.45</v>
      </c>
      <c r="C137" t="n">
        <v>281.838293</v>
      </c>
      <c r="D137" s="10" t="inlineStr">
        <is>
          <t>Planktivores/piscivores</t>
        </is>
      </c>
      <c r="E137" t="n">
        <v>0</v>
      </c>
      <c r="F137" t="n">
        <v>123.077794</v>
      </c>
      <c r="G137" t="n">
        <v>1.992402</v>
      </c>
      <c r="H137" t="n">
        <v>1.97781</v>
      </c>
      <c r="I137" t="n">
        <v>560.299311</v>
      </c>
      <c r="J137" t="n">
        <v>592.272682</v>
      </c>
      <c r="K137" t="n">
        <v>209.072257</v>
      </c>
      <c r="L137" t="n">
        <v>660.166914</v>
      </c>
      <c r="M137" t="n">
        <v>660.166914</v>
      </c>
      <c r="N137" t="n">
        <v>670.165526</v>
      </c>
      <c r="O137" t="n">
        <v>72.857719</v>
      </c>
      <c r="P137" t="n">
        <v>43.071646</v>
      </c>
      <c r="Q137" t="n">
        <v>670.165526</v>
      </c>
      <c r="R137" t="n">
        <v>660.166914</v>
      </c>
      <c r="S137" t="n">
        <v>72.857719</v>
      </c>
      <c r="T137" t="n">
        <v>72.857719</v>
      </c>
      <c r="U137" t="n">
        <v>43.071646</v>
      </c>
      <c r="V137" t="n">
        <v>43.071646</v>
      </c>
      <c r="W137" t="n">
        <v>75.193746</v>
      </c>
      <c r="X137" t="n">
        <v>683.804243</v>
      </c>
    </row>
    <row r="138" ht="21" customHeight="1">
      <c r="A138" t="inlineStr">
        <is>
          <t>Scorpaenidae</t>
        </is>
      </c>
      <c r="B138" t="n">
        <v>3.92</v>
      </c>
      <c r="C138" t="n">
        <v>831.763771</v>
      </c>
      <c r="D138" s="10" t="inlineStr">
        <is>
          <t>Benthivores/piscivores</t>
        </is>
      </c>
      <c r="E138" t="n">
        <v>0</v>
      </c>
      <c r="F138" t="n">
        <v>136.120059</v>
      </c>
      <c r="G138" t="n">
        <v>2.021353</v>
      </c>
      <c r="H138" t="n">
        <v>2.039787</v>
      </c>
      <c r="I138" t="n">
        <v>36.046055</v>
      </c>
      <c r="J138" t="n">
        <v>36.076344</v>
      </c>
      <c r="K138" t="n">
        <v>35.535199</v>
      </c>
      <c r="L138" t="n">
        <v>34.759886</v>
      </c>
      <c r="M138" t="n">
        <v>34.759886</v>
      </c>
      <c r="N138" t="n">
        <v>35.313702</v>
      </c>
      <c r="O138" t="n">
        <v>13.890783</v>
      </c>
      <c r="P138" t="n">
        <v>8.319739999999999</v>
      </c>
      <c r="Q138" t="n">
        <v>35.313702</v>
      </c>
      <c r="R138" t="n">
        <v>34.759886</v>
      </c>
      <c r="S138" t="n">
        <v>13.890783</v>
      </c>
      <c r="T138" t="n">
        <v>13.890783</v>
      </c>
      <c r="U138" t="n">
        <v>8.319739999999999</v>
      </c>
      <c r="V138" t="n">
        <v>8.319739999999999</v>
      </c>
      <c r="W138" t="n">
        <v>14.220855</v>
      </c>
      <c r="X138" t="n">
        <v>35.767132</v>
      </c>
    </row>
    <row r="139" ht="21" customHeight="1">
      <c r="A139" t="inlineStr">
        <is>
          <t>Ommastrephidae</t>
        </is>
      </c>
      <c r="B139" t="n">
        <v>4.09</v>
      </c>
      <c r="C139" t="n">
        <v>1230.268771</v>
      </c>
      <c r="D139" s="10" t="inlineStr">
        <is>
          <t>Cephalopods</t>
        </is>
      </c>
      <c r="E139" t="n">
        <v>0</v>
      </c>
      <c r="F139" t="n">
        <v>65.929169</v>
      </c>
      <c r="G139" t="n">
        <v>1.821994</v>
      </c>
      <c r="H139" t="n">
        <v>1.839433</v>
      </c>
      <c r="I139" t="n">
        <v>38.382342</v>
      </c>
      <c r="J139" t="n">
        <v>38.382342</v>
      </c>
      <c r="K139" t="n">
        <v>37.768225</v>
      </c>
      <c r="L139" t="n">
        <v>36.734327</v>
      </c>
      <c r="M139" t="n">
        <v>36.734327</v>
      </c>
      <c r="N139" t="n">
        <v>37.111337</v>
      </c>
      <c r="O139" t="n">
        <v>12.794003</v>
      </c>
      <c r="P139" t="n">
        <v>8.242232</v>
      </c>
      <c r="Q139" t="n">
        <v>37.111337</v>
      </c>
      <c r="R139" t="n">
        <v>36.734327</v>
      </c>
      <c r="S139" t="n">
        <v>12.794003</v>
      </c>
      <c r="T139" t="n">
        <v>12.794003</v>
      </c>
      <c r="U139" t="n">
        <v>8.242232</v>
      </c>
      <c r="V139" t="n">
        <v>8.242232</v>
      </c>
      <c r="W139" t="n">
        <v>12.757448</v>
      </c>
      <c r="X139" t="n">
        <v>38.53303</v>
      </c>
    </row>
    <row r="140" ht="21" customHeight="1">
      <c r="A140" t="inlineStr">
        <is>
          <t>Veneridae</t>
        </is>
      </c>
      <c r="B140" t="n">
        <v>2</v>
      </c>
      <c r="C140" t="n">
        <v>10</v>
      </c>
      <c r="D140" s="10" t="inlineStr">
        <is>
          <t>Mollusks</t>
        </is>
      </c>
      <c r="E140" t="n">
        <v>0</v>
      </c>
      <c r="F140" t="n">
        <v>14.497407</v>
      </c>
      <c r="G140" t="n">
        <v>1.466668</v>
      </c>
      <c r="H140" t="n">
        <v>1.466497</v>
      </c>
      <c r="I140" t="n">
        <v>17.850747</v>
      </c>
      <c r="J140" t="n">
        <v>17.850747</v>
      </c>
      <c r="K140" t="n">
        <v>5.355224</v>
      </c>
      <c r="L140" t="n">
        <v>17.186608</v>
      </c>
      <c r="M140" t="n">
        <v>17.186608</v>
      </c>
      <c r="N140" t="n">
        <v>17.598965</v>
      </c>
      <c r="O140" t="n">
        <v>3.995111</v>
      </c>
      <c r="P140" t="n">
        <v>2.967513</v>
      </c>
      <c r="Q140" t="n">
        <v>17.598965</v>
      </c>
      <c r="R140" t="n">
        <v>17.186608</v>
      </c>
      <c r="S140" t="n">
        <v>3.995111</v>
      </c>
      <c r="T140" t="n">
        <v>3.995111</v>
      </c>
      <c r="U140" t="n">
        <v>2.967513</v>
      </c>
      <c r="V140" t="n">
        <v>2.967513</v>
      </c>
      <c r="W140" t="n">
        <v>3.990277</v>
      </c>
      <c r="X140" t="n">
        <v>17.941416</v>
      </c>
    </row>
    <row r="141" ht="21" customHeight="1">
      <c r="A141" t="inlineStr">
        <is>
          <t>Meretrix</t>
        </is>
      </c>
      <c r="D141" s="10" t="inlineStr">
        <is>
          <t>Mollusks</t>
        </is>
      </c>
      <c r="E141" t="n">
        <v>0</v>
      </c>
      <c r="F141" t="n">
        <v>14.497407</v>
      </c>
      <c r="G141" t="n">
        <v>1.466668</v>
      </c>
      <c r="H141" t="n">
        <v>1.466497</v>
      </c>
      <c r="I141" t="n">
        <v>17.850747</v>
      </c>
      <c r="J141" t="n">
        <v>17.850747</v>
      </c>
      <c r="K141" t="n">
        <v>5.355224</v>
      </c>
      <c r="L141" t="n">
        <v>17.186608</v>
      </c>
      <c r="M141" t="n">
        <v>17.186608</v>
      </c>
      <c r="N141" t="n">
        <v>17.598965</v>
      </c>
      <c r="O141" t="n">
        <v>3.995111</v>
      </c>
      <c r="P141" t="n">
        <v>2.967513</v>
      </c>
      <c r="Q141" t="n">
        <v>17.598965</v>
      </c>
      <c r="R141" t="n">
        <v>17.186608</v>
      </c>
      <c r="S141" t="n">
        <v>3.995111</v>
      </c>
      <c r="T141" t="n">
        <v>3.995111</v>
      </c>
      <c r="U141" t="n">
        <v>2.967513</v>
      </c>
      <c r="V141" t="n">
        <v>2.967513</v>
      </c>
      <c r="W141" t="n">
        <v>3.990277</v>
      </c>
      <c r="X141" t="n">
        <v>17.941416</v>
      </c>
    </row>
    <row r="142" ht="36" customHeight="1">
      <c r="A142" t="inlineStr">
        <is>
          <t>Miscellaneous aquatic invertebrates</t>
        </is>
      </c>
      <c r="B142" t="n">
        <v>2.43</v>
      </c>
      <c r="C142" t="n">
        <v>26.915348</v>
      </c>
      <c r="D142" s="10" t="inlineStr">
        <is>
          <t>Mollusks | Echinoderms | Other invertebrates</t>
        </is>
      </c>
      <c r="E142" t="n">
        <v>0</v>
      </c>
      <c r="F142" t="n">
        <v>13.498083</v>
      </c>
      <c r="G142" t="n">
        <v>1.449794</v>
      </c>
      <c r="H142" t="n">
        <v>1.447832</v>
      </c>
      <c r="I142" t="n">
        <v>17.858553</v>
      </c>
      <c r="J142" t="n">
        <v>17.858553</v>
      </c>
      <c r="K142" t="n">
        <v>6.242972</v>
      </c>
      <c r="L142" t="n">
        <v>2415.673967</v>
      </c>
      <c r="M142" t="n">
        <v>2415.673967</v>
      </c>
      <c r="N142" t="n">
        <v>2455.052988</v>
      </c>
      <c r="O142" t="n">
        <v>5.326069</v>
      </c>
      <c r="P142" t="n">
        <v>4.090099</v>
      </c>
      <c r="Q142" t="n">
        <v>2455.052988</v>
      </c>
      <c r="R142" t="n">
        <v>2415.673967</v>
      </c>
      <c r="S142" t="n">
        <v>5.326069</v>
      </c>
      <c r="T142" t="n">
        <v>5.326069</v>
      </c>
      <c r="U142" t="n">
        <v>4.090099</v>
      </c>
      <c r="V142" t="n">
        <v>4.090099</v>
      </c>
      <c r="W142" t="n">
        <v>5.32559</v>
      </c>
      <c r="X142" t="n">
        <v>41.510164</v>
      </c>
    </row>
    <row r="143" ht="21" customHeight="1">
      <c r="A143" t="inlineStr">
        <is>
          <t>Ariidae</t>
        </is>
      </c>
      <c r="B143" t="n">
        <v>3.48</v>
      </c>
      <c r="C143" t="n">
        <v>301.995172</v>
      </c>
      <c r="D143" s="10" t="inlineStr">
        <is>
          <t>Benthivores/piscivores</t>
        </is>
      </c>
      <c r="E143" t="n">
        <v>0</v>
      </c>
      <c r="F143" t="n">
        <v>136.120059</v>
      </c>
      <c r="G143" t="n">
        <v>2.021353</v>
      </c>
      <c r="H143" t="n">
        <v>2.039787</v>
      </c>
      <c r="I143" t="n">
        <v>36.046055</v>
      </c>
      <c r="J143" t="n">
        <v>36.076344</v>
      </c>
      <c r="K143" t="n">
        <v>35.535199</v>
      </c>
      <c r="L143" t="n">
        <v>34.759886</v>
      </c>
      <c r="M143" t="n">
        <v>34.759886</v>
      </c>
      <c r="N143" t="n">
        <v>35.313702</v>
      </c>
      <c r="O143" t="n">
        <v>13.890783</v>
      </c>
      <c r="P143" t="n">
        <v>8.319739999999999</v>
      </c>
      <c r="Q143" t="n">
        <v>35.313702</v>
      </c>
      <c r="R143" t="n">
        <v>34.759886</v>
      </c>
      <c r="S143" t="n">
        <v>13.890783</v>
      </c>
      <c r="T143" t="n">
        <v>13.890783</v>
      </c>
      <c r="U143" t="n">
        <v>8.319739999999999</v>
      </c>
      <c r="V143" t="n">
        <v>8.319739999999999</v>
      </c>
      <c r="W143" t="n">
        <v>14.220855</v>
      </c>
      <c r="X143" t="n">
        <v>35.767132</v>
      </c>
    </row>
    <row r="144" ht="21" customHeight="1">
      <c r="A144" t="inlineStr">
        <is>
          <t>Mene maculata</t>
        </is>
      </c>
      <c r="B144" t="n">
        <v>3.45</v>
      </c>
      <c r="C144" t="n">
        <v>281.838293</v>
      </c>
      <c r="D144" s="10" t="inlineStr">
        <is>
          <t>Planktivores/piscivores</t>
        </is>
      </c>
      <c r="E144" t="n">
        <v>0</v>
      </c>
      <c r="F144" t="n">
        <v>123.077794</v>
      </c>
      <c r="G144" t="n">
        <v>1.992402</v>
      </c>
      <c r="H144" t="n">
        <v>1.97781</v>
      </c>
      <c r="I144" t="n">
        <v>560.299311</v>
      </c>
      <c r="J144" t="n">
        <v>592.272682</v>
      </c>
      <c r="K144" t="n">
        <v>209.072257</v>
      </c>
      <c r="L144" t="n">
        <v>660.166914</v>
      </c>
      <c r="M144" t="n">
        <v>660.166914</v>
      </c>
      <c r="N144" t="n">
        <v>670.165526</v>
      </c>
      <c r="O144" t="n">
        <v>72.857719</v>
      </c>
      <c r="P144" t="n">
        <v>43.071646</v>
      </c>
      <c r="Q144" t="n">
        <v>670.165526</v>
      </c>
      <c r="R144" t="n">
        <v>660.166914</v>
      </c>
      <c r="S144" t="n">
        <v>72.857719</v>
      </c>
      <c r="T144" t="n">
        <v>72.857719</v>
      </c>
      <c r="U144" t="n">
        <v>43.071646</v>
      </c>
      <c r="V144" t="n">
        <v>43.071646</v>
      </c>
      <c r="W144" t="n">
        <v>75.193746</v>
      </c>
      <c r="X144" t="n">
        <v>683.804243</v>
      </c>
    </row>
    <row r="145" ht="21" customHeight="1">
      <c r="A145" t="inlineStr">
        <is>
          <t>Acanthopagrus schlegelii</t>
        </is>
      </c>
      <c r="B145" t="n">
        <v>3.24</v>
      </c>
      <c r="C145" t="n">
        <v>173.780083</v>
      </c>
      <c r="D145" s="10" t="inlineStr">
        <is>
          <t>Omnivores</t>
        </is>
      </c>
      <c r="E145" t="n">
        <v>0</v>
      </c>
      <c r="F145" t="n">
        <v>131.221463</v>
      </c>
      <c r="G145" t="n">
        <v>2.01077</v>
      </c>
      <c r="H145" t="n">
        <v>2.036134</v>
      </c>
      <c r="I145" t="n">
        <v>66.04435700000001</v>
      </c>
      <c r="J145" t="n">
        <v>68.25582300000001</v>
      </c>
      <c r="K145" t="n">
        <v>68.187568</v>
      </c>
      <c r="L145" t="n">
        <v>72.544996</v>
      </c>
      <c r="M145" t="n">
        <v>72.544996</v>
      </c>
      <c r="N145" t="n">
        <v>73.57283200000001</v>
      </c>
      <c r="O145" t="n">
        <v>17.500018</v>
      </c>
      <c r="P145" t="n">
        <v>10.032554</v>
      </c>
      <c r="Q145" t="n">
        <v>73.57283200000001</v>
      </c>
      <c r="R145" t="n">
        <v>72.544996</v>
      </c>
      <c r="S145" t="n">
        <v>17.500018</v>
      </c>
      <c r="T145" t="n">
        <v>17.500018</v>
      </c>
      <c r="U145" t="n">
        <v>10.032554</v>
      </c>
      <c r="V145" t="n">
        <v>10.032554</v>
      </c>
      <c r="W145" t="n">
        <v>17.704629</v>
      </c>
      <c r="X145" t="n">
        <v>72.854687</v>
      </c>
    </row>
    <row r="146" ht="21" customHeight="1">
      <c r="A146" t="inlineStr">
        <is>
          <t>Octopus</t>
        </is>
      </c>
      <c r="B146" t="n">
        <v>3.8</v>
      </c>
      <c r="C146" t="n">
        <v>630.957344</v>
      </c>
      <c r="D146" s="10" t="inlineStr">
        <is>
          <t>Cephalopods</t>
        </is>
      </c>
      <c r="E146" t="n">
        <v>0</v>
      </c>
      <c r="F146" t="n">
        <v>65.929169</v>
      </c>
      <c r="G146" t="n">
        <v>1.821994</v>
      </c>
      <c r="H146" t="n">
        <v>1.839433</v>
      </c>
      <c r="I146" t="n">
        <v>38.382342</v>
      </c>
      <c r="J146" t="n">
        <v>38.382342</v>
      </c>
      <c r="K146" t="n">
        <v>37.768225</v>
      </c>
      <c r="L146" t="n">
        <v>36.734327</v>
      </c>
      <c r="M146" t="n">
        <v>36.734327</v>
      </c>
      <c r="N146" t="n">
        <v>37.111337</v>
      </c>
      <c r="O146" t="n">
        <v>12.794003</v>
      </c>
      <c r="P146" t="n">
        <v>8.242232</v>
      </c>
      <c r="Q146" t="n">
        <v>37.111337</v>
      </c>
      <c r="R146" t="n">
        <v>36.734327</v>
      </c>
      <c r="S146" t="n">
        <v>12.794003</v>
      </c>
      <c r="T146" t="n">
        <v>12.794003</v>
      </c>
      <c r="U146" t="n">
        <v>8.242232</v>
      </c>
      <c r="V146" t="n">
        <v>8.242232</v>
      </c>
      <c r="W146" t="n">
        <v>12.757448</v>
      </c>
      <c r="X146" t="n">
        <v>38.53303</v>
      </c>
    </row>
    <row r="147" ht="21" customHeight="1">
      <c r="A147" t="inlineStr">
        <is>
          <t>Apostichopus japonicus</t>
        </is>
      </c>
      <c r="B147" t="n">
        <v>2.3</v>
      </c>
      <c r="C147" t="n">
        <v>19.952623</v>
      </c>
      <c r="D147" s="10" t="inlineStr">
        <is>
          <t>Echinoderms</t>
        </is>
      </c>
      <c r="E147" t="n">
        <v>0</v>
      </c>
      <c r="F147" t="n">
        <v>14.362944</v>
      </c>
      <c r="G147" t="n">
        <v>1.464712</v>
      </c>
      <c r="H147" t="n">
        <v>1.389744</v>
      </c>
      <c r="I147" t="n">
        <v>47.528559</v>
      </c>
      <c r="J147" t="n">
        <v>47.528559</v>
      </c>
      <c r="K147" t="n">
        <v>8.650198</v>
      </c>
      <c r="L147" t="n">
        <v>98169.820373</v>
      </c>
      <c r="M147" t="n">
        <v>98169.820373</v>
      </c>
      <c r="N147" t="n">
        <v>99766.36788799999</v>
      </c>
      <c r="O147" t="n">
        <v>7.082345</v>
      </c>
      <c r="P147" t="n">
        <v>4.85352</v>
      </c>
      <c r="Q147" t="n">
        <v>99766.36788799999</v>
      </c>
      <c r="R147" t="n">
        <v>98169.820373</v>
      </c>
      <c r="S147" t="n">
        <v>7.082345</v>
      </c>
      <c r="T147" t="n">
        <v>7.082345</v>
      </c>
      <c r="U147" t="n">
        <v>4.85352</v>
      </c>
      <c r="V147" t="n">
        <v>4.85352</v>
      </c>
      <c r="W147" t="n">
        <v>7.237529</v>
      </c>
      <c r="X147" t="n">
        <v>1019.755013</v>
      </c>
    </row>
    <row r="148" ht="21" customHeight="1">
      <c r="A148" t="inlineStr">
        <is>
          <t>Arctoscopus japonicus</t>
        </is>
      </c>
      <c r="B148" t="n">
        <v>3.51</v>
      </c>
      <c r="C148" t="n">
        <v>323.593657</v>
      </c>
      <c r="D148" s="10" t="inlineStr">
        <is>
          <t>Benthivores/piscivores</t>
        </is>
      </c>
      <c r="E148" t="n">
        <v>0</v>
      </c>
      <c r="F148" t="n">
        <v>136.120059</v>
      </c>
      <c r="G148" t="n">
        <v>2.021353</v>
      </c>
      <c r="H148" t="n">
        <v>2.039787</v>
      </c>
      <c r="I148" t="n">
        <v>36.046055</v>
      </c>
      <c r="J148" t="n">
        <v>36.076344</v>
      </c>
      <c r="K148" t="n">
        <v>35.535199</v>
      </c>
      <c r="L148" t="n">
        <v>34.759886</v>
      </c>
      <c r="M148" t="n">
        <v>34.759886</v>
      </c>
      <c r="N148" t="n">
        <v>35.313702</v>
      </c>
      <c r="O148" t="n">
        <v>13.890783</v>
      </c>
      <c r="P148" t="n">
        <v>8.319739999999999</v>
      </c>
      <c r="Q148" t="n">
        <v>35.313702</v>
      </c>
      <c r="R148" t="n">
        <v>34.759886</v>
      </c>
      <c r="S148" t="n">
        <v>13.890783</v>
      </c>
      <c r="T148" t="n">
        <v>13.890783</v>
      </c>
      <c r="U148" t="n">
        <v>8.319739999999999</v>
      </c>
      <c r="V148" t="n">
        <v>8.319739999999999</v>
      </c>
      <c r="W148" t="n">
        <v>14.220855</v>
      </c>
      <c r="X148" t="n">
        <v>35.767132</v>
      </c>
    </row>
    <row r="149" ht="21" customHeight="1">
      <c r="A149" t="inlineStr">
        <is>
          <t>Batoidea</t>
        </is>
      </c>
      <c r="B149" t="n">
        <v>3.72</v>
      </c>
      <c r="C149" t="n">
        <v>524.80746</v>
      </c>
      <c r="D149" s="10" t="inlineStr">
        <is>
          <t>Benthivores</t>
        </is>
      </c>
      <c r="E149" t="n">
        <v>0</v>
      </c>
      <c r="F149" t="n">
        <v>67.81478300000001</v>
      </c>
      <c r="G149" t="n">
        <v>1.829368</v>
      </c>
      <c r="H149" t="n">
        <v>1.84033</v>
      </c>
      <c r="I149" t="n">
        <v>33.988491</v>
      </c>
      <c r="J149" t="n">
        <v>35.780255</v>
      </c>
      <c r="K149" t="n">
        <v>35.601354</v>
      </c>
      <c r="L149" t="n">
        <v>385.228839</v>
      </c>
      <c r="M149" t="n">
        <v>385.228839</v>
      </c>
      <c r="N149" t="n">
        <v>391.588003</v>
      </c>
      <c r="O149" t="n">
        <v>16.66963</v>
      </c>
      <c r="P149" t="n">
        <v>9.973879999999999</v>
      </c>
      <c r="Q149" t="n">
        <v>391.588003</v>
      </c>
      <c r="R149" t="n">
        <v>385.228839</v>
      </c>
      <c r="S149" t="n">
        <v>16.66963</v>
      </c>
      <c r="T149" t="n">
        <v>16.66963</v>
      </c>
      <c r="U149" t="n">
        <v>9.973879999999999</v>
      </c>
      <c r="V149" t="n">
        <v>9.973879999999999</v>
      </c>
      <c r="W149" t="n">
        <v>17.246706</v>
      </c>
      <c r="X149" t="n">
        <v>42.474741</v>
      </c>
    </row>
    <row r="150" ht="51" customHeight="1">
      <c r="A150" t="inlineStr">
        <is>
          <t>Perciformes</t>
        </is>
      </c>
      <c r="B150" t="n">
        <v>3.53</v>
      </c>
      <c r="C150" t="n">
        <v>338.844156</v>
      </c>
      <c r="D150" s="10" t="inlineStr">
        <is>
          <t>Benthivores | Piscivores | Planktivores/piscivores | Benthivores/piscivores | Omnivores</t>
        </is>
      </c>
      <c r="E150" t="n">
        <v>0</v>
      </c>
      <c r="F150" t="n">
        <v>166.961545</v>
      </c>
      <c r="G150" t="n">
        <v>2.045106</v>
      </c>
      <c r="H150" t="n">
        <v>2.060755</v>
      </c>
      <c r="I150" t="n">
        <v>186.169499</v>
      </c>
      <c r="J150" t="n">
        <v>192.680384</v>
      </c>
      <c r="K150" t="n">
        <v>114.316945</v>
      </c>
      <c r="L150" t="n">
        <v>287.676992</v>
      </c>
      <c r="M150" t="n">
        <v>287.676992</v>
      </c>
      <c r="N150" t="n">
        <v>291.908148</v>
      </c>
      <c r="O150" t="n">
        <v>34.836971</v>
      </c>
      <c r="P150" t="n">
        <v>19.545313</v>
      </c>
      <c r="Q150" t="n">
        <v>291.908148</v>
      </c>
      <c r="R150" t="n">
        <v>287.676992</v>
      </c>
      <c r="S150" t="n">
        <v>34.836971</v>
      </c>
      <c r="T150" t="n">
        <v>34.836971</v>
      </c>
      <c r="U150" t="n">
        <v>19.545313</v>
      </c>
      <c r="V150" t="n">
        <v>19.545313</v>
      </c>
      <c r="W150" t="n">
        <v>35.81931</v>
      </c>
      <c r="X150" t="n">
        <v>216.24497</v>
      </c>
    </row>
    <row r="151" ht="21" customHeight="1">
      <c r="A151" t="inlineStr">
        <is>
          <t>Ostreidae</t>
        </is>
      </c>
      <c r="B151" t="n">
        <v>2</v>
      </c>
      <c r="C151" t="n">
        <v>10</v>
      </c>
      <c r="D151" s="10" t="inlineStr">
        <is>
          <t>Mollusks</t>
        </is>
      </c>
      <c r="E151" t="n">
        <v>0</v>
      </c>
      <c r="F151" t="n">
        <v>14.497407</v>
      </c>
      <c r="G151" t="n">
        <v>1.466668</v>
      </c>
      <c r="H151" t="n">
        <v>1.466497</v>
      </c>
      <c r="I151" t="n">
        <v>17.850747</v>
      </c>
      <c r="J151" t="n">
        <v>17.850747</v>
      </c>
      <c r="K151" t="n">
        <v>5.355224</v>
      </c>
      <c r="L151" t="n">
        <v>17.186608</v>
      </c>
      <c r="M151" t="n">
        <v>17.186608</v>
      </c>
      <c r="N151" t="n">
        <v>17.598965</v>
      </c>
      <c r="O151" t="n">
        <v>3.995111</v>
      </c>
      <c r="P151" t="n">
        <v>2.967513</v>
      </c>
      <c r="Q151" t="n">
        <v>17.598965</v>
      </c>
      <c r="R151" t="n">
        <v>17.186608</v>
      </c>
      <c r="S151" t="n">
        <v>3.995111</v>
      </c>
      <c r="T151" t="n">
        <v>3.995111</v>
      </c>
      <c r="U151" t="n">
        <v>2.967513</v>
      </c>
      <c r="V151" t="n">
        <v>2.967513</v>
      </c>
      <c r="W151" t="n">
        <v>3.990277</v>
      </c>
      <c r="X151" t="n">
        <v>17.941416</v>
      </c>
    </row>
    <row r="152" ht="21" customHeight="1">
      <c r="A152" t="inlineStr">
        <is>
          <t>Portunus</t>
        </is>
      </c>
      <c r="B152" t="n">
        <v>3.26</v>
      </c>
      <c r="C152" t="n">
        <v>181.970086</v>
      </c>
      <c r="D152" s="10" t="inlineStr">
        <is>
          <t>Crabs</t>
        </is>
      </c>
      <c r="E152" t="n">
        <v>0</v>
      </c>
      <c r="F152" t="n">
        <v>21.002175</v>
      </c>
      <c r="G152" t="n">
        <v>1.546636</v>
      </c>
      <c r="H152" t="n">
        <v>1.565985</v>
      </c>
      <c r="I152" t="n">
        <v>12.039474</v>
      </c>
      <c r="J152" t="n">
        <v>12.039474</v>
      </c>
      <c r="K152" t="n">
        <v>11.028158</v>
      </c>
      <c r="L152" t="n">
        <v>11.032425</v>
      </c>
      <c r="M152" t="n">
        <v>11.032425</v>
      </c>
      <c r="N152" t="n">
        <v>11.257068</v>
      </c>
      <c r="O152" t="n">
        <v>7.495998</v>
      </c>
      <c r="P152" t="n">
        <v>5.212079</v>
      </c>
      <c r="Q152" t="n">
        <v>11.257068</v>
      </c>
      <c r="R152" t="n">
        <v>11.032425</v>
      </c>
      <c r="S152" t="n">
        <v>7.495998</v>
      </c>
      <c r="T152" t="n">
        <v>7.495998</v>
      </c>
      <c r="U152" t="n">
        <v>5.212079</v>
      </c>
      <c r="V152" t="n">
        <v>5.212079</v>
      </c>
      <c r="W152" t="n">
        <v>7.53635</v>
      </c>
      <c r="X152" t="n">
        <v>11.035506</v>
      </c>
    </row>
    <row r="153" ht="21" customHeight="1">
      <c r="A153" t="inlineStr">
        <is>
          <t>Penaeus penicillatus</t>
        </is>
      </c>
      <c r="B153" t="n">
        <v>2.7</v>
      </c>
      <c r="C153" t="n">
        <v>50.118723</v>
      </c>
      <c r="D153" s="10" t="inlineStr">
        <is>
          <t>Shrimps</t>
        </is>
      </c>
      <c r="E153" t="n">
        <v>0</v>
      </c>
      <c r="F153" t="n">
        <v>20.606299</v>
      </c>
      <c r="G153" t="n">
        <v>1.542427</v>
      </c>
      <c r="H153" t="n">
        <v>1.561295</v>
      </c>
      <c r="I153" t="n">
        <v>15.075177</v>
      </c>
      <c r="J153" t="n">
        <v>15.075177</v>
      </c>
      <c r="K153" t="n">
        <v>15.060102</v>
      </c>
      <c r="L153" t="n">
        <v>13.927162</v>
      </c>
      <c r="M153" t="n">
        <v>13.927162</v>
      </c>
      <c r="N153" t="n">
        <v>14.183251</v>
      </c>
      <c r="O153" t="n">
        <v>7.969433</v>
      </c>
      <c r="P153" t="n">
        <v>5.681336</v>
      </c>
      <c r="Q153" t="n">
        <v>14.183251</v>
      </c>
      <c r="R153" t="n">
        <v>13.927162</v>
      </c>
      <c r="S153" t="n">
        <v>7.969433</v>
      </c>
      <c r="T153" t="n">
        <v>7.969433</v>
      </c>
      <c r="U153" t="n">
        <v>5.681336</v>
      </c>
      <c r="V153" t="n">
        <v>5.681336</v>
      </c>
      <c r="W153" t="n">
        <v>8.136905</v>
      </c>
      <c r="X153" t="n">
        <v>14.885026</v>
      </c>
    </row>
    <row r="154" ht="21" customHeight="1">
      <c r="A154" t="inlineStr">
        <is>
          <t>Thunnus orientalis</t>
        </is>
      </c>
      <c r="B154" t="n">
        <v>4.05</v>
      </c>
      <c r="C154" t="n">
        <v>1122.018454</v>
      </c>
      <c r="D154" s="10" t="inlineStr">
        <is>
          <t>Piscivores</t>
        </is>
      </c>
      <c r="E154" t="n">
        <v>0</v>
      </c>
      <c r="F154" t="n">
        <v>304.388999</v>
      </c>
      <c r="G154" t="n">
        <v>2.268309</v>
      </c>
      <c r="H154" t="n">
        <v>2.300314</v>
      </c>
      <c r="I154" t="n">
        <v>249.259877</v>
      </c>
      <c r="J154" t="n">
        <v>251.428736</v>
      </c>
      <c r="K154" t="n">
        <v>202.148704</v>
      </c>
      <c r="L154" t="n">
        <v>282.597002</v>
      </c>
      <c r="M154" t="n">
        <v>282.597002</v>
      </c>
      <c r="N154" t="n">
        <v>286.033173</v>
      </c>
      <c r="O154" t="n">
        <v>49.797649</v>
      </c>
      <c r="P154" t="n">
        <v>25.643377</v>
      </c>
      <c r="Q154" t="n">
        <v>286.033173</v>
      </c>
      <c r="R154" t="n">
        <v>282.597002</v>
      </c>
      <c r="S154" t="n">
        <v>49.797649</v>
      </c>
      <c r="T154" t="n">
        <v>49.797649</v>
      </c>
      <c r="U154" t="n">
        <v>25.643377</v>
      </c>
      <c r="V154" t="n">
        <v>25.643377</v>
      </c>
      <c r="W154" t="n">
        <v>51.082514</v>
      </c>
      <c r="X154" t="n">
        <v>274.518943</v>
      </c>
    </row>
    <row r="155" ht="21" customHeight="1">
      <c r="A155" t="inlineStr">
        <is>
          <t>Liparis tanakae</t>
        </is>
      </c>
      <c r="B155" t="n">
        <v>3.42</v>
      </c>
      <c r="C155" t="n">
        <v>263.026799</v>
      </c>
      <c r="D155" s="10" t="inlineStr">
        <is>
          <t>Benthivores/piscivores</t>
        </is>
      </c>
      <c r="E155" t="n">
        <v>0</v>
      </c>
      <c r="F155" t="n">
        <v>136.120059</v>
      </c>
      <c r="G155" t="n">
        <v>2.021353</v>
      </c>
      <c r="H155" t="n">
        <v>2.039787</v>
      </c>
      <c r="I155" t="n">
        <v>36.046055</v>
      </c>
      <c r="J155" t="n">
        <v>36.076344</v>
      </c>
      <c r="K155" t="n">
        <v>35.535199</v>
      </c>
      <c r="L155" t="n">
        <v>34.759886</v>
      </c>
      <c r="M155" t="n">
        <v>34.759886</v>
      </c>
      <c r="N155" t="n">
        <v>35.313702</v>
      </c>
      <c r="O155" t="n">
        <v>13.890783</v>
      </c>
      <c r="P155" t="n">
        <v>8.319739999999999</v>
      </c>
      <c r="Q155" t="n">
        <v>35.313702</v>
      </c>
      <c r="R155" t="n">
        <v>34.759886</v>
      </c>
      <c r="S155" t="n">
        <v>13.890783</v>
      </c>
      <c r="T155" t="n">
        <v>13.890783</v>
      </c>
      <c r="U155" t="n">
        <v>8.319739999999999</v>
      </c>
      <c r="V155" t="n">
        <v>8.319739999999999</v>
      </c>
      <c r="W155" t="n">
        <v>14.220855</v>
      </c>
      <c r="X155" t="n">
        <v>35.767132</v>
      </c>
    </row>
    <row r="156" ht="21" customHeight="1">
      <c r="A156" t="inlineStr">
        <is>
          <t>Trachurus</t>
        </is>
      </c>
      <c r="B156" t="n">
        <v>3.69</v>
      </c>
      <c r="C156" t="n">
        <v>489.778819</v>
      </c>
      <c r="D156" s="10" t="inlineStr">
        <is>
          <t>Planktivores/piscivores</t>
        </is>
      </c>
      <c r="E156" t="n">
        <v>0</v>
      </c>
      <c r="F156" t="n">
        <v>123.077794</v>
      </c>
      <c r="G156" t="n">
        <v>1.992402</v>
      </c>
      <c r="H156" t="n">
        <v>1.97781</v>
      </c>
      <c r="I156" t="n">
        <v>560.299311</v>
      </c>
      <c r="J156" t="n">
        <v>592.272682</v>
      </c>
      <c r="K156" t="n">
        <v>209.072257</v>
      </c>
      <c r="L156" t="n">
        <v>660.166914</v>
      </c>
      <c r="M156" t="n">
        <v>660.166914</v>
      </c>
      <c r="N156" t="n">
        <v>670.165526</v>
      </c>
      <c r="O156" t="n">
        <v>72.857719</v>
      </c>
      <c r="P156" t="n">
        <v>43.071646</v>
      </c>
      <c r="Q156" t="n">
        <v>670.165526</v>
      </c>
      <c r="R156" t="n">
        <v>660.166914</v>
      </c>
      <c r="S156" t="n">
        <v>72.857719</v>
      </c>
      <c r="T156" t="n">
        <v>72.857719</v>
      </c>
      <c r="U156" t="n">
        <v>43.071646</v>
      </c>
      <c r="V156" t="n">
        <v>43.071646</v>
      </c>
      <c r="W156" t="n">
        <v>75.193746</v>
      </c>
      <c r="X156" t="n">
        <v>683.804243</v>
      </c>
    </row>
    <row r="157" ht="21" customHeight="1">
      <c r="A157" t="inlineStr">
        <is>
          <t>Hyporhamphus sajori</t>
        </is>
      </c>
      <c r="B157" t="n">
        <v>3.4</v>
      </c>
      <c r="C157" t="n">
        <v>251.188643</v>
      </c>
      <c r="D157" s="10" t="inlineStr">
        <is>
          <t>Omnivores</t>
        </is>
      </c>
      <c r="E157" t="n">
        <v>0</v>
      </c>
      <c r="F157" t="n">
        <v>131.221463</v>
      </c>
      <c r="G157" t="n">
        <v>2.01077</v>
      </c>
      <c r="H157" t="n">
        <v>2.036134</v>
      </c>
      <c r="I157" t="n">
        <v>66.04435700000001</v>
      </c>
      <c r="J157" t="n">
        <v>68.25582300000001</v>
      </c>
      <c r="K157" t="n">
        <v>68.187568</v>
      </c>
      <c r="L157" t="n">
        <v>72.544996</v>
      </c>
      <c r="M157" t="n">
        <v>72.544996</v>
      </c>
      <c r="N157" t="n">
        <v>73.57283200000001</v>
      </c>
      <c r="O157" t="n">
        <v>17.500018</v>
      </c>
      <c r="P157" t="n">
        <v>10.032554</v>
      </c>
      <c r="Q157" t="n">
        <v>73.57283200000001</v>
      </c>
      <c r="R157" t="n">
        <v>72.544996</v>
      </c>
      <c r="S157" t="n">
        <v>17.500018</v>
      </c>
      <c r="T157" t="n">
        <v>17.500018</v>
      </c>
      <c r="U157" t="n">
        <v>10.032554</v>
      </c>
      <c r="V157" t="n">
        <v>10.032554</v>
      </c>
      <c r="W157" t="n">
        <v>17.704629</v>
      </c>
      <c r="X157" t="n">
        <v>72.854687</v>
      </c>
    </row>
    <row r="158" ht="21" customHeight="1">
      <c r="A158" t="inlineStr">
        <is>
          <t>Kajikia audax</t>
        </is>
      </c>
      <c r="B158" t="n">
        <v>4.58</v>
      </c>
      <c r="C158" t="n">
        <v>3801.893963</v>
      </c>
      <c r="D158" s="10" t="inlineStr">
        <is>
          <t>Piscivores</t>
        </is>
      </c>
      <c r="E158" t="n">
        <v>0</v>
      </c>
      <c r="F158" t="n">
        <v>304.388999</v>
      </c>
      <c r="G158" t="n">
        <v>2.268309</v>
      </c>
      <c r="H158" t="n">
        <v>2.300314</v>
      </c>
      <c r="I158" t="n">
        <v>249.259877</v>
      </c>
      <c r="J158" t="n">
        <v>251.428736</v>
      </c>
      <c r="K158" t="n">
        <v>202.148704</v>
      </c>
      <c r="L158" t="n">
        <v>282.597002</v>
      </c>
      <c r="M158" t="n">
        <v>282.597002</v>
      </c>
      <c r="N158" t="n">
        <v>286.033173</v>
      </c>
      <c r="O158" t="n">
        <v>49.797649</v>
      </c>
      <c r="P158" t="n">
        <v>25.643377</v>
      </c>
      <c r="Q158" t="n">
        <v>286.033173</v>
      </c>
      <c r="R158" t="n">
        <v>282.597002</v>
      </c>
      <c r="S158" t="n">
        <v>49.797649</v>
      </c>
      <c r="T158" t="n">
        <v>49.797649</v>
      </c>
      <c r="U158" t="n">
        <v>25.643377</v>
      </c>
      <c r="V158" t="n">
        <v>25.643377</v>
      </c>
      <c r="W158" t="n">
        <v>51.082514</v>
      </c>
      <c r="X158" t="n">
        <v>274.518943</v>
      </c>
    </row>
    <row r="159" ht="21" customHeight="1">
      <c r="A159" t="inlineStr">
        <is>
          <t>Clupea pallasii</t>
        </is>
      </c>
      <c r="B159" t="n">
        <v>3.16</v>
      </c>
      <c r="C159" t="n">
        <v>144.543977</v>
      </c>
      <c r="D159" s="10" t="inlineStr">
        <is>
          <t>Planktivores</t>
        </is>
      </c>
      <c r="E159" t="n">
        <v>0</v>
      </c>
      <c r="F159" t="n">
        <v>100.997642</v>
      </c>
      <c r="G159" t="n">
        <v>1.93677</v>
      </c>
      <c r="H159" t="n">
        <v>1.93149</v>
      </c>
      <c r="I159" t="n">
        <v>53.479795</v>
      </c>
      <c r="J159" t="n">
        <v>53.479795</v>
      </c>
      <c r="K159" t="n">
        <v>53.372836</v>
      </c>
      <c r="L159" t="n">
        <v>51.741399</v>
      </c>
      <c r="M159" t="n">
        <v>51.741399</v>
      </c>
      <c r="N159" t="n">
        <v>52.283119</v>
      </c>
      <c r="O159" t="n">
        <v>17.749881</v>
      </c>
      <c r="P159" t="n">
        <v>11.404035</v>
      </c>
      <c r="Q159" t="n">
        <v>52.283119</v>
      </c>
      <c r="R159" t="n">
        <v>51.741399</v>
      </c>
      <c r="S159" t="n">
        <v>17.749881</v>
      </c>
      <c r="T159" t="n">
        <v>17.749881</v>
      </c>
      <c r="U159" t="n">
        <v>11.404035</v>
      </c>
      <c r="V159" t="n">
        <v>11.404035</v>
      </c>
      <c r="W159" t="n">
        <v>17.839302</v>
      </c>
      <c r="X159" t="n">
        <v>54.129601</v>
      </c>
    </row>
    <row r="160" ht="21" customHeight="1">
      <c r="A160" t="inlineStr">
        <is>
          <t>Sepia</t>
        </is>
      </c>
      <c r="B160" t="n">
        <v>3.69</v>
      </c>
      <c r="C160" t="n">
        <v>489.778819</v>
      </c>
      <c r="D160" s="10" t="inlineStr">
        <is>
          <t>Cephalopods</t>
        </is>
      </c>
      <c r="E160" t="n">
        <v>0</v>
      </c>
      <c r="F160" t="n">
        <v>65.929169</v>
      </c>
      <c r="G160" t="n">
        <v>1.821994</v>
      </c>
      <c r="H160" t="n">
        <v>1.839433</v>
      </c>
      <c r="I160" t="n">
        <v>38.382342</v>
      </c>
      <c r="J160" t="n">
        <v>38.382342</v>
      </c>
      <c r="K160" t="n">
        <v>37.768225</v>
      </c>
      <c r="L160" t="n">
        <v>36.734327</v>
      </c>
      <c r="M160" t="n">
        <v>36.734327</v>
      </c>
      <c r="N160" t="n">
        <v>37.111337</v>
      </c>
      <c r="O160" t="n">
        <v>12.794003</v>
      </c>
      <c r="P160" t="n">
        <v>8.242232</v>
      </c>
      <c r="Q160" t="n">
        <v>37.111337</v>
      </c>
      <c r="R160" t="n">
        <v>36.734327</v>
      </c>
      <c r="S160" t="n">
        <v>12.794003</v>
      </c>
      <c r="T160" t="n">
        <v>12.794003</v>
      </c>
      <c r="U160" t="n">
        <v>8.242232</v>
      </c>
      <c r="V160" t="n">
        <v>8.242232</v>
      </c>
      <c r="W160" t="n">
        <v>12.757448</v>
      </c>
      <c r="X160" t="n">
        <v>38.53303</v>
      </c>
    </row>
    <row r="161" ht="21" customHeight="1">
      <c r="A161" t="inlineStr">
        <is>
          <t>Haliotidae</t>
        </is>
      </c>
      <c r="B161" t="n">
        <v>2</v>
      </c>
      <c r="C161" t="n">
        <v>10</v>
      </c>
      <c r="D161" s="10" t="inlineStr">
        <is>
          <t>Mollusks</t>
        </is>
      </c>
      <c r="E161" t="n">
        <v>0</v>
      </c>
      <c r="F161" t="n">
        <v>14.497407</v>
      </c>
      <c r="G161" t="n">
        <v>1.466668</v>
      </c>
      <c r="H161" t="n">
        <v>1.466497</v>
      </c>
      <c r="I161" t="n">
        <v>17.850747</v>
      </c>
      <c r="J161" t="n">
        <v>17.850747</v>
      </c>
      <c r="K161" t="n">
        <v>5.355224</v>
      </c>
      <c r="L161" t="n">
        <v>17.186608</v>
      </c>
      <c r="M161" t="n">
        <v>17.186608</v>
      </c>
      <c r="N161" t="n">
        <v>17.598965</v>
      </c>
      <c r="O161" t="n">
        <v>3.995111</v>
      </c>
      <c r="P161" t="n">
        <v>2.967513</v>
      </c>
      <c r="Q161" t="n">
        <v>17.598965</v>
      </c>
      <c r="R161" t="n">
        <v>17.186608</v>
      </c>
      <c r="S161" t="n">
        <v>3.995111</v>
      </c>
      <c r="T161" t="n">
        <v>3.995111</v>
      </c>
      <c r="U161" t="n">
        <v>2.967513</v>
      </c>
      <c r="V161" t="n">
        <v>2.967513</v>
      </c>
      <c r="W161" t="n">
        <v>3.990277</v>
      </c>
      <c r="X161" t="n">
        <v>17.941416</v>
      </c>
    </row>
    <row r="162" ht="21" customHeight="1">
      <c r="A162" t="inlineStr">
        <is>
          <t>Metapenaeus</t>
        </is>
      </c>
      <c r="B162" t="n">
        <v>2.7</v>
      </c>
      <c r="C162" t="n">
        <v>50.118723</v>
      </c>
      <c r="D162" s="10" t="inlineStr">
        <is>
          <t>Shrimps</t>
        </is>
      </c>
      <c r="E162" t="n">
        <v>0</v>
      </c>
      <c r="F162" t="n">
        <v>20.606299</v>
      </c>
      <c r="G162" t="n">
        <v>1.542427</v>
      </c>
      <c r="H162" t="n">
        <v>1.561295</v>
      </c>
      <c r="I162" t="n">
        <v>15.075177</v>
      </c>
      <c r="J162" t="n">
        <v>15.075177</v>
      </c>
      <c r="K162" t="n">
        <v>15.060102</v>
      </c>
      <c r="L162" t="n">
        <v>13.927162</v>
      </c>
      <c r="M162" t="n">
        <v>13.927162</v>
      </c>
      <c r="N162" t="n">
        <v>14.183251</v>
      </c>
      <c r="O162" t="n">
        <v>7.969433</v>
      </c>
      <c r="P162" t="n">
        <v>5.681336</v>
      </c>
      <c r="Q162" t="n">
        <v>14.183251</v>
      </c>
      <c r="R162" t="n">
        <v>13.927162</v>
      </c>
      <c r="S162" t="n">
        <v>7.969433</v>
      </c>
      <c r="T162" t="n">
        <v>7.969433</v>
      </c>
      <c r="U162" t="n">
        <v>5.681336</v>
      </c>
      <c r="V162" t="n">
        <v>5.681336</v>
      </c>
      <c r="W162" t="n">
        <v>8.136905</v>
      </c>
      <c r="X162" t="n">
        <v>14.885026</v>
      </c>
    </row>
    <row r="163" ht="21" customHeight="1">
      <c r="A163" t="inlineStr">
        <is>
          <t>Serranidae</t>
        </is>
      </c>
      <c r="B163" t="n">
        <v>3.98</v>
      </c>
      <c r="C163" t="n">
        <v>954.992586</v>
      </c>
      <c r="D163" s="10" t="inlineStr">
        <is>
          <t>Piscivores</t>
        </is>
      </c>
      <c r="E163" t="n">
        <v>0</v>
      </c>
      <c r="F163" t="n">
        <v>304.388999</v>
      </c>
      <c r="G163" t="n">
        <v>2.268309</v>
      </c>
      <c r="H163" t="n">
        <v>2.300314</v>
      </c>
      <c r="I163" t="n">
        <v>249.259877</v>
      </c>
      <c r="J163" t="n">
        <v>251.428736</v>
      </c>
      <c r="K163" t="n">
        <v>202.148704</v>
      </c>
      <c r="L163" t="n">
        <v>282.597002</v>
      </c>
      <c r="M163" t="n">
        <v>282.597002</v>
      </c>
      <c r="N163" t="n">
        <v>286.033173</v>
      </c>
      <c r="O163" t="n">
        <v>49.797649</v>
      </c>
      <c r="P163" t="n">
        <v>25.643377</v>
      </c>
      <c r="Q163" t="n">
        <v>286.033173</v>
      </c>
      <c r="R163" t="n">
        <v>282.597002</v>
      </c>
      <c r="S163" t="n">
        <v>49.797649</v>
      </c>
      <c r="T163" t="n">
        <v>49.797649</v>
      </c>
      <c r="U163" t="n">
        <v>25.643377</v>
      </c>
      <c r="V163" t="n">
        <v>25.643377</v>
      </c>
      <c r="W163" t="n">
        <v>51.082514</v>
      </c>
      <c r="X163" t="n">
        <v>274.518943</v>
      </c>
    </row>
    <row r="164" ht="36" customHeight="1">
      <c r="A164" t="inlineStr">
        <is>
          <t>Pleuronectiformes</t>
        </is>
      </c>
      <c r="B164" t="n">
        <v>3.57</v>
      </c>
      <c r="C164" t="n">
        <v>371.535229</v>
      </c>
      <c r="D164" s="10" t="inlineStr">
        <is>
          <t>Benthivores | Benthivores/piscivores</t>
        </is>
      </c>
      <c r="E164" t="n">
        <v>0</v>
      </c>
      <c r="F164" t="n">
        <v>105.627174</v>
      </c>
      <c r="G164" t="n">
        <v>1.935647</v>
      </c>
      <c r="H164" t="n">
        <v>1.950745</v>
      </c>
      <c r="I164" t="n">
        <v>35.127516</v>
      </c>
      <c r="J164" t="n">
        <v>35.944164</v>
      </c>
      <c r="K164" t="n">
        <v>35.564732</v>
      </c>
      <c r="L164" t="n">
        <v>191.216462</v>
      </c>
      <c r="M164" t="n">
        <v>191.216462</v>
      </c>
      <c r="N164" t="n">
        <v>194.361905</v>
      </c>
      <c r="O164" t="n">
        <v>15.131318</v>
      </c>
      <c r="P164" t="n">
        <v>9.058182</v>
      </c>
      <c r="Q164" t="n">
        <v>194.361905</v>
      </c>
      <c r="R164" t="n">
        <v>191.216462</v>
      </c>
      <c r="S164" t="n">
        <v>15.131318</v>
      </c>
      <c r="T164" t="n">
        <v>15.131318</v>
      </c>
      <c r="U164" t="n">
        <v>9.058182</v>
      </c>
      <c r="V164" t="n">
        <v>9.058182</v>
      </c>
      <c r="W164" t="n">
        <v>15.571657</v>
      </c>
      <c r="X164" t="n">
        <v>38.761547</v>
      </c>
    </row>
    <row r="165" ht="21" customHeight="1">
      <c r="A165" t="inlineStr">
        <is>
          <t>Scomberomorus commerson</t>
        </is>
      </c>
      <c r="B165" t="n">
        <v>4.5</v>
      </c>
      <c r="C165" t="n">
        <v>3162.27766</v>
      </c>
      <c r="D165" s="10" t="inlineStr">
        <is>
          <t>Piscivores</t>
        </is>
      </c>
      <c r="E165" t="n">
        <v>0</v>
      </c>
      <c r="F165" t="n">
        <v>304.388999</v>
      </c>
      <c r="G165" t="n">
        <v>2.268309</v>
      </c>
      <c r="H165" t="n">
        <v>2.300314</v>
      </c>
      <c r="I165" t="n">
        <v>249.259877</v>
      </c>
      <c r="J165" t="n">
        <v>251.428736</v>
      </c>
      <c r="K165" t="n">
        <v>202.148704</v>
      </c>
      <c r="L165" t="n">
        <v>282.597002</v>
      </c>
      <c r="M165" t="n">
        <v>282.597002</v>
      </c>
      <c r="N165" t="n">
        <v>286.033173</v>
      </c>
      <c r="O165" t="n">
        <v>49.797649</v>
      </c>
      <c r="P165" t="n">
        <v>25.643377</v>
      </c>
      <c r="Q165" t="n">
        <v>286.033173</v>
      </c>
      <c r="R165" t="n">
        <v>282.597002</v>
      </c>
      <c r="S165" t="n">
        <v>49.797649</v>
      </c>
      <c r="T165" t="n">
        <v>49.797649</v>
      </c>
      <c r="U165" t="n">
        <v>25.643377</v>
      </c>
      <c r="V165" t="n">
        <v>25.643377</v>
      </c>
      <c r="W165" t="n">
        <v>51.082514</v>
      </c>
      <c r="X165" t="n">
        <v>274.518943</v>
      </c>
    </row>
    <row r="166" ht="21" customHeight="1">
      <c r="A166" t="inlineStr">
        <is>
          <t>Engraulidae</t>
        </is>
      </c>
      <c r="B166" t="n">
        <v>3.2</v>
      </c>
      <c r="C166" t="n">
        <v>158.489319</v>
      </c>
      <c r="D166" s="10" t="inlineStr">
        <is>
          <t>Planktivores</t>
        </is>
      </c>
      <c r="E166" t="n">
        <v>0</v>
      </c>
      <c r="F166" t="n">
        <v>100.997642</v>
      </c>
      <c r="G166" t="n">
        <v>1.93677</v>
      </c>
      <c r="H166" t="n">
        <v>1.93149</v>
      </c>
      <c r="I166" t="n">
        <v>53.479795</v>
      </c>
      <c r="J166" t="n">
        <v>53.479795</v>
      </c>
      <c r="K166" t="n">
        <v>53.372836</v>
      </c>
      <c r="L166" t="n">
        <v>51.741399</v>
      </c>
      <c r="M166" t="n">
        <v>51.741399</v>
      </c>
      <c r="N166" t="n">
        <v>52.283119</v>
      </c>
      <c r="O166" t="n">
        <v>17.749881</v>
      </c>
      <c r="P166" t="n">
        <v>11.404035</v>
      </c>
      <c r="Q166" t="n">
        <v>52.283119</v>
      </c>
      <c r="R166" t="n">
        <v>51.741399</v>
      </c>
      <c r="S166" t="n">
        <v>17.749881</v>
      </c>
      <c r="T166" t="n">
        <v>17.749881</v>
      </c>
      <c r="U166" t="n">
        <v>11.404035</v>
      </c>
      <c r="V166" t="n">
        <v>11.404035</v>
      </c>
      <c r="W166" t="n">
        <v>17.839302</v>
      </c>
      <c r="X166" t="n">
        <v>54.129601</v>
      </c>
    </row>
    <row r="167" ht="21" customHeight="1">
      <c r="A167" t="inlineStr">
        <is>
          <t>Metapenaeus joyneri</t>
        </is>
      </c>
      <c r="B167" t="n">
        <v>3.2</v>
      </c>
      <c r="C167" t="n">
        <v>158.489319</v>
      </c>
      <c r="D167" s="10" t="inlineStr">
        <is>
          <t>Shrimps</t>
        </is>
      </c>
      <c r="E167" t="n">
        <v>0</v>
      </c>
      <c r="F167" t="n">
        <v>20.606299</v>
      </c>
      <c r="G167" t="n">
        <v>1.542427</v>
      </c>
      <c r="H167" t="n">
        <v>1.561295</v>
      </c>
      <c r="I167" t="n">
        <v>15.075177</v>
      </c>
      <c r="J167" t="n">
        <v>15.075177</v>
      </c>
      <c r="K167" t="n">
        <v>15.060102</v>
      </c>
      <c r="L167" t="n">
        <v>13.927162</v>
      </c>
      <c r="M167" t="n">
        <v>13.927162</v>
      </c>
      <c r="N167" t="n">
        <v>14.183251</v>
      </c>
      <c r="O167" t="n">
        <v>7.969433</v>
      </c>
      <c r="P167" t="n">
        <v>5.681336</v>
      </c>
      <c r="Q167" t="n">
        <v>14.183251</v>
      </c>
      <c r="R167" t="n">
        <v>13.927162</v>
      </c>
      <c r="S167" t="n">
        <v>7.969433</v>
      </c>
      <c r="T167" t="n">
        <v>7.969433</v>
      </c>
      <c r="U167" t="n">
        <v>5.681336</v>
      </c>
      <c r="V167" t="n">
        <v>5.681336</v>
      </c>
      <c r="W167" t="n">
        <v>8.136905</v>
      </c>
      <c r="X167" t="n">
        <v>14.885026</v>
      </c>
    </row>
    <row r="168" ht="21" customHeight="1">
      <c r="A168" t="inlineStr">
        <is>
          <t>Kyphosidae</t>
        </is>
      </c>
      <c r="B168" t="n">
        <v>2.19</v>
      </c>
      <c r="C168" t="n">
        <v>15.488166</v>
      </c>
      <c r="D168" s="10" t="inlineStr">
        <is>
          <t>Omnivores</t>
        </is>
      </c>
      <c r="E168" t="n">
        <v>0</v>
      </c>
      <c r="F168" t="n">
        <v>131.221463</v>
      </c>
      <c r="G168" t="n">
        <v>2.01077</v>
      </c>
      <c r="H168" t="n">
        <v>2.036134</v>
      </c>
      <c r="I168" t="n">
        <v>66.04435700000001</v>
      </c>
      <c r="J168" t="n">
        <v>68.25582300000001</v>
      </c>
      <c r="K168" t="n">
        <v>68.187568</v>
      </c>
      <c r="L168" t="n">
        <v>72.544996</v>
      </c>
      <c r="M168" t="n">
        <v>72.544996</v>
      </c>
      <c r="N168" t="n">
        <v>73.57283200000001</v>
      </c>
      <c r="O168" t="n">
        <v>17.500018</v>
      </c>
      <c r="P168" t="n">
        <v>10.032554</v>
      </c>
      <c r="Q168" t="n">
        <v>73.57283200000001</v>
      </c>
      <c r="R168" t="n">
        <v>72.544996</v>
      </c>
      <c r="S168" t="n">
        <v>17.500018</v>
      </c>
      <c r="T168" t="n">
        <v>17.500018</v>
      </c>
      <c r="U168" t="n">
        <v>10.032554</v>
      </c>
      <c r="V168" t="n">
        <v>10.032554</v>
      </c>
      <c r="W168" t="n">
        <v>17.704629</v>
      </c>
      <c r="X168" t="n">
        <v>72.854687</v>
      </c>
    </row>
    <row r="169" ht="51" customHeight="1">
      <c r="A169" t="inlineStr">
        <is>
          <t>Marine finfishes not identified</t>
        </is>
      </c>
      <c r="B169" t="n">
        <v>3.23</v>
      </c>
      <c r="C169" t="n">
        <v>169.824365</v>
      </c>
      <c r="D169" s="10" t="inlineStr">
        <is>
          <t>Benthivores | Piscivores | Planktivores/piscivores | Benthivores/piscivores | Omnivores</t>
        </is>
      </c>
      <c r="E169" t="n">
        <v>0</v>
      </c>
      <c r="F169" t="n">
        <v>166.961545</v>
      </c>
      <c r="G169" t="n">
        <v>2.045106</v>
      </c>
      <c r="H169" t="n">
        <v>2.060755</v>
      </c>
      <c r="I169" t="n">
        <v>186.169499</v>
      </c>
      <c r="J169" t="n">
        <v>192.680384</v>
      </c>
      <c r="K169" t="n">
        <v>114.316945</v>
      </c>
      <c r="L169" t="n">
        <v>287.676992</v>
      </c>
      <c r="M169" t="n">
        <v>287.676992</v>
      </c>
      <c r="N169" t="n">
        <v>291.908148</v>
      </c>
      <c r="O169" t="n">
        <v>34.836971</v>
      </c>
      <c r="P169" t="n">
        <v>19.545313</v>
      </c>
      <c r="Q169" t="n">
        <v>291.908148</v>
      </c>
      <c r="R169" t="n">
        <v>287.676992</v>
      </c>
      <c r="S169" t="n">
        <v>34.836971</v>
      </c>
      <c r="T169" t="n">
        <v>34.836971</v>
      </c>
      <c r="U169" t="n">
        <v>19.545313</v>
      </c>
      <c r="V169" t="n">
        <v>19.545313</v>
      </c>
      <c r="W169" t="n">
        <v>35.81931</v>
      </c>
      <c r="X169" t="n">
        <v>216.24497</v>
      </c>
    </row>
    <row r="170" ht="21" customHeight="1">
      <c r="A170" t="inlineStr">
        <is>
          <t>Oplegnathus fasciatus</t>
        </is>
      </c>
      <c r="B170" t="n">
        <v>3.55</v>
      </c>
      <c r="C170" t="n">
        <v>354.813389</v>
      </c>
      <c r="D170" s="10" t="inlineStr">
        <is>
          <t>Benthivores</t>
        </is>
      </c>
      <c r="E170" t="n">
        <v>0</v>
      </c>
      <c r="F170" t="n">
        <v>67.81478300000001</v>
      </c>
      <c r="G170" t="n">
        <v>1.829368</v>
      </c>
      <c r="H170" t="n">
        <v>1.84033</v>
      </c>
      <c r="I170" t="n">
        <v>33.988491</v>
      </c>
      <c r="J170" t="n">
        <v>35.780255</v>
      </c>
      <c r="K170" t="n">
        <v>35.601354</v>
      </c>
      <c r="L170" t="n">
        <v>385.228839</v>
      </c>
      <c r="M170" t="n">
        <v>385.228839</v>
      </c>
      <c r="N170" t="n">
        <v>391.588003</v>
      </c>
      <c r="O170" t="n">
        <v>16.66963</v>
      </c>
      <c r="P170" t="n">
        <v>9.973879999999999</v>
      </c>
      <c r="Q170" t="n">
        <v>391.588003</v>
      </c>
      <c r="R170" t="n">
        <v>385.228839</v>
      </c>
      <c r="S170" t="n">
        <v>16.66963</v>
      </c>
      <c r="T170" t="n">
        <v>16.66963</v>
      </c>
      <c r="U170" t="n">
        <v>9.973879999999999</v>
      </c>
      <c r="V170" t="n">
        <v>9.973879999999999</v>
      </c>
      <c r="W170" t="n">
        <v>17.246706</v>
      </c>
      <c r="X170" t="n">
        <v>42.474741</v>
      </c>
    </row>
    <row r="171" ht="21" customHeight="1">
      <c r="A171" t="inlineStr">
        <is>
          <t>Cardiidae</t>
        </is>
      </c>
      <c r="B171" t="n">
        <v>2</v>
      </c>
      <c r="C171" t="n">
        <v>10</v>
      </c>
      <c r="D171" s="10" t="inlineStr">
        <is>
          <t>Mollusks</t>
        </is>
      </c>
      <c r="E171" t="n">
        <v>0</v>
      </c>
      <c r="F171" t="n">
        <v>14.497407</v>
      </c>
      <c r="G171" t="n">
        <v>1.466668</v>
      </c>
      <c r="H171" t="n">
        <v>1.466497</v>
      </c>
      <c r="I171" t="n">
        <v>17.850747</v>
      </c>
      <c r="J171" t="n">
        <v>17.850747</v>
      </c>
      <c r="K171" t="n">
        <v>5.355224</v>
      </c>
      <c r="L171" t="n">
        <v>17.186608</v>
      </c>
      <c r="M171" t="n">
        <v>17.186608</v>
      </c>
      <c r="N171" t="n">
        <v>17.598965</v>
      </c>
      <c r="O171" t="n">
        <v>3.995111</v>
      </c>
      <c r="P171" t="n">
        <v>2.967513</v>
      </c>
      <c r="Q171" t="n">
        <v>17.598965</v>
      </c>
      <c r="R171" t="n">
        <v>17.186608</v>
      </c>
      <c r="S171" t="n">
        <v>3.995111</v>
      </c>
      <c r="T171" t="n">
        <v>3.995111</v>
      </c>
      <c r="U171" t="n">
        <v>2.967513</v>
      </c>
      <c r="V171" t="n">
        <v>2.967513</v>
      </c>
      <c r="W171" t="n">
        <v>3.990277</v>
      </c>
      <c r="X171" t="n">
        <v>17.941416</v>
      </c>
    </row>
    <row r="172" ht="21" customHeight="1">
      <c r="A172" t="inlineStr">
        <is>
          <t>Lethrinidae</t>
        </is>
      </c>
      <c r="B172" t="n">
        <v>3.59</v>
      </c>
      <c r="C172" t="n">
        <v>389.045145</v>
      </c>
      <c r="D172" s="10" t="inlineStr">
        <is>
          <t>Benthivores/piscivores</t>
        </is>
      </c>
      <c r="E172" t="n">
        <v>0</v>
      </c>
      <c r="F172" t="n">
        <v>136.120059</v>
      </c>
      <c r="G172" t="n">
        <v>2.021353</v>
      </c>
      <c r="H172" t="n">
        <v>2.039787</v>
      </c>
      <c r="I172" t="n">
        <v>36.046055</v>
      </c>
      <c r="J172" t="n">
        <v>36.076344</v>
      </c>
      <c r="K172" t="n">
        <v>35.535199</v>
      </c>
      <c r="L172" t="n">
        <v>34.759886</v>
      </c>
      <c r="M172" t="n">
        <v>34.759886</v>
      </c>
      <c r="N172" t="n">
        <v>35.313702</v>
      </c>
      <c r="O172" t="n">
        <v>13.890783</v>
      </c>
      <c r="P172" t="n">
        <v>8.319739999999999</v>
      </c>
      <c r="Q172" t="n">
        <v>35.313702</v>
      </c>
      <c r="R172" t="n">
        <v>34.759886</v>
      </c>
      <c r="S172" t="n">
        <v>13.890783</v>
      </c>
      <c r="T172" t="n">
        <v>13.890783</v>
      </c>
      <c r="U172" t="n">
        <v>8.319739999999999</v>
      </c>
      <c r="V172" t="n">
        <v>8.319739999999999</v>
      </c>
      <c r="W172" t="n">
        <v>14.220855</v>
      </c>
      <c r="X172" t="n">
        <v>35.767132</v>
      </c>
    </row>
    <row r="173" ht="21" customHeight="1">
      <c r="A173" t="inlineStr">
        <is>
          <t>Chondrichthyes</t>
        </is>
      </c>
      <c r="B173" t="n">
        <v>4</v>
      </c>
      <c r="C173" t="n">
        <v>1000</v>
      </c>
      <c r="D173" s="10" t="inlineStr">
        <is>
          <t>Sharks | Benthivores</t>
        </is>
      </c>
      <c r="E173" t="n">
        <v>0</v>
      </c>
      <c r="F173" t="n">
        <v>86.734781</v>
      </c>
      <c r="G173" t="n">
        <v>1.845317</v>
      </c>
      <c r="H173" t="n">
        <v>1.856032</v>
      </c>
      <c r="I173" t="n">
        <v>33.396859</v>
      </c>
      <c r="J173" t="n">
        <v>37.813436</v>
      </c>
      <c r="L173" t="n">
        <v>378.523224</v>
      </c>
      <c r="M173" t="n">
        <v>378.523224</v>
      </c>
      <c r="N173" t="n">
        <v>384.771695</v>
      </c>
      <c r="O173" t="n">
        <v>19.951341</v>
      </c>
      <c r="P173" t="n">
        <v>11.433576</v>
      </c>
      <c r="Q173" t="n">
        <v>384.771695</v>
      </c>
      <c r="R173" t="n">
        <v>378.523224</v>
      </c>
      <c r="S173" t="n">
        <v>19.951341</v>
      </c>
      <c r="T173" t="n">
        <v>19.951341</v>
      </c>
      <c r="U173" t="n">
        <v>11.433576</v>
      </c>
      <c r="V173" t="n">
        <v>11.433576</v>
      </c>
      <c r="W173" t="n">
        <v>20.527001</v>
      </c>
      <c r="X173" t="n">
        <v>41.735391</v>
      </c>
    </row>
    <row r="174" ht="21" customHeight="1">
      <c r="A174" t="inlineStr">
        <is>
          <t>Parapristipoma trilineatum</t>
        </is>
      </c>
      <c r="D174" s="10" t="inlineStr">
        <is>
          <t>Planktivores/Benthivores</t>
        </is>
      </c>
      <c r="E174" t="n">
        <v>0</v>
      </c>
      <c r="F174" t="n">
        <v>90.84783299999999</v>
      </c>
      <c r="G174" t="n">
        <v>1.907611</v>
      </c>
      <c r="H174" t="n">
        <v>1.91205</v>
      </c>
      <c r="I174" t="n">
        <v>124.271163</v>
      </c>
      <c r="J174" t="n">
        <v>124.271163</v>
      </c>
      <c r="K174" t="n">
        <v>113.832386</v>
      </c>
      <c r="L174" t="n">
        <v>118.840107</v>
      </c>
      <c r="M174" t="n">
        <v>118.840107</v>
      </c>
      <c r="N174" t="n">
        <v>120.054666</v>
      </c>
      <c r="O174" t="n">
        <v>37.420523</v>
      </c>
      <c r="P174" t="n">
        <v>24.182504</v>
      </c>
      <c r="Q174" t="n">
        <v>120.054666</v>
      </c>
      <c r="R174" t="n">
        <v>118.840107</v>
      </c>
      <c r="S174" t="n">
        <v>37.420523</v>
      </c>
      <c r="T174" t="n">
        <v>37.420523</v>
      </c>
      <c r="U174" t="n">
        <v>24.182504</v>
      </c>
      <c r="V174" t="n">
        <v>24.182504</v>
      </c>
      <c r="W174" t="n">
        <v>38.102317</v>
      </c>
      <c r="X174" t="n">
        <v>122.241888</v>
      </c>
    </row>
    <row r="175" ht="21" customHeight="1">
      <c r="A175" t="inlineStr">
        <is>
          <t>Evynnis tumifrons</t>
        </is>
      </c>
      <c r="B175" t="n">
        <v>3.97</v>
      </c>
      <c r="C175" t="n">
        <v>933.2543010000001</v>
      </c>
      <c r="D175" s="10" t="inlineStr">
        <is>
          <t>Omnivores</t>
        </is>
      </c>
      <c r="E175" t="n">
        <v>0</v>
      </c>
      <c r="F175" t="n">
        <v>131.221463</v>
      </c>
      <c r="G175" t="n">
        <v>2.01077</v>
      </c>
      <c r="H175" t="n">
        <v>2.036134</v>
      </c>
      <c r="I175" t="n">
        <v>66.04435700000001</v>
      </c>
      <c r="J175" t="n">
        <v>68.25582300000001</v>
      </c>
      <c r="K175" t="n">
        <v>68.187568</v>
      </c>
      <c r="L175" t="n">
        <v>72.544996</v>
      </c>
      <c r="M175" t="n">
        <v>72.544996</v>
      </c>
      <c r="N175" t="n">
        <v>73.57283200000001</v>
      </c>
      <c r="O175" t="n">
        <v>17.500018</v>
      </c>
      <c r="P175" t="n">
        <v>10.032554</v>
      </c>
      <c r="Q175" t="n">
        <v>73.57283200000001</v>
      </c>
      <c r="R175" t="n">
        <v>72.544996</v>
      </c>
      <c r="S175" t="n">
        <v>17.500018</v>
      </c>
      <c r="T175" t="n">
        <v>17.500018</v>
      </c>
      <c r="U175" t="n">
        <v>10.032554</v>
      </c>
      <c r="V175" t="n">
        <v>10.032554</v>
      </c>
      <c r="W175" t="n">
        <v>17.704629</v>
      </c>
      <c r="X175" t="n">
        <v>72.854687</v>
      </c>
    </row>
    <row r="176" ht="21" customHeight="1">
      <c r="A176" t="inlineStr">
        <is>
          <t>Scyllaridae</t>
        </is>
      </c>
      <c r="B176" t="n">
        <v>2.87</v>
      </c>
      <c r="C176" t="n">
        <v>74.131024</v>
      </c>
      <c r="D176" s="10" t="inlineStr">
        <is>
          <t>Crabs</t>
        </is>
      </c>
      <c r="E176" t="n">
        <v>0</v>
      </c>
      <c r="F176" t="n">
        <v>21.002175</v>
      </c>
      <c r="G176" t="n">
        <v>1.546636</v>
      </c>
      <c r="H176" t="n">
        <v>1.565985</v>
      </c>
      <c r="I176" t="n">
        <v>12.039474</v>
      </c>
      <c r="J176" t="n">
        <v>12.039474</v>
      </c>
      <c r="K176" t="n">
        <v>11.028158</v>
      </c>
      <c r="L176" t="n">
        <v>11.032425</v>
      </c>
      <c r="M176" t="n">
        <v>11.032425</v>
      </c>
      <c r="N176" t="n">
        <v>11.257068</v>
      </c>
      <c r="O176" t="n">
        <v>7.495998</v>
      </c>
      <c r="P176" t="n">
        <v>5.212079</v>
      </c>
      <c r="Q176" t="n">
        <v>11.257068</v>
      </c>
      <c r="R176" t="n">
        <v>11.032425</v>
      </c>
      <c r="S176" t="n">
        <v>7.495998</v>
      </c>
      <c r="T176" t="n">
        <v>7.495998</v>
      </c>
      <c r="U176" t="n">
        <v>5.212079</v>
      </c>
      <c r="V176" t="n">
        <v>5.212079</v>
      </c>
      <c r="W176" t="n">
        <v>7.53635</v>
      </c>
      <c r="X176" t="n">
        <v>11.035506</v>
      </c>
    </row>
    <row r="177" ht="21" customHeight="1">
      <c r="A177" t="inlineStr">
        <is>
          <t>Xiphias gladius</t>
        </is>
      </c>
      <c r="B177" t="n">
        <v>4.53</v>
      </c>
      <c r="C177" t="n">
        <v>3388.441561</v>
      </c>
      <c r="D177" s="10" t="inlineStr">
        <is>
          <t>Piscivores</t>
        </is>
      </c>
      <c r="E177" t="n">
        <v>0</v>
      </c>
      <c r="F177" t="n">
        <v>304.388999</v>
      </c>
      <c r="G177" t="n">
        <v>2.268309</v>
      </c>
      <c r="H177" t="n">
        <v>2.300314</v>
      </c>
      <c r="I177" t="n">
        <v>249.259877</v>
      </c>
      <c r="J177" t="n">
        <v>251.428736</v>
      </c>
      <c r="K177" t="n">
        <v>202.148704</v>
      </c>
      <c r="L177" t="n">
        <v>282.597002</v>
      </c>
      <c r="M177" t="n">
        <v>282.597002</v>
      </c>
      <c r="N177" t="n">
        <v>286.033173</v>
      </c>
      <c r="O177" t="n">
        <v>49.797649</v>
      </c>
      <c r="P177" t="n">
        <v>25.643377</v>
      </c>
      <c r="Q177" t="n">
        <v>286.033173</v>
      </c>
      <c r="R177" t="n">
        <v>282.597002</v>
      </c>
      <c r="S177" t="n">
        <v>49.797649</v>
      </c>
      <c r="T177" t="n">
        <v>49.797649</v>
      </c>
      <c r="U177" t="n">
        <v>25.643377</v>
      </c>
      <c r="V177" t="n">
        <v>25.643377</v>
      </c>
      <c r="W177" t="n">
        <v>51.082514</v>
      </c>
      <c r="X177" t="n">
        <v>274.518943</v>
      </c>
    </row>
    <row r="178" ht="21" customHeight="1">
      <c r="A178" t="inlineStr">
        <is>
          <t>Epinephelus coioides</t>
        </is>
      </c>
      <c r="B178" t="n">
        <v>4</v>
      </c>
      <c r="C178" t="n">
        <v>1000</v>
      </c>
      <c r="D178" s="10" t="inlineStr">
        <is>
          <t>Piscivores</t>
        </is>
      </c>
      <c r="E178" t="n">
        <v>0</v>
      </c>
      <c r="F178" t="n">
        <v>304.388999</v>
      </c>
      <c r="G178" t="n">
        <v>2.268309</v>
      </c>
      <c r="H178" t="n">
        <v>2.300314</v>
      </c>
      <c r="I178" t="n">
        <v>249.259877</v>
      </c>
      <c r="J178" t="n">
        <v>251.428736</v>
      </c>
      <c r="K178" t="n">
        <v>202.148704</v>
      </c>
      <c r="L178" t="n">
        <v>282.597002</v>
      </c>
      <c r="M178" t="n">
        <v>282.597002</v>
      </c>
      <c r="N178" t="n">
        <v>286.033173</v>
      </c>
      <c r="O178" t="n">
        <v>49.797649</v>
      </c>
      <c r="P178" t="n">
        <v>25.643377</v>
      </c>
      <c r="Q178" t="n">
        <v>286.033173</v>
      </c>
      <c r="R178" t="n">
        <v>282.597002</v>
      </c>
      <c r="S178" t="n">
        <v>49.797649</v>
      </c>
      <c r="T178" t="n">
        <v>49.797649</v>
      </c>
      <c r="U178" t="n">
        <v>25.643377</v>
      </c>
      <c r="V178" t="n">
        <v>25.643377</v>
      </c>
      <c r="W178" t="n">
        <v>51.082514</v>
      </c>
      <c r="X178" t="n">
        <v>274.518943</v>
      </c>
    </row>
    <row r="179" ht="21" customHeight="1">
      <c r="A179" t="inlineStr">
        <is>
          <t>Gobiidae</t>
        </is>
      </c>
      <c r="B179" t="n">
        <v>3.11</v>
      </c>
      <c r="C179" t="n">
        <v>128.824955</v>
      </c>
      <c r="D179" s="10" t="inlineStr">
        <is>
          <t>Benthivores</t>
        </is>
      </c>
      <c r="E179" t="n">
        <v>0</v>
      </c>
      <c r="F179" t="n">
        <v>67.81478300000001</v>
      </c>
      <c r="G179" t="n">
        <v>1.829368</v>
      </c>
      <c r="H179" t="n">
        <v>1.84033</v>
      </c>
      <c r="I179" t="n">
        <v>33.988491</v>
      </c>
      <c r="J179" t="n">
        <v>35.780255</v>
      </c>
      <c r="K179" t="n">
        <v>35.601354</v>
      </c>
      <c r="L179" t="n">
        <v>385.228839</v>
      </c>
      <c r="M179" t="n">
        <v>385.228839</v>
      </c>
      <c r="N179" t="n">
        <v>391.588003</v>
      </c>
      <c r="O179" t="n">
        <v>16.66963</v>
      </c>
      <c r="P179" t="n">
        <v>9.973879999999999</v>
      </c>
      <c r="Q179" t="n">
        <v>391.588003</v>
      </c>
      <c r="R179" t="n">
        <v>385.228839</v>
      </c>
      <c r="S179" t="n">
        <v>16.66963</v>
      </c>
      <c r="T179" t="n">
        <v>16.66963</v>
      </c>
      <c r="U179" t="n">
        <v>9.973879999999999</v>
      </c>
      <c r="V179" t="n">
        <v>9.973879999999999</v>
      </c>
      <c r="W179" t="n">
        <v>17.246706</v>
      </c>
      <c r="X179" t="n">
        <v>42.474741</v>
      </c>
    </row>
    <row r="180" ht="21" customHeight="1">
      <c r="A180" t="inlineStr">
        <is>
          <t>Ariomma indica</t>
        </is>
      </c>
      <c r="B180" t="n">
        <v>3.63</v>
      </c>
      <c r="C180" t="n">
        <v>426.579519</v>
      </c>
      <c r="D180" s="10" t="inlineStr">
        <is>
          <t>Planktivores/piscivores</t>
        </is>
      </c>
      <c r="E180" t="n">
        <v>0</v>
      </c>
      <c r="F180" t="n">
        <v>123.077794</v>
      </c>
      <c r="G180" t="n">
        <v>1.992402</v>
      </c>
      <c r="H180" t="n">
        <v>1.97781</v>
      </c>
      <c r="I180" t="n">
        <v>560.299311</v>
      </c>
      <c r="J180" t="n">
        <v>592.272682</v>
      </c>
      <c r="K180" t="n">
        <v>209.072257</v>
      </c>
      <c r="L180" t="n">
        <v>660.166914</v>
      </c>
      <c r="M180" t="n">
        <v>660.166914</v>
      </c>
      <c r="N180" t="n">
        <v>670.165526</v>
      </c>
      <c r="O180" t="n">
        <v>72.857719</v>
      </c>
      <c r="P180" t="n">
        <v>43.071646</v>
      </c>
      <c r="Q180" t="n">
        <v>670.165526</v>
      </c>
      <c r="R180" t="n">
        <v>660.166914</v>
      </c>
      <c r="S180" t="n">
        <v>72.857719</v>
      </c>
      <c r="T180" t="n">
        <v>72.857719</v>
      </c>
      <c r="U180" t="n">
        <v>43.071646</v>
      </c>
      <c r="V180" t="n">
        <v>43.071646</v>
      </c>
      <c r="W180" t="n">
        <v>75.193746</v>
      </c>
      <c r="X180" t="n">
        <v>683.804243</v>
      </c>
    </row>
    <row r="181" ht="21" customHeight="1">
      <c r="A181" t="inlineStr">
        <is>
          <t>Platycaranx talamparoides</t>
        </is>
      </c>
      <c r="B181" t="n">
        <v>4.4</v>
      </c>
      <c r="C181" t="n">
        <v>2511.886432</v>
      </c>
      <c r="D181" s="10" t="inlineStr">
        <is>
          <t>Planktivores/piscivores</t>
        </is>
      </c>
      <c r="E181" t="n">
        <v>0</v>
      </c>
      <c r="F181" t="n">
        <v>123.077794</v>
      </c>
      <c r="G181" t="n">
        <v>1.992402</v>
      </c>
      <c r="H181" t="n">
        <v>1.97781</v>
      </c>
      <c r="I181" t="n">
        <v>560.299311</v>
      </c>
      <c r="J181" t="n">
        <v>592.272682</v>
      </c>
      <c r="K181" t="n">
        <v>209.072257</v>
      </c>
      <c r="L181" t="n">
        <v>660.166914</v>
      </c>
      <c r="M181" t="n">
        <v>660.166914</v>
      </c>
      <c r="N181" t="n">
        <v>670.165526</v>
      </c>
      <c r="O181" t="n">
        <v>72.857719</v>
      </c>
      <c r="P181" t="n">
        <v>43.071646</v>
      </c>
      <c r="Q181" t="n">
        <v>670.165526</v>
      </c>
      <c r="R181" t="n">
        <v>660.166914</v>
      </c>
      <c r="S181" t="n">
        <v>72.857719</v>
      </c>
      <c r="T181" t="n">
        <v>72.857719</v>
      </c>
      <c r="U181" t="n">
        <v>43.071646</v>
      </c>
      <c r="V181" t="n">
        <v>43.071646</v>
      </c>
      <c r="W181" t="n">
        <v>75.193746</v>
      </c>
      <c r="X181" t="n">
        <v>683.804243</v>
      </c>
    </row>
    <row r="182" ht="21" customHeight="1">
      <c r="A182" t="inlineStr">
        <is>
          <t>Decapterus russelli</t>
        </is>
      </c>
      <c r="B182" t="n">
        <v>3.68</v>
      </c>
      <c r="C182" t="n">
        <v>478.630092</v>
      </c>
      <c r="D182" s="10" t="inlineStr">
        <is>
          <t>Planktivores/piscivores</t>
        </is>
      </c>
      <c r="E182" t="n">
        <v>0</v>
      </c>
      <c r="F182" t="n">
        <v>123.077794</v>
      </c>
      <c r="G182" t="n">
        <v>1.992402</v>
      </c>
      <c r="H182" t="n">
        <v>1.97781</v>
      </c>
      <c r="I182" t="n">
        <v>560.299311</v>
      </c>
      <c r="J182" t="n">
        <v>592.272682</v>
      </c>
      <c r="K182" t="n">
        <v>209.072257</v>
      </c>
      <c r="L182" t="n">
        <v>660.166914</v>
      </c>
      <c r="M182" t="n">
        <v>660.166914</v>
      </c>
      <c r="N182" t="n">
        <v>670.165526</v>
      </c>
      <c r="O182" t="n">
        <v>72.857719</v>
      </c>
      <c r="P182" t="n">
        <v>43.071646</v>
      </c>
      <c r="Q182" t="n">
        <v>670.165526</v>
      </c>
      <c r="R182" t="n">
        <v>660.166914</v>
      </c>
      <c r="S182" t="n">
        <v>72.857719</v>
      </c>
      <c r="T182" t="n">
        <v>72.857719</v>
      </c>
      <c r="U182" t="n">
        <v>43.071646</v>
      </c>
      <c r="V182" t="n">
        <v>43.071646</v>
      </c>
      <c r="W182" t="n">
        <v>75.193746</v>
      </c>
      <c r="X182" t="n">
        <v>683.804243</v>
      </c>
    </row>
    <row r="183" ht="21" customHeight="1">
      <c r="A183" t="inlineStr">
        <is>
          <t>Panulirus</t>
        </is>
      </c>
      <c r="D183" s="10" t="inlineStr">
        <is>
          <t>Crabs</t>
        </is>
      </c>
      <c r="E183" t="n">
        <v>0</v>
      </c>
      <c r="F183" t="n">
        <v>21.002175</v>
      </c>
      <c r="G183" t="n">
        <v>1.546636</v>
      </c>
      <c r="H183" t="n">
        <v>1.565985</v>
      </c>
      <c r="I183" t="n">
        <v>12.039474</v>
      </c>
      <c r="J183" t="n">
        <v>12.039474</v>
      </c>
      <c r="K183" t="n">
        <v>11.028158</v>
      </c>
      <c r="L183" t="n">
        <v>11.032425</v>
      </c>
      <c r="M183" t="n">
        <v>11.032425</v>
      </c>
      <c r="N183" t="n">
        <v>11.257068</v>
      </c>
      <c r="O183" t="n">
        <v>7.495998</v>
      </c>
      <c r="P183" t="n">
        <v>5.212079</v>
      </c>
      <c r="Q183" t="n">
        <v>11.257068</v>
      </c>
      <c r="R183" t="n">
        <v>11.032425</v>
      </c>
      <c r="S183" t="n">
        <v>7.495998</v>
      </c>
      <c r="T183" t="n">
        <v>7.495998</v>
      </c>
      <c r="U183" t="n">
        <v>5.212079</v>
      </c>
      <c r="V183" t="n">
        <v>5.212079</v>
      </c>
      <c r="W183" t="n">
        <v>7.53635</v>
      </c>
      <c r="X183" t="n">
        <v>11.035506</v>
      </c>
    </row>
    <row r="184" ht="21" customHeight="1">
      <c r="A184" t="inlineStr">
        <is>
          <t>Niphon spinosus</t>
        </is>
      </c>
      <c r="B184" t="n">
        <v>4.5</v>
      </c>
      <c r="C184" t="n">
        <v>3162.27766</v>
      </c>
      <c r="D184" s="10" t="inlineStr">
        <is>
          <t>Piscivores</t>
        </is>
      </c>
      <c r="E184" t="n">
        <v>0</v>
      </c>
      <c r="F184" t="n">
        <v>304.388999</v>
      </c>
      <c r="G184" t="n">
        <v>2.268309</v>
      </c>
      <c r="H184" t="n">
        <v>2.300314</v>
      </c>
      <c r="I184" t="n">
        <v>249.259877</v>
      </c>
      <c r="J184" t="n">
        <v>251.428736</v>
      </c>
      <c r="K184" t="n">
        <v>202.148704</v>
      </c>
      <c r="L184" t="n">
        <v>282.597002</v>
      </c>
      <c r="M184" t="n">
        <v>282.597002</v>
      </c>
      <c r="N184" t="n">
        <v>286.033173</v>
      </c>
      <c r="O184" t="n">
        <v>49.797649</v>
      </c>
      <c r="P184" t="n">
        <v>25.643377</v>
      </c>
      <c r="Q184" t="n">
        <v>286.033173</v>
      </c>
      <c r="R184" t="n">
        <v>282.597002</v>
      </c>
      <c r="S184" t="n">
        <v>49.797649</v>
      </c>
      <c r="T184" t="n">
        <v>49.797649</v>
      </c>
      <c r="U184" t="n">
        <v>25.643377</v>
      </c>
      <c r="V184" t="n">
        <v>25.643377</v>
      </c>
      <c r="W184" t="n">
        <v>51.082514</v>
      </c>
      <c r="X184" t="n">
        <v>274.518943</v>
      </c>
    </row>
    <row r="185" ht="21" customHeight="1">
      <c r="A185" t="inlineStr">
        <is>
          <t>Chanos chanos</t>
        </is>
      </c>
      <c r="B185" t="n">
        <v>2.03</v>
      </c>
      <c r="C185" t="n">
        <v>10.715193</v>
      </c>
      <c r="D185" s="10" t="inlineStr">
        <is>
          <t>Omnivores</t>
        </is>
      </c>
      <c r="E185" t="n">
        <v>0</v>
      </c>
      <c r="F185" t="n">
        <v>131.221463</v>
      </c>
      <c r="G185" t="n">
        <v>2.01077</v>
      </c>
      <c r="H185" t="n">
        <v>2.036134</v>
      </c>
      <c r="I185" t="n">
        <v>66.04435700000001</v>
      </c>
      <c r="J185" t="n">
        <v>68.25582300000001</v>
      </c>
      <c r="K185" t="n">
        <v>68.187568</v>
      </c>
      <c r="L185" t="n">
        <v>72.544996</v>
      </c>
      <c r="M185" t="n">
        <v>72.544996</v>
      </c>
      <c r="N185" t="n">
        <v>73.57283200000001</v>
      </c>
      <c r="O185" t="n">
        <v>17.500018</v>
      </c>
      <c r="P185" t="n">
        <v>10.032554</v>
      </c>
      <c r="Q185" t="n">
        <v>73.57283200000001</v>
      </c>
      <c r="R185" t="n">
        <v>72.544996</v>
      </c>
      <c r="S185" t="n">
        <v>17.500018</v>
      </c>
      <c r="T185" t="n">
        <v>17.500018</v>
      </c>
      <c r="U185" t="n">
        <v>10.032554</v>
      </c>
      <c r="V185" t="n">
        <v>10.032554</v>
      </c>
      <c r="W185" t="n">
        <v>17.704629</v>
      </c>
      <c r="X185" t="n">
        <v>72.854687</v>
      </c>
    </row>
    <row r="186" ht="21" customHeight="1">
      <c r="A186" t="inlineStr">
        <is>
          <t>Istiompax indica</t>
        </is>
      </c>
      <c r="B186" t="n">
        <v>4.5</v>
      </c>
      <c r="C186" t="n">
        <v>3162.27766</v>
      </c>
      <c r="D186" s="10" t="inlineStr">
        <is>
          <t>Piscivores</t>
        </is>
      </c>
      <c r="E186" t="n">
        <v>0</v>
      </c>
      <c r="F186" t="n">
        <v>304.388999</v>
      </c>
      <c r="G186" t="n">
        <v>2.268309</v>
      </c>
      <c r="H186" t="n">
        <v>2.300314</v>
      </c>
      <c r="I186" t="n">
        <v>249.259877</v>
      </c>
      <c r="J186" t="n">
        <v>251.428736</v>
      </c>
      <c r="K186" t="n">
        <v>202.148704</v>
      </c>
      <c r="L186" t="n">
        <v>282.597002</v>
      </c>
      <c r="M186" t="n">
        <v>282.597002</v>
      </c>
      <c r="N186" t="n">
        <v>286.033173</v>
      </c>
      <c r="O186" t="n">
        <v>49.797649</v>
      </c>
      <c r="P186" t="n">
        <v>25.643377</v>
      </c>
      <c r="Q186" t="n">
        <v>286.033173</v>
      </c>
      <c r="R186" t="n">
        <v>282.597002</v>
      </c>
      <c r="S186" t="n">
        <v>49.797649</v>
      </c>
      <c r="T186" t="n">
        <v>49.797649</v>
      </c>
      <c r="U186" t="n">
        <v>25.643377</v>
      </c>
      <c r="V186" t="n">
        <v>25.643377</v>
      </c>
      <c r="W186" t="n">
        <v>51.082514</v>
      </c>
      <c r="X186" t="n">
        <v>274.518943</v>
      </c>
    </row>
    <row r="187" ht="21" customHeight="1">
      <c r="A187" t="inlineStr">
        <is>
          <t>Panulirus longipes</t>
        </is>
      </c>
      <c r="B187" t="n">
        <v>2.6</v>
      </c>
      <c r="C187" t="n">
        <v>39.810717</v>
      </c>
      <c r="D187" s="10" t="inlineStr">
        <is>
          <t>Crabs</t>
        </is>
      </c>
      <c r="E187" t="n">
        <v>0</v>
      </c>
      <c r="F187" t="n">
        <v>21.002175</v>
      </c>
      <c r="G187" t="n">
        <v>1.546636</v>
      </c>
      <c r="H187" t="n">
        <v>1.565985</v>
      </c>
      <c r="I187" t="n">
        <v>12.039474</v>
      </c>
      <c r="J187" t="n">
        <v>12.039474</v>
      </c>
      <c r="K187" t="n">
        <v>11.028158</v>
      </c>
      <c r="L187" t="n">
        <v>11.032425</v>
      </c>
      <c r="M187" t="n">
        <v>11.032425</v>
      </c>
      <c r="N187" t="n">
        <v>11.257068</v>
      </c>
      <c r="O187" t="n">
        <v>7.495998</v>
      </c>
      <c r="P187" t="n">
        <v>5.212079</v>
      </c>
      <c r="Q187" t="n">
        <v>11.257068</v>
      </c>
      <c r="R187" t="n">
        <v>11.032425</v>
      </c>
      <c r="S187" t="n">
        <v>7.495998</v>
      </c>
      <c r="T187" t="n">
        <v>7.495998</v>
      </c>
      <c r="U187" t="n">
        <v>5.212079</v>
      </c>
      <c r="V187" t="n">
        <v>5.212079</v>
      </c>
      <c r="W187" t="n">
        <v>7.53635</v>
      </c>
      <c r="X187" t="n">
        <v>11.035506</v>
      </c>
    </row>
    <row r="188" ht="21" customHeight="1">
      <c r="A188" t="inlineStr">
        <is>
          <t>Sillaginidae</t>
        </is>
      </c>
      <c r="B188" t="n">
        <v>3.25</v>
      </c>
      <c r="C188" t="n">
        <v>177.827941</v>
      </c>
      <c r="D188" s="10" t="inlineStr">
        <is>
          <t>Benthivores</t>
        </is>
      </c>
      <c r="E188" t="n">
        <v>0</v>
      </c>
      <c r="F188" t="n">
        <v>67.81478300000001</v>
      </c>
      <c r="G188" t="n">
        <v>1.829368</v>
      </c>
      <c r="H188" t="n">
        <v>1.84033</v>
      </c>
      <c r="I188" t="n">
        <v>33.988491</v>
      </c>
      <c r="J188" t="n">
        <v>35.780255</v>
      </c>
      <c r="K188" t="n">
        <v>35.601354</v>
      </c>
      <c r="L188" t="n">
        <v>385.228839</v>
      </c>
      <c r="M188" t="n">
        <v>385.228839</v>
      </c>
      <c r="N188" t="n">
        <v>391.588003</v>
      </c>
      <c r="O188" t="n">
        <v>16.66963</v>
      </c>
      <c r="P188" t="n">
        <v>9.973879999999999</v>
      </c>
      <c r="Q188" t="n">
        <v>391.588003</v>
      </c>
      <c r="R188" t="n">
        <v>385.228839</v>
      </c>
      <c r="S188" t="n">
        <v>16.66963</v>
      </c>
      <c r="T188" t="n">
        <v>16.66963</v>
      </c>
      <c r="U188" t="n">
        <v>9.973879999999999</v>
      </c>
      <c r="V188" t="n">
        <v>9.973879999999999</v>
      </c>
      <c r="W188" t="n">
        <v>17.246706</v>
      </c>
      <c r="X188" t="n">
        <v>42.474741</v>
      </c>
    </row>
    <row r="189" ht="21" customHeight="1">
      <c r="A189" t="inlineStr">
        <is>
          <t>Lateolabracidae</t>
        </is>
      </c>
      <c r="B189" t="n">
        <v>3.78</v>
      </c>
      <c r="C189" t="n">
        <v>602.559586</v>
      </c>
      <c r="D189" s="10" t="inlineStr">
        <is>
          <t>Benthivores/piscivores</t>
        </is>
      </c>
      <c r="E189" t="n">
        <v>0</v>
      </c>
      <c r="F189" t="n">
        <v>136.120059</v>
      </c>
      <c r="G189" t="n">
        <v>2.021353</v>
      </c>
      <c r="H189" t="n">
        <v>2.039787</v>
      </c>
      <c r="I189" t="n">
        <v>36.046055</v>
      </c>
      <c r="J189" t="n">
        <v>36.076344</v>
      </c>
      <c r="K189" t="n">
        <v>35.535199</v>
      </c>
      <c r="L189" t="n">
        <v>34.759886</v>
      </c>
      <c r="M189" t="n">
        <v>34.759886</v>
      </c>
      <c r="N189" t="n">
        <v>35.313702</v>
      </c>
      <c r="O189" t="n">
        <v>13.890783</v>
      </c>
      <c r="P189" t="n">
        <v>8.319739999999999</v>
      </c>
      <c r="Q189" t="n">
        <v>35.313702</v>
      </c>
      <c r="R189" t="n">
        <v>34.759886</v>
      </c>
      <c r="S189" t="n">
        <v>13.890783</v>
      </c>
      <c r="T189" t="n">
        <v>13.890783</v>
      </c>
      <c r="U189" t="n">
        <v>8.319739999999999</v>
      </c>
      <c r="V189" t="n">
        <v>8.319739999999999</v>
      </c>
      <c r="W189" t="n">
        <v>14.220855</v>
      </c>
      <c r="X189" t="n">
        <v>35.767132</v>
      </c>
    </row>
    <row r="190" ht="21" customHeight="1">
      <c r="A190" t="inlineStr">
        <is>
          <t>Ammodytes</t>
        </is>
      </c>
      <c r="B190" t="n">
        <v>3.11</v>
      </c>
      <c r="C190" t="n">
        <v>128.824955</v>
      </c>
      <c r="D190" s="10" t="inlineStr">
        <is>
          <t>Planktivores</t>
        </is>
      </c>
      <c r="E190" t="n">
        <v>0</v>
      </c>
      <c r="F190" t="n">
        <v>100.997642</v>
      </c>
      <c r="G190" t="n">
        <v>1.93677</v>
      </c>
      <c r="H190" t="n">
        <v>1.93149</v>
      </c>
      <c r="I190" t="n">
        <v>53.479795</v>
      </c>
      <c r="J190" t="n">
        <v>53.479795</v>
      </c>
      <c r="K190" t="n">
        <v>53.372836</v>
      </c>
      <c r="L190" t="n">
        <v>51.741399</v>
      </c>
      <c r="M190" t="n">
        <v>51.741399</v>
      </c>
      <c r="N190" t="n">
        <v>52.283119</v>
      </c>
      <c r="O190" t="n">
        <v>17.749881</v>
      </c>
      <c r="P190" t="n">
        <v>11.404035</v>
      </c>
      <c r="Q190" t="n">
        <v>52.283119</v>
      </c>
      <c r="R190" t="n">
        <v>51.741399</v>
      </c>
      <c r="S190" t="n">
        <v>17.749881</v>
      </c>
      <c r="T190" t="n">
        <v>17.749881</v>
      </c>
      <c r="U190" t="n">
        <v>11.404035</v>
      </c>
      <c r="V190" t="n">
        <v>11.404035</v>
      </c>
      <c r="W190" t="n">
        <v>17.839302</v>
      </c>
      <c r="X190" t="n">
        <v>54.129601</v>
      </c>
    </row>
    <row r="191" ht="21" customHeight="1">
      <c r="A191" t="inlineStr">
        <is>
          <t>Cypselurus</t>
        </is>
      </c>
      <c r="B191" t="n">
        <v>3.4</v>
      </c>
      <c r="C191" t="n">
        <v>251.188643</v>
      </c>
      <c r="D191" s="10" t="inlineStr">
        <is>
          <t>Planktivores</t>
        </is>
      </c>
      <c r="E191" t="n">
        <v>0</v>
      </c>
      <c r="F191" t="n">
        <v>100.997642</v>
      </c>
      <c r="G191" t="n">
        <v>1.93677</v>
      </c>
      <c r="H191" t="n">
        <v>1.93149</v>
      </c>
      <c r="I191" t="n">
        <v>53.479795</v>
      </c>
      <c r="J191" t="n">
        <v>53.479795</v>
      </c>
      <c r="K191" t="n">
        <v>53.372836</v>
      </c>
      <c r="L191" t="n">
        <v>51.741399</v>
      </c>
      <c r="M191" t="n">
        <v>51.741399</v>
      </c>
      <c r="N191" t="n">
        <v>52.283119</v>
      </c>
      <c r="O191" t="n">
        <v>17.749881</v>
      </c>
      <c r="P191" t="n">
        <v>11.404035</v>
      </c>
      <c r="Q191" t="n">
        <v>52.283119</v>
      </c>
      <c r="R191" t="n">
        <v>51.741399</v>
      </c>
      <c r="S191" t="n">
        <v>17.749881</v>
      </c>
      <c r="T191" t="n">
        <v>17.749881</v>
      </c>
      <c r="U191" t="n">
        <v>11.404035</v>
      </c>
      <c r="V191" t="n">
        <v>11.404035</v>
      </c>
      <c r="W191" t="n">
        <v>17.839302</v>
      </c>
      <c r="X191" t="n">
        <v>54.129601</v>
      </c>
    </row>
    <row r="192" ht="21" customHeight="1">
      <c r="A192" t="inlineStr">
        <is>
          <t>Gymnocranius</t>
        </is>
      </c>
      <c r="B192" t="n">
        <v>3.4</v>
      </c>
      <c r="C192" t="n">
        <v>251.188643</v>
      </c>
      <c r="D192" s="10" t="inlineStr">
        <is>
          <t>Benthivores/piscivores</t>
        </is>
      </c>
      <c r="E192" t="n">
        <v>0</v>
      </c>
      <c r="F192" t="n">
        <v>136.120059</v>
      </c>
      <c r="G192" t="n">
        <v>2.021353</v>
      </c>
      <c r="H192" t="n">
        <v>2.039787</v>
      </c>
      <c r="I192" t="n">
        <v>36.046055</v>
      </c>
      <c r="J192" t="n">
        <v>36.076344</v>
      </c>
      <c r="K192" t="n">
        <v>35.535199</v>
      </c>
      <c r="L192" t="n">
        <v>34.759886</v>
      </c>
      <c r="M192" t="n">
        <v>34.759886</v>
      </c>
      <c r="N192" t="n">
        <v>35.313702</v>
      </c>
      <c r="O192" t="n">
        <v>13.890783</v>
      </c>
      <c r="P192" t="n">
        <v>8.319739999999999</v>
      </c>
      <c r="Q192" t="n">
        <v>35.313702</v>
      </c>
      <c r="R192" t="n">
        <v>34.759886</v>
      </c>
      <c r="S192" t="n">
        <v>13.890783</v>
      </c>
      <c r="T192" t="n">
        <v>13.890783</v>
      </c>
      <c r="U192" t="n">
        <v>8.319739999999999</v>
      </c>
      <c r="V192" t="n">
        <v>8.319739999999999</v>
      </c>
      <c r="W192" t="n">
        <v>14.220855</v>
      </c>
      <c r="X192" t="n">
        <v>35.767132</v>
      </c>
    </row>
    <row r="193" ht="21" customHeight="1">
      <c r="A193" t="inlineStr">
        <is>
          <t>Muraenidae</t>
        </is>
      </c>
      <c r="B193" t="n">
        <v>4.07</v>
      </c>
      <c r="C193" t="n">
        <v>1174.897555</v>
      </c>
      <c r="D193" s="10" t="inlineStr">
        <is>
          <t>Piscivores</t>
        </is>
      </c>
      <c r="E193" t="n">
        <v>0</v>
      </c>
      <c r="F193" t="n">
        <v>304.388999</v>
      </c>
      <c r="G193" t="n">
        <v>2.268309</v>
      </c>
      <c r="H193" t="n">
        <v>2.300314</v>
      </c>
      <c r="I193" t="n">
        <v>249.259877</v>
      </c>
      <c r="J193" t="n">
        <v>251.428736</v>
      </c>
      <c r="K193" t="n">
        <v>202.148704</v>
      </c>
      <c r="L193" t="n">
        <v>282.597002</v>
      </c>
      <c r="M193" t="n">
        <v>282.597002</v>
      </c>
      <c r="N193" t="n">
        <v>286.033173</v>
      </c>
      <c r="O193" t="n">
        <v>49.797649</v>
      </c>
      <c r="P193" t="n">
        <v>25.643377</v>
      </c>
      <c r="Q193" t="n">
        <v>286.033173</v>
      </c>
      <c r="R193" t="n">
        <v>282.597002</v>
      </c>
      <c r="S193" t="n">
        <v>49.797649</v>
      </c>
      <c r="T193" t="n">
        <v>49.797649</v>
      </c>
      <c r="U193" t="n">
        <v>25.643377</v>
      </c>
      <c r="V193" t="n">
        <v>25.643377</v>
      </c>
      <c r="W193" t="n">
        <v>51.082514</v>
      </c>
      <c r="X193" t="n">
        <v>274.518943</v>
      </c>
    </row>
    <row r="194" ht="21" customHeight="1">
      <c r="A194" t="inlineStr">
        <is>
          <t>Ibacus ciliatus</t>
        </is>
      </c>
      <c r="B194" t="n">
        <v>2.6</v>
      </c>
      <c r="C194" t="n">
        <v>39.810717</v>
      </c>
      <c r="D194" s="10" t="inlineStr">
        <is>
          <t>Crabs</t>
        </is>
      </c>
      <c r="E194" t="n">
        <v>0</v>
      </c>
      <c r="F194" t="n">
        <v>21.002175</v>
      </c>
      <c r="G194" t="n">
        <v>1.546636</v>
      </c>
      <c r="H194" t="n">
        <v>1.565985</v>
      </c>
      <c r="I194" t="n">
        <v>12.039474</v>
      </c>
      <c r="J194" t="n">
        <v>12.039474</v>
      </c>
      <c r="K194" t="n">
        <v>11.028158</v>
      </c>
      <c r="L194" t="n">
        <v>11.032425</v>
      </c>
      <c r="M194" t="n">
        <v>11.032425</v>
      </c>
      <c r="N194" t="n">
        <v>11.257068</v>
      </c>
      <c r="O194" t="n">
        <v>7.495998</v>
      </c>
      <c r="P194" t="n">
        <v>5.212079</v>
      </c>
      <c r="Q194" t="n">
        <v>11.257068</v>
      </c>
      <c r="R194" t="n">
        <v>11.032425</v>
      </c>
      <c r="S194" t="n">
        <v>7.495998</v>
      </c>
      <c r="T194" t="n">
        <v>7.495998</v>
      </c>
      <c r="U194" t="n">
        <v>5.212079</v>
      </c>
      <c r="V194" t="n">
        <v>5.212079</v>
      </c>
      <c r="W194" t="n">
        <v>7.53635</v>
      </c>
      <c r="X194" t="n">
        <v>11.035506</v>
      </c>
    </row>
    <row r="195" ht="21" customHeight="1">
      <c r="A195" t="inlineStr">
        <is>
          <t>Scylla serrata</t>
        </is>
      </c>
      <c r="B195" t="n">
        <v>3.17</v>
      </c>
      <c r="C195" t="n">
        <v>147.910839</v>
      </c>
      <c r="D195" s="10" t="inlineStr">
        <is>
          <t>Crabs</t>
        </is>
      </c>
      <c r="E195" t="n">
        <v>0</v>
      </c>
      <c r="F195" t="n">
        <v>21.002175</v>
      </c>
      <c r="G195" t="n">
        <v>1.546636</v>
      </c>
      <c r="H195" t="n">
        <v>1.565985</v>
      </c>
      <c r="I195" t="n">
        <v>12.039474</v>
      </c>
      <c r="J195" t="n">
        <v>12.039474</v>
      </c>
      <c r="K195" t="n">
        <v>11.028158</v>
      </c>
      <c r="L195" t="n">
        <v>11.032425</v>
      </c>
      <c r="M195" t="n">
        <v>11.032425</v>
      </c>
      <c r="N195" t="n">
        <v>11.257068</v>
      </c>
      <c r="O195" t="n">
        <v>7.495998</v>
      </c>
      <c r="P195" t="n">
        <v>5.212079</v>
      </c>
      <c r="Q195" t="n">
        <v>11.257068</v>
      </c>
      <c r="R195" t="n">
        <v>11.032425</v>
      </c>
      <c r="S195" t="n">
        <v>7.495998</v>
      </c>
      <c r="T195" t="n">
        <v>7.495998</v>
      </c>
      <c r="U195" t="n">
        <v>5.212079</v>
      </c>
      <c r="V195" t="n">
        <v>5.212079</v>
      </c>
      <c r="W195" t="n">
        <v>7.53635</v>
      </c>
      <c r="X195" t="n">
        <v>11.035506</v>
      </c>
    </row>
    <row r="196" ht="21" customHeight="1">
      <c r="A196" t="inlineStr">
        <is>
          <t>Istiophoridae</t>
        </is>
      </c>
      <c r="B196" t="n">
        <v>4.48</v>
      </c>
      <c r="C196" t="n">
        <v>3019.95172</v>
      </c>
      <c r="D196" s="10" t="inlineStr">
        <is>
          <t>Piscivores</t>
        </is>
      </c>
      <c r="E196" t="n">
        <v>0</v>
      </c>
      <c r="F196" t="n">
        <v>304.388999</v>
      </c>
      <c r="G196" t="n">
        <v>2.268309</v>
      </c>
      <c r="H196" t="n">
        <v>2.300314</v>
      </c>
      <c r="I196" t="n">
        <v>249.259877</v>
      </c>
      <c r="J196" t="n">
        <v>251.428736</v>
      </c>
      <c r="K196" t="n">
        <v>202.148704</v>
      </c>
      <c r="L196" t="n">
        <v>282.597002</v>
      </c>
      <c r="M196" t="n">
        <v>282.597002</v>
      </c>
      <c r="N196" t="n">
        <v>286.033173</v>
      </c>
      <c r="O196" t="n">
        <v>49.797649</v>
      </c>
      <c r="P196" t="n">
        <v>25.643377</v>
      </c>
      <c r="Q196" t="n">
        <v>286.033173</v>
      </c>
      <c r="R196" t="n">
        <v>282.597002</v>
      </c>
      <c r="S196" t="n">
        <v>49.797649</v>
      </c>
      <c r="T196" t="n">
        <v>49.797649</v>
      </c>
      <c r="U196" t="n">
        <v>25.643377</v>
      </c>
      <c r="V196" t="n">
        <v>25.643377</v>
      </c>
      <c r="W196" t="n">
        <v>51.082514</v>
      </c>
      <c r="X196" t="n">
        <v>274.518943</v>
      </c>
    </row>
    <row r="197" ht="21" customHeight="1">
      <c r="A197" t="inlineStr">
        <is>
          <t>Megalaspis cordyla</t>
        </is>
      </c>
      <c r="B197" t="n">
        <v>4.24</v>
      </c>
      <c r="C197" t="n">
        <v>1737.800829</v>
      </c>
      <c r="D197" s="10" t="inlineStr">
        <is>
          <t>Planktivores/piscivores</t>
        </is>
      </c>
      <c r="E197" t="n">
        <v>0</v>
      </c>
      <c r="F197" t="n">
        <v>123.077794</v>
      </c>
      <c r="G197" t="n">
        <v>1.992402</v>
      </c>
      <c r="H197" t="n">
        <v>1.97781</v>
      </c>
      <c r="I197" t="n">
        <v>560.299311</v>
      </c>
      <c r="J197" t="n">
        <v>592.272682</v>
      </c>
      <c r="K197" t="n">
        <v>209.072257</v>
      </c>
      <c r="L197" t="n">
        <v>660.166914</v>
      </c>
      <c r="M197" t="n">
        <v>660.166914</v>
      </c>
      <c r="N197" t="n">
        <v>670.165526</v>
      </c>
      <c r="O197" t="n">
        <v>72.857719</v>
      </c>
      <c r="P197" t="n">
        <v>43.071646</v>
      </c>
      <c r="Q197" t="n">
        <v>670.165526</v>
      </c>
      <c r="R197" t="n">
        <v>660.166914</v>
      </c>
      <c r="S197" t="n">
        <v>72.857719</v>
      </c>
      <c r="T197" t="n">
        <v>72.857719</v>
      </c>
      <c r="U197" t="n">
        <v>43.071646</v>
      </c>
      <c r="V197" t="n">
        <v>43.071646</v>
      </c>
      <c r="W197" t="n">
        <v>75.193746</v>
      </c>
      <c r="X197" t="n">
        <v>683.804243</v>
      </c>
    </row>
    <row r="198" ht="21" customHeight="1">
      <c r="A198" t="inlineStr">
        <is>
          <t>Hexagrammos otakii</t>
        </is>
      </c>
      <c r="D198" s="10" t="inlineStr">
        <is>
          <t>Benthivores</t>
        </is>
      </c>
      <c r="E198" t="n">
        <v>0</v>
      </c>
      <c r="F198" t="n">
        <v>67.81478300000001</v>
      </c>
      <c r="G198" t="n">
        <v>1.829368</v>
      </c>
      <c r="H198" t="n">
        <v>1.84033</v>
      </c>
      <c r="I198" t="n">
        <v>33.988491</v>
      </c>
      <c r="J198" t="n">
        <v>35.780255</v>
      </c>
      <c r="K198" t="n">
        <v>35.601354</v>
      </c>
      <c r="L198" t="n">
        <v>385.228839</v>
      </c>
      <c r="M198" t="n">
        <v>385.228839</v>
      </c>
      <c r="N198" t="n">
        <v>391.588003</v>
      </c>
      <c r="O198" t="n">
        <v>16.66963</v>
      </c>
      <c r="P198" t="n">
        <v>9.973879999999999</v>
      </c>
      <c r="Q198" t="n">
        <v>391.588003</v>
      </c>
      <c r="R198" t="n">
        <v>385.228839</v>
      </c>
      <c r="S198" t="n">
        <v>16.66963</v>
      </c>
      <c r="T198" t="n">
        <v>16.66963</v>
      </c>
      <c r="U198" t="n">
        <v>9.973879999999999</v>
      </c>
      <c r="V198" t="n">
        <v>9.973879999999999</v>
      </c>
      <c r="W198" t="n">
        <v>17.246706</v>
      </c>
      <c r="X198" t="n">
        <v>42.474741</v>
      </c>
    </row>
    <row r="199" ht="21" customHeight="1">
      <c r="A199" t="inlineStr">
        <is>
          <t>Mizuhopecten yessoensis</t>
        </is>
      </c>
      <c r="B199" t="n">
        <v>2.1</v>
      </c>
      <c r="C199" t="n">
        <v>12.589254</v>
      </c>
      <c r="D199" s="10" t="inlineStr">
        <is>
          <t>Mollusks</t>
        </is>
      </c>
      <c r="E199" t="n">
        <v>0</v>
      </c>
      <c r="F199" t="n">
        <v>14.497407</v>
      </c>
      <c r="G199" t="n">
        <v>1.466668</v>
      </c>
      <c r="H199" t="n">
        <v>1.466497</v>
      </c>
      <c r="I199" t="n">
        <v>17.850747</v>
      </c>
      <c r="J199" t="n">
        <v>17.850747</v>
      </c>
      <c r="K199" t="n">
        <v>5.355224</v>
      </c>
      <c r="L199" t="n">
        <v>17.186608</v>
      </c>
      <c r="M199" t="n">
        <v>17.186608</v>
      </c>
      <c r="N199" t="n">
        <v>17.598965</v>
      </c>
      <c r="O199" t="n">
        <v>3.995111</v>
      </c>
      <c r="P199" t="n">
        <v>2.967513</v>
      </c>
      <c r="Q199" t="n">
        <v>17.598965</v>
      </c>
      <c r="R199" t="n">
        <v>17.186608</v>
      </c>
      <c r="S199" t="n">
        <v>3.995111</v>
      </c>
      <c r="T199" t="n">
        <v>3.995111</v>
      </c>
      <c r="U199" t="n">
        <v>2.967513</v>
      </c>
      <c r="V199" t="n">
        <v>2.967513</v>
      </c>
      <c r="W199" t="n">
        <v>3.990277</v>
      </c>
      <c r="X199" t="n">
        <v>17.941416</v>
      </c>
    </row>
    <row r="200" ht="21" customHeight="1">
      <c r="A200" t="inlineStr">
        <is>
          <t>Platycaranx malabaricus</t>
        </is>
      </c>
      <c r="B200" t="n">
        <v>3.88</v>
      </c>
      <c r="C200" t="n">
        <v>758.577575</v>
      </c>
      <c r="D200" s="10" t="inlineStr">
        <is>
          <t>Planktivores/piscivores</t>
        </is>
      </c>
      <c r="E200" t="n">
        <v>0</v>
      </c>
      <c r="F200" t="n">
        <v>123.077794</v>
      </c>
      <c r="G200" t="n">
        <v>1.992402</v>
      </c>
      <c r="H200" t="n">
        <v>1.97781</v>
      </c>
      <c r="I200" t="n">
        <v>560.299311</v>
      </c>
      <c r="J200" t="n">
        <v>592.272682</v>
      </c>
      <c r="K200" t="n">
        <v>209.072257</v>
      </c>
      <c r="L200" t="n">
        <v>660.166914</v>
      </c>
      <c r="M200" t="n">
        <v>660.166914</v>
      </c>
      <c r="N200" t="n">
        <v>670.165526</v>
      </c>
      <c r="O200" t="n">
        <v>72.857719</v>
      </c>
      <c r="P200" t="n">
        <v>43.071646</v>
      </c>
      <c r="Q200" t="n">
        <v>670.165526</v>
      </c>
      <c r="R200" t="n">
        <v>660.166914</v>
      </c>
      <c r="S200" t="n">
        <v>72.857719</v>
      </c>
      <c r="T200" t="n">
        <v>72.857719</v>
      </c>
      <c r="U200" t="n">
        <v>43.071646</v>
      </c>
      <c r="V200" t="n">
        <v>43.071646</v>
      </c>
      <c r="W200" t="n">
        <v>75.193746</v>
      </c>
      <c r="X200" t="n">
        <v>683.804243</v>
      </c>
    </row>
    <row r="201" ht="21" customHeight="1">
      <c r="A201" t="inlineStr">
        <is>
          <t>Rachycentridae</t>
        </is>
      </c>
      <c r="B201" t="n">
        <v>3.96</v>
      </c>
      <c r="C201" t="n">
        <v>912.010839</v>
      </c>
      <c r="D201" s="10" t="inlineStr">
        <is>
          <t>Piscivores</t>
        </is>
      </c>
      <c r="E201" t="n">
        <v>0</v>
      </c>
      <c r="F201" t="n">
        <v>304.388999</v>
      </c>
      <c r="G201" t="n">
        <v>2.268309</v>
      </c>
      <c r="H201" t="n">
        <v>2.300314</v>
      </c>
      <c r="I201" t="n">
        <v>249.259877</v>
      </c>
      <c r="J201" t="n">
        <v>251.428736</v>
      </c>
      <c r="K201" t="n">
        <v>202.148704</v>
      </c>
      <c r="L201" t="n">
        <v>282.597002</v>
      </c>
      <c r="M201" t="n">
        <v>282.597002</v>
      </c>
      <c r="N201" t="n">
        <v>286.033173</v>
      </c>
      <c r="O201" t="n">
        <v>49.797649</v>
      </c>
      <c r="P201" t="n">
        <v>25.643377</v>
      </c>
      <c r="Q201" t="n">
        <v>286.033173</v>
      </c>
      <c r="R201" t="n">
        <v>282.597002</v>
      </c>
      <c r="S201" t="n">
        <v>49.797649</v>
      </c>
      <c r="T201" t="n">
        <v>49.797649</v>
      </c>
      <c r="U201" t="n">
        <v>25.643377</v>
      </c>
      <c r="V201" t="n">
        <v>25.643377</v>
      </c>
      <c r="W201" t="n">
        <v>51.082514</v>
      </c>
      <c r="X201" t="n">
        <v>274.518943</v>
      </c>
    </row>
    <row r="202" ht="21" customHeight="1">
      <c r="A202" t="inlineStr">
        <is>
          <t>Haliotis</t>
        </is>
      </c>
      <c r="B202" t="n">
        <v>2</v>
      </c>
      <c r="C202" t="n">
        <v>10</v>
      </c>
      <c r="D202" s="10" t="inlineStr">
        <is>
          <t>Mollusks</t>
        </is>
      </c>
      <c r="E202" t="n">
        <v>0</v>
      </c>
      <c r="F202" t="n">
        <v>14.497407</v>
      </c>
      <c r="G202" t="n">
        <v>1.466668</v>
      </c>
      <c r="H202" t="n">
        <v>1.466497</v>
      </c>
      <c r="I202" t="n">
        <v>17.850747</v>
      </c>
      <c r="J202" t="n">
        <v>17.850747</v>
      </c>
      <c r="K202" t="n">
        <v>5.355224</v>
      </c>
      <c r="L202" t="n">
        <v>17.186608</v>
      </c>
      <c r="M202" t="n">
        <v>17.186608</v>
      </c>
      <c r="N202" t="n">
        <v>17.598965</v>
      </c>
      <c r="O202" t="n">
        <v>3.995111</v>
      </c>
      <c r="P202" t="n">
        <v>2.967513</v>
      </c>
      <c r="Q202" t="n">
        <v>17.598965</v>
      </c>
      <c r="R202" t="n">
        <v>17.186608</v>
      </c>
      <c r="S202" t="n">
        <v>3.995111</v>
      </c>
      <c r="T202" t="n">
        <v>3.995111</v>
      </c>
      <c r="U202" t="n">
        <v>2.967513</v>
      </c>
      <c r="V202" t="n">
        <v>2.967513</v>
      </c>
      <c r="W202" t="n">
        <v>3.990277</v>
      </c>
      <c r="X202" t="n">
        <v>17.941416</v>
      </c>
    </row>
    <row r="203" ht="21" customHeight="1">
      <c r="A203" t="inlineStr">
        <is>
          <t>Sillago</t>
        </is>
      </c>
      <c r="B203" t="n">
        <v>3.33</v>
      </c>
      <c r="C203" t="n">
        <v>213.796209</v>
      </c>
      <c r="D203" s="10" t="inlineStr">
        <is>
          <t>Benthivores</t>
        </is>
      </c>
      <c r="E203" t="n">
        <v>0</v>
      </c>
      <c r="F203" t="n">
        <v>67.81478300000001</v>
      </c>
      <c r="G203" t="n">
        <v>1.829368</v>
      </c>
      <c r="H203" t="n">
        <v>1.84033</v>
      </c>
      <c r="I203" t="n">
        <v>33.988491</v>
      </c>
      <c r="J203" t="n">
        <v>35.780255</v>
      </c>
      <c r="K203" t="n">
        <v>35.601354</v>
      </c>
      <c r="L203" t="n">
        <v>385.228839</v>
      </c>
      <c r="M203" t="n">
        <v>385.228839</v>
      </c>
      <c r="N203" t="n">
        <v>391.588003</v>
      </c>
      <c r="O203" t="n">
        <v>16.66963</v>
      </c>
      <c r="P203" t="n">
        <v>9.973879999999999</v>
      </c>
      <c r="Q203" t="n">
        <v>391.588003</v>
      </c>
      <c r="R203" t="n">
        <v>385.228839</v>
      </c>
      <c r="S203" t="n">
        <v>16.66963</v>
      </c>
      <c r="T203" t="n">
        <v>16.66963</v>
      </c>
      <c r="U203" t="n">
        <v>9.973879999999999</v>
      </c>
      <c r="V203" t="n">
        <v>9.973879999999999</v>
      </c>
      <c r="W203" t="n">
        <v>17.246706</v>
      </c>
      <c r="X203" t="n">
        <v>42.474741</v>
      </c>
    </row>
    <row r="204" ht="21" customHeight="1">
      <c r="A204" t="inlineStr">
        <is>
          <t>Hemiramphidae</t>
        </is>
      </c>
      <c r="B204" t="n">
        <v>2.82</v>
      </c>
      <c r="C204" t="n">
        <v>66.069345</v>
      </c>
      <c r="D204" s="10" t="inlineStr">
        <is>
          <t>Omnivores</t>
        </is>
      </c>
      <c r="E204" t="n">
        <v>0</v>
      </c>
      <c r="F204" t="n">
        <v>131.221463</v>
      </c>
      <c r="G204" t="n">
        <v>2.01077</v>
      </c>
      <c r="H204" t="n">
        <v>2.036134</v>
      </c>
      <c r="I204" t="n">
        <v>66.04435700000001</v>
      </c>
      <c r="J204" t="n">
        <v>68.25582300000001</v>
      </c>
      <c r="K204" t="n">
        <v>68.187568</v>
      </c>
      <c r="L204" t="n">
        <v>72.544996</v>
      </c>
      <c r="M204" t="n">
        <v>72.544996</v>
      </c>
      <c r="N204" t="n">
        <v>73.57283200000001</v>
      </c>
      <c r="O204" t="n">
        <v>17.500018</v>
      </c>
      <c r="P204" t="n">
        <v>10.032554</v>
      </c>
      <c r="Q204" t="n">
        <v>73.57283200000001</v>
      </c>
      <c r="R204" t="n">
        <v>72.544996</v>
      </c>
      <c r="S204" t="n">
        <v>17.500018</v>
      </c>
      <c r="T204" t="n">
        <v>17.500018</v>
      </c>
      <c r="U204" t="n">
        <v>10.032554</v>
      </c>
      <c r="V204" t="n">
        <v>10.032554</v>
      </c>
      <c r="W204" t="n">
        <v>17.704629</v>
      </c>
      <c r="X204" t="n">
        <v>72.854687</v>
      </c>
    </row>
    <row r="205" ht="21" customHeight="1">
      <c r="A205" t="inlineStr">
        <is>
          <t>Hypoptychus dybowskii</t>
        </is>
      </c>
      <c r="D205" s="10" t="inlineStr">
        <is>
          <t>Planktivores</t>
        </is>
      </c>
      <c r="E205" t="n">
        <v>0</v>
      </c>
      <c r="F205" t="n">
        <v>100.997642</v>
      </c>
      <c r="G205" t="n">
        <v>1.93677</v>
      </c>
      <c r="H205" t="n">
        <v>1.93149</v>
      </c>
      <c r="I205" t="n">
        <v>53.479795</v>
      </c>
      <c r="J205" t="n">
        <v>53.479795</v>
      </c>
      <c r="K205" t="n">
        <v>53.372836</v>
      </c>
      <c r="L205" t="n">
        <v>51.741399</v>
      </c>
      <c r="M205" t="n">
        <v>51.741399</v>
      </c>
      <c r="N205" t="n">
        <v>52.283119</v>
      </c>
      <c r="O205" t="n">
        <v>17.749881</v>
      </c>
      <c r="P205" t="n">
        <v>11.404035</v>
      </c>
      <c r="Q205" t="n">
        <v>52.283119</v>
      </c>
      <c r="R205" t="n">
        <v>51.741399</v>
      </c>
      <c r="S205" t="n">
        <v>17.749881</v>
      </c>
      <c r="T205" t="n">
        <v>17.749881</v>
      </c>
      <c r="U205" t="n">
        <v>11.404035</v>
      </c>
      <c r="V205" t="n">
        <v>11.404035</v>
      </c>
      <c r="W205" t="n">
        <v>17.839302</v>
      </c>
      <c r="X205" t="n">
        <v>54.129601</v>
      </c>
    </row>
    <row r="206" ht="21" customHeight="1">
      <c r="A206" t="inlineStr">
        <is>
          <t>Bramidae</t>
        </is>
      </c>
      <c r="B206" t="n">
        <v>4.14</v>
      </c>
      <c r="C206" t="n">
        <v>1380.384265</v>
      </c>
      <c r="D206" s="10" t="inlineStr">
        <is>
          <t>Piscivores</t>
        </is>
      </c>
      <c r="E206" t="n">
        <v>0</v>
      </c>
      <c r="F206" t="n">
        <v>304.388999</v>
      </c>
      <c r="G206" t="n">
        <v>2.268309</v>
      </c>
      <c r="H206" t="n">
        <v>2.300314</v>
      </c>
      <c r="I206" t="n">
        <v>249.259877</v>
      </c>
      <c r="J206" t="n">
        <v>251.428736</v>
      </c>
      <c r="K206" t="n">
        <v>202.148704</v>
      </c>
      <c r="L206" t="n">
        <v>282.597002</v>
      </c>
      <c r="M206" t="n">
        <v>282.597002</v>
      </c>
      <c r="N206" t="n">
        <v>286.033173</v>
      </c>
      <c r="O206" t="n">
        <v>49.797649</v>
      </c>
      <c r="P206" t="n">
        <v>25.643377</v>
      </c>
      <c r="Q206" t="n">
        <v>286.033173</v>
      </c>
      <c r="R206" t="n">
        <v>282.597002</v>
      </c>
      <c r="S206" t="n">
        <v>49.797649</v>
      </c>
      <c r="T206" t="n">
        <v>49.797649</v>
      </c>
      <c r="U206" t="n">
        <v>25.643377</v>
      </c>
      <c r="V206" t="n">
        <v>25.643377</v>
      </c>
      <c r="W206" t="n">
        <v>51.082514</v>
      </c>
      <c r="X206" t="n">
        <v>274.518943</v>
      </c>
    </row>
    <row r="207" ht="21" customHeight="1">
      <c r="A207" t="inlineStr">
        <is>
          <t>Penaeus monodon</t>
        </is>
      </c>
      <c r="B207" t="n">
        <v>2.6</v>
      </c>
      <c r="C207" t="n">
        <v>39.810717</v>
      </c>
      <c r="D207" s="10" t="inlineStr">
        <is>
          <t>Shrimps</t>
        </is>
      </c>
      <c r="E207" t="n">
        <v>0</v>
      </c>
      <c r="F207" t="n">
        <v>20.606299</v>
      </c>
      <c r="G207" t="n">
        <v>1.542427</v>
      </c>
      <c r="H207" t="n">
        <v>1.561295</v>
      </c>
      <c r="I207" t="n">
        <v>15.075177</v>
      </c>
      <c r="J207" t="n">
        <v>15.075177</v>
      </c>
      <c r="K207" t="n">
        <v>15.060102</v>
      </c>
      <c r="L207" t="n">
        <v>13.927162</v>
      </c>
      <c r="M207" t="n">
        <v>13.927162</v>
      </c>
      <c r="N207" t="n">
        <v>14.183251</v>
      </c>
      <c r="O207" t="n">
        <v>7.969433</v>
      </c>
      <c r="P207" t="n">
        <v>5.681336</v>
      </c>
      <c r="Q207" t="n">
        <v>14.183251</v>
      </c>
      <c r="R207" t="n">
        <v>13.927162</v>
      </c>
      <c r="S207" t="n">
        <v>7.969433</v>
      </c>
      <c r="T207" t="n">
        <v>7.969433</v>
      </c>
      <c r="U207" t="n">
        <v>5.681336</v>
      </c>
      <c r="V207" t="n">
        <v>5.681336</v>
      </c>
      <c r="W207" t="n">
        <v>8.136905</v>
      </c>
      <c r="X207" t="n">
        <v>14.885026</v>
      </c>
    </row>
    <row r="208" ht="21" customHeight="1">
      <c r="A208" t="inlineStr">
        <is>
          <t>Acanthocybium solandri</t>
        </is>
      </c>
      <c r="B208" t="n">
        <v>4.26</v>
      </c>
      <c r="C208" t="n">
        <v>1819.700859</v>
      </c>
      <c r="D208" s="10" t="inlineStr">
        <is>
          <t>Piscivores</t>
        </is>
      </c>
      <c r="E208" t="n">
        <v>0</v>
      </c>
      <c r="F208" t="n">
        <v>304.388999</v>
      </c>
      <c r="G208" t="n">
        <v>2.268309</v>
      </c>
      <c r="H208" t="n">
        <v>2.300314</v>
      </c>
      <c r="I208" t="n">
        <v>249.259877</v>
      </c>
      <c r="J208" t="n">
        <v>251.428736</v>
      </c>
      <c r="K208" t="n">
        <v>202.148704</v>
      </c>
      <c r="L208" t="n">
        <v>282.597002</v>
      </c>
      <c r="M208" t="n">
        <v>282.597002</v>
      </c>
      <c r="N208" t="n">
        <v>286.033173</v>
      </c>
      <c r="O208" t="n">
        <v>49.797649</v>
      </c>
      <c r="P208" t="n">
        <v>25.643377</v>
      </c>
      <c r="Q208" t="n">
        <v>286.033173</v>
      </c>
      <c r="R208" t="n">
        <v>282.597002</v>
      </c>
      <c r="S208" t="n">
        <v>49.797649</v>
      </c>
      <c r="T208" t="n">
        <v>49.797649</v>
      </c>
      <c r="U208" t="n">
        <v>25.643377</v>
      </c>
      <c r="V208" t="n">
        <v>25.643377</v>
      </c>
      <c r="W208" t="n">
        <v>51.082514</v>
      </c>
      <c r="X208" t="n">
        <v>274.518943</v>
      </c>
    </row>
    <row r="209" ht="21" customHeight="1">
      <c r="A209" t="inlineStr">
        <is>
          <t>Saurida undosquamis</t>
        </is>
      </c>
      <c r="B209" t="n">
        <v>4.46</v>
      </c>
      <c r="C209" t="n">
        <v>2884.031503</v>
      </c>
      <c r="D209" s="10" t="inlineStr">
        <is>
          <t>Piscivores</t>
        </is>
      </c>
      <c r="E209" t="n">
        <v>0</v>
      </c>
      <c r="F209" t="n">
        <v>304.388999</v>
      </c>
      <c r="G209" t="n">
        <v>2.268309</v>
      </c>
      <c r="H209" t="n">
        <v>2.300314</v>
      </c>
      <c r="I209" t="n">
        <v>249.259877</v>
      </c>
      <c r="J209" t="n">
        <v>251.428736</v>
      </c>
      <c r="K209" t="n">
        <v>202.148704</v>
      </c>
      <c r="L209" t="n">
        <v>282.597002</v>
      </c>
      <c r="M209" t="n">
        <v>282.597002</v>
      </c>
      <c r="N209" t="n">
        <v>286.033173</v>
      </c>
      <c r="O209" t="n">
        <v>49.797649</v>
      </c>
      <c r="P209" t="n">
        <v>25.643377</v>
      </c>
      <c r="Q209" t="n">
        <v>286.033173</v>
      </c>
      <c r="R209" t="n">
        <v>282.597002</v>
      </c>
      <c r="S209" t="n">
        <v>49.797649</v>
      </c>
      <c r="T209" t="n">
        <v>49.797649</v>
      </c>
      <c r="U209" t="n">
        <v>25.643377</v>
      </c>
      <c r="V209" t="n">
        <v>25.643377</v>
      </c>
      <c r="W209" t="n">
        <v>51.082514</v>
      </c>
      <c r="X209" t="n">
        <v>274.518943</v>
      </c>
    </row>
    <row r="210" ht="21" customHeight="1">
      <c r="A210" t="inlineStr">
        <is>
          <t>Beryx splendens</t>
        </is>
      </c>
      <c r="B210" t="n">
        <v>4.27</v>
      </c>
      <c r="C210" t="n">
        <v>1862.087137</v>
      </c>
      <c r="D210" s="10" t="inlineStr">
        <is>
          <t>Piscivores</t>
        </is>
      </c>
      <c r="E210" t="n">
        <v>0</v>
      </c>
      <c r="F210" t="n">
        <v>304.388999</v>
      </c>
      <c r="G210" t="n">
        <v>2.268309</v>
      </c>
      <c r="H210" t="n">
        <v>2.300314</v>
      </c>
      <c r="I210" t="n">
        <v>249.259877</v>
      </c>
      <c r="J210" t="n">
        <v>251.428736</v>
      </c>
      <c r="K210" t="n">
        <v>202.148704</v>
      </c>
      <c r="L210" t="n">
        <v>282.597002</v>
      </c>
      <c r="M210" t="n">
        <v>282.597002</v>
      </c>
      <c r="N210" t="n">
        <v>286.033173</v>
      </c>
      <c r="O210" t="n">
        <v>49.797649</v>
      </c>
      <c r="P210" t="n">
        <v>25.643377</v>
      </c>
      <c r="Q210" t="n">
        <v>286.033173</v>
      </c>
      <c r="R210" t="n">
        <v>282.597002</v>
      </c>
      <c r="S210" t="n">
        <v>49.797649</v>
      </c>
      <c r="T210" t="n">
        <v>49.797649</v>
      </c>
      <c r="U210" t="n">
        <v>25.643377</v>
      </c>
      <c r="V210" t="n">
        <v>25.643377</v>
      </c>
      <c r="W210" t="n">
        <v>51.082514</v>
      </c>
      <c r="X210" t="n">
        <v>274.518943</v>
      </c>
    </row>
    <row r="211" ht="21" customHeight="1">
      <c r="A211" t="inlineStr">
        <is>
          <t>Auxis rochei</t>
        </is>
      </c>
      <c r="B211" t="n">
        <v>4.13</v>
      </c>
      <c r="C211" t="n">
        <v>1348.962883</v>
      </c>
      <c r="D211" s="10" t="inlineStr">
        <is>
          <t>Piscivores</t>
        </is>
      </c>
      <c r="E211" t="n">
        <v>0</v>
      </c>
      <c r="F211" t="n">
        <v>304.388999</v>
      </c>
      <c r="G211" t="n">
        <v>2.268309</v>
      </c>
      <c r="H211" t="n">
        <v>2.300314</v>
      </c>
      <c r="I211" t="n">
        <v>249.259877</v>
      </c>
      <c r="J211" t="n">
        <v>251.428736</v>
      </c>
      <c r="K211" t="n">
        <v>202.148704</v>
      </c>
      <c r="L211" t="n">
        <v>282.597002</v>
      </c>
      <c r="M211" t="n">
        <v>282.597002</v>
      </c>
      <c r="N211" t="n">
        <v>286.033173</v>
      </c>
      <c r="O211" t="n">
        <v>49.797649</v>
      </c>
      <c r="P211" t="n">
        <v>25.643377</v>
      </c>
      <c r="Q211" t="n">
        <v>286.033173</v>
      </c>
      <c r="R211" t="n">
        <v>282.597002</v>
      </c>
      <c r="S211" t="n">
        <v>49.797649</v>
      </c>
      <c r="T211" t="n">
        <v>49.797649</v>
      </c>
      <c r="U211" t="n">
        <v>25.643377</v>
      </c>
      <c r="V211" t="n">
        <v>25.643377</v>
      </c>
      <c r="W211" t="n">
        <v>51.082514</v>
      </c>
      <c r="X211" t="n">
        <v>274.518943</v>
      </c>
    </row>
    <row r="212" ht="36" customHeight="1">
      <c r="A212" t="inlineStr">
        <is>
          <t>Scorpaeniformes</t>
        </is>
      </c>
      <c r="B212" t="n">
        <v>3.78</v>
      </c>
      <c r="C212" t="n">
        <v>602.559586</v>
      </c>
      <c r="D212" s="10" t="inlineStr">
        <is>
          <t>Benthivores | Benthivores/piscivores</t>
        </is>
      </c>
      <c r="E212" t="n">
        <v>0</v>
      </c>
      <c r="F212" t="n">
        <v>105.627174</v>
      </c>
      <c r="G212" t="n">
        <v>1.935647</v>
      </c>
      <c r="H212" t="n">
        <v>1.950745</v>
      </c>
      <c r="I212" t="n">
        <v>35.127516</v>
      </c>
      <c r="J212" t="n">
        <v>35.944164</v>
      </c>
      <c r="K212" t="n">
        <v>35.564732</v>
      </c>
      <c r="L212" t="n">
        <v>191.216462</v>
      </c>
      <c r="M212" t="n">
        <v>191.216462</v>
      </c>
      <c r="N212" t="n">
        <v>194.361905</v>
      </c>
      <c r="O212" t="n">
        <v>15.131318</v>
      </c>
      <c r="P212" t="n">
        <v>9.058182</v>
      </c>
      <c r="Q212" t="n">
        <v>194.361905</v>
      </c>
      <c r="R212" t="n">
        <v>191.216462</v>
      </c>
      <c r="S212" t="n">
        <v>15.131318</v>
      </c>
      <c r="T212" t="n">
        <v>15.131318</v>
      </c>
      <c r="U212" t="n">
        <v>9.058182</v>
      </c>
      <c r="V212" t="n">
        <v>9.058182</v>
      </c>
      <c r="W212" t="n">
        <v>15.571657</v>
      </c>
      <c r="X212" t="n">
        <v>38.761547</v>
      </c>
    </row>
    <row r="213" ht="21" customHeight="1">
      <c r="A213" t="inlineStr">
        <is>
          <t>Epinephelus maculatus</t>
        </is>
      </c>
      <c r="B213" t="n">
        <v>3.98</v>
      </c>
      <c r="C213" t="n">
        <v>954.992586</v>
      </c>
      <c r="D213" s="10" t="inlineStr">
        <is>
          <t>Piscivores</t>
        </is>
      </c>
      <c r="E213" t="n">
        <v>0</v>
      </c>
      <c r="F213" t="n">
        <v>304.388999</v>
      </c>
      <c r="G213" t="n">
        <v>2.268309</v>
      </c>
      <c r="H213" t="n">
        <v>2.300314</v>
      </c>
      <c r="I213" t="n">
        <v>249.259877</v>
      </c>
      <c r="J213" t="n">
        <v>251.428736</v>
      </c>
      <c r="K213" t="n">
        <v>202.148704</v>
      </c>
      <c r="L213" t="n">
        <v>282.597002</v>
      </c>
      <c r="M213" t="n">
        <v>282.597002</v>
      </c>
      <c r="N213" t="n">
        <v>286.033173</v>
      </c>
      <c r="O213" t="n">
        <v>49.797649</v>
      </c>
      <c r="P213" t="n">
        <v>25.643377</v>
      </c>
      <c r="Q213" t="n">
        <v>286.033173</v>
      </c>
      <c r="R213" t="n">
        <v>282.597002</v>
      </c>
      <c r="S213" t="n">
        <v>49.797649</v>
      </c>
      <c r="T213" t="n">
        <v>49.797649</v>
      </c>
      <c r="U213" t="n">
        <v>25.643377</v>
      </c>
      <c r="V213" t="n">
        <v>25.643377</v>
      </c>
      <c r="W213" t="n">
        <v>51.082514</v>
      </c>
      <c r="X213" t="n">
        <v>274.518943</v>
      </c>
    </row>
    <row r="214" ht="21" customHeight="1">
      <c r="A214" t="inlineStr">
        <is>
          <t>Isurus</t>
        </is>
      </c>
      <c r="B214" t="n">
        <v>4.5</v>
      </c>
      <c r="C214" t="n">
        <v>3162.27766</v>
      </c>
      <c r="D214" s="10" t="inlineStr">
        <is>
          <t>Sharks</t>
        </is>
      </c>
      <c r="E214" t="n">
        <v>0</v>
      </c>
      <c r="F214" t="n">
        <v>1154.744061</v>
      </c>
      <c r="G214" t="n">
        <v>2.745621</v>
      </c>
      <c r="H214" t="n">
        <v>2.742397</v>
      </c>
      <c r="I214" t="n">
        <v>0</v>
      </c>
      <c r="J214" t="n">
        <v>152.583853</v>
      </c>
      <c r="L214" t="n">
        <v>0</v>
      </c>
      <c r="M214" t="n">
        <v>0</v>
      </c>
      <c r="N214" t="n">
        <v>0</v>
      </c>
      <c r="O214" t="n">
        <v>205.199674</v>
      </c>
      <c r="P214" t="n">
        <v>93.831501</v>
      </c>
      <c r="Q214" t="n">
        <v>0</v>
      </c>
      <c r="R214" t="n">
        <v>0</v>
      </c>
      <c r="S214" t="n">
        <v>205.199674</v>
      </c>
      <c r="T214" t="n">
        <v>205.199674</v>
      </c>
      <c r="U214" t="n">
        <v>93.831501</v>
      </c>
      <c r="V214" t="n">
        <v>93.831501</v>
      </c>
      <c r="W214" t="n">
        <v>205.695409</v>
      </c>
      <c r="X214" t="n">
        <v>0</v>
      </c>
    </row>
    <row r="215" ht="21" customHeight="1">
      <c r="A215" t="inlineStr">
        <is>
          <t>Dussumieria elopsoides</t>
        </is>
      </c>
      <c r="B215" t="n">
        <v>3.4</v>
      </c>
      <c r="C215" t="n">
        <v>251.188643</v>
      </c>
      <c r="D215" s="10" t="inlineStr">
        <is>
          <t>Planktivores</t>
        </is>
      </c>
      <c r="E215" t="n">
        <v>0</v>
      </c>
      <c r="F215" t="n">
        <v>100.997642</v>
      </c>
      <c r="G215" t="n">
        <v>1.93677</v>
      </c>
      <c r="H215" t="n">
        <v>1.93149</v>
      </c>
      <c r="I215" t="n">
        <v>53.479795</v>
      </c>
      <c r="J215" t="n">
        <v>53.479795</v>
      </c>
      <c r="K215" t="n">
        <v>53.372836</v>
      </c>
      <c r="L215" t="n">
        <v>51.741399</v>
      </c>
      <c r="M215" t="n">
        <v>51.741399</v>
      </c>
      <c r="N215" t="n">
        <v>52.283119</v>
      </c>
      <c r="O215" t="n">
        <v>17.749881</v>
      </c>
      <c r="P215" t="n">
        <v>11.404035</v>
      </c>
      <c r="Q215" t="n">
        <v>52.283119</v>
      </c>
      <c r="R215" t="n">
        <v>51.741399</v>
      </c>
      <c r="S215" t="n">
        <v>17.749881</v>
      </c>
      <c r="T215" t="n">
        <v>17.749881</v>
      </c>
      <c r="U215" t="n">
        <v>11.404035</v>
      </c>
      <c r="V215" t="n">
        <v>11.404035</v>
      </c>
      <c r="W215" t="n">
        <v>17.839302</v>
      </c>
      <c r="X215" t="n">
        <v>54.129601</v>
      </c>
    </row>
    <row r="216" ht="21" customHeight="1">
      <c r="A216" t="inlineStr">
        <is>
          <t>Chirocentrus dorab</t>
        </is>
      </c>
      <c r="D216" s="10" t="inlineStr">
        <is>
          <t>Piscivores</t>
        </is>
      </c>
      <c r="E216" t="n">
        <v>0</v>
      </c>
      <c r="F216" t="n">
        <v>304.388999</v>
      </c>
      <c r="G216" t="n">
        <v>2.268309</v>
      </c>
      <c r="H216" t="n">
        <v>2.300314</v>
      </c>
      <c r="I216" t="n">
        <v>249.259877</v>
      </c>
      <c r="J216" t="n">
        <v>251.428736</v>
      </c>
      <c r="K216" t="n">
        <v>202.148704</v>
      </c>
      <c r="L216" t="n">
        <v>282.597002</v>
      </c>
      <c r="M216" t="n">
        <v>282.597002</v>
      </c>
      <c r="N216" t="n">
        <v>286.033173</v>
      </c>
      <c r="O216" t="n">
        <v>49.797649</v>
      </c>
      <c r="P216" t="n">
        <v>25.643377</v>
      </c>
      <c r="Q216" t="n">
        <v>286.033173</v>
      </c>
      <c r="R216" t="n">
        <v>282.597002</v>
      </c>
      <c r="S216" t="n">
        <v>49.797649</v>
      </c>
      <c r="T216" t="n">
        <v>49.797649</v>
      </c>
      <c r="U216" t="n">
        <v>25.643377</v>
      </c>
      <c r="V216" t="n">
        <v>25.643377</v>
      </c>
      <c r="W216" t="n">
        <v>51.082514</v>
      </c>
      <c r="X216" t="n">
        <v>274.518943</v>
      </c>
    </row>
    <row r="217" ht="21" customHeight="1">
      <c r="A217" t="inlineStr">
        <is>
          <t>Oratosquilla oratoria</t>
        </is>
      </c>
      <c r="B217" t="n">
        <v>3.27</v>
      </c>
      <c r="C217" t="n">
        <v>186.208714</v>
      </c>
      <c r="D217" s="10" t="inlineStr">
        <is>
          <t>Shrimps</t>
        </is>
      </c>
      <c r="E217" t="n">
        <v>0</v>
      </c>
      <c r="F217" t="n">
        <v>20.606299</v>
      </c>
      <c r="G217" t="n">
        <v>1.542427</v>
      </c>
      <c r="H217" t="n">
        <v>1.561295</v>
      </c>
      <c r="I217" t="n">
        <v>15.075177</v>
      </c>
      <c r="J217" t="n">
        <v>15.075177</v>
      </c>
      <c r="K217" t="n">
        <v>15.060102</v>
      </c>
      <c r="L217" t="n">
        <v>13.927162</v>
      </c>
      <c r="M217" t="n">
        <v>13.927162</v>
      </c>
      <c r="N217" t="n">
        <v>14.183251</v>
      </c>
      <c r="O217" t="n">
        <v>7.969433</v>
      </c>
      <c r="P217" t="n">
        <v>5.681336</v>
      </c>
      <c r="Q217" t="n">
        <v>14.183251</v>
      </c>
      <c r="R217" t="n">
        <v>13.927162</v>
      </c>
      <c r="S217" t="n">
        <v>7.969433</v>
      </c>
      <c r="T217" t="n">
        <v>7.969433</v>
      </c>
      <c r="U217" t="n">
        <v>5.681336</v>
      </c>
      <c r="V217" t="n">
        <v>5.681336</v>
      </c>
      <c r="W217" t="n">
        <v>8.136905</v>
      </c>
      <c r="X217" t="n">
        <v>14.885026</v>
      </c>
    </row>
    <row r="218" ht="21" customHeight="1">
      <c r="A218" t="inlineStr">
        <is>
          <t>Saurida</t>
        </is>
      </c>
      <c r="B218" t="n">
        <v>4.35</v>
      </c>
      <c r="C218" t="n">
        <v>2238.721139</v>
      </c>
      <c r="D218" s="10" t="inlineStr">
        <is>
          <t>Piscivores</t>
        </is>
      </c>
      <c r="E218" t="n">
        <v>0</v>
      </c>
      <c r="F218" t="n">
        <v>304.388999</v>
      </c>
      <c r="G218" t="n">
        <v>2.268309</v>
      </c>
      <c r="H218" t="n">
        <v>2.300314</v>
      </c>
      <c r="I218" t="n">
        <v>249.259877</v>
      </c>
      <c r="J218" t="n">
        <v>251.428736</v>
      </c>
      <c r="K218" t="n">
        <v>202.148704</v>
      </c>
      <c r="L218" t="n">
        <v>282.597002</v>
      </c>
      <c r="M218" t="n">
        <v>282.597002</v>
      </c>
      <c r="N218" t="n">
        <v>286.033173</v>
      </c>
      <c r="O218" t="n">
        <v>49.797649</v>
      </c>
      <c r="P218" t="n">
        <v>25.643377</v>
      </c>
      <c r="Q218" t="n">
        <v>286.033173</v>
      </c>
      <c r="R218" t="n">
        <v>282.597002</v>
      </c>
      <c r="S218" t="n">
        <v>49.797649</v>
      </c>
      <c r="T218" t="n">
        <v>49.797649</v>
      </c>
      <c r="U218" t="n">
        <v>25.643377</v>
      </c>
      <c r="V218" t="n">
        <v>25.643377</v>
      </c>
      <c r="W218" t="n">
        <v>51.082514</v>
      </c>
      <c r="X218" t="n">
        <v>274.518943</v>
      </c>
    </row>
    <row r="219" ht="21" customHeight="1">
      <c r="A219" t="inlineStr">
        <is>
          <t>Stolephorus</t>
        </is>
      </c>
      <c r="D219" s="10" t="inlineStr">
        <is>
          <t>Planktivores</t>
        </is>
      </c>
      <c r="E219" t="n">
        <v>0</v>
      </c>
      <c r="F219" t="n">
        <v>100.997642</v>
      </c>
      <c r="G219" t="n">
        <v>1.93677</v>
      </c>
      <c r="H219" t="n">
        <v>1.93149</v>
      </c>
      <c r="I219" t="n">
        <v>53.479795</v>
      </c>
      <c r="J219" t="n">
        <v>53.479795</v>
      </c>
      <c r="K219" t="n">
        <v>53.372836</v>
      </c>
      <c r="L219" t="n">
        <v>51.741399</v>
      </c>
      <c r="M219" t="n">
        <v>51.741399</v>
      </c>
      <c r="N219" t="n">
        <v>52.283119</v>
      </c>
      <c r="O219" t="n">
        <v>17.749881</v>
      </c>
      <c r="P219" t="n">
        <v>11.404035</v>
      </c>
      <c r="Q219" t="n">
        <v>52.283119</v>
      </c>
      <c r="R219" t="n">
        <v>51.741399</v>
      </c>
      <c r="S219" t="n">
        <v>17.749881</v>
      </c>
      <c r="T219" t="n">
        <v>17.749881</v>
      </c>
      <c r="U219" t="n">
        <v>11.404035</v>
      </c>
      <c r="V219" t="n">
        <v>11.404035</v>
      </c>
      <c r="W219" t="n">
        <v>17.839302</v>
      </c>
      <c r="X219" t="n">
        <v>54.129601</v>
      </c>
    </row>
    <row r="220" ht="21" customHeight="1">
      <c r="A220" t="inlineStr">
        <is>
          <t>Sphyraena</t>
        </is>
      </c>
      <c r="B220" t="n">
        <v>4.4</v>
      </c>
      <c r="C220" t="n">
        <v>2511.886432</v>
      </c>
      <c r="D220" s="10" t="inlineStr">
        <is>
          <t>Piscivores</t>
        </is>
      </c>
      <c r="E220" t="n">
        <v>0</v>
      </c>
      <c r="F220" t="n">
        <v>304.388999</v>
      </c>
      <c r="G220" t="n">
        <v>2.268309</v>
      </c>
      <c r="H220" t="n">
        <v>2.300314</v>
      </c>
      <c r="I220" t="n">
        <v>249.259877</v>
      </c>
      <c r="J220" t="n">
        <v>251.428736</v>
      </c>
      <c r="K220" t="n">
        <v>202.148704</v>
      </c>
      <c r="L220" t="n">
        <v>282.597002</v>
      </c>
      <c r="M220" t="n">
        <v>282.597002</v>
      </c>
      <c r="N220" t="n">
        <v>286.033173</v>
      </c>
      <c r="O220" t="n">
        <v>49.797649</v>
      </c>
      <c r="P220" t="n">
        <v>25.643377</v>
      </c>
      <c r="Q220" t="n">
        <v>286.033173</v>
      </c>
      <c r="R220" t="n">
        <v>282.597002</v>
      </c>
      <c r="S220" t="n">
        <v>49.797649</v>
      </c>
      <c r="T220" t="n">
        <v>49.797649</v>
      </c>
      <c r="U220" t="n">
        <v>25.643377</v>
      </c>
      <c r="V220" t="n">
        <v>25.643377</v>
      </c>
      <c r="W220" t="n">
        <v>51.082514</v>
      </c>
      <c r="X220" t="n">
        <v>274.518943</v>
      </c>
    </row>
    <row r="221" ht="21" customHeight="1">
      <c r="A221" t="inlineStr">
        <is>
          <t>Rapana</t>
        </is>
      </c>
      <c r="B221" t="n">
        <v>3</v>
      </c>
      <c r="C221" t="n">
        <v>100</v>
      </c>
      <c r="D221" s="10" t="inlineStr">
        <is>
          <t>Mollusks</t>
        </is>
      </c>
      <c r="E221" t="n">
        <v>0</v>
      </c>
      <c r="F221" t="n">
        <v>14.497407</v>
      </c>
      <c r="G221" t="n">
        <v>1.466668</v>
      </c>
      <c r="H221" t="n">
        <v>1.466497</v>
      </c>
      <c r="I221" t="n">
        <v>17.850747</v>
      </c>
      <c r="J221" t="n">
        <v>17.850747</v>
      </c>
      <c r="K221" t="n">
        <v>5.355224</v>
      </c>
      <c r="L221" t="n">
        <v>17.186608</v>
      </c>
      <c r="M221" t="n">
        <v>17.186608</v>
      </c>
      <c r="N221" t="n">
        <v>17.598965</v>
      </c>
      <c r="O221" t="n">
        <v>3.995111</v>
      </c>
      <c r="P221" t="n">
        <v>2.967513</v>
      </c>
      <c r="Q221" t="n">
        <v>17.598965</v>
      </c>
      <c r="R221" t="n">
        <v>17.186608</v>
      </c>
      <c r="S221" t="n">
        <v>3.995111</v>
      </c>
      <c r="T221" t="n">
        <v>3.995111</v>
      </c>
      <c r="U221" t="n">
        <v>2.967513</v>
      </c>
      <c r="V221" t="n">
        <v>2.967513</v>
      </c>
      <c r="W221" t="n">
        <v>3.990277</v>
      </c>
      <c r="X221" t="n">
        <v>17.941416</v>
      </c>
    </row>
    <row r="222" ht="21" customHeight="1">
      <c r="A222" t="inlineStr">
        <is>
          <t>Sphyraenidae</t>
        </is>
      </c>
      <c r="B222" t="n">
        <v>4.4</v>
      </c>
      <c r="C222" t="n">
        <v>2511.886432</v>
      </c>
      <c r="D222" s="10" t="inlineStr">
        <is>
          <t>Piscivores</t>
        </is>
      </c>
      <c r="E222" t="n">
        <v>0</v>
      </c>
      <c r="F222" t="n">
        <v>304.388999</v>
      </c>
      <c r="G222" t="n">
        <v>2.268309</v>
      </c>
      <c r="H222" t="n">
        <v>2.300314</v>
      </c>
      <c r="I222" t="n">
        <v>249.259877</v>
      </c>
      <c r="J222" t="n">
        <v>251.428736</v>
      </c>
      <c r="K222" t="n">
        <v>202.148704</v>
      </c>
      <c r="L222" t="n">
        <v>282.597002</v>
      </c>
      <c r="M222" t="n">
        <v>282.597002</v>
      </c>
      <c r="N222" t="n">
        <v>286.033173</v>
      </c>
      <c r="O222" t="n">
        <v>49.797649</v>
      </c>
      <c r="P222" t="n">
        <v>25.643377</v>
      </c>
      <c r="Q222" t="n">
        <v>286.033173</v>
      </c>
      <c r="R222" t="n">
        <v>282.597002</v>
      </c>
      <c r="S222" t="n">
        <v>49.797649</v>
      </c>
      <c r="T222" t="n">
        <v>49.797649</v>
      </c>
      <c r="U222" t="n">
        <v>25.643377</v>
      </c>
      <c r="V222" t="n">
        <v>25.643377</v>
      </c>
      <c r="W222" t="n">
        <v>51.082514</v>
      </c>
      <c r="X222" t="n">
        <v>274.518943</v>
      </c>
    </row>
    <row r="223" ht="21" customHeight="1">
      <c r="A223" t="inlineStr">
        <is>
          <t>Pseudopleuronectes herzensteini</t>
        </is>
      </c>
      <c r="B223" t="n">
        <v>3.15</v>
      </c>
      <c r="C223" t="n">
        <v>141.253754</v>
      </c>
      <c r="D223" s="10" t="inlineStr">
        <is>
          <t>Benthivores</t>
        </is>
      </c>
      <c r="E223" t="n">
        <v>0</v>
      </c>
      <c r="F223" t="n">
        <v>67.81478300000001</v>
      </c>
      <c r="G223" t="n">
        <v>1.829368</v>
      </c>
      <c r="H223" t="n">
        <v>1.84033</v>
      </c>
      <c r="I223" t="n">
        <v>33.988491</v>
      </c>
      <c r="J223" t="n">
        <v>35.780255</v>
      </c>
      <c r="K223" t="n">
        <v>35.601354</v>
      </c>
      <c r="L223" t="n">
        <v>385.228839</v>
      </c>
      <c r="M223" t="n">
        <v>385.228839</v>
      </c>
      <c r="N223" t="n">
        <v>391.588003</v>
      </c>
      <c r="O223" t="n">
        <v>16.66963</v>
      </c>
      <c r="P223" t="n">
        <v>9.973879999999999</v>
      </c>
      <c r="Q223" t="n">
        <v>391.588003</v>
      </c>
      <c r="R223" t="n">
        <v>385.228839</v>
      </c>
      <c r="S223" t="n">
        <v>16.66963</v>
      </c>
      <c r="T223" t="n">
        <v>16.66963</v>
      </c>
      <c r="U223" t="n">
        <v>9.973879999999999</v>
      </c>
      <c r="V223" t="n">
        <v>9.973879999999999</v>
      </c>
      <c r="W223" t="n">
        <v>17.246706</v>
      </c>
      <c r="X223" t="n">
        <v>42.474741</v>
      </c>
    </row>
    <row r="224" ht="21" customHeight="1">
      <c r="A224" t="inlineStr">
        <is>
          <t>Hemitriakis japanica</t>
        </is>
      </c>
      <c r="D224" s="10" t="inlineStr">
        <is>
          <t>Sharks</t>
        </is>
      </c>
      <c r="E224" t="n">
        <v>0</v>
      </c>
      <c r="F224" t="n">
        <v>1154.744061</v>
      </c>
      <c r="G224" t="n">
        <v>2.745621</v>
      </c>
      <c r="H224" t="n">
        <v>2.742397</v>
      </c>
      <c r="I224" t="n">
        <v>0</v>
      </c>
      <c r="J224" t="n">
        <v>152.583853</v>
      </c>
      <c r="L224" t="n">
        <v>0</v>
      </c>
      <c r="M224" t="n">
        <v>0</v>
      </c>
      <c r="N224" t="n">
        <v>0</v>
      </c>
      <c r="O224" t="n">
        <v>205.199674</v>
      </c>
      <c r="P224" t="n">
        <v>93.831501</v>
      </c>
      <c r="Q224" t="n">
        <v>0</v>
      </c>
      <c r="R224" t="n">
        <v>0</v>
      </c>
      <c r="S224" t="n">
        <v>205.199674</v>
      </c>
      <c r="T224" t="n">
        <v>205.199674</v>
      </c>
      <c r="U224" t="n">
        <v>93.831501</v>
      </c>
      <c r="V224" t="n">
        <v>93.831501</v>
      </c>
      <c r="W224" t="n">
        <v>205.695409</v>
      </c>
      <c r="X224" t="n">
        <v>0</v>
      </c>
    </row>
    <row r="225" ht="21" customHeight="1">
      <c r="A225" t="inlineStr">
        <is>
          <t>Makaira mazara</t>
        </is>
      </c>
      <c r="B225" t="n">
        <v>4.46</v>
      </c>
      <c r="C225" t="n">
        <v>2884.031503</v>
      </c>
      <c r="D225" s="10" t="inlineStr">
        <is>
          <t>Piscivores</t>
        </is>
      </c>
      <c r="E225" t="n">
        <v>0</v>
      </c>
      <c r="F225" t="n">
        <v>304.388999</v>
      </c>
      <c r="G225" t="n">
        <v>2.268309</v>
      </c>
      <c r="H225" t="n">
        <v>2.300314</v>
      </c>
      <c r="I225" t="n">
        <v>249.259877</v>
      </c>
      <c r="J225" t="n">
        <v>251.428736</v>
      </c>
      <c r="K225" t="n">
        <v>202.148704</v>
      </c>
      <c r="L225" t="n">
        <v>282.597002</v>
      </c>
      <c r="M225" t="n">
        <v>282.597002</v>
      </c>
      <c r="N225" t="n">
        <v>286.033173</v>
      </c>
      <c r="O225" t="n">
        <v>49.797649</v>
      </c>
      <c r="P225" t="n">
        <v>25.643377</v>
      </c>
      <c r="Q225" t="n">
        <v>286.033173</v>
      </c>
      <c r="R225" t="n">
        <v>282.597002</v>
      </c>
      <c r="S225" t="n">
        <v>49.797649</v>
      </c>
      <c r="T225" t="n">
        <v>49.797649</v>
      </c>
      <c r="U225" t="n">
        <v>25.643377</v>
      </c>
      <c r="V225" t="n">
        <v>25.643377</v>
      </c>
      <c r="W225" t="n">
        <v>51.082514</v>
      </c>
      <c r="X225" t="n">
        <v>274.518943</v>
      </c>
    </row>
    <row r="226" ht="51" customHeight="1">
      <c r="A226" t="inlineStr">
        <is>
          <t>Marine pelagic fishes not identified</t>
        </is>
      </c>
      <c r="B226" t="n">
        <v>3.35</v>
      </c>
      <c r="C226" t="n">
        <v>223.872114</v>
      </c>
      <c r="D226" s="10" t="inlineStr">
        <is>
          <t>Piscivores | Planktivores/Benthivores | Planktivores/piscivores</t>
        </is>
      </c>
      <c r="E226" t="n">
        <v>0</v>
      </c>
      <c r="F226" t="n">
        <v>170.39943</v>
      </c>
      <c r="G226" t="n">
        <v>2.048079</v>
      </c>
      <c r="H226" t="n">
        <v>2.05813</v>
      </c>
      <c r="I226" t="n">
        <v>254.619538</v>
      </c>
      <c r="J226" t="n">
        <v>261.783496</v>
      </c>
      <c r="K226" t="n">
        <v>163.184672</v>
      </c>
      <c r="L226" t="n">
        <v>283.604609</v>
      </c>
      <c r="M226" t="n">
        <v>283.604609</v>
      </c>
      <c r="N226" t="n">
        <v>287.343694</v>
      </c>
      <c r="O226" t="n">
        <v>48.773663</v>
      </c>
      <c r="P226" t="n">
        <v>28.476258</v>
      </c>
      <c r="Q226" t="n">
        <v>287.343694</v>
      </c>
      <c r="R226" t="n">
        <v>283.604609</v>
      </c>
      <c r="S226" t="n">
        <v>48.773663</v>
      </c>
      <c r="T226" t="n">
        <v>48.773663</v>
      </c>
      <c r="U226" t="n">
        <v>28.476258</v>
      </c>
      <c r="V226" t="n">
        <v>28.476258</v>
      </c>
      <c r="W226" t="n">
        <v>49.994088</v>
      </c>
      <c r="X226" t="n">
        <v>287.141976</v>
      </c>
    </row>
    <row r="227" ht="21" customHeight="1">
      <c r="A227" t="inlineStr">
        <is>
          <t>Mierspenaeopsis hardwickii</t>
        </is>
      </c>
      <c r="B227" t="n">
        <v>2.71</v>
      </c>
      <c r="C227" t="n">
        <v>51.286138</v>
      </c>
      <c r="D227" s="10" t="inlineStr">
        <is>
          <t>Shrimps</t>
        </is>
      </c>
      <c r="E227" t="n">
        <v>0</v>
      </c>
      <c r="F227" t="n">
        <v>20.606299</v>
      </c>
      <c r="G227" t="n">
        <v>1.542427</v>
      </c>
      <c r="H227" t="n">
        <v>1.561295</v>
      </c>
      <c r="I227" t="n">
        <v>15.075177</v>
      </c>
      <c r="J227" t="n">
        <v>15.075177</v>
      </c>
      <c r="K227" t="n">
        <v>15.060102</v>
      </c>
      <c r="L227" t="n">
        <v>13.927162</v>
      </c>
      <c r="M227" t="n">
        <v>13.927162</v>
      </c>
      <c r="N227" t="n">
        <v>14.183251</v>
      </c>
      <c r="O227" t="n">
        <v>7.969433</v>
      </c>
      <c r="P227" t="n">
        <v>5.681336</v>
      </c>
      <c r="Q227" t="n">
        <v>14.183251</v>
      </c>
      <c r="R227" t="n">
        <v>13.927162</v>
      </c>
      <c r="S227" t="n">
        <v>7.969433</v>
      </c>
      <c r="T227" t="n">
        <v>7.969433</v>
      </c>
      <c r="U227" t="n">
        <v>5.681336</v>
      </c>
      <c r="V227" t="n">
        <v>5.681336</v>
      </c>
      <c r="W227" t="n">
        <v>8.136905</v>
      </c>
      <c r="X227" t="n">
        <v>14.885026</v>
      </c>
    </row>
    <row r="228" ht="21" customHeight="1">
      <c r="A228" t="inlineStr">
        <is>
          <t>Beryx</t>
        </is>
      </c>
      <c r="B228" t="n">
        <v>3.97</v>
      </c>
      <c r="C228" t="n">
        <v>933.2543010000001</v>
      </c>
      <c r="D228" s="10" t="inlineStr">
        <is>
          <t>Piscivores</t>
        </is>
      </c>
      <c r="E228" t="n">
        <v>0</v>
      </c>
      <c r="F228" t="n">
        <v>304.388999</v>
      </c>
      <c r="G228" t="n">
        <v>2.268309</v>
      </c>
      <c r="H228" t="n">
        <v>2.300314</v>
      </c>
      <c r="I228" t="n">
        <v>249.259877</v>
      </c>
      <c r="J228" t="n">
        <v>251.428736</v>
      </c>
      <c r="K228" t="n">
        <v>202.148704</v>
      </c>
      <c r="L228" t="n">
        <v>282.597002</v>
      </c>
      <c r="M228" t="n">
        <v>282.597002</v>
      </c>
      <c r="N228" t="n">
        <v>286.033173</v>
      </c>
      <c r="O228" t="n">
        <v>49.797649</v>
      </c>
      <c r="P228" t="n">
        <v>25.643377</v>
      </c>
      <c r="Q228" t="n">
        <v>286.033173</v>
      </c>
      <c r="R228" t="n">
        <v>282.597002</v>
      </c>
      <c r="S228" t="n">
        <v>49.797649</v>
      </c>
      <c r="T228" t="n">
        <v>49.797649</v>
      </c>
      <c r="U228" t="n">
        <v>25.643377</v>
      </c>
      <c r="V228" t="n">
        <v>25.643377</v>
      </c>
      <c r="W228" t="n">
        <v>51.082514</v>
      </c>
      <c r="X228" t="n">
        <v>274.518943</v>
      </c>
    </row>
    <row r="229" ht="21" customHeight="1">
      <c r="A229" t="inlineStr">
        <is>
          <t>Auxis thazard</t>
        </is>
      </c>
      <c r="B229" t="n">
        <v>4.37</v>
      </c>
      <c r="C229" t="n">
        <v>2344.228815</v>
      </c>
      <c r="D229" s="10" t="inlineStr">
        <is>
          <t>Piscivores</t>
        </is>
      </c>
      <c r="E229" t="n">
        <v>0</v>
      </c>
      <c r="F229" t="n">
        <v>304.388999</v>
      </c>
      <c r="G229" t="n">
        <v>2.268309</v>
      </c>
      <c r="H229" t="n">
        <v>2.300314</v>
      </c>
      <c r="I229" t="n">
        <v>249.259877</v>
      </c>
      <c r="J229" t="n">
        <v>251.428736</v>
      </c>
      <c r="K229" t="n">
        <v>202.148704</v>
      </c>
      <c r="L229" t="n">
        <v>282.597002</v>
      </c>
      <c r="M229" t="n">
        <v>282.597002</v>
      </c>
      <c r="N229" t="n">
        <v>286.033173</v>
      </c>
      <c r="O229" t="n">
        <v>49.797649</v>
      </c>
      <c r="P229" t="n">
        <v>25.643377</v>
      </c>
      <c r="Q229" t="n">
        <v>286.033173</v>
      </c>
      <c r="R229" t="n">
        <v>282.597002</v>
      </c>
      <c r="S229" t="n">
        <v>49.797649</v>
      </c>
      <c r="T229" t="n">
        <v>49.797649</v>
      </c>
      <c r="U229" t="n">
        <v>25.643377</v>
      </c>
      <c r="V229" t="n">
        <v>25.643377</v>
      </c>
      <c r="W229" t="n">
        <v>51.082514</v>
      </c>
      <c r="X229" t="n">
        <v>274.518943</v>
      </c>
    </row>
    <row r="230" ht="21" customHeight="1">
      <c r="A230" t="inlineStr">
        <is>
          <t>Polydactylus sexfilis</t>
        </is>
      </c>
      <c r="B230" t="n">
        <v>3.43</v>
      </c>
      <c r="C230" t="n">
        <v>269.15348</v>
      </c>
      <c r="D230" s="10" t="inlineStr">
        <is>
          <t>Benthivores</t>
        </is>
      </c>
      <c r="E230" t="n">
        <v>0</v>
      </c>
      <c r="F230" t="n">
        <v>67.81478300000001</v>
      </c>
      <c r="G230" t="n">
        <v>1.829368</v>
      </c>
      <c r="H230" t="n">
        <v>1.84033</v>
      </c>
      <c r="I230" t="n">
        <v>33.988491</v>
      </c>
      <c r="J230" t="n">
        <v>35.780255</v>
      </c>
      <c r="K230" t="n">
        <v>35.601354</v>
      </c>
      <c r="L230" t="n">
        <v>385.228839</v>
      </c>
      <c r="M230" t="n">
        <v>385.228839</v>
      </c>
      <c r="N230" t="n">
        <v>391.588003</v>
      </c>
      <c r="O230" t="n">
        <v>16.66963</v>
      </c>
      <c r="P230" t="n">
        <v>9.973879999999999</v>
      </c>
      <c r="Q230" t="n">
        <v>391.588003</v>
      </c>
      <c r="R230" t="n">
        <v>385.228839</v>
      </c>
      <c r="S230" t="n">
        <v>16.66963</v>
      </c>
      <c r="T230" t="n">
        <v>16.66963</v>
      </c>
      <c r="U230" t="n">
        <v>9.973879999999999</v>
      </c>
      <c r="V230" t="n">
        <v>9.973879999999999</v>
      </c>
      <c r="W230" t="n">
        <v>17.246706</v>
      </c>
      <c r="X230" t="n">
        <v>42.474741</v>
      </c>
    </row>
    <row r="231" ht="21" customHeight="1">
      <c r="A231" t="inlineStr">
        <is>
          <t>Seriola dumerili</t>
        </is>
      </c>
      <c r="B231" t="n">
        <v>4.5</v>
      </c>
      <c r="C231" t="n">
        <v>3162.27766</v>
      </c>
      <c r="D231" s="10" t="inlineStr">
        <is>
          <t>Piscivores</t>
        </is>
      </c>
      <c r="E231" t="n">
        <v>0</v>
      </c>
      <c r="F231" t="n">
        <v>304.388999</v>
      </c>
      <c r="G231" t="n">
        <v>2.268309</v>
      </c>
      <c r="H231" t="n">
        <v>2.300314</v>
      </c>
      <c r="I231" t="n">
        <v>249.259877</v>
      </c>
      <c r="J231" t="n">
        <v>251.428736</v>
      </c>
      <c r="K231" t="n">
        <v>202.148704</v>
      </c>
      <c r="L231" t="n">
        <v>282.597002</v>
      </c>
      <c r="M231" t="n">
        <v>282.597002</v>
      </c>
      <c r="N231" t="n">
        <v>286.033173</v>
      </c>
      <c r="O231" t="n">
        <v>49.797649</v>
      </c>
      <c r="P231" t="n">
        <v>25.643377</v>
      </c>
      <c r="Q231" t="n">
        <v>286.033173</v>
      </c>
      <c r="R231" t="n">
        <v>282.597002</v>
      </c>
      <c r="S231" t="n">
        <v>49.797649</v>
      </c>
      <c r="T231" t="n">
        <v>49.797649</v>
      </c>
      <c r="U231" t="n">
        <v>25.643377</v>
      </c>
      <c r="V231" t="n">
        <v>25.643377</v>
      </c>
      <c r="W231" t="n">
        <v>51.082514</v>
      </c>
      <c r="X231" t="n">
        <v>274.518943</v>
      </c>
    </row>
    <row r="232" ht="21" customHeight="1">
      <c r="A232" t="inlineStr">
        <is>
          <t>Cheilopogon unicolor</t>
        </is>
      </c>
      <c r="B232" t="n">
        <v>3.7</v>
      </c>
      <c r="C232" t="n">
        <v>501.187234</v>
      </c>
      <c r="D232" s="10" t="inlineStr">
        <is>
          <t>Planktivores</t>
        </is>
      </c>
      <c r="E232" t="n">
        <v>0</v>
      </c>
      <c r="F232" t="n">
        <v>100.997642</v>
      </c>
      <c r="G232" t="n">
        <v>1.93677</v>
      </c>
      <c r="H232" t="n">
        <v>1.93149</v>
      </c>
      <c r="I232" t="n">
        <v>53.479795</v>
      </c>
      <c r="J232" t="n">
        <v>53.479795</v>
      </c>
      <c r="K232" t="n">
        <v>53.372836</v>
      </c>
      <c r="L232" t="n">
        <v>51.741399</v>
      </c>
      <c r="M232" t="n">
        <v>51.741399</v>
      </c>
      <c r="N232" t="n">
        <v>52.283119</v>
      </c>
      <c r="O232" t="n">
        <v>17.749881</v>
      </c>
      <c r="P232" t="n">
        <v>11.404035</v>
      </c>
      <c r="Q232" t="n">
        <v>52.283119</v>
      </c>
      <c r="R232" t="n">
        <v>51.741399</v>
      </c>
      <c r="S232" t="n">
        <v>17.749881</v>
      </c>
      <c r="T232" t="n">
        <v>17.749881</v>
      </c>
      <c r="U232" t="n">
        <v>11.404035</v>
      </c>
      <c r="V232" t="n">
        <v>11.404035</v>
      </c>
      <c r="W232" t="n">
        <v>17.839302</v>
      </c>
      <c r="X232" t="n">
        <v>54.129601</v>
      </c>
    </row>
    <row r="233" ht="21" customHeight="1">
      <c r="A233" t="inlineStr">
        <is>
          <t>Lates calcarifer</t>
        </is>
      </c>
      <c r="B233" t="n">
        <v>4.35</v>
      </c>
      <c r="C233" t="n">
        <v>2238.721139</v>
      </c>
      <c r="D233" s="10" t="inlineStr">
        <is>
          <t>Piscivores</t>
        </is>
      </c>
      <c r="E233" t="n">
        <v>0</v>
      </c>
      <c r="F233" t="n">
        <v>304.388999</v>
      </c>
      <c r="G233" t="n">
        <v>2.268309</v>
      </c>
      <c r="H233" t="n">
        <v>2.300314</v>
      </c>
      <c r="I233" t="n">
        <v>249.259877</v>
      </c>
      <c r="J233" t="n">
        <v>251.428736</v>
      </c>
      <c r="K233" t="n">
        <v>202.148704</v>
      </c>
      <c r="L233" t="n">
        <v>282.597002</v>
      </c>
      <c r="M233" t="n">
        <v>282.597002</v>
      </c>
      <c r="N233" t="n">
        <v>286.033173</v>
      </c>
      <c r="O233" t="n">
        <v>49.797649</v>
      </c>
      <c r="P233" t="n">
        <v>25.643377</v>
      </c>
      <c r="Q233" t="n">
        <v>286.033173</v>
      </c>
      <c r="R233" t="n">
        <v>282.597002</v>
      </c>
      <c r="S233" t="n">
        <v>49.797649</v>
      </c>
      <c r="T233" t="n">
        <v>49.797649</v>
      </c>
      <c r="U233" t="n">
        <v>25.643377</v>
      </c>
      <c r="V233" t="n">
        <v>25.643377</v>
      </c>
      <c r="W233" t="n">
        <v>51.082514</v>
      </c>
      <c r="X233" t="n">
        <v>274.518943</v>
      </c>
    </row>
    <row r="234" ht="21" customHeight="1">
      <c r="A234" t="inlineStr">
        <is>
          <t>Hexagrammidae</t>
        </is>
      </c>
      <c r="B234" t="n">
        <v>3.72</v>
      </c>
      <c r="C234" t="n">
        <v>524.80746</v>
      </c>
      <c r="D234" s="10" t="inlineStr">
        <is>
          <t>Benthivores</t>
        </is>
      </c>
      <c r="E234" t="n">
        <v>0</v>
      </c>
      <c r="F234" t="n">
        <v>67.81478300000001</v>
      </c>
      <c r="G234" t="n">
        <v>1.829368</v>
      </c>
      <c r="H234" t="n">
        <v>1.84033</v>
      </c>
      <c r="I234" t="n">
        <v>33.988491</v>
      </c>
      <c r="J234" t="n">
        <v>35.780255</v>
      </c>
      <c r="K234" t="n">
        <v>35.601354</v>
      </c>
      <c r="L234" t="n">
        <v>385.228839</v>
      </c>
      <c r="M234" t="n">
        <v>385.228839</v>
      </c>
      <c r="N234" t="n">
        <v>391.588003</v>
      </c>
      <c r="O234" t="n">
        <v>16.66963</v>
      </c>
      <c r="P234" t="n">
        <v>9.973879999999999</v>
      </c>
      <c r="Q234" t="n">
        <v>391.588003</v>
      </c>
      <c r="R234" t="n">
        <v>385.228839</v>
      </c>
      <c r="S234" t="n">
        <v>16.66963</v>
      </c>
      <c r="T234" t="n">
        <v>16.66963</v>
      </c>
      <c r="U234" t="n">
        <v>9.973879999999999</v>
      </c>
      <c r="V234" t="n">
        <v>9.973879999999999</v>
      </c>
      <c r="W234" t="n">
        <v>17.246706</v>
      </c>
      <c r="X234" t="n">
        <v>42.474741</v>
      </c>
    </row>
    <row r="235" ht="21" customHeight="1">
      <c r="A235" t="inlineStr">
        <is>
          <t>Clupanodon thrissa</t>
        </is>
      </c>
      <c r="B235" t="n">
        <v>3.01</v>
      </c>
      <c r="C235" t="n">
        <v>102.329299</v>
      </c>
      <c r="D235" s="10" t="inlineStr">
        <is>
          <t>Planktivores</t>
        </is>
      </c>
      <c r="E235" t="n">
        <v>0</v>
      </c>
      <c r="F235" t="n">
        <v>100.997642</v>
      </c>
      <c r="G235" t="n">
        <v>1.93677</v>
      </c>
      <c r="H235" t="n">
        <v>1.93149</v>
      </c>
      <c r="I235" t="n">
        <v>53.479795</v>
      </c>
      <c r="J235" t="n">
        <v>53.479795</v>
      </c>
      <c r="K235" t="n">
        <v>53.372836</v>
      </c>
      <c r="L235" t="n">
        <v>51.741399</v>
      </c>
      <c r="M235" t="n">
        <v>51.741399</v>
      </c>
      <c r="N235" t="n">
        <v>52.283119</v>
      </c>
      <c r="O235" t="n">
        <v>17.749881</v>
      </c>
      <c r="P235" t="n">
        <v>11.404035</v>
      </c>
      <c r="Q235" t="n">
        <v>52.283119</v>
      </c>
      <c r="R235" t="n">
        <v>51.741399</v>
      </c>
      <c r="S235" t="n">
        <v>17.749881</v>
      </c>
      <c r="T235" t="n">
        <v>17.749881</v>
      </c>
      <c r="U235" t="n">
        <v>11.404035</v>
      </c>
      <c r="V235" t="n">
        <v>11.404035</v>
      </c>
      <c r="W235" t="n">
        <v>17.839302</v>
      </c>
      <c r="X235" t="n">
        <v>54.129601</v>
      </c>
    </row>
    <row r="236" ht="21" customHeight="1">
      <c r="A236" t="inlineStr">
        <is>
          <t>Ommastrephes bartramii</t>
        </is>
      </c>
      <c r="B236" t="n">
        <v>4.37</v>
      </c>
      <c r="C236" t="n">
        <v>2344.228815</v>
      </c>
      <c r="D236" s="10" t="inlineStr">
        <is>
          <t>Cephalopods</t>
        </is>
      </c>
      <c r="E236" t="n">
        <v>0</v>
      </c>
      <c r="F236" t="n">
        <v>65.929169</v>
      </c>
      <c r="G236" t="n">
        <v>1.821994</v>
      </c>
      <c r="H236" t="n">
        <v>1.839433</v>
      </c>
      <c r="I236" t="n">
        <v>38.382342</v>
      </c>
      <c r="J236" t="n">
        <v>38.382342</v>
      </c>
      <c r="K236" t="n">
        <v>37.768225</v>
      </c>
      <c r="L236" t="n">
        <v>36.734327</v>
      </c>
      <c r="M236" t="n">
        <v>36.734327</v>
      </c>
      <c r="N236" t="n">
        <v>37.111337</v>
      </c>
      <c r="O236" t="n">
        <v>12.794003</v>
      </c>
      <c r="P236" t="n">
        <v>8.242232</v>
      </c>
      <c r="Q236" t="n">
        <v>37.111337</v>
      </c>
      <c r="R236" t="n">
        <v>36.734327</v>
      </c>
      <c r="S236" t="n">
        <v>12.794003</v>
      </c>
      <c r="T236" t="n">
        <v>12.794003</v>
      </c>
      <c r="U236" t="n">
        <v>8.242232</v>
      </c>
      <c r="V236" t="n">
        <v>8.242232</v>
      </c>
      <c r="W236" t="n">
        <v>12.757448</v>
      </c>
      <c r="X236" t="n">
        <v>38.53303</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E239" t="n">
        <v>0</v>
      </c>
      <c r="F239" t="n">
        <v>123.077794</v>
      </c>
      <c r="G239" t="n">
        <v>1.992402</v>
      </c>
      <c r="H239" t="n">
        <v>1.97781</v>
      </c>
      <c r="I239" t="n">
        <v>560.299311</v>
      </c>
      <c r="J239" t="n">
        <v>592.272682</v>
      </c>
      <c r="K239" t="n">
        <v>209.072257</v>
      </c>
      <c r="L239" t="n">
        <v>660.166914</v>
      </c>
      <c r="M239" t="n">
        <v>660.166914</v>
      </c>
      <c r="N239" t="n">
        <v>670.165526</v>
      </c>
      <c r="O239" t="n">
        <v>72.857719</v>
      </c>
      <c r="P239" t="n">
        <v>43.071646</v>
      </c>
      <c r="Q239" t="n">
        <v>670.165526</v>
      </c>
      <c r="R239" t="n">
        <v>660.166914</v>
      </c>
      <c r="S239" t="n">
        <v>72.857719</v>
      </c>
      <c r="T239" t="n">
        <v>72.857719</v>
      </c>
      <c r="U239" t="n">
        <v>43.071646</v>
      </c>
      <c r="V239" t="n">
        <v>43.071646</v>
      </c>
      <c r="W239" t="n">
        <v>75.193746</v>
      </c>
      <c r="X239" t="n">
        <v>683.804243</v>
      </c>
    </row>
    <row r="240" ht="21" customHeight="1">
      <c r="A240" t="inlineStr">
        <is>
          <t>Chionoecetes</t>
        </is>
      </c>
      <c r="D240" s="10" t="inlineStr">
        <is>
          <t>Crabs</t>
        </is>
      </c>
      <c r="E240" t="n">
        <v>0</v>
      </c>
      <c r="F240" t="n">
        <v>21.002175</v>
      </c>
      <c r="G240" t="n">
        <v>1.546636</v>
      </c>
      <c r="H240" t="n">
        <v>1.565985</v>
      </c>
      <c r="I240" t="n">
        <v>12.039474</v>
      </c>
      <c r="J240" t="n">
        <v>12.039474</v>
      </c>
      <c r="K240" t="n">
        <v>11.028158</v>
      </c>
      <c r="L240" t="n">
        <v>11.032425</v>
      </c>
      <c r="M240" t="n">
        <v>11.032425</v>
      </c>
      <c r="N240" t="n">
        <v>11.257068</v>
      </c>
      <c r="O240" t="n">
        <v>7.495998</v>
      </c>
      <c r="P240" t="n">
        <v>5.212079</v>
      </c>
      <c r="Q240" t="n">
        <v>11.257068</v>
      </c>
      <c r="R240" t="n">
        <v>11.032425</v>
      </c>
      <c r="S240" t="n">
        <v>7.495998</v>
      </c>
      <c r="T240" t="n">
        <v>7.495998</v>
      </c>
      <c r="U240" t="n">
        <v>5.212079</v>
      </c>
      <c r="V240" t="n">
        <v>5.212079</v>
      </c>
      <c r="W240" t="n">
        <v>7.53635</v>
      </c>
      <c r="X240" t="n">
        <v>11.035506</v>
      </c>
    </row>
    <row r="241" ht="21" customHeight="1">
      <c r="A241" t="inlineStr">
        <is>
          <t>Prionace glauca</t>
        </is>
      </c>
      <c r="B241" t="n">
        <v>4.35</v>
      </c>
      <c r="C241" t="n">
        <v>2238.721139</v>
      </c>
      <c r="D241" s="10" t="inlineStr">
        <is>
          <t>Sharks</t>
        </is>
      </c>
      <c r="E241" t="n">
        <v>0</v>
      </c>
      <c r="F241" t="n">
        <v>1154.744061</v>
      </c>
      <c r="G241" t="n">
        <v>2.745621</v>
      </c>
      <c r="H241" t="n">
        <v>2.742397</v>
      </c>
      <c r="I241" t="n">
        <v>0</v>
      </c>
      <c r="J241" t="n">
        <v>152.583853</v>
      </c>
      <c r="L241" t="n">
        <v>0</v>
      </c>
      <c r="M241" t="n">
        <v>0</v>
      </c>
      <c r="N241" t="n">
        <v>0</v>
      </c>
      <c r="O241" t="n">
        <v>205.199674</v>
      </c>
      <c r="P241" t="n">
        <v>93.831501</v>
      </c>
      <c r="Q241" t="n">
        <v>0</v>
      </c>
      <c r="R241" t="n">
        <v>0</v>
      </c>
      <c r="S241" t="n">
        <v>205.199674</v>
      </c>
      <c r="T241" t="n">
        <v>205.199674</v>
      </c>
      <c r="U241" t="n">
        <v>93.831501</v>
      </c>
      <c r="V241" t="n">
        <v>93.831501</v>
      </c>
      <c r="W241" t="n">
        <v>205.695409</v>
      </c>
      <c r="X241" t="n">
        <v>0</v>
      </c>
    </row>
    <row r="242" ht="21" customHeight="1">
      <c r="A242" t="inlineStr">
        <is>
          <t>Scylla</t>
        </is>
      </c>
      <c r="B242" t="n">
        <v>3.17</v>
      </c>
      <c r="C242" t="n">
        <v>147.910839</v>
      </c>
      <c r="D242" s="10" t="inlineStr">
        <is>
          <t>Crabs</t>
        </is>
      </c>
      <c r="E242" t="n">
        <v>0</v>
      </c>
      <c r="F242" t="n">
        <v>21.002175</v>
      </c>
      <c r="G242" t="n">
        <v>1.546636</v>
      </c>
      <c r="H242" t="n">
        <v>1.565985</v>
      </c>
      <c r="I242" t="n">
        <v>12.039474</v>
      </c>
      <c r="J242" t="n">
        <v>12.039474</v>
      </c>
      <c r="K242" t="n">
        <v>11.028158</v>
      </c>
      <c r="L242" t="n">
        <v>11.032425</v>
      </c>
      <c r="M242" t="n">
        <v>11.032425</v>
      </c>
      <c r="N242" t="n">
        <v>11.257068</v>
      </c>
      <c r="O242" t="n">
        <v>7.495998</v>
      </c>
      <c r="P242" t="n">
        <v>5.212079</v>
      </c>
      <c r="Q242" t="n">
        <v>11.257068</v>
      </c>
      <c r="R242" t="n">
        <v>11.032425</v>
      </c>
      <c r="S242" t="n">
        <v>7.495998</v>
      </c>
      <c r="T242" t="n">
        <v>7.495998</v>
      </c>
      <c r="U242" t="n">
        <v>5.212079</v>
      </c>
      <c r="V242" t="n">
        <v>5.212079</v>
      </c>
      <c r="W242" t="n">
        <v>7.53635</v>
      </c>
      <c r="X242" t="n">
        <v>11.035506</v>
      </c>
    </row>
    <row r="243" ht="21" customHeight="1">
      <c r="A243" t="inlineStr">
        <is>
          <t>Gadiformes</t>
        </is>
      </c>
      <c r="D243" s="10" t="inlineStr">
        <is>
          <t>Planktivores | Piscivores</t>
        </is>
      </c>
      <c r="E243" t="n">
        <v>0</v>
      </c>
      <c r="F243" t="n">
        <v>149.15991</v>
      </c>
      <c r="G243" t="n">
        <v>2.015277</v>
      </c>
      <c r="H243" t="n">
        <v>2.018826</v>
      </c>
      <c r="I243" t="n">
        <v>99.839743</v>
      </c>
      <c r="J243" t="n">
        <v>100.353321</v>
      </c>
      <c r="K243" t="n">
        <v>88.602372</v>
      </c>
      <c r="L243" t="n">
        <v>106.407092</v>
      </c>
      <c r="M243" t="n">
        <v>106.407092</v>
      </c>
      <c r="N243" t="n">
        <v>107.634206</v>
      </c>
      <c r="O243" t="n">
        <v>25.338665</v>
      </c>
      <c r="P243" t="n">
        <v>14.775855</v>
      </c>
      <c r="Q243" t="n">
        <v>107.634206</v>
      </c>
      <c r="R243" t="n">
        <v>106.407092</v>
      </c>
      <c r="S243" t="n">
        <v>25.338665</v>
      </c>
      <c r="T243" t="n">
        <v>25.338665</v>
      </c>
      <c r="U243" t="n">
        <v>14.775855</v>
      </c>
      <c r="V243" t="n">
        <v>14.775855</v>
      </c>
      <c r="W243" t="n">
        <v>25.711163</v>
      </c>
      <c r="X243" t="n">
        <v>106.316924</v>
      </c>
    </row>
    <row r="244" ht="21" customHeight="1">
      <c r="A244" t="inlineStr">
        <is>
          <t>Encrasicholina punctifer</t>
        </is>
      </c>
      <c r="B244" t="n">
        <v>3.25</v>
      </c>
      <c r="C244" t="n">
        <v>177.827941</v>
      </c>
      <c r="D244" s="10" t="inlineStr">
        <is>
          <t>Planktivores</t>
        </is>
      </c>
      <c r="E244" t="n">
        <v>0</v>
      </c>
      <c r="F244" t="n">
        <v>100.997642</v>
      </c>
      <c r="G244" t="n">
        <v>1.93677</v>
      </c>
      <c r="H244" t="n">
        <v>1.93149</v>
      </c>
      <c r="I244" t="n">
        <v>53.479795</v>
      </c>
      <c r="J244" t="n">
        <v>53.479795</v>
      </c>
      <c r="K244" t="n">
        <v>53.372836</v>
      </c>
      <c r="L244" t="n">
        <v>51.741399</v>
      </c>
      <c r="M244" t="n">
        <v>51.741399</v>
      </c>
      <c r="N244" t="n">
        <v>52.283119</v>
      </c>
      <c r="O244" t="n">
        <v>17.749881</v>
      </c>
      <c r="P244" t="n">
        <v>11.404035</v>
      </c>
      <c r="Q244" t="n">
        <v>52.283119</v>
      </c>
      <c r="R244" t="n">
        <v>51.741399</v>
      </c>
      <c r="S244" t="n">
        <v>17.749881</v>
      </c>
      <c r="T244" t="n">
        <v>17.749881</v>
      </c>
      <c r="U244" t="n">
        <v>11.404035</v>
      </c>
      <c r="V244" t="n">
        <v>11.404035</v>
      </c>
      <c r="W244" t="n">
        <v>17.839302</v>
      </c>
      <c r="X244" t="n">
        <v>54.129601</v>
      </c>
    </row>
    <row r="245" ht="21" customHeight="1">
      <c r="A245" t="inlineStr">
        <is>
          <t>Nibea albiflora</t>
        </is>
      </c>
      <c r="B245" t="n">
        <v>3.5</v>
      </c>
      <c r="C245" t="n">
        <v>316.227766</v>
      </c>
      <c r="D245" s="10" t="inlineStr">
        <is>
          <t>Omnivores</t>
        </is>
      </c>
      <c r="E245" t="n">
        <v>0</v>
      </c>
      <c r="F245" t="n">
        <v>131.221463</v>
      </c>
      <c r="G245" t="n">
        <v>2.01077</v>
      </c>
      <c r="H245" t="n">
        <v>2.036134</v>
      </c>
      <c r="I245" t="n">
        <v>66.04435700000001</v>
      </c>
      <c r="J245" t="n">
        <v>68.25582300000001</v>
      </c>
      <c r="K245" t="n">
        <v>68.187568</v>
      </c>
      <c r="L245" t="n">
        <v>72.544996</v>
      </c>
      <c r="M245" t="n">
        <v>72.544996</v>
      </c>
      <c r="N245" t="n">
        <v>73.57283200000001</v>
      </c>
      <c r="O245" t="n">
        <v>17.500018</v>
      </c>
      <c r="P245" t="n">
        <v>10.032554</v>
      </c>
      <c r="Q245" t="n">
        <v>73.57283200000001</v>
      </c>
      <c r="R245" t="n">
        <v>72.544996</v>
      </c>
      <c r="S245" t="n">
        <v>17.500018</v>
      </c>
      <c r="T245" t="n">
        <v>17.500018</v>
      </c>
      <c r="U245" t="n">
        <v>10.032554</v>
      </c>
      <c r="V245" t="n">
        <v>10.032554</v>
      </c>
      <c r="W245" t="n">
        <v>17.704629</v>
      </c>
      <c r="X245" t="n">
        <v>72.854687</v>
      </c>
    </row>
    <row r="246" ht="21" customHeight="1">
      <c r="A246" t="inlineStr">
        <is>
          <t>Carcharhinus falciformis</t>
        </is>
      </c>
      <c r="B246" t="n">
        <v>4.51</v>
      </c>
      <c r="C246" t="n">
        <v>3235.936569</v>
      </c>
      <c r="D246" s="10" t="inlineStr">
        <is>
          <t>Sharks</t>
        </is>
      </c>
      <c r="E246" t="n">
        <v>0</v>
      </c>
      <c r="F246" t="n">
        <v>1154.744061</v>
      </c>
      <c r="G246" t="n">
        <v>2.745621</v>
      </c>
      <c r="H246" t="n">
        <v>2.742397</v>
      </c>
      <c r="I246" t="n">
        <v>0</v>
      </c>
      <c r="J246" t="n">
        <v>152.583853</v>
      </c>
      <c r="L246" t="n">
        <v>0</v>
      </c>
      <c r="M246" t="n">
        <v>0</v>
      </c>
      <c r="N246" t="n">
        <v>0</v>
      </c>
      <c r="O246" t="n">
        <v>205.199674</v>
      </c>
      <c r="P246" t="n">
        <v>93.831501</v>
      </c>
      <c r="Q246" t="n">
        <v>0</v>
      </c>
      <c r="R246" t="n">
        <v>0</v>
      </c>
      <c r="S246" t="n">
        <v>205.199674</v>
      </c>
      <c r="T246" t="n">
        <v>205.199674</v>
      </c>
      <c r="U246" t="n">
        <v>93.831501</v>
      </c>
      <c r="V246" t="n">
        <v>93.831501</v>
      </c>
      <c r="W246" t="n">
        <v>205.695409</v>
      </c>
      <c r="X246" t="n">
        <v>0</v>
      </c>
    </row>
    <row r="247" ht="21" customHeight="1">
      <c r="A247" t="inlineStr">
        <is>
          <t>Parupeneus barberinus</t>
        </is>
      </c>
      <c r="B247" t="n">
        <v>3.22</v>
      </c>
      <c r="C247" t="n">
        <v>165.958691</v>
      </c>
      <c r="D247" s="10" t="inlineStr">
        <is>
          <t>Benthivores</t>
        </is>
      </c>
      <c r="E247" t="n">
        <v>0</v>
      </c>
      <c r="F247" t="n">
        <v>67.81478300000001</v>
      </c>
      <c r="G247" t="n">
        <v>1.829368</v>
      </c>
      <c r="H247" t="n">
        <v>1.84033</v>
      </c>
      <c r="I247" t="n">
        <v>33.988491</v>
      </c>
      <c r="J247" t="n">
        <v>35.780255</v>
      </c>
      <c r="K247" t="n">
        <v>35.601354</v>
      </c>
      <c r="L247" t="n">
        <v>385.228839</v>
      </c>
      <c r="M247" t="n">
        <v>385.228839</v>
      </c>
      <c r="N247" t="n">
        <v>391.588003</v>
      </c>
      <c r="O247" t="n">
        <v>16.66963</v>
      </c>
      <c r="P247" t="n">
        <v>9.973879999999999</v>
      </c>
      <c r="Q247" t="n">
        <v>391.588003</v>
      </c>
      <c r="R247" t="n">
        <v>385.228839</v>
      </c>
      <c r="S247" t="n">
        <v>16.66963</v>
      </c>
      <c r="T247" t="n">
        <v>16.66963</v>
      </c>
      <c r="U247" t="n">
        <v>9.973879999999999</v>
      </c>
      <c r="V247" t="n">
        <v>9.973879999999999</v>
      </c>
      <c r="W247" t="n">
        <v>17.246706</v>
      </c>
      <c r="X247" t="n">
        <v>42.474741</v>
      </c>
    </row>
    <row r="248" ht="21" customHeight="1">
      <c r="A248" t="inlineStr">
        <is>
          <t>Epinephelus malabaricus</t>
        </is>
      </c>
      <c r="B248" t="n">
        <v>4.16</v>
      </c>
      <c r="C248" t="n">
        <v>1445.439771</v>
      </c>
      <c r="D248" s="10" t="inlineStr">
        <is>
          <t>Piscivores</t>
        </is>
      </c>
      <c r="E248" t="n">
        <v>0</v>
      </c>
      <c r="F248" t="n">
        <v>304.388999</v>
      </c>
      <c r="G248" t="n">
        <v>2.268309</v>
      </c>
      <c r="H248" t="n">
        <v>2.300314</v>
      </c>
      <c r="I248" t="n">
        <v>249.259877</v>
      </c>
      <c r="J248" t="n">
        <v>251.428736</v>
      </c>
      <c r="K248" t="n">
        <v>202.148704</v>
      </c>
      <c r="L248" t="n">
        <v>282.597002</v>
      </c>
      <c r="M248" t="n">
        <v>282.597002</v>
      </c>
      <c r="N248" t="n">
        <v>286.033173</v>
      </c>
      <c r="O248" t="n">
        <v>49.797649</v>
      </c>
      <c r="P248" t="n">
        <v>25.643377</v>
      </c>
      <c r="Q248" t="n">
        <v>286.033173</v>
      </c>
      <c r="R248" t="n">
        <v>282.597002</v>
      </c>
      <c r="S248" t="n">
        <v>49.797649</v>
      </c>
      <c r="T248" t="n">
        <v>49.797649</v>
      </c>
      <c r="U248" t="n">
        <v>25.643377</v>
      </c>
      <c r="V248" t="n">
        <v>25.643377</v>
      </c>
      <c r="W248" t="n">
        <v>51.082514</v>
      </c>
      <c r="X248" t="n">
        <v>274.518943</v>
      </c>
    </row>
    <row r="249" ht="21" customHeight="1">
      <c r="A249" t="inlineStr">
        <is>
          <t>Ranina ranina</t>
        </is>
      </c>
      <c r="D249" s="10" t="inlineStr">
        <is>
          <t>Crabs</t>
        </is>
      </c>
      <c r="E249" t="n">
        <v>0</v>
      </c>
      <c r="F249" t="n">
        <v>21.002175</v>
      </c>
      <c r="G249" t="n">
        <v>1.546636</v>
      </c>
      <c r="H249" t="n">
        <v>1.565985</v>
      </c>
      <c r="I249" t="n">
        <v>12.039474</v>
      </c>
      <c r="J249" t="n">
        <v>12.039474</v>
      </c>
      <c r="K249" t="n">
        <v>11.028158</v>
      </c>
      <c r="L249" t="n">
        <v>11.032425</v>
      </c>
      <c r="M249" t="n">
        <v>11.032425</v>
      </c>
      <c r="N249" t="n">
        <v>11.257068</v>
      </c>
      <c r="O249" t="n">
        <v>7.495998</v>
      </c>
      <c r="P249" t="n">
        <v>5.212079</v>
      </c>
      <c r="Q249" t="n">
        <v>11.257068</v>
      </c>
      <c r="R249" t="n">
        <v>11.032425</v>
      </c>
      <c r="S249" t="n">
        <v>7.495998</v>
      </c>
      <c r="T249" t="n">
        <v>7.495998</v>
      </c>
      <c r="U249" t="n">
        <v>5.212079</v>
      </c>
      <c r="V249" t="n">
        <v>5.212079</v>
      </c>
      <c r="W249" t="n">
        <v>7.53635</v>
      </c>
      <c r="X249" t="n">
        <v>11.035506</v>
      </c>
    </row>
    <row r="250" ht="21" customHeight="1">
      <c r="A250" t="inlineStr">
        <is>
          <t>Metapenaeus ensis</t>
        </is>
      </c>
      <c r="B250" t="n">
        <v>2.7</v>
      </c>
      <c r="C250" t="n">
        <v>50.118723</v>
      </c>
      <c r="D250" s="10" t="inlineStr">
        <is>
          <t>Shrimps</t>
        </is>
      </c>
      <c r="E250" t="n">
        <v>0</v>
      </c>
      <c r="F250" t="n">
        <v>20.606299</v>
      </c>
      <c r="G250" t="n">
        <v>1.542427</v>
      </c>
      <c r="H250" t="n">
        <v>1.561295</v>
      </c>
      <c r="I250" t="n">
        <v>15.075177</v>
      </c>
      <c r="J250" t="n">
        <v>15.075177</v>
      </c>
      <c r="K250" t="n">
        <v>15.060102</v>
      </c>
      <c r="L250" t="n">
        <v>13.927162</v>
      </c>
      <c r="M250" t="n">
        <v>13.927162</v>
      </c>
      <c r="N250" t="n">
        <v>14.183251</v>
      </c>
      <c r="O250" t="n">
        <v>7.969433</v>
      </c>
      <c r="P250" t="n">
        <v>5.681336</v>
      </c>
      <c r="Q250" t="n">
        <v>14.183251</v>
      </c>
      <c r="R250" t="n">
        <v>13.927162</v>
      </c>
      <c r="S250" t="n">
        <v>7.969433</v>
      </c>
      <c r="T250" t="n">
        <v>7.969433</v>
      </c>
      <c r="U250" t="n">
        <v>5.681336</v>
      </c>
      <c r="V250" t="n">
        <v>5.681336</v>
      </c>
      <c r="W250" t="n">
        <v>8.136905</v>
      </c>
      <c r="X250" t="n">
        <v>14.885026</v>
      </c>
    </row>
    <row r="251" ht="21" customHeight="1">
      <c r="A251" t="inlineStr">
        <is>
          <t>Rachycentron canadum</t>
        </is>
      </c>
      <c r="B251" t="n">
        <v>3.96</v>
      </c>
      <c r="C251" t="n">
        <v>912.010839</v>
      </c>
      <c r="D251" s="10" t="inlineStr">
        <is>
          <t>Piscivores</t>
        </is>
      </c>
      <c r="E251" t="n">
        <v>0</v>
      </c>
      <c r="F251" t="n">
        <v>304.388999</v>
      </c>
      <c r="G251" t="n">
        <v>2.268309</v>
      </c>
      <c r="H251" t="n">
        <v>2.300314</v>
      </c>
      <c r="I251" t="n">
        <v>249.259877</v>
      </c>
      <c r="J251" t="n">
        <v>251.428736</v>
      </c>
      <c r="K251" t="n">
        <v>202.148704</v>
      </c>
      <c r="L251" t="n">
        <v>282.597002</v>
      </c>
      <c r="M251" t="n">
        <v>282.597002</v>
      </c>
      <c r="N251" t="n">
        <v>286.033173</v>
      </c>
      <c r="O251" t="n">
        <v>49.797649</v>
      </c>
      <c r="P251" t="n">
        <v>25.643377</v>
      </c>
      <c r="Q251" t="n">
        <v>286.033173</v>
      </c>
      <c r="R251" t="n">
        <v>282.597002</v>
      </c>
      <c r="S251" t="n">
        <v>49.797649</v>
      </c>
      <c r="T251" t="n">
        <v>49.797649</v>
      </c>
      <c r="U251" t="n">
        <v>25.643377</v>
      </c>
      <c r="V251" t="n">
        <v>25.643377</v>
      </c>
      <c r="W251" t="n">
        <v>51.082514</v>
      </c>
      <c r="X251" t="n">
        <v>274.518943</v>
      </c>
    </row>
    <row r="252" ht="21" customHeight="1">
      <c r="A252" t="inlineStr">
        <is>
          <t>Sphyraena barracuda</t>
        </is>
      </c>
      <c r="B252" t="n">
        <v>4.49</v>
      </c>
      <c r="C252" t="n">
        <v>3090.295433</v>
      </c>
      <c r="D252" s="10" t="inlineStr">
        <is>
          <t>Piscivores</t>
        </is>
      </c>
      <c r="E252" t="n">
        <v>0</v>
      </c>
      <c r="F252" t="n">
        <v>304.388999</v>
      </c>
      <c r="G252" t="n">
        <v>2.268309</v>
      </c>
      <c r="H252" t="n">
        <v>2.300314</v>
      </c>
      <c r="I252" t="n">
        <v>249.259877</v>
      </c>
      <c r="J252" t="n">
        <v>251.428736</v>
      </c>
      <c r="K252" t="n">
        <v>202.148704</v>
      </c>
      <c r="L252" t="n">
        <v>282.597002</v>
      </c>
      <c r="M252" t="n">
        <v>282.597002</v>
      </c>
      <c r="N252" t="n">
        <v>286.033173</v>
      </c>
      <c r="O252" t="n">
        <v>49.797649</v>
      </c>
      <c r="P252" t="n">
        <v>25.643377</v>
      </c>
      <c r="Q252" t="n">
        <v>286.033173</v>
      </c>
      <c r="R252" t="n">
        <v>282.597002</v>
      </c>
      <c r="S252" t="n">
        <v>49.797649</v>
      </c>
      <c r="T252" t="n">
        <v>49.797649</v>
      </c>
      <c r="U252" t="n">
        <v>25.643377</v>
      </c>
      <c r="V252" t="n">
        <v>25.643377</v>
      </c>
      <c r="W252" t="n">
        <v>51.082514</v>
      </c>
      <c r="X252" t="n">
        <v>274.518943</v>
      </c>
    </row>
    <row r="253" ht="21" customHeight="1">
      <c r="A253" t="inlineStr">
        <is>
          <t>Berycidae</t>
        </is>
      </c>
      <c r="B253" t="n">
        <v>3.99</v>
      </c>
      <c r="C253" t="n">
        <v>977.237221</v>
      </c>
      <c r="D253" s="10" t="inlineStr">
        <is>
          <t>Piscivores</t>
        </is>
      </c>
      <c r="E253" t="n">
        <v>0</v>
      </c>
      <c r="F253" t="n">
        <v>304.388999</v>
      </c>
      <c r="G253" t="n">
        <v>2.268309</v>
      </c>
      <c r="H253" t="n">
        <v>2.300314</v>
      </c>
      <c r="I253" t="n">
        <v>249.259877</v>
      </c>
      <c r="J253" t="n">
        <v>251.428736</v>
      </c>
      <c r="K253" t="n">
        <v>202.148704</v>
      </c>
      <c r="L253" t="n">
        <v>282.597002</v>
      </c>
      <c r="M253" t="n">
        <v>282.597002</v>
      </c>
      <c r="N253" t="n">
        <v>286.033173</v>
      </c>
      <c r="O253" t="n">
        <v>49.797649</v>
      </c>
      <c r="P253" t="n">
        <v>25.643377</v>
      </c>
      <c r="Q253" t="n">
        <v>286.033173</v>
      </c>
      <c r="R253" t="n">
        <v>282.597002</v>
      </c>
      <c r="S253" t="n">
        <v>49.797649</v>
      </c>
      <c r="T253" t="n">
        <v>49.797649</v>
      </c>
      <c r="U253" t="n">
        <v>25.643377</v>
      </c>
      <c r="V253" t="n">
        <v>25.643377</v>
      </c>
      <c r="W253" t="n">
        <v>51.082514</v>
      </c>
      <c r="X253" t="n">
        <v>274.518943</v>
      </c>
    </row>
    <row r="254" ht="21" customHeight="1">
      <c r="A254" t="inlineStr">
        <is>
          <t>Psettodes erumei</t>
        </is>
      </c>
      <c r="B254" t="n">
        <v>4.39</v>
      </c>
      <c r="C254" t="n">
        <v>2454.708916</v>
      </c>
      <c r="D254" s="10" t="inlineStr">
        <is>
          <t>Piscivores</t>
        </is>
      </c>
      <c r="E254" t="n">
        <v>0</v>
      </c>
      <c r="F254" t="n">
        <v>304.388999</v>
      </c>
      <c r="G254" t="n">
        <v>2.268309</v>
      </c>
      <c r="H254" t="n">
        <v>2.300314</v>
      </c>
      <c r="I254" t="n">
        <v>249.259877</v>
      </c>
      <c r="J254" t="n">
        <v>251.428736</v>
      </c>
      <c r="K254" t="n">
        <v>202.148704</v>
      </c>
      <c r="L254" t="n">
        <v>282.597002</v>
      </c>
      <c r="M254" t="n">
        <v>282.597002</v>
      </c>
      <c r="N254" t="n">
        <v>286.033173</v>
      </c>
      <c r="O254" t="n">
        <v>49.797649</v>
      </c>
      <c r="P254" t="n">
        <v>25.643377</v>
      </c>
      <c r="Q254" t="n">
        <v>286.033173</v>
      </c>
      <c r="R254" t="n">
        <v>282.597002</v>
      </c>
      <c r="S254" t="n">
        <v>49.797649</v>
      </c>
      <c r="T254" t="n">
        <v>49.797649</v>
      </c>
      <c r="U254" t="n">
        <v>25.643377</v>
      </c>
      <c r="V254" t="n">
        <v>25.643377</v>
      </c>
      <c r="W254" t="n">
        <v>51.082514</v>
      </c>
      <c r="X254" t="n">
        <v>274.518943</v>
      </c>
    </row>
    <row r="255" ht="21" customHeight="1">
      <c r="A255" t="inlineStr">
        <is>
          <t>Paralithodes</t>
        </is>
      </c>
      <c r="D255" s="10" t="inlineStr">
        <is>
          <t>Crabs</t>
        </is>
      </c>
      <c r="E255" t="n">
        <v>0</v>
      </c>
      <c r="F255" t="n">
        <v>21.002175</v>
      </c>
      <c r="G255" t="n">
        <v>1.546636</v>
      </c>
      <c r="H255" t="n">
        <v>1.565985</v>
      </c>
      <c r="I255" t="n">
        <v>12.039474</v>
      </c>
      <c r="J255" t="n">
        <v>12.039474</v>
      </c>
      <c r="K255" t="n">
        <v>11.028158</v>
      </c>
      <c r="L255" t="n">
        <v>11.032425</v>
      </c>
      <c r="M255" t="n">
        <v>11.032425</v>
      </c>
      <c r="N255" t="n">
        <v>11.257068</v>
      </c>
      <c r="O255" t="n">
        <v>7.495998</v>
      </c>
      <c r="P255" t="n">
        <v>5.212079</v>
      </c>
      <c r="Q255" t="n">
        <v>11.257068</v>
      </c>
      <c r="R255" t="n">
        <v>11.032425</v>
      </c>
      <c r="S255" t="n">
        <v>7.495998</v>
      </c>
      <c r="T255" t="n">
        <v>7.495998</v>
      </c>
      <c r="U255" t="n">
        <v>5.212079</v>
      </c>
      <c r="V255" t="n">
        <v>5.212079</v>
      </c>
      <c r="W255" t="n">
        <v>7.53635</v>
      </c>
      <c r="X255" t="n">
        <v>11.035506</v>
      </c>
    </row>
    <row r="256" ht="21" customHeight="1">
      <c r="A256" t="inlineStr">
        <is>
          <t>Hemitrygon akajei</t>
        </is>
      </c>
      <c r="B256" t="n">
        <v>3.84</v>
      </c>
      <c r="C256" t="n">
        <v>691.830971</v>
      </c>
      <c r="D256" s="10" t="inlineStr">
        <is>
          <t>Benthivores</t>
        </is>
      </c>
      <c r="E256" t="n">
        <v>0</v>
      </c>
      <c r="F256" t="n">
        <v>67.81478300000001</v>
      </c>
      <c r="G256" t="n">
        <v>1.829368</v>
      </c>
      <c r="H256" t="n">
        <v>1.84033</v>
      </c>
      <c r="I256" t="n">
        <v>33.988491</v>
      </c>
      <c r="J256" t="n">
        <v>35.780255</v>
      </c>
      <c r="K256" t="n">
        <v>35.601354</v>
      </c>
      <c r="L256" t="n">
        <v>385.228839</v>
      </c>
      <c r="M256" t="n">
        <v>385.228839</v>
      </c>
      <c r="N256" t="n">
        <v>391.588003</v>
      </c>
      <c r="O256" t="n">
        <v>16.66963</v>
      </c>
      <c r="P256" t="n">
        <v>9.973879999999999</v>
      </c>
      <c r="Q256" t="n">
        <v>391.588003</v>
      </c>
      <c r="R256" t="n">
        <v>385.228839</v>
      </c>
      <c r="S256" t="n">
        <v>16.66963</v>
      </c>
      <c r="T256" t="n">
        <v>16.66963</v>
      </c>
      <c r="U256" t="n">
        <v>9.973879999999999</v>
      </c>
      <c r="V256" t="n">
        <v>9.973879999999999</v>
      </c>
      <c r="W256" t="n">
        <v>17.246706</v>
      </c>
      <c r="X256" t="n">
        <v>42.474741</v>
      </c>
    </row>
    <row r="257" ht="21" customHeight="1">
      <c r="A257" t="inlineStr">
        <is>
          <t>Chionoecetes opilio</t>
        </is>
      </c>
      <c r="B257" t="n">
        <v>3.54</v>
      </c>
      <c r="C257" t="n">
        <v>346.73685</v>
      </c>
      <c r="D257" s="10" t="inlineStr">
        <is>
          <t>Crabs</t>
        </is>
      </c>
      <c r="E257" t="n">
        <v>0</v>
      </c>
      <c r="F257" t="n">
        <v>21.002175</v>
      </c>
      <c r="G257" t="n">
        <v>1.546636</v>
      </c>
      <c r="H257" t="n">
        <v>1.565985</v>
      </c>
      <c r="I257" t="n">
        <v>12.039474</v>
      </c>
      <c r="J257" t="n">
        <v>12.039474</v>
      </c>
      <c r="K257" t="n">
        <v>11.028158</v>
      </c>
      <c r="L257" t="n">
        <v>11.032425</v>
      </c>
      <c r="M257" t="n">
        <v>11.032425</v>
      </c>
      <c r="N257" t="n">
        <v>11.257068</v>
      </c>
      <c r="O257" t="n">
        <v>7.495998</v>
      </c>
      <c r="P257" t="n">
        <v>5.212079</v>
      </c>
      <c r="Q257" t="n">
        <v>11.257068</v>
      </c>
      <c r="R257" t="n">
        <v>11.032425</v>
      </c>
      <c r="S257" t="n">
        <v>7.495998</v>
      </c>
      <c r="T257" t="n">
        <v>7.495998</v>
      </c>
      <c r="U257" t="n">
        <v>5.212079</v>
      </c>
      <c r="V257" t="n">
        <v>5.212079</v>
      </c>
      <c r="W257" t="n">
        <v>7.53635</v>
      </c>
      <c r="X257" t="n">
        <v>11.035506</v>
      </c>
    </row>
    <row r="258" ht="21" customHeight="1">
      <c r="A258" t="inlineStr">
        <is>
          <t>Sillago sihama</t>
        </is>
      </c>
      <c r="B258" t="n">
        <v>3.33</v>
      </c>
      <c r="C258" t="n">
        <v>213.796209</v>
      </c>
      <c r="D258" s="10" t="inlineStr">
        <is>
          <t>Benthivores</t>
        </is>
      </c>
      <c r="E258" t="n">
        <v>0</v>
      </c>
      <c r="F258" t="n">
        <v>67.81478300000001</v>
      </c>
      <c r="G258" t="n">
        <v>1.829368</v>
      </c>
      <c r="H258" t="n">
        <v>1.84033</v>
      </c>
      <c r="I258" t="n">
        <v>33.988491</v>
      </c>
      <c r="J258" t="n">
        <v>35.780255</v>
      </c>
      <c r="K258" t="n">
        <v>35.601354</v>
      </c>
      <c r="L258" t="n">
        <v>385.228839</v>
      </c>
      <c r="M258" t="n">
        <v>385.228839</v>
      </c>
      <c r="N258" t="n">
        <v>391.588003</v>
      </c>
      <c r="O258" t="n">
        <v>16.66963</v>
      </c>
      <c r="P258" t="n">
        <v>9.973879999999999</v>
      </c>
      <c r="Q258" t="n">
        <v>391.588003</v>
      </c>
      <c r="R258" t="n">
        <v>385.228839</v>
      </c>
      <c r="S258" t="n">
        <v>16.66963</v>
      </c>
      <c r="T258" t="n">
        <v>16.66963</v>
      </c>
      <c r="U258" t="n">
        <v>9.973879999999999</v>
      </c>
      <c r="V258" t="n">
        <v>9.973879999999999</v>
      </c>
      <c r="W258" t="n">
        <v>17.246706</v>
      </c>
      <c r="X258" t="n">
        <v>42.474741</v>
      </c>
    </row>
    <row r="259" ht="21" customHeight="1">
      <c r="A259" t="inlineStr">
        <is>
          <t>Lethrinus miniatus</t>
        </is>
      </c>
      <c r="B259" t="n">
        <v>4.19</v>
      </c>
      <c r="C259" t="n">
        <v>1548.816619</v>
      </c>
      <c r="D259" s="10" t="inlineStr">
        <is>
          <t>Benthivores/piscivores</t>
        </is>
      </c>
      <c r="E259" t="n">
        <v>0</v>
      </c>
      <c r="F259" t="n">
        <v>136.120059</v>
      </c>
      <c r="G259" t="n">
        <v>2.021353</v>
      </c>
      <c r="H259" t="n">
        <v>2.039787</v>
      </c>
      <c r="I259" t="n">
        <v>36.046055</v>
      </c>
      <c r="J259" t="n">
        <v>36.076344</v>
      </c>
      <c r="K259" t="n">
        <v>35.535199</v>
      </c>
      <c r="L259" t="n">
        <v>34.759886</v>
      </c>
      <c r="M259" t="n">
        <v>34.759886</v>
      </c>
      <c r="N259" t="n">
        <v>35.313702</v>
      </c>
      <c r="O259" t="n">
        <v>13.890783</v>
      </c>
      <c r="P259" t="n">
        <v>8.319739999999999</v>
      </c>
      <c r="Q259" t="n">
        <v>35.313702</v>
      </c>
      <c r="R259" t="n">
        <v>34.759886</v>
      </c>
      <c r="S259" t="n">
        <v>13.890783</v>
      </c>
      <c r="T259" t="n">
        <v>13.890783</v>
      </c>
      <c r="U259" t="n">
        <v>8.319739999999999</v>
      </c>
      <c r="V259" t="n">
        <v>8.319739999999999</v>
      </c>
      <c r="W259" t="n">
        <v>14.220855</v>
      </c>
      <c r="X259" t="n">
        <v>35.767132</v>
      </c>
    </row>
    <row r="260" ht="21" customHeight="1">
      <c r="A260" t="inlineStr">
        <is>
          <t>Istiophorus platypterus</t>
        </is>
      </c>
      <c r="B260" t="n">
        <v>4.5</v>
      </c>
      <c r="C260" t="n">
        <v>3162.27766</v>
      </c>
      <c r="D260" s="10" t="inlineStr">
        <is>
          <t>Piscivores</t>
        </is>
      </c>
      <c r="E260" t="n">
        <v>0</v>
      </c>
      <c r="F260" t="n">
        <v>304.388999</v>
      </c>
      <c r="G260" t="n">
        <v>2.268309</v>
      </c>
      <c r="H260" t="n">
        <v>2.300314</v>
      </c>
      <c r="I260" t="n">
        <v>249.259877</v>
      </c>
      <c r="J260" t="n">
        <v>251.428736</v>
      </c>
      <c r="K260" t="n">
        <v>202.148704</v>
      </c>
      <c r="L260" t="n">
        <v>282.597002</v>
      </c>
      <c r="M260" t="n">
        <v>282.597002</v>
      </c>
      <c r="N260" t="n">
        <v>286.033173</v>
      </c>
      <c r="O260" t="n">
        <v>49.797649</v>
      </c>
      <c r="P260" t="n">
        <v>25.643377</v>
      </c>
      <c r="Q260" t="n">
        <v>286.033173</v>
      </c>
      <c r="R260" t="n">
        <v>282.597002</v>
      </c>
      <c r="S260" t="n">
        <v>49.797649</v>
      </c>
      <c r="T260" t="n">
        <v>49.797649</v>
      </c>
      <c r="U260" t="n">
        <v>25.643377</v>
      </c>
      <c r="V260" t="n">
        <v>25.643377</v>
      </c>
      <c r="W260" t="n">
        <v>51.082514</v>
      </c>
      <c r="X260" t="n">
        <v>274.518943</v>
      </c>
    </row>
    <row r="261" ht="21" customHeight="1">
      <c r="A261" t="inlineStr">
        <is>
          <t>Lutjanus bohar</t>
        </is>
      </c>
      <c r="B261" t="n">
        <v>4.27</v>
      </c>
      <c r="C261" t="n">
        <v>1862.087137</v>
      </c>
      <c r="D261" s="10" t="inlineStr">
        <is>
          <t>Piscivores</t>
        </is>
      </c>
      <c r="E261" t="n">
        <v>0</v>
      </c>
      <c r="F261" t="n">
        <v>304.388999</v>
      </c>
      <c r="G261" t="n">
        <v>2.268309</v>
      </c>
      <c r="H261" t="n">
        <v>2.300314</v>
      </c>
      <c r="I261" t="n">
        <v>249.259877</v>
      </c>
      <c r="J261" t="n">
        <v>251.428736</v>
      </c>
      <c r="K261" t="n">
        <v>202.148704</v>
      </c>
      <c r="L261" t="n">
        <v>282.597002</v>
      </c>
      <c r="M261" t="n">
        <v>282.597002</v>
      </c>
      <c r="N261" t="n">
        <v>286.033173</v>
      </c>
      <c r="O261" t="n">
        <v>49.797649</v>
      </c>
      <c r="P261" t="n">
        <v>25.643377</v>
      </c>
      <c r="Q261" t="n">
        <v>286.033173</v>
      </c>
      <c r="R261" t="n">
        <v>282.597002</v>
      </c>
      <c r="S261" t="n">
        <v>49.797649</v>
      </c>
      <c r="T261" t="n">
        <v>49.797649</v>
      </c>
      <c r="U261" t="n">
        <v>25.643377</v>
      </c>
      <c r="V261" t="n">
        <v>25.643377</v>
      </c>
      <c r="W261" t="n">
        <v>51.082514</v>
      </c>
      <c r="X261" t="n">
        <v>274.518943</v>
      </c>
    </row>
    <row r="262" ht="21" customHeight="1">
      <c r="A262" t="inlineStr">
        <is>
          <t>Rhincodon typus</t>
        </is>
      </c>
      <c r="D262" s="10" t="inlineStr">
        <is>
          <t>Sharks</t>
        </is>
      </c>
      <c r="E262" t="n">
        <v>0</v>
      </c>
      <c r="F262" t="n">
        <v>1154.744061</v>
      </c>
      <c r="G262" t="n">
        <v>2.745621</v>
      </c>
      <c r="H262" t="n">
        <v>2.742397</v>
      </c>
      <c r="I262" t="n">
        <v>0</v>
      </c>
      <c r="J262" t="n">
        <v>152.583853</v>
      </c>
      <c r="L262" t="n">
        <v>0</v>
      </c>
      <c r="M262" t="n">
        <v>0</v>
      </c>
      <c r="N262" t="n">
        <v>0</v>
      </c>
      <c r="O262" t="n">
        <v>205.199674</v>
      </c>
      <c r="P262" t="n">
        <v>93.831501</v>
      </c>
      <c r="Q262" t="n">
        <v>0</v>
      </c>
      <c r="R262" t="n">
        <v>0</v>
      </c>
      <c r="S262" t="n">
        <v>205.199674</v>
      </c>
      <c r="T262" t="n">
        <v>205.199674</v>
      </c>
      <c r="U262" t="n">
        <v>93.831501</v>
      </c>
      <c r="V262" t="n">
        <v>93.831501</v>
      </c>
      <c r="W262" t="n">
        <v>205.695409</v>
      </c>
      <c r="X262" t="n">
        <v>0</v>
      </c>
    </row>
    <row r="263" ht="21" customHeight="1">
      <c r="A263" t="inlineStr">
        <is>
          <t>Sergestidae</t>
        </is>
      </c>
      <c r="B263" t="n">
        <v>2.93</v>
      </c>
      <c r="C263" t="n">
        <v>85.113804</v>
      </c>
      <c r="D263" s="10" t="inlineStr">
        <is>
          <t>Shrimps</t>
        </is>
      </c>
      <c r="E263" t="n">
        <v>0</v>
      </c>
      <c r="F263" t="n">
        <v>20.606299</v>
      </c>
      <c r="G263" t="n">
        <v>1.542427</v>
      </c>
      <c r="H263" t="n">
        <v>1.561295</v>
      </c>
      <c r="I263" t="n">
        <v>15.075177</v>
      </c>
      <c r="J263" t="n">
        <v>15.075177</v>
      </c>
      <c r="K263" t="n">
        <v>15.060102</v>
      </c>
      <c r="L263" t="n">
        <v>13.927162</v>
      </c>
      <c r="M263" t="n">
        <v>13.927162</v>
      </c>
      <c r="N263" t="n">
        <v>14.183251</v>
      </c>
      <c r="O263" t="n">
        <v>7.969433</v>
      </c>
      <c r="P263" t="n">
        <v>5.681336</v>
      </c>
      <c r="Q263" t="n">
        <v>14.183251</v>
      </c>
      <c r="R263" t="n">
        <v>13.927162</v>
      </c>
      <c r="S263" t="n">
        <v>7.969433</v>
      </c>
      <c r="T263" t="n">
        <v>7.969433</v>
      </c>
      <c r="U263" t="n">
        <v>5.681336</v>
      </c>
      <c r="V263" t="n">
        <v>5.681336</v>
      </c>
      <c r="W263" t="n">
        <v>8.136905</v>
      </c>
      <c r="X263" t="n">
        <v>14.885026</v>
      </c>
    </row>
    <row r="264" ht="21" customHeight="1">
      <c r="A264" t="inlineStr">
        <is>
          <t>Lepidocybium flavobrunneum</t>
        </is>
      </c>
      <c r="D264" s="10" t="inlineStr">
        <is>
          <t>Benthivores/piscivores</t>
        </is>
      </c>
      <c r="E264" t="n">
        <v>0</v>
      </c>
      <c r="F264" t="n">
        <v>136.120059</v>
      </c>
      <c r="G264" t="n">
        <v>2.021353</v>
      </c>
      <c r="H264" t="n">
        <v>2.039787</v>
      </c>
      <c r="I264" t="n">
        <v>36.046055</v>
      </c>
      <c r="J264" t="n">
        <v>36.076344</v>
      </c>
      <c r="K264" t="n">
        <v>35.535199</v>
      </c>
      <c r="L264" t="n">
        <v>34.759886</v>
      </c>
      <c r="M264" t="n">
        <v>34.759886</v>
      </c>
      <c r="N264" t="n">
        <v>35.313702</v>
      </c>
      <c r="O264" t="n">
        <v>13.890783</v>
      </c>
      <c r="P264" t="n">
        <v>8.319739999999999</v>
      </c>
      <c r="Q264" t="n">
        <v>35.313702</v>
      </c>
      <c r="R264" t="n">
        <v>34.759886</v>
      </c>
      <c r="S264" t="n">
        <v>13.890783</v>
      </c>
      <c r="T264" t="n">
        <v>13.890783</v>
      </c>
      <c r="U264" t="n">
        <v>8.319739999999999</v>
      </c>
      <c r="V264" t="n">
        <v>8.319739999999999</v>
      </c>
      <c r="W264" t="n">
        <v>14.220855</v>
      </c>
      <c r="X264" t="n">
        <v>35.767132</v>
      </c>
    </row>
    <row r="265" ht="21" customHeight="1">
      <c r="A265" t="inlineStr">
        <is>
          <t>Acetes</t>
        </is>
      </c>
      <c r="B265" t="n">
        <v>2.7</v>
      </c>
      <c r="C265" t="n">
        <v>50.118723</v>
      </c>
      <c r="D265" s="10" t="inlineStr">
        <is>
          <t>Shrimps</t>
        </is>
      </c>
      <c r="E265" t="n">
        <v>0</v>
      </c>
      <c r="F265" t="n">
        <v>20.606299</v>
      </c>
      <c r="G265" t="n">
        <v>1.542427</v>
      </c>
      <c r="H265" t="n">
        <v>1.561295</v>
      </c>
      <c r="I265" t="n">
        <v>15.075177</v>
      </c>
      <c r="J265" t="n">
        <v>15.075177</v>
      </c>
      <c r="K265" t="n">
        <v>15.060102</v>
      </c>
      <c r="L265" t="n">
        <v>13.927162</v>
      </c>
      <c r="M265" t="n">
        <v>13.927162</v>
      </c>
      <c r="N265" t="n">
        <v>14.183251</v>
      </c>
      <c r="O265" t="n">
        <v>7.969433</v>
      </c>
      <c r="P265" t="n">
        <v>5.681336</v>
      </c>
      <c r="Q265" t="n">
        <v>14.183251</v>
      </c>
      <c r="R265" t="n">
        <v>13.927162</v>
      </c>
      <c r="S265" t="n">
        <v>7.969433</v>
      </c>
      <c r="T265" t="n">
        <v>7.969433</v>
      </c>
      <c r="U265" t="n">
        <v>5.681336</v>
      </c>
      <c r="V265" t="n">
        <v>5.681336</v>
      </c>
      <c r="W265" t="n">
        <v>8.136905</v>
      </c>
      <c r="X265" t="n">
        <v>14.885026</v>
      </c>
    </row>
    <row r="266" ht="21" customHeight="1">
      <c r="A266" t="inlineStr">
        <is>
          <t>Zenopsis nebulosa</t>
        </is>
      </c>
      <c r="B266" t="n">
        <v>3.98</v>
      </c>
      <c r="C266" t="n">
        <v>954.992586</v>
      </c>
      <c r="D266" s="10" t="inlineStr">
        <is>
          <t>Piscivores</t>
        </is>
      </c>
      <c r="E266" t="n">
        <v>0</v>
      </c>
      <c r="F266" t="n">
        <v>304.388999</v>
      </c>
      <c r="G266" t="n">
        <v>2.268309</v>
      </c>
      <c r="H266" t="n">
        <v>2.300314</v>
      </c>
      <c r="I266" t="n">
        <v>249.259877</v>
      </c>
      <c r="J266" t="n">
        <v>251.428736</v>
      </c>
      <c r="K266" t="n">
        <v>202.148704</v>
      </c>
      <c r="L266" t="n">
        <v>282.597002</v>
      </c>
      <c r="M266" t="n">
        <v>282.597002</v>
      </c>
      <c r="N266" t="n">
        <v>286.033173</v>
      </c>
      <c r="O266" t="n">
        <v>49.797649</v>
      </c>
      <c r="P266" t="n">
        <v>25.643377</v>
      </c>
      <c r="Q266" t="n">
        <v>286.033173</v>
      </c>
      <c r="R266" t="n">
        <v>282.597002</v>
      </c>
      <c r="S266" t="n">
        <v>49.797649</v>
      </c>
      <c r="T266" t="n">
        <v>49.797649</v>
      </c>
      <c r="U266" t="n">
        <v>25.643377</v>
      </c>
      <c r="V266" t="n">
        <v>25.643377</v>
      </c>
      <c r="W266" t="n">
        <v>51.082514</v>
      </c>
      <c r="X266" t="n">
        <v>274.518943</v>
      </c>
    </row>
    <row r="267" ht="21" customHeight="1">
      <c r="A267" t="inlineStr">
        <is>
          <t>Carcharhinus longimanus</t>
        </is>
      </c>
      <c r="B267" t="n">
        <v>4.16</v>
      </c>
      <c r="C267" t="n">
        <v>1445.439771</v>
      </c>
      <c r="D267" s="10" t="inlineStr">
        <is>
          <t>Sharks</t>
        </is>
      </c>
      <c r="E267" t="n">
        <v>0</v>
      </c>
      <c r="F267" t="n">
        <v>1154.744061</v>
      </c>
      <c r="G267" t="n">
        <v>2.745621</v>
      </c>
      <c r="H267" t="n">
        <v>2.742397</v>
      </c>
      <c r="I267" t="n">
        <v>0</v>
      </c>
      <c r="J267" t="n">
        <v>152.583853</v>
      </c>
      <c r="L267" t="n">
        <v>0</v>
      </c>
      <c r="M267" t="n">
        <v>0</v>
      </c>
      <c r="N267" t="n">
        <v>0</v>
      </c>
      <c r="O267" t="n">
        <v>205.199674</v>
      </c>
      <c r="P267" t="n">
        <v>93.831501</v>
      </c>
      <c r="Q267" t="n">
        <v>0</v>
      </c>
      <c r="R267" t="n">
        <v>0</v>
      </c>
      <c r="S267" t="n">
        <v>205.199674</v>
      </c>
      <c r="T267" t="n">
        <v>205.199674</v>
      </c>
      <c r="U267" t="n">
        <v>93.831501</v>
      </c>
      <c r="V267" t="n">
        <v>93.831501</v>
      </c>
      <c r="W267" t="n">
        <v>205.695409</v>
      </c>
      <c r="X267" t="n">
        <v>0</v>
      </c>
    </row>
    <row r="268" ht="21" customHeight="1">
      <c r="A268" t="inlineStr">
        <is>
          <t>Lutjanus</t>
        </is>
      </c>
      <c r="B268" t="n">
        <v>4.02</v>
      </c>
      <c r="C268" t="n">
        <v>1047.128548</v>
      </c>
      <c r="D268" s="10" t="inlineStr">
        <is>
          <t>Piscivores</t>
        </is>
      </c>
      <c r="E268" t="n">
        <v>0</v>
      </c>
      <c r="F268" t="n">
        <v>304.388999</v>
      </c>
      <c r="G268" t="n">
        <v>2.268309</v>
      </c>
      <c r="H268" t="n">
        <v>2.300314</v>
      </c>
      <c r="I268" t="n">
        <v>249.259877</v>
      </c>
      <c r="J268" t="n">
        <v>251.428736</v>
      </c>
      <c r="K268" t="n">
        <v>202.148704</v>
      </c>
      <c r="L268" t="n">
        <v>282.597002</v>
      </c>
      <c r="M268" t="n">
        <v>282.597002</v>
      </c>
      <c r="N268" t="n">
        <v>286.033173</v>
      </c>
      <c r="O268" t="n">
        <v>49.797649</v>
      </c>
      <c r="P268" t="n">
        <v>25.643377</v>
      </c>
      <c r="Q268" t="n">
        <v>286.033173</v>
      </c>
      <c r="R268" t="n">
        <v>282.597002</v>
      </c>
      <c r="S268" t="n">
        <v>49.797649</v>
      </c>
      <c r="T268" t="n">
        <v>49.797649</v>
      </c>
      <c r="U268" t="n">
        <v>25.643377</v>
      </c>
      <c r="V268" t="n">
        <v>25.643377</v>
      </c>
      <c r="W268" t="n">
        <v>51.082514</v>
      </c>
      <c r="X268" t="n">
        <v>274.518943</v>
      </c>
    </row>
    <row r="269" ht="21" customHeight="1">
      <c r="A269" t="inlineStr">
        <is>
          <t>Alopias</t>
        </is>
      </c>
      <c r="B269" t="n">
        <v>4.5</v>
      </c>
      <c r="C269" t="n">
        <v>3162.27766</v>
      </c>
      <c r="D269" s="10" t="inlineStr">
        <is>
          <t>Sharks</t>
        </is>
      </c>
      <c r="E269" t="n">
        <v>0</v>
      </c>
      <c r="F269" t="n">
        <v>1154.744061</v>
      </c>
      <c r="G269" t="n">
        <v>2.745621</v>
      </c>
      <c r="H269" t="n">
        <v>2.742397</v>
      </c>
      <c r="I269" t="n">
        <v>0</v>
      </c>
      <c r="J269" t="n">
        <v>152.583853</v>
      </c>
      <c r="L269" t="n">
        <v>0</v>
      </c>
      <c r="M269" t="n">
        <v>0</v>
      </c>
      <c r="N269" t="n">
        <v>0</v>
      </c>
      <c r="O269" t="n">
        <v>205.199674</v>
      </c>
      <c r="P269" t="n">
        <v>93.831501</v>
      </c>
      <c r="Q269" t="n">
        <v>0</v>
      </c>
      <c r="R269" t="n">
        <v>0</v>
      </c>
      <c r="S269" t="n">
        <v>205.199674</v>
      </c>
      <c r="T269" t="n">
        <v>205.199674</v>
      </c>
      <c r="U269" t="n">
        <v>93.831501</v>
      </c>
      <c r="V269" t="n">
        <v>93.831501</v>
      </c>
      <c r="W269" t="n">
        <v>205.695409</v>
      </c>
      <c r="X269" t="n">
        <v>0</v>
      </c>
    </row>
    <row r="270" ht="21" customHeight="1">
      <c r="A270" t="inlineStr">
        <is>
          <t>Holothuriidae</t>
        </is>
      </c>
      <c r="B270" t="n">
        <v>2</v>
      </c>
      <c r="C270" t="n">
        <v>10</v>
      </c>
      <c r="D270" s="10" t="inlineStr">
        <is>
          <t>Echinoderms</t>
        </is>
      </c>
      <c r="E270" t="n">
        <v>0</v>
      </c>
      <c r="F270" t="n">
        <v>14.362944</v>
      </c>
      <c r="G270" t="n">
        <v>1.464712</v>
      </c>
      <c r="H270" t="n">
        <v>1.389744</v>
      </c>
      <c r="I270" t="n">
        <v>47.528559</v>
      </c>
      <c r="J270" t="n">
        <v>47.528559</v>
      </c>
      <c r="K270" t="n">
        <v>8.650198</v>
      </c>
      <c r="L270" t="n">
        <v>98169.820373</v>
      </c>
      <c r="M270" t="n">
        <v>98169.820373</v>
      </c>
      <c r="N270" t="n">
        <v>99766.36788799999</v>
      </c>
      <c r="O270" t="n">
        <v>7.082345</v>
      </c>
      <c r="P270" t="n">
        <v>4.85352</v>
      </c>
      <c r="Q270" t="n">
        <v>99766.36788799999</v>
      </c>
      <c r="R270" t="n">
        <v>98169.820373</v>
      </c>
      <c r="S270" t="n">
        <v>7.082345</v>
      </c>
      <c r="T270" t="n">
        <v>7.082345</v>
      </c>
      <c r="U270" t="n">
        <v>4.85352</v>
      </c>
      <c r="V270" t="n">
        <v>4.85352</v>
      </c>
      <c r="W270" t="n">
        <v>7.237529</v>
      </c>
      <c r="X270" t="n">
        <v>1019.755013</v>
      </c>
    </row>
    <row r="271" ht="21" customHeight="1">
      <c r="A271" t="inlineStr">
        <is>
          <t>Tripneustes gratilla</t>
        </is>
      </c>
      <c r="B271" t="n">
        <v>2</v>
      </c>
      <c r="C271" t="n">
        <v>10</v>
      </c>
      <c r="D271" s="10" t="inlineStr">
        <is>
          <t>Echinoderms</t>
        </is>
      </c>
      <c r="E271" t="n">
        <v>0</v>
      </c>
      <c r="F271" t="n">
        <v>14.362944</v>
      </c>
      <c r="G271" t="n">
        <v>1.464712</v>
      </c>
      <c r="H271" t="n">
        <v>1.389744</v>
      </c>
      <c r="I271" t="n">
        <v>47.528559</v>
      </c>
      <c r="J271" t="n">
        <v>47.528559</v>
      </c>
      <c r="K271" t="n">
        <v>8.650198</v>
      </c>
      <c r="L271" t="n">
        <v>98169.820373</v>
      </c>
      <c r="M271" t="n">
        <v>98169.820373</v>
      </c>
      <c r="N271" t="n">
        <v>99766.36788799999</v>
      </c>
      <c r="O271" t="n">
        <v>7.082345</v>
      </c>
      <c r="P271" t="n">
        <v>4.85352</v>
      </c>
      <c r="Q271" t="n">
        <v>99766.36788799999</v>
      </c>
      <c r="R271" t="n">
        <v>98169.820373</v>
      </c>
      <c r="S271" t="n">
        <v>7.082345</v>
      </c>
      <c r="T271" t="n">
        <v>7.082345</v>
      </c>
      <c r="U271" t="n">
        <v>4.85352</v>
      </c>
      <c r="V271" t="n">
        <v>4.85352</v>
      </c>
      <c r="W271" t="n">
        <v>7.237529</v>
      </c>
      <c r="X271" t="n">
        <v>1019.755013</v>
      </c>
    </row>
    <row r="272" ht="21" customHeight="1">
      <c r="A272" t="inlineStr">
        <is>
          <t>Chionoecetes japonicus</t>
        </is>
      </c>
      <c r="B272" t="n">
        <v>3.74</v>
      </c>
      <c r="C272" t="n">
        <v>549.540874</v>
      </c>
      <c r="D272" s="10" t="inlineStr">
        <is>
          <t>Crabs</t>
        </is>
      </c>
      <c r="E272" t="n">
        <v>0</v>
      </c>
      <c r="F272" t="n">
        <v>21.002175</v>
      </c>
      <c r="G272" t="n">
        <v>1.546636</v>
      </c>
      <c r="H272" t="n">
        <v>1.565985</v>
      </c>
      <c r="I272" t="n">
        <v>12.039474</v>
      </c>
      <c r="J272" t="n">
        <v>12.039474</v>
      </c>
      <c r="K272" t="n">
        <v>11.028158</v>
      </c>
      <c r="L272" t="n">
        <v>11.032425</v>
      </c>
      <c r="M272" t="n">
        <v>11.032425</v>
      </c>
      <c r="N272" t="n">
        <v>11.257068</v>
      </c>
      <c r="O272" t="n">
        <v>7.495998</v>
      </c>
      <c r="P272" t="n">
        <v>5.212079</v>
      </c>
      <c r="Q272" t="n">
        <v>11.257068</v>
      </c>
      <c r="R272" t="n">
        <v>11.032425</v>
      </c>
      <c r="S272" t="n">
        <v>7.495998</v>
      </c>
      <c r="T272" t="n">
        <v>7.495998</v>
      </c>
      <c r="U272" t="n">
        <v>5.212079</v>
      </c>
      <c r="V272" t="n">
        <v>5.212079</v>
      </c>
      <c r="W272" t="n">
        <v>7.53635</v>
      </c>
      <c r="X272" t="n">
        <v>11.035506</v>
      </c>
    </row>
    <row r="273" ht="21" customHeight="1">
      <c r="A273" t="inlineStr">
        <is>
          <t>Upeneus</t>
        </is>
      </c>
      <c r="D273" s="10" t="inlineStr">
        <is>
          <t>Benthivores</t>
        </is>
      </c>
      <c r="E273" t="n">
        <v>0</v>
      </c>
      <c r="F273" t="n">
        <v>67.81478300000001</v>
      </c>
      <c r="G273" t="n">
        <v>1.829368</v>
      </c>
      <c r="H273" t="n">
        <v>1.84033</v>
      </c>
      <c r="I273" t="n">
        <v>33.988491</v>
      </c>
      <c r="J273" t="n">
        <v>35.780255</v>
      </c>
      <c r="K273" t="n">
        <v>35.601354</v>
      </c>
      <c r="L273" t="n">
        <v>385.228839</v>
      </c>
      <c r="M273" t="n">
        <v>385.228839</v>
      </c>
      <c r="N273" t="n">
        <v>391.588003</v>
      </c>
      <c r="O273" t="n">
        <v>16.66963</v>
      </c>
      <c r="P273" t="n">
        <v>9.973879999999999</v>
      </c>
      <c r="Q273" t="n">
        <v>391.588003</v>
      </c>
      <c r="R273" t="n">
        <v>385.228839</v>
      </c>
      <c r="S273" t="n">
        <v>16.66963</v>
      </c>
      <c r="T273" t="n">
        <v>16.66963</v>
      </c>
      <c r="U273" t="n">
        <v>9.973879999999999</v>
      </c>
      <c r="V273" t="n">
        <v>9.973879999999999</v>
      </c>
      <c r="W273" t="n">
        <v>17.246706</v>
      </c>
      <c r="X273" t="n">
        <v>42.474741</v>
      </c>
    </row>
    <row r="274" ht="21" customHeight="1">
      <c r="A274" t="inlineStr">
        <is>
          <t>Echinozoa</t>
        </is>
      </c>
      <c r="D274" s="10" t="inlineStr">
        <is>
          <t>Echinoderms</t>
        </is>
      </c>
      <c r="E274" t="n">
        <v>0</v>
      </c>
      <c r="F274" t="n">
        <v>14.362944</v>
      </c>
      <c r="G274" t="n">
        <v>1.464712</v>
      </c>
      <c r="H274" t="n">
        <v>1.389744</v>
      </c>
      <c r="I274" t="n">
        <v>47.528559</v>
      </c>
      <c r="J274" t="n">
        <v>47.528559</v>
      </c>
      <c r="K274" t="n">
        <v>8.650198</v>
      </c>
      <c r="L274" t="n">
        <v>98169.820373</v>
      </c>
      <c r="M274" t="n">
        <v>98169.820373</v>
      </c>
      <c r="N274" t="n">
        <v>99766.36788799999</v>
      </c>
      <c r="O274" t="n">
        <v>7.082345</v>
      </c>
      <c r="P274" t="n">
        <v>4.85352</v>
      </c>
      <c r="Q274" t="n">
        <v>99766.36788799999</v>
      </c>
      <c r="R274" t="n">
        <v>98169.820373</v>
      </c>
      <c r="S274" t="n">
        <v>7.082345</v>
      </c>
      <c r="T274" t="n">
        <v>7.082345</v>
      </c>
      <c r="U274" t="n">
        <v>4.85352</v>
      </c>
      <c r="V274" t="n">
        <v>4.85352</v>
      </c>
      <c r="W274" t="n">
        <v>7.237529</v>
      </c>
      <c r="X274" t="n">
        <v>1019.755013</v>
      </c>
    </row>
    <row r="275" ht="21" customHeight="1">
      <c r="A275" t="inlineStr">
        <is>
          <t>Rhopilema hispidum</t>
        </is>
      </c>
      <c r="B275" t="n">
        <v>3.46</v>
      </c>
      <c r="C275" t="n">
        <v>288.40315</v>
      </c>
      <c r="D275" s="10" t="inlineStr">
        <is>
          <t>Other invertebrates</t>
        </is>
      </c>
      <c r="E275" t="n">
        <v>0</v>
      </c>
      <c r="F275" t="n">
        <v>10</v>
      </c>
      <c r="G275" t="n">
        <v>1.39069</v>
      </c>
      <c r="H275" t="n">
        <v>1.39069</v>
      </c>
      <c r="I275" t="n">
        <v>14.61039</v>
      </c>
      <c r="J275" t="n">
        <v>14.61039</v>
      </c>
      <c r="K275" t="n">
        <v>9</v>
      </c>
      <c r="L275" t="n">
        <v>13.760094</v>
      </c>
      <c r="M275" t="n">
        <v>13.760094</v>
      </c>
      <c r="N275" t="n">
        <v>13.94977</v>
      </c>
      <c r="O275" t="n">
        <v>9.664044000000001</v>
      </c>
      <c r="P275" t="n">
        <v>7.828167</v>
      </c>
      <c r="Q275" t="n">
        <v>13.94977</v>
      </c>
      <c r="R275" t="n">
        <v>13.760094</v>
      </c>
      <c r="S275" t="n">
        <v>9.664044000000001</v>
      </c>
      <c r="T275" t="n">
        <v>9.664044000000001</v>
      </c>
      <c r="U275" t="n">
        <v>7.828167</v>
      </c>
      <c r="V275" t="n">
        <v>7.828167</v>
      </c>
      <c r="W275" t="n">
        <v>9.661211</v>
      </c>
      <c r="X275" t="n">
        <v>13.78907</v>
      </c>
    </row>
    <row r="276" ht="21" customHeight="1">
      <c r="A276" t="inlineStr">
        <is>
          <t>Sphyrna</t>
        </is>
      </c>
      <c r="B276" t="n">
        <v>4.2</v>
      </c>
      <c r="C276" t="n">
        <v>1584.893192</v>
      </c>
      <c r="D276" s="10" t="inlineStr">
        <is>
          <t>Sharks</t>
        </is>
      </c>
      <c r="E276" t="n">
        <v>0</v>
      </c>
      <c r="F276" t="n">
        <v>1154.744061</v>
      </c>
      <c r="G276" t="n">
        <v>2.745621</v>
      </c>
      <c r="H276" t="n">
        <v>2.742397</v>
      </c>
      <c r="I276" t="n">
        <v>0</v>
      </c>
      <c r="J276" t="n">
        <v>152.583853</v>
      </c>
      <c r="L276" t="n">
        <v>0</v>
      </c>
      <c r="M276" t="n">
        <v>0</v>
      </c>
      <c r="N276" t="n">
        <v>0</v>
      </c>
      <c r="O276" t="n">
        <v>205.199674</v>
      </c>
      <c r="P276" t="n">
        <v>93.831501</v>
      </c>
      <c r="Q276" t="n">
        <v>0</v>
      </c>
      <c r="R276" t="n">
        <v>0</v>
      </c>
      <c r="S276" t="n">
        <v>205.199674</v>
      </c>
      <c r="T276" t="n">
        <v>205.199674</v>
      </c>
      <c r="U276" t="n">
        <v>93.831501</v>
      </c>
      <c r="V276" t="n">
        <v>93.831501</v>
      </c>
      <c r="W276" t="n">
        <v>205.695409</v>
      </c>
      <c r="X276" t="n">
        <v>0</v>
      </c>
    </row>
    <row r="277" ht="21" customHeight="1">
      <c r="A277" t="inlineStr">
        <is>
          <t>Isurus oxyrinchus</t>
        </is>
      </c>
      <c r="B277" t="n">
        <v>4.5</v>
      </c>
      <c r="C277" t="n">
        <v>3162.27766</v>
      </c>
      <c r="D277" s="10" t="inlineStr">
        <is>
          <t>Sharks</t>
        </is>
      </c>
      <c r="E277" t="n">
        <v>0</v>
      </c>
      <c r="F277" t="n">
        <v>1154.744061</v>
      </c>
      <c r="G277" t="n">
        <v>2.745621</v>
      </c>
      <c r="H277" t="n">
        <v>2.742397</v>
      </c>
      <c r="I277" t="n">
        <v>0</v>
      </c>
      <c r="J277" t="n">
        <v>152.583853</v>
      </c>
      <c r="L277" t="n">
        <v>0</v>
      </c>
      <c r="M277" t="n">
        <v>0</v>
      </c>
      <c r="N277" t="n">
        <v>0</v>
      </c>
      <c r="O277" t="n">
        <v>205.199674</v>
      </c>
      <c r="P277" t="n">
        <v>93.831501</v>
      </c>
      <c r="Q277" t="n">
        <v>0</v>
      </c>
      <c r="R277" t="n">
        <v>0</v>
      </c>
      <c r="S277" t="n">
        <v>205.199674</v>
      </c>
      <c r="T277" t="n">
        <v>205.199674</v>
      </c>
      <c r="U277" t="n">
        <v>93.831501</v>
      </c>
      <c r="V277" t="n">
        <v>93.831501</v>
      </c>
      <c r="W277" t="n">
        <v>205.695409</v>
      </c>
      <c r="X277" t="n">
        <v>0</v>
      </c>
    </row>
    <row r="278" ht="21" customHeight="1">
      <c r="A278" t="inlineStr">
        <is>
          <t>Pinctada</t>
        </is>
      </c>
      <c r="D278" s="10" t="inlineStr">
        <is>
          <t>Mollusks</t>
        </is>
      </c>
      <c r="E278" t="n">
        <v>0</v>
      </c>
      <c r="F278" t="n">
        <v>14.497407</v>
      </c>
      <c r="G278" t="n">
        <v>1.466668</v>
      </c>
      <c r="H278" t="n">
        <v>1.466497</v>
      </c>
      <c r="I278" t="n">
        <v>17.850747</v>
      </c>
      <c r="J278" t="n">
        <v>17.850747</v>
      </c>
      <c r="K278" t="n">
        <v>5.355224</v>
      </c>
      <c r="L278" t="n">
        <v>17.186608</v>
      </c>
      <c r="M278" t="n">
        <v>17.186608</v>
      </c>
      <c r="N278" t="n">
        <v>17.598965</v>
      </c>
      <c r="O278" t="n">
        <v>3.995111</v>
      </c>
      <c r="P278" t="n">
        <v>2.967513</v>
      </c>
      <c r="Q278" t="n">
        <v>17.598965</v>
      </c>
      <c r="R278" t="n">
        <v>17.186608</v>
      </c>
      <c r="S278" t="n">
        <v>3.995111</v>
      </c>
      <c r="T278" t="n">
        <v>3.995111</v>
      </c>
      <c r="U278" t="n">
        <v>2.967513</v>
      </c>
      <c r="V278" t="n">
        <v>2.967513</v>
      </c>
      <c r="W278" t="n">
        <v>3.990277</v>
      </c>
      <c r="X278" t="n">
        <v>17.941416</v>
      </c>
    </row>
    <row r="279" ht="36" customHeight="1">
      <c r="A279" t="inlineStr">
        <is>
          <t>Scombroidei</t>
        </is>
      </c>
      <c r="D279" s="10" t="inlineStr">
        <is>
          <t>Piscivores | Planktivores/Benthivores</t>
        </is>
      </c>
      <c r="E279" t="n">
        <v>0</v>
      </c>
      <c r="F279" t="n">
        <v>182.29247</v>
      </c>
      <c r="G279" t="n">
        <v>2.062072</v>
      </c>
      <c r="H279" t="n">
        <v>2.078316</v>
      </c>
      <c r="I279" t="n">
        <v>177.795024</v>
      </c>
      <c r="J279" t="n">
        <v>178.723793</v>
      </c>
      <c r="K279" t="n">
        <v>151.652043</v>
      </c>
      <c r="L279" t="n">
        <v>188.965648</v>
      </c>
      <c r="M279" t="n">
        <v>188.965648</v>
      </c>
      <c r="N279" t="n">
        <v>191.131567</v>
      </c>
      <c r="O279" t="n">
        <v>42.720774</v>
      </c>
      <c r="P279" t="n">
        <v>24.808093</v>
      </c>
      <c r="Q279" t="n">
        <v>191.131567</v>
      </c>
      <c r="R279" t="n">
        <v>188.965648</v>
      </c>
      <c r="S279" t="n">
        <v>42.720774</v>
      </c>
      <c r="T279" t="n">
        <v>42.720774</v>
      </c>
      <c r="U279" t="n">
        <v>24.808093</v>
      </c>
      <c r="V279" t="n">
        <v>24.808093</v>
      </c>
      <c r="W279" t="n">
        <v>43.660821</v>
      </c>
      <c r="X279" t="n">
        <v>187.451422</v>
      </c>
    </row>
    <row r="280" ht="21" customHeight="1">
      <c r="A280" t="inlineStr">
        <is>
          <t>Caranx</t>
        </is>
      </c>
      <c r="D280" s="10" t="inlineStr">
        <is>
          <t>Omnivores</t>
        </is>
      </c>
      <c r="E280" t="n">
        <v>0</v>
      </c>
      <c r="F280" t="n">
        <v>131.221463</v>
      </c>
      <c r="G280" t="n">
        <v>2.01077</v>
      </c>
      <c r="H280" t="n">
        <v>2.036134</v>
      </c>
      <c r="I280" t="n">
        <v>66.04435700000001</v>
      </c>
      <c r="J280" t="n">
        <v>68.25582300000001</v>
      </c>
      <c r="K280" t="n">
        <v>68.187568</v>
      </c>
      <c r="L280" t="n">
        <v>72.544996</v>
      </c>
      <c r="M280" t="n">
        <v>72.544996</v>
      </c>
      <c r="N280" t="n">
        <v>73.57283200000001</v>
      </c>
      <c r="O280" t="n">
        <v>17.500018</v>
      </c>
      <c r="P280" t="n">
        <v>10.032554</v>
      </c>
      <c r="Q280" t="n">
        <v>73.57283200000001</v>
      </c>
      <c r="R280" t="n">
        <v>72.544996</v>
      </c>
      <c r="S280" t="n">
        <v>17.500018</v>
      </c>
      <c r="T280" t="n">
        <v>17.500018</v>
      </c>
      <c r="U280" t="n">
        <v>10.032554</v>
      </c>
      <c r="V280" t="n">
        <v>10.032554</v>
      </c>
      <c r="W280" t="n">
        <v>17.704629</v>
      </c>
      <c r="X280" t="n">
        <v>72.854687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Internal sources: primary producers and detritus; excludes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156894105.791</v>
      </c>
      <c r="D10" t="n">
        <v>168485284.046</v>
      </c>
      <c r="E10" t="n">
        <v>184419350.139</v>
      </c>
      <c r="F10" t="n">
        <v>183378180.352</v>
      </c>
      <c r="G10" t="n">
        <v>196736637.417</v>
      </c>
      <c r="H10" t="n">
        <v>207238977.395</v>
      </c>
      <c r="I10" t="n">
        <v>226186253.613</v>
      </c>
      <c r="J10" t="n">
        <v>232068512.647</v>
      </c>
      <c r="K10" t="n">
        <v>238204364.1</v>
      </c>
      <c r="L10" t="n">
        <v>233004075.8</v>
      </c>
      <c r="M10" t="n">
        <v>241843186.118</v>
      </c>
      <c r="N10" t="n">
        <v>238774615.846</v>
      </c>
      <c r="O10" t="n">
        <v>250601587.687</v>
      </c>
      <c r="P10" t="n">
        <v>239627915.596</v>
      </c>
      <c r="Q10" t="n">
        <v>232532258.088</v>
      </c>
      <c r="R10" t="n">
        <v>248769599.969</v>
      </c>
      <c r="S10" t="n">
        <v>257301911.246</v>
      </c>
      <c r="T10" t="n">
        <v>257899130.052</v>
      </c>
      <c r="U10" t="n">
        <v>266527231.954</v>
      </c>
      <c r="V10" t="n">
        <v>271020668.294</v>
      </c>
      <c r="W10" t="n">
        <v>289313758.498</v>
      </c>
      <c r="X10" t="n">
        <v>297457941.554</v>
      </c>
      <c r="Y10" t="n">
        <v>319168487.965</v>
      </c>
      <c r="Z10" t="n">
        <v>352758437.263</v>
      </c>
      <c r="AA10" t="n">
        <v>376869141.981</v>
      </c>
      <c r="AB10" t="n">
        <v>373177805.328</v>
      </c>
      <c r="AC10" t="n">
        <v>381834305.659</v>
      </c>
      <c r="AD10" t="n">
        <v>416923424.707</v>
      </c>
      <c r="AE10" t="n">
        <v>440638573.011</v>
      </c>
      <c r="AF10" t="n">
        <v>442555656.246</v>
      </c>
      <c r="AG10" t="n">
        <v>454704295.004</v>
      </c>
      <c r="AH10" t="n">
        <v>492741376.456</v>
      </c>
      <c r="AI10" t="n">
        <v>499525383.265</v>
      </c>
      <c r="AJ10" t="n">
        <v>512760761.758</v>
      </c>
      <c r="AK10" t="n">
        <v>559355415.841</v>
      </c>
      <c r="AL10" t="n">
        <v>545967838.774</v>
      </c>
      <c r="AM10" t="n">
        <v>591268775.275</v>
      </c>
      <c r="AN10" t="n">
        <v>589982021.239</v>
      </c>
      <c r="AO10" t="n">
        <v>618266643.836</v>
      </c>
      <c r="AP10" t="n">
        <v>610820063.5319999</v>
      </c>
      <c r="AQ10" t="n">
        <v>617564337.001</v>
      </c>
      <c r="AR10" t="n">
        <v>585111549.617</v>
      </c>
      <c r="AS10" t="n">
        <v>547985274.1799999</v>
      </c>
      <c r="AT10" t="n">
        <v>546418674.586</v>
      </c>
      <c r="AU10" t="n">
        <v>564308768.119</v>
      </c>
      <c r="AV10" t="n">
        <v>596013101.562</v>
      </c>
      <c r="AW10" t="n">
        <v>582060125.668</v>
      </c>
      <c r="AX10" t="n">
        <v>597241515.187</v>
      </c>
      <c r="AY10" t="n">
        <v>610122152.857</v>
      </c>
      <c r="AZ10" t="n">
        <v>571595113.224</v>
      </c>
      <c r="BA10" t="n">
        <v>564910572.178</v>
      </c>
      <c r="BB10" t="n">
        <v>573905990.9400001</v>
      </c>
      <c r="BC10" t="n">
        <v>563987259.923</v>
      </c>
      <c r="BD10" t="n">
        <v>591052513.716</v>
      </c>
      <c r="BE10" t="n">
        <v>614036003.6109999</v>
      </c>
      <c r="BF10" t="n">
        <v>601455490.266</v>
      </c>
      <c r="BG10" t="n">
        <v>614471093.034</v>
      </c>
      <c r="BH10" t="n">
        <v>609762882.846</v>
      </c>
      <c r="BI10" t="n">
        <v>635122718.023</v>
      </c>
      <c r="BJ10" t="n">
        <v>621337670.1950001</v>
      </c>
      <c r="BK10" t="n">
        <v>628108260.223</v>
      </c>
      <c r="BL10" t="n">
        <v>705018248.5829999</v>
      </c>
      <c r="BM10" t="n">
        <v>712302940.813</v>
      </c>
      <c r="BN10" t="n">
        <v>704261243.5190001</v>
      </c>
      <c r="BO10" t="n">
        <v>743111553.318</v>
      </c>
      <c r="BP10" t="n">
        <v>685878627.929</v>
      </c>
      <c r="BQ10" t="n">
        <v>665081802.29</v>
      </c>
      <c r="BR10" t="n">
        <v>640472181.9579999</v>
      </c>
      <c r="BS10" t="n">
        <v>629618995.245</v>
      </c>
      <c r="BT10" t="n">
        <v>651345591.489</v>
      </c>
    </row>
    <row r="11">
      <c r="A11" t="inlineStr">
        <is>
          <t>SPPR_1995_TEmean</t>
        </is>
      </c>
      <c r="B11" t="inlineStr">
        <is>
          <t>ok</t>
        </is>
      </c>
      <c r="C11" t="n">
        <v>2248755.37</v>
      </c>
      <c r="D11" t="n">
        <v>2437575.987</v>
      </c>
      <c r="E11" t="n">
        <v>2593143.587</v>
      </c>
      <c r="F11" t="n">
        <v>2643839.751</v>
      </c>
      <c r="G11" t="n">
        <v>2845065.634</v>
      </c>
      <c r="H11" t="n">
        <v>2997217.616</v>
      </c>
      <c r="I11" t="n">
        <v>3273985.211</v>
      </c>
      <c r="J11" t="n">
        <v>3477329.186</v>
      </c>
      <c r="K11" t="n">
        <v>3568141.607</v>
      </c>
      <c r="L11" t="n">
        <v>3546957.311</v>
      </c>
      <c r="M11" t="n">
        <v>3645076.195</v>
      </c>
      <c r="N11" t="n">
        <v>3783362.228</v>
      </c>
      <c r="O11" t="n">
        <v>3913911.289</v>
      </c>
      <c r="P11" t="n">
        <v>3753410.633</v>
      </c>
      <c r="Q11" t="n">
        <v>3720131.252</v>
      </c>
      <c r="R11" t="n">
        <v>3969951.023</v>
      </c>
      <c r="S11" t="n">
        <v>4094923.057</v>
      </c>
      <c r="T11" t="n">
        <v>4157725.497</v>
      </c>
      <c r="U11" t="n">
        <v>4388897.895</v>
      </c>
      <c r="V11" t="n">
        <v>4478790.822</v>
      </c>
      <c r="W11" t="n">
        <v>4731013.768</v>
      </c>
      <c r="X11" t="n">
        <v>4842478.988</v>
      </c>
      <c r="Y11" t="n">
        <v>5126586.965</v>
      </c>
      <c r="Z11" t="n">
        <v>5706365.728</v>
      </c>
      <c r="AA11" t="n">
        <v>6075781.622</v>
      </c>
      <c r="AB11" t="n">
        <v>6265172.789</v>
      </c>
      <c r="AC11" t="n">
        <v>6496680.64</v>
      </c>
      <c r="AD11" t="n">
        <v>7171009.502</v>
      </c>
      <c r="AE11" t="n">
        <v>7736593.343</v>
      </c>
      <c r="AF11" t="n">
        <v>7672048.031</v>
      </c>
      <c r="AG11" t="n">
        <v>7798203.712</v>
      </c>
      <c r="AH11" t="n">
        <v>8436150.445</v>
      </c>
      <c r="AI11" t="n">
        <v>8674523.893999999</v>
      </c>
      <c r="AJ11" t="n">
        <v>9121109.09</v>
      </c>
      <c r="AK11" t="n">
        <v>9904341.925000001</v>
      </c>
      <c r="AL11" t="n">
        <v>9727447.965</v>
      </c>
      <c r="AM11" t="n">
        <v>10661717.718</v>
      </c>
      <c r="AN11" t="n">
        <v>10531473.825</v>
      </c>
      <c r="AO11" t="n">
        <v>11129520.63</v>
      </c>
      <c r="AP11" t="n">
        <v>10827190.568</v>
      </c>
      <c r="AQ11" t="n">
        <v>10810077.448</v>
      </c>
      <c r="AR11" t="n">
        <v>9991253.118000001</v>
      </c>
      <c r="AS11" t="n">
        <v>9405158.304</v>
      </c>
      <c r="AT11" t="n">
        <v>9567972.300000001</v>
      </c>
      <c r="AU11" t="n">
        <v>9871834.617000001</v>
      </c>
      <c r="AV11" t="n">
        <v>10358779.649</v>
      </c>
      <c r="AW11" t="n">
        <v>9955905.835999999</v>
      </c>
      <c r="AX11" t="n">
        <v>10330180.952</v>
      </c>
      <c r="AY11" t="n">
        <v>10361009.174</v>
      </c>
      <c r="AZ11" t="n">
        <v>9852273.848999999</v>
      </c>
      <c r="BA11" t="n">
        <v>9597581.655999999</v>
      </c>
      <c r="BB11" t="n">
        <v>9749930.77</v>
      </c>
      <c r="BC11" t="n">
        <v>9517646.339</v>
      </c>
      <c r="BD11" t="n">
        <v>10023137.333</v>
      </c>
      <c r="BE11" t="n">
        <v>10298978.685</v>
      </c>
      <c r="BF11" t="n">
        <v>10180308.891</v>
      </c>
      <c r="BG11" t="n">
        <v>10211903.968</v>
      </c>
      <c r="BH11" t="n">
        <v>10036534.626</v>
      </c>
      <c r="BI11" t="n">
        <v>10453415.251</v>
      </c>
      <c r="BJ11" t="n">
        <v>10129129.148</v>
      </c>
      <c r="BK11" t="n">
        <v>10251328.029</v>
      </c>
      <c r="BL11" t="n">
        <v>11200545.549</v>
      </c>
      <c r="BM11" t="n">
        <v>11330664.191</v>
      </c>
      <c r="BN11" t="n">
        <v>11145152.084</v>
      </c>
      <c r="BO11" t="n">
        <v>11914975.779</v>
      </c>
      <c r="BP11" t="n">
        <v>11024394.838</v>
      </c>
      <c r="BQ11" t="n">
        <v>10634962.336</v>
      </c>
      <c r="BR11" t="n">
        <v>10346084.392</v>
      </c>
      <c r="BS11" t="n">
        <v>10213458.285</v>
      </c>
      <c r="BT11" t="n">
        <v>10737690.653</v>
      </c>
    </row>
    <row r="12">
      <c r="A12" t="inlineStr">
        <is>
          <t>Ulanowicz_globalTEmean</t>
        </is>
      </c>
      <c r="B12" t="inlineStr">
        <is>
          <t>ok</t>
        </is>
      </c>
      <c r="C12" t="n">
        <v>2254191.713</v>
      </c>
      <c r="D12" t="n">
        <v>2442427.196</v>
      </c>
      <c r="E12" t="n">
        <v>2597860.248</v>
      </c>
      <c r="F12" t="n">
        <v>2648550.95</v>
      </c>
      <c r="G12" t="n">
        <v>2849014.617</v>
      </c>
      <c r="H12" t="n">
        <v>3001199.619</v>
      </c>
      <c r="I12" t="n">
        <v>3277637.255</v>
      </c>
      <c r="J12" t="n">
        <v>3482232.076</v>
      </c>
      <c r="K12" t="n">
        <v>3572902.986</v>
      </c>
      <c r="L12" t="n">
        <v>3551702.069</v>
      </c>
      <c r="M12" t="n">
        <v>3651272.975</v>
      </c>
      <c r="N12" t="n">
        <v>3788994.049</v>
      </c>
      <c r="O12" t="n">
        <v>3919517.614</v>
      </c>
      <c r="P12" t="n">
        <v>3759715.062</v>
      </c>
      <c r="Q12" t="n">
        <v>3726439.305</v>
      </c>
      <c r="R12" t="n">
        <v>3975746.168</v>
      </c>
      <c r="S12" t="n">
        <v>4101634.2</v>
      </c>
      <c r="T12" t="n">
        <v>4162865.914</v>
      </c>
      <c r="U12" t="n">
        <v>4396467.696</v>
      </c>
      <c r="V12" t="n">
        <v>4484545.767</v>
      </c>
      <c r="W12" t="n">
        <v>4739206.083</v>
      </c>
      <c r="X12" t="n">
        <v>4849416.283</v>
      </c>
      <c r="Y12" t="n">
        <v>5130850.674</v>
      </c>
      <c r="Z12" t="n">
        <v>5711112.717</v>
      </c>
      <c r="AA12" t="n">
        <v>6080853.96</v>
      </c>
      <c r="AB12" t="n">
        <v>6273827.177</v>
      </c>
      <c r="AC12" t="n">
        <v>6506313.193</v>
      </c>
      <c r="AD12" t="n">
        <v>7180627.818</v>
      </c>
      <c r="AE12" t="n">
        <v>7748004.485</v>
      </c>
      <c r="AF12" t="n">
        <v>7681720.241</v>
      </c>
      <c r="AG12" t="n">
        <v>7806697.943</v>
      </c>
      <c r="AH12" t="n">
        <v>8438677.959000001</v>
      </c>
      <c r="AI12" t="n">
        <v>8678508.642999999</v>
      </c>
      <c r="AJ12" t="n">
        <v>9122804.518999999</v>
      </c>
      <c r="AK12" t="n">
        <v>9907618.124</v>
      </c>
      <c r="AL12" t="n">
        <v>9734176.892999999</v>
      </c>
      <c r="AM12" t="n">
        <v>10668661.219</v>
      </c>
      <c r="AN12" t="n">
        <v>10537989.301</v>
      </c>
      <c r="AO12" t="n">
        <v>11140072.203</v>
      </c>
      <c r="AP12" t="n">
        <v>10834093.839</v>
      </c>
      <c r="AQ12" t="n">
        <v>10818388.327</v>
      </c>
      <c r="AR12" t="n">
        <v>9994968.086999999</v>
      </c>
      <c r="AS12" t="n">
        <v>9409321.658</v>
      </c>
      <c r="AT12" t="n">
        <v>9575685.685000001</v>
      </c>
      <c r="AU12" t="n">
        <v>9875600.487</v>
      </c>
      <c r="AV12" t="n">
        <v>10359424.424</v>
      </c>
      <c r="AW12" t="n">
        <v>9955208.114</v>
      </c>
      <c r="AX12" t="n">
        <v>10337182.336</v>
      </c>
      <c r="AY12" t="n">
        <v>10364726.981</v>
      </c>
      <c r="AZ12" t="n">
        <v>9853866.903000001</v>
      </c>
      <c r="BA12" t="n">
        <v>9597778.111</v>
      </c>
      <c r="BB12" t="n">
        <v>9748866.764</v>
      </c>
      <c r="BC12" t="n">
        <v>9516613.9</v>
      </c>
      <c r="BD12" t="n">
        <v>10027843.417</v>
      </c>
      <c r="BE12" t="n">
        <v>10303463.897</v>
      </c>
      <c r="BF12" t="n">
        <v>10184772.354</v>
      </c>
      <c r="BG12" t="n">
        <v>10214188.763</v>
      </c>
      <c r="BH12" t="n">
        <v>10041964.337</v>
      </c>
      <c r="BI12" t="n">
        <v>10457842.663</v>
      </c>
      <c r="BJ12" t="n">
        <v>10137077.242</v>
      </c>
      <c r="BK12" t="n">
        <v>10260750.819</v>
      </c>
      <c r="BL12" t="n">
        <v>11213618.717</v>
      </c>
      <c r="BM12" t="n">
        <v>11345439.547</v>
      </c>
      <c r="BN12" t="n">
        <v>11159128.775</v>
      </c>
      <c r="BO12" t="n">
        <v>11928368.041</v>
      </c>
      <c r="BP12" t="n">
        <v>11039872.661</v>
      </c>
      <c r="BQ12" t="n">
        <v>10648744.958</v>
      </c>
      <c r="BR12" t="n">
        <v>10357059.209</v>
      </c>
      <c r="BS12" t="n">
        <v>10224826.293</v>
      </c>
      <c r="BT12" t="n">
        <v>10745873.986</v>
      </c>
    </row>
    <row r="13">
      <c r="A13" t="inlineStr">
        <is>
          <t>Ulanowicz_TE</t>
        </is>
      </c>
      <c r="B13" t="inlineStr">
        <is>
          <t>ok</t>
        </is>
      </c>
      <c r="C13" t="n">
        <v>146170693.553</v>
      </c>
      <c r="D13" t="n">
        <v>158417313.431</v>
      </c>
      <c r="E13" t="n">
        <v>169951833.913</v>
      </c>
      <c r="F13" t="n">
        <v>169485642.111</v>
      </c>
      <c r="G13" t="n">
        <v>188903334.745</v>
      </c>
      <c r="H13" t="n">
        <v>201874296.776</v>
      </c>
      <c r="I13" t="n">
        <v>217494660.585</v>
      </c>
      <c r="J13" t="n">
        <v>230765886.586</v>
      </c>
      <c r="K13" t="n">
        <v>243959937.999</v>
      </c>
      <c r="L13" t="n">
        <v>237156670.004</v>
      </c>
      <c r="M13" t="n">
        <v>245971957.185</v>
      </c>
      <c r="N13" t="n">
        <v>241103244.185</v>
      </c>
      <c r="O13" t="n">
        <v>246582899.209</v>
      </c>
      <c r="P13" t="n">
        <v>236487973.986</v>
      </c>
      <c r="Q13" t="n">
        <v>238809426.356</v>
      </c>
      <c r="R13" t="n">
        <v>259155324.019</v>
      </c>
      <c r="S13" t="n">
        <v>262345147.04</v>
      </c>
      <c r="T13" t="n">
        <v>270929769.04</v>
      </c>
      <c r="U13" t="n">
        <v>276903711.624</v>
      </c>
      <c r="V13" t="n">
        <v>287194305.166</v>
      </c>
      <c r="W13" t="n">
        <v>306401285.569</v>
      </c>
      <c r="X13" t="n">
        <v>315766416.274</v>
      </c>
      <c r="Y13" t="n">
        <v>335702704.098</v>
      </c>
      <c r="Z13" t="n">
        <v>370096781.858</v>
      </c>
      <c r="AA13" t="n">
        <v>393087931.475</v>
      </c>
      <c r="AB13" t="n">
        <v>388772053.471</v>
      </c>
      <c r="AC13" t="n">
        <v>386280469.128</v>
      </c>
      <c r="AD13" t="n">
        <v>424372551.63</v>
      </c>
      <c r="AE13" t="n">
        <v>450288017.048</v>
      </c>
      <c r="AF13" t="n">
        <v>447358989.607</v>
      </c>
      <c r="AG13" t="n">
        <v>459766703.006</v>
      </c>
      <c r="AH13" t="n">
        <v>489858275.551</v>
      </c>
      <c r="AI13" t="n">
        <v>490932674.194</v>
      </c>
      <c r="AJ13" t="n">
        <v>494949976.416</v>
      </c>
      <c r="AK13" t="n">
        <v>538609664.132</v>
      </c>
      <c r="AL13" t="n">
        <v>534285307.307</v>
      </c>
      <c r="AM13" t="n">
        <v>587106064.5930001</v>
      </c>
      <c r="AN13" t="n">
        <v>592082693.702</v>
      </c>
      <c r="AO13" t="n">
        <v>606619867.7029999</v>
      </c>
      <c r="AP13" t="n">
        <v>631892597.02</v>
      </c>
      <c r="AQ13" t="n">
        <v>628218174.008</v>
      </c>
      <c r="AR13" t="n">
        <v>619119181.915</v>
      </c>
      <c r="AS13" t="n">
        <v>579545326.018</v>
      </c>
      <c r="AT13" t="n">
        <v>586834293.753</v>
      </c>
      <c r="AU13" t="n">
        <v>644583906.449</v>
      </c>
      <c r="AV13" t="n">
        <v>700165533.558</v>
      </c>
      <c r="AW13" t="n">
        <v>730354685.186</v>
      </c>
      <c r="AX13" t="n">
        <v>701663105.035</v>
      </c>
      <c r="AY13" t="n">
        <v>715658783.002</v>
      </c>
      <c r="AZ13" t="n">
        <v>678175519.743</v>
      </c>
      <c r="BA13" t="n">
        <v>663652083.919</v>
      </c>
      <c r="BB13" t="n">
        <v>679367668.156</v>
      </c>
      <c r="BC13" t="n">
        <v>673807502.21</v>
      </c>
      <c r="BD13" t="n">
        <v>687325845.08</v>
      </c>
      <c r="BE13" t="n">
        <v>728247694.277</v>
      </c>
      <c r="BF13" t="n">
        <v>715978812.312</v>
      </c>
      <c r="BG13" t="n">
        <v>722121453.388</v>
      </c>
      <c r="BH13" t="n">
        <v>721796746.205</v>
      </c>
      <c r="BI13" t="n">
        <v>748139474.225</v>
      </c>
      <c r="BJ13" t="n">
        <v>720188685.176</v>
      </c>
      <c r="BK13" t="n">
        <v>717606255.52</v>
      </c>
      <c r="BL13" t="n">
        <v>789134941.052</v>
      </c>
      <c r="BM13" t="n">
        <v>791304347.193</v>
      </c>
      <c r="BN13" t="n">
        <v>767957077.252</v>
      </c>
      <c r="BO13" t="n">
        <v>807975271.873</v>
      </c>
      <c r="BP13" t="n">
        <v>743101054.579</v>
      </c>
      <c r="BQ13" t="n">
        <v>711842188.552</v>
      </c>
      <c r="BR13" t="n">
        <v>688066772.216</v>
      </c>
      <c r="BS13" t="n">
        <v>677328777.4400001</v>
      </c>
      <c r="BT13" t="n">
        <v>688700247.727</v>
      </c>
    </row>
    <row r="14">
      <c r="A14" t="inlineStr">
        <is>
          <t>EwE_TE_noEE</t>
        </is>
      </c>
      <c r="B14" t="inlineStr">
        <is>
          <t>ok</t>
        </is>
      </c>
      <c r="C14" t="n">
        <v>152702499.541</v>
      </c>
      <c r="D14" t="n">
        <v>165942539.837</v>
      </c>
      <c r="E14" t="n">
        <v>178624469.821</v>
      </c>
      <c r="F14" t="n">
        <v>177434793.841</v>
      </c>
      <c r="G14" t="n">
        <v>197372807.957</v>
      </c>
      <c r="H14" t="n">
        <v>211004955.476</v>
      </c>
      <c r="I14" t="n">
        <v>227613439.238</v>
      </c>
      <c r="J14" t="n">
        <v>240294745.955</v>
      </c>
      <c r="K14" t="n">
        <v>254506939.102</v>
      </c>
      <c r="L14" t="n">
        <v>246592685.682</v>
      </c>
      <c r="M14" t="n">
        <v>256005694.082</v>
      </c>
      <c r="N14" t="n">
        <v>250635497.385</v>
      </c>
      <c r="O14" t="n">
        <v>256356363.532</v>
      </c>
      <c r="P14" t="n">
        <v>245524457.196</v>
      </c>
      <c r="Q14" t="n">
        <v>247453520.491</v>
      </c>
      <c r="R14" t="n">
        <v>268535258.2</v>
      </c>
      <c r="S14" t="n">
        <v>271486111.039</v>
      </c>
      <c r="T14" t="n">
        <v>280117023.392</v>
      </c>
      <c r="U14" t="n">
        <v>285611320.953</v>
      </c>
      <c r="V14" t="n">
        <v>296427443.916</v>
      </c>
      <c r="W14" t="n">
        <v>315845883.182</v>
      </c>
      <c r="X14" t="n">
        <v>325977883.56</v>
      </c>
      <c r="Y14" t="n">
        <v>346605157.546</v>
      </c>
      <c r="Z14" t="n">
        <v>382188983.423</v>
      </c>
      <c r="AA14" t="n">
        <v>405984484.686</v>
      </c>
      <c r="AB14" t="n">
        <v>401399092.902</v>
      </c>
      <c r="AC14" t="n">
        <v>398387815.243</v>
      </c>
      <c r="AD14" t="n">
        <v>437159264.136</v>
      </c>
      <c r="AE14" t="n">
        <v>463547882.007</v>
      </c>
      <c r="AF14" t="n">
        <v>461076246.404</v>
      </c>
      <c r="AG14" t="n">
        <v>474039771.578</v>
      </c>
      <c r="AH14" t="n">
        <v>505238932.5</v>
      </c>
      <c r="AI14" t="n">
        <v>506174859.505</v>
      </c>
      <c r="AJ14" t="n">
        <v>509672536.367</v>
      </c>
      <c r="AK14" t="n">
        <v>554817128.9910001</v>
      </c>
      <c r="AL14" t="n">
        <v>550807819.8710001</v>
      </c>
      <c r="AM14" t="n">
        <v>605187259.631</v>
      </c>
      <c r="AN14" t="n">
        <v>610155647.874</v>
      </c>
      <c r="AO14" t="n">
        <v>624439784.575</v>
      </c>
      <c r="AP14" t="n">
        <v>651912208.421</v>
      </c>
      <c r="AQ14" t="n">
        <v>648402798.62</v>
      </c>
      <c r="AR14" t="n">
        <v>639329446.959</v>
      </c>
      <c r="AS14" t="n">
        <v>598511563.331</v>
      </c>
      <c r="AT14" t="n">
        <v>605213371.924</v>
      </c>
      <c r="AU14" t="n">
        <v>666109272.913</v>
      </c>
      <c r="AV14" t="n">
        <v>724668791.492</v>
      </c>
      <c r="AW14" t="n">
        <v>756545536.897</v>
      </c>
      <c r="AX14" t="n">
        <v>725634980.041</v>
      </c>
      <c r="AY14" t="n">
        <v>740476236.487</v>
      </c>
      <c r="AZ14" t="n">
        <v>701945994.068</v>
      </c>
      <c r="BA14" t="n">
        <v>687217581.857</v>
      </c>
      <c r="BB14" t="n">
        <v>703385144.604</v>
      </c>
      <c r="BC14" t="n">
        <v>697822755.624</v>
      </c>
      <c r="BD14" t="n">
        <v>711595859.671</v>
      </c>
      <c r="BE14" t="n">
        <v>754283701.967</v>
      </c>
      <c r="BF14" t="n">
        <v>741242574.365</v>
      </c>
      <c r="BG14" t="n">
        <v>747567209.096</v>
      </c>
      <c r="BH14" t="n">
        <v>747072212.173</v>
      </c>
      <c r="BI14" t="n">
        <v>773723804.601</v>
      </c>
      <c r="BJ14" t="n">
        <v>744772559.684</v>
      </c>
      <c r="BK14" t="n">
        <v>741519241.033</v>
      </c>
      <c r="BL14" t="n">
        <v>814608064.9579999</v>
      </c>
      <c r="BM14" t="n">
        <v>816702511.261</v>
      </c>
      <c r="BN14" t="n">
        <v>792447694.091</v>
      </c>
      <c r="BO14" t="n">
        <v>834152877.1</v>
      </c>
      <c r="BP14" t="n">
        <v>766395289.092</v>
      </c>
      <c r="BQ14" t="n">
        <v>734167430.698</v>
      </c>
      <c r="BR14" t="n">
        <v>709741984.437</v>
      </c>
      <c r="BS14" t="n">
        <v>698361981.9069999</v>
      </c>
      <c r="BT14" t="n">
        <v>709235328.314</v>
      </c>
    </row>
    <row r="15">
      <c r="A15" t="inlineStr">
        <is>
          <t>EwE_TE_EE</t>
        </is>
      </c>
      <c r="B15" t="inlineStr">
        <is>
          <t>ok</t>
        </is>
      </c>
      <c r="C15" t="n">
        <v>100838067.934</v>
      </c>
      <c r="D15" t="n">
        <v>109894106.833</v>
      </c>
      <c r="E15" t="n">
        <v>118503706.598</v>
      </c>
      <c r="F15" t="n">
        <v>119889484.609</v>
      </c>
      <c r="G15" t="n">
        <v>134119591.539</v>
      </c>
      <c r="H15" t="n">
        <v>142185687.834</v>
      </c>
      <c r="I15" t="n">
        <v>154234202.714</v>
      </c>
      <c r="J15" t="n">
        <v>161924372.475</v>
      </c>
      <c r="K15" t="n">
        <v>167752955.496</v>
      </c>
      <c r="L15" t="n">
        <v>166850454.187</v>
      </c>
      <c r="M15" t="n">
        <v>173201477.428</v>
      </c>
      <c r="N15" t="n">
        <v>171361298.622</v>
      </c>
      <c r="O15" t="n">
        <v>178108117.062</v>
      </c>
      <c r="P15" t="n">
        <v>171595262.495</v>
      </c>
      <c r="Q15" t="n">
        <v>171113495.706</v>
      </c>
      <c r="R15" t="n">
        <v>185857959.517</v>
      </c>
      <c r="S15" t="n">
        <v>189838974.505</v>
      </c>
      <c r="T15" t="n">
        <v>197173468.008</v>
      </c>
      <c r="U15" t="n">
        <v>203164854.337</v>
      </c>
      <c r="V15" t="n">
        <v>211358860.968</v>
      </c>
      <c r="W15" t="n">
        <v>226666300.152</v>
      </c>
      <c r="X15" t="n">
        <v>231030357.007</v>
      </c>
      <c r="Y15" t="n">
        <v>253105209.379</v>
      </c>
      <c r="Z15" t="n">
        <v>276725854.004</v>
      </c>
      <c r="AA15" t="n">
        <v>296183900.091</v>
      </c>
      <c r="AB15" t="n">
        <v>288026764.488</v>
      </c>
      <c r="AC15" t="n">
        <v>284655372.981</v>
      </c>
      <c r="AD15" t="n">
        <v>315292557.591</v>
      </c>
      <c r="AE15" t="n">
        <v>336463786.231</v>
      </c>
      <c r="AF15" t="n">
        <v>332652072.277</v>
      </c>
      <c r="AG15" t="n">
        <v>338381217.419</v>
      </c>
      <c r="AH15" t="n">
        <v>363906748.098</v>
      </c>
      <c r="AI15" t="n">
        <v>364740475.822</v>
      </c>
      <c r="AJ15" t="n">
        <v>374771883.649</v>
      </c>
      <c r="AK15" t="n">
        <v>403862972.596</v>
      </c>
      <c r="AL15" t="n">
        <v>392726631.346</v>
      </c>
      <c r="AM15" t="n">
        <v>428779980.743</v>
      </c>
      <c r="AN15" t="n">
        <v>426863457.248</v>
      </c>
      <c r="AO15" t="n">
        <v>442815185.825</v>
      </c>
      <c r="AP15" t="n">
        <v>451968249.802</v>
      </c>
      <c r="AQ15" t="n">
        <v>450601488.575</v>
      </c>
      <c r="AR15" t="n">
        <v>439002321.513</v>
      </c>
      <c r="AS15" t="n">
        <v>411062608.664</v>
      </c>
      <c r="AT15" t="n">
        <v>419340875.557</v>
      </c>
      <c r="AU15" t="n">
        <v>459142709.198</v>
      </c>
      <c r="AV15" t="n">
        <v>497051001.427</v>
      </c>
      <c r="AW15" t="n">
        <v>501063810.351</v>
      </c>
      <c r="AX15" t="n">
        <v>490531617.912</v>
      </c>
      <c r="AY15" t="n">
        <v>506546870.635</v>
      </c>
      <c r="AZ15" t="n">
        <v>479316003.552</v>
      </c>
      <c r="BA15" t="n">
        <v>470855448.297</v>
      </c>
      <c r="BB15" t="n">
        <v>481965643.457</v>
      </c>
      <c r="BC15" t="n">
        <v>472426717.834</v>
      </c>
      <c r="BD15" t="n">
        <v>478274687.726</v>
      </c>
      <c r="BE15" t="n">
        <v>510051539.648</v>
      </c>
      <c r="BF15" t="n">
        <v>497148191.455</v>
      </c>
      <c r="BG15" t="n">
        <v>508045783.941</v>
      </c>
      <c r="BH15" t="n">
        <v>499545463.766</v>
      </c>
      <c r="BI15" t="n">
        <v>523007927.455</v>
      </c>
      <c r="BJ15" t="n">
        <v>496626354.512</v>
      </c>
      <c r="BK15" t="n">
        <v>496520968.725</v>
      </c>
      <c r="BL15" t="n">
        <v>548863993.1440001</v>
      </c>
      <c r="BM15" t="n">
        <v>550560233.598</v>
      </c>
      <c r="BN15" t="n">
        <v>536689891.73</v>
      </c>
      <c r="BO15" t="n">
        <v>573794112.998</v>
      </c>
      <c r="BP15" t="n">
        <v>525168224.683</v>
      </c>
      <c r="BQ15" t="n">
        <v>507635113.496</v>
      </c>
      <c r="BR15" t="n">
        <v>492090059.469</v>
      </c>
      <c r="BS15" t="n">
        <v>483175126.191</v>
      </c>
      <c r="BT15" t="n">
        <v>497508891.388</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711640266.46</v>
      </c>
      <c r="D17" t="n">
        <v>739792347.421</v>
      </c>
      <c r="E17" t="n">
        <v>762331332.429</v>
      </c>
      <c r="F17" t="n">
        <v>846821750.852</v>
      </c>
      <c r="G17" t="n">
        <v>886861429.4349999</v>
      </c>
      <c r="H17" t="n">
        <v>951320523.194</v>
      </c>
      <c r="I17" t="n">
        <v>922223820.725</v>
      </c>
      <c r="J17" t="n">
        <v>873492457.066</v>
      </c>
      <c r="K17" t="n">
        <v>819786289.0140001</v>
      </c>
      <c r="L17" t="n">
        <v>942483424.401</v>
      </c>
      <c r="M17" t="n">
        <v>1048596615.446</v>
      </c>
      <c r="N17" t="n">
        <v>953574084.158</v>
      </c>
      <c r="O17" t="n">
        <v>947263102.5140001</v>
      </c>
      <c r="P17" t="n">
        <v>984235505.747</v>
      </c>
      <c r="Q17" t="n">
        <v>1103435875.928</v>
      </c>
      <c r="R17" t="n">
        <v>1118416326.838</v>
      </c>
      <c r="S17" t="n">
        <v>1271740170.802</v>
      </c>
      <c r="T17" t="n">
        <v>1461662071.306</v>
      </c>
      <c r="U17" t="n">
        <v>1594972465.771</v>
      </c>
      <c r="V17" t="n">
        <v>1634820749.172</v>
      </c>
      <c r="W17" t="n">
        <v>1680670709.911</v>
      </c>
      <c r="X17" t="n">
        <v>1737340157.9</v>
      </c>
      <c r="Y17" t="n">
        <v>1676970376.086</v>
      </c>
      <c r="Z17" t="n">
        <v>1741030968.891</v>
      </c>
      <c r="AA17" t="n">
        <v>1832194183.398</v>
      </c>
      <c r="AB17" t="n">
        <v>1685116314.734</v>
      </c>
      <c r="AC17" t="n">
        <v>1858248464.187</v>
      </c>
      <c r="AD17" t="n">
        <v>2027232181.373</v>
      </c>
      <c r="AE17" t="n">
        <v>1995715366.235</v>
      </c>
      <c r="AF17" t="n">
        <v>2012125600.673</v>
      </c>
      <c r="AG17" t="n">
        <v>1928662018.426</v>
      </c>
      <c r="AH17" t="n">
        <v>1975782508.572</v>
      </c>
      <c r="AI17" t="n">
        <v>2079884016.088</v>
      </c>
      <c r="AJ17" t="n">
        <v>2083403219.459</v>
      </c>
      <c r="AK17" t="n">
        <v>2054243312.971</v>
      </c>
      <c r="AL17" t="n">
        <v>2006668181.495</v>
      </c>
      <c r="AM17" t="n">
        <v>2138902859.905</v>
      </c>
      <c r="AN17" t="n">
        <v>2045825764.557</v>
      </c>
      <c r="AO17" t="n">
        <v>2050787736.743</v>
      </c>
      <c r="AP17" t="n">
        <v>1998191816.812</v>
      </c>
      <c r="AQ17" t="n">
        <v>1997069892.792</v>
      </c>
      <c r="AR17" t="n">
        <v>1769733188.387</v>
      </c>
      <c r="AS17" t="n">
        <v>1632412981.839</v>
      </c>
      <c r="AT17" t="n">
        <v>1673583624.445</v>
      </c>
      <c r="AU17" t="n">
        <v>1855456543.366</v>
      </c>
      <c r="AV17" t="n">
        <v>1878046231.765</v>
      </c>
      <c r="AW17" t="n">
        <v>1949036484.676</v>
      </c>
      <c r="AX17" t="n">
        <v>1941696907.454</v>
      </c>
      <c r="AY17" t="n">
        <v>1820981280.928</v>
      </c>
      <c r="AZ17" t="n">
        <v>1675578765.269</v>
      </c>
      <c r="BA17" t="n">
        <v>1655911752.407</v>
      </c>
      <c r="BB17" t="n">
        <v>1606612899.506</v>
      </c>
      <c r="BC17" t="n">
        <v>1620135243.827</v>
      </c>
      <c r="BD17" t="n">
        <v>1668540761.378</v>
      </c>
      <c r="BE17" t="n">
        <v>1742759244.811</v>
      </c>
      <c r="BF17" t="n">
        <v>1715453950.958</v>
      </c>
      <c r="BG17" t="n">
        <v>1762668881.661</v>
      </c>
      <c r="BH17" t="n">
        <v>1314594170.099</v>
      </c>
      <c r="BI17" t="n">
        <v>1319316912.934</v>
      </c>
      <c r="BJ17" t="n">
        <v>1593180323.723</v>
      </c>
      <c r="BK17" t="n">
        <v>1672316730.095</v>
      </c>
      <c r="BL17" t="n">
        <v>1583826441.877</v>
      </c>
      <c r="BM17" t="n">
        <v>1564591546.78</v>
      </c>
      <c r="BN17" t="n">
        <v>1578436924.102</v>
      </c>
      <c r="BO17" t="n">
        <v>1652226232.093</v>
      </c>
      <c r="BP17" t="n">
        <v>1527526693.858</v>
      </c>
      <c r="BQ17" t="n">
        <v>1514858775.065</v>
      </c>
      <c r="BR17" t="n">
        <v>1758703449.579</v>
      </c>
      <c r="BS17" t="n">
        <v>1454676429.547</v>
      </c>
      <c r="BT17" t="n">
        <v>1711539183.464</v>
      </c>
    </row>
    <row r="18">
      <c r="A18" t="inlineStr">
        <is>
          <t>new_TE_EEfix</t>
        </is>
      </c>
      <c r="B18" t="inlineStr">
        <is>
          <t>ok</t>
        </is>
      </c>
      <c r="C18" t="n">
        <v>722777176.729</v>
      </c>
      <c r="D18" t="n">
        <v>751353264.1339999</v>
      </c>
      <c r="E18" t="n">
        <v>774219165.841</v>
      </c>
      <c r="F18" t="n">
        <v>860075745.034</v>
      </c>
      <c r="G18" t="n">
        <v>900703581.135</v>
      </c>
      <c r="H18" t="n">
        <v>966180596.174</v>
      </c>
      <c r="I18" t="n">
        <v>936558860.686</v>
      </c>
      <c r="J18" t="n">
        <v>887000724.071</v>
      </c>
      <c r="K18" t="n">
        <v>832406000.358</v>
      </c>
      <c r="L18" t="n">
        <v>957099597.477</v>
      </c>
      <c r="M18" t="n">
        <v>1064931897.709</v>
      </c>
      <c r="N18" t="n">
        <v>968374058.08</v>
      </c>
      <c r="O18" t="n">
        <v>961929025.552</v>
      </c>
      <c r="P18" t="n">
        <v>999514105.457</v>
      </c>
      <c r="Q18" t="n">
        <v>1120663810.537</v>
      </c>
      <c r="R18" t="n">
        <v>1135817890.315</v>
      </c>
      <c r="S18" t="n">
        <v>1291621894.772</v>
      </c>
      <c r="T18" t="n">
        <v>1484610046.306</v>
      </c>
      <c r="U18" t="n">
        <v>1620041111.986</v>
      </c>
      <c r="V18" t="n">
        <v>1660508341.538</v>
      </c>
      <c r="W18" t="n">
        <v>1707014979.594</v>
      </c>
      <c r="X18" t="n">
        <v>1764610512.183</v>
      </c>
      <c r="Y18" t="n">
        <v>1703165887.156</v>
      </c>
      <c r="Z18" t="n">
        <v>1768178142.984</v>
      </c>
      <c r="AA18" t="n">
        <v>1860748428.206</v>
      </c>
      <c r="AB18" t="n">
        <v>1711339513.904</v>
      </c>
      <c r="AC18" t="n">
        <v>1887299790.268</v>
      </c>
      <c r="AD18" t="n">
        <v>2058879577.299</v>
      </c>
      <c r="AE18" t="n">
        <v>2026739129.398</v>
      </c>
      <c r="AF18" t="n">
        <v>2043447613.742</v>
      </c>
      <c r="AG18" t="n">
        <v>1958593357.054</v>
      </c>
      <c r="AH18" t="n">
        <v>2006359934.542</v>
      </c>
      <c r="AI18" t="n">
        <v>2112156962.855</v>
      </c>
      <c r="AJ18" t="n">
        <v>2115672667.606</v>
      </c>
      <c r="AK18" t="n">
        <v>2085921197.894</v>
      </c>
      <c r="AL18" t="n">
        <v>2037657456.692</v>
      </c>
      <c r="AM18" t="n">
        <v>2171896734.148</v>
      </c>
      <c r="AN18" t="n">
        <v>2077265105.794</v>
      </c>
      <c r="AO18" t="n">
        <v>2082245199.072</v>
      </c>
      <c r="AP18" t="n">
        <v>2028756263.845</v>
      </c>
      <c r="AQ18" t="n">
        <v>2027660425.612</v>
      </c>
      <c r="AR18" t="n">
        <v>1796599954.004</v>
      </c>
      <c r="AS18" t="n">
        <v>1657177955.68</v>
      </c>
      <c r="AT18" t="n">
        <v>1698948480.965</v>
      </c>
      <c r="AU18" t="n">
        <v>1883619612.997</v>
      </c>
      <c r="AV18" t="n">
        <v>1906439622.835</v>
      </c>
      <c r="AW18" t="n">
        <v>1978526144.359</v>
      </c>
      <c r="AX18" t="n">
        <v>1971163689.414</v>
      </c>
      <c r="AY18" t="n">
        <v>1848411743.121</v>
      </c>
      <c r="AZ18" t="n">
        <v>1700756881.716</v>
      </c>
      <c r="BA18" t="n">
        <v>1680811450.065</v>
      </c>
      <c r="BB18" t="n">
        <v>1630655111.078</v>
      </c>
      <c r="BC18" t="n">
        <v>1644432979.393</v>
      </c>
      <c r="BD18" t="n">
        <v>1693622944.832</v>
      </c>
      <c r="BE18" t="n">
        <v>1768904297.072</v>
      </c>
      <c r="BF18" t="n">
        <v>1741182495.877</v>
      </c>
      <c r="BG18" t="n">
        <v>1789109981.781</v>
      </c>
      <c r="BH18" t="n">
        <v>1333754815.037</v>
      </c>
      <c r="BI18" t="n">
        <v>1338419403.396</v>
      </c>
      <c r="BJ18" t="n">
        <v>1616866166.513</v>
      </c>
      <c r="BK18" t="n">
        <v>1697263732.775</v>
      </c>
      <c r="BL18" t="n">
        <v>1607055544.75</v>
      </c>
      <c r="BM18" t="n">
        <v>1587505020.622</v>
      </c>
      <c r="BN18" t="n">
        <v>1601650107.223</v>
      </c>
      <c r="BO18" t="n">
        <v>1676496578.928</v>
      </c>
      <c r="BP18" t="n">
        <v>1549930762.967</v>
      </c>
      <c r="BQ18" t="n">
        <v>1537161823.037</v>
      </c>
      <c r="BR18" t="n">
        <v>1785044459.705</v>
      </c>
      <c r="BS18" t="n">
        <v>1476102972.957</v>
      </c>
      <c r="BT18" t="n">
        <v>1737037783.131</v>
      </c>
    </row>
    <row r="19">
      <c r="A19" t="inlineStr">
        <is>
          <t>new_GE</t>
        </is>
      </c>
      <c r="B19" t="inlineStr">
        <is>
          <t>ok</t>
        </is>
      </c>
      <c r="C19" t="n">
        <v>34147590.955</v>
      </c>
      <c r="D19" t="n">
        <v>37643941.39</v>
      </c>
      <c r="E19" t="n">
        <v>41189041.926</v>
      </c>
      <c r="F19" t="n">
        <v>40903488.779</v>
      </c>
      <c r="G19" t="n">
        <v>44890406.701</v>
      </c>
      <c r="H19" t="n">
        <v>47498118.265</v>
      </c>
      <c r="I19" t="n">
        <v>51834324.892</v>
      </c>
      <c r="J19" t="n">
        <v>53117083.993</v>
      </c>
      <c r="K19" t="n">
        <v>55477034.874</v>
      </c>
      <c r="L19" t="n">
        <v>54092495.328</v>
      </c>
      <c r="M19" t="n">
        <v>56404457.191</v>
      </c>
      <c r="N19" t="n">
        <v>56137066.954</v>
      </c>
      <c r="O19" t="n">
        <v>58330333.348</v>
      </c>
      <c r="P19" t="n">
        <v>55747061.36</v>
      </c>
      <c r="Q19" t="n">
        <v>54838204.239</v>
      </c>
      <c r="R19" t="n">
        <v>59583913.053</v>
      </c>
      <c r="S19" t="n">
        <v>60424110.024</v>
      </c>
      <c r="T19" t="n">
        <v>62003925.315</v>
      </c>
      <c r="U19" t="n">
        <v>64341218.681</v>
      </c>
      <c r="V19" t="n">
        <v>66942070.11</v>
      </c>
      <c r="W19" t="n">
        <v>71850719.412</v>
      </c>
      <c r="X19" t="n">
        <v>73106353.124</v>
      </c>
      <c r="Y19" t="n">
        <v>79098715.16500001</v>
      </c>
      <c r="Z19" t="n">
        <v>86550428.404</v>
      </c>
      <c r="AA19" t="n">
        <v>92962409.12</v>
      </c>
      <c r="AB19" t="n">
        <v>92019461.462</v>
      </c>
      <c r="AC19" t="n">
        <v>91387263.964</v>
      </c>
      <c r="AD19" t="n">
        <v>101547068.884</v>
      </c>
      <c r="AE19" t="n">
        <v>109165734.921</v>
      </c>
      <c r="AF19" t="n">
        <v>107399110.345</v>
      </c>
      <c r="AG19" t="n">
        <v>108767377.698</v>
      </c>
      <c r="AH19" t="n">
        <v>116511175.017</v>
      </c>
      <c r="AI19" t="n">
        <v>117327384.393</v>
      </c>
      <c r="AJ19" t="n">
        <v>120992129.416</v>
      </c>
      <c r="AK19" t="n">
        <v>130755697.175</v>
      </c>
      <c r="AL19" t="n">
        <v>127828723.49</v>
      </c>
      <c r="AM19" t="n">
        <v>140551808.297</v>
      </c>
      <c r="AN19" t="n">
        <v>138999771.636</v>
      </c>
      <c r="AO19" t="n">
        <v>144792574.126</v>
      </c>
      <c r="AP19" t="n">
        <v>146924932.716</v>
      </c>
      <c r="AQ19" t="n">
        <v>145815759.5</v>
      </c>
      <c r="AR19" t="n">
        <v>140411887.8</v>
      </c>
      <c r="AS19" t="n">
        <v>131520306.093</v>
      </c>
      <c r="AT19" t="n">
        <v>133487633.601</v>
      </c>
      <c r="AU19" t="n">
        <v>144815437.001</v>
      </c>
      <c r="AV19" t="n">
        <v>155606275.64</v>
      </c>
      <c r="AW19" t="n">
        <v>156931315.913</v>
      </c>
      <c r="AX19" t="n">
        <v>154451652.732</v>
      </c>
      <c r="AY19" t="n">
        <v>157128741.494</v>
      </c>
      <c r="AZ19" t="n">
        <v>148624204.786</v>
      </c>
      <c r="BA19" t="n">
        <v>145318698.296</v>
      </c>
      <c r="BB19" t="n">
        <v>149010399.703</v>
      </c>
      <c r="BC19" t="n">
        <v>146073209.675</v>
      </c>
      <c r="BD19" t="n">
        <v>149458548.415</v>
      </c>
      <c r="BE19" t="n">
        <v>157954861.865</v>
      </c>
      <c r="BF19" t="n">
        <v>155200340.961</v>
      </c>
      <c r="BG19" t="n">
        <v>157210102.263</v>
      </c>
      <c r="BH19" t="n">
        <v>154067988.64</v>
      </c>
      <c r="BI19" t="n">
        <v>161728424.486</v>
      </c>
      <c r="BJ19" t="n">
        <v>153710785.352</v>
      </c>
      <c r="BK19" t="n">
        <v>153764290.295</v>
      </c>
      <c r="BL19" t="n">
        <v>169188272.133</v>
      </c>
      <c r="BM19" t="n">
        <v>169979336.309</v>
      </c>
      <c r="BN19" t="n">
        <v>166152857.265</v>
      </c>
      <c r="BO19" t="n">
        <v>178143233.246</v>
      </c>
      <c r="BP19" t="n">
        <v>163153576.927</v>
      </c>
      <c r="BQ19" t="n">
        <v>158121153.892</v>
      </c>
      <c r="BR19" t="n">
        <v>153502122.129</v>
      </c>
      <c r="BS19" t="n">
        <v>150981698.246</v>
      </c>
      <c r="BT19" t="n">
        <v>155995338.361</v>
      </c>
    </row>
    <row r="20">
      <c r="A20" t="inlineStr">
        <is>
          <t>new_WithEgestion</t>
        </is>
      </c>
      <c r="B20" t="inlineStr">
        <is>
          <t>ok</t>
        </is>
      </c>
      <c r="C20" t="n">
        <v>19397806.439</v>
      </c>
      <c r="D20" t="n">
        <v>21349446.433</v>
      </c>
      <c r="E20" t="n">
        <v>23218214.275</v>
      </c>
      <c r="F20" t="n">
        <v>23196290.436</v>
      </c>
      <c r="G20" t="n">
        <v>25481898.883</v>
      </c>
      <c r="H20" t="n">
        <v>26940584.215</v>
      </c>
      <c r="I20" t="n">
        <v>29319403.589</v>
      </c>
      <c r="J20" t="n">
        <v>30330901.102</v>
      </c>
      <c r="K20" t="n">
        <v>31674040.359</v>
      </c>
      <c r="L20" t="n">
        <v>30909866.787</v>
      </c>
      <c r="M20" t="n">
        <v>32098919.904</v>
      </c>
      <c r="N20" t="n">
        <v>32242258.431</v>
      </c>
      <c r="O20" t="n">
        <v>33420525.107</v>
      </c>
      <c r="P20" t="n">
        <v>31976143.396</v>
      </c>
      <c r="Q20" t="n">
        <v>31516605.483</v>
      </c>
      <c r="R20" t="n">
        <v>34341329.933</v>
      </c>
      <c r="S20" t="n">
        <v>34755664.373</v>
      </c>
      <c r="T20" t="n">
        <v>35670818.398</v>
      </c>
      <c r="U20" t="n">
        <v>37388230.387</v>
      </c>
      <c r="V20" t="n">
        <v>38876725.363</v>
      </c>
      <c r="W20" t="n">
        <v>41896547.929</v>
      </c>
      <c r="X20" t="n">
        <v>42407804.64</v>
      </c>
      <c r="Y20" t="n">
        <v>45574554.012</v>
      </c>
      <c r="Z20" t="n">
        <v>49883541.625</v>
      </c>
      <c r="AA20" t="n">
        <v>53627616.146</v>
      </c>
      <c r="AB20" t="n">
        <v>53512131.261</v>
      </c>
      <c r="AC20" t="n">
        <v>53373602.885</v>
      </c>
      <c r="AD20" t="n">
        <v>59705471.511</v>
      </c>
      <c r="AE20" t="n">
        <v>64629025.324</v>
      </c>
      <c r="AF20" t="n">
        <v>63178767.926</v>
      </c>
      <c r="AG20" t="n">
        <v>63850413.067</v>
      </c>
      <c r="AH20" t="n">
        <v>68380506.634</v>
      </c>
      <c r="AI20" t="n">
        <v>69088541.02599999</v>
      </c>
      <c r="AJ20" t="n">
        <v>71690472.486</v>
      </c>
      <c r="AK20" t="n">
        <v>77515455.434</v>
      </c>
      <c r="AL20" t="n">
        <v>75718040.559</v>
      </c>
      <c r="AM20" t="n">
        <v>83633461.76000001</v>
      </c>
      <c r="AN20" t="n">
        <v>82679793.796</v>
      </c>
      <c r="AO20" t="n">
        <v>86322351.859</v>
      </c>
      <c r="AP20" t="n">
        <v>87102233.949</v>
      </c>
      <c r="AQ20" t="n">
        <v>85887439.55500001</v>
      </c>
      <c r="AR20" t="n">
        <v>82228981.664</v>
      </c>
      <c r="AS20" t="n">
        <v>76857265.836</v>
      </c>
      <c r="AT20" t="n">
        <v>78406186.85600001</v>
      </c>
      <c r="AU20" t="n">
        <v>84278999.914</v>
      </c>
      <c r="AV20" t="n">
        <v>89860168.675</v>
      </c>
      <c r="AW20" t="n">
        <v>90696392.53200001</v>
      </c>
      <c r="AX20" t="n">
        <v>89664965.54799999</v>
      </c>
      <c r="AY20" t="n">
        <v>90364031.13</v>
      </c>
      <c r="AZ20" t="n">
        <v>85500456.861</v>
      </c>
      <c r="BA20" t="n">
        <v>83114082.94400001</v>
      </c>
      <c r="BB20" t="n">
        <v>85464526.508</v>
      </c>
      <c r="BC20" t="n">
        <v>83687903.223</v>
      </c>
      <c r="BD20" t="n">
        <v>86017165.184</v>
      </c>
      <c r="BE20" t="n">
        <v>90452575.977</v>
      </c>
      <c r="BF20" t="n">
        <v>89288226.704</v>
      </c>
      <c r="BG20" t="n">
        <v>89936339.39300001</v>
      </c>
      <c r="BH20" t="n">
        <v>87990998.594</v>
      </c>
      <c r="BI20" t="n">
        <v>92738205.369</v>
      </c>
      <c r="BJ20" t="n">
        <v>87893175.906</v>
      </c>
      <c r="BK20" t="n">
        <v>88034612.145</v>
      </c>
      <c r="BL20" t="n">
        <v>96787443.523</v>
      </c>
      <c r="BM20" t="n">
        <v>97324275.316</v>
      </c>
      <c r="BN20" t="n">
        <v>95091557.911</v>
      </c>
      <c r="BO20" t="n">
        <v>102065088.06</v>
      </c>
      <c r="BP20" t="n">
        <v>93719942.528</v>
      </c>
      <c r="BQ20" t="n">
        <v>90927800.719</v>
      </c>
      <c r="BR20" t="n">
        <v>88318506.846</v>
      </c>
      <c r="BS20" t="n">
        <v>87072392.436</v>
      </c>
      <c r="BT20" t="n">
        <v>90584312.479</v>
      </c>
    </row>
    <row r="21">
      <c r="A21" t="inlineStr">
        <is>
          <t>sym_TE_asPP</t>
        </is>
      </c>
      <c r="B21" t="inlineStr">
        <is>
          <t>ok</t>
        </is>
      </c>
      <c r="C21" t="n">
        <v>722777176.729</v>
      </c>
      <c r="D21" t="n">
        <v>751353264.1339999</v>
      </c>
      <c r="E21" t="n">
        <v>774219165.841</v>
      </c>
      <c r="F21" t="n">
        <v>860075745.034</v>
      </c>
      <c r="G21" t="n">
        <v>900703581.135</v>
      </c>
      <c r="H21" t="n">
        <v>966180596.174</v>
      </c>
      <c r="I21" t="n">
        <v>936558860.686</v>
      </c>
      <c r="J21" t="n">
        <v>887000724.071</v>
      </c>
      <c r="K21" t="n">
        <v>832406000.358</v>
      </c>
      <c r="L21" t="n">
        <v>957099597.477</v>
      </c>
      <c r="M21" t="n">
        <v>1064931897.709</v>
      </c>
      <c r="N21" t="n">
        <v>968374058.08</v>
      </c>
      <c r="O21" t="n">
        <v>961929025.552</v>
      </c>
      <c r="P21" t="n">
        <v>999514105.457</v>
      </c>
      <c r="Q21" t="n">
        <v>1120663810.537</v>
      </c>
      <c r="R21" t="n">
        <v>1135817890.315</v>
      </c>
      <c r="S21" t="n">
        <v>1291621894.772</v>
      </c>
      <c r="T21" t="n">
        <v>1484610046.306</v>
      </c>
      <c r="U21" t="n">
        <v>1620041111.986</v>
      </c>
      <c r="V21" t="n">
        <v>1660508341.538</v>
      </c>
      <c r="W21" t="n">
        <v>1707014979.594</v>
      </c>
      <c r="X21" t="n">
        <v>1764610512.183</v>
      </c>
      <c r="Y21" t="n">
        <v>1703165887.156</v>
      </c>
      <c r="Z21" t="n">
        <v>1768178142.984</v>
      </c>
      <c r="AA21" t="n">
        <v>1860748428.206</v>
      </c>
      <c r="AB21" t="n">
        <v>1711339513.904</v>
      </c>
      <c r="AC21" t="n">
        <v>1887299790.268</v>
      </c>
      <c r="AD21" t="n">
        <v>2058879577.299</v>
      </c>
      <c r="AE21" t="n">
        <v>2026739129.398</v>
      </c>
      <c r="AF21" t="n">
        <v>2043447613.742</v>
      </c>
      <c r="AG21" t="n">
        <v>1958593357.054</v>
      </c>
      <c r="AH21" t="n">
        <v>2006359934.542</v>
      </c>
      <c r="AI21" t="n">
        <v>2112156962.855</v>
      </c>
      <c r="AJ21" t="n">
        <v>2115672667.606</v>
      </c>
      <c r="AK21" t="n">
        <v>2085921197.894</v>
      </c>
      <c r="AL21" t="n">
        <v>2037657456.692</v>
      </c>
      <c r="AM21" t="n">
        <v>2171896734.148</v>
      </c>
      <c r="AN21" t="n">
        <v>2077265105.794</v>
      </c>
      <c r="AO21" t="n">
        <v>2082245199.072</v>
      </c>
      <c r="AP21" t="n">
        <v>2028756263.845</v>
      </c>
      <c r="AQ21" t="n">
        <v>2027660425.612</v>
      </c>
      <c r="AR21" t="n">
        <v>1796599954.004</v>
      </c>
      <c r="AS21" t="n">
        <v>1657177955.68</v>
      </c>
      <c r="AT21" t="n">
        <v>1698948480.965</v>
      </c>
      <c r="AU21" t="n">
        <v>1883619612.997</v>
      </c>
      <c r="AV21" t="n">
        <v>1906439622.835</v>
      </c>
      <c r="AW21" t="n">
        <v>1978526144.359</v>
      </c>
      <c r="AX21" t="n">
        <v>1971163689.414</v>
      </c>
      <c r="AY21" t="n">
        <v>1848411743.121</v>
      </c>
      <c r="AZ21" t="n">
        <v>1700756881.716</v>
      </c>
      <c r="BA21" t="n">
        <v>1680811450.065</v>
      </c>
      <c r="BB21" t="n">
        <v>1630655111.078</v>
      </c>
      <c r="BC21" t="n">
        <v>1644432979.393</v>
      </c>
      <c r="BD21" t="n">
        <v>1693622944.832</v>
      </c>
      <c r="BE21" t="n">
        <v>1768904297.072</v>
      </c>
      <c r="BF21" t="n">
        <v>1741182495.877</v>
      </c>
      <c r="BG21" t="n">
        <v>1789109981.781</v>
      </c>
      <c r="BH21" t="n">
        <v>1333754815.037</v>
      </c>
      <c r="BI21" t="n">
        <v>1338419403.396</v>
      </c>
      <c r="BJ21" t="n">
        <v>1616866166.513</v>
      </c>
      <c r="BK21" t="n">
        <v>1697263732.775</v>
      </c>
      <c r="BL21" t="n">
        <v>1607055544.75</v>
      </c>
      <c r="BM21" t="n">
        <v>1587505020.622</v>
      </c>
      <c r="BN21" t="n">
        <v>1601650107.223</v>
      </c>
      <c r="BO21" t="n">
        <v>1676496578.928</v>
      </c>
      <c r="BP21" t="n">
        <v>1549930762.967</v>
      </c>
      <c r="BQ21" t="n">
        <v>1537161823.037</v>
      </c>
      <c r="BR21" t="n">
        <v>1785044459.705</v>
      </c>
      <c r="BS21" t="n">
        <v>1476102972.957</v>
      </c>
      <c r="BT21" t="n">
        <v>1737037783.131</v>
      </c>
    </row>
    <row r="22">
      <c r="A22" t="inlineStr">
        <is>
          <t>sym_TE_asDC</t>
        </is>
      </c>
      <c r="B22" t="inlineStr">
        <is>
          <t>ok</t>
        </is>
      </c>
      <c r="C22" t="n">
        <v>711640266.46</v>
      </c>
      <c r="D22" t="n">
        <v>739792347.421</v>
      </c>
      <c r="E22" t="n">
        <v>762331332.429</v>
      </c>
      <c r="F22" t="n">
        <v>846821750.852</v>
      </c>
      <c r="G22" t="n">
        <v>886861429.4349999</v>
      </c>
      <c r="H22" t="n">
        <v>951320523.194</v>
      </c>
      <c r="I22" t="n">
        <v>922223820.725</v>
      </c>
      <c r="J22" t="n">
        <v>873492457.066</v>
      </c>
      <c r="K22" t="n">
        <v>819786289.0140001</v>
      </c>
      <c r="L22" t="n">
        <v>942483424.401</v>
      </c>
      <c r="M22" t="n">
        <v>1048596615.446</v>
      </c>
      <c r="N22" t="n">
        <v>953574084.158</v>
      </c>
      <c r="O22" t="n">
        <v>947263102.5140001</v>
      </c>
      <c r="P22" t="n">
        <v>984235505.747</v>
      </c>
      <c r="Q22" t="n">
        <v>1103435875.928</v>
      </c>
      <c r="R22" t="n">
        <v>1118416326.838</v>
      </c>
      <c r="S22" t="n">
        <v>1271740170.802</v>
      </c>
      <c r="T22" t="n">
        <v>1461662071.306</v>
      </c>
      <c r="U22" t="n">
        <v>1594972465.771</v>
      </c>
      <c r="V22" t="n">
        <v>1634820749.172</v>
      </c>
      <c r="W22" t="n">
        <v>1680670709.911</v>
      </c>
      <c r="X22" t="n">
        <v>1737340157.9</v>
      </c>
      <c r="Y22" t="n">
        <v>1676970376.086</v>
      </c>
      <c r="Z22" t="n">
        <v>1741030968.891</v>
      </c>
      <c r="AA22" t="n">
        <v>1832194183.398</v>
      </c>
      <c r="AB22" t="n">
        <v>1685116314.734</v>
      </c>
      <c r="AC22" t="n">
        <v>1858248464.187</v>
      </c>
      <c r="AD22" t="n">
        <v>2027232181.373</v>
      </c>
      <c r="AE22" t="n">
        <v>1995715366.235</v>
      </c>
      <c r="AF22" t="n">
        <v>2012125600.673</v>
      </c>
      <c r="AG22" t="n">
        <v>1928662018.426</v>
      </c>
      <c r="AH22" t="n">
        <v>1975782508.572</v>
      </c>
      <c r="AI22" t="n">
        <v>2079884016.088</v>
      </c>
      <c r="AJ22" t="n">
        <v>2083403219.459</v>
      </c>
      <c r="AK22" t="n">
        <v>2054243312.971</v>
      </c>
      <c r="AL22" t="n">
        <v>2006668181.495</v>
      </c>
      <c r="AM22" t="n">
        <v>2138902859.905</v>
      </c>
      <c r="AN22" t="n">
        <v>2045825764.557</v>
      </c>
      <c r="AO22" t="n">
        <v>2050787736.743</v>
      </c>
      <c r="AP22" t="n">
        <v>1998191816.812</v>
      </c>
      <c r="AQ22" t="n">
        <v>1997069892.792</v>
      </c>
      <c r="AR22" t="n">
        <v>1769733188.387</v>
      </c>
      <c r="AS22" t="n">
        <v>1632412981.839</v>
      </c>
      <c r="AT22" t="n">
        <v>1673583624.445</v>
      </c>
      <c r="AU22" t="n">
        <v>1855456543.366</v>
      </c>
      <c r="AV22" t="n">
        <v>1878046231.765</v>
      </c>
      <c r="AW22" t="n">
        <v>1949036484.676</v>
      </c>
      <c r="AX22" t="n">
        <v>1941696907.454</v>
      </c>
      <c r="AY22" t="n">
        <v>1820981280.928</v>
      </c>
      <c r="AZ22" t="n">
        <v>1675578765.269</v>
      </c>
      <c r="BA22" t="n">
        <v>1655911752.407</v>
      </c>
      <c r="BB22" t="n">
        <v>1606612899.506</v>
      </c>
      <c r="BC22" t="n">
        <v>1620135243.827</v>
      </c>
      <c r="BD22" t="n">
        <v>1668540761.378</v>
      </c>
      <c r="BE22" t="n">
        <v>1742759244.811</v>
      </c>
      <c r="BF22" t="n">
        <v>1715453950.958</v>
      </c>
      <c r="BG22" t="n">
        <v>1762668881.661</v>
      </c>
      <c r="BH22" t="n">
        <v>1314594170.099</v>
      </c>
      <c r="BI22" t="n">
        <v>1319316912.934</v>
      </c>
      <c r="BJ22" t="n">
        <v>1593180323.723</v>
      </c>
      <c r="BK22" t="n">
        <v>1672316730.095</v>
      </c>
      <c r="BL22" t="n">
        <v>1583826441.877</v>
      </c>
      <c r="BM22" t="n">
        <v>1564591546.78</v>
      </c>
      <c r="BN22" t="n">
        <v>1578436924.102</v>
      </c>
      <c r="BO22" t="n">
        <v>1652226232.093</v>
      </c>
      <c r="BP22" t="n">
        <v>1527526693.858</v>
      </c>
      <c r="BQ22" t="n">
        <v>1514858775.065</v>
      </c>
      <c r="BR22" t="n">
        <v>1758703449.579</v>
      </c>
      <c r="BS22" t="n">
        <v>1454676429.547</v>
      </c>
      <c r="BT22" t="n">
        <v>1711539183.464</v>
      </c>
    </row>
    <row r="23">
      <c r="A23" t="inlineStr">
        <is>
          <t>sym_GE_asPP</t>
        </is>
      </c>
      <c r="B23" t="inlineStr">
        <is>
          <t>ok</t>
        </is>
      </c>
      <c r="C23" t="n">
        <v>34147590.955</v>
      </c>
      <c r="D23" t="n">
        <v>37643941.39</v>
      </c>
      <c r="E23" t="n">
        <v>41189041.926</v>
      </c>
      <c r="F23" t="n">
        <v>40903488.779</v>
      </c>
      <c r="G23" t="n">
        <v>44890406.701</v>
      </c>
      <c r="H23" t="n">
        <v>47498118.265</v>
      </c>
      <c r="I23" t="n">
        <v>51834324.892</v>
      </c>
      <c r="J23" t="n">
        <v>53117083.993</v>
      </c>
      <c r="K23" t="n">
        <v>55477034.874</v>
      </c>
      <c r="L23" t="n">
        <v>54092495.328</v>
      </c>
      <c r="M23" t="n">
        <v>56404457.191</v>
      </c>
      <c r="N23" t="n">
        <v>56137066.954</v>
      </c>
      <c r="O23" t="n">
        <v>58330333.348</v>
      </c>
      <c r="P23" t="n">
        <v>55747061.36</v>
      </c>
      <c r="Q23" t="n">
        <v>54838204.239</v>
      </c>
      <c r="R23" t="n">
        <v>59583913.053</v>
      </c>
      <c r="S23" t="n">
        <v>60424110.024</v>
      </c>
      <c r="T23" t="n">
        <v>62003925.315</v>
      </c>
      <c r="U23" t="n">
        <v>64341218.681</v>
      </c>
      <c r="V23" t="n">
        <v>66942070.11</v>
      </c>
      <c r="W23" t="n">
        <v>71850719.412</v>
      </c>
      <c r="X23" t="n">
        <v>73106353.124</v>
      </c>
      <c r="Y23" t="n">
        <v>79098715.16500001</v>
      </c>
      <c r="Z23" t="n">
        <v>86550428.404</v>
      </c>
      <c r="AA23" t="n">
        <v>92962409.12</v>
      </c>
      <c r="AB23" t="n">
        <v>92019461.462</v>
      </c>
      <c r="AC23" t="n">
        <v>91387263.964</v>
      </c>
      <c r="AD23" t="n">
        <v>101547068.884</v>
      </c>
      <c r="AE23" t="n">
        <v>109165734.921</v>
      </c>
      <c r="AF23" t="n">
        <v>107399110.345</v>
      </c>
      <c r="AG23" t="n">
        <v>108767377.698</v>
      </c>
      <c r="AH23" t="n">
        <v>116511175.017</v>
      </c>
      <c r="AI23" t="n">
        <v>117327384.393</v>
      </c>
      <c r="AJ23" t="n">
        <v>120992129.416</v>
      </c>
      <c r="AK23" t="n">
        <v>130755697.175</v>
      </c>
      <c r="AL23" t="n">
        <v>127828723.49</v>
      </c>
      <c r="AM23" t="n">
        <v>140551808.297</v>
      </c>
      <c r="AN23" t="n">
        <v>138999771.636</v>
      </c>
      <c r="AO23" t="n">
        <v>144792574.126</v>
      </c>
      <c r="AP23" t="n">
        <v>146924932.716</v>
      </c>
      <c r="AQ23" t="n">
        <v>145815759.5</v>
      </c>
      <c r="AR23" t="n">
        <v>140411887.8</v>
      </c>
      <c r="AS23" t="n">
        <v>131520306.093</v>
      </c>
      <c r="AT23" t="n">
        <v>133487633.601</v>
      </c>
      <c r="AU23" t="n">
        <v>144815437.001</v>
      </c>
      <c r="AV23" t="n">
        <v>155606275.64</v>
      </c>
      <c r="AW23" t="n">
        <v>156931315.913</v>
      </c>
      <c r="AX23" t="n">
        <v>154451652.732</v>
      </c>
      <c r="AY23" t="n">
        <v>157128741.494</v>
      </c>
      <c r="AZ23" t="n">
        <v>148624204.786</v>
      </c>
      <c r="BA23" t="n">
        <v>145318698.296</v>
      </c>
      <c r="BB23" t="n">
        <v>149010399.703</v>
      </c>
      <c r="BC23" t="n">
        <v>146073209.675</v>
      </c>
      <c r="BD23" t="n">
        <v>149458548.415</v>
      </c>
      <c r="BE23" t="n">
        <v>157954861.865</v>
      </c>
      <c r="BF23" t="n">
        <v>155200340.961</v>
      </c>
      <c r="BG23" t="n">
        <v>157210102.263</v>
      </c>
      <c r="BH23" t="n">
        <v>154067988.64</v>
      </c>
      <c r="BI23" t="n">
        <v>161728424.486</v>
      </c>
      <c r="BJ23" t="n">
        <v>153710785.352</v>
      </c>
      <c r="BK23" t="n">
        <v>153764290.295</v>
      </c>
      <c r="BL23" t="n">
        <v>169188272.133</v>
      </c>
      <c r="BM23" t="n">
        <v>169979336.309</v>
      </c>
      <c r="BN23" t="n">
        <v>166152857.265</v>
      </c>
      <c r="BO23" t="n">
        <v>178143233.246</v>
      </c>
      <c r="BP23" t="n">
        <v>163153576.927</v>
      </c>
      <c r="BQ23" t="n">
        <v>158121153.892</v>
      </c>
      <c r="BR23" t="n">
        <v>153502122.129</v>
      </c>
      <c r="BS23" t="n">
        <v>150981698.246</v>
      </c>
      <c r="BT23" t="n">
        <v>155995338.361</v>
      </c>
    </row>
    <row r="24">
      <c r="A24" t="inlineStr">
        <is>
          <t>sym_GE_asDC</t>
        </is>
      </c>
      <c r="B24" t="inlineStr">
        <is>
          <t>ok</t>
        </is>
      </c>
      <c r="C24" t="n">
        <v>34147590.955</v>
      </c>
      <c r="D24" t="n">
        <v>37643941.39</v>
      </c>
      <c r="E24" t="n">
        <v>41189041.926</v>
      </c>
      <c r="F24" t="n">
        <v>40903488.779</v>
      </c>
      <c r="G24" t="n">
        <v>44890406.701</v>
      </c>
      <c r="H24" t="n">
        <v>47498118.265</v>
      </c>
      <c r="I24" t="n">
        <v>51834324.892</v>
      </c>
      <c r="J24" t="n">
        <v>53117083.993</v>
      </c>
      <c r="K24" t="n">
        <v>55477034.874</v>
      </c>
      <c r="L24" t="n">
        <v>54092495.328</v>
      </c>
      <c r="M24" t="n">
        <v>56404457.191</v>
      </c>
      <c r="N24" t="n">
        <v>56137066.954</v>
      </c>
      <c r="O24" t="n">
        <v>58330333.348</v>
      </c>
      <c r="P24" t="n">
        <v>55747061.36</v>
      </c>
      <c r="Q24" t="n">
        <v>54838204.239</v>
      </c>
      <c r="R24" t="n">
        <v>59583913.053</v>
      </c>
      <c r="S24" t="n">
        <v>60424110.024</v>
      </c>
      <c r="T24" t="n">
        <v>62003925.315</v>
      </c>
      <c r="U24" t="n">
        <v>64341218.681</v>
      </c>
      <c r="V24" t="n">
        <v>66942070.11</v>
      </c>
      <c r="W24" t="n">
        <v>71850719.412</v>
      </c>
      <c r="X24" t="n">
        <v>73106353.124</v>
      </c>
      <c r="Y24" t="n">
        <v>79098715.16500001</v>
      </c>
      <c r="Z24" t="n">
        <v>86550428.404</v>
      </c>
      <c r="AA24" t="n">
        <v>92962409.12</v>
      </c>
      <c r="AB24" t="n">
        <v>92019461.462</v>
      </c>
      <c r="AC24" t="n">
        <v>91387263.964</v>
      </c>
      <c r="AD24" t="n">
        <v>101547068.884</v>
      </c>
      <c r="AE24" t="n">
        <v>109165734.921</v>
      </c>
      <c r="AF24" t="n">
        <v>107399110.345</v>
      </c>
      <c r="AG24" t="n">
        <v>108767377.698</v>
      </c>
      <c r="AH24" t="n">
        <v>116511175.017</v>
      </c>
      <c r="AI24" t="n">
        <v>117327384.393</v>
      </c>
      <c r="AJ24" t="n">
        <v>120992129.416</v>
      </c>
      <c r="AK24" t="n">
        <v>130755697.175</v>
      </c>
      <c r="AL24" t="n">
        <v>127828723.49</v>
      </c>
      <c r="AM24" t="n">
        <v>140551808.297</v>
      </c>
      <c r="AN24" t="n">
        <v>138999771.636</v>
      </c>
      <c r="AO24" t="n">
        <v>144792574.126</v>
      </c>
      <c r="AP24" t="n">
        <v>146924932.716</v>
      </c>
      <c r="AQ24" t="n">
        <v>145815759.5</v>
      </c>
      <c r="AR24" t="n">
        <v>140411887.8</v>
      </c>
      <c r="AS24" t="n">
        <v>131520306.093</v>
      </c>
      <c r="AT24" t="n">
        <v>133487633.601</v>
      </c>
      <c r="AU24" t="n">
        <v>144815437.001</v>
      </c>
      <c r="AV24" t="n">
        <v>155606275.64</v>
      </c>
      <c r="AW24" t="n">
        <v>156931315.913</v>
      </c>
      <c r="AX24" t="n">
        <v>154451652.732</v>
      </c>
      <c r="AY24" t="n">
        <v>157128741.494</v>
      </c>
      <c r="AZ24" t="n">
        <v>148624204.786</v>
      </c>
      <c r="BA24" t="n">
        <v>145318698.296</v>
      </c>
      <c r="BB24" t="n">
        <v>149010399.703</v>
      </c>
      <c r="BC24" t="n">
        <v>146073209.675</v>
      </c>
      <c r="BD24" t="n">
        <v>149458548.415</v>
      </c>
      <c r="BE24" t="n">
        <v>157954861.865</v>
      </c>
      <c r="BF24" t="n">
        <v>155200340.961</v>
      </c>
      <c r="BG24" t="n">
        <v>157210102.263</v>
      </c>
      <c r="BH24" t="n">
        <v>154067988.64</v>
      </c>
      <c r="BI24" t="n">
        <v>161728424.486</v>
      </c>
      <c r="BJ24" t="n">
        <v>153710785.352</v>
      </c>
      <c r="BK24" t="n">
        <v>153764290.295</v>
      </c>
      <c r="BL24" t="n">
        <v>169188272.133</v>
      </c>
      <c r="BM24" t="n">
        <v>169979336.309</v>
      </c>
      <c r="BN24" t="n">
        <v>166152857.265</v>
      </c>
      <c r="BO24" t="n">
        <v>178143233.246</v>
      </c>
      <c r="BP24" t="n">
        <v>163153576.927</v>
      </c>
      <c r="BQ24" t="n">
        <v>158121153.892</v>
      </c>
      <c r="BR24" t="n">
        <v>153502122.129</v>
      </c>
      <c r="BS24" t="n">
        <v>150981698.246</v>
      </c>
      <c r="BT24" t="n">
        <v>155995338.361</v>
      </c>
    </row>
    <row r="25">
      <c r="A25" t="inlineStr">
        <is>
          <t>sym_WithEgestion_asPP</t>
        </is>
      </c>
      <c r="B25" t="inlineStr">
        <is>
          <t>ok</t>
        </is>
      </c>
      <c r="C25" t="n">
        <v>19397806.439</v>
      </c>
      <c r="D25" t="n">
        <v>21349446.433</v>
      </c>
      <c r="E25" t="n">
        <v>23218214.275</v>
      </c>
      <c r="F25" t="n">
        <v>23196290.436</v>
      </c>
      <c r="G25" t="n">
        <v>25481898.883</v>
      </c>
      <c r="H25" t="n">
        <v>26940584.215</v>
      </c>
      <c r="I25" t="n">
        <v>29319403.589</v>
      </c>
      <c r="J25" t="n">
        <v>30330901.102</v>
      </c>
      <c r="K25" t="n">
        <v>31674040.359</v>
      </c>
      <c r="L25" t="n">
        <v>30909866.787</v>
      </c>
      <c r="M25" t="n">
        <v>32098919.904</v>
      </c>
      <c r="N25" t="n">
        <v>32242258.431</v>
      </c>
      <c r="O25" t="n">
        <v>33420525.107</v>
      </c>
      <c r="P25" t="n">
        <v>31976143.396</v>
      </c>
      <c r="Q25" t="n">
        <v>31516605.483</v>
      </c>
      <c r="R25" t="n">
        <v>34341329.933</v>
      </c>
      <c r="S25" t="n">
        <v>34755664.373</v>
      </c>
      <c r="T25" t="n">
        <v>35670818.398</v>
      </c>
      <c r="U25" t="n">
        <v>37388230.387</v>
      </c>
      <c r="V25" t="n">
        <v>38876725.363</v>
      </c>
      <c r="W25" t="n">
        <v>41896547.929</v>
      </c>
      <c r="X25" t="n">
        <v>42407804.64</v>
      </c>
      <c r="Y25" t="n">
        <v>45574554.012</v>
      </c>
      <c r="Z25" t="n">
        <v>49883541.625</v>
      </c>
      <c r="AA25" t="n">
        <v>53627616.146</v>
      </c>
      <c r="AB25" t="n">
        <v>53512131.261</v>
      </c>
      <c r="AC25" t="n">
        <v>53373602.885</v>
      </c>
      <c r="AD25" t="n">
        <v>59705471.511</v>
      </c>
      <c r="AE25" t="n">
        <v>64629025.324</v>
      </c>
      <c r="AF25" t="n">
        <v>63178767.926</v>
      </c>
      <c r="AG25" t="n">
        <v>63850413.067</v>
      </c>
      <c r="AH25" t="n">
        <v>68380506.634</v>
      </c>
      <c r="AI25" t="n">
        <v>69088541.02599999</v>
      </c>
      <c r="AJ25" t="n">
        <v>71690472.486</v>
      </c>
      <c r="AK25" t="n">
        <v>77515455.434</v>
      </c>
      <c r="AL25" t="n">
        <v>75718040.559</v>
      </c>
      <c r="AM25" t="n">
        <v>83633461.76000001</v>
      </c>
      <c r="AN25" t="n">
        <v>82679793.796</v>
      </c>
      <c r="AO25" t="n">
        <v>86322351.859</v>
      </c>
      <c r="AP25" t="n">
        <v>87102233.949</v>
      </c>
      <c r="AQ25" t="n">
        <v>85887439.55500001</v>
      </c>
      <c r="AR25" t="n">
        <v>82228981.664</v>
      </c>
      <c r="AS25" t="n">
        <v>76857265.836</v>
      </c>
      <c r="AT25" t="n">
        <v>78406186.85600001</v>
      </c>
      <c r="AU25" t="n">
        <v>84278999.914</v>
      </c>
      <c r="AV25" t="n">
        <v>89860168.675</v>
      </c>
      <c r="AW25" t="n">
        <v>90696392.53200001</v>
      </c>
      <c r="AX25" t="n">
        <v>89664965.54799999</v>
      </c>
      <c r="AY25" t="n">
        <v>90364031.13</v>
      </c>
      <c r="AZ25" t="n">
        <v>85500456.861</v>
      </c>
      <c r="BA25" t="n">
        <v>83114082.94400001</v>
      </c>
      <c r="BB25" t="n">
        <v>85464526.508</v>
      </c>
      <c r="BC25" t="n">
        <v>83687903.223</v>
      </c>
      <c r="BD25" t="n">
        <v>86017165.184</v>
      </c>
      <c r="BE25" t="n">
        <v>90452575.977</v>
      </c>
      <c r="BF25" t="n">
        <v>89288226.704</v>
      </c>
      <c r="BG25" t="n">
        <v>89936339.39300001</v>
      </c>
      <c r="BH25" t="n">
        <v>87990998.594</v>
      </c>
      <c r="BI25" t="n">
        <v>92738205.369</v>
      </c>
      <c r="BJ25" t="n">
        <v>87893175.906</v>
      </c>
      <c r="BK25" t="n">
        <v>88034612.145</v>
      </c>
      <c r="BL25" t="n">
        <v>96787443.523</v>
      </c>
      <c r="BM25" t="n">
        <v>97324275.316</v>
      </c>
      <c r="BN25" t="n">
        <v>95091557.911</v>
      </c>
      <c r="BO25" t="n">
        <v>102065088.06</v>
      </c>
      <c r="BP25" t="n">
        <v>93719942.528</v>
      </c>
      <c r="BQ25" t="n">
        <v>90927800.719</v>
      </c>
      <c r="BR25" t="n">
        <v>88318506.846</v>
      </c>
      <c r="BS25" t="n">
        <v>87072392.436</v>
      </c>
      <c r="BT25" t="n">
        <v>90584312.479</v>
      </c>
    </row>
    <row r="26">
      <c r="A26" t="inlineStr">
        <is>
          <t>sym_WithEgestion_asDC</t>
        </is>
      </c>
      <c r="B26" t="inlineStr">
        <is>
          <t>ok</t>
        </is>
      </c>
      <c r="C26" t="n">
        <v>19397806.439</v>
      </c>
      <c r="D26" t="n">
        <v>21349446.433</v>
      </c>
      <c r="E26" t="n">
        <v>23218214.275</v>
      </c>
      <c r="F26" t="n">
        <v>23196290.436</v>
      </c>
      <c r="G26" t="n">
        <v>25481898.883</v>
      </c>
      <c r="H26" t="n">
        <v>26940584.215</v>
      </c>
      <c r="I26" t="n">
        <v>29319403.589</v>
      </c>
      <c r="J26" t="n">
        <v>30330901.102</v>
      </c>
      <c r="K26" t="n">
        <v>31674040.359</v>
      </c>
      <c r="L26" t="n">
        <v>30909866.787</v>
      </c>
      <c r="M26" t="n">
        <v>32098919.904</v>
      </c>
      <c r="N26" t="n">
        <v>32242258.431</v>
      </c>
      <c r="O26" t="n">
        <v>33420525.107</v>
      </c>
      <c r="P26" t="n">
        <v>31976143.396</v>
      </c>
      <c r="Q26" t="n">
        <v>31516605.483</v>
      </c>
      <c r="R26" t="n">
        <v>34341329.933</v>
      </c>
      <c r="S26" t="n">
        <v>34755664.373</v>
      </c>
      <c r="T26" t="n">
        <v>35670818.398</v>
      </c>
      <c r="U26" t="n">
        <v>37388230.387</v>
      </c>
      <c r="V26" t="n">
        <v>38876725.363</v>
      </c>
      <c r="W26" t="n">
        <v>41896547.929</v>
      </c>
      <c r="X26" t="n">
        <v>42407804.64</v>
      </c>
      <c r="Y26" t="n">
        <v>45574554.012</v>
      </c>
      <c r="Z26" t="n">
        <v>49883541.625</v>
      </c>
      <c r="AA26" t="n">
        <v>53627616.146</v>
      </c>
      <c r="AB26" t="n">
        <v>53512131.261</v>
      </c>
      <c r="AC26" t="n">
        <v>53373602.885</v>
      </c>
      <c r="AD26" t="n">
        <v>59705471.511</v>
      </c>
      <c r="AE26" t="n">
        <v>64629025.324</v>
      </c>
      <c r="AF26" t="n">
        <v>63178767.926</v>
      </c>
      <c r="AG26" t="n">
        <v>63850413.067</v>
      </c>
      <c r="AH26" t="n">
        <v>68380506.634</v>
      </c>
      <c r="AI26" t="n">
        <v>69088541.02599999</v>
      </c>
      <c r="AJ26" t="n">
        <v>71690472.486</v>
      </c>
      <c r="AK26" t="n">
        <v>77515455.434</v>
      </c>
      <c r="AL26" t="n">
        <v>75718040.559</v>
      </c>
      <c r="AM26" t="n">
        <v>83633461.76000001</v>
      </c>
      <c r="AN26" t="n">
        <v>82679793.796</v>
      </c>
      <c r="AO26" t="n">
        <v>86322351.859</v>
      </c>
      <c r="AP26" t="n">
        <v>87102233.949</v>
      </c>
      <c r="AQ26" t="n">
        <v>85887439.55500001</v>
      </c>
      <c r="AR26" t="n">
        <v>82228981.664</v>
      </c>
      <c r="AS26" t="n">
        <v>76857265.836</v>
      </c>
      <c r="AT26" t="n">
        <v>78406186.85600001</v>
      </c>
      <c r="AU26" t="n">
        <v>84278999.914</v>
      </c>
      <c r="AV26" t="n">
        <v>89860168.675</v>
      </c>
      <c r="AW26" t="n">
        <v>90696392.53200001</v>
      </c>
      <c r="AX26" t="n">
        <v>89664965.54799999</v>
      </c>
      <c r="AY26" t="n">
        <v>90364031.13</v>
      </c>
      <c r="AZ26" t="n">
        <v>85500456.861</v>
      </c>
      <c r="BA26" t="n">
        <v>83114082.94400001</v>
      </c>
      <c r="BB26" t="n">
        <v>85464526.508</v>
      </c>
      <c r="BC26" t="n">
        <v>83687903.223</v>
      </c>
      <c r="BD26" t="n">
        <v>86017165.184</v>
      </c>
      <c r="BE26" t="n">
        <v>90452575.977</v>
      </c>
      <c r="BF26" t="n">
        <v>89288226.704</v>
      </c>
      <c r="BG26" t="n">
        <v>89936339.39300001</v>
      </c>
      <c r="BH26" t="n">
        <v>87990998.594</v>
      </c>
      <c r="BI26" t="n">
        <v>92738205.369</v>
      </c>
      <c r="BJ26" t="n">
        <v>87893175.906</v>
      </c>
      <c r="BK26" t="n">
        <v>88034612.145</v>
      </c>
      <c r="BL26" t="n">
        <v>96787443.523</v>
      </c>
      <c r="BM26" t="n">
        <v>97324275.316</v>
      </c>
      <c r="BN26" t="n">
        <v>95091557.911</v>
      </c>
      <c r="BO26" t="n">
        <v>102065088.06</v>
      </c>
      <c r="BP26" t="n">
        <v>93719942.528</v>
      </c>
      <c r="BQ26" t="n">
        <v>90927800.719</v>
      </c>
      <c r="BR26" t="n">
        <v>88318506.846</v>
      </c>
      <c r="BS26" t="n">
        <v>87072392.436</v>
      </c>
      <c r="BT26" t="n">
        <v>90584312.479</v>
      </c>
    </row>
    <row r="27">
      <c r="A27" t="inlineStr">
        <is>
          <t>MC_new_GE</t>
        </is>
      </c>
      <c r="B27" t="inlineStr">
        <is>
          <t>ok</t>
        </is>
      </c>
      <c r="C27" t="n">
        <v>34806093.614</v>
      </c>
      <c r="D27" t="n">
        <v>38352748.754</v>
      </c>
      <c r="E27" t="n">
        <v>41948118.801</v>
      </c>
      <c r="F27" t="n">
        <v>41661954.958</v>
      </c>
      <c r="G27" t="n">
        <v>45735409.474</v>
      </c>
      <c r="H27" t="n">
        <v>48395159.525</v>
      </c>
      <c r="I27" t="n">
        <v>52793911.123</v>
      </c>
      <c r="J27" t="n">
        <v>54128609.895</v>
      </c>
      <c r="K27" t="n">
        <v>56546390.686</v>
      </c>
      <c r="L27" t="n">
        <v>55136950.672</v>
      </c>
      <c r="M27" t="n">
        <v>57534393.274</v>
      </c>
      <c r="N27" t="n">
        <v>57231137.122</v>
      </c>
      <c r="O27" t="n">
        <v>59452699.739</v>
      </c>
      <c r="P27" t="n">
        <v>56801937.138</v>
      </c>
      <c r="Q27" t="n">
        <v>55910848.067</v>
      </c>
      <c r="R27" t="n">
        <v>60749289.141</v>
      </c>
      <c r="S27" t="n">
        <v>61613012.097</v>
      </c>
      <c r="T27" t="n">
        <v>63236604.607</v>
      </c>
      <c r="U27" t="n">
        <v>65612017.382</v>
      </c>
      <c r="V27" t="n">
        <v>68267348.82799999</v>
      </c>
      <c r="W27" t="n">
        <v>73293302.706</v>
      </c>
      <c r="X27" t="n">
        <v>74577607.697</v>
      </c>
      <c r="Y27" t="n">
        <v>80656147.71799999</v>
      </c>
      <c r="Z27" t="n">
        <v>88257751.168</v>
      </c>
      <c r="AA27" t="n">
        <v>94806851.755</v>
      </c>
      <c r="AB27" t="n">
        <v>93883287.559</v>
      </c>
      <c r="AC27" t="n">
        <v>93214043.772</v>
      </c>
      <c r="AD27" t="n">
        <v>103569302.756</v>
      </c>
      <c r="AE27" t="n">
        <v>111329349.205</v>
      </c>
      <c r="AF27" t="n">
        <v>109501337.239</v>
      </c>
      <c r="AG27" t="n">
        <v>110880240.936</v>
      </c>
      <c r="AH27" t="n">
        <v>118666919.228</v>
      </c>
      <c r="AI27" t="n">
        <v>119476060.42</v>
      </c>
      <c r="AJ27" t="n">
        <v>123124239.869</v>
      </c>
      <c r="AK27" t="n">
        <v>133077415.696</v>
      </c>
      <c r="AL27" t="n">
        <v>130176274.459</v>
      </c>
      <c r="AM27" t="n">
        <v>143171830.706</v>
      </c>
      <c r="AN27" t="n">
        <v>141529375.541</v>
      </c>
      <c r="AO27" t="n">
        <v>147441448.705</v>
      </c>
      <c r="AP27" t="n">
        <v>149650343.329</v>
      </c>
      <c r="AQ27" t="n">
        <v>148557117.687</v>
      </c>
      <c r="AR27" t="n">
        <v>142994903.464</v>
      </c>
      <c r="AS27" t="n">
        <v>133924695.771</v>
      </c>
      <c r="AT27" t="n">
        <v>135912611.764</v>
      </c>
      <c r="AU27" t="n">
        <v>147472699.947</v>
      </c>
      <c r="AV27" t="n">
        <v>158473718.25</v>
      </c>
      <c r="AW27" t="n">
        <v>159954958.555</v>
      </c>
      <c r="AX27" t="n">
        <v>157433761.451</v>
      </c>
      <c r="AY27" t="n">
        <v>160115630.505</v>
      </c>
      <c r="AZ27" t="n">
        <v>151410044.153</v>
      </c>
      <c r="BA27" t="n">
        <v>148028924.785</v>
      </c>
      <c r="BB27" t="n">
        <v>151793760.666</v>
      </c>
      <c r="BC27" t="n">
        <v>148821122.631</v>
      </c>
      <c r="BD27" t="n">
        <v>152321821.895</v>
      </c>
      <c r="BE27" t="n">
        <v>161005100.22</v>
      </c>
      <c r="BF27" t="n">
        <v>158187643.337</v>
      </c>
      <c r="BG27" t="n">
        <v>160206867.018</v>
      </c>
      <c r="BH27" t="n">
        <v>157028408.881</v>
      </c>
      <c r="BI27" t="n">
        <v>164817883.571</v>
      </c>
      <c r="BJ27" t="n">
        <v>156682960.71</v>
      </c>
      <c r="BK27" t="n">
        <v>156713932.73</v>
      </c>
      <c r="BL27" t="n">
        <v>172456608.053</v>
      </c>
      <c r="BM27" t="n">
        <v>173267084.889</v>
      </c>
      <c r="BN27" t="n">
        <v>169361269.332</v>
      </c>
      <c r="BO27" t="n">
        <v>181544178.451</v>
      </c>
      <c r="BP27" t="n">
        <v>166250289.205</v>
      </c>
      <c r="BQ27" t="n">
        <v>161127949.538</v>
      </c>
      <c r="BR27" t="n">
        <v>156386638.573</v>
      </c>
      <c r="BS27" t="n">
        <v>153819595.991</v>
      </c>
      <c r="BT27" t="n">
        <v>158832801.155</v>
      </c>
    </row>
    <row r="28">
      <c r="A28" t="inlineStr">
        <is>
          <t>MC_new_TE_EEfix</t>
        </is>
      </c>
      <c r="B28" t="inlineStr">
        <is>
          <t>ok</t>
        </is>
      </c>
      <c r="C28" t="n">
        <v>176339015.161</v>
      </c>
      <c r="D28" t="n">
        <v>192270957.316</v>
      </c>
      <c r="E28" t="n">
        <v>206782864.634</v>
      </c>
      <c r="F28" t="n">
        <v>206428198.052</v>
      </c>
      <c r="G28" t="n">
        <v>230514124.142</v>
      </c>
      <c r="H28" t="n">
        <v>247062836.1</v>
      </c>
      <c r="I28" t="n">
        <v>266136048.585</v>
      </c>
      <c r="J28" t="n">
        <v>279991487.069</v>
      </c>
      <c r="K28" t="n">
        <v>295359135.311</v>
      </c>
      <c r="L28" t="n">
        <v>288937277.852</v>
      </c>
      <c r="M28" t="n">
        <v>301019252.598</v>
      </c>
      <c r="N28" t="n">
        <v>293603090.288</v>
      </c>
      <c r="O28" t="n">
        <v>300124947.839</v>
      </c>
      <c r="P28" t="n">
        <v>288088743.776</v>
      </c>
      <c r="Q28" t="n">
        <v>292514536.005</v>
      </c>
      <c r="R28" t="n">
        <v>316499143.499</v>
      </c>
      <c r="S28" t="n">
        <v>321489796.72</v>
      </c>
      <c r="T28" t="n">
        <v>335491078.42</v>
      </c>
      <c r="U28" t="n">
        <v>340000376.452</v>
      </c>
      <c r="V28" t="n">
        <v>353721695.669</v>
      </c>
      <c r="W28" t="n">
        <v>373319867.195</v>
      </c>
      <c r="X28" t="n">
        <v>387645077.669</v>
      </c>
      <c r="Y28" t="n">
        <v>414319580.664</v>
      </c>
      <c r="Z28" t="n">
        <v>456067199.467</v>
      </c>
      <c r="AA28" t="n">
        <v>484268627.256</v>
      </c>
      <c r="AB28" t="n">
        <v>472915720.757</v>
      </c>
      <c r="AC28" t="n">
        <v>468133580.74</v>
      </c>
      <c r="AD28" t="n">
        <v>510026752.703</v>
      </c>
      <c r="AE28" t="n">
        <v>536552145.019</v>
      </c>
      <c r="AF28" t="n">
        <v>537934063.24</v>
      </c>
      <c r="AG28" t="n">
        <v>552617552.2180001</v>
      </c>
      <c r="AH28" t="n">
        <v>590787045.622</v>
      </c>
      <c r="AI28" t="n">
        <v>590945014.765</v>
      </c>
      <c r="AJ28" t="n">
        <v>592959775.4220001</v>
      </c>
      <c r="AK28" t="n">
        <v>642189438.9809999</v>
      </c>
      <c r="AL28" t="n">
        <v>637146461.761</v>
      </c>
      <c r="AM28" t="n">
        <v>696272174.275</v>
      </c>
      <c r="AN28" t="n">
        <v>700760887.857</v>
      </c>
      <c r="AO28" t="n">
        <v>713622644.102</v>
      </c>
      <c r="AP28" t="n">
        <v>750162857.289</v>
      </c>
      <c r="AQ28" t="n">
        <v>749136957.056</v>
      </c>
      <c r="AR28" t="n">
        <v>741708632.168</v>
      </c>
      <c r="AS28" t="n">
        <v>696252530.6440001</v>
      </c>
      <c r="AT28" t="n">
        <v>700627797.391</v>
      </c>
      <c r="AU28" t="n">
        <v>781795452.585</v>
      </c>
      <c r="AV28" t="n">
        <v>857819007.822</v>
      </c>
      <c r="AW28" t="n">
        <v>893401640.029</v>
      </c>
      <c r="AX28" t="n">
        <v>850381947.533</v>
      </c>
      <c r="AY28" t="n">
        <v>874190251.576</v>
      </c>
      <c r="AZ28" t="n">
        <v>830650131.478</v>
      </c>
      <c r="BA28" t="n">
        <v>817544941.526</v>
      </c>
      <c r="BB28" t="n">
        <v>833776044.326</v>
      </c>
      <c r="BC28" t="n">
        <v>827275229.263</v>
      </c>
      <c r="BD28" t="n">
        <v>838965491.388</v>
      </c>
      <c r="BE28" t="n">
        <v>892839130.641</v>
      </c>
      <c r="BF28" t="n">
        <v>873882381.948</v>
      </c>
      <c r="BG28" t="n">
        <v>886031507.614</v>
      </c>
      <c r="BH28" t="n">
        <v>879278476.637</v>
      </c>
      <c r="BI28" t="n">
        <v>907672358.4910001</v>
      </c>
      <c r="BJ28" t="n">
        <v>875668275.4299999</v>
      </c>
      <c r="BK28" t="n">
        <v>870803265.466</v>
      </c>
      <c r="BL28" t="n">
        <v>949946477.619</v>
      </c>
      <c r="BM28" t="n">
        <v>950992838.291</v>
      </c>
      <c r="BN28" t="n">
        <v>922836135.7359999</v>
      </c>
      <c r="BO28" t="n">
        <v>975225397.931</v>
      </c>
      <c r="BP28" t="n">
        <v>892264926.673</v>
      </c>
      <c r="BQ28" t="n">
        <v>854447497.533</v>
      </c>
      <c r="BR28" t="n">
        <v>830579706.88</v>
      </c>
      <c r="BS28" t="n">
        <v>812230061.848</v>
      </c>
      <c r="BT28" t="n">
        <v>823327719.26</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21" customWidth="1" min="5" max="5"/>
    <col width="21" customWidth="1" min="6" max="6"/>
    <col width="21" customWidth="1" min="7" max="7"/>
    <col width="21" customWidth="1" min="8" max="8"/>
    <col width="21" customWidth="1" min="9" max="9"/>
    <col width="21" customWidth="1" min="10" max="10"/>
    <col width="21" customWidth="1" min="11" max="11"/>
    <col width="21" customWidth="1" min="12" max="12"/>
    <col width="21" customWidth="1" min="13" max="13"/>
    <col width="21" customWidth="1" min="14" max="14"/>
    <col width="21" customWidth="1" min="15" max="15"/>
    <col width="21" customWidth="1" min="16" max="16"/>
    <col width="21" customWidth="1" min="17" max="17"/>
    <col width="21" customWidth="1" min="18" max="18"/>
    <col width="21" customWidth="1" min="19" max="19"/>
    <col width="21" customWidth="1" min="20" max="20"/>
    <col width="21" customWidth="1" min="21" max="21"/>
    <col width="21" customWidth="1" min="22" max="22"/>
    <col width="21" customWidth="1" min="23" max="23"/>
    <col width="21" customWidth="1" min="24" max="24"/>
  </cols>
  <sheetData>
    <row r="1">
      <c r="A1" s="1" t="inlineStr">
        <is>
          <t>Specific PPR per taxon — LME_047, model 47_1_East_China_Sea_(1997)</t>
        </is>
      </c>
    </row>
    <row r="2">
      <c r="A2" t="inlineStr">
        <is>
          <t>sppr_simple is the trophic-chain estimate (1/TE)^(TL-1) at TE=0.1, applied to the taxon's own trophic level and needing no model.</t>
        </is>
      </c>
    </row>
    <row r="3">
      <c r="A3" t="inlineStr">
        <is>
          <t>Primary producers only; excludes detritus and imports. Blank means unavailable, not zero. sppr_simple is an unpartitioned reference.</t>
        </is>
      </c>
    </row>
    <row r="4" ht="42" customHeight="1">
      <c r="A4" s="13" t="inlineStr">
        <is>
          <t>taxon</t>
        </is>
      </c>
      <c r="B4" s="13" t="inlineStr">
        <is>
          <t>trophic_level</t>
        </is>
      </c>
      <c r="C4" s="13" t="inlineStr">
        <is>
          <t>sppr_simple</t>
        </is>
      </c>
      <c r="D4" s="13" t="inlineStr">
        <is>
          <t>Ecopath group</t>
        </is>
      </c>
      <c r="E4" s="13" t="inlineStr">
        <is>
          <t>SPPR_1986</t>
        </is>
      </c>
      <c r="F4" s="13" t="inlineStr">
        <is>
          <t>SPPR_1995_TE0.1</t>
        </is>
      </c>
      <c r="G4" s="13" t="inlineStr">
        <is>
          <t>SPPR_1995_TEmean</t>
        </is>
      </c>
      <c r="H4" s="13" t="inlineStr">
        <is>
          <t>Ulanowicz_globalTEmean</t>
        </is>
      </c>
      <c r="I4" s="13" t="inlineStr">
        <is>
          <t>Ulanowicz_TE</t>
        </is>
      </c>
      <c r="J4" s="13" t="inlineStr">
        <is>
          <t>EwE_TE_noEE</t>
        </is>
      </c>
      <c r="K4" s="13" t="inlineStr">
        <is>
          <t>EwE_TE_EE</t>
        </is>
      </c>
      <c r="L4" s="13" t="inlineStr">
        <is>
          <t>SPPR_2015</t>
        </is>
      </c>
      <c r="M4" s="13" t="inlineStr">
        <is>
          <t>new_TE_noEEfix</t>
        </is>
      </c>
      <c r="N4" s="13" t="inlineStr">
        <is>
          <t>new_TE_EEfix</t>
        </is>
      </c>
      <c r="O4" s="13" t="inlineStr">
        <is>
          <t>new_GE</t>
        </is>
      </c>
      <c r="P4" s="13" t="inlineStr">
        <is>
          <t>new_WithEgestion</t>
        </is>
      </c>
      <c r="Q4" s="13" t="inlineStr">
        <is>
          <t>sym_TE_asPP</t>
        </is>
      </c>
      <c r="R4" s="13" t="inlineStr">
        <is>
          <t>sym_TE_asDC</t>
        </is>
      </c>
      <c r="S4" s="13" t="inlineStr">
        <is>
          <t>sym_GE_asPP</t>
        </is>
      </c>
      <c r="T4" s="13" t="inlineStr">
        <is>
          <t>sym_GE_asDC</t>
        </is>
      </c>
      <c r="U4" s="13" t="inlineStr">
        <is>
          <t>sym_WithEgestion_asPP</t>
        </is>
      </c>
      <c r="V4" s="13" t="inlineStr">
        <is>
          <t>sym_WithEgestion_asDC</t>
        </is>
      </c>
      <c r="W4" s="13" t="inlineStr">
        <is>
          <t>MC_new_GE</t>
        </is>
      </c>
      <c r="X4" s="13" t="inlineStr">
        <is>
          <t>MC_new_TE_EEfix</t>
        </is>
      </c>
    </row>
    <row r="5" ht="51" customHeight="1">
      <c r="A5" t="inlineStr">
        <is>
          <t>Marine fishes not identified</t>
        </is>
      </c>
      <c r="B5" t="n">
        <v>3.28</v>
      </c>
      <c r="C5" t="n">
        <v>190.546072</v>
      </c>
      <c r="D5" s="10" t="inlineStr">
        <is>
          <t>Benthivores | Piscivores | Planktivores/piscivores | Benthivores/piscivores | Omnivores</t>
        </is>
      </c>
      <c r="H5" t="n">
        <v>1.024796</v>
      </c>
      <c r="I5" t="n">
        <v>110.120645</v>
      </c>
      <c r="J5" t="n">
        <v>114.49157</v>
      </c>
      <c r="K5" t="n">
        <v>69.007428</v>
      </c>
      <c r="L5" t="n">
        <v>287.676992</v>
      </c>
      <c r="M5" t="n">
        <v>176.27764</v>
      </c>
      <c r="N5" t="n">
        <v>176.27764</v>
      </c>
      <c r="O5" t="n">
        <v>18.513266</v>
      </c>
      <c r="P5" t="n">
        <v>10.119161</v>
      </c>
      <c r="Q5" t="n">
        <v>176.27764</v>
      </c>
      <c r="R5" t="n">
        <v>176.27764</v>
      </c>
      <c r="S5" t="n">
        <v>18.513266</v>
      </c>
      <c r="T5" t="n">
        <v>18.513266</v>
      </c>
      <c r="U5" t="n">
        <v>10.119161</v>
      </c>
      <c r="V5" t="n">
        <v>10.119161</v>
      </c>
      <c r="W5" t="n">
        <v>18.960131</v>
      </c>
      <c r="X5" t="n">
        <v>135.087724</v>
      </c>
    </row>
    <row r="6" ht="21" customHeight="1">
      <c r="A6" t="inlineStr">
        <is>
          <t>Sardinops sagax</t>
        </is>
      </c>
      <c r="B6" t="n">
        <v>2.84</v>
      </c>
      <c r="C6" t="n">
        <v>69.183097</v>
      </c>
      <c r="D6" s="10" t="inlineStr">
        <is>
          <t>Planktivores</t>
        </is>
      </c>
      <c r="H6" t="n">
        <v>1.333042</v>
      </c>
      <c r="I6" t="n">
        <v>37.009201</v>
      </c>
      <c r="J6" t="n">
        <v>37.009201</v>
      </c>
      <c r="K6" t="n">
        <v>36.935183</v>
      </c>
      <c r="L6" t="n">
        <v>51.741399</v>
      </c>
      <c r="M6" t="n">
        <v>37.478814</v>
      </c>
      <c r="N6" t="n">
        <v>37.478814</v>
      </c>
      <c r="O6" t="n">
        <v>11.531637</v>
      </c>
      <c r="P6" t="n">
        <v>7.348688</v>
      </c>
      <c r="Q6" t="n">
        <v>37.478814</v>
      </c>
      <c r="R6" t="n">
        <v>37.478814</v>
      </c>
      <c r="S6" t="n">
        <v>11.531637</v>
      </c>
      <c r="T6" t="n">
        <v>11.531637</v>
      </c>
      <c r="U6" t="n">
        <v>7.348688</v>
      </c>
      <c r="V6" t="n">
        <v>7.348688</v>
      </c>
      <c r="W6" t="n">
        <v>11.569189</v>
      </c>
      <c r="X6" t="n">
        <v>39.082275</v>
      </c>
    </row>
    <row r="7" ht="21" customHeight="1">
      <c r="A7" t="inlineStr">
        <is>
          <t>Trichiurus lepturus</t>
        </is>
      </c>
      <c r="B7" t="n">
        <v>4.42</v>
      </c>
      <c r="C7" t="n">
        <v>2630.267992</v>
      </c>
      <c r="D7" s="10" t="inlineStr">
        <is>
          <t>Hairtails</t>
        </is>
      </c>
      <c r="H7" t="n">
        <v>1.251806</v>
      </c>
      <c r="I7" t="n">
        <v>147.285093</v>
      </c>
      <c r="J7" t="n">
        <v>158.837719</v>
      </c>
      <c r="K7" t="n">
        <v>158.520043</v>
      </c>
      <c r="L7" t="n">
        <v>395.11592</v>
      </c>
      <c r="M7" t="n">
        <v>251.58133</v>
      </c>
      <c r="N7" t="n">
        <v>251.58133</v>
      </c>
      <c r="O7" t="n">
        <v>40.99243</v>
      </c>
      <c r="P7" t="n">
        <v>20.543047</v>
      </c>
      <c r="Q7" t="n">
        <v>251.58133</v>
      </c>
      <c r="R7" t="n">
        <v>251.58133</v>
      </c>
      <c r="S7" t="n">
        <v>40.99243</v>
      </c>
      <c r="T7" t="n">
        <v>40.99243</v>
      </c>
      <c r="U7" t="n">
        <v>20.543047</v>
      </c>
      <c r="V7" t="n">
        <v>20.543047</v>
      </c>
      <c r="W7" t="n">
        <v>41.211529</v>
      </c>
      <c r="X7" t="n">
        <v>254.994354</v>
      </c>
    </row>
    <row r="8" ht="21" customHeight="1">
      <c r="A8" t="inlineStr">
        <is>
          <t>Engraulis japonicus</t>
        </is>
      </c>
      <c r="B8" t="n">
        <v>3.14</v>
      </c>
      <c r="C8" t="n">
        <v>138.038426</v>
      </c>
      <c r="D8" s="10" t="inlineStr">
        <is>
          <t>Planktivores</t>
        </is>
      </c>
      <c r="H8" t="n">
        <v>1.333042</v>
      </c>
      <c r="I8" t="n">
        <v>37.009201</v>
      </c>
      <c r="J8" t="n">
        <v>37.009201</v>
      </c>
      <c r="K8" t="n">
        <v>36.935183</v>
      </c>
      <c r="L8" t="n">
        <v>51.741399</v>
      </c>
      <c r="M8" t="n">
        <v>37.478814</v>
      </c>
      <c r="N8" t="n">
        <v>37.478814</v>
      </c>
      <c r="O8" t="n">
        <v>11.531637</v>
      </c>
      <c r="P8" t="n">
        <v>7.348688</v>
      </c>
      <c r="Q8" t="n">
        <v>37.478814</v>
      </c>
      <c r="R8" t="n">
        <v>37.478814</v>
      </c>
      <c r="S8" t="n">
        <v>11.531637</v>
      </c>
      <c r="T8" t="n">
        <v>11.531637</v>
      </c>
      <c r="U8" t="n">
        <v>7.348688</v>
      </c>
      <c r="V8" t="n">
        <v>7.348688</v>
      </c>
      <c r="W8" t="n">
        <v>11.569189</v>
      </c>
      <c r="X8" t="n">
        <v>39.082275</v>
      </c>
    </row>
    <row r="9" ht="21" customHeight="1">
      <c r="A9" t="inlineStr">
        <is>
          <t>Scomber japonicus</t>
        </is>
      </c>
      <c r="B9" t="n">
        <v>3.38</v>
      </c>
      <c r="C9" t="n">
        <v>239.883292</v>
      </c>
      <c r="D9" s="10" t="inlineStr">
        <is>
          <t>Planktivores/Benthivores</t>
        </is>
      </c>
      <c r="H9" t="n">
        <v>1.33567</v>
      </c>
      <c r="I9" t="n">
        <v>86.853463</v>
      </c>
      <c r="J9" t="n">
        <v>86.853463</v>
      </c>
      <c r="K9" t="n">
        <v>79.557772</v>
      </c>
      <c r="L9" t="n">
        <v>118.840107</v>
      </c>
      <c r="M9" t="n">
        <v>86.862765</v>
      </c>
      <c r="N9" t="n">
        <v>86.862765</v>
      </c>
      <c r="O9" t="n">
        <v>24.72823</v>
      </c>
      <c r="P9" t="n">
        <v>15.835666</v>
      </c>
      <c r="Q9" t="n">
        <v>86.862765</v>
      </c>
      <c r="R9" t="n">
        <v>86.862765</v>
      </c>
      <c r="S9" t="n">
        <v>24.72823</v>
      </c>
      <c r="T9" t="n">
        <v>24.72823</v>
      </c>
      <c r="U9" t="n">
        <v>15.835666</v>
      </c>
      <c r="V9" t="n">
        <v>15.835666</v>
      </c>
      <c r="W9" t="n">
        <v>25.146714</v>
      </c>
      <c r="X9" t="n">
        <v>89.088459</v>
      </c>
    </row>
    <row r="10" ht="21" customHeight="1">
      <c r="A10" t="inlineStr">
        <is>
          <t>Scomber</t>
        </is>
      </c>
      <c r="B10" t="n">
        <v>3.65</v>
      </c>
      <c r="C10" t="n">
        <v>446.683592</v>
      </c>
      <c r="D10" s="10" t="inlineStr">
        <is>
          <t>Planktivores/Benthivores</t>
        </is>
      </c>
      <c r="H10" t="n">
        <v>1.33567</v>
      </c>
      <c r="I10" t="n">
        <v>86.853463</v>
      </c>
      <c r="J10" t="n">
        <v>86.853463</v>
      </c>
      <c r="K10" t="n">
        <v>79.557772</v>
      </c>
      <c r="L10" t="n">
        <v>118.840107</v>
      </c>
      <c r="M10" t="n">
        <v>86.862765</v>
      </c>
      <c r="N10" t="n">
        <v>86.862765</v>
      </c>
      <c r="O10" t="n">
        <v>24.72823</v>
      </c>
      <c r="P10" t="n">
        <v>15.835666</v>
      </c>
      <c r="Q10" t="n">
        <v>86.862765</v>
      </c>
      <c r="R10" t="n">
        <v>86.862765</v>
      </c>
      <c r="S10" t="n">
        <v>24.72823</v>
      </c>
      <c r="T10" t="n">
        <v>24.72823</v>
      </c>
      <c r="U10" t="n">
        <v>15.835666</v>
      </c>
      <c r="V10" t="n">
        <v>15.835666</v>
      </c>
      <c r="W10" t="n">
        <v>25.146714</v>
      </c>
      <c r="X10" t="n">
        <v>89.088459</v>
      </c>
    </row>
    <row r="11" ht="21" customHeight="1">
      <c r="A11" t="inlineStr">
        <is>
          <t>Cololabis saira</t>
        </is>
      </c>
      <c r="B11" t="n">
        <v>3.71</v>
      </c>
      <c r="C11" t="n">
        <v>512.861384</v>
      </c>
      <c r="D11" s="10" t="inlineStr">
        <is>
          <t>Planktivores</t>
        </is>
      </c>
      <c r="H11" t="n">
        <v>1.333042</v>
      </c>
      <c r="I11" t="n">
        <v>37.009201</v>
      </c>
      <c r="J11" t="n">
        <v>37.009201</v>
      </c>
      <c r="K11" t="n">
        <v>36.935183</v>
      </c>
      <c r="L11" t="n">
        <v>51.741399</v>
      </c>
      <c r="M11" t="n">
        <v>37.478814</v>
      </c>
      <c r="N11" t="n">
        <v>37.478814</v>
      </c>
      <c r="O11" t="n">
        <v>11.531637</v>
      </c>
      <c r="P11" t="n">
        <v>7.348688</v>
      </c>
      <c r="Q11" t="n">
        <v>37.478814</v>
      </c>
      <c r="R11" t="n">
        <v>37.478814</v>
      </c>
      <c r="S11" t="n">
        <v>11.531637</v>
      </c>
      <c r="T11" t="n">
        <v>11.531637</v>
      </c>
      <c r="U11" t="n">
        <v>7.348688</v>
      </c>
      <c r="V11" t="n">
        <v>7.348688</v>
      </c>
      <c r="W11" t="n">
        <v>11.569189</v>
      </c>
      <c r="X11" t="n">
        <v>39.082275</v>
      </c>
    </row>
    <row r="12" ht="21" customHeight="1">
      <c r="A12" t="inlineStr">
        <is>
          <t>Mollusca</t>
        </is>
      </c>
      <c r="B12" t="n">
        <v>2.1</v>
      </c>
      <c r="C12" t="n">
        <v>12.589254</v>
      </c>
      <c r="D12" s="10" t="inlineStr">
        <is>
          <t>Mollusks</t>
        </is>
      </c>
      <c r="H12" t="n">
        <v>0.386637</v>
      </c>
      <c r="I12" t="n">
        <v>5.936061</v>
      </c>
      <c r="J12" t="n">
        <v>5.936061</v>
      </c>
      <c r="K12" t="n">
        <v>1.780818</v>
      </c>
      <c r="L12" t="n">
        <v>17.186608</v>
      </c>
      <c r="M12" t="n">
        <v>6.329922</v>
      </c>
      <c r="N12" t="n">
        <v>6.329922</v>
      </c>
      <c r="O12" t="n">
        <v>0.986753</v>
      </c>
      <c r="P12" t="n">
        <v>0.712886</v>
      </c>
      <c r="Q12" t="n">
        <v>6.329922</v>
      </c>
      <c r="R12" t="n">
        <v>6.329922</v>
      </c>
      <c r="S12" t="n">
        <v>0.986753</v>
      </c>
      <c r="T12" t="n">
        <v>0.986753</v>
      </c>
      <c r="U12" t="n">
        <v>0.712886</v>
      </c>
      <c r="V12" t="n">
        <v>0.712886</v>
      </c>
      <c r="W12" t="n">
        <v>0.98107</v>
      </c>
      <c r="X12" t="n">
        <v>6.573538</v>
      </c>
    </row>
    <row r="13" ht="21" customHeight="1">
      <c r="A13" t="inlineStr">
        <is>
          <t>Miscellaneous marine crustaceans</t>
        </is>
      </c>
      <c r="B13" t="n">
        <v>2.7</v>
      </c>
      <c r="C13" t="n">
        <v>50.118723</v>
      </c>
      <c r="D13" s="10" t="inlineStr">
        <is>
          <t>Shrimps | Crabs</t>
        </is>
      </c>
      <c r="H13" t="n">
        <v>0.480828</v>
      </c>
      <c r="I13" t="n">
        <v>6.662924</v>
      </c>
      <c r="J13" t="n">
        <v>6.662924</v>
      </c>
      <c r="K13" t="n">
        <v>6.549008</v>
      </c>
      <c r="L13" t="n">
        <v>13.196282</v>
      </c>
      <c r="M13" t="n">
        <v>6.662924</v>
      </c>
      <c r="N13" t="n">
        <v>6.662924</v>
      </c>
      <c r="O13" t="n">
        <v>2.636129</v>
      </c>
      <c r="P13" t="n">
        <v>1.77779</v>
      </c>
      <c r="Q13" t="n">
        <v>6.662924</v>
      </c>
      <c r="R13" t="n">
        <v>6.662924</v>
      </c>
      <c r="S13" t="n">
        <v>2.636129</v>
      </c>
      <c r="T13" t="n">
        <v>2.636129</v>
      </c>
      <c r="U13" t="n">
        <v>1.77779</v>
      </c>
      <c r="V13" t="n">
        <v>1.77779</v>
      </c>
      <c r="W13" t="n">
        <v>2.665171</v>
      </c>
      <c r="X13" t="n">
        <v>7.004519</v>
      </c>
    </row>
    <row r="14" ht="21" customHeight="1">
      <c r="A14" t="inlineStr">
        <is>
          <t>Larimichthys polyactis</t>
        </is>
      </c>
      <c r="B14" t="n">
        <v>3.64</v>
      </c>
      <c r="C14" t="n">
        <v>436.515832</v>
      </c>
      <c r="D14" s="10" t="inlineStr">
        <is>
          <t>Small yellow croakers</t>
        </is>
      </c>
      <c r="H14" t="n">
        <v>1.330831</v>
      </c>
      <c r="I14" t="n">
        <v>169.102825</v>
      </c>
      <c r="J14" t="n">
        <v>173.421322</v>
      </c>
      <c r="K14" t="n">
        <v>39.193219</v>
      </c>
      <c r="L14" t="n">
        <v>308.698938</v>
      </c>
      <c r="M14" t="n">
        <v>199.984041</v>
      </c>
      <c r="N14" t="n">
        <v>199.984041</v>
      </c>
      <c r="O14" t="n">
        <v>9.114940000000001</v>
      </c>
      <c r="P14" t="n">
        <v>5.186595</v>
      </c>
      <c r="Q14" t="n">
        <v>199.984041</v>
      </c>
      <c r="R14" t="n">
        <v>199.984041</v>
      </c>
      <c r="S14" t="n">
        <v>9.114940000000001</v>
      </c>
      <c r="T14" t="n">
        <v>9.114940000000001</v>
      </c>
      <c r="U14" t="n">
        <v>5.186595</v>
      </c>
      <c r="V14" t="n">
        <v>5.186595</v>
      </c>
      <c r="W14" t="n">
        <v>9.273201</v>
      </c>
      <c r="X14" t="n">
        <v>197.152171</v>
      </c>
    </row>
    <row r="15" ht="21" customHeight="1">
      <c r="A15" t="inlineStr">
        <is>
          <t>Acetes japonicus</t>
        </is>
      </c>
      <c r="B15" t="n">
        <v>2.54</v>
      </c>
      <c r="C15" t="n">
        <v>34.673685</v>
      </c>
      <c r="D15" s="10" t="inlineStr">
        <is>
          <t>Shrimps</t>
        </is>
      </c>
      <c r="H15" t="n">
        <v>0.472671</v>
      </c>
      <c r="I15" t="n">
        <v>7.184768</v>
      </c>
      <c r="J15" t="n">
        <v>7.184768</v>
      </c>
      <c r="K15" t="n">
        <v>7.177583</v>
      </c>
      <c r="L15" t="n">
        <v>13.927162</v>
      </c>
      <c r="M15" t="n">
        <v>7.184768</v>
      </c>
      <c r="N15" t="n">
        <v>7.184768</v>
      </c>
      <c r="O15" t="n">
        <v>2.606682</v>
      </c>
      <c r="P15" t="n">
        <v>1.759834</v>
      </c>
      <c r="Q15" t="n">
        <v>7.184768</v>
      </c>
      <c r="R15" t="n">
        <v>7.184768</v>
      </c>
      <c r="S15" t="n">
        <v>2.606682</v>
      </c>
      <c r="T15" t="n">
        <v>2.606682</v>
      </c>
      <c r="U15" t="n">
        <v>1.759834</v>
      </c>
      <c r="V15" t="n">
        <v>1.759834</v>
      </c>
      <c r="W15" t="n">
        <v>2.643462</v>
      </c>
      <c r="X15" t="n">
        <v>7.655045</v>
      </c>
    </row>
    <row r="16" ht="21" customHeight="1">
      <c r="A16" t="inlineStr">
        <is>
          <t>Todarodes pacificus</t>
        </is>
      </c>
      <c r="B16" t="n">
        <v>4.28</v>
      </c>
      <c r="C16" t="n">
        <v>1905.460718</v>
      </c>
      <c r="D16" s="10" t="inlineStr">
        <is>
          <t>Cephalopods</t>
        </is>
      </c>
      <c r="H16" t="n">
        <v>1.261678</v>
      </c>
      <c r="I16" t="n">
        <v>26.779632</v>
      </c>
      <c r="J16" t="n">
        <v>26.779632</v>
      </c>
      <c r="K16" t="n">
        <v>26.351158</v>
      </c>
      <c r="L16" t="n">
        <v>36.734327</v>
      </c>
      <c r="M16" t="n">
        <v>26.808267</v>
      </c>
      <c r="N16" t="n">
        <v>26.808267</v>
      </c>
      <c r="O16" t="n">
        <v>8.403231999999999</v>
      </c>
      <c r="P16" t="n">
        <v>5.352524</v>
      </c>
      <c r="Q16" t="n">
        <v>26.808267</v>
      </c>
      <c r="R16" t="n">
        <v>26.808267</v>
      </c>
      <c r="S16" t="n">
        <v>8.403231999999999</v>
      </c>
      <c r="T16" t="n">
        <v>8.403231999999999</v>
      </c>
      <c r="U16" t="n">
        <v>5.352524</v>
      </c>
      <c r="V16" t="n">
        <v>5.352524</v>
      </c>
      <c r="W16" t="n">
        <v>8.371036999999999</v>
      </c>
      <c r="X16" t="n">
        <v>28.03948</v>
      </c>
    </row>
    <row r="17" ht="66" customHeight="1">
      <c r="A17" t="inlineStr">
        <is>
          <t>Sciaenidae</t>
        </is>
      </c>
      <c r="B17" t="n">
        <v>3.76</v>
      </c>
      <c r="C17" t="n">
        <v>575.439937</v>
      </c>
      <c r="D17" s="10" t="inlineStr">
        <is>
          <t>Benthivores | Piscivores | Benthivores/piscivores | Omnivores | Large yellow croakers | Small yellow croakers</t>
        </is>
      </c>
      <c r="H17" t="n">
        <v>1.05413</v>
      </c>
      <c r="I17" t="n">
        <v>79.249527</v>
      </c>
      <c r="J17" t="n">
        <v>80.50095399999999</v>
      </c>
      <c r="K17" t="n">
        <v>56.015103</v>
      </c>
      <c r="L17" t="n">
        <v>217.718498</v>
      </c>
      <c r="M17" t="n">
        <v>135.974416</v>
      </c>
      <c r="N17" t="n">
        <v>135.974416</v>
      </c>
      <c r="O17" t="n">
        <v>13.986976</v>
      </c>
      <c r="P17" t="n">
        <v>7.416192</v>
      </c>
      <c r="Q17" t="n">
        <v>135.974416</v>
      </c>
      <c r="R17" t="n">
        <v>135.974416</v>
      </c>
      <c r="S17" t="n">
        <v>13.986976</v>
      </c>
      <c r="T17" t="n">
        <v>13.986976</v>
      </c>
      <c r="U17" t="n">
        <v>7.416192</v>
      </c>
      <c r="V17" t="n">
        <v>7.416192</v>
      </c>
      <c r="W17" t="n">
        <v>14.298379</v>
      </c>
      <c r="X17" t="n">
        <v>91.483349</v>
      </c>
    </row>
    <row r="18" ht="21" customHeight="1">
      <c r="A18" t="inlineStr">
        <is>
          <t>Stephanolepis cirrhifer</t>
        </is>
      </c>
      <c r="B18" t="n">
        <v>2.84</v>
      </c>
      <c r="C18" t="n">
        <v>69.183097</v>
      </c>
      <c r="D18" s="10" t="inlineStr">
        <is>
          <t>Benthivores</t>
        </is>
      </c>
      <c r="H18" t="n">
        <v>0.507881</v>
      </c>
      <c r="I18" t="n">
        <v>15.397089</v>
      </c>
      <c r="J18" t="n">
        <v>16.480074</v>
      </c>
      <c r="K18" t="n">
        <v>16.397674</v>
      </c>
      <c r="L18" t="n">
        <v>385.228839</v>
      </c>
      <c r="M18" t="n">
        <v>217.802518</v>
      </c>
      <c r="N18" t="n">
        <v>217.802518</v>
      </c>
      <c r="O18" t="n">
        <v>5.627856</v>
      </c>
      <c r="P18" t="n">
        <v>3.14648</v>
      </c>
      <c r="Q18" t="n">
        <v>217.802518</v>
      </c>
      <c r="R18" t="n">
        <v>217.802518</v>
      </c>
      <c r="S18" t="n">
        <v>5.627856</v>
      </c>
      <c r="T18" t="n">
        <v>5.627856</v>
      </c>
      <c r="U18" t="n">
        <v>3.14648</v>
      </c>
      <c r="V18" t="n">
        <v>3.14648</v>
      </c>
      <c r="W18" t="n">
        <v>5.794366</v>
      </c>
      <c r="X18" t="n">
        <v>21.50578</v>
      </c>
    </row>
    <row r="19" ht="21" customHeight="1">
      <c r="A19" t="inlineStr">
        <is>
          <t>Pectinidae</t>
        </is>
      </c>
      <c r="B19" t="n">
        <v>2</v>
      </c>
      <c r="C19" t="n">
        <v>10</v>
      </c>
      <c r="D19" s="10" t="inlineStr">
        <is>
          <t>Mollusks</t>
        </is>
      </c>
      <c r="H19" t="n">
        <v>0.386637</v>
      </c>
      <c r="I19" t="n">
        <v>5.936061</v>
      </c>
      <c r="J19" t="n">
        <v>5.936061</v>
      </c>
      <c r="K19" t="n">
        <v>1.780818</v>
      </c>
      <c r="L19" t="n">
        <v>17.186608</v>
      </c>
      <c r="M19" t="n">
        <v>6.329922</v>
      </c>
      <c r="N19" t="n">
        <v>6.329922</v>
      </c>
      <c r="O19" t="n">
        <v>0.986753</v>
      </c>
      <c r="P19" t="n">
        <v>0.712886</v>
      </c>
      <c r="Q19" t="n">
        <v>6.329922</v>
      </c>
      <c r="R19" t="n">
        <v>6.329922</v>
      </c>
      <c r="S19" t="n">
        <v>0.986753</v>
      </c>
      <c r="T19" t="n">
        <v>0.986753</v>
      </c>
      <c r="U19" t="n">
        <v>0.712886</v>
      </c>
      <c r="V19" t="n">
        <v>0.712886</v>
      </c>
      <c r="W19" t="n">
        <v>0.98107</v>
      </c>
      <c r="X19" t="n">
        <v>6.573538</v>
      </c>
    </row>
    <row r="20" ht="21" customHeight="1">
      <c r="A20" t="inlineStr">
        <is>
          <t>Scyphozoa</t>
        </is>
      </c>
      <c r="B20" t="n">
        <v>3.46</v>
      </c>
      <c r="C20" t="n">
        <v>288.40315</v>
      </c>
      <c r="D20" s="10" t="inlineStr">
        <is>
          <t>Other invertebrates</t>
        </is>
      </c>
      <c r="H20" t="n">
        <v>0.834414</v>
      </c>
      <c r="I20" t="n">
        <v>8.766234000000001</v>
      </c>
      <c r="J20" t="n">
        <v>8.766234000000001</v>
      </c>
      <c r="K20" t="n">
        <v>5.4</v>
      </c>
      <c r="L20" t="n">
        <v>13.760094</v>
      </c>
      <c r="M20" t="n">
        <v>8.766234000000001</v>
      </c>
      <c r="N20" t="n">
        <v>8.766234000000001</v>
      </c>
      <c r="O20" t="n">
        <v>5.4</v>
      </c>
      <c r="P20" t="n">
        <v>4.32</v>
      </c>
      <c r="Q20" t="n">
        <v>8.766234000000001</v>
      </c>
      <c r="R20" t="n">
        <v>8.766234000000001</v>
      </c>
      <c r="S20" t="n">
        <v>5.4</v>
      </c>
      <c r="T20" t="n">
        <v>5.4</v>
      </c>
      <c r="U20" t="n">
        <v>4.32</v>
      </c>
      <c r="V20" t="n">
        <v>4.32</v>
      </c>
      <c r="W20" t="n">
        <v>5.39691</v>
      </c>
      <c r="X20" t="n">
        <v>8.751026</v>
      </c>
    </row>
    <row r="21" ht="21" customHeight="1">
      <c r="A21" t="inlineStr">
        <is>
          <t>Pleuronectidae</t>
        </is>
      </c>
      <c r="B21" t="n">
        <v>3.49</v>
      </c>
      <c r="C21" t="n">
        <v>309.029543</v>
      </c>
      <c r="D21" s="10" t="inlineStr">
        <is>
          <t>Benthivores</t>
        </is>
      </c>
      <c r="H21" t="n">
        <v>0.507881</v>
      </c>
      <c r="I21" t="n">
        <v>15.397089</v>
      </c>
      <c r="J21" t="n">
        <v>16.480074</v>
      </c>
      <c r="K21" t="n">
        <v>16.397674</v>
      </c>
      <c r="L21" t="n">
        <v>385.228839</v>
      </c>
      <c r="M21" t="n">
        <v>217.802518</v>
      </c>
      <c r="N21" t="n">
        <v>217.802518</v>
      </c>
      <c r="O21" t="n">
        <v>5.627856</v>
      </c>
      <c r="P21" t="n">
        <v>3.14648</v>
      </c>
      <c r="Q21" t="n">
        <v>217.802518</v>
      </c>
      <c r="R21" t="n">
        <v>217.802518</v>
      </c>
      <c r="S21" t="n">
        <v>5.627856</v>
      </c>
      <c r="T21" t="n">
        <v>5.627856</v>
      </c>
      <c r="U21" t="n">
        <v>3.14648</v>
      </c>
      <c r="V21" t="n">
        <v>3.14648</v>
      </c>
      <c r="W21" t="n">
        <v>5.794366</v>
      </c>
      <c r="X21" t="n">
        <v>21.50578</v>
      </c>
    </row>
    <row r="22" ht="21" customHeight="1">
      <c r="A22" t="inlineStr">
        <is>
          <t>Muraenesox cinereus</t>
        </is>
      </c>
      <c r="B22" t="n">
        <v>4.38</v>
      </c>
      <c r="C22" t="n">
        <v>2398.832919</v>
      </c>
      <c r="D22" s="10" t="inlineStr">
        <is>
          <t>Piscivores</t>
        </is>
      </c>
      <c r="H22" t="n">
        <v>1.498127</v>
      </c>
      <c r="I22" t="n">
        <v>163.850229</v>
      </c>
      <c r="J22" t="n">
        <v>165.313739</v>
      </c>
      <c r="K22" t="n">
        <v>132.912246</v>
      </c>
      <c r="L22" t="n">
        <v>282.597002</v>
      </c>
      <c r="M22" t="n">
        <v>192.12828</v>
      </c>
      <c r="N22" t="n">
        <v>192.12828</v>
      </c>
      <c r="O22" t="n">
        <v>31.073292</v>
      </c>
      <c r="P22" t="n">
        <v>15.877096</v>
      </c>
      <c r="Q22" t="n">
        <v>192.12828</v>
      </c>
      <c r="R22" t="n">
        <v>192.12828</v>
      </c>
      <c r="S22" t="n">
        <v>31.073292</v>
      </c>
      <c r="T22" t="n">
        <v>31.073292</v>
      </c>
      <c r="U22" t="n">
        <v>15.877096</v>
      </c>
      <c r="V22" t="n">
        <v>15.877096</v>
      </c>
      <c r="W22" t="n">
        <v>31.802322</v>
      </c>
      <c r="X22" t="n">
        <v>187.589042</v>
      </c>
    </row>
    <row r="23" ht="21" customHeight="1">
      <c r="A23" t="inlineStr">
        <is>
          <t>Pennahia argentata</t>
        </is>
      </c>
      <c r="B23" t="n">
        <v>3.47</v>
      </c>
      <c r="C23" t="n">
        <v>295.120923</v>
      </c>
      <c r="D23" s="10" t="inlineStr">
        <is>
          <t>Benthivores/piscivores</t>
        </is>
      </c>
      <c r="H23" t="n">
        <v>0.86744</v>
      </c>
      <c r="I23" t="n">
        <v>19.560587</v>
      </c>
      <c r="J23" t="n">
        <v>19.580296</v>
      </c>
      <c r="K23" t="n">
        <v>19.286591</v>
      </c>
      <c r="L23" t="n">
        <v>34.759886</v>
      </c>
      <c r="M23" t="n">
        <v>20.178818</v>
      </c>
      <c r="N23" t="n">
        <v>20.178818</v>
      </c>
      <c r="O23" t="n">
        <v>6.006603</v>
      </c>
      <c r="P23" t="n">
        <v>3.449698</v>
      </c>
      <c r="Q23" t="n">
        <v>20.178818</v>
      </c>
      <c r="R23" t="n">
        <v>20.178818</v>
      </c>
      <c r="S23" t="n">
        <v>6.006603</v>
      </c>
      <c r="T23" t="n">
        <v>6.006603</v>
      </c>
      <c r="U23" t="n">
        <v>3.449698</v>
      </c>
      <c r="V23" t="n">
        <v>3.449698</v>
      </c>
      <c r="W23" t="n">
        <v>6.116899</v>
      </c>
      <c r="X23" t="n">
        <v>20.709505</v>
      </c>
    </row>
    <row r="24" ht="21" customHeight="1">
      <c r="A24" t="inlineStr">
        <is>
          <t>Gadus macrocephalus</t>
        </is>
      </c>
      <c r="B24" t="n">
        <v>4.16</v>
      </c>
      <c r="C24" t="n">
        <v>1445.439771</v>
      </c>
      <c r="D24" s="10" t="inlineStr">
        <is>
          <t>Benthivores/piscivores</t>
        </is>
      </c>
      <c r="H24" t="n">
        <v>0.86744</v>
      </c>
      <c r="I24" t="n">
        <v>19.560587</v>
      </c>
      <c r="J24" t="n">
        <v>19.580296</v>
      </c>
      <c r="K24" t="n">
        <v>19.286591</v>
      </c>
      <c r="L24" t="n">
        <v>34.759886</v>
      </c>
      <c r="M24" t="n">
        <v>20.178818</v>
      </c>
      <c r="N24" t="n">
        <v>20.178818</v>
      </c>
      <c r="O24" t="n">
        <v>6.006603</v>
      </c>
      <c r="P24" t="n">
        <v>3.449698</v>
      </c>
      <c r="Q24" t="n">
        <v>20.178818</v>
      </c>
      <c r="R24" t="n">
        <v>20.178818</v>
      </c>
      <c r="S24" t="n">
        <v>6.006603</v>
      </c>
      <c r="T24" t="n">
        <v>6.006603</v>
      </c>
      <c r="U24" t="n">
        <v>3.449698</v>
      </c>
      <c r="V24" t="n">
        <v>3.449698</v>
      </c>
      <c r="W24" t="n">
        <v>6.116899</v>
      </c>
      <c r="X24" t="n">
        <v>20.709505</v>
      </c>
    </row>
    <row r="25" ht="36" customHeight="1">
      <c r="A25" t="inlineStr">
        <is>
          <t>Monacanthidae</t>
        </is>
      </c>
      <c r="B25" t="n">
        <v>3</v>
      </c>
      <c r="C25" t="n">
        <v>100</v>
      </c>
      <c r="D25" s="10" t="inlineStr">
        <is>
          <t>Benthivores | Planktivores/piscivores</t>
        </is>
      </c>
      <c r="H25" t="n">
        <v>0.7503300000000001</v>
      </c>
      <c r="I25" t="n">
        <v>145.635025</v>
      </c>
      <c r="J25" t="n">
        <v>155.728908</v>
      </c>
      <c r="K25" t="n">
        <v>60.910493</v>
      </c>
      <c r="L25" t="n">
        <v>505.856712</v>
      </c>
      <c r="M25" t="n">
        <v>296.3895</v>
      </c>
      <c r="N25" t="n">
        <v>296.3895</v>
      </c>
      <c r="O25" t="n">
        <v>19.459174</v>
      </c>
      <c r="P25" t="n">
        <v>11.310259</v>
      </c>
      <c r="Q25" t="n">
        <v>296.3895</v>
      </c>
      <c r="R25" t="n">
        <v>296.3895</v>
      </c>
      <c r="S25" t="n">
        <v>19.459174</v>
      </c>
      <c r="T25" t="n">
        <v>19.459174</v>
      </c>
      <c r="U25" t="n">
        <v>11.310259</v>
      </c>
      <c r="V25" t="n">
        <v>11.310259</v>
      </c>
      <c r="W25" t="n">
        <v>19.997417</v>
      </c>
      <c r="X25" t="n">
        <v>191.401569</v>
      </c>
    </row>
    <row r="26" ht="21" customHeight="1">
      <c r="A26" t="inlineStr">
        <is>
          <t>Pampus</t>
        </is>
      </c>
      <c r="B26" t="n">
        <v>3.41</v>
      </c>
      <c r="C26" t="n">
        <v>257.039578</v>
      </c>
      <c r="D26" s="10" t="inlineStr">
        <is>
          <t>Planktivores/piscivores</t>
        </is>
      </c>
      <c r="H26" t="n">
        <v>1.060477</v>
      </c>
      <c r="I26" t="n">
        <v>312.238659</v>
      </c>
      <c r="J26" t="n">
        <v>333.85951</v>
      </c>
      <c r="K26" t="n">
        <v>117.852407</v>
      </c>
      <c r="L26" t="n">
        <v>660.166914</v>
      </c>
      <c r="M26" t="n">
        <v>396.919939</v>
      </c>
      <c r="N26" t="n">
        <v>396.919939</v>
      </c>
      <c r="O26" t="n">
        <v>37.152542</v>
      </c>
      <c r="P26" t="n">
        <v>21.753571</v>
      </c>
      <c r="Q26" t="n">
        <v>396.919939</v>
      </c>
      <c r="R26" t="n">
        <v>396.919939</v>
      </c>
      <c r="S26" t="n">
        <v>37.152542</v>
      </c>
      <c r="T26" t="n">
        <v>37.152542</v>
      </c>
      <c r="U26" t="n">
        <v>21.753571</v>
      </c>
      <c r="V26" t="n">
        <v>21.753571</v>
      </c>
      <c r="W26" t="n">
        <v>38.166317</v>
      </c>
      <c r="X26" t="n">
        <v>408.736525</v>
      </c>
    </row>
    <row r="27" ht="21" customHeight="1">
      <c r="A27" t="inlineStr">
        <is>
          <t>Bivalvia</t>
        </is>
      </c>
      <c r="B27" t="n">
        <v>2.23</v>
      </c>
      <c r="C27" t="n">
        <v>16.982437</v>
      </c>
      <c r="D27" s="10" t="inlineStr">
        <is>
          <t>Mollusks</t>
        </is>
      </c>
      <c r="H27" t="n">
        <v>0.386637</v>
      </c>
      <c r="I27" t="n">
        <v>5.936061</v>
      </c>
      <c r="J27" t="n">
        <v>5.936061</v>
      </c>
      <c r="K27" t="n">
        <v>1.780818</v>
      </c>
      <c r="L27" t="n">
        <v>17.186608</v>
      </c>
      <c r="M27" t="n">
        <v>6.329922</v>
      </c>
      <c r="N27" t="n">
        <v>6.329922</v>
      </c>
      <c r="O27" t="n">
        <v>0.986753</v>
      </c>
      <c r="P27" t="n">
        <v>0.712886</v>
      </c>
      <c r="Q27" t="n">
        <v>6.329922</v>
      </c>
      <c r="R27" t="n">
        <v>6.329922</v>
      </c>
      <c r="S27" t="n">
        <v>0.986753</v>
      </c>
      <c r="T27" t="n">
        <v>0.986753</v>
      </c>
      <c r="U27" t="n">
        <v>0.712886</v>
      </c>
      <c r="V27" t="n">
        <v>0.712886</v>
      </c>
      <c r="W27" t="n">
        <v>0.98107</v>
      </c>
      <c r="X27" t="n">
        <v>6.573538</v>
      </c>
    </row>
    <row r="28" ht="21" customHeight="1">
      <c r="A28" t="inlineStr">
        <is>
          <t>Trachysalambria curvirostris</t>
        </is>
      </c>
      <c r="B28" t="n">
        <v>2.7</v>
      </c>
      <c r="C28" t="n">
        <v>50.118723</v>
      </c>
      <c r="D28" s="10" t="inlineStr">
        <is>
          <t>Shrimps</t>
        </is>
      </c>
      <c r="H28" t="n">
        <v>0.472671</v>
      </c>
      <c r="I28" t="n">
        <v>7.184768</v>
      </c>
      <c r="J28" t="n">
        <v>7.184768</v>
      </c>
      <c r="K28" t="n">
        <v>7.177583</v>
      </c>
      <c r="L28" t="n">
        <v>13.927162</v>
      </c>
      <c r="M28" t="n">
        <v>7.184768</v>
      </c>
      <c r="N28" t="n">
        <v>7.184768</v>
      </c>
      <c r="O28" t="n">
        <v>2.606682</v>
      </c>
      <c r="P28" t="n">
        <v>1.759834</v>
      </c>
      <c r="Q28" t="n">
        <v>7.184768</v>
      </c>
      <c r="R28" t="n">
        <v>7.184768</v>
      </c>
      <c r="S28" t="n">
        <v>2.606682</v>
      </c>
      <c r="T28" t="n">
        <v>2.606682</v>
      </c>
      <c r="U28" t="n">
        <v>1.759834</v>
      </c>
      <c r="V28" t="n">
        <v>1.759834</v>
      </c>
      <c r="W28" t="n">
        <v>2.643462</v>
      </c>
      <c r="X28" t="n">
        <v>7.655045</v>
      </c>
    </row>
    <row r="29" ht="21" customHeight="1">
      <c r="A29" t="inlineStr">
        <is>
          <t>Nemipterus</t>
        </is>
      </c>
      <c r="B29" t="n">
        <v>3.72</v>
      </c>
      <c r="C29" t="n">
        <v>524.80746</v>
      </c>
      <c r="D29" s="10" t="inlineStr">
        <is>
          <t>Benthivores/piscivores</t>
        </is>
      </c>
      <c r="H29" t="n">
        <v>0.86744</v>
      </c>
      <c r="I29" t="n">
        <v>19.560587</v>
      </c>
      <c r="J29" t="n">
        <v>19.580296</v>
      </c>
      <c r="K29" t="n">
        <v>19.286591</v>
      </c>
      <c r="L29" t="n">
        <v>34.759886</v>
      </c>
      <c r="M29" t="n">
        <v>20.178818</v>
      </c>
      <c r="N29" t="n">
        <v>20.178818</v>
      </c>
      <c r="O29" t="n">
        <v>6.006603</v>
      </c>
      <c r="P29" t="n">
        <v>3.449698</v>
      </c>
      <c r="Q29" t="n">
        <v>20.178818</v>
      </c>
      <c r="R29" t="n">
        <v>20.178818</v>
      </c>
      <c r="S29" t="n">
        <v>6.006603</v>
      </c>
      <c r="T29" t="n">
        <v>6.006603</v>
      </c>
      <c r="U29" t="n">
        <v>3.449698</v>
      </c>
      <c r="V29" t="n">
        <v>3.449698</v>
      </c>
      <c r="W29" t="n">
        <v>6.116899</v>
      </c>
      <c r="X29" t="n">
        <v>20.709505</v>
      </c>
    </row>
    <row r="30" ht="21" customHeight="1">
      <c r="A30" t="inlineStr">
        <is>
          <t>Scomberomorus</t>
        </is>
      </c>
      <c r="B30" t="n">
        <v>4.35</v>
      </c>
      <c r="C30" t="n">
        <v>2238.721139</v>
      </c>
      <c r="D30" s="10" t="inlineStr">
        <is>
          <t>Piscivores</t>
        </is>
      </c>
      <c r="H30" t="n">
        <v>1.498127</v>
      </c>
      <c r="I30" t="n">
        <v>163.850229</v>
      </c>
      <c r="J30" t="n">
        <v>165.313739</v>
      </c>
      <c r="K30" t="n">
        <v>132.912246</v>
      </c>
      <c r="L30" t="n">
        <v>282.597002</v>
      </c>
      <c r="M30" t="n">
        <v>192.12828</v>
      </c>
      <c r="N30" t="n">
        <v>192.12828</v>
      </c>
      <c r="O30" t="n">
        <v>31.073292</v>
      </c>
      <c r="P30" t="n">
        <v>15.877096</v>
      </c>
      <c r="Q30" t="n">
        <v>192.12828</v>
      </c>
      <c r="R30" t="n">
        <v>192.12828</v>
      </c>
      <c r="S30" t="n">
        <v>31.073292</v>
      </c>
      <c r="T30" t="n">
        <v>31.073292</v>
      </c>
      <c r="U30" t="n">
        <v>15.877096</v>
      </c>
      <c r="V30" t="n">
        <v>15.877096</v>
      </c>
      <c r="W30" t="n">
        <v>31.802322</v>
      </c>
      <c r="X30" t="n">
        <v>187.589042</v>
      </c>
    </row>
    <row r="31" ht="21" customHeight="1">
      <c r="A31" t="inlineStr">
        <is>
          <t>Portunus trituberculatus</t>
        </is>
      </c>
      <c r="B31" t="n">
        <v>3.73</v>
      </c>
      <c r="C31" t="n">
        <v>537.031796</v>
      </c>
      <c r="D31" s="10" t="inlineStr">
        <is>
          <t>Crabs</t>
        </is>
      </c>
      <c r="H31" t="n">
        <v>0.50498</v>
      </c>
      <c r="I31" t="n">
        <v>5.117944</v>
      </c>
      <c r="J31" t="n">
        <v>5.117944</v>
      </c>
      <c r="K31" t="n">
        <v>4.688036</v>
      </c>
      <c r="L31" t="n">
        <v>11.032425</v>
      </c>
      <c r="M31" t="n">
        <v>5.117944</v>
      </c>
      <c r="N31" t="n">
        <v>5.117944</v>
      </c>
      <c r="O31" t="n">
        <v>2.72331</v>
      </c>
      <c r="P31" t="n">
        <v>1.83095</v>
      </c>
      <c r="Q31" t="n">
        <v>5.117944</v>
      </c>
      <c r="R31" t="n">
        <v>5.117944</v>
      </c>
      <c r="S31" t="n">
        <v>2.72331</v>
      </c>
      <c r="T31" t="n">
        <v>2.72331</v>
      </c>
      <c r="U31" t="n">
        <v>1.83095</v>
      </c>
      <c r="V31" t="n">
        <v>1.83095</v>
      </c>
      <c r="W31" t="n">
        <v>2.729441</v>
      </c>
      <c r="X31" t="n">
        <v>5.078558</v>
      </c>
    </row>
    <row r="32" ht="21" customHeight="1">
      <c r="A32" t="inlineStr">
        <is>
          <t>Octopoda</t>
        </is>
      </c>
      <c r="B32" t="n">
        <v>3.58</v>
      </c>
      <c r="C32" t="n">
        <v>380.189396</v>
      </c>
      <c r="D32" s="10" t="inlineStr">
        <is>
          <t>Cephalopods</t>
        </is>
      </c>
      <c r="H32" t="n">
        <v>1.261678</v>
      </c>
      <c r="I32" t="n">
        <v>26.779632</v>
      </c>
      <c r="J32" t="n">
        <v>26.779632</v>
      </c>
      <c r="K32" t="n">
        <v>26.351158</v>
      </c>
      <c r="L32" t="n">
        <v>36.734327</v>
      </c>
      <c r="M32" t="n">
        <v>26.808267</v>
      </c>
      <c r="N32" t="n">
        <v>26.808267</v>
      </c>
      <c r="O32" t="n">
        <v>8.403231999999999</v>
      </c>
      <c r="P32" t="n">
        <v>5.352524</v>
      </c>
      <c r="Q32" t="n">
        <v>26.808267</v>
      </c>
      <c r="R32" t="n">
        <v>26.808267</v>
      </c>
      <c r="S32" t="n">
        <v>8.403231999999999</v>
      </c>
      <c r="T32" t="n">
        <v>8.403231999999999</v>
      </c>
      <c r="U32" t="n">
        <v>5.352524</v>
      </c>
      <c r="V32" t="n">
        <v>5.352524</v>
      </c>
      <c r="W32" t="n">
        <v>8.371036999999999</v>
      </c>
      <c r="X32" t="n">
        <v>28.03948</v>
      </c>
    </row>
    <row r="33" ht="21" customHeight="1">
      <c r="A33" t="inlineStr">
        <is>
          <t>Sepiida</t>
        </is>
      </c>
      <c r="B33" t="n">
        <v>3.7</v>
      </c>
      <c r="C33" t="n">
        <v>501.187234</v>
      </c>
      <c r="D33" s="10" t="inlineStr">
        <is>
          <t>Cephalopods</t>
        </is>
      </c>
      <c r="H33" t="n">
        <v>1.261678</v>
      </c>
      <c r="I33" t="n">
        <v>26.779632</v>
      </c>
      <c r="J33" t="n">
        <v>26.779632</v>
      </c>
      <c r="K33" t="n">
        <v>26.351158</v>
      </c>
      <c r="L33" t="n">
        <v>36.734327</v>
      </c>
      <c r="M33" t="n">
        <v>26.808267</v>
      </c>
      <c r="N33" t="n">
        <v>26.808267</v>
      </c>
      <c r="O33" t="n">
        <v>8.403231999999999</v>
      </c>
      <c r="P33" t="n">
        <v>5.352524</v>
      </c>
      <c r="Q33" t="n">
        <v>26.808267</v>
      </c>
      <c r="R33" t="n">
        <v>26.808267</v>
      </c>
      <c r="S33" t="n">
        <v>8.403231999999999</v>
      </c>
      <c r="T33" t="n">
        <v>8.403231999999999</v>
      </c>
      <c r="U33" t="n">
        <v>5.352524</v>
      </c>
      <c r="V33" t="n">
        <v>5.352524</v>
      </c>
      <c r="W33" t="n">
        <v>8.371036999999999</v>
      </c>
      <c r="X33" t="n">
        <v>28.03948</v>
      </c>
    </row>
    <row r="34" ht="21" customHeight="1">
      <c r="A34" t="inlineStr">
        <is>
          <t>Larimichthys crocea</t>
        </is>
      </c>
      <c r="B34" t="n">
        <v>3.72</v>
      </c>
      <c r="C34" t="n">
        <v>524.80746</v>
      </c>
      <c r="D34" s="10" t="inlineStr">
        <is>
          <t>Large yellow croakers</t>
        </is>
      </c>
      <c r="H34" t="n">
        <v>1.065872</v>
      </c>
      <c r="I34" t="n">
        <v>32.361521</v>
      </c>
      <c r="J34" t="n">
        <v>32.361521</v>
      </c>
      <c r="K34" t="n">
        <v>32.264436</v>
      </c>
      <c r="L34" t="n">
        <v>50.554211</v>
      </c>
      <c r="M34" t="n">
        <v>32.602964</v>
      </c>
      <c r="N34" t="n">
        <v>32.602964</v>
      </c>
      <c r="O34" t="n">
        <v>10.467824</v>
      </c>
      <c r="P34" t="n">
        <v>5.620803</v>
      </c>
      <c r="Q34" t="n">
        <v>32.602964</v>
      </c>
      <c r="R34" t="n">
        <v>32.602964</v>
      </c>
      <c r="S34" t="n">
        <v>10.467824</v>
      </c>
      <c r="T34" t="n">
        <v>10.467824</v>
      </c>
      <c r="U34" t="n">
        <v>5.620803</v>
      </c>
      <c r="V34" t="n">
        <v>5.620803</v>
      </c>
      <c r="W34" t="n">
        <v>10.740799</v>
      </c>
      <c r="X34" t="n">
        <v>34.572301</v>
      </c>
    </row>
    <row r="35" ht="21" customHeight="1">
      <c r="A35" t="inlineStr">
        <is>
          <t>Scomberomorus niphonius</t>
        </is>
      </c>
      <c r="B35" t="n">
        <v>4.5</v>
      </c>
      <c r="C35" t="n">
        <v>3162.27766</v>
      </c>
      <c r="D35" s="10" t="inlineStr">
        <is>
          <t>Piscivores</t>
        </is>
      </c>
      <c r="H35" t="n">
        <v>1.498127</v>
      </c>
      <c r="I35" t="n">
        <v>163.850229</v>
      </c>
      <c r="J35" t="n">
        <v>165.313739</v>
      </c>
      <c r="K35" t="n">
        <v>132.912246</v>
      </c>
      <c r="L35" t="n">
        <v>282.597002</v>
      </c>
      <c r="M35" t="n">
        <v>192.12828</v>
      </c>
      <c r="N35" t="n">
        <v>192.12828</v>
      </c>
      <c r="O35" t="n">
        <v>31.073292</v>
      </c>
      <c r="P35" t="n">
        <v>15.877096</v>
      </c>
      <c r="Q35" t="n">
        <v>192.12828</v>
      </c>
      <c r="R35" t="n">
        <v>192.12828</v>
      </c>
      <c r="S35" t="n">
        <v>31.073292</v>
      </c>
      <c r="T35" t="n">
        <v>31.073292</v>
      </c>
      <c r="U35" t="n">
        <v>15.877096</v>
      </c>
      <c r="V35" t="n">
        <v>15.877096</v>
      </c>
      <c r="W35" t="n">
        <v>31.802322</v>
      </c>
      <c r="X35" t="n">
        <v>187.589042</v>
      </c>
    </row>
    <row r="36" ht="21" customHeight="1">
      <c r="A36" t="inlineStr">
        <is>
          <t>Planiliza haematocheilus</t>
        </is>
      </c>
      <c r="B36" t="n">
        <v>2.5</v>
      </c>
      <c r="C36" t="n">
        <v>31.622777</v>
      </c>
      <c r="D36" s="10" t="inlineStr">
        <is>
          <t>Benthivores</t>
        </is>
      </c>
      <c r="H36" t="n">
        <v>0.507881</v>
      </c>
      <c r="I36" t="n">
        <v>15.397089</v>
      </c>
      <c r="J36" t="n">
        <v>16.480074</v>
      </c>
      <c r="K36" t="n">
        <v>16.397674</v>
      </c>
      <c r="L36" t="n">
        <v>385.228839</v>
      </c>
      <c r="M36" t="n">
        <v>217.802518</v>
      </c>
      <c r="N36" t="n">
        <v>217.802518</v>
      </c>
      <c r="O36" t="n">
        <v>5.627856</v>
      </c>
      <c r="P36" t="n">
        <v>3.14648</v>
      </c>
      <c r="Q36" t="n">
        <v>217.802518</v>
      </c>
      <c r="R36" t="n">
        <v>217.802518</v>
      </c>
      <c r="S36" t="n">
        <v>5.627856</v>
      </c>
      <c r="T36" t="n">
        <v>5.627856</v>
      </c>
      <c r="U36" t="n">
        <v>3.14648</v>
      </c>
      <c r="V36" t="n">
        <v>3.14648</v>
      </c>
      <c r="W36" t="n">
        <v>5.794366</v>
      </c>
      <c r="X36" t="n">
        <v>21.50578</v>
      </c>
    </row>
    <row r="37" ht="21" customHeight="1">
      <c r="A37" t="inlineStr">
        <is>
          <t>Teuthida</t>
        </is>
      </c>
      <c r="B37" t="n">
        <v>4.13</v>
      </c>
      <c r="C37" t="n">
        <v>1348.962883</v>
      </c>
      <c r="D37" s="10" t="inlineStr">
        <is>
          <t>Cephalopods</t>
        </is>
      </c>
      <c r="H37" t="n">
        <v>1.261678</v>
      </c>
      <c r="I37" t="n">
        <v>26.779632</v>
      </c>
      <c r="J37" t="n">
        <v>26.779632</v>
      </c>
      <c r="K37" t="n">
        <v>26.351158</v>
      </c>
      <c r="L37" t="n">
        <v>36.734327</v>
      </c>
      <c r="M37" t="n">
        <v>26.808267</v>
      </c>
      <c r="N37" t="n">
        <v>26.808267</v>
      </c>
      <c r="O37" t="n">
        <v>8.403231999999999</v>
      </c>
      <c r="P37" t="n">
        <v>5.352524</v>
      </c>
      <c r="Q37" t="n">
        <v>26.808267</v>
      </c>
      <c r="R37" t="n">
        <v>26.808267</v>
      </c>
      <c r="S37" t="n">
        <v>8.403231999999999</v>
      </c>
      <c r="T37" t="n">
        <v>8.403231999999999</v>
      </c>
      <c r="U37" t="n">
        <v>5.352524</v>
      </c>
      <c r="V37" t="n">
        <v>5.352524</v>
      </c>
      <c r="W37" t="n">
        <v>8.371036999999999</v>
      </c>
      <c r="X37" t="n">
        <v>28.03948</v>
      </c>
    </row>
    <row r="38" ht="21" customHeight="1">
      <c r="A38" t="inlineStr">
        <is>
          <t>Penaeus chinensis</t>
        </is>
      </c>
      <c r="B38" t="n">
        <v>2</v>
      </c>
      <c r="C38" t="n">
        <v>10</v>
      </c>
      <c r="D38" s="10" t="inlineStr">
        <is>
          <t>Shrimps</t>
        </is>
      </c>
      <c r="H38" t="n">
        <v>0.472671</v>
      </c>
      <c r="I38" t="n">
        <v>7.184768</v>
      </c>
      <c r="J38" t="n">
        <v>7.184768</v>
      </c>
      <c r="K38" t="n">
        <v>7.177583</v>
      </c>
      <c r="L38" t="n">
        <v>13.927162</v>
      </c>
      <c r="M38" t="n">
        <v>7.184768</v>
      </c>
      <c r="N38" t="n">
        <v>7.184768</v>
      </c>
      <c r="O38" t="n">
        <v>2.606682</v>
      </c>
      <c r="P38" t="n">
        <v>1.759834</v>
      </c>
      <c r="Q38" t="n">
        <v>7.184768</v>
      </c>
      <c r="R38" t="n">
        <v>7.184768</v>
      </c>
      <c r="S38" t="n">
        <v>2.606682</v>
      </c>
      <c r="T38" t="n">
        <v>2.606682</v>
      </c>
      <c r="U38" t="n">
        <v>1.759834</v>
      </c>
      <c r="V38" t="n">
        <v>1.759834</v>
      </c>
      <c r="W38" t="n">
        <v>2.643462</v>
      </c>
      <c r="X38" t="n">
        <v>7.655045</v>
      </c>
    </row>
    <row r="39" ht="21" customHeight="1">
      <c r="A39" t="inlineStr">
        <is>
          <t>Oncorhynchus</t>
        </is>
      </c>
      <c r="B39" t="n">
        <v>3.95</v>
      </c>
      <c r="C39" t="n">
        <v>891.250938</v>
      </c>
      <c r="D39" s="10" t="inlineStr">
        <is>
          <t>Planktivores/piscivores</t>
        </is>
      </c>
      <c r="H39" t="n">
        <v>1.060477</v>
      </c>
      <c r="I39" t="n">
        <v>312.238659</v>
      </c>
      <c r="J39" t="n">
        <v>333.85951</v>
      </c>
      <c r="K39" t="n">
        <v>117.852407</v>
      </c>
      <c r="L39" t="n">
        <v>660.166914</v>
      </c>
      <c r="M39" t="n">
        <v>396.919939</v>
      </c>
      <c r="N39" t="n">
        <v>396.919939</v>
      </c>
      <c r="O39" t="n">
        <v>37.152542</v>
      </c>
      <c r="P39" t="n">
        <v>21.753571</v>
      </c>
      <c r="Q39" t="n">
        <v>396.919939</v>
      </c>
      <c r="R39" t="n">
        <v>396.919939</v>
      </c>
      <c r="S39" t="n">
        <v>37.152542</v>
      </c>
      <c r="T39" t="n">
        <v>37.152542</v>
      </c>
      <c r="U39" t="n">
        <v>21.753571</v>
      </c>
      <c r="V39" t="n">
        <v>21.753571</v>
      </c>
      <c r="W39" t="n">
        <v>38.166317</v>
      </c>
      <c r="X39" t="n">
        <v>408.736525</v>
      </c>
    </row>
    <row r="40" ht="36" customHeight="1">
      <c r="A40" t="inlineStr">
        <is>
          <t>Carangidae</t>
        </is>
      </c>
      <c r="B40" t="n">
        <v>4.05</v>
      </c>
      <c r="C40" t="n">
        <v>1122.018454</v>
      </c>
      <c r="D40" s="10" t="inlineStr">
        <is>
          <t>Planktivores/piscivores | Omnivores</t>
        </is>
      </c>
      <c r="H40" t="n">
        <v>1.098996</v>
      </c>
      <c r="I40" t="n">
        <v>233.328972</v>
      </c>
      <c r="J40" t="n">
        <v>249.120889</v>
      </c>
      <c r="K40" t="n">
        <v>95.51815000000001</v>
      </c>
      <c r="L40" t="n">
        <v>490.371269</v>
      </c>
      <c r="M40" t="n">
        <v>295.371083</v>
      </c>
      <c r="N40" t="n">
        <v>295.371083</v>
      </c>
      <c r="O40" t="n">
        <v>29.123164</v>
      </c>
      <c r="P40" t="n">
        <v>17.008059</v>
      </c>
      <c r="Q40" t="n">
        <v>295.371083</v>
      </c>
      <c r="R40" t="n">
        <v>295.371083</v>
      </c>
      <c r="S40" t="n">
        <v>29.123164</v>
      </c>
      <c r="T40" t="n">
        <v>29.123164</v>
      </c>
      <c r="U40" t="n">
        <v>17.008059</v>
      </c>
      <c r="V40" t="n">
        <v>17.008059</v>
      </c>
      <c r="W40" t="n">
        <v>29.862807</v>
      </c>
      <c r="X40" t="n">
        <v>303.802627</v>
      </c>
    </row>
    <row r="41" ht="36" customHeight="1">
      <c r="A41" t="inlineStr">
        <is>
          <t>Psenopsis anomala</t>
        </is>
      </c>
      <c r="B41" t="n">
        <v>4</v>
      </c>
      <c r="C41" t="n">
        <v>1000</v>
      </c>
      <c r="D41" s="10" t="inlineStr">
        <is>
          <t>Planktivores/Benthivores | Planktivores/piscivores</t>
        </is>
      </c>
      <c r="H41" t="n">
        <v>1.198073</v>
      </c>
      <c r="I41" t="n">
        <v>199.546061</v>
      </c>
      <c r="J41" t="n">
        <v>210.356487</v>
      </c>
      <c r="K41" t="n">
        <v>98.70509</v>
      </c>
      <c r="L41" t="n">
        <v>389.503511</v>
      </c>
      <c r="M41" t="n">
        <v>241.891352</v>
      </c>
      <c r="N41" t="n">
        <v>241.891352</v>
      </c>
      <c r="O41" t="n">
        <v>30.940386</v>
      </c>
      <c r="P41" t="n">
        <v>18.794619</v>
      </c>
      <c r="Q41" t="n">
        <v>241.891352</v>
      </c>
      <c r="R41" t="n">
        <v>241.891352</v>
      </c>
      <c r="S41" t="n">
        <v>30.940386</v>
      </c>
      <c r="T41" t="n">
        <v>30.940386</v>
      </c>
      <c r="U41" t="n">
        <v>18.794619</v>
      </c>
      <c r="V41" t="n">
        <v>18.794619</v>
      </c>
      <c r="W41" t="n">
        <v>31.656515</v>
      </c>
      <c r="X41" t="n">
        <v>248.912492</v>
      </c>
    </row>
    <row r="42" ht="21" customHeight="1">
      <c r="A42" t="inlineStr">
        <is>
          <t>Squillidae</t>
        </is>
      </c>
      <c r="B42" t="n">
        <v>3.5</v>
      </c>
      <c r="C42" t="n">
        <v>316.227766</v>
      </c>
      <c r="D42" s="10" t="inlineStr">
        <is>
          <t>Shrimps</t>
        </is>
      </c>
      <c r="H42" t="n">
        <v>0.472671</v>
      </c>
      <c r="I42" t="n">
        <v>7.184768</v>
      </c>
      <c r="J42" t="n">
        <v>7.184768</v>
      </c>
      <c r="K42" t="n">
        <v>7.177583</v>
      </c>
      <c r="L42" t="n">
        <v>13.927162</v>
      </c>
      <c r="M42" t="n">
        <v>7.184768</v>
      </c>
      <c r="N42" t="n">
        <v>7.184768</v>
      </c>
      <c r="O42" t="n">
        <v>2.606682</v>
      </c>
      <c r="P42" t="n">
        <v>1.759834</v>
      </c>
      <c r="Q42" t="n">
        <v>7.184768</v>
      </c>
      <c r="R42" t="n">
        <v>7.184768</v>
      </c>
      <c r="S42" t="n">
        <v>2.606682</v>
      </c>
      <c r="T42" t="n">
        <v>2.606682</v>
      </c>
      <c r="U42" t="n">
        <v>1.759834</v>
      </c>
      <c r="V42" t="n">
        <v>1.759834</v>
      </c>
      <c r="W42" t="n">
        <v>2.643462</v>
      </c>
      <c r="X42" t="n">
        <v>7.655045</v>
      </c>
    </row>
    <row r="43" ht="21" customHeight="1">
      <c r="A43" t="inlineStr">
        <is>
          <t>Sparidae</t>
        </is>
      </c>
      <c r="B43" t="n">
        <v>3.31</v>
      </c>
      <c r="C43" t="n">
        <v>204.173794</v>
      </c>
      <c r="D43" s="10" t="inlineStr">
        <is>
          <t>Omnivores</t>
        </is>
      </c>
      <c r="H43" t="n">
        <v>1.193784</v>
      </c>
      <c r="I43" t="n">
        <v>39.151197</v>
      </c>
      <c r="J43" t="n">
        <v>40.599509</v>
      </c>
      <c r="K43" t="n">
        <v>40.55891</v>
      </c>
      <c r="L43" t="n">
        <v>72.544996</v>
      </c>
      <c r="M43" t="n">
        <v>45.483756</v>
      </c>
      <c r="N43" t="n">
        <v>45.483756</v>
      </c>
      <c r="O43" t="n">
        <v>9.364795000000001</v>
      </c>
      <c r="P43" t="n">
        <v>5.330494</v>
      </c>
      <c r="Q43" t="n">
        <v>45.483756</v>
      </c>
      <c r="R43" t="n">
        <v>45.483756</v>
      </c>
      <c r="S43" t="n">
        <v>9.364795000000001</v>
      </c>
      <c r="T43" t="n">
        <v>9.364795000000001</v>
      </c>
      <c r="U43" t="n">
        <v>5.330494</v>
      </c>
      <c r="V43" t="n">
        <v>5.330494</v>
      </c>
      <c r="W43" t="n">
        <v>9.429866000000001</v>
      </c>
      <c r="X43" t="n">
        <v>45.585525</v>
      </c>
    </row>
    <row r="44" ht="21" customHeight="1">
      <c r="A44" t="inlineStr">
        <is>
          <t>Alepes</t>
        </is>
      </c>
      <c r="B44" t="n">
        <v>3.32</v>
      </c>
      <c r="C44" t="n">
        <v>208.929613</v>
      </c>
      <c r="D44" s="10" t="inlineStr">
        <is>
          <t>Planktivores/piscivores</t>
        </is>
      </c>
      <c r="H44" t="n">
        <v>1.060477</v>
      </c>
      <c r="I44" t="n">
        <v>312.238659</v>
      </c>
      <c r="J44" t="n">
        <v>333.85951</v>
      </c>
      <c r="K44" t="n">
        <v>117.852407</v>
      </c>
      <c r="L44" t="n">
        <v>660.166914</v>
      </c>
      <c r="M44" t="n">
        <v>396.919939</v>
      </c>
      <c r="N44" t="n">
        <v>396.919939</v>
      </c>
      <c r="O44" t="n">
        <v>37.152542</v>
      </c>
      <c r="P44" t="n">
        <v>21.753571</v>
      </c>
      <c r="Q44" t="n">
        <v>396.919939</v>
      </c>
      <c r="R44" t="n">
        <v>396.919939</v>
      </c>
      <c r="S44" t="n">
        <v>37.152542</v>
      </c>
      <c r="T44" t="n">
        <v>37.152542</v>
      </c>
      <c r="U44" t="n">
        <v>21.753571</v>
      </c>
      <c r="V44" t="n">
        <v>21.753571</v>
      </c>
      <c r="W44" t="n">
        <v>38.166317</v>
      </c>
      <c r="X44" t="n">
        <v>408.736525</v>
      </c>
    </row>
    <row r="45" ht="21" customHeight="1">
      <c r="A45" t="inlineStr">
        <is>
          <t>Sepiidae</t>
        </is>
      </c>
      <c r="B45" t="n">
        <v>3.6</v>
      </c>
      <c r="C45" t="n">
        <v>398.107171</v>
      </c>
      <c r="D45" s="10" t="inlineStr">
        <is>
          <t>Cephalopods</t>
        </is>
      </c>
      <c r="H45" t="n">
        <v>1.261678</v>
      </c>
      <c r="I45" t="n">
        <v>26.779632</v>
      </c>
      <c r="J45" t="n">
        <v>26.779632</v>
      </c>
      <c r="K45" t="n">
        <v>26.351158</v>
      </c>
      <c r="L45" t="n">
        <v>36.734327</v>
      </c>
      <c r="M45" t="n">
        <v>26.808267</v>
      </c>
      <c r="N45" t="n">
        <v>26.808267</v>
      </c>
      <c r="O45" t="n">
        <v>8.403231999999999</v>
      </c>
      <c r="P45" t="n">
        <v>5.352524</v>
      </c>
      <c r="Q45" t="n">
        <v>26.808267</v>
      </c>
      <c r="R45" t="n">
        <v>26.808267</v>
      </c>
      <c r="S45" t="n">
        <v>8.403231999999999</v>
      </c>
      <c r="T45" t="n">
        <v>8.403231999999999</v>
      </c>
      <c r="U45" t="n">
        <v>5.352524</v>
      </c>
      <c r="V45" t="n">
        <v>5.352524</v>
      </c>
      <c r="W45" t="n">
        <v>8.371036999999999</v>
      </c>
      <c r="X45" t="n">
        <v>28.03948</v>
      </c>
    </row>
    <row r="46" ht="21" customHeight="1">
      <c r="A46" t="inlineStr">
        <is>
          <t>Harpadon nehereus</t>
        </is>
      </c>
      <c r="B46" t="n">
        <v>4.2</v>
      </c>
      <c r="C46" t="n">
        <v>1584.893192</v>
      </c>
      <c r="D46" s="10" t="inlineStr">
        <is>
          <t>Bombay duck</t>
        </is>
      </c>
      <c r="H46" t="n">
        <v>1.532987</v>
      </c>
      <c r="I46" t="n">
        <v>113.132719</v>
      </c>
      <c r="J46" t="n">
        <v>117.837949</v>
      </c>
      <c r="K46" t="n">
        <v>112.65308</v>
      </c>
      <c r="L46" t="n">
        <v>276.894756</v>
      </c>
      <c r="M46" t="n">
        <v>197.325057</v>
      </c>
      <c r="N46" t="n">
        <v>197.325057</v>
      </c>
      <c r="O46" t="n">
        <v>53.336462</v>
      </c>
      <c r="P46" t="n">
        <v>25.019696</v>
      </c>
      <c r="Q46" t="n">
        <v>197.325057</v>
      </c>
      <c r="R46" t="n">
        <v>197.325057</v>
      </c>
      <c r="S46" t="n">
        <v>53.336462</v>
      </c>
      <c r="T46" t="n">
        <v>53.336462</v>
      </c>
      <c r="U46" t="n">
        <v>25.019696</v>
      </c>
      <c r="V46" t="n">
        <v>25.019696</v>
      </c>
      <c r="W46" t="n">
        <v>53.229657</v>
      </c>
      <c r="X46" t="n">
        <v>198.233455</v>
      </c>
    </row>
    <row r="47" ht="21" customHeight="1">
      <c r="A47" t="inlineStr">
        <is>
          <t>Katsuwonus pelamis</t>
        </is>
      </c>
      <c r="B47" t="n">
        <v>4.43</v>
      </c>
      <c r="C47" t="n">
        <v>2691.534804</v>
      </c>
      <c r="D47" s="10" t="inlineStr">
        <is>
          <t>Piscivores</t>
        </is>
      </c>
      <c r="H47" t="n">
        <v>1.498127</v>
      </c>
      <c r="I47" t="n">
        <v>163.850229</v>
      </c>
      <c r="J47" t="n">
        <v>165.313739</v>
      </c>
      <c r="K47" t="n">
        <v>132.912246</v>
      </c>
      <c r="L47" t="n">
        <v>282.597002</v>
      </c>
      <c r="M47" t="n">
        <v>192.12828</v>
      </c>
      <c r="N47" t="n">
        <v>192.12828</v>
      </c>
      <c r="O47" t="n">
        <v>31.073292</v>
      </c>
      <c r="P47" t="n">
        <v>15.877096</v>
      </c>
      <c r="Q47" t="n">
        <v>192.12828</v>
      </c>
      <c r="R47" t="n">
        <v>192.12828</v>
      </c>
      <c r="S47" t="n">
        <v>31.073292</v>
      </c>
      <c r="T47" t="n">
        <v>31.073292</v>
      </c>
      <c r="U47" t="n">
        <v>15.877096</v>
      </c>
      <c r="V47" t="n">
        <v>15.877096</v>
      </c>
      <c r="W47" t="n">
        <v>31.802322</v>
      </c>
      <c r="X47" t="n">
        <v>187.589042</v>
      </c>
    </row>
    <row r="48" ht="21" customHeight="1">
      <c r="A48" t="inlineStr">
        <is>
          <t>Cephalopoda</t>
        </is>
      </c>
      <c r="B48" t="n">
        <v>3.81</v>
      </c>
      <c r="C48" t="n">
        <v>645.654229</v>
      </c>
      <c r="D48" s="10" t="inlineStr">
        <is>
          <t>Cephalopods</t>
        </is>
      </c>
      <c r="H48" t="n">
        <v>1.261678</v>
      </c>
      <c r="I48" t="n">
        <v>26.779632</v>
      </c>
      <c r="J48" t="n">
        <v>26.779632</v>
      </c>
      <c r="K48" t="n">
        <v>26.351158</v>
      </c>
      <c r="L48" t="n">
        <v>36.734327</v>
      </c>
      <c r="M48" t="n">
        <v>26.808267</v>
      </c>
      <c r="N48" t="n">
        <v>26.808267</v>
      </c>
      <c r="O48" t="n">
        <v>8.403231999999999</v>
      </c>
      <c r="P48" t="n">
        <v>5.352524</v>
      </c>
      <c r="Q48" t="n">
        <v>26.808267</v>
      </c>
      <c r="R48" t="n">
        <v>26.808267</v>
      </c>
      <c r="S48" t="n">
        <v>8.403231999999999</v>
      </c>
      <c r="T48" t="n">
        <v>8.403231999999999</v>
      </c>
      <c r="U48" t="n">
        <v>5.352524</v>
      </c>
      <c r="V48" t="n">
        <v>5.352524</v>
      </c>
      <c r="W48" t="n">
        <v>8.371036999999999</v>
      </c>
      <c r="X48" t="n">
        <v>28.03948</v>
      </c>
    </row>
    <row r="49" ht="21" customHeight="1">
      <c r="A49" t="inlineStr">
        <is>
          <t>Nemipteridae</t>
        </is>
      </c>
      <c r="B49" t="n">
        <v>3.51</v>
      </c>
      <c r="C49" t="n">
        <v>323.593657</v>
      </c>
      <c r="D49" s="10" t="inlineStr">
        <is>
          <t>Benthivores/piscivores</t>
        </is>
      </c>
      <c r="H49" t="n">
        <v>0.86744</v>
      </c>
      <c r="I49" t="n">
        <v>19.560587</v>
      </c>
      <c r="J49" t="n">
        <v>19.580296</v>
      </c>
      <c r="K49" t="n">
        <v>19.286591</v>
      </c>
      <c r="L49" t="n">
        <v>34.759886</v>
      </c>
      <c r="M49" t="n">
        <v>20.178818</v>
      </c>
      <c r="N49" t="n">
        <v>20.178818</v>
      </c>
      <c r="O49" t="n">
        <v>6.006603</v>
      </c>
      <c r="P49" t="n">
        <v>3.449698</v>
      </c>
      <c r="Q49" t="n">
        <v>20.178818</v>
      </c>
      <c r="R49" t="n">
        <v>20.178818</v>
      </c>
      <c r="S49" t="n">
        <v>6.006603</v>
      </c>
      <c r="T49" t="n">
        <v>6.006603</v>
      </c>
      <c r="U49" t="n">
        <v>3.449698</v>
      </c>
      <c r="V49" t="n">
        <v>3.449698</v>
      </c>
      <c r="W49" t="n">
        <v>6.116899</v>
      </c>
      <c r="X49" t="n">
        <v>20.709505</v>
      </c>
    </row>
    <row r="50" ht="21" customHeight="1">
      <c r="A50" t="inlineStr">
        <is>
          <t>Thunnus albacares</t>
        </is>
      </c>
      <c r="B50" t="n">
        <v>4.41</v>
      </c>
      <c r="C50" t="n">
        <v>2570.395783</v>
      </c>
      <c r="D50" s="10" t="inlineStr">
        <is>
          <t>Piscivores</t>
        </is>
      </c>
      <c r="H50" t="n">
        <v>1.498127</v>
      </c>
      <c r="I50" t="n">
        <v>163.850229</v>
      </c>
      <c r="J50" t="n">
        <v>165.313739</v>
      </c>
      <c r="K50" t="n">
        <v>132.912246</v>
      </c>
      <c r="L50" t="n">
        <v>282.597002</v>
      </c>
      <c r="M50" t="n">
        <v>192.12828</v>
      </c>
      <c r="N50" t="n">
        <v>192.12828</v>
      </c>
      <c r="O50" t="n">
        <v>31.073292</v>
      </c>
      <c r="P50" t="n">
        <v>15.877096</v>
      </c>
      <c r="Q50" t="n">
        <v>192.12828</v>
      </c>
      <c r="R50" t="n">
        <v>192.12828</v>
      </c>
      <c r="S50" t="n">
        <v>31.073292</v>
      </c>
      <c r="T50" t="n">
        <v>31.073292</v>
      </c>
      <c r="U50" t="n">
        <v>15.877096</v>
      </c>
      <c r="V50" t="n">
        <v>15.877096</v>
      </c>
      <c r="W50" t="n">
        <v>31.802322</v>
      </c>
      <c r="X50" t="n">
        <v>187.589042</v>
      </c>
    </row>
    <row r="51" ht="21" customHeight="1">
      <c r="A51" t="inlineStr">
        <is>
          <t>Trachurus japonicus</t>
        </is>
      </c>
      <c r="B51" t="n">
        <v>3.4</v>
      </c>
      <c r="C51" t="n">
        <v>251.188643</v>
      </c>
      <c r="D51" s="10" t="inlineStr">
        <is>
          <t>Planktivores/piscivores</t>
        </is>
      </c>
      <c r="H51" t="n">
        <v>1.060477</v>
      </c>
      <c r="I51" t="n">
        <v>312.238659</v>
      </c>
      <c r="J51" t="n">
        <v>333.85951</v>
      </c>
      <c r="K51" t="n">
        <v>117.852407</v>
      </c>
      <c r="L51" t="n">
        <v>660.166914</v>
      </c>
      <c r="M51" t="n">
        <v>396.919939</v>
      </c>
      <c r="N51" t="n">
        <v>396.919939</v>
      </c>
      <c r="O51" t="n">
        <v>37.152542</v>
      </c>
      <c r="P51" t="n">
        <v>21.753571</v>
      </c>
      <c r="Q51" t="n">
        <v>396.919939</v>
      </c>
      <c r="R51" t="n">
        <v>396.919939</v>
      </c>
      <c r="S51" t="n">
        <v>37.152542</v>
      </c>
      <c r="T51" t="n">
        <v>37.152542</v>
      </c>
      <c r="U51" t="n">
        <v>21.753571</v>
      </c>
      <c r="V51" t="n">
        <v>21.753571</v>
      </c>
      <c r="W51" t="n">
        <v>38.166317</v>
      </c>
      <c r="X51" t="n">
        <v>408.736525</v>
      </c>
    </row>
    <row r="52" ht="21" customHeight="1">
      <c r="A52" t="inlineStr">
        <is>
          <t>Rhopilema esculentum</t>
        </is>
      </c>
      <c r="B52" t="n">
        <v>3.01</v>
      </c>
      <c r="C52" t="n">
        <v>102.329299</v>
      </c>
      <c r="D52" s="10" t="inlineStr">
        <is>
          <t>Other invertebrates</t>
        </is>
      </c>
      <c r="H52" t="n">
        <v>0.834414</v>
      </c>
      <c r="I52" t="n">
        <v>8.766234000000001</v>
      </c>
      <c r="J52" t="n">
        <v>8.766234000000001</v>
      </c>
      <c r="K52" t="n">
        <v>5.4</v>
      </c>
      <c r="L52" t="n">
        <v>13.760094</v>
      </c>
      <c r="M52" t="n">
        <v>8.766234000000001</v>
      </c>
      <c r="N52" t="n">
        <v>8.766234000000001</v>
      </c>
      <c r="O52" t="n">
        <v>5.4</v>
      </c>
      <c r="P52" t="n">
        <v>4.32</v>
      </c>
      <c r="Q52" t="n">
        <v>8.766234000000001</v>
      </c>
      <c r="R52" t="n">
        <v>8.766234000000001</v>
      </c>
      <c r="S52" t="n">
        <v>5.4</v>
      </c>
      <c r="T52" t="n">
        <v>5.4</v>
      </c>
      <c r="U52" t="n">
        <v>4.32</v>
      </c>
      <c r="V52" t="n">
        <v>4.32</v>
      </c>
      <c r="W52" t="n">
        <v>5.39691</v>
      </c>
      <c r="X52" t="n">
        <v>8.751026</v>
      </c>
    </row>
    <row r="53" ht="21" customHeight="1">
      <c r="A53" t="inlineStr">
        <is>
          <t>Mugil cephalus</t>
        </is>
      </c>
      <c r="B53" t="n">
        <v>2.14</v>
      </c>
      <c r="C53" t="n">
        <v>13.803843</v>
      </c>
      <c r="D53" s="10" t="inlineStr">
        <is>
          <t>Benthivores</t>
        </is>
      </c>
      <c r="H53" t="n">
        <v>0.507881</v>
      </c>
      <c r="I53" t="n">
        <v>15.397089</v>
      </c>
      <c r="J53" t="n">
        <v>16.480074</v>
      </c>
      <c r="K53" t="n">
        <v>16.397674</v>
      </c>
      <c r="L53" t="n">
        <v>385.228839</v>
      </c>
      <c r="M53" t="n">
        <v>217.802518</v>
      </c>
      <c r="N53" t="n">
        <v>217.802518</v>
      </c>
      <c r="O53" t="n">
        <v>5.627856</v>
      </c>
      <c r="P53" t="n">
        <v>3.14648</v>
      </c>
      <c r="Q53" t="n">
        <v>217.802518</v>
      </c>
      <c r="R53" t="n">
        <v>217.802518</v>
      </c>
      <c r="S53" t="n">
        <v>5.627856</v>
      </c>
      <c r="T53" t="n">
        <v>5.627856</v>
      </c>
      <c r="U53" t="n">
        <v>3.14648</v>
      </c>
      <c r="V53" t="n">
        <v>3.14648</v>
      </c>
      <c r="W53" t="n">
        <v>5.794366</v>
      </c>
      <c r="X53" t="n">
        <v>21.50578</v>
      </c>
    </row>
    <row r="54" ht="21" customHeight="1">
      <c r="A54" t="inlineStr">
        <is>
          <t>Dendrobranchiata</t>
        </is>
      </c>
      <c r="B54" t="n">
        <v>3.24</v>
      </c>
      <c r="C54" t="n">
        <v>173.780083</v>
      </c>
      <c r="D54" s="10" t="inlineStr">
        <is>
          <t>Shrimps</t>
        </is>
      </c>
      <c r="H54" t="n">
        <v>0.472671</v>
      </c>
      <c r="I54" t="n">
        <v>7.184768</v>
      </c>
      <c r="J54" t="n">
        <v>7.184768</v>
      </c>
      <c r="K54" t="n">
        <v>7.177583</v>
      </c>
      <c r="L54" t="n">
        <v>13.927162</v>
      </c>
      <c r="M54" t="n">
        <v>7.184768</v>
      </c>
      <c r="N54" t="n">
        <v>7.184768</v>
      </c>
      <c r="O54" t="n">
        <v>2.606682</v>
      </c>
      <c r="P54" t="n">
        <v>1.759834</v>
      </c>
      <c r="Q54" t="n">
        <v>7.184768</v>
      </c>
      <c r="R54" t="n">
        <v>7.184768</v>
      </c>
      <c r="S54" t="n">
        <v>2.606682</v>
      </c>
      <c r="T54" t="n">
        <v>2.606682</v>
      </c>
      <c r="U54" t="n">
        <v>1.759834</v>
      </c>
      <c r="V54" t="n">
        <v>1.759834</v>
      </c>
      <c r="W54" t="n">
        <v>2.643462</v>
      </c>
      <c r="X54" t="n">
        <v>7.655045</v>
      </c>
    </row>
    <row r="55" ht="21" customHeight="1">
      <c r="A55" t="inlineStr">
        <is>
          <t>Pagrus major</t>
        </is>
      </c>
      <c r="B55" t="n">
        <v>3.7</v>
      </c>
      <c r="C55" t="n">
        <v>501.187234</v>
      </c>
      <c r="D55" s="10" t="inlineStr">
        <is>
          <t>Omnivores</t>
        </is>
      </c>
      <c r="H55" t="n">
        <v>1.193784</v>
      </c>
      <c r="I55" t="n">
        <v>39.151197</v>
      </c>
      <c r="J55" t="n">
        <v>40.599509</v>
      </c>
      <c r="K55" t="n">
        <v>40.55891</v>
      </c>
      <c r="L55" t="n">
        <v>72.544996</v>
      </c>
      <c r="M55" t="n">
        <v>45.483756</v>
      </c>
      <c r="N55" t="n">
        <v>45.483756</v>
      </c>
      <c r="O55" t="n">
        <v>9.364795000000001</v>
      </c>
      <c r="P55" t="n">
        <v>5.330494</v>
      </c>
      <c r="Q55" t="n">
        <v>45.483756</v>
      </c>
      <c r="R55" t="n">
        <v>45.483756</v>
      </c>
      <c r="S55" t="n">
        <v>9.364795000000001</v>
      </c>
      <c r="T55" t="n">
        <v>9.364795000000001</v>
      </c>
      <c r="U55" t="n">
        <v>5.330494</v>
      </c>
      <c r="V55" t="n">
        <v>5.330494</v>
      </c>
      <c r="W55" t="n">
        <v>9.429866000000001</v>
      </c>
      <c r="X55" t="n">
        <v>45.585525</v>
      </c>
    </row>
    <row r="56" ht="21" customHeight="1">
      <c r="A56" t="inlineStr">
        <is>
          <t>Decapoda</t>
        </is>
      </c>
      <c r="B56" t="n">
        <v>3.43</v>
      </c>
      <c r="C56" t="n">
        <v>269.15348</v>
      </c>
      <c r="D56" s="10" t="inlineStr">
        <is>
          <t>Crabs | Shrimps</t>
        </is>
      </c>
      <c r="H56" t="n">
        <v>0.480828</v>
      </c>
      <c r="I56" t="n">
        <v>6.662924</v>
      </c>
      <c r="J56" t="n">
        <v>6.662924</v>
      </c>
      <c r="K56" t="n">
        <v>6.549008</v>
      </c>
      <c r="L56" t="n">
        <v>13.196282</v>
      </c>
      <c r="M56" t="n">
        <v>6.662924</v>
      </c>
      <c r="N56" t="n">
        <v>6.662924</v>
      </c>
      <c r="O56" t="n">
        <v>2.636129</v>
      </c>
      <c r="P56" t="n">
        <v>1.77779</v>
      </c>
      <c r="Q56" t="n">
        <v>6.662924</v>
      </c>
      <c r="R56" t="n">
        <v>6.662924</v>
      </c>
      <c r="S56" t="n">
        <v>2.636129</v>
      </c>
      <c r="T56" t="n">
        <v>2.636129</v>
      </c>
      <c r="U56" t="n">
        <v>1.77779</v>
      </c>
      <c r="V56" t="n">
        <v>1.77779</v>
      </c>
      <c r="W56" t="n">
        <v>2.665171</v>
      </c>
      <c r="X56" t="n">
        <v>7.004519</v>
      </c>
    </row>
    <row r="57" ht="21" customHeight="1">
      <c r="A57" t="inlineStr">
        <is>
          <t>Turbo cornutus</t>
        </is>
      </c>
      <c r="B57" t="n">
        <v>2</v>
      </c>
      <c r="C57" t="n">
        <v>10</v>
      </c>
      <c r="D57" s="10" t="inlineStr">
        <is>
          <t>Mollusks</t>
        </is>
      </c>
      <c r="H57" t="n">
        <v>0.386637</v>
      </c>
      <c r="I57" t="n">
        <v>5.936061</v>
      </c>
      <c r="J57" t="n">
        <v>5.936061</v>
      </c>
      <c r="K57" t="n">
        <v>1.780818</v>
      </c>
      <c r="L57" t="n">
        <v>17.186608</v>
      </c>
      <c r="M57" t="n">
        <v>6.329922</v>
      </c>
      <c r="N57" t="n">
        <v>6.329922</v>
      </c>
      <c r="O57" t="n">
        <v>0.986753</v>
      </c>
      <c r="P57" t="n">
        <v>0.712886</v>
      </c>
      <c r="Q57" t="n">
        <v>6.329922</v>
      </c>
      <c r="R57" t="n">
        <v>6.329922</v>
      </c>
      <c r="S57" t="n">
        <v>0.986753</v>
      </c>
      <c r="T57" t="n">
        <v>0.986753</v>
      </c>
      <c r="U57" t="n">
        <v>0.712886</v>
      </c>
      <c r="V57" t="n">
        <v>0.712886</v>
      </c>
      <c r="W57" t="n">
        <v>0.98107</v>
      </c>
      <c r="X57" t="n">
        <v>6.573538</v>
      </c>
    </row>
    <row r="58" ht="21" customHeight="1">
      <c r="A58" t="inlineStr">
        <is>
          <t>Conger myriaster</t>
        </is>
      </c>
      <c r="B58" t="n">
        <v>3.98</v>
      </c>
      <c r="C58" t="n">
        <v>954.992586</v>
      </c>
      <c r="D58" s="10" t="inlineStr">
        <is>
          <t>Benthivores/piscivores</t>
        </is>
      </c>
      <c r="H58" t="n">
        <v>0.86744</v>
      </c>
      <c r="I58" t="n">
        <v>19.560587</v>
      </c>
      <c r="J58" t="n">
        <v>19.580296</v>
      </c>
      <c r="K58" t="n">
        <v>19.286591</v>
      </c>
      <c r="L58" t="n">
        <v>34.759886</v>
      </c>
      <c r="M58" t="n">
        <v>20.178818</v>
      </c>
      <c r="N58" t="n">
        <v>20.178818</v>
      </c>
      <c r="O58" t="n">
        <v>6.006603</v>
      </c>
      <c r="P58" t="n">
        <v>3.449698</v>
      </c>
      <c r="Q58" t="n">
        <v>20.178818</v>
      </c>
      <c r="R58" t="n">
        <v>20.178818</v>
      </c>
      <c r="S58" t="n">
        <v>6.006603</v>
      </c>
      <c r="T58" t="n">
        <v>6.006603</v>
      </c>
      <c r="U58" t="n">
        <v>3.449698</v>
      </c>
      <c r="V58" t="n">
        <v>3.449698</v>
      </c>
      <c r="W58" t="n">
        <v>6.116899</v>
      </c>
      <c r="X58" t="n">
        <v>20.709505</v>
      </c>
    </row>
    <row r="59" ht="36" customHeight="1">
      <c r="A59" t="inlineStr">
        <is>
          <t>Congridae</t>
        </is>
      </c>
      <c r="B59" t="n">
        <v>4.18</v>
      </c>
      <c r="C59" t="n">
        <v>1513.561248</v>
      </c>
      <c r="D59" s="10" t="inlineStr">
        <is>
          <t>Benthivores | Benthivores/piscivores</t>
        </is>
      </c>
      <c r="H59" t="n">
        <v>0.706925</v>
      </c>
      <c r="I59" t="n">
        <v>17.701916</v>
      </c>
      <c r="J59" t="n">
        <v>18.196293</v>
      </c>
      <c r="K59" t="n">
        <v>17.996919</v>
      </c>
      <c r="L59" t="n">
        <v>191.216462</v>
      </c>
      <c r="M59" t="n">
        <v>108.402117</v>
      </c>
      <c r="N59" t="n">
        <v>108.402117</v>
      </c>
      <c r="O59" t="n">
        <v>5.837523</v>
      </c>
      <c r="P59" t="n">
        <v>3.314335</v>
      </c>
      <c r="Q59" t="n">
        <v>108.402117</v>
      </c>
      <c r="R59" t="n">
        <v>108.402117</v>
      </c>
      <c r="S59" t="n">
        <v>5.837523</v>
      </c>
      <c r="T59" t="n">
        <v>5.837523</v>
      </c>
      <c r="U59" t="n">
        <v>3.314335</v>
      </c>
      <c r="V59" t="n">
        <v>3.314335</v>
      </c>
      <c r="W59" t="n">
        <v>5.972914</v>
      </c>
      <c r="X59" t="n">
        <v>21.064978</v>
      </c>
    </row>
    <row r="60" ht="21" customHeight="1">
      <c r="A60" t="inlineStr">
        <is>
          <t>Seriola</t>
        </is>
      </c>
      <c r="B60" t="n">
        <v>4.39</v>
      </c>
      <c r="C60" t="n">
        <v>2454.708916</v>
      </c>
      <c r="D60" s="10" t="inlineStr">
        <is>
          <t>Piscivores</t>
        </is>
      </c>
      <c r="H60" t="n">
        <v>1.498127</v>
      </c>
      <c r="I60" t="n">
        <v>163.850229</v>
      </c>
      <c r="J60" t="n">
        <v>165.313739</v>
      </c>
      <c r="K60" t="n">
        <v>132.912246</v>
      </c>
      <c r="L60" t="n">
        <v>282.597002</v>
      </c>
      <c r="M60" t="n">
        <v>192.12828</v>
      </c>
      <c r="N60" t="n">
        <v>192.12828</v>
      </c>
      <c r="O60" t="n">
        <v>31.073292</v>
      </c>
      <c r="P60" t="n">
        <v>15.877096</v>
      </c>
      <c r="Q60" t="n">
        <v>192.12828</v>
      </c>
      <c r="R60" t="n">
        <v>192.12828</v>
      </c>
      <c r="S60" t="n">
        <v>31.073292</v>
      </c>
      <c r="T60" t="n">
        <v>31.073292</v>
      </c>
      <c r="U60" t="n">
        <v>15.877096</v>
      </c>
      <c r="V60" t="n">
        <v>15.877096</v>
      </c>
      <c r="W60" t="n">
        <v>31.802322</v>
      </c>
      <c r="X60" t="n">
        <v>187.589042</v>
      </c>
    </row>
    <row r="61" ht="21" customHeight="1">
      <c r="A61" t="inlineStr">
        <is>
          <t>Ilisha elongata</t>
        </is>
      </c>
      <c r="B61" t="n">
        <v>3.79</v>
      </c>
      <c r="C61" t="n">
        <v>616.595002</v>
      </c>
      <c r="D61" s="10" t="inlineStr">
        <is>
          <t>Omnivores</t>
        </is>
      </c>
      <c r="H61" t="n">
        <v>1.193784</v>
      </c>
      <c r="I61" t="n">
        <v>39.151197</v>
      </c>
      <c r="J61" t="n">
        <v>40.599509</v>
      </c>
      <c r="K61" t="n">
        <v>40.55891</v>
      </c>
      <c r="L61" t="n">
        <v>72.544996</v>
      </c>
      <c r="M61" t="n">
        <v>45.483756</v>
      </c>
      <c r="N61" t="n">
        <v>45.483756</v>
      </c>
      <c r="O61" t="n">
        <v>9.364795000000001</v>
      </c>
      <c r="P61" t="n">
        <v>5.330494</v>
      </c>
      <c r="Q61" t="n">
        <v>45.483756</v>
      </c>
      <c r="R61" t="n">
        <v>45.483756</v>
      </c>
      <c r="S61" t="n">
        <v>9.364795000000001</v>
      </c>
      <c r="T61" t="n">
        <v>9.364795000000001</v>
      </c>
      <c r="U61" t="n">
        <v>5.330494</v>
      </c>
      <c r="V61" t="n">
        <v>5.330494</v>
      </c>
      <c r="W61" t="n">
        <v>9.429866000000001</v>
      </c>
      <c r="X61" t="n">
        <v>45.585525</v>
      </c>
    </row>
    <row r="62" ht="21" customHeight="1">
      <c r="A62" t="inlineStr">
        <is>
          <t>Sebastes</t>
        </is>
      </c>
      <c r="B62" t="n">
        <v>3.79</v>
      </c>
      <c r="C62" t="n">
        <v>616.595002</v>
      </c>
      <c r="D62" s="10" t="inlineStr">
        <is>
          <t>Benthivores/piscivores</t>
        </is>
      </c>
      <c r="H62" t="n">
        <v>0.86744</v>
      </c>
      <c r="I62" t="n">
        <v>19.560587</v>
      </c>
      <c r="J62" t="n">
        <v>19.580296</v>
      </c>
      <c r="K62" t="n">
        <v>19.286591</v>
      </c>
      <c r="L62" t="n">
        <v>34.759886</v>
      </c>
      <c r="M62" t="n">
        <v>20.178818</v>
      </c>
      <c r="N62" t="n">
        <v>20.178818</v>
      </c>
      <c r="O62" t="n">
        <v>6.006603</v>
      </c>
      <c r="P62" t="n">
        <v>3.449698</v>
      </c>
      <c r="Q62" t="n">
        <v>20.178818</v>
      </c>
      <c r="R62" t="n">
        <v>20.178818</v>
      </c>
      <c r="S62" t="n">
        <v>6.006603</v>
      </c>
      <c r="T62" t="n">
        <v>6.006603</v>
      </c>
      <c r="U62" t="n">
        <v>3.449698</v>
      </c>
      <c r="V62" t="n">
        <v>3.449698</v>
      </c>
      <c r="W62" t="n">
        <v>6.116899</v>
      </c>
      <c r="X62" t="n">
        <v>20.709505</v>
      </c>
    </row>
    <row r="63" ht="21" customHeight="1">
      <c r="A63" t="inlineStr">
        <is>
          <t>Epinephelus</t>
        </is>
      </c>
      <c r="B63" t="n">
        <v>3.84</v>
      </c>
      <c r="C63" t="n">
        <v>691.830971</v>
      </c>
      <c r="D63" s="10" t="inlineStr">
        <is>
          <t>Piscivores</t>
        </is>
      </c>
      <c r="H63" t="n">
        <v>1.498127</v>
      </c>
      <c r="I63" t="n">
        <v>163.850229</v>
      </c>
      <c r="J63" t="n">
        <v>165.313739</v>
      </c>
      <c r="K63" t="n">
        <v>132.912246</v>
      </c>
      <c r="L63" t="n">
        <v>282.597002</v>
      </c>
      <c r="M63" t="n">
        <v>192.12828</v>
      </c>
      <c r="N63" t="n">
        <v>192.12828</v>
      </c>
      <c r="O63" t="n">
        <v>31.073292</v>
      </c>
      <c r="P63" t="n">
        <v>15.877096</v>
      </c>
      <c r="Q63" t="n">
        <v>192.12828</v>
      </c>
      <c r="R63" t="n">
        <v>192.12828</v>
      </c>
      <c r="S63" t="n">
        <v>31.073292</v>
      </c>
      <c r="T63" t="n">
        <v>31.073292</v>
      </c>
      <c r="U63" t="n">
        <v>15.877096</v>
      </c>
      <c r="V63" t="n">
        <v>15.877096</v>
      </c>
      <c r="W63" t="n">
        <v>31.802322</v>
      </c>
      <c r="X63" t="n">
        <v>187.589042</v>
      </c>
    </row>
    <row r="64" ht="21" customHeight="1">
      <c r="A64" t="inlineStr">
        <is>
          <t>Loliginidae</t>
        </is>
      </c>
      <c r="B64" t="n">
        <v>3.9</v>
      </c>
      <c r="C64" t="n">
        <v>794.3282349999999</v>
      </c>
      <c r="D64" s="10" t="inlineStr">
        <is>
          <t>Cephalopods</t>
        </is>
      </c>
      <c r="H64" t="n">
        <v>1.261678</v>
      </c>
      <c r="I64" t="n">
        <v>26.779632</v>
      </c>
      <c r="J64" t="n">
        <v>26.779632</v>
      </c>
      <c r="K64" t="n">
        <v>26.351158</v>
      </c>
      <c r="L64" t="n">
        <v>36.734327</v>
      </c>
      <c r="M64" t="n">
        <v>26.808267</v>
      </c>
      <c r="N64" t="n">
        <v>26.808267</v>
      </c>
      <c r="O64" t="n">
        <v>8.403231999999999</v>
      </c>
      <c r="P64" t="n">
        <v>5.352524</v>
      </c>
      <c r="Q64" t="n">
        <v>26.808267</v>
      </c>
      <c r="R64" t="n">
        <v>26.808267</v>
      </c>
      <c r="S64" t="n">
        <v>8.403231999999999</v>
      </c>
      <c r="T64" t="n">
        <v>8.403231999999999</v>
      </c>
      <c r="U64" t="n">
        <v>5.352524</v>
      </c>
      <c r="V64" t="n">
        <v>5.352524</v>
      </c>
      <c r="W64" t="n">
        <v>8.371036999999999</v>
      </c>
      <c r="X64" t="n">
        <v>28.03948</v>
      </c>
    </row>
    <row r="65" ht="21" customHeight="1">
      <c r="A65" t="inlineStr">
        <is>
          <t>Stromateidae</t>
        </is>
      </c>
      <c r="B65" t="n">
        <v>3.62</v>
      </c>
      <c r="C65" t="n">
        <v>416.869383</v>
      </c>
      <c r="D65" s="10" t="inlineStr">
        <is>
          <t>Planktivores/piscivores</t>
        </is>
      </c>
      <c r="H65" t="n">
        <v>1.060477</v>
      </c>
      <c r="I65" t="n">
        <v>312.238659</v>
      </c>
      <c r="J65" t="n">
        <v>333.85951</v>
      </c>
      <c r="K65" t="n">
        <v>117.852407</v>
      </c>
      <c r="L65" t="n">
        <v>660.166914</v>
      </c>
      <c r="M65" t="n">
        <v>396.919939</v>
      </c>
      <c r="N65" t="n">
        <v>396.919939</v>
      </c>
      <c r="O65" t="n">
        <v>37.152542</v>
      </c>
      <c r="P65" t="n">
        <v>21.753571</v>
      </c>
      <c r="Q65" t="n">
        <v>396.919939</v>
      </c>
      <c r="R65" t="n">
        <v>396.919939</v>
      </c>
      <c r="S65" t="n">
        <v>37.152542</v>
      </c>
      <c r="T65" t="n">
        <v>37.152542</v>
      </c>
      <c r="U65" t="n">
        <v>21.753571</v>
      </c>
      <c r="V65" t="n">
        <v>21.753571</v>
      </c>
      <c r="W65" t="n">
        <v>38.166317</v>
      </c>
      <c r="X65" t="n">
        <v>408.736525</v>
      </c>
    </row>
    <row r="66" ht="21" customHeight="1">
      <c r="A66" t="inlineStr">
        <is>
          <t>Brachyura</t>
        </is>
      </c>
      <c r="B66" t="n">
        <v>2.6</v>
      </c>
      <c r="C66" t="n">
        <v>39.810717</v>
      </c>
      <c r="D66" s="10" t="inlineStr">
        <is>
          <t>Crabs</t>
        </is>
      </c>
      <c r="H66" t="n">
        <v>0.50498</v>
      </c>
      <c r="I66" t="n">
        <v>5.117944</v>
      </c>
      <c r="J66" t="n">
        <v>5.117944</v>
      </c>
      <c r="K66" t="n">
        <v>4.688036</v>
      </c>
      <c r="L66" t="n">
        <v>11.032425</v>
      </c>
      <c r="M66" t="n">
        <v>5.117944</v>
      </c>
      <c r="N66" t="n">
        <v>5.117944</v>
      </c>
      <c r="O66" t="n">
        <v>2.72331</v>
      </c>
      <c r="P66" t="n">
        <v>1.83095</v>
      </c>
      <c r="Q66" t="n">
        <v>5.117944</v>
      </c>
      <c r="R66" t="n">
        <v>5.117944</v>
      </c>
      <c r="S66" t="n">
        <v>2.72331</v>
      </c>
      <c r="T66" t="n">
        <v>2.72331</v>
      </c>
      <c r="U66" t="n">
        <v>1.83095</v>
      </c>
      <c r="V66" t="n">
        <v>1.83095</v>
      </c>
      <c r="W66" t="n">
        <v>2.729441</v>
      </c>
      <c r="X66" t="n">
        <v>5.078558</v>
      </c>
    </row>
    <row r="67" ht="21" customHeight="1">
      <c r="A67" t="inlineStr">
        <is>
          <t>Octopodidae</t>
        </is>
      </c>
      <c r="B67" t="n">
        <v>3.59</v>
      </c>
      <c r="C67" t="n">
        <v>389.045145</v>
      </c>
      <c r="D67" s="10" t="inlineStr">
        <is>
          <t>Cephalopods</t>
        </is>
      </c>
      <c r="H67" t="n">
        <v>1.261678</v>
      </c>
      <c r="I67" t="n">
        <v>26.779632</v>
      </c>
      <c r="J67" t="n">
        <v>26.779632</v>
      </c>
      <c r="K67" t="n">
        <v>26.351158</v>
      </c>
      <c r="L67" t="n">
        <v>36.734327</v>
      </c>
      <c r="M67" t="n">
        <v>26.808267</v>
      </c>
      <c r="N67" t="n">
        <v>26.808267</v>
      </c>
      <c r="O67" t="n">
        <v>8.403231999999999</v>
      </c>
      <c r="P67" t="n">
        <v>5.352524</v>
      </c>
      <c r="Q67" t="n">
        <v>26.808267</v>
      </c>
      <c r="R67" t="n">
        <v>26.808267</v>
      </c>
      <c r="S67" t="n">
        <v>8.403231999999999</v>
      </c>
      <c r="T67" t="n">
        <v>8.403231999999999</v>
      </c>
      <c r="U67" t="n">
        <v>5.352524</v>
      </c>
      <c r="V67" t="n">
        <v>5.352524</v>
      </c>
      <c r="W67" t="n">
        <v>8.371036999999999</v>
      </c>
      <c r="X67" t="n">
        <v>28.03948</v>
      </c>
    </row>
    <row r="68" ht="21" customHeight="1">
      <c r="A68" t="inlineStr">
        <is>
          <t>Clupeidae</t>
        </is>
      </c>
      <c r="B68" t="n">
        <v>3.16</v>
      </c>
      <c r="C68" t="n">
        <v>144.543977</v>
      </c>
      <c r="D68" s="10" t="inlineStr">
        <is>
          <t>Planktivores</t>
        </is>
      </c>
      <c r="H68" t="n">
        <v>1.333042</v>
      </c>
      <c r="I68" t="n">
        <v>37.009201</v>
      </c>
      <c r="J68" t="n">
        <v>37.009201</v>
      </c>
      <c r="K68" t="n">
        <v>36.935183</v>
      </c>
      <c r="L68" t="n">
        <v>51.741399</v>
      </c>
      <c r="M68" t="n">
        <v>37.478814</v>
      </c>
      <c r="N68" t="n">
        <v>37.478814</v>
      </c>
      <c r="O68" t="n">
        <v>11.531637</v>
      </c>
      <c r="P68" t="n">
        <v>7.348688</v>
      </c>
      <c r="Q68" t="n">
        <v>37.478814</v>
      </c>
      <c r="R68" t="n">
        <v>37.478814</v>
      </c>
      <c r="S68" t="n">
        <v>11.531637</v>
      </c>
      <c r="T68" t="n">
        <v>11.531637</v>
      </c>
      <c r="U68" t="n">
        <v>7.348688</v>
      </c>
      <c r="V68" t="n">
        <v>7.348688</v>
      </c>
      <c r="W68" t="n">
        <v>11.569189</v>
      </c>
      <c r="X68" t="n">
        <v>39.082275</v>
      </c>
    </row>
    <row r="69" ht="21" customHeight="1">
      <c r="A69" t="inlineStr">
        <is>
          <t>Ammodytes personatus</t>
        </is>
      </c>
      <c r="B69" t="n">
        <v>3</v>
      </c>
      <c r="C69" t="n">
        <v>100</v>
      </c>
      <c r="D69" s="10" t="inlineStr">
        <is>
          <t>Planktivores</t>
        </is>
      </c>
      <c r="H69" t="n">
        <v>1.333042</v>
      </c>
      <c r="I69" t="n">
        <v>37.009201</v>
      </c>
      <c r="J69" t="n">
        <v>37.009201</v>
      </c>
      <c r="K69" t="n">
        <v>36.935183</v>
      </c>
      <c r="L69" t="n">
        <v>51.741399</v>
      </c>
      <c r="M69" t="n">
        <v>37.478814</v>
      </c>
      <c r="N69" t="n">
        <v>37.478814</v>
      </c>
      <c r="O69" t="n">
        <v>11.531637</v>
      </c>
      <c r="P69" t="n">
        <v>7.348688</v>
      </c>
      <c r="Q69" t="n">
        <v>37.478814</v>
      </c>
      <c r="R69" t="n">
        <v>37.478814</v>
      </c>
      <c r="S69" t="n">
        <v>11.531637</v>
      </c>
      <c r="T69" t="n">
        <v>11.531637</v>
      </c>
      <c r="U69" t="n">
        <v>7.348688</v>
      </c>
      <c r="V69" t="n">
        <v>7.348688</v>
      </c>
      <c r="W69" t="n">
        <v>11.569189</v>
      </c>
      <c r="X69" t="n">
        <v>39.082275</v>
      </c>
    </row>
    <row r="70" ht="21" customHeight="1">
      <c r="A70" t="inlineStr">
        <is>
          <t>Ruditapes philippinarum</t>
        </is>
      </c>
      <c r="B70" t="n">
        <v>2</v>
      </c>
      <c r="C70" t="n">
        <v>10</v>
      </c>
      <c r="D70" s="10" t="inlineStr">
        <is>
          <t>Mollusks</t>
        </is>
      </c>
      <c r="H70" t="n">
        <v>0.386637</v>
      </c>
      <c r="I70" t="n">
        <v>5.936061</v>
      </c>
      <c r="J70" t="n">
        <v>5.936061</v>
      </c>
      <c r="K70" t="n">
        <v>1.780818</v>
      </c>
      <c r="L70" t="n">
        <v>17.186608</v>
      </c>
      <c r="M70" t="n">
        <v>6.329922</v>
      </c>
      <c r="N70" t="n">
        <v>6.329922</v>
      </c>
      <c r="O70" t="n">
        <v>0.986753</v>
      </c>
      <c r="P70" t="n">
        <v>0.712886</v>
      </c>
      <c r="Q70" t="n">
        <v>6.329922</v>
      </c>
      <c r="R70" t="n">
        <v>6.329922</v>
      </c>
      <c r="S70" t="n">
        <v>0.986753</v>
      </c>
      <c r="T70" t="n">
        <v>0.986753</v>
      </c>
      <c r="U70" t="n">
        <v>0.712886</v>
      </c>
      <c r="V70" t="n">
        <v>0.712886</v>
      </c>
      <c r="W70" t="n">
        <v>0.98107</v>
      </c>
      <c r="X70" t="n">
        <v>6.573538</v>
      </c>
    </row>
    <row r="71" ht="21" customHeight="1">
      <c r="A71" t="inlineStr">
        <is>
          <t>Dussumieria</t>
        </is>
      </c>
      <c r="B71" t="n">
        <v>3.4</v>
      </c>
      <c r="C71" t="n">
        <v>251.188643</v>
      </c>
      <c r="D71" s="10" t="inlineStr">
        <is>
          <t>Planktivores</t>
        </is>
      </c>
      <c r="H71" t="n">
        <v>1.333042</v>
      </c>
      <c r="I71" t="n">
        <v>37.009201</v>
      </c>
      <c r="J71" t="n">
        <v>37.009201</v>
      </c>
      <c r="K71" t="n">
        <v>36.935183</v>
      </c>
      <c r="L71" t="n">
        <v>51.741399</v>
      </c>
      <c r="M71" t="n">
        <v>37.478814</v>
      </c>
      <c r="N71" t="n">
        <v>37.478814</v>
      </c>
      <c r="O71" t="n">
        <v>11.531637</v>
      </c>
      <c r="P71" t="n">
        <v>7.348688</v>
      </c>
      <c r="Q71" t="n">
        <v>37.478814</v>
      </c>
      <c r="R71" t="n">
        <v>37.478814</v>
      </c>
      <c r="S71" t="n">
        <v>11.531637</v>
      </c>
      <c r="T71" t="n">
        <v>11.531637</v>
      </c>
      <c r="U71" t="n">
        <v>7.348688</v>
      </c>
      <c r="V71" t="n">
        <v>7.348688</v>
      </c>
      <c r="W71" t="n">
        <v>11.569189</v>
      </c>
      <c r="X71" t="n">
        <v>39.082275</v>
      </c>
    </row>
    <row r="72" ht="36" customHeight="1">
      <c r="A72" t="inlineStr">
        <is>
          <t>Scombridae</t>
        </is>
      </c>
      <c r="B72" t="n">
        <v>4.26</v>
      </c>
      <c r="C72" t="n">
        <v>1819.700859</v>
      </c>
      <c r="D72" s="10" t="inlineStr">
        <is>
          <t>Piscivores | Planktivores/Benthivores</t>
        </is>
      </c>
      <c r="H72" t="n">
        <v>1.405239</v>
      </c>
      <c r="I72" t="n">
        <v>119.825753</v>
      </c>
      <c r="J72" t="n">
        <v>120.452472</v>
      </c>
      <c r="K72" t="n">
        <v>102.405734</v>
      </c>
      <c r="L72" t="n">
        <v>188.965648</v>
      </c>
      <c r="M72" t="n">
        <v>131.940569</v>
      </c>
      <c r="N72" t="n">
        <v>131.940569</v>
      </c>
      <c r="O72" t="n">
        <v>27.445373</v>
      </c>
      <c r="P72" t="n">
        <v>15.853408</v>
      </c>
      <c r="Q72" t="n">
        <v>131.940569</v>
      </c>
      <c r="R72" t="n">
        <v>131.940569</v>
      </c>
      <c r="S72" t="n">
        <v>27.445373</v>
      </c>
      <c r="T72" t="n">
        <v>27.445373</v>
      </c>
      <c r="U72" t="n">
        <v>15.853408</v>
      </c>
      <c r="V72" t="n">
        <v>15.853408</v>
      </c>
      <c r="W72" t="n">
        <v>27.996842</v>
      </c>
      <c r="X72" t="n">
        <v>131.269319</v>
      </c>
    </row>
    <row r="73" ht="21" customHeight="1">
      <c r="A73" t="inlineStr">
        <is>
          <t>Paralichthyidae</t>
        </is>
      </c>
      <c r="B73" t="n">
        <v>4.06</v>
      </c>
      <c r="C73" t="n">
        <v>1148.153621</v>
      </c>
      <c r="D73" s="10" t="inlineStr">
        <is>
          <t>Piscivores</t>
        </is>
      </c>
      <c r="H73" t="n">
        <v>1.498127</v>
      </c>
      <c r="I73" t="n">
        <v>163.850229</v>
      </c>
      <c r="J73" t="n">
        <v>165.313739</v>
      </c>
      <c r="K73" t="n">
        <v>132.912246</v>
      </c>
      <c r="L73" t="n">
        <v>282.597002</v>
      </c>
      <c r="M73" t="n">
        <v>192.12828</v>
      </c>
      <c r="N73" t="n">
        <v>192.12828</v>
      </c>
      <c r="O73" t="n">
        <v>31.073292</v>
      </c>
      <c r="P73" t="n">
        <v>15.877096</v>
      </c>
      <c r="Q73" t="n">
        <v>192.12828</v>
      </c>
      <c r="R73" t="n">
        <v>192.12828</v>
      </c>
      <c r="S73" t="n">
        <v>31.073292</v>
      </c>
      <c r="T73" t="n">
        <v>31.073292</v>
      </c>
      <c r="U73" t="n">
        <v>15.877096</v>
      </c>
      <c r="V73" t="n">
        <v>15.877096</v>
      </c>
      <c r="W73" t="n">
        <v>31.802322</v>
      </c>
      <c r="X73" t="n">
        <v>187.589042</v>
      </c>
    </row>
    <row r="74" ht="21" customHeight="1">
      <c r="A74" t="inlineStr">
        <is>
          <t>Elasmobranchii</t>
        </is>
      </c>
      <c r="B74" t="n">
        <v>4.05</v>
      </c>
      <c r="C74" t="n">
        <v>1122.018454</v>
      </c>
      <c r="D74" s="10" t="inlineStr">
        <is>
          <t>Sharks | Benthivores</t>
        </is>
      </c>
      <c r="H74" t="n">
        <v>0.524745</v>
      </c>
      <c r="I74" t="n">
        <v>15.129075</v>
      </c>
      <c r="J74" t="n">
        <v>17.775649</v>
      </c>
      <c r="L74" t="n">
        <v>378.523224</v>
      </c>
      <c r="M74" t="n">
        <v>214.011266</v>
      </c>
      <c r="N74" t="n">
        <v>214.011266</v>
      </c>
      <c r="O74" t="n">
        <v>7.483282</v>
      </c>
      <c r="P74" t="n">
        <v>3.971223</v>
      </c>
      <c r="Q74" t="n">
        <v>214.011266</v>
      </c>
      <c r="R74" t="n">
        <v>214.011266</v>
      </c>
      <c r="S74" t="n">
        <v>7.483282</v>
      </c>
      <c r="T74" t="n">
        <v>7.483282</v>
      </c>
      <c r="U74" t="n">
        <v>3.971223</v>
      </c>
      <c r="V74" t="n">
        <v>3.971223</v>
      </c>
      <c r="W74" t="n">
        <v>7.641878</v>
      </c>
      <c r="X74" t="n">
        <v>21.131432</v>
      </c>
    </row>
    <row r="75" ht="21" customHeight="1">
      <c r="A75" t="inlineStr">
        <is>
          <t>Konosirus punctatus</t>
        </is>
      </c>
      <c r="B75" t="n">
        <v>2.87</v>
      </c>
      <c r="C75" t="n">
        <v>74.131024</v>
      </c>
      <c r="D75" s="10" t="inlineStr">
        <is>
          <t>Planktivores</t>
        </is>
      </c>
      <c r="H75" t="n">
        <v>1.333042</v>
      </c>
      <c r="I75" t="n">
        <v>37.009201</v>
      </c>
      <c r="J75" t="n">
        <v>37.009201</v>
      </c>
      <c r="K75" t="n">
        <v>36.935183</v>
      </c>
      <c r="L75" t="n">
        <v>51.741399</v>
      </c>
      <c r="M75" t="n">
        <v>37.478814</v>
      </c>
      <c r="N75" t="n">
        <v>37.478814</v>
      </c>
      <c r="O75" t="n">
        <v>11.531637</v>
      </c>
      <c r="P75" t="n">
        <v>7.348688</v>
      </c>
      <c r="Q75" t="n">
        <v>37.478814</v>
      </c>
      <c r="R75" t="n">
        <v>37.478814</v>
      </c>
      <c r="S75" t="n">
        <v>11.531637</v>
      </c>
      <c r="T75" t="n">
        <v>11.531637</v>
      </c>
      <c r="U75" t="n">
        <v>7.348688</v>
      </c>
      <c r="V75" t="n">
        <v>7.348688</v>
      </c>
      <c r="W75" t="n">
        <v>11.569189</v>
      </c>
      <c r="X75" t="n">
        <v>39.082275</v>
      </c>
    </row>
    <row r="76" ht="21" customHeight="1">
      <c r="A76" t="inlineStr">
        <is>
          <t>Auxis</t>
        </is>
      </c>
      <c r="B76" t="n">
        <v>4.24</v>
      </c>
      <c r="C76" t="n">
        <v>1737.800829</v>
      </c>
      <c r="D76" s="10" t="inlineStr">
        <is>
          <t>Piscivores</t>
        </is>
      </c>
      <c r="H76" t="n">
        <v>1.498127</v>
      </c>
      <c r="I76" t="n">
        <v>163.850229</v>
      </c>
      <c r="J76" t="n">
        <v>165.313739</v>
      </c>
      <c r="K76" t="n">
        <v>132.912246</v>
      </c>
      <c r="L76" t="n">
        <v>282.597002</v>
      </c>
      <c r="M76" t="n">
        <v>192.12828</v>
      </c>
      <c r="N76" t="n">
        <v>192.12828</v>
      </c>
      <c r="O76" t="n">
        <v>31.073292</v>
      </c>
      <c r="P76" t="n">
        <v>15.877096</v>
      </c>
      <c r="Q76" t="n">
        <v>192.12828</v>
      </c>
      <c r="R76" t="n">
        <v>192.12828</v>
      </c>
      <c r="S76" t="n">
        <v>31.073292</v>
      </c>
      <c r="T76" t="n">
        <v>31.073292</v>
      </c>
      <c r="U76" t="n">
        <v>15.877096</v>
      </c>
      <c r="V76" t="n">
        <v>15.877096</v>
      </c>
      <c r="W76" t="n">
        <v>31.802322</v>
      </c>
      <c r="X76" t="n">
        <v>187.589042</v>
      </c>
    </row>
    <row r="77" ht="21" customHeight="1">
      <c r="A77" t="inlineStr">
        <is>
          <t>Tetraodontidae</t>
        </is>
      </c>
      <c r="B77" t="n">
        <v>3.5</v>
      </c>
      <c r="C77" t="n">
        <v>316.227766</v>
      </c>
      <c r="D77" s="10" t="inlineStr">
        <is>
          <t>Benthivores/piscivores</t>
        </is>
      </c>
      <c r="H77" t="n">
        <v>0.86744</v>
      </c>
      <c r="I77" t="n">
        <v>19.560587</v>
      </c>
      <c r="J77" t="n">
        <v>19.580296</v>
      </c>
      <c r="K77" t="n">
        <v>19.286591</v>
      </c>
      <c r="L77" t="n">
        <v>34.759886</v>
      </c>
      <c r="M77" t="n">
        <v>20.178818</v>
      </c>
      <c r="N77" t="n">
        <v>20.178818</v>
      </c>
      <c r="O77" t="n">
        <v>6.006603</v>
      </c>
      <c r="P77" t="n">
        <v>3.449698</v>
      </c>
      <c r="Q77" t="n">
        <v>20.178818</v>
      </c>
      <c r="R77" t="n">
        <v>20.178818</v>
      </c>
      <c r="S77" t="n">
        <v>6.006603</v>
      </c>
      <c r="T77" t="n">
        <v>6.006603</v>
      </c>
      <c r="U77" t="n">
        <v>3.449698</v>
      </c>
      <c r="V77" t="n">
        <v>3.449698</v>
      </c>
      <c r="W77" t="n">
        <v>6.116899</v>
      </c>
      <c r="X77" t="n">
        <v>20.709505</v>
      </c>
    </row>
    <row r="78" ht="21" customHeight="1">
      <c r="A78" t="inlineStr">
        <is>
          <t>Pampus argenteus</t>
        </is>
      </c>
      <c r="B78" t="n">
        <v>3.3</v>
      </c>
      <c r="C78" t="n">
        <v>199.526231</v>
      </c>
      <c r="D78" s="10" t="inlineStr">
        <is>
          <t>Planktivores/piscivores</t>
        </is>
      </c>
      <c r="H78" t="n">
        <v>1.060477</v>
      </c>
      <c r="I78" t="n">
        <v>312.238659</v>
      </c>
      <c r="J78" t="n">
        <v>333.85951</v>
      </c>
      <c r="K78" t="n">
        <v>117.852407</v>
      </c>
      <c r="L78" t="n">
        <v>660.166914</v>
      </c>
      <c r="M78" t="n">
        <v>396.919939</v>
      </c>
      <c r="N78" t="n">
        <v>396.919939</v>
      </c>
      <c r="O78" t="n">
        <v>37.152542</v>
      </c>
      <c r="P78" t="n">
        <v>21.753571</v>
      </c>
      <c r="Q78" t="n">
        <v>396.919939</v>
      </c>
      <c r="R78" t="n">
        <v>396.919939</v>
      </c>
      <c r="S78" t="n">
        <v>37.152542</v>
      </c>
      <c r="T78" t="n">
        <v>37.152542</v>
      </c>
      <c r="U78" t="n">
        <v>21.753571</v>
      </c>
      <c r="V78" t="n">
        <v>21.753571</v>
      </c>
      <c r="W78" t="n">
        <v>38.166317</v>
      </c>
      <c r="X78" t="n">
        <v>408.736525</v>
      </c>
    </row>
    <row r="79" ht="21" customHeight="1">
      <c r="A79" t="inlineStr">
        <is>
          <t>Priacanthus</t>
        </is>
      </c>
      <c r="B79" t="n">
        <v>3.81</v>
      </c>
      <c r="C79" t="n">
        <v>645.654229</v>
      </c>
      <c r="D79" s="10" t="inlineStr">
        <is>
          <t>Benthivores/piscivores</t>
        </is>
      </c>
      <c r="H79" t="n">
        <v>0.86744</v>
      </c>
      <c r="I79" t="n">
        <v>19.560587</v>
      </c>
      <c r="J79" t="n">
        <v>19.580296</v>
      </c>
      <c r="K79" t="n">
        <v>19.286591</v>
      </c>
      <c r="L79" t="n">
        <v>34.759886</v>
      </c>
      <c r="M79" t="n">
        <v>20.178818</v>
      </c>
      <c r="N79" t="n">
        <v>20.178818</v>
      </c>
      <c r="O79" t="n">
        <v>6.006603</v>
      </c>
      <c r="P79" t="n">
        <v>3.449698</v>
      </c>
      <c r="Q79" t="n">
        <v>20.178818</v>
      </c>
      <c r="R79" t="n">
        <v>20.178818</v>
      </c>
      <c r="S79" t="n">
        <v>6.006603</v>
      </c>
      <c r="T79" t="n">
        <v>6.006603</v>
      </c>
      <c r="U79" t="n">
        <v>3.449698</v>
      </c>
      <c r="V79" t="n">
        <v>3.449698</v>
      </c>
      <c r="W79" t="n">
        <v>6.116899</v>
      </c>
      <c r="X79" t="n">
        <v>20.709505</v>
      </c>
    </row>
    <row r="80" ht="21" customHeight="1">
      <c r="A80" t="inlineStr">
        <is>
          <t>Synodontidae</t>
        </is>
      </c>
      <c r="B80" t="n">
        <v>4.3</v>
      </c>
      <c r="C80" t="n">
        <v>1995.262315</v>
      </c>
      <c r="D80" s="10" t="inlineStr">
        <is>
          <t>Piscivores</t>
        </is>
      </c>
      <c r="H80" t="n">
        <v>1.498127</v>
      </c>
      <c r="I80" t="n">
        <v>163.850229</v>
      </c>
      <c r="J80" t="n">
        <v>165.313739</v>
      </c>
      <c r="K80" t="n">
        <v>132.912246</v>
      </c>
      <c r="L80" t="n">
        <v>282.597002</v>
      </c>
      <c r="M80" t="n">
        <v>192.12828</v>
      </c>
      <c r="N80" t="n">
        <v>192.12828</v>
      </c>
      <c r="O80" t="n">
        <v>31.073292</v>
      </c>
      <c r="P80" t="n">
        <v>15.877096</v>
      </c>
      <c r="Q80" t="n">
        <v>192.12828</v>
      </c>
      <c r="R80" t="n">
        <v>192.12828</v>
      </c>
      <c r="S80" t="n">
        <v>31.073292</v>
      </c>
      <c r="T80" t="n">
        <v>31.073292</v>
      </c>
      <c r="U80" t="n">
        <v>15.877096</v>
      </c>
      <c r="V80" t="n">
        <v>15.877096</v>
      </c>
      <c r="W80" t="n">
        <v>31.802322</v>
      </c>
      <c r="X80" t="n">
        <v>187.589042</v>
      </c>
    </row>
    <row r="81" ht="21" customHeight="1">
      <c r="A81" t="inlineStr">
        <is>
          <t>Paralichthys olivaceus</t>
        </is>
      </c>
      <c r="B81" t="n">
        <v>4.25</v>
      </c>
      <c r="C81" t="n">
        <v>1778.27941</v>
      </c>
      <c r="D81" s="10" t="inlineStr">
        <is>
          <t>Piscivores</t>
        </is>
      </c>
      <c r="H81" t="n">
        <v>1.498127</v>
      </c>
      <c r="I81" t="n">
        <v>163.850229</v>
      </c>
      <c r="J81" t="n">
        <v>165.313739</v>
      </c>
      <c r="K81" t="n">
        <v>132.912246</v>
      </c>
      <c r="L81" t="n">
        <v>282.597002</v>
      </c>
      <c r="M81" t="n">
        <v>192.12828</v>
      </c>
      <c r="N81" t="n">
        <v>192.12828</v>
      </c>
      <c r="O81" t="n">
        <v>31.073292</v>
      </c>
      <c r="P81" t="n">
        <v>15.877096</v>
      </c>
      <c r="Q81" t="n">
        <v>192.12828</v>
      </c>
      <c r="R81" t="n">
        <v>192.12828</v>
      </c>
      <c r="S81" t="n">
        <v>31.073292</v>
      </c>
      <c r="T81" t="n">
        <v>31.073292</v>
      </c>
      <c r="U81" t="n">
        <v>15.877096</v>
      </c>
      <c r="V81" t="n">
        <v>15.877096</v>
      </c>
      <c r="W81" t="n">
        <v>31.802322</v>
      </c>
      <c r="X81" t="n">
        <v>187.589042</v>
      </c>
    </row>
    <row r="82" ht="21" customHeight="1">
      <c r="A82" t="inlineStr">
        <is>
          <t>Coryphaena hippurus</t>
        </is>
      </c>
      <c r="B82" t="n">
        <v>4.37</v>
      </c>
      <c r="C82" t="n">
        <v>2344.228815</v>
      </c>
      <c r="D82" s="10" t="inlineStr">
        <is>
          <t>Piscivores</t>
        </is>
      </c>
      <c r="H82" t="n">
        <v>1.498127</v>
      </c>
      <c r="I82" t="n">
        <v>163.850229</v>
      </c>
      <c r="J82" t="n">
        <v>165.313739</v>
      </c>
      <c r="K82" t="n">
        <v>132.912246</v>
      </c>
      <c r="L82" t="n">
        <v>282.597002</v>
      </c>
      <c r="M82" t="n">
        <v>192.12828</v>
      </c>
      <c r="N82" t="n">
        <v>192.12828</v>
      </c>
      <c r="O82" t="n">
        <v>31.073292</v>
      </c>
      <c r="P82" t="n">
        <v>15.877096</v>
      </c>
      <c r="Q82" t="n">
        <v>192.12828</v>
      </c>
      <c r="R82" t="n">
        <v>192.12828</v>
      </c>
      <c r="S82" t="n">
        <v>31.073292</v>
      </c>
      <c r="T82" t="n">
        <v>31.073292</v>
      </c>
      <c r="U82" t="n">
        <v>15.877096</v>
      </c>
      <c r="V82" t="n">
        <v>15.877096</v>
      </c>
      <c r="W82" t="n">
        <v>31.802322</v>
      </c>
      <c r="X82" t="n">
        <v>187.589042</v>
      </c>
    </row>
    <row r="83" ht="21" customHeight="1">
      <c r="A83" t="inlineStr">
        <is>
          <t>Nemipterus virgatus</t>
        </is>
      </c>
      <c r="B83" t="n">
        <v>3.99</v>
      </c>
      <c r="C83" t="n">
        <v>977.237221</v>
      </c>
      <c r="D83" s="10" t="inlineStr">
        <is>
          <t>Benthivores/piscivores</t>
        </is>
      </c>
      <c r="H83" t="n">
        <v>0.86744</v>
      </c>
      <c r="I83" t="n">
        <v>19.560587</v>
      </c>
      <c r="J83" t="n">
        <v>19.580296</v>
      </c>
      <c r="K83" t="n">
        <v>19.286591</v>
      </c>
      <c r="L83" t="n">
        <v>34.759886</v>
      </c>
      <c r="M83" t="n">
        <v>20.178818</v>
      </c>
      <c r="N83" t="n">
        <v>20.178818</v>
      </c>
      <c r="O83" t="n">
        <v>6.006603</v>
      </c>
      <c r="P83" t="n">
        <v>3.449698</v>
      </c>
      <c r="Q83" t="n">
        <v>20.178818</v>
      </c>
      <c r="R83" t="n">
        <v>20.178818</v>
      </c>
      <c r="S83" t="n">
        <v>6.006603</v>
      </c>
      <c r="T83" t="n">
        <v>6.006603</v>
      </c>
      <c r="U83" t="n">
        <v>3.449698</v>
      </c>
      <c r="V83" t="n">
        <v>3.449698</v>
      </c>
      <c r="W83" t="n">
        <v>6.116899</v>
      </c>
      <c r="X83" t="n">
        <v>20.709505</v>
      </c>
    </row>
    <row r="84" ht="21" customHeight="1">
      <c r="A84" t="inlineStr">
        <is>
          <t>Salmonidae</t>
        </is>
      </c>
      <c r="B84" t="n">
        <v>3.3</v>
      </c>
      <c r="C84" t="n">
        <v>199.526231</v>
      </c>
      <c r="D84" s="10" t="inlineStr">
        <is>
          <t>Planktivores/piscivores</t>
        </is>
      </c>
      <c r="H84" t="n">
        <v>1.060477</v>
      </c>
      <c r="I84" t="n">
        <v>312.238659</v>
      </c>
      <c r="J84" t="n">
        <v>333.85951</v>
      </c>
      <c r="K84" t="n">
        <v>117.852407</v>
      </c>
      <c r="L84" t="n">
        <v>660.166914</v>
      </c>
      <c r="M84" t="n">
        <v>396.919939</v>
      </c>
      <c r="N84" t="n">
        <v>396.919939</v>
      </c>
      <c r="O84" t="n">
        <v>37.152542</v>
      </c>
      <c r="P84" t="n">
        <v>21.753571</v>
      </c>
      <c r="Q84" t="n">
        <v>396.919939</v>
      </c>
      <c r="R84" t="n">
        <v>396.919939</v>
      </c>
      <c r="S84" t="n">
        <v>37.152542</v>
      </c>
      <c r="T84" t="n">
        <v>37.152542</v>
      </c>
      <c r="U84" t="n">
        <v>21.753571</v>
      </c>
      <c r="V84" t="n">
        <v>21.753571</v>
      </c>
      <c r="W84" t="n">
        <v>38.166317</v>
      </c>
      <c r="X84" t="n">
        <v>408.736525</v>
      </c>
    </row>
    <row r="85" ht="21" customHeight="1">
      <c r="A85" t="inlineStr">
        <is>
          <t>Portunus pelagicus</t>
        </is>
      </c>
      <c r="B85" t="n">
        <v>2.48</v>
      </c>
      <c r="C85" t="n">
        <v>30.199517</v>
      </c>
      <c r="D85" s="10" t="inlineStr">
        <is>
          <t>Crabs</t>
        </is>
      </c>
      <c r="H85" t="n">
        <v>0.50498</v>
      </c>
      <c r="I85" t="n">
        <v>5.117944</v>
      </c>
      <c r="J85" t="n">
        <v>5.117944</v>
      </c>
      <c r="K85" t="n">
        <v>4.688036</v>
      </c>
      <c r="L85" t="n">
        <v>11.032425</v>
      </c>
      <c r="M85" t="n">
        <v>5.117944</v>
      </c>
      <c r="N85" t="n">
        <v>5.117944</v>
      </c>
      <c r="O85" t="n">
        <v>2.72331</v>
      </c>
      <c r="P85" t="n">
        <v>1.83095</v>
      </c>
      <c r="Q85" t="n">
        <v>5.117944</v>
      </c>
      <c r="R85" t="n">
        <v>5.117944</v>
      </c>
      <c r="S85" t="n">
        <v>2.72331</v>
      </c>
      <c r="T85" t="n">
        <v>2.72331</v>
      </c>
      <c r="U85" t="n">
        <v>1.83095</v>
      </c>
      <c r="V85" t="n">
        <v>1.83095</v>
      </c>
      <c r="W85" t="n">
        <v>2.729441</v>
      </c>
      <c r="X85" t="n">
        <v>5.078558</v>
      </c>
    </row>
    <row r="86" ht="21" customHeight="1">
      <c r="A86" t="inlineStr">
        <is>
          <t>Sardinella zunasi</t>
        </is>
      </c>
      <c r="B86" t="n">
        <v>3.12</v>
      </c>
      <c r="C86" t="n">
        <v>131.825674</v>
      </c>
      <c r="D86" s="10" t="inlineStr">
        <is>
          <t>Planktivores</t>
        </is>
      </c>
      <c r="H86" t="n">
        <v>1.333042</v>
      </c>
      <c r="I86" t="n">
        <v>37.009201</v>
      </c>
      <c r="J86" t="n">
        <v>37.009201</v>
      </c>
      <c r="K86" t="n">
        <v>36.935183</v>
      </c>
      <c r="L86" t="n">
        <v>51.741399</v>
      </c>
      <c r="M86" t="n">
        <v>37.478814</v>
      </c>
      <c r="N86" t="n">
        <v>37.478814</v>
      </c>
      <c r="O86" t="n">
        <v>11.531637</v>
      </c>
      <c r="P86" t="n">
        <v>7.348688</v>
      </c>
      <c r="Q86" t="n">
        <v>37.478814</v>
      </c>
      <c r="R86" t="n">
        <v>37.478814</v>
      </c>
      <c r="S86" t="n">
        <v>11.531637</v>
      </c>
      <c r="T86" t="n">
        <v>11.531637</v>
      </c>
      <c r="U86" t="n">
        <v>7.348688</v>
      </c>
      <c r="V86" t="n">
        <v>7.348688</v>
      </c>
      <c r="W86" t="n">
        <v>11.569189</v>
      </c>
      <c r="X86" t="n">
        <v>39.082275</v>
      </c>
    </row>
    <row r="87" ht="21" customHeight="1">
      <c r="A87" t="inlineStr">
        <is>
          <t>Charybdis</t>
        </is>
      </c>
      <c r="B87" t="n">
        <v>2.7</v>
      </c>
      <c r="C87" t="n">
        <v>50.118723</v>
      </c>
      <c r="D87" s="10" t="inlineStr">
        <is>
          <t>Crabs</t>
        </is>
      </c>
      <c r="H87" t="n">
        <v>0.50498</v>
      </c>
      <c r="I87" t="n">
        <v>5.117944</v>
      </c>
      <c r="J87" t="n">
        <v>5.117944</v>
      </c>
      <c r="K87" t="n">
        <v>4.688036</v>
      </c>
      <c r="L87" t="n">
        <v>11.032425</v>
      </c>
      <c r="M87" t="n">
        <v>5.117944</v>
      </c>
      <c r="N87" t="n">
        <v>5.117944</v>
      </c>
      <c r="O87" t="n">
        <v>2.72331</v>
      </c>
      <c r="P87" t="n">
        <v>1.83095</v>
      </c>
      <c r="Q87" t="n">
        <v>5.117944</v>
      </c>
      <c r="R87" t="n">
        <v>5.117944</v>
      </c>
      <c r="S87" t="n">
        <v>2.72331</v>
      </c>
      <c r="T87" t="n">
        <v>2.72331</v>
      </c>
      <c r="U87" t="n">
        <v>1.83095</v>
      </c>
      <c r="V87" t="n">
        <v>1.83095</v>
      </c>
      <c r="W87" t="n">
        <v>2.729441</v>
      </c>
      <c r="X87" t="n">
        <v>5.078558</v>
      </c>
    </row>
    <row r="88" ht="21" customHeight="1">
      <c r="A88" t="inlineStr">
        <is>
          <t>Magallana gigas</t>
        </is>
      </c>
      <c r="B88" t="n">
        <v>2</v>
      </c>
      <c r="C88" t="n">
        <v>10</v>
      </c>
      <c r="D88" s="10" t="inlineStr">
        <is>
          <t>Mollusks</t>
        </is>
      </c>
      <c r="H88" t="n">
        <v>0.386637</v>
      </c>
      <c r="I88" t="n">
        <v>5.936061</v>
      </c>
      <c r="J88" t="n">
        <v>5.936061</v>
      </c>
      <c r="K88" t="n">
        <v>1.780818</v>
      </c>
      <c r="L88" t="n">
        <v>17.186608</v>
      </c>
      <c r="M88" t="n">
        <v>6.329922</v>
      </c>
      <c r="N88" t="n">
        <v>6.329922</v>
      </c>
      <c r="O88" t="n">
        <v>0.986753</v>
      </c>
      <c r="P88" t="n">
        <v>0.712886</v>
      </c>
      <c r="Q88" t="n">
        <v>6.329922</v>
      </c>
      <c r="R88" t="n">
        <v>6.329922</v>
      </c>
      <c r="S88" t="n">
        <v>0.986753</v>
      </c>
      <c r="T88" t="n">
        <v>0.986753</v>
      </c>
      <c r="U88" t="n">
        <v>0.712886</v>
      </c>
      <c r="V88" t="n">
        <v>0.712886</v>
      </c>
      <c r="W88" t="n">
        <v>0.98107</v>
      </c>
      <c r="X88" t="n">
        <v>6.573538</v>
      </c>
    </row>
    <row r="89" ht="21" customHeight="1">
      <c r="A89" t="inlineStr">
        <is>
          <t>Anadara</t>
        </is>
      </c>
      <c r="B89" t="n">
        <v>2</v>
      </c>
      <c r="C89" t="n">
        <v>10</v>
      </c>
      <c r="D89" s="10" t="inlineStr">
        <is>
          <t>Mollusks</t>
        </is>
      </c>
      <c r="H89" t="n">
        <v>0.386637</v>
      </c>
      <c r="I89" t="n">
        <v>5.936061</v>
      </c>
      <c r="J89" t="n">
        <v>5.936061</v>
      </c>
      <c r="K89" t="n">
        <v>1.780818</v>
      </c>
      <c r="L89" t="n">
        <v>17.186608</v>
      </c>
      <c r="M89" t="n">
        <v>6.329922</v>
      </c>
      <c r="N89" t="n">
        <v>6.329922</v>
      </c>
      <c r="O89" t="n">
        <v>0.986753</v>
      </c>
      <c r="P89" t="n">
        <v>0.712886</v>
      </c>
      <c r="Q89" t="n">
        <v>6.329922</v>
      </c>
      <c r="R89" t="n">
        <v>6.329922</v>
      </c>
      <c r="S89" t="n">
        <v>0.986753</v>
      </c>
      <c r="T89" t="n">
        <v>0.986753</v>
      </c>
      <c r="U89" t="n">
        <v>0.712886</v>
      </c>
      <c r="V89" t="n">
        <v>0.712886</v>
      </c>
      <c r="W89" t="n">
        <v>0.98107</v>
      </c>
      <c r="X89" t="n">
        <v>6.573538</v>
      </c>
    </row>
    <row r="90" ht="21" customHeight="1">
      <c r="A90" t="inlineStr">
        <is>
          <t>Echinoidea</t>
        </is>
      </c>
      <c r="B90" t="n">
        <v>2.51</v>
      </c>
      <c r="C90" t="n">
        <v>32.359366</v>
      </c>
      <c r="D90" s="10" t="inlineStr">
        <is>
          <t>Echinoderms</t>
        </is>
      </c>
      <c r="H90" t="n">
        <v>0.891514</v>
      </c>
      <c r="I90" t="n">
        <v>25.470866</v>
      </c>
      <c r="J90" t="n">
        <v>25.470866</v>
      </c>
      <c r="K90" t="n">
        <v>4.635698</v>
      </c>
      <c r="L90" t="n">
        <v>98169.820373</v>
      </c>
      <c r="M90" t="n">
        <v>56135.354228</v>
      </c>
      <c r="N90" t="n">
        <v>56135.354228</v>
      </c>
      <c r="O90" t="n">
        <v>3.905176</v>
      </c>
      <c r="P90" t="n">
        <v>2.70577</v>
      </c>
      <c r="Q90" t="n">
        <v>56135.354228</v>
      </c>
      <c r="R90" t="n">
        <v>56135.354228</v>
      </c>
      <c r="S90" t="n">
        <v>3.905176</v>
      </c>
      <c r="T90" t="n">
        <v>3.905176</v>
      </c>
      <c r="U90" t="n">
        <v>2.70577</v>
      </c>
      <c r="V90" t="n">
        <v>2.70577</v>
      </c>
      <c r="W90" t="n">
        <v>3.987743</v>
      </c>
      <c r="X90" t="n">
        <v>579.371085</v>
      </c>
    </row>
    <row r="91" ht="21" customHeight="1">
      <c r="A91" t="inlineStr">
        <is>
          <t>Decapterus maruadsi</t>
        </is>
      </c>
      <c r="B91" t="n">
        <v>3.4</v>
      </c>
      <c r="C91" t="n">
        <v>251.188643</v>
      </c>
      <c r="D91" s="10" t="inlineStr">
        <is>
          <t>Planktivores/piscivores</t>
        </is>
      </c>
      <c r="H91" t="n">
        <v>1.060477</v>
      </c>
      <c r="I91" t="n">
        <v>312.238659</v>
      </c>
      <c r="J91" t="n">
        <v>333.85951</v>
      </c>
      <c r="K91" t="n">
        <v>117.852407</v>
      </c>
      <c r="L91" t="n">
        <v>660.166914</v>
      </c>
      <c r="M91" t="n">
        <v>396.919939</v>
      </c>
      <c r="N91" t="n">
        <v>396.919939</v>
      </c>
      <c r="O91" t="n">
        <v>37.152542</v>
      </c>
      <c r="P91" t="n">
        <v>21.753571</v>
      </c>
      <c r="Q91" t="n">
        <v>396.919939</v>
      </c>
      <c r="R91" t="n">
        <v>396.919939</v>
      </c>
      <c r="S91" t="n">
        <v>37.152542</v>
      </c>
      <c r="T91" t="n">
        <v>37.152542</v>
      </c>
      <c r="U91" t="n">
        <v>21.753571</v>
      </c>
      <c r="V91" t="n">
        <v>21.753571</v>
      </c>
      <c r="W91" t="n">
        <v>38.166317</v>
      </c>
      <c r="X91" t="n">
        <v>408.736525</v>
      </c>
    </row>
    <row r="92" ht="21" customHeight="1">
      <c r="A92" t="inlineStr">
        <is>
          <t>Lateolabrax japonicus</t>
        </is>
      </c>
      <c r="B92" t="n">
        <v>3.36</v>
      </c>
      <c r="C92" t="n">
        <v>229.086765</v>
      </c>
      <c r="D92" s="10" t="inlineStr">
        <is>
          <t>Benthivores/piscivores</t>
        </is>
      </c>
      <c r="H92" t="n">
        <v>0.86744</v>
      </c>
      <c r="I92" t="n">
        <v>19.560587</v>
      </c>
      <c r="J92" t="n">
        <v>19.580296</v>
      </c>
      <c r="K92" t="n">
        <v>19.286591</v>
      </c>
      <c r="L92" t="n">
        <v>34.759886</v>
      </c>
      <c r="M92" t="n">
        <v>20.178818</v>
      </c>
      <c r="N92" t="n">
        <v>20.178818</v>
      </c>
      <c r="O92" t="n">
        <v>6.006603</v>
      </c>
      <c r="P92" t="n">
        <v>3.449698</v>
      </c>
      <c r="Q92" t="n">
        <v>20.178818</v>
      </c>
      <c r="R92" t="n">
        <v>20.178818</v>
      </c>
      <c r="S92" t="n">
        <v>6.006603</v>
      </c>
      <c r="T92" t="n">
        <v>6.006603</v>
      </c>
      <c r="U92" t="n">
        <v>3.449698</v>
      </c>
      <c r="V92" t="n">
        <v>3.449698</v>
      </c>
      <c r="W92" t="n">
        <v>6.116899</v>
      </c>
      <c r="X92" t="n">
        <v>20.709505</v>
      </c>
    </row>
    <row r="93" ht="21" customHeight="1">
      <c r="A93" t="inlineStr">
        <is>
          <t>Priacanthus macracanthus</t>
        </is>
      </c>
      <c r="B93" t="n">
        <v>4.11</v>
      </c>
      <c r="C93" t="n">
        <v>1288.249552</v>
      </c>
      <c r="D93" s="10" t="inlineStr">
        <is>
          <t>Benthivores/piscivores</t>
        </is>
      </c>
      <c r="H93" t="n">
        <v>0.86744</v>
      </c>
      <c r="I93" t="n">
        <v>19.560587</v>
      </c>
      <c r="J93" t="n">
        <v>19.580296</v>
      </c>
      <c r="K93" t="n">
        <v>19.286591</v>
      </c>
      <c r="L93" t="n">
        <v>34.759886</v>
      </c>
      <c r="M93" t="n">
        <v>20.178818</v>
      </c>
      <c r="N93" t="n">
        <v>20.178818</v>
      </c>
      <c r="O93" t="n">
        <v>6.006603</v>
      </c>
      <c r="P93" t="n">
        <v>3.449698</v>
      </c>
      <c r="Q93" t="n">
        <v>20.178818</v>
      </c>
      <c r="R93" t="n">
        <v>20.178818</v>
      </c>
      <c r="S93" t="n">
        <v>6.006603</v>
      </c>
      <c r="T93" t="n">
        <v>6.006603</v>
      </c>
      <c r="U93" t="n">
        <v>3.449698</v>
      </c>
      <c r="V93" t="n">
        <v>3.449698</v>
      </c>
      <c r="W93" t="n">
        <v>6.116899</v>
      </c>
      <c r="X93" t="n">
        <v>20.709505</v>
      </c>
    </row>
    <row r="94" ht="21" customHeight="1">
      <c r="A94" t="inlineStr">
        <is>
          <t>Exocoetidae</t>
        </is>
      </c>
      <c r="B94" t="n">
        <v>3.57</v>
      </c>
      <c r="C94" t="n">
        <v>371.535229</v>
      </c>
      <c r="D94" s="10" t="inlineStr">
        <is>
          <t>Planktivores</t>
        </is>
      </c>
      <c r="H94" t="n">
        <v>1.333042</v>
      </c>
      <c r="I94" t="n">
        <v>37.009201</v>
      </c>
      <c r="J94" t="n">
        <v>37.009201</v>
      </c>
      <c r="K94" t="n">
        <v>36.935183</v>
      </c>
      <c r="L94" t="n">
        <v>51.741399</v>
      </c>
      <c r="M94" t="n">
        <v>37.478814</v>
      </c>
      <c r="N94" t="n">
        <v>37.478814</v>
      </c>
      <c r="O94" t="n">
        <v>11.531637</v>
      </c>
      <c r="P94" t="n">
        <v>7.348688</v>
      </c>
      <c r="Q94" t="n">
        <v>37.478814</v>
      </c>
      <c r="R94" t="n">
        <v>37.478814</v>
      </c>
      <c r="S94" t="n">
        <v>11.531637</v>
      </c>
      <c r="T94" t="n">
        <v>11.531637</v>
      </c>
      <c r="U94" t="n">
        <v>7.348688</v>
      </c>
      <c r="V94" t="n">
        <v>7.348688</v>
      </c>
      <c r="W94" t="n">
        <v>11.569189</v>
      </c>
      <c r="X94" t="n">
        <v>39.082275</v>
      </c>
    </row>
    <row r="95" ht="21" customHeight="1">
      <c r="A95" t="inlineStr">
        <is>
          <t>Scomber australasicus</t>
        </is>
      </c>
      <c r="B95" t="n">
        <v>4.23</v>
      </c>
      <c r="C95" t="n">
        <v>1698.243652</v>
      </c>
      <c r="D95" s="10" t="inlineStr">
        <is>
          <t>Planktivores/Benthivores</t>
        </is>
      </c>
      <c r="H95" t="n">
        <v>1.33567</v>
      </c>
      <c r="I95" t="n">
        <v>86.853463</v>
      </c>
      <c r="J95" t="n">
        <v>86.853463</v>
      </c>
      <c r="K95" t="n">
        <v>79.557772</v>
      </c>
      <c r="L95" t="n">
        <v>118.840107</v>
      </c>
      <c r="M95" t="n">
        <v>86.862765</v>
      </c>
      <c r="N95" t="n">
        <v>86.862765</v>
      </c>
      <c r="O95" t="n">
        <v>24.72823</v>
      </c>
      <c r="P95" t="n">
        <v>15.835666</v>
      </c>
      <c r="Q95" t="n">
        <v>86.862765</v>
      </c>
      <c r="R95" t="n">
        <v>86.862765</v>
      </c>
      <c r="S95" t="n">
        <v>24.72823</v>
      </c>
      <c r="T95" t="n">
        <v>24.72823</v>
      </c>
      <c r="U95" t="n">
        <v>15.835666</v>
      </c>
      <c r="V95" t="n">
        <v>15.835666</v>
      </c>
      <c r="W95" t="n">
        <v>25.146714</v>
      </c>
      <c r="X95" t="n">
        <v>89.088459</v>
      </c>
    </row>
    <row r="96" ht="21" customHeight="1">
      <c r="A96" t="inlineStr">
        <is>
          <t>Mytilus coruscus</t>
        </is>
      </c>
      <c r="B96" t="n">
        <v>2</v>
      </c>
      <c r="C96" t="n">
        <v>10</v>
      </c>
      <c r="D96" s="10" t="inlineStr">
        <is>
          <t>Mollusks</t>
        </is>
      </c>
      <c r="H96" t="n">
        <v>0.386637</v>
      </c>
      <c r="I96" t="n">
        <v>5.936061</v>
      </c>
      <c r="J96" t="n">
        <v>5.936061</v>
      </c>
      <c r="K96" t="n">
        <v>1.780818</v>
      </c>
      <c r="L96" t="n">
        <v>17.186608</v>
      </c>
      <c r="M96" t="n">
        <v>6.329922</v>
      </c>
      <c r="N96" t="n">
        <v>6.329922</v>
      </c>
      <c r="O96" t="n">
        <v>0.986753</v>
      </c>
      <c r="P96" t="n">
        <v>0.712886</v>
      </c>
      <c r="Q96" t="n">
        <v>6.329922</v>
      </c>
      <c r="R96" t="n">
        <v>6.329922</v>
      </c>
      <c r="S96" t="n">
        <v>0.986753</v>
      </c>
      <c r="T96" t="n">
        <v>0.986753</v>
      </c>
      <c r="U96" t="n">
        <v>0.712886</v>
      </c>
      <c r="V96" t="n">
        <v>0.712886</v>
      </c>
      <c r="W96" t="n">
        <v>0.98107</v>
      </c>
      <c r="X96" t="n">
        <v>6.573538</v>
      </c>
    </row>
    <row r="97" ht="21" customHeight="1">
      <c r="A97" t="inlineStr">
        <is>
          <t>Atrobucca nibe</t>
        </is>
      </c>
      <c r="B97" t="n">
        <v>3.03</v>
      </c>
      <c r="C97" t="n">
        <v>107.151931</v>
      </c>
      <c r="D97" s="10" t="inlineStr">
        <is>
          <t>Benthivores/piscivores</t>
        </is>
      </c>
      <c r="H97" t="n">
        <v>0.86744</v>
      </c>
      <c r="I97" t="n">
        <v>19.560587</v>
      </c>
      <c r="J97" t="n">
        <v>19.580296</v>
      </c>
      <c r="K97" t="n">
        <v>19.286591</v>
      </c>
      <c r="L97" t="n">
        <v>34.759886</v>
      </c>
      <c r="M97" t="n">
        <v>20.178818</v>
      </c>
      <c r="N97" t="n">
        <v>20.178818</v>
      </c>
      <c r="O97" t="n">
        <v>6.006603</v>
      </c>
      <c r="P97" t="n">
        <v>3.449698</v>
      </c>
      <c r="Q97" t="n">
        <v>20.178818</v>
      </c>
      <c r="R97" t="n">
        <v>20.178818</v>
      </c>
      <c r="S97" t="n">
        <v>6.006603</v>
      </c>
      <c r="T97" t="n">
        <v>6.006603</v>
      </c>
      <c r="U97" t="n">
        <v>3.449698</v>
      </c>
      <c r="V97" t="n">
        <v>3.449698</v>
      </c>
      <c r="W97" t="n">
        <v>6.116899</v>
      </c>
      <c r="X97" t="n">
        <v>20.709505</v>
      </c>
    </row>
    <row r="98" ht="21" customHeight="1">
      <c r="A98" t="inlineStr">
        <is>
          <t>Spratelloides gracilis</t>
        </is>
      </c>
      <c r="B98" t="n">
        <v>3.06</v>
      </c>
      <c r="C98" t="n">
        <v>114.815362</v>
      </c>
      <c r="D98" s="10" t="inlineStr">
        <is>
          <t>Planktivores</t>
        </is>
      </c>
      <c r="H98" t="n">
        <v>1.333042</v>
      </c>
      <c r="I98" t="n">
        <v>37.009201</v>
      </c>
      <c r="J98" t="n">
        <v>37.009201</v>
      </c>
      <c r="K98" t="n">
        <v>36.935183</v>
      </c>
      <c r="L98" t="n">
        <v>51.741399</v>
      </c>
      <c r="M98" t="n">
        <v>37.478814</v>
      </c>
      <c r="N98" t="n">
        <v>37.478814</v>
      </c>
      <c r="O98" t="n">
        <v>11.531637</v>
      </c>
      <c r="P98" t="n">
        <v>7.348688</v>
      </c>
      <c r="Q98" t="n">
        <v>37.478814</v>
      </c>
      <c r="R98" t="n">
        <v>37.478814</v>
      </c>
      <c r="S98" t="n">
        <v>11.531637</v>
      </c>
      <c r="T98" t="n">
        <v>11.531637</v>
      </c>
      <c r="U98" t="n">
        <v>7.348688</v>
      </c>
      <c r="V98" t="n">
        <v>7.348688</v>
      </c>
      <c r="W98" t="n">
        <v>11.569189</v>
      </c>
      <c r="X98" t="n">
        <v>39.082275</v>
      </c>
    </row>
    <row r="99" ht="21" customHeight="1">
      <c r="A99" t="inlineStr">
        <is>
          <t>Ruvettus pretiosus</t>
        </is>
      </c>
      <c r="B99" t="n">
        <v>4.18</v>
      </c>
      <c r="C99" t="n">
        <v>1513.561248</v>
      </c>
      <c r="D99" s="10" t="inlineStr">
        <is>
          <t>Benthivores/piscivores</t>
        </is>
      </c>
      <c r="H99" t="n">
        <v>0.86744</v>
      </c>
      <c r="I99" t="n">
        <v>19.560587</v>
      </c>
      <c r="J99" t="n">
        <v>19.580296</v>
      </c>
      <c r="K99" t="n">
        <v>19.286591</v>
      </c>
      <c r="L99" t="n">
        <v>34.759886</v>
      </c>
      <c r="M99" t="n">
        <v>20.178818</v>
      </c>
      <c r="N99" t="n">
        <v>20.178818</v>
      </c>
      <c r="O99" t="n">
        <v>6.006603</v>
      </c>
      <c r="P99" t="n">
        <v>3.449698</v>
      </c>
      <c r="Q99" t="n">
        <v>20.178818</v>
      </c>
      <c r="R99" t="n">
        <v>20.178818</v>
      </c>
      <c r="S99" t="n">
        <v>6.006603</v>
      </c>
      <c r="T99" t="n">
        <v>6.006603</v>
      </c>
      <c r="U99" t="n">
        <v>3.449698</v>
      </c>
      <c r="V99" t="n">
        <v>3.449698</v>
      </c>
      <c r="W99" t="n">
        <v>6.116899</v>
      </c>
      <c r="X99" t="n">
        <v>20.709505</v>
      </c>
    </row>
    <row r="100" ht="21" customHeight="1">
      <c r="A100" t="inlineStr">
        <is>
          <t>Lutjanidae</t>
        </is>
      </c>
      <c r="B100" t="n">
        <v>4.02</v>
      </c>
      <c r="C100" t="n">
        <v>1047.128548</v>
      </c>
      <c r="D100" s="10" t="inlineStr">
        <is>
          <t>Piscivores</t>
        </is>
      </c>
      <c r="H100" t="n">
        <v>1.498127</v>
      </c>
      <c r="I100" t="n">
        <v>163.850229</v>
      </c>
      <c r="J100" t="n">
        <v>165.313739</v>
      </c>
      <c r="K100" t="n">
        <v>132.912246</v>
      </c>
      <c r="L100" t="n">
        <v>282.597002</v>
      </c>
      <c r="M100" t="n">
        <v>192.12828</v>
      </c>
      <c r="N100" t="n">
        <v>192.12828</v>
      </c>
      <c r="O100" t="n">
        <v>31.073292</v>
      </c>
      <c r="P100" t="n">
        <v>15.877096</v>
      </c>
      <c r="Q100" t="n">
        <v>192.12828</v>
      </c>
      <c r="R100" t="n">
        <v>192.12828</v>
      </c>
      <c r="S100" t="n">
        <v>31.073292</v>
      </c>
      <c r="T100" t="n">
        <v>31.073292</v>
      </c>
      <c r="U100" t="n">
        <v>15.877096</v>
      </c>
      <c r="V100" t="n">
        <v>15.877096</v>
      </c>
      <c r="W100" t="n">
        <v>31.802322</v>
      </c>
      <c r="X100" t="n">
        <v>187.589042</v>
      </c>
    </row>
    <row r="101" ht="21" customHeight="1">
      <c r="A101" t="inlineStr">
        <is>
          <t>Sebastidae</t>
        </is>
      </c>
      <c r="B101" t="n">
        <v>3.74</v>
      </c>
      <c r="C101" t="n">
        <v>549.540874</v>
      </c>
      <c r="D101" s="10" t="inlineStr">
        <is>
          <t>Benthivores/piscivores</t>
        </is>
      </c>
      <c r="H101" t="n">
        <v>0.86744</v>
      </c>
      <c r="I101" t="n">
        <v>19.560587</v>
      </c>
      <c r="J101" t="n">
        <v>19.580296</v>
      </c>
      <c r="K101" t="n">
        <v>19.286591</v>
      </c>
      <c r="L101" t="n">
        <v>34.759886</v>
      </c>
      <c r="M101" t="n">
        <v>20.178818</v>
      </c>
      <c r="N101" t="n">
        <v>20.178818</v>
      </c>
      <c r="O101" t="n">
        <v>6.006603</v>
      </c>
      <c r="P101" t="n">
        <v>3.449698</v>
      </c>
      <c r="Q101" t="n">
        <v>20.178818</v>
      </c>
      <c r="R101" t="n">
        <v>20.178818</v>
      </c>
      <c r="S101" t="n">
        <v>6.006603</v>
      </c>
      <c r="T101" t="n">
        <v>6.006603</v>
      </c>
      <c r="U101" t="n">
        <v>3.449698</v>
      </c>
      <c r="V101" t="n">
        <v>3.449698</v>
      </c>
      <c r="W101" t="n">
        <v>6.116899</v>
      </c>
      <c r="X101" t="n">
        <v>20.709505</v>
      </c>
    </row>
    <row r="102" ht="21" customHeight="1">
      <c r="A102" t="inlineStr">
        <is>
          <t>Pleurogrammus azonus</t>
        </is>
      </c>
      <c r="B102" t="n">
        <v>3.6</v>
      </c>
      <c r="C102" t="n">
        <v>398.107171</v>
      </c>
      <c r="D102" s="10" t="inlineStr">
        <is>
          <t>Planktivores/Benthivores</t>
        </is>
      </c>
      <c r="H102" t="n">
        <v>1.33567</v>
      </c>
      <c r="I102" t="n">
        <v>86.853463</v>
      </c>
      <c r="J102" t="n">
        <v>86.853463</v>
      </c>
      <c r="K102" t="n">
        <v>79.557772</v>
      </c>
      <c r="L102" t="n">
        <v>118.840107</v>
      </c>
      <c r="M102" t="n">
        <v>86.862765</v>
      </c>
      <c r="N102" t="n">
        <v>86.862765</v>
      </c>
      <c r="O102" t="n">
        <v>24.72823</v>
      </c>
      <c r="P102" t="n">
        <v>15.835666</v>
      </c>
      <c r="Q102" t="n">
        <v>86.862765</v>
      </c>
      <c r="R102" t="n">
        <v>86.862765</v>
      </c>
      <c r="S102" t="n">
        <v>24.72823</v>
      </c>
      <c r="T102" t="n">
        <v>24.72823</v>
      </c>
      <c r="U102" t="n">
        <v>15.835666</v>
      </c>
      <c r="V102" t="n">
        <v>15.835666</v>
      </c>
      <c r="W102" t="n">
        <v>25.146714</v>
      </c>
      <c r="X102" t="n">
        <v>89.088459</v>
      </c>
    </row>
    <row r="103" ht="21" customHeight="1">
      <c r="A103" t="inlineStr">
        <is>
          <t>Bathylagidae</t>
        </is>
      </c>
      <c r="B103" t="n">
        <v>3.1</v>
      </c>
      <c r="C103" t="n">
        <v>125.892541</v>
      </c>
      <c r="D103" s="10" t="inlineStr">
        <is>
          <t>Planktivores</t>
        </is>
      </c>
      <c r="H103" t="n">
        <v>1.333042</v>
      </c>
      <c r="I103" t="n">
        <v>37.009201</v>
      </c>
      <c r="J103" t="n">
        <v>37.009201</v>
      </c>
      <c r="K103" t="n">
        <v>36.935183</v>
      </c>
      <c r="L103" t="n">
        <v>51.741399</v>
      </c>
      <c r="M103" t="n">
        <v>37.478814</v>
      </c>
      <c r="N103" t="n">
        <v>37.478814</v>
      </c>
      <c r="O103" t="n">
        <v>11.531637</v>
      </c>
      <c r="P103" t="n">
        <v>7.348688</v>
      </c>
      <c r="Q103" t="n">
        <v>37.478814</v>
      </c>
      <c r="R103" t="n">
        <v>37.478814</v>
      </c>
      <c r="S103" t="n">
        <v>11.531637</v>
      </c>
      <c r="T103" t="n">
        <v>11.531637</v>
      </c>
      <c r="U103" t="n">
        <v>7.348688</v>
      </c>
      <c r="V103" t="n">
        <v>7.348688</v>
      </c>
      <c r="W103" t="n">
        <v>11.569189</v>
      </c>
      <c r="X103" t="n">
        <v>39.082275</v>
      </c>
    </row>
    <row r="104" ht="51" customHeight="1">
      <c r="A104" t="inlineStr">
        <is>
          <t>Clupeiformes</t>
        </is>
      </c>
      <c r="B104" t="n">
        <v>3.24</v>
      </c>
      <c r="C104" t="n">
        <v>173.780083</v>
      </c>
      <c r="D104" s="10" t="inlineStr">
        <is>
          <t>Planktivores | Planktivores/Benthivores | Omnivores</t>
        </is>
      </c>
      <c r="H104" t="n">
        <v>1.326849</v>
      </c>
      <c r="I104" t="n">
        <v>50.990102</v>
      </c>
      <c r="J104" t="n">
        <v>51.062113</v>
      </c>
      <c r="K104" t="n">
        <v>48.979568</v>
      </c>
      <c r="L104" t="n">
        <v>71.45303699999999</v>
      </c>
      <c r="M104" t="n">
        <v>51.623097</v>
      </c>
      <c r="N104" t="n">
        <v>51.623097</v>
      </c>
      <c r="O104" t="n">
        <v>15.097236</v>
      </c>
      <c r="P104" t="n">
        <v>9.610734000000001</v>
      </c>
      <c r="Q104" t="n">
        <v>51.623097</v>
      </c>
      <c r="R104" t="n">
        <v>51.623097</v>
      </c>
      <c r="S104" t="n">
        <v>15.097236</v>
      </c>
      <c r="T104" t="n">
        <v>15.097236</v>
      </c>
      <c r="U104" t="n">
        <v>9.610734000000001</v>
      </c>
      <c r="V104" t="n">
        <v>9.610734000000001</v>
      </c>
      <c r="W104" t="n">
        <v>15.242191</v>
      </c>
      <c r="X104" t="n">
        <v>53.325094</v>
      </c>
    </row>
    <row r="105" ht="21" customHeight="1">
      <c r="A105" t="inlineStr">
        <is>
          <t>Mullidae</t>
        </is>
      </c>
      <c r="B105" t="n">
        <v>3.46</v>
      </c>
      <c r="C105" t="n">
        <v>288.40315</v>
      </c>
      <c r="D105" s="10" t="inlineStr">
        <is>
          <t>Benthivores</t>
        </is>
      </c>
      <c r="H105" t="n">
        <v>0.507881</v>
      </c>
      <c r="I105" t="n">
        <v>15.397089</v>
      </c>
      <c r="J105" t="n">
        <v>16.480074</v>
      </c>
      <c r="K105" t="n">
        <v>16.397674</v>
      </c>
      <c r="L105" t="n">
        <v>385.228839</v>
      </c>
      <c r="M105" t="n">
        <v>217.802518</v>
      </c>
      <c r="N105" t="n">
        <v>217.802518</v>
      </c>
      <c r="O105" t="n">
        <v>5.627856</v>
      </c>
      <c r="P105" t="n">
        <v>3.14648</v>
      </c>
      <c r="Q105" t="n">
        <v>217.802518</v>
      </c>
      <c r="R105" t="n">
        <v>217.802518</v>
      </c>
      <c r="S105" t="n">
        <v>5.627856</v>
      </c>
      <c r="T105" t="n">
        <v>5.627856</v>
      </c>
      <c r="U105" t="n">
        <v>3.14648</v>
      </c>
      <c r="V105" t="n">
        <v>3.14648</v>
      </c>
      <c r="W105" t="n">
        <v>5.794366</v>
      </c>
      <c r="X105" t="n">
        <v>21.50578</v>
      </c>
    </row>
    <row r="106" ht="21" customHeight="1">
      <c r="A106" t="inlineStr">
        <is>
          <t>Chelidonichthys kumu</t>
        </is>
      </c>
      <c r="B106" t="n">
        <v>3.68</v>
      </c>
      <c r="C106" t="n">
        <v>478.630092</v>
      </c>
      <c r="D106" s="10" t="inlineStr">
        <is>
          <t>Benthivores</t>
        </is>
      </c>
      <c r="H106" t="n">
        <v>0.507881</v>
      </c>
      <c r="I106" t="n">
        <v>15.397089</v>
      </c>
      <c r="J106" t="n">
        <v>16.480074</v>
      </c>
      <c r="K106" t="n">
        <v>16.397674</v>
      </c>
      <c r="L106" t="n">
        <v>385.228839</v>
      </c>
      <c r="M106" t="n">
        <v>217.802518</v>
      </c>
      <c r="N106" t="n">
        <v>217.802518</v>
      </c>
      <c r="O106" t="n">
        <v>5.627856</v>
      </c>
      <c r="P106" t="n">
        <v>3.14648</v>
      </c>
      <c r="Q106" t="n">
        <v>217.802518</v>
      </c>
      <c r="R106" t="n">
        <v>217.802518</v>
      </c>
      <c r="S106" t="n">
        <v>5.627856</v>
      </c>
      <c r="T106" t="n">
        <v>5.627856</v>
      </c>
      <c r="U106" t="n">
        <v>3.14648</v>
      </c>
      <c r="V106" t="n">
        <v>3.14648</v>
      </c>
      <c r="W106" t="n">
        <v>5.794366</v>
      </c>
      <c r="X106" t="n">
        <v>21.50578</v>
      </c>
    </row>
    <row r="107" ht="21" customHeight="1">
      <c r="A107" t="inlineStr">
        <is>
          <t>Nibea mitsukurii</t>
        </is>
      </c>
      <c r="B107" t="n">
        <v>3.5</v>
      </c>
      <c r="C107" t="n">
        <v>316.227766</v>
      </c>
      <c r="D107" s="10" t="inlineStr">
        <is>
          <t>Omnivores</t>
        </is>
      </c>
      <c r="H107" t="n">
        <v>1.193784</v>
      </c>
      <c r="I107" t="n">
        <v>39.151197</v>
      </c>
      <c r="J107" t="n">
        <v>40.599509</v>
      </c>
      <c r="K107" t="n">
        <v>40.55891</v>
      </c>
      <c r="L107" t="n">
        <v>72.544996</v>
      </c>
      <c r="M107" t="n">
        <v>45.483756</v>
      </c>
      <c r="N107" t="n">
        <v>45.483756</v>
      </c>
      <c r="O107" t="n">
        <v>9.364795000000001</v>
      </c>
      <c r="P107" t="n">
        <v>5.330494</v>
      </c>
      <c r="Q107" t="n">
        <v>45.483756</v>
      </c>
      <c r="R107" t="n">
        <v>45.483756</v>
      </c>
      <c r="S107" t="n">
        <v>9.364795000000001</v>
      </c>
      <c r="T107" t="n">
        <v>9.364795000000001</v>
      </c>
      <c r="U107" t="n">
        <v>5.330494</v>
      </c>
      <c r="V107" t="n">
        <v>5.330494</v>
      </c>
      <c r="W107" t="n">
        <v>9.429866000000001</v>
      </c>
      <c r="X107" t="n">
        <v>45.585525</v>
      </c>
    </row>
    <row r="108" ht="21" customHeight="1">
      <c r="A108" t="inlineStr">
        <is>
          <t>Saurida tumbil</t>
        </is>
      </c>
      <c r="B108" t="n">
        <v>4.4</v>
      </c>
      <c r="C108" t="n">
        <v>2511.886432</v>
      </c>
      <c r="D108" s="10" t="inlineStr">
        <is>
          <t>Piscivores</t>
        </is>
      </c>
      <c r="H108" t="n">
        <v>1.498127</v>
      </c>
      <c r="I108" t="n">
        <v>163.850229</v>
      </c>
      <c r="J108" t="n">
        <v>165.313739</v>
      </c>
      <c r="K108" t="n">
        <v>132.912246</v>
      </c>
      <c r="L108" t="n">
        <v>282.597002</v>
      </c>
      <c r="M108" t="n">
        <v>192.12828</v>
      </c>
      <c r="N108" t="n">
        <v>192.12828</v>
      </c>
      <c r="O108" t="n">
        <v>31.073292</v>
      </c>
      <c r="P108" t="n">
        <v>15.877096</v>
      </c>
      <c r="Q108" t="n">
        <v>192.12828</v>
      </c>
      <c r="R108" t="n">
        <v>192.12828</v>
      </c>
      <c r="S108" t="n">
        <v>31.073292</v>
      </c>
      <c r="T108" t="n">
        <v>31.073292</v>
      </c>
      <c r="U108" t="n">
        <v>15.877096</v>
      </c>
      <c r="V108" t="n">
        <v>15.877096</v>
      </c>
      <c r="W108" t="n">
        <v>31.802322</v>
      </c>
      <c r="X108" t="n">
        <v>187.589042</v>
      </c>
    </row>
    <row r="109" ht="21" customHeight="1">
      <c r="A109" t="inlineStr">
        <is>
          <t>Mugilidae</t>
        </is>
      </c>
      <c r="B109" t="n">
        <v>2.53</v>
      </c>
      <c r="C109" t="n">
        <v>33.884416</v>
      </c>
      <c r="D109" s="10" t="inlineStr">
        <is>
          <t>Benthivores</t>
        </is>
      </c>
      <c r="H109" t="n">
        <v>0.507881</v>
      </c>
      <c r="I109" t="n">
        <v>15.397089</v>
      </c>
      <c r="J109" t="n">
        <v>16.480074</v>
      </c>
      <c r="K109" t="n">
        <v>16.397674</v>
      </c>
      <c r="L109" t="n">
        <v>385.228839</v>
      </c>
      <c r="M109" t="n">
        <v>217.802518</v>
      </c>
      <c r="N109" t="n">
        <v>217.802518</v>
      </c>
      <c r="O109" t="n">
        <v>5.627856</v>
      </c>
      <c r="P109" t="n">
        <v>3.14648</v>
      </c>
      <c r="Q109" t="n">
        <v>217.802518</v>
      </c>
      <c r="R109" t="n">
        <v>217.802518</v>
      </c>
      <c r="S109" t="n">
        <v>5.627856</v>
      </c>
      <c r="T109" t="n">
        <v>5.627856</v>
      </c>
      <c r="U109" t="n">
        <v>3.14648</v>
      </c>
      <c r="V109" t="n">
        <v>3.14648</v>
      </c>
      <c r="W109" t="n">
        <v>5.794366</v>
      </c>
      <c r="X109" t="n">
        <v>21.50578</v>
      </c>
    </row>
    <row r="110" ht="21" customHeight="1">
      <c r="A110" t="inlineStr">
        <is>
          <t>Coryphaena</t>
        </is>
      </c>
      <c r="B110" t="n">
        <v>4.49</v>
      </c>
      <c r="C110" t="n">
        <v>3090.295433</v>
      </c>
      <c r="D110" s="10" t="inlineStr">
        <is>
          <t>Piscivores</t>
        </is>
      </c>
      <c r="H110" t="n">
        <v>1.498127</v>
      </c>
      <c r="I110" t="n">
        <v>163.850229</v>
      </c>
      <c r="J110" t="n">
        <v>165.313739</v>
      </c>
      <c r="K110" t="n">
        <v>132.912246</v>
      </c>
      <c r="L110" t="n">
        <v>282.597002</v>
      </c>
      <c r="M110" t="n">
        <v>192.12828</v>
      </c>
      <c r="N110" t="n">
        <v>192.12828</v>
      </c>
      <c r="O110" t="n">
        <v>31.073292</v>
      </c>
      <c r="P110" t="n">
        <v>15.877096</v>
      </c>
      <c r="Q110" t="n">
        <v>192.12828</v>
      </c>
      <c r="R110" t="n">
        <v>192.12828</v>
      </c>
      <c r="S110" t="n">
        <v>31.073292</v>
      </c>
      <c r="T110" t="n">
        <v>31.073292</v>
      </c>
      <c r="U110" t="n">
        <v>15.877096</v>
      </c>
      <c r="V110" t="n">
        <v>15.877096</v>
      </c>
      <c r="W110" t="n">
        <v>31.802322</v>
      </c>
      <c r="X110" t="n">
        <v>187.589042</v>
      </c>
    </row>
    <row r="111" ht="21" customHeight="1">
      <c r="A111" t="inlineStr">
        <is>
          <t>Thunnus alalunga</t>
        </is>
      </c>
      <c r="B111" t="n">
        <v>4.3</v>
      </c>
      <c r="C111" t="n">
        <v>1995.262315</v>
      </c>
      <c r="D111" s="10" t="inlineStr">
        <is>
          <t>Piscivores</t>
        </is>
      </c>
      <c r="H111" t="n">
        <v>1.498127</v>
      </c>
      <c r="I111" t="n">
        <v>163.850229</v>
      </c>
      <c r="J111" t="n">
        <v>165.313739</v>
      </c>
      <c r="K111" t="n">
        <v>132.912246</v>
      </c>
      <c r="L111" t="n">
        <v>282.597002</v>
      </c>
      <c r="M111" t="n">
        <v>192.12828</v>
      </c>
      <c r="N111" t="n">
        <v>192.12828</v>
      </c>
      <c r="O111" t="n">
        <v>31.073292</v>
      </c>
      <c r="P111" t="n">
        <v>15.877096</v>
      </c>
      <c r="Q111" t="n">
        <v>192.12828</v>
      </c>
      <c r="R111" t="n">
        <v>192.12828</v>
      </c>
      <c r="S111" t="n">
        <v>31.073292</v>
      </c>
      <c r="T111" t="n">
        <v>31.073292</v>
      </c>
      <c r="U111" t="n">
        <v>15.877096</v>
      </c>
      <c r="V111" t="n">
        <v>15.877096</v>
      </c>
      <c r="W111" t="n">
        <v>31.802322</v>
      </c>
      <c r="X111" t="n">
        <v>187.589042</v>
      </c>
    </row>
    <row r="112" ht="21" customHeight="1">
      <c r="A112" t="inlineStr">
        <is>
          <t>Platycephalus indicus</t>
        </is>
      </c>
      <c r="B112" t="n">
        <v>3.6</v>
      </c>
      <c r="C112" t="n">
        <v>398.107171</v>
      </c>
      <c r="D112" s="10" t="inlineStr">
        <is>
          <t>Piscivores</t>
        </is>
      </c>
      <c r="H112" t="n">
        <v>1.498127</v>
      </c>
      <c r="I112" t="n">
        <v>163.850229</v>
      </c>
      <c r="J112" t="n">
        <v>165.313739</v>
      </c>
      <c r="K112" t="n">
        <v>132.912246</v>
      </c>
      <c r="L112" t="n">
        <v>282.597002</v>
      </c>
      <c r="M112" t="n">
        <v>192.12828</v>
      </c>
      <c r="N112" t="n">
        <v>192.12828</v>
      </c>
      <c r="O112" t="n">
        <v>31.073292</v>
      </c>
      <c r="P112" t="n">
        <v>15.877096</v>
      </c>
      <c r="Q112" t="n">
        <v>192.12828</v>
      </c>
      <c r="R112" t="n">
        <v>192.12828</v>
      </c>
      <c r="S112" t="n">
        <v>31.073292</v>
      </c>
      <c r="T112" t="n">
        <v>31.073292</v>
      </c>
      <c r="U112" t="n">
        <v>15.877096</v>
      </c>
      <c r="V112" t="n">
        <v>15.877096</v>
      </c>
      <c r="W112" t="n">
        <v>31.802322</v>
      </c>
      <c r="X112" t="n">
        <v>187.589042</v>
      </c>
    </row>
    <row r="113" ht="21" customHeight="1">
      <c r="A113" t="inlineStr">
        <is>
          <t>Mactridae</t>
        </is>
      </c>
      <c r="B113" t="n">
        <v>2</v>
      </c>
      <c r="C113" t="n">
        <v>10</v>
      </c>
      <c r="D113" s="10" t="inlineStr">
        <is>
          <t>Mollusks</t>
        </is>
      </c>
      <c r="H113" t="n">
        <v>0.386637</v>
      </c>
      <c r="I113" t="n">
        <v>5.936061</v>
      </c>
      <c r="J113" t="n">
        <v>5.936061</v>
      </c>
      <c r="K113" t="n">
        <v>1.780818</v>
      </c>
      <c r="L113" t="n">
        <v>17.186608</v>
      </c>
      <c r="M113" t="n">
        <v>6.329922</v>
      </c>
      <c r="N113" t="n">
        <v>6.329922</v>
      </c>
      <c r="O113" t="n">
        <v>0.986753</v>
      </c>
      <c r="P113" t="n">
        <v>0.712886</v>
      </c>
      <c r="Q113" t="n">
        <v>6.329922</v>
      </c>
      <c r="R113" t="n">
        <v>6.329922</v>
      </c>
      <c r="S113" t="n">
        <v>0.986753</v>
      </c>
      <c r="T113" t="n">
        <v>0.986753</v>
      </c>
      <c r="U113" t="n">
        <v>0.712886</v>
      </c>
      <c r="V113" t="n">
        <v>0.712886</v>
      </c>
      <c r="W113" t="n">
        <v>0.98107</v>
      </c>
      <c r="X113" t="n">
        <v>6.573538</v>
      </c>
    </row>
    <row r="114" ht="21" customHeight="1">
      <c r="A114" t="inlineStr">
        <is>
          <t>Muraenesocidae</t>
        </is>
      </c>
      <c r="B114" t="n">
        <v>3.9</v>
      </c>
      <c r="C114" t="n">
        <v>794.3282349999999</v>
      </c>
      <c r="D114" s="10" t="inlineStr">
        <is>
          <t>Piscivores</t>
        </is>
      </c>
      <c r="H114" t="n">
        <v>1.498127</v>
      </c>
      <c r="I114" t="n">
        <v>163.850229</v>
      </c>
      <c r="J114" t="n">
        <v>165.313739</v>
      </c>
      <c r="K114" t="n">
        <v>132.912246</v>
      </c>
      <c r="L114" t="n">
        <v>282.597002</v>
      </c>
      <c r="M114" t="n">
        <v>192.12828</v>
      </c>
      <c r="N114" t="n">
        <v>192.12828</v>
      </c>
      <c r="O114" t="n">
        <v>31.073292</v>
      </c>
      <c r="P114" t="n">
        <v>15.877096</v>
      </c>
      <c r="Q114" t="n">
        <v>192.12828</v>
      </c>
      <c r="R114" t="n">
        <v>192.12828</v>
      </c>
      <c r="S114" t="n">
        <v>31.073292</v>
      </c>
      <c r="T114" t="n">
        <v>31.073292</v>
      </c>
      <c r="U114" t="n">
        <v>15.877096</v>
      </c>
      <c r="V114" t="n">
        <v>15.877096</v>
      </c>
      <c r="W114" t="n">
        <v>31.802322</v>
      </c>
      <c r="X114" t="n">
        <v>187.589042</v>
      </c>
    </row>
    <row r="115" ht="21" customHeight="1">
      <c r="A115" t="inlineStr">
        <is>
          <t>Squalidae</t>
        </is>
      </c>
      <c r="D115" s="10" t="inlineStr">
        <is>
          <t>Sharks</t>
        </is>
      </c>
      <c r="H115" t="n">
        <v>1.476725</v>
      </c>
      <c r="I115" t="n">
        <v>0</v>
      </c>
      <c r="J115" t="n">
        <v>90.909156</v>
      </c>
      <c r="L115" t="n">
        <v>0</v>
      </c>
      <c r="M115" t="n">
        <v>0</v>
      </c>
      <c r="N115" t="n">
        <v>0</v>
      </c>
      <c r="O115" t="n">
        <v>112.219658</v>
      </c>
      <c r="P115" t="n">
        <v>50.526882</v>
      </c>
      <c r="Q115" t="n">
        <v>0</v>
      </c>
      <c r="R115" t="n">
        <v>0</v>
      </c>
      <c r="S115" t="n">
        <v>112.219658</v>
      </c>
      <c r="T115" t="n">
        <v>112.219658</v>
      </c>
      <c r="U115" t="n">
        <v>50.526882</v>
      </c>
      <c r="V115" t="n">
        <v>50.526882</v>
      </c>
      <c r="W115" t="n">
        <v>111.931581</v>
      </c>
      <c r="X115" t="n">
        <v>0</v>
      </c>
    </row>
    <row r="116" ht="21" customHeight="1">
      <c r="A116" t="inlineStr">
        <is>
          <t>Seriola lalandi</t>
        </is>
      </c>
      <c r="D116" s="10" t="inlineStr">
        <is>
          <t>Piscivores</t>
        </is>
      </c>
      <c r="H116" t="n">
        <v>1.498127</v>
      </c>
      <c r="I116" t="n">
        <v>163.850229</v>
      </c>
      <c r="J116" t="n">
        <v>165.313739</v>
      </c>
      <c r="K116" t="n">
        <v>132.912246</v>
      </c>
      <c r="L116" t="n">
        <v>282.597002</v>
      </c>
      <c r="M116" t="n">
        <v>192.12828</v>
      </c>
      <c r="N116" t="n">
        <v>192.12828</v>
      </c>
      <c r="O116" t="n">
        <v>31.073292</v>
      </c>
      <c r="P116" t="n">
        <v>15.877096</v>
      </c>
      <c r="Q116" t="n">
        <v>192.12828</v>
      </c>
      <c r="R116" t="n">
        <v>192.12828</v>
      </c>
      <c r="S116" t="n">
        <v>31.073292</v>
      </c>
      <c r="T116" t="n">
        <v>31.073292</v>
      </c>
      <c r="U116" t="n">
        <v>15.877096</v>
      </c>
      <c r="V116" t="n">
        <v>15.877096</v>
      </c>
      <c r="W116" t="n">
        <v>31.802322</v>
      </c>
      <c r="X116" t="n">
        <v>187.589042</v>
      </c>
    </row>
    <row r="117" ht="21" customHeight="1">
      <c r="A117" t="inlineStr">
        <is>
          <t>Portunidae</t>
        </is>
      </c>
      <c r="B117" t="n">
        <v>3.56</v>
      </c>
      <c r="C117" t="n">
        <v>363.078055</v>
      </c>
      <c r="D117" s="10" t="inlineStr">
        <is>
          <t>Crabs</t>
        </is>
      </c>
      <c r="H117" t="n">
        <v>0.50498</v>
      </c>
      <c r="I117" t="n">
        <v>5.117944</v>
      </c>
      <c r="J117" t="n">
        <v>5.117944</v>
      </c>
      <c r="K117" t="n">
        <v>4.688036</v>
      </c>
      <c r="L117" t="n">
        <v>11.032425</v>
      </c>
      <c r="M117" t="n">
        <v>5.117944</v>
      </c>
      <c r="N117" t="n">
        <v>5.117944</v>
      </c>
      <c r="O117" t="n">
        <v>2.72331</v>
      </c>
      <c r="P117" t="n">
        <v>1.83095</v>
      </c>
      <c r="Q117" t="n">
        <v>5.117944</v>
      </c>
      <c r="R117" t="n">
        <v>5.117944</v>
      </c>
      <c r="S117" t="n">
        <v>2.72331</v>
      </c>
      <c r="T117" t="n">
        <v>2.72331</v>
      </c>
      <c r="U117" t="n">
        <v>1.83095</v>
      </c>
      <c r="V117" t="n">
        <v>1.83095</v>
      </c>
      <c r="W117" t="n">
        <v>2.729441</v>
      </c>
      <c r="X117" t="n">
        <v>5.078558</v>
      </c>
    </row>
    <row r="118" ht="21" customHeight="1">
      <c r="A118" t="inlineStr">
        <is>
          <t>Pagrus auratus</t>
        </is>
      </c>
      <c r="B118" t="n">
        <v>3.59</v>
      </c>
      <c r="C118" t="n">
        <v>389.045145</v>
      </c>
      <c r="D118" s="10" t="inlineStr">
        <is>
          <t>Omnivores</t>
        </is>
      </c>
      <c r="H118" t="n">
        <v>1.193784</v>
      </c>
      <c r="I118" t="n">
        <v>39.151197</v>
      </c>
      <c r="J118" t="n">
        <v>40.599509</v>
      </c>
      <c r="K118" t="n">
        <v>40.55891</v>
      </c>
      <c r="L118" t="n">
        <v>72.544996</v>
      </c>
      <c r="M118" t="n">
        <v>45.483756</v>
      </c>
      <c r="N118" t="n">
        <v>45.483756</v>
      </c>
      <c r="O118" t="n">
        <v>9.364795000000001</v>
      </c>
      <c r="P118" t="n">
        <v>5.330494</v>
      </c>
      <c r="Q118" t="n">
        <v>45.483756</v>
      </c>
      <c r="R118" t="n">
        <v>45.483756</v>
      </c>
      <c r="S118" t="n">
        <v>9.364795000000001</v>
      </c>
      <c r="T118" t="n">
        <v>9.364795000000001</v>
      </c>
      <c r="U118" t="n">
        <v>5.330494</v>
      </c>
      <c r="V118" t="n">
        <v>5.330494</v>
      </c>
      <c r="W118" t="n">
        <v>9.429866000000001</v>
      </c>
      <c r="X118" t="n">
        <v>45.585525</v>
      </c>
    </row>
    <row r="119" ht="21" customHeight="1">
      <c r="A119" t="inlineStr">
        <is>
          <t>Thunnus obesus</t>
        </is>
      </c>
      <c r="B119" t="n">
        <v>4.49</v>
      </c>
      <c r="C119" t="n">
        <v>3090.295433</v>
      </c>
      <c r="D119" s="10" t="inlineStr">
        <is>
          <t>Piscivores</t>
        </is>
      </c>
      <c r="H119" t="n">
        <v>1.498127</v>
      </c>
      <c r="I119" t="n">
        <v>163.850229</v>
      </c>
      <c r="J119" t="n">
        <v>165.313739</v>
      </c>
      <c r="K119" t="n">
        <v>132.912246</v>
      </c>
      <c r="L119" t="n">
        <v>282.597002</v>
      </c>
      <c r="M119" t="n">
        <v>192.12828</v>
      </c>
      <c r="N119" t="n">
        <v>192.12828</v>
      </c>
      <c r="O119" t="n">
        <v>31.073292</v>
      </c>
      <c r="P119" t="n">
        <v>15.877096</v>
      </c>
      <c r="Q119" t="n">
        <v>192.12828</v>
      </c>
      <c r="R119" t="n">
        <v>192.12828</v>
      </c>
      <c r="S119" t="n">
        <v>31.073292</v>
      </c>
      <c r="T119" t="n">
        <v>31.073292</v>
      </c>
      <c r="U119" t="n">
        <v>15.877096</v>
      </c>
      <c r="V119" t="n">
        <v>15.877096</v>
      </c>
      <c r="W119" t="n">
        <v>31.802322</v>
      </c>
      <c r="X119" t="n">
        <v>187.589042</v>
      </c>
    </row>
    <row r="120" ht="21" customHeight="1">
      <c r="A120" t="inlineStr">
        <is>
          <t>Haemulidae</t>
        </is>
      </c>
      <c r="B120" t="n">
        <v>3.36</v>
      </c>
      <c r="C120" t="n">
        <v>229.086765</v>
      </c>
      <c r="D120" s="10" t="inlineStr">
        <is>
          <t>Benthivores</t>
        </is>
      </c>
      <c r="H120" t="n">
        <v>0.507881</v>
      </c>
      <c r="I120" t="n">
        <v>15.397089</v>
      </c>
      <c r="J120" t="n">
        <v>16.480074</v>
      </c>
      <c r="K120" t="n">
        <v>16.397674</v>
      </c>
      <c r="L120" t="n">
        <v>385.228839</v>
      </c>
      <c r="M120" t="n">
        <v>217.802518</v>
      </c>
      <c r="N120" t="n">
        <v>217.802518</v>
      </c>
      <c r="O120" t="n">
        <v>5.627856</v>
      </c>
      <c r="P120" t="n">
        <v>3.14648</v>
      </c>
      <c r="Q120" t="n">
        <v>217.802518</v>
      </c>
      <c r="R120" t="n">
        <v>217.802518</v>
      </c>
      <c r="S120" t="n">
        <v>5.627856</v>
      </c>
      <c r="T120" t="n">
        <v>5.627856</v>
      </c>
      <c r="U120" t="n">
        <v>3.14648</v>
      </c>
      <c r="V120" t="n">
        <v>3.14648</v>
      </c>
      <c r="W120" t="n">
        <v>5.794366</v>
      </c>
      <c r="X120" t="n">
        <v>21.50578</v>
      </c>
    </row>
    <row r="121" ht="21" customHeight="1">
      <c r="A121" t="inlineStr">
        <is>
          <t>Gastropoda</t>
        </is>
      </c>
      <c r="B121" t="n">
        <v>3.06</v>
      </c>
      <c r="C121" t="n">
        <v>114.815362</v>
      </c>
      <c r="D121" s="10" t="inlineStr">
        <is>
          <t>Mollusks</t>
        </is>
      </c>
      <c r="H121" t="n">
        <v>0.386637</v>
      </c>
      <c r="I121" t="n">
        <v>5.936061</v>
      </c>
      <c r="J121" t="n">
        <v>5.936061</v>
      </c>
      <c r="K121" t="n">
        <v>1.780818</v>
      </c>
      <c r="L121" t="n">
        <v>17.186608</v>
      </c>
      <c r="M121" t="n">
        <v>6.329922</v>
      </c>
      <c r="N121" t="n">
        <v>6.329922</v>
      </c>
      <c r="O121" t="n">
        <v>0.986753</v>
      </c>
      <c r="P121" t="n">
        <v>0.712886</v>
      </c>
      <c r="Q121" t="n">
        <v>6.329922</v>
      </c>
      <c r="R121" t="n">
        <v>6.329922</v>
      </c>
      <c r="S121" t="n">
        <v>0.986753</v>
      </c>
      <c r="T121" t="n">
        <v>0.986753</v>
      </c>
      <c r="U121" t="n">
        <v>0.712886</v>
      </c>
      <c r="V121" t="n">
        <v>0.712886</v>
      </c>
      <c r="W121" t="n">
        <v>0.98107</v>
      </c>
      <c r="X121" t="n">
        <v>6.573538</v>
      </c>
    </row>
    <row r="122" ht="21" customHeight="1">
      <c r="A122" t="inlineStr">
        <is>
          <t>Holothuroidea</t>
        </is>
      </c>
      <c r="B122" t="n">
        <v>2</v>
      </c>
      <c r="C122" t="n">
        <v>10</v>
      </c>
      <c r="D122" s="10" t="inlineStr">
        <is>
          <t>Echinoderms</t>
        </is>
      </c>
      <c r="H122" t="n">
        <v>0.891514</v>
      </c>
      <c r="I122" t="n">
        <v>25.470866</v>
      </c>
      <c r="J122" t="n">
        <v>25.470866</v>
      </c>
      <c r="K122" t="n">
        <v>4.635698</v>
      </c>
      <c r="L122" t="n">
        <v>98169.820373</v>
      </c>
      <c r="M122" t="n">
        <v>56135.354228</v>
      </c>
      <c r="N122" t="n">
        <v>56135.354228</v>
      </c>
      <c r="O122" t="n">
        <v>3.905176</v>
      </c>
      <c r="P122" t="n">
        <v>2.70577</v>
      </c>
      <c r="Q122" t="n">
        <v>56135.354228</v>
      </c>
      <c r="R122" t="n">
        <v>56135.354228</v>
      </c>
      <c r="S122" t="n">
        <v>3.905176</v>
      </c>
      <c r="T122" t="n">
        <v>3.905176</v>
      </c>
      <c r="U122" t="n">
        <v>2.70577</v>
      </c>
      <c r="V122" t="n">
        <v>2.70577</v>
      </c>
      <c r="W122" t="n">
        <v>3.987743</v>
      </c>
      <c r="X122" t="n">
        <v>579.371085</v>
      </c>
    </row>
    <row r="123" ht="21" customHeight="1">
      <c r="A123" t="inlineStr">
        <is>
          <t>Penaeus japonicus</t>
        </is>
      </c>
      <c r="B123" t="n">
        <v>2.7</v>
      </c>
      <c r="C123" t="n">
        <v>50.118723</v>
      </c>
      <c r="D123" s="10" t="inlineStr">
        <is>
          <t>Shrimps</t>
        </is>
      </c>
      <c r="H123" t="n">
        <v>0.472671</v>
      </c>
      <c r="I123" t="n">
        <v>7.184768</v>
      </c>
      <c r="J123" t="n">
        <v>7.184768</v>
      </c>
      <c r="K123" t="n">
        <v>7.177583</v>
      </c>
      <c r="L123" t="n">
        <v>13.927162</v>
      </c>
      <c r="M123" t="n">
        <v>7.184768</v>
      </c>
      <c r="N123" t="n">
        <v>7.184768</v>
      </c>
      <c r="O123" t="n">
        <v>2.606682</v>
      </c>
      <c r="P123" t="n">
        <v>1.759834</v>
      </c>
      <c r="Q123" t="n">
        <v>7.184768</v>
      </c>
      <c r="R123" t="n">
        <v>7.184768</v>
      </c>
      <c r="S123" t="n">
        <v>2.606682</v>
      </c>
      <c r="T123" t="n">
        <v>2.606682</v>
      </c>
      <c r="U123" t="n">
        <v>1.759834</v>
      </c>
      <c r="V123" t="n">
        <v>1.759834</v>
      </c>
      <c r="W123" t="n">
        <v>2.643462</v>
      </c>
      <c r="X123" t="n">
        <v>7.655045</v>
      </c>
    </row>
    <row r="124" ht="21" customHeight="1">
      <c r="A124" t="inlineStr">
        <is>
          <t>Mytilidae</t>
        </is>
      </c>
      <c r="B124" t="n">
        <v>2</v>
      </c>
      <c r="C124" t="n">
        <v>10</v>
      </c>
      <c r="D124" s="10" t="inlineStr">
        <is>
          <t>Mollusks</t>
        </is>
      </c>
      <c r="H124" t="n">
        <v>0.386637</v>
      </c>
      <c r="I124" t="n">
        <v>5.936061</v>
      </c>
      <c r="J124" t="n">
        <v>5.936061</v>
      </c>
      <c r="K124" t="n">
        <v>1.780818</v>
      </c>
      <c r="L124" t="n">
        <v>17.186608</v>
      </c>
      <c r="M124" t="n">
        <v>6.329922</v>
      </c>
      <c r="N124" t="n">
        <v>6.329922</v>
      </c>
      <c r="O124" t="n">
        <v>0.986753</v>
      </c>
      <c r="P124" t="n">
        <v>0.712886</v>
      </c>
      <c r="Q124" t="n">
        <v>6.329922</v>
      </c>
      <c r="R124" t="n">
        <v>6.329922</v>
      </c>
      <c r="S124" t="n">
        <v>0.986753</v>
      </c>
      <c r="T124" t="n">
        <v>0.986753</v>
      </c>
      <c r="U124" t="n">
        <v>0.712886</v>
      </c>
      <c r="V124" t="n">
        <v>0.712886</v>
      </c>
      <c r="W124" t="n">
        <v>0.98107</v>
      </c>
      <c r="X124" t="n">
        <v>6.573538</v>
      </c>
    </row>
    <row r="125" ht="21" customHeight="1">
      <c r="A125" t="inlineStr">
        <is>
          <t>Penaeidae</t>
        </is>
      </c>
      <c r="B125" t="n">
        <v>3.31</v>
      </c>
      <c r="C125" t="n">
        <v>204.173794</v>
      </c>
      <c r="D125" s="10" t="inlineStr">
        <is>
          <t>Shrimps</t>
        </is>
      </c>
      <c r="H125" t="n">
        <v>0.472671</v>
      </c>
      <c r="I125" t="n">
        <v>7.184768</v>
      </c>
      <c r="J125" t="n">
        <v>7.184768</v>
      </c>
      <c r="K125" t="n">
        <v>7.177583</v>
      </c>
      <c r="L125" t="n">
        <v>13.927162</v>
      </c>
      <c r="M125" t="n">
        <v>7.184768</v>
      </c>
      <c r="N125" t="n">
        <v>7.184768</v>
      </c>
      <c r="O125" t="n">
        <v>2.606682</v>
      </c>
      <c r="P125" t="n">
        <v>1.759834</v>
      </c>
      <c r="Q125" t="n">
        <v>7.184768</v>
      </c>
      <c r="R125" t="n">
        <v>7.184768</v>
      </c>
      <c r="S125" t="n">
        <v>2.606682</v>
      </c>
      <c r="T125" t="n">
        <v>2.606682</v>
      </c>
      <c r="U125" t="n">
        <v>1.759834</v>
      </c>
      <c r="V125" t="n">
        <v>1.759834</v>
      </c>
      <c r="W125" t="n">
        <v>2.643462</v>
      </c>
      <c r="X125" t="n">
        <v>7.655045</v>
      </c>
    </row>
    <row r="126" ht="21" customHeight="1">
      <c r="A126" t="inlineStr">
        <is>
          <t>Trichiuridae</t>
        </is>
      </c>
      <c r="B126" t="n">
        <v>4.15</v>
      </c>
      <c r="C126" t="n">
        <v>1412.537545</v>
      </c>
      <c r="D126" s="10" t="inlineStr">
        <is>
          <t>Hairtails</t>
        </is>
      </c>
      <c r="H126" t="n">
        <v>1.251806</v>
      </c>
      <c r="I126" t="n">
        <v>147.285093</v>
      </c>
      <c r="J126" t="n">
        <v>158.837719</v>
      </c>
      <c r="K126" t="n">
        <v>158.520043</v>
      </c>
      <c r="L126" t="n">
        <v>395.11592</v>
      </c>
      <c r="M126" t="n">
        <v>251.58133</v>
      </c>
      <c r="N126" t="n">
        <v>251.58133</v>
      </c>
      <c r="O126" t="n">
        <v>40.99243</v>
      </c>
      <c r="P126" t="n">
        <v>20.543047</v>
      </c>
      <c r="Q126" t="n">
        <v>251.58133</v>
      </c>
      <c r="R126" t="n">
        <v>251.58133</v>
      </c>
      <c r="S126" t="n">
        <v>40.99243</v>
      </c>
      <c r="T126" t="n">
        <v>40.99243</v>
      </c>
      <c r="U126" t="n">
        <v>20.543047</v>
      </c>
      <c r="V126" t="n">
        <v>20.543047</v>
      </c>
      <c r="W126" t="n">
        <v>41.211529</v>
      </c>
      <c r="X126" t="n">
        <v>254.994354</v>
      </c>
    </row>
    <row r="127" ht="21" customHeight="1">
      <c r="A127" t="inlineStr">
        <is>
          <t>Parastromateus niger</t>
        </is>
      </c>
      <c r="B127" t="n">
        <v>2.93</v>
      </c>
      <c r="C127" t="n">
        <v>85.113804</v>
      </c>
      <c r="D127" s="10" t="inlineStr">
        <is>
          <t>Planktivores/piscivores</t>
        </is>
      </c>
      <c r="H127" t="n">
        <v>1.060477</v>
      </c>
      <c r="I127" t="n">
        <v>312.238659</v>
      </c>
      <c r="J127" t="n">
        <v>333.85951</v>
      </c>
      <c r="K127" t="n">
        <v>117.852407</v>
      </c>
      <c r="L127" t="n">
        <v>660.166914</v>
      </c>
      <c r="M127" t="n">
        <v>396.919939</v>
      </c>
      <c r="N127" t="n">
        <v>396.919939</v>
      </c>
      <c r="O127" t="n">
        <v>37.152542</v>
      </c>
      <c r="P127" t="n">
        <v>21.753571</v>
      </c>
      <c r="Q127" t="n">
        <v>396.919939</v>
      </c>
      <c r="R127" t="n">
        <v>396.919939</v>
      </c>
      <c r="S127" t="n">
        <v>37.152542</v>
      </c>
      <c r="T127" t="n">
        <v>37.152542</v>
      </c>
      <c r="U127" t="n">
        <v>21.753571</v>
      </c>
      <c r="V127" t="n">
        <v>21.753571</v>
      </c>
      <c r="W127" t="n">
        <v>38.166317</v>
      </c>
      <c r="X127" t="n">
        <v>408.736525</v>
      </c>
    </row>
    <row r="128" ht="21" customHeight="1">
      <c r="A128" t="inlineStr">
        <is>
          <t>Miichthys miiuy</t>
        </is>
      </c>
      <c r="B128" t="n">
        <v>3.5</v>
      </c>
      <c r="C128" t="n">
        <v>316.227766</v>
      </c>
      <c r="D128" s="10" t="inlineStr">
        <is>
          <t>Benthivores/piscivores</t>
        </is>
      </c>
      <c r="H128" t="n">
        <v>0.86744</v>
      </c>
      <c r="I128" t="n">
        <v>19.560587</v>
      </c>
      <c r="J128" t="n">
        <v>19.580296</v>
      </c>
      <c r="K128" t="n">
        <v>19.286591</v>
      </c>
      <c r="L128" t="n">
        <v>34.759886</v>
      </c>
      <c r="M128" t="n">
        <v>20.178818</v>
      </c>
      <c r="N128" t="n">
        <v>20.178818</v>
      </c>
      <c r="O128" t="n">
        <v>6.006603</v>
      </c>
      <c r="P128" t="n">
        <v>3.449698</v>
      </c>
      <c r="Q128" t="n">
        <v>20.178818</v>
      </c>
      <c r="R128" t="n">
        <v>20.178818</v>
      </c>
      <c r="S128" t="n">
        <v>6.006603</v>
      </c>
      <c r="T128" t="n">
        <v>6.006603</v>
      </c>
      <c r="U128" t="n">
        <v>3.449698</v>
      </c>
      <c r="V128" t="n">
        <v>3.449698</v>
      </c>
      <c r="W128" t="n">
        <v>6.116899</v>
      </c>
      <c r="X128" t="n">
        <v>20.709505</v>
      </c>
    </row>
    <row r="129" ht="21" customHeight="1">
      <c r="A129" t="inlineStr">
        <is>
          <t>Nemopilema nomurai</t>
        </is>
      </c>
      <c r="B129" t="n">
        <v>3.57</v>
      </c>
      <c r="C129" t="n">
        <v>371.535229</v>
      </c>
      <c r="D129" s="10" t="inlineStr">
        <is>
          <t>Other invertebrates</t>
        </is>
      </c>
      <c r="H129" t="n">
        <v>0.834414</v>
      </c>
      <c r="I129" t="n">
        <v>8.766234000000001</v>
      </c>
      <c r="J129" t="n">
        <v>8.766234000000001</v>
      </c>
      <c r="K129" t="n">
        <v>5.4</v>
      </c>
      <c r="L129" t="n">
        <v>13.760094</v>
      </c>
      <c r="M129" t="n">
        <v>8.766234000000001</v>
      </c>
      <c r="N129" t="n">
        <v>8.766234000000001</v>
      </c>
      <c r="O129" t="n">
        <v>5.4</v>
      </c>
      <c r="P129" t="n">
        <v>4.32</v>
      </c>
      <c r="Q129" t="n">
        <v>8.766234000000001</v>
      </c>
      <c r="R129" t="n">
        <v>8.766234000000001</v>
      </c>
      <c r="S129" t="n">
        <v>5.4</v>
      </c>
      <c r="T129" t="n">
        <v>5.4</v>
      </c>
      <c r="U129" t="n">
        <v>4.32</v>
      </c>
      <c r="V129" t="n">
        <v>4.32</v>
      </c>
      <c r="W129" t="n">
        <v>5.39691</v>
      </c>
      <c r="X129" t="n">
        <v>8.751026</v>
      </c>
    </row>
    <row r="130" ht="21" customHeight="1">
      <c r="A130" t="inlineStr">
        <is>
          <t>Decapterus</t>
        </is>
      </c>
      <c r="B130" t="n">
        <v>3.63</v>
      </c>
      <c r="C130" t="n">
        <v>426.579519</v>
      </c>
      <c r="D130" s="10" t="inlineStr">
        <is>
          <t>Planktivores/piscivores</t>
        </is>
      </c>
      <c r="H130" t="n">
        <v>1.060477</v>
      </c>
      <c r="I130" t="n">
        <v>312.238659</v>
      </c>
      <c r="J130" t="n">
        <v>333.85951</v>
      </c>
      <c r="K130" t="n">
        <v>117.852407</v>
      </c>
      <c r="L130" t="n">
        <v>660.166914</v>
      </c>
      <c r="M130" t="n">
        <v>396.919939</v>
      </c>
      <c r="N130" t="n">
        <v>396.919939</v>
      </c>
      <c r="O130" t="n">
        <v>37.152542</v>
      </c>
      <c r="P130" t="n">
        <v>21.753571</v>
      </c>
      <c r="Q130" t="n">
        <v>396.919939</v>
      </c>
      <c r="R130" t="n">
        <v>396.919939</v>
      </c>
      <c r="S130" t="n">
        <v>37.152542</v>
      </c>
      <c r="T130" t="n">
        <v>37.152542</v>
      </c>
      <c r="U130" t="n">
        <v>21.753571</v>
      </c>
      <c r="V130" t="n">
        <v>21.753571</v>
      </c>
      <c r="W130" t="n">
        <v>38.166317</v>
      </c>
      <c r="X130" t="n">
        <v>408.736525</v>
      </c>
    </row>
    <row r="131" ht="21" customHeight="1">
      <c r="A131" t="inlineStr">
        <is>
          <t>Gadus chalcogrammus</t>
        </is>
      </c>
      <c r="B131" t="n">
        <v>3.57</v>
      </c>
      <c r="C131" t="n">
        <v>371.535229</v>
      </c>
      <c r="D131" s="10" t="inlineStr">
        <is>
          <t>Planktivores/piscivores</t>
        </is>
      </c>
      <c r="H131" t="n">
        <v>1.060477</v>
      </c>
      <c r="I131" t="n">
        <v>312.238659</v>
      </c>
      <c r="J131" t="n">
        <v>333.85951</v>
      </c>
      <c r="K131" t="n">
        <v>117.852407</v>
      </c>
      <c r="L131" t="n">
        <v>660.166914</v>
      </c>
      <c r="M131" t="n">
        <v>396.919939</v>
      </c>
      <c r="N131" t="n">
        <v>396.919939</v>
      </c>
      <c r="O131" t="n">
        <v>37.152542</v>
      </c>
      <c r="P131" t="n">
        <v>21.753571</v>
      </c>
      <c r="Q131" t="n">
        <v>396.919939</v>
      </c>
      <c r="R131" t="n">
        <v>396.919939</v>
      </c>
      <c r="S131" t="n">
        <v>37.152542</v>
      </c>
      <c r="T131" t="n">
        <v>37.152542</v>
      </c>
      <c r="U131" t="n">
        <v>21.753571</v>
      </c>
      <c r="V131" t="n">
        <v>21.753571</v>
      </c>
      <c r="W131" t="n">
        <v>38.166317</v>
      </c>
      <c r="X131" t="n">
        <v>408.736525</v>
      </c>
    </row>
    <row r="132" ht="21" customHeight="1">
      <c r="A132" t="inlineStr">
        <is>
          <t>Branchiostegus japonicus</t>
        </is>
      </c>
      <c r="D132" s="10" t="inlineStr">
        <is>
          <t>Benthivores/piscivores</t>
        </is>
      </c>
      <c r="H132" t="n">
        <v>0.86744</v>
      </c>
      <c r="I132" t="n">
        <v>19.560587</v>
      </c>
      <c r="J132" t="n">
        <v>19.580296</v>
      </c>
      <c r="K132" t="n">
        <v>19.286591</v>
      </c>
      <c r="L132" t="n">
        <v>34.759886</v>
      </c>
      <c r="M132" t="n">
        <v>20.178818</v>
      </c>
      <c r="N132" t="n">
        <v>20.178818</v>
      </c>
      <c r="O132" t="n">
        <v>6.006603</v>
      </c>
      <c r="P132" t="n">
        <v>3.449698</v>
      </c>
      <c r="Q132" t="n">
        <v>20.178818</v>
      </c>
      <c r="R132" t="n">
        <v>20.178818</v>
      </c>
      <c r="S132" t="n">
        <v>6.006603</v>
      </c>
      <c r="T132" t="n">
        <v>6.006603</v>
      </c>
      <c r="U132" t="n">
        <v>3.449698</v>
      </c>
      <c r="V132" t="n">
        <v>3.449698</v>
      </c>
      <c r="W132" t="n">
        <v>6.116899</v>
      </c>
      <c r="X132" t="n">
        <v>20.709505</v>
      </c>
    </row>
    <row r="133" ht="21" customHeight="1">
      <c r="A133" t="inlineStr">
        <is>
          <t>Meretrix lusoria</t>
        </is>
      </c>
      <c r="B133" t="n">
        <v>2</v>
      </c>
      <c r="C133" t="n">
        <v>10</v>
      </c>
      <c r="D133" s="10" t="inlineStr">
        <is>
          <t>Mollusks</t>
        </is>
      </c>
      <c r="H133" t="n">
        <v>0.386637</v>
      </c>
      <c r="I133" t="n">
        <v>5.936061</v>
      </c>
      <c r="J133" t="n">
        <v>5.936061</v>
      </c>
      <c r="K133" t="n">
        <v>1.780818</v>
      </c>
      <c r="L133" t="n">
        <v>17.186608</v>
      </c>
      <c r="M133" t="n">
        <v>6.329922</v>
      </c>
      <c r="N133" t="n">
        <v>6.329922</v>
      </c>
      <c r="O133" t="n">
        <v>0.986753</v>
      </c>
      <c r="P133" t="n">
        <v>0.712886</v>
      </c>
      <c r="Q133" t="n">
        <v>6.329922</v>
      </c>
      <c r="R133" t="n">
        <v>6.329922</v>
      </c>
      <c r="S133" t="n">
        <v>0.986753</v>
      </c>
      <c r="T133" t="n">
        <v>0.986753</v>
      </c>
      <c r="U133" t="n">
        <v>0.712886</v>
      </c>
      <c r="V133" t="n">
        <v>0.712886</v>
      </c>
      <c r="W133" t="n">
        <v>0.98107</v>
      </c>
      <c r="X133" t="n">
        <v>6.573538</v>
      </c>
    </row>
    <row r="134" ht="36" customHeight="1">
      <c r="A134" t="inlineStr">
        <is>
          <t>Gadidae</t>
        </is>
      </c>
      <c r="B134" t="n">
        <v>3.84</v>
      </c>
      <c r="C134" t="n">
        <v>691.830971</v>
      </c>
      <c r="D134" s="10" t="inlineStr">
        <is>
          <t>Benthivores/piscivores | Planktivores/piscivores</t>
        </is>
      </c>
      <c r="H134" t="n">
        <v>0.942078</v>
      </c>
      <c r="I134" t="n">
        <v>132.725806</v>
      </c>
      <c r="J134" t="n">
        <v>141.097688</v>
      </c>
      <c r="K134" t="n">
        <v>57.397482</v>
      </c>
      <c r="L134" t="n">
        <v>276.576167</v>
      </c>
      <c r="M134" t="n">
        <v>165.847371</v>
      </c>
      <c r="N134" t="n">
        <v>165.847371</v>
      </c>
      <c r="O134" t="n">
        <v>18.049312</v>
      </c>
      <c r="P134" t="n">
        <v>10.526968</v>
      </c>
      <c r="Q134" t="n">
        <v>165.847371</v>
      </c>
      <c r="R134" t="n">
        <v>165.847371</v>
      </c>
      <c r="S134" t="n">
        <v>18.049312</v>
      </c>
      <c r="T134" t="n">
        <v>18.049312</v>
      </c>
      <c r="U134" t="n">
        <v>10.526968</v>
      </c>
      <c r="V134" t="n">
        <v>10.526968</v>
      </c>
      <c r="W134" t="n">
        <v>18.508943</v>
      </c>
      <c r="X134" t="n">
        <v>170.741799</v>
      </c>
    </row>
    <row r="135" ht="21" customHeight="1">
      <c r="A135" t="inlineStr">
        <is>
          <t>Scomberomorus guttatus</t>
        </is>
      </c>
      <c r="B135" t="n">
        <v>4.28</v>
      </c>
      <c r="C135" t="n">
        <v>1905.460718</v>
      </c>
      <c r="D135" s="10" t="inlineStr">
        <is>
          <t>Piscivores</t>
        </is>
      </c>
      <c r="H135" t="n">
        <v>1.498127</v>
      </c>
      <c r="I135" t="n">
        <v>163.850229</v>
      </c>
      <c r="J135" t="n">
        <v>165.313739</v>
      </c>
      <c r="K135" t="n">
        <v>132.912246</v>
      </c>
      <c r="L135" t="n">
        <v>282.597002</v>
      </c>
      <c r="M135" t="n">
        <v>192.12828</v>
      </c>
      <c r="N135" t="n">
        <v>192.12828</v>
      </c>
      <c r="O135" t="n">
        <v>31.073292</v>
      </c>
      <c r="P135" t="n">
        <v>15.877096</v>
      </c>
      <c r="Q135" t="n">
        <v>192.12828</v>
      </c>
      <c r="R135" t="n">
        <v>192.12828</v>
      </c>
      <c r="S135" t="n">
        <v>31.073292</v>
      </c>
      <c r="T135" t="n">
        <v>31.073292</v>
      </c>
      <c r="U135" t="n">
        <v>15.877096</v>
      </c>
      <c r="V135" t="n">
        <v>15.877096</v>
      </c>
      <c r="W135" t="n">
        <v>31.802322</v>
      </c>
      <c r="X135" t="n">
        <v>187.589042</v>
      </c>
    </row>
    <row r="136" ht="21" customHeight="1">
      <c r="A136" t="inlineStr">
        <is>
          <t>Tegillarca granosa</t>
        </is>
      </c>
      <c r="B136" t="n">
        <v>2</v>
      </c>
      <c r="C136" t="n">
        <v>10</v>
      </c>
      <c r="D136" s="10" t="inlineStr">
        <is>
          <t>Mollusks</t>
        </is>
      </c>
      <c r="H136" t="n">
        <v>0.386637</v>
      </c>
      <c r="I136" t="n">
        <v>5.936061</v>
      </c>
      <c r="J136" t="n">
        <v>5.936061</v>
      </c>
      <c r="K136" t="n">
        <v>1.780818</v>
      </c>
      <c r="L136" t="n">
        <v>17.186608</v>
      </c>
      <c r="M136" t="n">
        <v>6.329922</v>
      </c>
      <c r="N136" t="n">
        <v>6.329922</v>
      </c>
      <c r="O136" t="n">
        <v>0.986753</v>
      </c>
      <c r="P136" t="n">
        <v>0.712886</v>
      </c>
      <c r="Q136" t="n">
        <v>6.329922</v>
      </c>
      <c r="R136" t="n">
        <v>6.329922</v>
      </c>
      <c r="S136" t="n">
        <v>0.986753</v>
      </c>
      <c r="T136" t="n">
        <v>0.986753</v>
      </c>
      <c r="U136" t="n">
        <v>0.712886</v>
      </c>
      <c r="V136" t="n">
        <v>0.712886</v>
      </c>
      <c r="W136" t="n">
        <v>0.98107</v>
      </c>
      <c r="X136" t="n">
        <v>6.573538</v>
      </c>
    </row>
    <row r="137" ht="21" customHeight="1">
      <c r="A137" t="inlineStr">
        <is>
          <t>Menidae</t>
        </is>
      </c>
      <c r="B137" t="n">
        <v>3.45</v>
      </c>
      <c r="C137" t="n">
        <v>281.838293</v>
      </c>
      <c r="D137" s="10" t="inlineStr">
        <is>
          <t>Planktivores/piscivores</t>
        </is>
      </c>
      <c r="H137" t="n">
        <v>1.060477</v>
      </c>
      <c r="I137" t="n">
        <v>312.238659</v>
      </c>
      <c r="J137" t="n">
        <v>333.85951</v>
      </c>
      <c r="K137" t="n">
        <v>117.852407</v>
      </c>
      <c r="L137" t="n">
        <v>660.166914</v>
      </c>
      <c r="M137" t="n">
        <v>396.919939</v>
      </c>
      <c r="N137" t="n">
        <v>396.919939</v>
      </c>
      <c r="O137" t="n">
        <v>37.152542</v>
      </c>
      <c r="P137" t="n">
        <v>21.753571</v>
      </c>
      <c r="Q137" t="n">
        <v>396.919939</v>
      </c>
      <c r="R137" t="n">
        <v>396.919939</v>
      </c>
      <c r="S137" t="n">
        <v>37.152542</v>
      </c>
      <c r="T137" t="n">
        <v>37.152542</v>
      </c>
      <c r="U137" t="n">
        <v>21.753571</v>
      </c>
      <c r="V137" t="n">
        <v>21.753571</v>
      </c>
      <c r="W137" t="n">
        <v>38.166317</v>
      </c>
      <c r="X137" t="n">
        <v>408.736525</v>
      </c>
    </row>
    <row r="138" ht="21" customHeight="1">
      <c r="A138" t="inlineStr">
        <is>
          <t>Scorpaenidae</t>
        </is>
      </c>
      <c r="B138" t="n">
        <v>3.92</v>
      </c>
      <c r="C138" t="n">
        <v>831.763771</v>
      </c>
      <c r="D138" s="10" t="inlineStr">
        <is>
          <t>Benthivores/piscivores</t>
        </is>
      </c>
      <c r="H138" t="n">
        <v>0.86744</v>
      </c>
      <c r="I138" t="n">
        <v>19.560587</v>
      </c>
      <c r="J138" t="n">
        <v>19.580296</v>
      </c>
      <c r="K138" t="n">
        <v>19.286591</v>
      </c>
      <c r="L138" t="n">
        <v>34.759886</v>
      </c>
      <c r="M138" t="n">
        <v>20.178818</v>
      </c>
      <c r="N138" t="n">
        <v>20.178818</v>
      </c>
      <c r="O138" t="n">
        <v>6.006603</v>
      </c>
      <c r="P138" t="n">
        <v>3.449698</v>
      </c>
      <c r="Q138" t="n">
        <v>20.178818</v>
      </c>
      <c r="R138" t="n">
        <v>20.178818</v>
      </c>
      <c r="S138" t="n">
        <v>6.006603</v>
      </c>
      <c r="T138" t="n">
        <v>6.006603</v>
      </c>
      <c r="U138" t="n">
        <v>3.449698</v>
      </c>
      <c r="V138" t="n">
        <v>3.449698</v>
      </c>
      <c r="W138" t="n">
        <v>6.116899</v>
      </c>
      <c r="X138" t="n">
        <v>20.709505</v>
      </c>
    </row>
    <row r="139" ht="21" customHeight="1">
      <c r="A139" t="inlineStr">
        <is>
          <t>Ommastrephidae</t>
        </is>
      </c>
      <c r="B139" t="n">
        <v>4.09</v>
      </c>
      <c r="C139" t="n">
        <v>1230.268771</v>
      </c>
      <c r="D139" s="10" t="inlineStr">
        <is>
          <t>Cephalopods</t>
        </is>
      </c>
      <c r="H139" t="n">
        <v>1.261678</v>
      </c>
      <c r="I139" t="n">
        <v>26.779632</v>
      </c>
      <c r="J139" t="n">
        <v>26.779632</v>
      </c>
      <c r="K139" t="n">
        <v>26.351158</v>
      </c>
      <c r="L139" t="n">
        <v>36.734327</v>
      </c>
      <c r="M139" t="n">
        <v>26.808267</v>
      </c>
      <c r="N139" t="n">
        <v>26.808267</v>
      </c>
      <c r="O139" t="n">
        <v>8.403231999999999</v>
      </c>
      <c r="P139" t="n">
        <v>5.352524</v>
      </c>
      <c r="Q139" t="n">
        <v>26.808267</v>
      </c>
      <c r="R139" t="n">
        <v>26.808267</v>
      </c>
      <c r="S139" t="n">
        <v>8.403231999999999</v>
      </c>
      <c r="T139" t="n">
        <v>8.403231999999999</v>
      </c>
      <c r="U139" t="n">
        <v>5.352524</v>
      </c>
      <c r="V139" t="n">
        <v>5.352524</v>
      </c>
      <c r="W139" t="n">
        <v>8.371036999999999</v>
      </c>
      <c r="X139" t="n">
        <v>28.03948</v>
      </c>
    </row>
    <row r="140" ht="21" customHeight="1">
      <c r="A140" t="inlineStr">
        <is>
          <t>Veneridae</t>
        </is>
      </c>
      <c r="B140" t="n">
        <v>2</v>
      </c>
      <c r="C140" t="n">
        <v>10</v>
      </c>
      <c r="D140" s="10" t="inlineStr">
        <is>
          <t>Mollusks</t>
        </is>
      </c>
      <c r="H140" t="n">
        <v>0.386637</v>
      </c>
      <c r="I140" t="n">
        <v>5.936061</v>
      </c>
      <c r="J140" t="n">
        <v>5.936061</v>
      </c>
      <c r="K140" t="n">
        <v>1.780818</v>
      </c>
      <c r="L140" t="n">
        <v>17.186608</v>
      </c>
      <c r="M140" t="n">
        <v>6.329922</v>
      </c>
      <c r="N140" t="n">
        <v>6.329922</v>
      </c>
      <c r="O140" t="n">
        <v>0.986753</v>
      </c>
      <c r="P140" t="n">
        <v>0.712886</v>
      </c>
      <c r="Q140" t="n">
        <v>6.329922</v>
      </c>
      <c r="R140" t="n">
        <v>6.329922</v>
      </c>
      <c r="S140" t="n">
        <v>0.986753</v>
      </c>
      <c r="T140" t="n">
        <v>0.986753</v>
      </c>
      <c r="U140" t="n">
        <v>0.712886</v>
      </c>
      <c r="V140" t="n">
        <v>0.712886</v>
      </c>
      <c r="W140" t="n">
        <v>0.98107</v>
      </c>
      <c r="X140" t="n">
        <v>6.573538</v>
      </c>
    </row>
    <row r="141" ht="21" customHeight="1">
      <c r="A141" t="inlineStr">
        <is>
          <t>Meretrix</t>
        </is>
      </c>
      <c r="D141" s="10" t="inlineStr">
        <is>
          <t>Mollusks</t>
        </is>
      </c>
      <c r="H141" t="n">
        <v>0.386637</v>
      </c>
      <c r="I141" t="n">
        <v>5.936061</v>
      </c>
      <c r="J141" t="n">
        <v>5.936061</v>
      </c>
      <c r="K141" t="n">
        <v>1.780818</v>
      </c>
      <c r="L141" t="n">
        <v>17.186608</v>
      </c>
      <c r="M141" t="n">
        <v>6.329922</v>
      </c>
      <c r="N141" t="n">
        <v>6.329922</v>
      </c>
      <c r="O141" t="n">
        <v>0.986753</v>
      </c>
      <c r="P141" t="n">
        <v>0.712886</v>
      </c>
      <c r="Q141" t="n">
        <v>6.329922</v>
      </c>
      <c r="R141" t="n">
        <v>6.329922</v>
      </c>
      <c r="S141" t="n">
        <v>0.986753</v>
      </c>
      <c r="T141" t="n">
        <v>0.986753</v>
      </c>
      <c r="U141" t="n">
        <v>0.712886</v>
      </c>
      <c r="V141" t="n">
        <v>0.712886</v>
      </c>
      <c r="W141" t="n">
        <v>0.98107</v>
      </c>
      <c r="X141" t="n">
        <v>6.573538</v>
      </c>
    </row>
    <row r="142" ht="36" customHeight="1">
      <c r="A142" t="inlineStr">
        <is>
          <t>Miscellaneous aquatic invertebrates</t>
        </is>
      </c>
      <c r="B142" t="n">
        <v>2.43</v>
      </c>
      <c r="C142" t="n">
        <v>26.915348</v>
      </c>
      <c r="D142" s="10" t="inlineStr">
        <is>
          <t>Mollusks | Echinoderms | Other invertebrates</t>
        </is>
      </c>
      <c r="H142" t="n">
        <v>0.498147</v>
      </c>
      <c r="I142" t="n">
        <v>7.040366</v>
      </c>
      <c r="J142" t="n">
        <v>7.040366</v>
      </c>
      <c r="K142" t="n">
        <v>2.65214</v>
      </c>
      <c r="L142" t="n">
        <v>2415.673967</v>
      </c>
      <c r="M142" t="n">
        <v>1378.889217</v>
      </c>
      <c r="N142" t="n">
        <v>1378.889217</v>
      </c>
      <c r="O142" t="n">
        <v>2.035489</v>
      </c>
      <c r="P142" t="n">
        <v>1.560464</v>
      </c>
      <c r="Q142" t="n">
        <v>1378.889217</v>
      </c>
      <c r="R142" t="n">
        <v>1378.889217</v>
      </c>
      <c r="S142" t="n">
        <v>2.035489</v>
      </c>
      <c r="T142" t="n">
        <v>2.035489</v>
      </c>
      <c r="U142" t="n">
        <v>1.560464</v>
      </c>
      <c r="V142" t="n">
        <v>1.560464</v>
      </c>
      <c r="W142" t="n">
        <v>2.032538</v>
      </c>
      <c r="X142" t="n">
        <v>21.057267</v>
      </c>
    </row>
    <row r="143" ht="21" customHeight="1">
      <c r="A143" t="inlineStr">
        <is>
          <t>Ariidae</t>
        </is>
      </c>
      <c r="B143" t="n">
        <v>3.48</v>
      </c>
      <c r="C143" t="n">
        <v>301.995172</v>
      </c>
      <c r="D143" s="10" t="inlineStr">
        <is>
          <t>Benthivores/piscivores</t>
        </is>
      </c>
      <c r="H143" t="n">
        <v>0.86744</v>
      </c>
      <c r="I143" t="n">
        <v>19.560587</v>
      </c>
      <c r="J143" t="n">
        <v>19.580296</v>
      </c>
      <c r="K143" t="n">
        <v>19.286591</v>
      </c>
      <c r="L143" t="n">
        <v>34.759886</v>
      </c>
      <c r="M143" t="n">
        <v>20.178818</v>
      </c>
      <c r="N143" t="n">
        <v>20.178818</v>
      </c>
      <c r="O143" t="n">
        <v>6.006603</v>
      </c>
      <c r="P143" t="n">
        <v>3.449698</v>
      </c>
      <c r="Q143" t="n">
        <v>20.178818</v>
      </c>
      <c r="R143" t="n">
        <v>20.178818</v>
      </c>
      <c r="S143" t="n">
        <v>6.006603</v>
      </c>
      <c r="T143" t="n">
        <v>6.006603</v>
      </c>
      <c r="U143" t="n">
        <v>3.449698</v>
      </c>
      <c r="V143" t="n">
        <v>3.449698</v>
      </c>
      <c r="W143" t="n">
        <v>6.116899</v>
      </c>
      <c r="X143" t="n">
        <v>20.709505</v>
      </c>
    </row>
    <row r="144" ht="21" customHeight="1">
      <c r="A144" t="inlineStr">
        <is>
          <t>Mene maculata</t>
        </is>
      </c>
      <c r="B144" t="n">
        <v>3.45</v>
      </c>
      <c r="C144" t="n">
        <v>281.838293</v>
      </c>
      <c r="D144" s="10" t="inlineStr">
        <is>
          <t>Planktivores/piscivores</t>
        </is>
      </c>
      <c r="H144" t="n">
        <v>1.060477</v>
      </c>
      <c r="I144" t="n">
        <v>312.238659</v>
      </c>
      <c r="J144" t="n">
        <v>333.85951</v>
      </c>
      <c r="K144" t="n">
        <v>117.852407</v>
      </c>
      <c r="L144" t="n">
        <v>660.166914</v>
      </c>
      <c r="M144" t="n">
        <v>396.919939</v>
      </c>
      <c r="N144" t="n">
        <v>396.919939</v>
      </c>
      <c r="O144" t="n">
        <v>37.152542</v>
      </c>
      <c r="P144" t="n">
        <v>21.753571</v>
      </c>
      <c r="Q144" t="n">
        <v>396.919939</v>
      </c>
      <c r="R144" t="n">
        <v>396.919939</v>
      </c>
      <c r="S144" t="n">
        <v>37.152542</v>
      </c>
      <c r="T144" t="n">
        <v>37.152542</v>
      </c>
      <c r="U144" t="n">
        <v>21.753571</v>
      </c>
      <c r="V144" t="n">
        <v>21.753571</v>
      </c>
      <c r="W144" t="n">
        <v>38.166317</v>
      </c>
      <c r="X144" t="n">
        <v>408.736525</v>
      </c>
    </row>
    <row r="145" ht="21" customHeight="1">
      <c r="A145" t="inlineStr">
        <is>
          <t>Acanthopagrus schlegelii</t>
        </is>
      </c>
      <c r="B145" t="n">
        <v>3.24</v>
      </c>
      <c r="C145" t="n">
        <v>173.780083</v>
      </c>
      <c r="D145" s="10" t="inlineStr">
        <is>
          <t>Omnivores</t>
        </is>
      </c>
      <c r="H145" t="n">
        <v>1.193784</v>
      </c>
      <c r="I145" t="n">
        <v>39.151197</v>
      </c>
      <c r="J145" t="n">
        <v>40.599509</v>
      </c>
      <c r="K145" t="n">
        <v>40.55891</v>
      </c>
      <c r="L145" t="n">
        <v>72.544996</v>
      </c>
      <c r="M145" t="n">
        <v>45.483756</v>
      </c>
      <c r="N145" t="n">
        <v>45.483756</v>
      </c>
      <c r="O145" t="n">
        <v>9.364795000000001</v>
      </c>
      <c r="P145" t="n">
        <v>5.330494</v>
      </c>
      <c r="Q145" t="n">
        <v>45.483756</v>
      </c>
      <c r="R145" t="n">
        <v>45.483756</v>
      </c>
      <c r="S145" t="n">
        <v>9.364795000000001</v>
      </c>
      <c r="T145" t="n">
        <v>9.364795000000001</v>
      </c>
      <c r="U145" t="n">
        <v>5.330494</v>
      </c>
      <c r="V145" t="n">
        <v>5.330494</v>
      </c>
      <c r="W145" t="n">
        <v>9.429866000000001</v>
      </c>
      <c r="X145" t="n">
        <v>45.585525</v>
      </c>
    </row>
    <row r="146" ht="21" customHeight="1">
      <c r="A146" t="inlineStr">
        <is>
          <t>Octopus</t>
        </is>
      </c>
      <c r="B146" t="n">
        <v>3.8</v>
      </c>
      <c r="C146" t="n">
        <v>630.957344</v>
      </c>
      <c r="D146" s="10" t="inlineStr">
        <is>
          <t>Cephalopods</t>
        </is>
      </c>
      <c r="H146" t="n">
        <v>1.261678</v>
      </c>
      <c r="I146" t="n">
        <v>26.779632</v>
      </c>
      <c r="J146" t="n">
        <v>26.779632</v>
      </c>
      <c r="K146" t="n">
        <v>26.351158</v>
      </c>
      <c r="L146" t="n">
        <v>36.734327</v>
      </c>
      <c r="M146" t="n">
        <v>26.808267</v>
      </c>
      <c r="N146" t="n">
        <v>26.808267</v>
      </c>
      <c r="O146" t="n">
        <v>8.403231999999999</v>
      </c>
      <c r="P146" t="n">
        <v>5.352524</v>
      </c>
      <c r="Q146" t="n">
        <v>26.808267</v>
      </c>
      <c r="R146" t="n">
        <v>26.808267</v>
      </c>
      <c r="S146" t="n">
        <v>8.403231999999999</v>
      </c>
      <c r="T146" t="n">
        <v>8.403231999999999</v>
      </c>
      <c r="U146" t="n">
        <v>5.352524</v>
      </c>
      <c r="V146" t="n">
        <v>5.352524</v>
      </c>
      <c r="W146" t="n">
        <v>8.371036999999999</v>
      </c>
      <c r="X146" t="n">
        <v>28.03948</v>
      </c>
    </row>
    <row r="147" ht="21" customHeight="1">
      <c r="A147" t="inlineStr">
        <is>
          <t>Apostichopus japonicus</t>
        </is>
      </c>
      <c r="B147" t="n">
        <v>2.3</v>
      </c>
      <c r="C147" t="n">
        <v>19.952623</v>
      </c>
      <c r="D147" s="10" t="inlineStr">
        <is>
          <t>Echinoderms</t>
        </is>
      </c>
      <c r="H147" t="n">
        <v>0.891514</v>
      </c>
      <c r="I147" t="n">
        <v>25.470866</v>
      </c>
      <c r="J147" t="n">
        <v>25.470866</v>
      </c>
      <c r="K147" t="n">
        <v>4.635698</v>
      </c>
      <c r="L147" t="n">
        <v>98169.820373</v>
      </c>
      <c r="M147" t="n">
        <v>56135.354228</v>
      </c>
      <c r="N147" t="n">
        <v>56135.354228</v>
      </c>
      <c r="O147" t="n">
        <v>3.905176</v>
      </c>
      <c r="P147" t="n">
        <v>2.70577</v>
      </c>
      <c r="Q147" t="n">
        <v>56135.354228</v>
      </c>
      <c r="R147" t="n">
        <v>56135.354228</v>
      </c>
      <c r="S147" t="n">
        <v>3.905176</v>
      </c>
      <c r="T147" t="n">
        <v>3.905176</v>
      </c>
      <c r="U147" t="n">
        <v>2.70577</v>
      </c>
      <c r="V147" t="n">
        <v>2.70577</v>
      </c>
      <c r="W147" t="n">
        <v>3.987743</v>
      </c>
      <c r="X147" t="n">
        <v>579.371085</v>
      </c>
    </row>
    <row r="148" ht="21" customHeight="1">
      <c r="A148" t="inlineStr">
        <is>
          <t>Arctoscopus japonicus</t>
        </is>
      </c>
      <c r="B148" t="n">
        <v>3.51</v>
      </c>
      <c r="C148" t="n">
        <v>323.593657</v>
      </c>
      <c r="D148" s="10" t="inlineStr">
        <is>
          <t>Benthivores/piscivores</t>
        </is>
      </c>
      <c r="H148" t="n">
        <v>0.86744</v>
      </c>
      <c r="I148" t="n">
        <v>19.560587</v>
      </c>
      <c r="J148" t="n">
        <v>19.580296</v>
      </c>
      <c r="K148" t="n">
        <v>19.286591</v>
      </c>
      <c r="L148" t="n">
        <v>34.759886</v>
      </c>
      <c r="M148" t="n">
        <v>20.178818</v>
      </c>
      <c r="N148" t="n">
        <v>20.178818</v>
      </c>
      <c r="O148" t="n">
        <v>6.006603</v>
      </c>
      <c r="P148" t="n">
        <v>3.449698</v>
      </c>
      <c r="Q148" t="n">
        <v>20.178818</v>
      </c>
      <c r="R148" t="n">
        <v>20.178818</v>
      </c>
      <c r="S148" t="n">
        <v>6.006603</v>
      </c>
      <c r="T148" t="n">
        <v>6.006603</v>
      </c>
      <c r="U148" t="n">
        <v>3.449698</v>
      </c>
      <c r="V148" t="n">
        <v>3.449698</v>
      </c>
      <c r="W148" t="n">
        <v>6.116899</v>
      </c>
      <c r="X148" t="n">
        <v>20.709505</v>
      </c>
    </row>
    <row r="149" ht="21" customHeight="1">
      <c r="A149" t="inlineStr">
        <is>
          <t>Batoidea</t>
        </is>
      </c>
      <c r="B149" t="n">
        <v>3.72</v>
      </c>
      <c r="C149" t="n">
        <v>524.80746</v>
      </c>
      <c r="D149" s="10" t="inlineStr">
        <is>
          <t>Benthivores</t>
        </is>
      </c>
      <c r="H149" t="n">
        <v>0.507881</v>
      </c>
      <c r="I149" t="n">
        <v>15.397089</v>
      </c>
      <c r="J149" t="n">
        <v>16.480074</v>
      </c>
      <c r="K149" t="n">
        <v>16.397674</v>
      </c>
      <c r="L149" t="n">
        <v>385.228839</v>
      </c>
      <c r="M149" t="n">
        <v>217.802518</v>
      </c>
      <c r="N149" t="n">
        <v>217.802518</v>
      </c>
      <c r="O149" t="n">
        <v>5.627856</v>
      </c>
      <c r="P149" t="n">
        <v>3.14648</v>
      </c>
      <c r="Q149" t="n">
        <v>217.802518</v>
      </c>
      <c r="R149" t="n">
        <v>217.802518</v>
      </c>
      <c r="S149" t="n">
        <v>5.627856</v>
      </c>
      <c r="T149" t="n">
        <v>5.627856</v>
      </c>
      <c r="U149" t="n">
        <v>3.14648</v>
      </c>
      <c r="V149" t="n">
        <v>3.14648</v>
      </c>
      <c r="W149" t="n">
        <v>5.794366</v>
      </c>
      <c r="X149" t="n">
        <v>21.50578</v>
      </c>
    </row>
    <row r="150" ht="51" customHeight="1">
      <c r="A150" t="inlineStr">
        <is>
          <t>Perciformes</t>
        </is>
      </c>
      <c r="B150" t="n">
        <v>3.53</v>
      </c>
      <c r="C150" t="n">
        <v>338.844156</v>
      </c>
      <c r="D150" s="10" t="inlineStr">
        <is>
          <t>Benthivores | Piscivores | Planktivores/piscivores | Benthivores/piscivores | Omnivores</t>
        </is>
      </c>
      <c r="H150" t="n">
        <v>1.024796</v>
      </c>
      <c r="I150" t="n">
        <v>110.120645</v>
      </c>
      <c r="J150" t="n">
        <v>114.49157</v>
      </c>
      <c r="K150" t="n">
        <v>69.007428</v>
      </c>
      <c r="L150" t="n">
        <v>287.676992</v>
      </c>
      <c r="M150" t="n">
        <v>176.27764</v>
      </c>
      <c r="N150" t="n">
        <v>176.27764</v>
      </c>
      <c r="O150" t="n">
        <v>18.513266</v>
      </c>
      <c r="P150" t="n">
        <v>10.119161</v>
      </c>
      <c r="Q150" t="n">
        <v>176.27764</v>
      </c>
      <c r="R150" t="n">
        <v>176.27764</v>
      </c>
      <c r="S150" t="n">
        <v>18.513266</v>
      </c>
      <c r="T150" t="n">
        <v>18.513266</v>
      </c>
      <c r="U150" t="n">
        <v>10.119161</v>
      </c>
      <c r="V150" t="n">
        <v>10.119161</v>
      </c>
      <c r="W150" t="n">
        <v>18.960131</v>
      </c>
      <c r="X150" t="n">
        <v>135.087724</v>
      </c>
    </row>
    <row r="151" ht="21" customHeight="1">
      <c r="A151" t="inlineStr">
        <is>
          <t>Ostreidae</t>
        </is>
      </c>
      <c r="B151" t="n">
        <v>2</v>
      </c>
      <c r="C151" t="n">
        <v>10</v>
      </c>
      <c r="D151" s="10" t="inlineStr">
        <is>
          <t>Mollusks</t>
        </is>
      </c>
      <c r="H151" t="n">
        <v>0.386637</v>
      </c>
      <c r="I151" t="n">
        <v>5.936061</v>
      </c>
      <c r="J151" t="n">
        <v>5.936061</v>
      </c>
      <c r="K151" t="n">
        <v>1.780818</v>
      </c>
      <c r="L151" t="n">
        <v>17.186608</v>
      </c>
      <c r="M151" t="n">
        <v>6.329922</v>
      </c>
      <c r="N151" t="n">
        <v>6.329922</v>
      </c>
      <c r="O151" t="n">
        <v>0.986753</v>
      </c>
      <c r="P151" t="n">
        <v>0.712886</v>
      </c>
      <c r="Q151" t="n">
        <v>6.329922</v>
      </c>
      <c r="R151" t="n">
        <v>6.329922</v>
      </c>
      <c r="S151" t="n">
        <v>0.986753</v>
      </c>
      <c r="T151" t="n">
        <v>0.986753</v>
      </c>
      <c r="U151" t="n">
        <v>0.712886</v>
      </c>
      <c r="V151" t="n">
        <v>0.712886</v>
      </c>
      <c r="W151" t="n">
        <v>0.98107</v>
      </c>
      <c r="X151" t="n">
        <v>6.573538</v>
      </c>
    </row>
    <row r="152" ht="21" customHeight="1">
      <c r="A152" t="inlineStr">
        <is>
          <t>Portunus</t>
        </is>
      </c>
      <c r="B152" t="n">
        <v>3.26</v>
      </c>
      <c r="C152" t="n">
        <v>181.970086</v>
      </c>
      <c r="D152" s="10" t="inlineStr">
        <is>
          <t>Crabs</t>
        </is>
      </c>
      <c r="H152" t="n">
        <v>0.50498</v>
      </c>
      <c r="I152" t="n">
        <v>5.117944</v>
      </c>
      <c r="J152" t="n">
        <v>5.117944</v>
      </c>
      <c r="K152" t="n">
        <v>4.688036</v>
      </c>
      <c r="L152" t="n">
        <v>11.032425</v>
      </c>
      <c r="M152" t="n">
        <v>5.117944</v>
      </c>
      <c r="N152" t="n">
        <v>5.117944</v>
      </c>
      <c r="O152" t="n">
        <v>2.72331</v>
      </c>
      <c r="P152" t="n">
        <v>1.83095</v>
      </c>
      <c r="Q152" t="n">
        <v>5.117944</v>
      </c>
      <c r="R152" t="n">
        <v>5.117944</v>
      </c>
      <c r="S152" t="n">
        <v>2.72331</v>
      </c>
      <c r="T152" t="n">
        <v>2.72331</v>
      </c>
      <c r="U152" t="n">
        <v>1.83095</v>
      </c>
      <c r="V152" t="n">
        <v>1.83095</v>
      </c>
      <c r="W152" t="n">
        <v>2.729441</v>
      </c>
      <c r="X152" t="n">
        <v>5.078558</v>
      </c>
    </row>
    <row r="153" ht="21" customHeight="1">
      <c r="A153" t="inlineStr">
        <is>
          <t>Penaeus penicillatus</t>
        </is>
      </c>
      <c r="B153" t="n">
        <v>2.7</v>
      </c>
      <c r="C153" t="n">
        <v>50.118723</v>
      </c>
      <c r="D153" s="10" t="inlineStr">
        <is>
          <t>Shrimps</t>
        </is>
      </c>
      <c r="H153" t="n">
        <v>0.472671</v>
      </c>
      <c r="I153" t="n">
        <v>7.184768</v>
      </c>
      <c r="J153" t="n">
        <v>7.184768</v>
      </c>
      <c r="K153" t="n">
        <v>7.177583</v>
      </c>
      <c r="L153" t="n">
        <v>13.927162</v>
      </c>
      <c r="M153" t="n">
        <v>7.184768</v>
      </c>
      <c r="N153" t="n">
        <v>7.184768</v>
      </c>
      <c r="O153" t="n">
        <v>2.606682</v>
      </c>
      <c r="P153" t="n">
        <v>1.759834</v>
      </c>
      <c r="Q153" t="n">
        <v>7.184768</v>
      </c>
      <c r="R153" t="n">
        <v>7.184768</v>
      </c>
      <c r="S153" t="n">
        <v>2.606682</v>
      </c>
      <c r="T153" t="n">
        <v>2.606682</v>
      </c>
      <c r="U153" t="n">
        <v>1.759834</v>
      </c>
      <c r="V153" t="n">
        <v>1.759834</v>
      </c>
      <c r="W153" t="n">
        <v>2.643462</v>
      </c>
      <c r="X153" t="n">
        <v>7.655045</v>
      </c>
    </row>
    <row r="154" ht="21" customHeight="1">
      <c r="A154" t="inlineStr">
        <is>
          <t>Thunnus orientalis</t>
        </is>
      </c>
      <c r="B154" t="n">
        <v>4.05</v>
      </c>
      <c r="C154" t="n">
        <v>1122.018454</v>
      </c>
      <c r="D154" s="10" t="inlineStr">
        <is>
          <t>Piscivores</t>
        </is>
      </c>
      <c r="H154" t="n">
        <v>1.498127</v>
      </c>
      <c r="I154" t="n">
        <v>163.850229</v>
      </c>
      <c r="J154" t="n">
        <v>165.313739</v>
      </c>
      <c r="K154" t="n">
        <v>132.912246</v>
      </c>
      <c r="L154" t="n">
        <v>282.597002</v>
      </c>
      <c r="M154" t="n">
        <v>192.12828</v>
      </c>
      <c r="N154" t="n">
        <v>192.12828</v>
      </c>
      <c r="O154" t="n">
        <v>31.073292</v>
      </c>
      <c r="P154" t="n">
        <v>15.877096</v>
      </c>
      <c r="Q154" t="n">
        <v>192.12828</v>
      </c>
      <c r="R154" t="n">
        <v>192.12828</v>
      </c>
      <c r="S154" t="n">
        <v>31.073292</v>
      </c>
      <c r="T154" t="n">
        <v>31.073292</v>
      </c>
      <c r="U154" t="n">
        <v>15.877096</v>
      </c>
      <c r="V154" t="n">
        <v>15.877096</v>
      </c>
      <c r="W154" t="n">
        <v>31.802322</v>
      </c>
      <c r="X154" t="n">
        <v>187.589042</v>
      </c>
    </row>
    <row r="155" ht="21" customHeight="1">
      <c r="A155" t="inlineStr">
        <is>
          <t>Liparis tanakae</t>
        </is>
      </c>
      <c r="B155" t="n">
        <v>3.42</v>
      </c>
      <c r="C155" t="n">
        <v>263.026799</v>
      </c>
      <c r="D155" s="10" t="inlineStr">
        <is>
          <t>Benthivores/piscivores</t>
        </is>
      </c>
      <c r="H155" t="n">
        <v>0.86744</v>
      </c>
      <c r="I155" t="n">
        <v>19.560587</v>
      </c>
      <c r="J155" t="n">
        <v>19.580296</v>
      </c>
      <c r="K155" t="n">
        <v>19.286591</v>
      </c>
      <c r="L155" t="n">
        <v>34.759886</v>
      </c>
      <c r="M155" t="n">
        <v>20.178818</v>
      </c>
      <c r="N155" t="n">
        <v>20.178818</v>
      </c>
      <c r="O155" t="n">
        <v>6.006603</v>
      </c>
      <c r="P155" t="n">
        <v>3.449698</v>
      </c>
      <c r="Q155" t="n">
        <v>20.178818</v>
      </c>
      <c r="R155" t="n">
        <v>20.178818</v>
      </c>
      <c r="S155" t="n">
        <v>6.006603</v>
      </c>
      <c r="T155" t="n">
        <v>6.006603</v>
      </c>
      <c r="U155" t="n">
        <v>3.449698</v>
      </c>
      <c r="V155" t="n">
        <v>3.449698</v>
      </c>
      <c r="W155" t="n">
        <v>6.116899</v>
      </c>
      <c r="X155" t="n">
        <v>20.709505</v>
      </c>
    </row>
    <row r="156" ht="21" customHeight="1">
      <c r="A156" t="inlineStr">
        <is>
          <t>Trachurus</t>
        </is>
      </c>
      <c r="B156" t="n">
        <v>3.69</v>
      </c>
      <c r="C156" t="n">
        <v>489.778819</v>
      </c>
      <c r="D156" s="10" t="inlineStr">
        <is>
          <t>Planktivores/piscivores</t>
        </is>
      </c>
      <c r="H156" t="n">
        <v>1.060477</v>
      </c>
      <c r="I156" t="n">
        <v>312.238659</v>
      </c>
      <c r="J156" t="n">
        <v>333.85951</v>
      </c>
      <c r="K156" t="n">
        <v>117.852407</v>
      </c>
      <c r="L156" t="n">
        <v>660.166914</v>
      </c>
      <c r="M156" t="n">
        <v>396.919939</v>
      </c>
      <c r="N156" t="n">
        <v>396.919939</v>
      </c>
      <c r="O156" t="n">
        <v>37.152542</v>
      </c>
      <c r="P156" t="n">
        <v>21.753571</v>
      </c>
      <c r="Q156" t="n">
        <v>396.919939</v>
      </c>
      <c r="R156" t="n">
        <v>396.919939</v>
      </c>
      <c r="S156" t="n">
        <v>37.152542</v>
      </c>
      <c r="T156" t="n">
        <v>37.152542</v>
      </c>
      <c r="U156" t="n">
        <v>21.753571</v>
      </c>
      <c r="V156" t="n">
        <v>21.753571</v>
      </c>
      <c r="W156" t="n">
        <v>38.166317</v>
      </c>
      <c r="X156" t="n">
        <v>408.736525</v>
      </c>
    </row>
    <row r="157" ht="21" customHeight="1">
      <c r="A157" t="inlineStr">
        <is>
          <t>Hyporhamphus sajori</t>
        </is>
      </c>
      <c r="B157" t="n">
        <v>3.4</v>
      </c>
      <c r="C157" t="n">
        <v>251.188643</v>
      </c>
      <c r="D157" s="10" t="inlineStr">
        <is>
          <t>Omnivores</t>
        </is>
      </c>
      <c r="H157" t="n">
        <v>1.193784</v>
      </c>
      <c r="I157" t="n">
        <v>39.151197</v>
      </c>
      <c r="J157" t="n">
        <v>40.599509</v>
      </c>
      <c r="K157" t="n">
        <v>40.55891</v>
      </c>
      <c r="L157" t="n">
        <v>72.544996</v>
      </c>
      <c r="M157" t="n">
        <v>45.483756</v>
      </c>
      <c r="N157" t="n">
        <v>45.483756</v>
      </c>
      <c r="O157" t="n">
        <v>9.364795000000001</v>
      </c>
      <c r="P157" t="n">
        <v>5.330494</v>
      </c>
      <c r="Q157" t="n">
        <v>45.483756</v>
      </c>
      <c r="R157" t="n">
        <v>45.483756</v>
      </c>
      <c r="S157" t="n">
        <v>9.364795000000001</v>
      </c>
      <c r="T157" t="n">
        <v>9.364795000000001</v>
      </c>
      <c r="U157" t="n">
        <v>5.330494</v>
      </c>
      <c r="V157" t="n">
        <v>5.330494</v>
      </c>
      <c r="W157" t="n">
        <v>9.429866000000001</v>
      </c>
      <c r="X157" t="n">
        <v>45.585525</v>
      </c>
    </row>
    <row r="158" ht="21" customHeight="1">
      <c r="A158" t="inlineStr">
        <is>
          <t>Kajikia audax</t>
        </is>
      </c>
      <c r="B158" t="n">
        <v>4.58</v>
      </c>
      <c r="C158" t="n">
        <v>3801.893963</v>
      </c>
      <c r="D158" s="10" t="inlineStr">
        <is>
          <t>Piscivores</t>
        </is>
      </c>
      <c r="H158" t="n">
        <v>1.498127</v>
      </c>
      <c r="I158" t="n">
        <v>163.850229</v>
      </c>
      <c r="J158" t="n">
        <v>165.313739</v>
      </c>
      <c r="K158" t="n">
        <v>132.912246</v>
      </c>
      <c r="L158" t="n">
        <v>282.597002</v>
      </c>
      <c r="M158" t="n">
        <v>192.12828</v>
      </c>
      <c r="N158" t="n">
        <v>192.12828</v>
      </c>
      <c r="O158" t="n">
        <v>31.073292</v>
      </c>
      <c r="P158" t="n">
        <v>15.877096</v>
      </c>
      <c r="Q158" t="n">
        <v>192.12828</v>
      </c>
      <c r="R158" t="n">
        <v>192.12828</v>
      </c>
      <c r="S158" t="n">
        <v>31.073292</v>
      </c>
      <c r="T158" t="n">
        <v>31.073292</v>
      </c>
      <c r="U158" t="n">
        <v>15.877096</v>
      </c>
      <c r="V158" t="n">
        <v>15.877096</v>
      </c>
      <c r="W158" t="n">
        <v>31.802322</v>
      </c>
      <c r="X158" t="n">
        <v>187.589042</v>
      </c>
    </row>
    <row r="159" ht="21" customHeight="1">
      <c r="A159" t="inlineStr">
        <is>
          <t>Clupea pallasii</t>
        </is>
      </c>
      <c r="B159" t="n">
        <v>3.16</v>
      </c>
      <c r="C159" t="n">
        <v>144.543977</v>
      </c>
      <c r="D159" s="10" t="inlineStr">
        <is>
          <t>Planktivores</t>
        </is>
      </c>
      <c r="H159" t="n">
        <v>1.333042</v>
      </c>
      <c r="I159" t="n">
        <v>37.009201</v>
      </c>
      <c r="J159" t="n">
        <v>37.009201</v>
      </c>
      <c r="K159" t="n">
        <v>36.935183</v>
      </c>
      <c r="L159" t="n">
        <v>51.741399</v>
      </c>
      <c r="M159" t="n">
        <v>37.478814</v>
      </c>
      <c r="N159" t="n">
        <v>37.478814</v>
      </c>
      <c r="O159" t="n">
        <v>11.531637</v>
      </c>
      <c r="P159" t="n">
        <v>7.348688</v>
      </c>
      <c r="Q159" t="n">
        <v>37.478814</v>
      </c>
      <c r="R159" t="n">
        <v>37.478814</v>
      </c>
      <c r="S159" t="n">
        <v>11.531637</v>
      </c>
      <c r="T159" t="n">
        <v>11.531637</v>
      </c>
      <c r="U159" t="n">
        <v>7.348688</v>
      </c>
      <c r="V159" t="n">
        <v>7.348688</v>
      </c>
      <c r="W159" t="n">
        <v>11.569189</v>
      </c>
      <c r="X159" t="n">
        <v>39.082275</v>
      </c>
    </row>
    <row r="160" ht="21" customHeight="1">
      <c r="A160" t="inlineStr">
        <is>
          <t>Sepia</t>
        </is>
      </c>
      <c r="B160" t="n">
        <v>3.69</v>
      </c>
      <c r="C160" t="n">
        <v>489.778819</v>
      </c>
      <c r="D160" s="10" t="inlineStr">
        <is>
          <t>Cephalopods</t>
        </is>
      </c>
      <c r="H160" t="n">
        <v>1.261678</v>
      </c>
      <c r="I160" t="n">
        <v>26.779632</v>
      </c>
      <c r="J160" t="n">
        <v>26.779632</v>
      </c>
      <c r="K160" t="n">
        <v>26.351158</v>
      </c>
      <c r="L160" t="n">
        <v>36.734327</v>
      </c>
      <c r="M160" t="n">
        <v>26.808267</v>
      </c>
      <c r="N160" t="n">
        <v>26.808267</v>
      </c>
      <c r="O160" t="n">
        <v>8.403231999999999</v>
      </c>
      <c r="P160" t="n">
        <v>5.352524</v>
      </c>
      <c r="Q160" t="n">
        <v>26.808267</v>
      </c>
      <c r="R160" t="n">
        <v>26.808267</v>
      </c>
      <c r="S160" t="n">
        <v>8.403231999999999</v>
      </c>
      <c r="T160" t="n">
        <v>8.403231999999999</v>
      </c>
      <c r="U160" t="n">
        <v>5.352524</v>
      </c>
      <c r="V160" t="n">
        <v>5.352524</v>
      </c>
      <c r="W160" t="n">
        <v>8.371036999999999</v>
      </c>
      <c r="X160" t="n">
        <v>28.03948</v>
      </c>
    </row>
    <row r="161" ht="21" customHeight="1">
      <c r="A161" t="inlineStr">
        <is>
          <t>Haliotidae</t>
        </is>
      </c>
      <c r="B161" t="n">
        <v>2</v>
      </c>
      <c r="C161" t="n">
        <v>10</v>
      </c>
      <c r="D161" s="10" t="inlineStr">
        <is>
          <t>Mollusks</t>
        </is>
      </c>
      <c r="H161" t="n">
        <v>0.386637</v>
      </c>
      <c r="I161" t="n">
        <v>5.936061</v>
      </c>
      <c r="J161" t="n">
        <v>5.936061</v>
      </c>
      <c r="K161" t="n">
        <v>1.780818</v>
      </c>
      <c r="L161" t="n">
        <v>17.186608</v>
      </c>
      <c r="M161" t="n">
        <v>6.329922</v>
      </c>
      <c r="N161" t="n">
        <v>6.329922</v>
      </c>
      <c r="O161" t="n">
        <v>0.986753</v>
      </c>
      <c r="P161" t="n">
        <v>0.712886</v>
      </c>
      <c r="Q161" t="n">
        <v>6.329922</v>
      </c>
      <c r="R161" t="n">
        <v>6.329922</v>
      </c>
      <c r="S161" t="n">
        <v>0.986753</v>
      </c>
      <c r="T161" t="n">
        <v>0.986753</v>
      </c>
      <c r="U161" t="n">
        <v>0.712886</v>
      </c>
      <c r="V161" t="n">
        <v>0.712886</v>
      </c>
      <c r="W161" t="n">
        <v>0.98107</v>
      </c>
      <c r="X161" t="n">
        <v>6.573538</v>
      </c>
    </row>
    <row r="162" ht="21" customHeight="1">
      <c r="A162" t="inlineStr">
        <is>
          <t>Metapenaeus</t>
        </is>
      </c>
      <c r="B162" t="n">
        <v>2.7</v>
      </c>
      <c r="C162" t="n">
        <v>50.118723</v>
      </c>
      <c r="D162" s="10" t="inlineStr">
        <is>
          <t>Shrimps</t>
        </is>
      </c>
      <c r="H162" t="n">
        <v>0.472671</v>
      </c>
      <c r="I162" t="n">
        <v>7.184768</v>
      </c>
      <c r="J162" t="n">
        <v>7.184768</v>
      </c>
      <c r="K162" t="n">
        <v>7.177583</v>
      </c>
      <c r="L162" t="n">
        <v>13.927162</v>
      </c>
      <c r="M162" t="n">
        <v>7.184768</v>
      </c>
      <c r="N162" t="n">
        <v>7.184768</v>
      </c>
      <c r="O162" t="n">
        <v>2.606682</v>
      </c>
      <c r="P162" t="n">
        <v>1.759834</v>
      </c>
      <c r="Q162" t="n">
        <v>7.184768</v>
      </c>
      <c r="R162" t="n">
        <v>7.184768</v>
      </c>
      <c r="S162" t="n">
        <v>2.606682</v>
      </c>
      <c r="T162" t="n">
        <v>2.606682</v>
      </c>
      <c r="U162" t="n">
        <v>1.759834</v>
      </c>
      <c r="V162" t="n">
        <v>1.759834</v>
      </c>
      <c r="W162" t="n">
        <v>2.643462</v>
      </c>
      <c r="X162" t="n">
        <v>7.655045</v>
      </c>
    </row>
    <row r="163" ht="21" customHeight="1">
      <c r="A163" t="inlineStr">
        <is>
          <t>Serranidae</t>
        </is>
      </c>
      <c r="B163" t="n">
        <v>3.98</v>
      </c>
      <c r="C163" t="n">
        <v>954.992586</v>
      </c>
      <c r="D163" s="10" t="inlineStr">
        <is>
          <t>Piscivores</t>
        </is>
      </c>
      <c r="H163" t="n">
        <v>1.498127</v>
      </c>
      <c r="I163" t="n">
        <v>163.850229</v>
      </c>
      <c r="J163" t="n">
        <v>165.313739</v>
      </c>
      <c r="K163" t="n">
        <v>132.912246</v>
      </c>
      <c r="L163" t="n">
        <v>282.597002</v>
      </c>
      <c r="M163" t="n">
        <v>192.12828</v>
      </c>
      <c r="N163" t="n">
        <v>192.12828</v>
      </c>
      <c r="O163" t="n">
        <v>31.073292</v>
      </c>
      <c r="P163" t="n">
        <v>15.877096</v>
      </c>
      <c r="Q163" t="n">
        <v>192.12828</v>
      </c>
      <c r="R163" t="n">
        <v>192.12828</v>
      </c>
      <c r="S163" t="n">
        <v>31.073292</v>
      </c>
      <c r="T163" t="n">
        <v>31.073292</v>
      </c>
      <c r="U163" t="n">
        <v>15.877096</v>
      </c>
      <c r="V163" t="n">
        <v>15.877096</v>
      </c>
      <c r="W163" t="n">
        <v>31.802322</v>
      </c>
      <c r="X163" t="n">
        <v>187.589042</v>
      </c>
    </row>
    <row r="164" ht="36" customHeight="1">
      <c r="A164" t="inlineStr">
        <is>
          <t>Pleuronectiformes</t>
        </is>
      </c>
      <c r="B164" t="n">
        <v>3.57</v>
      </c>
      <c r="C164" t="n">
        <v>371.535229</v>
      </c>
      <c r="D164" s="10" t="inlineStr">
        <is>
          <t>Benthivores | Benthivores/piscivores</t>
        </is>
      </c>
      <c r="H164" t="n">
        <v>0.706925</v>
      </c>
      <c r="I164" t="n">
        <v>17.701916</v>
      </c>
      <c r="J164" t="n">
        <v>18.196293</v>
      </c>
      <c r="K164" t="n">
        <v>17.996919</v>
      </c>
      <c r="L164" t="n">
        <v>191.216462</v>
      </c>
      <c r="M164" t="n">
        <v>108.402117</v>
      </c>
      <c r="N164" t="n">
        <v>108.402117</v>
      </c>
      <c r="O164" t="n">
        <v>5.837523</v>
      </c>
      <c r="P164" t="n">
        <v>3.314335</v>
      </c>
      <c r="Q164" t="n">
        <v>108.402117</v>
      </c>
      <c r="R164" t="n">
        <v>108.402117</v>
      </c>
      <c r="S164" t="n">
        <v>5.837523</v>
      </c>
      <c r="T164" t="n">
        <v>5.837523</v>
      </c>
      <c r="U164" t="n">
        <v>3.314335</v>
      </c>
      <c r="V164" t="n">
        <v>3.314335</v>
      </c>
      <c r="W164" t="n">
        <v>5.972914</v>
      </c>
      <c r="X164" t="n">
        <v>21.064978</v>
      </c>
    </row>
    <row r="165" ht="21" customHeight="1">
      <c r="A165" t="inlineStr">
        <is>
          <t>Scomberomorus commerson</t>
        </is>
      </c>
      <c r="B165" t="n">
        <v>4.5</v>
      </c>
      <c r="C165" t="n">
        <v>3162.27766</v>
      </c>
      <c r="D165" s="10" t="inlineStr">
        <is>
          <t>Piscivores</t>
        </is>
      </c>
      <c r="H165" t="n">
        <v>1.498127</v>
      </c>
      <c r="I165" t="n">
        <v>163.850229</v>
      </c>
      <c r="J165" t="n">
        <v>165.313739</v>
      </c>
      <c r="K165" t="n">
        <v>132.912246</v>
      </c>
      <c r="L165" t="n">
        <v>282.597002</v>
      </c>
      <c r="M165" t="n">
        <v>192.12828</v>
      </c>
      <c r="N165" t="n">
        <v>192.12828</v>
      </c>
      <c r="O165" t="n">
        <v>31.073292</v>
      </c>
      <c r="P165" t="n">
        <v>15.877096</v>
      </c>
      <c r="Q165" t="n">
        <v>192.12828</v>
      </c>
      <c r="R165" t="n">
        <v>192.12828</v>
      </c>
      <c r="S165" t="n">
        <v>31.073292</v>
      </c>
      <c r="T165" t="n">
        <v>31.073292</v>
      </c>
      <c r="U165" t="n">
        <v>15.877096</v>
      </c>
      <c r="V165" t="n">
        <v>15.877096</v>
      </c>
      <c r="W165" t="n">
        <v>31.802322</v>
      </c>
      <c r="X165" t="n">
        <v>187.589042</v>
      </c>
    </row>
    <row r="166" ht="21" customHeight="1">
      <c r="A166" t="inlineStr">
        <is>
          <t>Engraulidae</t>
        </is>
      </c>
      <c r="B166" t="n">
        <v>3.2</v>
      </c>
      <c r="C166" t="n">
        <v>158.489319</v>
      </c>
      <c r="D166" s="10" t="inlineStr">
        <is>
          <t>Planktivores</t>
        </is>
      </c>
      <c r="H166" t="n">
        <v>1.333042</v>
      </c>
      <c r="I166" t="n">
        <v>37.009201</v>
      </c>
      <c r="J166" t="n">
        <v>37.009201</v>
      </c>
      <c r="K166" t="n">
        <v>36.935183</v>
      </c>
      <c r="L166" t="n">
        <v>51.741399</v>
      </c>
      <c r="M166" t="n">
        <v>37.478814</v>
      </c>
      <c r="N166" t="n">
        <v>37.478814</v>
      </c>
      <c r="O166" t="n">
        <v>11.531637</v>
      </c>
      <c r="P166" t="n">
        <v>7.348688</v>
      </c>
      <c r="Q166" t="n">
        <v>37.478814</v>
      </c>
      <c r="R166" t="n">
        <v>37.478814</v>
      </c>
      <c r="S166" t="n">
        <v>11.531637</v>
      </c>
      <c r="T166" t="n">
        <v>11.531637</v>
      </c>
      <c r="U166" t="n">
        <v>7.348688</v>
      </c>
      <c r="V166" t="n">
        <v>7.348688</v>
      </c>
      <c r="W166" t="n">
        <v>11.569189</v>
      </c>
      <c r="X166" t="n">
        <v>39.082275</v>
      </c>
    </row>
    <row r="167" ht="21" customHeight="1">
      <c r="A167" t="inlineStr">
        <is>
          <t>Metapenaeus joyneri</t>
        </is>
      </c>
      <c r="B167" t="n">
        <v>3.2</v>
      </c>
      <c r="C167" t="n">
        <v>158.489319</v>
      </c>
      <c r="D167" s="10" t="inlineStr">
        <is>
          <t>Shrimps</t>
        </is>
      </c>
      <c r="H167" t="n">
        <v>0.472671</v>
      </c>
      <c r="I167" t="n">
        <v>7.184768</v>
      </c>
      <c r="J167" t="n">
        <v>7.184768</v>
      </c>
      <c r="K167" t="n">
        <v>7.177583</v>
      </c>
      <c r="L167" t="n">
        <v>13.927162</v>
      </c>
      <c r="M167" t="n">
        <v>7.184768</v>
      </c>
      <c r="N167" t="n">
        <v>7.184768</v>
      </c>
      <c r="O167" t="n">
        <v>2.606682</v>
      </c>
      <c r="P167" t="n">
        <v>1.759834</v>
      </c>
      <c r="Q167" t="n">
        <v>7.184768</v>
      </c>
      <c r="R167" t="n">
        <v>7.184768</v>
      </c>
      <c r="S167" t="n">
        <v>2.606682</v>
      </c>
      <c r="T167" t="n">
        <v>2.606682</v>
      </c>
      <c r="U167" t="n">
        <v>1.759834</v>
      </c>
      <c r="V167" t="n">
        <v>1.759834</v>
      </c>
      <c r="W167" t="n">
        <v>2.643462</v>
      </c>
      <c r="X167" t="n">
        <v>7.655045</v>
      </c>
    </row>
    <row r="168" ht="21" customHeight="1">
      <c r="A168" t="inlineStr">
        <is>
          <t>Kyphosidae</t>
        </is>
      </c>
      <c r="B168" t="n">
        <v>2.19</v>
      </c>
      <c r="C168" t="n">
        <v>15.488166</v>
      </c>
      <c r="D168" s="10" t="inlineStr">
        <is>
          <t>Omnivores</t>
        </is>
      </c>
      <c r="H168" t="n">
        <v>1.193784</v>
      </c>
      <c r="I168" t="n">
        <v>39.151197</v>
      </c>
      <c r="J168" t="n">
        <v>40.599509</v>
      </c>
      <c r="K168" t="n">
        <v>40.55891</v>
      </c>
      <c r="L168" t="n">
        <v>72.544996</v>
      </c>
      <c r="M168" t="n">
        <v>45.483756</v>
      </c>
      <c r="N168" t="n">
        <v>45.483756</v>
      </c>
      <c r="O168" t="n">
        <v>9.364795000000001</v>
      </c>
      <c r="P168" t="n">
        <v>5.330494</v>
      </c>
      <c r="Q168" t="n">
        <v>45.483756</v>
      </c>
      <c r="R168" t="n">
        <v>45.483756</v>
      </c>
      <c r="S168" t="n">
        <v>9.364795000000001</v>
      </c>
      <c r="T168" t="n">
        <v>9.364795000000001</v>
      </c>
      <c r="U168" t="n">
        <v>5.330494</v>
      </c>
      <c r="V168" t="n">
        <v>5.330494</v>
      </c>
      <c r="W168" t="n">
        <v>9.429866000000001</v>
      </c>
      <c r="X168" t="n">
        <v>45.585525</v>
      </c>
    </row>
    <row r="169" ht="51" customHeight="1">
      <c r="A169" t="inlineStr">
        <is>
          <t>Marine finfishes not identified</t>
        </is>
      </c>
      <c r="B169" t="n">
        <v>3.23</v>
      </c>
      <c r="C169" t="n">
        <v>169.824365</v>
      </c>
      <c r="D169" s="10" t="inlineStr">
        <is>
          <t>Benthivores | Piscivores | Planktivores/piscivores | Benthivores/piscivores | Omnivores</t>
        </is>
      </c>
      <c r="H169" t="n">
        <v>1.024796</v>
      </c>
      <c r="I169" t="n">
        <v>110.120645</v>
      </c>
      <c r="J169" t="n">
        <v>114.49157</v>
      </c>
      <c r="K169" t="n">
        <v>69.007428</v>
      </c>
      <c r="L169" t="n">
        <v>287.676992</v>
      </c>
      <c r="M169" t="n">
        <v>176.27764</v>
      </c>
      <c r="N169" t="n">
        <v>176.27764</v>
      </c>
      <c r="O169" t="n">
        <v>18.513266</v>
      </c>
      <c r="P169" t="n">
        <v>10.119161</v>
      </c>
      <c r="Q169" t="n">
        <v>176.27764</v>
      </c>
      <c r="R169" t="n">
        <v>176.27764</v>
      </c>
      <c r="S169" t="n">
        <v>18.513266</v>
      </c>
      <c r="T169" t="n">
        <v>18.513266</v>
      </c>
      <c r="U169" t="n">
        <v>10.119161</v>
      </c>
      <c r="V169" t="n">
        <v>10.119161</v>
      </c>
      <c r="W169" t="n">
        <v>18.960131</v>
      </c>
      <c r="X169" t="n">
        <v>135.087724</v>
      </c>
    </row>
    <row r="170" ht="21" customHeight="1">
      <c r="A170" t="inlineStr">
        <is>
          <t>Oplegnathus fasciatus</t>
        </is>
      </c>
      <c r="B170" t="n">
        <v>3.55</v>
      </c>
      <c r="C170" t="n">
        <v>354.813389</v>
      </c>
      <c r="D170" s="10" t="inlineStr">
        <is>
          <t>Benthivores</t>
        </is>
      </c>
      <c r="H170" t="n">
        <v>0.507881</v>
      </c>
      <c r="I170" t="n">
        <v>15.397089</v>
      </c>
      <c r="J170" t="n">
        <v>16.480074</v>
      </c>
      <c r="K170" t="n">
        <v>16.397674</v>
      </c>
      <c r="L170" t="n">
        <v>385.228839</v>
      </c>
      <c r="M170" t="n">
        <v>217.802518</v>
      </c>
      <c r="N170" t="n">
        <v>217.802518</v>
      </c>
      <c r="O170" t="n">
        <v>5.627856</v>
      </c>
      <c r="P170" t="n">
        <v>3.14648</v>
      </c>
      <c r="Q170" t="n">
        <v>217.802518</v>
      </c>
      <c r="R170" t="n">
        <v>217.802518</v>
      </c>
      <c r="S170" t="n">
        <v>5.627856</v>
      </c>
      <c r="T170" t="n">
        <v>5.627856</v>
      </c>
      <c r="U170" t="n">
        <v>3.14648</v>
      </c>
      <c r="V170" t="n">
        <v>3.14648</v>
      </c>
      <c r="W170" t="n">
        <v>5.794366</v>
      </c>
      <c r="X170" t="n">
        <v>21.50578</v>
      </c>
    </row>
    <row r="171" ht="21" customHeight="1">
      <c r="A171" t="inlineStr">
        <is>
          <t>Cardiidae</t>
        </is>
      </c>
      <c r="B171" t="n">
        <v>2</v>
      </c>
      <c r="C171" t="n">
        <v>10</v>
      </c>
      <c r="D171" s="10" t="inlineStr">
        <is>
          <t>Mollusks</t>
        </is>
      </c>
      <c r="H171" t="n">
        <v>0.386637</v>
      </c>
      <c r="I171" t="n">
        <v>5.936061</v>
      </c>
      <c r="J171" t="n">
        <v>5.936061</v>
      </c>
      <c r="K171" t="n">
        <v>1.780818</v>
      </c>
      <c r="L171" t="n">
        <v>17.186608</v>
      </c>
      <c r="M171" t="n">
        <v>6.329922</v>
      </c>
      <c r="N171" t="n">
        <v>6.329922</v>
      </c>
      <c r="O171" t="n">
        <v>0.986753</v>
      </c>
      <c r="P171" t="n">
        <v>0.712886</v>
      </c>
      <c r="Q171" t="n">
        <v>6.329922</v>
      </c>
      <c r="R171" t="n">
        <v>6.329922</v>
      </c>
      <c r="S171" t="n">
        <v>0.986753</v>
      </c>
      <c r="T171" t="n">
        <v>0.986753</v>
      </c>
      <c r="U171" t="n">
        <v>0.712886</v>
      </c>
      <c r="V171" t="n">
        <v>0.712886</v>
      </c>
      <c r="W171" t="n">
        <v>0.98107</v>
      </c>
      <c r="X171" t="n">
        <v>6.573538</v>
      </c>
    </row>
    <row r="172" ht="21" customHeight="1">
      <c r="A172" t="inlineStr">
        <is>
          <t>Lethrinidae</t>
        </is>
      </c>
      <c r="B172" t="n">
        <v>3.59</v>
      </c>
      <c r="C172" t="n">
        <v>389.045145</v>
      </c>
      <c r="D172" s="10" t="inlineStr">
        <is>
          <t>Benthivores/piscivores</t>
        </is>
      </c>
      <c r="H172" t="n">
        <v>0.86744</v>
      </c>
      <c r="I172" t="n">
        <v>19.560587</v>
      </c>
      <c r="J172" t="n">
        <v>19.580296</v>
      </c>
      <c r="K172" t="n">
        <v>19.286591</v>
      </c>
      <c r="L172" t="n">
        <v>34.759886</v>
      </c>
      <c r="M172" t="n">
        <v>20.178818</v>
      </c>
      <c r="N172" t="n">
        <v>20.178818</v>
      </c>
      <c r="O172" t="n">
        <v>6.006603</v>
      </c>
      <c r="P172" t="n">
        <v>3.449698</v>
      </c>
      <c r="Q172" t="n">
        <v>20.178818</v>
      </c>
      <c r="R172" t="n">
        <v>20.178818</v>
      </c>
      <c r="S172" t="n">
        <v>6.006603</v>
      </c>
      <c r="T172" t="n">
        <v>6.006603</v>
      </c>
      <c r="U172" t="n">
        <v>3.449698</v>
      </c>
      <c r="V172" t="n">
        <v>3.449698</v>
      </c>
      <c r="W172" t="n">
        <v>6.116899</v>
      </c>
      <c r="X172" t="n">
        <v>20.709505</v>
      </c>
    </row>
    <row r="173" ht="21" customHeight="1">
      <c r="A173" t="inlineStr">
        <is>
          <t>Chondrichthyes</t>
        </is>
      </c>
      <c r="B173" t="n">
        <v>4</v>
      </c>
      <c r="C173" t="n">
        <v>1000</v>
      </c>
      <c r="D173" s="10" t="inlineStr">
        <is>
          <t>Sharks | Benthivores</t>
        </is>
      </c>
      <c r="H173" t="n">
        <v>0.524745</v>
      </c>
      <c r="I173" t="n">
        <v>15.129075</v>
      </c>
      <c r="J173" t="n">
        <v>17.775649</v>
      </c>
      <c r="L173" t="n">
        <v>378.523224</v>
      </c>
      <c r="M173" t="n">
        <v>214.011266</v>
      </c>
      <c r="N173" t="n">
        <v>214.011266</v>
      </c>
      <c r="O173" t="n">
        <v>7.483282</v>
      </c>
      <c r="P173" t="n">
        <v>3.971223</v>
      </c>
      <c r="Q173" t="n">
        <v>214.011266</v>
      </c>
      <c r="R173" t="n">
        <v>214.011266</v>
      </c>
      <c r="S173" t="n">
        <v>7.483282</v>
      </c>
      <c r="T173" t="n">
        <v>7.483282</v>
      </c>
      <c r="U173" t="n">
        <v>3.971223</v>
      </c>
      <c r="V173" t="n">
        <v>3.971223</v>
      </c>
      <c r="W173" t="n">
        <v>7.641878</v>
      </c>
      <c r="X173" t="n">
        <v>21.131432</v>
      </c>
    </row>
    <row r="174" ht="21" customHeight="1">
      <c r="A174" t="inlineStr">
        <is>
          <t>Parapristipoma trilineatum</t>
        </is>
      </c>
      <c r="D174" s="10" t="inlineStr">
        <is>
          <t>Planktivores/Benthivores</t>
        </is>
      </c>
      <c r="H174" t="n">
        <v>1.33567</v>
      </c>
      <c r="I174" t="n">
        <v>86.853463</v>
      </c>
      <c r="J174" t="n">
        <v>86.853463</v>
      </c>
      <c r="K174" t="n">
        <v>79.557772</v>
      </c>
      <c r="L174" t="n">
        <v>118.840107</v>
      </c>
      <c r="M174" t="n">
        <v>86.862765</v>
      </c>
      <c r="N174" t="n">
        <v>86.862765</v>
      </c>
      <c r="O174" t="n">
        <v>24.72823</v>
      </c>
      <c r="P174" t="n">
        <v>15.835666</v>
      </c>
      <c r="Q174" t="n">
        <v>86.862765</v>
      </c>
      <c r="R174" t="n">
        <v>86.862765</v>
      </c>
      <c r="S174" t="n">
        <v>24.72823</v>
      </c>
      <c r="T174" t="n">
        <v>24.72823</v>
      </c>
      <c r="U174" t="n">
        <v>15.835666</v>
      </c>
      <c r="V174" t="n">
        <v>15.835666</v>
      </c>
      <c r="W174" t="n">
        <v>25.146714</v>
      </c>
      <c r="X174" t="n">
        <v>89.088459</v>
      </c>
    </row>
    <row r="175" ht="21" customHeight="1">
      <c r="A175" t="inlineStr">
        <is>
          <t>Evynnis tumifrons</t>
        </is>
      </c>
      <c r="B175" t="n">
        <v>3.97</v>
      </c>
      <c r="C175" t="n">
        <v>933.2543010000001</v>
      </c>
      <c r="D175" s="10" t="inlineStr">
        <is>
          <t>Omnivores</t>
        </is>
      </c>
      <c r="H175" t="n">
        <v>1.193784</v>
      </c>
      <c r="I175" t="n">
        <v>39.151197</v>
      </c>
      <c r="J175" t="n">
        <v>40.599509</v>
      </c>
      <c r="K175" t="n">
        <v>40.55891</v>
      </c>
      <c r="L175" t="n">
        <v>72.544996</v>
      </c>
      <c r="M175" t="n">
        <v>45.483756</v>
      </c>
      <c r="N175" t="n">
        <v>45.483756</v>
      </c>
      <c r="O175" t="n">
        <v>9.364795000000001</v>
      </c>
      <c r="P175" t="n">
        <v>5.330494</v>
      </c>
      <c r="Q175" t="n">
        <v>45.483756</v>
      </c>
      <c r="R175" t="n">
        <v>45.483756</v>
      </c>
      <c r="S175" t="n">
        <v>9.364795000000001</v>
      </c>
      <c r="T175" t="n">
        <v>9.364795000000001</v>
      </c>
      <c r="U175" t="n">
        <v>5.330494</v>
      </c>
      <c r="V175" t="n">
        <v>5.330494</v>
      </c>
      <c r="W175" t="n">
        <v>9.429866000000001</v>
      </c>
      <c r="X175" t="n">
        <v>45.585525</v>
      </c>
    </row>
    <row r="176" ht="21" customHeight="1">
      <c r="A176" t="inlineStr">
        <is>
          <t>Scyllaridae</t>
        </is>
      </c>
      <c r="B176" t="n">
        <v>2.87</v>
      </c>
      <c r="C176" t="n">
        <v>74.131024</v>
      </c>
      <c r="D176" s="10" t="inlineStr">
        <is>
          <t>Crabs</t>
        </is>
      </c>
      <c r="H176" t="n">
        <v>0.50498</v>
      </c>
      <c r="I176" t="n">
        <v>5.117944</v>
      </c>
      <c r="J176" t="n">
        <v>5.117944</v>
      </c>
      <c r="K176" t="n">
        <v>4.688036</v>
      </c>
      <c r="L176" t="n">
        <v>11.032425</v>
      </c>
      <c r="M176" t="n">
        <v>5.117944</v>
      </c>
      <c r="N176" t="n">
        <v>5.117944</v>
      </c>
      <c r="O176" t="n">
        <v>2.72331</v>
      </c>
      <c r="P176" t="n">
        <v>1.83095</v>
      </c>
      <c r="Q176" t="n">
        <v>5.117944</v>
      </c>
      <c r="R176" t="n">
        <v>5.117944</v>
      </c>
      <c r="S176" t="n">
        <v>2.72331</v>
      </c>
      <c r="T176" t="n">
        <v>2.72331</v>
      </c>
      <c r="U176" t="n">
        <v>1.83095</v>
      </c>
      <c r="V176" t="n">
        <v>1.83095</v>
      </c>
      <c r="W176" t="n">
        <v>2.729441</v>
      </c>
      <c r="X176" t="n">
        <v>5.078558</v>
      </c>
    </row>
    <row r="177" ht="21" customHeight="1">
      <c r="A177" t="inlineStr">
        <is>
          <t>Xiphias gladius</t>
        </is>
      </c>
      <c r="B177" t="n">
        <v>4.53</v>
      </c>
      <c r="C177" t="n">
        <v>3388.441561</v>
      </c>
      <c r="D177" s="10" t="inlineStr">
        <is>
          <t>Piscivores</t>
        </is>
      </c>
      <c r="H177" t="n">
        <v>1.498127</v>
      </c>
      <c r="I177" t="n">
        <v>163.850229</v>
      </c>
      <c r="J177" t="n">
        <v>165.313739</v>
      </c>
      <c r="K177" t="n">
        <v>132.912246</v>
      </c>
      <c r="L177" t="n">
        <v>282.597002</v>
      </c>
      <c r="M177" t="n">
        <v>192.12828</v>
      </c>
      <c r="N177" t="n">
        <v>192.12828</v>
      </c>
      <c r="O177" t="n">
        <v>31.073292</v>
      </c>
      <c r="P177" t="n">
        <v>15.877096</v>
      </c>
      <c r="Q177" t="n">
        <v>192.12828</v>
      </c>
      <c r="R177" t="n">
        <v>192.12828</v>
      </c>
      <c r="S177" t="n">
        <v>31.073292</v>
      </c>
      <c r="T177" t="n">
        <v>31.073292</v>
      </c>
      <c r="U177" t="n">
        <v>15.877096</v>
      </c>
      <c r="V177" t="n">
        <v>15.877096</v>
      </c>
      <c r="W177" t="n">
        <v>31.802322</v>
      </c>
      <c r="X177" t="n">
        <v>187.589042</v>
      </c>
    </row>
    <row r="178" ht="21" customHeight="1">
      <c r="A178" t="inlineStr">
        <is>
          <t>Epinephelus coioides</t>
        </is>
      </c>
      <c r="B178" t="n">
        <v>4</v>
      </c>
      <c r="C178" t="n">
        <v>1000</v>
      </c>
      <c r="D178" s="10" t="inlineStr">
        <is>
          <t>Piscivores</t>
        </is>
      </c>
      <c r="H178" t="n">
        <v>1.498127</v>
      </c>
      <c r="I178" t="n">
        <v>163.850229</v>
      </c>
      <c r="J178" t="n">
        <v>165.313739</v>
      </c>
      <c r="K178" t="n">
        <v>132.912246</v>
      </c>
      <c r="L178" t="n">
        <v>282.597002</v>
      </c>
      <c r="M178" t="n">
        <v>192.12828</v>
      </c>
      <c r="N178" t="n">
        <v>192.12828</v>
      </c>
      <c r="O178" t="n">
        <v>31.073292</v>
      </c>
      <c r="P178" t="n">
        <v>15.877096</v>
      </c>
      <c r="Q178" t="n">
        <v>192.12828</v>
      </c>
      <c r="R178" t="n">
        <v>192.12828</v>
      </c>
      <c r="S178" t="n">
        <v>31.073292</v>
      </c>
      <c r="T178" t="n">
        <v>31.073292</v>
      </c>
      <c r="U178" t="n">
        <v>15.877096</v>
      </c>
      <c r="V178" t="n">
        <v>15.877096</v>
      </c>
      <c r="W178" t="n">
        <v>31.802322</v>
      </c>
      <c r="X178" t="n">
        <v>187.589042</v>
      </c>
    </row>
    <row r="179" ht="21" customHeight="1">
      <c r="A179" t="inlineStr">
        <is>
          <t>Gobiidae</t>
        </is>
      </c>
      <c r="B179" t="n">
        <v>3.11</v>
      </c>
      <c r="C179" t="n">
        <v>128.824955</v>
      </c>
      <c r="D179" s="10" t="inlineStr">
        <is>
          <t>Benthivores</t>
        </is>
      </c>
      <c r="H179" t="n">
        <v>0.507881</v>
      </c>
      <c r="I179" t="n">
        <v>15.397089</v>
      </c>
      <c r="J179" t="n">
        <v>16.480074</v>
      </c>
      <c r="K179" t="n">
        <v>16.397674</v>
      </c>
      <c r="L179" t="n">
        <v>385.228839</v>
      </c>
      <c r="M179" t="n">
        <v>217.802518</v>
      </c>
      <c r="N179" t="n">
        <v>217.802518</v>
      </c>
      <c r="O179" t="n">
        <v>5.627856</v>
      </c>
      <c r="P179" t="n">
        <v>3.14648</v>
      </c>
      <c r="Q179" t="n">
        <v>217.802518</v>
      </c>
      <c r="R179" t="n">
        <v>217.802518</v>
      </c>
      <c r="S179" t="n">
        <v>5.627856</v>
      </c>
      <c r="T179" t="n">
        <v>5.627856</v>
      </c>
      <c r="U179" t="n">
        <v>3.14648</v>
      </c>
      <c r="V179" t="n">
        <v>3.14648</v>
      </c>
      <c r="W179" t="n">
        <v>5.794366</v>
      </c>
      <c r="X179" t="n">
        <v>21.50578</v>
      </c>
    </row>
    <row r="180" ht="21" customHeight="1">
      <c r="A180" t="inlineStr">
        <is>
          <t>Ariomma indica</t>
        </is>
      </c>
      <c r="B180" t="n">
        <v>3.63</v>
      </c>
      <c r="C180" t="n">
        <v>426.579519</v>
      </c>
      <c r="D180" s="10" t="inlineStr">
        <is>
          <t>Planktivores/piscivores</t>
        </is>
      </c>
      <c r="H180" t="n">
        <v>1.060477</v>
      </c>
      <c r="I180" t="n">
        <v>312.238659</v>
      </c>
      <c r="J180" t="n">
        <v>333.85951</v>
      </c>
      <c r="K180" t="n">
        <v>117.852407</v>
      </c>
      <c r="L180" t="n">
        <v>660.166914</v>
      </c>
      <c r="M180" t="n">
        <v>396.919939</v>
      </c>
      <c r="N180" t="n">
        <v>396.919939</v>
      </c>
      <c r="O180" t="n">
        <v>37.152542</v>
      </c>
      <c r="P180" t="n">
        <v>21.753571</v>
      </c>
      <c r="Q180" t="n">
        <v>396.919939</v>
      </c>
      <c r="R180" t="n">
        <v>396.919939</v>
      </c>
      <c r="S180" t="n">
        <v>37.152542</v>
      </c>
      <c r="T180" t="n">
        <v>37.152542</v>
      </c>
      <c r="U180" t="n">
        <v>21.753571</v>
      </c>
      <c r="V180" t="n">
        <v>21.753571</v>
      </c>
      <c r="W180" t="n">
        <v>38.166317</v>
      </c>
      <c r="X180" t="n">
        <v>408.736525</v>
      </c>
    </row>
    <row r="181" ht="21" customHeight="1">
      <c r="A181" t="inlineStr">
        <is>
          <t>Platycaranx talamparoides</t>
        </is>
      </c>
      <c r="B181" t="n">
        <v>4.4</v>
      </c>
      <c r="C181" t="n">
        <v>2511.886432</v>
      </c>
      <c r="D181" s="10" t="inlineStr">
        <is>
          <t>Planktivores/piscivores</t>
        </is>
      </c>
      <c r="H181" t="n">
        <v>1.060477</v>
      </c>
      <c r="I181" t="n">
        <v>312.238659</v>
      </c>
      <c r="J181" t="n">
        <v>333.85951</v>
      </c>
      <c r="K181" t="n">
        <v>117.852407</v>
      </c>
      <c r="L181" t="n">
        <v>660.166914</v>
      </c>
      <c r="M181" t="n">
        <v>396.919939</v>
      </c>
      <c r="N181" t="n">
        <v>396.919939</v>
      </c>
      <c r="O181" t="n">
        <v>37.152542</v>
      </c>
      <c r="P181" t="n">
        <v>21.753571</v>
      </c>
      <c r="Q181" t="n">
        <v>396.919939</v>
      </c>
      <c r="R181" t="n">
        <v>396.919939</v>
      </c>
      <c r="S181" t="n">
        <v>37.152542</v>
      </c>
      <c r="T181" t="n">
        <v>37.152542</v>
      </c>
      <c r="U181" t="n">
        <v>21.753571</v>
      </c>
      <c r="V181" t="n">
        <v>21.753571</v>
      </c>
      <c r="W181" t="n">
        <v>38.166317</v>
      </c>
      <c r="X181" t="n">
        <v>408.736525</v>
      </c>
    </row>
    <row r="182" ht="21" customHeight="1">
      <c r="A182" t="inlineStr">
        <is>
          <t>Decapterus russelli</t>
        </is>
      </c>
      <c r="B182" t="n">
        <v>3.68</v>
      </c>
      <c r="C182" t="n">
        <v>478.630092</v>
      </c>
      <c r="D182" s="10" t="inlineStr">
        <is>
          <t>Planktivores/piscivores</t>
        </is>
      </c>
      <c r="H182" t="n">
        <v>1.060477</v>
      </c>
      <c r="I182" t="n">
        <v>312.238659</v>
      </c>
      <c r="J182" t="n">
        <v>333.85951</v>
      </c>
      <c r="K182" t="n">
        <v>117.852407</v>
      </c>
      <c r="L182" t="n">
        <v>660.166914</v>
      </c>
      <c r="M182" t="n">
        <v>396.919939</v>
      </c>
      <c r="N182" t="n">
        <v>396.919939</v>
      </c>
      <c r="O182" t="n">
        <v>37.152542</v>
      </c>
      <c r="P182" t="n">
        <v>21.753571</v>
      </c>
      <c r="Q182" t="n">
        <v>396.919939</v>
      </c>
      <c r="R182" t="n">
        <v>396.919939</v>
      </c>
      <c r="S182" t="n">
        <v>37.152542</v>
      </c>
      <c r="T182" t="n">
        <v>37.152542</v>
      </c>
      <c r="U182" t="n">
        <v>21.753571</v>
      </c>
      <c r="V182" t="n">
        <v>21.753571</v>
      </c>
      <c r="W182" t="n">
        <v>38.166317</v>
      </c>
      <c r="X182" t="n">
        <v>408.736525</v>
      </c>
    </row>
    <row r="183" ht="21" customHeight="1">
      <c r="A183" t="inlineStr">
        <is>
          <t>Panulirus</t>
        </is>
      </c>
      <c r="D183" s="10" t="inlineStr">
        <is>
          <t>Crabs</t>
        </is>
      </c>
      <c r="H183" t="n">
        <v>0.50498</v>
      </c>
      <c r="I183" t="n">
        <v>5.117944</v>
      </c>
      <c r="J183" t="n">
        <v>5.117944</v>
      </c>
      <c r="K183" t="n">
        <v>4.688036</v>
      </c>
      <c r="L183" t="n">
        <v>11.032425</v>
      </c>
      <c r="M183" t="n">
        <v>5.117944</v>
      </c>
      <c r="N183" t="n">
        <v>5.117944</v>
      </c>
      <c r="O183" t="n">
        <v>2.72331</v>
      </c>
      <c r="P183" t="n">
        <v>1.83095</v>
      </c>
      <c r="Q183" t="n">
        <v>5.117944</v>
      </c>
      <c r="R183" t="n">
        <v>5.117944</v>
      </c>
      <c r="S183" t="n">
        <v>2.72331</v>
      </c>
      <c r="T183" t="n">
        <v>2.72331</v>
      </c>
      <c r="U183" t="n">
        <v>1.83095</v>
      </c>
      <c r="V183" t="n">
        <v>1.83095</v>
      </c>
      <c r="W183" t="n">
        <v>2.729441</v>
      </c>
      <c r="X183" t="n">
        <v>5.078558</v>
      </c>
    </row>
    <row r="184" ht="21" customHeight="1">
      <c r="A184" t="inlineStr">
        <is>
          <t>Niphon spinosus</t>
        </is>
      </c>
      <c r="B184" t="n">
        <v>4.5</v>
      </c>
      <c r="C184" t="n">
        <v>3162.27766</v>
      </c>
      <c r="D184" s="10" t="inlineStr">
        <is>
          <t>Piscivores</t>
        </is>
      </c>
      <c r="H184" t="n">
        <v>1.498127</v>
      </c>
      <c r="I184" t="n">
        <v>163.850229</v>
      </c>
      <c r="J184" t="n">
        <v>165.313739</v>
      </c>
      <c r="K184" t="n">
        <v>132.912246</v>
      </c>
      <c r="L184" t="n">
        <v>282.597002</v>
      </c>
      <c r="M184" t="n">
        <v>192.12828</v>
      </c>
      <c r="N184" t="n">
        <v>192.12828</v>
      </c>
      <c r="O184" t="n">
        <v>31.073292</v>
      </c>
      <c r="P184" t="n">
        <v>15.877096</v>
      </c>
      <c r="Q184" t="n">
        <v>192.12828</v>
      </c>
      <c r="R184" t="n">
        <v>192.12828</v>
      </c>
      <c r="S184" t="n">
        <v>31.073292</v>
      </c>
      <c r="T184" t="n">
        <v>31.073292</v>
      </c>
      <c r="U184" t="n">
        <v>15.877096</v>
      </c>
      <c r="V184" t="n">
        <v>15.877096</v>
      </c>
      <c r="W184" t="n">
        <v>31.802322</v>
      </c>
      <c r="X184" t="n">
        <v>187.589042</v>
      </c>
    </row>
    <row r="185" ht="21" customHeight="1">
      <c r="A185" t="inlineStr">
        <is>
          <t>Chanos chanos</t>
        </is>
      </c>
      <c r="B185" t="n">
        <v>2.03</v>
      </c>
      <c r="C185" t="n">
        <v>10.715193</v>
      </c>
      <c r="D185" s="10" t="inlineStr">
        <is>
          <t>Omnivores</t>
        </is>
      </c>
      <c r="H185" t="n">
        <v>1.193784</v>
      </c>
      <c r="I185" t="n">
        <v>39.151197</v>
      </c>
      <c r="J185" t="n">
        <v>40.599509</v>
      </c>
      <c r="K185" t="n">
        <v>40.55891</v>
      </c>
      <c r="L185" t="n">
        <v>72.544996</v>
      </c>
      <c r="M185" t="n">
        <v>45.483756</v>
      </c>
      <c r="N185" t="n">
        <v>45.483756</v>
      </c>
      <c r="O185" t="n">
        <v>9.364795000000001</v>
      </c>
      <c r="P185" t="n">
        <v>5.330494</v>
      </c>
      <c r="Q185" t="n">
        <v>45.483756</v>
      </c>
      <c r="R185" t="n">
        <v>45.483756</v>
      </c>
      <c r="S185" t="n">
        <v>9.364795000000001</v>
      </c>
      <c r="T185" t="n">
        <v>9.364795000000001</v>
      </c>
      <c r="U185" t="n">
        <v>5.330494</v>
      </c>
      <c r="V185" t="n">
        <v>5.330494</v>
      </c>
      <c r="W185" t="n">
        <v>9.429866000000001</v>
      </c>
      <c r="X185" t="n">
        <v>45.585525</v>
      </c>
    </row>
    <row r="186" ht="21" customHeight="1">
      <c r="A186" t="inlineStr">
        <is>
          <t>Istiompax indica</t>
        </is>
      </c>
      <c r="B186" t="n">
        <v>4.5</v>
      </c>
      <c r="C186" t="n">
        <v>3162.27766</v>
      </c>
      <c r="D186" s="10" t="inlineStr">
        <is>
          <t>Piscivores</t>
        </is>
      </c>
      <c r="H186" t="n">
        <v>1.498127</v>
      </c>
      <c r="I186" t="n">
        <v>163.850229</v>
      </c>
      <c r="J186" t="n">
        <v>165.313739</v>
      </c>
      <c r="K186" t="n">
        <v>132.912246</v>
      </c>
      <c r="L186" t="n">
        <v>282.597002</v>
      </c>
      <c r="M186" t="n">
        <v>192.12828</v>
      </c>
      <c r="N186" t="n">
        <v>192.12828</v>
      </c>
      <c r="O186" t="n">
        <v>31.073292</v>
      </c>
      <c r="P186" t="n">
        <v>15.877096</v>
      </c>
      <c r="Q186" t="n">
        <v>192.12828</v>
      </c>
      <c r="R186" t="n">
        <v>192.12828</v>
      </c>
      <c r="S186" t="n">
        <v>31.073292</v>
      </c>
      <c r="T186" t="n">
        <v>31.073292</v>
      </c>
      <c r="U186" t="n">
        <v>15.877096</v>
      </c>
      <c r="V186" t="n">
        <v>15.877096</v>
      </c>
      <c r="W186" t="n">
        <v>31.802322</v>
      </c>
      <c r="X186" t="n">
        <v>187.589042</v>
      </c>
    </row>
    <row r="187" ht="21" customHeight="1">
      <c r="A187" t="inlineStr">
        <is>
          <t>Panulirus longipes</t>
        </is>
      </c>
      <c r="B187" t="n">
        <v>2.6</v>
      </c>
      <c r="C187" t="n">
        <v>39.810717</v>
      </c>
      <c r="D187" s="10" t="inlineStr">
        <is>
          <t>Crabs</t>
        </is>
      </c>
      <c r="H187" t="n">
        <v>0.50498</v>
      </c>
      <c r="I187" t="n">
        <v>5.117944</v>
      </c>
      <c r="J187" t="n">
        <v>5.117944</v>
      </c>
      <c r="K187" t="n">
        <v>4.688036</v>
      </c>
      <c r="L187" t="n">
        <v>11.032425</v>
      </c>
      <c r="M187" t="n">
        <v>5.117944</v>
      </c>
      <c r="N187" t="n">
        <v>5.117944</v>
      </c>
      <c r="O187" t="n">
        <v>2.72331</v>
      </c>
      <c r="P187" t="n">
        <v>1.83095</v>
      </c>
      <c r="Q187" t="n">
        <v>5.117944</v>
      </c>
      <c r="R187" t="n">
        <v>5.117944</v>
      </c>
      <c r="S187" t="n">
        <v>2.72331</v>
      </c>
      <c r="T187" t="n">
        <v>2.72331</v>
      </c>
      <c r="U187" t="n">
        <v>1.83095</v>
      </c>
      <c r="V187" t="n">
        <v>1.83095</v>
      </c>
      <c r="W187" t="n">
        <v>2.729441</v>
      </c>
      <c r="X187" t="n">
        <v>5.078558</v>
      </c>
    </row>
    <row r="188" ht="21" customHeight="1">
      <c r="A188" t="inlineStr">
        <is>
          <t>Sillaginidae</t>
        </is>
      </c>
      <c r="B188" t="n">
        <v>3.25</v>
      </c>
      <c r="C188" t="n">
        <v>177.827941</v>
      </c>
      <c r="D188" s="10" t="inlineStr">
        <is>
          <t>Benthivores</t>
        </is>
      </c>
      <c r="H188" t="n">
        <v>0.507881</v>
      </c>
      <c r="I188" t="n">
        <v>15.397089</v>
      </c>
      <c r="J188" t="n">
        <v>16.480074</v>
      </c>
      <c r="K188" t="n">
        <v>16.397674</v>
      </c>
      <c r="L188" t="n">
        <v>385.228839</v>
      </c>
      <c r="M188" t="n">
        <v>217.802518</v>
      </c>
      <c r="N188" t="n">
        <v>217.802518</v>
      </c>
      <c r="O188" t="n">
        <v>5.627856</v>
      </c>
      <c r="P188" t="n">
        <v>3.14648</v>
      </c>
      <c r="Q188" t="n">
        <v>217.802518</v>
      </c>
      <c r="R188" t="n">
        <v>217.802518</v>
      </c>
      <c r="S188" t="n">
        <v>5.627856</v>
      </c>
      <c r="T188" t="n">
        <v>5.627856</v>
      </c>
      <c r="U188" t="n">
        <v>3.14648</v>
      </c>
      <c r="V188" t="n">
        <v>3.14648</v>
      </c>
      <c r="W188" t="n">
        <v>5.794366</v>
      </c>
      <c r="X188" t="n">
        <v>21.50578</v>
      </c>
    </row>
    <row r="189" ht="21" customHeight="1">
      <c r="A189" t="inlineStr">
        <is>
          <t>Lateolabracidae</t>
        </is>
      </c>
      <c r="B189" t="n">
        <v>3.78</v>
      </c>
      <c r="C189" t="n">
        <v>602.559586</v>
      </c>
      <c r="D189" s="10" t="inlineStr">
        <is>
          <t>Benthivores/piscivores</t>
        </is>
      </c>
      <c r="H189" t="n">
        <v>0.86744</v>
      </c>
      <c r="I189" t="n">
        <v>19.560587</v>
      </c>
      <c r="J189" t="n">
        <v>19.580296</v>
      </c>
      <c r="K189" t="n">
        <v>19.286591</v>
      </c>
      <c r="L189" t="n">
        <v>34.759886</v>
      </c>
      <c r="M189" t="n">
        <v>20.178818</v>
      </c>
      <c r="N189" t="n">
        <v>20.178818</v>
      </c>
      <c r="O189" t="n">
        <v>6.006603</v>
      </c>
      <c r="P189" t="n">
        <v>3.449698</v>
      </c>
      <c r="Q189" t="n">
        <v>20.178818</v>
      </c>
      <c r="R189" t="n">
        <v>20.178818</v>
      </c>
      <c r="S189" t="n">
        <v>6.006603</v>
      </c>
      <c r="T189" t="n">
        <v>6.006603</v>
      </c>
      <c r="U189" t="n">
        <v>3.449698</v>
      </c>
      <c r="V189" t="n">
        <v>3.449698</v>
      </c>
      <c r="W189" t="n">
        <v>6.116899</v>
      </c>
      <c r="X189" t="n">
        <v>20.709505</v>
      </c>
    </row>
    <row r="190" ht="21" customHeight="1">
      <c r="A190" t="inlineStr">
        <is>
          <t>Ammodytes</t>
        </is>
      </c>
      <c r="B190" t="n">
        <v>3.11</v>
      </c>
      <c r="C190" t="n">
        <v>128.824955</v>
      </c>
      <c r="D190" s="10" t="inlineStr">
        <is>
          <t>Planktivores</t>
        </is>
      </c>
      <c r="H190" t="n">
        <v>1.333042</v>
      </c>
      <c r="I190" t="n">
        <v>37.009201</v>
      </c>
      <c r="J190" t="n">
        <v>37.009201</v>
      </c>
      <c r="K190" t="n">
        <v>36.935183</v>
      </c>
      <c r="L190" t="n">
        <v>51.741399</v>
      </c>
      <c r="M190" t="n">
        <v>37.478814</v>
      </c>
      <c r="N190" t="n">
        <v>37.478814</v>
      </c>
      <c r="O190" t="n">
        <v>11.531637</v>
      </c>
      <c r="P190" t="n">
        <v>7.348688</v>
      </c>
      <c r="Q190" t="n">
        <v>37.478814</v>
      </c>
      <c r="R190" t="n">
        <v>37.478814</v>
      </c>
      <c r="S190" t="n">
        <v>11.531637</v>
      </c>
      <c r="T190" t="n">
        <v>11.531637</v>
      </c>
      <c r="U190" t="n">
        <v>7.348688</v>
      </c>
      <c r="V190" t="n">
        <v>7.348688</v>
      </c>
      <c r="W190" t="n">
        <v>11.569189</v>
      </c>
      <c r="X190" t="n">
        <v>39.082275</v>
      </c>
    </row>
    <row r="191" ht="21" customHeight="1">
      <c r="A191" t="inlineStr">
        <is>
          <t>Cypselurus</t>
        </is>
      </c>
      <c r="B191" t="n">
        <v>3.4</v>
      </c>
      <c r="C191" t="n">
        <v>251.188643</v>
      </c>
      <c r="D191" s="10" t="inlineStr">
        <is>
          <t>Planktivores</t>
        </is>
      </c>
      <c r="H191" t="n">
        <v>1.333042</v>
      </c>
      <c r="I191" t="n">
        <v>37.009201</v>
      </c>
      <c r="J191" t="n">
        <v>37.009201</v>
      </c>
      <c r="K191" t="n">
        <v>36.935183</v>
      </c>
      <c r="L191" t="n">
        <v>51.741399</v>
      </c>
      <c r="M191" t="n">
        <v>37.478814</v>
      </c>
      <c r="N191" t="n">
        <v>37.478814</v>
      </c>
      <c r="O191" t="n">
        <v>11.531637</v>
      </c>
      <c r="P191" t="n">
        <v>7.348688</v>
      </c>
      <c r="Q191" t="n">
        <v>37.478814</v>
      </c>
      <c r="R191" t="n">
        <v>37.478814</v>
      </c>
      <c r="S191" t="n">
        <v>11.531637</v>
      </c>
      <c r="T191" t="n">
        <v>11.531637</v>
      </c>
      <c r="U191" t="n">
        <v>7.348688</v>
      </c>
      <c r="V191" t="n">
        <v>7.348688</v>
      </c>
      <c r="W191" t="n">
        <v>11.569189</v>
      </c>
      <c r="X191" t="n">
        <v>39.082275</v>
      </c>
    </row>
    <row r="192" ht="21" customHeight="1">
      <c r="A192" t="inlineStr">
        <is>
          <t>Gymnocranius</t>
        </is>
      </c>
      <c r="B192" t="n">
        <v>3.4</v>
      </c>
      <c r="C192" t="n">
        <v>251.188643</v>
      </c>
      <c r="D192" s="10" t="inlineStr">
        <is>
          <t>Benthivores/piscivores</t>
        </is>
      </c>
      <c r="H192" t="n">
        <v>0.86744</v>
      </c>
      <c r="I192" t="n">
        <v>19.560587</v>
      </c>
      <c r="J192" t="n">
        <v>19.580296</v>
      </c>
      <c r="K192" t="n">
        <v>19.286591</v>
      </c>
      <c r="L192" t="n">
        <v>34.759886</v>
      </c>
      <c r="M192" t="n">
        <v>20.178818</v>
      </c>
      <c r="N192" t="n">
        <v>20.178818</v>
      </c>
      <c r="O192" t="n">
        <v>6.006603</v>
      </c>
      <c r="P192" t="n">
        <v>3.449698</v>
      </c>
      <c r="Q192" t="n">
        <v>20.178818</v>
      </c>
      <c r="R192" t="n">
        <v>20.178818</v>
      </c>
      <c r="S192" t="n">
        <v>6.006603</v>
      </c>
      <c r="T192" t="n">
        <v>6.006603</v>
      </c>
      <c r="U192" t="n">
        <v>3.449698</v>
      </c>
      <c r="V192" t="n">
        <v>3.449698</v>
      </c>
      <c r="W192" t="n">
        <v>6.116899</v>
      </c>
      <c r="X192" t="n">
        <v>20.709505</v>
      </c>
    </row>
    <row r="193" ht="21" customHeight="1">
      <c r="A193" t="inlineStr">
        <is>
          <t>Muraenidae</t>
        </is>
      </c>
      <c r="B193" t="n">
        <v>4.07</v>
      </c>
      <c r="C193" t="n">
        <v>1174.897555</v>
      </c>
      <c r="D193" s="10" t="inlineStr">
        <is>
          <t>Piscivores</t>
        </is>
      </c>
      <c r="H193" t="n">
        <v>1.498127</v>
      </c>
      <c r="I193" t="n">
        <v>163.850229</v>
      </c>
      <c r="J193" t="n">
        <v>165.313739</v>
      </c>
      <c r="K193" t="n">
        <v>132.912246</v>
      </c>
      <c r="L193" t="n">
        <v>282.597002</v>
      </c>
      <c r="M193" t="n">
        <v>192.12828</v>
      </c>
      <c r="N193" t="n">
        <v>192.12828</v>
      </c>
      <c r="O193" t="n">
        <v>31.073292</v>
      </c>
      <c r="P193" t="n">
        <v>15.877096</v>
      </c>
      <c r="Q193" t="n">
        <v>192.12828</v>
      </c>
      <c r="R193" t="n">
        <v>192.12828</v>
      </c>
      <c r="S193" t="n">
        <v>31.073292</v>
      </c>
      <c r="T193" t="n">
        <v>31.073292</v>
      </c>
      <c r="U193" t="n">
        <v>15.877096</v>
      </c>
      <c r="V193" t="n">
        <v>15.877096</v>
      </c>
      <c r="W193" t="n">
        <v>31.802322</v>
      </c>
      <c r="X193" t="n">
        <v>187.589042</v>
      </c>
    </row>
    <row r="194" ht="21" customHeight="1">
      <c r="A194" t="inlineStr">
        <is>
          <t>Ibacus ciliatus</t>
        </is>
      </c>
      <c r="B194" t="n">
        <v>2.6</v>
      </c>
      <c r="C194" t="n">
        <v>39.810717</v>
      </c>
      <c r="D194" s="10" t="inlineStr">
        <is>
          <t>Crabs</t>
        </is>
      </c>
      <c r="H194" t="n">
        <v>0.50498</v>
      </c>
      <c r="I194" t="n">
        <v>5.117944</v>
      </c>
      <c r="J194" t="n">
        <v>5.117944</v>
      </c>
      <c r="K194" t="n">
        <v>4.688036</v>
      </c>
      <c r="L194" t="n">
        <v>11.032425</v>
      </c>
      <c r="M194" t="n">
        <v>5.117944</v>
      </c>
      <c r="N194" t="n">
        <v>5.117944</v>
      </c>
      <c r="O194" t="n">
        <v>2.72331</v>
      </c>
      <c r="P194" t="n">
        <v>1.83095</v>
      </c>
      <c r="Q194" t="n">
        <v>5.117944</v>
      </c>
      <c r="R194" t="n">
        <v>5.117944</v>
      </c>
      <c r="S194" t="n">
        <v>2.72331</v>
      </c>
      <c r="T194" t="n">
        <v>2.72331</v>
      </c>
      <c r="U194" t="n">
        <v>1.83095</v>
      </c>
      <c r="V194" t="n">
        <v>1.83095</v>
      </c>
      <c r="W194" t="n">
        <v>2.729441</v>
      </c>
      <c r="X194" t="n">
        <v>5.078558</v>
      </c>
    </row>
    <row r="195" ht="21" customHeight="1">
      <c r="A195" t="inlineStr">
        <is>
          <t>Scylla serrata</t>
        </is>
      </c>
      <c r="B195" t="n">
        <v>3.17</v>
      </c>
      <c r="C195" t="n">
        <v>147.910839</v>
      </c>
      <c r="D195" s="10" t="inlineStr">
        <is>
          <t>Crabs</t>
        </is>
      </c>
      <c r="H195" t="n">
        <v>0.50498</v>
      </c>
      <c r="I195" t="n">
        <v>5.117944</v>
      </c>
      <c r="J195" t="n">
        <v>5.117944</v>
      </c>
      <c r="K195" t="n">
        <v>4.688036</v>
      </c>
      <c r="L195" t="n">
        <v>11.032425</v>
      </c>
      <c r="M195" t="n">
        <v>5.117944</v>
      </c>
      <c r="N195" t="n">
        <v>5.117944</v>
      </c>
      <c r="O195" t="n">
        <v>2.72331</v>
      </c>
      <c r="P195" t="n">
        <v>1.83095</v>
      </c>
      <c r="Q195" t="n">
        <v>5.117944</v>
      </c>
      <c r="R195" t="n">
        <v>5.117944</v>
      </c>
      <c r="S195" t="n">
        <v>2.72331</v>
      </c>
      <c r="T195" t="n">
        <v>2.72331</v>
      </c>
      <c r="U195" t="n">
        <v>1.83095</v>
      </c>
      <c r="V195" t="n">
        <v>1.83095</v>
      </c>
      <c r="W195" t="n">
        <v>2.729441</v>
      </c>
      <c r="X195" t="n">
        <v>5.078558</v>
      </c>
    </row>
    <row r="196" ht="21" customHeight="1">
      <c r="A196" t="inlineStr">
        <is>
          <t>Istiophoridae</t>
        </is>
      </c>
      <c r="B196" t="n">
        <v>4.48</v>
      </c>
      <c r="C196" t="n">
        <v>3019.95172</v>
      </c>
      <c r="D196" s="10" t="inlineStr">
        <is>
          <t>Piscivores</t>
        </is>
      </c>
      <c r="H196" t="n">
        <v>1.498127</v>
      </c>
      <c r="I196" t="n">
        <v>163.850229</v>
      </c>
      <c r="J196" t="n">
        <v>165.313739</v>
      </c>
      <c r="K196" t="n">
        <v>132.912246</v>
      </c>
      <c r="L196" t="n">
        <v>282.597002</v>
      </c>
      <c r="M196" t="n">
        <v>192.12828</v>
      </c>
      <c r="N196" t="n">
        <v>192.12828</v>
      </c>
      <c r="O196" t="n">
        <v>31.073292</v>
      </c>
      <c r="P196" t="n">
        <v>15.877096</v>
      </c>
      <c r="Q196" t="n">
        <v>192.12828</v>
      </c>
      <c r="R196" t="n">
        <v>192.12828</v>
      </c>
      <c r="S196" t="n">
        <v>31.073292</v>
      </c>
      <c r="T196" t="n">
        <v>31.073292</v>
      </c>
      <c r="U196" t="n">
        <v>15.877096</v>
      </c>
      <c r="V196" t="n">
        <v>15.877096</v>
      </c>
      <c r="W196" t="n">
        <v>31.802322</v>
      </c>
      <c r="X196" t="n">
        <v>187.589042</v>
      </c>
    </row>
    <row r="197" ht="21" customHeight="1">
      <c r="A197" t="inlineStr">
        <is>
          <t>Megalaspis cordyla</t>
        </is>
      </c>
      <c r="B197" t="n">
        <v>4.24</v>
      </c>
      <c r="C197" t="n">
        <v>1737.800829</v>
      </c>
      <c r="D197" s="10" t="inlineStr">
        <is>
          <t>Planktivores/piscivores</t>
        </is>
      </c>
      <c r="H197" t="n">
        <v>1.060477</v>
      </c>
      <c r="I197" t="n">
        <v>312.238659</v>
      </c>
      <c r="J197" t="n">
        <v>333.85951</v>
      </c>
      <c r="K197" t="n">
        <v>117.852407</v>
      </c>
      <c r="L197" t="n">
        <v>660.166914</v>
      </c>
      <c r="M197" t="n">
        <v>396.919939</v>
      </c>
      <c r="N197" t="n">
        <v>396.919939</v>
      </c>
      <c r="O197" t="n">
        <v>37.152542</v>
      </c>
      <c r="P197" t="n">
        <v>21.753571</v>
      </c>
      <c r="Q197" t="n">
        <v>396.919939</v>
      </c>
      <c r="R197" t="n">
        <v>396.919939</v>
      </c>
      <c r="S197" t="n">
        <v>37.152542</v>
      </c>
      <c r="T197" t="n">
        <v>37.152542</v>
      </c>
      <c r="U197" t="n">
        <v>21.753571</v>
      </c>
      <c r="V197" t="n">
        <v>21.753571</v>
      </c>
      <c r="W197" t="n">
        <v>38.166317</v>
      </c>
      <c r="X197" t="n">
        <v>408.736525</v>
      </c>
    </row>
    <row r="198" ht="21" customHeight="1">
      <c r="A198" t="inlineStr">
        <is>
          <t>Hexagrammos otakii</t>
        </is>
      </c>
      <c r="D198" s="10" t="inlineStr">
        <is>
          <t>Benthivores</t>
        </is>
      </c>
      <c r="H198" t="n">
        <v>0.507881</v>
      </c>
      <c r="I198" t="n">
        <v>15.397089</v>
      </c>
      <c r="J198" t="n">
        <v>16.480074</v>
      </c>
      <c r="K198" t="n">
        <v>16.397674</v>
      </c>
      <c r="L198" t="n">
        <v>385.228839</v>
      </c>
      <c r="M198" t="n">
        <v>217.802518</v>
      </c>
      <c r="N198" t="n">
        <v>217.802518</v>
      </c>
      <c r="O198" t="n">
        <v>5.627856</v>
      </c>
      <c r="P198" t="n">
        <v>3.14648</v>
      </c>
      <c r="Q198" t="n">
        <v>217.802518</v>
      </c>
      <c r="R198" t="n">
        <v>217.802518</v>
      </c>
      <c r="S198" t="n">
        <v>5.627856</v>
      </c>
      <c r="T198" t="n">
        <v>5.627856</v>
      </c>
      <c r="U198" t="n">
        <v>3.14648</v>
      </c>
      <c r="V198" t="n">
        <v>3.14648</v>
      </c>
      <c r="W198" t="n">
        <v>5.794366</v>
      </c>
      <c r="X198" t="n">
        <v>21.50578</v>
      </c>
    </row>
    <row r="199" ht="21" customHeight="1">
      <c r="A199" t="inlineStr">
        <is>
          <t>Mizuhopecten yessoensis</t>
        </is>
      </c>
      <c r="B199" t="n">
        <v>2.1</v>
      </c>
      <c r="C199" t="n">
        <v>12.589254</v>
      </c>
      <c r="D199" s="10" t="inlineStr">
        <is>
          <t>Mollusks</t>
        </is>
      </c>
      <c r="H199" t="n">
        <v>0.386637</v>
      </c>
      <c r="I199" t="n">
        <v>5.936061</v>
      </c>
      <c r="J199" t="n">
        <v>5.936061</v>
      </c>
      <c r="K199" t="n">
        <v>1.780818</v>
      </c>
      <c r="L199" t="n">
        <v>17.186608</v>
      </c>
      <c r="M199" t="n">
        <v>6.329922</v>
      </c>
      <c r="N199" t="n">
        <v>6.329922</v>
      </c>
      <c r="O199" t="n">
        <v>0.986753</v>
      </c>
      <c r="P199" t="n">
        <v>0.712886</v>
      </c>
      <c r="Q199" t="n">
        <v>6.329922</v>
      </c>
      <c r="R199" t="n">
        <v>6.329922</v>
      </c>
      <c r="S199" t="n">
        <v>0.986753</v>
      </c>
      <c r="T199" t="n">
        <v>0.986753</v>
      </c>
      <c r="U199" t="n">
        <v>0.712886</v>
      </c>
      <c r="V199" t="n">
        <v>0.712886</v>
      </c>
      <c r="W199" t="n">
        <v>0.98107</v>
      </c>
      <c r="X199" t="n">
        <v>6.573538</v>
      </c>
    </row>
    <row r="200" ht="21" customHeight="1">
      <c r="A200" t="inlineStr">
        <is>
          <t>Platycaranx malabaricus</t>
        </is>
      </c>
      <c r="B200" t="n">
        <v>3.88</v>
      </c>
      <c r="C200" t="n">
        <v>758.577575</v>
      </c>
      <c r="D200" s="10" t="inlineStr">
        <is>
          <t>Planktivores/piscivores</t>
        </is>
      </c>
      <c r="H200" t="n">
        <v>1.060477</v>
      </c>
      <c r="I200" t="n">
        <v>312.238659</v>
      </c>
      <c r="J200" t="n">
        <v>333.85951</v>
      </c>
      <c r="K200" t="n">
        <v>117.852407</v>
      </c>
      <c r="L200" t="n">
        <v>660.166914</v>
      </c>
      <c r="M200" t="n">
        <v>396.919939</v>
      </c>
      <c r="N200" t="n">
        <v>396.919939</v>
      </c>
      <c r="O200" t="n">
        <v>37.152542</v>
      </c>
      <c r="P200" t="n">
        <v>21.753571</v>
      </c>
      <c r="Q200" t="n">
        <v>396.919939</v>
      </c>
      <c r="R200" t="n">
        <v>396.919939</v>
      </c>
      <c r="S200" t="n">
        <v>37.152542</v>
      </c>
      <c r="T200" t="n">
        <v>37.152542</v>
      </c>
      <c r="U200" t="n">
        <v>21.753571</v>
      </c>
      <c r="V200" t="n">
        <v>21.753571</v>
      </c>
      <c r="W200" t="n">
        <v>38.166317</v>
      </c>
      <c r="X200" t="n">
        <v>408.736525</v>
      </c>
    </row>
    <row r="201" ht="21" customHeight="1">
      <c r="A201" t="inlineStr">
        <is>
          <t>Rachycentridae</t>
        </is>
      </c>
      <c r="B201" t="n">
        <v>3.96</v>
      </c>
      <c r="C201" t="n">
        <v>912.010839</v>
      </c>
      <c r="D201" s="10" t="inlineStr">
        <is>
          <t>Piscivores</t>
        </is>
      </c>
      <c r="H201" t="n">
        <v>1.498127</v>
      </c>
      <c r="I201" t="n">
        <v>163.850229</v>
      </c>
      <c r="J201" t="n">
        <v>165.313739</v>
      </c>
      <c r="K201" t="n">
        <v>132.912246</v>
      </c>
      <c r="L201" t="n">
        <v>282.597002</v>
      </c>
      <c r="M201" t="n">
        <v>192.12828</v>
      </c>
      <c r="N201" t="n">
        <v>192.12828</v>
      </c>
      <c r="O201" t="n">
        <v>31.073292</v>
      </c>
      <c r="P201" t="n">
        <v>15.877096</v>
      </c>
      <c r="Q201" t="n">
        <v>192.12828</v>
      </c>
      <c r="R201" t="n">
        <v>192.12828</v>
      </c>
      <c r="S201" t="n">
        <v>31.073292</v>
      </c>
      <c r="T201" t="n">
        <v>31.073292</v>
      </c>
      <c r="U201" t="n">
        <v>15.877096</v>
      </c>
      <c r="V201" t="n">
        <v>15.877096</v>
      </c>
      <c r="W201" t="n">
        <v>31.802322</v>
      </c>
      <c r="X201" t="n">
        <v>187.589042</v>
      </c>
    </row>
    <row r="202" ht="21" customHeight="1">
      <c r="A202" t="inlineStr">
        <is>
          <t>Haliotis</t>
        </is>
      </c>
      <c r="B202" t="n">
        <v>2</v>
      </c>
      <c r="C202" t="n">
        <v>10</v>
      </c>
      <c r="D202" s="10" t="inlineStr">
        <is>
          <t>Mollusks</t>
        </is>
      </c>
      <c r="H202" t="n">
        <v>0.386637</v>
      </c>
      <c r="I202" t="n">
        <v>5.936061</v>
      </c>
      <c r="J202" t="n">
        <v>5.936061</v>
      </c>
      <c r="K202" t="n">
        <v>1.780818</v>
      </c>
      <c r="L202" t="n">
        <v>17.186608</v>
      </c>
      <c r="M202" t="n">
        <v>6.329922</v>
      </c>
      <c r="N202" t="n">
        <v>6.329922</v>
      </c>
      <c r="O202" t="n">
        <v>0.986753</v>
      </c>
      <c r="P202" t="n">
        <v>0.712886</v>
      </c>
      <c r="Q202" t="n">
        <v>6.329922</v>
      </c>
      <c r="R202" t="n">
        <v>6.329922</v>
      </c>
      <c r="S202" t="n">
        <v>0.986753</v>
      </c>
      <c r="T202" t="n">
        <v>0.986753</v>
      </c>
      <c r="U202" t="n">
        <v>0.712886</v>
      </c>
      <c r="V202" t="n">
        <v>0.712886</v>
      </c>
      <c r="W202" t="n">
        <v>0.98107</v>
      </c>
      <c r="X202" t="n">
        <v>6.573538</v>
      </c>
    </row>
    <row r="203" ht="21" customHeight="1">
      <c r="A203" t="inlineStr">
        <is>
          <t>Sillago</t>
        </is>
      </c>
      <c r="B203" t="n">
        <v>3.33</v>
      </c>
      <c r="C203" t="n">
        <v>213.796209</v>
      </c>
      <c r="D203" s="10" t="inlineStr">
        <is>
          <t>Benthivores</t>
        </is>
      </c>
      <c r="H203" t="n">
        <v>0.507881</v>
      </c>
      <c r="I203" t="n">
        <v>15.397089</v>
      </c>
      <c r="J203" t="n">
        <v>16.480074</v>
      </c>
      <c r="K203" t="n">
        <v>16.397674</v>
      </c>
      <c r="L203" t="n">
        <v>385.228839</v>
      </c>
      <c r="M203" t="n">
        <v>217.802518</v>
      </c>
      <c r="N203" t="n">
        <v>217.802518</v>
      </c>
      <c r="O203" t="n">
        <v>5.627856</v>
      </c>
      <c r="P203" t="n">
        <v>3.14648</v>
      </c>
      <c r="Q203" t="n">
        <v>217.802518</v>
      </c>
      <c r="R203" t="n">
        <v>217.802518</v>
      </c>
      <c r="S203" t="n">
        <v>5.627856</v>
      </c>
      <c r="T203" t="n">
        <v>5.627856</v>
      </c>
      <c r="U203" t="n">
        <v>3.14648</v>
      </c>
      <c r="V203" t="n">
        <v>3.14648</v>
      </c>
      <c r="W203" t="n">
        <v>5.794366</v>
      </c>
      <c r="X203" t="n">
        <v>21.50578</v>
      </c>
    </row>
    <row r="204" ht="21" customHeight="1">
      <c r="A204" t="inlineStr">
        <is>
          <t>Hemiramphidae</t>
        </is>
      </c>
      <c r="B204" t="n">
        <v>2.82</v>
      </c>
      <c r="C204" t="n">
        <v>66.069345</v>
      </c>
      <c r="D204" s="10" t="inlineStr">
        <is>
          <t>Omnivores</t>
        </is>
      </c>
      <c r="H204" t="n">
        <v>1.193784</v>
      </c>
      <c r="I204" t="n">
        <v>39.151197</v>
      </c>
      <c r="J204" t="n">
        <v>40.599509</v>
      </c>
      <c r="K204" t="n">
        <v>40.55891</v>
      </c>
      <c r="L204" t="n">
        <v>72.544996</v>
      </c>
      <c r="M204" t="n">
        <v>45.483756</v>
      </c>
      <c r="N204" t="n">
        <v>45.483756</v>
      </c>
      <c r="O204" t="n">
        <v>9.364795000000001</v>
      </c>
      <c r="P204" t="n">
        <v>5.330494</v>
      </c>
      <c r="Q204" t="n">
        <v>45.483756</v>
      </c>
      <c r="R204" t="n">
        <v>45.483756</v>
      </c>
      <c r="S204" t="n">
        <v>9.364795000000001</v>
      </c>
      <c r="T204" t="n">
        <v>9.364795000000001</v>
      </c>
      <c r="U204" t="n">
        <v>5.330494</v>
      </c>
      <c r="V204" t="n">
        <v>5.330494</v>
      </c>
      <c r="W204" t="n">
        <v>9.429866000000001</v>
      </c>
      <c r="X204" t="n">
        <v>45.585525</v>
      </c>
    </row>
    <row r="205" ht="21" customHeight="1">
      <c r="A205" t="inlineStr">
        <is>
          <t>Hypoptychus dybowskii</t>
        </is>
      </c>
      <c r="D205" s="10" t="inlineStr">
        <is>
          <t>Planktivores</t>
        </is>
      </c>
      <c r="H205" t="n">
        <v>1.333042</v>
      </c>
      <c r="I205" t="n">
        <v>37.009201</v>
      </c>
      <c r="J205" t="n">
        <v>37.009201</v>
      </c>
      <c r="K205" t="n">
        <v>36.935183</v>
      </c>
      <c r="L205" t="n">
        <v>51.741399</v>
      </c>
      <c r="M205" t="n">
        <v>37.478814</v>
      </c>
      <c r="N205" t="n">
        <v>37.478814</v>
      </c>
      <c r="O205" t="n">
        <v>11.531637</v>
      </c>
      <c r="P205" t="n">
        <v>7.348688</v>
      </c>
      <c r="Q205" t="n">
        <v>37.478814</v>
      </c>
      <c r="R205" t="n">
        <v>37.478814</v>
      </c>
      <c r="S205" t="n">
        <v>11.531637</v>
      </c>
      <c r="T205" t="n">
        <v>11.531637</v>
      </c>
      <c r="U205" t="n">
        <v>7.348688</v>
      </c>
      <c r="V205" t="n">
        <v>7.348688</v>
      </c>
      <c r="W205" t="n">
        <v>11.569189</v>
      </c>
      <c r="X205" t="n">
        <v>39.082275</v>
      </c>
    </row>
    <row r="206" ht="21" customHeight="1">
      <c r="A206" t="inlineStr">
        <is>
          <t>Bramidae</t>
        </is>
      </c>
      <c r="B206" t="n">
        <v>4.14</v>
      </c>
      <c r="C206" t="n">
        <v>1380.384265</v>
      </c>
      <c r="D206" s="10" t="inlineStr">
        <is>
          <t>Piscivores</t>
        </is>
      </c>
      <c r="H206" t="n">
        <v>1.498127</v>
      </c>
      <c r="I206" t="n">
        <v>163.850229</v>
      </c>
      <c r="J206" t="n">
        <v>165.313739</v>
      </c>
      <c r="K206" t="n">
        <v>132.912246</v>
      </c>
      <c r="L206" t="n">
        <v>282.597002</v>
      </c>
      <c r="M206" t="n">
        <v>192.12828</v>
      </c>
      <c r="N206" t="n">
        <v>192.12828</v>
      </c>
      <c r="O206" t="n">
        <v>31.073292</v>
      </c>
      <c r="P206" t="n">
        <v>15.877096</v>
      </c>
      <c r="Q206" t="n">
        <v>192.12828</v>
      </c>
      <c r="R206" t="n">
        <v>192.12828</v>
      </c>
      <c r="S206" t="n">
        <v>31.073292</v>
      </c>
      <c r="T206" t="n">
        <v>31.073292</v>
      </c>
      <c r="U206" t="n">
        <v>15.877096</v>
      </c>
      <c r="V206" t="n">
        <v>15.877096</v>
      </c>
      <c r="W206" t="n">
        <v>31.802322</v>
      </c>
      <c r="X206" t="n">
        <v>187.589042</v>
      </c>
    </row>
    <row r="207" ht="21" customHeight="1">
      <c r="A207" t="inlineStr">
        <is>
          <t>Penaeus monodon</t>
        </is>
      </c>
      <c r="B207" t="n">
        <v>2.6</v>
      </c>
      <c r="C207" t="n">
        <v>39.810717</v>
      </c>
      <c r="D207" s="10" t="inlineStr">
        <is>
          <t>Shrimps</t>
        </is>
      </c>
      <c r="H207" t="n">
        <v>0.472671</v>
      </c>
      <c r="I207" t="n">
        <v>7.184768</v>
      </c>
      <c r="J207" t="n">
        <v>7.184768</v>
      </c>
      <c r="K207" t="n">
        <v>7.177583</v>
      </c>
      <c r="L207" t="n">
        <v>13.927162</v>
      </c>
      <c r="M207" t="n">
        <v>7.184768</v>
      </c>
      <c r="N207" t="n">
        <v>7.184768</v>
      </c>
      <c r="O207" t="n">
        <v>2.606682</v>
      </c>
      <c r="P207" t="n">
        <v>1.759834</v>
      </c>
      <c r="Q207" t="n">
        <v>7.184768</v>
      </c>
      <c r="R207" t="n">
        <v>7.184768</v>
      </c>
      <c r="S207" t="n">
        <v>2.606682</v>
      </c>
      <c r="T207" t="n">
        <v>2.606682</v>
      </c>
      <c r="U207" t="n">
        <v>1.759834</v>
      </c>
      <c r="V207" t="n">
        <v>1.759834</v>
      </c>
      <c r="W207" t="n">
        <v>2.643462</v>
      </c>
      <c r="X207" t="n">
        <v>7.655045</v>
      </c>
    </row>
    <row r="208" ht="21" customHeight="1">
      <c r="A208" t="inlineStr">
        <is>
          <t>Acanthocybium solandri</t>
        </is>
      </c>
      <c r="B208" t="n">
        <v>4.26</v>
      </c>
      <c r="C208" t="n">
        <v>1819.700859</v>
      </c>
      <c r="D208" s="10" t="inlineStr">
        <is>
          <t>Piscivores</t>
        </is>
      </c>
      <c r="H208" t="n">
        <v>1.498127</v>
      </c>
      <c r="I208" t="n">
        <v>163.850229</v>
      </c>
      <c r="J208" t="n">
        <v>165.313739</v>
      </c>
      <c r="K208" t="n">
        <v>132.912246</v>
      </c>
      <c r="L208" t="n">
        <v>282.597002</v>
      </c>
      <c r="M208" t="n">
        <v>192.12828</v>
      </c>
      <c r="N208" t="n">
        <v>192.12828</v>
      </c>
      <c r="O208" t="n">
        <v>31.073292</v>
      </c>
      <c r="P208" t="n">
        <v>15.877096</v>
      </c>
      <c r="Q208" t="n">
        <v>192.12828</v>
      </c>
      <c r="R208" t="n">
        <v>192.12828</v>
      </c>
      <c r="S208" t="n">
        <v>31.073292</v>
      </c>
      <c r="T208" t="n">
        <v>31.073292</v>
      </c>
      <c r="U208" t="n">
        <v>15.877096</v>
      </c>
      <c r="V208" t="n">
        <v>15.877096</v>
      </c>
      <c r="W208" t="n">
        <v>31.802322</v>
      </c>
      <c r="X208" t="n">
        <v>187.589042</v>
      </c>
    </row>
    <row r="209" ht="21" customHeight="1">
      <c r="A209" t="inlineStr">
        <is>
          <t>Saurida undosquamis</t>
        </is>
      </c>
      <c r="B209" t="n">
        <v>4.46</v>
      </c>
      <c r="C209" t="n">
        <v>2884.031503</v>
      </c>
      <c r="D209" s="10" t="inlineStr">
        <is>
          <t>Piscivores</t>
        </is>
      </c>
      <c r="H209" t="n">
        <v>1.498127</v>
      </c>
      <c r="I209" t="n">
        <v>163.850229</v>
      </c>
      <c r="J209" t="n">
        <v>165.313739</v>
      </c>
      <c r="K209" t="n">
        <v>132.912246</v>
      </c>
      <c r="L209" t="n">
        <v>282.597002</v>
      </c>
      <c r="M209" t="n">
        <v>192.12828</v>
      </c>
      <c r="N209" t="n">
        <v>192.12828</v>
      </c>
      <c r="O209" t="n">
        <v>31.073292</v>
      </c>
      <c r="P209" t="n">
        <v>15.877096</v>
      </c>
      <c r="Q209" t="n">
        <v>192.12828</v>
      </c>
      <c r="R209" t="n">
        <v>192.12828</v>
      </c>
      <c r="S209" t="n">
        <v>31.073292</v>
      </c>
      <c r="T209" t="n">
        <v>31.073292</v>
      </c>
      <c r="U209" t="n">
        <v>15.877096</v>
      </c>
      <c r="V209" t="n">
        <v>15.877096</v>
      </c>
      <c r="W209" t="n">
        <v>31.802322</v>
      </c>
      <c r="X209" t="n">
        <v>187.589042</v>
      </c>
    </row>
    <row r="210" ht="21" customHeight="1">
      <c r="A210" t="inlineStr">
        <is>
          <t>Beryx splendens</t>
        </is>
      </c>
      <c r="B210" t="n">
        <v>4.27</v>
      </c>
      <c r="C210" t="n">
        <v>1862.087137</v>
      </c>
      <c r="D210" s="10" t="inlineStr">
        <is>
          <t>Piscivores</t>
        </is>
      </c>
      <c r="H210" t="n">
        <v>1.498127</v>
      </c>
      <c r="I210" t="n">
        <v>163.850229</v>
      </c>
      <c r="J210" t="n">
        <v>165.313739</v>
      </c>
      <c r="K210" t="n">
        <v>132.912246</v>
      </c>
      <c r="L210" t="n">
        <v>282.597002</v>
      </c>
      <c r="M210" t="n">
        <v>192.12828</v>
      </c>
      <c r="N210" t="n">
        <v>192.12828</v>
      </c>
      <c r="O210" t="n">
        <v>31.073292</v>
      </c>
      <c r="P210" t="n">
        <v>15.877096</v>
      </c>
      <c r="Q210" t="n">
        <v>192.12828</v>
      </c>
      <c r="R210" t="n">
        <v>192.12828</v>
      </c>
      <c r="S210" t="n">
        <v>31.073292</v>
      </c>
      <c r="T210" t="n">
        <v>31.073292</v>
      </c>
      <c r="U210" t="n">
        <v>15.877096</v>
      </c>
      <c r="V210" t="n">
        <v>15.877096</v>
      </c>
      <c r="W210" t="n">
        <v>31.802322</v>
      </c>
      <c r="X210" t="n">
        <v>187.589042</v>
      </c>
    </row>
    <row r="211" ht="21" customHeight="1">
      <c r="A211" t="inlineStr">
        <is>
          <t>Auxis rochei</t>
        </is>
      </c>
      <c r="B211" t="n">
        <v>4.13</v>
      </c>
      <c r="C211" t="n">
        <v>1348.962883</v>
      </c>
      <c r="D211" s="10" t="inlineStr">
        <is>
          <t>Piscivores</t>
        </is>
      </c>
      <c r="H211" t="n">
        <v>1.498127</v>
      </c>
      <c r="I211" t="n">
        <v>163.850229</v>
      </c>
      <c r="J211" t="n">
        <v>165.313739</v>
      </c>
      <c r="K211" t="n">
        <v>132.912246</v>
      </c>
      <c r="L211" t="n">
        <v>282.597002</v>
      </c>
      <c r="M211" t="n">
        <v>192.12828</v>
      </c>
      <c r="N211" t="n">
        <v>192.12828</v>
      </c>
      <c r="O211" t="n">
        <v>31.073292</v>
      </c>
      <c r="P211" t="n">
        <v>15.877096</v>
      </c>
      <c r="Q211" t="n">
        <v>192.12828</v>
      </c>
      <c r="R211" t="n">
        <v>192.12828</v>
      </c>
      <c r="S211" t="n">
        <v>31.073292</v>
      </c>
      <c r="T211" t="n">
        <v>31.073292</v>
      </c>
      <c r="U211" t="n">
        <v>15.877096</v>
      </c>
      <c r="V211" t="n">
        <v>15.877096</v>
      </c>
      <c r="W211" t="n">
        <v>31.802322</v>
      </c>
      <c r="X211" t="n">
        <v>187.589042</v>
      </c>
    </row>
    <row r="212" ht="36" customHeight="1">
      <c r="A212" t="inlineStr">
        <is>
          <t>Scorpaeniformes</t>
        </is>
      </c>
      <c r="B212" t="n">
        <v>3.78</v>
      </c>
      <c r="C212" t="n">
        <v>602.559586</v>
      </c>
      <c r="D212" s="10" t="inlineStr">
        <is>
          <t>Benthivores | Benthivores/piscivores</t>
        </is>
      </c>
      <c r="H212" t="n">
        <v>0.706925</v>
      </c>
      <c r="I212" t="n">
        <v>17.701916</v>
      </c>
      <c r="J212" t="n">
        <v>18.196293</v>
      </c>
      <c r="K212" t="n">
        <v>17.996919</v>
      </c>
      <c r="L212" t="n">
        <v>191.216462</v>
      </c>
      <c r="M212" t="n">
        <v>108.402117</v>
      </c>
      <c r="N212" t="n">
        <v>108.402117</v>
      </c>
      <c r="O212" t="n">
        <v>5.837523</v>
      </c>
      <c r="P212" t="n">
        <v>3.314335</v>
      </c>
      <c r="Q212" t="n">
        <v>108.402117</v>
      </c>
      <c r="R212" t="n">
        <v>108.402117</v>
      </c>
      <c r="S212" t="n">
        <v>5.837523</v>
      </c>
      <c r="T212" t="n">
        <v>5.837523</v>
      </c>
      <c r="U212" t="n">
        <v>3.314335</v>
      </c>
      <c r="V212" t="n">
        <v>3.314335</v>
      </c>
      <c r="W212" t="n">
        <v>5.972914</v>
      </c>
      <c r="X212" t="n">
        <v>21.064978</v>
      </c>
    </row>
    <row r="213" ht="21" customHeight="1">
      <c r="A213" t="inlineStr">
        <is>
          <t>Epinephelus maculatus</t>
        </is>
      </c>
      <c r="B213" t="n">
        <v>3.98</v>
      </c>
      <c r="C213" t="n">
        <v>954.992586</v>
      </c>
      <c r="D213" s="10" t="inlineStr">
        <is>
          <t>Piscivores</t>
        </is>
      </c>
      <c r="H213" t="n">
        <v>1.498127</v>
      </c>
      <c r="I213" t="n">
        <v>163.850229</v>
      </c>
      <c r="J213" t="n">
        <v>165.313739</v>
      </c>
      <c r="K213" t="n">
        <v>132.912246</v>
      </c>
      <c r="L213" t="n">
        <v>282.597002</v>
      </c>
      <c r="M213" t="n">
        <v>192.12828</v>
      </c>
      <c r="N213" t="n">
        <v>192.12828</v>
      </c>
      <c r="O213" t="n">
        <v>31.073292</v>
      </c>
      <c r="P213" t="n">
        <v>15.877096</v>
      </c>
      <c r="Q213" t="n">
        <v>192.12828</v>
      </c>
      <c r="R213" t="n">
        <v>192.12828</v>
      </c>
      <c r="S213" t="n">
        <v>31.073292</v>
      </c>
      <c r="T213" t="n">
        <v>31.073292</v>
      </c>
      <c r="U213" t="n">
        <v>15.877096</v>
      </c>
      <c r="V213" t="n">
        <v>15.877096</v>
      </c>
      <c r="W213" t="n">
        <v>31.802322</v>
      </c>
      <c r="X213" t="n">
        <v>187.589042</v>
      </c>
    </row>
    <row r="214" ht="21" customHeight="1">
      <c r="A214" t="inlineStr">
        <is>
          <t>Isurus</t>
        </is>
      </c>
      <c r="B214" t="n">
        <v>4.5</v>
      </c>
      <c r="C214" t="n">
        <v>3162.27766</v>
      </c>
      <c r="D214" s="10" t="inlineStr">
        <is>
          <t>Sharks</t>
        </is>
      </c>
      <c r="H214" t="n">
        <v>1.476725</v>
      </c>
      <c r="I214" t="n">
        <v>0</v>
      </c>
      <c r="J214" t="n">
        <v>90.909156</v>
      </c>
      <c r="L214" t="n">
        <v>0</v>
      </c>
      <c r="M214" t="n">
        <v>0</v>
      </c>
      <c r="N214" t="n">
        <v>0</v>
      </c>
      <c r="O214" t="n">
        <v>112.219658</v>
      </c>
      <c r="P214" t="n">
        <v>50.526882</v>
      </c>
      <c r="Q214" t="n">
        <v>0</v>
      </c>
      <c r="R214" t="n">
        <v>0</v>
      </c>
      <c r="S214" t="n">
        <v>112.219658</v>
      </c>
      <c r="T214" t="n">
        <v>112.219658</v>
      </c>
      <c r="U214" t="n">
        <v>50.526882</v>
      </c>
      <c r="V214" t="n">
        <v>50.526882</v>
      </c>
      <c r="W214" t="n">
        <v>111.931581</v>
      </c>
      <c r="X214" t="n">
        <v>0</v>
      </c>
    </row>
    <row r="215" ht="21" customHeight="1">
      <c r="A215" t="inlineStr">
        <is>
          <t>Dussumieria elopsoides</t>
        </is>
      </c>
      <c r="B215" t="n">
        <v>3.4</v>
      </c>
      <c r="C215" t="n">
        <v>251.188643</v>
      </c>
      <c r="D215" s="10" t="inlineStr">
        <is>
          <t>Planktivores</t>
        </is>
      </c>
      <c r="H215" t="n">
        <v>1.333042</v>
      </c>
      <c r="I215" t="n">
        <v>37.009201</v>
      </c>
      <c r="J215" t="n">
        <v>37.009201</v>
      </c>
      <c r="K215" t="n">
        <v>36.935183</v>
      </c>
      <c r="L215" t="n">
        <v>51.741399</v>
      </c>
      <c r="M215" t="n">
        <v>37.478814</v>
      </c>
      <c r="N215" t="n">
        <v>37.478814</v>
      </c>
      <c r="O215" t="n">
        <v>11.531637</v>
      </c>
      <c r="P215" t="n">
        <v>7.348688</v>
      </c>
      <c r="Q215" t="n">
        <v>37.478814</v>
      </c>
      <c r="R215" t="n">
        <v>37.478814</v>
      </c>
      <c r="S215" t="n">
        <v>11.531637</v>
      </c>
      <c r="T215" t="n">
        <v>11.531637</v>
      </c>
      <c r="U215" t="n">
        <v>7.348688</v>
      </c>
      <c r="V215" t="n">
        <v>7.348688</v>
      </c>
      <c r="W215" t="n">
        <v>11.569189</v>
      </c>
      <c r="X215" t="n">
        <v>39.082275</v>
      </c>
    </row>
    <row r="216" ht="21" customHeight="1">
      <c r="A216" t="inlineStr">
        <is>
          <t>Chirocentrus dorab</t>
        </is>
      </c>
      <c r="D216" s="10" t="inlineStr">
        <is>
          <t>Piscivores</t>
        </is>
      </c>
      <c r="H216" t="n">
        <v>1.498127</v>
      </c>
      <c r="I216" t="n">
        <v>163.850229</v>
      </c>
      <c r="J216" t="n">
        <v>165.313739</v>
      </c>
      <c r="K216" t="n">
        <v>132.912246</v>
      </c>
      <c r="L216" t="n">
        <v>282.597002</v>
      </c>
      <c r="M216" t="n">
        <v>192.12828</v>
      </c>
      <c r="N216" t="n">
        <v>192.12828</v>
      </c>
      <c r="O216" t="n">
        <v>31.073292</v>
      </c>
      <c r="P216" t="n">
        <v>15.877096</v>
      </c>
      <c r="Q216" t="n">
        <v>192.12828</v>
      </c>
      <c r="R216" t="n">
        <v>192.12828</v>
      </c>
      <c r="S216" t="n">
        <v>31.073292</v>
      </c>
      <c r="T216" t="n">
        <v>31.073292</v>
      </c>
      <c r="U216" t="n">
        <v>15.877096</v>
      </c>
      <c r="V216" t="n">
        <v>15.877096</v>
      </c>
      <c r="W216" t="n">
        <v>31.802322</v>
      </c>
      <c r="X216" t="n">
        <v>187.589042</v>
      </c>
    </row>
    <row r="217" ht="21" customHeight="1">
      <c r="A217" t="inlineStr">
        <is>
          <t>Oratosquilla oratoria</t>
        </is>
      </c>
      <c r="B217" t="n">
        <v>3.27</v>
      </c>
      <c r="C217" t="n">
        <v>186.208714</v>
      </c>
      <c r="D217" s="10" t="inlineStr">
        <is>
          <t>Shrimps</t>
        </is>
      </c>
      <c r="H217" t="n">
        <v>0.472671</v>
      </c>
      <c r="I217" t="n">
        <v>7.184768</v>
      </c>
      <c r="J217" t="n">
        <v>7.184768</v>
      </c>
      <c r="K217" t="n">
        <v>7.177583</v>
      </c>
      <c r="L217" t="n">
        <v>13.927162</v>
      </c>
      <c r="M217" t="n">
        <v>7.184768</v>
      </c>
      <c r="N217" t="n">
        <v>7.184768</v>
      </c>
      <c r="O217" t="n">
        <v>2.606682</v>
      </c>
      <c r="P217" t="n">
        <v>1.759834</v>
      </c>
      <c r="Q217" t="n">
        <v>7.184768</v>
      </c>
      <c r="R217" t="n">
        <v>7.184768</v>
      </c>
      <c r="S217" t="n">
        <v>2.606682</v>
      </c>
      <c r="T217" t="n">
        <v>2.606682</v>
      </c>
      <c r="U217" t="n">
        <v>1.759834</v>
      </c>
      <c r="V217" t="n">
        <v>1.759834</v>
      </c>
      <c r="W217" t="n">
        <v>2.643462</v>
      </c>
      <c r="X217" t="n">
        <v>7.655045</v>
      </c>
    </row>
    <row r="218" ht="21" customHeight="1">
      <c r="A218" t="inlineStr">
        <is>
          <t>Saurida</t>
        </is>
      </c>
      <c r="B218" t="n">
        <v>4.35</v>
      </c>
      <c r="C218" t="n">
        <v>2238.721139</v>
      </c>
      <c r="D218" s="10" t="inlineStr">
        <is>
          <t>Piscivores</t>
        </is>
      </c>
      <c r="H218" t="n">
        <v>1.498127</v>
      </c>
      <c r="I218" t="n">
        <v>163.850229</v>
      </c>
      <c r="J218" t="n">
        <v>165.313739</v>
      </c>
      <c r="K218" t="n">
        <v>132.912246</v>
      </c>
      <c r="L218" t="n">
        <v>282.597002</v>
      </c>
      <c r="M218" t="n">
        <v>192.12828</v>
      </c>
      <c r="N218" t="n">
        <v>192.12828</v>
      </c>
      <c r="O218" t="n">
        <v>31.073292</v>
      </c>
      <c r="P218" t="n">
        <v>15.877096</v>
      </c>
      <c r="Q218" t="n">
        <v>192.12828</v>
      </c>
      <c r="R218" t="n">
        <v>192.12828</v>
      </c>
      <c r="S218" t="n">
        <v>31.073292</v>
      </c>
      <c r="T218" t="n">
        <v>31.073292</v>
      </c>
      <c r="U218" t="n">
        <v>15.877096</v>
      </c>
      <c r="V218" t="n">
        <v>15.877096</v>
      </c>
      <c r="W218" t="n">
        <v>31.802322</v>
      </c>
      <c r="X218" t="n">
        <v>187.589042</v>
      </c>
    </row>
    <row r="219" ht="21" customHeight="1">
      <c r="A219" t="inlineStr">
        <is>
          <t>Stolephorus</t>
        </is>
      </c>
      <c r="D219" s="10" t="inlineStr">
        <is>
          <t>Planktivores</t>
        </is>
      </c>
      <c r="H219" t="n">
        <v>1.333042</v>
      </c>
      <c r="I219" t="n">
        <v>37.009201</v>
      </c>
      <c r="J219" t="n">
        <v>37.009201</v>
      </c>
      <c r="K219" t="n">
        <v>36.935183</v>
      </c>
      <c r="L219" t="n">
        <v>51.741399</v>
      </c>
      <c r="M219" t="n">
        <v>37.478814</v>
      </c>
      <c r="N219" t="n">
        <v>37.478814</v>
      </c>
      <c r="O219" t="n">
        <v>11.531637</v>
      </c>
      <c r="P219" t="n">
        <v>7.348688</v>
      </c>
      <c r="Q219" t="n">
        <v>37.478814</v>
      </c>
      <c r="R219" t="n">
        <v>37.478814</v>
      </c>
      <c r="S219" t="n">
        <v>11.531637</v>
      </c>
      <c r="T219" t="n">
        <v>11.531637</v>
      </c>
      <c r="U219" t="n">
        <v>7.348688</v>
      </c>
      <c r="V219" t="n">
        <v>7.348688</v>
      </c>
      <c r="W219" t="n">
        <v>11.569189</v>
      </c>
      <c r="X219" t="n">
        <v>39.082275</v>
      </c>
    </row>
    <row r="220" ht="21" customHeight="1">
      <c r="A220" t="inlineStr">
        <is>
          <t>Sphyraena</t>
        </is>
      </c>
      <c r="B220" t="n">
        <v>4.4</v>
      </c>
      <c r="C220" t="n">
        <v>2511.886432</v>
      </c>
      <c r="D220" s="10" t="inlineStr">
        <is>
          <t>Piscivores</t>
        </is>
      </c>
      <c r="H220" t="n">
        <v>1.498127</v>
      </c>
      <c r="I220" t="n">
        <v>163.850229</v>
      </c>
      <c r="J220" t="n">
        <v>165.313739</v>
      </c>
      <c r="K220" t="n">
        <v>132.912246</v>
      </c>
      <c r="L220" t="n">
        <v>282.597002</v>
      </c>
      <c r="M220" t="n">
        <v>192.12828</v>
      </c>
      <c r="N220" t="n">
        <v>192.12828</v>
      </c>
      <c r="O220" t="n">
        <v>31.073292</v>
      </c>
      <c r="P220" t="n">
        <v>15.877096</v>
      </c>
      <c r="Q220" t="n">
        <v>192.12828</v>
      </c>
      <c r="R220" t="n">
        <v>192.12828</v>
      </c>
      <c r="S220" t="n">
        <v>31.073292</v>
      </c>
      <c r="T220" t="n">
        <v>31.073292</v>
      </c>
      <c r="U220" t="n">
        <v>15.877096</v>
      </c>
      <c r="V220" t="n">
        <v>15.877096</v>
      </c>
      <c r="W220" t="n">
        <v>31.802322</v>
      </c>
      <c r="X220" t="n">
        <v>187.589042</v>
      </c>
    </row>
    <row r="221" ht="21" customHeight="1">
      <c r="A221" t="inlineStr">
        <is>
          <t>Rapana</t>
        </is>
      </c>
      <c r="B221" t="n">
        <v>3</v>
      </c>
      <c r="C221" t="n">
        <v>100</v>
      </c>
      <c r="D221" s="10" t="inlineStr">
        <is>
          <t>Mollusks</t>
        </is>
      </c>
      <c r="H221" t="n">
        <v>0.386637</v>
      </c>
      <c r="I221" t="n">
        <v>5.936061</v>
      </c>
      <c r="J221" t="n">
        <v>5.936061</v>
      </c>
      <c r="K221" t="n">
        <v>1.780818</v>
      </c>
      <c r="L221" t="n">
        <v>17.186608</v>
      </c>
      <c r="M221" t="n">
        <v>6.329922</v>
      </c>
      <c r="N221" t="n">
        <v>6.329922</v>
      </c>
      <c r="O221" t="n">
        <v>0.986753</v>
      </c>
      <c r="P221" t="n">
        <v>0.712886</v>
      </c>
      <c r="Q221" t="n">
        <v>6.329922</v>
      </c>
      <c r="R221" t="n">
        <v>6.329922</v>
      </c>
      <c r="S221" t="n">
        <v>0.986753</v>
      </c>
      <c r="T221" t="n">
        <v>0.986753</v>
      </c>
      <c r="U221" t="n">
        <v>0.712886</v>
      </c>
      <c r="V221" t="n">
        <v>0.712886</v>
      </c>
      <c r="W221" t="n">
        <v>0.98107</v>
      </c>
      <c r="X221" t="n">
        <v>6.573538</v>
      </c>
    </row>
    <row r="222" ht="21" customHeight="1">
      <c r="A222" t="inlineStr">
        <is>
          <t>Sphyraenidae</t>
        </is>
      </c>
      <c r="B222" t="n">
        <v>4.4</v>
      </c>
      <c r="C222" t="n">
        <v>2511.886432</v>
      </c>
      <c r="D222" s="10" t="inlineStr">
        <is>
          <t>Piscivores</t>
        </is>
      </c>
      <c r="H222" t="n">
        <v>1.498127</v>
      </c>
      <c r="I222" t="n">
        <v>163.850229</v>
      </c>
      <c r="J222" t="n">
        <v>165.313739</v>
      </c>
      <c r="K222" t="n">
        <v>132.912246</v>
      </c>
      <c r="L222" t="n">
        <v>282.597002</v>
      </c>
      <c r="M222" t="n">
        <v>192.12828</v>
      </c>
      <c r="N222" t="n">
        <v>192.12828</v>
      </c>
      <c r="O222" t="n">
        <v>31.073292</v>
      </c>
      <c r="P222" t="n">
        <v>15.877096</v>
      </c>
      <c r="Q222" t="n">
        <v>192.12828</v>
      </c>
      <c r="R222" t="n">
        <v>192.12828</v>
      </c>
      <c r="S222" t="n">
        <v>31.073292</v>
      </c>
      <c r="T222" t="n">
        <v>31.073292</v>
      </c>
      <c r="U222" t="n">
        <v>15.877096</v>
      </c>
      <c r="V222" t="n">
        <v>15.877096</v>
      </c>
      <c r="W222" t="n">
        <v>31.802322</v>
      </c>
      <c r="X222" t="n">
        <v>187.589042</v>
      </c>
    </row>
    <row r="223" ht="21" customHeight="1">
      <c r="A223" t="inlineStr">
        <is>
          <t>Pseudopleuronectes herzensteini</t>
        </is>
      </c>
      <c r="B223" t="n">
        <v>3.15</v>
      </c>
      <c r="C223" t="n">
        <v>141.253754</v>
      </c>
      <c r="D223" s="10" t="inlineStr">
        <is>
          <t>Benthivores</t>
        </is>
      </c>
      <c r="H223" t="n">
        <v>0.507881</v>
      </c>
      <c r="I223" t="n">
        <v>15.397089</v>
      </c>
      <c r="J223" t="n">
        <v>16.480074</v>
      </c>
      <c r="K223" t="n">
        <v>16.397674</v>
      </c>
      <c r="L223" t="n">
        <v>385.228839</v>
      </c>
      <c r="M223" t="n">
        <v>217.802518</v>
      </c>
      <c r="N223" t="n">
        <v>217.802518</v>
      </c>
      <c r="O223" t="n">
        <v>5.627856</v>
      </c>
      <c r="P223" t="n">
        <v>3.14648</v>
      </c>
      <c r="Q223" t="n">
        <v>217.802518</v>
      </c>
      <c r="R223" t="n">
        <v>217.802518</v>
      </c>
      <c r="S223" t="n">
        <v>5.627856</v>
      </c>
      <c r="T223" t="n">
        <v>5.627856</v>
      </c>
      <c r="U223" t="n">
        <v>3.14648</v>
      </c>
      <c r="V223" t="n">
        <v>3.14648</v>
      </c>
      <c r="W223" t="n">
        <v>5.794366</v>
      </c>
      <c r="X223" t="n">
        <v>21.50578</v>
      </c>
    </row>
    <row r="224" ht="21" customHeight="1">
      <c r="A224" t="inlineStr">
        <is>
          <t>Hemitriakis japanica</t>
        </is>
      </c>
      <c r="D224" s="10" t="inlineStr">
        <is>
          <t>Sharks</t>
        </is>
      </c>
      <c r="H224" t="n">
        <v>1.476725</v>
      </c>
      <c r="I224" t="n">
        <v>0</v>
      </c>
      <c r="J224" t="n">
        <v>90.909156</v>
      </c>
      <c r="L224" t="n">
        <v>0</v>
      </c>
      <c r="M224" t="n">
        <v>0</v>
      </c>
      <c r="N224" t="n">
        <v>0</v>
      </c>
      <c r="O224" t="n">
        <v>112.219658</v>
      </c>
      <c r="P224" t="n">
        <v>50.526882</v>
      </c>
      <c r="Q224" t="n">
        <v>0</v>
      </c>
      <c r="R224" t="n">
        <v>0</v>
      </c>
      <c r="S224" t="n">
        <v>112.219658</v>
      </c>
      <c r="T224" t="n">
        <v>112.219658</v>
      </c>
      <c r="U224" t="n">
        <v>50.526882</v>
      </c>
      <c r="V224" t="n">
        <v>50.526882</v>
      </c>
      <c r="W224" t="n">
        <v>111.931581</v>
      </c>
      <c r="X224" t="n">
        <v>0</v>
      </c>
    </row>
    <row r="225" ht="21" customHeight="1">
      <c r="A225" t="inlineStr">
        <is>
          <t>Makaira mazara</t>
        </is>
      </c>
      <c r="B225" t="n">
        <v>4.46</v>
      </c>
      <c r="C225" t="n">
        <v>2884.031503</v>
      </c>
      <c r="D225" s="10" t="inlineStr">
        <is>
          <t>Piscivores</t>
        </is>
      </c>
      <c r="H225" t="n">
        <v>1.498127</v>
      </c>
      <c r="I225" t="n">
        <v>163.850229</v>
      </c>
      <c r="J225" t="n">
        <v>165.313739</v>
      </c>
      <c r="K225" t="n">
        <v>132.912246</v>
      </c>
      <c r="L225" t="n">
        <v>282.597002</v>
      </c>
      <c r="M225" t="n">
        <v>192.12828</v>
      </c>
      <c r="N225" t="n">
        <v>192.12828</v>
      </c>
      <c r="O225" t="n">
        <v>31.073292</v>
      </c>
      <c r="P225" t="n">
        <v>15.877096</v>
      </c>
      <c r="Q225" t="n">
        <v>192.12828</v>
      </c>
      <c r="R225" t="n">
        <v>192.12828</v>
      </c>
      <c r="S225" t="n">
        <v>31.073292</v>
      </c>
      <c r="T225" t="n">
        <v>31.073292</v>
      </c>
      <c r="U225" t="n">
        <v>15.877096</v>
      </c>
      <c r="V225" t="n">
        <v>15.877096</v>
      </c>
      <c r="W225" t="n">
        <v>31.802322</v>
      </c>
      <c r="X225" t="n">
        <v>187.589042</v>
      </c>
    </row>
    <row r="226" ht="51" customHeight="1">
      <c r="A226" t="inlineStr">
        <is>
          <t>Marine pelagic fishes not identified</t>
        </is>
      </c>
      <c r="B226" t="n">
        <v>3.35</v>
      </c>
      <c r="C226" t="n">
        <v>223.872114</v>
      </c>
      <c r="D226" s="10" t="inlineStr">
        <is>
          <t>Piscivores | Planktivores/Benthivores | Planktivores/piscivores</t>
        </is>
      </c>
      <c r="H226" t="n">
        <v>1.335995</v>
      </c>
      <c r="I226" t="n">
        <v>158.471145</v>
      </c>
      <c r="J226" t="n">
        <v>163.314454</v>
      </c>
      <c r="K226" t="n">
        <v>105.508139</v>
      </c>
      <c r="L226" t="n">
        <v>283.604609</v>
      </c>
      <c r="M226" t="n">
        <v>185.160656</v>
      </c>
      <c r="N226" t="n">
        <v>185.160656</v>
      </c>
      <c r="O226" t="n">
        <v>29.39502</v>
      </c>
      <c r="P226" t="n">
        <v>17.038433</v>
      </c>
      <c r="Q226" t="n">
        <v>185.160656</v>
      </c>
      <c r="R226" t="n">
        <v>185.160656</v>
      </c>
      <c r="S226" t="n">
        <v>29.39502</v>
      </c>
      <c r="T226" t="n">
        <v>29.39502</v>
      </c>
      <c r="U226" t="n">
        <v>17.038433</v>
      </c>
      <c r="V226" t="n">
        <v>17.038433</v>
      </c>
      <c r="W226" t="n">
        <v>30.039342</v>
      </c>
      <c r="X226" t="n">
        <v>186.99754</v>
      </c>
    </row>
    <row r="227" ht="21" customHeight="1">
      <c r="A227" t="inlineStr">
        <is>
          <t>Mierspenaeopsis hardwickii</t>
        </is>
      </c>
      <c r="B227" t="n">
        <v>2.71</v>
      </c>
      <c r="C227" t="n">
        <v>51.286138</v>
      </c>
      <c r="D227" s="10" t="inlineStr">
        <is>
          <t>Shrimps</t>
        </is>
      </c>
      <c r="H227" t="n">
        <v>0.472671</v>
      </c>
      <c r="I227" t="n">
        <v>7.184768</v>
      </c>
      <c r="J227" t="n">
        <v>7.184768</v>
      </c>
      <c r="K227" t="n">
        <v>7.177583</v>
      </c>
      <c r="L227" t="n">
        <v>13.927162</v>
      </c>
      <c r="M227" t="n">
        <v>7.184768</v>
      </c>
      <c r="N227" t="n">
        <v>7.184768</v>
      </c>
      <c r="O227" t="n">
        <v>2.606682</v>
      </c>
      <c r="P227" t="n">
        <v>1.759834</v>
      </c>
      <c r="Q227" t="n">
        <v>7.184768</v>
      </c>
      <c r="R227" t="n">
        <v>7.184768</v>
      </c>
      <c r="S227" t="n">
        <v>2.606682</v>
      </c>
      <c r="T227" t="n">
        <v>2.606682</v>
      </c>
      <c r="U227" t="n">
        <v>1.759834</v>
      </c>
      <c r="V227" t="n">
        <v>1.759834</v>
      </c>
      <c r="W227" t="n">
        <v>2.643462</v>
      </c>
      <c r="X227" t="n">
        <v>7.655045</v>
      </c>
    </row>
    <row r="228" ht="21" customHeight="1">
      <c r="A228" t="inlineStr">
        <is>
          <t>Beryx</t>
        </is>
      </c>
      <c r="B228" t="n">
        <v>3.97</v>
      </c>
      <c r="C228" t="n">
        <v>933.2543010000001</v>
      </c>
      <c r="D228" s="10" t="inlineStr">
        <is>
          <t>Piscivores</t>
        </is>
      </c>
      <c r="H228" t="n">
        <v>1.498127</v>
      </c>
      <c r="I228" t="n">
        <v>163.850229</v>
      </c>
      <c r="J228" t="n">
        <v>165.313739</v>
      </c>
      <c r="K228" t="n">
        <v>132.912246</v>
      </c>
      <c r="L228" t="n">
        <v>282.597002</v>
      </c>
      <c r="M228" t="n">
        <v>192.12828</v>
      </c>
      <c r="N228" t="n">
        <v>192.12828</v>
      </c>
      <c r="O228" t="n">
        <v>31.073292</v>
      </c>
      <c r="P228" t="n">
        <v>15.877096</v>
      </c>
      <c r="Q228" t="n">
        <v>192.12828</v>
      </c>
      <c r="R228" t="n">
        <v>192.12828</v>
      </c>
      <c r="S228" t="n">
        <v>31.073292</v>
      </c>
      <c r="T228" t="n">
        <v>31.073292</v>
      </c>
      <c r="U228" t="n">
        <v>15.877096</v>
      </c>
      <c r="V228" t="n">
        <v>15.877096</v>
      </c>
      <c r="W228" t="n">
        <v>31.802322</v>
      </c>
      <c r="X228" t="n">
        <v>187.589042</v>
      </c>
    </row>
    <row r="229" ht="21" customHeight="1">
      <c r="A229" t="inlineStr">
        <is>
          <t>Auxis thazard</t>
        </is>
      </c>
      <c r="B229" t="n">
        <v>4.37</v>
      </c>
      <c r="C229" t="n">
        <v>2344.228815</v>
      </c>
      <c r="D229" s="10" t="inlineStr">
        <is>
          <t>Piscivores</t>
        </is>
      </c>
      <c r="H229" t="n">
        <v>1.498127</v>
      </c>
      <c r="I229" t="n">
        <v>163.850229</v>
      </c>
      <c r="J229" t="n">
        <v>165.313739</v>
      </c>
      <c r="K229" t="n">
        <v>132.912246</v>
      </c>
      <c r="L229" t="n">
        <v>282.597002</v>
      </c>
      <c r="M229" t="n">
        <v>192.12828</v>
      </c>
      <c r="N229" t="n">
        <v>192.12828</v>
      </c>
      <c r="O229" t="n">
        <v>31.073292</v>
      </c>
      <c r="P229" t="n">
        <v>15.877096</v>
      </c>
      <c r="Q229" t="n">
        <v>192.12828</v>
      </c>
      <c r="R229" t="n">
        <v>192.12828</v>
      </c>
      <c r="S229" t="n">
        <v>31.073292</v>
      </c>
      <c r="T229" t="n">
        <v>31.073292</v>
      </c>
      <c r="U229" t="n">
        <v>15.877096</v>
      </c>
      <c r="V229" t="n">
        <v>15.877096</v>
      </c>
      <c r="W229" t="n">
        <v>31.802322</v>
      </c>
      <c r="X229" t="n">
        <v>187.589042</v>
      </c>
    </row>
    <row r="230" ht="21" customHeight="1">
      <c r="A230" t="inlineStr">
        <is>
          <t>Polydactylus sexfilis</t>
        </is>
      </c>
      <c r="B230" t="n">
        <v>3.43</v>
      </c>
      <c r="C230" t="n">
        <v>269.15348</v>
      </c>
      <c r="D230" s="10" t="inlineStr">
        <is>
          <t>Benthivores</t>
        </is>
      </c>
      <c r="H230" t="n">
        <v>0.507881</v>
      </c>
      <c r="I230" t="n">
        <v>15.397089</v>
      </c>
      <c r="J230" t="n">
        <v>16.480074</v>
      </c>
      <c r="K230" t="n">
        <v>16.397674</v>
      </c>
      <c r="L230" t="n">
        <v>385.228839</v>
      </c>
      <c r="M230" t="n">
        <v>217.802518</v>
      </c>
      <c r="N230" t="n">
        <v>217.802518</v>
      </c>
      <c r="O230" t="n">
        <v>5.627856</v>
      </c>
      <c r="P230" t="n">
        <v>3.14648</v>
      </c>
      <c r="Q230" t="n">
        <v>217.802518</v>
      </c>
      <c r="R230" t="n">
        <v>217.802518</v>
      </c>
      <c r="S230" t="n">
        <v>5.627856</v>
      </c>
      <c r="T230" t="n">
        <v>5.627856</v>
      </c>
      <c r="U230" t="n">
        <v>3.14648</v>
      </c>
      <c r="V230" t="n">
        <v>3.14648</v>
      </c>
      <c r="W230" t="n">
        <v>5.794366</v>
      </c>
      <c r="X230" t="n">
        <v>21.50578</v>
      </c>
    </row>
    <row r="231" ht="21" customHeight="1">
      <c r="A231" t="inlineStr">
        <is>
          <t>Seriola dumerili</t>
        </is>
      </c>
      <c r="B231" t="n">
        <v>4.5</v>
      </c>
      <c r="C231" t="n">
        <v>3162.27766</v>
      </c>
      <c r="D231" s="10" t="inlineStr">
        <is>
          <t>Piscivores</t>
        </is>
      </c>
      <c r="H231" t="n">
        <v>1.498127</v>
      </c>
      <c r="I231" t="n">
        <v>163.850229</v>
      </c>
      <c r="J231" t="n">
        <v>165.313739</v>
      </c>
      <c r="K231" t="n">
        <v>132.912246</v>
      </c>
      <c r="L231" t="n">
        <v>282.597002</v>
      </c>
      <c r="M231" t="n">
        <v>192.12828</v>
      </c>
      <c r="N231" t="n">
        <v>192.12828</v>
      </c>
      <c r="O231" t="n">
        <v>31.073292</v>
      </c>
      <c r="P231" t="n">
        <v>15.877096</v>
      </c>
      <c r="Q231" t="n">
        <v>192.12828</v>
      </c>
      <c r="R231" t="n">
        <v>192.12828</v>
      </c>
      <c r="S231" t="n">
        <v>31.073292</v>
      </c>
      <c r="T231" t="n">
        <v>31.073292</v>
      </c>
      <c r="U231" t="n">
        <v>15.877096</v>
      </c>
      <c r="V231" t="n">
        <v>15.877096</v>
      </c>
      <c r="W231" t="n">
        <v>31.802322</v>
      </c>
      <c r="X231" t="n">
        <v>187.589042</v>
      </c>
    </row>
    <row r="232" ht="21" customHeight="1">
      <c r="A232" t="inlineStr">
        <is>
          <t>Cheilopogon unicolor</t>
        </is>
      </c>
      <c r="B232" t="n">
        <v>3.7</v>
      </c>
      <c r="C232" t="n">
        <v>501.187234</v>
      </c>
      <c r="D232" s="10" t="inlineStr">
        <is>
          <t>Planktivores</t>
        </is>
      </c>
      <c r="H232" t="n">
        <v>1.333042</v>
      </c>
      <c r="I232" t="n">
        <v>37.009201</v>
      </c>
      <c r="J232" t="n">
        <v>37.009201</v>
      </c>
      <c r="K232" t="n">
        <v>36.935183</v>
      </c>
      <c r="L232" t="n">
        <v>51.741399</v>
      </c>
      <c r="M232" t="n">
        <v>37.478814</v>
      </c>
      <c r="N232" t="n">
        <v>37.478814</v>
      </c>
      <c r="O232" t="n">
        <v>11.531637</v>
      </c>
      <c r="P232" t="n">
        <v>7.348688</v>
      </c>
      <c r="Q232" t="n">
        <v>37.478814</v>
      </c>
      <c r="R232" t="n">
        <v>37.478814</v>
      </c>
      <c r="S232" t="n">
        <v>11.531637</v>
      </c>
      <c r="T232" t="n">
        <v>11.531637</v>
      </c>
      <c r="U232" t="n">
        <v>7.348688</v>
      </c>
      <c r="V232" t="n">
        <v>7.348688</v>
      </c>
      <c r="W232" t="n">
        <v>11.569189</v>
      </c>
      <c r="X232" t="n">
        <v>39.082275</v>
      </c>
    </row>
    <row r="233" ht="21" customHeight="1">
      <c r="A233" t="inlineStr">
        <is>
          <t>Lates calcarifer</t>
        </is>
      </c>
      <c r="B233" t="n">
        <v>4.35</v>
      </c>
      <c r="C233" t="n">
        <v>2238.721139</v>
      </c>
      <c r="D233" s="10" t="inlineStr">
        <is>
          <t>Piscivores</t>
        </is>
      </c>
      <c r="H233" t="n">
        <v>1.498127</v>
      </c>
      <c r="I233" t="n">
        <v>163.850229</v>
      </c>
      <c r="J233" t="n">
        <v>165.313739</v>
      </c>
      <c r="K233" t="n">
        <v>132.912246</v>
      </c>
      <c r="L233" t="n">
        <v>282.597002</v>
      </c>
      <c r="M233" t="n">
        <v>192.12828</v>
      </c>
      <c r="N233" t="n">
        <v>192.12828</v>
      </c>
      <c r="O233" t="n">
        <v>31.073292</v>
      </c>
      <c r="P233" t="n">
        <v>15.877096</v>
      </c>
      <c r="Q233" t="n">
        <v>192.12828</v>
      </c>
      <c r="R233" t="n">
        <v>192.12828</v>
      </c>
      <c r="S233" t="n">
        <v>31.073292</v>
      </c>
      <c r="T233" t="n">
        <v>31.073292</v>
      </c>
      <c r="U233" t="n">
        <v>15.877096</v>
      </c>
      <c r="V233" t="n">
        <v>15.877096</v>
      </c>
      <c r="W233" t="n">
        <v>31.802322</v>
      </c>
      <c r="X233" t="n">
        <v>187.589042</v>
      </c>
    </row>
    <row r="234" ht="21" customHeight="1">
      <c r="A234" t="inlineStr">
        <is>
          <t>Hexagrammidae</t>
        </is>
      </c>
      <c r="B234" t="n">
        <v>3.72</v>
      </c>
      <c r="C234" t="n">
        <v>524.80746</v>
      </c>
      <c r="D234" s="10" t="inlineStr">
        <is>
          <t>Benthivores</t>
        </is>
      </c>
      <c r="H234" t="n">
        <v>0.507881</v>
      </c>
      <c r="I234" t="n">
        <v>15.397089</v>
      </c>
      <c r="J234" t="n">
        <v>16.480074</v>
      </c>
      <c r="K234" t="n">
        <v>16.397674</v>
      </c>
      <c r="L234" t="n">
        <v>385.228839</v>
      </c>
      <c r="M234" t="n">
        <v>217.802518</v>
      </c>
      <c r="N234" t="n">
        <v>217.802518</v>
      </c>
      <c r="O234" t="n">
        <v>5.627856</v>
      </c>
      <c r="P234" t="n">
        <v>3.14648</v>
      </c>
      <c r="Q234" t="n">
        <v>217.802518</v>
      </c>
      <c r="R234" t="n">
        <v>217.802518</v>
      </c>
      <c r="S234" t="n">
        <v>5.627856</v>
      </c>
      <c r="T234" t="n">
        <v>5.627856</v>
      </c>
      <c r="U234" t="n">
        <v>3.14648</v>
      </c>
      <c r="V234" t="n">
        <v>3.14648</v>
      </c>
      <c r="W234" t="n">
        <v>5.794366</v>
      </c>
      <c r="X234" t="n">
        <v>21.50578</v>
      </c>
    </row>
    <row r="235" ht="21" customHeight="1">
      <c r="A235" t="inlineStr">
        <is>
          <t>Clupanodon thrissa</t>
        </is>
      </c>
      <c r="B235" t="n">
        <v>3.01</v>
      </c>
      <c r="C235" t="n">
        <v>102.329299</v>
      </c>
      <c r="D235" s="10" t="inlineStr">
        <is>
          <t>Planktivores</t>
        </is>
      </c>
      <c r="H235" t="n">
        <v>1.333042</v>
      </c>
      <c r="I235" t="n">
        <v>37.009201</v>
      </c>
      <c r="J235" t="n">
        <v>37.009201</v>
      </c>
      <c r="K235" t="n">
        <v>36.935183</v>
      </c>
      <c r="L235" t="n">
        <v>51.741399</v>
      </c>
      <c r="M235" t="n">
        <v>37.478814</v>
      </c>
      <c r="N235" t="n">
        <v>37.478814</v>
      </c>
      <c r="O235" t="n">
        <v>11.531637</v>
      </c>
      <c r="P235" t="n">
        <v>7.348688</v>
      </c>
      <c r="Q235" t="n">
        <v>37.478814</v>
      </c>
      <c r="R235" t="n">
        <v>37.478814</v>
      </c>
      <c r="S235" t="n">
        <v>11.531637</v>
      </c>
      <c r="T235" t="n">
        <v>11.531637</v>
      </c>
      <c r="U235" t="n">
        <v>7.348688</v>
      </c>
      <c r="V235" t="n">
        <v>7.348688</v>
      </c>
      <c r="W235" t="n">
        <v>11.569189</v>
      </c>
      <c r="X235" t="n">
        <v>39.082275</v>
      </c>
    </row>
    <row r="236" ht="21" customHeight="1">
      <c r="A236" t="inlineStr">
        <is>
          <t>Ommastrephes bartramii</t>
        </is>
      </c>
      <c r="B236" t="n">
        <v>4.37</v>
      </c>
      <c r="C236" t="n">
        <v>2344.228815</v>
      </c>
      <c r="D236" s="10" t="inlineStr">
        <is>
          <t>Cephalopods</t>
        </is>
      </c>
      <c r="H236" t="n">
        <v>1.261678</v>
      </c>
      <c r="I236" t="n">
        <v>26.779632</v>
      </c>
      <c r="J236" t="n">
        <v>26.779632</v>
      </c>
      <c r="K236" t="n">
        <v>26.351158</v>
      </c>
      <c r="L236" t="n">
        <v>36.734327</v>
      </c>
      <c r="M236" t="n">
        <v>26.808267</v>
      </c>
      <c r="N236" t="n">
        <v>26.808267</v>
      </c>
      <c r="O236" t="n">
        <v>8.403231999999999</v>
      </c>
      <c r="P236" t="n">
        <v>5.352524</v>
      </c>
      <c r="Q236" t="n">
        <v>26.808267</v>
      </c>
      <c r="R236" t="n">
        <v>26.808267</v>
      </c>
      <c r="S236" t="n">
        <v>8.403231999999999</v>
      </c>
      <c r="T236" t="n">
        <v>8.403231999999999</v>
      </c>
      <c r="U236" t="n">
        <v>5.352524</v>
      </c>
      <c r="V236" t="n">
        <v>5.352524</v>
      </c>
      <c r="W236" t="n">
        <v>8.371036999999999</v>
      </c>
      <c r="X236" t="n">
        <v>28.03948</v>
      </c>
    </row>
    <row r="237" ht="21" customHeight="1">
      <c r="A237" t="inlineStr">
        <is>
          <t>Mola mola</t>
        </is>
      </c>
      <c r="B237" t="n">
        <v>3.68</v>
      </c>
      <c r="C237" t="n">
        <v>478.630092</v>
      </c>
      <c r="D237" s="10" t="inlineStr">
        <is>
          <t>Unresolved</t>
        </is>
      </c>
    </row>
    <row r="238" ht="21" customHeight="1">
      <c r="A238" t="inlineStr">
        <is>
          <t>Scaridae</t>
        </is>
      </c>
      <c r="B238" t="n">
        <v>2</v>
      </c>
      <c r="C238" t="n">
        <v>10</v>
      </c>
      <c r="D238" s="10" t="inlineStr">
        <is>
          <t>Unresolved</t>
        </is>
      </c>
    </row>
    <row r="239" ht="21" customHeight="1">
      <c r="A239" t="inlineStr">
        <is>
          <t>Aluterus</t>
        </is>
      </c>
      <c r="B239" t="n">
        <v>2.81</v>
      </c>
      <c r="C239" t="n">
        <v>64.565423</v>
      </c>
      <c r="D239" s="10" t="inlineStr">
        <is>
          <t>Planktivores/piscivores</t>
        </is>
      </c>
      <c r="H239" t="n">
        <v>1.060477</v>
      </c>
      <c r="I239" t="n">
        <v>312.238659</v>
      </c>
      <c r="J239" t="n">
        <v>333.85951</v>
      </c>
      <c r="K239" t="n">
        <v>117.852407</v>
      </c>
      <c r="L239" t="n">
        <v>660.166914</v>
      </c>
      <c r="M239" t="n">
        <v>396.919939</v>
      </c>
      <c r="N239" t="n">
        <v>396.919939</v>
      </c>
      <c r="O239" t="n">
        <v>37.152542</v>
      </c>
      <c r="P239" t="n">
        <v>21.753571</v>
      </c>
      <c r="Q239" t="n">
        <v>396.919939</v>
      </c>
      <c r="R239" t="n">
        <v>396.919939</v>
      </c>
      <c r="S239" t="n">
        <v>37.152542</v>
      </c>
      <c r="T239" t="n">
        <v>37.152542</v>
      </c>
      <c r="U239" t="n">
        <v>21.753571</v>
      </c>
      <c r="V239" t="n">
        <v>21.753571</v>
      </c>
      <c r="W239" t="n">
        <v>38.166317</v>
      </c>
      <c r="X239" t="n">
        <v>408.736525</v>
      </c>
    </row>
    <row r="240" ht="21" customHeight="1">
      <c r="A240" t="inlineStr">
        <is>
          <t>Chionoecetes</t>
        </is>
      </c>
      <c r="D240" s="10" t="inlineStr">
        <is>
          <t>Crabs</t>
        </is>
      </c>
      <c r="H240" t="n">
        <v>0.50498</v>
      </c>
      <c r="I240" t="n">
        <v>5.117944</v>
      </c>
      <c r="J240" t="n">
        <v>5.117944</v>
      </c>
      <c r="K240" t="n">
        <v>4.688036</v>
      </c>
      <c r="L240" t="n">
        <v>11.032425</v>
      </c>
      <c r="M240" t="n">
        <v>5.117944</v>
      </c>
      <c r="N240" t="n">
        <v>5.117944</v>
      </c>
      <c r="O240" t="n">
        <v>2.72331</v>
      </c>
      <c r="P240" t="n">
        <v>1.83095</v>
      </c>
      <c r="Q240" t="n">
        <v>5.117944</v>
      </c>
      <c r="R240" t="n">
        <v>5.117944</v>
      </c>
      <c r="S240" t="n">
        <v>2.72331</v>
      </c>
      <c r="T240" t="n">
        <v>2.72331</v>
      </c>
      <c r="U240" t="n">
        <v>1.83095</v>
      </c>
      <c r="V240" t="n">
        <v>1.83095</v>
      </c>
      <c r="W240" t="n">
        <v>2.729441</v>
      </c>
      <c r="X240" t="n">
        <v>5.078558</v>
      </c>
    </row>
    <row r="241" ht="21" customHeight="1">
      <c r="A241" t="inlineStr">
        <is>
          <t>Prionace glauca</t>
        </is>
      </c>
      <c r="B241" t="n">
        <v>4.35</v>
      </c>
      <c r="C241" t="n">
        <v>2238.721139</v>
      </c>
      <c r="D241" s="10" t="inlineStr">
        <is>
          <t>Sharks</t>
        </is>
      </c>
      <c r="H241" t="n">
        <v>1.476725</v>
      </c>
      <c r="I241" t="n">
        <v>0</v>
      </c>
      <c r="J241" t="n">
        <v>90.909156</v>
      </c>
      <c r="L241" t="n">
        <v>0</v>
      </c>
      <c r="M241" t="n">
        <v>0</v>
      </c>
      <c r="N241" t="n">
        <v>0</v>
      </c>
      <c r="O241" t="n">
        <v>112.219658</v>
      </c>
      <c r="P241" t="n">
        <v>50.526882</v>
      </c>
      <c r="Q241" t="n">
        <v>0</v>
      </c>
      <c r="R241" t="n">
        <v>0</v>
      </c>
      <c r="S241" t="n">
        <v>112.219658</v>
      </c>
      <c r="T241" t="n">
        <v>112.219658</v>
      </c>
      <c r="U241" t="n">
        <v>50.526882</v>
      </c>
      <c r="V241" t="n">
        <v>50.526882</v>
      </c>
      <c r="W241" t="n">
        <v>111.931581</v>
      </c>
      <c r="X241" t="n">
        <v>0</v>
      </c>
    </row>
    <row r="242" ht="21" customHeight="1">
      <c r="A242" t="inlineStr">
        <is>
          <t>Scylla</t>
        </is>
      </c>
      <c r="B242" t="n">
        <v>3.17</v>
      </c>
      <c r="C242" t="n">
        <v>147.910839</v>
      </c>
      <c r="D242" s="10" t="inlineStr">
        <is>
          <t>Crabs</t>
        </is>
      </c>
      <c r="H242" t="n">
        <v>0.50498</v>
      </c>
      <c r="I242" t="n">
        <v>5.117944</v>
      </c>
      <c r="J242" t="n">
        <v>5.117944</v>
      </c>
      <c r="K242" t="n">
        <v>4.688036</v>
      </c>
      <c r="L242" t="n">
        <v>11.032425</v>
      </c>
      <c r="M242" t="n">
        <v>5.117944</v>
      </c>
      <c r="N242" t="n">
        <v>5.117944</v>
      </c>
      <c r="O242" t="n">
        <v>2.72331</v>
      </c>
      <c r="P242" t="n">
        <v>1.83095</v>
      </c>
      <c r="Q242" t="n">
        <v>5.117944</v>
      </c>
      <c r="R242" t="n">
        <v>5.117944</v>
      </c>
      <c r="S242" t="n">
        <v>2.72331</v>
      </c>
      <c r="T242" t="n">
        <v>2.72331</v>
      </c>
      <c r="U242" t="n">
        <v>1.83095</v>
      </c>
      <c r="V242" t="n">
        <v>1.83095</v>
      </c>
      <c r="W242" t="n">
        <v>2.729441</v>
      </c>
      <c r="X242" t="n">
        <v>5.078558</v>
      </c>
    </row>
    <row r="243" ht="21" customHeight="1">
      <c r="A243" t="inlineStr">
        <is>
          <t>Gadiformes</t>
        </is>
      </c>
      <c r="D243" s="10" t="inlineStr">
        <is>
          <t>Planktivores | Piscivores</t>
        </is>
      </c>
      <c r="H243" t="n">
        <v>1.372133</v>
      </c>
      <c r="I243" t="n">
        <v>67.04465399999999</v>
      </c>
      <c r="J243" t="n">
        <v>67.39120800000001</v>
      </c>
      <c r="K243" t="n">
        <v>59.662171</v>
      </c>
      <c r="L243" t="n">
        <v>106.407092</v>
      </c>
      <c r="M243" t="n">
        <v>74.09919600000001</v>
      </c>
      <c r="N243" t="n">
        <v>74.09919600000001</v>
      </c>
      <c r="O243" t="n">
        <v>16.159023</v>
      </c>
      <c r="P243" t="n">
        <v>9.368181999999999</v>
      </c>
      <c r="Q243" t="n">
        <v>74.09919600000001</v>
      </c>
      <c r="R243" t="n">
        <v>74.09919600000001</v>
      </c>
      <c r="S243" t="n">
        <v>16.159023</v>
      </c>
      <c r="T243" t="n">
        <v>16.159023</v>
      </c>
      <c r="U243" t="n">
        <v>9.368181999999999</v>
      </c>
      <c r="V243" t="n">
        <v>9.368181999999999</v>
      </c>
      <c r="W243" t="n">
        <v>16.360315</v>
      </c>
      <c r="X243" t="n">
        <v>74.24808899999999</v>
      </c>
    </row>
    <row r="244" ht="21" customHeight="1">
      <c r="A244" t="inlineStr">
        <is>
          <t>Encrasicholina punctifer</t>
        </is>
      </c>
      <c r="B244" t="n">
        <v>3.25</v>
      </c>
      <c r="C244" t="n">
        <v>177.827941</v>
      </c>
      <c r="D244" s="10" t="inlineStr">
        <is>
          <t>Planktivores</t>
        </is>
      </c>
      <c r="H244" t="n">
        <v>1.333042</v>
      </c>
      <c r="I244" t="n">
        <v>37.009201</v>
      </c>
      <c r="J244" t="n">
        <v>37.009201</v>
      </c>
      <c r="K244" t="n">
        <v>36.935183</v>
      </c>
      <c r="L244" t="n">
        <v>51.741399</v>
      </c>
      <c r="M244" t="n">
        <v>37.478814</v>
      </c>
      <c r="N244" t="n">
        <v>37.478814</v>
      </c>
      <c r="O244" t="n">
        <v>11.531637</v>
      </c>
      <c r="P244" t="n">
        <v>7.348688</v>
      </c>
      <c r="Q244" t="n">
        <v>37.478814</v>
      </c>
      <c r="R244" t="n">
        <v>37.478814</v>
      </c>
      <c r="S244" t="n">
        <v>11.531637</v>
      </c>
      <c r="T244" t="n">
        <v>11.531637</v>
      </c>
      <c r="U244" t="n">
        <v>7.348688</v>
      </c>
      <c r="V244" t="n">
        <v>7.348688</v>
      </c>
      <c r="W244" t="n">
        <v>11.569189</v>
      </c>
      <c r="X244" t="n">
        <v>39.082275</v>
      </c>
    </row>
    <row r="245" ht="21" customHeight="1">
      <c r="A245" t="inlineStr">
        <is>
          <t>Nibea albiflora</t>
        </is>
      </c>
      <c r="B245" t="n">
        <v>3.5</v>
      </c>
      <c r="C245" t="n">
        <v>316.227766</v>
      </c>
      <c r="D245" s="10" t="inlineStr">
        <is>
          <t>Omnivores</t>
        </is>
      </c>
      <c r="H245" t="n">
        <v>1.193784</v>
      </c>
      <c r="I245" t="n">
        <v>39.151197</v>
      </c>
      <c r="J245" t="n">
        <v>40.599509</v>
      </c>
      <c r="K245" t="n">
        <v>40.55891</v>
      </c>
      <c r="L245" t="n">
        <v>72.544996</v>
      </c>
      <c r="M245" t="n">
        <v>45.483756</v>
      </c>
      <c r="N245" t="n">
        <v>45.483756</v>
      </c>
      <c r="O245" t="n">
        <v>9.364795000000001</v>
      </c>
      <c r="P245" t="n">
        <v>5.330494</v>
      </c>
      <c r="Q245" t="n">
        <v>45.483756</v>
      </c>
      <c r="R245" t="n">
        <v>45.483756</v>
      </c>
      <c r="S245" t="n">
        <v>9.364795000000001</v>
      </c>
      <c r="T245" t="n">
        <v>9.364795000000001</v>
      </c>
      <c r="U245" t="n">
        <v>5.330494</v>
      </c>
      <c r="V245" t="n">
        <v>5.330494</v>
      </c>
      <c r="W245" t="n">
        <v>9.429866000000001</v>
      </c>
      <c r="X245" t="n">
        <v>45.585525</v>
      </c>
    </row>
    <row r="246" ht="21" customHeight="1">
      <c r="A246" t="inlineStr">
        <is>
          <t>Carcharhinus falciformis</t>
        </is>
      </c>
      <c r="B246" t="n">
        <v>4.51</v>
      </c>
      <c r="C246" t="n">
        <v>3235.936569</v>
      </c>
      <c r="D246" s="10" t="inlineStr">
        <is>
          <t>Sharks</t>
        </is>
      </c>
      <c r="H246" t="n">
        <v>1.476725</v>
      </c>
      <c r="I246" t="n">
        <v>0</v>
      </c>
      <c r="J246" t="n">
        <v>90.909156</v>
      </c>
      <c r="L246" t="n">
        <v>0</v>
      </c>
      <c r="M246" t="n">
        <v>0</v>
      </c>
      <c r="N246" t="n">
        <v>0</v>
      </c>
      <c r="O246" t="n">
        <v>112.219658</v>
      </c>
      <c r="P246" t="n">
        <v>50.526882</v>
      </c>
      <c r="Q246" t="n">
        <v>0</v>
      </c>
      <c r="R246" t="n">
        <v>0</v>
      </c>
      <c r="S246" t="n">
        <v>112.219658</v>
      </c>
      <c r="T246" t="n">
        <v>112.219658</v>
      </c>
      <c r="U246" t="n">
        <v>50.526882</v>
      </c>
      <c r="V246" t="n">
        <v>50.526882</v>
      </c>
      <c r="W246" t="n">
        <v>111.931581</v>
      </c>
      <c r="X246" t="n">
        <v>0</v>
      </c>
    </row>
    <row r="247" ht="21" customHeight="1">
      <c r="A247" t="inlineStr">
        <is>
          <t>Parupeneus barberinus</t>
        </is>
      </c>
      <c r="B247" t="n">
        <v>3.22</v>
      </c>
      <c r="C247" t="n">
        <v>165.958691</v>
      </c>
      <c r="D247" s="10" t="inlineStr">
        <is>
          <t>Benthivores</t>
        </is>
      </c>
      <c r="H247" t="n">
        <v>0.507881</v>
      </c>
      <c r="I247" t="n">
        <v>15.397089</v>
      </c>
      <c r="J247" t="n">
        <v>16.480074</v>
      </c>
      <c r="K247" t="n">
        <v>16.397674</v>
      </c>
      <c r="L247" t="n">
        <v>385.228839</v>
      </c>
      <c r="M247" t="n">
        <v>217.802518</v>
      </c>
      <c r="N247" t="n">
        <v>217.802518</v>
      </c>
      <c r="O247" t="n">
        <v>5.627856</v>
      </c>
      <c r="P247" t="n">
        <v>3.14648</v>
      </c>
      <c r="Q247" t="n">
        <v>217.802518</v>
      </c>
      <c r="R247" t="n">
        <v>217.802518</v>
      </c>
      <c r="S247" t="n">
        <v>5.627856</v>
      </c>
      <c r="T247" t="n">
        <v>5.627856</v>
      </c>
      <c r="U247" t="n">
        <v>3.14648</v>
      </c>
      <c r="V247" t="n">
        <v>3.14648</v>
      </c>
      <c r="W247" t="n">
        <v>5.794366</v>
      </c>
      <c r="X247" t="n">
        <v>21.50578</v>
      </c>
    </row>
    <row r="248" ht="21" customHeight="1">
      <c r="A248" t="inlineStr">
        <is>
          <t>Epinephelus malabaricus</t>
        </is>
      </c>
      <c r="B248" t="n">
        <v>4.16</v>
      </c>
      <c r="C248" t="n">
        <v>1445.439771</v>
      </c>
      <c r="D248" s="10" t="inlineStr">
        <is>
          <t>Piscivores</t>
        </is>
      </c>
      <c r="H248" t="n">
        <v>1.498127</v>
      </c>
      <c r="I248" t="n">
        <v>163.850229</v>
      </c>
      <c r="J248" t="n">
        <v>165.313739</v>
      </c>
      <c r="K248" t="n">
        <v>132.912246</v>
      </c>
      <c r="L248" t="n">
        <v>282.597002</v>
      </c>
      <c r="M248" t="n">
        <v>192.12828</v>
      </c>
      <c r="N248" t="n">
        <v>192.12828</v>
      </c>
      <c r="O248" t="n">
        <v>31.073292</v>
      </c>
      <c r="P248" t="n">
        <v>15.877096</v>
      </c>
      <c r="Q248" t="n">
        <v>192.12828</v>
      </c>
      <c r="R248" t="n">
        <v>192.12828</v>
      </c>
      <c r="S248" t="n">
        <v>31.073292</v>
      </c>
      <c r="T248" t="n">
        <v>31.073292</v>
      </c>
      <c r="U248" t="n">
        <v>15.877096</v>
      </c>
      <c r="V248" t="n">
        <v>15.877096</v>
      </c>
      <c r="W248" t="n">
        <v>31.802322</v>
      </c>
      <c r="X248" t="n">
        <v>187.589042</v>
      </c>
    </row>
    <row r="249" ht="21" customHeight="1">
      <c r="A249" t="inlineStr">
        <is>
          <t>Ranina ranina</t>
        </is>
      </c>
      <c r="D249" s="10" t="inlineStr">
        <is>
          <t>Crabs</t>
        </is>
      </c>
      <c r="H249" t="n">
        <v>0.50498</v>
      </c>
      <c r="I249" t="n">
        <v>5.117944</v>
      </c>
      <c r="J249" t="n">
        <v>5.117944</v>
      </c>
      <c r="K249" t="n">
        <v>4.688036</v>
      </c>
      <c r="L249" t="n">
        <v>11.032425</v>
      </c>
      <c r="M249" t="n">
        <v>5.117944</v>
      </c>
      <c r="N249" t="n">
        <v>5.117944</v>
      </c>
      <c r="O249" t="n">
        <v>2.72331</v>
      </c>
      <c r="P249" t="n">
        <v>1.83095</v>
      </c>
      <c r="Q249" t="n">
        <v>5.117944</v>
      </c>
      <c r="R249" t="n">
        <v>5.117944</v>
      </c>
      <c r="S249" t="n">
        <v>2.72331</v>
      </c>
      <c r="T249" t="n">
        <v>2.72331</v>
      </c>
      <c r="U249" t="n">
        <v>1.83095</v>
      </c>
      <c r="V249" t="n">
        <v>1.83095</v>
      </c>
      <c r="W249" t="n">
        <v>2.729441</v>
      </c>
      <c r="X249" t="n">
        <v>5.078558</v>
      </c>
    </row>
    <row r="250" ht="21" customHeight="1">
      <c r="A250" t="inlineStr">
        <is>
          <t>Metapenaeus ensis</t>
        </is>
      </c>
      <c r="B250" t="n">
        <v>2.7</v>
      </c>
      <c r="C250" t="n">
        <v>50.118723</v>
      </c>
      <c r="D250" s="10" t="inlineStr">
        <is>
          <t>Shrimps</t>
        </is>
      </c>
      <c r="H250" t="n">
        <v>0.472671</v>
      </c>
      <c r="I250" t="n">
        <v>7.184768</v>
      </c>
      <c r="J250" t="n">
        <v>7.184768</v>
      </c>
      <c r="K250" t="n">
        <v>7.177583</v>
      </c>
      <c r="L250" t="n">
        <v>13.927162</v>
      </c>
      <c r="M250" t="n">
        <v>7.184768</v>
      </c>
      <c r="N250" t="n">
        <v>7.184768</v>
      </c>
      <c r="O250" t="n">
        <v>2.606682</v>
      </c>
      <c r="P250" t="n">
        <v>1.759834</v>
      </c>
      <c r="Q250" t="n">
        <v>7.184768</v>
      </c>
      <c r="R250" t="n">
        <v>7.184768</v>
      </c>
      <c r="S250" t="n">
        <v>2.606682</v>
      </c>
      <c r="T250" t="n">
        <v>2.606682</v>
      </c>
      <c r="U250" t="n">
        <v>1.759834</v>
      </c>
      <c r="V250" t="n">
        <v>1.759834</v>
      </c>
      <c r="W250" t="n">
        <v>2.643462</v>
      </c>
      <c r="X250" t="n">
        <v>7.655045</v>
      </c>
    </row>
    <row r="251" ht="21" customHeight="1">
      <c r="A251" t="inlineStr">
        <is>
          <t>Rachycentron canadum</t>
        </is>
      </c>
      <c r="B251" t="n">
        <v>3.96</v>
      </c>
      <c r="C251" t="n">
        <v>912.010839</v>
      </c>
      <c r="D251" s="10" t="inlineStr">
        <is>
          <t>Piscivores</t>
        </is>
      </c>
      <c r="H251" t="n">
        <v>1.498127</v>
      </c>
      <c r="I251" t="n">
        <v>163.850229</v>
      </c>
      <c r="J251" t="n">
        <v>165.313739</v>
      </c>
      <c r="K251" t="n">
        <v>132.912246</v>
      </c>
      <c r="L251" t="n">
        <v>282.597002</v>
      </c>
      <c r="M251" t="n">
        <v>192.12828</v>
      </c>
      <c r="N251" t="n">
        <v>192.12828</v>
      </c>
      <c r="O251" t="n">
        <v>31.073292</v>
      </c>
      <c r="P251" t="n">
        <v>15.877096</v>
      </c>
      <c r="Q251" t="n">
        <v>192.12828</v>
      </c>
      <c r="R251" t="n">
        <v>192.12828</v>
      </c>
      <c r="S251" t="n">
        <v>31.073292</v>
      </c>
      <c r="T251" t="n">
        <v>31.073292</v>
      </c>
      <c r="U251" t="n">
        <v>15.877096</v>
      </c>
      <c r="V251" t="n">
        <v>15.877096</v>
      </c>
      <c r="W251" t="n">
        <v>31.802322</v>
      </c>
      <c r="X251" t="n">
        <v>187.589042</v>
      </c>
    </row>
    <row r="252" ht="21" customHeight="1">
      <c r="A252" t="inlineStr">
        <is>
          <t>Sphyraena barracuda</t>
        </is>
      </c>
      <c r="B252" t="n">
        <v>4.49</v>
      </c>
      <c r="C252" t="n">
        <v>3090.295433</v>
      </c>
      <c r="D252" s="10" t="inlineStr">
        <is>
          <t>Piscivores</t>
        </is>
      </c>
      <c r="H252" t="n">
        <v>1.498127</v>
      </c>
      <c r="I252" t="n">
        <v>163.850229</v>
      </c>
      <c r="J252" t="n">
        <v>165.313739</v>
      </c>
      <c r="K252" t="n">
        <v>132.912246</v>
      </c>
      <c r="L252" t="n">
        <v>282.597002</v>
      </c>
      <c r="M252" t="n">
        <v>192.12828</v>
      </c>
      <c r="N252" t="n">
        <v>192.12828</v>
      </c>
      <c r="O252" t="n">
        <v>31.073292</v>
      </c>
      <c r="P252" t="n">
        <v>15.877096</v>
      </c>
      <c r="Q252" t="n">
        <v>192.12828</v>
      </c>
      <c r="R252" t="n">
        <v>192.12828</v>
      </c>
      <c r="S252" t="n">
        <v>31.073292</v>
      </c>
      <c r="T252" t="n">
        <v>31.073292</v>
      </c>
      <c r="U252" t="n">
        <v>15.877096</v>
      </c>
      <c r="V252" t="n">
        <v>15.877096</v>
      </c>
      <c r="W252" t="n">
        <v>31.802322</v>
      </c>
      <c r="X252" t="n">
        <v>187.589042</v>
      </c>
    </row>
    <row r="253" ht="21" customHeight="1">
      <c r="A253" t="inlineStr">
        <is>
          <t>Berycidae</t>
        </is>
      </c>
      <c r="B253" t="n">
        <v>3.99</v>
      </c>
      <c r="C253" t="n">
        <v>977.237221</v>
      </c>
      <c r="D253" s="10" t="inlineStr">
        <is>
          <t>Piscivores</t>
        </is>
      </c>
      <c r="H253" t="n">
        <v>1.498127</v>
      </c>
      <c r="I253" t="n">
        <v>163.850229</v>
      </c>
      <c r="J253" t="n">
        <v>165.313739</v>
      </c>
      <c r="K253" t="n">
        <v>132.912246</v>
      </c>
      <c r="L253" t="n">
        <v>282.597002</v>
      </c>
      <c r="M253" t="n">
        <v>192.12828</v>
      </c>
      <c r="N253" t="n">
        <v>192.12828</v>
      </c>
      <c r="O253" t="n">
        <v>31.073292</v>
      </c>
      <c r="P253" t="n">
        <v>15.877096</v>
      </c>
      <c r="Q253" t="n">
        <v>192.12828</v>
      </c>
      <c r="R253" t="n">
        <v>192.12828</v>
      </c>
      <c r="S253" t="n">
        <v>31.073292</v>
      </c>
      <c r="T253" t="n">
        <v>31.073292</v>
      </c>
      <c r="U253" t="n">
        <v>15.877096</v>
      </c>
      <c r="V253" t="n">
        <v>15.877096</v>
      </c>
      <c r="W253" t="n">
        <v>31.802322</v>
      </c>
      <c r="X253" t="n">
        <v>187.589042</v>
      </c>
    </row>
    <row r="254" ht="21" customHeight="1">
      <c r="A254" t="inlineStr">
        <is>
          <t>Psettodes erumei</t>
        </is>
      </c>
      <c r="B254" t="n">
        <v>4.39</v>
      </c>
      <c r="C254" t="n">
        <v>2454.708916</v>
      </c>
      <c r="D254" s="10" t="inlineStr">
        <is>
          <t>Piscivores</t>
        </is>
      </c>
      <c r="H254" t="n">
        <v>1.498127</v>
      </c>
      <c r="I254" t="n">
        <v>163.850229</v>
      </c>
      <c r="J254" t="n">
        <v>165.313739</v>
      </c>
      <c r="K254" t="n">
        <v>132.912246</v>
      </c>
      <c r="L254" t="n">
        <v>282.597002</v>
      </c>
      <c r="M254" t="n">
        <v>192.12828</v>
      </c>
      <c r="N254" t="n">
        <v>192.12828</v>
      </c>
      <c r="O254" t="n">
        <v>31.073292</v>
      </c>
      <c r="P254" t="n">
        <v>15.877096</v>
      </c>
      <c r="Q254" t="n">
        <v>192.12828</v>
      </c>
      <c r="R254" t="n">
        <v>192.12828</v>
      </c>
      <c r="S254" t="n">
        <v>31.073292</v>
      </c>
      <c r="T254" t="n">
        <v>31.073292</v>
      </c>
      <c r="U254" t="n">
        <v>15.877096</v>
      </c>
      <c r="V254" t="n">
        <v>15.877096</v>
      </c>
      <c r="W254" t="n">
        <v>31.802322</v>
      </c>
      <c r="X254" t="n">
        <v>187.589042</v>
      </c>
    </row>
    <row r="255" ht="21" customHeight="1">
      <c r="A255" t="inlineStr">
        <is>
          <t>Paralithodes</t>
        </is>
      </c>
      <c r="D255" s="10" t="inlineStr">
        <is>
          <t>Crabs</t>
        </is>
      </c>
      <c r="H255" t="n">
        <v>0.50498</v>
      </c>
      <c r="I255" t="n">
        <v>5.117944</v>
      </c>
      <c r="J255" t="n">
        <v>5.117944</v>
      </c>
      <c r="K255" t="n">
        <v>4.688036</v>
      </c>
      <c r="L255" t="n">
        <v>11.032425</v>
      </c>
      <c r="M255" t="n">
        <v>5.117944</v>
      </c>
      <c r="N255" t="n">
        <v>5.117944</v>
      </c>
      <c r="O255" t="n">
        <v>2.72331</v>
      </c>
      <c r="P255" t="n">
        <v>1.83095</v>
      </c>
      <c r="Q255" t="n">
        <v>5.117944</v>
      </c>
      <c r="R255" t="n">
        <v>5.117944</v>
      </c>
      <c r="S255" t="n">
        <v>2.72331</v>
      </c>
      <c r="T255" t="n">
        <v>2.72331</v>
      </c>
      <c r="U255" t="n">
        <v>1.83095</v>
      </c>
      <c r="V255" t="n">
        <v>1.83095</v>
      </c>
      <c r="W255" t="n">
        <v>2.729441</v>
      </c>
      <c r="X255" t="n">
        <v>5.078558</v>
      </c>
    </row>
    <row r="256" ht="21" customHeight="1">
      <c r="A256" t="inlineStr">
        <is>
          <t>Hemitrygon akajei</t>
        </is>
      </c>
      <c r="B256" t="n">
        <v>3.84</v>
      </c>
      <c r="C256" t="n">
        <v>691.830971</v>
      </c>
      <c r="D256" s="10" t="inlineStr">
        <is>
          <t>Benthivores</t>
        </is>
      </c>
      <c r="H256" t="n">
        <v>0.507881</v>
      </c>
      <c r="I256" t="n">
        <v>15.397089</v>
      </c>
      <c r="J256" t="n">
        <v>16.480074</v>
      </c>
      <c r="K256" t="n">
        <v>16.397674</v>
      </c>
      <c r="L256" t="n">
        <v>385.228839</v>
      </c>
      <c r="M256" t="n">
        <v>217.802518</v>
      </c>
      <c r="N256" t="n">
        <v>217.802518</v>
      </c>
      <c r="O256" t="n">
        <v>5.627856</v>
      </c>
      <c r="P256" t="n">
        <v>3.14648</v>
      </c>
      <c r="Q256" t="n">
        <v>217.802518</v>
      </c>
      <c r="R256" t="n">
        <v>217.802518</v>
      </c>
      <c r="S256" t="n">
        <v>5.627856</v>
      </c>
      <c r="T256" t="n">
        <v>5.627856</v>
      </c>
      <c r="U256" t="n">
        <v>3.14648</v>
      </c>
      <c r="V256" t="n">
        <v>3.14648</v>
      </c>
      <c r="W256" t="n">
        <v>5.794366</v>
      </c>
      <c r="X256" t="n">
        <v>21.50578</v>
      </c>
    </row>
    <row r="257" ht="21" customHeight="1">
      <c r="A257" t="inlineStr">
        <is>
          <t>Chionoecetes opilio</t>
        </is>
      </c>
      <c r="B257" t="n">
        <v>3.54</v>
      </c>
      <c r="C257" t="n">
        <v>346.73685</v>
      </c>
      <c r="D257" s="10" t="inlineStr">
        <is>
          <t>Crabs</t>
        </is>
      </c>
      <c r="H257" t="n">
        <v>0.50498</v>
      </c>
      <c r="I257" t="n">
        <v>5.117944</v>
      </c>
      <c r="J257" t="n">
        <v>5.117944</v>
      </c>
      <c r="K257" t="n">
        <v>4.688036</v>
      </c>
      <c r="L257" t="n">
        <v>11.032425</v>
      </c>
      <c r="M257" t="n">
        <v>5.117944</v>
      </c>
      <c r="N257" t="n">
        <v>5.117944</v>
      </c>
      <c r="O257" t="n">
        <v>2.72331</v>
      </c>
      <c r="P257" t="n">
        <v>1.83095</v>
      </c>
      <c r="Q257" t="n">
        <v>5.117944</v>
      </c>
      <c r="R257" t="n">
        <v>5.117944</v>
      </c>
      <c r="S257" t="n">
        <v>2.72331</v>
      </c>
      <c r="T257" t="n">
        <v>2.72331</v>
      </c>
      <c r="U257" t="n">
        <v>1.83095</v>
      </c>
      <c r="V257" t="n">
        <v>1.83095</v>
      </c>
      <c r="W257" t="n">
        <v>2.729441</v>
      </c>
      <c r="X257" t="n">
        <v>5.078558</v>
      </c>
    </row>
    <row r="258" ht="21" customHeight="1">
      <c r="A258" t="inlineStr">
        <is>
          <t>Sillago sihama</t>
        </is>
      </c>
      <c r="B258" t="n">
        <v>3.33</v>
      </c>
      <c r="C258" t="n">
        <v>213.796209</v>
      </c>
      <c r="D258" s="10" t="inlineStr">
        <is>
          <t>Benthivores</t>
        </is>
      </c>
      <c r="H258" t="n">
        <v>0.507881</v>
      </c>
      <c r="I258" t="n">
        <v>15.397089</v>
      </c>
      <c r="J258" t="n">
        <v>16.480074</v>
      </c>
      <c r="K258" t="n">
        <v>16.397674</v>
      </c>
      <c r="L258" t="n">
        <v>385.228839</v>
      </c>
      <c r="M258" t="n">
        <v>217.802518</v>
      </c>
      <c r="N258" t="n">
        <v>217.802518</v>
      </c>
      <c r="O258" t="n">
        <v>5.627856</v>
      </c>
      <c r="P258" t="n">
        <v>3.14648</v>
      </c>
      <c r="Q258" t="n">
        <v>217.802518</v>
      </c>
      <c r="R258" t="n">
        <v>217.802518</v>
      </c>
      <c r="S258" t="n">
        <v>5.627856</v>
      </c>
      <c r="T258" t="n">
        <v>5.627856</v>
      </c>
      <c r="U258" t="n">
        <v>3.14648</v>
      </c>
      <c r="V258" t="n">
        <v>3.14648</v>
      </c>
      <c r="W258" t="n">
        <v>5.794366</v>
      </c>
      <c r="X258" t="n">
        <v>21.50578</v>
      </c>
    </row>
    <row r="259" ht="21" customHeight="1">
      <c r="A259" t="inlineStr">
        <is>
          <t>Lethrinus miniatus</t>
        </is>
      </c>
      <c r="B259" t="n">
        <v>4.19</v>
      </c>
      <c r="C259" t="n">
        <v>1548.816619</v>
      </c>
      <c r="D259" s="10" t="inlineStr">
        <is>
          <t>Benthivores/piscivores</t>
        </is>
      </c>
      <c r="H259" t="n">
        <v>0.86744</v>
      </c>
      <c r="I259" t="n">
        <v>19.560587</v>
      </c>
      <c r="J259" t="n">
        <v>19.580296</v>
      </c>
      <c r="K259" t="n">
        <v>19.286591</v>
      </c>
      <c r="L259" t="n">
        <v>34.759886</v>
      </c>
      <c r="M259" t="n">
        <v>20.178818</v>
      </c>
      <c r="N259" t="n">
        <v>20.178818</v>
      </c>
      <c r="O259" t="n">
        <v>6.006603</v>
      </c>
      <c r="P259" t="n">
        <v>3.449698</v>
      </c>
      <c r="Q259" t="n">
        <v>20.178818</v>
      </c>
      <c r="R259" t="n">
        <v>20.178818</v>
      </c>
      <c r="S259" t="n">
        <v>6.006603</v>
      </c>
      <c r="T259" t="n">
        <v>6.006603</v>
      </c>
      <c r="U259" t="n">
        <v>3.449698</v>
      </c>
      <c r="V259" t="n">
        <v>3.449698</v>
      </c>
      <c r="W259" t="n">
        <v>6.116899</v>
      </c>
      <c r="X259" t="n">
        <v>20.709505</v>
      </c>
    </row>
    <row r="260" ht="21" customHeight="1">
      <c r="A260" t="inlineStr">
        <is>
          <t>Istiophorus platypterus</t>
        </is>
      </c>
      <c r="B260" t="n">
        <v>4.5</v>
      </c>
      <c r="C260" t="n">
        <v>3162.27766</v>
      </c>
      <c r="D260" s="10" t="inlineStr">
        <is>
          <t>Piscivores</t>
        </is>
      </c>
      <c r="H260" t="n">
        <v>1.498127</v>
      </c>
      <c r="I260" t="n">
        <v>163.850229</v>
      </c>
      <c r="J260" t="n">
        <v>165.313739</v>
      </c>
      <c r="K260" t="n">
        <v>132.912246</v>
      </c>
      <c r="L260" t="n">
        <v>282.597002</v>
      </c>
      <c r="M260" t="n">
        <v>192.12828</v>
      </c>
      <c r="N260" t="n">
        <v>192.12828</v>
      </c>
      <c r="O260" t="n">
        <v>31.073292</v>
      </c>
      <c r="P260" t="n">
        <v>15.877096</v>
      </c>
      <c r="Q260" t="n">
        <v>192.12828</v>
      </c>
      <c r="R260" t="n">
        <v>192.12828</v>
      </c>
      <c r="S260" t="n">
        <v>31.073292</v>
      </c>
      <c r="T260" t="n">
        <v>31.073292</v>
      </c>
      <c r="U260" t="n">
        <v>15.877096</v>
      </c>
      <c r="V260" t="n">
        <v>15.877096</v>
      </c>
      <c r="W260" t="n">
        <v>31.802322</v>
      </c>
      <c r="X260" t="n">
        <v>187.589042</v>
      </c>
    </row>
    <row r="261" ht="21" customHeight="1">
      <c r="A261" t="inlineStr">
        <is>
          <t>Lutjanus bohar</t>
        </is>
      </c>
      <c r="B261" t="n">
        <v>4.27</v>
      </c>
      <c r="C261" t="n">
        <v>1862.087137</v>
      </c>
      <c r="D261" s="10" t="inlineStr">
        <is>
          <t>Piscivores</t>
        </is>
      </c>
      <c r="H261" t="n">
        <v>1.498127</v>
      </c>
      <c r="I261" t="n">
        <v>163.850229</v>
      </c>
      <c r="J261" t="n">
        <v>165.313739</v>
      </c>
      <c r="K261" t="n">
        <v>132.912246</v>
      </c>
      <c r="L261" t="n">
        <v>282.597002</v>
      </c>
      <c r="M261" t="n">
        <v>192.12828</v>
      </c>
      <c r="N261" t="n">
        <v>192.12828</v>
      </c>
      <c r="O261" t="n">
        <v>31.073292</v>
      </c>
      <c r="P261" t="n">
        <v>15.877096</v>
      </c>
      <c r="Q261" t="n">
        <v>192.12828</v>
      </c>
      <c r="R261" t="n">
        <v>192.12828</v>
      </c>
      <c r="S261" t="n">
        <v>31.073292</v>
      </c>
      <c r="T261" t="n">
        <v>31.073292</v>
      </c>
      <c r="U261" t="n">
        <v>15.877096</v>
      </c>
      <c r="V261" t="n">
        <v>15.877096</v>
      </c>
      <c r="W261" t="n">
        <v>31.802322</v>
      </c>
      <c r="X261" t="n">
        <v>187.589042</v>
      </c>
    </row>
    <row r="262" ht="21" customHeight="1">
      <c r="A262" t="inlineStr">
        <is>
          <t>Rhincodon typus</t>
        </is>
      </c>
      <c r="D262" s="10" t="inlineStr">
        <is>
          <t>Sharks</t>
        </is>
      </c>
      <c r="H262" t="n">
        <v>1.476725</v>
      </c>
      <c r="I262" t="n">
        <v>0</v>
      </c>
      <c r="J262" t="n">
        <v>90.909156</v>
      </c>
      <c r="L262" t="n">
        <v>0</v>
      </c>
      <c r="M262" t="n">
        <v>0</v>
      </c>
      <c r="N262" t="n">
        <v>0</v>
      </c>
      <c r="O262" t="n">
        <v>112.219658</v>
      </c>
      <c r="P262" t="n">
        <v>50.526882</v>
      </c>
      <c r="Q262" t="n">
        <v>0</v>
      </c>
      <c r="R262" t="n">
        <v>0</v>
      </c>
      <c r="S262" t="n">
        <v>112.219658</v>
      </c>
      <c r="T262" t="n">
        <v>112.219658</v>
      </c>
      <c r="U262" t="n">
        <v>50.526882</v>
      </c>
      <c r="V262" t="n">
        <v>50.526882</v>
      </c>
      <c r="W262" t="n">
        <v>111.931581</v>
      </c>
      <c r="X262" t="n">
        <v>0</v>
      </c>
    </row>
    <row r="263" ht="21" customHeight="1">
      <c r="A263" t="inlineStr">
        <is>
          <t>Sergestidae</t>
        </is>
      </c>
      <c r="B263" t="n">
        <v>2.93</v>
      </c>
      <c r="C263" t="n">
        <v>85.113804</v>
      </c>
      <c r="D263" s="10" t="inlineStr">
        <is>
          <t>Shrimps</t>
        </is>
      </c>
      <c r="H263" t="n">
        <v>0.472671</v>
      </c>
      <c r="I263" t="n">
        <v>7.184768</v>
      </c>
      <c r="J263" t="n">
        <v>7.184768</v>
      </c>
      <c r="K263" t="n">
        <v>7.177583</v>
      </c>
      <c r="L263" t="n">
        <v>13.927162</v>
      </c>
      <c r="M263" t="n">
        <v>7.184768</v>
      </c>
      <c r="N263" t="n">
        <v>7.184768</v>
      </c>
      <c r="O263" t="n">
        <v>2.606682</v>
      </c>
      <c r="P263" t="n">
        <v>1.759834</v>
      </c>
      <c r="Q263" t="n">
        <v>7.184768</v>
      </c>
      <c r="R263" t="n">
        <v>7.184768</v>
      </c>
      <c r="S263" t="n">
        <v>2.606682</v>
      </c>
      <c r="T263" t="n">
        <v>2.606682</v>
      </c>
      <c r="U263" t="n">
        <v>1.759834</v>
      </c>
      <c r="V263" t="n">
        <v>1.759834</v>
      </c>
      <c r="W263" t="n">
        <v>2.643462</v>
      </c>
      <c r="X263" t="n">
        <v>7.655045</v>
      </c>
    </row>
    <row r="264" ht="21" customHeight="1">
      <c r="A264" t="inlineStr">
        <is>
          <t>Lepidocybium flavobrunneum</t>
        </is>
      </c>
      <c r="D264" s="10" t="inlineStr">
        <is>
          <t>Benthivores/piscivores</t>
        </is>
      </c>
      <c r="H264" t="n">
        <v>0.86744</v>
      </c>
      <c r="I264" t="n">
        <v>19.560587</v>
      </c>
      <c r="J264" t="n">
        <v>19.580296</v>
      </c>
      <c r="K264" t="n">
        <v>19.286591</v>
      </c>
      <c r="L264" t="n">
        <v>34.759886</v>
      </c>
      <c r="M264" t="n">
        <v>20.178818</v>
      </c>
      <c r="N264" t="n">
        <v>20.178818</v>
      </c>
      <c r="O264" t="n">
        <v>6.006603</v>
      </c>
      <c r="P264" t="n">
        <v>3.449698</v>
      </c>
      <c r="Q264" t="n">
        <v>20.178818</v>
      </c>
      <c r="R264" t="n">
        <v>20.178818</v>
      </c>
      <c r="S264" t="n">
        <v>6.006603</v>
      </c>
      <c r="T264" t="n">
        <v>6.006603</v>
      </c>
      <c r="U264" t="n">
        <v>3.449698</v>
      </c>
      <c r="V264" t="n">
        <v>3.449698</v>
      </c>
      <c r="W264" t="n">
        <v>6.116899</v>
      </c>
      <c r="X264" t="n">
        <v>20.709505</v>
      </c>
    </row>
    <row r="265" ht="21" customHeight="1">
      <c r="A265" t="inlineStr">
        <is>
          <t>Acetes</t>
        </is>
      </c>
      <c r="B265" t="n">
        <v>2.7</v>
      </c>
      <c r="C265" t="n">
        <v>50.118723</v>
      </c>
      <c r="D265" s="10" t="inlineStr">
        <is>
          <t>Shrimps</t>
        </is>
      </c>
      <c r="H265" t="n">
        <v>0.472671</v>
      </c>
      <c r="I265" t="n">
        <v>7.184768</v>
      </c>
      <c r="J265" t="n">
        <v>7.184768</v>
      </c>
      <c r="K265" t="n">
        <v>7.177583</v>
      </c>
      <c r="L265" t="n">
        <v>13.927162</v>
      </c>
      <c r="M265" t="n">
        <v>7.184768</v>
      </c>
      <c r="N265" t="n">
        <v>7.184768</v>
      </c>
      <c r="O265" t="n">
        <v>2.606682</v>
      </c>
      <c r="P265" t="n">
        <v>1.759834</v>
      </c>
      <c r="Q265" t="n">
        <v>7.184768</v>
      </c>
      <c r="R265" t="n">
        <v>7.184768</v>
      </c>
      <c r="S265" t="n">
        <v>2.606682</v>
      </c>
      <c r="T265" t="n">
        <v>2.606682</v>
      </c>
      <c r="U265" t="n">
        <v>1.759834</v>
      </c>
      <c r="V265" t="n">
        <v>1.759834</v>
      </c>
      <c r="W265" t="n">
        <v>2.643462</v>
      </c>
      <c r="X265" t="n">
        <v>7.655045</v>
      </c>
    </row>
    <row r="266" ht="21" customHeight="1">
      <c r="A266" t="inlineStr">
        <is>
          <t>Zenopsis nebulosa</t>
        </is>
      </c>
      <c r="B266" t="n">
        <v>3.98</v>
      </c>
      <c r="C266" t="n">
        <v>954.992586</v>
      </c>
      <c r="D266" s="10" t="inlineStr">
        <is>
          <t>Piscivores</t>
        </is>
      </c>
      <c r="H266" t="n">
        <v>1.498127</v>
      </c>
      <c r="I266" t="n">
        <v>163.850229</v>
      </c>
      <c r="J266" t="n">
        <v>165.313739</v>
      </c>
      <c r="K266" t="n">
        <v>132.912246</v>
      </c>
      <c r="L266" t="n">
        <v>282.597002</v>
      </c>
      <c r="M266" t="n">
        <v>192.12828</v>
      </c>
      <c r="N266" t="n">
        <v>192.12828</v>
      </c>
      <c r="O266" t="n">
        <v>31.073292</v>
      </c>
      <c r="P266" t="n">
        <v>15.877096</v>
      </c>
      <c r="Q266" t="n">
        <v>192.12828</v>
      </c>
      <c r="R266" t="n">
        <v>192.12828</v>
      </c>
      <c r="S266" t="n">
        <v>31.073292</v>
      </c>
      <c r="T266" t="n">
        <v>31.073292</v>
      </c>
      <c r="U266" t="n">
        <v>15.877096</v>
      </c>
      <c r="V266" t="n">
        <v>15.877096</v>
      </c>
      <c r="W266" t="n">
        <v>31.802322</v>
      </c>
      <c r="X266" t="n">
        <v>187.589042</v>
      </c>
    </row>
    <row r="267" ht="21" customHeight="1">
      <c r="A267" t="inlineStr">
        <is>
          <t>Carcharhinus longimanus</t>
        </is>
      </c>
      <c r="B267" t="n">
        <v>4.16</v>
      </c>
      <c r="C267" t="n">
        <v>1445.439771</v>
      </c>
      <c r="D267" s="10" t="inlineStr">
        <is>
          <t>Sharks</t>
        </is>
      </c>
      <c r="H267" t="n">
        <v>1.476725</v>
      </c>
      <c r="I267" t="n">
        <v>0</v>
      </c>
      <c r="J267" t="n">
        <v>90.909156</v>
      </c>
      <c r="L267" t="n">
        <v>0</v>
      </c>
      <c r="M267" t="n">
        <v>0</v>
      </c>
      <c r="N267" t="n">
        <v>0</v>
      </c>
      <c r="O267" t="n">
        <v>112.219658</v>
      </c>
      <c r="P267" t="n">
        <v>50.526882</v>
      </c>
      <c r="Q267" t="n">
        <v>0</v>
      </c>
      <c r="R267" t="n">
        <v>0</v>
      </c>
      <c r="S267" t="n">
        <v>112.219658</v>
      </c>
      <c r="T267" t="n">
        <v>112.219658</v>
      </c>
      <c r="U267" t="n">
        <v>50.526882</v>
      </c>
      <c r="V267" t="n">
        <v>50.526882</v>
      </c>
      <c r="W267" t="n">
        <v>111.931581</v>
      </c>
      <c r="X267" t="n">
        <v>0</v>
      </c>
    </row>
    <row r="268" ht="21" customHeight="1">
      <c r="A268" t="inlineStr">
        <is>
          <t>Lutjanus</t>
        </is>
      </c>
      <c r="B268" t="n">
        <v>4.02</v>
      </c>
      <c r="C268" t="n">
        <v>1047.128548</v>
      </c>
      <c r="D268" s="10" t="inlineStr">
        <is>
          <t>Piscivores</t>
        </is>
      </c>
      <c r="H268" t="n">
        <v>1.498127</v>
      </c>
      <c r="I268" t="n">
        <v>163.850229</v>
      </c>
      <c r="J268" t="n">
        <v>165.313739</v>
      </c>
      <c r="K268" t="n">
        <v>132.912246</v>
      </c>
      <c r="L268" t="n">
        <v>282.597002</v>
      </c>
      <c r="M268" t="n">
        <v>192.12828</v>
      </c>
      <c r="N268" t="n">
        <v>192.12828</v>
      </c>
      <c r="O268" t="n">
        <v>31.073292</v>
      </c>
      <c r="P268" t="n">
        <v>15.877096</v>
      </c>
      <c r="Q268" t="n">
        <v>192.12828</v>
      </c>
      <c r="R268" t="n">
        <v>192.12828</v>
      </c>
      <c r="S268" t="n">
        <v>31.073292</v>
      </c>
      <c r="T268" t="n">
        <v>31.073292</v>
      </c>
      <c r="U268" t="n">
        <v>15.877096</v>
      </c>
      <c r="V268" t="n">
        <v>15.877096</v>
      </c>
      <c r="W268" t="n">
        <v>31.802322</v>
      </c>
      <c r="X268" t="n">
        <v>187.589042</v>
      </c>
    </row>
    <row r="269" ht="21" customHeight="1">
      <c r="A269" t="inlineStr">
        <is>
          <t>Alopias</t>
        </is>
      </c>
      <c r="B269" t="n">
        <v>4.5</v>
      </c>
      <c r="C269" t="n">
        <v>3162.27766</v>
      </c>
      <c r="D269" s="10" t="inlineStr">
        <is>
          <t>Sharks</t>
        </is>
      </c>
      <c r="H269" t="n">
        <v>1.476725</v>
      </c>
      <c r="I269" t="n">
        <v>0</v>
      </c>
      <c r="J269" t="n">
        <v>90.909156</v>
      </c>
      <c r="L269" t="n">
        <v>0</v>
      </c>
      <c r="M269" t="n">
        <v>0</v>
      </c>
      <c r="N269" t="n">
        <v>0</v>
      </c>
      <c r="O269" t="n">
        <v>112.219658</v>
      </c>
      <c r="P269" t="n">
        <v>50.526882</v>
      </c>
      <c r="Q269" t="n">
        <v>0</v>
      </c>
      <c r="R269" t="n">
        <v>0</v>
      </c>
      <c r="S269" t="n">
        <v>112.219658</v>
      </c>
      <c r="T269" t="n">
        <v>112.219658</v>
      </c>
      <c r="U269" t="n">
        <v>50.526882</v>
      </c>
      <c r="V269" t="n">
        <v>50.526882</v>
      </c>
      <c r="W269" t="n">
        <v>111.931581</v>
      </c>
      <c r="X269" t="n">
        <v>0</v>
      </c>
    </row>
    <row r="270" ht="21" customHeight="1">
      <c r="A270" t="inlineStr">
        <is>
          <t>Holothuriidae</t>
        </is>
      </c>
      <c r="B270" t="n">
        <v>2</v>
      </c>
      <c r="C270" t="n">
        <v>10</v>
      </c>
      <c r="D270" s="10" t="inlineStr">
        <is>
          <t>Echinoderms</t>
        </is>
      </c>
      <c r="H270" t="n">
        <v>0.891514</v>
      </c>
      <c r="I270" t="n">
        <v>25.470866</v>
      </c>
      <c r="J270" t="n">
        <v>25.470866</v>
      </c>
      <c r="K270" t="n">
        <v>4.635698</v>
      </c>
      <c r="L270" t="n">
        <v>98169.820373</v>
      </c>
      <c r="M270" t="n">
        <v>56135.354228</v>
      </c>
      <c r="N270" t="n">
        <v>56135.354228</v>
      </c>
      <c r="O270" t="n">
        <v>3.905176</v>
      </c>
      <c r="P270" t="n">
        <v>2.70577</v>
      </c>
      <c r="Q270" t="n">
        <v>56135.354228</v>
      </c>
      <c r="R270" t="n">
        <v>56135.354228</v>
      </c>
      <c r="S270" t="n">
        <v>3.905176</v>
      </c>
      <c r="T270" t="n">
        <v>3.905176</v>
      </c>
      <c r="U270" t="n">
        <v>2.70577</v>
      </c>
      <c r="V270" t="n">
        <v>2.70577</v>
      </c>
      <c r="W270" t="n">
        <v>3.987743</v>
      </c>
      <c r="X270" t="n">
        <v>579.371085</v>
      </c>
    </row>
    <row r="271" ht="21" customHeight="1">
      <c r="A271" t="inlineStr">
        <is>
          <t>Tripneustes gratilla</t>
        </is>
      </c>
      <c r="B271" t="n">
        <v>2</v>
      </c>
      <c r="C271" t="n">
        <v>10</v>
      </c>
      <c r="D271" s="10" t="inlineStr">
        <is>
          <t>Echinoderms</t>
        </is>
      </c>
      <c r="H271" t="n">
        <v>0.891514</v>
      </c>
      <c r="I271" t="n">
        <v>25.470866</v>
      </c>
      <c r="J271" t="n">
        <v>25.470866</v>
      </c>
      <c r="K271" t="n">
        <v>4.635698</v>
      </c>
      <c r="L271" t="n">
        <v>98169.820373</v>
      </c>
      <c r="M271" t="n">
        <v>56135.354228</v>
      </c>
      <c r="N271" t="n">
        <v>56135.354228</v>
      </c>
      <c r="O271" t="n">
        <v>3.905176</v>
      </c>
      <c r="P271" t="n">
        <v>2.70577</v>
      </c>
      <c r="Q271" t="n">
        <v>56135.354228</v>
      </c>
      <c r="R271" t="n">
        <v>56135.354228</v>
      </c>
      <c r="S271" t="n">
        <v>3.905176</v>
      </c>
      <c r="T271" t="n">
        <v>3.905176</v>
      </c>
      <c r="U271" t="n">
        <v>2.70577</v>
      </c>
      <c r="V271" t="n">
        <v>2.70577</v>
      </c>
      <c r="W271" t="n">
        <v>3.987743</v>
      </c>
      <c r="X271" t="n">
        <v>579.371085</v>
      </c>
    </row>
    <row r="272" ht="21" customHeight="1">
      <c r="A272" t="inlineStr">
        <is>
          <t>Chionoecetes japonicus</t>
        </is>
      </c>
      <c r="B272" t="n">
        <v>3.74</v>
      </c>
      <c r="C272" t="n">
        <v>549.540874</v>
      </c>
      <c r="D272" s="10" t="inlineStr">
        <is>
          <t>Crabs</t>
        </is>
      </c>
      <c r="H272" t="n">
        <v>0.50498</v>
      </c>
      <c r="I272" t="n">
        <v>5.117944</v>
      </c>
      <c r="J272" t="n">
        <v>5.117944</v>
      </c>
      <c r="K272" t="n">
        <v>4.688036</v>
      </c>
      <c r="L272" t="n">
        <v>11.032425</v>
      </c>
      <c r="M272" t="n">
        <v>5.117944</v>
      </c>
      <c r="N272" t="n">
        <v>5.117944</v>
      </c>
      <c r="O272" t="n">
        <v>2.72331</v>
      </c>
      <c r="P272" t="n">
        <v>1.83095</v>
      </c>
      <c r="Q272" t="n">
        <v>5.117944</v>
      </c>
      <c r="R272" t="n">
        <v>5.117944</v>
      </c>
      <c r="S272" t="n">
        <v>2.72331</v>
      </c>
      <c r="T272" t="n">
        <v>2.72331</v>
      </c>
      <c r="U272" t="n">
        <v>1.83095</v>
      </c>
      <c r="V272" t="n">
        <v>1.83095</v>
      </c>
      <c r="W272" t="n">
        <v>2.729441</v>
      </c>
      <c r="X272" t="n">
        <v>5.078558</v>
      </c>
    </row>
    <row r="273" ht="21" customHeight="1">
      <c r="A273" t="inlineStr">
        <is>
          <t>Upeneus</t>
        </is>
      </c>
      <c r="D273" s="10" t="inlineStr">
        <is>
          <t>Benthivores</t>
        </is>
      </c>
      <c r="H273" t="n">
        <v>0.507881</v>
      </c>
      <c r="I273" t="n">
        <v>15.397089</v>
      </c>
      <c r="J273" t="n">
        <v>16.480074</v>
      </c>
      <c r="K273" t="n">
        <v>16.397674</v>
      </c>
      <c r="L273" t="n">
        <v>385.228839</v>
      </c>
      <c r="M273" t="n">
        <v>217.802518</v>
      </c>
      <c r="N273" t="n">
        <v>217.802518</v>
      </c>
      <c r="O273" t="n">
        <v>5.627856</v>
      </c>
      <c r="P273" t="n">
        <v>3.14648</v>
      </c>
      <c r="Q273" t="n">
        <v>217.802518</v>
      </c>
      <c r="R273" t="n">
        <v>217.802518</v>
      </c>
      <c r="S273" t="n">
        <v>5.627856</v>
      </c>
      <c r="T273" t="n">
        <v>5.627856</v>
      </c>
      <c r="U273" t="n">
        <v>3.14648</v>
      </c>
      <c r="V273" t="n">
        <v>3.14648</v>
      </c>
      <c r="W273" t="n">
        <v>5.794366</v>
      </c>
      <c r="X273" t="n">
        <v>21.50578</v>
      </c>
    </row>
    <row r="274" ht="21" customHeight="1">
      <c r="A274" t="inlineStr">
        <is>
          <t>Echinozoa</t>
        </is>
      </c>
      <c r="D274" s="10" t="inlineStr">
        <is>
          <t>Echinoderms</t>
        </is>
      </c>
      <c r="H274" t="n">
        <v>0.891514</v>
      </c>
      <c r="I274" t="n">
        <v>25.470866</v>
      </c>
      <c r="J274" t="n">
        <v>25.470866</v>
      </c>
      <c r="K274" t="n">
        <v>4.635698</v>
      </c>
      <c r="L274" t="n">
        <v>98169.820373</v>
      </c>
      <c r="M274" t="n">
        <v>56135.354228</v>
      </c>
      <c r="N274" t="n">
        <v>56135.354228</v>
      </c>
      <c r="O274" t="n">
        <v>3.905176</v>
      </c>
      <c r="P274" t="n">
        <v>2.70577</v>
      </c>
      <c r="Q274" t="n">
        <v>56135.354228</v>
      </c>
      <c r="R274" t="n">
        <v>56135.354228</v>
      </c>
      <c r="S274" t="n">
        <v>3.905176</v>
      </c>
      <c r="T274" t="n">
        <v>3.905176</v>
      </c>
      <c r="U274" t="n">
        <v>2.70577</v>
      </c>
      <c r="V274" t="n">
        <v>2.70577</v>
      </c>
      <c r="W274" t="n">
        <v>3.987743</v>
      </c>
      <c r="X274" t="n">
        <v>579.371085</v>
      </c>
    </row>
    <row r="275" ht="21" customHeight="1">
      <c r="A275" t="inlineStr">
        <is>
          <t>Rhopilema hispidum</t>
        </is>
      </c>
      <c r="B275" t="n">
        <v>3.46</v>
      </c>
      <c r="C275" t="n">
        <v>288.40315</v>
      </c>
      <c r="D275" s="10" t="inlineStr">
        <is>
          <t>Other invertebrates</t>
        </is>
      </c>
      <c r="H275" t="n">
        <v>0.834414</v>
      </c>
      <c r="I275" t="n">
        <v>8.766234000000001</v>
      </c>
      <c r="J275" t="n">
        <v>8.766234000000001</v>
      </c>
      <c r="K275" t="n">
        <v>5.4</v>
      </c>
      <c r="L275" t="n">
        <v>13.760094</v>
      </c>
      <c r="M275" t="n">
        <v>8.766234000000001</v>
      </c>
      <c r="N275" t="n">
        <v>8.766234000000001</v>
      </c>
      <c r="O275" t="n">
        <v>5.4</v>
      </c>
      <c r="P275" t="n">
        <v>4.32</v>
      </c>
      <c r="Q275" t="n">
        <v>8.766234000000001</v>
      </c>
      <c r="R275" t="n">
        <v>8.766234000000001</v>
      </c>
      <c r="S275" t="n">
        <v>5.4</v>
      </c>
      <c r="T275" t="n">
        <v>5.4</v>
      </c>
      <c r="U275" t="n">
        <v>4.32</v>
      </c>
      <c r="V275" t="n">
        <v>4.32</v>
      </c>
      <c r="W275" t="n">
        <v>5.39691</v>
      </c>
      <c r="X275" t="n">
        <v>8.751026</v>
      </c>
    </row>
    <row r="276" ht="21" customHeight="1">
      <c r="A276" t="inlineStr">
        <is>
          <t>Sphyrna</t>
        </is>
      </c>
      <c r="B276" t="n">
        <v>4.2</v>
      </c>
      <c r="C276" t="n">
        <v>1584.893192</v>
      </c>
      <c r="D276" s="10" t="inlineStr">
        <is>
          <t>Sharks</t>
        </is>
      </c>
      <c r="H276" t="n">
        <v>1.476725</v>
      </c>
      <c r="I276" t="n">
        <v>0</v>
      </c>
      <c r="J276" t="n">
        <v>90.909156</v>
      </c>
      <c r="L276" t="n">
        <v>0</v>
      </c>
      <c r="M276" t="n">
        <v>0</v>
      </c>
      <c r="N276" t="n">
        <v>0</v>
      </c>
      <c r="O276" t="n">
        <v>112.219658</v>
      </c>
      <c r="P276" t="n">
        <v>50.526882</v>
      </c>
      <c r="Q276" t="n">
        <v>0</v>
      </c>
      <c r="R276" t="n">
        <v>0</v>
      </c>
      <c r="S276" t="n">
        <v>112.219658</v>
      </c>
      <c r="T276" t="n">
        <v>112.219658</v>
      </c>
      <c r="U276" t="n">
        <v>50.526882</v>
      </c>
      <c r="V276" t="n">
        <v>50.526882</v>
      </c>
      <c r="W276" t="n">
        <v>111.931581</v>
      </c>
      <c r="X276" t="n">
        <v>0</v>
      </c>
    </row>
    <row r="277" ht="21" customHeight="1">
      <c r="A277" t="inlineStr">
        <is>
          <t>Isurus oxyrinchus</t>
        </is>
      </c>
      <c r="B277" t="n">
        <v>4.5</v>
      </c>
      <c r="C277" t="n">
        <v>3162.27766</v>
      </c>
      <c r="D277" s="10" t="inlineStr">
        <is>
          <t>Sharks</t>
        </is>
      </c>
      <c r="H277" t="n">
        <v>1.476725</v>
      </c>
      <c r="I277" t="n">
        <v>0</v>
      </c>
      <c r="J277" t="n">
        <v>90.909156</v>
      </c>
      <c r="L277" t="n">
        <v>0</v>
      </c>
      <c r="M277" t="n">
        <v>0</v>
      </c>
      <c r="N277" t="n">
        <v>0</v>
      </c>
      <c r="O277" t="n">
        <v>112.219658</v>
      </c>
      <c r="P277" t="n">
        <v>50.526882</v>
      </c>
      <c r="Q277" t="n">
        <v>0</v>
      </c>
      <c r="R277" t="n">
        <v>0</v>
      </c>
      <c r="S277" t="n">
        <v>112.219658</v>
      </c>
      <c r="T277" t="n">
        <v>112.219658</v>
      </c>
      <c r="U277" t="n">
        <v>50.526882</v>
      </c>
      <c r="V277" t="n">
        <v>50.526882</v>
      </c>
      <c r="W277" t="n">
        <v>111.931581</v>
      </c>
      <c r="X277" t="n">
        <v>0</v>
      </c>
    </row>
    <row r="278" ht="21" customHeight="1">
      <c r="A278" t="inlineStr">
        <is>
          <t>Pinctada</t>
        </is>
      </c>
      <c r="D278" s="10" t="inlineStr">
        <is>
          <t>Mollusks</t>
        </is>
      </c>
      <c r="H278" t="n">
        <v>0.386637</v>
      </c>
      <c r="I278" t="n">
        <v>5.936061</v>
      </c>
      <c r="J278" t="n">
        <v>5.936061</v>
      </c>
      <c r="K278" t="n">
        <v>1.780818</v>
      </c>
      <c r="L278" t="n">
        <v>17.186608</v>
      </c>
      <c r="M278" t="n">
        <v>6.329922</v>
      </c>
      <c r="N278" t="n">
        <v>6.329922</v>
      </c>
      <c r="O278" t="n">
        <v>0.986753</v>
      </c>
      <c r="P278" t="n">
        <v>0.712886</v>
      </c>
      <c r="Q278" t="n">
        <v>6.329922</v>
      </c>
      <c r="R278" t="n">
        <v>6.329922</v>
      </c>
      <c r="S278" t="n">
        <v>0.986753</v>
      </c>
      <c r="T278" t="n">
        <v>0.986753</v>
      </c>
      <c r="U278" t="n">
        <v>0.712886</v>
      </c>
      <c r="V278" t="n">
        <v>0.712886</v>
      </c>
      <c r="W278" t="n">
        <v>0.98107</v>
      </c>
      <c r="X278" t="n">
        <v>6.573538</v>
      </c>
    </row>
    <row r="279" ht="36" customHeight="1">
      <c r="A279" t="inlineStr">
        <is>
          <t>Scombroidei</t>
        </is>
      </c>
      <c r="D279" s="10" t="inlineStr">
        <is>
          <t>Piscivores | Planktivores/Benthivores</t>
        </is>
      </c>
      <c r="H279" t="n">
        <v>1.405239</v>
      </c>
      <c r="I279" t="n">
        <v>119.825753</v>
      </c>
      <c r="J279" t="n">
        <v>120.452472</v>
      </c>
      <c r="K279" t="n">
        <v>102.405734</v>
      </c>
      <c r="L279" t="n">
        <v>188.965648</v>
      </c>
      <c r="M279" t="n">
        <v>131.940569</v>
      </c>
      <c r="N279" t="n">
        <v>131.940569</v>
      </c>
      <c r="O279" t="n">
        <v>27.445373</v>
      </c>
      <c r="P279" t="n">
        <v>15.853408</v>
      </c>
      <c r="Q279" t="n">
        <v>131.940569</v>
      </c>
      <c r="R279" t="n">
        <v>131.940569</v>
      </c>
      <c r="S279" t="n">
        <v>27.445373</v>
      </c>
      <c r="T279" t="n">
        <v>27.445373</v>
      </c>
      <c r="U279" t="n">
        <v>15.853408</v>
      </c>
      <c r="V279" t="n">
        <v>15.853408</v>
      </c>
      <c r="W279" t="n">
        <v>27.996842</v>
      </c>
      <c r="X279" t="n">
        <v>131.269319</v>
      </c>
    </row>
    <row r="280" ht="21" customHeight="1">
      <c r="A280" t="inlineStr">
        <is>
          <t>Caranx</t>
        </is>
      </c>
      <c r="D280" s="10" t="inlineStr">
        <is>
          <t>Omnivores</t>
        </is>
      </c>
      <c r="H280" t="n">
        <v>1.193784</v>
      </c>
      <c r="I280" t="n">
        <v>39.151197</v>
      </c>
      <c r="J280" t="n">
        <v>40.599509</v>
      </c>
      <c r="K280" t="n">
        <v>40.55891</v>
      </c>
      <c r="L280" t="n">
        <v>72.544996</v>
      </c>
      <c r="M280" t="n">
        <v>45.483756</v>
      </c>
      <c r="N280" t="n">
        <v>45.483756</v>
      </c>
      <c r="O280" t="n">
        <v>9.364795000000001</v>
      </c>
      <c r="P280" t="n">
        <v>5.330494</v>
      </c>
      <c r="Q280" t="n">
        <v>45.483756</v>
      </c>
      <c r="R280" t="n">
        <v>45.483756</v>
      </c>
      <c r="S280" t="n">
        <v>9.364795000000001</v>
      </c>
      <c r="T280" t="n">
        <v>9.364795000000001</v>
      </c>
      <c r="U280" t="n">
        <v>5.330494</v>
      </c>
      <c r="V280" t="n">
        <v>5.330494</v>
      </c>
      <c r="W280" t="n">
        <v>9.429866000000001</v>
      </c>
      <c r="X280" t="n">
        <v>45.585525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Primary producers only; excludes detritus and imports. The simple chain rows are unpartitioned references; model rows use this scope.</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1"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1"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2" t="inlineStr">
        <is>
          <t>SPPR_1986</t>
        </is>
      </c>
      <c r="B9" s="9" t="inlineStr">
        <is>
          <t>did not resolve for any mapped group</t>
        </is>
      </c>
    </row>
    <row r="10">
      <c r="A10" s="12" t="inlineStr">
        <is>
          <t>SPPR_1995_TE0.1</t>
        </is>
      </c>
      <c r="B10" s="9" t="inlineStr">
        <is>
          <t>did not resolve for any mapped group</t>
        </is>
      </c>
    </row>
    <row r="11">
      <c r="A11" s="12" t="inlineStr">
        <is>
          <t>SPPR_1995_TEmean</t>
        </is>
      </c>
      <c r="B11" s="9" t="inlineStr">
        <is>
          <t>did not resolve for any mapped group</t>
        </is>
      </c>
    </row>
    <row r="12">
      <c r="A12" t="inlineStr">
        <is>
          <t>Ulanowicz_globalTEmean</t>
        </is>
      </c>
      <c r="B12" t="inlineStr">
        <is>
          <t>ok</t>
        </is>
      </c>
      <c r="C12" t="n">
        <v>1236000.686</v>
      </c>
      <c r="D12" t="n">
        <v>1338410.771</v>
      </c>
      <c r="E12" t="n">
        <v>1427792.723</v>
      </c>
      <c r="F12" t="n">
        <v>1462035.32</v>
      </c>
      <c r="G12" t="n">
        <v>1580681.927</v>
      </c>
      <c r="H12" t="n">
        <v>1668160.736</v>
      </c>
      <c r="I12" t="n">
        <v>1810321.779</v>
      </c>
      <c r="J12" t="n">
        <v>1934378.427</v>
      </c>
      <c r="K12" t="n">
        <v>1979126.795</v>
      </c>
      <c r="L12" t="n">
        <v>1962579.538</v>
      </c>
      <c r="M12" t="n">
        <v>1965595.392</v>
      </c>
      <c r="N12" t="n">
        <v>2053191.081</v>
      </c>
      <c r="O12" t="n">
        <v>2125824.456</v>
      </c>
      <c r="P12" t="n">
        <v>2062842.844</v>
      </c>
      <c r="Q12" t="n">
        <v>2006517.94</v>
      </c>
      <c r="R12" t="n">
        <v>2167862.209</v>
      </c>
      <c r="S12" t="n">
        <v>2218718.531</v>
      </c>
      <c r="T12" t="n">
        <v>2244134.761</v>
      </c>
      <c r="U12" t="n">
        <v>2394537.799</v>
      </c>
      <c r="V12" t="n">
        <v>2439794.516</v>
      </c>
      <c r="W12" t="n">
        <v>2594183.633</v>
      </c>
      <c r="X12" t="n">
        <v>2631898.269</v>
      </c>
      <c r="Y12" t="n">
        <v>2799934.702</v>
      </c>
      <c r="Z12" t="n">
        <v>3097023.717</v>
      </c>
      <c r="AA12" t="n">
        <v>3292989.546</v>
      </c>
      <c r="AB12" t="n">
        <v>3336541.661</v>
      </c>
      <c r="AC12" t="n">
        <v>3483391</v>
      </c>
      <c r="AD12" t="n">
        <v>3891917.523</v>
      </c>
      <c r="AE12" t="n">
        <v>4238518.787</v>
      </c>
      <c r="AF12" t="n">
        <v>4203480.518</v>
      </c>
      <c r="AG12" t="n">
        <v>4306087.21</v>
      </c>
      <c r="AH12" t="n">
        <v>4761028.95</v>
      </c>
      <c r="AI12" t="n">
        <v>4904326.161</v>
      </c>
      <c r="AJ12" t="n">
        <v>5198876.686</v>
      </c>
      <c r="AK12" t="n">
        <v>5651769.591</v>
      </c>
      <c r="AL12" t="n">
        <v>5444645.591</v>
      </c>
      <c r="AM12" t="n">
        <v>5948603.703</v>
      </c>
      <c r="AN12" t="n">
        <v>5973599.644</v>
      </c>
      <c r="AO12" t="n">
        <v>6260595.749</v>
      </c>
      <c r="AP12" t="n">
        <v>6131403.512</v>
      </c>
      <c r="AQ12" t="n">
        <v>6031897.119</v>
      </c>
      <c r="AR12" t="n">
        <v>5679829.588</v>
      </c>
      <c r="AS12" t="n">
        <v>5279512.065</v>
      </c>
      <c r="AT12" t="n">
        <v>5404973.176</v>
      </c>
      <c r="AU12" t="n">
        <v>5510267.345</v>
      </c>
      <c r="AV12" t="n">
        <v>5721215.514</v>
      </c>
      <c r="AW12" t="n">
        <v>5499656.008</v>
      </c>
      <c r="AX12" t="n">
        <v>5641924.075</v>
      </c>
      <c r="AY12" t="n">
        <v>5667505.381</v>
      </c>
      <c r="AZ12" t="n">
        <v>5390209.54</v>
      </c>
      <c r="BA12" t="n">
        <v>5219021.046</v>
      </c>
      <c r="BB12" t="n">
        <v>5344185.85</v>
      </c>
      <c r="BC12" t="n">
        <v>5212044.431</v>
      </c>
      <c r="BD12" t="n">
        <v>5453152.593</v>
      </c>
      <c r="BE12" t="n">
        <v>5594113.173</v>
      </c>
      <c r="BF12" t="n">
        <v>5549097.965</v>
      </c>
      <c r="BG12" t="n">
        <v>5569681.063</v>
      </c>
      <c r="BH12" t="n">
        <v>5483530.465</v>
      </c>
      <c r="BI12" t="n">
        <v>5763353.038</v>
      </c>
      <c r="BJ12" t="n">
        <v>5523603.153</v>
      </c>
      <c r="BK12" t="n">
        <v>5606766.471</v>
      </c>
      <c r="BL12" t="n">
        <v>6191621.508</v>
      </c>
      <c r="BM12" t="n">
        <v>6257486.714</v>
      </c>
      <c r="BN12" t="n">
        <v>6136883.201</v>
      </c>
      <c r="BO12" t="n">
        <v>6562231.505</v>
      </c>
      <c r="BP12" t="n">
        <v>6113115.664</v>
      </c>
      <c r="BQ12" t="n">
        <v>5913098.874</v>
      </c>
      <c r="BR12" t="n">
        <v>5760698.332</v>
      </c>
      <c r="BS12" t="n">
        <v>5690646.308</v>
      </c>
      <c r="BT12" t="n">
        <v>6091256.692</v>
      </c>
    </row>
    <row r="13">
      <c r="A13" t="inlineStr">
        <is>
          <t>Ulanowicz_TE</t>
        </is>
      </c>
      <c r="B13" t="inlineStr">
        <is>
          <t>ok</t>
        </is>
      </c>
      <c r="C13" t="n">
        <v>88720384.17399999</v>
      </c>
      <c r="D13" t="n">
        <v>95969247.04700001</v>
      </c>
      <c r="E13" t="n">
        <v>103041959.107</v>
      </c>
      <c r="F13" t="n">
        <v>103064554.143</v>
      </c>
      <c r="G13" t="n">
        <v>114892515.71</v>
      </c>
      <c r="H13" t="n">
        <v>122462516.536</v>
      </c>
      <c r="I13" t="n">
        <v>131996451.54</v>
      </c>
      <c r="J13" t="n">
        <v>139981083.391</v>
      </c>
      <c r="K13" t="n">
        <v>147273373.031</v>
      </c>
      <c r="L13" t="n">
        <v>143652120.832</v>
      </c>
      <c r="M13" t="n">
        <v>148392401.884</v>
      </c>
      <c r="N13" t="n">
        <v>145641741.701</v>
      </c>
      <c r="O13" t="n">
        <v>149351682.767</v>
      </c>
      <c r="P13" t="n">
        <v>143789969.577</v>
      </c>
      <c r="Q13" t="n">
        <v>144677035.288</v>
      </c>
      <c r="R13" t="n">
        <v>157265675.942</v>
      </c>
      <c r="S13" t="n">
        <v>159320085.968</v>
      </c>
      <c r="T13" t="n">
        <v>164280664.387</v>
      </c>
      <c r="U13" t="n">
        <v>169000949.563</v>
      </c>
      <c r="V13" t="n">
        <v>175098998.153</v>
      </c>
      <c r="W13" t="n">
        <v>187881061.682</v>
      </c>
      <c r="X13" t="n">
        <v>192438155.289</v>
      </c>
      <c r="Y13" t="n">
        <v>205136487.74</v>
      </c>
      <c r="Z13" t="n">
        <v>225565086.248</v>
      </c>
      <c r="AA13" t="n">
        <v>239655926.825</v>
      </c>
      <c r="AB13" t="n">
        <v>236087930.799</v>
      </c>
      <c r="AC13" t="n">
        <v>234711859.33</v>
      </c>
      <c r="AD13" t="n">
        <v>259190138.356</v>
      </c>
      <c r="AE13" t="n">
        <v>276143867.472</v>
      </c>
      <c r="AF13" t="n">
        <v>273375425.985</v>
      </c>
      <c r="AG13" t="n">
        <v>280725686.534</v>
      </c>
      <c r="AH13" t="n">
        <v>299612754.58</v>
      </c>
      <c r="AI13" t="n">
        <v>300267437.924</v>
      </c>
      <c r="AJ13" t="n">
        <v>304266634.258</v>
      </c>
      <c r="AK13" t="n">
        <v>330462696.736</v>
      </c>
      <c r="AL13" t="n">
        <v>325799057.182</v>
      </c>
      <c r="AM13" t="n">
        <v>357804663.123</v>
      </c>
      <c r="AN13" t="n">
        <v>361528022.227</v>
      </c>
      <c r="AO13" t="n">
        <v>371177406.339</v>
      </c>
      <c r="AP13" t="n">
        <v>384870339.393</v>
      </c>
      <c r="AQ13" t="n">
        <v>381459219.377</v>
      </c>
      <c r="AR13" t="n">
        <v>376922017.81</v>
      </c>
      <c r="AS13" t="n">
        <v>352359645.032</v>
      </c>
      <c r="AT13" t="n">
        <v>358543998.756</v>
      </c>
      <c r="AU13" t="n">
        <v>392285208.161</v>
      </c>
      <c r="AV13" t="n">
        <v>424359717.555</v>
      </c>
      <c r="AW13" t="n">
        <v>441873284.076</v>
      </c>
      <c r="AX13" t="n">
        <v>424832901.781</v>
      </c>
      <c r="AY13" t="n">
        <v>433534902.416</v>
      </c>
      <c r="AZ13" t="n">
        <v>410714521.004</v>
      </c>
      <c r="BA13" t="n">
        <v>401627726.064</v>
      </c>
      <c r="BB13" t="n">
        <v>411500828.274</v>
      </c>
      <c r="BC13" t="n">
        <v>407604851.394</v>
      </c>
      <c r="BD13" t="n">
        <v>415131108.243</v>
      </c>
      <c r="BE13" t="n">
        <v>440202690.298</v>
      </c>
      <c r="BF13" t="n">
        <v>433280833.916</v>
      </c>
      <c r="BG13" t="n">
        <v>437664995.717</v>
      </c>
      <c r="BH13" t="n">
        <v>437459622.741</v>
      </c>
      <c r="BI13" t="n">
        <v>455173149.931</v>
      </c>
      <c r="BJ13" t="n">
        <v>437058783.472</v>
      </c>
      <c r="BK13" t="n">
        <v>436606422.405</v>
      </c>
      <c r="BL13" t="n">
        <v>481981140.41</v>
      </c>
      <c r="BM13" t="n">
        <v>483266020.358</v>
      </c>
      <c r="BN13" t="n">
        <v>468985037.99</v>
      </c>
      <c r="BO13" t="n">
        <v>493487535.125</v>
      </c>
      <c r="BP13" t="n">
        <v>455525122.535</v>
      </c>
      <c r="BQ13" t="n">
        <v>436316106.274</v>
      </c>
      <c r="BR13" t="n">
        <v>421763224.148</v>
      </c>
      <c r="BS13" t="n">
        <v>415527531.951</v>
      </c>
      <c r="BT13" t="n">
        <v>424786429.764</v>
      </c>
    </row>
    <row r="14">
      <c r="A14" t="inlineStr">
        <is>
          <t>EwE_TE_noEE</t>
        </is>
      </c>
      <c r="B14" t="inlineStr">
        <is>
          <t>ok</t>
        </is>
      </c>
      <c r="C14" t="n">
        <v>92951221.715</v>
      </c>
      <c r="D14" t="n">
        <v>100835346.148</v>
      </c>
      <c r="E14" t="n">
        <v>108623437.743</v>
      </c>
      <c r="F14" t="n">
        <v>108201698.598</v>
      </c>
      <c r="G14" t="n">
        <v>120396328.977</v>
      </c>
      <c r="H14" t="n">
        <v>128407174.654</v>
      </c>
      <c r="I14" t="n">
        <v>138566738.761</v>
      </c>
      <c r="J14" t="n">
        <v>146233033.627</v>
      </c>
      <c r="K14" t="n">
        <v>154190849.041</v>
      </c>
      <c r="L14" t="n">
        <v>149870535.825</v>
      </c>
      <c r="M14" t="n">
        <v>154992819.083</v>
      </c>
      <c r="N14" t="n">
        <v>151922390.301</v>
      </c>
      <c r="O14" t="n">
        <v>155776769.495</v>
      </c>
      <c r="P14" t="n">
        <v>149741629.649</v>
      </c>
      <c r="Q14" t="n">
        <v>150408899.282</v>
      </c>
      <c r="R14" t="n">
        <v>163491557.003</v>
      </c>
      <c r="S14" t="n">
        <v>165393939.581</v>
      </c>
      <c r="T14" t="n">
        <v>170420904.591</v>
      </c>
      <c r="U14" t="n">
        <v>174827640.894</v>
      </c>
      <c r="V14" t="n">
        <v>181276782.867</v>
      </c>
      <c r="W14" t="n">
        <v>194194010.252</v>
      </c>
      <c r="X14" t="n">
        <v>199265238.904</v>
      </c>
      <c r="Y14" t="n">
        <v>212426782.177</v>
      </c>
      <c r="Z14" t="n">
        <v>233657676.009</v>
      </c>
      <c r="AA14" t="n">
        <v>248282482.579</v>
      </c>
      <c r="AB14" t="n">
        <v>244520664.257</v>
      </c>
      <c r="AC14" t="n">
        <v>242796421.399</v>
      </c>
      <c r="AD14" t="n">
        <v>267727309.802</v>
      </c>
      <c r="AE14" t="n">
        <v>284988251.035</v>
      </c>
      <c r="AF14" t="n">
        <v>282525718.961</v>
      </c>
      <c r="AG14" t="n">
        <v>290254675.589</v>
      </c>
      <c r="AH14" t="n">
        <v>309893043.789</v>
      </c>
      <c r="AI14" t="n">
        <v>310455132.619</v>
      </c>
      <c r="AJ14" t="n">
        <v>314105549.349</v>
      </c>
      <c r="AK14" t="n">
        <v>341296870.112</v>
      </c>
      <c r="AL14" t="n">
        <v>336841434.868</v>
      </c>
      <c r="AM14" t="n">
        <v>369885393.82</v>
      </c>
      <c r="AN14" t="n">
        <v>373630081.242</v>
      </c>
      <c r="AO14" t="n">
        <v>383093414.252</v>
      </c>
      <c r="AP14" t="n">
        <v>398278025.358</v>
      </c>
      <c r="AQ14" t="n">
        <v>394963857.035</v>
      </c>
      <c r="AR14" t="n">
        <v>390469942.132</v>
      </c>
      <c r="AS14" t="n">
        <v>365073692.009</v>
      </c>
      <c r="AT14" t="n">
        <v>370876081.33</v>
      </c>
      <c r="AU14" t="n">
        <v>406733083.959</v>
      </c>
      <c r="AV14" t="n">
        <v>440808979.319</v>
      </c>
      <c r="AW14" t="n">
        <v>459463251.99</v>
      </c>
      <c r="AX14" t="n">
        <v>440925646.606</v>
      </c>
      <c r="AY14" t="n">
        <v>450196195.322</v>
      </c>
      <c r="AZ14" t="n">
        <v>426674386.643</v>
      </c>
      <c r="BA14" t="n">
        <v>417441656.808</v>
      </c>
      <c r="BB14" t="n">
        <v>427624600.496</v>
      </c>
      <c r="BC14" t="n">
        <v>423729089.87</v>
      </c>
      <c r="BD14" t="n">
        <v>431416179.127</v>
      </c>
      <c r="BE14" t="n">
        <v>457665348.603</v>
      </c>
      <c r="BF14" t="n">
        <v>450225439.177</v>
      </c>
      <c r="BG14" t="n">
        <v>454730476.142</v>
      </c>
      <c r="BH14" t="n">
        <v>454414504.522</v>
      </c>
      <c r="BI14" t="n">
        <v>472333486.299</v>
      </c>
      <c r="BJ14" t="n">
        <v>453541182.91</v>
      </c>
      <c r="BK14" t="n">
        <v>452634873.823</v>
      </c>
      <c r="BL14" t="n">
        <v>499055530.179</v>
      </c>
      <c r="BM14" t="n">
        <v>500292309.32</v>
      </c>
      <c r="BN14" t="n">
        <v>485396487.255</v>
      </c>
      <c r="BO14" t="n">
        <v>511029811.886</v>
      </c>
      <c r="BP14" t="n">
        <v>471132273.061</v>
      </c>
      <c r="BQ14" t="n">
        <v>451273091.042</v>
      </c>
      <c r="BR14" t="n">
        <v>436283500.531</v>
      </c>
      <c r="BS14" t="n">
        <v>429620213.431</v>
      </c>
      <c r="BT14" t="n">
        <v>438545912.178</v>
      </c>
    </row>
    <row r="15">
      <c r="A15" t="inlineStr">
        <is>
          <t>EwE_TE_EE</t>
        </is>
      </c>
      <c r="B15" t="inlineStr">
        <is>
          <t>ok</t>
        </is>
      </c>
      <c r="C15" t="n">
        <v>62743890.954</v>
      </c>
      <c r="D15" t="n">
        <v>68282339.786</v>
      </c>
      <c r="E15" t="n">
        <v>73656898.147</v>
      </c>
      <c r="F15" t="n">
        <v>74714823.16599999</v>
      </c>
      <c r="G15" t="n">
        <v>83615762.572</v>
      </c>
      <c r="H15" t="n">
        <v>88506775.057</v>
      </c>
      <c r="I15" t="n">
        <v>95957337.904</v>
      </c>
      <c r="J15" t="n">
        <v>100781542.028</v>
      </c>
      <c r="K15" t="n">
        <v>104117288.322</v>
      </c>
      <c r="L15" t="n">
        <v>103692177.094</v>
      </c>
      <c r="M15" t="n">
        <v>106998374.88</v>
      </c>
      <c r="N15" t="n">
        <v>106075188.873</v>
      </c>
      <c r="O15" t="n">
        <v>110449866.998</v>
      </c>
      <c r="P15" t="n">
        <v>106865387.412</v>
      </c>
      <c r="Q15" t="n">
        <v>106134702.835</v>
      </c>
      <c r="R15" t="n">
        <v>115532322.293</v>
      </c>
      <c r="S15" t="n">
        <v>117950539.632</v>
      </c>
      <c r="T15" t="n">
        <v>122281771.835</v>
      </c>
      <c r="U15" t="n">
        <v>126830680.229</v>
      </c>
      <c r="V15" t="n">
        <v>131882431.298</v>
      </c>
      <c r="W15" t="n">
        <v>142170642.685</v>
      </c>
      <c r="X15" t="n">
        <v>144067823.396</v>
      </c>
      <c r="Y15" t="n">
        <v>157989450.532</v>
      </c>
      <c r="Z15" t="n">
        <v>172275270.389</v>
      </c>
      <c r="AA15" t="n">
        <v>184421665.916</v>
      </c>
      <c r="AB15" t="n">
        <v>178889470.381</v>
      </c>
      <c r="AC15" t="n">
        <v>177068358.915</v>
      </c>
      <c r="AD15" t="n">
        <v>197277301.768</v>
      </c>
      <c r="AE15" t="n">
        <v>211136467.953</v>
      </c>
      <c r="AF15" t="n">
        <v>207861096.671</v>
      </c>
      <c r="AG15" t="n">
        <v>211368763.433</v>
      </c>
      <c r="AH15" t="n">
        <v>227986870.238</v>
      </c>
      <c r="AI15" t="n">
        <v>228731325.696</v>
      </c>
      <c r="AJ15" t="n">
        <v>236291446.985</v>
      </c>
      <c r="AK15" t="n">
        <v>254351586.672</v>
      </c>
      <c r="AL15" t="n">
        <v>245888862.756</v>
      </c>
      <c r="AM15" t="n">
        <v>268588677.989</v>
      </c>
      <c r="AN15" t="n">
        <v>268431256.289</v>
      </c>
      <c r="AO15" t="n">
        <v>278654222.853</v>
      </c>
      <c r="AP15" t="n">
        <v>283375540.647</v>
      </c>
      <c r="AQ15" t="n">
        <v>281211707.138</v>
      </c>
      <c r="AR15" t="n">
        <v>274935022.918</v>
      </c>
      <c r="AS15" t="n">
        <v>257023363.316</v>
      </c>
      <c r="AT15" t="n">
        <v>263630261.859</v>
      </c>
      <c r="AU15" t="n">
        <v>287185553.09</v>
      </c>
      <c r="AV15" t="n">
        <v>309201253.897</v>
      </c>
      <c r="AW15" t="n">
        <v>311238982.563</v>
      </c>
      <c r="AX15" t="n">
        <v>305187724.826</v>
      </c>
      <c r="AY15" t="n">
        <v>314713540.751</v>
      </c>
      <c r="AZ15" t="n">
        <v>297550779.782</v>
      </c>
      <c r="BA15" t="n">
        <v>291638952.224</v>
      </c>
      <c r="BB15" t="n">
        <v>299133510.673</v>
      </c>
      <c r="BC15" t="n">
        <v>292932024.727</v>
      </c>
      <c r="BD15" t="n">
        <v>295888771.967</v>
      </c>
      <c r="BE15" t="n">
        <v>315340435.832</v>
      </c>
      <c r="BF15" t="n">
        <v>307973572.191</v>
      </c>
      <c r="BG15" t="n">
        <v>314735176.716</v>
      </c>
      <c r="BH15" t="n">
        <v>309411707.533</v>
      </c>
      <c r="BI15" t="n">
        <v>325202345.22</v>
      </c>
      <c r="BJ15" t="n">
        <v>307871578.947</v>
      </c>
      <c r="BK15" t="n">
        <v>308405972.416</v>
      </c>
      <c r="BL15" t="n">
        <v>342272091.544</v>
      </c>
      <c r="BM15" t="n">
        <v>343347705.239</v>
      </c>
      <c r="BN15" t="n">
        <v>334724426.93</v>
      </c>
      <c r="BO15" t="n">
        <v>357488105.497</v>
      </c>
      <c r="BP15" t="n">
        <v>328206896.219</v>
      </c>
      <c r="BQ15" t="n">
        <v>317461208.292</v>
      </c>
      <c r="BR15" t="n">
        <v>307712708.041</v>
      </c>
      <c r="BS15" t="n">
        <v>302629542.548</v>
      </c>
      <c r="BT15" t="n">
        <v>313563258.338</v>
      </c>
    </row>
    <row r="16">
      <c r="A16" t="inlineStr">
        <is>
          <t>SPPR_2015</t>
        </is>
      </c>
      <c r="B16" t="inlineStr">
        <is>
          <t>ok</t>
        </is>
      </c>
      <c r="C16" t="n">
        <v>711640266.46</v>
      </c>
      <c r="D16" t="n">
        <v>739792347.421</v>
      </c>
      <c r="E16" t="n">
        <v>762331332.429</v>
      </c>
      <c r="F16" t="n">
        <v>846821750.852</v>
      </c>
      <c r="G16" t="n">
        <v>886861429.4349999</v>
      </c>
      <c r="H16" t="n">
        <v>951320523.194</v>
      </c>
      <c r="I16" t="n">
        <v>922223820.725</v>
      </c>
      <c r="J16" t="n">
        <v>873492457.066</v>
      </c>
      <c r="K16" t="n">
        <v>819786289.0140001</v>
      </c>
      <c r="L16" t="n">
        <v>942483424.401</v>
      </c>
      <c r="M16" t="n">
        <v>1048596615.446</v>
      </c>
      <c r="N16" t="n">
        <v>953574084.158</v>
      </c>
      <c r="O16" t="n">
        <v>947263102.5140001</v>
      </c>
      <c r="P16" t="n">
        <v>984235505.747</v>
      </c>
      <c r="Q16" t="n">
        <v>1103435875.928</v>
      </c>
      <c r="R16" t="n">
        <v>1118416326.838</v>
      </c>
      <c r="S16" t="n">
        <v>1271740170.802</v>
      </c>
      <c r="T16" t="n">
        <v>1461662071.306</v>
      </c>
      <c r="U16" t="n">
        <v>1594972465.771</v>
      </c>
      <c r="V16" t="n">
        <v>1634820749.172</v>
      </c>
      <c r="W16" t="n">
        <v>1680670709.911</v>
      </c>
      <c r="X16" t="n">
        <v>1737340157.9</v>
      </c>
      <c r="Y16" t="n">
        <v>1676970376.086</v>
      </c>
      <c r="Z16" t="n">
        <v>1741030968.891</v>
      </c>
      <c r="AA16" t="n">
        <v>1832194183.398</v>
      </c>
      <c r="AB16" t="n">
        <v>1685116314.734</v>
      </c>
      <c r="AC16" t="n">
        <v>1858248464.187</v>
      </c>
      <c r="AD16" t="n">
        <v>2027232181.373</v>
      </c>
      <c r="AE16" t="n">
        <v>1995715366.235</v>
      </c>
      <c r="AF16" t="n">
        <v>2012125600.673</v>
      </c>
      <c r="AG16" t="n">
        <v>1928662018.426</v>
      </c>
      <c r="AH16" t="n">
        <v>1975782508.572</v>
      </c>
      <c r="AI16" t="n">
        <v>2079884016.088</v>
      </c>
      <c r="AJ16" t="n">
        <v>2083403219.459</v>
      </c>
      <c r="AK16" t="n">
        <v>2054243312.971</v>
      </c>
      <c r="AL16" t="n">
        <v>2006668181.495</v>
      </c>
      <c r="AM16" t="n">
        <v>2138902859.905</v>
      </c>
      <c r="AN16" t="n">
        <v>2045825764.557</v>
      </c>
      <c r="AO16" t="n">
        <v>2050787736.743</v>
      </c>
      <c r="AP16" t="n">
        <v>1998191816.812</v>
      </c>
      <c r="AQ16" t="n">
        <v>1997069892.792</v>
      </c>
      <c r="AR16" t="n">
        <v>1769733188.387</v>
      </c>
      <c r="AS16" t="n">
        <v>1632412981.839</v>
      </c>
      <c r="AT16" t="n">
        <v>1673583624.445</v>
      </c>
      <c r="AU16" t="n">
        <v>1855456543.366</v>
      </c>
      <c r="AV16" t="n">
        <v>1878046231.765</v>
      </c>
      <c r="AW16" t="n">
        <v>1949036484.676</v>
      </c>
      <c r="AX16" t="n">
        <v>1941696907.454</v>
      </c>
      <c r="AY16" t="n">
        <v>1820981280.928</v>
      </c>
      <c r="AZ16" t="n">
        <v>1675578765.269</v>
      </c>
      <c r="BA16" t="n">
        <v>1655911752.407</v>
      </c>
      <c r="BB16" t="n">
        <v>1606612899.506</v>
      </c>
      <c r="BC16" t="n">
        <v>1620135243.827</v>
      </c>
      <c r="BD16" t="n">
        <v>1668540761.378</v>
      </c>
      <c r="BE16" t="n">
        <v>1742759244.811</v>
      </c>
      <c r="BF16" t="n">
        <v>1715453950.958</v>
      </c>
      <c r="BG16" t="n">
        <v>1762668881.661</v>
      </c>
      <c r="BH16" t="n">
        <v>1314594170.099</v>
      </c>
      <c r="BI16" t="n">
        <v>1319316912.934</v>
      </c>
      <c r="BJ16" t="n">
        <v>1593180323.723</v>
      </c>
      <c r="BK16" t="n">
        <v>1672316730.095</v>
      </c>
      <c r="BL16" t="n">
        <v>1583826441.877</v>
      </c>
      <c r="BM16" t="n">
        <v>1564591546.78</v>
      </c>
      <c r="BN16" t="n">
        <v>1578436924.102</v>
      </c>
      <c r="BO16" t="n">
        <v>1652226232.093</v>
      </c>
      <c r="BP16" t="n">
        <v>1527526693.858</v>
      </c>
      <c r="BQ16" t="n">
        <v>1514858775.065</v>
      </c>
      <c r="BR16" t="n">
        <v>1758703449.579</v>
      </c>
      <c r="BS16" t="n">
        <v>1454676429.547</v>
      </c>
      <c r="BT16" t="n">
        <v>1711539183.464</v>
      </c>
    </row>
    <row r="17">
      <c r="A17" t="inlineStr">
        <is>
          <t>new_TE_noEEfix</t>
        </is>
      </c>
      <c r="B17" t="inlineStr">
        <is>
          <t>ok</t>
        </is>
      </c>
      <c r="C17" t="n">
        <v>418423768.259</v>
      </c>
      <c r="D17" t="n">
        <v>435412457.875</v>
      </c>
      <c r="E17" t="n">
        <v>449344264.712</v>
      </c>
      <c r="F17" t="n">
        <v>497865920.684</v>
      </c>
      <c r="G17" t="n">
        <v>522420381.166</v>
      </c>
      <c r="H17" t="n">
        <v>560079284.5369999</v>
      </c>
      <c r="I17" t="n">
        <v>544805836.821</v>
      </c>
      <c r="J17" t="n">
        <v>517842043.507</v>
      </c>
      <c r="K17" t="n">
        <v>487530082.47</v>
      </c>
      <c r="L17" t="n">
        <v>557663668.568</v>
      </c>
      <c r="M17" t="n">
        <v>618515546.012</v>
      </c>
      <c r="N17" t="n">
        <v>563915153.531</v>
      </c>
      <c r="O17" t="n">
        <v>561133511.471</v>
      </c>
      <c r="P17" t="n">
        <v>581975146.4809999</v>
      </c>
      <c r="Q17" t="n">
        <v>649852739.497</v>
      </c>
      <c r="R17" t="n">
        <v>660261829.114</v>
      </c>
      <c r="S17" t="n">
        <v>748287133.359</v>
      </c>
      <c r="T17" t="n">
        <v>857479694.842</v>
      </c>
      <c r="U17" t="n">
        <v>934956308.419</v>
      </c>
      <c r="V17" t="n">
        <v>958508760.179</v>
      </c>
      <c r="W17" t="n">
        <v>987069489.439</v>
      </c>
      <c r="X17" t="n">
        <v>1019356656.227</v>
      </c>
      <c r="Y17" t="n">
        <v>987285726.643</v>
      </c>
      <c r="Z17" t="n">
        <v>1026290602.143</v>
      </c>
      <c r="AA17" t="n">
        <v>1080407962.643</v>
      </c>
      <c r="AB17" t="n">
        <v>994702684.251</v>
      </c>
      <c r="AC17" t="n">
        <v>1093374911.406</v>
      </c>
      <c r="AD17" t="n">
        <v>1194008388.066</v>
      </c>
      <c r="AE17" t="n">
        <v>1178910796.547</v>
      </c>
      <c r="AF17" t="n">
        <v>1187468602.874</v>
      </c>
      <c r="AG17" t="n">
        <v>1140619189.66</v>
      </c>
      <c r="AH17" t="n">
        <v>1170729270.015</v>
      </c>
      <c r="AI17" t="n">
        <v>1230190507.666</v>
      </c>
      <c r="AJ17" t="n">
        <v>1233801825.25</v>
      </c>
      <c r="AK17" t="n">
        <v>1220216807.122</v>
      </c>
      <c r="AL17" t="n">
        <v>1190771633.997</v>
      </c>
      <c r="AM17" t="n">
        <v>1270228522.201</v>
      </c>
      <c r="AN17" t="n">
        <v>1218079722.418</v>
      </c>
      <c r="AO17" t="n">
        <v>1222564596.016</v>
      </c>
      <c r="AP17" t="n">
        <v>1193480297.644</v>
      </c>
      <c r="AQ17" t="n">
        <v>1191671577.161</v>
      </c>
      <c r="AR17" t="n">
        <v>1062375526.557</v>
      </c>
      <c r="AS17" t="n">
        <v>980392032.183</v>
      </c>
      <c r="AT17" t="n">
        <v>1005768751.887</v>
      </c>
      <c r="AU17" t="n">
        <v>1113969325.69</v>
      </c>
      <c r="AV17" t="n">
        <v>1130495028.299</v>
      </c>
      <c r="AW17" t="n">
        <v>1172622335.362</v>
      </c>
      <c r="AX17" t="n">
        <v>1165885091.903</v>
      </c>
      <c r="AY17" t="n">
        <v>1098782411.036</v>
      </c>
      <c r="AZ17" t="n">
        <v>1012680448.557</v>
      </c>
      <c r="BA17" t="n">
        <v>1000343744.077</v>
      </c>
      <c r="BB17" t="n">
        <v>973621087.704</v>
      </c>
      <c r="BC17" t="n">
        <v>980415905.737</v>
      </c>
      <c r="BD17" t="n">
        <v>1008168205.033</v>
      </c>
      <c r="BE17" t="n">
        <v>1054403101.988</v>
      </c>
      <c r="BF17" t="n">
        <v>1038063760.833</v>
      </c>
      <c r="BG17" t="n">
        <v>1066518286.462</v>
      </c>
      <c r="BH17" t="n">
        <v>810125967.824</v>
      </c>
      <c r="BI17" t="n">
        <v>816379821.2460001</v>
      </c>
      <c r="BJ17" t="n">
        <v>969571115.1059999</v>
      </c>
      <c r="BK17" t="n">
        <v>1015503258.965</v>
      </c>
      <c r="BL17" t="n">
        <v>972242445.152</v>
      </c>
      <c r="BM17" t="n">
        <v>961317543.399</v>
      </c>
      <c r="BN17" t="n">
        <v>967272069.518</v>
      </c>
      <c r="BO17" t="n">
        <v>1013227999.218</v>
      </c>
      <c r="BP17" t="n">
        <v>937664476.2</v>
      </c>
      <c r="BQ17" t="n">
        <v>927656277.324</v>
      </c>
      <c r="BR17" t="n">
        <v>1065188059.704</v>
      </c>
      <c r="BS17" t="n">
        <v>890550852.4960001</v>
      </c>
      <c r="BT17" t="n">
        <v>1040203075.049</v>
      </c>
    </row>
    <row r="18">
      <c r="A18" t="inlineStr">
        <is>
          <t>new_TE_EEfix</t>
        </is>
      </c>
      <c r="B18" t="inlineStr">
        <is>
          <t>ok</t>
        </is>
      </c>
      <c r="C18" t="n">
        <v>418423768.259</v>
      </c>
      <c r="D18" t="n">
        <v>435412457.875</v>
      </c>
      <c r="E18" t="n">
        <v>449344264.712</v>
      </c>
      <c r="F18" t="n">
        <v>497865920.684</v>
      </c>
      <c r="G18" t="n">
        <v>522420381.166</v>
      </c>
      <c r="H18" t="n">
        <v>560079284.5369999</v>
      </c>
      <c r="I18" t="n">
        <v>544805836.821</v>
      </c>
      <c r="J18" t="n">
        <v>517842043.507</v>
      </c>
      <c r="K18" t="n">
        <v>487530082.47</v>
      </c>
      <c r="L18" t="n">
        <v>557663668.568</v>
      </c>
      <c r="M18" t="n">
        <v>618515546.012</v>
      </c>
      <c r="N18" t="n">
        <v>563915153.531</v>
      </c>
      <c r="O18" t="n">
        <v>561133511.471</v>
      </c>
      <c r="P18" t="n">
        <v>581975146.4809999</v>
      </c>
      <c r="Q18" t="n">
        <v>649852739.497</v>
      </c>
      <c r="R18" t="n">
        <v>660261829.114</v>
      </c>
      <c r="S18" t="n">
        <v>748287133.359</v>
      </c>
      <c r="T18" t="n">
        <v>857479694.842</v>
      </c>
      <c r="U18" t="n">
        <v>934956308.419</v>
      </c>
      <c r="V18" t="n">
        <v>958508760.179</v>
      </c>
      <c r="W18" t="n">
        <v>987069489.439</v>
      </c>
      <c r="X18" t="n">
        <v>1019356656.227</v>
      </c>
      <c r="Y18" t="n">
        <v>987285726.643</v>
      </c>
      <c r="Z18" t="n">
        <v>1026290602.143</v>
      </c>
      <c r="AA18" t="n">
        <v>1080407962.643</v>
      </c>
      <c r="AB18" t="n">
        <v>994702684.251</v>
      </c>
      <c r="AC18" t="n">
        <v>1093374911.406</v>
      </c>
      <c r="AD18" t="n">
        <v>1194008388.066</v>
      </c>
      <c r="AE18" t="n">
        <v>1178910796.547</v>
      </c>
      <c r="AF18" t="n">
        <v>1187468602.874</v>
      </c>
      <c r="AG18" t="n">
        <v>1140619189.66</v>
      </c>
      <c r="AH18" t="n">
        <v>1170729270.015</v>
      </c>
      <c r="AI18" t="n">
        <v>1230190507.666</v>
      </c>
      <c r="AJ18" t="n">
        <v>1233801825.25</v>
      </c>
      <c r="AK18" t="n">
        <v>1220216807.122</v>
      </c>
      <c r="AL18" t="n">
        <v>1190771633.997</v>
      </c>
      <c r="AM18" t="n">
        <v>1270228522.201</v>
      </c>
      <c r="AN18" t="n">
        <v>1218079722.418</v>
      </c>
      <c r="AO18" t="n">
        <v>1222564596.016</v>
      </c>
      <c r="AP18" t="n">
        <v>1193480297.644</v>
      </c>
      <c r="AQ18" t="n">
        <v>1191671577.161</v>
      </c>
      <c r="AR18" t="n">
        <v>1062375526.557</v>
      </c>
      <c r="AS18" t="n">
        <v>980392032.183</v>
      </c>
      <c r="AT18" t="n">
        <v>1005768751.887</v>
      </c>
      <c r="AU18" t="n">
        <v>1113969325.69</v>
      </c>
      <c r="AV18" t="n">
        <v>1130495028.299</v>
      </c>
      <c r="AW18" t="n">
        <v>1172622335.362</v>
      </c>
      <c r="AX18" t="n">
        <v>1165885091.903</v>
      </c>
      <c r="AY18" t="n">
        <v>1098782411.036</v>
      </c>
      <c r="AZ18" t="n">
        <v>1012680448.557</v>
      </c>
      <c r="BA18" t="n">
        <v>1000343744.077</v>
      </c>
      <c r="BB18" t="n">
        <v>973621087.704</v>
      </c>
      <c r="BC18" t="n">
        <v>980415905.737</v>
      </c>
      <c r="BD18" t="n">
        <v>1008168205.033</v>
      </c>
      <c r="BE18" t="n">
        <v>1054403101.988</v>
      </c>
      <c r="BF18" t="n">
        <v>1038063760.833</v>
      </c>
      <c r="BG18" t="n">
        <v>1066518286.462</v>
      </c>
      <c r="BH18" t="n">
        <v>810125967.824</v>
      </c>
      <c r="BI18" t="n">
        <v>816379821.2460001</v>
      </c>
      <c r="BJ18" t="n">
        <v>969571115.1059999</v>
      </c>
      <c r="BK18" t="n">
        <v>1015503258.965</v>
      </c>
      <c r="BL18" t="n">
        <v>972242445.152</v>
      </c>
      <c r="BM18" t="n">
        <v>961317543.399</v>
      </c>
      <c r="BN18" t="n">
        <v>967272069.518</v>
      </c>
      <c r="BO18" t="n">
        <v>1013227999.218</v>
      </c>
      <c r="BP18" t="n">
        <v>937664476.2</v>
      </c>
      <c r="BQ18" t="n">
        <v>927656277.324</v>
      </c>
      <c r="BR18" t="n">
        <v>1065188059.704</v>
      </c>
      <c r="BS18" t="n">
        <v>890550852.4960001</v>
      </c>
      <c r="BT18" t="n">
        <v>1040203075.049</v>
      </c>
    </row>
    <row r="19">
      <c r="A19" t="inlineStr">
        <is>
          <t>new_GE</t>
        </is>
      </c>
      <c r="B19" t="inlineStr">
        <is>
          <t>ok</t>
        </is>
      </c>
      <c r="C19" t="n">
        <v>19097969.867</v>
      </c>
      <c r="D19" t="n">
        <v>21034817.18</v>
      </c>
      <c r="E19" t="n">
        <v>23045020.427</v>
      </c>
      <c r="F19" t="n">
        <v>22961815.608</v>
      </c>
      <c r="G19" t="n">
        <v>25279487.026</v>
      </c>
      <c r="H19" t="n">
        <v>26718220.533</v>
      </c>
      <c r="I19" t="n">
        <v>29133719.332</v>
      </c>
      <c r="J19" t="n">
        <v>29880582.355</v>
      </c>
      <c r="K19" t="n">
        <v>31102181.896</v>
      </c>
      <c r="L19" t="n">
        <v>30378482.294</v>
      </c>
      <c r="M19" t="n">
        <v>31334948.52</v>
      </c>
      <c r="N19" t="n">
        <v>31243041.489</v>
      </c>
      <c r="O19" t="n">
        <v>32555864.826</v>
      </c>
      <c r="P19" t="n">
        <v>31361366.499</v>
      </c>
      <c r="Q19" t="n">
        <v>30659309.064</v>
      </c>
      <c r="R19" t="n">
        <v>33460375.925</v>
      </c>
      <c r="S19" t="n">
        <v>33863305.954</v>
      </c>
      <c r="T19" t="n">
        <v>34703301.553</v>
      </c>
      <c r="U19" t="n">
        <v>36300857.765</v>
      </c>
      <c r="V19" t="n">
        <v>37769161.664</v>
      </c>
      <c r="W19" t="n">
        <v>40818179.536</v>
      </c>
      <c r="X19" t="n">
        <v>41198317.948</v>
      </c>
      <c r="Y19" t="n">
        <v>44758017.383</v>
      </c>
      <c r="Z19" t="n">
        <v>48745904.055</v>
      </c>
      <c r="AA19" t="n">
        <v>52344524.547</v>
      </c>
      <c r="AB19" t="n">
        <v>51337634.413</v>
      </c>
      <c r="AC19" t="n">
        <v>50995969.18</v>
      </c>
      <c r="AD19" t="n">
        <v>57127712.277</v>
      </c>
      <c r="AE19" t="n">
        <v>61610617.627</v>
      </c>
      <c r="AF19" t="n">
        <v>60340756.646</v>
      </c>
      <c r="AG19" t="n">
        <v>61155996.671</v>
      </c>
      <c r="AH19" t="n">
        <v>66004959.345</v>
      </c>
      <c r="AI19" t="n">
        <v>66483026.059</v>
      </c>
      <c r="AJ19" t="n">
        <v>69081443.93700001</v>
      </c>
      <c r="AK19" t="n">
        <v>74502176.66599999</v>
      </c>
      <c r="AL19" t="n">
        <v>72061935.837</v>
      </c>
      <c r="AM19" t="n">
        <v>79184338.90800001</v>
      </c>
      <c r="AN19" t="n">
        <v>79004355.03399999</v>
      </c>
      <c r="AO19" t="n">
        <v>82159807.117</v>
      </c>
      <c r="AP19" t="n">
        <v>83278200.942</v>
      </c>
      <c r="AQ19" t="n">
        <v>81988638.895</v>
      </c>
      <c r="AR19" t="n">
        <v>79829586.501</v>
      </c>
      <c r="AS19" t="n">
        <v>74599253.676</v>
      </c>
      <c r="AT19" t="n">
        <v>76304357.90700001</v>
      </c>
      <c r="AU19" t="n">
        <v>82456533.543</v>
      </c>
      <c r="AV19" t="n">
        <v>88106703.67200001</v>
      </c>
      <c r="AW19" t="n">
        <v>88753130.54099999</v>
      </c>
      <c r="AX19" t="n">
        <v>87125352.537</v>
      </c>
      <c r="AY19" t="n">
        <v>88684292.214</v>
      </c>
      <c r="AZ19" t="n">
        <v>83832127.263</v>
      </c>
      <c r="BA19" t="n">
        <v>81754578.75300001</v>
      </c>
      <c r="BB19" t="n">
        <v>84130489.763</v>
      </c>
      <c r="BC19" t="n">
        <v>82379823.43799999</v>
      </c>
      <c r="BD19" t="n">
        <v>83737833.895</v>
      </c>
      <c r="BE19" t="n">
        <v>88519800.77599999</v>
      </c>
      <c r="BF19" t="n">
        <v>87189068.88</v>
      </c>
      <c r="BG19" t="n">
        <v>88441022.899</v>
      </c>
      <c r="BH19" t="n">
        <v>86645205.035</v>
      </c>
      <c r="BI19" t="n">
        <v>91512302.199</v>
      </c>
      <c r="BJ19" t="n">
        <v>86454847.927</v>
      </c>
      <c r="BK19" t="n">
        <v>86685862.80400001</v>
      </c>
      <c r="BL19" t="n">
        <v>95909196.589</v>
      </c>
      <c r="BM19" t="n">
        <v>96303582.611</v>
      </c>
      <c r="BN19" t="n">
        <v>94079480.23800001</v>
      </c>
      <c r="BO19" t="n">
        <v>100742782.839</v>
      </c>
      <c r="BP19" t="n">
        <v>92635976.83</v>
      </c>
      <c r="BQ19" t="n">
        <v>89862622.88600001</v>
      </c>
      <c r="BR19" t="n">
        <v>87281489.31299999</v>
      </c>
      <c r="BS19" t="n">
        <v>86013578.01000001</v>
      </c>
      <c r="BT19" t="n">
        <v>89698223.899</v>
      </c>
    </row>
    <row r="20">
      <c r="A20" t="inlineStr">
        <is>
          <t>new_WithEgestion</t>
        </is>
      </c>
      <c r="B20" t="inlineStr">
        <is>
          <t>ok</t>
        </is>
      </c>
      <c r="C20" t="n">
        <v>10681827.079</v>
      </c>
      <c r="D20" t="n">
        <v>11748740.957</v>
      </c>
      <c r="E20" t="n">
        <v>12797186.953</v>
      </c>
      <c r="F20" t="n">
        <v>12832003.85</v>
      </c>
      <c r="G20" t="n">
        <v>14147051.294</v>
      </c>
      <c r="H20" t="n">
        <v>14937795.477</v>
      </c>
      <c r="I20" t="n">
        <v>16240391.505</v>
      </c>
      <c r="J20" t="n">
        <v>16818178.699</v>
      </c>
      <c r="K20" t="n">
        <v>17500932.938</v>
      </c>
      <c r="L20" t="n">
        <v>17102724.077</v>
      </c>
      <c r="M20" t="n">
        <v>17539571.815</v>
      </c>
      <c r="N20" t="n">
        <v>17664667.341</v>
      </c>
      <c r="O20" t="n">
        <v>18363580.913</v>
      </c>
      <c r="P20" t="n">
        <v>17722859.341</v>
      </c>
      <c r="Q20" t="n">
        <v>17342173.68</v>
      </c>
      <c r="R20" t="n">
        <v>19003291.534</v>
      </c>
      <c r="S20" t="n">
        <v>19175965.682</v>
      </c>
      <c r="T20" t="n">
        <v>19654498.679</v>
      </c>
      <c r="U20" t="n">
        <v>20792477.607</v>
      </c>
      <c r="V20" t="n">
        <v>21624752.183</v>
      </c>
      <c r="W20" t="n">
        <v>23488014.761</v>
      </c>
      <c r="X20" t="n">
        <v>23557587.676</v>
      </c>
      <c r="Y20" t="n">
        <v>25425440.778</v>
      </c>
      <c r="Z20" t="n">
        <v>27677781.283</v>
      </c>
      <c r="AA20" t="n">
        <v>29754365.447</v>
      </c>
      <c r="AB20" t="n">
        <v>29379447.252</v>
      </c>
      <c r="AC20" t="n">
        <v>29309127.382</v>
      </c>
      <c r="AD20" t="n">
        <v>33092156.889</v>
      </c>
      <c r="AE20" t="n">
        <v>35979073.35</v>
      </c>
      <c r="AF20" t="n">
        <v>34995203.923</v>
      </c>
      <c r="AG20" t="n">
        <v>35398492.455</v>
      </c>
      <c r="AH20" t="n">
        <v>38240633.053</v>
      </c>
      <c r="AI20" t="n">
        <v>38640988.993</v>
      </c>
      <c r="AJ20" t="n">
        <v>40430767.992</v>
      </c>
      <c r="AK20" t="n">
        <v>43617358.266</v>
      </c>
      <c r="AL20" t="n">
        <v>42098294.648</v>
      </c>
      <c r="AM20" t="n">
        <v>46479397.705</v>
      </c>
      <c r="AN20" t="n">
        <v>46380478.501</v>
      </c>
      <c r="AO20" t="n">
        <v>48316454.872</v>
      </c>
      <c r="AP20" t="n">
        <v>48719881.98</v>
      </c>
      <c r="AQ20" t="n">
        <v>47593808.897</v>
      </c>
      <c r="AR20" t="n">
        <v>46111618.632</v>
      </c>
      <c r="AS20" t="n">
        <v>42964003.069</v>
      </c>
      <c r="AT20" t="n">
        <v>44202979.395</v>
      </c>
      <c r="AU20" t="n">
        <v>47304539.047</v>
      </c>
      <c r="AV20" t="n">
        <v>50125385.542</v>
      </c>
      <c r="AW20" t="n">
        <v>50575428.215</v>
      </c>
      <c r="AX20" t="n">
        <v>49793223.098</v>
      </c>
      <c r="AY20" t="n">
        <v>50188516.164</v>
      </c>
      <c r="AZ20" t="n">
        <v>47457500.459</v>
      </c>
      <c r="BA20" t="n">
        <v>45982574.792</v>
      </c>
      <c r="BB20" t="n">
        <v>47488860.417</v>
      </c>
      <c r="BC20" t="n">
        <v>46440998.966</v>
      </c>
      <c r="BD20" t="n">
        <v>47408322.469</v>
      </c>
      <c r="BE20" t="n">
        <v>49869172.186</v>
      </c>
      <c r="BF20" t="n">
        <v>49362532.368</v>
      </c>
      <c r="BG20" t="n">
        <v>49784236.866</v>
      </c>
      <c r="BH20" t="n">
        <v>48671138.962</v>
      </c>
      <c r="BI20" t="n">
        <v>51684212.243</v>
      </c>
      <c r="BJ20" t="n">
        <v>48618676.424</v>
      </c>
      <c r="BK20" t="n">
        <v>48816920.635</v>
      </c>
      <c r="BL20" t="n">
        <v>53991629.637</v>
      </c>
      <c r="BM20" t="n">
        <v>54246455.783</v>
      </c>
      <c r="BN20" t="n">
        <v>52949675.106</v>
      </c>
      <c r="BO20" t="n">
        <v>56758145.363</v>
      </c>
      <c r="BP20" t="n">
        <v>52344907.987</v>
      </c>
      <c r="BQ20" t="n">
        <v>50847285.394</v>
      </c>
      <c r="BR20" t="n">
        <v>49417362.045</v>
      </c>
      <c r="BS20" t="n">
        <v>48820679.62</v>
      </c>
      <c r="BT20" t="n">
        <v>51344019.178</v>
      </c>
    </row>
    <row r="21">
      <c r="A21" t="inlineStr">
        <is>
          <t>sym_TE_asPP</t>
        </is>
      </c>
      <c r="B21" t="inlineStr">
        <is>
          <t>ok</t>
        </is>
      </c>
      <c r="C21" t="n">
        <v>418423768.259</v>
      </c>
      <c r="D21" t="n">
        <v>435412457.875</v>
      </c>
      <c r="E21" t="n">
        <v>449344264.712</v>
      </c>
      <c r="F21" t="n">
        <v>497865920.684</v>
      </c>
      <c r="G21" t="n">
        <v>522420381.166</v>
      </c>
      <c r="H21" t="n">
        <v>560079284.5369999</v>
      </c>
      <c r="I21" t="n">
        <v>544805836.821</v>
      </c>
      <c r="J21" t="n">
        <v>517842043.507</v>
      </c>
      <c r="K21" t="n">
        <v>487530082.47</v>
      </c>
      <c r="L21" t="n">
        <v>557663668.568</v>
      </c>
      <c r="M21" t="n">
        <v>618515546.012</v>
      </c>
      <c r="N21" t="n">
        <v>563915153.531</v>
      </c>
      <c r="O21" t="n">
        <v>561133511.471</v>
      </c>
      <c r="P21" t="n">
        <v>581975146.4809999</v>
      </c>
      <c r="Q21" t="n">
        <v>649852739.497</v>
      </c>
      <c r="R21" t="n">
        <v>660261829.114</v>
      </c>
      <c r="S21" t="n">
        <v>748287133.359</v>
      </c>
      <c r="T21" t="n">
        <v>857479694.842</v>
      </c>
      <c r="U21" t="n">
        <v>934956308.419</v>
      </c>
      <c r="V21" t="n">
        <v>958508760.179</v>
      </c>
      <c r="W21" t="n">
        <v>987069489.439</v>
      </c>
      <c r="X21" t="n">
        <v>1019356656.227</v>
      </c>
      <c r="Y21" t="n">
        <v>987285726.643</v>
      </c>
      <c r="Z21" t="n">
        <v>1026290602.143</v>
      </c>
      <c r="AA21" t="n">
        <v>1080407962.643</v>
      </c>
      <c r="AB21" t="n">
        <v>994702684.251</v>
      </c>
      <c r="AC21" t="n">
        <v>1093374911.406</v>
      </c>
      <c r="AD21" t="n">
        <v>1194008388.066</v>
      </c>
      <c r="AE21" t="n">
        <v>1178910796.547</v>
      </c>
      <c r="AF21" t="n">
        <v>1187468602.874</v>
      </c>
      <c r="AG21" t="n">
        <v>1140619189.66</v>
      </c>
      <c r="AH21" t="n">
        <v>1170729270.015</v>
      </c>
      <c r="AI21" t="n">
        <v>1230190507.666</v>
      </c>
      <c r="AJ21" t="n">
        <v>1233801825.25</v>
      </c>
      <c r="AK21" t="n">
        <v>1220216807.122</v>
      </c>
      <c r="AL21" t="n">
        <v>1190771633.997</v>
      </c>
      <c r="AM21" t="n">
        <v>1270228522.201</v>
      </c>
      <c r="AN21" t="n">
        <v>1218079722.418</v>
      </c>
      <c r="AO21" t="n">
        <v>1222564596.016</v>
      </c>
      <c r="AP21" t="n">
        <v>1193480297.644</v>
      </c>
      <c r="AQ21" t="n">
        <v>1191671577.161</v>
      </c>
      <c r="AR21" t="n">
        <v>1062375526.557</v>
      </c>
      <c r="AS21" t="n">
        <v>980392032.183</v>
      </c>
      <c r="AT21" t="n">
        <v>1005768751.887</v>
      </c>
      <c r="AU21" t="n">
        <v>1113969325.69</v>
      </c>
      <c r="AV21" t="n">
        <v>1130495028.299</v>
      </c>
      <c r="AW21" t="n">
        <v>1172622335.362</v>
      </c>
      <c r="AX21" t="n">
        <v>1165885091.903</v>
      </c>
      <c r="AY21" t="n">
        <v>1098782411.036</v>
      </c>
      <c r="AZ21" t="n">
        <v>1012680448.557</v>
      </c>
      <c r="BA21" t="n">
        <v>1000343744.077</v>
      </c>
      <c r="BB21" t="n">
        <v>973621087.704</v>
      </c>
      <c r="BC21" t="n">
        <v>980415905.737</v>
      </c>
      <c r="BD21" t="n">
        <v>1008168205.033</v>
      </c>
      <c r="BE21" t="n">
        <v>1054403101.988</v>
      </c>
      <c r="BF21" t="n">
        <v>1038063760.833</v>
      </c>
      <c r="BG21" t="n">
        <v>1066518286.462</v>
      </c>
      <c r="BH21" t="n">
        <v>810125967.824</v>
      </c>
      <c r="BI21" t="n">
        <v>816379821.2460001</v>
      </c>
      <c r="BJ21" t="n">
        <v>969571115.1059999</v>
      </c>
      <c r="BK21" t="n">
        <v>1015503258.965</v>
      </c>
      <c r="BL21" t="n">
        <v>972242445.152</v>
      </c>
      <c r="BM21" t="n">
        <v>961317543.399</v>
      </c>
      <c r="BN21" t="n">
        <v>967272069.518</v>
      </c>
      <c r="BO21" t="n">
        <v>1013227999.218</v>
      </c>
      <c r="BP21" t="n">
        <v>937664476.2</v>
      </c>
      <c r="BQ21" t="n">
        <v>927656277.324</v>
      </c>
      <c r="BR21" t="n">
        <v>1065188059.704</v>
      </c>
      <c r="BS21" t="n">
        <v>890550852.4960001</v>
      </c>
      <c r="BT21" t="n">
        <v>1040203075.049</v>
      </c>
    </row>
    <row r="22">
      <c r="A22" t="inlineStr">
        <is>
          <t>sym_TE_asDC</t>
        </is>
      </c>
      <c r="B22" t="inlineStr">
        <is>
          <t>ok</t>
        </is>
      </c>
      <c r="C22" t="n">
        <v>418423768.259</v>
      </c>
      <c r="D22" t="n">
        <v>435412457.875</v>
      </c>
      <c r="E22" t="n">
        <v>449344264.712</v>
      </c>
      <c r="F22" t="n">
        <v>497865920.684</v>
      </c>
      <c r="G22" t="n">
        <v>522420381.166</v>
      </c>
      <c r="H22" t="n">
        <v>560079284.5369999</v>
      </c>
      <c r="I22" t="n">
        <v>544805836.821</v>
      </c>
      <c r="J22" t="n">
        <v>517842043.507</v>
      </c>
      <c r="K22" t="n">
        <v>487530082.47</v>
      </c>
      <c r="L22" t="n">
        <v>557663668.568</v>
      </c>
      <c r="M22" t="n">
        <v>618515546.012</v>
      </c>
      <c r="N22" t="n">
        <v>563915153.531</v>
      </c>
      <c r="O22" t="n">
        <v>561133511.471</v>
      </c>
      <c r="P22" t="n">
        <v>581975146.4809999</v>
      </c>
      <c r="Q22" t="n">
        <v>649852739.497</v>
      </c>
      <c r="R22" t="n">
        <v>660261829.114</v>
      </c>
      <c r="S22" t="n">
        <v>748287133.359</v>
      </c>
      <c r="T22" t="n">
        <v>857479694.842</v>
      </c>
      <c r="U22" t="n">
        <v>934956308.419</v>
      </c>
      <c r="V22" t="n">
        <v>958508760.179</v>
      </c>
      <c r="W22" t="n">
        <v>987069489.439</v>
      </c>
      <c r="X22" t="n">
        <v>1019356656.227</v>
      </c>
      <c r="Y22" t="n">
        <v>987285726.643</v>
      </c>
      <c r="Z22" t="n">
        <v>1026290602.143</v>
      </c>
      <c r="AA22" t="n">
        <v>1080407962.643</v>
      </c>
      <c r="AB22" t="n">
        <v>994702684.251</v>
      </c>
      <c r="AC22" t="n">
        <v>1093374911.406</v>
      </c>
      <c r="AD22" t="n">
        <v>1194008388.066</v>
      </c>
      <c r="AE22" t="n">
        <v>1178910796.547</v>
      </c>
      <c r="AF22" t="n">
        <v>1187468602.874</v>
      </c>
      <c r="AG22" t="n">
        <v>1140619189.66</v>
      </c>
      <c r="AH22" t="n">
        <v>1170729270.015</v>
      </c>
      <c r="AI22" t="n">
        <v>1230190507.666</v>
      </c>
      <c r="AJ22" t="n">
        <v>1233801825.25</v>
      </c>
      <c r="AK22" t="n">
        <v>1220216807.122</v>
      </c>
      <c r="AL22" t="n">
        <v>1190771633.997</v>
      </c>
      <c r="AM22" t="n">
        <v>1270228522.201</v>
      </c>
      <c r="AN22" t="n">
        <v>1218079722.418</v>
      </c>
      <c r="AO22" t="n">
        <v>1222564596.016</v>
      </c>
      <c r="AP22" t="n">
        <v>1193480297.644</v>
      </c>
      <c r="AQ22" t="n">
        <v>1191671577.161</v>
      </c>
      <c r="AR22" t="n">
        <v>1062375526.557</v>
      </c>
      <c r="AS22" t="n">
        <v>980392032.183</v>
      </c>
      <c r="AT22" t="n">
        <v>1005768751.887</v>
      </c>
      <c r="AU22" t="n">
        <v>1113969325.69</v>
      </c>
      <c r="AV22" t="n">
        <v>1130495028.299</v>
      </c>
      <c r="AW22" t="n">
        <v>1172622335.362</v>
      </c>
      <c r="AX22" t="n">
        <v>1165885091.903</v>
      </c>
      <c r="AY22" t="n">
        <v>1098782411.036</v>
      </c>
      <c r="AZ22" t="n">
        <v>1012680448.557</v>
      </c>
      <c r="BA22" t="n">
        <v>1000343744.077</v>
      </c>
      <c r="BB22" t="n">
        <v>973621087.704</v>
      </c>
      <c r="BC22" t="n">
        <v>980415905.737</v>
      </c>
      <c r="BD22" t="n">
        <v>1008168205.033</v>
      </c>
      <c r="BE22" t="n">
        <v>1054403101.988</v>
      </c>
      <c r="BF22" t="n">
        <v>1038063760.833</v>
      </c>
      <c r="BG22" t="n">
        <v>1066518286.462</v>
      </c>
      <c r="BH22" t="n">
        <v>810125967.824</v>
      </c>
      <c r="BI22" t="n">
        <v>816379821.2460001</v>
      </c>
      <c r="BJ22" t="n">
        <v>969571115.1059999</v>
      </c>
      <c r="BK22" t="n">
        <v>1015503258.965</v>
      </c>
      <c r="BL22" t="n">
        <v>972242445.152</v>
      </c>
      <c r="BM22" t="n">
        <v>961317543.399</v>
      </c>
      <c r="BN22" t="n">
        <v>967272069.518</v>
      </c>
      <c r="BO22" t="n">
        <v>1013227999.218</v>
      </c>
      <c r="BP22" t="n">
        <v>937664476.2</v>
      </c>
      <c r="BQ22" t="n">
        <v>927656277.324</v>
      </c>
      <c r="BR22" t="n">
        <v>1065188059.704</v>
      </c>
      <c r="BS22" t="n">
        <v>890550852.4960001</v>
      </c>
      <c r="BT22" t="n">
        <v>1040203075.049</v>
      </c>
    </row>
    <row r="23">
      <c r="A23" t="inlineStr">
        <is>
          <t>sym_GE_asPP</t>
        </is>
      </c>
      <c r="B23" t="inlineStr">
        <is>
          <t>ok</t>
        </is>
      </c>
      <c r="C23" t="n">
        <v>19097969.867</v>
      </c>
      <c r="D23" t="n">
        <v>21034817.18</v>
      </c>
      <c r="E23" t="n">
        <v>23045020.427</v>
      </c>
      <c r="F23" t="n">
        <v>22961815.608</v>
      </c>
      <c r="G23" t="n">
        <v>25279487.026</v>
      </c>
      <c r="H23" t="n">
        <v>26718220.533</v>
      </c>
      <c r="I23" t="n">
        <v>29133719.332</v>
      </c>
      <c r="J23" t="n">
        <v>29880582.355</v>
      </c>
      <c r="K23" t="n">
        <v>31102181.896</v>
      </c>
      <c r="L23" t="n">
        <v>30378482.294</v>
      </c>
      <c r="M23" t="n">
        <v>31334948.52</v>
      </c>
      <c r="N23" t="n">
        <v>31243041.489</v>
      </c>
      <c r="O23" t="n">
        <v>32555864.826</v>
      </c>
      <c r="P23" t="n">
        <v>31361366.499</v>
      </c>
      <c r="Q23" t="n">
        <v>30659309.064</v>
      </c>
      <c r="R23" t="n">
        <v>33460375.925</v>
      </c>
      <c r="S23" t="n">
        <v>33863305.954</v>
      </c>
      <c r="T23" t="n">
        <v>34703301.553</v>
      </c>
      <c r="U23" t="n">
        <v>36300857.765</v>
      </c>
      <c r="V23" t="n">
        <v>37769161.664</v>
      </c>
      <c r="W23" t="n">
        <v>40818179.536</v>
      </c>
      <c r="X23" t="n">
        <v>41198317.948</v>
      </c>
      <c r="Y23" t="n">
        <v>44758017.383</v>
      </c>
      <c r="Z23" t="n">
        <v>48745904.055</v>
      </c>
      <c r="AA23" t="n">
        <v>52344524.547</v>
      </c>
      <c r="AB23" t="n">
        <v>51337634.413</v>
      </c>
      <c r="AC23" t="n">
        <v>50995969.18</v>
      </c>
      <c r="AD23" t="n">
        <v>57127712.277</v>
      </c>
      <c r="AE23" t="n">
        <v>61610617.627</v>
      </c>
      <c r="AF23" t="n">
        <v>60340756.646</v>
      </c>
      <c r="AG23" t="n">
        <v>61155996.671</v>
      </c>
      <c r="AH23" t="n">
        <v>66004959.345</v>
      </c>
      <c r="AI23" t="n">
        <v>66483026.059</v>
      </c>
      <c r="AJ23" t="n">
        <v>69081443.93700001</v>
      </c>
      <c r="AK23" t="n">
        <v>74502176.66599999</v>
      </c>
      <c r="AL23" t="n">
        <v>72061935.837</v>
      </c>
      <c r="AM23" t="n">
        <v>79184338.90800001</v>
      </c>
      <c r="AN23" t="n">
        <v>79004355.03399999</v>
      </c>
      <c r="AO23" t="n">
        <v>82159807.117</v>
      </c>
      <c r="AP23" t="n">
        <v>83278200.942</v>
      </c>
      <c r="AQ23" t="n">
        <v>81988638.895</v>
      </c>
      <c r="AR23" t="n">
        <v>79829586.501</v>
      </c>
      <c r="AS23" t="n">
        <v>74599253.676</v>
      </c>
      <c r="AT23" t="n">
        <v>76304357.90700001</v>
      </c>
      <c r="AU23" t="n">
        <v>82456533.543</v>
      </c>
      <c r="AV23" t="n">
        <v>88106703.67200001</v>
      </c>
      <c r="AW23" t="n">
        <v>88753130.54099999</v>
      </c>
      <c r="AX23" t="n">
        <v>87125352.537</v>
      </c>
      <c r="AY23" t="n">
        <v>88684292.214</v>
      </c>
      <c r="AZ23" t="n">
        <v>83832127.263</v>
      </c>
      <c r="BA23" t="n">
        <v>81754578.75300001</v>
      </c>
      <c r="BB23" t="n">
        <v>84130489.763</v>
      </c>
      <c r="BC23" t="n">
        <v>82379823.43799999</v>
      </c>
      <c r="BD23" t="n">
        <v>83737833.895</v>
      </c>
      <c r="BE23" t="n">
        <v>88519800.77599999</v>
      </c>
      <c r="BF23" t="n">
        <v>87189068.88</v>
      </c>
      <c r="BG23" t="n">
        <v>88441022.899</v>
      </c>
      <c r="BH23" t="n">
        <v>86645205.035</v>
      </c>
      <c r="BI23" t="n">
        <v>91512302.199</v>
      </c>
      <c r="BJ23" t="n">
        <v>86454847.927</v>
      </c>
      <c r="BK23" t="n">
        <v>86685862.80400001</v>
      </c>
      <c r="BL23" t="n">
        <v>95909196.589</v>
      </c>
      <c r="BM23" t="n">
        <v>96303582.611</v>
      </c>
      <c r="BN23" t="n">
        <v>94079480.23800001</v>
      </c>
      <c r="BO23" t="n">
        <v>100742782.839</v>
      </c>
      <c r="BP23" t="n">
        <v>92635976.83</v>
      </c>
      <c r="BQ23" t="n">
        <v>89862622.88600001</v>
      </c>
      <c r="BR23" t="n">
        <v>87281489.31299999</v>
      </c>
      <c r="BS23" t="n">
        <v>86013578.01000001</v>
      </c>
      <c r="BT23" t="n">
        <v>89698223.899</v>
      </c>
    </row>
    <row r="24">
      <c r="A24" t="inlineStr">
        <is>
          <t>sym_GE_asDC</t>
        </is>
      </c>
      <c r="B24" t="inlineStr">
        <is>
          <t>ok</t>
        </is>
      </c>
      <c r="C24" t="n">
        <v>19097969.867</v>
      </c>
      <c r="D24" t="n">
        <v>21034817.18</v>
      </c>
      <c r="E24" t="n">
        <v>23045020.427</v>
      </c>
      <c r="F24" t="n">
        <v>22961815.608</v>
      </c>
      <c r="G24" t="n">
        <v>25279487.026</v>
      </c>
      <c r="H24" t="n">
        <v>26718220.533</v>
      </c>
      <c r="I24" t="n">
        <v>29133719.332</v>
      </c>
      <c r="J24" t="n">
        <v>29880582.355</v>
      </c>
      <c r="K24" t="n">
        <v>31102181.896</v>
      </c>
      <c r="L24" t="n">
        <v>30378482.294</v>
      </c>
      <c r="M24" t="n">
        <v>31334948.52</v>
      </c>
      <c r="N24" t="n">
        <v>31243041.489</v>
      </c>
      <c r="O24" t="n">
        <v>32555864.826</v>
      </c>
      <c r="P24" t="n">
        <v>31361366.499</v>
      </c>
      <c r="Q24" t="n">
        <v>30659309.064</v>
      </c>
      <c r="R24" t="n">
        <v>33460375.925</v>
      </c>
      <c r="S24" t="n">
        <v>33863305.954</v>
      </c>
      <c r="T24" t="n">
        <v>34703301.553</v>
      </c>
      <c r="U24" t="n">
        <v>36300857.765</v>
      </c>
      <c r="V24" t="n">
        <v>37769161.664</v>
      </c>
      <c r="W24" t="n">
        <v>40818179.536</v>
      </c>
      <c r="X24" t="n">
        <v>41198317.948</v>
      </c>
      <c r="Y24" t="n">
        <v>44758017.383</v>
      </c>
      <c r="Z24" t="n">
        <v>48745904.055</v>
      </c>
      <c r="AA24" t="n">
        <v>52344524.547</v>
      </c>
      <c r="AB24" t="n">
        <v>51337634.413</v>
      </c>
      <c r="AC24" t="n">
        <v>50995969.18</v>
      </c>
      <c r="AD24" t="n">
        <v>57127712.277</v>
      </c>
      <c r="AE24" t="n">
        <v>61610617.627</v>
      </c>
      <c r="AF24" t="n">
        <v>60340756.646</v>
      </c>
      <c r="AG24" t="n">
        <v>61155996.671</v>
      </c>
      <c r="AH24" t="n">
        <v>66004959.345</v>
      </c>
      <c r="AI24" t="n">
        <v>66483026.059</v>
      </c>
      <c r="AJ24" t="n">
        <v>69081443.93700001</v>
      </c>
      <c r="AK24" t="n">
        <v>74502176.66599999</v>
      </c>
      <c r="AL24" t="n">
        <v>72061935.837</v>
      </c>
      <c r="AM24" t="n">
        <v>79184338.90800001</v>
      </c>
      <c r="AN24" t="n">
        <v>79004355.03399999</v>
      </c>
      <c r="AO24" t="n">
        <v>82159807.117</v>
      </c>
      <c r="AP24" t="n">
        <v>83278200.942</v>
      </c>
      <c r="AQ24" t="n">
        <v>81988638.895</v>
      </c>
      <c r="AR24" t="n">
        <v>79829586.501</v>
      </c>
      <c r="AS24" t="n">
        <v>74599253.676</v>
      </c>
      <c r="AT24" t="n">
        <v>76304357.90700001</v>
      </c>
      <c r="AU24" t="n">
        <v>82456533.543</v>
      </c>
      <c r="AV24" t="n">
        <v>88106703.67200001</v>
      </c>
      <c r="AW24" t="n">
        <v>88753130.54099999</v>
      </c>
      <c r="AX24" t="n">
        <v>87125352.537</v>
      </c>
      <c r="AY24" t="n">
        <v>88684292.214</v>
      </c>
      <c r="AZ24" t="n">
        <v>83832127.263</v>
      </c>
      <c r="BA24" t="n">
        <v>81754578.75300001</v>
      </c>
      <c r="BB24" t="n">
        <v>84130489.763</v>
      </c>
      <c r="BC24" t="n">
        <v>82379823.43799999</v>
      </c>
      <c r="BD24" t="n">
        <v>83737833.895</v>
      </c>
      <c r="BE24" t="n">
        <v>88519800.77599999</v>
      </c>
      <c r="BF24" t="n">
        <v>87189068.88</v>
      </c>
      <c r="BG24" t="n">
        <v>88441022.899</v>
      </c>
      <c r="BH24" t="n">
        <v>86645205.035</v>
      </c>
      <c r="BI24" t="n">
        <v>91512302.199</v>
      </c>
      <c r="BJ24" t="n">
        <v>86454847.927</v>
      </c>
      <c r="BK24" t="n">
        <v>86685862.80400001</v>
      </c>
      <c r="BL24" t="n">
        <v>95909196.589</v>
      </c>
      <c r="BM24" t="n">
        <v>96303582.611</v>
      </c>
      <c r="BN24" t="n">
        <v>94079480.23800001</v>
      </c>
      <c r="BO24" t="n">
        <v>100742782.839</v>
      </c>
      <c r="BP24" t="n">
        <v>92635976.83</v>
      </c>
      <c r="BQ24" t="n">
        <v>89862622.88600001</v>
      </c>
      <c r="BR24" t="n">
        <v>87281489.31299999</v>
      </c>
      <c r="BS24" t="n">
        <v>86013578.01000001</v>
      </c>
      <c r="BT24" t="n">
        <v>89698223.899</v>
      </c>
    </row>
    <row r="25">
      <c r="A25" t="inlineStr">
        <is>
          <t>sym_WithEgestion_asPP</t>
        </is>
      </c>
      <c r="B25" t="inlineStr">
        <is>
          <t>ok</t>
        </is>
      </c>
      <c r="C25" t="n">
        <v>10681827.079</v>
      </c>
      <c r="D25" t="n">
        <v>11748740.957</v>
      </c>
      <c r="E25" t="n">
        <v>12797186.953</v>
      </c>
      <c r="F25" t="n">
        <v>12832003.85</v>
      </c>
      <c r="G25" t="n">
        <v>14147051.294</v>
      </c>
      <c r="H25" t="n">
        <v>14937795.477</v>
      </c>
      <c r="I25" t="n">
        <v>16240391.505</v>
      </c>
      <c r="J25" t="n">
        <v>16818178.699</v>
      </c>
      <c r="K25" t="n">
        <v>17500932.938</v>
      </c>
      <c r="L25" t="n">
        <v>17102724.077</v>
      </c>
      <c r="M25" t="n">
        <v>17539571.815</v>
      </c>
      <c r="N25" t="n">
        <v>17664667.341</v>
      </c>
      <c r="O25" t="n">
        <v>18363580.913</v>
      </c>
      <c r="P25" t="n">
        <v>17722859.341</v>
      </c>
      <c r="Q25" t="n">
        <v>17342173.68</v>
      </c>
      <c r="R25" t="n">
        <v>19003291.534</v>
      </c>
      <c r="S25" t="n">
        <v>19175965.682</v>
      </c>
      <c r="T25" t="n">
        <v>19654498.679</v>
      </c>
      <c r="U25" t="n">
        <v>20792477.607</v>
      </c>
      <c r="V25" t="n">
        <v>21624752.183</v>
      </c>
      <c r="W25" t="n">
        <v>23488014.761</v>
      </c>
      <c r="X25" t="n">
        <v>23557587.676</v>
      </c>
      <c r="Y25" t="n">
        <v>25425440.778</v>
      </c>
      <c r="Z25" t="n">
        <v>27677781.283</v>
      </c>
      <c r="AA25" t="n">
        <v>29754365.447</v>
      </c>
      <c r="AB25" t="n">
        <v>29379447.252</v>
      </c>
      <c r="AC25" t="n">
        <v>29309127.382</v>
      </c>
      <c r="AD25" t="n">
        <v>33092156.889</v>
      </c>
      <c r="AE25" t="n">
        <v>35979073.35</v>
      </c>
      <c r="AF25" t="n">
        <v>34995203.923</v>
      </c>
      <c r="AG25" t="n">
        <v>35398492.455</v>
      </c>
      <c r="AH25" t="n">
        <v>38240633.053</v>
      </c>
      <c r="AI25" t="n">
        <v>38640988.993</v>
      </c>
      <c r="AJ25" t="n">
        <v>40430767.992</v>
      </c>
      <c r="AK25" t="n">
        <v>43617358.266</v>
      </c>
      <c r="AL25" t="n">
        <v>42098294.648</v>
      </c>
      <c r="AM25" t="n">
        <v>46479397.705</v>
      </c>
      <c r="AN25" t="n">
        <v>46380478.501</v>
      </c>
      <c r="AO25" t="n">
        <v>48316454.872</v>
      </c>
      <c r="AP25" t="n">
        <v>48719881.98</v>
      </c>
      <c r="AQ25" t="n">
        <v>47593808.897</v>
      </c>
      <c r="AR25" t="n">
        <v>46111618.632</v>
      </c>
      <c r="AS25" t="n">
        <v>42964003.069</v>
      </c>
      <c r="AT25" t="n">
        <v>44202979.395</v>
      </c>
      <c r="AU25" t="n">
        <v>47304539.047</v>
      </c>
      <c r="AV25" t="n">
        <v>50125385.542</v>
      </c>
      <c r="AW25" t="n">
        <v>50575428.215</v>
      </c>
      <c r="AX25" t="n">
        <v>49793223.098</v>
      </c>
      <c r="AY25" t="n">
        <v>50188516.164</v>
      </c>
      <c r="AZ25" t="n">
        <v>47457500.459</v>
      </c>
      <c r="BA25" t="n">
        <v>45982574.792</v>
      </c>
      <c r="BB25" t="n">
        <v>47488860.417</v>
      </c>
      <c r="BC25" t="n">
        <v>46440998.966</v>
      </c>
      <c r="BD25" t="n">
        <v>47408322.469</v>
      </c>
      <c r="BE25" t="n">
        <v>49869172.186</v>
      </c>
      <c r="BF25" t="n">
        <v>49362532.368</v>
      </c>
      <c r="BG25" t="n">
        <v>49784236.866</v>
      </c>
      <c r="BH25" t="n">
        <v>48671138.962</v>
      </c>
      <c r="BI25" t="n">
        <v>51684212.243</v>
      </c>
      <c r="BJ25" t="n">
        <v>48618676.424</v>
      </c>
      <c r="BK25" t="n">
        <v>48816920.635</v>
      </c>
      <c r="BL25" t="n">
        <v>53991629.637</v>
      </c>
      <c r="BM25" t="n">
        <v>54246455.783</v>
      </c>
      <c r="BN25" t="n">
        <v>52949675.106</v>
      </c>
      <c r="BO25" t="n">
        <v>56758145.363</v>
      </c>
      <c r="BP25" t="n">
        <v>52344907.987</v>
      </c>
      <c r="BQ25" t="n">
        <v>50847285.394</v>
      </c>
      <c r="BR25" t="n">
        <v>49417362.045</v>
      </c>
      <c r="BS25" t="n">
        <v>48820679.62</v>
      </c>
      <c r="BT25" t="n">
        <v>51344019.178</v>
      </c>
    </row>
    <row r="26">
      <c r="A26" t="inlineStr">
        <is>
          <t>sym_WithEgestion_asDC</t>
        </is>
      </c>
      <c r="B26" t="inlineStr">
        <is>
          <t>ok</t>
        </is>
      </c>
      <c r="C26" t="n">
        <v>10681827.079</v>
      </c>
      <c r="D26" t="n">
        <v>11748740.957</v>
      </c>
      <c r="E26" t="n">
        <v>12797186.953</v>
      </c>
      <c r="F26" t="n">
        <v>12832003.85</v>
      </c>
      <c r="G26" t="n">
        <v>14147051.294</v>
      </c>
      <c r="H26" t="n">
        <v>14937795.477</v>
      </c>
      <c r="I26" t="n">
        <v>16240391.505</v>
      </c>
      <c r="J26" t="n">
        <v>16818178.699</v>
      </c>
      <c r="K26" t="n">
        <v>17500932.938</v>
      </c>
      <c r="L26" t="n">
        <v>17102724.077</v>
      </c>
      <c r="M26" t="n">
        <v>17539571.815</v>
      </c>
      <c r="N26" t="n">
        <v>17664667.341</v>
      </c>
      <c r="O26" t="n">
        <v>18363580.913</v>
      </c>
      <c r="P26" t="n">
        <v>17722859.341</v>
      </c>
      <c r="Q26" t="n">
        <v>17342173.68</v>
      </c>
      <c r="R26" t="n">
        <v>19003291.534</v>
      </c>
      <c r="S26" t="n">
        <v>19175965.682</v>
      </c>
      <c r="T26" t="n">
        <v>19654498.679</v>
      </c>
      <c r="U26" t="n">
        <v>20792477.607</v>
      </c>
      <c r="V26" t="n">
        <v>21624752.183</v>
      </c>
      <c r="W26" t="n">
        <v>23488014.761</v>
      </c>
      <c r="X26" t="n">
        <v>23557587.676</v>
      </c>
      <c r="Y26" t="n">
        <v>25425440.778</v>
      </c>
      <c r="Z26" t="n">
        <v>27677781.283</v>
      </c>
      <c r="AA26" t="n">
        <v>29754365.447</v>
      </c>
      <c r="AB26" t="n">
        <v>29379447.252</v>
      </c>
      <c r="AC26" t="n">
        <v>29309127.382</v>
      </c>
      <c r="AD26" t="n">
        <v>33092156.889</v>
      </c>
      <c r="AE26" t="n">
        <v>35979073.35</v>
      </c>
      <c r="AF26" t="n">
        <v>34995203.923</v>
      </c>
      <c r="AG26" t="n">
        <v>35398492.455</v>
      </c>
      <c r="AH26" t="n">
        <v>38240633.053</v>
      </c>
      <c r="AI26" t="n">
        <v>38640988.993</v>
      </c>
      <c r="AJ26" t="n">
        <v>40430767.992</v>
      </c>
      <c r="AK26" t="n">
        <v>43617358.266</v>
      </c>
      <c r="AL26" t="n">
        <v>42098294.648</v>
      </c>
      <c r="AM26" t="n">
        <v>46479397.705</v>
      </c>
      <c r="AN26" t="n">
        <v>46380478.501</v>
      </c>
      <c r="AO26" t="n">
        <v>48316454.872</v>
      </c>
      <c r="AP26" t="n">
        <v>48719881.98</v>
      </c>
      <c r="AQ26" t="n">
        <v>47593808.897</v>
      </c>
      <c r="AR26" t="n">
        <v>46111618.632</v>
      </c>
      <c r="AS26" t="n">
        <v>42964003.069</v>
      </c>
      <c r="AT26" t="n">
        <v>44202979.395</v>
      </c>
      <c r="AU26" t="n">
        <v>47304539.047</v>
      </c>
      <c r="AV26" t="n">
        <v>50125385.542</v>
      </c>
      <c r="AW26" t="n">
        <v>50575428.215</v>
      </c>
      <c r="AX26" t="n">
        <v>49793223.098</v>
      </c>
      <c r="AY26" t="n">
        <v>50188516.164</v>
      </c>
      <c r="AZ26" t="n">
        <v>47457500.459</v>
      </c>
      <c r="BA26" t="n">
        <v>45982574.792</v>
      </c>
      <c r="BB26" t="n">
        <v>47488860.417</v>
      </c>
      <c r="BC26" t="n">
        <v>46440998.966</v>
      </c>
      <c r="BD26" t="n">
        <v>47408322.469</v>
      </c>
      <c r="BE26" t="n">
        <v>49869172.186</v>
      </c>
      <c r="BF26" t="n">
        <v>49362532.368</v>
      </c>
      <c r="BG26" t="n">
        <v>49784236.866</v>
      </c>
      <c r="BH26" t="n">
        <v>48671138.962</v>
      </c>
      <c r="BI26" t="n">
        <v>51684212.243</v>
      </c>
      <c r="BJ26" t="n">
        <v>48618676.424</v>
      </c>
      <c r="BK26" t="n">
        <v>48816920.635</v>
      </c>
      <c r="BL26" t="n">
        <v>53991629.637</v>
      </c>
      <c r="BM26" t="n">
        <v>54246455.783</v>
      </c>
      <c r="BN26" t="n">
        <v>52949675.106</v>
      </c>
      <c r="BO26" t="n">
        <v>56758145.363</v>
      </c>
      <c r="BP26" t="n">
        <v>52344907.987</v>
      </c>
      <c r="BQ26" t="n">
        <v>50847285.394</v>
      </c>
      <c r="BR26" t="n">
        <v>49417362.045</v>
      </c>
      <c r="BS26" t="n">
        <v>48820679.62</v>
      </c>
      <c r="BT26" t="n">
        <v>51344019.178</v>
      </c>
    </row>
    <row r="27">
      <c r="A27" t="inlineStr">
        <is>
          <t>MC_new_GE</t>
        </is>
      </c>
      <c r="B27" t="inlineStr">
        <is>
          <t>ok</t>
        </is>
      </c>
      <c r="C27" t="n">
        <v>19387220.162</v>
      </c>
      <c r="D27" t="n">
        <v>21342829.562</v>
      </c>
      <c r="E27" t="n">
        <v>23373488.984</v>
      </c>
      <c r="F27" t="n">
        <v>23292764.063</v>
      </c>
      <c r="G27" t="n">
        <v>25652087.073</v>
      </c>
      <c r="H27" t="n">
        <v>27112807.242</v>
      </c>
      <c r="I27" t="n">
        <v>29553455.58</v>
      </c>
      <c r="J27" t="n">
        <v>30326514.579</v>
      </c>
      <c r="K27" t="n">
        <v>31572193.004</v>
      </c>
      <c r="L27" t="n">
        <v>30839390.05</v>
      </c>
      <c r="M27" t="n">
        <v>31829631.444</v>
      </c>
      <c r="N27" t="n">
        <v>31717630.931</v>
      </c>
      <c r="O27" t="n">
        <v>33044713.849</v>
      </c>
      <c r="P27" t="n">
        <v>31827411.502</v>
      </c>
      <c r="Q27" t="n">
        <v>31134358.153</v>
      </c>
      <c r="R27" t="n">
        <v>33979155.1</v>
      </c>
      <c r="S27" t="n">
        <v>34392572.163</v>
      </c>
      <c r="T27" t="n">
        <v>35251915.741</v>
      </c>
      <c r="U27" t="n">
        <v>36874687.232</v>
      </c>
      <c r="V27" t="n">
        <v>38367706.504</v>
      </c>
      <c r="W27" t="n">
        <v>41482180.643</v>
      </c>
      <c r="X27" t="n">
        <v>41864909.099</v>
      </c>
      <c r="Y27" t="n">
        <v>45464429.626</v>
      </c>
      <c r="Z27" t="n">
        <v>49513335.75</v>
      </c>
      <c r="AA27" t="n">
        <v>53174035.844</v>
      </c>
      <c r="AB27" t="n">
        <v>52167152.977</v>
      </c>
      <c r="AC27" t="n">
        <v>51804451.381</v>
      </c>
      <c r="AD27" t="n">
        <v>58034622.191</v>
      </c>
      <c r="AE27" t="n">
        <v>62579967.306</v>
      </c>
      <c r="AF27" t="n">
        <v>61267278.406</v>
      </c>
      <c r="AG27" t="n">
        <v>62083683.222</v>
      </c>
      <c r="AH27" t="n">
        <v>66945926.821</v>
      </c>
      <c r="AI27" t="n">
        <v>67418235.94</v>
      </c>
      <c r="AJ27" t="n">
        <v>70014860.66500001</v>
      </c>
      <c r="AK27" t="n">
        <v>75513439.66</v>
      </c>
      <c r="AL27" t="n">
        <v>73075376.918</v>
      </c>
      <c r="AM27" t="n">
        <v>80320656.95100001</v>
      </c>
      <c r="AN27" t="n">
        <v>80117728.323</v>
      </c>
      <c r="AO27" t="n">
        <v>83327058.918</v>
      </c>
      <c r="AP27" t="n">
        <v>84477205.044</v>
      </c>
      <c r="AQ27" t="n">
        <v>83179570.84199999</v>
      </c>
      <c r="AR27" t="n">
        <v>80973757.74699999</v>
      </c>
      <c r="AS27" t="n">
        <v>75663813.35699999</v>
      </c>
      <c r="AT27" t="n">
        <v>77400497.478</v>
      </c>
      <c r="AU27" t="n">
        <v>83655339.97499999</v>
      </c>
      <c r="AV27" t="n">
        <v>89387469.05599999</v>
      </c>
      <c r="AW27" t="n">
        <v>90112559.161</v>
      </c>
      <c r="AX27" t="n">
        <v>88468714.543</v>
      </c>
      <c r="AY27" t="n">
        <v>90024692.992</v>
      </c>
      <c r="AZ27" t="n">
        <v>85074829.182</v>
      </c>
      <c r="BA27" t="n">
        <v>82955114.12</v>
      </c>
      <c r="BB27" t="n">
        <v>85371439.02</v>
      </c>
      <c r="BC27" t="n">
        <v>83604627.436</v>
      </c>
      <c r="BD27" t="n">
        <v>84997822.28200001</v>
      </c>
      <c r="BE27" t="n">
        <v>89866803.189</v>
      </c>
      <c r="BF27" t="n">
        <v>88513517.515</v>
      </c>
      <c r="BG27" t="n">
        <v>89769880.608</v>
      </c>
      <c r="BH27" t="n">
        <v>87960198.704</v>
      </c>
      <c r="BI27" t="n">
        <v>92899319.234</v>
      </c>
      <c r="BJ27" t="n">
        <v>87779680.551</v>
      </c>
      <c r="BK27" t="n">
        <v>88004248.005</v>
      </c>
      <c r="BL27" t="n">
        <v>97387215.91599999</v>
      </c>
      <c r="BM27" t="n">
        <v>97789367.259</v>
      </c>
      <c r="BN27" t="n">
        <v>95527727.743</v>
      </c>
      <c r="BO27" t="n">
        <v>102267651.274</v>
      </c>
      <c r="BP27" t="n">
        <v>94032547.59999999</v>
      </c>
      <c r="BQ27" t="n">
        <v>91221556.04099999</v>
      </c>
      <c r="BR27" t="n">
        <v>88583006.13600001</v>
      </c>
      <c r="BS27" t="n">
        <v>87301564.803</v>
      </c>
      <c r="BT27" t="n">
        <v>90995377.59900001</v>
      </c>
    </row>
    <row r="28">
      <c r="A28" t="inlineStr">
        <is>
          <t>MC_new_TE_EEfix</t>
        </is>
      </c>
      <c r="B28" t="inlineStr">
        <is>
          <t>ok</t>
        </is>
      </c>
      <c r="C28" t="n">
        <v>112189059.058</v>
      </c>
      <c r="D28" t="n">
        <v>122171572.566</v>
      </c>
      <c r="E28" t="n">
        <v>131505686.983</v>
      </c>
      <c r="F28" t="n">
        <v>131521706.531</v>
      </c>
      <c r="G28" t="n">
        <v>146932023.539</v>
      </c>
      <c r="H28" t="n">
        <v>157169330.584</v>
      </c>
      <c r="I28" t="n">
        <v>169435188.531</v>
      </c>
      <c r="J28" t="n">
        <v>178253904.957</v>
      </c>
      <c r="K28" t="n">
        <v>187396920.941</v>
      </c>
      <c r="L28" t="n">
        <v>183718408.524</v>
      </c>
      <c r="M28" t="n">
        <v>190750840.594</v>
      </c>
      <c r="N28" t="n">
        <v>186276121.429</v>
      </c>
      <c r="O28" t="n">
        <v>190842166.43</v>
      </c>
      <c r="P28" t="n">
        <v>183692467.219</v>
      </c>
      <c r="Q28" t="n">
        <v>185909345.409</v>
      </c>
      <c r="R28" t="n">
        <v>201457828.746</v>
      </c>
      <c r="S28" t="n">
        <v>204658928.751</v>
      </c>
      <c r="T28" t="n">
        <v>213226084.21</v>
      </c>
      <c r="U28" t="n">
        <v>217090120.547</v>
      </c>
      <c r="V28" t="n">
        <v>225677375.944</v>
      </c>
      <c r="W28" t="n">
        <v>239244174.929</v>
      </c>
      <c r="X28" t="n">
        <v>247265973.073</v>
      </c>
      <c r="Y28" t="n">
        <v>264966732.19</v>
      </c>
      <c r="Z28" t="n">
        <v>291172408.313</v>
      </c>
      <c r="AA28" t="n">
        <v>309260115.915</v>
      </c>
      <c r="AB28" t="n">
        <v>301135039.914</v>
      </c>
      <c r="AC28" t="n">
        <v>298095235.764</v>
      </c>
      <c r="AD28" t="n">
        <v>326064008.593</v>
      </c>
      <c r="AE28" t="n">
        <v>344193458.779</v>
      </c>
      <c r="AF28" t="n">
        <v>344139337.718</v>
      </c>
      <c r="AG28" t="n">
        <v>353414517.079</v>
      </c>
      <c r="AH28" t="n">
        <v>378440351.681</v>
      </c>
      <c r="AI28" t="n">
        <v>378468882.312</v>
      </c>
      <c r="AJ28" t="n">
        <v>381298104.367</v>
      </c>
      <c r="AK28" t="n">
        <v>412503423.923</v>
      </c>
      <c r="AL28" t="n">
        <v>407289233.98</v>
      </c>
      <c r="AM28" t="n">
        <v>444885689.951</v>
      </c>
      <c r="AN28" t="n">
        <v>448574548.477</v>
      </c>
      <c r="AO28" t="n">
        <v>457590952.416</v>
      </c>
      <c r="AP28" t="n">
        <v>479375028.95</v>
      </c>
      <c r="AQ28" t="n">
        <v>477570644.561</v>
      </c>
      <c r="AR28" t="n">
        <v>474077927.345</v>
      </c>
      <c r="AS28" t="n">
        <v>444640633.694</v>
      </c>
      <c r="AT28" t="n">
        <v>449030207.517</v>
      </c>
      <c r="AU28" t="n">
        <v>499509511.718</v>
      </c>
      <c r="AV28" t="n">
        <v>546470767.614</v>
      </c>
      <c r="AW28" t="n">
        <v>568284115.229</v>
      </c>
      <c r="AX28" t="n">
        <v>541164191.9529999</v>
      </c>
      <c r="AY28" t="n">
        <v>556701203.492</v>
      </c>
      <c r="AZ28" t="n">
        <v>528896920.527</v>
      </c>
      <c r="BA28" t="n">
        <v>520322787.16</v>
      </c>
      <c r="BB28" t="n">
        <v>531065317.755</v>
      </c>
      <c r="BC28" t="n">
        <v>526398223.631</v>
      </c>
      <c r="BD28" t="n">
        <v>533140312.352</v>
      </c>
      <c r="BE28" t="n">
        <v>567690068.071</v>
      </c>
      <c r="BF28" t="n">
        <v>556169558.928</v>
      </c>
      <c r="BG28" t="n">
        <v>564591517.929</v>
      </c>
      <c r="BH28" t="n">
        <v>560582532.846</v>
      </c>
      <c r="BI28" t="n">
        <v>580418279.559</v>
      </c>
      <c r="BJ28" t="n">
        <v>558686395.855</v>
      </c>
      <c r="BK28" t="n">
        <v>556643360.182</v>
      </c>
      <c r="BL28" t="n">
        <v>609258278.242</v>
      </c>
      <c r="BM28" t="n">
        <v>609929483.166</v>
      </c>
      <c r="BN28" t="n">
        <v>591878874.099</v>
      </c>
      <c r="BO28" t="n">
        <v>625564896.5880001</v>
      </c>
      <c r="BP28" t="n">
        <v>574001177.97</v>
      </c>
      <c r="BQ28" t="n">
        <v>549605764.499</v>
      </c>
      <c r="BR28" t="n">
        <v>534059429.043</v>
      </c>
      <c r="BS28" t="n">
        <v>522808417.267</v>
      </c>
      <c r="BT28" t="n">
        <v>532033572.434</v>
      </c>
    </row>
    <row r="30">
      <c r="A30" t="inlineStr">
        <is>
          <t>Catch tonnage on a named group: 282,781,178 of 282,784,028 (100.0 %). Unresolved taxa contribute nothing to the model rows and everything to the simple row, so the two are not directly comparable until coverage is 100 %.</t>
        </is>
      </c>
    </row>
    <row r="31">
      <c r="A31" s="12" t="inlineStr">
        <is>
          <t>3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32" customWidth="1" min="2" max="2"/>
    <col width="20" customWidth="1" min="3" max="3"/>
    <col width="20" customWidth="1" min="4" max="4"/>
    <col width="20" customWidth="1" min="5" max="5"/>
    <col width="20" customWidth="1" min="6" max="6"/>
    <col width="20" customWidth="1" min="7" max="7"/>
    <col width="20" customWidth="1" min="8" max="8"/>
    <col width="90" customWidth="1" min="9" max="9"/>
  </cols>
  <sheetData>
    <row r="1">
      <c r="A1" s="1" t="inlineStr">
        <is>
          <t>Recycling diagnostics from diagnose_sppr()</t>
        </is>
      </c>
    </row>
    <row r="2" ht="32" customHeight="1">
      <c r="A2" s="14" t="inlineStr">
        <is>
          <t>b: detrital recycling; rho living: living food-web cycles. Each must be below 1 for convergence; these are necessary, not sufficient checks.</t>
        </is>
      </c>
    </row>
    <row r="4" ht="32" customHeight="1">
      <c r="A4" s="13" t="inlineStr">
        <is>
          <t>model</t>
        </is>
      </c>
      <c r="B4" s="13" t="inlineStr">
        <is>
          <t>TE_option</t>
        </is>
      </c>
      <c r="C4" s="13" t="inlineStr">
        <is>
          <t>b</t>
        </is>
      </c>
      <c r="D4" s="13" t="inlineStr">
        <is>
          <t>rho living</t>
        </is>
      </c>
      <c r="E4" s="13" t="inlineStr">
        <is>
          <t>diagnostic status</t>
        </is>
      </c>
      <c r="F4" s="13" t="inlineStr">
        <is>
          <t>b converges</t>
        </is>
      </c>
      <c r="G4" s="13" t="inlineStr">
        <is>
          <t>living converges</t>
        </is>
      </c>
      <c r="H4" s="13" t="inlineStr">
        <is>
          <t>input balanced</t>
        </is>
      </c>
      <c r="I4" s="13" t="inlineStr">
        <is>
          <t>configuration</t>
        </is>
      </c>
    </row>
    <row r="5">
      <c r="A5" t="inlineStr">
        <is>
          <t>47_1_East_China_Sea_(1997)</t>
        </is>
      </c>
      <c r="B5" t="inlineStr">
        <is>
          <t>GE</t>
        </is>
      </c>
      <c r="C5" s="15" t="n">
        <v>0.122835645497551</v>
      </c>
      <c r="D5" s="15" t="n">
        <v>0.3739527230331842</v>
      </c>
      <c r="E5" t="inlineStr">
        <is>
          <t>WARN</t>
        </is>
      </c>
      <c r="F5" t="b">
        <v>1</v>
      </c>
      <c r="G5" t="b">
        <v>1</v>
      </c>
      <c r="H5" t="b">
        <v>1</v>
      </c>
      <c r="I5" t="inlineStr">
        <is>
          <t>{"TE_option": "GE", "det_collapse_mode": "never", "det_external_sppr": 0, "det_open_mode": "none", "det_theta": 1, "explicit_TE": false, "method": "single_detritus", "model": "East_China_Sea (1997)", "would_pool": false}</t>
        </is>
      </c>
    </row>
    <row r="6">
      <c r="A6" t="inlineStr">
        <is>
          <t>47_1_East_China_Sea_(1997)</t>
        </is>
      </c>
      <c r="B6" t="inlineStr">
        <is>
          <t>TE</t>
        </is>
      </c>
      <c r="C6" s="15" t="n">
        <v>0</v>
      </c>
      <c r="D6" s="15" t="n">
        <v>0.9995421245421248</v>
      </c>
      <c r="E6" t="inlineStr">
        <is>
          <t>WARN</t>
        </is>
      </c>
      <c r="F6" t="b">
        <v>1</v>
      </c>
      <c r="G6" t="b">
        <v>1</v>
      </c>
      <c r="H6" t="b">
        <v>1</v>
      </c>
      <c r="I6" t="inlineStr">
        <is>
          <t>{"TE_option": "TE", "det_collapse_mode": "never", "det_external_sppr": 0, "det_open_mode": "none", "det_theta": 1, "explicit_TE": false, "method": null, "model": "East_China_Sea (1997)", "would_pool": false}</t>
        </is>
      </c>
    </row>
    <row r="7">
      <c r="A7" t="inlineStr">
        <is>
          <t>47_1_East_China_Sea_(1997)</t>
        </is>
      </c>
      <c r="B7" t="inlineStr">
        <is>
          <t>With Egestion</t>
        </is>
      </c>
      <c r="C7" s="15" t="n">
        <v>0.1337878841345435</v>
      </c>
      <c r="D7" s="15" t="n">
        <v>0.299162178426548</v>
      </c>
      <c r="E7" t="inlineStr">
        <is>
          <t>WARN</t>
        </is>
      </c>
      <c r="F7" t="b">
        <v>1</v>
      </c>
      <c r="G7" t="b">
        <v>1</v>
      </c>
      <c r="H7" t="b">
        <v>1</v>
      </c>
      <c r="I7" t="inlineStr">
        <is>
          <t>{"TE_option": "With Egestion", "det_collapse_mode": "never", "det_external_sppr": 0, "det_open_mode": "none", "det_theta": 1, "explicit_TE": false, "method": "single_detritus", "model": "East_China_Sea (1997)", "would_pool": false}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6" t="n">
        <v>2019</v>
      </c>
      <c r="C4" s="11"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IF(COUNT(D8:D283)=0,"",SUM(D8:D283))</f>
        <v/>
      </c>
      <c r="E7" s="2">
        <f>IF(COUNT(E8:E283)=0,"",SUM(E8:E283))</f>
        <v/>
      </c>
      <c r="F7" s="2">
        <f>IF(COUNT(F8:F283)=0,"",SUM(F8:F283))</f>
        <v/>
      </c>
      <c r="G7" s="2">
        <f>IF(COUNT(G8:G283)=0,"",SUM(G8:G283))</f>
        <v/>
      </c>
      <c r="H7" s="2">
        <f>IF(COUNT(H8:H283)=0,"",SUM(H8:H283))</f>
        <v/>
      </c>
      <c r="I7" s="2">
        <f>IF(COUNT(I8:I283)=0,"",SUM(I8:I283))</f>
        <v/>
      </c>
      <c r="J7" s="2">
        <f>IF(COUNT(J8:J283)=0,"",SUM(J8:J283))</f>
        <v/>
      </c>
      <c r="K7" s="2">
        <f>IF(COUNT(K8:K283)=0,"",SUM(K8:K283))</f>
        <v/>
      </c>
      <c r="L7" s="2">
        <f>IF(COUNT(L8:L283)=0,"",SUM(L8:L283))</f>
        <v/>
      </c>
      <c r="M7" s="2">
        <f>IF(COUNT(M8:M283)=0,"",SUM(M8:M283))</f>
        <v/>
      </c>
      <c r="N7" s="2">
        <f>IF(COUNT(N8:N283)=0,"",SUM(N8:N283))</f>
        <v/>
      </c>
      <c r="O7" s="2">
        <f>IF(COUNT(O8:O283)=0,"",SUM(O8:O283))</f>
        <v/>
      </c>
      <c r="P7" s="2">
        <f>IF(COUNT(P8:P283)=0,"",SUM(P8:P283))</f>
        <v/>
      </c>
      <c r="Q7" s="2">
        <f>IF(COUNT(Q8:Q283)=0,"",SUM(Q8:Q283))</f>
        <v/>
      </c>
      <c r="R7" s="2">
        <f>IF(COUNT(R8:R283)=0,"",SUM(R8:R283))</f>
        <v/>
      </c>
      <c r="S7" s="2">
        <f>IF(COUNT(S8:S283)=0,"",SUM(S8:S283))</f>
        <v/>
      </c>
      <c r="T7" s="2">
        <f>IF(COUNT(T8:T283)=0,"",SUM(T8:T283))</f>
        <v/>
      </c>
      <c r="U7" s="2">
        <f>IF(COUNT(U8:U283)=0,"",SUM(U8:U283))</f>
        <v/>
      </c>
      <c r="V7" s="2">
        <f>IF(COUNT(V8:V283)=0,"",SUM(V8:V283))</f>
        <v/>
      </c>
      <c r="W7" s="2">
        <f>IF(COUNT(W8:W283)=0,"",SUM(W8:W283))</f>
        <v/>
      </c>
    </row>
    <row r="8">
      <c r="A8" t="inlineStr">
        <is>
          <t>Marine fishes not identified</t>
        </is>
      </c>
      <c r="B8">
        <f>IFERROR(INDEX(SPPR!$D:$D,MATCH($A8,SPPR!$A:$A,0)),"")</f>
        <v/>
      </c>
      <c r="C8">
        <f>IFERROR(INDEX(Catch!$E:$BV,MATCH($A8,Catch!$A:$A,0),MATCH($B$4,Catch!$E$1:$BV$1,0)),0)</f>
        <v/>
      </c>
      <c r="D8">
        <f>IFERROR(IF(ISNUMBER(INDEX(SPPR!$E:$X,MATCH($A8,SPPR!$A:$A,0),1)),$C8*INDEX(SPPR!$E:$X,MATCH($A8,SPPR!$A:$A,0),1),""),"")</f>
        <v/>
      </c>
      <c r="E8">
        <f>IFERROR(IF(ISNUMBER(INDEX(SPPR!$E:$X,MATCH($A8,SPPR!$A:$A,0),2)),$C8*INDEX(SPPR!$E:$X,MATCH($A8,SPPR!$A:$A,0),2),""),"")</f>
        <v/>
      </c>
      <c r="F8">
        <f>IFERROR(IF(ISNUMBER(INDEX(SPPR!$E:$X,MATCH($A8,SPPR!$A:$A,0),3)),$C8*INDEX(SPPR!$E:$X,MATCH($A8,SPPR!$A:$A,0),3),""),"")</f>
        <v/>
      </c>
      <c r="G8">
        <f>IFERROR(IF(ISNUMBER(INDEX(SPPR!$E:$X,MATCH($A8,SPPR!$A:$A,0),4)),$C8*INDEX(SPPR!$E:$X,MATCH($A8,SPPR!$A:$A,0),4),""),"")</f>
        <v/>
      </c>
      <c r="H8">
        <f>IFERROR(IF(ISNUMBER(INDEX(SPPR!$E:$X,MATCH($A8,SPPR!$A:$A,0),5)),$C8*INDEX(SPPR!$E:$X,MATCH($A8,SPPR!$A:$A,0),5),""),"")</f>
        <v/>
      </c>
      <c r="I8">
        <f>IFERROR(IF(ISNUMBER(INDEX(SPPR!$E:$X,MATCH($A8,SPPR!$A:$A,0),6)),$C8*INDEX(SPPR!$E:$X,MATCH($A8,SPPR!$A:$A,0),6),""),"")</f>
        <v/>
      </c>
      <c r="J8">
        <f>IFERROR(IF(ISNUMBER(INDEX(SPPR!$E:$X,MATCH($A8,SPPR!$A:$A,0),7)),$C8*INDEX(SPPR!$E:$X,MATCH($A8,SPPR!$A:$A,0),7),""),"")</f>
        <v/>
      </c>
      <c r="K8">
        <f>IFERROR(IF(ISNUMBER(INDEX(SPPR!$E:$X,MATCH($A8,SPPR!$A:$A,0),8)),$C8*INDEX(SPPR!$E:$X,MATCH($A8,SPPR!$A:$A,0),8),""),"")</f>
        <v/>
      </c>
      <c r="L8">
        <f>IFERROR(IF(ISNUMBER(INDEX(SPPR!$E:$X,MATCH($A8,SPPR!$A:$A,0),9)),$C8*INDEX(SPPR!$E:$X,MATCH($A8,SPPR!$A:$A,0),9),""),"")</f>
        <v/>
      </c>
      <c r="M8">
        <f>IFERROR(IF(ISNUMBER(INDEX(SPPR!$E:$X,MATCH($A8,SPPR!$A:$A,0),10)),$C8*INDEX(SPPR!$E:$X,MATCH($A8,SPPR!$A:$A,0),10),""),"")</f>
        <v/>
      </c>
      <c r="N8">
        <f>IFERROR(IF(ISNUMBER(INDEX(SPPR!$E:$X,MATCH($A8,SPPR!$A:$A,0),11)),$C8*INDEX(SPPR!$E:$X,MATCH($A8,SPPR!$A:$A,0),11),""),"")</f>
        <v/>
      </c>
      <c r="O8">
        <f>IFERROR(IF(ISNUMBER(INDEX(SPPR!$E:$X,MATCH($A8,SPPR!$A:$A,0),12)),$C8*INDEX(SPPR!$E:$X,MATCH($A8,SPPR!$A:$A,0),12),""),"")</f>
        <v/>
      </c>
      <c r="P8">
        <f>IFERROR(IF(ISNUMBER(INDEX(SPPR!$E:$X,MATCH($A8,SPPR!$A:$A,0),13)),$C8*INDEX(SPPR!$E:$X,MATCH($A8,SPPR!$A:$A,0),13),""),"")</f>
        <v/>
      </c>
      <c r="Q8">
        <f>IFERROR(IF(ISNUMBER(INDEX(SPPR!$E:$X,MATCH($A8,SPPR!$A:$A,0),14)),$C8*INDEX(SPPR!$E:$X,MATCH($A8,SPPR!$A:$A,0),14),""),"")</f>
        <v/>
      </c>
      <c r="R8">
        <f>IFERROR(IF(ISNUMBER(INDEX(SPPR!$E:$X,MATCH($A8,SPPR!$A:$A,0),15)),$C8*INDEX(SPPR!$E:$X,MATCH($A8,SPPR!$A:$A,0),15),""),"")</f>
        <v/>
      </c>
      <c r="S8">
        <f>IFERROR(IF(ISNUMBER(INDEX(SPPR!$E:$X,MATCH($A8,SPPR!$A:$A,0),16)),$C8*INDEX(SPPR!$E:$X,MATCH($A8,SPPR!$A:$A,0),16),""),"")</f>
        <v/>
      </c>
      <c r="T8">
        <f>IFERROR(IF(ISNUMBER(INDEX(SPPR!$E:$X,MATCH($A8,SPPR!$A:$A,0),17)),$C8*INDEX(SPPR!$E:$X,MATCH($A8,SPPR!$A:$A,0),17),""),"")</f>
        <v/>
      </c>
      <c r="U8">
        <f>IFERROR(IF(ISNUMBER(INDEX(SPPR!$E:$X,MATCH($A8,SPPR!$A:$A,0),18)),$C8*INDEX(SPPR!$E:$X,MATCH($A8,SPPR!$A:$A,0),18),""),"")</f>
        <v/>
      </c>
      <c r="V8">
        <f>IFERROR(IF(ISNUMBER(INDEX(SPPR!$E:$X,MATCH($A8,SPPR!$A:$A,0),19)),$C8*INDEX(SPPR!$E:$X,MATCH($A8,SPPR!$A:$A,0),19),""),"")</f>
        <v/>
      </c>
      <c r="W8">
        <f>IFERROR(IF(ISNUMBER(INDEX(SPPR!$E:$X,MATCH($A8,SPPR!$A:$A,0),20)),$C8*INDEX(SPPR!$E:$X,MATCH($A8,SPPR!$A:$A,0),20),""),"")</f>
        <v/>
      </c>
    </row>
    <row r="9">
      <c r="A9" t="inlineStr">
        <is>
          <t>Sardinops sagax</t>
        </is>
      </c>
      <c r="B9">
        <f>IFERROR(INDEX(SPPR!$D:$D,MATCH($A9,SPPR!$A:$A,0)),"")</f>
        <v/>
      </c>
      <c r="C9">
        <f>IFERROR(INDEX(Catch!$E:$BV,MATCH($A9,Catch!$A:$A,0),MATCH($B$4,Catch!$E$1:$BV$1,0)),0)</f>
        <v/>
      </c>
      <c r="D9">
        <f>IFERROR(IF(ISNUMBER(INDEX(SPPR!$E:$X,MATCH($A9,SPPR!$A:$A,0),1)),$C9*INDEX(SPPR!$E:$X,MATCH($A9,SPPR!$A:$A,0),1),""),"")</f>
        <v/>
      </c>
      <c r="E9">
        <f>IFERROR(IF(ISNUMBER(INDEX(SPPR!$E:$X,MATCH($A9,SPPR!$A:$A,0),2)),$C9*INDEX(SPPR!$E:$X,MATCH($A9,SPPR!$A:$A,0),2),""),"")</f>
        <v/>
      </c>
      <c r="F9">
        <f>IFERROR(IF(ISNUMBER(INDEX(SPPR!$E:$X,MATCH($A9,SPPR!$A:$A,0),3)),$C9*INDEX(SPPR!$E:$X,MATCH($A9,SPPR!$A:$A,0),3),""),"")</f>
        <v/>
      </c>
      <c r="G9">
        <f>IFERROR(IF(ISNUMBER(INDEX(SPPR!$E:$X,MATCH($A9,SPPR!$A:$A,0),4)),$C9*INDEX(SPPR!$E:$X,MATCH($A9,SPPR!$A:$A,0),4),""),"")</f>
        <v/>
      </c>
      <c r="H9">
        <f>IFERROR(IF(ISNUMBER(INDEX(SPPR!$E:$X,MATCH($A9,SPPR!$A:$A,0),5)),$C9*INDEX(SPPR!$E:$X,MATCH($A9,SPPR!$A:$A,0),5),""),"")</f>
        <v/>
      </c>
      <c r="I9">
        <f>IFERROR(IF(ISNUMBER(INDEX(SPPR!$E:$X,MATCH($A9,SPPR!$A:$A,0),6)),$C9*INDEX(SPPR!$E:$X,MATCH($A9,SPPR!$A:$A,0),6),""),"")</f>
        <v/>
      </c>
      <c r="J9">
        <f>IFERROR(IF(ISNUMBER(INDEX(SPPR!$E:$X,MATCH($A9,SPPR!$A:$A,0),7)),$C9*INDEX(SPPR!$E:$X,MATCH($A9,SPPR!$A:$A,0),7),""),"")</f>
        <v/>
      </c>
      <c r="K9">
        <f>IFERROR(IF(ISNUMBER(INDEX(SPPR!$E:$X,MATCH($A9,SPPR!$A:$A,0),8)),$C9*INDEX(SPPR!$E:$X,MATCH($A9,SPPR!$A:$A,0),8),""),"")</f>
        <v/>
      </c>
      <c r="L9">
        <f>IFERROR(IF(ISNUMBER(INDEX(SPPR!$E:$X,MATCH($A9,SPPR!$A:$A,0),9)),$C9*INDEX(SPPR!$E:$X,MATCH($A9,SPPR!$A:$A,0),9),""),"")</f>
        <v/>
      </c>
      <c r="M9">
        <f>IFERROR(IF(ISNUMBER(INDEX(SPPR!$E:$X,MATCH($A9,SPPR!$A:$A,0),10)),$C9*INDEX(SPPR!$E:$X,MATCH($A9,SPPR!$A:$A,0),10),""),"")</f>
        <v/>
      </c>
      <c r="N9">
        <f>IFERROR(IF(ISNUMBER(INDEX(SPPR!$E:$X,MATCH($A9,SPPR!$A:$A,0),11)),$C9*INDEX(SPPR!$E:$X,MATCH($A9,SPPR!$A:$A,0),11),""),"")</f>
        <v/>
      </c>
      <c r="O9">
        <f>IFERROR(IF(ISNUMBER(INDEX(SPPR!$E:$X,MATCH($A9,SPPR!$A:$A,0),12)),$C9*INDEX(SPPR!$E:$X,MATCH($A9,SPPR!$A:$A,0),12),""),"")</f>
        <v/>
      </c>
      <c r="P9">
        <f>IFERROR(IF(ISNUMBER(INDEX(SPPR!$E:$X,MATCH($A9,SPPR!$A:$A,0),13)),$C9*INDEX(SPPR!$E:$X,MATCH($A9,SPPR!$A:$A,0),13),""),"")</f>
        <v/>
      </c>
      <c r="Q9">
        <f>IFERROR(IF(ISNUMBER(INDEX(SPPR!$E:$X,MATCH($A9,SPPR!$A:$A,0),14)),$C9*INDEX(SPPR!$E:$X,MATCH($A9,SPPR!$A:$A,0),14),""),"")</f>
        <v/>
      </c>
      <c r="R9">
        <f>IFERROR(IF(ISNUMBER(INDEX(SPPR!$E:$X,MATCH($A9,SPPR!$A:$A,0),15)),$C9*INDEX(SPPR!$E:$X,MATCH($A9,SPPR!$A:$A,0),15),""),"")</f>
        <v/>
      </c>
      <c r="S9">
        <f>IFERROR(IF(ISNUMBER(INDEX(SPPR!$E:$X,MATCH($A9,SPPR!$A:$A,0),16)),$C9*INDEX(SPPR!$E:$X,MATCH($A9,SPPR!$A:$A,0),16),""),"")</f>
        <v/>
      </c>
      <c r="T9">
        <f>IFERROR(IF(ISNUMBER(INDEX(SPPR!$E:$X,MATCH($A9,SPPR!$A:$A,0),17)),$C9*INDEX(SPPR!$E:$X,MATCH($A9,SPPR!$A:$A,0),17),""),"")</f>
        <v/>
      </c>
      <c r="U9">
        <f>IFERROR(IF(ISNUMBER(INDEX(SPPR!$E:$X,MATCH($A9,SPPR!$A:$A,0),18)),$C9*INDEX(SPPR!$E:$X,MATCH($A9,SPPR!$A:$A,0),18),""),"")</f>
        <v/>
      </c>
      <c r="V9">
        <f>IFERROR(IF(ISNUMBER(INDEX(SPPR!$E:$X,MATCH($A9,SPPR!$A:$A,0),19)),$C9*INDEX(SPPR!$E:$X,MATCH($A9,SPPR!$A:$A,0),19),""),"")</f>
        <v/>
      </c>
      <c r="W9">
        <f>IFERROR(IF(ISNUMBER(INDEX(SPPR!$E:$X,MATCH($A9,SPPR!$A:$A,0),20)),$C9*INDEX(SPPR!$E:$X,MATCH($A9,SPPR!$A:$A,0),20),""),"")</f>
        <v/>
      </c>
    </row>
    <row r="10">
      <c r="A10" t="inlineStr">
        <is>
          <t>Trichiurus lepturus</t>
        </is>
      </c>
      <c r="B10">
        <f>IFERROR(INDEX(SPPR!$D:$D,MATCH($A10,SPPR!$A:$A,0)),"")</f>
        <v/>
      </c>
      <c r="C10">
        <f>IFERROR(INDEX(Catch!$E:$BV,MATCH($A10,Catch!$A:$A,0),MATCH($B$4,Catch!$E$1:$BV$1,0)),0)</f>
        <v/>
      </c>
      <c r="D10">
        <f>IFERROR(IF(ISNUMBER(INDEX(SPPR!$E:$X,MATCH($A10,SPPR!$A:$A,0),1)),$C10*INDEX(SPPR!$E:$X,MATCH($A10,SPPR!$A:$A,0),1),""),"")</f>
        <v/>
      </c>
      <c r="E10">
        <f>IFERROR(IF(ISNUMBER(INDEX(SPPR!$E:$X,MATCH($A10,SPPR!$A:$A,0),2)),$C10*INDEX(SPPR!$E:$X,MATCH($A10,SPPR!$A:$A,0),2),""),"")</f>
        <v/>
      </c>
      <c r="F10">
        <f>IFERROR(IF(ISNUMBER(INDEX(SPPR!$E:$X,MATCH($A10,SPPR!$A:$A,0),3)),$C10*INDEX(SPPR!$E:$X,MATCH($A10,SPPR!$A:$A,0),3),""),"")</f>
        <v/>
      </c>
      <c r="G10">
        <f>IFERROR(IF(ISNUMBER(INDEX(SPPR!$E:$X,MATCH($A10,SPPR!$A:$A,0),4)),$C10*INDEX(SPPR!$E:$X,MATCH($A10,SPPR!$A:$A,0),4),""),"")</f>
        <v/>
      </c>
      <c r="H10">
        <f>IFERROR(IF(ISNUMBER(INDEX(SPPR!$E:$X,MATCH($A10,SPPR!$A:$A,0),5)),$C10*INDEX(SPPR!$E:$X,MATCH($A10,SPPR!$A:$A,0),5),""),"")</f>
        <v/>
      </c>
      <c r="I10">
        <f>IFERROR(IF(ISNUMBER(INDEX(SPPR!$E:$X,MATCH($A10,SPPR!$A:$A,0),6)),$C10*INDEX(SPPR!$E:$X,MATCH($A10,SPPR!$A:$A,0),6),""),"")</f>
        <v/>
      </c>
      <c r="J10">
        <f>IFERROR(IF(ISNUMBER(INDEX(SPPR!$E:$X,MATCH($A10,SPPR!$A:$A,0),7)),$C10*INDEX(SPPR!$E:$X,MATCH($A10,SPPR!$A:$A,0),7),""),"")</f>
        <v/>
      </c>
      <c r="K10">
        <f>IFERROR(IF(ISNUMBER(INDEX(SPPR!$E:$X,MATCH($A10,SPPR!$A:$A,0),8)),$C10*INDEX(SPPR!$E:$X,MATCH($A10,SPPR!$A:$A,0),8),""),"")</f>
        <v/>
      </c>
      <c r="L10">
        <f>IFERROR(IF(ISNUMBER(INDEX(SPPR!$E:$X,MATCH($A10,SPPR!$A:$A,0),9)),$C10*INDEX(SPPR!$E:$X,MATCH($A10,SPPR!$A:$A,0),9),""),"")</f>
        <v/>
      </c>
      <c r="M10">
        <f>IFERROR(IF(ISNUMBER(INDEX(SPPR!$E:$X,MATCH($A10,SPPR!$A:$A,0),10)),$C10*INDEX(SPPR!$E:$X,MATCH($A10,SPPR!$A:$A,0),10),""),"")</f>
        <v/>
      </c>
      <c r="N10">
        <f>IFERROR(IF(ISNUMBER(INDEX(SPPR!$E:$X,MATCH($A10,SPPR!$A:$A,0),11)),$C10*INDEX(SPPR!$E:$X,MATCH($A10,SPPR!$A:$A,0),11),""),"")</f>
        <v/>
      </c>
      <c r="O10">
        <f>IFERROR(IF(ISNUMBER(INDEX(SPPR!$E:$X,MATCH($A10,SPPR!$A:$A,0),12)),$C10*INDEX(SPPR!$E:$X,MATCH($A10,SPPR!$A:$A,0),12),""),"")</f>
        <v/>
      </c>
      <c r="P10">
        <f>IFERROR(IF(ISNUMBER(INDEX(SPPR!$E:$X,MATCH($A10,SPPR!$A:$A,0),13)),$C10*INDEX(SPPR!$E:$X,MATCH($A10,SPPR!$A:$A,0),13),""),"")</f>
        <v/>
      </c>
      <c r="Q10">
        <f>IFERROR(IF(ISNUMBER(INDEX(SPPR!$E:$X,MATCH($A10,SPPR!$A:$A,0),14)),$C10*INDEX(SPPR!$E:$X,MATCH($A10,SPPR!$A:$A,0),14),""),"")</f>
        <v/>
      </c>
      <c r="R10">
        <f>IFERROR(IF(ISNUMBER(INDEX(SPPR!$E:$X,MATCH($A10,SPPR!$A:$A,0),15)),$C10*INDEX(SPPR!$E:$X,MATCH($A10,SPPR!$A:$A,0),15),""),"")</f>
        <v/>
      </c>
      <c r="S10">
        <f>IFERROR(IF(ISNUMBER(INDEX(SPPR!$E:$X,MATCH($A10,SPPR!$A:$A,0),16)),$C10*INDEX(SPPR!$E:$X,MATCH($A10,SPPR!$A:$A,0),16),""),"")</f>
        <v/>
      </c>
      <c r="T10">
        <f>IFERROR(IF(ISNUMBER(INDEX(SPPR!$E:$X,MATCH($A10,SPPR!$A:$A,0),17)),$C10*INDEX(SPPR!$E:$X,MATCH($A10,SPPR!$A:$A,0),17),""),"")</f>
        <v/>
      </c>
      <c r="U10">
        <f>IFERROR(IF(ISNUMBER(INDEX(SPPR!$E:$X,MATCH($A10,SPPR!$A:$A,0),18)),$C10*INDEX(SPPR!$E:$X,MATCH($A10,SPPR!$A:$A,0),18),""),"")</f>
        <v/>
      </c>
      <c r="V10">
        <f>IFERROR(IF(ISNUMBER(INDEX(SPPR!$E:$X,MATCH($A10,SPPR!$A:$A,0),19)),$C10*INDEX(SPPR!$E:$X,MATCH($A10,SPPR!$A:$A,0),19),""),"")</f>
        <v/>
      </c>
      <c r="W10">
        <f>IFERROR(IF(ISNUMBER(INDEX(SPPR!$E:$X,MATCH($A10,SPPR!$A:$A,0),20)),$C10*INDEX(SPPR!$E:$X,MATCH($A10,SPPR!$A:$A,0),20),""),"")</f>
        <v/>
      </c>
    </row>
    <row r="11">
      <c r="A11" t="inlineStr">
        <is>
          <t>Engraulis japonicus</t>
        </is>
      </c>
      <c r="B11">
        <f>IFERROR(INDEX(SPPR!$D:$D,MATCH($A11,SPPR!$A:$A,0)),"")</f>
        <v/>
      </c>
      <c r="C11">
        <f>IFERROR(INDEX(Catch!$E:$BV,MATCH($A11,Catch!$A:$A,0),MATCH($B$4,Catch!$E$1:$BV$1,0)),0)</f>
        <v/>
      </c>
      <c r="D11">
        <f>IFERROR(IF(ISNUMBER(INDEX(SPPR!$E:$X,MATCH($A11,SPPR!$A:$A,0),1)),$C11*INDEX(SPPR!$E:$X,MATCH($A11,SPPR!$A:$A,0),1),""),"")</f>
        <v/>
      </c>
      <c r="E11">
        <f>IFERROR(IF(ISNUMBER(INDEX(SPPR!$E:$X,MATCH($A11,SPPR!$A:$A,0),2)),$C11*INDEX(SPPR!$E:$X,MATCH($A11,SPPR!$A:$A,0),2),""),"")</f>
        <v/>
      </c>
      <c r="F11">
        <f>IFERROR(IF(ISNUMBER(INDEX(SPPR!$E:$X,MATCH($A11,SPPR!$A:$A,0),3)),$C11*INDEX(SPPR!$E:$X,MATCH($A11,SPPR!$A:$A,0),3),""),"")</f>
        <v/>
      </c>
      <c r="G11">
        <f>IFERROR(IF(ISNUMBER(INDEX(SPPR!$E:$X,MATCH($A11,SPPR!$A:$A,0),4)),$C11*INDEX(SPPR!$E:$X,MATCH($A11,SPPR!$A:$A,0),4),""),"")</f>
        <v/>
      </c>
      <c r="H11">
        <f>IFERROR(IF(ISNUMBER(INDEX(SPPR!$E:$X,MATCH($A11,SPPR!$A:$A,0),5)),$C11*INDEX(SPPR!$E:$X,MATCH($A11,SPPR!$A:$A,0),5),""),"")</f>
        <v/>
      </c>
      <c r="I11">
        <f>IFERROR(IF(ISNUMBER(INDEX(SPPR!$E:$X,MATCH($A11,SPPR!$A:$A,0),6)),$C11*INDEX(SPPR!$E:$X,MATCH($A11,SPPR!$A:$A,0),6),""),"")</f>
        <v/>
      </c>
      <c r="J11">
        <f>IFERROR(IF(ISNUMBER(INDEX(SPPR!$E:$X,MATCH($A11,SPPR!$A:$A,0),7)),$C11*INDEX(SPPR!$E:$X,MATCH($A11,SPPR!$A:$A,0),7),""),"")</f>
        <v/>
      </c>
      <c r="K11">
        <f>IFERROR(IF(ISNUMBER(INDEX(SPPR!$E:$X,MATCH($A11,SPPR!$A:$A,0),8)),$C11*INDEX(SPPR!$E:$X,MATCH($A11,SPPR!$A:$A,0),8),""),"")</f>
        <v/>
      </c>
      <c r="L11">
        <f>IFERROR(IF(ISNUMBER(INDEX(SPPR!$E:$X,MATCH($A11,SPPR!$A:$A,0),9)),$C11*INDEX(SPPR!$E:$X,MATCH($A11,SPPR!$A:$A,0),9),""),"")</f>
        <v/>
      </c>
      <c r="M11">
        <f>IFERROR(IF(ISNUMBER(INDEX(SPPR!$E:$X,MATCH($A11,SPPR!$A:$A,0),10)),$C11*INDEX(SPPR!$E:$X,MATCH($A11,SPPR!$A:$A,0),10),""),"")</f>
        <v/>
      </c>
      <c r="N11">
        <f>IFERROR(IF(ISNUMBER(INDEX(SPPR!$E:$X,MATCH($A11,SPPR!$A:$A,0),11)),$C11*INDEX(SPPR!$E:$X,MATCH($A11,SPPR!$A:$A,0),11),""),"")</f>
        <v/>
      </c>
      <c r="O11">
        <f>IFERROR(IF(ISNUMBER(INDEX(SPPR!$E:$X,MATCH($A11,SPPR!$A:$A,0),12)),$C11*INDEX(SPPR!$E:$X,MATCH($A11,SPPR!$A:$A,0),12),""),"")</f>
        <v/>
      </c>
      <c r="P11">
        <f>IFERROR(IF(ISNUMBER(INDEX(SPPR!$E:$X,MATCH($A11,SPPR!$A:$A,0),13)),$C11*INDEX(SPPR!$E:$X,MATCH($A11,SPPR!$A:$A,0),13),""),"")</f>
        <v/>
      </c>
      <c r="Q11">
        <f>IFERROR(IF(ISNUMBER(INDEX(SPPR!$E:$X,MATCH($A11,SPPR!$A:$A,0),14)),$C11*INDEX(SPPR!$E:$X,MATCH($A11,SPPR!$A:$A,0),14),""),"")</f>
        <v/>
      </c>
      <c r="R11">
        <f>IFERROR(IF(ISNUMBER(INDEX(SPPR!$E:$X,MATCH($A11,SPPR!$A:$A,0),15)),$C11*INDEX(SPPR!$E:$X,MATCH($A11,SPPR!$A:$A,0),15),""),"")</f>
        <v/>
      </c>
      <c r="S11">
        <f>IFERROR(IF(ISNUMBER(INDEX(SPPR!$E:$X,MATCH($A11,SPPR!$A:$A,0),16)),$C11*INDEX(SPPR!$E:$X,MATCH($A11,SPPR!$A:$A,0),16),""),"")</f>
        <v/>
      </c>
      <c r="T11">
        <f>IFERROR(IF(ISNUMBER(INDEX(SPPR!$E:$X,MATCH($A11,SPPR!$A:$A,0),17)),$C11*INDEX(SPPR!$E:$X,MATCH($A11,SPPR!$A:$A,0),17),""),"")</f>
        <v/>
      </c>
      <c r="U11">
        <f>IFERROR(IF(ISNUMBER(INDEX(SPPR!$E:$X,MATCH($A11,SPPR!$A:$A,0),18)),$C11*INDEX(SPPR!$E:$X,MATCH($A11,SPPR!$A:$A,0),18),""),"")</f>
        <v/>
      </c>
      <c r="V11">
        <f>IFERROR(IF(ISNUMBER(INDEX(SPPR!$E:$X,MATCH($A11,SPPR!$A:$A,0),19)),$C11*INDEX(SPPR!$E:$X,MATCH($A11,SPPR!$A:$A,0),19),""),"")</f>
        <v/>
      </c>
      <c r="W11">
        <f>IFERROR(IF(ISNUMBER(INDEX(SPPR!$E:$X,MATCH($A11,SPPR!$A:$A,0),20)),$C11*INDEX(SPPR!$E:$X,MATCH($A11,SPPR!$A:$A,0),20),""),"")</f>
        <v/>
      </c>
    </row>
    <row r="12">
      <c r="A12" t="inlineStr">
        <is>
          <t>Scomber japonicus</t>
        </is>
      </c>
      <c r="B12">
        <f>IFERROR(INDEX(SPPR!$D:$D,MATCH($A12,SPPR!$A:$A,0)),"")</f>
        <v/>
      </c>
      <c r="C12">
        <f>IFERROR(INDEX(Catch!$E:$BV,MATCH($A12,Catch!$A:$A,0),MATCH($B$4,Catch!$E$1:$BV$1,0)),0)</f>
        <v/>
      </c>
      <c r="D12">
        <f>IFERROR(IF(ISNUMBER(INDEX(SPPR!$E:$X,MATCH($A12,SPPR!$A:$A,0),1)),$C12*INDEX(SPPR!$E:$X,MATCH($A12,SPPR!$A:$A,0),1),""),"")</f>
        <v/>
      </c>
      <c r="E12">
        <f>IFERROR(IF(ISNUMBER(INDEX(SPPR!$E:$X,MATCH($A12,SPPR!$A:$A,0),2)),$C12*INDEX(SPPR!$E:$X,MATCH($A12,SPPR!$A:$A,0),2),""),"")</f>
        <v/>
      </c>
      <c r="F12">
        <f>IFERROR(IF(ISNUMBER(INDEX(SPPR!$E:$X,MATCH($A12,SPPR!$A:$A,0),3)),$C12*INDEX(SPPR!$E:$X,MATCH($A12,SPPR!$A:$A,0),3),""),"")</f>
        <v/>
      </c>
      <c r="G12">
        <f>IFERROR(IF(ISNUMBER(INDEX(SPPR!$E:$X,MATCH($A12,SPPR!$A:$A,0),4)),$C12*INDEX(SPPR!$E:$X,MATCH($A12,SPPR!$A:$A,0),4),""),"")</f>
        <v/>
      </c>
      <c r="H12">
        <f>IFERROR(IF(ISNUMBER(INDEX(SPPR!$E:$X,MATCH($A12,SPPR!$A:$A,0),5)),$C12*INDEX(SPPR!$E:$X,MATCH($A12,SPPR!$A:$A,0),5),""),"")</f>
        <v/>
      </c>
      <c r="I12">
        <f>IFERROR(IF(ISNUMBER(INDEX(SPPR!$E:$X,MATCH($A12,SPPR!$A:$A,0),6)),$C12*INDEX(SPPR!$E:$X,MATCH($A12,SPPR!$A:$A,0),6),""),"")</f>
        <v/>
      </c>
      <c r="J12">
        <f>IFERROR(IF(ISNUMBER(INDEX(SPPR!$E:$X,MATCH($A12,SPPR!$A:$A,0),7)),$C12*INDEX(SPPR!$E:$X,MATCH($A12,SPPR!$A:$A,0),7),""),"")</f>
        <v/>
      </c>
      <c r="K12">
        <f>IFERROR(IF(ISNUMBER(INDEX(SPPR!$E:$X,MATCH($A12,SPPR!$A:$A,0),8)),$C12*INDEX(SPPR!$E:$X,MATCH($A12,SPPR!$A:$A,0),8),""),"")</f>
        <v/>
      </c>
      <c r="L12">
        <f>IFERROR(IF(ISNUMBER(INDEX(SPPR!$E:$X,MATCH($A12,SPPR!$A:$A,0),9)),$C12*INDEX(SPPR!$E:$X,MATCH($A12,SPPR!$A:$A,0),9),""),"")</f>
        <v/>
      </c>
      <c r="M12">
        <f>IFERROR(IF(ISNUMBER(INDEX(SPPR!$E:$X,MATCH($A12,SPPR!$A:$A,0),10)),$C12*INDEX(SPPR!$E:$X,MATCH($A12,SPPR!$A:$A,0),10),""),"")</f>
        <v/>
      </c>
      <c r="N12">
        <f>IFERROR(IF(ISNUMBER(INDEX(SPPR!$E:$X,MATCH($A12,SPPR!$A:$A,0),11)),$C12*INDEX(SPPR!$E:$X,MATCH($A12,SPPR!$A:$A,0),11),""),"")</f>
        <v/>
      </c>
      <c r="O12">
        <f>IFERROR(IF(ISNUMBER(INDEX(SPPR!$E:$X,MATCH($A12,SPPR!$A:$A,0),12)),$C12*INDEX(SPPR!$E:$X,MATCH($A12,SPPR!$A:$A,0),12),""),"")</f>
        <v/>
      </c>
      <c r="P12">
        <f>IFERROR(IF(ISNUMBER(INDEX(SPPR!$E:$X,MATCH($A12,SPPR!$A:$A,0),13)),$C12*INDEX(SPPR!$E:$X,MATCH($A12,SPPR!$A:$A,0),13),""),"")</f>
        <v/>
      </c>
      <c r="Q12">
        <f>IFERROR(IF(ISNUMBER(INDEX(SPPR!$E:$X,MATCH($A12,SPPR!$A:$A,0),14)),$C12*INDEX(SPPR!$E:$X,MATCH($A12,SPPR!$A:$A,0),14),""),"")</f>
        <v/>
      </c>
      <c r="R12">
        <f>IFERROR(IF(ISNUMBER(INDEX(SPPR!$E:$X,MATCH($A12,SPPR!$A:$A,0),15)),$C12*INDEX(SPPR!$E:$X,MATCH($A12,SPPR!$A:$A,0),15),""),"")</f>
        <v/>
      </c>
      <c r="S12">
        <f>IFERROR(IF(ISNUMBER(INDEX(SPPR!$E:$X,MATCH($A12,SPPR!$A:$A,0),16)),$C12*INDEX(SPPR!$E:$X,MATCH($A12,SPPR!$A:$A,0),16),""),"")</f>
        <v/>
      </c>
      <c r="T12">
        <f>IFERROR(IF(ISNUMBER(INDEX(SPPR!$E:$X,MATCH($A12,SPPR!$A:$A,0),17)),$C12*INDEX(SPPR!$E:$X,MATCH($A12,SPPR!$A:$A,0),17),""),"")</f>
        <v/>
      </c>
      <c r="U12">
        <f>IFERROR(IF(ISNUMBER(INDEX(SPPR!$E:$X,MATCH($A12,SPPR!$A:$A,0),18)),$C12*INDEX(SPPR!$E:$X,MATCH($A12,SPPR!$A:$A,0),18),""),"")</f>
        <v/>
      </c>
      <c r="V12">
        <f>IFERROR(IF(ISNUMBER(INDEX(SPPR!$E:$X,MATCH($A12,SPPR!$A:$A,0),19)),$C12*INDEX(SPPR!$E:$X,MATCH($A12,SPPR!$A:$A,0),19),""),"")</f>
        <v/>
      </c>
      <c r="W12">
        <f>IFERROR(IF(ISNUMBER(INDEX(SPPR!$E:$X,MATCH($A12,SPPR!$A:$A,0),20)),$C12*INDEX(SPPR!$E:$X,MATCH($A12,SPPR!$A:$A,0),20),""),"")</f>
        <v/>
      </c>
    </row>
    <row r="13">
      <c r="A13" t="inlineStr">
        <is>
          <t>Scomber</t>
        </is>
      </c>
      <c r="B13">
        <f>IFERROR(INDEX(SPPR!$D:$D,MATCH($A13,SPPR!$A:$A,0)),"")</f>
        <v/>
      </c>
      <c r="C13">
        <f>IFERROR(INDEX(Catch!$E:$BV,MATCH($A13,Catch!$A:$A,0),MATCH($B$4,Catch!$E$1:$BV$1,0)),0)</f>
        <v/>
      </c>
      <c r="D13">
        <f>IFERROR(IF(ISNUMBER(INDEX(SPPR!$E:$X,MATCH($A13,SPPR!$A:$A,0),1)),$C13*INDEX(SPPR!$E:$X,MATCH($A13,SPPR!$A:$A,0),1),""),"")</f>
        <v/>
      </c>
      <c r="E13">
        <f>IFERROR(IF(ISNUMBER(INDEX(SPPR!$E:$X,MATCH($A13,SPPR!$A:$A,0),2)),$C13*INDEX(SPPR!$E:$X,MATCH($A13,SPPR!$A:$A,0),2),""),"")</f>
        <v/>
      </c>
      <c r="F13">
        <f>IFERROR(IF(ISNUMBER(INDEX(SPPR!$E:$X,MATCH($A13,SPPR!$A:$A,0),3)),$C13*INDEX(SPPR!$E:$X,MATCH($A13,SPPR!$A:$A,0),3),""),"")</f>
        <v/>
      </c>
      <c r="G13">
        <f>IFERROR(IF(ISNUMBER(INDEX(SPPR!$E:$X,MATCH($A13,SPPR!$A:$A,0),4)),$C13*INDEX(SPPR!$E:$X,MATCH($A13,SPPR!$A:$A,0),4),""),"")</f>
        <v/>
      </c>
      <c r="H13">
        <f>IFERROR(IF(ISNUMBER(INDEX(SPPR!$E:$X,MATCH($A13,SPPR!$A:$A,0),5)),$C13*INDEX(SPPR!$E:$X,MATCH($A13,SPPR!$A:$A,0),5),""),"")</f>
        <v/>
      </c>
      <c r="I13">
        <f>IFERROR(IF(ISNUMBER(INDEX(SPPR!$E:$X,MATCH($A13,SPPR!$A:$A,0),6)),$C13*INDEX(SPPR!$E:$X,MATCH($A13,SPPR!$A:$A,0),6),""),"")</f>
        <v/>
      </c>
      <c r="J13">
        <f>IFERROR(IF(ISNUMBER(INDEX(SPPR!$E:$X,MATCH($A13,SPPR!$A:$A,0),7)),$C13*INDEX(SPPR!$E:$X,MATCH($A13,SPPR!$A:$A,0),7),""),"")</f>
        <v/>
      </c>
      <c r="K13">
        <f>IFERROR(IF(ISNUMBER(INDEX(SPPR!$E:$X,MATCH($A13,SPPR!$A:$A,0),8)),$C13*INDEX(SPPR!$E:$X,MATCH($A13,SPPR!$A:$A,0),8),""),"")</f>
        <v/>
      </c>
      <c r="L13">
        <f>IFERROR(IF(ISNUMBER(INDEX(SPPR!$E:$X,MATCH($A13,SPPR!$A:$A,0),9)),$C13*INDEX(SPPR!$E:$X,MATCH($A13,SPPR!$A:$A,0),9),""),"")</f>
        <v/>
      </c>
      <c r="M13">
        <f>IFERROR(IF(ISNUMBER(INDEX(SPPR!$E:$X,MATCH($A13,SPPR!$A:$A,0),10)),$C13*INDEX(SPPR!$E:$X,MATCH($A13,SPPR!$A:$A,0),10),""),"")</f>
        <v/>
      </c>
      <c r="N13">
        <f>IFERROR(IF(ISNUMBER(INDEX(SPPR!$E:$X,MATCH($A13,SPPR!$A:$A,0),11)),$C13*INDEX(SPPR!$E:$X,MATCH($A13,SPPR!$A:$A,0),11),""),"")</f>
        <v/>
      </c>
      <c r="O13">
        <f>IFERROR(IF(ISNUMBER(INDEX(SPPR!$E:$X,MATCH($A13,SPPR!$A:$A,0),12)),$C13*INDEX(SPPR!$E:$X,MATCH($A13,SPPR!$A:$A,0),12),""),"")</f>
        <v/>
      </c>
      <c r="P13">
        <f>IFERROR(IF(ISNUMBER(INDEX(SPPR!$E:$X,MATCH($A13,SPPR!$A:$A,0),13)),$C13*INDEX(SPPR!$E:$X,MATCH($A13,SPPR!$A:$A,0),13),""),"")</f>
        <v/>
      </c>
      <c r="Q13">
        <f>IFERROR(IF(ISNUMBER(INDEX(SPPR!$E:$X,MATCH($A13,SPPR!$A:$A,0),14)),$C13*INDEX(SPPR!$E:$X,MATCH($A13,SPPR!$A:$A,0),14),""),"")</f>
        <v/>
      </c>
      <c r="R13">
        <f>IFERROR(IF(ISNUMBER(INDEX(SPPR!$E:$X,MATCH($A13,SPPR!$A:$A,0),15)),$C13*INDEX(SPPR!$E:$X,MATCH($A13,SPPR!$A:$A,0),15),""),"")</f>
        <v/>
      </c>
      <c r="S13">
        <f>IFERROR(IF(ISNUMBER(INDEX(SPPR!$E:$X,MATCH($A13,SPPR!$A:$A,0),16)),$C13*INDEX(SPPR!$E:$X,MATCH($A13,SPPR!$A:$A,0),16),""),"")</f>
        <v/>
      </c>
      <c r="T13">
        <f>IFERROR(IF(ISNUMBER(INDEX(SPPR!$E:$X,MATCH($A13,SPPR!$A:$A,0),17)),$C13*INDEX(SPPR!$E:$X,MATCH($A13,SPPR!$A:$A,0),17),""),"")</f>
        <v/>
      </c>
      <c r="U13">
        <f>IFERROR(IF(ISNUMBER(INDEX(SPPR!$E:$X,MATCH($A13,SPPR!$A:$A,0),18)),$C13*INDEX(SPPR!$E:$X,MATCH($A13,SPPR!$A:$A,0),18),""),"")</f>
        <v/>
      </c>
      <c r="V13">
        <f>IFERROR(IF(ISNUMBER(INDEX(SPPR!$E:$X,MATCH($A13,SPPR!$A:$A,0),19)),$C13*INDEX(SPPR!$E:$X,MATCH($A13,SPPR!$A:$A,0),19),""),"")</f>
        <v/>
      </c>
      <c r="W13">
        <f>IFERROR(IF(ISNUMBER(INDEX(SPPR!$E:$X,MATCH($A13,SPPR!$A:$A,0),20)),$C13*INDEX(SPPR!$E:$X,MATCH($A13,SPPR!$A:$A,0),20),""),"")</f>
        <v/>
      </c>
    </row>
    <row r="14">
      <c r="A14" t="inlineStr">
        <is>
          <t>Cololabis saira</t>
        </is>
      </c>
      <c r="B14">
        <f>IFERROR(INDEX(SPPR!$D:$D,MATCH($A14,SPPR!$A:$A,0)),"")</f>
        <v/>
      </c>
      <c r="C14">
        <f>IFERROR(INDEX(Catch!$E:$BV,MATCH($A14,Catch!$A:$A,0),MATCH($B$4,Catch!$E$1:$BV$1,0)),0)</f>
        <v/>
      </c>
      <c r="D14">
        <f>IFERROR(IF(ISNUMBER(INDEX(SPPR!$E:$X,MATCH($A14,SPPR!$A:$A,0),1)),$C14*INDEX(SPPR!$E:$X,MATCH($A14,SPPR!$A:$A,0),1),""),"")</f>
        <v/>
      </c>
      <c r="E14">
        <f>IFERROR(IF(ISNUMBER(INDEX(SPPR!$E:$X,MATCH($A14,SPPR!$A:$A,0),2)),$C14*INDEX(SPPR!$E:$X,MATCH($A14,SPPR!$A:$A,0),2),""),"")</f>
        <v/>
      </c>
      <c r="F14">
        <f>IFERROR(IF(ISNUMBER(INDEX(SPPR!$E:$X,MATCH($A14,SPPR!$A:$A,0),3)),$C14*INDEX(SPPR!$E:$X,MATCH($A14,SPPR!$A:$A,0),3),""),"")</f>
        <v/>
      </c>
      <c r="G14">
        <f>IFERROR(IF(ISNUMBER(INDEX(SPPR!$E:$X,MATCH($A14,SPPR!$A:$A,0),4)),$C14*INDEX(SPPR!$E:$X,MATCH($A14,SPPR!$A:$A,0),4),""),"")</f>
        <v/>
      </c>
      <c r="H14">
        <f>IFERROR(IF(ISNUMBER(INDEX(SPPR!$E:$X,MATCH($A14,SPPR!$A:$A,0),5)),$C14*INDEX(SPPR!$E:$X,MATCH($A14,SPPR!$A:$A,0),5),""),"")</f>
        <v/>
      </c>
      <c r="I14">
        <f>IFERROR(IF(ISNUMBER(INDEX(SPPR!$E:$X,MATCH($A14,SPPR!$A:$A,0),6)),$C14*INDEX(SPPR!$E:$X,MATCH($A14,SPPR!$A:$A,0),6),""),"")</f>
        <v/>
      </c>
      <c r="J14">
        <f>IFERROR(IF(ISNUMBER(INDEX(SPPR!$E:$X,MATCH($A14,SPPR!$A:$A,0),7)),$C14*INDEX(SPPR!$E:$X,MATCH($A14,SPPR!$A:$A,0),7),""),"")</f>
        <v/>
      </c>
      <c r="K14">
        <f>IFERROR(IF(ISNUMBER(INDEX(SPPR!$E:$X,MATCH($A14,SPPR!$A:$A,0),8)),$C14*INDEX(SPPR!$E:$X,MATCH($A14,SPPR!$A:$A,0),8),""),"")</f>
        <v/>
      </c>
      <c r="L14">
        <f>IFERROR(IF(ISNUMBER(INDEX(SPPR!$E:$X,MATCH($A14,SPPR!$A:$A,0),9)),$C14*INDEX(SPPR!$E:$X,MATCH($A14,SPPR!$A:$A,0),9),""),"")</f>
        <v/>
      </c>
      <c r="M14">
        <f>IFERROR(IF(ISNUMBER(INDEX(SPPR!$E:$X,MATCH($A14,SPPR!$A:$A,0),10)),$C14*INDEX(SPPR!$E:$X,MATCH($A14,SPPR!$A:$A,0),10),""),"")</f>
        <v/>
      </c>
      <c r="N14">
        <f>IFERROR(IF(ISNUMBER(INDEX(SPPR!$E:$X,MATCH($A14,SPPR!$A:$A,0),11)),$C14*INDEX(SPPR!$E:$X,MATCH($A14,SPPR!$A:$A,0),11),""),"")</f>
        <v/>
      </c>
      <c r="O14">
        <f>IFERROR(IF(ISNUMBER(INDEX(SPPR!$E:$X,MATCH($A14,SPPR!$A:$A,0),12)),$C14*INDEX(SPPR!$E:$X,MATCH($A14,SPPR!$A:$A,0),12),""),"")</f>
        <v/>
      </c>
      <c r="P14">
        <f>IFERROR(IF(ISNUMBER(INDEX(SPPR!$E:$X,MATCH($A14,SPPR!$A:$A,0),13)),$C14*INDEX(SPPR!$E:$X,MATCH($A14,SPPR!$A:$A,0),13),""),"")</f>
        <v/>
      </c>
      <c r="Q14">
        <f>IFERROR(IF(ISNUMBER(INDEX(SPPR!$E:$X,MATCH($A14,SPPR!$A:$A,0),14)),$C14*INDEX(SPPR!$E:$X,MATCH($A14,SPPR!$A:$A,0),14),""),"")</f>
        <v/>
      </c>
      <c r="R14">
        <f>IFERROR(IF(ISNUMBER(INDEX(SPPR!$E:$X,MATCH($A14,SPPR!$A:$A,0),15)),$C14*INDEX(SPPR!$E:$X,MATCH($A14,SPPR!$A:$A,0),15),""),"")</f>
        <v/>
      </c>
      <c r="S14">
        <f>IFERROR(IF(ISNUMBER(INDEX(SPPR!$E:$X,MATCH($A14,SPPR!$A:$A,0),16)),$C14*INDEX(SPPR!$E:$X,MATCH($A14,SPPR!$A:$A,0),16),""),"")</f>
        <v/>
      </c>
      <c r="T14">
        <f>IFERROR(IF(ISNUMBER(INDEX(SPPR!$E:$X,MATCH($A14,SPPR!$A:$A,0),17)),$C14*INDEX(SPPR!$E:$X,MATCH($A14,SPPR!$A:$A,0),17),""),"")</f>
        <v/>
      </c>
      <c r="U14">
        <f>IFERROR(IF(ISNUMBER(INDEX(SPPR!$E:$X,MATCH($A14,SPPR!$A:$A,0),18)),$C14*INDEX(SPPR!$E:$X,MATCH($A14,SPPR!$A:$A,0),18),""),"")</f>
        <v/>
      </c>
      <c r="V14">
        <f>IFERROR(IF(ISNUMBER(INDEX(SPPR!$E:$X,MATCH($A14,SPPR!$A:$A,0),19)),$C14*INDEX(SPPR!$E:$X,MATCH($A14,SPPR!$A:$A,0),19),""),"")</f>
        <v/>
      </c>
      <c r="W14">
        <f>IFERROR(IF(ISNUMBER(INDEX(SPPR!$E:$X,MATCH($A14,SPPR!$A:$A,0),20)),$C14*INDEX(SPPR!$E:$X,MATCH($A14,SPPR!$A:$A,0),20),""),"")</f>
        <v/>
      </c>
    </row>
    <row r="15">
      <c r="A15" t="inlineStr">
        <is>
          <t>Mollusca</t>
        </is>
      </c>
      <c r="B15">
        <f>IFERROR(INDEX(SPPR!$D:$D,MATCH($A15,SPPR!$A:$A,0)),"")</f>
        <v/>
      </c>
      <c r="C15">
        <f>IFERROR(INDEX(Catch!$E:$BV,MATCH($A15,Catch!$A:$A,0),MATCH($B$4,Catch!$E$1:$BV$1,0)),0)</f>
        <v/>
      </c>
      <c r="D15">
        <f>IFERROR(IF(ISNUMBER(INDEX(SPPR!$E:$X,MATCH($A15,SPPR!$A:$A,0),1)),$C15*INDEX(SPPR!$E:$X,MATCH($A15,SPPR!$A:$A,0),1),""),"")</f>
        <v/>
      </c>
      <c r="E15">
        <f>IFERROR(IF(ISNUMBER(INDEX(SPPR!$E:$X,MATCH($A15,SPPR!$A:$A,0),2)),$C15*INDEX(SPPR!$E:$X,MATCH($A15,SPPR!$A:$A,0),2),""),"")</f>
        <v/>
      </c>
      <c r="F15">
        <f>IFERROR(IF(ISNUMBER(INDEX(SPPR!$E:$X,MATCH($A15,SPPR!$A:$A,0),3)),$C15*INDEX(SPPR!$E:$X,MATCH($A15,SPPR!$A:$A,0),3),""),"")</f>
        <v/>
      </c>
      <c r="G15">
        <f>IFERROR(IF(ISNUMBER(INDEX(SPPR!$E:$X,MATCH($A15,SPPR!$A:$A,0),4)),$C15*INDEX(SPPR!$E:$X,MATCH($A15,SPPR!$A:$A,0),4),""),"")</f>
        <v/>
      </c>
      <c r="H15">
        <f>IFERROR(IF(ISNUMBER(INDEX(SPPR!$E:$X,MATCH($A15,SPPR!$A:$A,0),5)),$C15*INDEX(SPPR!$E:$X,MATCH($A15,SPPR!$A:$A,0),5),""),"")</f>
        <v/>
      </c>
      <c r="I15">
        <f>IFERROR(IF(ISNUMBER(INDEX(SPPR!$E:$X,MATCH($A15,SPPR!$A:$A,0),6)),$C15*INDEX(SPPR!$E:$X,MATCH($A15,SPPR!$A:$A,0),6),""),"")</f>
        <v/>
      </c>
      <c r="J15">
        <f>IFERROR(IF(ISNUMBER(INDEX(SPPR!$E:$X,MATCH($A15,SPPR!$A:$A,0),7)),$C15*INDEX(SPPR!$E:$X,MATCH($A15,SPPR!$A:$A,0),7),""),"")</f>
        <v/>
      </c>
      <c r="K15">
        <f>IFERROR(IF(ISNUMBER(INDEX(SPPR!$E:$X,MATCH($A15,SPPR!$A:$A,0),8)),$C15*INDEX(SPPR!$E:$X,MATCH($A15,SPPR!$A:$A,0),8),""),"")</f>
        <v/>
      </c>
      <c r="L15">
        <f>IFERROR(IF(ISNUMBER(INDEX(SPPR!$E:$X,MATCH($A15,SPPR!$A:$A,0),9)),$C15*INDEX(SPPR!$E:$X,MATCH($A15,SPPR!$A:$A,0),9),""),"")</f>
        <v/>
      </c>
      <c r="M15">
        <f>IFERROR(IF(ISNUMBER(INDEX(SPPR!$E:$X,MATCH($A15,SPPR!$A:$A,0),10)),$C15*INDEX(SPPR!$E:$X,MATCH($A15,SPPR!$A:$A,0),10),""),"")</f>
        <v/>
      </c>
      <c r="N15">
        <f>IFERROR(IF(ISNUMBER(INDEX(SPPR!$E:$X,MATCH($A15,SPPR!$A:$A,0),11)),$C15*INDEX(SPPR!$E:$X,MATCH($A15,SPPR!$A:$A,0),11),""),"")</f>
        <v/>
      </c>
      <c r="O15">
        <f>IFERROR(IF(ISNUMBER(INDEX(SPPR!$E:$X,MATCH($A15,SPPR!$A:$A,0),12)),$C15*INDEX(SPPR!$E:$X,MATCH($A15,SPPR!$A:$A,0),12),""),"")</f>
        <v/>
      </c>
      <c r="P15">
        <f>IFERROR(IF(ISNUMBER(INDEX(SPPR!$E:$X,MATCH($A15,SPPR!$A:$A,0),13)),$C15*INDEX(SPPR!$E:$X,MATCH($A15,SPPR!$A:$A,0),13),""),"")</f>
        <v/>
      </c>
      <c r="Q15">
        <f>IFERROR(IF(ISNUMBER(INDEX(SPPR!$E:$X,MATCH($A15,SPPR!$A:$A,0),14)),$C15*INDEX(SPPR!$E:$X,MATCH($A15,SPPR!$A:$A,0),14),""),"")</f>
        <v/>
      </c>
      <c r="R15">
        <f>IFERROR(IF(ISNUMBER(INDEX(SPPR!$E:$X,MATCH($A15,SPPR!$A:$A,0),15)),$C15*INDEX(SPPR!$E:$X,MATCH($A15,SPPR!$A:$A,0),15),""),"")</f>
        <v/>
      </c>
      <c r="S15">
        <f>IFERROR(IF(ISNUMBER(INDEX(SPPR!$E:$X,MATCH($A15,SPPR!$A:$A,0),16)),$C15*INDEX(SPPR!$E:$X,MATCH($A15,SPPR!$A:$A,0),16),""),"")</f>
        <v/>
      </c>
      <c r="T15">
        <f>IFERROR(IF(ISNUMBER(INDEX(SPPR!$E:$X,MATCH($A15,SPPR!$A:$A,0),17)),$C15*INDEX(SPPR!$E:$X,MATCH($A15,SPPR!$A:$A,0),17),""),"")</f>
        <v/>
      </c>
      <c r="U15">
        <f>IFERROR(IF(ISNUMBER(INDEX(SPPR!$E:$X,MATCH($A15,SPPR!$A:$A,0),18)),$C15*INDEX(SPPR!$E:$X,MATCH($A15,SPPR!$A:$A,0),18),""),"")</f>
        <v/>
      </c>
      <c r="V15">
        <f>IFERROR(IF(ISNUMBER(INDEX(SPPR!$E:$X,MATCH($A15,SPPR!$A:$A,0),19)),$C15*INDEX(SPPR!$E:$X,MATCH($A15,SPPR!$A:$A,0),19),""),"")</f>
        <v/>
      </c>
      <c r="W15">
        <f>IFERROR(IF(ISNUMBER(INDEX(SPPR!$E:$X,MATCH($A15,SPPR!$A:$A,0),20)),$C15*INDEX(SPPR!$E:$X,MATCH($A15,SPPR!$A:$A,0),20),""),"")</f>
        <v/>
      </c>
    </row>
    <row r="16">
      <c r="A16" t="inlineStr">
        <is>
          <t>Miscellaneous marine crustaceans</t>
        </is>
      </c>
      <c r="B16">
        <f>IFERROR(INDEX(SPPR!$D:$D,MATCH($A16,SPPR!$A:$A,0)),"")</f>
        <v/>
      </c>
      <c r="C16">
        <f>IFERROR(INDEX(Catch!$E:$BV,MATCH($A16,Catch!$A:$A,0),MATCH($B$4,Catch!$E$1:$BV$1,0)),0)</f>
        <v/>
      </c>
      <c r="D16">
        <f>IFERROR(IF(ISNUMBER(INDEX(SPPR!$E:$X,MATCH($A16,SPPR!$A:$A,0),1)),$C16*INDEX(SPPR!$E:$X,MATCH($A16,SPPR!$A:$A,0),1),""),"")</f>
        <v/>
      </c>
      <c r="E16">
        <f>IFERROR(IF(ISNUMBER(INDEX(SPPR!$E:$X,MATCH($A16,SPPR!$A:$A,0),2)),$C16*INDEX(SPPR!$E:$X,MATCH($A16,SPPR!$A:$A,0),2),""),"")</f>
        <v/>
      </c>
      <c r="F16">
        <f>IFERROR(IF(ISNUMBER(INDEX(SPPR!$E:$X,MATCH($A16,SPPR!$A:$A,0),3)),$C16*INDEX(SPPR!$E:$X,MATCH($A16,SPPR!$A:$A,0),3),""),"")</f>
        <v/>
      </c>
      <c r="G16">
        <f>IFERROR(IF(ISNUMBER(INDEX(SPPR!$E:$X,MATCH($A16,SPPR!$A:$A,0),4)),$C16*INDEX(SPPR!$E:$X,MATCH($A16,SPPR!$A:$A,0),4),""),"")</f>
        <v/>
      </c>
      <c r="H16">
        <f>IFERROR(IF(ISNUMBER(INDEX(SPPR!$E:$X,MATCH($A16,SPPR!$A:$A,0),5)),$C16*INDEX(SPPR!$E:$X,MATCH($A16,SPPR!$A:$A,0),5),""),"")</f>
        <v/>
      </c>
      <c r="I16">
        <f>IFERROR(IF(ISNUMBER(INDEX(SPPR!$E:$X,MATCH($A16,SPPR!$A:$A,0),6)),$C16*INDEX(SPPR!$E:$X,MATCH($A16,SPPR!$A:$A,0),6),""),"")</f>
        <v/>
      </c>
      <c r="J16">
        <f>IFERROR(IF(ISNUMBER(INDEX(SPPR!$E:$X,MATCH($A16,SPPR!$A:$A,0),7)),$C16*INDEX(SPPR!$E:$X,MATCH($A16,SPPR!$A:$A,0),7),""),"")</f>
        <v/>
      </c>
      <c r="K16">
        <f>IFERROR(IF(ISNUMBER(INDEX(SPPR!$E:$X,MATCH($A16,SPPR!$A:$A,0),8)),$C16*INDEX(SPPR!$E:$X,MATCH($A16,SPPR!$A:$A,0),8),""),"")</f>
        <v/>
      </c>
      <c r="L16">
        <f>IFERROR(IF(ISNUMBER(INDEX(SPPR!$E:$X,MATCH($A16,SPPR!$A:$A,0),9)),$C16*INDEX(SPPR!$E:$X,MATCH($A16,SPPR!$A:$A,0),9),""),"")</f>
        <v/>
      </c>
      <c r="M16">
        <f>IFERROR(IF(ISNUMBER(INDEX(SPPR!$E:$X,MATCH($A16,SPPR!$A:$A,0),10)),$C16*INDEX(SPPR!$E:$X,MATCH($A16,SPPR!$A:$A,0),10),""),"")</f>
        <v/>
      </c>
      <c r="N16">
        <f>IFERROR(IF(ISNUMBER(INDEX(SPPR!$E:$X,MATCH($A16,SPPR!$A:$A,0),11)),$C16*INDEX(SPPR!$E:$X,MATCH($A16,SPPR!$A:$A,0),11),""),"")</f>
        <v/>
      </c>
      <c r="O16">
        <f>IFERROR(IF(ISNUMBER(INDEX(SPPR!$E:$X,MATCH($A16,SPPR!$A:$A,0),12)),$C16*INDEX(SPPR!$E:$X,MATCH($A16,SPPR!$A:$A,0),12),""),"")</f>
        <v/>
      </c>
      <c r="P16">
        <f>IFERROR(IF(ISNUMBER(INDEX(SPPR!$E:$X,MATCH($A16,SPPR!$A:$A,0),13)),$C16*INDEX(SPPR!$E:$X,MATCH($A16,SPPR!$A:$A,0),13),""),"")</f>
        <v/>
      </c>
      <c r="Q16">
        <f>IFERROR(IF(ISNUMBER(INDEX(SPPR!$E:$X,MATCH($A16,SPPR!$A:$A,0),14)),$C16*INDEX(SPPR!$E:$X,MATCH($A16,SPPR!$A:$A,0),14),""),"")</f>
        <v/>
      </c>
      <c r="R16">
        <f>IFERROR(IF(ISNUMBER(INDEX(SPPR!$E:$X,MATCH($A16,SPPR!$A:$A,0),15)),$C16*INDEX(SPPR!$E:$X,MATCH($A16,SPPR!$A:$A,0),15),""),"")</f>
        <v/>
      </c>
      <c r="S16">
        <f>IFERROR(IF(ISNUMBER(INDEX(SPPR!$E:$X,MATCH($A16,SPPR!$A:$A,0),16)),$C16*INDEX(SPPR!$E:$X,MATCH($A16,SPPR!$A:$A,0),16),""),"")</f>
        <v/>
      </c>
      <c r="T16">
        <f>IFERROR(IF(ISNUMBER(INDEX(SPPR!$E:$X,MATCH($A16,SPPR!$A:$A,0),17)),$C16*INDEX(SPPR!$E:$X,MATCH($A16,SPPR!$A:$A,0),17),""),"")</f>
        <v/>
      </c>
      <c r="U16">
        <f>IFERROR(IF(ISNUMBER(INDEX(SPPR!$E:$X,MATCH($A16,SPPR!$A:$A,0),18)),$C16*INDEX(SPPR!$E:$X,MATCH($A16,SPPR!$A:$A,0),18),""),"")</f>
        <v/>
      </c>
      <c r="V16">
        <f>IFERROR(IF(ISNUMBER(INDEX(SPPR!$E:$X,MATCH($A16,SPPR!$A:$A,0),19)),$C16*INDEX(SPPR!$E:$X,MATCH($A16,SPPR!$A:$A,0),19),""),"")</f>
        <v/>
      </c>
      <c r="W16">
        <f>IFERROR(IF(ISNUMBER(INDEX(SPPR!$E:$X,MATCH($A16,SPPR!$A:$A,0),20)),$C16*INDEX(SPPR!$E:$X,MATCH($A16,SPPR!$A:$A,0),20),""),"")</f>
        <v/>
      </c>
    </row>
    <row r="17">
      <c r="A17" t="inlineStr">
        <is>
          <t>Larimichthys polyactis</t>
        </is>
      </c>
      <c r="B17">
        <f>IFERROR(INDEX(SPPR!$D:$D,MATCH($A17,SPPR!$A:$A,0)),"")</f>
        <v/>
      </c>
      <c r="C17">
        <f>IFERROR(INDEX(Catch!$E:$BV,MATCH($A17,Catch!$A:$A,0),MATCH($B$4,Catch!$E$1:$BV$1,0)),0)</f>
        <v/>
      </c>
      <c r="D17">
        <f>IFERROR(IF(ISNUMBER(INDEX(SPPR!$E:$X,MATCH($A17,SPPR!$A:$A,0),1)),$C17*INDEX(SPPR!$E:$X,MATCH($A17,SPPR!$A:$A,0),1),""),"")</f>
        <v/>
      </c>
      <c r="E17">
        <f>IFERROR(IF(ISNUMBER(INDEX(SPPR!$E:$X,MATCH($A17,SPPR!$A:$A,0),2)),$C17*INDEX(SPPR!$E:$X,MATCH($A17,SPPR!$A:$A,0),2),""),"")</f>
        <v/>
      </c>
      <c r="F17">
        <f>IFERROR(IF(ISNUMBER(INDEX(SPPR!$E:$X,MATCH($A17,SPPR!$A:$A,0),3)),$C17*INDEX(SPPR!$E:$X,MATCH($A17,SPPR!$A:$A,0),3),""),"")</f>
        <v/>
      </c>
      <c r="G17">
        <f>IFERROR(IF(ISNUMBER(INDEX(SPPR!$E:$X,MATCH($A17,SPPR!$A:$A,0),4)),$C17*INDEX(SPPR!$E:$X,MATCH($A17,SPPR!$A:$A,0),4),""),"")</f>
        <v/>
      </c>
      <c r="H17">
        <f>IFERROR(IF(ISNUMBER(INDEX(SPPR!$E:$X,MATCH($A17,SPPR!$A:$A,0),5)),$C17*INDEX(SPPR!$E:$X,MATCH($A17,SPPR!$A:$A,0),5),""),"")</f>
        <v/>
      </c>
      <c r="I17">
        <f>IFERROR(IF(ISNUMBER(INDEX(SPPR!$E:$X,MATCH($A17,SPPR!$A:$A,0),6)),$C17*INDEX(SPPR!$E:$X,MATCH($A17,SPPR!$A:$A,0),6),""),"")</f>
        <v/>
      </c>
      <c r="J17">
        <f>IFERROR(IF(ISNUMBER(INDEX(SPPR!$E:$X,MATCH($A17,SPPR!$A:$A,0),7)),$C17*INDEX(SPPR!$E:$X,MATCH($A17,SPPR!$A:$A,0),7),""),"")</f>
        <v/>
      </c>
      <c r="K17">
        <f>IFERROR(IF(ISNUMBER(INDEX(SPPR!$E:$X,MATCH($A17,SPPR!$A:$A,0),8)),$C17*INDEX(SPPR!$E:$X,MATCH($A17,SPPR!$A:$A,0),8),""),"")</f>
        <v/>
      </c>
      <c r="L17">
        <f>IFERROR(IF(ISNUMBER(INDEX(SPPR!$E:$X,MATCH($A17,SPPR!$A:$A,0),9)),$C17*INDEX(SPPR!$E:$X,MATCH($A17,SPPR!$A:$A,0),9),""),"")</f>
        <v/>
      </c>
      <c r="M17">
        <f>IFERROR(IF(ISNUMBER(INDEX(SPPR!$E:$X,MATCH($A17,SPPR!$A:$A,0),10)),$C17*INDEX(SPPR!$E:$X,MATCH($A17,SPPR!$A:$A,0),10),""),"")</f>
        <v/>
      </c>
      <c r="N17">
        <f>IFERROR(IF(ISNUMBER(INDEX(SPPR!$E:$X,MATCH($A17,SPPR!$A:$A,0),11)),$C17*INDEX(SPPR!$E:$X,MATCH($A17,SPPR!$A:$A,0),11),""),"")</f>
        <v/>
      </c>
      <c r="O17">
        <f>IFERROR(IF(ISNUMBER(INDEX(SPPR!$E:$X,MATCH($A17,SPPR!$A:$A,0),12)),$C17*INDEX(SPPR!$E:$X,MATCH($A17,SPPR!$A:$A,0),12),""),"")</f>
        <v/>
      </c>
      <c r="P17">
        <f>IFERROR(IF(ISNUMBER(INDEX(SPPR!$E:$X,MATCH($A17,SPPR!$A:$A,0),13)),$C17*INDEX(SPPR!$E:$X,MATCH($A17,SPPR!$A:$A,0),13),""),"")</f>
        <v/>
      </c>
      <c r="Q17">
        <f>IFERROR(IF(ISNUMBER(INDEX(SPPR!$E:$X,MATCH($A17,SPPR!$A:$A,0),14)),$C17*INDEX(SPPR!$E:$X,MATCH($A17,SPPR!$A:$A,0),14),""),"")</f>
        <v/>
      </c>
      <c r="R17">
        <f>IFERROR(IF(ISNUMBER(INDEX(SPPR!$E:$X,MATCH($A17,SPPR!$A:$A,0),15)),$C17*INDEX(SPPR!$E:$X,MATCH($A17,SPPR!$A:$A,0),15),""),"")</f>
        <v/>
      </c>
      <c r="S17">
        <f>IFERROR(IF(ISNUMBER(INDEX(SPPR!$E:$X,MATCH($A17,SPPR!$A:$A,0),16)),$C17*INDEX(SPPR!$E:$X,MATCH($A17,SPPR!$A:$A,0),16),""),"")</f>
        <v/>
      </c>
      <c r="T17">
        <f>IFERROR(IF(ISNUMBER(INDEX(SPPR!$E:$X,MATCH($A17,SPPR!$A:$A,0),17)),$C17*INDEX(SPPR!$E:$X,MATCH($A17,SPPR!$A:$A,0),17),""),"")</f>
        <v/>
      </c>
      <c r="U17">
        <f>IFERROR(IF(ISNUMBER(INDEX(SPPR!$E:$X,MATCH($A17,SPPR!$A:$A,0),18)),$C17*INDEX(SPPR!$E:$X,MATCH($A17,SPPR!$A:$A,0),18),""),"")</f>
        <v/>
      </c>
      <c r="V17">
        <f>IFERROR(IF(ISNUMBER(INDEX(SPPR!$E:$X,MATCH($A17,SPPR!$A:$A,0),19)),$C17*INDEX(SPPR!$E:$X,MATCH($A17,SPPR!$A:$A,0),19),""),"")</f>
        <v/>
      </c>
      <c r="W17">
        <f>IFERROR(IF(ISNUMBER(INDEX(SPPR!$E:$X,MATCH($A17,SPPR!$A:$A,0),20)),$C17*INDEX(SPPR!$E:$X,MATCH($A17,SPPR!$A:$A,0),20),""),"")</f>
        <v/>
      </c>
    </row>
    <row r="18">
      <c r="A18" t="inlineStr">
        <is>
          <t>Acetes japonicus</t>
        </is>
      </c>
      <c r="B18">
        <f>IFERROR(INDEX(SPPR!$D:$D,MATCH($A18,SPPR!$A:$A,0)),"")</f>
        <v/>
      </c>
      <c r="C18">
        <f>IFERROR(INDEX(Catch!$E:$BV,MATCH($A18,Catch!$A:$A,0),MATCH($B$4,Catch!$E$1:$BV$1,0)),0)</f>
        <v/>
      </c>
      <c r="D18">
        <f>IFERROR(IF(ISNUMBER(INDEX(SPPR!$E:$X,MATCH($A18,SPPR!$A:$A,0),1)),$C18*INDEX(SPPR!$E:$X,MATCH($A18,SPPR!$A:$A,0),1),""),"")</f>
        <v/>
      </c>
      <c r="E18">
        <f>IFERROR(IF(ISNUMBER(INDEX(SPPR!$E:$X,MATCH($A18,SPPR!$A:$A,0),2)),$C18*INDEX(SPPR!$E:$X,MATCH($A18,SPPR!$A:$A,0),2),""),"")</f>
        <v/>
      </c>
      <c r="F18">
        <f>IFERROR(IF(ISNUMBER(INDEX(SPPR!$E:$X,MATCH($A18,SPPR!$A:$A,0),3)),$C18*INDEX(SPPR!$E:$X,MATCH($A18,SPPR!$A:$A,0),3),""),"")</f>
        <v/>
      </c>
      <c r="G18">
        <f>IFERROR(IF(ISNUMBER(INDEX(SPPR!$E:$X,MATCH($A18,SPPR!$A:$A,0),4)),$C18*INDEX(SPPR!$E:$X,MATCH($A18,SPPR!$A:$A,0),4),""),"")</f>
        <v/>
      </c>
      <c r="H18">
        <f>IFERROR(IF(ISNUMBER(INDEX(SPPR!$E:$X,MATCH($A18,SPPR!$A:$A,0),5)),$C18*INDEX(SPPR!$E:$X,MATCH($A18,SPPR!$A:$A,0),5),""),"")</f>
        <v/>
      </c>
      <c r="I18">
        <f>IFERROR(IF(ISNUMBER(INDEX(SPPR!$E:$X,MATCH($A18,SPPR!$A:$A,0),6)),$C18*INDEX(SPPR!$E:$X,MATCH($A18,SPPR!$A:$A,0),6),""),"")</f>
        <v/>
      </c>
      <c r="J18">
        <f>IFERROR(IF(ISNUMBER(INDEX(SPPR!$E:$X,MATCH($A18,SPPR!$A:$A,0),7)),$C18*INDEX(SPPR!$E:$X,MATCH($A18,SPPR!$A:$A,0),7),""),"")</f>
        <v/>
      </c>
      <c r="K18">
        <f>IFERROR(IF(ISNUMBER(INDEX(SPPR!$E:$X,MATCH($A18,SPPR!$A:$A,0),8)),$C18*INDEX(SPPR!$E:$X,MATCH($A18,SPPR!$A:$A,0),8),""),"")</f>
        <v/>
      </c>
      <c r="L18">
        <f>IFERROR(IF(ISNUMBER(INDEX(SPPR!$E:$X,MATCH($A18,SPPR!$A:$A,0),9)),$C18*INDEX(SPPR!$E:$X,MATCH($A18,SPPR!$A:$A,0),9),""),"")</f>
        <v/>
      </c>
      <c r="M18">
        <f>IFERROR(IF(ISNUMBER(INDEX(SPPR!$E:$X,MATCH($A18,SPPR!$A:$A,0),10)),$C18*INDEX(SPPR!$E:$X,MATCH($A18,SPPR!$A:$A,0),10),""),"")</f>
        <v/>
      </c>
      <c r="N18">
        <f>IFERROR(IF(ISNUMBER(INDEX(SPPR!$E:$X,MATCH($A18,SPPR!$A:$A,0),11)),$C18*INDEX(SPPR!$E:$X,MATCH($A18,SPPR!$A:$A,0),11),""),"")</f>
        <v/>
      </c>
      <c r="O18">
        <f>IFERROR(IF(ISNUMBER(INDEX(SPPR!$E:$X,MATCH($A18,SPPR!$A:$A,0),12)),$C18*INDEX(SPPR!$E:$X,MATCH($A18,SPPR!$A:$A,0),12),""),"")</f>
        <v/>
      </c>
      <c r="P18">
        <f>IFERROR(IF(ISNUMBER(INDEX(SPPR!$E:$X,MATCH($A18,SPPR!$A:$A,0),13)),$C18*INDEX(SPPR!$E:$X,MATCH($A18,SPPR!$A:$A,0),13),""),"")</f>
        <v/>
      </c>
      <c r="Q18">
        <f>IFERROR(IF(ISNUMBER(INDEX(SPPR!$E:$X,MATCH($A18,SPPR!$A:$A,0),14)),$C18*INDEX(SPPR!$E:$X,MATCH($A18,SPPR!$A:$A,0),14),""),"")</f>
        <v/>
      </c>
      <c r="R18">
        <f>IFERROR(IF(ISNUMBER(INDEX(SPPR!$E:$X,MATCH($A18,SPPR!$A:$A,0),15)),$C18*INDEX(SPPR!$E:$X,MATCH($A18,SPPR!$A:$A,0),15),""),"")</f>
        <v/>
      </c>
      <c r="S18">
        <f>IFERROR(IF(ISNUMBER(INDEX(SPPR!$E:$X,MATCH($A18,SPPR!$A:$A,0),16)),$C18*INDEX(SPPR!$E:$X,MATCH($A18,SPPR!$A:$A,0),16),""),"")</f>
        <v/>
      </c>
      <c r="T18">
        <f>IFERROR(IF(ISNUMBER(INDEX(SPPR!$E:$X,MATCH($A18,SPPR!$A:$A,0),17)),$C18*INDEX(SPPR!$E:$X,MATCH($A18,SPPR!$A:$A,0),17),""),"")</f>
        <v/>
      </c>
      <c r="U18">
        <f>IFERROR(IF(ISNUMBER(INDEX(SPPR!$E:$X,MATCH($A18,SPPR!$A:$A,0),18)),$C18*INDEX(SPPR!$E:$X,MATCH($A18,SPPR!$A:$A,0),18),""),"")</f>
        <v/>
      </c>
      <c r="V18">
        <f>IFERROR(IF(ISNUMBER(INDEX(SPPR!$E:$X,MATCH($A18,SPPR!$A:$A,0),19)),$C18*INDEX(SPPR!$E:$X,MATCH($A18,SPPR!$A:$A,0),19),""),"")</f>
        <v/>
      </c>
      <c r="W18">
        <f>IFERROR(IF(ISNUMBER(INDEX(SPPR!$E:$X,MATCH($A18,SPPR!$A:$A,0),20)),$C18*INDEX(SPPR!$E:$X,MATCH($A18,SPPR!$A:$A,0),20),""),"")</f>
        <v/>
      </c>
    </row>
    <row r="19">
      <c r="A19" t="inlineStr">
        <is>
          <t>Todarodes pacificus</t>
        </is>
      </c>
      <c r="B19">
        <f>IFERROR(INDEX(SPPR!$D:$D,MATCH($A19,SPPR!$A:$A,0)),"")</f>
        <v/>
      </c>
      <c r="C19">
        <f>IFERROR(INDEX(Catch!$E:$BV,MATCH($A19,Catch!$A:$A,0),MATCH($B$4,Catch!$E$1:$BV$1,0)),0)</f>
        <v/>
      </c>
      <c r="D19">
        <f>IFERROR(IF(ISNUMBER(INDEX(SPPR!$E:$X,MATCH($A19,SPPR!$A:$A,0),1)),$C19*INDEX(SPPR!$E:$X,MATCH($A19,SPPR!$A:$A,0),1),""),"")</f>
        <v/>
      </c>
      <c r="E19">
        <f>IFERROR(IF(ISNUMBER(INDEX(SPPR!$E:$X,MATCH($A19,SPPR!$A:$A,0),2)),$C19*INDEX(SPPR!$E:$X,MATCH($A19,SPPR!$A:$A,0),2),""),"")</f>
        <v/>
      </c>
      <c r="F19">
        <f>IFERROR(IF(ISNUMBER(INDEX(SPPR!$E:$X,MATCH($A19,SPPR!$A:$A,0),3)),$C19*INDEX(SPPR!$E:$X,MATCH($A19,SPPR!$A:$A,0),3),""),"")</f>
        <v/>
      </c>
      <c r="G19">
        <f>IFERROR(IF(ISNUMBER(INDEX(SPPR!$E:$X,MATCH($A19,SPPR!$A:$A,0),4)),$C19*INDEX(SPPR!$E:$X,MATCH($A19,SPPR!$A:$A,0),4),""),"")</f>
        <v/>
      </c>
      <c r="H19">
        <f>IFERROR(IF(ISNUMBER(INDEX(SPPR!$E:$X,MATCH($A19,SPPR!$A:$A,0),5)),$C19*INDEX(SPPR!$E:$X,MATCH($A19,SPPR!$A:$A,0),5),""),"")</f>
        <v/>
      </c>
      <c r="I19">
        <f>IFERROR(IF(ISNUMBER(INDEX(SPPR!$E:$X,MATCH($A19,SPPR!$A:$A,0),6)),$C19*INDEX(SPPR!$E:$X,MATCH($A19,SPPR!$A:$A,0),6),""),"")</f>
        <v/>
      </c>
      <c r="J19">
        <f>IFERROR(IF(ISNUMBER(INDEX(SPPR!$E:$X,MATCH($A19,SPPR!$A:$A,0),7)),$C19*INDEX(SPPR!$E:$X,MATCH($A19,SPPR!$A:$A,0),7),""),"")</f>
        <v/>
      </c>
      <c r="K19">
        <f>IFERROR(IF(ISNUMBER(INDEX(SPPR!$E:$X,MATCH($A19,SPPR!$A:$A,0),8)),$C19*INDEX(SPPR!$E:$X,MATCH($A19,SPPR!$A:$A,0),8),""),"")</f>
        <v/>
      </c>
      <c r="L19">
        <f>IFERROR(IF(ISNUMBER(INDEX(SPPR!$E:$X,MATCH($A19,SPPR!$A:$A,0),9)),$C19*INDEX(SPPR!$E:$X,MATCH($A19,SPPR!$A:$A,0),9),""),"")</f>
        <v/>
      </c>
      <c r="M19">
        <f>IFERROR(IF(ISNUMBER(INDEX(SPPR!$E:$X,MATCH($A19,SPPR!$A:$A,0),10)),$C19*INDEX(SPPR!$E:$X,MATCH($A19,SPPR!$A:$A,0),10),""),"")</f>
        <v/>
      </c>
      <c r="N19">
        <f>IFERROR(IF(ISNUMBER(INDEX(SPPR!$E:$X,MATCH($A19,SPPR!$A:$A,0),11)),$C19*INDEX(SPPR!$E:$X,MATCH($A19,SPPR!$A:$A,0),11),""),"")</f>
        <v/>
      </c>
      <c r="O19">
        <f>IFERROR(IF(ISNUMBER(INDEX(SPPR!$E:$X,MATCH($A19,SPPR!$A:$A,0),12)),$C19*INDEX(SPPR!$E:$X,MATCH($A19,SPPR!$A:$A,0),12),""),"")</f>
        <v/>
      </c>
      <c r="P19">
        <f>IFERROR(IF(ISNUMBER(INDEX(SPPR!$E:$X,MATCH($A19,SPPR!$A:$A,0),13)),$C19*INDEX(SPPR!$E:$X,MATCH($A19,SPPR!$A:$A,0),13),""),"")</f>
        <v/>
      </c>
      <c r="Q19">
        <f>IFERROR(IF(ISNUMBER(INDEX(SPPR!$E:$X,MATCH($A19,SPPR!$A:$A,0),14)),$C19*INDEX(SPPR!$E:$X,MATCH($A19,SPPR!$A:$A,0),14),""),"")</f>
        <v/>
      </c>
      <c r="R19">
        <f>IFERROR(IF(ISNUMBER(INDEX(SPPR!$E:$X,MATCH($A19,SPPR!$A:$A,0),15)),$C19*INDEX(SPPR!$E:$X,MATCH($A19,SPPR!$A:$A,0),15),""),"")</f>
        <v/>
      </c>
      <c r="S19">
        <f>IFERROR(IF(ISNUMBER(INDEX(SPPR!$E:$X,MATCH($A19,SPPR!$A:$A,0),16)),$C19*INDEX(SPPR!$E:$X,MATCH($A19,SPPR!$A:$A,0),16),""),"")</f>
        <v/>
      </c>
      <c r="T19">
        <f>IFERROR(IF(ISNUMBER(INDEX(SPPR!$E:$X,MATCH($A19,SPPR!$A:$A,0),17)),$C19*INDEX(SPPR!$E:$X,MATCH($A19,SPPR!$A:$A,0),17),""),"")</f>
        <v/>
      </c>
      <c r="U19">
        <f>IFERROR(IF(ISNUMBER(INDEX(SPPR!$E:$X,MATCH($A19,SPPR!$A:$A,0),18)),$C19*INDEX(SPPR!$E:$X,MATCH($A19,SPPR!$A:$A,0),18),""),"")</f>
        <v/>
      </c>
      <c r="V19">
        <f>IFERROR(IF(ISNUMBER(INDEX(SPPR!$E:$X,MATCH($A19,SPPR!$A:$A,0),19)),$C19*INDEX(SPPR!$E:$X,MATCH($A19,SPPR!$A:$A,0),19),""),"")</f>
        <v/>
      </c>
      <c r="W19">
        <f>IFERROR(IF(ISNUMBER(INDEX(SPPR!$E:$X,MATCH($A19,SPPR!$A:$A,0),20)),$C19*INDEX(SPPR!$E:$X,MATCH($A19,SPPR!$A:$A,0),20),""),"")</f>
        <v/>
      </c>
    </row>
    <row r="20">
      <c r="A20" t="inlineStr">
        <is>
          <t>Sciaenidae</t>
        </is>
      </c>
      <c r="B20">
        <f>IFERROR(INDEX(SPPR!$D:$D,MATCH($A20,SPPR!$A:$A,0)),"")</f>
        <v/>
      </c>
      <c r="C20">
        <f>IFERROR(INDEX(Catch!$E:$BV,MATCH($A20,Catch!$A:$A,0),MATCH($B$4,Catch!$E$1:$BV$1,0)),0)</f>
        <v/>
      </c>
      <c r="D20">
        <f>IFERROR(IF(ISNUMBER(INDEX(SPPR!$E:$X,MATCH($A20,SPPR!$A:$A,0),1)),$C20*INDEX(SPPR!$E:$X,MATCH($A20,SPPR!$A:$A,0),1),""),"")</f>
        <v/>
      </c>
      <c r="E20">
        <f>IFERROR(IF(ISNUMBER(INDEX(SPPR!$E:$X,MATCH($A20,SPPR!$A:$A,0),2)),$C20*INDEX(SPPR!$E:$X,MATCH($A20,SPPR!$A:$A,0),2),""),"")</f>
        <v/>
      </c>
      <c r="F20">
        <f>IFERROR(IF(ISNUMBER(INDEX(SPPR!$E:$X,MATCH($A20,SPPR!$A:$A,0),3)),$C20*INDEX(SPPR!$E:$X,MATCH($A20,SPPR!$A:$A,0),3),""),"")</f>
        <v/>
      </c>
      <c r="G20">
        <f>IFERROR(IF(ISNUMBER(INDEX(SPPR!$E:$X,MATCH($A20,SPPR!$A:$A,0),4)),$C20*INDEX(SPPR!$E:$X,MATCH($A20,SPPR!$A:$A,0),4),""),"")</f>
        <v/>
      </c>
      <c r="H20">
        <f>IFERROR(IF(ISNUMBER(INDEX(SPPR!$E:$X,MATCH($A20,SPPR!$A:$A,0),5)),$C20*INDEX(SPPR!$E:$X,MATCH($A20,SPPR!$A:$A,0),5),""),"")</f>
        <v/>
      </c>
      <c r="I20">
        <f>IFERROR(IF(ISNUMBER(INDEX(SPPR!$E:$X,MATCH($A20,SPPR!$A:$A,0),6)),$C20*INDEX(SPPR!$E:$X,MATCH($A20,SPPR!$A:$A,0),6),""),"")</f>
        <v/>
      </c>
      <c r="J20">
        <f>IFERROR(IF(ISNUMBER(INDEX(SPPR!$E:$X,MATCH($A20,SPPR!$A:$A,0),7)),$C20*INDEX(SPPR!$E:$X,MATCH($A20,SPPR!$A:$A,0),7),""),"")</f>
        <v/>
      </c>
      <c r="K20">
        <f>IFERROR(IF(ISNUMBER(INDEX(SPPR!$E:$X,MATCH($A20,SPPR!$A:$A,0),8)),$C20*INDEX(SPPR!$E:$X,MATCH($A20,SPPR!$A:$A,0),8),""),"")</f>
        <v/>
      </c>
      <c r="L20">
        <f>IFERROR(IF(ISNUMBER(INDEX(SPPR!$E:$X,MATCH($A20,SPPR!$A:$A,0),9)),$C20*INDEX(SPPR!$E:$X,MATCH($A20,SPPR!$A:$A,0),9),""),"")</f>
        <v/>
      </c>
      <c r="M20">
        <f>IFERROR(IF(ISNUMBER(INDEX(SPPR!$E:$X,MATCH($A20,SPPR!$A:$A,0),10)),$C20*INDEX(SPPR!$E:$X,MATCH($A20,SPPR!$A:$A,0),10),""),"")</f>
        <v/>
      </c>
      <c r="N20">
        <f>IFERROR(IF(ISNUMBER(INDEX(SPPR!$E:$X,MATCH($A20,SPPR!$A:$A,0),11)),$C20*INDEX(SPPR!$E:$X,MATCH($A20,SPPR!$A:$A,0),11),""),"")</f>
        <v/>
      </c>
      <c r="O20">
        <f>IFERROR(IF(ISNUMBER(INDEX(SPPR!$E:$X,MATCH($A20,SPPR!$A:$A,0),12)),$C20*INDEX(SPPR!$E:$X,MATCH($A20,SPPR!$A:$A,0),12),""),"")</f>
        <v/>
      </c>
      <c r="P20">
        <f>IFERROR(IF(ISNUMBER(INDEX(SPPR!$E:$X,MATCH($A20,SPPR!$A:$A,0),13)),$C20*INDEX(SPPR!$E:$X,MATCH($A20,SPPR!$A:$A,0),13),""),"")</f>
        <v/>
      </c>
      <c r="Q20">
        <f>IFERROR(IF(ISNUMBER(INDEX(SPPR!$E:$X,MATCH($A20,SPPR!$A:$A,0),14)),$C20*INDEX(SPPR!$E:$X,MATCH($A20,SPPR!$A:$A,0),14),""),"")</f>
        <v/>
      </c>
      <c r="R20">
        <f>IFERROR(IF(ISNUMBER(INDEX(SPPR!$E:$X,MATCH($A20,SPPR!$A:$A,0),15)),$C20*INDEX(SPPR!$E:$X,MATCH($A20,SPPR!$A:$A,0),15),""),"")</f>
        <v/>
      </c>
      <c r="S20">
        <f>IFERROR(IF(ISNUMBER(INDEX(SPPR!$E:$X,MATCH($A20,SPPR!$A:$A,0),16)),$C20*INDEX(SPPR!$E:$X,MATCH($A20,SPPR!$A:$A,0),16),""),"")</f>
        <v/>
      </c>
      <c r="T20">
        <f>IFERROR(IF(ISNUMBER(INDEX(SPPR!$E:$X,MATCH($A20,SPPR!$A:$A,0),17)),$C20*INDEX(SPPR!$E:$X,MATCH($A20,SPPR!$A:$A,0),17),""),"")</f>
        <v/>
      </c>
      <c r="U20">
        <f>IFERROR(IF(ISNUMBER(INDEX(SPPR!$E:$X,MATCH($A20,SPPR!$A:$A,0),18)),$C20*INDEX(SPPR!$E:$X,MATCH($A20,SPPR!$A:$A,0),18),""),"")</f>
        <v/>
      </c>
      <c r="V20">
        <f>IFERROR(IF(ISNUMBER(INDEX(SPPR!$E:$X,MATCH($A20,SPPR!$A:$A,0),19)),$C20*INDEX(SPPR!$E:$X,MATCH($A20,SPPR!$A:$A,0),19),""),"")</f>
        <v/>
      </c>
      <c r="W20">
        <f>IFERROR(IF(ISNUMBER(INDEX(SPPR!$E:$X,MATCH($A20,SPPR!$A:$A,0),20)),$C20*INDEX(SPPR!$E:$X,MATCH($A20,SPPR!$A:$A,0),20),""),"")</f>
        <v/>
      </c>
    </row>
    <row r="21">
      <c r="A21" t="inlineStr">
        <is>
          <t>Stephanolepis cirrhifer</t>
        </is>
      </c>
      <c r="B21">
        <f>IFERROR(INDEX(SPPR!$D:$D,MATCH($A21,SPPR!$A:$A,0)),"")</f>
        <v/>
      </c>
      <c r="C21">
        <f>IFERROR(INDEX(Catch!$E:$BV,MATCH($A21,Catch!$A:$A,0),MATCH($B$4,Catch!$E$1:$BV$1,0)),0)</f>
        <v/>
      </c>
      <c r="D21">
        <f>IFERROR(IF(ISNUMBER(INDEX(SPPR!$E:$X,MATCH($A21,SPPR!$A:$A,0),1)),$C21*INDEX(SPPR!$E:$X,MATCH($A21,SPPR!$A:$A,0),1),""),"")</f>
        <v/>
      </c>
      <c r="E21">
        <f>IFERROR(IF(ISNUMBER(INDEX(SPPR!$E:$X,MATCH($A21,SPPR!$A:$A,0),2)),$C21*INDEX(SPPR!$E:$X,MATCH($A21,SPPR!$A:$A,0),2),""),"")</f>
        <v/>
      </c>
      <c r="F21">
        <f>IFERROR(IF(ISNUMBER(INDEX(SPPR!$E:$X,MATCH($A21,SPPR!$A:$A,0),3)),$C21*INDEX(SPPR!$E:$X,MATCH($A21,SPPR!$A:$A,0),3),""),"")</f>
        <v/>
      </c>
      <c r="G21">
        <f>IFERROR(IF(ISNUMBER(INDEX(SPPR!$E:$X,MATCH($A21,SPPR!$A:$A,0),4)),$C21*INDEX(SPPR!$E:$X,MATCH($A21,SPPR!$A:$A,0),4),""),"")</f>
        <v/>
      </c>
      <c r="H21">
        <f>IFERROR(IF(ISNUMBER(INDEX(SPPR!$E:$X,MATCH($A21,SPPR!$A:$A,0),5)),$C21*INDEX(SPPR!$E:$X,MATCH($A21,SPPR!$A:$A,0),5),""),"")</f>
        <v/>
      </c>
      <c r="I21">
        <f>IFERROR(IF(ISNUMBER(INDEX(SPPR!$E:$X,MATCH($A21,SPPR!$A:$A,0),6)),$C21*INDEX(SPPR!$E:$X,MATCH($A21,SPPR!$A:$A,0),6),""),"")</f>
        <v/>
      </c>
      <c r="J21">
        <f>IFERROR(IF(ISNUMBER(INDEX(SPPR!$E:$X,MATCH($A21,SPPR!$A:$A,0),7)),$C21*INDEX(SPPR!$E:$X,MATCH($A21,SPPR!$A:$A,0),7),""),"")</f>
        <v/>
      </c>
      <c r="K21">
        <f>IFERROR(IF(ISNUMBER(INDEX(SPPR!$E:$X,MATCH($A21,SPPR!$A:$A,0),8)),$C21*INDEX(SPPR!$E:$X,MATCH($A21,SPPR!$A:$A,0),8),""),"")</f>
        <v/>
      </c>
      <c r="L21">
        <f>IFERROR(IF(ISNUMBER(INDEX(SPPR!$E:$X,MATCH($A21,SPPR!$A:$A,0),9)),$C21*INDEX(SPPR!$E:$X,MATCH($A21,SPPR!$A:$A,0),9),""),"")</f>
        <v/>
      </c>
      <c r="M21">
        <f>IFERROR(IF(ISNUMBER(INDEX(SPPR!$E:$X,MATCH($A21,SPPR!$A:$A,0),10)),$C21*INDEX(SPPR!$E:$X,MATCH($A21,SPPR!$A:$A,0),10),""),"")</f>
        <v/>
      </c>
      <c r="N21">
        <f>IFERROR(IF(ISNUMBER(INDEX(SPPR!$E:$X,MATCH($A21,SPPR!$A:$A,0),11)),$C21*INDEX(SPPR!$E:$X,MATCH($A21,SPPR!$A:$A,0),11),""),"")</f>
        <v/>
      </c>
      <c r="O21">
        <f>IFERROR(IF(ISNUMBER(INDEX(SPPR!$E:$X,MATCH($A21,SPPR!$A:$A,0),12)),$C21*INDEX(SPPR!$E:$X,MATCH($A21,SPPR!$A:$A,0),12),""),"")</f>
        <v/>
      </c>
      <c r="P21">
        <f>IFERROR(IF(ISNUMBER(INDEX(SPPR!$E:$X,MATCH($A21,SPPR!$A:$A,0),13)),$C21*INDEX(SPPR!$E:$X,MATCH($A21,SPPR!$A:$A,0),13),""),"")</f>
        <v/>
      </c>
      <c r="Q21">
        <f>IFERROR(IF(ISNUMBER(INDEX(SPPR!$E:$X,MATCH($A21,SPPR!$A:$A,0),14)),$C21*INDEX(SPPR!$E:$X,MATCH($A21,SPPR!$A:$A,0),14),""),"")</f>
        <v/>
      </c>
      <c r="R21">
        <f>IFERROR(IF(ISNUMBER(INDEX(SPPR!$E:$X,MATCH($A21,SPPR!$A:$A,0),15)),$C21*INDEX(SPPR!$E:$X,MATCH($A21,SPPR!$A:$A,0),15),""),"")</f>
        <v/>
      </c>
      <c r="S21">
        <f>IFERROR(IF(ISNUMBER(INDEX(SPPR!$E:$X,MATCH($A21,SPPR!$A:$A,0),16)),$C21*INDEX(SPPR!$E:$X,MATCH($A21,SPPR!$A:$A,0),16),""),"")</f>
        <v/>
      </c>
      <c r="T21">
        <f>IFERROR(IF(ISNUMBER(INDEX(SPPR!$E:$X,MATCH($A21,SPPR!$A:$A,0),17)),$C21*INDEX(SPPR!$E:$X,MATCH($A21,SPPR!$A:$A,0),17),""),"")</f>
        <v/>
      </c>
      <c r="U21">
        <f>IFERROR(IF(ISNUMBER(INDEX(SPPR!$E:$X,MATCH($A21,SPPR!$A:$A,0),18)),$C21*INDEX(SPPR!$E:$X,MATCH($A21,SPPR!$A:$A,0),18),""),"")</f>
        <v/>
      </c>
      <c r="V21">
        <f>IFERROR(IF(ISNUMBER(INDEX(SPPR!$E:$X,MATCH($A21,SPPR!$A:$A,0),19)),$C21*INDEX(SPPR!$E:$X,MATCH($A21,SPPR!$A:$A,0),19),""),"")</f>
        <v/>
      </c>
      <c r="W21">
        <f>IFERROR(IF(ISNUMBER(INDEX(SPPR!$E:$X,MATCH($A21,SPPR!$A:$A,0),20)),$C21*INDEX(SPPR!$E:$X,MATCH($A21,SPPR!$A:$A,0),20),""),"")</f>
        <v/>
      </c>
    </row>
    <row r="22">
      <c r="A22" t="inlineStr">
        <is>
          <t>Pectinidae</t>
        </is>
      </c>
      <c r="B22">
        <f>IFERROR(INDEX(SPPR!$D:$D,MATCH($A22,SPPR!$A:$A,0)),"")</f>
        <v/>
      </c>
      <c r="C22">
        <f>IFERROR(INDEX(Catch!$E:$BV,MATCH($A22,Catch!$A:$A,0),MATCH($B$4,Catch!$E$1:$BV$1,0)),0)</f>
        <v/>
      </c>
      <c r="D22">
        <f>IFERROR(IF(ISNUMBER(INDEX(SPPR!$E:$X,MATCH($A22,SPPR!$A:$A,0),1)),$C22*INDEX(SPPR!$E:$X,MATCH($A22,SPPR!$A:$A,0),1),""),"")</f>
        <v/>
      </c>
      <c r="E22">
        <f>IFERROR(IF(ISNUMBER(INDEX(SPPR!$E:$X,MATCH($A22,SPPR!$A:$A,0),2)),$C22*INDEX(SPPR!$E:$X,MATCH($A22,SPPR!$A:$A,0),2),""),"")</f>
        <v/>
      </c>
      <c r="F22">
        <f>IFERROR(IF(ISNUMBER(INDEX(SPPR!$E:$X,MATCH($A22,SPPR!$A:$A,0),3)),$C22*INDEX(SPPR!$E:$X,MATCH($A22,SPPR!$A:$A,0),3),""),"")</f>
        <v/>
      </c>
      <c r="G22">
        <f>IFERROR(IF(ISNUMBER(INDEX(SPPR!$E:$X,MATCH($A22,SPPR!$A:$A,0),4)),$C22*INDEX(SPPR!$E:$X,MATCH($A22,SPPR!$A:$A,0),4),""),"")</f>
        <v/>
      </c>
      <c r="H22">
        <f>IFERROR(IF(ISNUMBER(INDEX(SPPR!$E:$X,MATCH($A22,SPPR!$A:$A,0),5)),$C22*INDEX(SPPR!$E:$X,MATCH($A22,SPPR!$A:$A,0),5),""),"")</f>
        <v/>
      </c>
      <c r="I22">
        <f>IFERROR(IF(ISNUMBER(INDEX(SPPR!$E:$X,MATCH($A22,SPPR!$A:$A,0),6)),$C22*INDEX(SPPR!$E:$X,MATCH($A22,SPPR!$A:$A,0),6),""),"")</f>
        <v/>
      </c>
      <c r="J22">
        <f>IFERROR(IF(ISNUMBER(INDEX(SPPR!$E:$X,MATCH($A22,SPPR!$A:$A,0),7)),$C22*INDEX(SPPR!$E:$X,MATCH($A22,SPPR!$A:$A,0),7),""),"")</f>
        <v/>
      </c>
      <c r="K22">
        <f>IFERROR(IF(ISNUMBER(INDEX(SPPR!$E:$X,MATCH($A22,SPPR!$A:$A,0),8)),$C22*INDEX(SPPR!$E:$X,MATCH($A22,SPPR!$A:$A,0),8),""),"")</f>
        <v/>
      </c>
      <c r="L22">
        <f>IFERROR(IF(ISNUMBER(INDEX(SPPR!$E:$X,MATCH($A22,SPPR!$A:$A,0),9)),$C22*INDEX(SPPR!$E:$X,MATCH($A22,SPPR!$A:$A,0),9),""),"")</f>
        <v/>
      </c>
      <c r="M22">
        <f>IFERROR(IF(ISNUMBER(INDEX(SPPR!$E:$X,MATCH($A22,SPPR!$A:$A,0),10)),$C22*INDEX(SPPR!$E:$X,MATCH($A22,SPPR!$A:$A,0),10),""),"")</f>
        <v/>
      </c>
      <c r="N22">
        <f>IFERROR(IF(ISNUMBER(INDEX(SPPR!$E:$X,MATCH($A22,SPPR!$A:$A,0),11)),$C22*INDEX(SPPR!$E:$X,MATCH($A22,SPPR!$A:$A,0),11),""),"")</f>
        <v/>
      </c>
      <c r="O22">
        <f>IFERROR(IF(ISNUMBER(INDEX(SPPR!$E:$X,MATCH($A22,SPPR!$A:$A,0),12)),$C22*INDEX(SPPR!$E:$X,MATCH($A22,SPPR!$A:$A,0),12),""),"")</f>
        <v/>
      </c>
      <c r="P22">
        <f>IFERROR(IF(ISNUMBER(INDEX(SPPR!$E:$X,MATCH($A22,SPPR!$A:$A,0),13)),$C22*INDEX(SPPR!$E:$X,MATCH($A22,SPPR!$A:$A,0),13),""),"")</f>
        <v/>
      </c>
      <c r="Q22">
        <f>IFERROR(IF(ISNUMBER(INDEX(SPPR!$E:$X,MATCH($A22,SPPR!$A:$A,0),14)),$C22*INDEX(SPPR!$E:$X,MATCH($A22,SPPR!$A:$A,0),14),""),"")</f>
        <v/>
      </c>
      <c r="R22">
        <f>IFERROR(IF(ISNUMBER(INDEX(SPPR!$E:$X,MATCH($A22,SPPR!$A:$A,0),15)),$C22*INDEX(SPPR!$E:$X,MATCH($A22,SPPR!$A:$A,0),15),""),"")</f>
        <v/>
      </c>
      <c r="S22">
        <f>IFERROR(IF(ISNUMBER(INDEX(SPPR!$E:$X,MATCH($A22,SPPR!$A:$A,0),16)),$C22*INDEX(SPPR!$E:$X,MATCH($A22,SPPR!$A:$A,0),16),""),"")</f>
        <v/>
      </c>
      <c r="T22">
        <f>IFERROR(IF(ISNUMBER(INDEX(SPPR!$E:$X,MATCH($A22,SPPR!$A:$A,0),17)),$C22*INDEX(SPPR!$E:$X,MATCH($A22,SPPR!$A:$A,0),17),""),"")</f>
        <v/>
      </c>
      <c r="U22">
        <f>IFERROR(IF(ISNUMBER(INDEX(SPPR!$E:$X,MATCH($A22,SPPR!$A:$A,0),18)),$C22*INDEX(SPPR!$E:$X,MATCH($A22,SPPR!$A:$A,0),18),""),"")</f>
        <v/>
      </c>
      <c r="V22">
        <f>IFERROR(IF(ISNUMBER(INDEX(SPPR!$E:$X,MATCH($A22,SPPR!$A:$A,0),19)),$C22*INDEX(SPPR!$E:$X,MATCH($A22,SPPR!$A:$A,0),19),""),"")</f>
        <v/>
      </c>
      <c r="W22">
        <f>IFERROR(IF(ISNUMBER(INDEX(SPPR!$E:$X,MATCH($A22,SPPR!$A:$A,0),20)),$C22*INDEX(SPPR!$E:$X,MATCH($A22,SPPR!$A:$A,0),20),""),"")</f>
        <v/>
      </c>
    </row>
    <row r="23">
      <c r="A23" t="inlineStr">
        <is>
          <t>Scyphozoa</t>
        </is>
      </c>
      <c r="B23">
        <f>IFERROR(INDEX(SPPR!$D:$D,MATCH($A23,SPPR!$A:$A,0)),"")</f>
        <v/>
      </c>
      <c r="C23">
        <f>IFERROR(INDEX(Catch!$E:$BV,MATCH($A23,Catch!$A:$A,0),MATCH($B$4,Catch!$E$1:$BV$1,0)),0)</f>
        <v/>
      </c>
      <c r="D23">
        <f>IFERROR(IF(ISNUMBER(INDEX(SPPR!$E:$X,MATCH($A23,SPPR!$A:$A,0),1)),$C23*INDEX(SPPR!$E:$X,MATCH($A23,SPPR!$A:$A,0),1),""),"")</f>
        <v/>
      </c>
      <c r="E23">
        <f>IFERROR(IF(ISNUMBER(INDEX(SPPR!$E:$X,MATCH($A23,SPPR!$A:$A,0),2)),$C23*INDEX(SPPR!$E:$X,MATCH($A23,SPPR!$A:$A,0),2),""),"")</f>
        <v/>
      </c>
      <c r="F23">
        <f>IFERROR(IF(ISNUMBER(INDEX(SPPR!$E:$X,MATCH($A23,SPPR!$A:$A,0),3)),$C23*INDEX(SPPR!$E:$X,MATCH($A23,SPPR!$A:$A,0),3),""),"")</f>
        <v/>
      </c>
      <c r="G23">
        <f>IFERROR(IF(ISNUMBER(INDEX(SPPR!$E:$X,MATCH($A23,SPPR!$A:$A,0),4)),$C23*INDEX(SPPR!$E:$X,MATCH($A23,SPPR!$A:$A,0),4),""),"")</f>
        <v/>
      </c>
      <c r="H23">
        <f>IFERROR(IF(ISNUMBER(INDEX(SPPR!$E:$X,MATCH($A23,SPPR!$A:$A,0),5)),$C23*INDEX(SPPR!$E:$X,MATCH($A23,SPPR!$A:$A,0),5),""),"")</f>
        <v/>
      </c>
      <c r="I23">
        <f>IFERROR(IF(ISNUMBER(INDEX(SPPR!$E:$X,MATCH($A23,SPPR!$A:$A,0),6)),$C23*INDEX(SPPR!$E:$X,MATCH($A23,SPPR!$A:$A,0),6),""),"")</f>
        <v/>
      </c>
      <c r="J23">
        <f>IFERROR(IF(ISNUMBER(INDEX(SPPR!$E:$X,MATCH($A23,SPPR!$A:$A,0),7)),$C23*INDEX(SPPR!$E:$X,MATCH($A23,SPPR!$A:$A,0),7),""),"")</f>
        <v/>
      </c>
      <c r="K23">
        <f>IFERROR(IF(ISNUMBER(INDEX(SPPR!$E:$X,MATCH($A23,SPPR!$A:$A,0),8)),$C23*INDEX(SPPR!$E:$X,MATCH($A23,SPPR!$A:$A,0),8),""),"")</f>
        <v/>
      </c>
      <c r="L23">
        <f>IFERROR(IF(ISNUMBER(INDEX(SPPR!$E:$X,MATCH($A23,SPPR!$A:$A,0),9)),$C23*INDEX(SPPR!$E:$X,MATCH($A23,SPPR!$A:$A,0),9),""),"")</f>
        <v/>
      </c>
      <c r="M23">
        <f>IFERROR(IF(ISNUMBER(INDEX(SPPR!$E:$X,MATCH($A23,SPPR!$A:$A,0),10)),$C23*INDEX(SPPR!$E:$X,MATCH($A23,SPPR!$A:$A,0),10),""),"")</f>
        <v/>
      </c>
      <c r="N23">
        <f>IFERROR(IF(ISNUMBER(INDEX(SPPR!$E:$X,MATCH($A23,SPPR!$A:$A,0),11)),$C23*INDEX(SPPR!$E:$X,MATCH($A23,SPPR!$A:$A,0),11),""),"")</f>
        <v/>
      </c>
      <c r="O23">
        <f>IFERROR(IF(ISNUMBER(INDEX(SPPR!$E:$X,MATCH($A23,SPPR!$A:$A,0),12)),$C23*INDEX(SPPR!$E:$X,MATCH($A23,SPPR!$A:$A,0),12),""),"")</f>
        <v/>
      </c>
      <c r="P23">
        <f>IFERROR(IF(ISNUMBER(INDEX(SPPR!$E:$X,MATCH($A23,SPPR!$A:$A,0),13)),$C23*INDEX(SPPR!$E:$X,MATCH($A23,SPPR!$A:$A,0),13),""),"")</f>
        <v/>
      </c>
      <c r="Q23">
        <f>IFERROR(IF(ISNUMBER(INDEX(SPPR!$E:$X,MATCH($A23,SPPR!$A:$A,0),14)),$C23*INDEX(SPPR!$E:$X,MATCH($A23,SPPR!$A:$A,0),14),""),"")</f>
        <v/>
      </c>
      <c r="R23">
        <f>IFERROR(IF(ISNUMBER(INDEX(SPPR!$E:$X,MATCH($A23,SPPR!$A:$A,0),15)),$C23*INDEX(SPPR!$E:$X,MATCH($A23,SPPR!$A:$A,0),15),""),"")</f>
        <v/>
      </c>
      <c r="S23">
        <f>IFERROR(IF(ISNUMBER(INDEX(SPPR!$E:$X,MATCH($A23,SPPR!$A:$A,0),16)),$C23*INDEX(SPPR!$E:$X,MATCH($A23,SPPR!$A:$A,0),16),""),"")</f>
        <v/>
      </c>
      <c r="T23">
        <f>IFERROR(IF(ISNUMBER(INDEX(SPPR!$E:$X,MATCH($A23,SPPR!$A:$A,0),17)),$C23*INDEX(SPPR!$E:$X,MATCH($A23,SPPR!$A:$A,0),17),""),"")</f>
        <v/>
      </c>
      <c r="U23">
        <f>IFERROR(IF(ISNUMBER(INDEX(SPPR!$E:$X,MATCH($A23,SPPR!$A:$A,0),18)),$C23*INDEX(SPPR!$E:$X,MATCH($A23,SPPR!$A:$A,0),18),""),"")</f>
        <v/>
      </c>
      <c r="V23">
        <f>IFERROR(IF(ISNUMBER(INDEX(SPPR!$E:$X,MATCH($A23,SPPR!$A:$A,0),19)),$C23*INDEX(SPPR!$E:$X,MATCH($A23,SPPR!$A:$A,0),19),""),"")</f>
        <v/>
      </c>
      <c r="W23">
        <f>IFERROR(IF(ISNUMBER(INDEX(SPPR!$E:$X,MATCH($A23,SPPR!$A:$A,0),20)),$C23*INDEX(SPPR!$E:$X,MATCH($A23,SPPR!$A:$A,0),20),""),"")</f>
        <v/>
      </c>
    </row>
    <row r="24">
      <c r="A24" t="inlineStr">
        <is>
          <t>Pleuronectidae</t>
        </is>
      </c>
      <c r="B24">
        <f>IFERROR(INDEX(SPPR!$D:$D,MATCH($A24,SPPR!$A:$A,0)),"")</f>
        <v/>
      </c>
      <c r="C24">
        <f>IFERROR(INDEX(Catch!$E:$BV,MATCH($A24,Catch!$A:$A,0),MATCH($B$4,Catch!$E$1:$BV$1,0)),0)</f>
        <v/>
      </c>
      <c r="D24">
        <f>IFERROR(IF(ISNUMBER(INDEX(SPPR!$E:$X,MATCH($A24,SPPR!$A:$A,0),1)),$C24*INDEX(SPPR!$E:$X,MATCH($A24,SPPR!$A:$A,0),1),""),"")</f>
        <v/>
      </c>
      <c r="E24">
        <f>IFERROR(IF(ISNUMBER(INDEX(SPPR!$E:$X,MATCH($A24,SPPR!$A:$A,0),2)),$C24*INDEX(SPPR!$E:$X,MATCH($A24,SPPR!$A:$A,0),2),""),"")</f>
        <v/>
      </c>
      <c r="F24">
        <f>IFERROR(IF(ISNUMBER(INDEX(SPPR!$E:$X,MATCH($A24,SPPR!$A:$A,0),3)),$C24*INDEX(SPPR!$E:$X,MATCH($A24,SPPR!$A:$A,0),3),""),"")</f>
        <v/>
      </c>
      <c r="G24">
        <f>IFERROR(IF(ISNUMBER(INDEX(SPPR!$E:$X,MATCH($A24,SPPR!$A:$A,0),4)),$C24*INDEX(SPPR!$E:$X,MATCH($A24,SPPR!$A:$A,0),4),""),"")</f>
        <v/>
      </c>
      <c r="H24">
        <f>IFERROR(IF(ISNUMBER(INDEX(SPPR!$E:$X,MATCH($A24,SPPR!$A:$A,0),5)),$C24*INDEX(SPPR!$E:$X,MATCH($A24,SPPR!$A:$A,0),5),""),"")</f>
        <v/>
      </c>
      <c r="I24">
        <f>IFERROR(IF(ISNUMBER(INDEX(SPPR!$E:$X,MATCH($A24,SPPR!$A:$A,0),6)),$C24*INDEX(SPPR!$E:$X,MATCH($A24,SPPR!$A:$A,0),6),""),"")</f>
        <v/>
      </c>
      <c r="J24">
        <f>IFERROR(IF(ISNUMBER(INDEX(SPPR!$E:$X,MATCH($A24,SPPR!$A:$A,0),7)),$C24*INDEX(SPPR!$E:$X,MATCH($A24,SPPR!$A:$A,0),7),""),"")</f>
        <v/>
      </c>
      <c r="K24">
        <f>IFERROR(IF(ISNUMBER(INDEX(SPPR!$E:$X,MATCH($A24,SPPR!$A:$A,0),8)),$C24*INDEX(SPPR!$E:$X,MATCH($A24,SPPR!$A:$A,0),8),""),"")</f>
        <v/>
      </c>
      <c r="L24">
        <f>IFERROR(IF(ISNUMBER(INDEX(SPPR!$E:$X,MATCH($A24,SPPR!$A:$A,0),9)),$C24*INDEX(SPPR!$E:$X,MATCH($A24,SPPR!$A:$A,0),9),""),"")</f>
        <v/>
      </c>
      <c r="M24">
        <f>IFERROR(IF(ISNUMBER(INDEX(SPPR!$E:$X,MATCH($A24,SPPR!$A:$A,0),10)),$C24*INDEX(SPPR!$E:$X,MATCH($A24,SPPR!$A:$A,0),10),""),"")</f>
        <v/>
      </c>
      <c r="N24">
        <f>IFERROR(IF(ISNUMBER(INDEX(SPPR!$E:$X,MATCH($A24,SPPR!$A:$A,0),11)),$C24*INDEX(SPPR!$E:$X,MATCH($A24,SPPR!$A:$A,0),11),""),"")</f>
        <v/>
      </c>
      <c r="O24">
        <f>IFERROR(IF(ISNUMBER(INDEX(SPPR!$E:$X,MATCH($A24,SPPR!$A:$A,0),12)),$C24*INDEX(SPPR!$E:$X,MATCH($A24,SPPR!$A:$A,0),12),""),"")</f>
        <v/>
      </c>
      <c r="P24">
        <f>IFERROR(IF(ISNUMBER(INDEX(SPPR!$E:$X,MATCH($A24,SPPR!$A:$A,0),13)),$C24*INDEX(SPPR!$E:$X,MATCH($A24,SPPR!$A:$A,0),13),""),"")</f>
        <v/>
      </c>
      <c r="Q24">
        <f>IFERROR(IF(ISNUMBER(INDEX(SPPR!$E:$X,MATCH($A24,SPPR!$A:$A,0),14)),$C24*INDEX(SPPR!$E:$X,MATCH($A24,SPPR!$A:$A,0),14),""),"")</f>
        <v/>
      </c>
      <c r="R24">
        <f>IFERROR(IF(ISNUMBER(INDEX(SPPR!$E:$X,MATCH($A24,SPPR!$A:$A,0),15)),$C24*INDEX(SPPR!$E:$X,MATCH($A24,SPPR!$A:$A,0),15),""),"")</f>
        <v/>
      </c>
      <c r="S24">
        <f>IFERROR(IF(ISNUMBER(INDEX(SPPR!$E:$X,MATCH($A24,SPPR!$A:$A,0),16)),$C24*INDEX(SPPR!$E:$X,MATCH($A24,SPPR!$A:$A,0),16),""),"")</f>
        <v/>
      </c>
      <c r="T24">
        <f>IFERROR(IF(ISNUMBER(INDEX(SPPR!$E:$X,MATCH($A24,SPPR!$A:$A,0),17)),$C24*INDEX(SPPR!$E:$X,MATCH($A24,SPPR!$A:$A,0),17),""),"")</f>
        <v/>
      </c>
      <c r="U24">
        <f>IFERROR(IF(ISNUMBER(INDEX(SPPR!$E:$X,MATCH($A24,SPPR!$A:$A,0),18)),$C24*INDEX(SPPR!$E:$X,MATCH($A24,SPPR!$A:$A,0),18),""),"")</f>
        <v/>
      </c>
      <c r="V24">
        <f>IFERROR(IF(ISNUMBER(INDEX(SPPR!$E:$X,MATCH($A24,SPPR!$A:$A,0),19)),$C24*INDEX(SPPR!$E:$X,MATCH($A24,SPPR!$A:$A,0),19),""),"")</f>
        <v/>
      </c>
      <c r="W24">
        <f>IFERROR(IF(ISNUMBER(INDEX(SPPR!$E:$X,MATCH($A24,SPPR!$A:$A,0),20)),$C24*INDEX(SPPR!$E:$X,MATCH($A24,SPPR!$A:$A,0),20),""),"")</f>
        <v/>
      </c>
    </row>
    <row r="25">
      <c r="A25" t="inlineStr">
        <is>
          <t>Muraenesox cinereus</t>
        </is>
      </c>
      <c r="B25">
        <f>IFERROR(INDEX(SPPR!$D:$D,MATCH($A25,SPPR!$A:$A,0)),"")</f>
        <v/>
      </c>
      <c r="C25">
        <f>IFERROR(INDEX(Catch!$E:$BV,MATCH($A25,Catch!$A:$A,0),MATCH($B$4,Catch!$E$1:$BV$1,0)),0)</f>
        <v/>
      </c>
      <c r="D25">
        <f>IFERROR(IF(ISNUMBER(INDEX(SPPR!$E:$X,MATCH($A25,SPPR!$A:$A,0),1)),$C25*INDEX(SPPR!$E:$X,MATCH($A25,SPPR!$A:$A,0),1),""),"")</f>
        <v/>
      </c>
      <c r="E25">
        <f>IFERROR(IF(ISNUMBER(INDEX(SPPR!$E:$X,MATCH($A25,SPPR!$A:$A,0),2)),$C25*INDEX(SPPR!$E:$X,MATCH($A25,SPPR!$A:$A,0),2),""),"")</f>
        <v/>
      </c>
      <c r="F25">
        <f>IFERROR(IF(ISNUMBER(INDEX(SPPR!$E:$X,MATCH($A25,SPPR!$A:$A,0),3)),$C25*INDEX(SPPR!$E:$X,MATCH($A25,SPPR!$A:$A,0),3),""),"")</f>
        <v/>
      </c>
      <c r="G25">
        <f>IFERROR(IF(ISNUMBER(INDEX(SPPR!$E:$X,MATCH($A25,SPPR!$A:$A,0),4)),$C25*INDEX(SPPR!$E:$X,MATCH($A25,SPPR!$A:$A,0),4),""),"")</f>
        <v/>
      </c>
      <c r="H25">
        <f>IFERROR(IF(ISNUMBER(INDEX(SPPR!$E:$X,MATCH($A25,SPPR!$A:$A,0),5)),$C25*INDEX(SPPR!$E:$X,MATCH($A25,SPPR!$A:$A,0),5),""),"")</f>
        <v/>
      </c>
      <c r="I25">
        <f>IFERROR(IF(ISNUMBER(INDEX(SPPR!$E:$X,MATCH($A25,SPPR!$A:$A,0),6)),$C25*INDEX(SPPR!$E:$X,MATCH($A25,SPPR!$A:$A,0),6),""),"")</f>
        <v/>
      </c>
      <c r="J25">
        <f>IFERROR(IF(ISNUMBER(INDEX(SPPR!$E:$X,MATCH($A25,SPPR!$A:$A,0),7)),$C25*INDEX(SPPR!$E:$X,MATCH($A25,SPPR!$A:$A,0),7),""),"")</f>
        <v/>
      </c>
      <c r="K25">
        <f>IFERROR(IF(ISNUMBER(INDEX(SPPR!$E:$X,MATCH($A25,SPPR!$A:$A,0),8)),$C25*INDEX(SPPR!$E:$X,MATCH($A25,SPPR!$A:$A,0),8),""),"")</f>
        <v/>
      </c>
      <c r="L25">
        <f>IFERROR(IF(ISNUMBER(INDEX(SPPR!$E:$X,MATCH($A25,SPPR!$A:$A,0),9)),$C25*INDEX(SPPR!$E:$X,MATCH($A25,SPPR!$A:$A,0),9),""),"")</f>
        <v/>
      </c>
      <c r="M25">
        <f>IFERROR(IF(ISNUMBER(INDEX(SPPR!$E:$X,MATCH($A25,SPPR!$A:$A,0),10)),$C25*INDEX(SPPR!$E:$X,MATCH($A25,SPPR!$A:$A,0),10),""),"")</f>
        <v/>
      </c>
      <c r="N25">
        <f>IFERROR(IF(ISNUMBER(INDEX(SPPR!$E:$X,MATCH($A25,SPPR!$A:$A,0),11)),$C25*INDEX(SPPR!$E:$X,MATCH($A25,SPPR!$A:$A,0),11),""),"")</f>
        <v/>
      </c>
      <c r="O25">
        <f>IFERROR(IF(ISNUMBER(INDEX(SPPR!$E:$X,MATCH($A25,SPPR!$A:$A,0),12)),$C25*INDEX(SPPR!$E:$X,MATCH($A25,SPPR!$A:$A,0),12),""),"")</f>
        <v/>
      </c>
      <c r="P25">
        <f>IFERROR(IF(ISNUMBER(INDEX(SPPR!$E:$X,MATCH($A25,SPPR!$A:$A,0),13)),$C25*INDEX(SPPR!$E:$X,MATCH($A25,SPPR!$A:$A,0),13),""),"")</f>
        <v/>
      </c>
      <c r="Q25">
        <f>IFERROR(IF(ISNUMBER(INDEX(SPPR!$E:$X,MATCH($A25,SPPR!$A:$A,0),14)),$C25*INDEX(SPPR!$E:$X,MATCH($A25,SPPR!$A:$A,0),14),""),"")</f>
        <v/>
      </c>
      <c r="R25">
        <f>IFERROR(IF(ISNUMBER(INDEX(SPPR!$E:$X,MATCH($A25,SPPR!$A:$A,0),15)),$C25*INDEX(SPPR!$E:$X,MATCH($A25,SPPR!$A:$A,0),15),""),"")</f>
        <v/>
      </c>
      <c r="S25">
        <f>IFERROR(IF(ISNUMBER(INDEX(SPPR!$E:$X,MATCH($A25,SPPR!$A:$A,0),16)),$C25*INDEX(SPPR!$E:$X,MATCH($A25,SPPR!$A:$A,0),16),""),"")</f>
        <v/>
      </c>
      <c r="T25">
        <f>IFERROR(IF(ISNUMBER(INDEX(SPPR!$E:$X,MATCH($A25,SPPR!$A:$A,0),17)),$C25*INDEX(SPPR!$E:$X,MATCH($A25,SPPR!$A:$A,0),17),""),"")</f>
        <v/>
      </c>
      <c r="U25">
        <f>IFERROR(IF(ISNUMBER(INDEX(SPPR!$E:$X,MATCH($A25,SPPR!$A:$A,0),18)),$C25*INDEX(SPPR!$E:$X,MATCH($A25,SPPR!$A:$A,0),18),""),"")</f>
        <v/>
      </c>
      <c r="V25">
        <f>IFERROR(IF(ISNUMBER(INDEX(SPPR!$E:$X,MATCH($A25,SPPR!$A:$A,0),19)),$C25*INDEX(SPPR!$E:$X,MATCH($A25,SPPR!$A:$A,0),19),""),"")</f>
        <v/>
      </c>
      <c r="W25">
        <f>IFERROR(IF(ISNUMBER(INDEX(SPPR!$E:$X,MATCH($A25,SPPR!$A:$A,0),20)),$C25*INDEX(SPPR!$E:$X,MATCH($A25,SPPR!$A:$A,0),20),""),"")</f>
        <v/>
      </c>
    </row>
    <row r="26">
      <c r="A26" t="inlineStr">
        <is>
          <t>Pennahia argentata</t>
        </is>
      </c>
      <c r="B26">
        <f>IFERROR(INDEX(SPPR!$D:$D,MATCH($A26,SPPR!$A:$A,0)),"")</f>
        <v/>
      </c>
      <c r="C26">
        <f>IFERROR(INDEX(Catch!$E:$BV,MATCH($A26,Catch!$A:$A,0),MATCH($B$4,Catch!$E$1:$BV$1,0)),0)</f>
        <v/>
      </c>
      <c r="D26">
        <f>IFERROR(IF(ISNUMBER(INDEX(SPPR!$E:$X,MATCH($A26,SPPR!$A:$A,0),1)),$C26*INDEX(SPPR!$E:$X,MATCH($A26,SPPR!$A:$A,0),1),""),"")</f>
        <v/>
      </c>
      <c r="E26">
        <f>IFERROR(IF(ISNUMBER(INDEX(SPPR!$E:$X,MATCH($A26,SPPR!$A:$A,0),2)),$C26*INDEX(SPPR!$E:$X,MATCH($A26,SPPR!$A:$A,0),2),""),"")</f>
        <v/>
      </c>
      <c r="F26">
        <f>IFERROR(IF(ISNUMBER(INDEX(SPPR!$E:$X,MATCH($A26,SPPR!$A:$A,0),3)),$C26*INDEX(SPPR!$E:$X,MATCH($A26,SPPR!$A:$A,0),3),""),"")</f>
        <v/>
      </c>
      <c r="G26">
        <f>IFERROR(IF(ISNUMBER(INDEX(SPPR!$E:$X,MATCH($A26,SPPR!$A:$A,0),4)),$C26*INDEX(SPPR!$E:$X,MATCH($A26,SPPR!$A:$A,0),4),""),"")</f>
        <v/>
      </c>
      <c r="H26">
        <f>IFERROR(IF(ISNUMBER(INDEX(SPPR!$E:$X,MATCH($A26,SPPR!$A:$A,0),5)),$C26*INDEX(SPPR!$E:$X,MATCH($A26,SPPR!$A:$A,0),5),""),"")</f>
        <v/>
      </c>
      <c r="I26">
        <f>IFERROR(IF(ISNUMBER(INDEX(SPPR!$E:$X,MATCH($A26,SPPR!$A:$A,0),6)),$C26*INDEX(SPPR!$E:$X,MATCH($A26,SPPR!$A:$A,0),6),""),"")</f>
        <v/>
      </c>
      <c r="J26">
        <f>IFERROR(IF(ISNUMBER(INDEX(SPPR!$E:$X,MATCH($A26,SPPR!$A:$A,0),7)),$C26*INDEX(SPPR!$E:$X,MATCH($A26,SPPR!$A:$A,0),7),""),"")</f>
        <v/>
      </c>
      <c r="K26">
        <f>IFERROR(IF(ISNUMBER(INDEX(SPPR!$E:$X,MATCH($A26,SPPR!$A:$A,0),8)),$C26*INDEX(SPPR!$E:$X,MATCH($A26,SPPR!$A:$A,0),8),""),"")</f>
        <v/>
      </c>
      <c r="L26">
        <f>IFERROR(IF(ISNUMBER(INDEX(SPPR!$E:$X,MATCH($A26,SPPR!$A:$A,0),9)),$C26*INDEX(SPPR!$E:$X,MATCH($A26,SPPR!$A:$A,0),9),""),"")</f>
        <v/>
      </c>
      <c r="M26">
        <f>IFERROR(IF(ISNUMBER(INDEX(SPPR!$E:$X,MATCH($A26,SPPR!$A:$A,0),10)),$C26*INDEX(SPPR!$E:$X,MATCH($A26,SPPR!$A:$A,0),10),""),"")</f>
        <v/>
      </c>
      <c r="N26">
        <f>IFERROR(IF(ISNUMBER(INDEX(SPPR!$E:$X,MATCH($A26,SPPR!$A:$A,0),11)),$C26*INDEX(SPPR!$E:$X,MATCH($A26,SPPR!$A:$A,0),11),""),"")</f>
        <v/>
      </c>
      <c r="O26">
        <f>IFERROR(IF(ISNUMBER(INDEX(SPPR!$E:$X,MATCH($A26,SPPR!$A:$A,0),12)),$C26*INDEX(SPPR!$E:$X,MATCH($A26,SPPR!$A:$A,0),12),""),"")</f>
        <v/>
      </c>
      <c r="P26">
        <f>IFERROR(IF(ISNUMBER(INDEX(SPPR!$E:$X,MATCH($A26,SPPR!$A:$A,0),13)),$C26*INDEX(SPPR!$E:$X,MATCH($A26,SPPR!$A:$A,0),13),""),"")</f>
        <v/>
      </c>
      <c r="Q26">
        <f>IFERROR(IF(ISNUMBER(INDEX(SPPR!$E:$X,MATCH($A26,SPPR!$A:$A,0),14)),$C26*INDEX(SPPR!$E:$X,MATCH($A26,SPPR!$A:$A,0),14),""),"")</f>
        <v/>
      </c>
      <c r="R26">
        <f>IFERROR(IF(ISNUMBER(INDEX(SPPR!$E:$X,MATCH($A26,SPPR!$A:$A,0),15)),$C26*INDEX(SPPR!$E:$X,MATCH($A26,SPPR!$A:$A,0),15),""),"")</f>
        <v/>
      </c>
      <c r="S26">
        <f>IFERROR(IF(ISNUMBER(INDEX(SPPR!$E:$X,MATCH($A26,SPPR!$A:$A,0),16)),$C26*INDEX(SPPR!$E:$X,MATCH($A26,SPPR!$A:$A,0),16),""),"")</f>
        <v/>
      </c>
      <c r="T26">
        <f>IFERROR(IF(ISNUMBER(INDEX(SPPR!$E:$X,MATCH($A26,SPPR!$A:$A,0),17)),$C26*INDEX(SPPR!$E:$X,MATCH($A26,SPPR!$A:$A,0),17),""),"")</f>
        <v/>
      </c>
      <c r="U26">
        <f>IFERROR(IF(ISNUMBER(INDEX(SPPR!$E:$X,MATCH($A26,SPPR!$A:$A,0),18)),$C26*INDEX(SPPR!$E:$X,MATCH($A26,SPPR!$A:$A,0),18),""),"")</f>
        <v/>
      </c>
      <c r="V26">
        <f>IFERROR(IF(ISNUMBER(INDEX(SPPR!$E:$X,MATCH($A26,SPPR!$A:$A,0),19)),$C26*INDEX(SPPR!$E:$X,MATCH($A26,SPPR!$A:$A,0),19),""),"")</f>
        <v/>
      </c>
      <c r="W26">
        <f>IFERROR(IF(ISNUMBER(INDEX(SPPR!$E:$X,MATCH($A26,SPPR!$A:$A,0),20)),$C26*INDEX(SPPR!$E:$X,MATCH($A26,SPPR!$A:$A,0),20),""),"")</f>
        <v/>
      </c>
    </row>
    <row r="27">
      <c r="A27" t="inlineStr">
        <is>
          <t>Gadus macrocephalus</t>
        </is>
      </c>
      <c r="B27">
        <f>IFERROR(INDEX(SPPR!$D:$D,MATCH($A27,SPPR!$A:$A,0)),"")</f>
        <v/>
      </c>
      <c r="C27">
        <f>IFERROR(INDEX(Catch!$E:$BV,MATCH($A27,Catch!$A:$A,0),MATCH($B$4,Catch!$E$1:$BV$1,0)),0)</f>
        <v/>
      </c>
      <c r="D27">
        <f>IFERROR(IF(ISNUMBER(INDEX(SPPR!$E:$X,MATCH($A27,SPPR!$A:$A,0),1)),$C27*INDEX(SPPR!$E:$X,MATCH($A27,SPPR!$A:$A,0),1),""),"")</f>
        <v/>
      </c>
      <c r="E27">
        <f>IFERROR(IF(ISNUMBER(INDEX(SPPR!$E:$X,MATCH($A27,SPPR!$A:$A,0),2)),$C27*INDEX(SPPR!$E:$X,MATCH($A27,SPPR!$A:$A,0),2),""),"")</f>
        <v/>
      </c>
      <c r="F27">
        <f>IFERROR(IF(ISNUMBER(INDEX(SPPR!$E:$X,MATCH($A27,SPPR!$A:$A,0),3)),$C27*INDEX(SPPR!$E:$X,MATCH($A27,SPPR!$A:$A,0),3),""),"")</f>
        <v/>
      </c>
      <c r="G27">
        <f>IFERROR(IF(ISNUMBER(INDEX(SPPR!$E:$X,MATCH($A27,SPPR!$A:$A,0),4)),$C27*INDEX(SPPR!$E:$X,MATCH($A27,SPPR!$A:$A,0),4),""),"")</f>
        <v/>
      </c>
      <c r="H27">
        <f>IFERROR(IF(ISNUMBER(INDEX(SPPR!$E:$X,MATCH($A27,SPPR!$A:$A,0),5)),$C27*INDEX(SPPR!$E:$X,MATCH($A27,SPPR!$A:$A,0),5),""),"")</f>
        <v/>
      </c>
      <c r="I27">
        <f>IFERROR(IF(ISNUMBER(INDEX(SPPR!$E:$X,MATCH($A27,SPPR!$A:$A,0),6)),$C27*INDEX(SPPR!$E:$X,MATCH($A27,SPPR!$A:$A,0),6),""),"")</f>
        <v/>
      </c>
      <c r="J27">
        <f>IFERROR(IF(ISNUMBER(INDEX(SPPR!$E:$X,MATCH($A27,SPPR!$A:$A,0),7)),$C27*INDEX(SPPR!$E:$X,MATCH($A27,SPPR!$A:$A,0),7),""),"")</f>
        <v/>
      </c>
      <c r="K27">
        <f>IFERROR(IF(ISNUMBER(INDEX(SPPR!$E:$X,MATCH($A27,SPPR!$A:$A,0),8)),$C27*INDEX(SPPR!$E:$X,MATCH($A27,SPPR!$A:$A,0),8),""),"")</f>
        <v/>
      </c>
      <c r="L27">
        <f>IFERROR(IF(ISNUMBER(INDEX(SPPR!$E:$X,MATCH($A27,SPPR!$A:$A,0),9)),$C27*INDEX(SPPR!$E:$X,MATCH($A27,SPPR!$A:$A,0),9),""),"")</f>
        <v/>
      </c>
      <c r="M27">
        <f>IFERROR(IF(ISNUMBER(INDEX(SPPR!$E:$X,MATCH($A27,SPPR!$A:$A,0),10)),$C27*INDEX(SPPR!$E:$X,MATCH($A27,SPPR!$A:$A,0),10),""),"")</f>
        <v/>
      </c>
      <c r="N27">
        <f>IFERROR(IF(ISNUMBER(INDEX(SPPR!$E:$X,MATCH($A27,SPPR!$A:$A,0),11)),$C27*INDEX(SPPR!$E:$X,MATCH($A27,SPPR!$A:$A,0),11),""),"")</f>
        <v/>
      </c>
      <c r="O27">
        <f>IFERROR(IF(ISNUMBER(INDEX(SPPR!$E:$X,MATCH($A27,SPPR!$A:$A,0),12)),$C27*INDEX(SPPR!$E:$X,MATCH($A27,SPPR!$A:$A,0),12),""),"")</f>
        <v/>
      </c>
      <c r="P27">
        <f>IFERROR(IF(ISNUMBER(INDEX(SPPR!$E:$X,MATCH($A27,SPPR!$A:$A,0),13)),$C27*INDEX(SPPR!$E:$X,MATCH($A27,SPPR!$A:$A,0),13),""),"")</f>
        <v/>
      </c>
      <c r="Q27">
        <f>IFERROR(IF(ISNUMBER(INDEX(SPPR!$E:$X,MATCH($A27,SPPR!$A:$A,0),14)),$C27*INDEX(SPPR!$E:$X,MATCH($A27,SPPR!$A:$A,0),14),""),"")</f>
        <v/>
      </c>
      <c r="R27">
        <f>IFERROR(IF(ISNUMBER(INDEX(SPPR!$E:$X,MATCH($A27,SPPR!$A:$A,0),15)),$C27*INDEX(SPPR!$E:$X,MATCH($A27,SPPR!$A:$A,0),15),""),"")</f>
        <v/>
      </c>
      <c r="S27">
        <f>IFERROR(IF(ISNUMBER(INDEX(SPPR!$E:$X,MATCH($A27,SPPR!$A:$A,0),16)),$C27*INDEX(SPPR!$E:$X,MATCH($A27,SPPR!$A:$A,0),16),""),"")</f>
        <v/>
      </c>
      <c r="T27">
        <f>IFERROR(IF(ISNUMBER(INDEX(SPPR!$E:$X,MATCH($A27,SPPR!$A:$A,0),17)),$C27*INDEX(SPPR!$E:$X,MATCH($A27,SPPR!$A:$A,0),17),""),"")</f>
        <v/>
      </c>
      <c r="U27">
        <f>IFERROR(IF(ISNUMBER(INDEX(SPPR!$E:$X,MATCH($A27,SPPR!$A:$A,0),18)),$C27*INDEX(SPPR!$E:$X,MATCH($A27,SPPR!$A:$A,0),18),""),"")</f>
        <v/>
      </c>
      <c r="V27">
        <f>IFERROR(IF(ISNUMBER(INDEX(SPPR!$E:$X,MATCH($A27,SPPR!$A:$A,0),19)),$C27*INDEX(SPPR!$E:$X,MATCH($A27,SPPR!$A:$A,0),19),""),"")</f>
        <v/>
      </c>
      <c r="W27">
        <f>IFERROR(IF(ISNUMBER(INDEX(SPPR!$E:$X,MATCH($A27,SPPR!$A:$A,0),20)),$C27*INDEX(SPPR!$E:$X,MATCH($A27,SPPR!$A:$A,0),20),""),"")</f>
        <v/>
      </c>
    </row>
    <row r="28">
      <c r="A28" t="inlineStr">
        <is>
          <t>Monacanthidae</t>
        </is>
      </c>
      <c r="B28">
        <f>IFERROR(INDEX(SPPR!$D:$D,MATCH($A28,SPPR!$A:$A,0)),"")</f>
        <v/>
      </c>
      <c r="C28">
        <f>IFERROR(INDEX(Catch!$E:$BV,MATCH($A28,Catch!$A:$A,0),MATCH($B$4,Catch!$E$1:$BV$1,0)),0)</f>
        <v/>
      </c>
      <c r="D28">
        <f>IFERROR(IF(ISNUMBER(INDEX(SPPR!$E:$X,MATCH($A28,SPPR!$A:$A,0),1)),$C28*INDEX(SPPR!$E:$X,MATCH($A28,SPPR!$A:$A,0),1),""),"")</f>
        <v/>
      </c>
      <c r="E28">
        <f>IFERROR(IF(ISNUMBER(INDEX(SPPR!$E:$X,MATCH($A28,SPPR!$A:$A,0),2)),$C28*INDEX(SPPR!$E:$X,MATCH($A28,SPPR!$A:$A,0),2),""),"")</f>
        <v/>
      </c>
      <c r="F28">
        <f>IFERROR(IF(ISNUMBER(INDEX(SPPR!$E:$X,MATCH($A28,SPPR!$A:$A,0),3)),$C28*INDEX(SPPR!$E:$X,MATCH($A28,SPPR!$A:$A,0),3),""),"")</f>
        <v/>
      </c>
      <c r="G28">
        <f>IFERROR(IF(ISNUMBER(INDEX(SPPR!$E:$X,MATCH($A28,SPPR!$A:$A,0),4)),$C28*INDEX(SPPR!$E:$X,MATCH($A28,SPPR!$A:$A,0),4),""),"")</f>
        <v/>
      </c>
      <c r="H28">
        <f>IFERROR(IF(ISNUMBER(INDEX(SPPR!$E:$X,MATCH($A28,SPPR!$A:$A,0),5)),$C28*INDEX(SPPR!$E:$X,MATCH($A28,SPPR!$A:$A,0),5),""),"")</f>
        <v/>
      </c>
      <c r="I28">
        <f>IFERROR(IF(ISNUMBER(INDEX(SPPR!$E:$X,MATCH($A28,SPPR!$A:$A,0),6)),$C28*INDEX(SPPR!$E:$X,MATCH($A28,SPPR!$A:$A,0),6),""),"")</f>
        <v/>
      </c>
      <c r="J28">
        <f>IFERROR(IF(ISNUMBER(INDEX(SPPR!$E:$X,MATCH($A28,SPPR!$A:$A,0),7)),$C28*INDEX(SPPR!$E:$X,MATCH($A28,SPPR!$A:$A,0),7),""),"")</f>
        <v/>
      </c>
      <c r="K28">
        <f>IFERROR(IF(ISNUMBER(INDEX(SPPR!$E:$X,MATCH($A28,SPPR!$A:$A,0),8)),$C28*INDEX(SPPR!$E:$X,MATCH($A28,SPPR!$A:$A,0),8),""),"")</f>
        <v/>
      </c>
      <c r="L28">
        <f>IFERROR(IF(ISNUMBER(INDEX(SPPR!$E:$X,MATCH($A28,SPPR!$A:$A,0),9)),$C28*INDEX(SPPR!$E:$X,MATCH($A28,SPPR!$A:$A,0),9),""),"")</f>
        <v/>
      </c>
      <c r="M28">
        <f>IFERROR(IF(ISNUMBER(INDEX(SPPR!$E:$X,MATCH($A28,SPPR!$A:$A,0),10)),$C28*INDEX(SPPR!$E:$X,MATCH($A28,SPPR!$A:$A,0),10),""),"")</f>
        <v/>
      </c>
      <c r="N28">
        <f>IFERROR(IF(ISNUMBER(INDEX(SPPR!$E:$X,MATCH($A28,SPPR!$A:$A,0),11)),$C28*INDEX(SPPR!$E:$X,MATCH($A28,SPPR!$A:$A,0),11),""),"")</f>
        <v/>
      </c>
      <c r="O28">
        <f>IFERROR(IF(ISNUMBER(INDEX(SPPR!$E:$X,MATCH($A28,SPPR!$A:$A,0),12)),$C28*INDEX(SPPR!$E:$X,MATCH($A28,SPPR!$A:$A,0),12),""),"")</f>
        <v/>
      </c>
      <c r="P28">
        <f>IFERROR(IF(ISNUMBER(INDEX(SPPR!$E:$X,MATCH($A28,SPPR!$A:$A,0),13)),$C28*INDEX(SPPR!$E:$X,MATCH($A28,SPPR!$A:$A,0),13),""),"")</f>
        <v/>
      </c>
      <c r="Q28">
        <f>IFERROR(IF(ISNUMBER(INDEX(SPPR!$E:$X,MATCH($A28,SPPR!$A:$A,0),14)),$C28*INDEX(SPPR!$E:$X,MATCH($A28,SPPR!$A:$A,0),14),""),"")</f>
        <v/>
      </c>
      <c r="R28">
        <f>IFERROR(IF(ISNUMBER(INDEX(SPPR!$E:$X,MATCH($A28,SPPR!$A:$A,0),15)),$C28*INDEX(SPPR!$E:$X,MATCH($A28,SPPR!$A:$A,0),15),""),"")</f>
        <v/>
      </c>
      <c r="S28">
        <f>IFERROR(IF(ISNUMBER(INDEX(SPPR!$E:$X,MATCH($A28,SPPR!$A:$A,0),16)),$C28*INDEX(SPPR!$E:$X,MATCH($A28,SPPR!$A:$A,0),16),""),"")</f>
        <v/>
      </c>
      <c r="T28">
        <f>IFERROR(IF(ISNUMBER(INDEX(SPPR!$E:$X,MATCH($A28,SPPR!$A:$A,0),17)),$C28*INDEX(SPPR!$E:$X,MATCH($A28,SPPR!$A:$A,0),17),""),"")</f>
        <v/>
      </c>
      <c r="U28">
        <f>IFERROR(IF(ISNUMBER(INDEX(SPPR!$E:$X,MATCH($A28,SPPR!$A:$A,0),18)),$C28*INDEX(SPPR!$E:$X,MATCH($A28,SPPR!$A:$A,0),18),""),"")</f>
        <v/>
      </c>
      <c r="V28">
        <f>IFERROR(IF(ISNUMBER(INDEX(SPPR!$E:$X,MATCH($A28,SPPR!$A:$A,0),19)),$C28*INDEX(SPPR!$E:$X,MATCH($A28,SPPR!$A:$A,0),19),""),"")</f>
        <v/>
      </c>
      <c r="W28">
        <f>IFERROR(IF(ISNUMBER(INDEX(SPPR!$E:$X,MATCH($A28,SPPR!$A:$A,0),20)),$C28*INDEX(SPPR!$E:$X,MATCH($A28,SPPR!$A:$A,0),20),""),"")</f>
        <v/>
      </c>
    </row>
    <row r="29">
      <c r="A29" t="inlineStr">
        <is>
          <t>Pampus</t>
        </is>
      </c>
      <c r="B29">
        <f>IFERROR(INDEX(SPPR!$D:$D,MATCH($A29,SPPR!$A:$A,0)),"")</f>
        <v/>
      </c>
      <c r="C29">
        <f>IFERROR(INDEX(Catch!$E:$BV,MATCH($A29,Catch!$A:$A,0),MATCH($B$4,Catch!$E$1:$BV$1,0)),0)</f>
        <v/>
      </c>
      <c r="D29">
        <f>IFERROR(IF(ISNUMBER(INDEX(SPPR!$E:$X,MATCH($A29,SPPR!$A:$A,0),1)),$C29*INDEX(SPPR!$E:$X,MATCH($A29,SPPR!$A:$A,0),1),""),"")</f>
        <v/>
      </c>
      <c r="E29">
        <f>IFERROR(IF(ISNUMBER(INDEX(SPPR!$E:$X,MATCH($A29,SPPR!$A:$A,0),2)),$C29*INDEX(SPPR!$E:$X,MATCH($A29,SPPR!$A:$A,0),2),""),"")</f>
        <v/>
      </c>
      <c r="F29">
        <f>IFERROR(IF(ISNUMBER(INDEX(SPPR!$E:$X,MATCH($A29,SPPR!$A:$A,0),3)),$C29*INDEX(SPPR!$E:$X,MATCH($A29,SPPR!$A:$A,0),3),""),"")</f>
        <v/>
      </c>
      <c r="G29">
        <f>IFERROR(IF(ISNUMBER(INDEX(SPPR!$E:$X,MATCH($A29,SPPR!$A:$A,0),4)),$C29*INDEX(SPPR!$E:$X,MATCH($A29,SPPR!$A:$A,0),4),""),"")</f>
        <v/>
      </c>
      <c r="H29">
        <f>IFERROR(IF(ISNUMBER(INDEX(SPPR!$E:$X,MATCH($A29,SPPR!$A:$A,0),5)),$C29*INDEX(SPPR!$E:$X,MATCH($A29,SPPR!$A:$A,0),5),""),"")</f>
        <v/>
      </c>
      <c r="I29">
        <f>IFERROR(IF(ISNUMBER(INDEX(SPPR!$E:$X,MATCH($A29,SPPR!$A:$A,0),6)),$C29*INDEX(SPPR!$E:$X,MATCH($A29,SPPR!$A:$A,0),6),""),"")</f>
        <v/>
      </c>
      <c r="J29">
        <f>IFERROR(IF(ISNUMBER(INDEX(SPPR!$E:$X,MATCH($A29,SPPR!$A:$A,0),7)),$C29*INDEX(SPPR!$E:$X,MATCH($A29,SPPR!$A:$A,0),7),""),"")</f>
        <v/>
      </c>
      <c r="K29">
        <f>IFERROR(IF(ISNUMBER(INDEX(SPPR!$E:$X,MATCH($A29,SPPR!$A:$A,0),8)),$C29*INDEX(SPPR!$E:$X,MATCH($A29,SPPR!$A:$A,0),8),""),"")</f>
        <v/>
      </c>
      <c r="L29">
        <f>IFERROR(IF(ISNUMBER(INDEX(SPPR!$E:$X,MATCH($A29,SPPR!$A:$A,0),9)),$C29*INDEX(SPPR!$E:$X,MATCH($A29,SPPR!$A:$A,0),9),""),"")</f>
        <v/>
      </c>
      <c r="M29">
        <f>IFERROR(IF(ISNUMBER(INDEX(SPPR!$E:$X,MATCH($A29,SPPR!$A:$A,0),10)),$C29*INDEX(SPPR!$E:$X,MATCH($A29,SPPR!$A:$A,0),10),""),"")</f>
        <v/>
      </c>
      <c r="N29">
        <f>IFERROR(IF(ISNUMBER(INDEX(SPPR!$E:$X,MATCH($A29,SPPR!$A:$A,0),11)),$C29*INDEX(SPPR!$E:$X,MATCH($A29,SPPR!$A:$A,0),11),""),"")</f>
        <v/>
      </c>
      <c r="O29">
        <f>IFERROR(IF(ISNUMBER(INDEX(SPPR!$E:$X,MATCH($A29,SPPR!$A:$A,0),12)),$C29*INDEX(SPPR!$E:$X,MATCH($A29,SPPR!$A:$A,0),12),""),"")</f>
        <v/>
      </c>
      <c r="P29">
        <f>IFERROR(IF(ISNUMBER(INDEX(SPPR!$E:$X,MATCH($A29,SPPR!$A:$A,0),13)),$C29*INDEX(SPPR!$E:$X,MATCH($A29,SPPR!$A:$A,0),13),""),"")</f>
        <v/>
      </c>
      <c r="Q29">
        <f>IFERROR(IF(ISNUMBER(INDEX(SPPR!$E:$X,MATCH($A29,SPPR!$A:$A,0),14)),$C29*INDEX(SPPR!$E:$X,MATCH($A29,SPPR!$A:$A,0),14),""),"")</f>
        <v/>
      </c>
      <c r="R29">
        <f>IFERROR(IF(ISNUMBER(INDEX(SPPR!$E:$X,MATCH($A29,SPPR!$A:$A,0),15)),$C29*INDEX(SPPR!$E:$X,MATCH($A29,SPPR!$A:$A,0),15),""),"")</f>
        <v/>
      </c>
      <c r="S29">
        <f>IFERROR(IF(ISNUMBER(INDEX(SPPR!$E:$X,MATCH($A29,SPPR!$A:$A,0),16)),$C29*INDEX(SPPR!$E:$X,MATCH($A29,SPPR!$A:$A,0),16),""),"")</f>
        <v/>
      </c>
      <c r="T29">
        <f>IFERROR(IF(ISNUMBER(INDEX(SPPR!$E:$X,MATCH($A29,SPPR!$A:$A,0),17)),$C29*INDEX(SPPR!$E:$X,MATCH($A29,SPPR!$A:$A,0),17),""),"")</f>
        <v/>
      </c>
      <c r="U29">
        <f>IFERROR(IF(ISNUMBER(INDEX(SPPR!$E:$X,MATCH($A29,SPPR!$A:$A,0),18)),$C29*INDEX(SPPR!$E:$X,MATCH($A29,SPPR!$A:$A,0),18),""),"")</f>
        <v/>
      </c>
      <c r="V29">
        <f>IFERROR(IF(ISNUMBER(INDEX(SPPR!$E:$X,MATCH($A29,SPPR!$A:$A,0),19)),$C29*INDEX(SPPR!$E:$X,MATCH($A29,SPPR!$A:$A,0),19),""),"")</f>
        <v/>
      </c>
      <c r="W29">
        <f>IFERROR(IF(ISNUMBER(INDEX(SPPR!$E:$X,MATCH($A29,SPPR!$A:$A,0),20)),$C29*INDEX(SPPR!$E:$X,MATCH($A29,SPPR!$A:$A,0),20),""),"")</f>
        <v/>
      </c>
    </row>
    <row r="30">
      <c r="A30" t="inlineStr">
        <is>
          <t>Bivalvia</t>
        </is>
      </c>
      <c r="B30">
        <f>IFERROR(INDEX(SPPR!$D:$D,MATCH($A30,SPPR!$A:$A,0)),"")</f>
        <v/>
      </c>
      <c r="C30">
        <f>IFERROR(INDEX(Catch!$E:$BV,MATCH($A30,Catch!$A:$A,0),MATCH($B$4,Catch!$E$1:$BV$1,0)),0)</f>
        <v/>
      </c>
      <c r="D30">
        <f>IFERROR(IF(ISNUMBER(INDEX(SPPR!$E:$X,MATCH($A30,SPPR!$A:$A,0),1)),$C30*INDEX(SPPR!$E:$X,MATCH($A30,SPPR!$A:$A,0),1),""),"")</f>
        <v/>
      </c>
      <c r="E30">
        <f>IFERROR(IF(ISNUMBER(INDEX(SPPR!$E:$X,MATCH($A30,SPPR!$A:$A,0),2)),$C30*INDEX(SPPR!$E:$X,MATCH($A30,SPPR!$A:$A,0),2),""),"")</f>
        <v/>
      </c>
      <c r="F30">
        <f>IFERROR(IF(ISNUMBER(INDEX(SPPR!$E:$X,MATCH($A30,SPPR!$A:$A,0),3)),$C30*INDEX(SPPR!$E:$X,MATCH($A30,SPPR!$A:$A,0),3),""),"")</f>
        <v/>
      </c>
      <c r="G30">
        <f>IFERROR(IF(ISNUMBER(INDEX(SPPR!$E:$X,MATCH($A30,SPPR!$A:$A,0),4)),$C30*INDEX(SPPR!$E:$X,MATCH($A30,SPPR!$A:$A,0),4),""),"")</f>
        <v/>
      </c>
      <c r="H30">
        <f>IFERROR(IF(ISNUMBER(INDEX(SPPR!$E:$X,MATCH($A30,SPPR!$A:$A,0),5)),$C30*INDEX(SPPR!$E:$X,MATCH($A30,SPPR!$A:$A,0),5),""),"")</f>
        <v/>
      </c>
      <c r="I30">
        <f>IFERROR(IF(ISNUMBER(INDEX(SPPR!$E:$X,MATCH($A30,SPPR!$A:$A,0),6)),$C30*INDEX(SPPR!$E:$X,MATCH($A30,SPPR!$A:$A,0),6),""),"")</f>
        <v/>
      </c>
      <c r="J30">
        <f>IFERROR(IF(ISNUMBER(INDEX(SPPR!$E:$X,MATCH($A30,SPPR!$A:$A,0),7)),$C30*INDEX(SPPR!$E:$X,MATCH($A30,SPPR!$A:$A,0),7),""),"")</f>
        <v/>
      </c>
      <c r="K30">
        <f>IFERROR(IF(ISNUMBER(INDEX(SPPR!$E:$X,MATCH($A30,SPPR!$A:$A,0),8)),$C30*INDEX(SPPR!$E:$X,MATCH($A30,SPPR!$A:$A,0),8),""),"")</f>
        <v/>
      </c>
      <c r="L30">
        <f>IFERROR(IF(ISNUMBER(INDEX(SPPR!$E:$X,MATCH($A30,SPPR!$A:$A,0),9)),$C30*INDEX(SPPR!$E:$X,MATCH($A30,SPPR!$A:$A,0),9),""),"")</f>
        <v/>
      </c>
      <c r="M30">
        <f>IFERROR(IF(ISNUMBER(INDEX(SPPR!$E:$X,MATCH($A30,SPPR!$A:$A,0),10)),$C30*INDEX(SPPR!$E:$X,MATCH($A30,SPPR!$A:$A,0),10),""),"")</f>
        <v/>
      </c>
      <c r="N30">
        <f>IFERROR(IF(ISNUMBER(INDEX(SPPR!$E:$X,MATCH($A30,SPPR!$A:$A,0),11)),$C30*INDEX(SPPR!$E:$X,MATCH($A30,SPPR!$A:$A,0),11),""),"")</f>
        <v/>
      </c>
      <c r="O30">
        <f>IFERROR(IF(ISNUMBER(INDEX(SPPR!$E:$X,MATCH($A30,SPPR!$A:$A,0),12)),$C30*INDEX(SPPR!$E:$X,MATCH($A30,SPPR!$A:$A,0),12),""),"")</f>
        <v/>
      </c>
      <c r="P30">
        <f>IFERROR(IF(ISNUMBER(INDEX(SPPR!$E:$X,MATCH($A30,SPPR!$A:$A,0),13)),$C30*INDEX(SPPR!$E:$X,MATCH($A30,SPPR!$A:$A,0),13),""),"")</f>
        <v/>
      </c>
      <c r="Q30">
        <f>IFERROR(IF(ISNUMBER(INDEX(SPPR!$E:$X,MATCH($A30,SPPR!$A:$A,0),14)),$C30*INDEX(SPPR!$E:$X,MATCH($A30,SPPR!$A:$A,0),14),""),"")</f>
        <v/>
      </c>
      <c r="R30">
        <f>IFERROR(IF(ISNUMBER(INDEX(SPPR!$E:$X,MATCH($A30,SPPR!$A:$A,0),15)),$C30*INDEX(SPPR!$E:$X,MATCH($A30,SPPR!$A:$A,0),15),""),"")</f>
        <v/>
      </c>
      <c r="S30">
        <f>IFERROR(IF(ISNUMBER(INDEX(SPPR!$E:$X,MATCH($A30,SPPR!$A:$A,0),16)),$C30*INDEX(SPPR!$E:$X,MATCH($A30,SPPR!$A:$A,0),16),""),"")</f>
        <v/>
      </c>
      <c r="T30">
        <f>IFERROR(IF(ISNUMBER(INDEX(SPPR!$E:$X,MATCH($A30,SPPR!$A:$A,0),17)),$C30*INDEX(SPPR!$E:$X,MATCH($A30,SPPR!$A:$A,0),17),""),"")</f>
        <v/>
      </c>
      <c r="U30">
        <f>IFERROR(IF(ISNUMBER(INDEX(SPPR!$E:$X,MATCH($A30,SPPR!$A:$A,0),18)),$C30*INDEX(SPPR!$E:$X,MATCH($A30,SPPR!$A:$A,0),18),""),"")</f>
        <v/>
      </c>
      <c r="V30">
        <f>IFERROR(IF(ISNUMBER(INDEX(SPPR!$E:$X,MATCH($A30,SPPR!$A:$A,0),19)),$C30*INDEX(SPPR!$E:$X,MATCH($A30,SPPR!$A:$A,0),19),""),"")</f>
        <v/>
      </c>
      <c r="W30">
        <f>IFERROR(IF(ISNUMBER(INDEX(SPPR!$E:$X,MATCH($A30,SPPR!$A:$A,0),20)),$C30*INDEX(SPPR!$E:$X,MATCH($A30,SPPR!$A:$A,0),20),""),"")</f>
        <v/>
      </c>
    </row>
    <row r="31">
      <c r="A31" t="inlineStr">
        <is>
          <t>Trachysalambria curvirostris</t>
        </is>
      </c>
      <c r="B31">
        <f>IFERROR(INDEX(SPPR!$D:$D,MATCH($A31,SPPR!$A:$A,0)),"")</f>
        <v/>
      </c>
      <c r="C31">
        <f>IFERROR(INDEX(Catch!$E:$BV,MATCH($A31,Catch!$A:$A,0),MATCH($B$4,Catch!$E$1:$BV$1,0)),0)</f>
        <v/>
      </c>
      <c r="D31">
        <f>IFERROR(IF(ISNUMBER(INDEX(SPPR!$E:$X,MATCH($A31,SPPR!$A:$A,0),1)),$C31*INDEX(SPPR!$E:$X,MATCH($A31,SPPR!$A:$A,0),1),""),"")</f>
        <v/>
      </c>
      <c r="E31">
        <f>IFERROR(IF(ISNUMBER(INDEX(SPPR!$E:$X,MATCH($A31,SPPR!$A:$A,0),2)),$C31*INDEX(SPPR!$E:$X,MATCH($A31,SPPR!$A:$A,0),2),""),"")</f>
        <v/>
      </c>
      <c r="F31">
        <f>IFERROR(IF(ISNUMBER(INDEX(SPPR!$E:$X,MATCH($A31,SPPR!$A:$A,0),3)),$C31*INDEX(SPPR!$E:$X,MATCH($A31,SPPR!$A:$A,0),3),""),"")</f>
        <v/>
      </c>
      <c r="G31">
        <f>IFERROR(IF(ISNUMBER(INDEX(SPPR!$E:$X,MATCH($A31,SPPR!$A:$A,0),4)),$C31*INDEX(SPPR!$E:$X,MATCH($A31,SPPR!$A:$A,0),4),""),"")</f>
        <v/>
      </c>
      <c r="H31">
        <f>IFERROR(IF(ISNUMBER(INDEX(SPPR!$E:$X,MATCH($A31,SPPR!$A:$A,0),5)),$C31*INDEX(SPPR!$E:$X,MATCH($A31,SPPR!$A:$A,0),5),""),"")</f>
        <v/>
      </c>
      <c r="I31">
        <f>IFERROR(IF(ISNUMBER(INDEX(SPPR!$E:$X,MATCH($A31,SPPR!$A:$A,0),6)),$C31*INDEX(SPPR!$E:$X,MATCH($A31,SPPR!$A:$A,0),6),""),"")</f>
        <v/>
      </c>
      <c r="J31">
        <f>IFERROR(IF(ISNUMBER(INDEX(SPPR!$E:$X,MATCH($A31,SPPR!$A:$A,0),7)),$C31*INDEX(SPPR!$E:$X,MATCH($A31,SPPR!$A:$A,0),7),""),"")</f>
        <v/>
      </c>
      <c r="K31">
        <f>IFERROR(IF(ISNUMBER(INDEX(SPPR!$E:$X,MATCH($A31,SPPR!$A:$A,0),8)),$C31*INDEX(SPPR!$E:$X,MATCH($A31,SPPR!$A:$A,0),8),""),"")</f>
        <v/>
      </c>
      <c r="L31">
        <f>IFERROR(IF(ISNUMBER(INDEX(SPPR!$E:$X,MATCH($A31,SPPR!$A:$A,0),9)),$C31*INDEX(SPPR!$E:$X,MATCH($A31,SPPR!$A:$A,0),9),""),"")</f>
        <v/>
      </c>
      <c r="M31">
        <f>IFERROR(IF(ISNUMBER(INDEX(SPPR!$E:$X,MATCH($A31,SPPR!$A:$A,0),10)),$C31*INDEX(SPPR!$E:$X,MATCH($A31,SPPR!$A:$A,0),10),""),"")</f>
        <v/>
      </c>
      <c r="N31">
        <f>IFERROR(IF(ISNUMBER(INDEX(SPPR!$E:$X,MATCH($A31,SPPR!$A:$A,0),11)),$C31*INDEX(SPPR!$E:$X,MATCH($A31,SPPR!$A:$A,0),11),""),"")</f>
        <v/>
      </c>
      <c r="O31">
        <f>IFERROR(IF(ISNUMBER(INDEX(SPPR!$E:$X,MATCH($A31,SPPR!$A:$A,0),12)),$C31*INDEX(SPPR!$E:$X,MATCH($A31,SPPR!$A:$A,0),12),""),"")</f>
        <v/>
      </c>
      <c r="P31">
        <f>IFERROR(IF(ISNUMBER(INDEX(SPPR!$E:$X,MATCH($A31,SPPR!$A:$A,0),13)),$C31*INDEX(SPPR!$E:$X,MATCH($A31,SPPR!$A:$A,0),13),""),"")</f>
        <v/>
      </c>
      <c r="Q31">
        <f>IFERROR(IF(ISNUMBER(INDEX(SPPR!$E:$X,MATCH($A31,SPPR!$A:$A,0),14)),$C31*INDEX(SPPR!$E:$X,MATCH($A31,SPPR!$A:$A,0),14),""),"")</f>
        <v/>
      </c>
      <c r="R31">
        <f>IFERROR(IF(ISNUMBER(INDEX(SPPR!$E:$X,MATCH($A31,SPPR!$A:$A,0),15)),$C31*INDEX(SPPR!$E:$X,MATCH($A31,SPPR!$A:$A,0),15),""),"")</f>
        <v/>
      </c>
      <c r="S31">
        <f>IFERROR(IF(ISNUMBER(INDEX(SPPR!$E:$X,MATCH($A31,SPPR!$A:$A,0),16)),$C31*INDEX(SPPR!$E:$X,MATCH($A31,SPPR!$A:$A,0),16),""),"")</f>
        <v/>
      </c>
      <c r="T31">
        <f>IFERROR(IF(ISNUMBER(INDEX(SPPR!$E:$X,MATCH($A31,SPPR!$A:$A,0),17)),$C31*INDEX(SPPR!$E:$X,MATCH($A31,SPPR!$A:$A,0),17),""),"")</f>
        <v/>
      </c>
      <c r="U31">
        <f>IFERROR(IF(ISNUMBER(INDEX(SPPR!$E:$X,MATCH($A31,SPPR!$A:$A,0),18)),$C31*INDEX(SPPR!$E:$X,MATCH($A31,SPPR!$A:$A,0),18),""),"")</f>
        <v/>
      </c>
      <c r="V31">
        <f>IFERROR(IF(ISNUMBER(INDEX(SPPR!$E:$X,MATCH($A31,SPPR!$A:$A,0),19)),$C31*INDEX(SPPR!$E:$X,MATCH($A31,SPPR!$A:$A,0),19),""),"")</f>
        <v/>
      </c>
      <c r="W31">
        <f>IFERROR(IF(ISNUMBER(INDEX(SPPR!$E:$X,MATCH($A31,SPPR!$A:$A,0),20)),$C31*INDEX(SPPR!$E:$X,MATCH($A31,SPPR!$A:$A,0),20),""),"")</f>
        <v/>
      </c>
    </row>
    <row r="32">
      <c r="A32" t="inlineStr">
        <is>
          <t>Nemipterus</t>
        </is>
      </c>
      <c r="B32">
        <f>IFERROR(INDEX(SPPR!$D:$D,MATCH($A32,SPPR!$A:$A,0)),"")</f>
        <v/>
      </c>
      <c r="C32">
        <f>IFERROR(INDEX(Catch!$E:$BV,MATCH($A32,Catch!$A:$A,0),MATCH($B$4,Catch!$E$1:$BV$1,0)),0)</f>
        <v/>
      </c>
      <c r="D32">
        <f>IFERROR(IF(ISNUMBER(INDEX(SPPR!$E:$X,MATCH($A32,SPPR!$A:$A,0),1)),$C32*INDEX(SPPR!$E:$X,MATCH($A32,SPPR!$A:$A,0),1),""),"")</f>
        <v/>
      </c>
      <c r="E32">
        <f>IFERROR(IF(ISNUMBER(INDEX(SPPR!$E:$X,MATCH($A32,SPPR!$A:$A,0),2)),$C32*INDEX(SPPR!$E:$X,MATCH($A32,SPPR!$A:$A,0),2),""),"")</f>
        <v/>
      </c>
      <c r="F32">
        <f>IFERROR(IF(ISNUMBER(INDEX(SPPR!$E:$X,MATCH($A32,SPPR!$A:$A,0),3)),$C32*INDEX(SPPR!$E:$X,MATCH($A32,SPPR!$A:$A,0),3),""),"")</f>
        <v/>
      </c>
      <c r="G32">
        <f>IFERROR(IF(ISNUMBER(INDEX(SPPR!$E:$X,MATCH($A32,SPPR!$A:$A,0),4)),$C32*INDEX(SPPR!$E:$X,MATCH($A32,SPPR!$A:$A,0),4),""),"")</f>
        <v/>
      </c>
      <c r="H32">
        <f>IFERROR(IF(ISNUMBER(INDEX(SPPR!$E:$X,MATCH($A32,SPPR!$A:$A,0),5)),$C32*INDEX(SPPR!$E:$X,MATCH($A32,SPPR!$A:$A,0),5),""),"")</f>
        <v/>
      </c>
      <c r="I32">
        <f>IFERROR(IF(ISNUMBER(INDEX(SPPR!$E:$X,MATCH($A32,SPPR!$A:$A,0),6)),$C32*INDEX(SPPR!$E:$X,MATCH($A32,SPPR!$A:$A,0),6),""),"")</f>
        <v/>
      </c>
      <c r="J32">
        <f>IFERROR(IF(ISNUMBER(INDEX(SPPR!$E:$X,MATCH($A32,SPPR!$A:$A,0),7)),$C32*INDEX(SPPR!$E:$X,MATCH($A32,SPPR!$A:$A,0),7),""),"")</f>
        <v/>
      </c>
      <c r="K32">
        <f>IFERROR(IF(ISNUMBER(INDEX(SPPR!$E:$X,MATCH($A32,SPPR!$A:$A,0),8)),$C32*INDEX(SPPR!$E:$X,MATCH($A32,SPPR!$A:$A,0),8),""),"")</f>
        <v/>
      </c>
      <c r="L32">
        <f>IFERROR(IF(ISNUMBER(INDEX(SPPR!$E:$X,MATCH($A32,SPPR!$A:$A,0),9)),$C32*INDEX(SPPR!$E:$X,MATCH($A32,SPPR!$A:$A,0),9),""),"")</f>
        <v/>
      </c>
      <c r="M32">
        <f>IFERROR(IF(ISNUMBER(INDEX(SPPR!$E:$X,MATCH($A32,SPPR!$A:$A,0),10)),$C32*INDEX(SPPR!$E:$X,MATCH($A32,SPPR!$A:$A,0),10),""),"")</f>
        <v/>
      </c>
      <c r="N32">
        <f>IFERROR(IF(ISNUMBER(INDEX(SPPR!$E:$X,MATCH($A32,SPPR!$A:$A,0),11)),$C32*INDEX(SPPR!$E:$X,MATCH($A32,SPPR!$A:$A,0),11),""),"")</f>
        <v/>
      </c>
      <c r="O32">
        <f>IFERROR(IF(ISNUMBER(INDEX(SPPR!$E:$X,MATCH($A32,SPPR!$A:$A,0),12)),$C32*INDEX(SPPR!$E:$X,MATCH($A32,SPPR!$A:$A,0),12),""),"")</f>
        <v/>
      </c>
      <c r="P32">
        <f>IFERROR(IF(ISNUMBER(INDEX(SPPR!$E:$X,MATCH($A32,SPPR!$A:$A,0),13)),$C32*INDEX(SPPR!$E:$X,MATCH($A32,SPPR!$A:$A,0),13),""),"")</f>
        <v/>
      </c>
      <c r="Q32">
        <f>IFERROR(IF(ISNUMBER(INDEX(SPPR!$E:$X,MATCH($A32,SPPR!$A:$A,0),14)),$C32*INDEX(SPPR!$E:$X,MATCH($A32,SPPR!$A:$A,0),14),""),"")</f>
        <v/>
      </c>
      <c r="R32">
        <f>IFERROR(IF(ISNUMBER(INDEX(SPPR!$E:$X,MATCH($A32,SPPR!$A:$A,0),15)),$C32*INDEX(SPPR!$E:$X,MATCH($A32,SPPR!$A:$A,0),15),""),"")</f>
        <v/>
      </c>
      <c r="S32">
        <f>IFERROR(IF(ISNUMBER(INDEX(SPPR!$E:$X,MATCH($A32,SPPR!$A:$A,0),16)),$C32*INDEX(SPPR!$E:$X,MATCH($A32,SPPR!$A:$A,0),16),""),"")</f>
        <v/>
      </c>
      <c r="T32">
        <f>IFERROR(IF(ISNUMBER(INDEX(SPPR!$E:$X,MATCH($A32,SPPR!$A:$A,0),17)),$C32*INDEX(SPPR!$E:$X,MATCH($A32,SPPR!$A:$A,0),17),""),"")</f>
        <v/>
      </c>
      <c r="U32">
        <f>IFERROR(IF(ISNUMBER(INDEX(SPPR!$E:$X,MATCH($A32,SPPR!$A:$A,0),18)),$C32*INDEX(SPPR!$E:$X,MATCH($A32,SPPR!$A:$A,0),18),""),"")</f>
        <v/>
      </c>
      <c r="V32">
        <f>IFERROR(IF(ISNUMBER(INDEX(SPPR!$E:$X,MATCH($A32,SPPR!$A:$A,0),19)),$C32*INDEX(SPPR!$E:$X,MATCH($A32,SPPR!$A:$A,0),19),""),"")</f>
        <v/>
      </c>
      <c r="W32">
        <f>IFERROR(IF(ISNUMBER(INDEX(SPPR!$E:$X,MATCH($A32,SPPR!$A:$A,0),20)),$C32*INDEX(SPPR!$E:$X,MATCH($A32,SPPR!$A:$A,0),20),""),"")</f>
        <v/>
      </c>
    </row>
    <row r="33">
      <c r="A33" t="inlineStr">
        <is>
          <t>Scomberomorus</t>
        </is>
      </c>
      <c r="B33">
        <f>IFERROR(INDEX(SPPR!$D:$D,MATCH($A33,SPPR!$A:$A,0)),"")</f>
        <v/>
      </c>
      <c r="C33">
        <f>IFERROR(INDEX(Catch!$E:$BV,MATCH($A33,Catch!$A:$A,0),MATCH($B$4,Catch!$E$1:$BV$1,0)),0)</f>
        <v/>
      </c>
      <c r="D33">
        <f>IFERROR(IF(ISNUMBER(INDEX(SPPR!$E:$X,MATCH($A33,SPPR!$A:$A,0),1)),$C33*INDEX(SPPR!$E:$X,MATCH($A33,SPPR!$A:$A,0),1),""),"")</f>
        <v/>
      </c>
      <c r="E33">
        <f>IFERROR(IF(ISNUMBER(INDEX(SPPR!$E:$X,MATCH($A33,SPPR!$A:$A,0),2)),$C33*INDEX(SPPR!$E:$X,MATCH($A33,SPPR!$A:$A,0),2),""),"")</f>
        <v/>
      </c>
      <c r="F33">
        <f>IFERROR(IF(ISNUMBER(INDEX(SPPR!$E:$X,MATCH($A33,SPPR!$A:$A,0),3)),$C33*INDEX(SPPR!$E:$X,MATCH($A33,SPPR!$A:$A,0),3),""),"")</f>
        <v/>
      </c>
      <c r="G33">
        <f>IFERROR(IF(ISNUMBER(INDEX(SPPR!$E:$X,MATCH($A33,SPPR!$A:$A,0),4)),$C33*INDEX(SPPR!$E:$X,MATCH($A33,SPPR!$A:$A,0),4),""),"")</f>
        <v/>
      </c>
      <c r="H33">
        <f>IFERROR(IF(ISNUMBER(INDEX(SPPR!$E:$X,MATCH($A33,SPPR!$A:$A,0),5)),$C33*INDEX(SPPR!$E:$X,MATCH($A33,SPPR!$A:$A,0),5),""),"")</f>
        <v/>
      </c>
      <c r="I33">
        <f>IFERROR(IF(ISNUMBER(INDEX(SPPR!$E:$X,MATCH($A33,SPPR!$A:$A,0),6)),$C33*INDEX(SPPR!$E:$X,MATCH($A33,SPPR!$A:$A,0),6),""),"")</f>
        <v/>
      </c>
      <c r="J33">
        <f>IFERROR(IF(ISNUMBER(INDEX(SPPR!$E:$X,MATCH($A33,SPPR!$A:$A,0),7)),$C33*INDEX(SPPR!$E:$X,MATCH($A33,SPPR!$A:$A,0),7),""),"")</f>
        <v/>
      </c>
      <c r="K33">
        <f>IFERROR(IF(ISNUMBER(INDEX(SPPR!$E:$X,MATCH($A33,SPPR!$A:$A,0),8)),$C33*INDEX(SPPR!$E:$X,MATCH($A33,SPPR!$A:$A,0),8),""),"")</f>
        <v/>
      </c>
      <c r="L33">
        <f>IFERROR(IF(ISNUMBER(INDEX(SPPR!$E:$X,MATCH($A33,SPPR!$A:$A,0),9)),$C33*INDEX(SPPR!$E:$X,MATCH($A33,SPPR!$A:$A,0),9),""),"")</f>
        <v/>
      </c>
      <c r="M33">
        <f>IFERROR(IF(ISNUMBER(INDEX(SPPR!$E:$X,MATCH($A33,SPPR!$A:$A,0),10)),$C33*INDEX(SPPR!$E:$X,MATCH($A33,SPPR!$A:$A,0),10),""),"")</f>
        <v/>
      </c>
      <c r="N33">
        <f>IFERROR(IF(ISNUMBER(INDEX(SPPR!$E:$X,MATCH($A33,SPPR!$A:$A,0),11)),$C33*INDEX(SPPR!$E:$X,MATCH($A33,SPPR!$A:$A,0),11),""),"")</f>
        <v/>
      </c>
      <c r="O33">
        <f>IFERROR(IF(ISNUMBER(INDEX(SPPR!$E:$X,MATCH($A33,SPPR!$A:$A,0),12)),$C33*INDEX(SPPR!$E:$X,MATCH($A33,SPPR!$A:$A,0),12),""),"")</f>
        <v/>
      </c>
      <c r="P33">
        <f>IFERROR(IF(ISNUMBER(INDEX(SPPR!$E:$X,MATCH($A33,SPPR!$A:$A,0),13)),$C33*INDEX(SPPR!$E:$X,MATCH($A33,SPPR!$A:$A,0),13),""),"")</f>
        <v/>
      </c>
      <c r="Q33">
        <f>IFERROR(IF(ISNUMBER(INDEX(SPPR!$E:$X,MATCH($A33,SPPR!$A:$A,0),14)),$C33*INDEX(SPPR!$E:$X,MATCH($A33,SPPR!$A:$A,0),14),""),"")</f>
        <v/>
      </c>
      <c r="R33">
        <f>IFERROR(IF(ISNUMBER(INDEX(SPPR!$E:$X,MATCH($A33,SPPR!$A:$A,0),15)),$C33*INDEX(SPPR!$E:$X,MATCH($A33,SPPR!$A:$A,0),15),""),"")</f>
        <v/>
      </c>
      <c r="S33">
        <f>IFERROR(IF(ISNUMBER(INDEX(SPPR!$E:$X,MATCH($A33,SPPR!$A:$A,0),16)),$C33*INDEX(SPPR!$E:$X,MATCH($A33,SPPR!$A:$A,0),16),""),"")</f>
        <v/>
      </c>
      <c r="T33">
        <f>IFERROR(IF(ISNUMBER(INDEX(SPPR!$E:$X,MATCH($A33,SPPR!$A:$A,0),17)),$C33*INDEX(SPPR!$E:$X,MATCH($A33,SPPR!$A:$A,0),17),""),"")</f>
        <v/>
      </c>
      <c r="U33">
        <f>IFERROR(IF(ISNUMBER(INDEX(SPPR!$E:$X,MATCH($A33,SPPR!$A:$A,0),18)),$C33*INDEX(SPPR!$E:$X,MATCH($A33,SPPR!$A:$A,0),18),""),"")</f>
        <v/>
      </c>
      <c r="V33">
        <f>IFERROR(IF(ISNUMBER(INDEX(SPPR!$E:$X,MATCH($A33,SPPR!$A:$A,0),19)),$C33*INDEX(SPPR!$E:$X,MATCH($A33,SPPR!$A:$A,0),19),""),"")</f>
        <v/>
      </c>
      <c r="W33">
        <f>IFERROR(IF(ISNUMBER(INDEX(SPPR!$E:$X,MATCH($A33,SPPR!$A:$A,0),20)),$C33*INDEX(SPPR!$E:$X,MATCH($A33,SPPR!$A:$A,0),20),""),"")</f>
        <v/>
      </c>
    </row>
    <row r="34">
      <c r="A34" t="inlineStr">
        <is>
          <t>Portunus trituberculatus</t>
        </is>
      </c>
      <c r="B34">
        <f>IFERROR(INDEX(SPPR!$D:$D,MATCH($A34,SPPR!$A:$A,0)),"")</f>
        <v/>
      </c>
      <c r="C34">
        <f>IFERROR(INDEX(Catch!$E:$BV,MATCH($A34,Catch!$A:$A,0),MATCH($B$4,Catch!$E$1:$BV$1,0)),0)</f>
        <v/>
      </c>
      <c r="D34">
        <f>IFERROR(IF(ISNUMBER(INDEX(SPPR!$E:$X,MATCH($A34,SPPR!$A:$A,0),1)),$C34*INDEX(SPPR!$E:$X,MATCH($A34,SPPR!$A:$A,0),1),""),"")</f>
        <v/>
      </c>
      <c r="E34">
        <f>IFERROR(IF(ISNUMBER(INDEX(SPPR!$E:$X,MATCH($A34,SPPR!$A:$A,0),2)),$C34*INDEX(SPPR!$E:$X,MATCH($A34,SPPR!$A:$A,0),2),""),"")</f>
        <v/>
      </c>
      <c r="F34">
        <f>IFERROR(IF(ISNUMBER(INDEX(SPPR!$E:$X,MATCH($A34,SPPR!$A:$A,0),3)),$C34*INDEX(SPPR!$E:$X,MATCH($A34,SPPR!$A:$A,0),3),""),"")</f>
        <v/>
      </c>
      <c r="G34">
        <f>IFERROR(IF(ISNUMBER(INDEX(SPPR!$E:$X,MATCH($A34,SPPR!$A:$A,0),4)),$C34*INDEX(SPPR!$E:$X,MATCH($A34,SPPR!$A:$A,0),4),""),"")</f>
        <v/>
      </c>
      <c r="H34">
        <f>IFERROR(IF(ISNUMBER(INDEX(SPPR!$E:$X,MATCH($A34,SPPR!$A:$A,0),5)),$C34*INDEX(SPPR!$E:$X,MATCH($A34,SPPR!$A:$A,0),5),""),"")</f>
        <v/>
      </c>
      <c r="I34">
        <f>IFERROR(IF(ISNUMBER(INDEX(SPPR!$E:$X,MATCH($A34,SPPR!$A:$A,0),6)),$C34*INDEX(SPPR!$E:$X,MATCH($A34,SPPR!$A:$A,0),6),""),"")</f>
        <v/>
      </c>
      <c r="J34">
        <f>IFERROR(IF(ISNUMBER(INDEX(SPPR!$E:$X,MATCH($A34,SPPR!$A:$A,0),7)),$C34*INDEX(SPPR!$E:$X,MATCH($A34,SPPR!$A:$A,0),7),""),"")</f>
        <v/>
      </c>
      <c r="K34">
        <f>IFERROR(IF(ISNUMBER(INDEX(SPPR!$E:$X,MATCH($A34,SPPR!$A:$A,0),8)),$C34*INDEX(SPPR!$E:$X,MATCH($A34,SPPR!$A:$A,0),8),""),"")</f>
        <v/>
      </c>
      <c r="L34">
        <f>IFERROR(IF(ISNUMBER(INDEX(SPPR!$E:$X,MATCH($A34,SPPR!$A:$A,0),9)),$C34*INDEX(SPPR!$E:$X,MATCH($A34,SPPR!$A:$A,0),9),""),"")</f>
        <v/>
      </c>
      <c r="M34">
        <f>IFERROR(IF(ISNUMBER(INDEX(SPPR!$E:$X,MATCH($A34,SPPR!$A:$A,0),10)),$C34*INDEX(SPPR!$E:$X,MATCH($A34,SPPR!$A:$A,0),10),""),"")</f>
        <v/>
      </c>
      <c r="N34">
        <f>IFERROR(IF(ISNUMBER(INDEX(SPPR!$E:$X,MATCH($A34,SPPR!$A:$A,0),11)),$C34*INDEX(SPPR!$E:$X,MATCH($A34,SPPR!$A:$A,0),11),""),"")</f>
        <v/>
      </c>
      <c r="O34">
        <f>IFERROR(IF(ISNUMBER(INDEX(SPPR!$E:$X,MATCH($A34,SPPR!$A:$A,0),12)),$C34*INDEX(SPPR!$E:$X,MATCH($A34,SPPR!$A:$A,0),12),""),"")</f>
        <v/>
      </c>
      <c r="P34">
        <f>IFERROR(IF(ISNUMBER(INDEX(SPPR!$E:$X,MATCH($A34,SPPR!$A:$A,0),13)),$C34*INDEX(SPPR!$E:$X,MATCH($A34,SPPR!$A:$A,0),13),""),"")</f>
        <v/>
      </c>
      <c r="Q34">
        <f>IFERROR(IF(ISNUMBER(INDEX(SPPR!$E:$X,MATCH($A34,SPPR!$A:$A,0),14)),$C34*INDEX(SPPR!$E:$X,MATCH($A34,SPPR!$A:$A,0),14),""),"")</f>
        <v/>
      </c>
      <c r="R34">
        <f>IFERROR(IF(ISNUMBER(INDEX(SPPR!$E:$X,MATCH($A34,SPPR!$A:$A,0),15)),$C34*INDEX(SPPR!$E:$X,MATCH($A34,SPPR!$A:$A,0),15),""),"")</f>
        <v/>
      </c>
      <c r="S34">
        <f>IFERROR(IF(ISNUMBER(INDEX(SPPR!$E:$X,MATCH($A34,SPPR!$A:$A,0),16)),$C34*INDEX(SPPR!$E:$X,MATCH($A34,SPPR!$A:$A,0),16),""),"")</f>
        <v/>
      </c>
      <c r="T34">
        <f>IFERROR(IF(ISNUMBER(INDEX(SPPR!$E:$X,MATCH($A34,SPPR!$A:$A,0),17)),$C34*INDEX(SPPR!$E:$X,MATCH($A34,SPPR!$A:$A,0),17),""),"")</f>
        <v/>
      </c>
      <c r="U34">
        <f>IFERROR(IF(ISNUMBER(INDEX(SPPR!$E:$X,MATCH($A34,SPPR!$A:$A,0),18)),$C34*INDEX(SPPR!$E:$X,MATCH($A34,SPPR!$A:$A,0),18),""),"")</f>
        <v/>
      </c>
      <c r="V34">
        <f>IFERROR(IF(ISNUMBER(INDEX(SPPR!$E:$X,MATCH($A34,SPPR!$A:$A,0),19)),$C34*INDEX(SPPR!$E:$X,MATCH($A34,SPPR!$A:$A,0),19),""),"")</f>
        <v/>
      </c>
      <c r="W34">
        <f>IFERROR(IF(ISNUMBER(INDEX(SPPR!$E:$X,MATCH($A34,SPPR!$A:$A,0),20)),$C34*INDEX(SPPR!$E:$X,MATCH($A34,SPPR!$A:$A,0),20),""),"")</f>
        <v/>
      </c>
    </row>
    <row r="35">
      <c r="A35" t="inlineStr">
        <is>
          <t>Octopoda</t>
        </is>
      </c>
      <c r="B35">
        <f>IFERROR(INDEX(SPPR!$D:$D,MATCH($A35,SPPR!$A:$A,0)),"")</f>
        <v/>
      </c>
      <c r="C35">
        <f>IFERROR(INDEX(Catch!$E:$BV,MATCH($A35,Catch!$A:$A,0),MATCH($B$4,Catch!$E$1:$BV$1,0)),0)</f>
        <v/>
      </c>
      <c r="D35">
        <f>IFERROR(IF(ISNUMBER(INDEX(SPPR!$E:$X,MATCH($A35,SPPR!$A:$A,0),1)),$C35*INDEX(SPPR!$E:$X,MATCH($A35,SPPR!$A:$A,0),1),""),"")</f>
        <v/>
      </c>
      <c r="E35">
        <f>IFERROR(IF(ISNUMBER(INDEX(SPPR!$E:$X,MATCH($A35,SPPR!$A:$A,0),2)),$C35*INDEX(SPPR!$E:$X,MATCH($A35,SPPR!$A:$A,0),2),""),"")</f>
        <v/>
      </c>
      <c r="F35">
        <f>IFERROR(IF(ISNUMBER(INDEX(SPPR!$E:$X,MATCH($A35,SPPR!$A:$A,0),3)),$C35*INDEX(SPPR!$E:$X,MATCH($A35,SPPR!$A:$A,0),3),""),"")</f>
        <v/>
      </c>
      <c r="G35">
        <f>IFERROR(IF(ISNUMBER(INDEX(SPPR!$E:$X,MATCH($A35,SPPR!$A:$A,0),4)),$C35*INDEX(SPPR!$E:$X,MATCH($A35,SPPR!$A:$A,0),4),""),"")</f>
        <v/>
      </c>
      <c r="H35">
        <f>IFERROR(IF(ISNUMBER(INDEX(SPPR!$E:$X,MATCH($A35,SPPR!$A:$A,0),5)),$C35*INDEX(SPPR!$E:$X,MATCH($A35,SPPR!$A:$A,0),5),""),"")</f>
        <v/>
      </c>
      <c r="I35">
        <f>IFERROR(IF(ISNUMBER(INDEX(SPPR!$E:$X,MATCH($A35,SPPR!$A:$A,0),6)),$C35*INDEX(SPPR!$E:$X,MATCH($A35,SPPR!$A:$A,0),6),""),"")</f>
        <v/>
      </c>
      <c r="J35">
        <f>IFERROR(IF(ISNUMBER(INDEX(SPPR!$E:$X,MATCH($A35,SPPR!$A:$A,0),7)),$C35*INDEX(SPPR!$E:$X,MATCH($A35,SPPR!$A:$A,0),7),""),"")</f>
        <v/>
      </c>
      <c r="K35">
        <f>IFERROR(IF(ISNUMBER(INDEX(SPPR!$E:$X,MATCH($A35,SPPR!$A:$A,0),8)),$C35*INDEX(SPPR!$E:$X,MATCH($A35,SPPR!$A:$A,0),8),""),"")</f>
        <v/>
      </c>
      <c r="L35">
        <f>IFERROR(IF(ISNUMBER(INDEX(SPPR!$E:$X,MATCH($A35,SPPR!$A:$A,0),9)),$C35*INDEX(SPPR!$E:$X,MATCH($A35,SPPR!$A:$A,0),9),""),"")</f>
        <v/>
      </c>
      <c r="M35">
        <f>IFERROR(IF(ISNUMBER(INDEX(SPPR!$E:$X,MATCH($A35,SPPR!$A:$A,0),10)),$C35*INDEX(SPPR!$E:$X,MATCH($A35,SPPR!$A:$A,0),10),""),"")</f>
        <v/>
      </c>
      <c r="N35">
        <f>IFERROR(IF(ISNUMBER(INDEX(SPPR!$E:$X,MATCH($A35,SPPR!$A:$A,0),11)),$C35*INDEX(SPPR!$E:$X,MATCH($A35,SPPR!$A:$A,0),11),""),"")</f>
        <v/>
      </c>
      <c r="O35">
        <f>IFERROR(IF(ISNUMBER(INDEX(SPPR!$E:$X,MATCH($A35,SPPR!$A:$A,0),12)),$C35*INDEX(SPPR!$E:$X,MATCH($A35,SPPR!$A:$A,0),12),""),"")</f>
        <v/>
      </c>
      <c r="P35">
        <f>IFERROR(IF(ISNUMBER(INDEX(SPPR!$E:$X,MATCH($A35,SPPR!$A:$A,0),13)),$C35*INDEX(SPPR!$E:$X,MATCH($A35,SPPR!$A:$A,0),13),""),"")</f>
        <v/>
      </c>
      <c r="Q35">
        <f>IFERROR(IF(ISNUMBER(INDEX(SPPR!$E:$X,MATCH($A35,SPPR!$A:$A,0),14)),$C35*INDEX(SPPR!$E:$X,MATCH($A35,SPPR!$A:$A,0),14),""),"")</f>
        <v/>
      </c>
      <c r="R35">
        <f>IFERROR(IF(ISNUMBER(INDEX(SPPR!$E:$X,MATCH($A35,SPPR!$A:$A,0),15)),$C35*INDEX(SPPR!$E:$X,MATCH($A35,SPPR!$A:$A,0),15),""),"")</f>
        <v/>
      </c>
      <c r="S35">
        <f>IFERROR(IF(ISNUMBER(INDEX(SPPR!$E:$X,MATCH($A35,SPPR!$A:$A,0),16)),$C35*INDEX(SPPR!$E:$X,MATCH($A35,SPPR!$A:$A,0),16),""),"")</f>
        <v/>
      </c>
      <c r="T35">
        <f>IFERROR(IF(ISNUMBER(INDEX(SPPR!$E:$X,MATCH($A35,SPPR!$A:$A,0),17)),$C35*INDEX(SPPR!$E:$X,MATCH($A35,SPPR!$A:$A,0),17),""),"")</f>
        <v/>
      </c>
      <c r="U35">
        <f>IFERROR(IF(ISNUMBER(INDEX(SPPR!$E:$X,MATCH($A35,SPPR!$A:$A,0),18)),$C35*INDEX(SPPR!$E:$X,MATCH($A35,SPPR!$A:$A,0),18),""),"")</f>
        <v/>
      </c>
      <c r="V35">
        <f>IFERROR(IF(ISNUMBER(INDEX(SPPR!$E:$X,MATCH($A35,SPPR!$A:$A,0),19)),$C35*INDEX(SPPR!$E:$X,MATCH($A35,SPPR!$A:$A,0),19),""),"")</f>
        <v/>
      </c>
      <c r="W35">
        <f>IFERROR(IF(ISNUMBER(INDEX(SPPR!$E:$X,MATCH($A35,SPPR!$A:$A,0),20)),$C35*INDEX(SPPR!$E:$X,MATCH($A35,SPPR!$A:$A,0),20),""),"")</f>
        <v/>
      </c>
    </row>
    <row r="36">
      <c r="A36" t="inlineStr">
        <is>
          <t>Sepiida</t>
        </is>
      </c>
      <c r="B36">
        <f>IFERROR(INDEX(SPPR!$D:$D,MATCH($A36,SPPR!$A:$A,0)),"")</f>
        <v/>
      </c>
      <c r="C36">
        <f>IFERROR(INDEX(Catch!$E:$BV,MATCH($A36,Catch!$A:$A,0),MATCH($B$4,Catch!$E$1:$BV$1,0)),0)</f>
        <v/>
      </c>
      <c r="D36">
        <f>IFERROR(IF(ISNUMBER(INDEX(SPPR!$E:$X,MATCH($A36,SPPR!$A:$A,0),1)),$C36*INDEX(SPPR!$E:$X,MATCH($A36,SPPR!$A:$A,0),1),""),"")</f>
        <v/>
      </c>
      <c r="E36">
        <f>IFERROR(IF(ISNUMBER(INDEX(SPPR!$E:$X,MATCH($A36,SPPR!$A:$A,0),2)),$C36*INDEX(SPPR!$E:$X,MATCH($A36,SPPR!$A:$A,0),2),""),"")</f>
        <v/>
      </c>
      <c r="F36">
        <f>IFERROR(IF(ISNUMBER(INDEX(SPPR!$E:$X,MATCH($A36,SPPR!$A:$A,0),3)),$C36*INDEX(SPPR!$E:$X,MATCH($A36,SPPR!$A:$A,0),3),""),"")</f>
        <v/>
      </c>
      <c r="G36">
        <f>IFERROR(IF(ISNUMBER(INDEX(SPPR!$E:$X,MATCH($A36,SPPR!$A:$A,0),4)),$C36*INDEX(SPPR!$E:$X,MATCH($A36,SPPR!$A:$A,0),4),""),"")</f>
        <v/>
      </c>
      <c r="H36">
        <f>IFERROR(IF(ISNUMBER(INDEX(SPPR!$E:$X,MATCH($A36,SPPR!$A:$A,0),5)),$C36*INDEX(SPPR!$E:$X,MATCH($A36,SPPR!$A:$A,0),5),""),"")</f>
        <v/>
      </c>
      <c r="I36">
        <f>IFERROR(IF(ISNUMBER(INDEX(SPPR!$E:$X,MATCH($A36,SPPR!$A:$A,0),6)),$C36*INDEX(SPPR!$E:$X,MATCH($A36,SPPR!$A:$A,0),6),""),"")</f>
        <v/>
      </c>
      <c r="J36">
        <f>IFERROR(IF(ISNUMBER(INDEX(SPPR!$E:$X,MATCH($A36,SPPR!$A:$A,0),7)),$C36*INDEX(SPPR!$E:$X,MATCH($A36,SPPR!$A:$A,0),7),""),"")</f>
        <v/>
      </c>
      <c r="K36">
        <f>IFERROR(IF(ISNUMBER(INDEX(SPPR!$E:$X,MATCH($A36,SPPR!$A:$A,0),8)),$C36*INDEX(SPPR!$E:$X,MATCH($A36,SPPR!$A:$A,0),8),""),"")</f>
        <v/>
      </c>
      <c r="L36">
        <f>IFERROR(IF(ISNUMBER(INDEX(SPPR!$E:$X,MATCH($A36,SPPR!$A:$A,0),9)),$C36*INDEX(SPPR!$E:$X,MATCH($A36,SPPR!$A:$A,0),9),""),"")</f>
        <v/>
      </c>
      <c r="M36">
        <f>IFERROR(IF(ISNUMBER(INDEX(SPPR!$E:$X,MATCH($A36,SPPR!$A:$A,0),10)),$C36*INDEX(SPPR!$E:$X,MATCH($A36,SPPR!$A:$A,0),10),""),"")</f>
        <v/>
      </c>
      <c r="N36">
        <f>IFERROR(IF(ISNUMBER(INDEX(SPPR!$E:$X,MATCH($A36,SPPR!$A:$A,0),11)),$C36*INDEX(SPPR!$E:$X,MATCH($A36,SPPR!$A:$A,0),11),""),"")</f>
        <v/>
      </c>
      <c r="O36">
        <f>IFERROR(IF(ISNUMBER(INDEX(SPPR!$E:$X,MATCH($A36,SPPR!$A:$A,0),12)),$C36*INDEX(SPPR!$E:$X,MATCH($A36,SPPR!$A:$A,0),12),""),"")</f>
        <v/>
      </c>
      <c r="P36">
        <f>IFERROR(IF(ISNUMBER(INDEX(SPPR!$E:$X,MATCH($A36,SPPR!$A:$A,0),13)),$C36*INDEX(SPPR!$E:$X,MATCH($A36,SPPR!$A:$A,0),13),""),"")</f>
        <v/>
      </c>
      <c r="Q36">
        <f>IFERROR(IF(ISNUMBER(INDEX(SPPR!$E:$X,MATCH($A36,SPPR!$A:$A,0),14)),$C36*INDEX(SPPR!$E:$X,MATCH($A36,SPPR!$A:$A,0),14),""),"")</f>
        <v/>
      </c>
      <c r="R36">
        <f>IFERROR(IF(ISNUMBER(INDEX(SPPR!$E:$X,MATCH($A36,SPPR!$A:$A,0),15)),$C36*INDEX(SPPR!$E:$X,MATCH($A36,SPPR!$A:$A,0),15),""),"")</f>
        <v/>
      </c>
      <c r="S36">
        <f>IFERROR(IF(ISNUMBER(INDEX(SPPR!$E:$X,MATCH($A36,SPPR!$A:$A,0),16)),$C36*INDEX(SPPR!$E:$X,MATCH($A36,SPPR!$A:$A,0),16),""),"")</f>
        <v/>
      </c>
      <c r="T36">
        <f>IFERROR(IF(ISNUMBER(INDEX(SPPR!$E:$X,MATCH($A36,SPPR!$A:$A,0),17)),$C36*INDEX(SPPR!$E:$X,MATCH($A36,SPPR!$A:$A,0),17),""),"")</f>
        <v/>
      </c>
      <c r="U36">
        <f>IFERROR(IF(ISNUMBER(INDEX(SPPR!$E:$X,MATCH($A36,SPPR!$A:$A,0),18)),$C36*INDEX(SPPR!$E:$X,MATCH($A36,SPPR!$A:$A,0),18),""),"")</f>
        <v/>
      </c>
      <c r="V36">
        <f>IFERROR(IF(ISNUMBER(INDEX(SPPR!$E:$X,MATCH($A36,SPPR!$A:$A,0),19)),$C36*INDEX(SPPR!$E:$X,MATCH($A36,SPPR!$A:$A,0),19),""),"")</f>
        <v/>
      </c>
      <c r="W36">
        <f>IFERROR(IF(ISNUMBER(INDEX(SPPR!$E:$X,MATCH($A36,SPPR!$A:$A,0),20)),$C36*INDEX(SPPR!$E:$X,MATCH($A36,SPPR!$A:$A,0),20),""),"")</f>
        <v/>
      </c>
    </row>
    <row r="37">
      <c r="A37" t="inlineStr">
        <is>
          <t>Larimichthys crocea</t>
        </is>
      </c>
      <c r="B37">
        <f>IFERROR(INDEX(SPPR!$D:$D,MATCH($A37,SPPR!$A:$A,0)),"")</f>
        <v/>
      </c>
      <c r="C37">
        <f>IFERROR(INDEX(Catch!$E:$BV,MATCH($A37,Catch!$A:$A,0),MATCH($B$4,Catch!$E$1:$BV$1,0)),0)</f>
        <v/>
      </c>
      <c r="D37">
        <f>IFERROR(IF(ISNUMBER(INDEX(SPPR!$E:$X,MATCH($A37,SPPR!$A:$A,0),1)),$C37*INDEX(SPPR!$E:$X,MATCH($A37,SPPR!$A:$A,0),1),""),"")</f>
        <v/>
      </c>
      <c r="E37">
        <f>IFERROR(IF(ISNUMBER(INDEX(SPPR!$E:$X,MATCH($A37,SPPR!$A:$A,0),2)),$C37*INDEX(SPPR!$E:$X,MATCH($A37,SPPR!$A:$A,0),2),""),"")</f>
        <v/>
      </c>
      <c r="F37">
        <f>IFERROR(IF(ISNUMBER(INDEX(SPPR!$E:$X,MATCH($A37,SPPR!$A:$A,0),3)),$C37*INDEX(SPPR!$E:$X,MATCH($A37,SPPR!$A:$A,0),3),""),"")</f>
        <v/>
      </c>
      <c r="G37">
        <f>IFERROR(IF(ISNUMBER(INDEX(SPPR!$E:$X,MATCH($A37,SPPR!$A:$A,0),4)),$C37*INDEX(SPPR!$E:$X,MATCH($A37,SPPR!$A:$A,0),4),""),"")</f>
        <v/>
      </c>
      <c r="H37">
        <f>IFERROR(IF(ISNUMBER(INDEX(SPPR!$E:$X,MATCH($A37,SPPR!$A:$A,0),5)),$C37*INDEX(SPPR!$E:$X,MATCH($A37,SPPR!$A:$A,0),5),""),"")</f>
        <v/>
      </c>
      <c r="I37">
        <f>IFERROR(IF(ISNUMBER(INDEX(SPPR!$E:$X,MATCH($A37,SPPR!$A:$A,0),6)),$C37*INDEX(SPPR!$E:$X,MATCH($A37,SPPR!$A:$A,0),6),""),"")</f>
        <v/>
      </c>
      <c r="J37">
        <f>IFERROR(IF(ISNUMBER(INDEX(SPPR!$E:$X,MATCH($A37,SPPR!$A:$A,0),7)),$C37*INDEX(SPPR!$E:$X,MATCH($A37,SPPR!$A:$A,0),7),""),"")</f>
        <v/>
      </c>
      <c r="K37">
        <f>IFERROR(IF(ISNUMBER(INDEX(SPPR!$E:$X,MATCH($A37,SPPR!$A:$A,0),8)),$C37*INDEX(SPPR!$E:$X,MATCH($A37,SPPR!$A:$A,0),8),""),"")</f>
        <v/>
      </c>
      <c r="L37">
        <f>IFERROR(IF(ISNUMBER(INDEX(SPPR!$E:$X,MATCH($A37,SPPR!$A:$A,0),9)),$C37*INDEX(SPPR!$E:$X,MATCH($A37,SPPR!$A:$A,0),9),""),"")</f>
        <v/>
      </c>
      <c r="M37">
        <f>IFERROR(IF(ISNUMBER(INDEX(SPPR!$E:$X,MATCH($A37,SPPR!$A:$A,0),10)),$C37*INDEX(SPPR!$E:$X,MATCH($A37,SPPR!$A:$A,0),10),""),"")</f>
        <v/>
      </c>
      <c r="N37">
        <f>IFERROR(IF(ISNUMBER(INDEX(SPPR!$E:$X,MATCH($A37,SPPR!$A:$A,0),11)),$C37*INDEX(SPPR!$E:$X,MATCH($A37,SPPR!$A:$A,0),11),""),"")</f>
        <v/>
      </c>
      <c r="O37">
        <f>IFERROR(IF(ISNUMBER(INDEX(SPPR!$E:$X,MATCH($A37,SPPR!$A:$A,0),12)),$C37*INDEX(SPPR!$E:$X,MATCH($A37,SPPR!$A:$A,0),12),""),"")</f>
        <v/>
      </c>
      <c r="P37">
        <f>IFERROR(IF(ISNUMBER(INDEX(SPPR!$E:$X,MATCH($A37,SPPR!$A:$A,0),13)),$C37*INDEX(SPPR!$E:$X,MATCH($A37,SPPR!$A:$A,0),13),""),"")</f>
        <v/>
      </c>
      <c r="Q37">
        <f>IFERROR(IF(ISNUMBER(INDEX(SPPR!$E:$X,MATCH($A37,SPPR!$A:$A,0),14)),$C37*INDEX(SPPR!$E:$X,MATCH($A37,SPPR!$A:$A,0),14),""),"")</f>
        <v/>
      </c>
      <c r="R37">
        <f>IFERROR(IF(ISNUMBER(INDEX(SPPR!$E:$X,MATCH($A37,SPPR!$A:$A,0),15)),$C37*INDEX(SPPR!$E:$X,MATCH($A37,SPPR!$A:$A,0),15),""),"")</f>
        <v/>
      </c>
      <c r="S37">
        <f>IFERROR(IF(ISNUMBER(INDEX(SPPR!$E:$X,MATCH($A37,SPPR!$A:$A,0),16)),$C37*INDEX(SPPR!$E:$X,MATCH($A37,SPPR!$A:$A,0),16),""),"")</f>
        <v/>
      </c>
      <c r="T37">
        <f>IFERROR(IF(ISNUMBER(INDEX(SPPR!$E:$X,MATCH($A37,SPPR!$A:$A,0),17)),$C37*INDEX(SPPR!$E:$X,MATCH($A37,SPPR!$A:$A,0),17),""),"")</f>
        <v/>
      </c>
      <c r="U37">
        <f>IFERROR(IF(ISNUMBER(INDEX(SPPR!$E:$X,MATCH($A37,SPPR!$A:$A,0),18)),$C37*INDEX(SPPR!$E:$X,MATCH($A37,SPPR!$A:$A,0),18),""),"")</f>
        <v/>
      </c>
      <c r="V37">
        <f>IFERROR(IF(ISNUMBER(INDEX(SPPR!$E:$X,MATCH($A37,SPPR!$A:$A,0),19)),$C37*INDEX(SPPR!$E:$X,MATCH($A37,SPPR!$A:$A,0),19),""),"")</f>
        <v/>
      </c>
      <c r="W37">
        <f>IFERROR(IF(ISNUMBER(INDEX(SPPR!$E:$X,MATCH($A37,SPPR!$A:$A,0),20)),$C37*INDEX(SPPR!$E:$X,MATCH($A37,SPPR!$A:$A,0),20),""),"")</f>
        <v/>
      </c>
    </row>
    <row r="38">
      <c r="A38" t="inlineStr">
        <is>
          <t>Scomberomorus niphonius</t>
        </is>
      </c>
      <c r="B38">
        <f>IFERROR(INDEX(SPPR!$D:$D,MATCH($A38,SPPR!$A:$A,0)),"")</f>
        <v/>
      </c>
      <c r="C38">
        <f>IFERROR(INDEX(Catch!$E:$BV,MATCH($A38,Catch!$A:$A,0),MATCH($B$4,Catch!$E$1:$BV$1,0)),0)</f>
        <v/>
      </c>
      <c r="D38">
        <f>IFERROR(IF(ISNUMBER(INDEX(SPPR!$E:$X,MATCH($A38,SPPR!$A:$A,0),1)),$C38*INDEX(SPPR!$E:$X,MATCH($A38,SPPR!$A:$A,0),1),""),"")</f>
        <v/>
      </c>
      <c r="E38">
        <f>IFERROR(IF(ISNUMBER(INDEX(SPPR!$E:$X,MATCH($A38,SPPR!$A:$A,0),2)),$C38*INDEX(SPPR!$E:$X,MATCH($A38,SPPR!$A:$A,0),2),""),"")</f>
        <v/>
      </c>
      <c r="F38">
        <f>IFERROR(IF(ISNUMBER(INDEX(SPPR!$E:$X,MATCH($A38,SPPR!$A:$A,0),3)),$C38*INDEX(SPPR!$E:$X,MATCH($A38,SPPR!$A:$A,0),3),""),"")</f>
        <v/>
      </c>
      <c r="G38">
        <f>IFERROR(IF(ISNUMBER(INDEX(SPPR!$E:$X,MATCH($A38,SPPR!$A:$A,0),4)),$C38*INDEX(SPPR!$E:$X,MATCH($A38,SPPR!$A:$A,0),4),""),"")</f>
        <v/>
      </c>
      <c r="H38">
        <f>IFERROR(IF(ISNUMBER(INDEX(SPPR!$E:$X,MATCH($A38,SPPR!$A:$A,0),5)),$C38*INDEX(SPPR!$E:$X,MATCH($A38,SPPR!$A:$A,0),5),""),"")</f>
        <v/>
      </c>
      <c r="I38">
        <f>IFERROR(IF(ISNUMBER(INDEX(SPPR!$E:$X,MATCH($A38,SPPR!$A:$A,0),6)),$C38*INDEX(SPPR!$E:$X,MATCH($A38,SPPR!$A:$A,0),6),""),"")</f>
        <v/>
      </c>
      <c r="J38">
        <f>IFERROR(IF(ISNUMBER(INDEX(SPPR!$E:$X,MATCH($A38,SPPR!$A:$A,0),7)),$C38*INDEX(SPPR!$E:$X,MATCH($A38,SPPR!$A:$A,0),7),""),"")</f>
        <v/>
      </c>
      <c r="K38">
        <f>IFERROR(IF(ISNUMBER(INDEX(SPPR!$E:$X,MATCH($A38,SPPR!$A:$A,0),8)),$C38*INDEX(SPPR!$E:$X,MATCH($A38,SPPR!$A:$A,0),8),""),"")</f>
        <v/>
      </c>
      <c r="L38">
        <f>IFERROR(IF(ISNUMBER(INDEX(SPPR!$E:$X,MATCH($A38,SPPR!$A:$A,0),9)),$C38*INDEX(SPPR!$E:$X,MATCH($A38,SPPR!$A:$A,0),9),""),"")</f>
        <v/>
      </c>
      <c r="M38">
        <f>IFERROR(IF(ISNUMBER(INDEX(SPPR!$E:$X,MATCH($A38,SPPR!$A:$A,0),10)),$C38*INDEX(SPPR!$E:$X,MATCH($A38,SPPR!$A:$A,0),10),""),"")</f>
        <v/>
      </c>
      <c r="N38">
        <f>IFERROR(IF(ISNUMBER(INDEX(SPPR!$E:$X,MATCH($A38,SPPR!$A:$A,0),11)),$C38*INDEX(SPPR!$E:$X,MATCH($A38,SPPR!$A:$A,0),11),""),"")</f>
        <v/>
      </c>
      <c r="O38">
        <f>IFERROR(IF(ISNUMBER(INDEX(SPPR!$E:$X,MATCH($A38,SPPR!$A:$A,0),12)),$C38*INDEX(SPPR!$E:$X,MATCH($A38,SPPR!$A:$A,0),12),""),"")</f>
        <v/>
      </c>
      <c r="P38">
        <f>IFERROR(IF(ISNUMBER(INDEX(SPPR!$E:$X,MATCH($A38,SPPR!$A:$A,0),13)),$C38*INDEX(SPPR!$E:$X,MATCH($A38,SPPR!$A:$A,0),13),""),"")</f>
        <v/>
      </c>
      <c r="Q38">
        <f>IFERROR(IF(ISNUMBER(INDEX(SPPR!$E:$X,MATCH($A38,SPPR!$A:$A,0),14)),$C38*INDEX(SPPR!$E:$X,MATCH($A38,SPPR!$A:$A,0),14),""),"")</f>
        <v/>
      </c>
      <c r="R38">
        <f>IFERROR(IF(ISNUMBER(INDEX(SPPR!$E:$X,MATCH($A38,SPPR!$A:$A,0),15)),$C38*INDEX(SPPR!$E:$X,MATCH($A38,SPPR!$A:$A,0),15),""),"")</f>
        <v/>
      </c>
      <c r="S38">
        <f>IFERROR(IF(ISNUMBER(INDEX(SPPR!$E:$X,MATCH($A38,SPPR!$A:$A,0),16)),$C38*INDEX(SPPR!$E:$X,MATCH($A38,SPPR!$A:$A,0),16),""),"")</f>
        <v/>
      </c>
      <c r="T38">
        <f>IFERROR(IF(ISNUMBER(INDEX(SPPR!$E:$X,MATCH($A38,SPPR!$A:$A,0),17)),$C38*INDEX(SPPR!$E:$X,MATCH($A38,SPPR!$A:$A,0),17),""),"")</f>
        <v/>
      </c>
      <c r="U38">
        <f>IFERROR(IF(ISNUMBER(INDEX(SPPR!$E:$X,MATCH($A38,SPPR!$A:$A,0),18)),$C38*INDEX(SPPR!$E:$X,MATCH($A38,SPPR!$A:$A,0),18),""),"")</f>
        <v/>
      </c>
      <c r="V38">
        <f>IFERROR(IF(ISNUMBER(INDEX(SPPR!$E:$X,MATCH($A38,SPPR!$A:$A,0),19)),$C38*INDEX(SPPR!$E:$X,MATCH($A38,SPPR!$A:$A,0),19),""),"")</f>
        <v/>
      </c>
      <c r="W38">
        <f>IFERROR(IF(ISNUMBER(INDEX(SPPR!$E:$X,MATCH($A38,SPPR!$A:$A,0),20)),$C38*INDEX(SPPR!$E:$X,MATCH($A38,SPPR!$A:$A,0),20),""),"")</f>
        <v/>
      </c>
    </row>
    <row r="39">
      <c r="A39" t="inlineStr">
        <is>
          <t>Planiliza haematocheilus</t>
        </is>
      </c>
      <c r="B39">
        <f>IFERROR(INDEX(SPPR!$D:$D,MATCH($A39,SPPR!$A:$A,0)),"")</f>
        <v/>
      </c>
      <c r="C39">
        <f>IFERROR(INDEX(Catch!$E:$BV,MATCH($A39,Catch!$A:$A,0),MATCH($B$4,Catch!$E$1:$BV$1,0)),0)</f>
        <v/>
      </c>
      <c r="D39">
        <f>IFERROR(IF(ISNUMBER(INDEX(SPPR!$E:$X,MATCH($A39,SPPR!$A:$A,0),1)),$C39*INDEX(SPPR!$E:$X,MATCH($A39,SPPR!$A:$A,0),1),""),"")</f>
        <v/>
      </c>
      <c r="E39">
        <f>IFERROR(IF(ISNUMBER(INDEX(SPPR!$E:$X,MATCH($A39,SPPR!$A:$A,0),2)),$C39*INDEX(SPPR!$E:$X,MATCH($A39,SPPR!$A:$A,0),2),""),"")</f>
        <v/>
      </c>
      <c r="F39">
        <f>IFERROR(IF(ISNUMBER(INDEX(SPPR!$E:$X,MATCH($A39,SPPR!$A:$A,0),3)),$C39*INDEX(SPPR!$E:$X,MATCH($A39,SPPR!$A:$A,0),3),""),"")</f>
        <v/>
      </c>
      <c r="G39">
        <f>IFERROR(IF(ISNUMBER(INDEX(SPPR!$E:$X,MATCH($A39,SPPR!$A:$A,0),4)),$C39*INDEX(SPPR!$E:$X,MATCH($A39,SPPR!$A:$A,0),4),""),"")</f>
        <v/>
      </c>
      <c r="H39">
        <f>IFERROR(IF(ISNUMBER(INDEX(SPPR!$E:$X,MATCH($A39,SPPR!$A:$A,0),5)),$C39*INDEX(SPPR!$E:$X,MATCH($A39,SPPR!$A:$A,0),5),""),"")</f>
        <v/>
      </c>
      <c r="I39">
        <f>IFERROR(IF(ISNUMBER(INDEX(SPPR!$E:$X,MATCH($A39,SPPR!$A:$A,0),6)),$C39*INDEX(SPPR!$E:$X,MATCH($A39,SPPR!$A:$A,0),6),""),"")</f>
        <v/>
      </c>
      <c r="J39">
        <f>IFERROR(IF(ISNUMBER(INDEX(SPPR!$E:$X,MATCH($A39,SPPR!$A:$A,0),7)),$C39*INDEX(SPPR!$E:$X,MATCH($A39,SPPR!$A:$A,0),7),""),"")</f>
        <v/>
      </c>
      <c r="K39">
        <f>IFERROR(IF(ISNUMBER(INDEX(SPPR!$E:$X,MATCH($A39,SPPR!$A:$A,0),8)),$C39*INDEX(SPPR!$E:$X,MATCH($A39,SPPR!$A:$A,0),8),""),"")</f>
        <v/>
      </c>
      <c r="L39">
        <f>IFERROR(IF(ISNUMBER(INDEX(SPPR!$E:$X,MATCH($A39,SPPR!$A:$A,0),9)),$C39*INDEX(SPPR!$E:$X,MATCH($A39,SPPR!$A:$A,0),9),""),"")</f>
        <v/>
      </c>
      <c r="M39">
        <f>IFERROR(IF(ISNUMBER(INDEX(SPPR!$E:$X,MATCH($A39,SPPR!$A:$A,0),10)),$C39*INDEX(SPPR!$E:$X,MATCH($A39,SPPR!$A:$A,0),10),""),"")</f>
        <v/>
      </c>
      <c r="N39">
        <f>IFERROR(IF(ISNUMBER(INDEX(SPPR!$E:$X,MATCH($A39,SPPR!$A:$A,0),11)),$C39*INDEX(SPPR!$E:$X,MATCH($A39,SPPR!$A:$A,0),11),""),"")</f>
        <v/>
      </c>
      <c r="O39">
        <f>IFERROR(IF(ISNUMBER(INDEX(SPPR!$E:$X,MATCH($A39,SPPR!$A:$A,0),12)),$C39*INDEX(SPPR!$E:$X,MATCH($A39,SPPR!$A:$A,0),12),""),"")</f>
        <v/>
      </c>
      <c r="P39">
        <f>IFERROR(IF(ISNUMBER(INDEX(SPPR!$E:$X,MATCH($A39,SPPR!$A:$A,0),13)),$C39*INDEX(SPPR!$E:$X,MATCH($A39,SPPR!$A:$A,0),13),""),"")</f>
        <v/>
      </c>
      <c r="Q39">
        <f>IFERROR(IF(ISNUMBER(INDEX(SPPR!$E:$X,MATCH($A39,SPPR!$A:$A,0),14)),$C39*INDEX(SPPR!$E:$X,MATCH($A39,SPPR!$A:$A,0),14),""),"")</f>
        <v/>
      </c>
      <c r="R39">
        <f>IFERROR(IF(ISNUMBER(INDEX(SPPR!$E:$X,MATCH($A39,SPPR!$A:$A,0),15)),$C39*INDEX(SPPR!$E:$X,MATCH($A39,SPPR!$A:$A,0),15),""),"")</f>
        <v/>
      </c>
      <c r="S39">
        <f>IFERROR(IF(ISNUMBER(INDEX(SPPR!$E:$X,MATCH($A39,SPPR!$A:$A,0),16)),$C39*INDEX(SPPR!$E:$X,MATCH($A39,SPPR!$A:$A,0),16),""),"")</f>
        <v/>
      </c>
      <c r="T39">
        <f>IFERROR(IF(ISNUMBER(INDEX(SPPR!$E:$X,MATCH($A39,SPPR!$A:$A,0),17)),$C39*INDEX(SPPR!$E:$X,MATCH($A39,SPPR!$A:$A,0),17),""),"")</f>
        <v/>
      </c>
      <c r="U39">
        <f>IFERROR(IF(ISNUMBER(INDEX(SPPR!$E:$X,MATCH($A39,SPPR!$A:$A,0),18)),$C39*INDEX(SPPR!$E:$X,MATCH($A39,SPPR!$A:$A,0),18),""),"")</f>
        <v/>
      </c>
      <c r="V39">
        <f>IFERROR(IF(ISNUMBER(INDEX(SPPR!$E:$X,MATCH($A39,SPPR!$A:$A,0),19)),$C39*INDEX(SPPR!$E:$X,MATCH($A39,SPPR!$A:$A,0),19),""),"")</f>
        <v/>
      </c>
      <c r="W39">
        <f>IFERROR(IF(ISNUMBER(INDEX(SPPR!$E:$X,MATCH($A39,SPPR!$A:$A,0),20)),$C39*INDEX(SPPR!$E:$X,MATCH($A39,SPPR!$A:$A,0),20),""),"")</f>
        <v/>
      </c>
    </row>
    <row r="40">
      <c r="A40" t="inlineStr">
        <is>
          <t>Teuthida</t>
        </is>
      </c>
      <c r="B40">
        <f>IFERROR(INDEX(SPPR!$D:$D,MATCH($A40,SPPR!$A:$A,0)),"")</f>
        <v/>
      </c>
      <c r="C40">
        <f>IFERROR(INDEX(Catch!$E:$BV,MATCH($A40,Catch!$A:$A,0),MATCH($B$4,Catch!$E$1:$BV$1,0)),0)</f>
        <v/>
      </c>
      <c r="D40">
        <f>IFERROR(IF(ISNUMBER(INDEX(SPPR!$E:$X,MATCH($A40,SPPR!$A:$A,0),1)),$C40*INDEX(SPPR!$E:$X,MATCH($A40,SPPR!$A:$A,0),1),""),"")</f>
        <v/>
      </c>
      <c r="E40">
        <f>IFERROR(IF(ISNUMBER(INDEX(SPPR!$E:$X,MATCH($A40,SPPR!$A:$A,0),2)),$C40*INDEX(SPPR!$E:$X,MATCH($A40,SPPR!$A:$A,0),2),""),"")</f>
        <v/>
      </c>
      <c r="F40">
        <f>IFERROR(IF(ISNUMBER(INDEX(SPPR!$E:$X,MATCH($A40,SPPR!$A:$A,0),3)),$C40*INDEX(SPPR!$E:$X,MATCH($A40,SPPR!$A:$A,0),3),""),"")</f>
        <v/>
      </c>
      <c r="G40">
        <f>IFERROR(IF(ISNUMBER(INDEX(SPPR!$E:$X,MATCH($A40,SPPR!$A:$A,0),4)),$C40*INDEX(SPPR!$E:$X,MATCH($A40,SPPR!$A:$A,0),4),""),"")</f>
        <v/>
      </c>
      <c r="H40">
        <f>IFERROR(IF(ISNUMBER(INDEX(SPPR!$E:$X,MATCH($A40,SPPR!$A:$A,0),5)),$C40*INDEX(SPPR!$E:$X,MATCH($A40,SPPR!$A:$A,0),5),""),"")</f>
        <v/>
      </c>
      <c r="I40">
        <f>IFERROR(IF(ISNUMBER(INDEX(SPPR!$E:$X,MATCH($A40,SPPR!$A:$A,0),6)),$C40*INDEX(SPPR!$E:$X,MATCH($A40,SPPR!$A:$A,0),6),""),"")</f>
        <v/>
      </c>
      <c r="J40">
        <f>IFERROR(IF(ISNUMBER(INDEX(SPPR!$E:$X,MATCH($A40,SPPR!$A:$A,0),7)),$C40*INDEX(SPPR!$E:$X,MATCH($A40,SPPR!$A:$A,0),7),""),"")</f>
        <v/>
      </c>
      <c r="K40">
        <f>IFERROR(IF(ISNUMBER(INDEX(SPPR!$E:$X,MATCH($A40,SPPR!$A:$A,0),8)),$C40*INDEX(SPPR!$E:$X,MATCH($A40,SPPR!$A:$A,0),8),""),"")</f>
        <v/>
      </c>
      <c r="L40">
        <f>IFERROR(IF(ISNUMBER(INDEX(SPPR!$E:$X,MATCH($A40,SPPR!$A:$A,0),9)),$C40*INDEX(SPPR!$E:$X,MATCH($A40,SPPR!$A:$A,0),9),""),"")</f>
        <v/>
      </c>
      <c r="M40">
        <f>IFERROR(IF(ISNUMBER(INDEX(SPPR!$E:$X,MATCH($A40,SPPR!$A:$A,0),10)),$C40*INDEX(SPPR!$E:$X,MATCH($A40,SPPR!$A:$A,0),10),""),"")</f>
        <v/>
      </c>
      <c r="N40">
        <f>IFERROR(IF(ISNUMBER(INDEX(SPPR!$E:$X,MATCH($A40,SPPR!$A:$A,0),11)),$C40*INDEX(SPPR!$E:$X,MATCH($A40,SPPR!$A:$A,0),11),""),"")</f>
        <v/>
      </c>
      <c r="O40">
        <f>IFERROR(IF(ISNUMBER(INDEX(SPPR!$E:$X,MATCH($A40,SPPR!$A:$A,0),12)),$C40*INDEX(SPPR!$E:$X,MATCH($A40,SPPR!$A:$A,0),12),""),"")</f>
        <v/>
      </c>
      <c r="P40">
        <f>IFERROR(IF(ISNUMBER(INDEX(SPPR!$E:$X,MATCH($A40,SPPR!$A:$A,0),13)),$C40*INDEX(SPPR!$E:$X,MATCH($A40,SPPR!$A:$A,0),13),""),"")</f>
        <v/>
      </c>
      <c r="Q40">
        <f>IFERROR(IF(ISNUMBER(INDEX(SPPR!$E:$X,MATCH($A40,SPPR!$A:$A,0),14)),$C40*INDEX(SPPR!$E:$X,MATCH($A40,SPPR!$A:$A,0),14),""),"")</f>
        <v/>
      </c>
      <c r="R40">
        <f>IFERROR(IF(ISNUMBER(INDEX(SPPR!$E:$X,MATCH($A40,SPPR!$A:$A,0),15)),$C40*INDEX(SPPR!$E:$X,MATCH($A40,SPPR!$A:$A,0),15),""),"")</f>
        <v/>
      </c>
      <c r="S40">
        <f>IFERROR(IF(ISNUMBER(INDEX(SPPR!$E:$X,MATCH($A40,SPPR!$A:$A,0),16)),$C40*INDEX(SPPR!$E:$X,MATCH($A40,SPPR!$A:$A,0),16),""),"")</f>
        <v/>
      </c>
      <c r="T40">
        <f>IFERROR(IF(ISNUMBER(INDEX(SPPR!$E:$X,MATCH($A40,SPPR!$A:$A,0),17)),$C40*INDEX(SPPR!$E:$X,MATCH($A40,SPPR!$A:$A,0),17),""),"")</f>
        <v/>
      </c>
      <c r="U40">
        <f>IFERROR(IF(ISNUMBER(INDEX(SPPR!$E:$X,MATCH($A40,SPPR!$A:$A,0),18)),$C40*INDEX(SPPR!$E:$X,MATCH($A40,SPPR!$A:$A,0),18),""),"")</f>
        <v/>
      </c>
      <c r="V40">
        <f>IFERROR(IF(ISNUMBER(INDEX(SPPR!$E:$X,MATCH($A40,SPPR!$A:$A,0),19)),$C40*INDEX(SPPR!$E:$X,MATCH($A40,SPPR!$A:$A,0),19),""),"")</f>
        <v/>
      </c>
      <c r="W40">
        <f>IFERROR(IF(ISNUMBER(INDEX(SPPR!$E:$X,MATCH($A40,SPPR!$A:$A,0),20)),$C40*INDEX(SPPR!$E:$X,MATCH($A40,SPPR!$A:$A,0),20),""),"")</f>
        <v/>
      </c>
    </row>
    <row r="41">
      <c r="A41" t="inlineStr">
        <is>
          <t>Penaeus chinensis</t>
        </is>
      </c>
      <c r="B41">
        <f>IFERROR(INDEX(SPPR!$D:$D,MATCH($A41,SPPR!$A:$A,0)),"")</f>
        <v/>
      </c>
      <c r="C41">
        <f>IFERROR(INDEX(Catch!$E:$BV,MATCH($A41,Catch!$A:$A,0),MATCH($B$4,Catch!$E$1:$BV$1,0)),0)</f>
        <v/>
      </c>
      <c r="D41">
        <f>IFERROR(IF(ISNUMBER(INDEX(SPPR!$E:$X,MATCH($A41,SPPR!$A:$A,0),1)),$C41*INDEX(SPPR!$E:$X,MATCH($A41,SPPR!$A:$A,0),1),""),"")</f>
        <v/>
      </c>
      <c r="E41">
        <f>IFERROR(IF(ISNUMBER(INDEX(SPPR!$E:$X,MATCH($A41,SPPR!$A:$A,0),2)),$C41*INDEX(SPPR!$E:$X,MATCH($A41,SPPR!$A:$A,0),2),""),"")</f>
        <v/>
      </c>
      <c r="F41">
        <f>IFERROR(IF(ISNUMBER(INDEX(SPPR!$E:$X,MATCH($A41,SPPR!$A:$A,0),3)),$C41*INDEX(SPPR!$E:$X,MATCH($A41,SPPR!$A:$A,0),3),""),"")</f>
        <v/>
      </c>
      <c r="G41">
        <f>IFERROR(IF(ISNUMBER(INDEX(SPPR!$E:$X,MATCH($A41,SPPR!$A:$A,0),4)),$C41*INDEX(SPPR!$E:$X,MATCH($A41,SPPR!$A:$A,0),4),""),"")</f>
        <v/>
      </c>
      <c r="H41">
        <f>IFERROR(IF(ISNUMBER(INDEX(SPPR!$E:$X,MATCH($A41,SPPR!$A:$A,0),5)),$C41*INDEX(SPPR!$E:$X,MATCH($A41,SPPR!$A:$A,0),5),""),"")</f>
        <v/>
      </c>
      <c r="I41">
        <f>IFERROR(IF(ISNUMBER(INDEX(SPPR!$E:$X,MATCH($A41,SPPR!$A:$A,0),6)),$C41*INDEX(SPPR!$E:$X,MATCH($A41,SPPR!$A:$A,0),6),""),"")</f>
        <v/>
      </c>
      <c r="J41">
        <f>IFERROR(IF(ISNUMBER(INDEX(SPPR!$E:$X,MATCH($A41,SPPR!$A:$A,0),7)),$C41*INDEX(SPPR!$E:$X,MATCH($A41,SPPR!$A:$A,0),7),""),"")</f>
        <v/>
      </c>
      <c r="K41">
        <f>IFERROR(IF(ISNUMBER(INDEX(SPPR!$E:$X,MATCH($A41,SPPR!$A:$A,0),8)),$C41*INDEX(SPPR!$E:$X,MATCH($A41,SPPR!$A:$A,0),8),""),"")</f>
        <v/>
      </c>
      <c r="L41">
        <f>IFERROR(IF(ISNUMBER(INDEX(SPPR!$E:$X,MATCH($A41,SPPR!$A:$A,0),9)),$C41*INDEX(SPPR!$E:$X,MATCH($A41,SPPR!$A:$A,0),9),""),"")</f>
        <v/>
      </c>
      <c r="M41">
        <f>IFERROR(IF(ISNUMBER(INDEX(SPPR!$E:$X,MATCH($A41,SPPR!$A:$A,0),10)),$C41*INDEX(SPPR!$E:$X,MATCH($A41,SPPR!$A:$A,0),10),""),"")</f>
        <v/>
      </c>
      <c r="N41">
        <f>IFERROR(IF(ISNUMBER(INDEX(SPPR!$E:$X,MATCH($A41,SPPR!$A:$A,0),11)),$C41*INDEX(SPPR!$E:$X,MATCH($A41,SPPR!$A:$A,0),11),""),"")</f>
        <v/>
      </c>
      <c r="O41">
        <f>IFERROR(IF(ISNUMBER(INDEX(SPPR!$E:$X,MATCH($A41,SPPR!$A:$A,0),12)),$C41*INDEX(SPPR!$E:$X,MATCH($A41,SPPR!$A:$A,0),12),""),"")</f>
        <v/>
      </c>
      <c r="P41">
        <f>IFERROR(IF(ISNUMBER(INDEX(SPPR!$E:$X,MATCH($A41,SPPR!$A:$A,0),13)),$C41*INDEX(SPPR!$E:$X,MATCH($A41,SPPR!$A:$A,0),13),""),"")</f>
        <v/>
      </c>
      <c r="Q41">
        <f>IFERROR(IF(ISNUMBER(INDEX(SPPR!$E:$X,MATCH($A41,SPPR!$A:$A,0),14)),$C41*INDEX(SPPR!$E:$X,MATCH($A41,SPPR!$A:$A,0),14),""),"")</f>
        <v/>
      </c>
      <c r="R41">
        <f>IFERROR(IF(ISNUMBER(INDEX(SPPR!$E:$X,MATCH($A41,SPPR!$A:$A,0),15)),$C41*INDEX(SPPR!$E:$X,MATCH($A41,SPPR!$A:$A,0),15),""),"")</f>
        <v/>
      </c>
      <c r="S41">
        <f>IFERROR(IF(ISNUMBER(INDEX(SPPR!$E:$X,MATCH($A41,SPPR!$A:$A,0),16)),$C41*INDEX(SPPR!$E:$X,MATCH($A41,SPPR!$A:$A,0),16),""),"")</f>
        <v/>
      </c>
      <c r="T41">
        <f>IFERROR(IF(ISNUMBER(INDEX(SPPR!$E:$X,MATCH($A41,SPPR!$A:$A,0),17)),$C41*INDEX(SPPR!$E:$X,MATCH($A41,SPPR!$A:$A,0),17),""),"")</f>
        <v/>
      </c>
      <c r="U41">
        <f>IFERROR(IF(ISNUMBER(INDEX(SPPR!$E:$X,MATCH($A41,SPPR!$A:$A,0),18)),$C41*INDEX(SPPR!$E:$X,MATCH($A41,SPPR!$A:$A,0),18),""),"")</f>
        <v/>
      </c>
      <c r="V41">
        <f>IFERROR(IF(ISNUMBER(INDEX(SPPR!$E:$X,MATCH($A41,SPPR!$A:$A,0),19)),$C41*INDEX(SPPR!$E:$X,MATCH($A41,SPPR!$A:$A,0),19),""),"")</f>
        <v/>
      </c>
      <c r="W41">
        <f>IFERROR(IF(ISNUMBER(INDEX(SPPR!$E:$X,MATCH($A41,SPPR!$A:$A,0),20)),$C41*INDEX(SPPR!$E:$X,MATCH($A41,SPPR!$A:$A,0),20),""),"")</f>
        <v/>
      </c>
    </row>
    <row r="42">
      <c r="A42" t="inlineStr">
        <is>
          <t>Oncorhynchus</t>
        </is>
      </c>
      <c r="B42">
        <f>IFERROR(INDEX(SPPR!$D:$D,MATCH($A42,SPPR!$A:$A,0)),"")</f>
        <v/>
      </c>
      <c r="C42">
        <f>IFERROR(INDEX(Catch!$E:$BV,MATCH($A42,Catch!$A:$A,0),MATCH($B$4,Catch!$E$1:$BV$1,0)),0)</f>
        <v/>
      </c>
      <c r="D42">
        <f>IFERROR(IF(ISNUMBER(INDEX(SPPR!$E:$X,MATCH($A42,SPPR!$A:$A,0),1)),$C42*INDEX(SPPR!$E:$X,MATCH($A42,SPPR!$A:$A,0),1),""),"")</f>
        <v/>
      </c>
      <c r="E42">
        <f>IFERROR(IF(ISNUMBER(INDEX(SPPR!$E:$X,MATCH($A42,SPPR!$A:$A,0),2)),$C42*INDEX(SPPR!$E:$X,MATCH($A42,SPPR!$A:$A,0),2),""),"")</f>
        <v/>
      </c>
      <c r="F42">
        <f>IFERROR(IF(ISNUMBER(INDEX(SPPR!$E:$X,MATCH($A42,SPPR!$A:$A,0),3)),$C42*INDEX(SPPR!$E:$X,MATCH($A42,SPPR!$A:$A,0),3),""),"")</f>
        <v/>
      </c>
      <c r="G42">
        <f>IFERROR(IF(ISNUMBER(INDEX(SPPR!$E:$X,MATCH($A42,SPPR!$A:$A,0),4)),$C42*INDEX(SPPR!$E:$X,MATCH($A42,SPPR!$A:$A,0),4),""),"")</f>
        <v/>
      </c>
      <c r="H42">
        <f>IFERROR(IF(ISNUMBER(INDEX(SPPR!$E:$X,MATCH($A42,SPPR!$A:$A,0),5)),$C42*INDEX(SPPR!$E:$X,MATCH($A42,SPPR!$A:$A,0),5),""),"")</f>
        <v/>
      </c>
      <c r="I42">
        <f>IFERROR(IF(ISNUMBER(INDEX(SPPR!$E:$X,MATCH($A42,SPPR!$A:$A,0),6)),$C42*INDEX(SPPR!$E:$X,MATCH($A42,SPPR!$A:$A,0),6),""),"")</f>
        <v/>
      </c>
      <c r="J42">
        <f>IFERROR(IF(ISNUMBER(INDEX(SPPR!$E:$X,MATCH($A42,SPPR!$A:$A,0),7)),$C42*INDEX(SPPR!$E:$X,MATCH($A42,SPPR!$A:$A,0),7),""),"")</f>
        <v/>
      </c>
      <c r="K42">
        <f>IFERROR(IF(ISNUMBER(INDEX(SPPR!$E:$X,MATCH($A42,SPPR!$A:$A,0),8)),$C42*INDEX(SPPR!$E:$X,MATCH($A42,SPPR!$A:$A,0),8),""),"")</f>
        <v/>
      </c>
      <c r="L42">
        <f>IFERROR(IF(ISNUMBER(INDEX(SPPR!$E:$X,MATCH($A42,SPPR!$A:$A,0),9)),$C42*INDEX(SPPR!$E:$X,MATCH($A42,SPPR!$A:$A,0),9),""),"")</f>
        <v/>
      </c>
      <c r="M42">
        <f>IFERROR(IF(ISNUMBER(INDEX(SPPR!$E:$X,MATCH($A42,SPPR!$A:$A,0),10)),$C42*INDEX(SPPR!$E:$X,MATCH($A42,SPPR!$A:$A,0),10),""),"")</f>
        <v/>
      </c>
      <c r="N42">
        <f>IFERROR(IF(ISNUMBER(INDEX(SPPR!$E:$X,MATCH($A42,SPPR!$A:$A,0),11)),$C42*INDEX(SPPR!$E:$X,MATCH($A42,SPPR!$A:$A,0),11),""),"")</f>
        <v/>
      </c>
      <c r="O42">
        <f>IFERROR(IF(ISNUMBER(INDEX(SPPR!$E:$X,MATCH($A42,SPPR!$A:$A,0),12)),$C42*INDEX(SPPR!$E:$X,MATCH($A42,SPPR!$A:$A,0),12),""),"")</f>
        <v/>
      </c>
      <c r="P42">
        <f>IFERROR(IF(ISNUMBER(INDEX(SPPR!$E:$X,MATCH($A42,SPPR!$A:$A,0),13)),$C42*INDEX(SPPR!$E:$X,MATCH($A42,SPPR!$A:$A,0),13),""),"")</f>
        <v/>
      </c>
      <c r="Q42">
        <f>IFERROR(IF(ISNUMBER(INDEX(SPPR!$E:$X,MATCH($A42,SPPR!$A:$A,0),14)),$C42*INDEX(SPPR!$E:$X,MATCH($A42,SPPR!$A:$A,0),14),""),"")</f>
        <v/>
      </c>
      <c r="R42">
        <f>IFERROR(IF(ISNUMBER(INDEX(SPPR!$E:$X,MATCH($A42,SPPR!$A:$A,0),15)),$C42*INDEX(SPPR!$E:$X,MATCH($A42,SPPR!$A:$A,0),15),""),"")</f>
        <v/>
      </c>
      <c r="S42">
        <f>IFERROR(IF(ISNUMBER(INDEX(SPPR!$E:$X,MATCH($A42,SPPR!$A:$A,0),16)),$C42*INDEX(SPPR!$E:$X,MATCH($A42,SPPR!$A:$A,0),16),""),"")</f>
        <v/>
      </c>
      <c r="T42">
        <f>IFERROR(IF(ISNUMBER(INDEX(SPPR!$E:$X,MATCH($A42,SPPR!$A:$A,0),17)),$C42*INDEX(SPPR!$E:$X,MATCH($A42,SPPR!$A:$A,0),17),""),"")</f>
        <v/>
      </c>
      <c r="U42">
        <f>IFERROR(IF(ISNUMBER(INDEX(SPPR!$E:$X,MATCH($A42,SPPR!$A:$A,0),18)),$C42*INDEX(SPPR!$E:$X,MATCH($A42,SPPR!$A:$A,0),18),""),"")</f>
        <v/>
      </c>
      <c r="V42">
        <f>IFERROR(IF(ISNUMBER(INDEX(SPPR!$E:$X,MATCH($A42,SPPR!$A:$A,0),19)),$C42*INDEX(SPPR!$E:$X,MATCH($A42,SPPR!$A:$A,0),19),""),"")</f>
        <v/>
      </c>
      <c r="W42">
        <f>IFERROR(IF(ISNUMBER(INDEX(SPPR!$E:$X,MATCH($A42,SPPR!$A:$A,0),20)),$C42*INDEX(SPPR!$E:$X,MATCH($A42,SPPR!$A:$A,0),20),""),"")</f>
        <v/>
      </c>
    </row>
    <row r="43">
      <c r="A43" t="inlineStr">
        <is>
          <t>Carangidae</t>
        </is>
      </c>
      <c r="B43">
        <f>IFERROR(INDEX(SPPR!$D:$D,MATCH($A43,SPPR!$A:$A,0)),"")</f>
        <v/>
      </c>
      <c r="C43">
        <f>IFERROR(INDEX(Catch!$E:$BV,MATCH($A43,Catch!$A:$A,0),MATCH($B$4,Catch!$E$1:$BV$1,0)),0)</f>
        <v/>
      </c>
      <c r="D43">
        <f>IFERROR(IF(ISNUMBER(INDEX(SPPR!$E:$X,MATCH($A43,SPPR!$A:$A,0),1)),$C43*INDEX(SPPR!$E:$X,MATCH($A43,SPPR!$A:$A,0),1),""),"")</f>
        <v/>
      </c>
      <c r="E43">
        <f>IFERROR(IF(ISNUMBER(INDEX(SPPR!$E:$X,MATCH($A43,SPPR!$A:$A,0),2)),$C43*INDEX(SPPR!$E:$X,MATCH($A43,SPPR!$A:$A,0),2),""),"")</f>
        <v/>
      </c>
      <c r="F43">
        <f>IFERROR(IF(ISNUMBER(INDEX(SPPR!$E:$X,MATCH($A43,SPPR!$A:$A,0),3)),$C43*INDEX(SPPR!$E:$X,MATCH($A43,SPPR!$A:$A,0),3),""),"")</f>
        <v/>
      </c>
      <c r="G43">
        <f>IFERROR(IF(ISNUMBER(INDEX(SPPR!$E:$X,MATCH($A43,SPPR!$A:$A,0),4)),$C43*INDEX(SPPR!$E:$X,MATCH($A43,SPPR!$A:$A,0),4),""),"")</f>
        <v/>
      </c>
      <c r="H43">
        <f>IFERROR(IF(ISNUMBER(INDEX(SPPR!$E:$X,MATCH($A43,SPPR!$A:$A,0),5)),$C43*INDEX(SPPR!$E:$X,MATCH($A43,SPPR!$A:$A,0),5),""),"")</f>
        <v/>
      </c>
      <c r="I43">
        <f>IFERROR(IF(ISNUMBER(INDEX(SPPR!$E:$X,MATCH($A43,SPPR!$A:$A,0),6)),$C43*INDEX(SPPR!$E:$X,MATCH($A43,SPPR!$A:$A,0),6),""),"")</f>
        <v/>
      </c>
      <c r="J43">
        <f>IFERROR(IF(ISNUMBER(INDEX(SPPR!$E:$X,MATCH($A43,SPPR!$A:$A,0),7)),$C43*INDEX(SPPR!$E:$X,MATCH($A43,SPPR!$A:$A,0),7),""),"")</f>
        <v/>
      </c>
      <c r="K43">
        <f>IFERROR(IF(ISNUMBER(INDEX(SPPR!$E:$X,MATCH($A43,SPPR!$A:$A,0),8)),$C43*INDEX(SPPR!$E:$X,MATCH($A43,SPPR!$A:$A,0),8),""),"")</f>
        <v/>
      </c>
      <c r="L43">
        <f>IFERROR(IF(ISNUMBER(INDEX(SPPR!$E:$X,MATCH($A43,SPPR!$A:$A,0),9)),$C43*INDEX(SPPR!$E:$X,MATCH($A43,SPPR!$A:$A,0),9),""),"")</f>
        <v/>
      </c>
      <c r="M43">
        <f>IFERROR(IF(ISNUMBER(INDEX(SPPR!$E:$X,MATCH($A43,SPPR!$A:$A,0),10)),$C43*INDEX(SPPR!$E:$X,MATCH($A43,SPPR!$A:$A,0),10),""),"")</f>
        <v/>
      </c>
      <c r="N43">
        <f>IFERROR(IF(ISNUMBER(INDEX(SPPR!$E:$X,MATCH($A43,SPPR!$A:$A,0),11)),$C43*INDEX(SPPR!$E:$X,MATCH($A43,SPPR!$A:$A,0),11),""),"")</f>
        <v/>
      </c>
      <c r="O43">
        <f>IFERROR(IF(ISNUMBER(INDEX(SPPR!$E:$X,MATCH($A43,SPPR!$A:$A,0),12)),$C43*INDEX(SPPR!$E:$X,MATCH($A43,SPPR!$A:$A,0),12),""),"")</f>
        <v/>
      </c>
      <c r="P43">
        <f>IFERROR(IF(ISNUMBER(INDEX(SPPR!$E:$X,MATCH($A43,SPPR!$A:$A,0),13)),$C43*INDEX(SPPR!$E:$X,MATCH($A43,SPPR!$A:$A,0),13),""),"")</f>
        <v/>
      </c>
      <c r="Q43">
        <f>IFERROR(IF(ISNUMBER(INDEX(SPPR!$E:$X,MATCH($A43,SPPR!$A:$A,0),14)),$C43*INDEX(SPPR!$E:$X,MATCH($A43,SPPR!$A:$A,0),14),""),"")</f>
        <v/>
      </c>
      <c r="R43">
        <f>IFERROR(IF(ISNUMBER(INDEX(SPPR!$E:$X,MATCH($A43,SPPR!$A:$A,0),15)),$C43*INDEX(SPPR!$E:$X,MATCH($A43,SPPR!$A:$A,0),15),""),"")</f>
        <v/>
      </c>
      <c r="S43">
        <f>IFERROR(IF(ISNUMBER(INDEX(SPPR!$E:$X,MATCH($A43,SPPR!$A:$A,0),16)),$C43*INDEX(SPPR!$E:$X,MATCH($A43,SPPR!$A:$A,0),16),""),"")</f>
        <v/>
      </c>
      <c r="T43">
        <f>IFERROR(IF(ISNUMBER(INDEX(SPPR!$E:$X,MATCH($A43,SPPR!$A:$A,0),17)),$C43*INDEX(SPPR!$E:$X,MATCH($A43,SPPR!$A:$A,0),17),""),"")</f>
        <v/>
      </c>
      <c r="U43">
        <f>IFERROR(IF(ISNUMBER(INDEX(SPPR!$E:$X,MATCH($A43,SPPR!$A:$A,0),18)),$C43*INDEX(SPPR!$E:$X,MATCH($A43,SPPR!$A:$A,0),18),""),"")</f>
        <v/>
      </c>
      <c r="V43">
        <f>IFERROR(IF(ISNUMBER(INDEX(SPPR!$E:$X,MATCH($A43,SPPR!$A:$A,0),19)),$C43*INDEX(SPPR!$E:$X,MATCH($A43,SPPR!$A:$A,0),19),""),"")</f>
        <v/>
      </c>
      <c r="W43">
        <f>IFERROR(IF(ISNUMBER(INDEX(SPPR!$E:$X,MATCH($A43,SPPR!$A:$A,0),20)),$C43*INDEX(SPPR!$E:$X,MATCH($A43,SPPR!$A:$A,0),20),""),"")</f>
        <v/>
      </c>
    </row>
    <row r="44">
      <c r="A44" t="inlineStr">
        <is>
          <t>Psenopsis anomala</t>
        </is>
      </c>
      <c r="B44">
        <f>IFERROR(INDEX(SPPR!$D:$D,MATCH($A44,SPPR!$A:$A,0)),"")</f>
        <v/>
      </c>
      <c r="C44">
        <f>IFERROR(INDEX(Catch!$E:$BV,MATCH($A44,Catch!$A:$A,0),MATCH($B$4,Catch!$E$1:$BV$1,0)),0)</f>
        <v/>
      </c>
      <c r="D44">
        <f>IFERROR(IF(ISNUMBER(INDEX(SPPR!$E:$X,MATCH($A44,SPPR!$A:$A,0),1)),$C44*INDEX(SPPR!$E:$X,MATCH($A44,SPPR!$A:$A,0),1),""),"")</f>
        <v/>
      </c>
      <c r="E44">
        <f>IFERROR(IF(ISNUMBER(INDEX(SPPR!$E:$X,MATCH($A44,SPPR!$A:$A,0),2)),$C44*INDEX(SPPR!$E:$X,MATCH($A44,SPPR!$A:$A,0),2),""),"")</f>
        <v/>
      </c>
      <c r="F44">
        <f>IFERROR(IF(ISNUMBER(INDEX(SPPR!$E:$X,MATCH($A44,SPPR!$A:$A,0),3)),$C44*INDEX(SPPR!$E:$X,MATCH($A44,SPPR!$A:$A,0),3),""),"")</f>
        <v/>
      </c>
      <c r="G44">
        <f>IFERROR(IF(ISNUMBER(INDEX(SPPR!$E:$X,MATCH($A44,SPPR!$A:$A,0),4)),$C44*INDEX(SPPR!$E:$X,MATCH($A44,SPPR!$A:$A,0),4),""),"")</f>
        <v/>
      </c>
      <c r="H44">
        <f>IFERROR(IF(ISNUMBER(INDEX(SPPR!$E:$X,MATCH($A44,SPPR!$A:$A,0),5)),$C44*INDEX(SPPR!$E:$X,MATCH($A44,SPPR!$A:$A,0),5),""),"")</f>
        <v/>
      </c>
      <c r="I44">
        <f>IFERROR(IF(ISNUMBER(INDEX(SPPR!$E:$X,MATCH($A44,SPPR!$A:$A,0),6)),$C44*INDEX(SPPR!$E:$X,MATCH($A44,SPPR!$A:$A,0),6),""),"")</f>
        <v/>
      </c>
      <c r="J44">
        <f>IFERROR(IF(ISNUMBER(INDEX(SPPR!$E:$X,MATCH($A44,SPPR!$A:$A,0),7)),$C44*INDEX(SPPR!$E:$X,MATCH($A44,SPPR!$A:$A,0),7),""),"")</f>
        <v/>
      </c>
      <c r="K44">
        <f>IFERROR(IF(ISNUMBER(INDEX(SPPR!$E:$X,MATCH($A44,SPPR!$A:$A,0),8)),$C44*INDEX(SPPR!$E:$X,MATCH($A44,SPPR!$A:$A,0),8),""),"")</f>
        <v/>
      </c>
      <c r="L44">
        <f>IFERROR(IF(ISNUMBER(INDEX(SPPR!$E:$X,MATCH($A44,SPPR!$A:$A,0),9)),$C44*INDEX(SPPR!$E:$X,MATCH($A44,SPPR!$A:$A,0),9),""),"")</f>
        <v/>
      </c>
      <c r="M44">
        <f>IFERROR(IF(ISNUMBER(INDEX(SPPR!$E:$X,MATCH($A44,SPPR!$A:$A,0),10)),$C44*INDEX(SPPR!$E:$X,MATCH($A44,SPPR!$A:$A,0),10),""),"")</f>
        <v/>
      </c>
      <c r="N44">
        <f>IFERROR(IF(ISNUMBER(INDEX(SPPR!$E:$X,MATCH($A44,SPPR!$A:$A,0),11)),$C44*INDEX(SPPR!$E:$X,MATCH($A44,SPPR!$A:$A,0),11),""),"")</f>
        <v/>
      </c>
      <c r="O44">
        <f>IFERROR(IF(ISNUMBER(INDEX(SPPR!$E:$X,MATCH($A44,SPPR!$A:$A,0),12)),$C44*INDEX(SPPR!$E:$X,MATCH($A44,SPPR!$A:$A,0),12),""),"")</f>
        <v/>
      </c>
      <c r="P44">
        <f>IFERROR(IF(ISNUMBER(INDEX(SPPR!$E:$X,MATCH($A44,SPPR!$A:$A,0),13)),$C44*INDEX(SPPR!$E:$X,MATCH($A44,SPPR!$A:$A,0),13),""),"")</f>
        <v/>
      </c>
      <c r="Q44">
        <f>IFERROR(IF(ISNUMBER(INDEX(SPPR!$E:$X,MATCH($A44,SPPR!$A:$A,0),14)),$C44*INDEX(SPPR!$E:$X,MATCH($A44,SPPR!$A:$A,0),14),""),"")</f>
        <v/>
      </c>
      <c r="R44">
        <f>IFERROR(IF(ISNUMBER(INDEX(SPPR!$E:$X,MATCH($A44,SPPR!$A:$A,0),15)),$C44*INDEX(SPPR!$E:$X,MATCH($A44,SPPR!$A:$A,0),15),""),"")</f>
        <v/>
      </c>
      <c r="S44">
        <f>IFERROR(IF(ISNUMBER(INDEX(SPPR!$E:$X,MATCH($A44,SPPR!$A:$A,0),16)),$C44*INDEX(SPPR!$E:$X,MATCH($A44,SPPR!$A:$A,0),16),""),"")</f>
        <v/>
      </c>
      <c r="T44">
        <f>IFERROR(IF(ISNUMBER(INDEX(SPPR!$E:$X,MATCH($A44,SPPR!$A:$A,0),17)),$C44*INDEX(SPPR!$E:$X,MATCH($A44,SPPR!$A:$A,0),17),""),"")</f>
        <v/>
      </c>
      <c r="U44">
        <f>IFERROR(IF(ISNUMBER(INDEX(SPPR!$E:$X,MATCH($A44,SPPR!$A:$A,0),18)),$C44*INDEX(SPPR!$E:$X,MATCH($A44,SPPR!$A:$A,0),18),""),"")</f>
        <v/>
      </c>
      <c r="V44">
        <f>IFERROR(IF(ISNUMBER(INDEX(SPPR!$E:$X,MATCH($A44,SPPR!$A:$A,0),19)),$C44*INDEX(SPPR!$E:$X,MATCH($A44,SPPR!$A:$A,0),19),""),"")</f>
        <v/>
      </c>
      <c r="W44">
        <f>IFERROR(IF(ISNUMBER(INDEX(SPPR!$E:$X,MATCH($A44,SPPR!$A:$A,0),20)),$C44*INDEX(SPPR!$E:$X,MATCH($A44,SPPR!$A:$A,0),20),""),"")</f>
        <v/>
      </c>
    </row>
    <row r="45">
      <c r="A45" t="inlineStr">
        <is>
          <t>Squillidae</t>
        </is>
      </c>
      <c r="B45">
        <f>IFERROR(INDEX(SPPR!$D:$D,MATCH($A45,SPPR!$A:$A,0)),"")</f>
        <v/>
      </c>
      <c r="C45">
        <f>IFERROR(INDEX(Catch!$E:$BV,MATCH($A45,Catch!$A:$A,0),MATCH($B$4,Catch!$E$1:$BV$1,0)),0)</f>
        <v/>
      </c>
      <c r="D45">
        <f>IFERROR(IF(ISNUMBER(INDEX(SPPR!$E:$X,MATCH($A45,SPPR!$A:$A,0),1)),$C45*INDEX(SPPR!$E:$X,MATCH($A45,SPPR!$A:$A,0),1),""),"")</f>
        <v/>
      </c>
      <c r="E45">
        <f>IFERROR(IF(ISNUMBER(INDEX(SPPR!$E:$X,MATCH($A45,SPPR!$A:$A,0),2)),$C45*INDEX(SPPR!$E:$X,MATCH($A45,SPPR!$A:$A,0),2),""),"")</f>
        <v/>
      </c>
      <c r="F45">
        <f>IFERROR(IF(ISNUMBER(INDEX(SPPR!$E:$X,MATCH($A45,SPPR!$A:$A,0),3)),$C45*INDEX(SPPR!$E:$X,MATCH($A45,SPPR!$A:$A,0),3),""),"")</f>
        <v/>
      </c>
      <c r="G45">
        <f>IFERROR(IF(ISNUMBER(INDEX(SPPR!$E:$X,MATCH($A45,SPPR!$A:$A,0),4)),$C45*INDEX(SPPR!$E:$X,MATCH($A45,SPPR!$A:$A,0),4),""),"")</f>
        <v/>
      </c>
      <c r="H45">
        <f>IFERROR(IF(ISNUMBER(INDEX(SPPR!$E:$X,MATCH($A45,SPPR!$A:$A,0),5)),$C45*INDEX(SPPR!$E:$X,MATCH($A45,SPPR!$A:$A,0),5),""),"")</f>
        <v/>
      </c>
      <c r="I45">
        <f>IFERROR(IF(ISNUMBER(INDEX(SPPR!$E:$X,MATCH($A45,SPPR!$A:$A,0),6)),$C45*INDEX(SPPR!$E:$X,MATCH($A45,SPPR!$A:$A,0),6),""),"")</f>
        <v/>
      </c>
      <c r="J45">
        <f>IFERROR(IF(ISNUMBER(INDEX(SPPR!$E:$X,MATCH($A45,SPPR!$A:$A,0),7)),$C45*INDEX(SPPR!$E:$X,MATCH($A45,SPPR!$A:$A,0),7),""),"")</f>
        <v/>
      </c>
      <c r="K45">
        <f>IFERROR(IF(ISNUMBER(INDEX(SPPR!$E:$X,MATCH($A45,SPPR!$A:$A,0),8)),$C45*INDEX(SPPR!$E:$X,MATCH($A45,SPPR!$A:$A,0),8),""),"")</f>
        <v/>
      </c>
      <c r="L45">
        <f>IFERROR(IF(ISNUMBER(INDEX(SPPR!$E:$X,MATCH($A45,SPPR!$A:$A,0),9)),$C45*INDEX(SPPR!$E:$X,MATCH($A45,SPPR!$A:$A,0),9),""),"")</f>
        <v/>
      </c>
      <c r="M45">
        <f>IFERROR(IF(ISNUMBER(INDEX(SPPR!$E:$X,MATCH($A45,SPPR!$A:$A,0),10)),$C45*INDEX(SPPR!$E:$X,MATCH($A45,SPPR!$A:$A,0),10),""),"")</f>
        <v/>
      </c>
      <c r="N45">
        <f>IFERROR(IF(ISNUMBER(INDEX(SPPR!$E:$X,MATCH($A45,SPPR!$A:$A,0),11)),$C45*INDEX(SPPR!$E:$X,MATCH($A45,SPPR!$A:$A,0),11),""),"")</f>
        <v/>
      </c>
      <c r="O45">
        <f>IFERROR(IF(ISNUMBER(INDEX(SPPR!$E:$X,MATCH($A45,SPPR!$A:$A,0),12)),$C45*INDEX(SPPR!$E:$X,MATCH($A45,SPPR!$A:$A,0),12),""),"")</f>
        <v/>
      </c>
      <c r="P45">
        <f>IFERROR(IF(ISNUMBER(INDEX(SPPR!$E:$X,MATCH($A45,SPPR!$A:$A,0),13)),$C45*INDEX(SPPR!$E:$X,MATCH($A45,SPPR!$A:$A,0),13),""),"")</f>
        <v/>
      </c>
      <c r="Q45">
        <f>IFERROR(IF(ISNUMBER(INDEX(SPPR!$E:$X,MATCH($A45,SPPR!$A:$A,0),14)),$C45*INDEX(SPPR!$E:$X,MATCH($A45,SPPR!$A:$A,0),14),""),"")</f>
        <v/>
      </c>
      <c r="R45">
        <f>IFERROR(IF(ISNUMBER(INDEX(SPPR!$E:$X,MATCH($A45,SPPR!$A:$A,0),15)),$C45*INDEX(SPPR!$E:$X,MATCH($A45,SPPR!$A:$A,0),15),""),"")</f>
        <v/>
      </c>
      <c r="S45">
        <f>IFERROR(IF(ISNUMBER(INDEX(SPPR!$E:$X,MATCH($A45,SPPR!$A:$A,0),16)),$C45*INDEX(SPPR!$E:$X,MATCH($A45,SPPR!$A:$A,0),16),""),"")</f>
        <v/>
      </c>
      <c r="T45">
        <f>IFERROR(IF(ISNUMBER(INDEX(SPPR!$E:$X,MATCH($A45,SPPR!$A:$A,0),17)),$C45*INDEX(SPPR!$E:$X,MATCH($A45,SPPR!$A:$A,0),17),""),"")</f>
        <v/>
      </c>
      <c r="U45">
        <f>IFERROR(IF(ISNUMBER(INDEX(SPPR!$E:$X,MATCH($A45,SPPR!$A:$A,0),18)),$C45*INDEX(SPPR!$E:$X,MATCH($A45,SPPR!$A:$A,0),18),""),"")</f>
        <v/>
      </c>
      <c r="V45">
        <f>IFERROR(IF(ISNUMBER(INDEX(SPPR!$E:$X,MATCH($A45,SPPR!$A:$A,0),19)),$C45*INDEX(SPPR!$E:$X,MATCH($A45,SPPR!$A:$A,0),19),""),"")</f>
        <v/>
      </c>
      <c r="W45">
        <f>IFERROR(IF(ISNUMBER(INDEX(SPPR!$E:$X,MATCH($A45,SPPR!$A:$A,0),20)),$C45*INDEX(SPPR!$E:$X,MATCH($A45,SPPR!$A:$A,0),20),""),"")</f>
        <v/>
      </c>
    </row>
    <row r="46">
      <c r="A46" t="inlineStr">
        <is>
          <t>Sparidae</t>
        </is>
      </c>
      <c r="B46">
        <f>IFERROR(INDEX(SPPR!$D:$D,MATCH($A46,SPPR!$A:$A,0)),"")</f>
        <v/>
      </c>
      <c r="C46">
        <f>IFERROR(INDEX(Catch!$E:$BV,MATCH($A46,Catch!$A:$A,0),MATCH($B$4,Catch!$E$1:$BV$1,0)),0)</f>
        <v/>
      </c>
      <c r="D46">
        <f>IFERROR(IF(ISNUMBER(INDEX(SPPR!$E:$X,MATCH($A46,SPPR!$A:$A,0),1)),$C46*INDEX(SPPR!$E:$X,MATCH($A46,SPPR!$A:$A,0),1),""),"")</f>
        <v/>
      </c>
      <c r="E46">
        <f>IFERROR(IF(ISNUMBER(INDEX(SPPR!$E:$X,MATCH($A46,SPPR!$A:$A,0),2)),$C46*INDEX(SPPR!$E:$X,MATCH($A46,SPPR!$A:$A,0),2),""),"")</f>
        <v/>
      </c>
      <c r="F46">
        <f>IFERROR(IF(ISNUMBER(INDEX(SPPR!$E:$X,MATCH($A46,SPPR!$A:$A,0),3)),$C46*INDEX(SPPR!$E:$X,MATCH($A46,SPPR!$A:$A,0),3),""),"")</f>
        <v/>
      </c>
      <c r="G46">
        <f>IFERROR(IF(ISNUMBER(INDEX(SPPR!$E:$X,MATCH($A46,SPPR!$A:$A,0),4)),$C46*INDEX(SPPR!$E:$X,MATCH($A46,SPPR!$A:$A,0),4),""),"")</f>
        <v/>
      </c>
      <c r="H46">
        <f>IFERROR(IF(ISNUMBER(INDEX(SPPR!$E:$X,MATCH($A46,SPPR!$A:$A,0),5)),$C46*INDEX(SPPR!$E:$X,MATCH($A46,SPPR!$A:$A,0),5),""),"")</f>
        <v/>
      </c>
      <c r="I46">
        <f>IFERROR(IF(ISNUMBER(INDEX(SPPR!$E:$X,MATCH($A46,SPPR!$A:$A,0),6)),$C46*INDEX(SPPR!$E:$X,MATCH($A46,SPPR!$A:$A,0),6),""),"")</f>
        <v/>
      </c>
      <c r="J46">
        <f>IFERROR(IF(ISNUMBER(INDEX(SPPR!$E:$X,MATCH($A46,SPPR!$A:$A,0),7)),$C46*INDEX(SPPR!$E:$X,MATCH($A46,SPPR!$A:$A,0),7),""),"")</f>
        <v/>
      </c>
      <c r="K46">
        <f>IFERROR(IF(ISNUMBER(INDEX(SPPR!$E:$X,MATCH($A46,SPPR!$A:$A,0),8)),$C46*INDEX(SPPR!$E:$X,MATCH($A46,SPPR!$A:$A,0),8),""),"")</f>
        <v/>
      </c>
      <c r="L46">
        <f>IFERROR(IF(ISNUMBER(INDEX(SPPR!$E:$X,MATCH($A46,SPPR!$A:$A,0),9)),$C46*INDEX(SPPR!$E:$X,MATCH($A46,SPPR!$A:$A,0),9),""),"")</f>
        <v/>
      </c>
      <c r="M46">
        <f>IFERROR(IF(ISNUMBER(INDEX(SPPR!$E:$X,MATCH($A46,SPPR!$A:$A,0),10)),$C46*INDEX(SPPR!$E:$X,MATCH($A46,SPPR!$A:$A,0),10),""),"")</f>
        <v/>
      </c>
      <c r="N46">
        <f>IFERROR(IF(ISNUMBER(INDEX(SPPR!$E:$X,MATCH($A46,SPPR!$A:$A,0),11)),$C46*INDEX(SPPR!$E:$X,MATCH($A46,SPPR!$A:$A,0),11),""),"")</f>
        <v/>
      </c>
      <c r="O46">
        <f>IFERROR(IF(ISNUMBER(INDEX(SPPR!$E:$X,MATCH($A46,SPPR!$A:$A,0),12)),$C46*INDEX(SPPR!$E:$X,MATCH($A46,SPPR!$A:$A,0),12),""),"")</f>
        <v/>
      </c>
      <c r="P46">
        <f>IFERROR(IF(ISNUMBER(INDEX(SPPR!$E:$X,MATCH($A46,SPPR!$A:$A,0),13)),$C46*INDEX(SPPR!$E:$X,MATCH($A46,SPPR!$A:$A,0),13),""),"")</f>
        <v/>
      </c>
      <c r="Q46">
        <f>IFERROR(IF(ISNUMBER(INDEX(SPPR!$E:$X,MATCH($A46,SPPR!$A:$A,0),14)),$C46*INDEX(SPPR!$E:$X,MATCH($A46,SPPR!$A:$A,0),14),""),"")</f>
        <v/>
      </c>
      <c r="R46">
        <f>IFERROR(IF(ISNUMBER(INDEX(SPPR!$E:$X,MATCH($A46,SPPR!$A:$A,0),15)),$C46*INDEX(SPPR!$E:$X,MATCH($A46,SPPR!$A:$A,0),15),""),"")</f>
        <v/>
      </c>
      <c r="S46">
        <f>IFERROR(IF(ISNUMBER(INDEX(SPPR!$E:$X,MATCH($A46,SPPR!$A:$A,0),16)),$C46*INDEX(SPPR!$E:$X,MATCH($A46,SPPR!$A:$A,0),16),""),"")</f>
        <v/>
      </c>
      <c r="T46">
        <f>IFERROR(IF(ISNUMBER(INDEX(SPPR!$E:$X,MATCH($A46,SPPR!$A:$A,0),17)),$C46*INDEX(SPPR!$E:$X,MATCH($A46,SPPR!$A:$A,0),17),""),"")</f>
        <v/>
      </c>
      <c r="U46">
        <f>IFERROR(IF(ISNUMBER(INDEX(SPPR!$E:$X,MATCH($A46,SPPR!$A:$A,0),18)),$C46*INDEX(SPPR!$E:$X,MATCH($A46,SPPR!$A:$A,0),18),""),"")</f>
        <v/>
      </c>
      <c r="V46">
        <f>IFERROR(IF(ISNUMBER(INDEX(SPPR!$E:$X,MATCH($A46,SPPR!$A:$A,0),19)),$C46*INDEX(SPPR!$E:$X,MATCH($A46,SPPR!$A:$A,0),19),""),"")</f>
        <v/>
      </c>
      <c r="W46">
        <f>IFERROR(IF(ISNUMBER(INDEX(SPPR!$E:$X,MATCH($A46,SPPR!$A:$A,0),20)),$C46*INDEX(SPPR!$E:$X,MATCH($A46,SPPR!$A:$A,0),20),""),"")</f>
        <v/>
      </c>
    </row>
    <row r="47">
      <c r="A47" t="inlineStr">
        <is>
          <t>Alepes</t>
        </is>
      </c>
      <c r="B47">
        <f>IFERROR(INDEX(SPPR!$D:$D,MATCH($A47,SPPR!$A:$A,0)),"")</f>
        <v/>
      </c>
      <c r="C47">
        <f>IFERROR(INDEX(Catch!$E:$BV,MATCH($A47,Catch!$A:$A,0),MATCH($B$4,Catch!$E$1:$BV$1,0)),0)</f>
        <v/>
      </c>
      <c r="D47">
        <f>IFERROR(IF(ISNUMBER(INDEX(SPPR!$E:$X,MATCH($A47,SPPR!$A:$A,0),1)),$C47*INDEX(SPPR!$E:$X,MATCH($A47,SPPR!$A:$A,0),1),""),"")</f>
        <v/>
      </c>
      <c r="E47">
        <f>IFERROR(IF(ISNUMBER(INDEX(SPPR!$E:$X,MATCH($A47,SPPR!$A:$A,0),2)),$C47*INDEX(SPPR!$E:$X,MATCH($A47,SPPR!$A:$A,0),2),""),"")</f>
        <v/>
      </c>
      <c r="F47">
        <f>IFERROR(IF(ISNUMBER(INDEX(SPPR!$E:$X,MATCH($A47,SPPR!$A:$A,0),3)),$C47*INDEX(SPPR!$E:$X,MATCH($A47,SPPR!$A:$A,0),3),""),"")</f>
        <v/>
      </c>
      <c r="G47">
        <f>IFERROR(IF(ISNUMBER(INDEX(SPPR!$E:$X,MATCH($A47,SPPR!$A:$A,0),4)),$C47*INDEX(SPPR!$E:$X,MATCH($A47,SPPR!$A:$A,0),4),""),"")</f>
        <v/>
      </c>
      <c r="H47">
        <f>IFERROR(IF(ISNUMBER(INDEX(SPPR!$E:$X,MATCH($A47,SPPR!$A:$A,0),5)),$C47*INDEX(SPPR!$E:$X,MATCH($A47,SPPR!$A:$A,0),5),""),"")</f>
        <v/>
      </c>
      <c r="I47">
        <f>IFERROR(IF(ISNUMBER(INDEX(SPPR!$E:$X,MATCH($A47,SPPR!$A:$A,0),6)),$C47*INDEX(SPPR!$E:$X,MATCH($A47,SPPR!$A:$A,0),6),""),"")</f>
        <v/>
      </c>
      <c r="J47">
        <f>IFERROR(IF(ISNUMBER(INDEX(SPPR!$E:$X,MATCH($A47,SPPR!$A:$A,0),7)),$C47*INDEX(SPPR!$E:$X,MATCH($A47,SPPR!$A:$A,0),7),""),"")</f>
        <v/>
      </c>
      <c r="K47">
        <f>IFERROR(IF(ISNUMBER(INDEX(SPPR!$E:$X,MATCH($A47,SPPR!$A:$A,0),8)),$C47*INDEX(SPPR!$E:$X,MATCH($A47,SPPR!$A:$A,0),8),""),"")</f>
        <v/>
      </c>
      <c r="L47">
        <f>IFERROR(IF(ISNUMBER(INDEX(SPPR!$E:$X,MATCH($A47,SPPR!$A:$A,0),9)),$C47*INDEX(SPPR!$E:$X,MATCH($A47,SPPR!$A:$A,0),9),""),"")</f>
        <v/>
      </c>
      <c r="M47">
        <f>IFERROR(IF(ISNUMBER(INDEX(SPPR!$E:$X,MATCH($A47,SPPR!$A:$A,0),10)),$C47*INDEX(SPPR!$E:$X,MATCH($A47,SPPR!$A:$A,0),10),""),"")</f>
        <v/>
      </c>
      <c r="N47">
        <f>IFERROR(IF(ISNUMBER(INDEX(SPPR!$E:$X,MATCH($A47,SPPR!$A:$A,0),11)),$C47*INDEX(SPPR!$E:$X,MATCH($A47,SPPR!$A:$A,0),11),""),"")</f>
        <v/>
      </c>
      <c r="O47">
        <f>IFERROR(IF(ISNUMBER(INDEX(SPPR!$E:$X,MATCH($A47,SPPR!$A:$A,0),12)),$C47*INDEX(SPPR!$E:$X,MATCH($A47,SPPR!$A:$A,0),12),""),"")</f>
        <v/>
      </c>
      <c r="P47">
        <f>IFERROR(IF(ISNUMBER(INDEX(SPPR!$E:$X,MATCH($A47,SPPR!$A:$A,0),13)),$C47*INDEX(SPPR!$E:$X,MATCH($A47,SPPR!$A:$A,0),13),""),"")</f>
        <v/>
      </c>
      <c r="Q47">
        <f>IFERROR(IF(ISNUMBER(INDEX(SPPR!$E:$X,MATCH($A47,SPPR!$A:$A,0),14)),$C47*INDEX(SPPR!$E:$X,MATCH($A47,SPPR!$A:$A,0),14),""),"")</f>
        <v/>
      </c>
      <c r="R47">
        <f>IFERROR(IF(ISNUMBER(INDEX(SPPR!$E:$X,MATCH($A47,SPPR!$A:$A,0),15)),$C47*INDEX(SPPR!$E:$X,MATCH($A47,SPPR!$A:$A,0),15),""),"")</f>
        <v/>
      </c>
      <c r="S47">
        <f>IFERROR(IF(ISNUMBER(INDEX(SPPR!$E:$X,MATCH($A47,SPPR!$A:$A,0),16)),$C47*INDEX(SPPR!$E:$X,MATCH($A47,SPPR!$A:$A,0),16),""),"")</f>
        <v/>
      </c>
      <c r="T47">
        <f>IFERROR(IF(ISNUMBER(INDEX(SPPR!$E:$X,MATCH($A47,SPPR!$A:$A,0),17)),$C47*INDEX(SPPR!$E:$X,MATCH($A47,SPPR!$A:$A,0),17),""),"")</f>
        <v/>
      </c>
      <c r="U47">
        <f>IFERROR(IF(ISNUMBER(INDEX(SPPR!$E:$X,MATCH($A47,SPPR!$A:$A,0),18)),$C47*INDEX(SPPR!$E:$X,MATCH($A47,SPPR!$A:$A,0),18),""),"")</f>
        <v/>
      </c>
      <c r="V47">
        <f>IFERROR(IF(ISNUMBER(INDEX(SPPR!$E:$X,MATCH($A47,SPPR!$A:$A,0),19)),$C47*INDEX(SPPR!$E:$X,MATCH($A47,SPPR!$A:$A,0),19),""),"")</f>
        <v/>
      </c>
      <c r="W47">
        <f>IFERROR(IF(ISNUMBER(INDEX(SPPR!$E:$X,MATCH($A47,SPPR!$A:$A,0),20)),$C47*INDEX(SPPR!$E:$X,MATCH($A47,SPPR!$A:$A,0),20),""),"")</f>
        <v/>
      </c>
    </row>
    <row r="48">
      <c r="A48" t="inlineStr">
        <is>
          <t>Sepiidae</t>
        </is>
      </c>
      <c r="B48">
        <f>IFERROR(INDEX(SPPR!$D:$D,MATCH($A48,SPPR!$A:$A,0)),"")</f>
        <v/>
      </c>
      <c r="C48">
        <f>IFERROR(INDEX(Catch!$E:$BV,MATCH($A48,Catch!$A:$A,0),MATCH($B$4,Catch!$E$1:$BV$1,0)),0)</f>
        <v/>
      </c>
      <c r="D48">
        <f>IFERROR(IF(ISNUMBER(INDEX(SPPR!$E:$X,MATCH($A48,SPPR!$A:$A,0),1)),$C48*INDEX(SPPR!$E:$X,MATCH($A48,SPPR!$A:$A,0),1),""),"")</f>
        <v/>
      </c>
      <c r="E48">
        <f>IFERROR(IF(ISNUMBER(INDEX(SPPR!$E:$X,MATCH($A48,SPPR!$A:$A,0),2)),$C48*INDEX(SPPR!$E:$X,MATCH($A48,SPPR!$A:$A,0),2),""),"")</f>
        <v/>
      </c>
      <c r="F48">
        <f>IFERROR(IF(ISNUMBER(INDEX(SPPR!$E:$X,MATCH($A48,SPPR!$A:$A,0),3)),$C48*INDEX(SPPR!$E:$X,MATCH($A48,SPPR!$A:$A,0),3),""),"")</f>
        <v/>
      </c>
      <c r="G48">
        <f>IFERROR(IF(ISNUMBER(INDEX(SPPR!$E:$X,MATCH($A48,SPPR!$A:$A,0),4)),$C48*INDEX(SPPR!$E:$X,MATCH($A48,SPPR!$A:$A,0),4),""),"")</f>
        <v/>
      </c>
      <c r="H48">
        <f>IFERROR(IF(ISNUMBER(INDEX(SPPR!$E:$X,MATCH($A48,SPPR!$A:$A,0),5)),$C48*INDEX(SPPR!$E:$X,MATCH($A48,SPPR!$A:$A,0),5),""),"")</f>
        <v/>
      </c>
      <c r="I48">
        <f>IFERROR(IF(ISNUMBER(INDEX(SPPR!$E:$X,MATCH($A48,SPPR!$A:$A,0),6)),$C48*INDEX(SPPR!$E:$X,MATCH($A48,SPPR!$A:$A,0),6),""),"")</f>
        <v/>
      </c>
      <c r="J48">
        <f>IFERROR(IF(ISNUMBER(INDEX(SPPR!$E:$X,MATCH($A48,SPPR!$A:$A,0),7)),$C48*INDEX(SPPR!$E:$X,MATCH($A48,SPPR!$A:$A,0),7),""),"")</f>
        <v/>
      </c>
      <c r="K48">
        <f>IFERROR(IF(ISNUMBER(INDEX(SPPR!$E:$X,MATCH($A48,SPPR!$A:$A,0),8)),$C48*INDEX(SPPR!$E:$X,MATCH($A48,SPPR!$A:$A,0),8),""),"")</f>
        <v/>
      </c>
      <c r="L48">
        <f>IFERROR(IF(ISNUMBER(INDEX(SPPR!$E:$X,MATCH($A48,SPPR!$A:$A,0),9)),$C48*INDEX(SPPR!$E:$X,MATCH($A48,SPPR!$A:$A,0),9),""),"")</f>
        <v/>
      </c>
      <c r="M48">
        <f>IFERROR(IF(ISNUMBER(INDEX(SPPR!$E:$X,MATCH($A48,SPPR!$A:$A,0),10)),$C48*INDEX(SPPR!$E:$X,MATCH($A48,SPPR!$A:$A,0),10),""),"")</f>
        <v/>
      </c>
      <c r="N48">
        <f>IFERROR(IF(ISNUMBER(INDEX(SPPR!$E:$X,MATCH($A48,SPPR!$A:$A,0),11)),$C48*INDEX(SPPR!$E:$X,MATCH($A48,SPPR!$A:$A,0),11),""),"")</f>
        <v/>
      </c>
      <c r="O48">
        <f>IFERROR(IF(ISNUMBER(INDEX(SPPR!$E:$X,MATCH($A48,SPPR!$A:$A,0),12)),$C48*INDEX(SPPR!$E:$X,MATCH($A48,SPPR!$A:$A,0),12),""),"")</f>
        <v/>
      </c>
      <c r="P48">
        <f>IFERROR(IF(ISNUMBER(INDEX(SPPR!$E:$X,MATCH($A48,SPPR!$A:$A,0),13)),$C48*INDEX(SPPR!$E:$X,MATCH($A48,SPPR!$A:$A,0),13),""),"")</f>
        <v/>
      </c>
      <c r="Q48">
        <f>IFERROR(IF(ISNUMBER(INDEX(SPPR!$E:$X,MATCH($A48,SPPR!$A:$A,0),14)),$C48*INDEX(SPPR!$E:$X,MATCH($A48,SPPR!$A:$A,0),14),""),"")</f>
        <v/>
      </c>
      <c r="R48">
        <f>IFERROR(IF(ISNUMBER(INDEX(SPPR!$E:$X,MATCH($A48,SPPR!$A:$A,0),15)),$C48*INDEX(SPPR!$E:$X,MATCH($A48,SPPR!$A:$A,0),15),""),"")</f>
        <v/>
      </c>
      <c r="S48">
        <f>IFERROR(IF(ISNUMBER(INDEX(SPPR!$E:$X,MATCH($A48,SPPR!$A:$A,0),16)),$C48*INDEX(SPPR!$E:$X,MATCH($A48,SPPR!$A:$A,0),16),""),"")</f>
        <v/>
      </c>
      <c r="T48">
        <f>IFERROR(IF(ISNUMBER(INDEX(SPPR!$E:$X,MATCH($A48,SPPR!$A:$A,0),17)),$C48*INDEX(SPPR!$E:$X,MATCH($A48,SPPR!$A:$A,0),17),""),"")</f>
        <v/>
      </c>
      <c r="U48">
        <f>IFERROR(IF(ISNUMBER(INDEX(SPPR!$E:$X,MATCH($A48,SPPR!$A:$A,0),18)),$C48*INDEX(SPPR!$E:$X,MATCH($A48,SPPR!$A:$A,0),18),""),"")</f>
        <v/>
      </c>
      <c r="V48">
        <f>IFERROR(IF(ISNUMBER(INDEX(SPPR!$E:$X,MATCH($A48,SPPR!$A:$A,0),19)),$C48*INDEX(SPPR!$E:$X,MATCH($A48,SPPR!$A:$A,0),19),""),"")</f>
        <v/>
      </c>
      <c r="W48">
        <f>IFERROR(IF(ISNUMBER(INDEX(SPPR!$E:$X,MATCH($A48,SPPR!$A:$A,0),20)),$C48*INDEX(SPPR!$E:$X,MATCH($A48,SPPR!$A:$A,0),20),""),"")</f>
        <v/>
      </c>
    </row>
    <row r="49">
      <c r="A49" t="inlineStr">
        <is>
          <t>Harpadon nehereus</t>
        </is>
      </c>
      <c r="B49">
        <f>IFERROR(INDEX(SPPR!$D:$D,MATCH($A49,SPPR!$A:$A,0)),"")</f>
        <v/>
      </c>
      <c r="C49">
        <f>IFERROR(INDEX(Catch!$E:$BV,MATCH($A49,Catch!$A:$A,0),MATCH($B$4,Catch!$E$1:$BV$1,0)),0)</f>
        <v/>
      </c>
      <c r="D49">
        <f>IFERROR(IF(ISNUMBER(INDEX(SPPR!$E:$X,MATCH($A49,SPPR!$A:$A,0),1)),$C49*INDEX(SPPR!$E:$X,MATCH($A49,SPPR!$A:$A,0),1),""),"")</f>
        <v/>
      </c>
      <c r="E49">
        <f>IFERROR(IF(ISNUMBER(INDEX(SPPR!$E:$X,MATCH($A49,SPPR!$A:$A,0),2)),$C49*INDEX(SPPR!$E:$X,MATCH($A49,SPPR!$A:$A,0),2),""),"")</f>
        <v/>
      </c>
      <c r="F49">
        <f>IFERROR(IF(ISNUMBER(INDEX(SPPR!$E:$X,MATCH($A49,SPPR!$A:$A,0),3)),$C49*INDEX(SPPR!$E:$X,MATCH($A49,SPPR!$A:$A,0),3),""),"")</f>
        <v/>
      </c>
      <c r="G49">
        <f>IFERROR(IF(ISNUMBER(INDEX(SPPR!$E:$X,MATCH($A49,SPPR!$A:$A,0),4)),$C49*INDEX(SPPR!$E:$X,MATCH($A49,SPPR!$A:$A,0),4),""),"")</f>
        <v/>
      </c>
      <c r="H49">
        <f>IFERROR(IF(ISNUMBER(INDEX(SPPR!$E:$X,MATCH($A49,SPPR!$A:$A,0),5)),$C49*INDEX(SPPR!$E:$X,MATCH($A49,SPPR!$A:$A,0),5),""),"")</f>
        <v/>
      </c>
      <c r="I49">
        <f>IFERROR(IF(ISNUMBER(INDEX(SPPR!$E:$X,MATCH($A49,SPPR!$A:$A,0),6)),$C49*INDEX(SPPR!$E:$X,MATCH($A49,SPPR!$A:$A,0),6),""),"")</f>
        <v/>
      </c>
      <c r="J49">
        <f>IFERROR(IF(ISNUMBER(INDEX(SPPR!$E:$X,MATCH($A49,SPPR!$A:$A,0),7)),$C49*INDEX(SPPR!$E:$X,MATCH($A49,SPPR!$A:$A,0),7),""),"")</f>
        <v/>
      </c>
      <c r="K49">
        <f>IFERROR(IF(ISNUMBER(INDEX(SPPR!$E:$X,MATCH($A49,SPPR!$A:$A,0),8)),$C49*INDEX(SPPR!$E:$X,MATCH($A49,SPPR!$A:$A,0),8),""),"")</f>
        <v/>
      </c>
      <c r="L49">
        <f>IFERROR(IF(ISNUMBER(INDEX(SPPR!$E:$X,MATCH($A49,SPPR!$A:$A,0),9)),$C49*INDEX(SPPR!$E:$X,MATCH($A49,SPPR!$A:$A,0),9),""),"")</f>
        <v/>
      </c>
      <c r="M49">
        <f>IFERROR(IF(ISNUMBER(INDEX(SPPR!$E:$X,MATCH($A49,SPPR!$A:$A,0),10)),$C49*INDEX(SPPR!$E:$X,MATCH($A49,SPPR!$A:$A,0),10),""),"")</f>
        <v/>
      </c>
      <c r="N49">
        <f>IFERROR(IF(ISNUMBER(INDEX(SPPR!$E:$X,MATCH($A49,SPPR!$A:$A,0),11)),$C49*INDEX(SPPR!$E:$X,MATCH($A49,SPPR!$A:$A,0),11),""),"")</f>
        <v/>
      </c>
      <c r="O49">
        <f>IFERROR(IF(ISNUMBER(INDEX(SPPR!$E:$X,MATCH($A49,SPPR!$A:$A,0),12)),$C49*INDEX(SPPR!$E:$X,MATCH($A49,SPPR!$A:$A,0),12),""),"")</f>
        <v/>
      </c>
      <c r="P49">
        <f>IFERROR(IF(ISNUMBER(INDEX(SPPR!$E:$X,MATCH($A49,SPPR!$A:$A,0),13)),$C49*INDEX(SPPR!$E:$X,MATCH($A49,SPPR!$A:$A,0),13),""),"")</f>
        <v/>
      </c>
      <c r="Q49">
        <f>IFERROR(IF(ISNUMBER(INDEX(SPPR!$E:$X,MATCH($A49,SPPR!$A:$A,0),14)),$C49*INDEX(SPPR!$E:$X,MATCH($A49,SPPR!$A:$A,0),14),""),"")</f>
        <v/>
      </c>
      <c r="R49">
        <f>IFERROR(IF(ISNUMBER(INDEX(SPPR!$E:$X,MATCH($A49,SPPR!$A:$A,0),15)),$C49*INDEX(SPPR!$E:$X,MATCH($A49,SPPR!$A:$A,0),15),""),"")</f>
        <v/>
      </c>
      <c r="S49">
        <f>IFERROR(IF(ISNUMBER(INDEX(SPPR!$E:$X,MATCH($A49,SPPR!$A:$A,0),16)),$C49*INDEX(SPPR!$E:$X,MATCH($A49,SPPR!$A:$A,0),16),""),"")</f>
        <v/>
      </c>
      <c r="T49">
        <f>IFERROR(IF(ISNUMBER(INDEX(SPPR!$E:$X,MATCH($A49,SPPR!$A:$A,0),17)),$C49*INDEX(SPPR!$E:$X,MATCH($A49,SPPR!$A:$A,0),17),""),"")</f>
        <v/>
      </c>
      <c r="U49">
        <f>IFERROR(IF(ISNUMBER(INDEX(SPPR!$E:$X,MATCH($A49,SPPR!$A:$A,0),18)),$C49*INDEX(SPPR!$E:$X,MATCH($A49,SPPR!$A:$A,0),18),""),"")</f>
        <v/>
      </c>
      <c r="V49">
        <f>IFERROR(IF(ISNUMBER(INDEX(SPPR!$E:$X,MATCH($A49,SPPR!$A:$A,0),19)),$C49*INDEX(SPPR!$E:$X,MATCH($A49,SPPR!$A:$A,0),19),""),"")</f>
        <v/>
      </c>
      <c r="W49">
        <f>IFERROR(IF(ISNUMBER(INDEX(SPPR!$E:$X,MATCH($A49,SPPR!$A:$A,0),20)),$C49*INDEX(SPPR!$E:$X,MATCH($A49,SPPR!$A:$A,0),20),""),"")</f>
        <v/>
      </c>
    </row>
    <row r="50">
      <c r="A50" t="inlineStr">
        <is>
          <t>Katsuwonus pelamis</t>
        </is>
      </c>
      <c r="B50">
        <f>IFERROR(INDEX(SPPR!$D:$D,MATCH($A50,SPPR!$A:$A,0)),"")</f>
        <v/>
      </c>
      <c r="C50">
        <f>IFERROR(INDEX(Catch!$E:$BV,MATCH($A50,Catch!$A:$A,0),MATCH($B$4,Catch!$E$1:$BV$1,0)),0)</f>
        <v/>
      </c>
      <c r="D50">
        <f>IFERROR(IF(ISNUMBER(INDEX(SPPR!$E:$X,MATCH($A50,SPPR!$A:$A,0),1)),$C50*INDEX(SPPR!$E:$X,MATCH($A50,SPPR!$A:$A,0),1),""),"")</f>
        <v/>
      </c>
      <c r="E50">
        <f>IFERROR(IF(ISNUMBER(INDEX(SPPR!$E:$X,MATCH($A50,SPPR!$A:$A,0),2)),$C50*INDEX(SPPR!$E:$X,MATCH($A50,SPPR!$A:$A,0),2),""),"")</f>
        <v/>
      </c>
      <c r="F50">
        <f>IFERROR(IF(ISNUMBER(INDEX(SPPR!$E:$X,MATCH($A50,SPPR!$A:$A,0),3)),$C50*INDEX(SPPR!$E:$X,MATCH($A50,SPPR!$A:$A,0),3),""),"")</f>
        <v/>
      </c>
      <c r="G50">
        <f>IFERROR(IF(ISNUMBER(INDEX(SPPR!$E:$X,MATCH($A50,SPPR!$A:$A,0),4)),$C50*INDEX(SPPR!$E:$X,MATCH($A50,SPPR!$A:$A,0),4),""),"")</f>
        <v/>
      </c>
      <c r="H50">
        <f>IFERROR(IF(ISNUMBER(INDEX(SPPR!$E:$X,MATCH($A50,SPPR!$A:$A,0),5)),$C50*INDEX(SPPR!$E:$X,MATCH($A50,SPPR!$A:$A,0),5),""),"")</f>
        <v/>
      </c>
      <c r="I50">
        <f>IFERROR(IF(ISNUMBER(INDEX(SPPR!$E:$X,MATCH($A50,SPPR!$A:$A,0),6)),$C50*INDEX(SPPR!$E:$X,MATCH($A50,SPPR!$A:$A,0),6),""),"")</f>
        <v/>
      </c>
      <c r="J50">
        <f>IFERROR(IF(ISNUMBER(INDEX(SPPR!$E:$X,MATCH($A50,SPPR!$A:$A,0),7)),$C50*INDEX(SPPR!$E:$X,MATCH($A50,SPPR!$A:$A,0),7),""),"")</f>
        <v/>
      </c>
      <c r="K50">
        <f>IFERROR(IF(ISNUMBER(INDEX(SPPR!$E:$X,MATCH($A50,SPPR!$A:$A,0),8)),$C50*INDEX(SPPR!$E:$X,MATCH($A50,SPPR!$A:$A,0),8),""),"")</f>
        <v/>
      </c>
      <c r="L50">
        <f>IFERROR(IF(ISNUMBER(INDEX(SPPR!$E:$X,MATCH($A50,SPPR!$A:$A,0),9)),$C50*INDEX(SPPR!$E:$X,MATCH($A50,SPPR!$A:$A,0),9),""),"")</f>
        <v/>
      </c>
      <c r="M50">
        <f>IFERROR(IF(ISNUMBER(INDEX(SPPR!$E:$X,MATCH($A50,SPPR!$A:$A,0),10)),$C50*INDEX(SPPR!$E:$X,MATCH($A50,SPPR!$A:$A,0),10),""),"")</f>
        <v/>
      </c>
      <c r="N50">
        <f>IFERROR(IF(ISNUMBER(INDEX(SPPR!$E:$X,MATCH($A50,SPPR!$A:$A,0),11)),$C50*INDEX(SPPR!$E:$X,MATCH($A50,SPPR!$A:$A,0),11),""),"")</f>
        <v/>
      </c>
      <c r="O50">
        <f>IFERROR(IF(ISNUMBER(INDEX(SPPR!$E:$X,MATCH($A50,SPPR!$A:$A,0),12)),$C50*INDEX(SPPR!$E:$X,MATCH($A50,SPPR!$A:$A,0),12),""),"")</f>
        <v/>
      </c>
      <c r="P50">
        <f>IFERROR(IF(ISNUMBER(INDEX(SPPR!$E:$X,MATCH($A50,SPPR!$A:$A,0),13)),$C50*INDEX(SPPR!$E:$X,MATCH($A50,SPPR!$A:$A,0),13),""),"")</f>
        <v/>
      </c>
      <c r="Q50">
        <f>IFERROR(IF(ISNUMBER(INDEX(SPPR!$E:$X,MATCH($A50,SPPR!$A:$A,0),14)),$C50*INDEX(SPPR!$E:$X,MATCH($A50,SPPR!$A:$A,0),14),""),"")</f>
        <v/>
      </c>
      <c r="R50">
        <f>IFERROR(IF(ISNUMBER(INDEX(SPPR!$E:$X,MATCH($A50,SPPR!$A:$A,0),15)),$C50*INDEX(SPPR!$E:$X,MATCH($A50,SPPR!$A:$A,0),15),""),"")</f>
        <v/>
      </c>
      <c r="S50">
        <f>IFERROR(IF(ISNUMBER(INDEX(SPPR!$E:$X,MATCH($A50,SPPR!$A:$A,0),16)),$C50*INDEX(SPPR!$E:$X,MATCH($A50,SPPR!$A:$A,0),16),""),"")</f>
        <v/>
      </c>
      <c r="T50">
        <f>IFERROR(IF(ISNUMBER(INDEX(SPPR!$E:$X,MATCH($A50,SPPR!$A:$A,0),17)),$C50*INDEX(SPPR!$E:$X,MATCH($A50,SPPR!$A:$A,0),17),""),"")</f>
        <v/>
      </c>
      <c r="U50">
        <f>IFERROR(IF(ISNUMBER(INDEX(SPPR!$E:$X,MATCH($A50,SPPR!$A:$A,0),18)),$C50*INDEX(SPPR!$E:$X,MATCH($A50,SPPR!$A:$A,0),18),""),"")</f>
        <v/>
      </c>
      <c r="V50">
        <f>IFERROR(IF(ISNUMBER(INDEX(SPPR!$E:$X,MATCH($A50,SPPR!$A:$A,0),19)),$C50*INDEX(SPPR!$E:$X,MATCH($A50,SPPR!$A:$A,0),19),""),"")</f>
        <v/>
      </c>
      <c r="W50">
        <f>IFERROR(IF(ISNUMBER(INDEX(SPPR!$E:$X,MATCH($A50,SPPR!$A:$A,0),20)),$C50*INDEX(SPPR!$E:$X,MATCH($A50,SPPR!$A:$A,0),20),""),"")</f>
        <v/>
      </c>
    </row>
    <row r="51">
      <c r="A51" t="inlineStr">
        <is>
          <t>Cephalopoda</t>
        </is>
      </c>
      <c r="B51">
        <f>IFERROR(INDEX(SPPR!$D:$D,MATCH($A51,SPPR!$A:$A,0)),"")</f>
        <v/>
      </c>
      <c r="C51">
        <f>IFERROR(INDEX(Catch!$E:$BV,MATCH($A51,Catch!$A:$A,0),MATCH($B$4,Catch!$E$1:$BV$1,0)),0)</f>
        <v/>
      </c>
      <c r="D51">
        <f>IFERROR(IF(ISNUMBER(INDEX(SPPR!$E:$X,MATCH($A51,SPPR!$A:$A,0),1)),$C51*INDEX(SPPR!$E:$X,MATCH($A51,SPPR!$A:$A,0),1),""),"")</f>
        <v/>
      </c>
      <c r="E51">
        <f>IFERROR(IF(ISNUMBER(INDEX(SPPR!$E:$X,MATCH($A51,SPPR!$A:$A,0),2)),$C51*INDEX(SPPR!$E:$X,MATCH($A51,SPPR!$A:$A,0),2),""),"")</f>
        <v/>
      </c>
      <c r="F51">
        <f>IFERROR(IF(ISNUMBER(INDEX(SPPR!$E:$X,MATCH($A51,SPPR!$A:$A,0),3)),$C51*INDEX(SPPR!$E:$X,MATCH($A51,SPPR!$A:$A,0),3),""),"")</f>
        <v/>
      </c>
      <c r="G51">
        <f>IFERROR(IF(ISNUMBER(INDEX(SPPR!$E:$X,MATCH($A51,SPPR!$A:$A,0),4)),$C51*INDEX(SPPR!$E:$X,MATCH($A51,SPPR!$A:$A,0),4),""),"")</f>
        <v/>
      </c>
      <c r="H51">
        <f>IFERROR(IF(ISNUMBER(INDEX(SPPR!$E:$X,MATCH($A51,SPPR!$A:$A,0),5)),$C51*INDEX(SPPR!$E:$X,MATCH($A51,SPPR!$A:$A,0),5),""),"")</f>
        <v/>
      </c>
      <c r="I51">
        <f>IFERROR(IF(ISNUMBER(INDEX(SPPR!$E:$X,MATCH($A51,SPPR!$A:$A,0),6)),$C51*INDEX(SPPR!$E:$X,MATCH($A51,SPPR!$A:$A,0),6),""),"")</f>
        <v/>
      </c>
      <c r="J51">
        <f>IFERROR(IF(ISNUMBER(INDEX(SPPR!$E:$X,MATCH($A51,SPPR!$A:$A,0),7)),$C51*INDEX(SPPR!$E:$X,MATCH($A51,SPPR!$A:$A,0),7),""),"")</f>
        <v/>
      </c>
      <c r="K51">
        <f>IFERROR(IF(ISNUMBER(INDEX(SPPR!$E:$X,MATCH($A51,SPPR!$A:$A,0),8)),$C51*INDEX(SPPR!$E:$X,MATCH($A51,SPPR!$A:$A,0),8),""),"")</f>
        <v/>
      </c>
      <c r="L51">
        <f>IFERROR(IF(ISNUMBER(INDEX(SPPR!$E:$X,MATCH($A51,SPPR!$A:$A,0),9)),$C51*INDEX(SPPR!$E:$X,MATCH($A51,SPPR!$A:$A,0),9),""),"")</f>
        <v/>
      </c>
      <c r="M51">
        <f>IFERROR(IF(ISNUMBER(INDEX(SPPR!$E:$X,MATCH($A51,SPPR!$A:$A,0),10)),$C51*INDEX(SPPR!$E:$X,MATCH($A51,SPPR!$A:$A,0),10),""),"")</f>
        <v/>
      </c>
      <c r="N51">
        <f>IFERROR(IF(ISNUMBER(INDEX(SPPR!$E:$X,MATCH($A51,SPPR!$A:$A,0),11)),$C51*INDEX(SPPR!$E:$X,MATCH($A51,SPPR!$A:$A,0),11),""),"")</f>
        <v/>
      </c>
      <c r="O51">
        <f>IFERROR(IF(ISNUMBER(INDEX(SPPR!$E:$X,MATCH($A51,SPPR!$A:$A,0),12)),$C51*INDEX(SPPR!$E:$X,MATCH($A51,SPPR!$A:$A,0),12),""),"")</f>
        <v/>
      </c>
      <c r="P51">
        <f>IFERROR(IF(ISNUMBER(INDEX(SPPR!$E:$X,MATCH($A51,SPPR!$A:$A,0),13)),$C51*INDEX(SPPR!$E:$X,MATCH($A51,SPPR!$A:$A,0),13),""),"")</f>
        <v/>
      </c>
      <c r="Q51">
        <f>IFERROR(IF(ISNUMBER(INDEX(SPPR!$E:$X,MATCH($A51,SPPR!$A:$A,0),14)),$C51*INDEX(SPPR!$E:$X,MATCH($A51,SPPR!$A:$A,0),14),""),"")</f>
        <v/>
      </c>
      <c r="R51">
        <f>IFERROR(IF(ISNUMBER(INDEX(SPPR!$E:$X,MATCH($A51,SPPR!$A:$A,0),15)),$C51*INDEX(SPPR!$E:$X,MATCH($A51,SPPR!$A:$A,0),15),""),"")</f>
        <v/>
      </c>
      <c r="S51">
        <f>IFERROR(IF(ISNUMBER(INDEX(SPPR!$E:$X,MATCH($A51,SPPR!$A:$A,0),16)),$C51*INDEX(SPPR!$E:$X,MATCH($A51,SPPR!$A:$A,0),16),""),"")</f>
        <v/>
      </c>
      <c r="T51">
        <f>IFERROR(IF(ISNUMBER(INDEX(SPPR!$E:$X,MATCH($A51,SPPR!$A:$A,0),17)),$C51*INDEX(SPPR!$E:$X,MATCH($A51,SPPR!$A:$A,0),17),""),"")</f>
        <v/>
      </c>
      <c r="U51">
        <f>IFERROR(IF(ISNUMBER(INDEX(SPPR!$E:$X,MATCH($A51,SPPR!$A:$A,0),18)),$C51*INDEX(SPPR!$E:$X,MATCH($A51,SPPR!$A:$A,0),18),""),"")</f>
        <v/>
      </c>
      <c r="V51">
        <f>IFERROR(IF(ISNUMBER(INDEX(SPPR!$E:$X,MATCH($A51,SPPR!$A:$A,0),19)),$C51*INDEX(SPPR!$E:$X,MATCH($A51,SPPR!$A:$A,0),19),""),"")</f>
        <v/>
      </c>
      <c r="W51">
        <f>IFERROR(IF(ISNUMBER(INDEX(SPPR!$E:$X,MATCH($A51,SPPR!$A:$A,0),20)),$C51*INDEX(SPPR!$E:$X,MATCH($A51,SPPR!$A:$A,0),20),""),"")</f>
        <v/>
      </c>
    </row>
    <row r="52">
      <c r="A52" t="inlineStr">
        <is>
          <t>Nemipteridae</t>
        </is>
      </c>
      <c r="B52">
        <f>IFERROR(INDEX(SPPR!$D:$D,MATCH($A52,SPPR!$A:$A,0)),"")</f>
        <v/>
      </c>
      <c r="C52">
        <f>IFERROR(INDEX(Catch!$E:$BV,MATCH($A52,Catch!$A:$A,0),MATCH($B$4,Catch!$E$1:$BV$1,0)),0)</f>
        <v/>
      </c>
      <c r="D52">
        <f>IFERROR(IF(ISNUMBER(INDEX(SPPR!$E:$X,MATCH($A52,SPPR!$A:$A,0),1)),$C52*INDEX(SPPR!$E:$X,MATCH($A52,SPPR!$A:$A,0),1),""),"")</f>
        <v/>
      </c>
      <c r="E52">
        <f>IFERROR(IF(ISNUMBER(INDEX(SPPR!$E:$X,MATCH($A52,SPPR!$A:$A,0),2)),$C52*INDEX(SPPR!$E:$X,MATCH($A52,SPPR!$A:$A,0),2),""),"")</f>
        <v/>
      </c>
      <c r="F52">
        <f>IFERROR(IF(ISNUMBER(INDEX(SPPR!$E:$X,MATCH($A52,SPPR!$A:$A,0),3)),$C52*INDEX(SPPR!$E:$X,MATCH($A52,SPPR!$A:$A,0),3),""),"")</f>
        <v/>
      </c>
      <c r="G52">
        <f>IFERROR(IF(ISNUMBER(INDEX(SPPR!$E:$X,MATCH($A52,SPPR!$A:$A,0),4)),$C52*INDEX(SPPR!$E:$X,MATCH($A52,SPPR!$A:$A,0),4),""),"")</f>
        <v/>
      </c>
      <c r="H52">
        <f>IFERROR(IF(ISNUMBER(INDEX(SPPR!$E:$X,MATCH($A52,SPPR!$A:$A,0),5)),$C52*INDEX(SPPR!$E:$X,MATCH($A52,SPPR!$A:$A,0),5),""),"")</f>
        <v/>
      </c>
      <c r="I52">
        <f>IFERROR(IF(ISNUMBER(INDEX(SPPR!$E:$X,MATCH($A52,SPPR!$A:$A,0),6)),$C52*INDEX(SPPR!$E:$X,MATCH($A52,SPPR!$A:$A,0),6),""),"")</f>
        <v/>
      </c>
      <c r="J52">
        <f>IFERROR(IF(ISNUMBER(INDEX(SPPR!$E:$X,MATCH($A52,SPPR!$A:$A,0),7)),$C52*INDEX(SPPR!$E:$X,MATCH($A52,SPPR!$A:$A,0),7),""),"")</f>
        <v/>
      </c>
      <c r="K52">
        <f>IFERROR(IF(ISNUMBER(INDEX(SPPR!$E:$X,MATCH($A52,SPPR!$A:$A,0),8)),$C52*INDEX(SPPR!$E:$X,MATCH($A52,SPPR!$A:$A,0),8),""),"")</f>
        <v/>
      </c>
      <c r="L52">
        <f>IFERROR(IF(ISNUMBER(INDEX(SPPR!$E:$X,MATCH($A52,SPPR!$A:$A,0),9)),$C52*INDEX(SPPR!$E:$X,MATCH($A52,SPPR!$A:$A,0),9),""),"")</f>
        <v/>
      </c>
      <c r="M52">
        <f>IFERROR(IF(ISNUMBER(INDEX(SPPR!$E:$X,MATCH($A52,SPPR!$A:$A,0),10)),$C52*INDEX(SPPR!$E:$X,MATCH($A52,SPPR!$A:$A,0),10),""),"")</f>
        <v/>
      </c>
      <c r="N52">
        <f>IFERROR(IF(ISNUMBER(INDEX(SPPR!$E:$X,MATCH($A52,SPPR!$A:$A,0),11)),$C52*INDEX(SPPR!$E:$X,MATCH($A52,SPPR!$A:$A,0),11),""),"")</f>
        <v/>
      </c>
      <c r="O52">
        <f>IFERROR(IF(ISNUMBER(INDEX(SPPR!$E:$X,MATCH($A52,SPPR!$A:$A,0),12)),$C52*INDEX(SPPR!$E:$X,MATCH($A52,SPPR!$A:$A,0),12),""),"")</f>
        <v/>
      </c>
      <c r="P52">
        <f>IFERROR(IF(ISNUMBER(INDEX(SPPR!$E:$X,MATCH($A52,SPPR!$A:$A,0),13)),$C52*INDEX(SPPR!$E:$X,MATCH($A52,SPPR!$A:$A,0),13),""),"")</f>
        <v/>
      </c>
      <c r="Q52">
        <f>IFERROR(IF(ISNUMBER(INDEX(SPPR!$E:$X,MATCH($A52,SPPR!$A:$A,0),14)),$C52*INDEX(SPPR!$E:$X,MATCH($A52,SPPR!$A:$A,0),14),""),"")</f>
        <v/>
      </c>
      <c r="R52">
        <f>IFERROR(IF(ISNUMBER(INDEX(SPPR!$E:$X,MATCH($A52,SPPR!$A:$A,0),15)),$C52*INDEX(SPPR!$E:$X,MATCH($A52,SPPR!$A:$A,0),15),""),"")</f>
        <v/>
      </c>
      <c r="S52">
        <f>IFERROR(IF(ISNUMBER(INDEX(SPPR!$E:$X,MATCH($A52,SPPR!$A:$A,0),16)),$C52*INDEX(SPPR!$E:$X,MATCH($A52,SPPR!$A:$A,0),16),""),"")</f>
        <v/>
      </c>
      <c r="T52">
        <f>IFERROR(IF(ISNUMBER(INDEX(SPPR!$E:$X,MATCH($A52,SPPR!$A:$A,0),17)),$C52*INDEX(SPPR!$E:$X,MATCH($A52,SPPR!$A:$A,0),17),""),"")</f>
        <v/>
      </c>
      <c r="U52">
        <f>IFERROR(IF(ISNUMBER(INDEX(SPPR!$E:$X,MATCH($A52,SPPR!$A:$A,0),18)),$C52*INDEX(SPPR!$E:$X,MATCH($A52,SPPR!$A:$A,0),18),""),"")</f>
        <v/>
      </c>
      <c r="V52">
        <f>IFERROR(IF(ISNUMBER(INDEX(SPPR!$E:$X,MATCH($A52,SPPR!$A:$A,0),19)),$C52*INDEX(SPPR!$E:$X,MATCH($A52,SPPR!$A:$A,0),19),""),"")</f>
        <v/>
      </c>
      <c r="W52">
        <f>IFERROR(IF(ISNUMBER(INDEX(SPPR!$E:$X,MATCH($A52,SPPR!$A:$A,0),20)),$C52*INDEX(SPPR!$E:$X,MATCH($A52,SPPR!$A:$A,0),20),""),"")</f>
        <v/>
      </c>
    </row>
    <row r="53">
      <c r="A53" t="inlineStr">
        <is>
          <t>Thunnus albacares</t>
        </is>
      </c>
      <c r="B53">
        <f>IFERROR(INDEX(SPPR!$D:$D,MATCH($A53,SPPR!$A:$A,0)),"")</f>
        <v/>
      </c>
      <c r="C53">
        <f>IFERROR(INDEX(Catch!$E:$BV,MATCH($A53,Catch!$A:$A,0),MATCH($B$4,Catch!$E$1:$BV$1,0)),0)</f>
        <v/>
      </c>
      <c r="D53">
        <f>IFERROR(IF(ISNUMBER(INDEX(SPPR!$E:$X,MATCH($A53,SPPR!$A:$A,0),1)),$C53*INDEX(SPPR!$E:$X,MATCH($A53,SPPR!$A:$A,0),1),""),"")</f>
        <v/>
      </c>
      <c r="E53">
        <f>IFERROR(IF(ISNUMBER(INDEX(SPPR!$E:$X,MATCH($A53,SPPR!$A:$A,0),2)),$C53*INDEX(SPPR!$E:$X,MATCH($A53,SPPR!$A:$A,0),2),""),"")</f>
        <v/>
      </c>
      <c r="F53">
        <f>IFERROR(IF(ISNUMBER(INDEX(SPPR!$E:$X,MATCH($A53,SPPR!$A:$A,0),3)),$C53*INDEX(SPPR!$E:$X,MATCH($A53,SPPR!$A:$A,0),3),""),"")</f>
        <v/>
      </c>
      <c r="G53">
        <f>IFERROR(IF(ISNUMBER(INDEX(SPPR!$E:$X,MATCH($A53,SPPR!$A:$A,0),4)),$C53*INDEX(SPPR!$E:$X,MATCH($A53,SPPR!$A:$A,0),4),""),"")</f>
        <v/>
      </c>
      <c r="H53">
        <f>IFERROR(IF(ISNUMBER(INDEX(SPPR!$E:$X,MATCH($A53,SPPR!$A:$A,0),5)),$C53*INDEX(SPPR!$E:$X,MATCH($A53,SPPR!$A:$A,0),5),""),"")</f>
        <v/>
      </c>
      <c r="I53">
        <f>IFERROR(IF(ISNUMBER(INDEX(SPPR!$E:$X,MATCH($A53,SPPR!$A:$A,0),6)),$C53*INDEX(SPPR!$E:$X,MATCH($A53,SPPR!$A:$A,0),6),""),"")</f>
        <v/>
      </c>
      <c r="J53">
        <f>IFERROR(IF(ISNUMBER(INDEX(SPPR!$E:$X,MATCH($A53,SPPR!$A:$A,0),7)),$C53*INDEX(SPPR!$E:$X,MATCH($A53,SPPR!$A:$A,0),7),""),"")</f>
        <v/>
      </c>
      <c r="K53">
        <f>IFERROR(IF(ISNUMBER(INDEX(SPPR!$E:$X,MATCH($A53,SPPR!$A:$A,0),8)),$C53*INDEX(SPPR!$E:$X,MATCH($A53,SPPR!$A:$A,0),8),""),"")</f>
        <v/>
      </c>
      <c r="L53">
        <f>IFERROR(IF(ISNUMBER(INDEX(SPPR!$E:$X,MATCH($A53,SPPR!$A:$A,0),9)),$C53*INDEX(SPPR!$E:$X,MATCH($A53,SPPR!$A:$A,0),9),""),"")</f>
        <v/>
      </c>
      <c r="M53">
        <f>IFERROR(IF(ISNUMBER(INDEX(SPPR!$E:$X,MATCH($A53,SPPR!$A:$A,0),10)),$C53*INDEX(SPPR!$E:$X,MATCH($A53,SPPR!$A:$A,0),10),""),"")</f>
        <v/>
      </c>
      <c r="N53">
        <f>IFERROR(IF(ISNUMBER(INDEX(SPPR!$E:$X,MATCH($A53,SPPR!$A:$A,0),11)),$C53*INDEX(SPPR!$E:$X,MATCH($A53,SPPR!$A:$A,0),11),""),"")</f>
        <v/>
      </c>
      <c r="O53">
        <f>IFERROR(IF(ISNUMBER(INDEX(SPPR!$E:$X,MATCH($A53,SPPR!$A:$A,0),12)),$C53*INDEX(SPPR!$E:$X,MATCH($A53,SPPR!$A:$A,0),12),""),"")</f>
        <v/>
      </c>
      <c r="P53">
        <f>IFERROR(IF(ISNUMBER(INDEX(SPPR!$E:$X,MATCH($A53,SPPR!$A:$A,0),13)),$C53*INDEX(SPPR!$E:$X,MATCH($A53,SPPR!$A:$A,0),13),""),"")</f>
        <v/>
      </c>
      <c r="Q53">
        <f>IFERROR(IF(ISNUMBER(INDEX(SPPR!$E:$X,MATCH($A53,SPPR!$A:$A,0),14)),$C53*INDEX(SPPR!$E:$X,MATCH($A53,SPPR!$A:$A,0),14),""),"")</f>
        <v/>
      </c>
      <c r="R53">
        <f>IFERROR(IF(ISNUMBER(INDEX(SPPR!$E:$X,MATCH($A53,SPPR!$A:$A,0),15)),$C53*INDEX(SPPR!$E:$X,MATCH($A53,SPPR!$A:$A,0),15),""),"")</f>
        <v/>
      </c>
      <c r="S53">
        <f>IFERROR(IF(ISNUMBER(INDEX(SPPR!$E:$X,MATCH($A53,SPPR!$A:$A,0),16)),$C53*INDEX(SPPR!$E:$X,MATCH($A53,SPPR!$A:$A,0),16),""),"")</f>
        <v/>
      </c>
      <c r="T53">
        <f>IFERROR(IF(ISNUMBER(INDEX(SPPR!$E:$X,MATCH($A53,SPPR!$A:$A,0),17)),$C53*INDEX(SPPR!$E:$X,MATCH($A53,SPPR!$A:$A,0),17),""),"")</f>
        <v/>
      </c>
      <c r="U53">
        <f>IFERROR(IF(ISNUMBER(INDEX(SPPR!$E:$X,MATCH($A53,SPPR!$A:$A,0),18)),$C53*INDEX(SPPR!$E:$X,MATCH($A53,SPPR!$A:$A,0),18),""),"")</f>
        <v/>
      </c>
      <c r="V53">
        <f>IFERROR(IF(ISNUMBER(INDEX(SPPR!$E:$X,MATCH($A53,SPPR!$A:$A,0),19)),$C53*INDEX(SPPR!$E:$X,MATCH($A53,SPPR!$A:$A,0),19),""),"")</f>
        <v/>
      </c>
      <c r="W53">
        <f>IFERROR(IF(ISNUMBER(INDEX(SPPR!$E:$X,MATCH($A53,SPPR!$A:$A,0),20)),$C53*INDEX(SPPR!$E:$X,MATCH($A53,SPPR!$A:$A,0),20),""),"")</f>
        <v/>
      </c>
    </row>
    <row r="54">
      <c r="A54" t="inlineStr">
        <is>
          <t>Trachurus japonicus</t>
        </is>
      </c>
      <c r="B54">
        <f>IFERROR(INDEX(SPPR!$D:$D,MATCH($A54,SPPR!$A:$A,0)),"")</f>
        <v/>
      </c>
      <c r="C54">
        <f>IFERROR(INDEX(Catch!$E:$BV,MATCH($A54,Catch!$A:$A,0),MATCH($B$4,Catch!$E$1:$BV$1,0)),0)</f>
        <v/>
      </c>
      <c r="D54">
        <f>IFERROR(IF(ISNUMBER(INDEX(SPPR!$E:$X,MATCH($A54,SPPR!$A:$A,0),1)),$C54*INDEX(SPPR!$E:$X,MATCH($A54,SPPR!$A:$A,0),1),""),"")</f>
        <v/>
      </c>
      <c r="E54">
        <f>IFERROR(IF(ISNUMBER(INDEX(SPPR!$E:$X,MATCH($A54,SPPR!$A:$A,0),2)),$C54*INDEX(SPPR!$E:$X,MATCH($A54,SPPR!$A:$A,0),2),""),"")</f>
        <v/>
      </c>
      <c r="F54">
        <f>IFERROR(IF(ISNUMBER(INDEX(SPPR!$E:$X,MATCH($A54,SPPR!$A:$A,0),3)),$C54*INDEX(SPPR!$E:$X,MATCH($A54,SPPR!$A:$A,0),3),""),"")</f>
        <v/>
      </c>
      <c r="G54">
        <f>IFERROR(IF(ISNUMBER(INDEX(SPPR!$E:$X,MATCH($A54,SPPR!$A:$A,0),4)),$C54*INDEX(SPPR!$E:$X,MATCH($A54,SPPR!$A:$A,0),4),""),"")</f>
        <v/>
      </c>
      <c r="H54">
        <f>IFERROR(IF(ISNUMBER(INDEX(SPPR!$E:$X,MATCH($A54,SPPR!$A:$A,0),5)),$C54*INDEX(SPPR!$E:$X,MATCH($A54,SPPR!$A:$A,0),5),""),"")</f>
        <v/>
      </c>
      <c r="I54">
        <f>IFERROR(IF(ISNUMBER(INDEX(SPPR!$E:$X,MATCH($A54,SPPR!$A:$A,0),6)),$C54*INDEX(SPPR!$E:$X,MATCH($A54,SPPR!$A:$A,0),6),""),"")</f>
        <v/>
      </c>
      <c r="J54">
        <f>IFERROR(IF(ISNUMBER(INDEX(SPPR!$E:$X,MATCH($A54,SPPR!$A:$A,0),7)),$C54*INDEX(SPPR!$E:$X,MATCH($A54,SPPR!$A:$A,0),7),""),"")</f>
        <v/>
      </c>
      <c r="K54">
        <f>IFERROR(IF(ISNUMBER(INDEX(SPPR!$E:$X,MATCH($A54,SPPR!$A:$A,0),8)),$C54*INDEX(SPPR!$E:$X,MATCH($A54,SPPR!$A:$A,0),8),""),"")</f>
        <v/>
      </c>
      <c r="L54">
        <f>IFERROR(IF(ISNUMBER(INDEX(SPPR!$E:$X,MATCH($A54,SPPR!$A:$A,0),9)),$C54*INDEX(SPPR!$E:$X,MATCH($A54,SPPR!$A:$A,0),9),""),"")</f>
        <v/>
      </c>
      <c r="M54">
        <f>IFERROR(IF(ISNUMBER(INDEX(SPPR!$E:$X,MATCH($A54,SPPR!$A:$A,0),10)),$C54*INDEX(SPPR!$E:$X,MATCH($A54,SPPR!$A:$A,0),10),""),"")</f>
        <v/>
      </c>
      <c r="N54">
        <f>IFERROR(IF(ISNUMBER(INDEX(SPPR!$E:$X,MATCH($A54,SPPR!$A:$A,0),11)),$C54*INDEX(SPPR!$E:$X,MATCH($A54,SPPR!$A:$A,0),11),""),"")</f>
        <v/>
      </c>
      <c r="O54">
        <f>IFERROR(IF(ISNUMBER(INDEX(SPPR!$E:$X,MATCH($A54,SPPR!$A:$A,0),12)),$C54*INDEX(SPPR!$E:$X,MATCH($A54,SPPR!$A:$A,0),12),""),"")</f>
        <v/>
      </c>
      <c r="P54">
        <f>IFERROR(IF(ISNUMBER(INDEX(SPPR!$E:$X,MATCH($A54,SPPR!$A:$A,0),13)),$C54*INDEX(SPPR!$E:$X,MATCH($A54,SPPR!$A:$A,0),13),""),"")</f>
        <v/>
      </c>
      <c r="Q54">
        <f>IFERROR(IF(ISNUMBER(INDEX(SPPR!$E:$X,MATCH($A54,SPPR!$A:$A,0),14)),$C54*INDEX(SPPR!$E:$X,MATCH($A54,SPPR!$A:$A,0),14),""),"")</f>
        <v/>
      </c>
      <c r="R54">
        <f>IFERROR(IF(ISNUMBER(INDEX(SPPR!$E:$X,MATCH($A54,SPPR!$A:$A,0),15)),$C54*INDEX(SPPR!$E:$X,MATCH($A54,SPPR!$A:$A,0),15),""),"")</f>
        <v/>
      </c>
      <c r="S54">
        <f>IFERROR(IF(ISNUMBER(INDEX(SPPR!$E:$X,MATCH($A54,SPPR!$A:$A,0),16)),$C54*INDEX(SPPR!$E:$X,MATCH($A54,SPPR!$A:$A,0),16),""),"")</f>
        <v/>
      </c>
      <c r="T54">
        <f>IFERROR(IF(ISNUMBER(INDEX(SPPR!$E:$X,MATCH($A54,SPPR!$A:$A,0),17)),$C54*INDEX(SPPR!$E:$X,MATCH($A54,SPPR!$A:$A,0),17),""),"")</f>
        <v/>
      </c>
      <c r="U54">
        <f>IFERROR(IF(ISNUMBER(INDEX(SPPR!$E:$X,MATCH($A54,SPPR!$A:$A,0),18)),$C54*INDEX(SPPR!$E:$X,MATCH($A54,SPPR!$A:$A,0),18),""),"")</f>
        <v/>
      </c>
      <c r="V54">
        <f>IFERROR(IF(ISNUMBER(INDEX(SPPR!$E:$X,MATCH($A54,SPPR!$A:$A,0),19)),$C54*INDEX(SPPR!$E:$X,MATCH($A54,SPPR!$A:$A,0),19),""),"")</f>
        <v/>
      </c>
      <c r="W54">
        <f>IFERROR(IF(ISNUMBER(INDEX(SPPR!$E:$X,MATCH($A54,SPPR!$A:$A,0),20)),$C54*INDEX(SPPR!$E:$X,MATCH($A54,SPPR!$A:$A,0),20),""),"")</f>
        <v/>
      </c>
    </row>
    <row r="55">
      <c r="A55" t="inlineStr">
        <is>
          <t>Rhopilema esculentum</t>
        </is>
      </c>
      <c r="B55">
        <f>IFERROR(INDEX(SPPR!$D:$D,MATCH($A55,SPPR!$A:$A,0)),"")</f>
        <v/>
      </c>
      <c r="C55">
        <f>IFERROR(INDEX(Catch!$E:$BV,MATCH($A55,Catch!$A:$A,0),MATCH($B$4,Catch!$E$1:$BV$1,0)),0)</f>
        <v/>
      </c>
      <c r="D55">
        <f>IFERROR(IF(ISNUMBER(INDEX(SPPR!$E:$X,MATCH($A55,SPPR!$A:$A,0),1)),$C55*INDEX(SPPR!$E:$X,MATCH($A55,SPPR!$A:$A,0),1),""),"")</f>
        <v/>
      </c>
      <c r="E55">
        <f>IFERROR(IF(ISNUMBER(INDEX(SPPR!$E:$X,MATCH($A55,SPPR!$A:$A,0),2)),$C55*INDEX(SPPR!$E:$X,MATCH($A55,SPPR!$A:$A,0),2),""),"")</f>
        <v/>
      </c>
      <c r="F55">
        <f>IFERROR(IF(ISNUMBER(INDEX(SPPR!$E:$X,MATCH($A55,SPPR!$A:$A,0),3)),$C55*INDEX(SPPR!$E:$X,MATCH($A55,SPPR!$A:$A,0),3),""),"")</f>
        <v/>
      </c>
      <c r="G55">
        <f>IFERROR(IF(ISNUMBER(INDEX(SPPR!$E:$X,MATCH($A55,SPPR!$A:$A,0),4)),$C55*INDEX(SPPR!$E:$X,MATCH($A55,SPPR!$A:$A,0),4),""),"")</f>
        <v/>
      </c>
      <c r="H55">
        <f>IFERROR(IF(ISNUMBER(INDEX(SPPR!$E:$X,MATCH($A55,SPPR!$A:$A,0),5)),$C55*INDEX(SPPR!$E:$X,MATCH($A55,SPPR!$A:$A,0),5),""),"")</f>
        <v/>
      </c>
      <c r="I55">
        <f>IFERROR(IF(ISNUMBER(INDEX(SPPR!$E:$X,MATCH($A55,SPPR!$A:$A,0),6)),$C55*INDEX(SPPR!$E:$X,MATCH($A55,SPPR!$A:$A,0),6),""),"")</f>
        <v/>
      </c>
      <c r="J55">
        <f>IFERROR(IF(ISNUMBER(INDEX(SPPR!$E:$X,MATCH($A55,SPPR!$A:$A,0),7)),$C55*INDEX(SPPR!$E:$X,MATCH($A55,SPPR!$A:$A,0),7),""),"")</f>
        <v/>
      </c>
      <c r="K55">
        <f>IFERROR(IF(ISNUMBER(INDEX(SPPR!$E:$X,MATCH($A55,SPPR!$A:$A,0),8)),$C55*INDEX(SPPR!$E:$X,MATCH($A55,SPPR!$A:$A,0),8),""),"")</f>
        <v/>
      </c>
      <c r="L55">
        <f>IFERROR(IF(ISNUMBER(INDEX(SPPR!$E:$X,MATCH($A55,SPPR!$A:$A,0),9)),$C55*INDEX(SPPR!$E:$X,MATCH($A55,SPPR!$A:$A,0),9),""),"")</f>
        <v/>
      </c>
      <c r="M55">
        <f>IFERROR(IF(ISNUMBER(INDEX(SPPR!$E:$X,MATCH($A55,SPPR!$A:$A,0),10)),$C55*INDEX(SPPR!$E:$X,MATCH($A55,SPPR!$A:$A,0),10),""),"")</f>
        <v/>
      </c>
      <c r="N55">
        <f>IFERROR(IF(ISNUMBER(INDEX(SPPR!$E:$X,MATCH($A55,SPPR!$A:$A,0),11)),$C55*INDEX(SPPR!$E:$X,MATCH($A55,SPPR!$A:$A,0),11),""),"")</f>
        <v/>
      </c>
      <c r="O55">
        <f>IFERROR(IF(ISNUMBER(INDEX(SPPR!$E:$X,MATCH($A55,SPPR!$A:$A,0),12)),$C55*INDEX(SPPR!$E:$X,MATCH($A55,SPPR!$A:$A,0),12),""),"")</f>
        <v/>
      </c>
      <c r="P55">
        <f>IFERROR(IF(ISNUMBER(INDEX(SPPR!$E:$X,MATCH($A55,SPPR!$A:$A,0),13)),$C55*INDEX(SPPR!$E:$X,MATCH($A55,SPPR!$A:$A,0),13),""),"")</f>
        <v/>
      </c>
      <c r="Q55">
        <f>IFERROR(IF(ISNUMBER(INDEX(SPPR!$E:$X,MATCH($A55,SPPR!$A:$A,0),14)),$C55*INDEX(SPPR!$E:$X,MATCH($A55,SPPR!$A:$A,0),14),""),"")</f>
        <v/>
      </c>
      <c r="R55">
        <f>IFERROR(IF(ISNUMBER(INDEX(SPPR!$E:$X,MATCH($A55,SPPR!$A:$A,0),15)),$C55*INDEX(SPPR!$E:$X,MATCH($A55,SPPR!$A:$A,0),15),""),"")</f>
        <v/>
      </c>
      <c r="S55">
        <f>IFERROR(IF(ISNUMBER(INDEX(SPPR!$E:$X,MATCH($A55,SPPR!$A:$A,0),16)),$C55*INDEX(SPPR!$E:$X,MATCH($A55,SPPR!$A:$A,0),16),""),"")</f>
        <v/>
      </c>
      <c r="T55">
        <f>IFERROR(IF(ISNUMBER(INDEX(SPPR!$E:$X,MATCH($A55,SPPR!$A:$A,0),17)),$C55*INDEX(SPPR!$E:$X,MATCH($A55,SPPR!$A:$A,0),17),""),"")</f>
        <v/>
      </c>
      <c r="U55">
        <f>IFERROR(IF(ISNUMBER(INDEX(SPPR!$E:$X,MATCH($A55,SPPR!$A:$A,0),18)),$C55*INDEX(SPPR!$E:$X,MATCH($A55,SPPR!$A:$A,0),18),""),"")</f>
        <v/>
      </c>
      <c r="V55">
        <f>IFERROR(IF(ISNUMBER(INDEX(SPPR!$E:$X,MATCH($A55,SPPR!$A:$A,0),19)),$C55*INDEX(SPPR!$E:$X,MATCH($A55,SPPR!$A:$A,0),19),""),"")</f>
        <v/>
      </c>
      <c r="W55">
        <f>IFERROR(IF(ISNUMBER(INDEX(SPPR!$E:$X,MATCH($A55,SPPR!$A:$A,0),20)),$C55*INDEX(SPPR!$E:$X,MATCH($A55,SPPR!$A:$A,0),20),""),"")</f>
        <v/>
      </c>
    </row>
    <row r="56">
      <c r="A56" t="inlineStr">
        <is>
          <t>Mugil cephalus</t>
        </is>
      </c>
      <c r="B56">
        <f>IFERROR(INDEX(SPPR!$D:$D,MATCH($A56,SPPR!$A:$A,0)),"")</f>
        <v/>
      </c>
      <c r="C56">
        <f>IFERROR(INDEX(Catch!$E:$BV,MATCH($A56,Catch!$A:$A,0),MATCH($B$4,Catch!$E$1:$BV$1,0)),0)</f>
        <v/>
      </c>
      <c r="D56">
        <f>IFERROR(IF(ISNUMBER(INDEX(SPPR!$E:$X,MATCH($A56,SPPR!$A:$A,0),1)),$C56*INDEX(SPPR!$E:$X,MATCH($A56,SPPR!$A:$A,0),1),""),"")</f>
        <v/>
      </c>
      <c r="E56">
        <f>IFERROR(IF(ISNUMBER(INDEX(SPPR!$E:$X,MATCH($A56,SPPR!$A:$A,0),2)),$C56*INDEX(SPPR!$E:$X,MATCH($A56,SPPR!$A:$A,0),2),""),"")</f>
        <v/>
      </c>
      <c r="F56">
        <f>IFERROR(IF(ISNUMBER(INDEX(SPPR!$E:$X,MATCH($A56,SPPR!$A:$A,0),3)),$C56*INDEX(SPPR!$E:$X,MATCH($A56,SPPR!$A:$A,0),3),""),"")</f>
        <v/>
      </c>
      <c r="G56">
        <f>IFERROR(IF(ISNUMBER(INDEX(SPPR!$E:$X,MATCH($A56,SPPR!$A:$A,0),4)),$C56*INDEX(SPPR!$E:$X,MATCH($A56,SPPR!$A:$A,0),4),""),"")</f>
        <v/>
      </c>
      <c r="H56">
        <f>IFERROR(IF(ISNUMBER(INDEX(SPPR!$E:$X,MATCH($A56,SPPR!$A:$A,0),5)),$C56*INDEX(SPPR!$E:$X,MATCH($A56,SPPR!$A:$A,0),5),""),"")</f>
        <v/>
      </c>
      <c r="I56">
        <f>IFERROR(IF(ISNUMBER(INDEX(SPPR!$E:$X,MATCH($A56,SPPR!$A:$A,0),6)),$C56*INDEX(SPPR!$E:$X,MATCH($A56,SPPR!$A:$A,0),6),""),"")</f>
        <v/>
      </c>
      <c r="J56">
        <f>IFERROR(IF(ISNUMBER(INDEX(SPPR!$E:$X,MATCH($A56,SPPR!$A:$A,0),7)),$C56*INDEX(SPPR!$E:$X,MATCH($A56,SPPR!$A:$A,0),7),""),"")</f>
        <v/>
      </c>
      <c r="K56">
        <f>IFERROR(IF(ISNUMBER(INDEX(SPPR!$E:$X,MATCH($A56,SPPR!$A:$A,0),8)),$C56*INDEX(SPPR!$E:$X,MATCH($A56,SPPR!$A:$A,0),8),""),"")</f>
        <v/>
      </c>
      <c r="L56">
        <f>IFERROR(IF(ISNUMBER(INDEX(SPPR!$E:$X,MATCH($A56,SPPR!$A:$A,0),9)),$C56*INDEX(SPPR!$E:$X,MATCH($A56,SPPR!$A:$A,0),9),""),"")</f>
        <v/>
      </c>
      <c r="M56">
        <f>IFERROR(IF(ISNUMBER(INDEX(SPPR!$E:$X,MATCH($A56,SPPR!$A:$A,0),10)),$C56*INDEX(SPPR!$E:$X,MATCH($A56,SPPR!$A:$A,0),10),""),"")</f>
        <v/>
      </c>
      <c r="N56">
        <f>IFERROR(IF(ISNUMBER(INDEX(SPPR!$E:$X,MATCH($A56,SPPR!$A:$A,0),11)),$C56*INDEX(SPPR!$E:$X,MATCH($A56,SPPR!$A:$A,0),11),""),"")</f>
        <v/>
      </c>
      <c r="O56">
        <f>IFERROR(IF(ISNUMBER(INDEX(SPPR!$E:$X,MATCH($A56,SPPR!$A:$A,0),12)),$C56*INDEX(SPPR!$E:$X,MATCH($A56,SPPR!$A:$A,0),12),""),"")</f>
        <v/>
      </c>
      <c r="P56">
        <f>IFERROR(IF(ISNUMBER(INDEX(SPPR!$E:$X,MATCH($A56,SPPR!$A:$A,0),13)),$C56*INDEX(SPPR!$E:$X,MATCH($A56,SPPR!$A:$A,0),13),""),"")</f>
        <v/>
      </c>
      <c r="Q56">
        <f>IFERROR(IF(ISNUMBER(INDEX(SPPR!$E:$X,MATCH($A56,SPPR!$A:$A,0),14)),$C56*INDEX(SPPR!$E:$X,MATCH($A56,SPPR!$A:$A,0),14),""),"")</f>
        <v/>
      </c>
      <c r="R56">
        <f>IFERROR(IF(ISNUMBER(INDEX(SPPR!$E:$X,MATCH($A56,SPPR!$A:$A,0),15)),$C56*INDEX(SPPR!$E:$X,MATCH($A56,SPPR!$A:$A,0),15),""),"")</f>
        <v/>
      </c>
      <c r="S56">
        <f>IFERROR(IF(ISNUMBER(INDEX(SPPR!$E:$X,MATCH($A56,SPPR!$A:$A,0),16)),$C56*INDEX(SPPR!$E:$X,MATCH($A56,SPPR!$A:$A,0),16),""),"")</f>
        <v/>
      </c>
      <c r="T56">
        <f>IFERROR(IF(ISNUMBER(INDEX(SPPR!$E:$X,MATCH($A56,SPPR!$A:$A,0),17)),$C56*INDEX(SPPR!$E:$X,MATCH($A56,SPPR!$A:$A,0),17),""),"")</f>
        <v/>
      </c>
      <c r="U56">
        <f>IFERROR(IF(ISNUMBER(INDEX(SPPR!$E:$X,MATCH($A56,SPPR!$A:$A,0),18)),$C56*INDEX(SPPR!$E:$X,MATCH($A56,SPPR!$A:$A,0),18),""),"")</f>
        <v/>
      </c>
      <c r="V56">
        <f>IFERROR(IF(ISNUMBER(INDEX(SPPR!$E:$X,MATCH($A56,SPPR!$A:$A,0),19)),$C56*INDEX(SPPR!$E:$X,MATCH($A56,SPPR!$A:$A,0),19),""),"")</f>
        <v/>
      </c>
      <c r="W56">
        <f>IFERROR(IF(ISNUMBER(INDEX(SPPR!$E:$X,MATCH($A56,SPPR!$A:$A,0),20)),$C56*INDEX(SPPR!$E:$X,MATCH($A56,SPPR!$A:$A,0),20),""),"")</f>
        <v/>
      </c>
    </row>
    <row r="57">
      <c r="A57" t="inlineStr">
        <is>
          <t>Dendrobranchiata</t>
        </is>
      </c>
      <c r="B57">
        <f>IFERROR(INDEX(SPPR!$D:$D,MATCH($A57,SPPR!$A:$A,0)),"")</f>
        <v/>
      </c>
      <c r="C57">
        <f>IFERROR(INDEX(Catch!$E:$BV,MATCH($A57,Catch!$A:$A,0),MATCH($B$4,Catch!$E$1:$BV$1,0)),0)</f>
        <v/>
      </c>
      <c r="D57">
        <f>IFERROR(IF(ISNUMBER(INDEX(SPPR!$E:$X,MATCH($A57,SPPR!$A:$A,0),1)),$C57*INDEX(SPPR!$E:$X,MATCH($A57,SPPR!$A:$A,0),1),""),"")</f>
        <v/>
      </c>
      <c r="E57">
        <f>IFERROR(IF(ISNUMBER(INDEX(SPPR!$E:$X,MATCH($A57,SPPR!$A:$A,0),2)),$C57*INDEX(SPPR!$E:$X,MATCH($A57,SPPR!$A:$A,0),2),""),"")</f>
        <v/>
      </c>
      <c r="F57">
        <f>IFERROR(IF(ISNUMBER(INDEX(SPPR!$E:$X,MATCH($A57,SPPR!$A:$A,0),3)),$C57*INDEX(SPPR!$E:$X,MATCH($A57,SPPR!$A:$A,0),3),""),"")</f>
        <v/>
      </c>
      <c r="G57">
        <f>IFERROR(IF(ISNUMBER(INDEX(SPPR!$E:$X,MATCH($A57,SPPR!$A:$A,0),4)),$C57*INDEX(SPPR!$E:$X,MATCH($A57,SPPR!$A:$A,0),4),""),"")</f>
        <v/>
      </c>
      <c r="H57">
        <f>IFERROR(IF(ISNUMBER(INDEX(SPPR!$E:$X,MATCH($A57,SPPR!$A:$A,0),5)),$C57*INDEX(SPPR!$E:$X,MATCH($A57,SPPR!$A:$A,0),5),""),"")</f>
        <v/>
      </c>
      <c r="I57">
        <f>IFERROR(IF(ISNUMBER(INDEX(SPPR!$E:$X,MATCH($A57,SPPR!$A:$A,0),6)),$C57*INDEX(SPPR!$E:$X,MATCH($A57,SPPR!$A:$A,0),6),""),"")</f>
        <v/>
      </c>
      <c r="J57">
        <f>IFERROR(IF(ISNUMBER(INDEX(SPPR!$E:$X,MATCH($A57,SPPR!$A:$A,0),7)),$C57*INDEX(SPPR!$E:$X,MATCH($A57,SPPR!$A:$A,0),7),""),"")</f>
        <v/>
      </c>
      <c r="K57">
        <f>IFERROR(IF(ISNUMBER(INDEX(SPPR!$E:$X,MATCH($A57,SPPR!$A:$A,0),8)),$C57*INDEX(SPPR!$E:$X,MATCH($A57,SPPR!$A:$A,0),8),""),"")</f>
        <v/>
      </c>
      <c r="L57">
        <f>IFERROR(IF(ISNUMBER(INDEX(SPPR!$E:$X,MATCH($A57,SPPR!$A:$A,0),9)),$C57*INDEX(SPPR!$E:$X,MATCH($A57,SPPR!$A:$A,0),9),""),"")</f>
        <v/>
      </c>
      <c r="M57">
        <f>IFERROR(IF(ISNUMBER(INDEX(SPPR!$E:$X,MATCH($A57,SPPR!$A:$A,0),10)),$C57*INDEX(SPPR!$E:$X,MATCH($A57,SPPR!$A:$A,0),10),""),"")</f>
        <v/>
      </c>
      <c r="N57">
        <f>IFERROR(IF(ISNUMBER(INDEX(SPPR!$E:$X,MATCH($A57,SPPR!$A:$A,0),11)),$C57*INDEX(SPPR!$E:$X,MATCH($A57,SPPR!$A:$A,0),11),""),"")</f>
        <v/>
      </c>
      <c r="O57">
        <f>IFERROR(IF(ISNUMBER(INDEX(SPPR!$E:$X,MATCH($A57,SPPR!$A:$A,0),12)),$C57*INDEX(SPPR!$E:$X,MATCH($A57,SPPR!$A:$A,0),12),""),"")</f>
        <v/>
      </c>
      <c r="P57">
        <f>IFERROR(IF(ISNUMBER(INDEX(SPPR!$E:$X,MATCH($A57,SPPR!$A:$A,0),13)),$C57*INDEX(SPPR!$E:$X,MATCH($A57,SPPR!$A:$A,0),13),""),"")</f>
        <v/>
      </c>
      <c r="Q57">
        <f>IFERROR(IF(ISNUMBER(INDEX(SPPR!$E:$X,MATCH($A57,SPPR!$A:$A,0),14)),$C57*INDEX(SPPR!$E:$X,MATCH($A57,SPPR!$A:$A,0),14),""),"")</f>
        <v/>
      </c>
      <c r="R57">
        <f>IFERROR(IF(ISNUMBER(INDEX(SPPR!$E:$X,MATCH($A57,SPPR!$A:$A,0),15)),$C57*INDEX(SPPR!$E:$X,MATCH($A57,SPPR!$A:$A,0),15),""),"")</f>
        <v/>
      </c>
      <c r="S57">
        <f>IFERROR(IF(ISNUMBER(INDEX(SPPR!$E:$X,MATCH($A57,SPPR!$A:$A,0),16)),$C57*INDEX(SPPR!$E:$X,MATCH($A57,SPPR!$A:$A,0),16),""),"")</f>
        <v/>
      </c>
      <c r="T57">
        <f>IFERROR(IF(ISNUMBER(INDEX(SPPR!$E:$X,MATCH($A57,SPPR!$A:$A,0),17)),$C57*INDEX(SPPR!$E:$X,MATCH($A57,SPPR!$A:$A,0),17),""),"")</f>
        <v/>
      </c>
      <c r="U57">
        <f>IFERROR(IF(ISNUMBER(INDEX(SPPR!$E:$X,MATCH($A57,SPPR!$A:$A,0),18)),$C57*INDEX(SPPR!$E:$X,MATCH($A57,SPPR!$A:$A,0),18),""),"")</f>
        <v/>
      </c>
      <c r="V57">
        <f>IFERROR(IF(ISNUMBER(INDEX(SPPR!$E:$X,MATCH($A57,SPPR!$A:$A,0),19)),$C57*INDEX(SPPR!$E:$X,MATCH($A57,SPPR!$A:$A,0),19),""),"")</f>
        <v/>
      </c>
      <c r="W57">
        <f>IFERROR(IF(ISNUMBER(INDEX(SPPR!$E:$X,MATCH($A57,SPPR!$A:$A,0),20)),$C57*INDEX(SPPR!$E:$X,MATCH($A57,SPPR!$A:$A,0),20),""),"")</f>
        <v/>
      </c>
    </row>
    <row r="58">
      <c r="A58" t="inlineStr">
        <is>
          <t>Pagrus major</t>
        </is>
      </c>
      <c r="B58">
        <f>IFERROR(INDEX(SPPR!$D:$D,MATCH($A58,SPPR!$A:$A,0)),"")</f>
        <v/>
      </c>
      <c r="C58">
        <f>IFERROR(INDEX(Catch!$E:$BV,MATCH($A58,Catch!$A:$A,0),MATCH($B$4,Catch!$E$1:$BV$1,0)),0)</f>
        <v/>
      </c>
      <c r="D58">
        <f>IFERROR(IF(ISNUMBER(INDEX(SPPR!$E:$X,MATCH($A58,SPPR!$A:$A,0),1)),$C58*INDEX(SPPR!$E:$X,MATCH($A58,SPPR!$A:$A,0),1),""),"")</f>
        <v/>
      </c>
      <c r="E58">
        <f>IFERROR(IF(ISNUMBER(INDEX(SPPR!$E:$X,MATCH($A58,SPPR!$A:$A,0),2)),$C58*INDEX(SPPR!$E:$X,MATCH($A58,SPPR!$A:$A,0),2),""),"")</f>
        <v/>
      </c>
      <c r="F58">
        <f>IFERROR(IF(ISNUMBER(INDEX(SPPR!$E:$X,MATCH($A58,SPPR!$A:$A,0),3)),$C58*INDEX(SPPR!$E:$X,MATCH($A58,SPPR!$A:$A,0),3),""),"")</f>
        <v/>
      </c>
      <c r="G58">
        <f>IFERROR(IF(ISNUMBER(INDEX(SPPR!$E:$X,MATCH($A58,SPPR!$A:$A,0),4)),$C58*INDEX(SPPR!$E:$X,MATCH($A58,SPPR!$A:$A,0),4),""),"")</f>
        <v/>
      </c>
      <c r="H58">
        <f>IFERROR(IF(ISNUMBER(INDEX(SPPR!$E:$X,MATCH($A58,SPPR!$A:$A,0),5)),$C58*INDEX(SPPR!$E:$X,MATCH($A58,SPPR!$A:$A,0),5),""),"")</f>
        <v/>
      </c>
      <c r="I58">
        <f>IFERROR(IF(ISNUMBER(INDEX(SPPR!$E:$X,MATCH($A58,SPPR!$A:$A,0),6)),$C58*INDEX(SPPR!$E:$X,MATCH($A58,SPPR!$A:$A,0),6),""),"")</f>
        <v/>
      </c>
      <c r="J58">
        <f>IFERROR(IF(ISNUMBER(INDEX(SPPR!$E:$X,MATCH($A58,SPPR!$A:$A,0),7)),$C58*INDEX(SPPR!$E:$X,MATCH($A58,SPPR!$A:$A,0),7),""),"")</f>
        <v/>
      </c>
      <c r="K58">
        <f>IFERROR(IF(ISNUMBER(INDEX(SPPR!$E:$X,MATCH($A58,SPPR!$A:$A,0),8)),$C58*INDEX(SPPR!$E:$X,MATCH($A58,SPPR!$A:$A,0),8),""),"")</f>
        <v/>
      </c>
      <c r="L58">
        <f>IFERROR(IF(ISNUMBER(INDEX(SPPR!$E:$X,MATCH($A58,SPPR!$A:$A,0),9)),$C58*INDEX(SPPR!$E:$X,MATCH($A58,SPPR!$A:$A,0),9),""),"")</f>
        <v/>
      </c>
      <c r="M58">
        <f>IFERROR(IF(ISNUMBER(INDEX(SPPR!$E:$X,MATCH($A58,SPPR!$A:$A,0),10)),$C58*INDEX(SPPR!$E:$X,MATCH($A58,SPPR!$A:$A,0),10),""),"")</f>
        <v/>
      </c>
      <c r="N58">
        <f>IFERROR(IF(ISNUMBER(INDEX(SPPR!$E:$X,MATCH($A58,SPPR!$A:$A,0),11)),$C58*INDEX(SPPR!$E:$X,MATCH($A58,SPPR!$A:$A,0),11),""),"")</f>
        <v/>
      </c>
      <c r="O58">
        <f>IFERROR(IF(ISNUMBER(INDEX(SPPR!$E:$X,MATCH($A58,SPPR!$A:$A,0),12)),$C58*INDEX(SPPR!$E:$X,MATCH($A58,SPPR!$A:$A,0),12),""),"")</f>
        <v/>
      </c>
      <c r="P58">
        <f>IFERROR(IF(ISNUMBER(INDEX(SPPR!$E:$X,MATCH($A58,SPPR!$A:$A,0),13)),$C58*INDEX(SPPR!$E:$X,MATCH($A58,SPPR!$A:$A,0),13),""),"")</f>
        <v/>
      </c>
      <c r="Q58">
        <f>IFERROR(IF(ISNUMBER(INDEX(SPPR!$E:$X,MATCH($A58,SPPR!$A:$A,0),14)),$C58*INDEX(SPPR!$E:$X,MATCH($A58,SPPR!$A:$A,0),14),""),"")</f>
        <v/>
      </c>
      <c r="R58">
        <f>IFERROR(IF(ISNUMBER(INDEX(SPPR!$E:$X,MATCH($A58,SPPR!$A:$A,0),15)),$C58*INDEX(SPPR!$E:$X,MATCH($A58,SPPR!$A:$A,0),15),""),"")</f>
        <v/>
      </c>
      <c r="S58">
        <f>IFERROR(IF(ISNUMBER(INDEX(SPPR!$E:$X,MATCH($A58,SPPR!$A:$A,0),16)),$C58*INDEX(SPPR!$E:$X,MATCH($A58,SPPR!$A:$A,0),16),""),"")</f>
        <v/>
      </c>
      <c r="T58">
        <f>IFERROR(IF(ISNUMBER(INDEX(SPPR!$E:$X,MATCH($A58,SPPR!$A:$A,0),17)),$C58*INDEX(SPPR!$E:$X,MATCH($A58,SPPR!$A:$A,0),17),""),"")</f>
        <v/>
      </c>
      <c r="U58">
        <f>IFERROR(IF(ISNUMBER(INDEX(SPPR!$E:$X,MATCH($A58,SPPR!$A:$A,0),18)),$C58*INDEX(SPPR!$E:$X,MATCH($A58,SPPR!$A:$A,0),18),""),"")</f>
        <v/>
      </c>
      <c r="V58">
        <f>IFERROR(IF(ISNUMBER(INDEX(SPPR!$E:$X,MATCH($A58,SPPR!$A:$A,0),19)),$C58*INDEX(SPPR!$E:$X,MATCH($A58,SPPR!$A:$A,0),19),""),"")</f>
        <v/>
      </c>
      <c r="W58">
        <f>IFERROR(IF(ISNUMBER(INDEX(SPPR!$E:$X,MATCH($A58,SPPR!$A:$A,0),20)),$C58*INDEX(SPPR!$E:$X,MATCH($A58,SPPR!$A:$A,0),20),""),"")</f>
        <v/>
      </c>
    </row>
    <row r="59">
      <c r="A59" t="inlineStr">
        <is>
          <t>Decapoda</t>
        </is>
      </c>
      <c r="B59">
        <f>IFERROR(INDEX(SPPR!$D:$D,MATCH($A59,SPPR!$A:$A,0)),"")</f>
        <v/>
      </c>
      <c r="C59">
        <f>IFERROR(INDEX(Catch!$E:$BV,MATCH($A59,Catch!$A:$A,0),MATCH($B$4,Catch!$E$1:$BV$1,0)),0)</f>
        <v/>
      </c>
      <c r="D59">
        <f>IFERROR(IF(ISNUMBER(INDEX(SPPR!$E:$X,MATCH($A59,SPPR!$A:$A,0),1)),$C59*INDEX(SPPR!$E:$X,MATCH($A59,SPPR!$A:$A,0),1),""),"")</f>
        <v/>
      </c>
      <c r="E59">
        <f>IFERROR(IF(ISNUMBER(INDEX(SPPR!$E:$X,MATCH($A59,SPPR!$A:$A,0),2)),$C59*INDEX(SPPR!$E:$X,MATCH($A59,SPPR!$A:$A,0),2),""),"")</f>
        <v/>
      </c>
      <c r="F59">
        <f>IFERROR(IF(ISNUMBER(INDEX(SPPR!$E:$X,MATCH($A59,SPPR!$A:$A,0),3)),$C59*INDEX(SPPR!$E:$X,MATCH($A59,SPPR!$A:$A,0),3),""),"")</f>
        <v/>
      </c>
      <c r="G59">
        <f>IFERROR(IF(ISNUMBER(INDEX(SPPR!$E:$X,MATCH($A59,SPPR!$A:$A,0),4)),$C59*INDEX(SPPR!$E:$X,MATCH($A59,SPPR!$A:$A,0),4),""),"")</f>
        <v/>
      </c>
      <c r="H59">
        <f>IFERROR(IF(ISNUMBER(INDEX(SPPR!$E:$X,MATCH($A59,SPPR!$A:$A,0),5)),$C59*INDEX(SPPR!$E:$X,MATCH($A59,SPPR!$A:$A,0),5),""),"")</f>
        <v/>
      </c>
      <c r="I59">
        <f>IFERROR(IF(ISNUMBER(INDEX(SPPR!$E:$X,MATCH($A59,SPPR!$A:$A,0),6)),$C59*INDEX(SPPR!$E:$X,MATCH($A59,SPPR!$A:$A,0),6),""),"")</f>
        <v/>
      </c>
      <c r="J59">
        <f>IFERROR(IF(ISNUMBER(INDEX(SPPR!$E:$X,MATCH($A59,SPPR!$A:$A,0),7)),$C59*INDEX(SPPR!$E:$X,MATCH($A59,SPPR!$A:$A,0),7),""),"")</f>
        <v/>
      </c>
      <c r="K59">
        <f>IFERROR(IF(ISNUMBER(INDEX(SPPR!$E:$X,MATCH($A59,SPPR!$A:$A,0),8)),$C59*INDEX(SPPR!$E:$X,MATCH($A59,SPPR!$A:$A,0),8),""),"")</f>
        <v/>
      </c>
      <c r="L59">
        <f>IFERROR(IF(ISNUMBER(INDEX(SPPR!$E:$X,MATCH($A59,SPPR!$A:$A,0),9)),$C59*INDEX(SPPR!$E:$X,MATCH($A59,SPPR!$A:$A,0),9),""),"")</f>
        <v/>
      </c>
      <c r="M59">
        <f>IFERROR(IF(ISNUMBER(INDEX(SPPR!$E:$X,MATCH($A59,SPPR!$A:$A,0),10)),$C59*INDEX(SPPR!$E:$X,MATCH($A59,SPPR!$A:$A,0),10),""),"")</f>
        <v/>
      </c>
      <c r="N59">
        <f>IFERROR(IF(ISNUMBER(INDEX(SPPR!$E:$X,MATCH($A59,SPPR!$A:$A,0),11)),$C59*INDEX(SPPR!$E:$X,MATCH($A59,SPPR!$A:$A,0),11),""),"")</f>
        <v/>
      </c>
      <c r="O59">
        <f>IFERROR(IF(ISNUMBER(INDEX(SPPR!$E:$X,MATCH($A59,SPPR!$A:$A,0),12)),$C59*INDEX(SPPR!$E:$X,MATCH($A59,SPPR!$A:$A,0),12),""),"")</f>
        <v/>
      </c>
      <c r="P59">
        <f>IFERROR(IF(ISNUMBER(INDEX(SPPR!$E:$X,MATCH($A59,SPPR!$A:$A,0),13)),$C59*INDEX(SPPR!$E:$X,MATCH($A59,SPPR!$A:$A,0),13),""),"")</f>
        <v/>
      </c>
      <c r="Q59">
        <f>IFERROR(IF(ISNUMBER(INDEX(SPPR!$E:$X,MATCH($A59,SPPR!$A:$A,0),14)),$C59*INDEX(SPPR!$E:$X,MATCH($A59,SPPR!$A:$A,0),14),""),"")</f>
        <v/>
      </c>
      <c r="R59">
        <f>IFERROR(IF(ISNUMBER(INDEX(SPPR!$E:$X,MATCH($A59,SPPR!$A:$A,0),15)),$C59*INDEX(SPPR!$E:$X,MATCH($A59,SPPR!$A:$A,0),15),""),"")</f>
        <v/>
      </c>
      <c r="S59">
        <f>IFERROR(IF(ISNUMBER(INDEX(SPPR!$E:$X,MATCH($A59,SPPR!$A:$A,0),16)),$C59*INDEX(SPPR!$E:$X,MATCH($A59,SPPR!$A:$A,0),16),""),"")</f>
        <v/>
      </c>
      <c r="T59">
        <f>IFERROR(IF(ISNUMBER(INDEX(SPPR!$E:$X,MATCH($A59,SPPR!$A:$A,0),17)),$C59*INDEX(SPPR!$E:$X,MATCH($A59,SPPR!$A:$A,0),17),""),"")</f>
        <v/>
      </c>
      <c r="U59">
        <f>IFERROR(IF(ISNUMBER(INDEX(SPPR!$E:$X,MATCH($A59,SPPR!$A:$A,0),18)),$C59*INDEX(SPPR!$E:$X,MATCH($A59,SPPR!$A:$A,0),18),""),"")</f>
        <v/>
      </c>
      <c r="V59">
        <f>IFERROR(IF(ISNUMBER(INDEX(SPPR!$E:$X,MATCH($A59,SPPR!$A:$A,0),19)),$C59*INDEX(SPPR!$E:$X,MATCH($A59,SPPR!$A:$A,0),19),""),"")</f>
        <v/>
      </c>
      <c r="W59">
        <f>IFERROR(IF(ISNUMBER(INDEX(SPPR!$E:$X,MATCH($A59,SPPR!$A:$A,0),20)),$C59*INDEX(SPPR!$E:$X,MATCH($A59,SPPR!$A:$A,0),20),""),"")</f>
        <v/>
      </c>
    </row>
    <row r="60">
      <c r="A60" t="inlineStr">
        <is>
          <t>Turbo cornutus</t>
        </is>
      </c>
      <c r="B60">
        <f>IFERROR(INDEX(SPPR!$D:$D,MATCH($A60,SPPR!$A:$A,0)),"")</f>
        <v/>
      </c>
      <c r="C60">
        <f>IFERROR(INDEX(Catch!$E:$BV,MATCH($A60,Catch!$A:$A,0),MATCH($B$4,Catch!$E$1:$BV$1,0)),0)</f>
        <v/>
      </c>
      <c r="D60">
        <f>IFERROR(IF(ISNUMBER(INDEX(SPPR!$E:$X,MATCH($A60,SPPR!$A:$A,0),1)),$C60*INDEX(SPPR!$E:$X,MATCH($A60,SPPR!$A:$A,0),1),""),"")</f>
        <v/>
      </c>
      <c r="E60">
        <f>IFERROR(IF(ISNUMBER(INDEX(SPPR!$E:$X,MATCH($A60,SPPR!$A:$A,0),2)),$C60*INDEX(SPPR!$E:$X,MATCH($A60,SPPR!$A:$A,0),2),""),"")</f>
        <v/>
      </c>
      <c r="F60">
        <f>IFERROR(IF(ISNUMBER(INDEX(SPPR!$E:$X,MATCH($A60,SPPR!$A:$A,0),3)),$C60*INDEX(SPPR!$E:$X,MATCH($A60,SPPR!$A:$A,0),3),""),"")</f>
        <v/>
      </c>
      <c r="G60">
        <f>IFERROR(IF(ISNUMBER(INDEX(SPPR!$E:$X,MATCH($A60,SPPR!$A:$A,0),4)),$C60*INDEX(SPPR!$E:$X,MATCH($A60,SPPR!$A:$A,0),4),""),"")</f>
        <v/>
      </c>
      <c r="H60">
        <f>IFERROR(IF(ISNUMBER(INDEX(SPPR!$E:$X,MATCH($A60,SPPR!$A:$A,0),5)),$C60*INDEX(SPPR!$E:$X,MATCH($A60,SPPR!$A:$A,0),5),""),"")</f>
        <v/>
      </c>
      <c r="I60">
        <f>IFERROR(IF(ISNUMBER(INDEX(SPPR!$E:$X,MATCH($A60,SPPR!$A:$A,0),6)),$C60*INDEX(SPPR!$E:$X,MATCH($A60,SPPR!$A:$A,0),6),""),"")</f>
        <v/>
      </c>
      <c r="J60">
        <f>IFERROR(IF(ISNUMBER(INDEX(SPPR!$E:$X,MATCH($A60,SPPR!$A:$A,0),7)),$C60*INDEX(SPPR!$E:$X,MATCH($A60,SPPR!$A:$A,0),7),""),"")</f>
        <v/>
      </c>
      <c r="K60">
        <f>IFERROR(IF(ISNUMBER(INDEX(SPPR!$E:$X,MATCH($A60,SPPR!$A:$A,0),8)),$C60*INDEX(SPPR!$E:$X,MATCH($A60,SPPR!$A:$A,0),8),""),"")</f>
        <v/>
      </c>
      <c r="L60">
        <f>IFERROR(IF(ISNUMBER(INDEX(SPPR!$E:$X,MATCH($A60,SPPR!$A:$A,0),9)),$C60*INDEX(SPPR!$E:$X,MATCH($A60,SPPR!$A:$A,0),9),""),"")</f>
        <v/>
      </c>
      <c r="M60">
        <f>IFERROR(IF(ISNUMBER(INDEX(SPPR!$E:$X,MATCH($A60,SPPR!$A:$A,0),10)),$C60*INDEX(SPPR!$E:$X,MATCH($A60,SPPR!$A:$A,0),10),""),"")</f>
        <v/>
      </c>
      <c r="N60">
        <f>IFERROR(IF(ISNUMBER(INDEX(SPPR!$E:$X,MATCH($A60,SPPR!$A:$A,0),11)),$C60*INDEX(SPPR!$E:$X,MATCH($A60,SPPR!$A:$A,0),11),""),"")</f>
        <v/>
      </c>
      <c r="O60">
        <f>IFERROR(IF(ISNUMBER(INDEX(SPPR!$E:$X,MATCH($A60,SPPR!$A:$A,0),12)),$C60*INDEX(SPPR!$E:$X,MATCH($A60,SPPR!$A:$A,0),12),""),"")</f>
        <v/>
      </c>
      <c r="P60">
        <f>IFERROR(IF(ISNUMBER(INDEX(SPPR!$E:$X,MATCH($A60,SPPR!$A:$A,0),13)),$C60*INDEX(SPPR!$E:$X,MATCH($A60,SPPR!$A:$A,0),13),""),"")</f>
        <v/>
      </c>
      <c r="Q60">
        <f>IFERROR(IF(ISNUMBER(INDEX(SPPR!$E:$X,MATCH($A60,SPPR!$A:$A,0),14)),$C60*INDEX(SPPR!$E:$X,MATCH($A60,SPPR!$A:$A,0),14),""),"")</f>
        <v/>
      </c>
      <c r="R60">
        <f>IFERROR(IF(ISNUMBER(INDEX(SPPR!$E:$X,MATCH($A60,SPPR!$A:$A,0),15)),$C60*INDEX(SPPR!$E:$X,MATCH($A60,SPPR!$A:$A,0),15),""),"")</f>
        <v/>
      </c>
      <c r="S60">
        <f>IFERROR(IF(ISNUMBER(INDEX(SPPR!$E:$X,MATCH($A60,SPPR!$A:$A,0),16)),$C60*INDEX(SPPR!$E:$X,MATCH($A60,SPPR!$A:$A,0),16),""),"")</f>
        <v/>
      </c>
      <c r="T60">
        <f>IFERROR(IF(ISNUMBER(INDEX(SPPR!$E:$X,MATCH($A60,SPPR!$A:$A,0),17)),$C60*INDEX(SPPR!$E:$X,MATCH($A60,SPPR!$A:$A,0),17),""),"")</f>
        <v/>
      </c>
      <c r="U60">
        <f>IFERROR(IF(ISNUMBER(INDEX(SPPR!$E:$X,MATCH($A60,SPPR!$A:$A,0),18)),$C60*INDEX(SPPR!$E:$X,MATCH($A60,SPPR!$A:$A,0),18),""),"")</f>
        <v/>
      </c>
      <c r="V60">
        <f>IFERROR(IF(ISNUMBER(INDEX(SPPR!$E:$X,MATCH($A60,SPPR!$A:$A,0),19)),$C60*INDEX(SPPR!$E:$X,MATCH($A60,SPPR!$A:$A,0),19),""),"")</f>
        <v/>
      </c>
      <c r="W60">
        <f>IFERROR(IF(ISNUMBER(INDEX(SPPR!$E:$X,MATCH($A60,SPPR!$A:$A,0),20)),$C60*INDEX(SPPR!$E:$X,MATCH($A60,SPPR!$A:$A,0),20),""),"")</f>
        <v/>
      </c>
    </row>
    <row r="61">
      <c r="A61" t="inlineStr">
        <is>
          <t>Conger myriaster</t>
        </is>
      </c>
      <c r="B61">
        <f>IFERROR(INDEX(SPPR!$D:$D,MATCH($A61,SPPR!$A:$A,0)),"")</f>
        <v/>
      </c>
      <c r="C61">
        <f>IFERROR(INDEX(Catch!$E:$BV,MATCH($A61,Catch!$A:$A,0),MATCH($B$4,Catch!$E$1:$BV$1,0)),0)</f>
        <v/>
      </c>
      <c r="D61">
        <f>IFERROR(IF(ISNUMBER(INDEX(SPPR!$E:$X,MATCH($A61,SPPR!$A:$A,0),1)),$C61*INDEX(SPPR!$E:$X,MATCH($A61,SPPR!$A:$A,0),1),""),"")</f>
        <v/>
      </c>
      <c r="E61">
        <f>IFERROR(IF(ISNUMBER(INDEX(SPPR!$E:$X,MATCH($A61,SPPR!$A:$A,0),2)),$C61*INDEX(SPPR!$E:$X,MATCH($A61,SPPR!$A:$A,0),2),""),"")</f>
        <v/>
      </c>
      <c r="F61">
        <f>IFERROR(IF(ISNUMBER(INDEX(SPPR!$E:$X,MATCH($A61,SPPR!$A:$A,0),3)),$C61*INDEX(SPPR!$E:$X,MATCH($A61,SPPR!$A:$A,0),3),""),"")</f>
        <v/>
      </c>
      <c r="G61">
        <f>IFERROR(IF(ISNUMBER(INDEX(SPPR!$E:$X,MATCH($A61,SPPR!$A:$A,0),4)),$C61*INDEX(SPPR!$E:$X,MATCH($A61,SPPR!$A:$A,0),4),""),"")</f>
        <v/>
      </c>
      <c r="H61">
        <f>IFERROR(IF(ISNUMBER(INDEX(SPPR!$E:$X,MATCH($A61,SPPR!$A:$A,0),5)),$C61*INDEX(SPPR!$E:$X,MATCH($A61,SPPR!$A:$A,0),5),""),"")</f>
        <v/>
      </c>
      <c r="I61">
        <f>IFERROR(IF(ISNUMBER(INDEX(SPPR!$E:$X,MATCH($A61,SPPR!$A:$A,0),6)),$C61*INDEX(SPPR!$E:$X,MATCH($A61,SPPR!$A:$A,0),6),""),"")</f>
        <v/>
      </c>
      <c r="J61">
        <f>IFERROR(IF(ISNUMBER(INDEX(SPPR!$E:$X,MATCH($A61,SPPR!$A:$A,0),7)),$C61*INDEX(SPPR!$E:$X,MATCH($A61,SPPR!$A:$A,0),7),""),"")</f>
        <v/>
      </c>
      <c r="K61">
        <f>IFERROR(IF(ISNUMBER(INDEX(SPPR!$E:$X,MATCH($A61,SPPR!$A:$A,0),8)),$C61*INDEX(SPPR!$E:$X,MATCH($A61,SPPR!$A:$A,0),8),""),"")</f>
        <v/>
      </c>
      <c r="L61">
        <f>IFERROR(IF(ISNUMBER(INDEX(SPPR!$E:$X,MATCH($A61,SPPR!$A:$A,0),9)),$C61*INDEX(SPPR!$E:$X,MATCH($A61,SPPR!$A:$A,0),9),""),"")</f>
        <v/>
      </c>
      <c r="M61">
        <f>IFERROR(IF(ISNUMBER(INDEX(SPPR!$E:$X,MATCH($A61,SPPR!$A:$A,0),10)),$C61*INDEX(SPPR!$E:$X,MATCH($A61,SPPR!$A:$A,0),10),""),"")</f>
        <v/>
      </c>
      <c r="N61">
        <f>IFERROR(IF(ISNUMBER(INDEX(SPPR!$E:$X,MATCH($A61,SPPR!$A:$A,0),11)),$C61*INDEX(SPPR!$E:$X,MATCH($A61,SPPR!$A:$A,0),11),""),"")</f>
        <v/>
      </c>
      <c r="O61">
        <f>IFERROR(IF(ISNUMBER(INDEX(SPPR!$E:$X,MATCH($A61,SPPR!$A:$A,0),12)),$C61*INDEX(SPPR!$E:$X,MATCH($A61,SPPR!$A:$A,0),12),""),"")</f>
        <v/>
      </c>
      <c r="P61">
        <f>IFERROR(IF(ISNUMBER(INDEX(SPPR!$E:$X,MATCH($A61,SPPR!$A:$A,0),13)),$C61*INDEX(SPPR!$E:$X,MATCH($A61,SPPR!$A:$A,0),13),""),"")</f>
        <v/>
      </c>
      <c r="Q61">
        <f>IFERROR(IF(ISNUMBER(INDEX(SPPR!$E:$X,MATCH($A61,SPPR!$A:$A,0),14)),$C61*INDEX(SPPR!$E:$X,MATCH($A61,SPPR!$A:$A,0),14),""),"")</f>
        <v/>
      </c>
      <c r="R61">
        <f>IFERROR(IF(ISNUMBER(INDEX(SPPR!$E:$X,MATCH($A61,SPPR!$A:$A,0),15)),$C61*INDEX(SPPR!$E:$X,MATCH($A61,SPPR!$A:$A,0),15),""),"")</f>
        <v/>
      </c>
      <c r="S61">
        <f>IFERROR(IF(ISNUMBER(INDEX(SPPR!$E:$X,MATCH($A61,SPPR!$A:$A,0),16)),$C61*INDEX(SPPR!$E:$X,MATCH($A61,SPPR!$A:$A,0),16),""),"")</f>
        <v/>
      </c>
      <c r="T61">
        <f>IFERROR(IF(ISNUMBER(INDEX(SPPR!$E:$X,MATCH($A61,SPPR!$A:$A,0),17)),$C61*INDEX(SPPR!$E:$X,MATCH($A61,SPPR!$A:$A,0),17),""),"")</f>
        <v/>
      </c>
      <c r="U61">
        <f>IFERROR(IF(ISNUMBER(INDEX(SPPR!$E:$X,MATCH($A61,SPPR!$A:$A,0),18)),$C61*INDEX(SPPR!$E:$X,MATCH($A61,SPPR!$A:$A,0),18),""),"")</f>
        <v/>
      </c>
      <c r="V61">
        <f>IFERROR(IF(ISNUMBER(INDEX(SPPR!$E:$X,MATCH($A61,SPPR!$A:$A,0),19)),$C61*INDEX(SPPR!$E:$X,MATCH($A61,SPPR!$A:$A,0),19),""),"")</f>
        <v/>
      </c>
      <c r="W61">
        <f>IFERROR(IF(ISNUMBER(INDEX(SPPR!$E:$X,MATCH($A61,SPPR!$A:$A,0),20)),$C61*INDEX(SPPR!$E:$X,MATCH($A61,SPPR!$A:$A,0),20),""),"")</f>
        <v/>
      </c>
    </row>
    <row r="62">
      <c r="A62" t="inlineStr">
        <is>
          <t>Congridae</t>
        </is>
      </c>
      <c r="B62">
        <f>IFERROR(INDEX(SPPR!$D:$D,MATCH($A62,SPPR!$A:$A,0)),"")</f>
        <v/>
      </c>
      <c r="C62">
        <f>IFERROR(INDEX(Catch!$E:$BV,MATCH($A62,Catch!$A:$A,0),MATCH($B$4,Catch!$E$1:$BV$1,0)),0)</f>
        <v/>
      </c>
      <c r="D62">
        <f>IFERROR(IF(ISNUMBER(INDEX(SPPR!$E:$X,MATCH($A62,SPPR!$A:$A,0),1)),$C62*INDEX(SPPR!$E:$X,MATCH($A62,SPPR!$A:$A,0),1),""),"")</f>
        <v/>
      </c>
      <c r="E62">
        <f>IFERROR(IF(ISNUMBER(INDEX(SPPR!$E:$X,MATCH($A62,SPPR!$A:$A,0),2)),$C62*INDEX(SPPR!$E:$X,MATCH($A62,SPPR!$A:$A,0),2),""),"")</f>
        <v/>
      </c>
      <c r="F62">
        <f>IFERROR(IF(ISNUMBER(INDEX(SPPR!$E:$X,MATCH($A62,SPPR!$A:$A,0),3)),$C62*INDEX(SPPR!$E:$X,MATCH($A62,SPPR!$A:$A,0),3),""),"")</f>
        <v/>
      </c>
      <c r="G62">
        <f>IFERROR(IF(ISNUMBER(INDEX(SPPR!$E:$X,MATCH($A62,SPPR!$A:$A,0),4)),$C62*INDEX(SPPR!$E:$X,MATCH($A62,SPPR!$A:$A,0),4),""),"")</f>
        <v/>
      </c>
      <c r="H62">
        <f>IFERROR(IF(ISNUMBER(INDEX(SPPR!$E:$X,MATCH($A62,SPPR!$A:$A,0),5)),$C62*INDEX(SPPR!$E:$X,MATCH($A62,SPPR!$A:$A,0),5),""),"")</f>
        <v/>
      </c>
      <c r="I62">
        <f>IFERROR(IF(ISNUMBER(INDEX(SPPR!$E:$X,MATCH($A62,SPPR!$A:$A,0),6)),$C62*INDEX(SPPR!$E:$X,MATCH($A62,SPPR!$A:$A,0),6),""),"")</f>
        <v/>
      </c>
      <c r="J62">
        <f>IFERROR(IF(ISNUMBER(INDEX(SPPR!$E:$X,MATCH($A62,SPPR!$A:$A,0),7)),$C62*INDEX(SPPR!$E:$X,MATCH($A62,SPPR!$A:$A,0),7),""),"")</f>
        <v/>
      </c>
      <c r="K62">
        <f>IFERROR(IF(ISNUMBER(INDEX(SPPR!$E:$X,MATCH($A62,SPPR!$A:$A,0),8)),$C62*INDEX(SPPR!$E:$X,MATCH($A62,SPPR!$A:$A,0),8),""),"")</f>
        <v/>
      </c>
      <c r="L62">
        <f>IFERROR(IF(ISNUMBER(INDEX(SPPR!$E:$X,MATCH($A62,SPPR!$A:$A,0),9)),$C62*INDEX(SPPR!$E:$X,MATCH($A62,SPPR!$A:$A,0),9),""),"")</f>
        <v/>
      </c>
      <c r="M62">
        <f>IFERROR(IF(ISNUMBER(INDEX(SPPR!$E:$X,MATCH($A62,SPPR!$A:$A,0),10)),$C62*INDEX(SPPR!$E:$X,MATCH($A62,SPPR!$A:$A,0),10),""),"")</f>
        <v/>
      </c>
      <c r="N62">
        <f>IFERROR(IF(ISNUMBER(INDEX(SPPR!$E:$X,MATCH($A62,SPPR!$A:$A,0),11)),$C62*INDEX(SPPR!$E:$X,MATCH($A62,SPPR!$A:$A,0),11),""),"")</f>
        <v/>
      </c>
      <c r="O62">
        <f>IFERROR(IF(ISNUMBER(INDEX(SPPR!$E:$X,MATCH($A62,SPPR!$A:$A,0),12)),$C62*INDEX(SPPR!$E:$X,MATCH($A62,SPPR!$A:$A,0),12),""),"")</f>
        <v/>
      </c>
      <c r="P62">
        <f>IFERROR(IF(ISNUMBER(INDEX(SPPR!$E:$X,MATCH($A62,SPPR!$A:$A,0),13)),$C62*INDEX(SPPR!$E:$X,MATCH($A62,SPPR!$A:$A,0),13),""),"")</f>
        <v/>
      </c>
      <c r="Q62">
        <f>IFERROR(IF(ISNUMBER(INDEX(SPPR!$E:$X,MATCH($A62,SPPR!$A:$A,0),14)),$C62*INDEX(SPPR!$E:$X,MATCH($A62,SPPR!$A:$A,0),14),""),"")</f>
        <v/>
      </c>
      <c r="R62">
        <f>IFERROR(IF(ISNUMBER(INDEX(SPPR!$E:$X,MATCH($A62,SPPR!$A:$A,0),15)),$C62*INDEX(SPPR!$E:$X,MATCH($A62,SPPR!$A:$A,0),15),""),"")</f>
        <v/>
      </c>
      <c r="S62">
        <f>IFERROR(IF(ISNUMBER(INDEX(SPPR!$E:$X,MATCH($A62,SPPR!$A:$A,0),16)),$C62*INDEX(SPPR!$E:$X,MATCH($A62,SPPR!$A:$A,0),16),""),"")</f>
        <v/>
      </c>
      <c r="T62">
        <f>IFERROR(IF(ISNUMBER(INDEX(SPPR!$E:$X,MATCH($A62,SPPR!$A:$A,0),17)),$C62*INDEX(SPPR!$E:$X,MATCH($A62,SPPR!$A:$A,0),17),""),"")</f>
        <v/>
      </c>
      <c r="U62">
        <f>IFERROR(IF(ISNUMBER(INDEX(SPPR!$E:$X,MATCH($A62,SPPR!$A:$A,0),18)),$C62*INDEX(SPPR!$E:$X,MATCH($A62,SPPR!$A:$A,0),18),""),"")</f>
        <v/>
      </c>
      <c r="V62">
        <f>IFERROR(IF(ISNUMBER(INDEX(SPPR!$E:$X,MATCH($A62,SPPR!$A:$A,0),19)),$C62*INDEX(SPPR!$E:$X,MATCH($A62,SPPR!$A:$A,0),19),""),"")</f>
        <v/>
      </c>
      <c r="W62">
        <f>IFERROR(IF(ISNUMBER(INDEX(SPPR!$E:$X,MATCH($A62,SPPR!$A:$A,0),20)),$C62*INDEX(SPPR!$E:$X,MATCH($A62,SPPR!$A:$A,0),20),""),"")</f>
        <v/>
      </c>
    </row>
    <row r="63">
      <c r="A63" t="inlineStr">
        <is>
          <t>Seriola</t>
        </is>
      </c>
      <c r="B63">
        <f>IFERROR(INDEX(SPPR!$D:$D,MATCH($A63,SPPR!$A:$A,0)),"")</f>
        <v/>
      </c>
      <c r="C63">
        <f>IFERROR(INDEX(Catch!$E:$BV,MATCH($A63,Catch!$A:$A,0),MATCH($B$4,Catch!$E$1:$BV$1,0)),0)</f>
        <v/>
      </c>
      <c r="D63">
        <f>IFERROR(IF(ISNUMBER(INDEX(SPPR!$E:$X,MATCH($A63,SPPR!$A:$A,0),1)),$C63*INDEX(SPPR!$E:$X,MATCH($A63,SPPR!$A:$A,0),1),""),"")</f>
        <v/>
      </c>
      <c r="E63">
        <f>IFERROR(IF(ISNUMBER(INDEX(SPPR!$E:$X,MATCH($A63,SPPR!$A:$A,0),2)),$C63*INDEX(SPPR!$E:$X,MATCH($A63,SPPR!$A:$A,0),2),""),"")</f>
        <v/>
      </c>
      <c r="F63">
        <f>IFERROR(IF(ISNUMBER(INDEX(SPPR!$E:$X,MATCH($A63,SPPR!$A:$A,0),3)),$C63*INDEX(SPPR!$E:$X,MATCH($A63,SPPR!$A:$A,0),3),""),"")</f>
        <v/>
      </c>
      <c r="G63">
        <f>IFERROR(IF(ISNUMBER(INDEX(SPPR!$E:$X,MATCH($A63,SPPR!$A:$A,0),4)),$C63*INDEX(SPPR!$E:$X,MATCH($A63,SPPR!$A:$A,0),4),""),"")</f>
        <v/>
      </c>
      <c r="H63">
        <f>IFERROR(IF(ISNUMBER(INDEX(SPPR!$E:$X,MATCH($A63,SPPR!$A:$A,0),5)),$C63*INDEX(SPPR!$E:$X,MATCH($A63,SPPR!$A:$A,0),5),""),"")</f>
        <v/>
      </c>
      <c r="I63">
        <f>IFERROR(IF(ISNUMBER(INDEX(SPPR!$E:$X,MATCH($A63,SPPR!$A:$A,0),6)),$C63*INDEX(SPPR!$E:$X,MATCH($A63,SPPR!$A:$A,0),6),""),"")</f>
        <v/>
      </c>
      <c r="J63">
        <f>IFERROR(IF(ISNUMBER(INDEX(SPPR!$E:$X,MATCH($A63,SPPR!$A:$A,0),7)),$C63*INDEX(SPPR!$E:$X,MATCH($A63,SPPR!$A:$A,0),7),""),"")</f>
        <v/>
      </c>
      <c r="K63">
        <f>IFERROR(IF(ISNUMBER(INDEX(SPPR!$E:$X,MATCH($A63,SPPR!$A:$A,0),8)),$C63*INDEX(SPPR!$E:$X,MATCH($A63,SPPR!$A:$A,0),8),""),"")</f>
        <v/>
      </c>
      <c r="L63">
        <f>IFERROR(IF(ISNUMBER(INDEX(SPPR!$E:$X,MATCH($A63,SPPR!$A:$A,0),9)),$C63*INDEX(SPPR!$E:$X,MATCH($A63,SPPR!$A:$A,0),9),""),"")</f>
        <v/>
      </c>
      <c r="M63">
        <f>IFERROR(IF(ISNUMBER(INDEX(SPPR!$E:$X,MATCH($A63,SPPR!$A:$A,0),10)),$C63*INDEX(SPPR!$E:$X,MATCH($A63,SPPR!$A:$A,0),10),""),"")</f>
        <v/>
      </c>
      <c r="N63">
        <f>IFERROR(IF(ISNUMBER(INDEX(SPPR!$E:$X,MATCH($A63,SPPR!$A:$A,0),11)),$C63*INDEX(SPPR!$E:$X,MATCH($A63,SPPR!$A:$A,0),11),""),"")</f>
        <v/>
      </c>
      <c r="O63">
        <f>IFERROR(IF(ISNUMBER(INDEX(SPPR!$E:$X,MATCH($A63,SPPR!$A:$A,0),12)),$C63*INDEX(SPPR!$E:$X,MATCH($A63,SPPR!$A:$A,0),12),""),"")</f>
        <v/>
      </c>
      <c r="P63">
        <f>IFERROR(IF(ISNUMBER(INDEX(SPPR!$E:$X,MATCH($A63,SPPR!$A:$A,0),13)),$C63*INDEX(SPPR!$E:$X,MATCH($A63,SPPR!$A:$A,0),13),""),"")</f>
        <v/>
      </c>
      <c r="Q63">
        <f>IFERROR(IF(ISNUMBER(INDEX(SPPR!$E:$X,MATCH($A63,SPPR!$A:$A,0),14)),$C63*INDEX(SPPR!$E:$X,MATCH($A63,SPPR!$A:$A,0),14),""),"")</f>
        <v/>
      </c>
      <c r="R63">
        <f>IFERROR(IF(ISNUMBER(INDEX(SPPR!$E:$X,MATCH($A63,SPPR!$A:$A,0),15)),$C63*INDEX(SPPR!$E:$X,MATCH($A63,SPPR!$A:$A,0),15),""),"")</f>
        <v/>
      </c>
      <c r="S63">
        <f>IFERROR(IF(ISNUMBER(INDEX(SPPR!$E:$X,MATCH($A63,SPPR!$A:$A,0),16)),$C63*INDEX(SPPR!$E:$X,MATCH($A63,SPPR!$A:$A,0),16),""),"")</f>
        <v/>
      </c>
      <c r="T63">
        <f>IFERROR(IF(ISNUMBER(INDEX(SPPR!$E:$X,MATCH($A63,SPPR!$A:$A,0),17)),$C63*INDEX(SPPR!$E:$X,MATCH($A63,SPPR!$A:$A,0),17),""),"")</f>
        <v/>
      </c>
      <c r="U63">
        <f>IFERROR(IF(ISNUMBER(INDEX(SPPR!$E:$X,MATCH($A63,SPPR!$A:$A,0),18)),$C63*INDEX(SPPR!$E:$X,MATCH($A63,SPPR!$A:$A,0),18),""),"")</f>
        <v/>
      </c>
      <c r="V63">
        <f>IFERROR(IF(ISNUMBER(INDEX(SPPR!$E:$X,MATCH($A63,SPPR!$A:$A,0),19)),$C63*INDEX(SPPR!$E:$X,MATCH($A63,SPPR!$A:$A,0),19),""),"")</f>
        <v/>
      </c>
      <c r="W63">
        <f>IFERROR(IF(ISNUMBER(INDEX(SPPR!$E:$X,MATCH($A63,SPPR!$A:$A,0),20)),$C63*INDEX(SPPR!$E:$X,MATCH($A63,SPPR!$A:$A,0),20),""),"")</f>
        <v/>
      </c>
    </row>
    <row r="64">
      <c r="A64" t="inlineStr">
        <is>
          <t>Ilisha elongata</t>
        </is>
      </c>
      <c r="B64">
        <f>IFERROR(INDEX(SPPR!$D:$D,MATCH($A64,SPPR!$A:$A,0)),"")</f>
        <v/>
      </c>
      <c r="C64">
        <f>IFERROR(INDEX(Catch!$E:$BV,MATCH($A64,Catch!$A:$A,0),MATCH($B$4,Catch!$E$1:$BV$1,0)),0)</f>
        <v/>
      </c>
      <c r="D64">
        <f>IFERROR(IF(ISNUMBER(INDEX(SPPR!$E:$X,MATCH($A64,SPPR!$A:$A,0),1)),$C64*INDEX(SPPR!$E:$X,MATCH($A64,SPPR!$A:$A,0),1),""),"")</f>
        <v/>
      </c>
      <c r="E64">
        <f>IFERROR(IF(ISNUMBER(INDEX(SPPR!$E:$X,MATCH($A64,SPPR!$A:$A,0),2)),$C64*INDEX(SPPR!$E:$X,MATCH($A64,SPPR!$A:$A,0),2),""),"")</f>
        <v/>
      </c>
      <c r="F64">
        <f>IFERROR(IF(ISNUMBER(INDEX(SPPR!$E:$X,MATCH($A64,SPPR!$A:$A,0),3)),$C64*INDEX(SPPR!$E:$X,MATCH($A64,SPPR!$A:$A,0),3),""),"")</f>
        <v/>
      </c>
      <c r="G64">
        <f>IFERROR(IF(ISNUMBER(INDEX(SPPR!$E:$X,MATCH($A64,SPPR!$A:$A,0),4)),$C64*INDEX(SPPR!$E:$X,MATCH($A64,SPPR!$A:$A,0),4),""),"")</f>
        <v/>
      </c>
      <c r="H64">
        <f>IFERROR(IF(ISNUMBER(INDEX(SPPR!$E:$X,MATCH($A64,SPPR!$A:$A,0),5)),$C64*INDEX(SPPR!$E:$X,MATCH($A64,SPPR!$A:$A,0),5),""),"")</f>
        <v/>
      </c>
      <c r="I64">
        <f>IFERROR(IF(ISNUMBER(INDEX(SPPR!$E:$X,MATCH($A64,SPPR!$A:$A,0),6)),$C64*INDEX(SPPR!$E:$X,MATCH($A64,SPPR!$A:$A,0),6),""),"")</f>
        <v/>
      </c>
      <c r="J64">
        <f>IFERROR(IF(ISNUMBER(INDEX(SPPR!$E:$X,MATCH($A64,SPPR!$A:$A,0),7)),$C64*INDEX(SPPR!$E:$X,MATCH($A64,SPPR!$A:$A,0),7),""),"")</f>
        <v/>
      </c>
      <c r="K64">
        <f>IFERROR(IF(ISNUMBER(INDEX(SPPR!$E:$X,MATCH($A64,SPPR!$A:$A,0),8)),$C64*INDEX(SPPR!$E:$X,MATCH($A64,SPPR!$A:$A,0),8),""),"")</f>
        <v/>
      </c>
      <c r="L64">
        <f>IFERROR(IF(ISNUMBER(INDEX(SPPR!$E:$X,MATCH($A64,SPPR!$A:$A,0),9)),$C64*INDEX(SPPR!$E:$X,MATCH($A64,SPPR!$A:$A,0),9),""),"")</f>
        <v/>
      </c>
      <c r="M64">
        <f>IFERROR(IF(ISNUMBER(INDEX(SPPR!$E:$X,MATCH($A64,SPPR!$A:$A,0),10)),$C64*INDEX(SPPR!$E:$X,MATCH($A64,SPPR!$A:$A,0),10),""),"")</f>
        <v/>
      </c>
      <c r="N64">
        <f>IFERROR(IF(ISNUMBER(INDEX(SPPR!$E:$X,MATCH($A64,SPPR!$A:$A,0),11)),$C64*INDEX(SPPR!$E:$X,MATCH($A64,SPPR!$A:$A,0),11),""),"")</f>
        <v/>
      </c>
      <c r="O64">
        <f>IFERROR(IF(ISNUMBER(INDEX(SPPR!$E:$X,MATCH($A64,SPPR!$A:$A,0),12)),$C64*INDEX(SPPR!$E:$X,MATCH($A64,SPPR!$A:$A,0),12),""),"")</f>
        <v/>
      </c>
      <c r="P64">
        <f>IFERROR(IF(ISNUMBER(INDEX(SPPR!$E:$X,MATCH($A64,SPPR!$A:$A,0),13)),$C64*INDEX(SPPR!$E:$X,MATCH($A64,SPPR!$A:$A,0),13),""),"")</f>
        <v/>
      </c>
      <c r="Q64">
        <f>IFERROR(IF(ISNUMBER(INDEX(SPPR!$E:$X,MATCH($A64,SPPR!$A:$A,0),14)),$C64*INDEX(SPPR!$E:$X,MATCH($A64,SPPR!$A:$A,0),14),""),"")</f>
        <v/>
      </c>
      <c r="R64">
        <f>IFERROR(IF(ISNUMBER(INDEX(SPPR!$E:$X,MATCH($A64,SPPR!$A:$A,0),15)),$C64*INDEX(SPPR!$E:$X,MATCH($A64,SPPR!$A:$A,0),15),""),"")</f>
        <v/>
      </c>
      <c r="S64">
        <f>IFERROR(IF(ISNUMBER(INDEX(SPPR!$E:$X,MATCH($A64,SPPR!$A:$A,0),16)),$C64*INDEX(SPPR!$E:$X,MATCH($A64,SPPR!$A:$A,0),16),""),"")</f>
        <v/>
      </c>
      <c r="T64">
        <f>IFERROR(IF(ISNUMBER(INDEX(SPPR!$E:$X,MATCH($A64,SPPR!$A:$A,0),17)),$C64*INDEX(SPPR!$E:$X,MATCH($A64,SPPR!$A:$A,0),17),""),"")</f>
        <v/>
      </c>
      <c r="U64">
        <f>IFERROR(IF(ISNUMBER(INDEX(SPPR!$E:$X,MATCH($A64,SPPR!$A:$A,0),18)),$C64*INDEX(SPPR!$E:$X,MATCH($A64,SPPR!$A:$A,0),18),""),"")</f>
        <v/>
      </c>
      <c r="V64">
        <f>IFERROR(IF(ISNUMBER(INDEX(SPPR!$E:$X,MATCH($A64,SPPR!$A:$A,0),19)),$C64*INDEX(SPPR!$E:$X,MATCH($A64,SPPR!$A:$A,0),19),""),"")</f>
        <v/>
      </c>
      <c r="W64">
        <f>IFERROR(IF(ISNUMBER(INDEX(SPPR!$E:$X,MATCH($A64,SPPR!$A:$A,0),20)),$C64*INDEX(SPPR!$E:$X,MATCH($A64,SPPR!$A:$A,0),20),""),"")</f>
        <v/>
      </c>
    </row>
    <row r="65">
      <c r="A65" t="inlineStr">
        <is>
          <t>Sebastes</t>
        </is>
      </c>
      <c r="B65">
        <f>IFERROR(INDEX(SPPR!$D:$D,MATCH($A65,SPPR!$A:$A,0)),"")</f>
        <v/>
      </c>
      <c r="C65">
        <f>IFERROR(INDEX(Catch!$E:$BV,MATCH($A65,Catch!$A:$A,0),MATCH($B$4,Catch!$E$1:$BV$1,0)),0)</f>
        <v/>
      </c>
      <c r="D65">
        <f>IFERROR(IF(ISNUMBER(INDEX(SPPR!$E:$X,MATCH($A65,SPPR!$A:$A,0),1)),$C65*INDEX(SPPR!$E:$X,MATCH($A65,SPPR!$A:$A,0),1),""),"")</f>
        <v/>
      </c>
      <c r="E65">
        <f>IFERROR(IF(ISNUMBER(INDEX(SPPR!$E:$X,MATCH($A65,SPPR!$A:$A,0),2)),$C65*INDEX(SPPR!$E:$X,MATCH($A65,SPPR!$A:$A,0),2),""),"")</f>
        <v/>
      </c>
      <c r="F65">
        <f>IFERROR(IF(ISNUMBER(INDEX(SPPR!$E:$X,MATCH($A65,SPPR!$A:$A,0),3)),$C65*INDEX(SPPR!$E:$X,MATCH($A65,SPPR!$A:$A,0),3),""),"")</f>
        <v/>
      </c>
      <c r="G65">
        <f>IFERROR(IF(ISNUMBER(INDEX(SPPR!$E:$X,MATCH($A65,SPPR!$A:$A,0),4)),$C65*INDEX(SPPR!$E:$X,MATCH($A65,SPPR!$A:$A,0),4),""),"")</f>
        <v/>
      </c>
      <c r="H65">
        <f>IFERROR(IF(ISNUMBER(INDEX(SPPR!$E:$X,MATCH($A65,SPPR!$A:$A,0),5)),$C65*INDEX(SPPR!$E:$X,MATCH($A65,SPPR!$A:$A,0),5),""),"")</f>
        <v/>
      </c>
      <c r="I65">
        <f>IFERROR(IF(ISNUMBER(INDEX(SPPR!$E:$X,MATCH($A65,SPPR!$A:$A,0),6)),$C65*INDEX(SPPR!$E:$X,MATCH($A65,SPPR!$A:$A,0),6),""),"")</f>
        <v/>
      </c>
      <c r="J65">
        <f>IFERROR(IF(ISNUMBER(INDEX(SPPR!$E:$X,MATCH($A65,SPPR!$A:$A,0),7)),$C65*INDEX(SPPR!$E:$X,MATCH($A65,SPPR!$A:$A,0),7),""),"")</f>
        <v/>
      </c>
      <c r="K65">
        <f>IFERROR(IF(ISNUMBER(INDEX(SPPR!$E:$X,MATCH($A65,SPPR!$A:$A,0),8)),$C65*INDEX(SPPR!$E:$X,MATCH($A65,SPPR!$A:$A,0),8),""),"")</f>
        <v/>
      </c>
      <c r="L65">
        <f>IFERROR(IF(ISNUMBER(INDEX(SPPR!$E:$X,MATCH($A65,SPPR!$A:$A,0),9)),$C65*INDEX(SPPR!$E:$X,MATCH($A65,SPPR!$A:$A,0),9),""),"")</f>
        <v/>
      </c>
      <c r="M65">
        <f>IFERROR(IF(ISNUMBER(INDEX(SPPR!$E:$X,MATCH($A65,SPPR!$A:$A,0),10)),$C65*INDEX(SPPR!$E:$X,MATCH($A65,SPPR!$A:$A,0),10),""),"")</f>
        <v/>
      </c>
      <c r="N65">
        <f>IFERROR(IF(ISNUMBER(INDEX(SPPR!$E:$X,MATCH($A65,SPPR!$A:$A,0),11)),$C65*INDEX(SPPR!$E:$X,MATCH($A65,SPPR!$A:$A,0),11),""),"")</f>
        <v/>
      </c>
      <c r="O65">
        <f>IFERROR(IF(ISNUMBER(INDEX(SPPR!$E:$X,MATCH($A65,SPPR!$A:$A,0),12)),$C65*INDEX(SPPR!$E:$X,MATCH($A65,SPPR!$A:$A,0),12),""),"")</f>
        <v/>
      </c>
      <c r="P65">
        <f>IFERROR(IF(ISNUMBER(INDEX(SPPR!$E:$X,MATCH($A65,SPPR!$A:$A,0),13)),$C65*INDEX(SPPR!$E:$X,MATCH($A65,SPPR!$A:$A,0),13),""),"")</f>
        <v/>
      </c>
      <c r="Q65">
        <f>IFERROR(IF(ISNUMBER(INDEX(SPPR!$E:$X,MATCH($A65,SPPR!$A:$A,0),14)),$C65*INDEX(SPPR!$E:$X,MATCH($A65,SPPR!$A:$A,0),14),""),"")</f>
        <v/>
      </c>
      <c r="R65">
        <f>IFERROR(IF(ISNUMBER(INDEX(SPPR!$E:$X,MATCH($A65,SPPR!$A:$A,0),15)),$C65*INDEX(SPPR!$E:$X,MATCH($A65,SPPR!$A:$A,0),15),""),"")</f>
        <v/>
      </c>
      <c r="S65">
        <f>IFERROR(IF(ISNUMBER(INDEX(SPPR!$E:$X,MATCH($A65,SPPR!$A:$A,0),16)),$C65*INDEX(SPPR!$E:$X,MATCH($A65,SPPR!$A:$A,0),16),""),"")</f>
        <v/>
      </c>
      <c r="T65">
        <f>IFERROR(IF(ISNUMBER(INDEX(SPPR!$E:$X,MATCH($A65,SPPR!$A:$A,0),17)),$C65*INDEX(SPPR!$E:$X,MATCH($A65,SPPR!$A:$A,0),17),""),"")</f>
        <v/>
      </c>
      <c r="U65">
        <f>IFERROR(IF(ISNUMBER(INDEX(SPPR!$E:$X,MATCH($A65,SPPR!$A:$A,0),18)),$C65*INDEX(SPPR!$E:$X,MATCH($A65,SPPR!$A:$A,0),18),""),"")</f>
        <v/>
      </c>
      <c r="V65">
        <f>IFERROR(IF(ISNUMBER(INDEX(SPPR!$E:$X,MATCH($A65,SPPR!$A:$A,0),19)),$C65*INDEX(SPPR!$E:$X,MATCH($A65,SPPR!$A:$A,0),19),""),"")</f>
        <v/>
      </c>
      <c r="W65">
        <f>IFERROR(IF(ISNUMBER(INDEX(SPPR!$E:$X,MATCH($A65,SPPR!$A:$A,0),20)),$C65*INDEX(SPPR!$E:$X,MATCH($A65,SPPR!$A:$A,0),20),""),"")</f>
        <v/>
      </c>
    </row>
    <row r="66">
      <c r="A66" t="inlineStr">
        <is>
          <t>Epinephelus</t>
        </is>
      </c>
      <c r="B66">
        <f>IFERROR(INDEX(SPPR!$D:$D,MATCH($A66,SPPR!$A:$A,0)),"")</f>
        <v/>
      </c>
      <c r="C66">
        <f>IFERROR(INDEX(Catch!$E:$BV,MATCH($A66,Catch!$A:$A,0),MATCH($B$4,Catch!$E$1:$BV$1,0)),0)</f>
        <v/>
      </c>
      <c r="D66">
        <f>IFERROR(IF(ISNUMBER(INDEX(SPPR!$E:$X,MATCH($A66,SPPR!$A:$A,0),1)),$C66*INDEX(SPPR!$E:$X,MATCH($A66,SPPR!$A:$A,0),1),""),"")</f>
        <v/>
      </c>
      <c r="E66">
        <f>IFERROR(IF(ISNUMBER(INDEX(SPPR!$E:$X,MATCH($A66,SPPR!$A:$A,0),2)),$C66*INDEX(SPPR!$E:$X,MATCH($A66,SPPR!$A:$A,0),2),""),"")</f>
        <v/>
      </c>
      <c r="F66">
        <f>IFERROR(IF(ISNUMBER(INDEX(SPPR!$E:$X,MATCH($A66,SPPR!$A:$A,0),3)),$C66*INDEX(SPPR!$E:$X,MATCH($A66,SPPR!$A:$A,0),3),""),"")</f>
        <v/>
      </c>
      <c r="G66">
        <f>IFERROR(IF(ISNUMBER(INDEX(SPPR!$E:$X,MATCH($A66,SPPR!$A:$A,0),4)),$C66*INDEX(SPPR!$E:$X,MATCH($A66,SPPR!$A:$A,0),4),""),"")</f>
        <v/>
      </c>
      <c r="H66">
        <f>IFERROR(IF(ISNUMBER(INDEX(SPPR!$E:$X,MATCH($A66,SPPR!$A:$A,0),5)),$C66*INDEX(SPPR!$E:$X,MATCH($A66,SPPR!$A:$A,0),5),""),"")</f>
        <v/>
      </c>
      <c r="I66">
        <f>IFERROR(IF(ISNUMBER(INDEX(SPPR!$E:$X,MATCH($A66,SPPR!$A:$A,0),6)),$C66*INDEX(SPPR!$E:$X,MATCH($A66,SPPR!$A:$A,0),6),""),"")</f>
        <v/>
      </c>
      <c r="J66">
        <f>IFERROR(IF(ISNUMBER(INDEX(SPPR!$E:$X,MATCH($A66,SPPR!$A:$A,0),7)),$C66*INDEX(SPPR!$E:$X,MATCH($A66,SPPR!$A:$A,0),7),""),"")</f>
        <v/>
      </c>
      <c r="K66">
        <f>IFERROR(IF(ISNUMBER(INDEX(SPPR!$E:$X,MATCH($A66,SPPR!$A:$A,0),8)),$C66*INDEX(SPPR!$E:$X,MATCH($A66,SPPR!$A:$A,0),8),""),"")</f>
        <v/>
      </c>
      <c r="L66">
        <f>IFERROR(IF(ISNUMBER(INDEX(SPPR!$E:$X,MATCH($A66,SPPR!$A:$A,0),9)),$C66*INDEX(SPPR!$E:$X,MATCH($A66,SPPR!$A:$A,0),9),""),"")</f>
        <v/>
      </c>
      <c r="M66">
        <f>IFERROR(IF(ISNUMBER(INDEX(SPPR!$E:$X,MATCH($A66,SPPR!$A:$A,0),10)),$C66*INDEX(SPPR!$E:$X,MATCH($A66,SPPR!$A:$A,0),10),""),"")</f>
        <v/>
      </c>
      <c r="N66">
        <f>IFERROR(IF(ISNUMBER(INDEX(SPPR!$E:$X,MATCH($A66,SPPR!$A:$A,0),11)),$C66*INDEX(SPPR!$E:$X,MATCH($A66,SPPR!$A:$A,0),11),""),"")</f>
        <v/>
      </c>
      <c r="O66">
        <f>IFERROR(IF(ISNUMBER(INDEX(SPPR!$E:$X,MATCH($A66,SPPR!$A:$A,0),12)),$C66*INDEX(SPPR!$E:$X,MATCH($A66,SPPR!$A:$A,0),12),""),"")</f>
        <v/>
      </c>
      <c r="P66">
        <f>IFERROR(IF(ISNUMBER(INDEX(SPPR!$E:$X,MATCH($A66,SPPR!$A:$A,0),13)),$C66*INDEX(SPPR!$E:$X,MATCH($A66,SPPR!$A:$A,0),13),""),"")</f>
        <v/>
      </c>
      <c r="Q66">
        <f>IFERROR(IF(ISNUMBER(INDEX(SPPR!$E:$X,MATCH($A66,SPPR!$A:$A,0),14)),$C66*INDEX(SPPR!$E:$X,MATCH($A66,SPPR!$A:$A,0),14),""),"")</f>
        <v/>
      </c>
      <c r="R66">
        <f>IFERROR(IF(ISNUMBER(INDEX(SPPR!$E:$X,MATCH($A66,SPPR!$A:$A,0),15)),$C66*INDEX(SPPR!$E:$X,MATCH($A66,SPPR!$A:$A,0),15),""),"")</f>
        <v/>
      </c>
      <c r="S66">
        <f>IFERROR(IF(ISNUMBER(INDEX(SPPR!$E:$X,MATCH($A66,SPPR!$A:$A,0),16)),$C66*INDEX(SPPR!$E:$X,MATCH($A66,SPPR!$A:$A,0),16),""),"")</f>
        <v/>
      </c>
      <c r="T66">
        <f>IFERROR(IF(ISNUMBER(INDEX(SPPR!$E:$X,MATCH($A66,SPPR!$A:$A,0),17)),$C66*INDEX(SPPR!$E:$X,MATCH($A66,SPPR!$A:$A,0),17),""),"")</f>
        <v/>
      </c>
      <c r="U66">
        <f>IFERROR(IF(ISNUMBER(INDEX(SPPR!$E:$X,MATCH($A66,SPPR!$A:$A,0),18)),$C66*INDEX(SPPR!$E:$X,MATCH($A66,SPPR!$A:$A,0),18),""),"")</f>
        <v/>
      </c>
      <c r="V66">
        <f>IFERROR(IF(ISNUMBER(INDEX(SPPR!$E:$X,MATCH($A66,SPPR!$A:$A,0),19)),$C66*INDEX(SPPR!$E:$X,MATCH($A66,SPPR!$A:$A,0),19),""),"")</f>
        <v/>
      </c>
      <c r="W66">
        <f>IFERROR(IF(ISNUMBER(INDEX(SPPR!$E:$X,MATCH($A66,SPPR!$A:$A,0),20)),$C66*INDEX(SPPR!$E:$X,MATCH($A66,SPPR!$A:$A,0),20),""),"")</f>
        <v/>
      </c>
    </row>
    <row r="67">
      <c r="A67" t="inlineStr">
        <is>
          <t>Loliginidae</t>
        </is>
      </c>
      <c r="B67">
        <f>IFERROR(INDEX(SPPR!$D:$D,MATCH($A67,SPPR!$A:$A,0)),"")</f>
        <v/>
      </c>
      <c r="C67">
        <f>IFERROR(INDEX(Catch!$E:$BV,MATCH($A67,Catch!$A:$A,0),MATCH($B$4,Catch!$E$1:$BV$1,0)),0)</f>
        <v/>
      </c>
      <c r="D67">
        <f>IFERROR(IF(ISNUMBER(INDEX(SPPR!$E:$X,MATCH($A67,SPPR!$A:$A,0),1)),$C67*INDEX(SPPR!$E:$X,MATCH($A67,SPPR!$A:$A,0),1),""),"")</f>
        <v/>
      </c>
      <c r="E67">
        <f>IFERROR(IF(ISNUMBER(INDEX(SPPR!$E:$X,MATCH($A67,SPPR!$A:$A,0),2)),$C67*INDEX(SPPR!$E:$X,MATCH($A67,SPPR!$A:$A,0),2),""),"")</f>
        <v/>
      </c>
      <c r="F67">
        <f>IFERROR(IF(ISNUMBER(INDEX(SPPR!$E:$X,MATCH($A67,SPPR!$A:$A,0),3)),$C67*INDEX(SPPR!$E:$X,MATCH($A67,SPPR!$A:$A,0),3),""),"")</f>
        <v/>
      </c>
      <c r="G67">
        <f>IFERROR(IF(ISNUMBER(INDEX(SPPR!$E:$X,MATCH($A67,SPPR!$A:$A,0),4)),$C67*INDEX(SPPR!$E:$X,MATCH($A67,SPPR!$A:$A,0),4),""),"")</f>
        <v/>
      </c>
      <c r="H67">
        <f>IFERROR(IF(ISNUMBER(INDEX(SPPR!$E:$X,MATCH($A67,SPPR!$A:$A,0),5)),$C67*INDEX(SPPR!$E:$X,MATCH($A67,SPPR!$A:$A,0),5),""),"")</f>
        <v/>
      </c>
      <c r="I67">
        <f>IFERROR(IF(ISNUMBER(INDEX(SPPR!$E:$X,MATCH($A67,SPPR!$A:$A,0),6)),$C67*INDEX(SPPR!$E:$X,MATCH($A67,SPPR!$A:$A,0),6),""),"")</f>
        <v/>
      </c>
      <c r="J67">
        <f>IFERROR(IF(ISNUMBER(INDEX(SPPR!$E:$X,MATCH($A67,SPPR!$A:$A,0),7)),$C67*INDEX(SPPR!$E:$X,MATCH($A67,SPPR!$A:$A,0),7),""),"")</f>
        <v/>
      </c>
      <c r="K67">
        <f>IFERROR(IF(ISNUMBER(INDEX(SPPR!$E:$X,MATCH($A67,SPPR!$A:$A,0),8)),$C67*INDEX(SPPR!$E:$X,MATCH($A67,SPPR!$A:$A,0),8),""),"")</f>
        <v/>
      </c>
      <c r="L67">
        <f>IFERROR(IF(ISNUMBER(INDEX(SPPR!$E:$X,MATCH($A67,SPPR!$A:$A,0),9)),$C67*INDEX(SPPR!$E:$X,MATCH($A67,SPPR!$A:$A,0),9),""),"")</f>
        <v/>
      </c>
      <c r="M67">
        <f>IFERROR(IF(ISNUMBER(INDEX(SPPR!$E:$X,MATCH($A67,SPPR!$A:$A,0),10)),$C67*INDEX(SPPR!$E:$X,MATCH($A67,SPPR!$A:$A,0),10),""),"")</f>
        <v/>
      </c>
      <c r="N67">
        <f>IFERROR(IF(ISNUMBER(INDEX(SPPR!$E:$X,MATCH($A67,SPPR!$A:$A,0),11)),$C67*INDEX(SPPR!$E:$X,MATCH($A67,SPPR!$A:$A,0),11),""),"")</f>
        <v/>
      </c>
      <c r="O67">
        <f>IFERROR(IF(ISNUMBER(INDEX(SPPR!$E:$X,MATCH($A67,SPPR!$A:$A,0),12)),$C67*INDEX(SPPR!$E:$X,MATCH($A67,SPPR!$A:$A,0),12),""),"")</f>
        <v/>
      </c>
      <c r="P67">
        <f>IFERROR(IF(ISNUMBER(INDEX(SPPR!$E:$X,MATCH($A67,SPPR!$A:$A,0),13)),$C67*INDEX(SPPR!$E:$X,MATCH($A67,SPPR!$A:$A,0),13),""),"")</f>
        <v/>
      </c>
      <c r="Q67">
        <f>IFERROR(IF(ISNUMBER(INDEX(SPPR!$E:$X,MATCH($A67,SPPR!$A:$A,0),14)),$C67*INDEX(SPPR!$E:$X,MATCH($A67,SPPR!$A:$A,0),14),""),"")</f>
        <v/>
      </c>
      <c r="R67">
        <f>IFERROR(IF(ISNUMBER(INDEX(SPPR!$E:$X,MATCH($A67,SPPR!$A:$A,0),15)),$C67*INDEX(SPPR!$E:$X,MATCH($A67,SPPR!$A:$A,0),15),""),"")</f>
        <v/>
      </c>
      <c r="S67">
        <f>IFERROR(IF(ISNUMBER(INDEX(SPPR!$E:$X,MATCH($A67,SPPR!$A:$A,0),16)),$C67*INDEX(SPPR!$E:$X,MATCH($A67,SPPR!$A:$A,0),16),""),"")</f>
        <v/>
      </c>
      <c r="T67">
        <f>IFERROR(IF(ISNUMBER(INDEX(SPPR!$E:$X,MATCH($A67,SPPR!$A:$A,0),17)),$C67*INDEX(SPPR!$E:$X,MATCH($A67,SPPR!$A:$A,0),17),""),"")</f>
        <v/>
      </c>
      <c r="U67">
        <f>IFERROR(IF(ISNUMBER(INDEX(SPPR!$E:$X,MATCH($A67,SPPR!$A:$A,0),18)),$C67*INDEX(SPPR!$E:$X,MATCH($A67,SPPR!$A:$A,0),18),""),"")</f>
        <v/>
      </c>
      <c r="V67">
        <f>IFERROR(IF(ISNUMBER(INDEX(SPPR!$E:$X,MATCH($A67,SPPR!$A:$A,0),19)),$C67*INDEX(SPPR!$E:$X,MATCH($A67,SPPR!$A:$A,0),19),""),"")</f>
        <v/>
      </c>
      <c r="W67">
        <f>IFERROR(IF(ISNUMBER(INDEX(SPPR!$E:$X,MATCH($A67,SPPR!$A:$A,0),20)),$C67*INDEX(SPPR!$E:$X,MATCH($A67,SPPR!$A:$A,0),20),""),"")</f>
        <v/>
      </c>
    </row>
    <row r="68">
      <c r="A68" t="inlineStr">
        <is>
          <t>Stromateidae</t>
        </is>
      </c>
      <c r="B68">
        <f>IFERROR(INDEX(SPPR!$D:$D,MATCH($A68,SPPR!$A:$A,0)),"")</f>
        <v/>
      </c>
      <c r="C68">
        <f>IFERROR(INDEX(Catch!$E:$BV,MATCH($A68,Catch!$A:$A,0),MATCH($B$4,Catch!$E$1:$BV$1,0)),0)</f>
        <v/>
      </c>
      <c r="D68">
        <f>IFERROR(IF(ISNUMBER(INDEX(SPPR!$E:$X,MATCH($A68,SPPR!$A:$A,0),1)),$C68*INDEX(SPPR!$E:$X,MATCH($A68,SPPR!$A:$A,0),1),""),"")</f>
        <v/>
      </c>
      <c r="E68">
        <f>IFERROR(IF(ISNUMBER(INDEX(SPPR!$E:$X,MATCH($A68,SPPR!$A:$A,0),2)),$C68*INDEX(SPPR!$E:$X,MATCH($A68,SPPR!$A:$A,0),2),""),"")</f>
        <v/>
      </c>
      <c r="F68">
        <f>IFERROR(IF(ISNUMBER(INDEX(SPPR!$E:$X,MATCH($A68,SPPR!$A:$A,0),3)),$C68*INDEX(SPPR!$E:$X,MATCH($A68,SPPR!$A:$A,0),3),""),"")</f>
        <v/>
      </c>
      <c r="G68">
        <f>IFERROR(IF(ISNUMBER(INDEX(SPPR!$E:$X,MATCH($A68,SPPR!$A:$A,0),4)),$C68*INDEX(SPPR!$E:$X,MATCH($A68,SPPR!$A:$A,0),4),""),"")</f>
        <v/>
      </c>
      <c r="H68">
        <f>IFERROR(IF(ISNUMBER(INDEX(SPPR!$E:$X,MATCH($A68,SPPR!$A:$A,0),5)),$C68*INDEX(SPPR!$E:$X,MATCH($A68,SPPR!$A:$A,0),5),""),"")</f>
        <v/>
      </c>
      <c r="I68">
        <f>IFERROR(IF(ISNUMBER(INDEX(SPPR!$E:$X,MATCH($A68,SPPR!$A:$A,0),6)),$C68*INDEX(SPPR!$E:$X,MATCH($A68,SPPR!$A:$A,0),6),""),"")</f>
        <v/>
      </c>
      <c r="J68">
        <f>IFERROR(IF(ISNUMBER(INDEX(SPPR!$E:$X,MATCH($A68,SPPR!$A:$A,0),7)),$C68*INDEX(SPPR!$E:$X,MATCH($A68,SPPR!$A:$A,0),7),""),"")</f>
        <v/>
      </c>
      <c r="K68">
        <f>IFERROR(IF(ISNUMBER(INDEX(SPPR!$E:$X,MATCH($A68,SPPR!$A:$A,0),8)),$C68*INDEX(SPPR!$E:$X,MATCH($A68,SPPR!$A:$A,0),8),""),"")</f>
        <v/>
      </c>
      <c r="L68">
        <f>IFERROR(IF(ISNUMBER(INDEX(SPPR!$E:$X,MATCH($A68,SPPR!$A:$A,0),9)),$C68*INDEX(SPPR!$E:$X,MATCH($A68,SPPR!$A:$A,0),9),""),"")</f>
        <v/>
      </c>
      <c r="M68">
        <f>IFERROR(IF(ISNUMBER(INDEX(SPPR!$E:$X,MATCH($A68,SPPR!$A:$A,0),10)),$C68*INDEX(SPPR!$E:$X,MATCH($A68,SPPR!$A:$A,0),10),""),"")</f>
        <v/>
      </c>
      <c r="N68">
        <f>IFERROR(IF(ISNUMBER(INDEX(SPPR!$E:$X,MATCH($A68,SPPR!$A:$A,0),11)),$C68*INDEX(SPPR!$E:$X,MATCH($A68,SPPR!$A:$A,0),11),""),"")</f>
        <v/>
      </c>
      <c r="O68">
        <f>IFERROR(IF(ISNUMBER(INDEX(SPPR!$E:$X,MATCH($A68,SPPR!$A:$A,0),12)),$C68*INDEX(SPPR!$E:$X,MATCH($A68,SPPR!$A:$A,0),12),""),"")</f>
        <v/>
      </c>
      <c r="P68">
        <f>IFERROR(IF(ISNUMBER(INDEX(SPPR!$E:$X,MATCH($A68,SPPR!$A:$A,0),13)),$C68*INDEX(SPPR!$E:$X,MATCH($A68,SPPR!$A:$A,0),13),""),"")</f>
        <v/>
      </c>
      <c r="Q68">
        <f>IFERROR(IF(ISNUMBER(INDEX(SPPR!$E:$X,MATCH($A68,SPPR!$A:$A,0),14)),$C68*INDEX(SPPR!$E:$X,MATCH($A68,SPPR!$A:$A,0),14),""),"")</f>
        <v/>
      </c>
      <c r="R68">
        <f>IFERROR(IF(ISNUMBER(INDEX(SPPR!$E:$X,MATCH($A68,SPPR!$A:$A,0),15)),$C68*INDEX(SPPR!$E:$X,MATCH($A68,SPPR!$A:$A,0),15),""),"")</f>
        <v/>
      </c>
      <c r="S68">
        <f>IFERROR(IF(ISNUMBER(INDEX(SPPR!$E:$X,MATCH($A68,SPPR!$A:$A,0),16)),$C68*INDEX(SPPR!$E:$X,MATCH($A68,SPPR!$A:$A,0),16),""),"")</f>
        <v/>
      </c>
      <c r="T68">
        <f>IFERROR(IF(ISNUMBER(INDEX(SPPR!$E:$X,MATCH($A68,SPPR!$A:$A,0),17)),$C68*INDEX(SPPR!$E:$X,MATCH($A68,SPPR!$A:$A,0),17),""),"")</f>
        <v/>
      </c>
      <c r="U68">
        <f>IFERROR(IF(ISNUMBER(INDEX(SPPR!$E:$X,MATCH($A68,SPPR!$A:$A,0),18)),$C68*INDEX(SPPR!$E:$X,MATCH($A68,SPPR!$A:$A,0),18),""),"")</f>
        <v/>
      </c>
      <c r="V68">
        <f>IFERROR(IF(ISNUMBER(INDEX(SPPR!$E:$X,MATCH($A68,SPPR!$A:$A,0),19)),$C68*INDEX(SPPR!$E:$X,MATCH($A68,SPPR!$A:$A,0),19),""),"")</f>
        <v/>
      </c>
      <c r="W68">
        <f>IFERROR(IF(ISNUMBER(INDEX(SPPR!$E:$X,MATCH($A68,SPPR!$A:$A,0),20)),$C68*INDEX(SPPR!$E:$X,MATCH($A68,SPPR!$A:$A,0),20),""),"")</f>
        <v/>
      </c>
    </row>
    <row r="69">
      <c r="A69" t="inlineStr">
        <is>
          <t>Brachyura</t>
        </is>
      </c>
      <c r="B69">
        <f>IFERROR(INDEX(SPPR!$D:$D,MATCH($A69,SPPR!$A:$A,0)),"")</f>
        <v/>
      </c>
      <c r="C69">
        <f>IFERROR(INDEX(Catch!$E:$BV,MATCH($A69,Catch!$A:$A,0),MATCH($B$4,Catch!$E$1:$BV$1,0)),0)</f>
        <v/>
      </c>
      <c r="D69">
        <f>IFERROR(IF(ISNUMBER(INDEX(SPPR!$E:$X,MATCH($A69,SPPR!$A:$A,0),1)),$C69*INDEX(SPPR!$E:$X,MATCH($A69,SPPR!$A:$A,0),1),""),"")</f>
        <v/>
      </c>
      <c r="E69">
        <f>IFERROR(IF(ISNUMBER(INDEX(SPPR!$E:$X,MATCH($A69,SPPR!$A:$A,0),2)),$C69*INDEX(SPPR!$E:$X,MATCH($A69,SPPR!$A:$A,0),2),""),"")</f>
        <v/>
      </c>
      <c r="F69">
        <f>IFERROR(IF(ISNUMBER(INDEX(SPPR!$E:$X,MATCH($A69,SPPR!$A:$A,0),3)),$C69*INDEX(SPPR!$E:$X,MATCH($A69,SPPR!$A:$A,0),3),""),"")</f>
        <v/>
      </c>
      <c r="G69">
        <f>IFERROR(IF(ISNUMBER(INDEX(SPPR!$E:$X,MATCH($A69,SPPR!$A:$A,0),4)),$C69*INDEX(SPPR!$E:$X,MATCH($A69,SPPR!$A:$A,0),4),""),"")</f>
        <v/>
      </c>
      <c r="H69">
        <f>IFERROR(IF(ISNUMBER(INDEX(SPPR!$E:$X,MATCH($A69,SPPR!$A:$A,0),5)),$C69*INDEX(SPPR!$E:$X,MATCH($A69,SPPR!$A:$A,0),5),""),"")</f>
        <v/>
      </c>
      <c r="I69">
        <f>IFERROR(IF(ISNUMBER(INDEX(SPPR!$E:$X,MATCH($A69,SPPR!$A:$A,0),6)),$C69*INDEX(SPPR!$E:$X,MATCH($A69,SPPR!$A:$A,0),6),""),"")</f>
        <v/>
      </c>
      <c r="J69">
        <f>IFERROR(IF(ISNUMBER(INDEX(SPPR!$E:$X,MATCH($A69,SPPR!$A:$A,0),7)),$C69*INDEX(SPPR!$E:$X,MATCH($A69,SPPR!$A:$A,0),7),""),"")</f>
        <v/>
      </c>
      <c r="K69">
        <f>IFERROR(IF(ISNUMBER(INDEX(SPPR!$E:$X,MATCH($A69,SPPR!$A:$A,0),8)),$C69*INDEX(SPPR!$E:$X,MATCH($A69,SPPR!$A:$A,0),8),""),"")</f>
        <v/>
      </c>
      <c r="L69">
        <f>IFERROR(IF(ISNUMBER(INDEX(SPPR!$E:$X,MATCH($A69,SPPR!$A:$A,0),9)),$C69*INDEX(SPPR!$E:$X,MATCH($A69,SPPR!$A:$A,0),9),""),"")</f>
        <v/>
      </c>
      <c r="M69">
        <f>IFERROR(IF(ISNUMBER(INDEX(SPPR!$E:$X,MATCH($A69,SPPR!$A:$A,0),10)),$C69*INDEX(SPPR!$E:$X,MATCH($A69,SPPR!$A:$A,0),10),""),"")</f>
        <v/>
      </c>
      <c r="N69">
        <f>IFERROR(IF(ISNUMBER(INDEX(SPPR!$E:$X,MATCH($A69,SPPR!$A:$A,0),11)),$C69*INDEX(SPPR!$E:$X,MATCH($A69,SPPR!$A:$A,0),11),""),"")</f>
        <v/>
      </c>
      <c r="O69">
        <f>IFERROR(IF(ISNUMBER(INDEX(SPPR!$E:$X,MATCH($A69,SPPR!$A:$A,0),12)),$C69*INDEX(SPPR!$E:$X,MATCH($A69,SPPR!$A:$A,0),12),""),"")</f>
        <v/>
      </c>
      <c r="P69">
        <f>IFERROR(IF(ISNUMBER(INDEX(SPPR!$E:$X,MATCH($A69,SPPR!$A:$A,0),13)),$C69*INDEX(SPPR!$E:$X,MATCH($A69,SPPR!$A:$A,0),13),""),"")</f>
        <v/>
      </c>
      <c r="Q69">
        <f>IFERROR(IF(ISNUMBER(INDEX(SPPR!$E:$X,MATCH($A69,SPPR!$A:$A,0),14)),$C69*INDEX(SPPR!$E:$X,MATCH($A69,SPPR!$A:$A,0),14),""),"")</f>
        <v/>
      </c>
      <c r="R69">
        <f>IFERROR(IF(ISNUMBER(INDEX(SPPR!$E:$X,MATCH($A69,SPPR!$A:$A,0),15)),$C69*INDEX(SPPR!$E:$X,MATCH($A69,SPPR!$A:$A,0),15),""),"")</f>
        <v/>
      </c>
      <c r="S69">
        <f>IFERROR(IF(ISNUMBER(INDEX(SPPR!$E:$X,MATCH($A69,SPPR!$A:$A,0),16)),$C69*INDEX(SPPR!$E:$X,MATCH($A69,SPPR!$A:$A,0),16),""),"")</f>
        <v/>
      </c>
      <c r="T69">
        <f>IFERROR(IF(ISNUMBER(INDEX(SPPR!$E:$X,MATCH($A69,SPPR!$A:$A,0),17)),$C69*INDEX(SPPR!$E:$X,MATCH($A69,SPPR!$A:$A,0),17),""),"")</f>
        <v/>
      </c>
      <c r="U69">
        <f>IFERROR(IF(ISNUMBER(INDEX(SPPR!$E:$X,MATCH($A69,SPPR!$A:$A,0),18)),$C69*INDEX(SPPR!$E:$X,MATCH($A69,SPPR!$A:$A,0),18),""),"")</f>
        <v/>
      </c>
      <c r="V69">
        <f>IFERROR(IF(ISNUMBER(INDEX(SPPR!$E:$X,MATCH($A69,SPPR!$A:$A,0),19)),$C69*INDEX(SPPR!$E:$X,MATCH($A69,SPPR!$A:$A,0),19),""),"")</f>
        <v/>
      </c>
      <c r="W69">
        <f>IFERROR(IF(ISNUMBER(INDEX(SPPR!$E:$X,MATCH($A69,SPPR!$A:$A,0),20)),$C69*INDEX(SPPR!$E:$X,MATCH($A69,SPPR!$A:$A,0),20),""),"")</f>
        <v/>
      </c>
    </row>
    <row r="70">
      <c r="A70" t="inlineStr">
        <is>
          <t>Octopodidae</t>
        </is>
      </c>
      <c r="B70">
        <f>IFERROR(INDEX(SPPR!$D:$D,MATCH($A70,SPPR!$A:$A,0)),"")</f>
        <v/>
      </c>
      <c r="C70">
        <f>IFERROR(INDEX(Catch!$E:$BV,MATCH($A70,Catch!$A:$A,0),MATCH($B$4,Catch!$E$1:$BV$1,0)),0)</f>
        <v/>
      </c>
      <c r="D70">
        <f>IFERROR(IF(ISNUMBER(INDEX(SPPR!$E:$X,MATCH($A70,SPPR!$A:$A,0),1)),$C70*INDEX(SPPR!$E:$X,MATCH($A70,SPPR!$A:$A,0),1),""),"")</f>
        <v/>
      </c>
      <c r="E70">
        <f>IFERROR(IF(ISNUMBER(INDEX(SPPR!$E:$X,MATCH($A70,SPPR!$A:$A,0),2)),$C70*INDEX(SPPR!$E:$X,MATCH($A70,SPPR!$A:$A,0),2),""),"")</f>
        <v/>
      </c>
      <c r="F70">
        <f>IFERROR(IF(ISNUMBER(INDEX(SPPR!$E:$X,MATCH($A70,SPPR!$A:$A,0),3)),$C70*INDEX(SPPR!$E:$X,MATCH($A70,SPPR!$A:$A,0),3),""),"")</f>
        <v/>
      </c>
      <c r="G70">
        <f>IFERROR(IF(ISNUMBER(INDEX(SPPR!$E:$X,MATCH($A70,SPPR!$A:$A,0),4)),$C70*INDEX(SPPR!$E:$X,MATCH($A70,SPPR!$A:$A,0),4),""),"")</f>
        <v/>
      </c>
      <c r="H70">
        <f>IFERROR(IF(ISNUMBER(INDEX(SPPR!$E:$X,MATCH($A70,SPPR!$A:$A,0),5)),$C70*INDEX(SPPR!$E:$X,MATCH($A70,SPPR!$A:$A,0),5),""),"")</f>
        <v/>
      </c>
      <c r="I70">
        <f>IFERROR(IF(ISNUMBER(INDEX(SPPR!$E:$X,MATCH($A70,SPPR!$A:$A,0),6)),$C70*INDEX(SPPR!$E:$X,MATCH($A70,SPPR!$A:$A,0),6),""),"")</f>
        <v/>
      </c>
      <c r="J70">
        <f>IFERROR(IF(ISNUMBER(INDEX(SPPR!$E:$X,MATCH($A70,SPPR!$A:$A,0),7)),$C70*INDEX(SPPR!$E:$X,MATCH($A70,SPPR!$A:$A,0),7),""),"")</f>
        <v/>
      </c>
      <c r="K70">
        <f>IFERROR(IF(ISNUMBER(INDEX(SPPR!$E:$X,MATCH($A70,SPPR!$A:$A,0),8)),$C70*INDEX(SPPR!$E:$X,MATCH($A70,SPPR!$A:$A,0),8),""),"")</f>
        <v/>
      </c>
      <c r="L70">
        <f>IFERROR(IF(ISNUMBER(INDEX(SPPR!$E:$X,MATCH($A70,SPPR!$A:$A,0),9)),$C70*INDEX(SPPR!$E:$X,MATCH($A70,SPPR!$A:$A,0),9),""),"")</f>
        <v/>
      </c>
      <c r="M70">
        <f>IFERROR(IF(ISNUMBER(INDEX(SPPR!$E:$X,MATCH($A70,SPPR!$A:$A,0),10)),$C70*INDEX(SPPR!$E:$X,MATCH($A70,SPPR!$A:$A,0),10),""),"")</f>
        <v/>
      </c>
      <c r="N70">
        <f>IFERROR(IF(ISNUMBER(INDEX(SPPR!$E:$X,MATCH($A70,SPPR!$A:$A,0),11)),$C70*INDEX(SPPR!$E:$X,MATCH($A70,SPPR!$A:$A,0),11),""),"")</f>
        <v/>
      </c>
      <c r="O70">
        <f>IFERROR(IF(ISNUMBER(INDEX(SPPR!$E:$X,MATCH($A70,SPPR!$A:$A,0),12)),$C70*INDEX(SPPR!$E:$X,MATCH($A70,SPPR!$A:$A,0),12),""),"")</f>
        <v/>
      </c>
      <c r="P70">
        <f>IFERROR(IF(ISNUMBER(INDEX(SPPR!$E:$X,MATCH($A70,SPPR!$A:$A,0),13)),$C70*INDEX(SPPR!$E:$X,MATCH($A70,SPPR!$A:$A,0),13),""),"")</f>
        <v/>
      </c>
      <c r="Q70">
        <f>IFERROR(IF(ISNUMBER(INDEX(SPPR!$E:$X,MATCH($A70,SPPR!$A:$A,0),14)),$C70*INDEX(SPPR!$E:$X,MATCH($A70,SPPR!$A:$A,0),14),""),"")</f>
        <v/>
      </c>
      <c r="R70">
        <f>IFERROR(IF(ISNUMBER(INDEX(SPPR!$E:$X,MATCH($A70,SPPR!$A:$A,0),15)),$C70*INDEX(SPPR!$E:$X,MATCH($A70,SPPR!$A:$A,0),15),""),"")</f>
        <v/>
      </c>
      <c r="S70">
        <f>IFERROR(IF(ISNUMBER(INDEX(SPPR!$E:$X,MATCH($A70,SPPR!$A:$A,0),16)),$C70*INDEX(SPPR!$E:$X,MATCH($A70,SPPR!$A:$A,0),16),""),"")</f>
        <v/>
      </c>
      <c r="T70">
        <f>IFERROR(IF(ISNUMBER(INDEX(SPPR!$E:$X,MATCH($A70,SPPR!$A:$A,0),17)),$C70*INDEX(SPPR!$E:$X,MATCH($A70,SPPR!$A:$A,0),17),""),"")</f>
        <v/>
      </c>
      <c r="U70">
        <f>IFERROR(IF(ISNUMBER(INDEX(SPPR!$E:$X,MATCH($A70,SPPR!$A:$A,0),18)),$C70*INDEX(SPPR!$E:$X,MATCH($A70,SPPR!$A:$A,0),18),""),"")</f>
        <v/>
      </c>
      <c r="V70">
        <f>IFERROR(IF(ISNUMBER(INDEX(SPPR!$E:$X,MATCH($A70,SPPR!$A:$A,0),19)),$C70*INDEX(SPPR!$E:$X,MATCH($A70,SPPR!$A:$A,0),19),""),"")</f>
        <v/>
      </c>
      <c r="W70">
        <f>IFERROR(IF(ISNUMBER(INDEX(SPPR!$E:$X,MATCH($A70,SPPR!$A:$A,0),20)),$C70*INDEX(SPPR!$E:$X,MATCH($A70,SPPR!$A:$A,0),20),""),"")</f>
        <v/>
      </c>
    </row>
    <row r="71">
      <c r="A71" t="inlineStr">
        <is>
          <t>Clupeidae</t>
        </is>
      </c>
      <c r="B71">
        <f>IFERROR(INDEX(SPPR!$D:$D,MATCH($A71,SPPR!$A:$A,0)),"")</f>
        <v/>
      </c>
      <c r="C71">
        <f>IFERROR(INDEX(Catch!$E:$BV,MATCH($A71,Catch!$A:$A,0),MATCH($B$4,Catch!$E$1:$BV$1,0)),0)</f>
        <v/>
      </c>
      <c r="D71">
        <f>IFERROR(IF(ISNUMBER(INDEX(SPPR!$E:$X,MATCH($A71,SPPR!$A:$A,0),1)),$C71*INDEX(SPPR!$E:$X,MATCH($A71,SPPR!$A:$A,0),1),""),"")</f>
        <v/>
      </c>
      <c r="E71">
        <f>IFERROR(IF(ISNUMBER(INDEX(SPPR!$E:$X,MATCH($A71,SPPR!$A:$A,0),2)),$C71*INDEX(SPPR!$E:$X,MATCH($A71,SPPR!$A:$A,0),2),""),"")</f>
        <v/>
      </c>
      <c r="F71">
        <f>IFERROR(IF(ISNUMBER(INDEX(SPPR!$E:$X,MATCH($A71,SPPR!$A:$A,0),3)),$C71*INDEX(SPPR!$E:$X,MATCH($A71,SPPR!$A:$A,0),3),""),"")</f>
        <v/>
      </c>
      <c r="G71">
        <f>IFERROR(IF(ISNUMBER(INDEX(SPPR!$E:$X,MATCH($A71,SPPR!$A:$A,0),4)),$C71*INDEX(SPPR!$E:$X,MATCH($A71,SPPR!$A:$A,0),4),""),"")</f>
        <v/>
      </c>
      <c r="H71">
        <f>IFERROR(IF(ISNUMBER(INDEX(SPPR!$E:$X,MATCH($A71,SPPR!$A:$A,0),5)),$C71*INDEX(SPPR!$E:$X,MATCH($A71,SPPR!$A:$A,0),5),""),"")</f>
        <v/>
      </c>
      <c r="I71">
        <f>IFERROR(IF(ISNUMBER(INDEX(SPPR!$E:$X,MATCH($A71,SPPR!$A:$A,0),6)),$C71*INDEX(SPPR!$E:$X,MATCH($A71,SPPR!$A:$A,0),6),""),"")</f>
        <v/>
      </c>
      <c r="J71">
        <f>IFERROR(IF(ISNUMBER(INDEX(SPPR!$E:$X,MATCH($A71,SPPR!$A:$A,0),7)),$C71*INDEX(SPPR!$E:$X,MATCH($A71,SPPR!$A:$A,0),7),""),"")</f>
        <v/>
      </c>
      <c r="K71">
        <f>IFERROR(IF(ISNUMBER(INDEX(SPPR!$E:$X,MATCH($A71,SPPR!$A:$A,0),8)),$C71*INDEX(SPPR!$E:$X,MATCH($A71,SPPR!$A:$A,0),8),""),"")</f>
        <v/>
      </c>
      <c r="L71">
        <f>IFERROR(IF(ISNUMBER(INDEX(SPPR!$E:$X,MATCH($A71,SPPR!$A:$A,0),9)),$C71*INDEX(SPPR!$E:$X,MATCH($A71,SPPR!$A:$A,0),9),""),"")</f>
        <v/>
      </c>
      <c r="M71">
        <f>IFERROR(IF(ISNUMBER(INDEX(SPPR!$E:$X,MATCH($A71,SPPR!$A:$A,0),10)),$C71*INDEX(SPPR!$E:$X,MATCH($A71,SPPR!$A:$A,0),10),""),"")</f>
        <v/>
      </c>
      <c r="N71">
        <f>IFERROR(IF(ISNUMBER(INDEX(SPPR!$E:$X,MATCH($A71,SPPR!$A:$A,0),11)),$C71*INDEX(SPPR!$E:$X,MATCH($A71,SPPR!$A:$A,0),11),""),"")</f>
        <v/>
      </c>
      <c r="O71">
        <f>IFERROR(IF(ISNUMBER(INDEX(SPPR!$E:$X,MATCH($A71,SPPR!$A:$A,0),12)),$C71*INDEX(SPPR!$E:$X,MATCH($A71,SPPR!$A:$A,0),12),""),"")</f>
        <v/>
      </c>
      <c r="P71">
        <f>IFERROR(IF(ISNUMBER(INDEX(SPPR!$E:$X,MATCH($A71,SPPR!$A:$A,0),13)),$C71*INDEX(SPPR!$E:$X,MATCH($A71,SPPR!$A:$A,0),13),""),"")</f>
        <v/>
      </c>
      <c r="Q71">
        <f>IFERROR(IF(ISNUMBER(INDEX(SPPR!$E:$X,MATCH($A71,SPPR!$A:$A,0),14)),$C71*INDEX(SPPR!$E:$X,MATCH($A71,SPPR!$A:$A,0),14),""),"")</f>
        <v/>
      </c>
      <c r="R71">
        <f>IFERROR(IF(ISNUMBER(INDEX(SPPR!$E:$X,MATCH($A71,SPPR!$A:$A,0),15)),$C71*INDEX(SPPR!$E:$X,MATCH($A71,SPPR!$A:$A,0),15),""),"")</f>
        <v/>
      </c>
      <c r="S71">
        <f>IFERROR(IF(ISNUMBER(INDEX(SPPR!$E:$X,MATCH($A71,SPPR!$A:$A,0),16)),$C71*INDEX(SPPR!$E:$X,MATCH($A71,SPPR!$A:$A,0),16),""),"")</f>
        <v/>
      </c>
      <c r="T71">
        <f>IFERROR(IF(ISNUMBER(INDEX(SPPR!$E:$X,MATCH($A71,SPPR!$A:$A,0),17)),$C71*INDEX(SPPR!$E:$X,MATCH($A71,SPPR!$A:$A,0),17),""),"")</f>
        <v/>
      </c>
      <c r="U71">
        <f>IFERROR(IF(ISNUMBER(INDEX(SPPR!$E:$X,MATCH($A71,SPPR!$A:$A,0),18)),$C71*INDEX(SPPR!$E:$X,MATCH($A71,SPPR!$A:$A,0),18),""),"")</f>
        <v/>
      </c>
      <c r="V71">
        <f>IFERROR(IF(ISNUMBER(INDEX(SPPR!$E:$X,MATCH($A71,SPPR!$A:$A,0),19)),$C71*INDEX(SPPR!$E:$X,MATCH($A71,SPPR!$A:$A,0),19),""),"")</f>
        <v/>
      </c>
      <c r="W71">
        <f>IFERROR(IF(ISNUMBER(INDEX(SPPR!$E:$X,MATCH($A71,SPPR!$A:$A,0),20)),$C71*INDEX(SPPR!$E:$X,MATCH($A71,SPPR!$A:$A,0),20),""),"")</f>
        <v/>
      </c>
    </row>
    <row r="72">
      <c r="A72" t="inlineStr">
        <is>
          <t>Ammodytes personatus</t>
        </is>
      </c>
      <c r="B72">
        <f>IFERROR(INDEX(SPPR!$D:$D,MATCH($A72,SPPR!$A:$A,0)),"")</f>
        <v/>
      </c>
      <c r="C72">
        <f>IFERROR(INDEX(Catch!$E:$BV,MATCH($A72,Catch!$A:$A,0),MATCH($B$4,Catch!$E$1:$BV$1,0)),0)</f>
        <v/>
      </c>
      <c r="D72">
        <f>IFERROR(IF(ISNUMBER(INDEX(SPPR!$E:$X,MATCH($A72,SPPR!$A:$A,0),1)),$C72*INDEX(SPPR!$E:$X,MATCH($A72,SPPR!$A:$A,0),1),""),"")</f>
        <v/>
      </c>
      <c r="E72">
        <f>IFERROR(IF(ISNUMBER(INDEX(SPPR!$E:$X,MATCH($A72,SPPR!$A:$A,0),2)),$C72*INDEX(SPPR!$E:$X,MATCH($A72,SPPR!$A:$A,0),2),""),"")</f>
        <v/>
      </c>
      <c r="F72">
        <f>IFERROR(IF(ISNUMBER(INDEX(SPPR!$E:$X,MATCH($A72,SPPR!$A:$A,0),3)),$C72*INDEX(SPPR!$E:$X,MATCH($A72,SPPR!$A:$A,0),3),""),"")</f>
        <v/>
      </c>
      <c r="G72">
        <f>IFERROR(IF(ISNUMBER(INDEX(SPPR!$E:$X,MATCH($A72,SPPR!$A:$A,0),4)),$C72*INDEX(SPPR!$E:$X,MATCH($A72,SPPR!$A:$A,0),4),""),"")</f>
        <v/>
      </c>
      <c r="H72">
        <f>IFERROR(IF(ISNUMBER(INDEX(SPPR!$E:$X,MATCH($A72,SPPR!$A:$A,0),5)),$C72*INDEX(SPPR!$E:$X,MATCH($A72,SPPR!$A:$A,0),5),""),"")</f>
        <v/>
      </c>
      <c r="I72">
        <f>IFERROR(IF(ISNUMBER(INDEX(SPPR!$E:$X,MATCH($A72,SPPR!$A:$A,0),6)),$C72*INDEX(SPPR!$E:$X,MATCH($A72,SPPR!$A:$A,0),6),""),"")</f>
        <v/>
      </c>
      <c r="J72">
        <f>IFERROR(IF(ISNUMBER(INDEX(SPPR!$E:$X,MATCH($A72,SPPR!$A:$A,0),7)),$C72*INDEX(SPPR!$E:$X,MATCH($A72,SPPR!$A:$A,0),7),""),"")</f>
        <v/>
      </c>
      <c r="K72">
        <f>IFERROR(IF(ISNUMBER(INDEX(SPPR!$E:$X,MATCH($A72,SPPR!$A:$A,0),8)),$C72*INDEX(SPPR!$E:$X,MATCH($A72,SPPR!$A:$A,0),8),""),"")</f>
        <v/>
      </c>
      <c r="L72">
        <f>IFERROR(IF(ISNUMBER(INDEX(SPPR!$E:$X,MATCH($A72,SPPR!$A:$A,0),9)),$C72*INDEX(SPPR!$E:$X,MATCH($A72,SPPR!$A:$A,0),9),""),"")</f>
        <v/>
      </c>
      <c r="M72">
        <f>IFERROR(IF(ISNUMBER(INDEX(SPPR!$E:$X,MATCH($A72,SPPR!$A:$A,0),10)),$C72*INDEX(SPPR!$E:$X,MATCH($A72,SPPR!$A:$A,0),10),""),"")</f>
        <v/>
      </c>
      <c r="N72">
        <f>IFERROR(IF(ISNUMBER(INDEX(SPPR!$E:$X,MATCH($A72,SPPR!$A:$A,0),11)),$C72*INDEX(SPPR!$E:$X,MATCH($A72,SPPR!$A:$A,0),11),""),"")</f>
        <v/>
      </c>
      <c r="O72">
        <f>IFERROR(IF(ISNUMBER(INDEX(SPPR!$E:$X,MATCH($A72,SPPR!$A:$A,0),12)),$C72*INDEX(SPPR!$E:$X,MATCH($A72,SPPR!$A:$A,0),12),""),"")</f>
        <v/>
      </c>
      <c r="P72">
        <f>IFERROR(IF(ISNUMBER(INDEX(SPPR!$E:$X,MATCH($A72,SPPR!$A:$A,0),13)),$C72*INDEX(SPPR!$E:$X,MATCH($A72,SPPR!$A:$A,0),13),""),"")</f>
        <v/>
      </c>
      <c r="Q72">
        <f>IFERROR(IF(ISNUMBER(INDEX(SPPR!$E:$X,MATCH($A72,SPPR!$A:$A,0),14)),$C72*INDEX(SPPR!$E:$X,MATCH($A72,SPPR!$A:$A,0),14),""),"")</f>
        <v/>
      </c>
      <c r="R72">
        <f>IFERROR(IF(ISNUMBER(INDEX(SPPR!$E:$X,MATCH($A72,SPPR!$A:$A,0),15)),$C72*INDEX(SPPR!$E:$X,MATCH($A72,SPPR!$A:$A,0),15),""),"")</f>
        <v/>
      </c>
      <c r="S72">
        <f>IFERROR(IF(ISNUMBER(INDEX(SPPR!$E:$X,MATCH($A72,SPPR!$A:$A,0),16)),$C72*INDEX(SPPR!$E:$X,MATCH($A72,SPPR!$A:$A,0),16),""),"")</f>
        <v/>
      </c>
      <c r="T72">
        <f>IFERROR(IF(ISNUMBER(INDEX(SPPR!$E:$X,MATCH($A72,SPPR!$A:$A,0),17)),$C72*INDEX(SPPR!$E:$X,MATCH($A72,SPPR!$A:$A,0),17),""),"")</f>
        <v/>
      </c>
      <c r="U72">
        <f>IFERROR(IF(ISNUMBER(INDEX(SPPR!$E:$X,MATCH($A72,SPPR!$A:$A,0),18)),$C72*INDEX(SPPR!$E:$X,MATCH($A72,SPPR!$A:$A,0),18),""),"")</f>
        <v/>
      </c>
      <c r="V72">
        <f>IFERROR(IF(ISNUMBER(INDEX(SPPR!$E:$X,MATCH($A72,SPPR!$A:$A,0),19)),$C72*INDEX(SPPR!$E:$X,MATCH($A72,SPPR!$A:$A,0),19),""),"")</f>
        <v/>
      </c>
      <c r="W72">
        <f>IFERROR(IF(ISNUMBER(INDEX(SPPR!$E:$X,MATCH($A72,SPPR!$A:$A,0),20)),$C72*INDEX(SPPR!$E:$X,MATCH($A72,SPPR!$A:$A,0),20),""),"")</f>
        <v/>
      </c>
    </row>
    <row r="73">
      <c r="A73" t="inlineStr">
        <is>
          <t>Ruditapes philippinarum</t>
        </is>
      </c>
      <c r="B73">
        <f>IFERROR(INDEX(SPPR!$D:$D,MATCH($A73,SPPR!$A:$A,0)),"")</f>
        <v/>
      </c>
      <c r="C73">
        <f>IFERROR(INDEX(Catch!$E:$BV,MATCH($A73,Catch!$A:$A,0),MATCH($B$4,Catch!$E$1:$BV$1,0)),0)</f>
        <v/>
      </c>
      <c r="D73">
        <f>IFERROR(IF(ISNUMBER(INDEX(SPPR!$E:$X,MATCH($A73,SPPR!$A:$A,0),1)),$C73*INDEX(SPPR!$E:$X,MATCH($A73,SPPR!$A:$A,0),1),""),"")</f>
        <v/>
      </c>
      <c r="E73">
        <f>IFERROR(IF(ISNUMBER(INDEX(SPPR!$E:$X,MATCH($A73,SPPR!$A:$A,0),2)),$C73*INDEX(SPPR!$E:$X,MATCH($A73,SPPR!$A:$A,0),2),""),"")</f>
        <v/>
      </c>
      <c r="F73">
        <f>IFERROR(IF(ISNUMBER(INDEX(SPPR!$E:$X,MATCH($A73,SPPR!$A:$A,0),3)),$C73*INDEX(SPPR!$E:$X,MATCH($A73,SPPR!$A:$A,0),3),""),"")</f>
        <v/>
      </c>
      <c r="G73">
        <f>IFERROR(IF(ISNUMBER(INDEX(SPPR!$E:$X,MATCH($A73,SPPR!$A:$A,0),4)),$C73*INDEX(SPPR!$E:$X,MATCH($A73,SPPR!$A:$A,0),4),""),"")</f>
        <v/>
      </c>
      <c r="H73">
        <f>IFERROR(IF(ISNUMBER(INDEX(SPPR!$E:$X,MATCH($A73,SPPR!$A:$A,0),5)),$C73*INDEX(SPPR!$E:$X,MATCH($A73,SPPR!$A:$A,0),5),""),"")</f>
        <v/>
      </c>
      <c r="I73">
        <f>IFERROR(IF(ISNUMBER(INDEX(SPPR!$E:$X,MATCH($A73,SPPR!$A:$A,0),6)),$C73*INDEX(SPPR!$E:$X,MATCH($A73,SPPR!$A:$A,0),6),""),"")</f>
        <v/>
      </c>
      <c r="J73">
        <f>IFERROR(IF(ISNUMBER(INDEX(SPPR!$E:$X,MATCH($A73,SPPR!$A:$A,0),7)),$C73*INDEX(SPPR!$E:$X,MATCH($A73,SPPR!$A:$A,0),7),""),"")</f>
        <v/>
      </c>
      <c r="K73">
        <f>IFERROR(IF(ISNUMBER(INDEX(SPPR!$E:$X,MATCH($A73,SPPR!$A:$A,0),8)),$C73*INDEX(SPPR!$E:$X,MATCH($A73,SPPR!$A:$A,0),8),""),"")</f>
        <v/>
      </c>
      <c r="L73">
        <f>IFERROR(IF(ISNUMBER(INDEX(SPPR!$E:$X,MATCH($A73,SPPR!$A:$A,0),9)),$C73*INDEX(SPPR!$E:$X,MATCH($A73,SPPR!$A:$A,0),9),""),"")</f>
        <v/>
      </c>
      <c r="M73">
        <f>IFERROR(IF(ISNUMBER(INDEX(SPPR!$E:$X,MATCH($A73,SPPR!$A:$A,0),10)),$C73*INDEX(SPPR!$E:$X,MATCH($A73,SPPR!$A:$A,0),10),""),"")</f>
        <v/>
      </c>
      <c r="N73">
        <f>IFERROR(IF(ISNUMBER(INDEX(SPPR!$E:$X,MATCH($A73,SPPR!$A:$A,0),11)),$C73*INDEX(SPPR!$E:$X,MATCH($A73,SPPR!$A:$A,0),11),""),"")</f>
        <v/>
      </c>
      <c r="O73">
        <f>IFERROR(IF(ISNUMBER(INDEX(SPPR!$E:$X,MATCH($A73,SPPR!$A:$A,0),12)),$C73*INDEX(SPPR!$E:$X,MATCH($A73,SPPR!$A:$A,0),12),""),"")</f>
        <v/>
      </c>
      <c r="P73">
        <f>IFERROR(IF(ISNUMBER(INDEX(SPPR!$E:$X,MATCH($A73,SPPR!$A:$A,0),13)),$C73*INDEX(SPPR!$E:$X,MATCH($A73,SPPR!$A:$A,0),13),""),"")</f>
        <v/>
      </c>
      <c r="Q73">
        <f>IFERROR(IF(ISNUMBER(INDEX(SPPR!$E:$X,MATCH($A73,SPPR!$A:$A,0),14)),$C73*INDEX(SPPR!$E:$X,MATCH($A73,SPPR!$A:$A,0),14),""),"")</f>
        <v/>
      </c>
      <c r="R73">
        <f>IFERROR(IF(ISNUMBER(INDEX(SPPR!$E:$X,MATCH($A73,SPPR!$A:$A,0),15)),$C73*INDEX(SPPR!$E:$X,MATCH($A73,SPPR!$A:$A,0),15),""),"")</f>
        <v/>
      </c>
      <c r="S73">
        <f>IFERROR(IF(ISNUMBER(INDEX(SPPR!$E:$X,MATCH($A73,SPPR!$A:$A,0),16)),$C73*INDEX(SPPR!$E:$X,MATCH($A73,SPPR!$A:$A,0),16),""),"")</f>
        <v/>
      </c>
      <c r="T73">
        <f>IFERROR(IF(ISNUMBER(INDEX(SPPR!$E:$X,MATCH($A73,SPPR!$A:$A,0),17)),$C73*INDEX(SPPR!$E:$X,MATCH($A73,SPPR!$A:$A,0),17),""),"")</f>
        <v/>
      </c>
      <c r="U73">
        <f>IFERROR(IF(ISNUMBER(INDEX(SPPR!$E:$X,MATCH($A73,SPPR!$A:$A,0),18)),$C73*INDEX(SPPR!$E:$X,MATCH($A73,SPPR!$A:$A,0),18),""),"")</f>
        <v/>
      </c>
      <c r="V73">
        <f>IFERROR(IF(ISNUMBER(INDEX(SPPR!$E:$X,MATCH($A73,SPPR!$A:$A,0),19)),$C73*INDEX(SPPR!$E:$X,MATCH($A73,SPPR!$A:$A,0),19),""),"")</f>
        <v/>
      </c>
      <c r="W73">
        <f>IFERROR(IF(ISNUMBER(INDEX(SPPR!$E:$X,MATCH($A73,SPPR!$A:$A,0),20)),$C73*INDEX(SPPR!$E:$X,MATCH($A73,SPPR!$A:$A,0),20),""),"")</f>
        <v/>
      </c>
    </row>
    <row r="74">
      <c r="A74" t="inlineStr">
        <is>
          <t>Dussumieria</t>
        </is>
      </c>
      <c r="B74">
        <f>IFERROR(INDEX(SPPR!$D:$D,MATCH($A74,SPPR!$A:$A,0)),"")</f>
        <v/>
      </c>
      <c r="C74">
        <f>IFERROR(INDEX(Catch!$E:$BV,MATCH($A74,Catch!$A:$A,0),MATCH($B$4,Catch!$E$1:$BV$1,0)),0)</f>
        <v/>
      </c>
      <c r="D74">
        <f>IFERROR(IF(ISNUMBER(INDEX(SPPR!$E:$X,MATCH($A74,SPPR!$A:$A,0),1)),$C74*INDEX(SPPR!$E:$X,MATCH($A74,SPPR!$A:$A,0),1),""),"")</f>
        <v/>
      </c>
      <c r="E74">
        <f>IFERROR(IF(ISNUMBER(INDEX(SPPR!$E:$X,MATCH($A74,SPPR!$A:$A,0),2)),$C74*INDEX(SPPR!$E:$X,MATCH($A74,SPPR!$A:$A,0),2),""),"")</f>
        <v/>
      </c>
      <c r="F74">
        <f>IFERROR(IF(ISNUMBER(INDEX(SPPR!$E:$X,MATCH($A74,SPPR!$A:$A,0),3)),$C74*INDEX(SPPR!$E:$X,MATCH($A74,SPPR!$A:$A,0),3),""),"")</f>
        <v/>
      </c>
      <c r="G74">
        <f>IFERROR(IF(ISNUMBER(INDEX(SPPR!$E:$X,MATCH($A74,SPPR!$A:$A,0),4)),$C74*INDEX(SPPR!$E:$X,MATCH($A74,SPPR!$A:$A,0),4),""),"")</f>
        <v/>
      </c>
      <c r="H74">
        <f>IFERROR(IF(ISNUMBER(INDEX(SPPR!$E:$X,MATCH($A74,SPPR!$A:$A,0),5)),$C74*INDEX(SPPR!$E:$X,MATCH($A74,SPPR!$A:$A,0),5),""),"")</f>
        <v/>
      </c>
      <c r="I74">
        <f>IFERROR(IF(ISNUMBER(INDEX(SPPR!$E:$X,MATCH($A74,SPPR!$A:$A,0),6)),$C74*INDEX(SPPR!$E:$X,MATCH($A74,SPPR!$A:$A,0),6),""),"")</f>
        <v/>
      </c>
      <c r="J74">
        <f>IFERROR(IF(ISNUMBER(INDEX(SPPR!$E:$X,MATCH($A74,SPPR!$A:$A,0),7)),$C74*INDEX(SPPR!$E:$X,MATCH($A74,SPPR!$A:$A,0),7),""),"")</f>
        <v/>
      </c>
      <c r="K74">
        <f>IFERROR(IF(ISNUMBER(INDEX(SPPR!$E:$X,MATCH($A74,SPPR!$A:$A,0),8)),$C74*INDEX(SPPR!$E:$X,MATCH($A74,SPPR!$A:$A,0),8),""),"")</f>
        <v/>
      </c>
      <c r="L74">
        <f>IFERROR(IF(ISNUMBER(INDEX(SPPR!$E:$X,MATCH($A74,SPPR!$A:$A,0),9)),$C74*INDEX(SPPR!$E:$X,MATCH($A74,SPPR!$A:$A,0),9),""),"")</f>
        <v/>
      </c>
      <c r="M74">
        <f>IFERROR(IF(ISNUMBER(INDEX(SPPR!$E:$X,MATCH($A74,SPPR!$A:$A,0),10)),$C74*INDEX(SPPR!$E:$X,MATCH($A74,SPPR!$A:$A,0),10),""),"")</f>
        <v/>
      </c>
      <c r="N74">
        <f>IFERROR(IF(ISNUMBER(INDEX(SPPR!$E:$X,MATCH($A74,SPPR!$A:$A,0),11)),$C74*INDEX(SPPR!$E:$X,MATCH($A74,SPPR!$A:$A,0),11),""),"")</f>
        <v/>
      </c>
      <c r="O74">
        <f>IFERROR(IF(ISNUMBER(INDEX(SPPR!$E:$X,MATCH($A74,SPPR!$A:$A,0),12)),$C74*INDEX(SPPR!$E:$X,MATCH($A74,SPPR!$A:$A,0),12),""),"")</f>
        <v/>
      </c>
      <c r="P74">
        <f>IFERROR(IF(ISNUMBER(INDEX(SPPR!$E:$X,MATCH($A74,SPPR!$A:$A,0),13)),$C74*INDEX(SPPR!$E:$X,MATCH($A74,SPPR!$A:$A,0),13),""),"")</f>
        <v/>
      </c>
      <c r="Q74">
        <f>IFERROR(IF(ISNUMBER(INDEX(SPPR!$E:$X,MATCH($A74,SPPR!$A:$A,0),14)),$C74*INDEX(SPPR!$E:$X,MATCH($A74,SPPR!$A:$A,0),14),""),"")</f>
        <v/>
      </c>
      <c r="R74">
        <f>IFERROR(IF(ISNUMBER(INDEX(SPPR!$E:$X,MATCH($A74,SPPR!$A:$A,0),15)),$C74*INDEX(SPPR!$E:$X,MATCH($A74,SPPR!$A:$A,0),15),""),"")</f>
        <v/>
      </c>
      <c r="S74">
        <f>IFERROR(IF(ISNUMBER(INDEX(SPPR!$E:$X,MATCH($A74,SPPR!$A:$A,0),16)),$C74*INDEX(SPPR!$E:$X,MATCH($A74,SPPR!$A:$A,0),16),""),"")</f>
        <v/>
      </c>
      <c r="T74">
        <f>IFERROR(IF(ISNUMBER(INDEX(SPPR!$E:$X,MATCH($A74,SPPR!$A:$A,0),17)),$C74*INDEX(SPPR!$E:$X,MATCH($A74,SPPR!$A:$A,0),17),""),"")</f>
        <v/>
      </c>
      <c r="U74">
        <f>IFERROR(IF(ISNUMBER(INDEX(SPPR!$E:$X,MATCH($A74,SPPR!$A:$A,0),18)),$C74*INDEX(SPPR!$E:$X,MATCH($A74,SPPR!$A:$A,0),18),""),"")</f>
        <v/>
      </c>
      <c r="V74">
        <f>IFERROR(IF(ISNUMBER(INDEX(SPPR!$E:$X,MATCH($A74,SPPR!$A:$A,0),19)),$C74*INDEX(SPPR!$E:$X,MATCH($A74,SPPR!$A:$A,0),19),""),"")</f>
        <v/>
      </c>
      <c r="W74">
        <f>IFERROR(IF(ISNUMBER(INDEX(SPPR!$E:$X,MATCH($A74,SPPR!$A:$A,0),20)),$C74*INDEX(SPPR!$E:$X,MATCH($A74,SPPR!$A:$A,0),20),""),"")</f>
        <v/>
      </c>
    </row>
    <row r="75">
      <c r="A75" t="inlineStr">
        <is>
          <t>Scombridae</t>
        </is>
      </c>
      <c r="B75">
        <f>IFERROR(INDEX(SPPR!$D:$D,MATCH($A75,SPPR!$A:$A,0)),"")</f>
        <v/>
      </c>
      <c r="C75">
        <f>IFERROR(INDEX(Catch!$E:$BV,MATCH($A75,Catch!$A:$A,0),MATCH($B$4,Catch!$E$1:$BV$1,0)),0)</f>
        <v/>
      </c>
      <c r="D75">
        <f>IFERROR(IF(ISNUMBER(INDEX(SPPR!$E:$X,MATCH($A75,SPPR!$A:$A,0),1)),$C75*INDEX(SPPR!$E:$X,MATCH($A75,SPPR!$A:$A,0),1),""),"")</f>
        <v/>
      </c>
      <c r="E75">
        <f>IFERROR(IF(ISNUMBER(INDEX(SPPR!$E:$X,MATCH($A75,SPPR!$A:$A,0),2)),$C75*INDEX(SPPR!$E:$X,MATCH($A75,SPPR!$A:$A,0),2),""),"")</f>
        <v/>
      </c>
      <c r="F75">
        <f>IFERROR(IF(ISNUMBER(INDEX(SPPR!$E:$X,MATCH($A75,SPPR!$A:$A,0),3)),$C75*INDEX(SPPR!$E:$X,MATCH($A75,SPPR!$A:$A,0),3),""),"")</f>
        <v/>
      </c>
      <c r="G75">
        <f>IFERROR(IF(ISNUMBER(INDEX(SPPR!$E:$X,MATCH($A75,SPPR!$A:$A,0),4)),$C75*INDEX(SPPR!$E:$X,MATCH($A75,SPPR!$A:$A,0),4),""),"")</f>
        <v/>
      </c>
      <c r="H75">
        <f>IFERROR(IF(ISNUMBER(INDEX(SPPR!$E:$X,MATCH($A75,SPPR!$A:$A,0),5)),$C75*INDEX(SPPR!$E:$X,MATCH($A75,SPPR!$A:$A,0),5),""),"")</f>
        <v/>
      </c>
      <c r="I75">
        <f>IFERROR(IF(ISNUMBER(INDEX(SPPR!$E:$X,MATCH($A75,SPPR!$A:$A,0),6)),$C75*INDEX(SPPR!$E:$X,MATCH($A75,SPPR!$A:$A,0),6),""),"")</f>
        <v/>
      </c>
      <c r="J75">
        <f>IFERROR(IF(ISNUMBER(INDEX(SPPR!$E:$X,MATCH($A75,SPPR!$A:$A,0),7)),$C75*INDEX(SPPR!$E:$X,MATCH($A75,SPPR!$A:$A,0),7),""),"")</f>
        <v/>
      </c>
      <c r="K75">
        <f>IFERROR(IF(ISNUMBER(INDEX(SPPR!$E:$X,MATCH($A75,SPPR!$A:$A,0),8)),$C75*INDEX(SPPR!$E:$X,MATCH($A75,SPPR!$A:$A,0),8),""),"")</f>
        <v/>
      </c>
      <c r="L75">
        <f>IFERROR(IF(ISNUMBER(INDEX(SPPR!$E:$X,MATCH($A75,SPPR!$A:$A,0),9)),$C75*INDEX(SPPR!$E:$X,MATCH($A75,SPPR!$A:$A,0),9),""),"")</f>
        <v/>
      </c>
      <c r="M75">
        <f>IFERROR(IF(ISNUMBER(INDEX(SPPR!$E:$X,MATCH($A75,SPPR!$A:$A,0),10)),$C75*INDEX(SPPR!$E:$X,MATCH($A75,SPPR!$A:$A,0),10),""),"")</f>
        <v/>
      </c>
      <c r="N75">
        <f>IFERROR(IF(ISNUMBER(INDEX(SPPR!$E:$X,MATCH($A75,SPPR!$A:$A,0),11)),$C75*INDEX(SPPR!$E:$X,MATCH($A75,SPPR!$A:$A,0),11),""),"")</f>
        <v/>
      </c>
      <c r="O75">
        <f>IFERROR(IF(ISNUMBER(INDEX(SPPR!$E:$X,MATCH($A75,SPPR!$A:$A,0),12)),$C75*INDEX(SPPR!$E:$X,MATCH($A75,SPPR!$A:$A,0),12),""),"")</f>
        <v/>
      </c>
      <c r="P75">
        <f>IFERROR(IF(ISNUMBER(INDEX(SPPR!$E:$X,MATCH($A75,SPPR!$A:$A,0),13)),$C75*INDEX(SPPR!$E:$X,MATCH($A75,SPPR!$A:$A,0),13),""),"")</f>
        <v/>
      </c>
      <c r="Q75">
        <f>IFERROR(IF(ISNUMBER(INDEX(SPPR!$E:$X,MATCH($A75,SPPR!$A:$A,0),14)),$C75*INDEX(SPPR!$E:$X,MATCH($A75,SPPR!$A:$A,0),14),""),"")</f>
        <v/>
      </c>
      <c r="R75">
        <f>IFERROR(IF(ISNUMBER(INDEX(SPPR!$E:$X,MATCH($A75,SPPR!$A:$A,0),15)),$C75*INDEX(SPPR!$E:$X,MATCH($A75,SPPR!$A:$A,0),15),""),"")</f>
        <v/>
      </c>
      <c r="S75">
        <f>IFERROR(IF(ISNUMBER(INDEX(SPPR!$E:$X,MATCH($A75,SPPR!$A:$A,0),16)),$C75*INDEX(SPPR!$E:$X,MATCH($A75,SPPR!$A:$A,0),16),""),"")</f>
        <v/>
      </c>
      <c r="T75">
        <f>IFERROR(IF(ISNUMBER(INDEX(SPPR!$E:$X,MATCH($A75,SPPR!$A:$A,0),17)),$C75*INDEX(SPPR!$E:$X,MATCH($A75,SPPR!$A:$A,0),17),""),"")</f>
        <v/>
      </c>
      <c r="U75">
        <f>IFERROR(IF(ISNUMBER(INDEX(SPPR!$E:$X,MATCH($A75,SPPR!$A:$A,0),18)),$C75*INDEX(SPPR!$E:$X,MATCH($A75,SPPR!$A:$A,0),18),""),"")</f>
        <v/>
      </c>
      <c r="V75">
        <f>IFERROR(IF(ISNUMBER(INDEX(SPPR!$E:$X,MATCH($A75,SPPR!$A:$A,0),19)),$C75*INDEX(SPPR!$E:$X,MATCH($A75,SPPR!$A:$A,0),19),""),"")</f>
        <v/>
      </c>
      <c r="W75">
        <f>IFERROR(IF(ISNUMBER(INDEX(SPPR!$E:$X,MATCH($A75,SPPR!$A:$A,0),20)),$C75*INDEX(SPPR!$E:$X,MATCH($A75,SPPR!$A:$A,0),20),""),"")</f>
        <v/>
      </c>
    </row>
    <row r="76">
      <c r="A76" t="inlineStr">
        <is>
          <t>Paralichthyidae</t>
        </is>
      </c>
      <c r="B76">
        <f>IFERROR(INDEX(SPPR!$D:$D,MATCH($A76,SPPR!$A:$A,0)),"")</f>
        <v/>
      </c>
      <c r="C76">
        <f>IFERROR(INDEX(Catch!$E:$BV,MATCH($A76,Catch!$A:$A,0),MATCH($B$4,Catch!$E$1:$BV$1,0)),0)</f>
        <v/>
      </c>
      <c r="D76">
        <f>IFERROR(IF(ISNUMBER(INDEX(SPPR!$E:$X,MATCH($A76,SPPR!$A:$A,0),1)),$C76*INDEX(SPPR!$E:$X,MATCH($A76,SPPR!$A:$A,0),1),""),"")</f>
        <v/>
      </c>
      <c r="E76">
        <f>IFERROR(IF(ISNUMBER(INDEX(SPPR!$E:$X,MATCH($A76,SPPR!$A:$A,0),2)),$C76*INDEX(SPPR!$E:$X,MATCH($A76,SPPR!$A:$A,0),2),""),"")</f>
        <v/>
      </c>
      <c r="F76">
        <f>IFERROR(IF(ISNUMBER(INDEX(SPPR!$E:$X,MATCH($A76,SPPR!$A:$A,0),3)),$C76*INDEX(SPPR!$E:$X,MATCH($A76,SPPR!$A:$A,0),3),""),"")</f>
        <v/>
      </c>
      <c r="G76">
        <f>IFERROR(IF(ISNUMBER(INDEX(SPPR!$E:$X,MATCH($A76,SPPR!$A:$A,0),4)),$C76*INDEX(SPPR!$E:$X,MATCH($A76,SPPR!$A:$A,0),4),""),"")</f>
        <v/>
      </c>
      <c r="H76">
        <f>IFERROR(IF(ISNUMBER(INDEX(SPPR!$E:$X,MATCH($A76,SPPR!$A:$A,0),5)),$C76*INDEX(SPPR!$E:$X,MATCH($A76,SPPR!$A:$A,0),5),""),"")</f>
        <v/>
      </c>
      <c r="I76">
        <f>IFERROR(IF(ISNUMBER(INDEX(SPPR!$E:$X,MATCH($A76,SPPR!$A:$A,0),6)),$C76*INDEX(SPPR!$E:$X,MATCH($A76,SPPR!$A:$A,0),6),""),"")</f>
        <v/>
      </c>
      <c r="J76">
        <f>IFERROR(IF(ISNUMBER(INDEX(SPPR!$E:$X,MATCH($A76,SPPR!$A:$A,0),7)),$C76*INDEX(SPPR!$E:$X,MATCH($A76,SPPR!$A:$A,0),7),""),"")</f>
        <v/>
      </c>
      <c r="K76">
        <f>IFERROR(IF(ISNUMBER(INDEX(SPPR!$E:$X,MATCH($A76,SPPR!$A:$A,0),8)),$C76*INDEX(SPPR!$E:$X,MATCH($A76,SPPR!$A:$A,0),8),""),"")</f>
        <v/>
      </c>
      <c r="L76">
        <f>IFERROR(IF(ISNUMBER(INDEX(SPPR!$E:$X,MATCH($A76,SPPR!$A:$A,0),9)),$C76*INDEX(SPPR!$E:$X,MATCH($A76,SPPR!$A:$A,0),9),""),"")</f>
        <v/>
      </c>
      <c r="M76">
        <f>IFERROR(IF(ISNUMBER(INDEX(SPPR!$E:$X,MATCH($A76,SPPR!$A:$A,0),10)),$C76*INDEX(SPPR!$E:$X,MATCH($A76,SPPR!$A:$A,0),10),""),"")</f>
        <v/>
      </c>
      <c r="N76">
        <f>IFERROR(IF(ISNUMBER(INDEX(SPPR!$E:$X,MATCH($A76,SPPR!$A:$A,0),11)),$C76*INDEX(SPPR!$E:$X,MATCH($A76,SPPR!$A:$A,0),11),""),"")</f>
        <v/>
      </c>
      <c r="O76">
        <f>IFERROR(IF(ISNUMBER(INDEX(SPPR!$E:$X,MATCH($A76,SPPR!$A:$A,0),12)),$C76*INDEX(SPPR!$E:$X,MATCH($A76,SPPR!$A:$A,0),12),""),"")</f>
        <v/>
      </c>
      <c r="P76">
        <f>IFERROR(IF(ISNUMBER(INDEX(SPPR!$E:$X,MATCH($A76,SPPR!$A:$A,0),13)),$C76*INDEX(SPPR!$E:$X,MATCH($A76,SPPR!$A:$A,0),13),""),"")</f>
        <v/>
      </c>
      <c r="Q76">
        <f>IFERROR(IF(ISNUMBER(INDEX(SPPR!$E:$X,MATCH($A76,SPPR!$A:$A,0),14)),$C76*INDEX(SPPR!$E:$X,MATCH($A76,SPPR!$A:$A,0),14),""),"")</f>
        <v/>
      </c>
      <c r="R76">
        <f>IFERROR(IF(ISNUMBER(INDEX(SPPR!$E:$X,MATCH($A76,SPPR!$A:$A,0),15)),$C76*INDEX(SPPR!$E:$X,MATCH($A76,SPPR!$A:$A,0),15),""),"")</f>
        <v/>
      </c>
      <c r="S76">
        <f>IFERROR(IF(ISNUMBER(INDEX(SPPR!$E:$X,MATCH($A76,SPPR!$A:$A,0),16)),$C76*INDEX(SPPR!$E:$X,MATCH($A76,SPPR!$A:$A,0),16),""),"")</f>
        <v/>
      </c>
      <c r="T76">
        <f>IFERROR(IF(ISNUMBER(INDEX(SPPR!$E:$X,MATCH($A76,SPPR!$A:$A,0),17)),$C76*INDEX(SPPR!$E:$X,MATCH($A76,SPPR!$A:$A,0),17),""),"")</f>
        <v/>
      </c>
      <c r="U76">
        <f>IFERROR(IF(ISNUMBER(INDEX(SPPR!$E:$X,MATCH($A76,SPPR!$A:$A,0),18)),$C76*INDEX(SPPR!$E:$X,MATCH($A76,SPPR!$A:$A,0),18),""),"")</f>
        <v/>
      </c>
      <c r="V76">
        <f>IFERROR(IF(ISNUMBER(INDEX(SPPR!$E:$X,MATCH($A76,SPPR!$A:$A,0),19)),$C76*INDEX(SPPR!$E:$X,MATCH($A76,SPPR!$A:$A,0),19),""),"")</f>
        <v/>
      </c>
      <c r="W76">
        <f>IFERROR(IF(ISNUMBER(INDEX(SPPR!$E:$X,MATCH($A76,SPPR!$A:$A,0),20)),$C76*INDEX(SPPR!$E:$X,MATCH($A76,SPPR!$A:$A,0),20),""),"")</f>
        <v/>
      </c>
    </row>
    <row r="77">
      <c r="A77" t="inlineStr">
        <is>
          <t>Elasmobranchii</t>
        </is>
      </c>
      <c r="B77">
        <f>IFERROR(INDEX(SPPR!$D:$D,MATCH($A77,SPPR!$A:$A,0)),"")</f>
        <v/>
      </c>
      <c r="C77">
        <f>IFERROR(INDEX(Catch!$E:$BV,MATCH($A77,Catch!$A:$A,0),MATCH($B$4,Catch!$E$1:$BV$1,0)),0)</f>
        <v/>
      </c>
      <c r="D77">
        <f>IFERROR(IF(ISNUMBER(INDEX(SPPR!$E:$X,MATCH($A77,SPPR!$A:$A,0),1)),$C77*INDEX(SPPR!$E:$X,MATCH($A77,SPPR!$A:$A,0),1),""),"")</f>
        <v/>
      </c>
      <c r="E77">
        <f>IFERROR(IF(ISNUMBER(INDEX(SPPR!$E:$X,MATCH($A77,SPPR!$A:$A,0),2)),$C77*INDEX(SPPR!$E:$X,MATCH($A77,SPPR!$A:$A,0),2),""),"")</f>
        <v/>
      </c>
      <c r="F77">
        <f>IFERROR(IF(ISNUMBER(INDEX(SPPR!$E:$X,MATCH($A77,SPPR!$A:$A,0),3)),$C77*INDEX(SPPR!$E:$X,MATCH($A77,SPPR!$A:$A,0),3),""),"")</f>
        <v/>
      </c>
      <c r="G77">
        <f>IFERROR(IF(ISNUMBER(INDEX(SPPR!$E:$X,MATCH($A77,SPPR!$A:$A,0),4)),$C77*INDEX(SPPR!$E:$X,MATCH($A77,SPPR!$A:$A,0),4),""),"")</f>
        <v/>
      </c>
      <c r="H77">
        <f>IFERROR(IF(ISNUMBER(INDEX(SPPR!$E:$X,MATCH($A77,SPPR!$A:$A,0),5)),$C77*INDEX(SPPR!$E:$X,MATCH($A77,SPPR!$A:$A,0),5),""),"")</f>
        <v/>
      </c>
      <c r="I77">
        <f>IFERROR(IF(ISNUMBER(INDEX(SPPR!$E:$X,MATCH($A77,SPPR!$A:$A,0),6)),$C77*INDEX(SPPR!$E:$X,MATCH($A77,SPPR!$A:$A,0),6),""),"")</f>
        <v/>
      </c>
      <c r="J77">
        <f>IFERROR(IF(ISNUMBER(INDEX(SPPR!$E:$X,MATCH($A77,SPPR!$A:$A,0),7)),$C77*INDEX(SPPR!$E:$X,MATCH($A77,SPPR!$A:$A,0),7),""),"")</f>
        <v/>
      </c>
      <c r="K77">
        <f>IFERROR(IF(ISNUMBER(INDEX(SPPR!$E:$X,MATCH($A77,SPPR!$A:$A,0),8)),$C77*INDEX(SPPR!$E:$X,MATCH($A77,SPPR!$A:$A,0),8),""),"")</f>
        <v/>
      </c>
      <c r="L77">
        <f>IFERROR(IF(ISNUMBER(INDEX(SPPR!$E:$X,MATCH($A77,SPPR!$A:$A,0),9)),$C77*INDEX(SPPR!$E:$X,MATCH($A77,SPPR!$A:$A,0),9),""),"")</f>
        <v/>
      </c>
      <c r="M77">
        <f>IFERROR(IF(ISNUMBER(INDEX(SPPR!$E:$X,MATCH($A77,SPPR!$A:$A,0),10)),$C77*INDEX(SPPR!$E:$X,MATCH($A77,SPPR!$A:$A,0),10),""),"")</f>
        <v/>
      </c>
      <c r="N77">
        <f>IFERROR(IF(ISNUMBER(INDEX(SPPR!$E:$X,MATCH($A77,SPPR!$A:$A,0),11)),$C77*INDEX(SPPR!$E:$X,MATCH($A77,SPPR!$A:$A,0),11),""),"")</f>
        <v/>
      </c>
      <c r="O77">
        <f>IFERROR(IF(ISNUMBER(INDEX(SPPR!$E:$X,MATCH($A77,SPPR!$A:$A,0),12)),$C77*INDEX(SPPR!$E:$X,MATCH($A77,SPPR!$A:$A,0),12),""),"")</f>
        <v/>
      </c>
      <c r="P77">
        <f>IFERROR(IF(ISNUMBER(INDEX(SPPR!$E:$X,MATCH($A77,SPPR!$A:$A,0),13)),$C77*INDEX(SPPR!$E:$X,MATCH($A77,SPPR!$A:$A,0),13),""),"")</f>
        <v/>
      </c>
      <c r="Q77">
        <f>IFERROR(IF(ISNUMBER(INDEX(SPPR!$E:$X,MATCH($A77,SPPR!$A:$A,0),14)),$C77*INDEX(SPPR!$E:$X,MATCH($A77,SPPR!$A:$A,0),14),""),"")</f>
        <v/>
      </c>
      <c r="R77">
        <f>IFERROR(IF(ISNUMBER(INDEX(SPPR!$E:$X,MATCH($A77,SPPR!$A:$A,0),15)),$C77*INDEX(SPPR!$E:$X,MATCH($A77,SPPR!$A:$A,0),15),""),"")</f>
        <v/>
      </c>
      <c r="S77">
        <f>IFERROR(IF(ISNUMBER(INDEX(SPPR!$E:$X,MATCH($A77,SPPR!$A:$A,0),16)),$C77*INDEX(SPPR!$E:$X,MATCH($A77,SPPR!$A:$A,0),16),""),"")</f>
        <v/>
      </c>
      <c r="T77">
        <f>IFERROR(IF(ISNUMBER(INDEX(SPPR!$E:$X,MATCH($A77,SPPR!$A:$A,0),17)),$C77*INDEX(SPPR!$E:$X,MATCH($A77,SPPR!$A:$A,0),17),""),"")</f>
        <v/>
      </c>
      <c r="U77">
        <f>IFERROR(IF(ISNUMBER(INDEX(SPPR!$E:$X,MATCH($A77,SPPR!$A:$A,0),18)),$C77*INDEX(SPPR!$E:$X,MATCH($A77,SPPR!$A:$A,0),18),""),"")</f>
        <v/>
      </c>
      <c r="V77">
        <f>IFERROR(IF(ISNUMBER(INDEX(SPPR!$E:$X,MATCH($A77,SPPR!$A:$A,0),19)),$C77*INDEX(SPPR!$E:$X,MATCH($A77,SPPR!$A:$A,0),19),""),"")</f>
        <v/>
      </c>
      <c r="W77">
        <f>IFERROR(IF(ISNUMBER(INDEX(SPPR!$E:$X,MATCH($A77,SPPR!$A:$A,0),20)),$C77*INDEX(SPPR!$E:$X,MATCH($A77,SPPR!$A:$A,0),20),""),"")</f>
        <v/>
      </c>
    </row>
    <row r="78">
      <c r="A78" t="inlineStr">
        <is>
          <t>Konosirus punctatus</t>
        </is>
      </c>
      <c r="B78">
        <f>IFERROR(INDEX(SPPR!$D:$D,MATCH($A78,SPPR!$A:$A,0)),"")</f>
        <v/>
      </c>
      <c r="C78">
        <f>IFERROR(INDEX(Catch!$E:$BV,MATCH($A78,Catch!$A:$A,0),MATCH($B$4,Catch!$E$1:$BV$1,0)),0)</f>
        <v/>
      </c>
      <c r="D78">
        <f>IFERROR(IF(ISNUMBER(INDEX(SPPR!$E:$X,MATCH($A78,SPPR!$A:$A,0),1)),$C78*INDEX(SPPR!$E:$X,MATCH($A78,SPPR!$A:$A,0),1),""),"")</f>
        <v/>
      </c>
      <c r="E78">
        <f>IFERROR(IF(ISNUMBER(INDEX(SPPR!$E:$X,MATCH($A78,SPPR!$A:$A,0),2)),$C78*INDEX(SPPR!$E:$X,MATCH($A78,SPPR!$A:$A,0),2),""),"")</f>
        <v/>
      </c>
      <c r="F78">
        <f>IFERROR(IF(ISNUMBER(INDEX(SPPR!$E:$X,MATCH($A78,SPPR!$A:$A,0),3)),$C78*INDEX(SPPR!$E:$X,MATCH($A78,SPPR!$A:$A,0),3),""),"")</f>
        <v/>
      </c>
      <c r="G78">
        <f>IFERROR(IF(ISNUMBER(INDEX(SPPR!$E:$X,MATCH($A78,SPPR!$A:$A,0),4)),$C78*INDEX(SPPR!$E:$X,MATCH($A78,SPPR!$A:$A,0),4),""),"")</f>
        <v/>
      </c>
      <c r="H78">
        <f>IFERROR(IF(ISNUMBER(INDEX(SPPR!$E:$X,MATCH($A78,SPPR!$A:$A,0),5)),$C78*INDEX(SPPR!$E:$X,MATCH($A78,SPPR!$A:$A,0),5),""),"")</f>
        <v/>
      </c>
      <c r="I78">
        <f>IFERROR(IF(ISNUMBER(INDEX(SPPR!$E:$X,MATCH($A78,SPPR!$A:$A,0),6)),$C78*INDEX(SPPR!$E:$X,MATCH($A78,SPPR!$A:$A,0),6),""),"")</f>
        <v/>
      </c>
      <c r="J78">
        <f>IFERROR(IF(ISNUMBER(INDEX(SPPR!$E:$X,MATCH($A78,SPPR!$A:$A,0),7)),$C78*INDEX(SPPR!$E:$X,MATCH($A78,SPPR!$A:$A,0),7),""),"")</f>
        <v/>
      </c>
      <c r="K78">
        <f>IFERROR(IF(ISNUMBER(INDEX(SPPR!$E:$X,MATCH($A78,SPPR!$A:$A,0),8)),$C78*INDEX(SPPR!$E:$X,MATCH($A78,SPPR!$A:$A,0),8),""),"")</f>
        <v/>
      </c>
      <c r="L78">
        <f>IFERROR(IF(ISNUMBER(INDEX(SPPR!$E:$X,MATCH($A78,SPPR!$A:$A,0),9)),$C78*INDEX(SPPR!$E:$X,MATCH($A78,SPPR!$A:$A,0),9),""),"")</f>
        <v/>
      </c>
      <c r="M78">
        <f>IFERROR(IF(ISNUMBER(INDEX(SPPR!$E:$X,MATCH($A78,SPPR!$A:$A,0),10)),$C78*INDEX(SPPR!$E:$X,MATCH($A78,SPPR!$A:$A,0),10),""),"")</f>
        <v/>
      </c>
      <c r="N78">
        <f>IFERROR(IF(ISNUMBER(INDEX(SPPR!$E:$X,MATCH($A78,SPPR!$A:$A,0),11)),$C78*INDEX(SPPR!$E:$X,MATCH($A78,SPPR!$A:$A,0),11),""),"")</f>
        <v/>
      </c>
      <c r="O78">
        <f>IFERROR(IF(ISNUMBER(INDEX(SPPR!$E:$X,MATCH($A78,SPPR!$A:$A,0),12)),$C78*INDEX(SPPR!$E:$X,MATCH($A78,SPPR!$A:$A,0),12),""),"")</f>
        <v/>
      </c>
      <c r="P78">
        <f>IFERROR(IF(ISNUMBER(INDEX(SPPR!$E:$X,MATCH($A78,SPPR!$A:$A,0),13)),$C78*INDEX(SPPR!$E:$X,MATCH($A78,SPPR!$A:$A,0),13),""),"")</f>
        <v/>
      </c>
      <c r="Q78">
        <f>IFERROR(IF(ISNUMBER(INDEX(SPPR!$E:$X,MATCH($A78,SPPR!$A:$A,0),14)),$C78*INDEX(SPPR!$E:$X,MATCH($A78,SPPR!$A:$A,0),14),""),"")</f>
        <v/>
      </c>
      <c r="R78">
        <f>IFERROR(IF(ISNUMBER(INDEX(SPPR!$E:$X,MATCH($A78,SPPR!$A:$A,0),15)),$C78*INDEX(SPPR!$E:$X,MATCH($A78,SPPR!$A:$A,0),15),""),"")</f>
        <v/>
      </c>
      <c r="S78">
        <f>IFERROR(IF(ISNUMBER(INDEX(SPPR!$E:$X,MATCH($A78,SPPR!$A:$A,0),16)),$C78*INDEX(SPPR!$E:$X,MATCH($A78,SPPR!$A:$A,0),16),""),"")</f>
        <v/>
      </c>
      <c r="T78">
        <f>IFERROR(IF(ISNUMBER(INDEX(SPPR!$E:$X,MATCH($A78,SPPR!$A:$A,0),17)),$C78*INDEX(SPPR!$E:$X,MATCH($A78,SPPR!$A:$A,0),17),""),"")</f>
        <v/>
      </c>
      <c r="U78">
        <f>IFERROR(IF(ISNUMBER(INDEX(SPPR!$E:$X,MATCH($A78,SPPR!$A:$A,0),18)),$C78*INDEX(SPPR!$E:$X,MATCH($A78,SPPR!$A:$A,0),18),""),"")</f>
        <v/>
      </c>
      <c r="V78">
        <f>IFERROR(IF(ISNUMBER(INDEX(SPPR!$E:$X,MATCH($A78,SPPR!$A:$A,0),19)),$C78*INDEX(SPPR!$E:$X,MATCH($A78,SPPR!$A:$A,0),19),""),"")</f>
        <v/>
      </c>
      <c r="W78">
        <f>IFERROR(IF(ISNUMBER(INDEX(SPPR!$E:$X,MATCH($A78,SPPR!$A:$A,0),20)),$C78*INDEX(SPPR!$E:$X,MATCH($A78,SPPR!$A:$A,0),20),""),"")</f>
        <v/>
      </c>
    </row>
    <row r="79">
      <c r="A79" t="inlineStr">
        <is>
          <t>Auxis</t>
        </is>
      </c>
      <c r="B79">
        <f>IFERROR(INDEX(SPPR!$D:$D,MATCH($A79,SPPR!$A:$A,0)),"")</f>
        <v/>
      </c>
      <c r="C79">
        <f>IFERROR(INDEX(Catch!$E:$BV,MATCH($A79,Catch!$A:$A,0),MATCH($B$4,Catch!$E$1:$BV$1,0)),0)</f>
        <v/>
      </c>
      <c r="D79">
        <f>IFERROR(IF(ISNUMBER(INDEX(SPPR!$E:$X,MATCH($A79,SPPR!$A:$A,0),1)),$C79*INDEX(SPPR!$E:$X,MATCH($A79,SPPR!$A:$A,0),1),""),"")</f>
        <v/>
      </c>
      <c r="E79">
        <f>IFERROR(IF(ISNUMBER(INDEX(SPPR!$E:$X,MATCH($A79,SPPR!$A:$A,0),2)),$C79*INDEX(SPPR!$E:$X,MATCH($A79,SPPR!$A:$A,0),2),""),"")</f>
        <v/>
      </c>
      <c r="F79">
        <f>IFERROR(IF(ISNUMBER(INDEX(SPPR!$E:$X,MATCH($A79,SPPR!$A:$A,0),3)),$C79*INDEX(SPPR!$E:$X,MATCH($A79,SPPR!$A:$A,0),3),""),"")</f>
        <v/>
      </c>
      <c r="G79">
        <f>IFERROR(IF(ISNUMBER(INDEX(SPPR!$E:$X,MATCH($A79,SPPR!$A:$A,0),4)),$C79*INDEX(SPPR!$E:$X,MATCH($A79,SPPR!$A:$A,0),4),""),"")</f>
        <v/>
      </c>
      <c r="H79">
        <f>IFERROR(IF(ISNUMBER(INDEX(SPPR!$E:$X,MATCH($A79,SPPR!$A:$A,0),5)),$C79*INDEX(SPPR!$E:$X,MATCH($A79,SPPR!$A:$A,0),5),""),"")</f>
        <v/>
      </c>
      <c r="I79">
        <f>IFERROR(IF(ISNUMBER(INDEX(SPPR!$E:$X,MATCH($A79,SPPR!$A:$A,0),6)),$C79*INDEX(SPPR!$E:$X,MATCH($A79,SPPR!$A:$A,0),6),""),"")</f>
        <v/>
      </c>
      <c r="J79">
        <f>IFERROR(IF(ISNUMBER(INDEX(SPPR!$E:$X,MATCH($A79,SPPR!$A:$A,0),7)),$C79*INDEX(SPPR!$E:$X,MATCH($A79,SPPR!$A:$A,0),7),""),"")</f>
        <v/>
      </c>
      <c r="K79">
        <f>IFERROR(IF(ISNUMBER(INDEX(SPPR!$E:$X,MATCH($A79,SPPR!$A:$A,0),8)),$C79*INDEX(SPPR!$E:$X,MATCH($A79,SPPR!$A:$A,0),8),""),"")</f>
        <v/>
      </c>
      <c r="L79">
        <f>IFERROR(IF(ISNUMBER(INDEX(SPPR!$E:$X,MATCH($A79,SPPR!$A:$A,0),9)),$C79*INDEX(SPPR!$E:$X,MATCH($A79,SPPR!$A:$A,0),9),""),"")</f>
        <v/>
      </c>
      <c r="M79">
        <f>IFERROR(IF(ISNUMBER(INDEX(SPPR!$E:$X,MATCH($A79,SPPR!$A:$A,0),10)),$C79*INDEX(SPPR!$E:$X,MATCH($A79,SPPR!$A:$A,0),10),""),"")</f>
        <v/>
      </c>
      <c r="N79">
        <f>IFERROR(IF(ISNUMBER(INDEX(SPPR!$E:$X,MATCH($A79,SPPR!$A:$A,0),11)),$C79*INDEX(SPPR!$E:$X,MATCH($A79,SPPR!$A:$A,0),11),""),"")</f>
        <v/>
      </c>
      <c r="O79">
        <f>IFERROR(IF(ISNUMBER(INDEX(SPPR!$E:$X,MATCH($A79,SPPR!$A:$A,0),12)),$C79*INDEX(SPPR!$E:$X,MATCH($A79,SPPR!$A:$A,0),12),""),"")</f>
        <v/>
      </c>
      <c r="P79">
        <f>IFERROR(IF(ISNUMBER(INDEX(SPPR!$E:$X,MATCH($A79,SPPR!$A:$A,0),13)),$C79*INDEX(SPPR!$E:$X,MATCH($A79,SPPR!$A:$A,0),13),""),"")</f>
        <v/>
      </c>
      <c r="Q79">
        <f>IFERROR(IF(ISNUMBER(INDEX(SPPR!$E:$X,MATCH($A79,SPPR!$A:$A,0),14)),$C79*INDEX(SPPR!$E:$X,MATCH($A79,SPPR!$A:$A,0),14),""),"")</f>
        <v/>
      </c>
      <c r="R79">
        <f>IFERROR(IF(ISNUMBER(INDEX(SPPR!$E:$X,MATCH($A79,SPPR!$A:$A,0),15)),$C79*INDEX(SPPR!$E:$X,MATCH($A79,SPPR!$A:$A,0),15),""),"")</f>
        <v/>
      </c>
      <c r="S79">
        <f>IFERROR(IF(ISNUMBER(INDEX(SPPR!$E:$X,MATCH($A79,SPPR!$A:$A,0),16)),$C79*INDEX(SPPR!$E:$X,MATCH($A79,SPPR!$A:$A,0),16),""),"")</f>
        <v/>
      </c>
      <c r="T79">
        <f>IFERROR(IF(ISNUMBER(INDEX(SPPR!$E:$X,MATCH($A79,SPPR!$A:$A,0),17)),$C79*INDEX(SPPR!$E:$X,MATCH($A79,SPPR!$A:$A,0),17),""),"")</f>
        <v/>
      </c>
      <c r="U79">
        <f>IFERROR(IF(ISNUMBER(INDEX(SPPR!$E:$X,MATCH($A79,SPPR!$A:$A,0),18)),$C79*INDEX(SPPR!$E:$X,MATCH($A79,SPPR!$A:$A,0),18),""),"")</f>
        <v/>
      </c>
      <c r="V79">
        <f>IFERROR(IF(ISNUMBER(INDEX(SPPR!$E:$X,MATCH($A79,SPPR!$A:$A,0),19)),$C79*INDEX(SPPR!$E:$X,MATCH($A79,SPPR!$A:$A,0),19),""),"")</f>
        <v/>
      </c>
      <c r="W79">
        <f>IFERROR(IF(ISNUMBER(INDEX(SPPR!$E:$X,MATCH($A79,SPPR!$A:$A,0),20)),$C79*INDEX(SPPR!$E:$X,MATCH($A79,SPPR!$A:$A,0),20),""),"")</f>
        <v/>
      </c>
    </row>
    <row r="80">
      <c r="A80" t="inlineStr">
        <is>
          <t>Tetraodontidae</t>
        </is>
      </c>
      <c r="B80">
        <f>IFERROR(INDEX(SPPR!$D:$D,MATCH($A80,SPPR!$A:$A,0)),"")</f>
        <v/>
      </c>
      <c r="C80">
        <f>IFERROR(INDEX(Catch!$E:$BV,MATCH($A80,Catch!$A:$A,0),MATCH($B$4,Catch!$E$1:$BV$1,0)),0)</f>
        <v/>
      </c>
      <c r="D80">
        <f>IFERROR(IF(ISNUMBER(INDEX(SPPR!$E:$X,MATCH($A80,SPPR!$A:$A,0),1)),$C80*INDEX(SPPR!$E:$X,MATCH($A80,SPPR!$A:$A,0),1),""),"")</f>
        <v/>
      </c>
      <c r="E80">
        <f>IFERROR(IF(ISNUMBER(INDEX(SPPR!$E:$X,MATCH($A80,SPPR!$A:$A,0),2)),$C80*INDEX(SPPR!$E:$X,MATCH($A80,SPPR!$A:$A,0),2),""),"")</f>
        <v/>
      </c>
      <c r="F80">
        <f>IFERROR(IF(ISNUMBER(INDEX(SPPR!$E:$X,MATCH($A80,SPPR!$A:$A,0),3)),$C80*INDEX(SPPR!$E:$X,MATCH($A80,SPPR!$A:$A,0),3),""),"")</f>
        <v/>
      </c>
      <c r="G80">
        <f>IFERROR(IF(ISNUMBER(INDEX(SPPR!$E:$X,MATCH($A80,SPPR!$A:$A,0),4)),$C80*INDEX(SPPR!$E:$X,MATCH($A80,SPPR!$A:$A,0),4),""),"")</f>
        <v/>
      </c>
      <c r="H80">
        <f>IFERROR(IF(ISNUMBER(INDEX(SPPR!$E:$X,MATCH($A80,SPPR!$A:$A,0),5)),$C80*INDEX(SPPR!$E:$X,MATCH($A80,SPPR!$A:$A,0),5),""),"")</f>
        <v/>
      </c>
      <c r="I80">
        <f>IFERROR(IF(ISNUMBER(INDEX(SPPR!$E:$X,MATCH($A80,SPPR!$A:$A,0),6)),$C80*INDEX(SPPR!$E:$X,MATCH($A80,SPPR!$A:$A,0),6),""),"")</f>
        <v/>
      </c>
      <c r="J80">
        <f>IFERROR(IF(ISNUMBER(INDEX(SPPR!$E:$X,MATCH($A80,SPPR!$A:$A,0),7)),$C80*INDEX(SPPR!$E:$X,MATCH($A80,SPPR!$A:$A,0),7),""),"")</f>
        <v/>
      </c>
      <c r="K80">
        <f>IFERROR(IF(ISNUMBER(INDEX(SPPR!$E:$X,MATCH($A80,SPPR!$A:$A,0),8)),$C80*INDEX(SPPR!$E:$X,MATCH($A80,SPPR!$A:$A,0),8),""),"")</f>
        <v/>
      </c>
      <c r="L80">
        <f>IFERROR(IF(ISNUMBER(INDEX(SPPR!$E:$X,MATCH($A80,SPPR!$A:$A,0),9)),$C80*INDEX(SPPR!$E:$X,MATCH($A80,SPPR!$A:$A,0),9),""),"")</f>
        <v/>
      </c>
      <c r="M80">
        <f>IFERROR(IF(ISNUMBER(INDEX(SPPR!$E:$X,MATCH($A80,SPPR!$A:$A,0),10)),$C80*INDEX(SPPR!$E:$X,MATCH($A80,SPPR!$A:$A,0),10),""),"")</f>
        <v/>
      </c>
      <c r="N80">
        <f>IFERROR(IF(ISNUMBER(INDEX(SPPR!$E:$X,MATCH($A80,SPPR!$A:$A,0),11)),$C80*INDEX(SPPR!$E:$X,MATCH($A80,SPPR!$A:$A,0),11),""),"")</f>
        <v/>
      </c>
      <c r="O80">
        <f>IFERROR(IF(ISNUMBER(INDEX(SPPR!$E:$X,MATCH($A80,SPPR!$A:$A,0),12)),$C80*INDEX(SPPR!$E:$X,MATCH($A80,SPPR!$A:$A,0),12),""),"")</f>
        <v/>
      </c>
      <c r="P80">
        <f>IFERROR(IF(ISNUMBER(INDEX(SPPR!$E:$X,MATCH($A80,SPPR!$A:$A,0),13)),$C80*INDEX(SPPR!$E:$X,MATCH($A80,SPPR!$A:$A,0),13),""),"")</f>
        <v/>
      </c>
      <c r="Q80">
        <f>IFERROR(IF(ISNUMBER(INDEX(SPPR!$E:$X,MATCH($A80,SPPR!$A:$A,0),14)),$C80*INDEX(SPPR!$E:$X,MATCH($A80,SPPR!$A:$A,0),14),""),"")</f>
        <v/>
      </c>
      <c r="R80">
        <f>IFERROR(IF(ISNUMBER(INDEX(SPPR!$E:$X,MATCH($A80,SPPR!$A:$A,0),15)),$C80*INDEX(SPPR!$E:$X,MATCH($A80,SPPR!$A:$A,0),15),""),"")</f>
        <v/>
      </c>
      <c r="S80">
        <f>IFERROR(IF(ISNUMBER(INDEX(SPPR!$E:$X,MATCH($A80,SPPR!$A:$A,0),16)),$C80*INDEX(SPPR!$E:$X,MATCH($A80,SPPR!$A:$A,0),16),""),"")</f>
        <v/>
      </c>
      <c r="T80">
        <f>IFERROR(IF(ISNUMBER(INDEX(SPPR!$E:$X,MATCH($A80,SPPR!$A:$A,0),17)),$C80*INDEX(SPPR!$E:$X,MATCH($A80,SPPR!$A:$A,0),17),""),"")</f>
        <v/>
      </c>
      <c r="U80">
        <f>IFERROR(IF(ISNUMBER(INDEX(SPPR!$E:$X,MATCH($A80,SPPR!$A:$A,0),18)),$C80*INDEX(SPPR!$E:$X,MATCH($A80,SPPR!$A:$A,0),18),""),"")</f>
        <v/>
      </c>
      <c r="V80">
        <f>IFERROR(IF(ISNUMBER(INDEX(SPPR!$E:$X,MATCH($A80,SPPR!$A:$A,0),19)),$C80*INDEX(SPPR!$E:$X,MATCH($A80,SPPR!$A:$A,0),19),""),"")</f>
        <v/>
      </c>
      <c r="W80">
        <f>IFERROR(IF(ISNUMBER(INDEX(SPPR!$E:$X,MATCH($A80,SPPR!$A:$A,0),20)),$C80*INDEX(SPPR!$E:$X,MATCH($A80,SPPR!$A:$A,0),20),""),"")</f>
        <v/>
      </c>
    </row>
    <row r="81">
      <c r="A81" t="inlineStr">
        <is>
          <t>Pampus argenteus</t>
        </is>
      </c>
      <c r="B81">
        <f>IFERROR(INDEX(SPPR!$D:$D,MATCH($A81,SPPR!$A:$A,0)),"")</f>
        <v/>
      </c>
      <c r="C81">
        <f>IFERROR(INDEX(Catch!$E:$BV,MATCH($A81,Catch!$A:$A,0),MATCH($B$4,Catch!$E$1:$BV$1,0)),0)</f>
        <v/>
      </c>
      <c r="D81">
        <f>IFERROR(IF(ISNUMBER(INDEX(SPPR!$E:$X,MATCH($A81,SPPR!$A:$A,0),1)),$C81*INDEX(SPPR!$E:$X,MATCH($A81,SPPR!$A:$A,0),1),""),"")</f>
        <v/>
      </c>
      <c r="E81">
        <f>IFERROR(IF(ISNUMBER(INDEX(SPPR!$E:$X,MATCH($A81,SPPR!$A:$A,0),2)),$C81*INDEX(SPPR!$E:$X,MATCH($A81,SPPR!$A:$A,0),2),""),"")</f>
        <v/>
      </c>
      <c r="F81">
        <f>IFERROR(IF(ISNUMBER(INDEX(SPPR!$E:$X,MATCH($A81,SPPR!$A:$A,0),3)),$C81*INDEX(SPPR!$E:$X,MATCH($A81,SPPR!$A:$A,0),3),""),"")</f>
        <v/>
      </c>
      <c r="G81">
        <f>IFERROR(IF(ISNUMBER(INDEX(SPPR!$E:$X,MATCH($A81,SPPR!$A:$A,0),4)),$C81*INDEX(SPPR!$E:$X,MATCH($A81,SPPR!$A:$A,0),4),""),"")</f>
        <v/>
      </c>
      <c r="H81">
        <f>IFERROR(IF(ISNUMBER(INDEX(SPPR!$E:$X,MATCH($A81,SPPR!$A:$A,0),5)),$C81*INDEX(SPPR!$E:$X,MATCH($A81,SPPR!$A:$A,0),5),""),"")</f>
        <v/>
      </c>
      <c r="I81">
        <f>IFERROR(IF(ISNUMBER(INDEX(SPPR!$E:$X,MATCH($A81,SPPR!$A:$A,0),6)),$C81*INDEX(SPPR!$E:$X,MATCH($A81,SPPR!$A:$A,0),6),""),"")</f>
        <v/>
      </c>
      <c r="J81">
        <f>IFERROR(IF(ISNUMBER(INDEX(SPPR!$E:$X,MATCH($A81,SPPR!$A:$A,0),7)),$C81*INDEX(SPPR!$E:$X,MATCH($A81,SPPR!$A:$A,0),7),""),"")</f>
        <v/>
      </c>
      <c r="K81">
        <f>IFERROR(IF(ISNUMBER(INDEX(SPPR!$E:$X,MATCH($A81,SPPR!$A:$A,0),8)),$C81*INDEX(SPPR!$E:$X,MATCH($A81,SPPR!$A:$A,0),8),""),"")</f>
        <v/>
      </c>
      <c r="L81">
        <f>IFERROR(IF(ISNUMBER(INDEX(SPPR!$E:$X,MATCH($A81,SPPR!$A:$A,0),9)),$C81*INDEX(SPPR!$E:$X,MATCH($A81,SPPR!$A:$A,0),9),""),"")</f>
        <v/>
      </c>
      <c r="M81">
        <f>IFERROR(IF(ISNUMBER(INDEX(SPPR!$E:$X,MATCH($A81,SPPR!$A:$A,0),10)),$C81*INDEX(SPPR!$E:$X,MATCH($A81,SPPR!$A:$A,0),10),""),"")</f>
        <v/>
      </c>
      <c r="N81">
        <f>IFERROR(IF(ISNUMBER(INDEX(SPPR!$E:$X,MATCH($A81,SPPR!$A:$A,0),11)),$C81*INDEX(SPPR!$E:$X,MATCH($A81,SPPR!$A:$A,0),11),""),"")</f>
        <v/>
      </c>
      <c r="O81">
        <f>IFERROR(IF(ISNUMBER(INDEX(SPPR!$E:$X,MATCH($A81,SPPR!$A:$A,0),12)),$C81*INDEX(SPPR!$E:$X,MATCH($A81,SPPR!$A:$A,0),12),""),"")</f>
        <v/>
      </c>
      <c r="P81">
        <f>IFERROR(IF(ISNUMBER(INDEX(SPPR!$E:$X,MATCH($A81,SPPR!$A:$A,0),13)),$C81*INDEX(SPPR!$E:$X,MATCH($A81,SPPR!$A:$A,0),13),""),"")</f>
        <v/>
      </c>
      <c r="Q81">
        <f>IFERROR(IF(ISNUMBER(INDEX(SPPR!$E:$X,MATCH($A81,SPPR!$A:$A,0),14)),$C81*INDEX(SPPR!$E:$X,MATCH($A81,SPPR!$A:$A,0),14),""),"")</f>
        <v/>
      </c>
      <c r="R81">
        <f>IFERROR(IF(ISNUMBER(INDEX(SPPR!$E:$X,MATCH($A81,SPPR!$A:$A,0),15)),$C81*INDEX(SPPR!$E:$X,MATCH($A81,SPPR!$A:$A,0),15),""),"")</f>
        <v/>
      </c>
      <c r="S81">
        <f>IFERROR(IF(ISNUMBER(INDEX(SPPR!$E:$X,MATCH($A81,SPPR!$A:$A,0),16)),$C81*INDEX(SPPR!$E:$X,MATCH($A81,SPPR!$A:$A,0),16),""),"")</f>
        <v/>
      </c>
      <c r="T81">
        <f>IFERROR(IF(ISNUMBER(INDEX(SPPR!$E:$X,MATCH($A81,SPPR!$A:$A,0),17)),$C81*INDEX(SPPR!$E:$X,MATCH($A81,SPPR!$A:$A,0),17),""),"")</f>
        <v/>
      </c>
      <c r="U81">
        <f>IFERROR(IF(ISNUMBER(INDEX(SPPR!$E:$X,MATCH($A81,SPPR!$A:$A,0),18)),$C81*INDEX(SPPR!$E:$X,MATCH($A81,SPPR!$A:$A,0),18),""),"")</f>
        <v/>
      </c>
      <c r="V81">
        <f>IFERROR(IF(ISNUMBER(INDEX(SPPR!$E:$X,MATCH($A81,SPPR!$A:$A,0),19)),$C81*INDEX(SPPR!$E:$X,MATCH($A81,SPPR!$A:$A,0),19),""),"")</f>
        <v/>
      </c>
      <c r="W81">
        <f>IFERROR(IF(ISNUMBER(INDEX(SPPR!$E:$X,MATCH($A81,SPPR!$A:$A,0),20)),$C81*INDEX(SPPR!$E:$X,MATCH($A81,SPPR!$A:$A,0),20),""),"")</f>
        <v/>
      </c>
    </row>
    <row r="82">
      <c r="A82" t="inlineStr">
        <is>
          <t>Priacanthus</t>
        </is>
      </c>
      <c r="B82">
        <f>IFERROR(INDEX(SPPR!$D:$D,MATCH($A82,SPPR!$A:$A,0)),"")</f>
        <v/>
      </c>
      <c r="C82">
        <f>IFERROR(INDEX(Catch!$E:$BV,MATCH($A82,Catch!$A:$A,0),MATCH($B$4,Catch!$E$1:$BV$1,0)),0)</f>
        <v/>
      </c>
      <c r="D82">
        <f>IFERROR(IF(ISNUMBER(INDEX(SPPR!$E:$X,MATCH($A82,SPPR!$A:$A,0),1)),$C82*INDEX(SPPR!$E:$X,MATCH($A82,SPPR!$A:$A,0),1),""),"")</f>
        <v/>
      </c>
      <c r="E82">
        <f>IFERROR(IF(ISNUMBER(INDEX(SPPR!$E:$X,MATCH($A82,SPPR!$A:$A,0),2)),$C82*INDEX(SPPR!$E:$X,MATCH($A82,SPPR!$A:$A,0),2),""),"")</f>
        <v/>
      </c>
      <c r="F82">
        <f>IFERROR(IF(ISNUMBER(INDEX(SPPR!$E:$X,MATCH($A82,SPPR!$A:$A,0),3)),$C82*INDEX(SPPR!$E:$X,MATCH($A82,SPPR!$A:$A,0),3),""),"")</f>
        <v/>
      </c>
      <c r="G82">
        <f>IFERROR(IF(ISNUMBER(INDEX(SPPR!$E:$X,MATCH($A82,SPPR!$A:$A,0),4)),$C82*INDEX(SPPR!$E:$X,MATCH($A82,SPPR!$A:$A,0),4),""),"")</f>
        <v/>
      </c>
      <c r="H82">
        <f>IFERROR(IF(ISNUMBER(INDEX(SPPR!$E:$X,MATCH($A82,SPPR!$A:$A,0),5)),$C82*INDEX(SPPR!$E:$X,MATCH($A82,SPPR!$A:$A,0),5),""),"")</f>
        <v/>
      </c>
      <c r="I82">
        <f>IFERROR(IF(ISNUMBER(INDEX(SPPR!$E:$X,MATCH($A82,SPPR!$A:$A,0),6)),$C82*INDEX(SPPR!$E:$X,MATCH($A82,SPPR!$A:$A,0),6),""),"")</f>
        <v/>
      </c>
      <c r="J82">
        <f>IFERROR(IF(ISNUMBER(INDEX(SPPR!$E:$X,MATCH($A82,SPPR!$A:$A,0),7)),$C82*INDEX(SPPR!$E:$X,MATCH($A82,SPPR!$A:$A,0),7),""),"")</f>
        <v/>
      </c>
      <c r="K82">
        <f>IFERROR(IF(ISNUMBER(INDEX(SPPR!$E:$X,MATCH($A82,SPPR!$A:$A,0),8)),$C82*INDEX(SPPR!$E:$X,MATCH($A82,SPPR!$A:$A,0),8),""),"")</f>
        <v/>
      </c>
      <c r="L82">
        <f>IFERROR(IF(ISNUMBER(INDEX(SPPR!$E:$X,MATCH($A82,SPPR!$A:$A,0),9)),$C82*INDEX(SPPR!$E:$X,MATCH($A82,SPPR!$A:$A,0),9),""),"")</f>
        <v/>
      </c>
      <c r="M82">
        <f>IFERROR(IF(ISNUMBER(INDEX(SPPR!$E:$X,MATCH($A82,SPPR!$A:$A,0),10)),$C82*INDEX(SPPR!$E:$X,MATCH($A82,SPPR!$A:$A,0),10),""),"")</f>
        <v/>
      </c>
      <c r="N82">
        <f>IFERROR(IF(ISNUMBER(INDEX(SPPR!$E:$X,MATCH($A82,SPPR!$A:$A,0),11)),$C82*INDEX(SPPR!$E:$X,MATCH($A82,SPPR!$A:$A,0),11),""),"")</f>
        <v/>
      </c>
      <c r="O82">
        <f>IFERROR(IF(ISNUMBER(INDEX(SPPR!$E:$X,MATCH($A82,SPPR!$A:$A,0),12)),$C82*INDEX(SPPR!$E:$X,MATCH($A82,SPPR!$A:$A,0),12),""),"")</f>
        <v/>
      </c>
      <c r="P82">
        <f>IFERROR(IF(ISNUMBER(INDEX(SPPR!$E:$X,MATCH($A82,SPPR!$A:$A,0),13)),$C82*INDEX(SPPR!$E:$X,MATCH($A82,SPPR!$A:$A,0),13),""),"")</f>
        <v/>
      </c>
      <c r="Q82">
        <f>IFERROR(IF(ISNUMBER(INDEX(SPPR!$E:$X,MATCH($A82,SPPR!$A:$A,0),14)),$C82*INDEX(SPPR!$E:$X,MATCH($A82,SPPR!$A:$A,0),14),""),"")</f>
        <v/>
      </c>
      <c r="R82">
        <f>IFERROR(IF(ISNUMBER(INDEX(SPPR!$E:$X,MATCH($A82,SPPR!$A:$A,0),15)),$C82*INDEX(SPPR!$E:$X,MATCH($A82,SPPR!$A:$A,0),15),""),"")</f>
        <v/>
      </c>
      <c r="S82">
        <f>IFERROR(IF(ISNUMBER(INDEX(SPPR!$E:$X,MATCH($A82,SPPR!$A:$A,0),16)),$C82*INDEX(SPPR!$E:$X,MATCH($A82,SPPR!$A:$A,0),16),""),"")</f>
        <v/>
      </c>
      <c r="T82">
        <f>IFERROR(IF(ISNUMBER(INDEX(SPPR!$E:$X,MATCH($A82,SPPR!$A:$A,0),17)),$C82*INDEX(SPPR!$E:$X,MATCH($A82,SPPR!$A:$A,0),17),""),"")</f>
        <v/>
      </c>
      <c r="U82">
        <f>IFERROR(IF(ISNUMBER(INDEX(SPPR!$E:$X,MATCH($A82,SPPR!$A:$A,0),18)),$C82*INDEX(SPPR!$E:$X,MATCH($A82,SPPR!$A:$A,0),18),""),"")</f>
        <v/>
      </c>
      <c r="V82">
        <f>IFERROR(IF(ISNUMBER(INDEX(SPPR!$E:$X,MATCH($A82,SPPR!$A:$A,0),19)),$C82*INDEX(SPPR!$E:$X,MATCH($A82,SPPR!$A:$A,0),19),""),"")</f>
        <v/>
      </c>
      <c r="W82">
        <f>IFERROR(IF(ISNUMBER(INDEX(SPPR!$E:$X,MATCH($A82,SPPR!$A:$A,0),20)),$C82*INDEX(SPPR!$E:$X,MATCH($A82,SPPR!$A:$A,0),20),""),"")</f>
        <v/>
      </c>
    </row>
    <row r="83">
      <c r="A83" t="inlineStr">
        <is>
          <t>Synodontidae</t>
        </is>
      </c>
      <c r="B83">
        <f>IFERROR(INDEX(SPPR!$D:$D,MATCH($A83,SPPR!$A:$A,0)),"")</f>
        <v/>
      </c>
      <c r="C83">
        <f>IFERROR(INDEX(Catch!$E:$BV,MATCH($A83,Catch!$A:$A,0),MATCH($B$4,Catch!$E$1:$BV$1,0)),0)</f>
        <v/>
      </c>
      <c r="D83">
        <f>IFERROR(IF(ISNUMBER(INDEX(SPPR!$E:$X,MATCH($A83,SPPR!$A:$A,0),1)),$C83*INDEX(SPPR!$E:$X,MATCH($A83,SPPR!$A:$A,0),1),""),"")</f>
        <v/>
      </c>
      <c r="E83">
        <f>IFERROR(IF(ISNUMBER(INDEX(SPPR!$E:$X,MATCH($A83,SPPR!$A:$A,0),2)),$C83*INDEX(SPPR!$E:$X,MATCH($A83,SPPR!$A:$A,0),2),""),"")</f>
        <v/>
      </c>
      <c r="F83">
        <f>IFERROR(IF(ISNUMBER(INDEX(SPPR!$E:$X,MATCH($A83,SPPR!$A:$A,0),3)),$C83*INDEX(SPPR!$E:$X,MATCH($A83,SPPR!$A:$A,0),3),""),"")</f>
        <v/>
      </c>
      <c r="G83">
        <f>IFERROR(IF(ISNUMBER(INDEX(SPPR!$E:$X,MATCH($A83,SPPR!$A:$A,0),4)),$C83*INDEX(SPPR!$E:$X,MATCH($A83,SPPR!$A:$A,0),4),""),"")</f>
        <v/>
      </c>
      <c r="H83">
        <f>IFERROR(IF(ISNUMBER(INDEX(SPPR!$E:$X,MATCH($A83,SPPR!$A:$A,0),5)),$C83*INDEX(SPPR!$E:$X,MATCH($A83,SPPR!$A:$A,0),5),""),"")</f>
        <v/>
      </c>
      <c r="I83">
        <f>IFERROR(IF(ISNUMBER(INDEX(SPPR!$E:$X,MATCH($A83,SPPR!$A:$A,0),6)),$C83*INDEX(SPPR!$E:$X,MATCH($A83,SPPR!$A:$A,0),6),""),"")</f>
        <v/>
      </c>
      <c r="J83">
        <f>IFERROR(IF(ISNUMBER(INDEX(SPPR!$E:$X,MATCH($A83,SPPR!$A:$A,0),7)),$C83*INDEX(SPPR!$E:$X,MATCH($A83,SPPR!$A:$A,0),7),""),"")</f>
        <v/>
      </c>
      <c r="K83">
        <f>IFERROR(IF(ISNUMBER(INDEX(SPPR!$E:$X,MATCH($A83,SPPR!$A:$A,0),8)),$C83*INDEX(SPPR!$E:$X,MATCH($A83,SPPR!$A:$A,0),8),""),"")</f>
        <v/>
      </c>
      <c r="L83">
        <f>IFERROR(IF(ISNUMBER(INDEX(SPPR!$E:$X,MATCH($A83,SPPR!$A:$A,0),9)),$C83*INDEX(SPPR!$E:$X,MATCH($A83,SPPR!$A:$A,0),9),""),"")</f>
        <v/>
      </c>
      <c r="M83">
        <f>IFERROR(IF(ISNUMBER(INDEX(SPPR!$E:$X,MATCH($A83,SPPR!$A:$A,0),10)),$C83*INDEX(SPPR!$E:$X,MATCH($A83,SPPR!$A:$A,0),10),""),"")</f>
        <v/>
      </c>
      <c r="N83">
        <f>IFERROR(IF(ISNUMBER(INDEX(SPPR!$E:$X,MATCH($A83,SPPR!$A:$A,0),11)),$C83*INDEX(SPPR!$E:$X,MATCH($A83,SPPR!$A:$A,0),11),""),"")</f>
        <v/>
      </c>
      <c r="O83">
        <f>IFERROR(IF(ISNUMBER(INDEX(SPPR!$E:$X,MATCH($A83,SPPR!$A:$A,0),12)),$C83*INDEX(SPPR!$E:$X,MATCH($A83,SPPR!$A:$A,0),12),""),"")</f>
        <v/>
      </c>
      <c r="P83">
        <f>IFERROR(IF(ISNUMBER(INDEX(SPPR!$E:$X,MATCH($A83,SPPR!$A:$A,0),13)),$C83*INDEX(SPPR!$E:$X,MATCH($A83,SPPR!$A:$A,0),13),""),"")</f>
        <v/>
      </c>
      <c r="Q83">
        <f>IFERROR(IF(ISNUMBER(INDEX(SPPR!$E:$X,MATCH($A83,SPPR!$A:$A,0),14)),$C83*INDEX(SPPR!$E:$X,MATCH($A83,SPPR!$A:$A,0),14),""),"")</f>
        <v/>
      </c>
      <c r="R83">
        <f>IFERROR(IF(ISNUMBER(INDEX(SPPR!$E:$X,MATCH($A83,SPPR!$A:$A,0),15)),$C83*INDEX(SPPR!$E:$X,MATCH($A83,SPPR!$A:$A,0),15),""),"")</f>
        <v/>
      </c>
      <c r="S83">
        <f>IFERROR(IF(ISNUMBER(INDEX(SPPR!$E:$X,MATCH($A83,SPPR!$A:$A,0),16)),$C83*INDEX(SPPR!$E:$X,MATCH($A83,SPPR!$A:$A,0),16),""),"")</f>
        <v/>
      </c>
      <c r="T83">
        <f>IFERROR(IF(ISNUMBER(INDEX(SPPR!$E:$X,MATCH($A83,SPPR!$A:$A,0),17)),$C83*INDEX(SPPR!$E:$X,MATCH($A83,SPPR!$A:$A,0),17),""),"")</f>
        <v/>
      </c>
      <c r="U83">
        <f>IFERROR(IF(ISNUMBER(INDEX(SPPR!$E:$X,MATCH($A83,SPPR!$A:$A,0),18)),$C83*INDEX(SPPR!$E:$X,MATCH($A83,SPPR!$A:$A,0),18),""),"")</f>
        <v/>
      </c>
      <c r="V83">
        <f>IFERROR(IF(ISNUMBER(INDEX(SPPR!$E:$X,MATCH($A83,SPPR!$A:$A,0),19)),$C83*INDEX(SPPR!$E:$X,MATCH($A83,SPPR!$A:$A,0),19),""),"")</f>
        <v/>
      </c>
      <c r="W83">
        <f>IFERROR(IF(ISNUMBER(INDEX(SPPR!$E:$X,MATCH($A83,SPPR!$A:$A,0),20)),$C83*INDEX(SPPR!$E:$X,MATCH($A83,SPPR!$A:$A,0),20),""),"")</f>
        <v/>
      </c>
    </row>
    <row r="84">
      <c r="A84" t="inlineStr">
        <is>
          <t>Paralichthys olivaceus</t>
        </is>
      </c>
      <c r="B84">
        <f>IFERROR(INDEX(SPPR!$D:$D,MATCH($A84,SPPR!$A:$A,0)),"")</f>
        <v/>
      </c>
      <c r="C84">
        <f>IFERROR(INDEX(Catch!$E:$BV,MATCH($A84,Catch!$A:$A,0),MATCH($B$4,Catch!$E$1:$BV$1,0)),0)</f>
        <v/>
      </c>
      <c r="D84">
        <f>IFERROR(IF(ISNUMBER(INDEX(SPPR!$E:$X,MATCH($A84,SPPR!$A:$A,0),1)),$C84*INDEX(SPPR!$E:$X,MATCH($A84,SPPR!$A:$A,0),1),""),"")</f>
        <v/>
      </c>
      <c r="E84">
        <f>IFERROR(IF(ISNUMBER(INDEX(SPPR!$E:$X,MATCH($A84,SPPR!$A:$A,0),2)),$C84*INDEX(SPPR!$E:$X,MATCH($A84,SPPR!$A:$A,0),2),""),"")</f>
        <v/>
      </c>
      <c r="F84">
        <f>IFERROR(IF(ISNUMBER(INDEX(SPPR!$E:$X,MATCH($A84,SPPR!$A:$A,0),3)),$C84*INDEX(SPPR!$E:$X,MATCH($A84,SPPR!$A:$A,0),3),""),"")</f>
        <v/>
      </c>
      <c r="G84">
        <f>IFERROR(IF(ISNUMBER(INDEX(SPPR!$E:$X,MATCH($A84,SPPR!$A:$A,0),4)),$C84*INDEX(SPPR!$E:$X,MATCH($A84,SPPR!$A:$A,0),4),""),"")</f>
        <v/>
      </c>
      <c r="H84">
        <f>IFERROR(IF(ISNUMBER(INDEX(SPPR!$E:$X,MATCH($A84,SPPR!$A:$A,0),5)),$C84*INDEX(SPPR!$E:$X,MATCH($A84,SPPR!$A:$A,0),5),""),"")</f>
        <v/>
      </c>
      <c r="I84">
        <f>IFERROR(IF(ISNUMBER(INDEX(SPPR!$E:$X,MATCH($A84,SPPR!$A:$A,0),6)),$C84*INDEX(SPPR!$E:$X,MATCH($A84,SPPR!$A:$A,0),6),""),"")</f>
        <v/>
      </c>
      <c r="J84">
        <f>IFERROR(IF(ISNUMBER(INDEX(SPPR!$E:$X,MATCH($A84,SPPR!$A:$A,0),7)),$C84*INDEX(SPPR!$E:$X,MATCH($A84,SPPR!$A:$A,0),7),""),"")</f>
        <v/>
      </c>
      <c r="K84">
        <f>IFERROR(IF(ISNUMBER(INDEX(SPPR!$E:$X,MATCH($A84,SPPR!$A:$A,0),8)),$C84*INDEX(SPPR!$E:$X,MATCH($A84,SPPR!$A:$A,0),8),""),"")</f>
        <v/>
      </c>
      <c r="L84">
        <f>IFERROR(IF(ISNUMBER(INDEX(SPPR!$E:$X,MATCH($A84,SPPR!$A:$A,0),9)),$C84*INDEX(SPPR!$E:$X,MATCH($A84,SPPR!$A:$A,0),9),""),"")</f>
        <v/>
      </c>
      <c r="M84">
        <f>IFERROR(IF(ISNUMBER(INDEX(SPPR!$E:$X,MATCH($A84,SPPR!$A:$A,0),10)),$C84*INDEX(SPPR!$E:$X,MATCH($A84,SPPR!$A:$A,0),10),""),"")</f>
        <v/>
      </c>
      <c r="N84">
        <f>IFERROR(IF(ISNUMBER(INDEX(SPPR!$E:$X,MATCH($A84,SPPR!$A:$A,0),11)),$C84*INDEX(SPPR!$E:$X,MATCH($A84,SPPR!$A:$A,0),11),""),"")</f>
        <v/>
      </c>
      <c r="O84">
        <f>IFERROR(IF(ISNUMBER(INDEX(SPPR!$E:$X,MATCH($A84,SPPR!$A:$A,0),12)),$C84*INDEX(SPPR!$E:$X,MATCH($A84,SPPR!$A:$A,0),12),""),"")</f>
        <v/>
      </c>
      <c r="P84">
        <f>IFERROR(IF(ISNUMBER(INDEX(SPPR!$E:$X,MATCH($A84,SPPR!$A:$A,0),13)),$C84*INDEX(SPPR!$E:$X,MATCH($A84,SPPR!$A:$A,0),13),""),"")</f>
        <v/>
      </c>
      <c r="Q84">
        <f>IFERROR(IF(ISNUMBER(INDEX(SPPR!$E:$X,MATCH($A84,SPPR!$A:$A,0),14)),$C84*INDEX(SPPR!$E:$X,MATCH($A84,SPPR!$A:$A,0),14),""),"")</f>
        <v/>
      </c>
      <c r="R84">
        <f>IFERROR(IF(ISNUMBER(INDEX(SPPR!$E:$X,MATCH($A84,SPPR!$A:$A,0),15)),$C84*INDEX(SPPR!$E:$X,MATCH($A84,SPPR!$A:$A,0),15),""),"")</f>
        <v/>
      </c>
      <c r="S84">
        <f>IFERROR(IF(ISNUMBER(INDEX(SPPR!$E:$X,MATCH($A84,SPPR!$A:$A,0),16)),$C84*INDEX(SPPR!$E:$X,MATCH($A84,SPPR!$A:$A,0),16),""),"")</f>
        <v/>
      </c>
      <c r="T84">
        <f>IFERROR(IF(ISNUMBER(INDEX(SPPR!$E:$X,MATCH($A84,SPPR!$A:$A,0),17)),$C84*INDEX(SPPR!$E:$X,MATCH($A84,SPPR!$A:$A,0),17),""),"")</f>
        <v/>
      </c>
      <c r="U84">
        <f>IFERROR(IF(ISNUMBER(INDEX(SPPR!$E:$X,MATCH($A84,SPPR!$A:$A,0),18)),$C84*INDEX(SPPR!$E:$X,MATCH($A84,SPPR!$A:$A,0),18),""),"")</f>
        <v/>
      </c>
      <c r="V84">
        <f>IFERROR(IF(ISNUMBER(INDEX(SPPR!$E:$X,MATCH($A84,SPPR!$A:$A,0),19)),$C84*INDEX(SPPR!$E:$X,MATCH($A84,SPPR!$A:$A,0),19),""),"")</f>
        <v/>
      </c>
      <c r="W84">
        <f>IFERROR(IF(ISNUMBER(INDEX(SPPR!$E:$X,MATCH($A84,SPPR!$A:$A,0),20)),$C84*INDEX(SPPR!$E:$X,MATCH($A84,SPPR!$A:$A,0),20),""),"")</f>
        <v/>
      </c>
    </row>
    <row r="85">
      <c r="A85" t="inlineStr">
        <is>
          <t>Coryphaena hippurus</t>
        </is>
      </c>
      <c r="B85">
        <f>IFERROR(INDEX(SPPR!$D:$D,MATCH($A85,SPPR!$A:$A,0)),"")</f>
        <v/>
      </c>
      <c r="C85">
        <f>IFERROR(INDEX(Catch!$E:$BV,MATCH($A85,Catch!$A:$A,0),MATCH($B$4,Catch!$E$1:$BV$1,0)),0)</f>
        <v/>
      </c>
      <c r="D85">
        <f>IFERROR(IF(ISNUMBER(INDEX(SPPR!$E:$X,MATCH($A85,SPPR!$A:$A,0),1)),$C85*INDEX(SPPR!$E:$X,MATCH($A85,SPPR!$A:$A,0),1),""),"")</f>
        <v/>
      </c>
      <c r="E85">
        <f>IFERROR(IF(ISNUMBER(INDEX(SPPR!$E:$X,MATCH($A85,SPPR!$A:$A,0),2)),$C85*INDEX(SPPR!$E:$X,MATCH($A85,SPPR!$A:$A,0),2),""),"")</f>
        <v/>
      </c>
      <c r="F85">
        <f>IFERROR(IF(ISNUMBER(INDEX(SPPR!$E:$X,MATCH($A85,SPPR!$A:$A,0),3)),$C85*INDEX(SPPR!$E:$X,MATCH($A85,SPPR!$A:$A,0),3),""),"")</f>
        <v/>
      </c>
      <c r="G85">
        <f>IFERROR(IF(ISNUMBER(INDEX(SPPR!$E:$X,MATCH($A85,SPPR!$A:$A,0),4)),$C85*INDEX(SPPR!$E:$X,MATCH($A85,SPPR!$A:$A,0),4),""),"")</f>
        <v/>
      </c>
      <c r="H85">
        <f>IFERROR(IF(ISNUMBER(INDEX(SPPR!$E:$X,MATCH($A85,SPPR!$A:$A,0),5)),$C85*INDEX(SPPR!$E:$X,MATCH($A85,SPPR!$A:$A,0),5),""),"")</f>
        <v/>
      </c>
      <c r="I85">
        <f>IFERROR(IF(ISNUMBER(INDEX(SPPR!$E:$X,MATCH($A85,SPPR!$A:$A,0),6)),$C85*INDEX(SPPR!$E:$X,MATCH($A85,SPPR!$A:$A,0),6),""),"")</f>
        <v/>
      </c>
      <c r="J85">
        <f>IFERROR(IF(ISNUMBER(INDEX(SPPR!$E:$X,MATCH($A85,SPPR!$A:$A,0),7)),$C85*INDEX(SPPR!$E:$X,MATCH($A85,SPPR!$A:$A,0),7),""),"")</f>
        <v/>
      </c>
      <c r="K85">
        <f>IFERROR(IF(ISNUMBER(INDEX(SPPR!$E:$X,MATCH($A85,SPPR!$A:$A,0),8)),$C85*INDEX(SPPR!$E:$X,MATCH($A85,SPPR!$A:$A,0),8),""),"")</f>
        <v/>
      </c>
      <c r="L85">
        <f>IFERROR(IF(ISNUMBER(INDEX(SPPR!$E:$X,MATCH($A85,SPPR!$A:$A,0),9)),$C85*INDEX(SPPR!$E:$X,MATCH($A85,SPPR!$A:$A,0),9),""),"")</f>
        <v/>
      </c>
      <c r="M85">
        <f>IFERROR(IF(ISNUMBER(INDEX(SPPR!$E:$X,MATCH($A85,SPPR!$A:$A,0),10)),$C85*INDEX(SPPR!$E:$X,MATCH($A85,SPPR!$A:$A,0),10),""),"")</f>
        <v/>
      </c>
      <c r="N85">
        <f>IFERROR(IF(ISNUMBER(INDEX(SPPR!$E:$X,MATCH($A85,SPPR!$A:$A,0),11)),$C85*INDEX(SPPR!$E:$X,MATCH($A85,SPPR!$A:$A,0),11),""),"")</f>
        <v/>
      </c>
      <c r="O85">
        <f>IFERROR(IF(ISNUMBER(INDEX(SPPR!$E:$X,MATCH($A85,SPPR!$A:$A,0),12)),$C85*INDEX(SPPR!$E:$X,MATCH($A85,SPPR!$A:$A,0),12),""),"")</f>
        <v/>
      </c>
      <c r="P85">
        <f>IFERROR(IF(ISNUMBER(INDEX(SPPR!$E:$X,MATCH($A85,SPPR!$A:$A,0),13)),$C85*INDEX(SPPR!$E:$X,MATCH($A85,SPPR!$A:$A,0),13),""),"")</f>
        <v/>
      </c>
      <c r="Q85">
        <f>IFERROR(IF(ISNUMBER(INDEX(SPPR!$E:$X,MATCH($A85,SPPR!$A:$A,0),14)),$C85*INDEX(SPPR!$E:$X,MATCH($A85,SPPR!$A:$A,0),14),""),"")</f>
        <v/>
      </c>
      <c r="R85">
        <f>IFERROR(IF(ISNUMBER(INDEX(SPPR!$E:$X,MATCH($A85,SPPR!$A:$A,0),15)),$C85*INDEX(SPPR!$E:$X,MATCH($A85,SPPR!$A:$A,0),15),""),"")</f>
        <v/>
      </c>
      <c r="S85">
        <f>IFERROR(IF(ISNUMBER(INDEX(SPPR!$E:$X,MATCH($A85,SPPR!$A:$A,0),16)),$C85*INDEX(SPPR!$E:$X,MATCH($A85,SPPR!$A:$A,0),16),""),"")</f>
        <v/>
      </c>
      <c r="T85">
        <f>IFERROR(IF(ISNUMBER(INDEX(SPPR!$E:$X,MATCH($A85,SPPR!$A:$A,0),17)),$C85*INDEX(SPPR!$E:$X,MATCH($A85,SPPR!$A:$A,0),17),""),"")</f>
        <v/>
      </c>
      <c r="U85">
        <f>IFERROR(IF(ISNUMBER(INDEX(SPPR!$E:$X,MATCH($A85,SPPR!$A:$A,0),18)),$C85*INDEX(SPPR!$E:$X,MATCH($A85,SPPR!$A:$A,0),18),""),"")</f>
        <v/>
      </c>
      <c r="V85">
        <f>IFERROR(IF(ISNUMBER(INDEX(SPPR!$E:$X,MATCH($A85,SPPR!$A:$A,0),19)),$C85*INDEX(SPPR!$E:$X,MATCH($A85,SPPR!$A:$A,0),19),""),"")</f>
        <v/>
      </c>
      <c r="W85">
        <f>IFERROR(IF(ISNUMBER(INDEX(SPPR!$E:$X,MATCH($A85,SPPR!$A:$A,0),20)),$C85*INDEX(SPPR!$E:$X,MATCH($A85,SPPR!$A:$A,0),20),""),"")</f>
        <v/>
      </c>
    </row>
    <row r="86">
      <c r="A86" t="inlineStr">
        <is>
          <t>Nemipterus virgatus</t>
        </is>
      </c>
      <c r="B86">
        <f>IFERROR(INDEX(SPPR!$D:$D,MATCH($A86,SPPR!$A:$A,0)),"")</f>
        <v/>
      </c>
      <c r="C86">
        <f>IFERROR(INDEX(Catch!$E:$BV,MATCH($A86,Catch!$A:$A,0),MATCH($B$4,Catch!$E$1:$BV$1,0)),0)</f>
        <v/>
      </c>
      <c r="D86">
        <f>IFERROR(IF(ISNUMBER(INDEX(SPPR!$E:$X,MATCH($A86,SPPR!$A:$A,0),1)),$C86*INDEX(SPPR!$E:$X,MATCH($A86,SPPR!$A:$A,0),1),""),"")</f>
        <v/>
      </c>
      <c r="E86">
        <f>IFERROR(IF(ISNUMBER(INDEX(SPPR!$E:$X,MATCH($A86,SPPR!$A:$A,0),2)),$C86*INDEX(SPPR!$E:$X,MATCH($A86,SPPR!$A:$A,0),2),""),"")</f>
        <v/>
      </c>
      <c r="F86">
        <f>IFERROR(IF(ISNUMBER(INDEX(SPPR!$E:$X,MATCH($A86,SPPR!$A:$A,0),3)),$C86*INDEX(SPPR!$E:$X,MATCH($A86,SPPR!$A:$A,0),3),""),"")</f>
        <v/>
      </c>
      <c r="G86">
        <f>IFERROR(IF(ISNUMBER(INDEX(SPPR!$E:$X,MATCH($A86,SPPR!$A:$A,0),4)),$C86*INDEX(SPPR!$E:$X,MATCH($A86,SPPR!$A:$A,0),4),""),"")</f>
        <v/>
      </c>
      <c r="H86">
        <f>IFERROR(IF(ISNUMBER(INDEX(SPPR!$E:$X,MATCH($A86,SPPR!$A:$A,0),5)),$C86*INDEX(SPPR!$E:$X,MATCH($A86,SPPR!$A:$A,0),5),""),"")</f>
        <v/>
      </c>
      <c r="I86">
        <f>IFERROR(IF(ISNUMBER(INDEX(SPPR!$E:$X,MATCH($A86,SPPR!$A:$A,0),6)),$C86*INDEX(SPPR!$E:$X,MATCH($A86,SPPR!$A:$A,0),6),""),"")</f>
        <v/>
      </c>
      <c r="J86">
        <f>IFERROR(IF(ISNUMBER(INDEX(SPPR!$E:$X,MATCH($A86,SPPR!$A:$A,0),7)),$C86*INDEX(SPPR!$E:$X,MATCH($A86,SPPR!$A:$A,0),7),""),"")</f>
        <v/>
      </c>
      <c r="K86">
        <f>IFERROR(IF(ISNUMBER(INDEX(SPPR!$E:$X,MATCH($A86,SPPR!$A:$A,0),8)),$C86*INDEX(SPPR!$E:$X,MATCH($A86,SPPR!$A:$A,0),8),""),"")</f>
        <v/>
      </c>
      <c r="L86">
        <f>IFERROR(IF(ISNUMBER(INDEX(SPPR!$E:$X,MATCH($A86,SPPR!$A:$A,0),9)),$C86*INDEX(SPPR!$E:$X,MATCH($A86,SPPR!$A:$A,0),9),""),"")</f>
        <v/>
      </c>
      <c r="M86">
        <f>IFERROR(IF(ISNUMBER(INDEX(SPPR!$E:$X,MATCH($A86,SPPR!$A:$A,0),10)),$C86*INDEX(SPPR!$E:$X,MATCH($A86,SPPR!$A:$A,0),10),""),"")</f>
        <v/>
      </c>
      <c r="N86">
        <f>IFERROR(IF(ISNUMBER(INDEX(SPPR!$E:$X,MATCH($A86,SPPR!$A:$A,0),11)),$C86*INDEX(SPPR!$E:$X,MATCH($A86,SPPR!$A:$A,0),11),""),"")</f>
        <v/>
      </c>
      <c r="O86">
        <f>IFERROR(IF(ISNUMBER(INDEX(SPPR!$E:$X,MATCH($A86,SPPR!$A:$A,0),12)),$C86*INDEX(SPPR!$E:$X,MATCH($A86,SPPR!$A:$A,0),12),""),"")</f>
        <v/>
      </c>
      <c r="P86">
        <f>IFERROR(IF(ISNUMBER(INDEX(SPPR!$E:$X,MATCH($A86,SPPR!$A:$A,0),13)),$C86*INDEX(SPPR!$E:$X,MATCH($A86,SPPR!$A:$A,0),13),""),"")</f>
        <v/>
      </c>
      <c r="Q86">
        <f>IFERROR(IF(ISNUMBER(INDEX(SPPR!$E:$X,MATCH($A86,SPPR!$A:$A,0),14)),$C86*INDEX(SPPR!$E:$X,MATCH($A86,SPPR!$A:$A,0),14),""),"")</f>
        <v/>
      </c>
      <c r="R86">
        <f>IFERROR(IF(ISNUMBER(INDEX(SPPR!$E:$X,MATCH($A86,SPPR!$A:$A,0),15)),$C86*INDEX(SPPR!$E:$X,MATCH($A86,SPPR!$A:$A,0),15),""),"")</f>
        <v/>
      </c>
      <c r="S86">
        <f>IFERROR(IF(ISNUMBER(INDEX(SPPR!$E:$X,MATCH($A86,SPPR!$A:$A,0),16)),$C86*INDEX(SPPR!$E:$X,MATCH($A86,SPPR!$A:$A,0),16),""),"")</f>
        <v/>
      </c>
      <c r="T86">
        <f>IFERROR(IF(ISNUMBER(INDEX(SPPR!$E:$X,MATCH($A86,SPPR!$A:$A,0),17)),$C86*INDEX(SPPR!$E:$X,MATCH($A86,SPPR!$A:$A,0),17),""),"")</f>
        <v/>
      </c>
      <c r="U86">
        <f>IFERROR(IF(ISNUMBER(INDEX(SPPR!$E:$X,MATCH($A86,SPPR!$A:$A,0),18)),$C86*INDEX(SPPR!$E:$X,MATCH($A86,SPPR!$A:$A,0),18),""),"")</f>
        <v/>
      </c>
      <c r="V86">
        <f>IFERROR(IF(ISNUMBER(INDEX(SPPR!$E:$X,MATCH($A86,SPPR!$A:$A,0),19)),$C86*INDEX(SPPR!$E:$X,MATCH($A86,SPPR!$A:$A,0),19),""),"")</f>
        <v/>
      </c>
      <c r="W86">
        <f>IFERROR(IF(ISNUMBER(INDEX(SPPR!$E:$X,MATCH($A86,SPPR!$A:$A,0),20)),$C86*INDEX(SPPR!$E:$X,MATCH($A86,SPPR!$A:$A,0),20),""),"")</f>
        <v/>
      </c>
    </row>
    <row r="87">
      <c r="A87" t="inlineStr">
        <is>
          <t>Salmonidae</t>
        </is>
      </c>
      <c r="B87">
        <f>IFERROR(INDEX(SPPR!$D:$D,MATCH($A87,SPPR!$A:$A,0)),"")</f>
        <v/>
      </c>
      <c r="C87">
        <f>IFERROR(INDEX(Catch!$E:$BV,MATCH($A87,Catch!$A:$A,0),MATCH($B$4,Catch!$E$1:$BV$1,0)),0)</f>
        <v/>
      </c>
      <c r="D87">
        <f>IFERROR(IF(ISNUMBER(INDEX(SPPR!$E:$X,MATCH($A87,SPPR!$A:$A,0),1)),$C87*INDEX(SPPR!$E:$X,MATCH($A87,SPPR!$A:$A,0),1),""),"")</f>
        <v/>
      </c>
      <c r="E87">
        <f>IFERROR(IF(ISNUMBER(INDEX(SPPR!$E:$X,MATCH($A87,SPPR!$A:$A,0),2)),$C87*INDEX(SPPR!$E:$X,MATCH($A87,SPPR!$A:$A,0),2),""),"")</f>
        <v/>
      </c>
      <c r="F87">
        <f>IFERROR(IF(ISNUMBER(INDEX(SPPR!$E:$X,MATCH($A87,SPPR!$A:$A,0),3)),$C87*INDEX(SPPR!$E:$X,MATCH($A87,SPPR!$A:$A,0),3),""),"")</f>
        <v/>
      </c>
      <c r="G87">
        <f>IFERROR(IF(ISNUMBER(INDEX(SPPR!$E:$X,MATCH($A87,SPPR!$A:$A,0),4)),$C87*INDEX(SPPR!$E:$X,MATCH($A87,SPPR!$A:$A,0),4),""),"")</f>
        <v/>
      </c>
      <c r="H87">
        <f>IFERROR(IF(ISNUMBER(INDEX(SPPR!$E:$X,MATCH($A87,SPPR!$A:$A,0),5)),$C87*INDEX(SPPR!$E:$X,MATCH($A87,SPPR!$A:$A,0),5),""),"")</f>
        <v/>
      </c>
      <c r="I87">
        <f>IFERROR(IF(ISNUMBER(INDEX(SPPR!$E:$X,MATCH($A87,SPPR!$A:$A,0),6)),$C87*INDEX(SPPR!$E:$X,MATCH($A87,SPPR!$A:$A,0),6),""),"")</f>
        <v/>
      </c>
      <c r="J87">
        <f>IFERROR(IF(ISNUMBER(INDEX(SPPR!$E:$X,MATCH($A87,SPPR!$A:$A,0),7)),$C87*INDEX(SPPR!$E:$X,MATCH($A87,SPPR!$A:$A,0),7),""),"")</f>
        <v/>
      </c>
      <c r="K87">
        <f>IFERROR(IF(ISNUMBER(INDEX(SPPR!$E:$X,MATCH($A87,SPPR!$A:$A,0),8)),$C87*INDEX(SPPR!$E:$X,MATCH($A87,SPPR!$A:$A,0),8),""),"")</f>
        <v/>
      </c>
      <c r="L87">
        <f>IFERROR(IF(ISNUMBER(INDEX(SPPR!$E:$X,MATCH($A87,SPPR!$A:$A,0),9)),$C87*INDEX(SPPR!$E:$X,MATCH($A87,SPPR!$A:$A,0),9),""),"")</f>
        <v/>
      </c>
      <c r="M87">
        <f>IFERROR(IF(ISNUMBER(INDEX(SPPR!$E:$X,MATCH($A87,SPPR!$A:$A,0),10)),$C87*INDEX(SPPR!$E:$X,MATCH($A87,SPPR!$A:$A,0),10),""),"")</f>
        <v/>
      </c>
      <c r="N87">
        <f>IFERROR(IF(ISNUMBER(INDEX(SPPR!$E:$X,MATCH($A87,SPPR!$A:$A,0),11)),$C87*INDEX(SPPR!$E:$X,MATCH($A87,SPPR!$A:$A,0),11),""),"")</f>
        <v/>
      </c>
      <c r="O87">
        <f>IFERROR(IF(ISNUMBER(INDEX(SPPR!$E:$X,MATCH($A87,SPPR!$A:$A,0),12)),$C87*INDEX(SPPR!$E:$X,MATCH($A87,SPPR!$A:$A,0),12),""),"")</f>
        <v/>
      </c>
      <c r="P87">
        <f>IFERROR(IF(ISNUMBER(INDEX(SPPR!$E:$X,MATCH($A87,SPPR!$A:$A,0),13)),$C87*INDEX(SPPR!$E:$X,MATCH($A87,SPPR!$A:$A,0),13),""),"")</f>
        <v/>
      </c>
      <c r="Q87">
        <f>IFERROR(IF(ISNUMBER(INDEX(SPPR!$E:$X,MATCH($A87,SPPR!$A:$A,0),14)),$C87*INDEX(SPPR!$E:$X,MATCH($A87,SPPR!$A:$A,0),14),""),"")</f>
        <v/>
      </c>
      <c r="R87">
        <f>IFERROR(IF(ISNUMBER(INDEX(SPPR!$E:$X,MATCH($A87,SPPR!$A:$A,0),15)),$C87*INDEX(SPPR!$E:$X,MATCH($A87,SPPR!$A:$A,0),15),""),"")</f>
        <v/>
      </c>
      <c r="S87">
        <f>IFERROR(IF(ISNUMBER(INDEX(SPPR!$E:$X,MATCH($A87,SPPR!$A:$A,0),16)),$C87*INDEX(SPPR!$E:$X,MATCH($A87,SPPR!$A:$A,0),16),""),"")</f>
        <v/>
      </c>
      <c r="T87">
        <f>IFERROR(IF(ISNUMBER(INDEX(SPPR!$E:$X,MATCH($A87,SPPR!$A:$A,0),17)),$C87*INDEX(SPPR!$E:$X,MATCH($A87,SPPR!$A:$A,0),17),""),"")</f>
        <v/>
      </c>
      <c r="U87">
        <f>IFERROR(IF(ISNUMBER(INDEX(SPPR!$E:$X,MATCH($A87,SPPR!$A:$A,0),18)),$C87*INDEX(SPPR!$E:$X,MATCH($A87,SPPR!$A:$A,0),18),""),"")</f>
        <v/>
      </c>
      <c r="V87">
        <f>IFERROR(IF(ISNUMBER(INDEX(SPPR!$E:$X,MATCH($A87,SPPR!$A:$A,0),19)),$C87*INDEX(SPPR!$E:$X,MATCH($A87,SPPR!$A:$A,0),19),""),"")</f>
        <v/>
      </c>
      <c r="W87">
        <f>IFERROR(IF(ISNUMBER(INDEX(SPPR!$E:$X,MATCH($A87,SPPR!$A:$A,0),20)),$C87*INDEX(SPPR!$E:$X,MATCH($A87,SPPR!$A:$A,0),20),""),"")</f>
        <v/>
      </c>
    </row>
    <row r="88">
      <c r="A88" t="inlineStr">
        <is>
          <t>Portunus pelagicus</t>
        </is>
      </c>
      <c r="B88">
        <f>IFERROR(INDEX(SPPR!$D:$D,MATCH($A88,SPPR!$A:$A,0)),"")</f>
        <v/>
      </c>
      <c r="C88">
        <f>IFERROR(INDEX(Catch!$E:$BV,MATCH($A88,Catch!$A:$A,0),MATCH($B$4,Catch!$E$1:$BV$1,0)),0)</f>
        <v/>
      </c>
      <c r="D88">
        <f>IFERROR(IF(ISNUMBER(INDEX(SPPR!$E:$X,MATCH($A88,SPPR!$A:$A,0),1)),$C88*INDEX(SPPR!$E:$X,MATCH($A88,SPPR!$A:$A,0),1),""),"")</f>
        <v/>
      </c>
      <c r="E88">
        <f>IFERROR(IF(ISNUMBER(INDEX(SPPR!$E:$X,MATCH($A88,SPPR!$A:$A,0),2)),$C88*INDEX(SPPR!$E:$X,MATCH($A88,SPPR!$A:$A,0),2),""),"")</f>
        <v/>
      </c>
      <c r="F88">
        <f>IFERROR(IF(ISNUMBER(INDEX(SPPR!$E:$X,MATCH($A88,SPPR!$A:$A,0),3)),$C88*INDEX(SPPR!$E:$X,MATCH($A88,SPPR!$A:$A,0),3),""),"")</f>
        <v/>
      </c>
      <c r="G88">
        <f>IFERROR(IF(ISNUMBER(INDEX(SPPR!$E:$X,MATCH($A88,SPPR!$A:$A,0),4)),$C88*INDEX(SPPR!$E:$X,MATCH($A88,SPPR!$A:$A,0),4),""),"")</f>
        <v/>
      </c>
      <c r="H88">
        <f>IFERROR(IF(ISNUMBER(INDEX(SPPR!$E:$X,MATCH($A88,SPPR!$A:$A,0),5)),$C88*INDEX(SPPR!$E:$X,MATCH($A88,SPPR!$A:$A,0),5),""),"")</f>
        <v/>
      </c>
      <c r="I88">
        <f>IFERROR(IF(ISNUMBER(INDEX(SPPR!$E:$X,MATCH($A88,SPPR!$A:$A,0),6)),$C88*INDEX(SPPR!$E:$X,MATCH($A88,SPPR!$A:$A,0),6),""),"")</f>
        <v/>
      </c>
      <c r="J88">
        <f>IFERROR(IF(ISNUMBER(INDEX(SPPR!$E:$X,MATCH($A88,SPPR!$A:$A,0),7)),$C88*INDEX(SPPR!$E:$X,MATCH($A88,SPPR!$A:$A,0),7),""),"")</f>
        <v/>
      </c>
      <c r="K88">
        <f>IFERROR(IF(ISNUMBER(INDEX(SPPR!$E:$X,MATCH($A88,SPPR!$A:$A,0),8)),$C88*INDEX(SPPR!$E:$X,MATCH($A88,SPPR!$A:$A,0),8),""),"")</f>
        <v/>
      </c>
      <c r="L88">
        <f>IFERROR(IF(ISNUMBER(INDEX(SPPR!$E:$X,MATCH($A88,SPPR!$A:$A,0),9)),$C88*INDEX(SPPR!$E:$X,MATCH($A88,SPPR!$A:$A,0),9),""),"")</f>
        <v/>
      </c>
      <c r="M88">
        <f>IFERROR(IF(ISNUMBER(INDEX(SPPR!$E:$X,MATCH($A88,SPPR!$A:$A,0),10)),$C88*INDEX(SPPR!$E:$X,MATCH($A88,SPPR!$A:$A,0),10),""),"")</f>
        <v/>
      </c>
      <c r="N88">
        <f>IFERROR(IF(ISNUMBER(INDEX(SPPR!$E:$X,MATCH($A88,SPPR!$A:$A,0),11)),$C88*INDEX(SPPR!$E:$X,MATCH($A88,SPPR!$A:$A,0),11),""),"")</f>
        <v/>
      </c>
      <c r="O88">
        <f>IFERROR(IF(ISNUMBER(INDEX(SPPR!$E:$X,MATCH($A88,SPPR!$A:$A,0),12)),$C88*INDEX(SPPR!$E:$X,MATCH($A88,SPPR!$A:$A,0),12),""),"")</f>
        <v/>
      </c>
      <c r="P88">
        <f>IFERROR(IF(ISNUMBER(INDEX(SPPR!$E:$X,MATCH($A88,SPPR!$A:$A,0),13)),$C88*INDEX(SPPR!$E:$X,MATCH($A88,SPPR!$A:$A,0),13),""),"")</f>
        <v/>
      </c>
      <c r="Q88">
        <f>IFERROR(IF(ISNUMBER(INDEX(SPPR!$E:$X,MATCH($A88,SPPR!$A:$A,0),14)),$C88*INDEX(SPPR!$E:$X,MATCH($A88,SPPR!$A:$A,0),14),""),"")</f>
        <v/>
      </c>
      <c r="R88">
        <f>IFERROR(IF(ISNUMBER(INDEX(SPPR!$E:$X,MATCH($A88,SPPR!$A:$A,0),15)),$C88*INDEX(SPPR!$E:$X,MATCH($A88,SPPR!$A:$A,0),15),""),"")</f>
        <v/>
      </c>
      <c r="S88">
        <f>IFERROR(IF(ISNUMBER(INDEX(SPPR!$E:$X,MATCH($A88,SPPR!$A:$A,0),16)),$C88*INDEX(SPPR!$E:$X,MATCH($A88,SPPR!$A:$A,0),16),""),"")</f>
        <v/>
      </c>
      <c r="T88">
        <f>IFERROR(IF(ISNUMBER(INDEX(SPPR!$E:$X,MATCH($A88,SPPR!$A:$A,0),17)),$C88*INDEX(SPPR!$E:$X,MATCH($A88,SPPR!$A:$A,0),17),""),"")</f>
        <v/>
      </c>
      <c r="U88">
        <f>IFERROR(IF(ISNUMBER(INDEX(SPPR!$E:$X,MATCH($A88,SPPR!$A:$A,0),18)),$C88*INDEX(SPPR!$E:$X,MATCH($A88,SPPR!$A:$A,0),18),""),"")</f>
        <v/>
      </c>
      <c r="V88">
        <f>IFERROR(IF(ISNUMBER(INDEX(SPPR!$E:$X,MATCH($A88,SPPR!$A:$A,0),19)),$C88*INDEX(SPPR!$E:$X,MATCH($A88,SPPR!$A:$A,0),19),""),"")</f>
        <v/>
      </c>
      <c r="W88">
        <f>IFERROR(IF(ISNUMBER(INDEX(SPPR!$E:$X,MATCH($A88,SPPR!$A:$A,0),20)),$C88*INDEX(SPPR!$E:$X,MATCH($A88,SPPR!$A:$A,0),20),""),"")</f>
        <v/>
      </c>
    </row>
    <row r="89">
      <c r="A89" t="inlineStr">
        <is>
          <t>Sardinella zunasi</t>
        </is>
      </c>
      <c r="B89">
        <f>IFERROR(INDEX(SPPR!$D:$D,MATCH($A89,SPPR!$A:$A,0)),"")</f>
        <v/>
      </c>
      <c r="C89">
        <f>IFERROR(INDEX(Catch!$E:$BV,MATCH($A89,Catch!$A:$A,0),MATCH($B$4,Catch!$E$1:$BV$1,0)),0)</f>
        <v/>
      </c>
      <c r="D89">
        <f>IFERROR(IF(ISNUMBER(INDEX(SPPR!$E:$X,MATCH($A89,SPPR!$A:$A,0),1)),$C89*INDEX(SPPR!$E:$X,MATCH($A89,SPPR!$A:$A,0),1),""),"")</f>
        <v/>
      </c>
      <c r="E89">
        <f>IFERROR(IF(ISNUMBER(INDEX(SPPR!$E:$X,MATCH($A89,SPPR!$A:$A,0),2)),$C89*INDEX(SPPR!$E:$X,MATCH($A89,SPPR!$A:$A,0),2),""),"")</f>
        <v/>
      </c>
      <c r="F89">
        <f>IFERROR(IF(ISNUMBER(INDEX(SPPR!$E:$X,MATCH($A89,SPPR!$A:$A,0),3)),$C89*INDEX(SPPR!$E:$X,MATCH($A89,SPPR!$A:$A,0),3),""),"")</f>
        <v/>
      </c>
      <c r="G89">
        <f>IFERROR(IF(ISNUMBER(INDEX(SPPR!$E:$X,MATCH($A89,SPPR!$A:$A,0),4)),$C89*INDEX(SPPR!$E:$X,MATCH($A89,SPPR!$A:$A,0),4),""),"")</f>
        <v/>
      </c>
      <c r="H89">
        <f>IFERROR(IF(ISNUMBER(INDEX(SPPR!$E:$X,MATCH($A89,SPPR!$A:$A,0),5)),$C89*INDEX(SPPR!$E:$X,MATCH($A89,SPPR!$A:$A,0),5),""),"")</f>
        <v/>
      </c>
      <c r="I89">
        <f>IFERROR(IF(ISNUMBER(INDEX(SPPR!$E:$X,MATCH($A89,SPPR!$A:$A,0),6)),$C89*INDEX(SPPR!$E:$X,MATCH($A89,SPPR!$A:$A,0),6),""),"")</f>
        <v/>
      </c>
      <c r="J89">
        <f>IFERROR(IF(ISNUMBER(INDEX(SPPR!$E:$X,MATCH($A89,SPPR!$A:$A,0),7)),$C89*INDEX(SPPR!$E:$X,MATCH($A89,SPPR!$A:$A,0),7),""),"")</f>
        <v/>
      </c>
      <c r="K89">
        <f>IFERROR(IF(ISNUMBER(INDEX(SPPR!$E:$X,MATCH($A89,SPPR!$A:$A,0),8)),$C89*INDEX(SPPR!$E:$X,MATCH($A89,SPPR!$A:$A,0),8),""),"")</f>
        <v/>
      </c>
      <c r="L89">
        <f>IFERROR(IF(ISNUMBER(INDEX(SPPR!$E:$X,MATCH($A89,SPPR!$A:$A,0),9)),$C89*INDEX(SPPR!$E:$X,MATCH($A89,SPPR!$A:$A,0),9),""),"")</f>
        <v/>
      </c>
      <c r="M89">
        <f>IFERROR(IF(ISNUMBER(INDEX(SPPR!$E:$X,MATCH($A89,SPPR!$A:$A,0),10)),$C89*INDEX(SPPR!$E:$X,MATCH($A89,SPPR!$A:$A,0),10),""),"")</f>
        <v/>
      </c>
      <c r="N89">
        <f>IFERROR(IF(ISNUMBER(INDEX(SPPR!$E:$X,MATCH($A89,SPPR!$A:$A,0),11)),$C89*INDEX(SPPR!$E:$X,MATCH($A89,SPPR!$A:$A,0),11),""),"")</f>
        <v/>
      </c>
      <c r="O89">
        <f>IFERROR(IF(ISNUMBER(INDEX(SPPR!$E:$X,MATCH($A89,SPPR!$A:$A,0),12)),$C89*INDEX(SPPR!$E:$X,MATCH($A89,SPPR!$A:$A,0),12),""),"")</f>
        <v/>
      </c>
      <c r="P89">
        <f>IFERROR(IF(ISNUMBER(INDEX(SPPR!$E:$X,MATCH($A89,SPPR!$A:$A,0),13)),$C89*INDEX(SPPR!$E:$X,MATCH($A89,SPPR!$A:$A,0),13),""),"")</f>
        <v/>
      </c>
      <c r="Q89">
        <f>IFERROR(IF(ISNUMBER(INDEX(SPPR!$E:$X,MATCH($A89,SPPR!$A:$A,0),14)),$C89*INDEX(SPPR!$E:$X,MATCH($A89,SPPR!$A:$A,0),14),""),"")</f>
        <v/>
      </c>
      <c r="R89">
        <f>IFERROR(IF(ISNUMBER(INDEX(SPPR!$E:$X,MATCH($A89,SPPR!$A:$A,0),15)),$C89*INDEX(SPPR!$E:$X,MATCH($A89,SPPR!$A:$A,0),15),""),"")</f>
        <v/>
      </c>
      <c r="S89">
        <f>IFERROR(IF(ISNUMBER(INDEX(SPPR!$E:$X,MATCH($A89,SPPR!$A:$A,0),16)),$C89*INDEX(SPPR!$E:$X,MATCH($A89,SPPR!$A:$A,0),16),""),"")</f>
        <v/>
      </c>
      <c r="T89">
        <f>IFERROR(IF(ISNUMBER(INDEX(SPPR!$E:$X,MATCH($A89,SPPR!$A:$A,0),17)),$C89*INDEX(SPPR!$E:$X,MATCH($A89,SPPR!$A:$A,0),17),""),"")</f>
        <v/>
      </c>
      <c r="U89">
        <f>IFERROR(IF(ISNUMBER(INDEX(SPPR!$E:$X,MATCH($A89,SPPR!$A:$A,0),18)),$C89*INDEX(SPPR!$E:$X,MATCH($A89,SPPR!$A:$A,0),18),""),"")</f>
        <v/>
      </c>
      <c r="V89">
        <f>IFERROR(IF(ISNUMBER(INDEX(SPPR!$E:$X,MATCH($A89,SPPR!$A:$A,0),19)),$C89*INDEX(SPPR!$E:$X,MATCH($A89,SPPR!$A:$A,0),19),""),"")</f>
        <v/>
      </c>
      <c r="W89">
        <f>IFERROR(IF(ISNUMBER(INDEX(SPPR!$E:$X,MATCH($A89,SPPR!$A:$A,0),20)),$C89*INDEX(SPPR!$E:$X,MATCH($A89,SPPR!$A:$A,0),20),""),"")</f>
        <v/>
      </c>
    </row>
    <row r="90">
      <c r="A90" t="inlineStr">
        <is>
          <t>Charybdis</t>
        </is>
      </c>
      <c r="B90">
        <f>IFERROR(INDEX(SPPR!$D:$D,MATCH($A90,SPPR!$A:$A,0)),"")</f>
        <v/>
      </c>
      <c r="C90">
        <f>IFERROR(INDEX(Catch!$E:$BV,MATCH($A90,Catch!$A:$A,0),MATCH($B$4,Catch!$E$1:$BV$1,0)),0)</f>
        <v/>
      </c>
      <c r="D90">
        <f>IFERROR(IF(ISNUMBER(INDEX(SPPR!$E:$X,MATCH($A90,SPPR!$A:$A,0),1)),$C90*INDEX(SPPR!$E:$X,MATCH($A90,SPPR!$A:$A,0),1),""),"")</f>
        <v/>
      </c>
      <c r="E90">
        <f>IFERROR(IF(ISNUMBER(INDEX(SPPR!$E:$X,MATCH($A90,SPPR!$A:$A,0),2)),$C90*INDEX(SPPR!$E:$X,MATCH($A90,SPPR!$A:$A,0),2),""),"")</f>
        <v/>
      </c>
      <c r="F90">
        <f>IFERROR(IF(ISNUMBER(INDEX(SPPR!$E:$X,MATCH($A90,SPPR!$A:$A,0),3)),$C90*INDEX(SPPR!$E:$X,MATCH($A90,SPPR!$A:$A,0),3),""),"")</f>
        <v/>
      </c>
      <c r="G90">
        <f>IFERROR(IF(ISNUMBER(INDEX(SPPR!$E:$X,MATCH($A90,SPPR!$A:$A,0),4)),$C90*INDEX(SPPR!$E:$X,MATCH($A90,SPPR!$A:$A,0),4),""),"")</f>
        <v/>
      </c>
      <c r="H90">
        <f>IFERROR(IF(ISNUMBER(INDEX(SPPR!$E:$X,MATCH($A90,SPPR!$A:$A,0),5)),$C90*INDEX(SPPR!$E:$X,MATCH($A90,SPPR!$A:$A,0),5),""),"")</f>
        <v/>
      </c>
      <c r="I90">
        <f>IFERROR(IF(ISNUMBER(INDEX(SPPR!$E:$X,MATCH($A90,SPPR!$A:$A,0),6)),$C90*INDEX(SPPR!$E:$X,MATCH($A90,SPPR!$A:$A,0),6),""),"")</f>
        <v/>
      </c>
      <c r="J90">
        <f>IFERROR(IF(ISNUMBER(INDEX(SPPR!$E:$X,MATCH($A90,SPPR!$A:$A,0),7)),$C90*INDEX(SPPR!$E:$X,MATCH($A90,SPPR!$A:$A,0),7),""),"")</f>
        <v/>
      </c>
      <c r="K90">
        <f>IFERROR(IF(ISNUMBER(INDEX(SPPR!$E:$X,MATCH($A90,SPPR!$A:$A,0),8)),$C90*INDEX(SPPR!$E:$X,MATCH($A90,SPPR!$A:$A,0),8),""),"")</f>
        <v/>
      </c>
      <c r="L90">
        <f>IFERROR(IF(ISNUMBER(INDEX(SPPR!$E:$X,MATCH($A90,SPPR!$A:$A,0),9)),$C90*INDEX(SPPR!$E:$X,MATCH($A90,SPPR!$A:$A,0),9),""),"")</f>
        <v/>
      </c>
      <c r="M90">
        <f>IFERROR(IF(ISNUMBER(INDEX(SPPR!$E:$X,MATCH($A90,SPPR!$A:$A,0),10)),$C90*INDEX(SPPR!$E:$X,MATCH($A90,SPPR!$A:$A,0),10),""),"")</f>
        <v/>
      </c>
      <c r="N90">
        <f>IFERROR(IF(ISNUMBER(INDEX(SPPR!$E:$X,MATCH($A90,SPPR!$A:$A,0),11)),$C90*INDEX(SPPR!$E:$X,MATCH($A90,SPPR!$A:$A,0),11),""),"")</f>
        <v/>
      </c>
      <c r="O90">
        <f>IFERROR(IF(ISNUMBER(INDEX(SPPR!$E:$X,MATCH($A90,SPPR!$A:$A,0),12)),$C90*INDEX(SPPR!$E:$X,MATCH($A90,SPPR!$A:$A,0),12),""),"")</f>
        <v/>
      </c>
      <c r="P90">
        <f>IFERROR(IF(ISNUMBER(INDEX(SPPR!$E:$X,MATCH($A90,SPPR!$A:$A,0),13)),$C90*INDEX(SPPR!$E:$X,MATCH($A90,SPPR!$A:$A,0),13),""),"")</f>
        <v/>
      </c>
      <c r="Q90">
        <f>IFERROR(IF(ISNUMBER(INDEX(SPPR!$E:$X,MATCH($A90,SPPR!$A:$A,0),14)),$C90*INDEX(SPPR!$E:$X,MATCH($A90,SPPR!$A:$A,0),14),""),"")</f>
        <v/>
      </c>
      <c r="R90">
        <f>IFERROR(IF(ISNUMBER(INDEX(SPPR!$E:$X,MATCH($A90,SPPR!$A:$A,0),15)),$C90*INDEX(SPPR!$E:$X,MATCH($A90,SPPR!$A:$A,0),15),""),"")</f>
        <v/>
      </c>
      <c r="S90">
        <f>IFERROR(IF(ISNUMBER(INDEX(SPPR!$E:$X,MATCH($A90,SPPR!$A:$A,0),16)),$C90*INDEX(SPPR!$E:$X,MATCH($A90,SPPR!$A:$A,0),16),""),"")</f>
        <v/>
      </c>
      <c r="T90">
        <f>IFERROR(IF(ISNUMBER(INDEX(SPPR!$E:$X,MATCH($A90,SPPR!$A:$A,0),17)),$C90*INDEX(SPPR!$E:$X,MATCH($A90,SPPR!$A:$A,0),17),""),"")</f>
        <v/>
      </c>
      <c r="U90">
        <f>IFERROR(IF(ISNUMBER(INDEX(SPPR!$E:$X,MATCH($A90,SPPR!$A:$A,0),18)),$C90*INDEX(SPPR!$E:$X,MATCH($A90,SPPR!$A:$A,0),18),""),"")</f>
        <v/>
      </c>
      <c r="V90">
        <f>IFERROR(IF(ISNUMBER(INDEX(SPPR!$E:$X,MATCH($A90,SPPR!$A:$A,0),19)),$C90*INDEX(SPPR!$E:$X,MATCH($A90,SPPR!$A:$A,0),19),""),"")</f>
        <v/>
      </c>
      <c r="W90">
        <f>IFERROR(IF(ISNUMBER(INDEX(SPPR!$E:$X,MATCH($A90,SPPR!$A:$A,0),20)),$C90*INDEX(SPPR!$E:$X,MATCH($A90,SPPR!$A:$A,0),20),""),"")</f>
        <v/>
      </c>
    </row>
    <row r="91">
      <c r="A91" t="inlineStr">
        <is>
          <t>Magallana gigas</t>
        </is>
      </c>
      <c r="B91">
        <f>IFERROR(INDEX(SPPR!$D:$D,MATCH($A91,SPPR!$A:$A,0)),"")</f>
        <v/>
      </c>
      <c r="C91">
        <f>IFERROR(INDEX(Catch!$E:$BV,MATCH($A91,Catch!$A:$A,0),MATCH($B$4,Catch!$E$1:$BV$1,0)),0)</f>
        <v/>
      </c>
      <c r="D91">
        <f>IFERROR(IF(ISNUMBER(INDEX(SPPR!$E:$X,MATCH($A91,SPPR!$A:$A,0),1)),$C91*INDEX(SPPR!$E:$X,MATCH($A91,SPPR!$A:$A,0),1),""),"")</f>
        <v/>
      </c>
      <c r="E91">
        <f>IFERROR(IF(ISNUMBER(INDEX(SPPR!$E:$X,MATCH($A91,SPPR!$A:$A,0),2)),$C91*INDEX(SPPR!$E:$X,MATCH($A91,SPPR!$A:$A,0),2),""),"")</f>
        <v/>
      </c>
      <c r="F91">
        <f>IFERROR(IF(ISNUMBER(INDEX(SPPR!$E:$X,MATCH($A91,SPPR!$A:$A,0),3)),$C91*INDEX(SPPR!$E:$X,MATCH($A91,SPPR!$A:$A,0),3),""),"")</f>
        <v/>
      </c>
      <c r="G91">
        <f>IFERROR(IF(ISNUMBER(INDEX(SPPR!$E:$X,MATCH($A91,SPPR!$A:$A,0),4)),$C91*INDEX(SPPR!$E:$X,MATCH($A91,SPPR!$A:$A,0),4),""),"")</f>
        <v/>
      </c>
      <c r="H91">
        <f>IFERROR(IF(ISNUMBER(INDEX(SPPR!$E:$X,MATCH($A91,SPPR!$A:$A,0),5)),$C91*INDEX(SPPR!$E:$X,MATCH($A91,SPPR!$A:$A,0),5),""),"")</f>
        <v/>
      </c>
      <c r="I91">
        <f>IFERROR(IF(ISNUMBER(INDEX(SPPR!$E:$X,MATCH($A91,SPPR!$A:$A,0),6)),$C91*INDEX(SPPR!$E:$X,MATCH($A91,SPPR!$A:$A,0),6),""),"")</f>
        <v/>
      </c>
      <c r="J91">
        <f>IFERROR(IF(ISNUMBER(INDEX(SPPR!$E:$X,MATCH($A91,SPPR!$A:$A,0),7)),$C91*INDEX(SPPR!$E:$X,MATCH($A91,SPPR!$A:$A,0),7),""),"")</f>
        <v/>
      </c>
      <c r="K91">
        <f>IFERROR(IF(ISNUMBER(INDEX(SPPR!$E:$X,MATCH($A91,SPPR!$A:$A,0),8)),$C91*INDEX(SPPR!$E:$X,MATCH($A91,SPPR!$A:$A,0),8),""),"")</f>
        <v/>
      </c>
      <c r="L91">
        <f>IFERROR(IF(ISNUMBER(INDEX(SPPR!$E:$X,MATCH($A91,SPPR!$A:$A,0),9)),$C91*INDEX(SPPR!$E:$X,MATCH($A91,SPPR!$A:$A,0),9),""),"")</f>
        <v/>
      </c>
      <c r="M91">
        <f>IFERROR(IF(ISNUMBER(INDEX(SPPR!$E:$X,MATCH($A91,SPPR!$A:$A,0),10)),$C91*INDEX(SPPR!$E:$X,MATCH($A91,SPPR!$A:$A,0),10),""),"")</f>
        <v/>
      </c>
      <c r="N91">
        <f>IFERROR(IF(ISNUMBER(INDEX(SPPR!$E:$X,MATCH($A91,SPPR!$A:$A,0),11)),$C91*INDEX(SPPR!$E:$X,MATCH($A91,SPPR!$A:$A,0),11),""),"")</f>
        <v/>
      </c>
      <c r="O91">
        <f>IFERROR(IF(ISNUMBER(INDEX(SPPR!$E:$X,MATCH($A91,SPPR!$A:$A,0),12)),$C91*INDEX(SPPR!$E:$X,MATCH($A91,SPPR!$A:$A,0),12),""),"")</f>
        <v/>
      </c>
      <c r="P91">
        <f>IFERROR(IF(ISNUMBER(INDEX(SPPR!$E:$X,MATCH($A91,SPPR!$A:$A,0),13)),$C91*INDEX(SPPR!$E:$X,MATCH($A91,SPPR!$A:$A,0),13),""),"")</f>
        <v/>
      </c>
      <c r="Q91">
        <f>IFERROR(IF(ISNUMBER(INDEX(SPPR!$E:$X,MATCH($A91,SPPR!$A:$A,0),14)),$C91*INDEX(SPPR!$E:$X,MATCH($A91,SPPR!$A:$A,0),14),""),"")</f>
        <v/>
      </c>
      <c r="R91">
        <f>IFERROR(IF(ISNUMBER(INDEX(SPPR!$E:$X,MATCH($A91,SPPR!$A:$A,0),15)),$C91*INDEX(SPPR!$E:$X,MATCH($A91,SPPR!$A:$A,0),15),""),"")</f>
        <v/>
      </c>
      <c r="S91">
        <f>IFERROR(IF(ISNUMBER(INDEX(SPPR!$E:$X,MATCH($A91,SPPR!$A:$A,0),16)),$C91*INDEX(SPPR!$E:$X,MATCH($A91,SPPR!$A:$A,0),16),""),"")</f>
        <v/>
      </c>
      <c r="T91">
        <f>IFERROR(IF(ISNUMBER(INDEX(SPPR!$E:$X,MATCH($A91,SPPR!$A:$A,0),17)),$C91*INDEX(SPPR!$E:$X,MATCH($A91,SPPR!$A:$A,0),17),""),"")</f>
        <v/>
      </c>
      <c r="U91">
        <f>IFERROR(IF(ISNUMBER(INDEX(SPPR!$E:$X,MATCH($A91,SPPR!$A:$A,0),18)),$C91*INDEX(SPPR!$E:$X,MATCH($A91,SPPR!$A:$A,0),18),""),"")</f>
        <v/>
      </c>
      <c r="V91">
        <f>IFERROR(IF(ISNUMBER(INDEX(SPPR!$E:$X,MATCH($A91,SPPR!$A:$A,0),19)),$C91*INDEX(SPPR!$E:$X,MATCH($A91,SPPR!$A:$A,0),19),""),"")</f>
        <v/>
      </c>
      <c r="W91">
        <f>IFERROR(IF(ISNUMBER(INDEX(SPPR!$E:$X,MATCH($A91,SPPR!$A:$A,0),20)),$C91*INDEX(SPPR!$E:$X,MATCH($A91,SPPR!$A:$A,0),20),""),"")</f>
        <v/>
      </c>
    </row>
    <row r="92">
      <c r="A92" t="inlineStr">
        <is>
          <t>Anadara</t>
        </is>
      </c>
      <c r="B92">
        <f>IFERROR(INDEX(SPPR!$D:$D,MATCH($A92,SPPR!$A:$A,0)),"")</f>
        <v/>
      </c>
      <c r="C92">
        <f>IFERROR(INDEX(Catch!$E:$BV,MATCH($A92,Catch!$A:$A,0),MATCH($B$4,Catch!$E$1:$BV$1,0)),0)</f>
        <v/>
      </c>
      <c r="D92">
        <f>IFERROR(IF(ISNUMBER(INDEX(SPPR!$E:$X,MATCH($A92,SPPR!$A:$A,0),1)),$C92*INDEX(SPPR!$E:$X,MATCH($A92,SPPR!$A:$A,0),1),""),"")</f>
        <v/>
      </c>
      <c r="E92">
        <f>IFERROR(IF(ISNUMBER(INDEX(SPPR!$E:$X,MATCH($A92,SPPR!$A:$A,0),2)),$C92*INDEX(SPPR!$E:$X,MATCH($A92,SPPR!$A:$A,0),2),""),"")</f>
        <v/>
      </c>
      <c r="F92">
        <f>IFERROR(IF(ISNUMBER(INDEX(SPPR!$E:$X,MATCH($A92,SPPR!$A:$A,0),3)),$C92*INDEX(SPPR!$E:$X,MATCH($A92,SPPR!$A:$A,0),3),""),"")</f>
        <v/>
      </c>
      <c r="G92">
        <f>IFERROR(IF(ISNUMBER(INDEX(SPPR!$E:$X,MATCH($A92,SPPR!$A:$A,0),4)),$C92*INDEX(SPPR!$E:$X,MATCH($A92,SPPR!$A:$A,0),4),""),"")</f>
        <v/>
      </c>
      <c r="H92">
        <f>IFERROR(IF(ISNUMBER(INDEX(SPPR!$E:$X,MATCH($A92,SPPR!$A:$A,0),5)),$C92*INDEX(SPPR!$E:$X,MATCH($A92,SPPR!$A:$A,0),5),""),"")</f>
        <v/>
      </c>
      <c r="I92">
        <f>IFERROR(IF(ISNUMBER(INDEX(SPPR!$E:$X,MATCH($A92,SPPR!$A:$A,0),6)),$C92*INDEX(SPPR!$E:$X,MATCH($A92,SPPR!$A:$A,0),6),""),"")</f>
        <v/>
      </c>
      <c r="J92">
        <f>IFERROR(IF(ISNUMBER(INDEX(SPPR!$E:$X,MATCH($A92,SPPR!$A:$A,0),7)),$C92*INDEX(SPPR!$E:$X,MATCH($A92,SPPR!$A:$A,0),7),""),"")</f>
        <v/>
      </c>
      <c r="K92">
        <f>IFERROR(IF(ISNUMBER(INDEX(SPPR!$E:$X,MATCH($A92,SPPR!$A:$A,0),8)),$C92*INDEX(SPPR!$E:$X,MATCH($A92,SPPR!$A:$A,0),8),""),"")</f>
        <v/>
      </c>
      <c r="L92">
        <f>IFERROR(IF(ISNUMBER(INDEX(SPPR!$E:$X,MATCH($A92,SPPR!$A:$A,0),9)),$C92*INDEX(SPPR!$E:$X,MATCH($A92,SPPR!$A:$A,0),9),""),"")</f>
        <v/>
      </c>
      <c r="M92">
        <f>IFERROR(IF(ISNUMBER(INDEX(SPPR!$E:$X,MATCH($A92,SPPR!$A:$A,0),10)),$C92*INDEX(SPPR!$E:$X,MATCH($A92,SPPR!$A:$A,0),10),""),"")</f>
        <v/>
      </c>
      <c r="N92">
        <f>IFERROR(IF(ISNUMBER(INDEX(SPPR!$E:$X,MATCH($A92,SPPR!$A:$A,0),11)),$C92*INDEX(SPPR!$E:$X,MATCH($A92,SPPR!$A:$A,0),11),""),"")</f>
        <v/>
      </c>
      <c r="O92">
        <f>IFERROR(IF(ISNUMBER(INDEX(SPPR!$E:$X,MATCH($A92,SPPR!$A:$A,0),12)),$C92*INDEX(SPPR!$E:$X,MATCH($A92,SPPR!$A:$A,0),12),""),"")</f>
        <v/>
      </c>
      <c r="P92">
        <f>IFERROR(IF(ISNUMBER(INDEX(SPPR!$E:$X,MATCH($A92,SPPR!$A:$A,0),13)),$C92*INDEX(SPPR!$E:$X,MATCH($A92,SPPR!$A:$A,0),13),""),"")</f>
        <v/>
      </c>
      <c r="Q92">
        <f>IFERROR(IF(ISNUMBER(INDEX(SPPR!$E:$X,MATCH($A92,SPPR!$A:$A,0),14)),$C92*INDEX(SPPR!$E:$X,MATCH($A92,SPPR!$A:$A,0),14),""),"")</f>
        <v/>
      </c>
      <c r="R92">
        <f>IFERROR(IF(ISNUMBER(INDEX(SPPR!$E:$X,MATCH($A92,SPPR!$A:$A,0),15)),$C92*INDEX(SPPR!$E:$X,MATCH($A92,SPPR!$A:$A,0),15),""),"")</f>
        <v/>
      </c>
      <c r="S92">
        <f>IFERROR(IF(ISNUMBER(INDEX(SPPR!$E:$X,MATCH($A92,SPPR!$A:$A,0),16)),$C92*INDEX(SPPR!$E:$X,MATCH($A92,SPPR!$A:$A,0),16),""),"")</f>
        <v/>
      </c>
      <c r="T92">
        <f>IFERROR(IF(ISNUMBER(INDEX(SPPR!$E:$X,MATCH($A92,SPPR!$A:$A,0),17)),$C92*INDEX(SPPR!$E:$X,MATCH($A92,SPPR!$A:$A,0),17),""),"")</f>
        <v/>
      </c>
      <c r="U92">
        <f>IFERROR(IF(ISNUMBER(INDEX(SPPR!$E:$X,MATCH($A92,SPPR!$A:$A,0),18)),$C92*INDEX(SPPR!$E:$X,MATCH($A92,SPPR!$A:$A,0),18),""),"")</f>
        <v/>
      </c>
      <c r="V92">
        <f>IFERROR(IF(ISNUMBER(INDEX(SPPR!$E:$X,MATCH($A92,SPPR!$A:$A,0),19)),$C92*INDEX(SPPR!$E:$X,MATCH($A92,SPPR!$A:$A,0),19),""),"")</f>
        <v/>
      </c>
      <c r="W92">
        <f>IFERROR(IF(ISNUMBER(INDEX(SPPR!$E:$X,MATCH($A92,SPPR!$A:$A,0),20)),$C92*INDEX(SPPR!$E:$X,MATCH($A92,SPPR!$A:$A,0),20),""),"")</f>
        <v/>
      </c>
    </row>
    <row r="93">
      <c r="A93" t="inlineStr">
        <is>
          <t>Echinoidea</t>
        </is>
      </c>
      <c r="B93">
        <f>IFERROR(INDEX(SPPR!$D:$D,MATCH($A93,SPPR!$A:$A,0)),"")</f>
        <v/>
      </c>
      <c r="C93">
        <f>IFERROR(INDEX(Catch!$E:$BV,MATCH($A93,Catch!$A:$A,0),MATCH($B$4,Catch!$E$1:$BV$1,0)),0)</f>
        <v/>
      </c>
      <c r="D93">
        <f>IFERROR(IF(ISNUMBER(INDEX(SPPR!$E:$X,MATCH($A93,SPPR!$A:$A,0),1)),$C93*INDEX(SPPR!$E:$X,MATCH($A93,SPPR!$A:$A,0),1),""),"")</f>
        <v/>
      </c>
      <c r="E93">
        <f>IFERROR(IF(ISNUMBER(INDEX(SPPR!$E:$X,MATCH($A93,SPPR!$A:$A,0),2)),$C93*INDEX(SPPR!$E:$X,MATCH($A93,SPPR!$A:$A,0),2),""),"")</f>
        <v/>
      </c>
      <c r="F93">
        <f>IFERROR(IF(ISNUMBER(INDEX(SPPR!$E:$X,MATCH($A93,SPPR!$A:$A,0),3)),$C93*INDEX(SPPR!$E:$X,MATCH($A93,SPPR!$A:$A,0),3),""),"")</f>
        <v/>
      </c>
      <c r="G93">
        <f>IFERROR(IF(ISNUMBER(INDEX(SPPR!$E:$X,MATCH($A93,SPPR!$A:$A,0),4)),$C93*INDEX(SPPR!$E:$X,MATCH($A93,SPPR!$A:$A,0),4),""),"")</f>
        <v/>
      </c>
      <c r="H93">
        <f>IFERROR(IF(ISNUMBER(INDEX(SPPR!$E:$X,MATCH($A93,SPPR!$A:$A,0),5)),$C93*INDEX(SPPR!$E:$X,MATCH($A93,SPPR!$A:$A,0),5),""),"")</f>
        <v/>
      </c>
      <c r="I93">
        <f>IFERROR(IF(ISNUMBER(INDEX(SPPR!$E:$X,MATCH($A93,SPPR!$A:$A,0),6)),$C93*INDEX(SPPR!$E:$X,MATCH($A93,SPPR!$A:$A,0),6),""),"")</f>
        <v/>
      </c>
      <c r="J93">
        <f>IFERROR(IF(ISNUMBER(INDEX(SPPR!$E:$X,MATCH($A93,SPPR!$A:$A,0),7)),$C93*INDEX(SPPR!$E:$X,MATCH($A93,SPPR!$A:$A,0),7),""),"")</f>
        <v/>
      </c>
      <c r="K93">
        <f>IFERROR(IF(ISNUMBER(INDEX(SPPR!$E:$X,MATCH($A93,SPPR!$A:$A,0),8)),$C93*INDEX(SPPR!$E:$X,MATCH($A93,SPPR!$A:$A,0),8),""),"")</f>
        <v/>
      </c>
      <c r="L93">
        <f>IFERROR(IF(ISNUMBER(INDEX(SPPR!$E:$X,MATCH($A93,SPPR!$A:$A,0),9)),$C93*INDEX(SPPR!$E:$X,MATCH($A93,SPPR!$A:$A,0),9),""),"")</f>
        <v/>
      </c>
      <c r="M93">
        <f>IFERROR(IF(ISNUMBER(INDEX(SPPR!$E:$X,MATCH($A93,SPPR!$A:$A,0),10)),$C93*INDEX(SPPR!$E:$X,MATCH($A93,SPPR!$A:$A,0),10),""),"")</f>
        <v/>
      </c>
      <c r="N93">
        <f>IFERROR(IF(ISNUMBER(INDEX(SPPR!$E:$X,MATCH($A93,SPPR!$A:$A,0),11)),$C93*INDEX(SPPR!$E:$X,MATCH($A93,SPPR!$A:$A,0),11),""),"")</f>
        <v/>
      </c>
      <c r="O93">
        <f>IFERROR(IF(ISNUMBER(INDEX(SPPR!$E:$X,MATCH($A93,SPPR!$A:$A,0),12)),$C93*INDEX(SPPR!$E:$X,MATCH($A93,SPPR!$A:$A,0),12),""),"")</f>
        <v/>
      </c>
      <c r="P93">
        <f>IFERROR(IF(ISNUMBER(INDEX(SPPR!$E:$X,MATCH($A93,SPPR!$A:$A,0),13)),$C93*INDEX(SPPR!$E:$X,MATCH($A93,SPPR!$A:$A,0),13),""),"")</f>
        <v/>
      </c>
      <c r="Q93">
        <f>IFERROR(IF(ISNUMBER(INDEX(SPPR!$E:$X,MATCH($A93,SPPR!$A:$A,0),14)),$C93*INDEX(SPPR!$E:$X,MATCH($A93,SPPR!$A:$A,0),14),""),"")</f>
        <v/>
      </c>
      <c r="R93">
        <f>IFERROR(IF(ISNUMBER(INDEX(SPPR!$E:$X,MATCH($A93,SPPR!$A:$A,0),15)),$C93*INDEX(SPPR!$E:$X,MATCH($A93,SPPR!$A:$A,0),15),""),"")</f>
        <v/>
      </c>
      <c r="S93">
        <f>IFERROR(IF(ISNUMBER(INDEX(SPPR!$E:$X,MATCH($A93,SPPR!$A:$A,0),16)),$C93*INDEX(SPPR!$E:$X,MATCH($A93,SPPR!$A:$A,0),16),""),"")</f>
        <v/>
      </c>
      <c r="T93">
        <f>IFERROR(IF(ISNUMBER(INDEX(SPPR!$E:$X,MATCH($A93,SPPR!$A:$A,0),17)),$C93*INDEX(SPPR!$E:$X,MATCH($A93,SPPR!$A:$A,0),17),""),"")</f>
        <v/>
      </c>
      <c r="U93">
        <f>IFERROR(IF(ISNUMBER(INDEX(SPPR!$E:$X,MATCH($A93,SPPR!$A:$A,0),18)),$C93*INDEX(SPPR!$E:$X,MATCH($A93,SPPR!$A:$A,0),18),""),"")</f>
        <v/>
      </c>
      <c r="V93">
        <f>IFERROR(IF(ISNUMBER(INDEX(SPPR!$E:$X,MATCH($A93,SPPR!$A:$A,0),19)),$C93*INDEX(SPPR!$E:$X,MATCH($A93,SPPR!$A:$A,0),19),""),"")</f>
        <v/>
      </c>
      <c r="W93">
        <f>IFERROR(IF(ISNUMBER(INDEX(SPPR!$E:$X,MATCH($A93,SPPR!$A:$A,0),20)),$C93*INDEX(SPPR!$E:$X,MATCH($A93,SPPR!$A:$A,0),20),""),"")</f>
        <v/>
      </c>
    </row>
    <row r="94">
      <c r="A94" t="inlineStr">
        <is>
          <t>Decapterus maruadsi</t>
        </is>
      </c>
      <c r="B94">
        <f>IFERROR(INDEX(SPPR!$D:$D,MATCH($A94,SPPR!$A:$A,0)),"")</f>
        <v/>
      </c>
      <c r="C94">
        <f>IFERROR(INDEX(Catch!$E:$BV,MATCH($A94,Catch!$A:$A,0),MATCH($B$4,Catch!$E$1:$BV$1,0)),0)</f>
        <v/>
      </c>
      <c r="D94">
        <f>IFERROR(IF(ISNUMBER(INDEX(SPPR!$E:$X,MATCH($A94,SPPR!$A:$A,0),1)),$C94*INDEX(SPPR!$E:$X,MATCH($A94,SPPR!$A:$A,0),1),""),"")</f>
        <v/>
      </c>
      <c r="E94">
        <f>IFERROR(IF(ISNUMBER(INDEX(SPPR!$E:$X,MATCH($A94,SPPR!$A:$A,0),2)),$C94*INDEX(SPPR!$E:$X,MATCH($A94,SPPR!$A:$A,0),2),""),"")</f>
        <v/>
      </c>
      <c r="F94">
        <f>IFERROR(IF(ISNUMBER(INDEX(SPPR!$E:$X,MATCH($A94,SPPR!$A:$A,0),3)),$C94*INDEX(SPPR!$E:$X,MATCH($A94,SPPR!$A:$A,0),3),""),"")</f>
        <v/>
      </c>
      <c r="G94">
        <f>IFERROR(IF(ISNUMBER(INDEX(SPPR!$E:$X,MATCH($A94,SPPR!$A:$A,0),4)),$C94*INDEX(SPPR!$E:$X,MATCH($A94,SPPR!$A:$A,0),4),""),"")</f>
        <v/>
      </c>
      <c r="H94">
        <f>IFERROR(IF(ISNUMBER(INDEX(SPPR!$E:$X,MATCH($A94,SPPR!$A:$A,0),5)),$C94*INDEX(SPPR!$E:$X,MATCH($A94,SPPR!$A:$A,0),5),""),"")</f>
        <v/>
      </c>
      <c r="I94">
        <f>IFERROR(IF(ISNUMBER(INDEX(SPPR!$E:$X,MATCH($A94,SPPR!$A:$A,0),6)),$C94*INDEX(SPPR!$E:$X,MATCH($A94,SPPR!$A:$A,0),6),""),"")</f>
        <v/>
      </c>
      <c r="J94">
        <f>IFERROR(IF(ISNUMBER(INDEX(SPPR!$E:$X,MATCH($A94,SPPR!$A:$A,0),7)),$C94*INDEX(SPPR!$E:$X,MATCH($A94,SPPR!$A:$A,0),7),""),"")</f>
        <v/>
      </c>
      <c r="K94">
        <f>IFERROR(IF(ISNUMBER(INDEX(SPPR!$E:$X,MATCH($A94,SPPR!$A:$A,0),8)),$C94*INDEX(SPPR!$E:$X,MATCH($A94,SPPR!$A:$A,0),8),""),"")</f>
        <v/>
      </c>
      <c r="L94">
        <f>IFERROR(IF(ISNUMBER(INDEX(SPPR!$E:$X,MATCH($A94,SPPR!$A:$A,0),9)),$C94*INDEX(SPPR!$E:$X,MATCH($A94,SPPR!$A:$A,0),9),""),"")</f>
        <v/>
      </c>
      <c r="M94">
        <f>IFERROR(IF(ISNUMBER(INDEX(SPPR!$E:$X,MATCH($A94,SPPR!$A:$A,0),10)),$C94*INDEX(SPPR!$E:$X,MATCH($A94,SPPR!$A:$A,0),10),""),"")</f>
        <v/>
      </c>
      <c r="N94">
        <f>IFERROR(IF(ISNUMBER(INDEX(SPPR!$E:$X,MATCH($A94,SPPR!$A:$A,0),11)),$C94*INDEX(SPPR!$E:$X,MATCH($A94,SPPR!$A:$A,0),11),""),"")</f>
        <v/>
      </c>
      <c r="O94">
        <f>IFERROR(IF(ISNUMBER(INDEX(SPPR!$E:$X,MATCH($A94,SPPR!$A:$A,0),12)),$C94*INDEX(SPPR!$E:$X,MATCH($A94,SPPR!$A:$A,0),12),""),"")</f>
        <v/>
      </c>
      <c r="P94">
        <f>IFERROR(IF(ISNUMBER(INDEX(SPPR!$E:$X,MATCH($A94,SPPR!$A:$A,0),13)),$C94*INDEX(SPPR!$E:$X,MATCH($A94,SPPR!$A:$A,0),13),""),"")</f>
        <v/>
      </c>
      <c r="Q94">
        <f>IFERROR(IF(ISNUMBER(INDEX(SPPR!$E:$X,MATCH($A94,SPPR!$A:$A,0),14)),$C94*INDEX(SPPR!$E:$X,MATCH($A94,SPPR!$A:$A,0),14),""),"")</f>
        <v/>
      </c>
      <c r="R94">
        <f>IFERROR(IF(ISNUMBER(INDEX(SPPR!$E:$X,MATCH($A94,SPPR!$A:$A,0),15)),$C94*INDEX(SPPR!$E:$X,MATCH($A94,SPPR!$A:$A,0),15),""),"")</f>
        <v/>
      </c>
      <c r="S94">
        <f>IFERROR(IF(ISNUMBER(INDEX(SPPR!$E:$X,MATCH($A94,SPPR!$A:$A,0),16)),$C94*INDEX(SPPR!$E:$X,MATCH($A94,SPPR!$A:$A,0),16),""),"")</f>
        <v/>
      </c>
      <c r="T94">
        <f>IFERROR(IF(ISNUMBER(INDEX(SPPR!$E:$X,MATCH($A94,SPPR!$A:$A,0),17)),$C94*INDEX(SPPR!$E:$X,MATCH($A94,SPPR!$A:$A,0),17),""),"")</f>
        <v/>
      </c>
      <c r="U94">
        <f>IFERROR(IF(ISNUMBER(INDEX(SPPR!$E:$X,MATCH($A94,SPPR!$A:$A,0),18)),$C94*INDEX(SPPR!$E:$X,MATCH($A94,SPPR!$A:$A,0),18),""),"")</f>
        <v/>
      </c>
      <c r="V94">
        <f>IFERROR(IF(ISNUMBER(INDEX(SPPR!$E:$X,MATCH($A94,SPPR!$A:$A,0),19)),$C94*INDEX(SPPR!$E:$X,MATCH($A94,SPPR!$A:$A,0),19),""),"")</f>
        <v/>
      </c>
      <c r="W94">
        <f>IFERROR(IF(ISNUMBER(INDEX(SPPR!$E:$X,MATCH($A94,SPPR!$A:$A,0),20)),$C94*INDEX(SPPR!$E:$X,MATCH($A94,SPPR!$A:$A,0),20),""),"")</f>
        <v/>
      </c>
    </row>
    <row r="95">
      <c r="A95" t="inlineStr">
        <is>
          <t>Lateolabrax japonicus</t>
        </is>
      </c>
      <c r="B95">
        <f>IFERROR(INDEX(SPPR!$D:$D,MATCH($A95,SPPR!$A:$A,0)),"")</f>
        <v/>
      </c>
      <c r="C95">
        <f>IFERROR(INDEX(Catch!$E:$BV,MATCH($A95,Catch!$A:$A,0),MATCH($B$4,Catch!$E$1:$BV$1,0)),0)</f>
        <v/>
      </c>
      <c r="D95">
        <f>IFERROR(IF(ISNUMBER(INDEX(SPPR!$E:$X,MATCH($A95,SPPR!$A:$A,0),1)),$C95*INDEX(SPPR!$E:$X,MATCH($A95,SPPR!$A:$A,0),1),""),"")</f>
        <v/>
      </c>
      <c r="E95">
        <f>IFERROR(IF(ISNUMBER(INDEX(SPPR!$E:$X,MATCH($A95,SPPR!$A:$A,0),2)),$C95*INDEX(SPPR!$E:$X,MATCH($A95,SPPR!$A:$A,0),2),""),"")</f>
        <v/>
      </c>
      <c r="F95">
        <f>IFERROR(IF(ISNUMBER(INDEX(SPPR!$E:$X,MATCH($A95,SPPR!$A:$A,0),3)),$C95*INDEX(SPPR!$E:$X,MATCH($A95,SPPR!$A:$A,0),3),""),"")</f>
        <v/>
      </c>
      <c r="G95">
        <f>IFERROR(IF(ISNUMBER(INDEX(SPPR!$E:$X,MATCH($A95,SPPR!$A:$A,0),4)),$C95*INDEX(SPPR!$E:$X,MATCH($A95,SPPR!$A:$A,0),4),""),"")</f>
        <v/>
      </c>
      <c r="H95">
        <f>IFERROR(IF(ISNUMBER(INDEX(SPPR!$E:$X,MATCH($A95,SPPR!$A:$A,0),5)),$C95*INDEX(SPPR!$E:$X,MATCH($A95,SPPR!$A:$A,0),5),""),"")</f>
        <v/>
      </c>
      <c r="I95">
        <f>IFERROR(IF(ISNUMBER(INDEX(SPPR!$E:$X,MATCH($A95,SPPR!$A:$A,0),6)),$C95*INDEX(SPPR!$E:$X,MATCH($A95,SPPR!$A:$A,0),6),""),"")</f>
        <v/>
      </c>
      <c r="J95">
        <f>IFERROR(IF(ISNUMBER(INDEX(SPPR!$E:$X,MATCH($A95,SPPR!$A:$A,0),7)),$C95*INDEX(SPPR!$E:$X,MATCH($A95,SPPR!$A:$A,0),7),""),"")</f>
        <v/>
      </c>
      <c r="K95">
        <f>IFERROR(IF(ISNUMBER(INDEX(SPPR!$E:$X,MATCH($A95,SPPR!$A:$A,0),8)),$C95*INDEX(SPPR!$E:$X,MATCH($A95,SPPR!$A:$A,0),8),""),"")</f>
        <v/>
      </c>
      <c r="L95">
        <f>IFERROR(IF(ISNUMBER(INDEX(SPPR!$E:$X,MATCH($A95,SPPR!$A:$A,0),9)),$C95*INDEX(SPPR!$E:$X,MATCH($A95,SPPR!$A:$A,0),9),""),"")</f>
        <v/>
      </c>
      <c r="M95">
        <f>IFERROR(IF(ISNUMBER(INDEX(SPPR!$E:$X,MATCH($A95,SPPR!$A:$A,0),10)),$C95*INDEX(SPPR!$E:$X,MATCH($A95,SPPR!$A:$A,0),10),""),"")</f>
        <v/>
      </c>
      <c r="N95">
        <f>IFERROR(IF(ISNUMBER(INDEX(SPPR!$E:$X,MATCH($A95,SPPR!$A:$A,0),11)),$C95*INDEX(SPPR!$E:$X,MATCH($A95,SPPR!$A:$A,0),11),""),"")</f>
        <v/>
      </c>
      <c r="O95">
        <f>IFERROR(IF(ISNUMBER(INDEX(SPPR!$E:$X,MATCH($A95,SPPR!$A:$A,0),12)),$C95*INDEX(SPPR!$E:$X,MATCH($A95,SPPR!$A:$A,0),12),""),"")</f>
        <v/>
      </c>
      <c r="P95">
        <f>IFERROR(IF(ISNUMBER(INDEX(SPPR!$E:$X,MATCH($A95,SPPR!$A:$A,0),13)),$C95*INDEX(SPPR!$E:$X,MATCH($A95,SPPR!$A:$A,0),13),""),"")</f>
        <v/>
      </c>
      <c r="Q95">
        <f>IFERROR(IF(ISNUMBER(INDEX(SPPR!$E:$X,MATCH($A95,SPPR!$A:$A,0),14)),$C95*INDEX(SPPR!$E:$X,MATCH($A95,SPPR!$A:$A,0),14),""),"")</f>
        <v/>
      </c>
      <c r="R95">
        <f>IFERROR(IF(ISNUMBER(INDEX(SPPR!$E:$X,MATCH($A95,SPPR!$A:$A,0),15)),$C95*INDEX(SPPR!$E:$X,MATCH($A95,SPPR!$A:$A,0),15),""),"")</f>
        <v/>
      </c>
      <c r="S95">
        <f>IFERROR(IF(ISNUMBER(INDEX(SPPR!$E:$X,MATCH($A95,SPPR!$A:$A,0),16)),$C95*INDEX(SPPR!$E:$X,MATCH($A95,SPPR!$A:$A,0),16),""),"")</f>
        <v/>
      </c>
      <c r="T95">
        <f>IFERROR(IF(ISNUMBER(INDEX(SPPR!$E:$X,MATCH($A95,SPPR!$A:$A,0),17)),$C95*INDEX(SPPR!$E:$X,MATCH($A95,SPPR!$A:$A,0),17),""),"")</f>
        <v/>
      </c>
      <c r="U95">
        <f>IFERROR(IF(ISNUMBER(INDEX(SPPR!$E:$X,MATCH($A95,SPPR!$A:$A,0),18)),$C95*INDEX(SPPR!$E:$X,MATCH($A95,SPPR!$A:$A,0),18),""),"")</f>
        <v/>
      </c>
      <c r="V95">
        <f>IFERROR(IF(ISNUMBER(INDEX(SPPR!$E:$X,MATCH($A95,SPPR!$A:$A,0),19)),$C95*INDEX(SPPR!$E:$X,MATCH($A95,SPPR!$A:$A,0),19),""),"")</f>
        <v/>
      </c>
      <c r="W95">
        <f>IFERROR(IF(ISNUMBER(INDEX(SPPR!$E:$X,MATCH($A95,SPPR!$A:$A,0),20)),$C95*INDEX(SPPR!$E:$X,MATCH($A95,SPPR!$A:$A,0),20),""),"")</f>
        <v/>
      </c>
    </row>
    <row r="96">
      <c r="A96" t="inlineStr">
        <is>
          <t>Priacanthus macracanthus</t>
        </is>
      </c>
      <c r="B96">
        <f>IFERROR(INDEX(SPPR!$D:$D,MATCH($A96,SPPR!$A:$A,0)),"")</f>
        <v/>
      </c>
      <c r="C96">
        <f>IFERROR(INDEX(Catch!$E:$BV,MATCH($A96,Catch!$A:$A,0),MATCH($B$4,Catch!$E$1:$BV$1,0)),0)</f>
        <v/>
      </c>
      <c r="D96">
        <f>IFERROR(IF(ISNUMBER(INDEX(SPPR!$E:$X,MATCH($A96,SPPR!$A:$A,0),1)),$C96*INDEX(SPPR!$E:$X,MATCH($A96,SPPR!$A:$A,0),1),""),"")</f>
        <v/>
      </c>
      <c r="E96">
        <f>IFERROR(IF(ISNUMBER(INDEX(SPPR!$E:$X,MATCH($A96,SPPR!$A:$A,0),2)),$C96*INDEX(SPPR!$E:$X,MATCH($A96,SPPR!$A:$A,0),2),""),"")</f>
        <v/>
      </c>
      <c r="F96">
        <f>IFERROR(IF(ISNUMBER(INDEX(SPPR!$E:$X,MATCH($A96,SPPR!$A:$A,0),3)),$C96*INDEX(SPPR!$E:$X,MATCH($A96,SPPR!$A:$A,0),3),""),"")</f>
        <v/>
      </c>
      <c r="G96">
        <f>IFERROR(IF(ISNUMBER(INDEX(SPPR!$E:$X,MATCH($A96,SPPR!$A:$A,0),4)),$C96*INDEX(SPPR!$E:$X,MATCH($A96,SPPR!$A:$A,0),4),""),"")</f>
        <v/>
      </c>
      <c r="H96">
        <f>IFERROR(IF(ISNUMBER(INDEX(SPPR!$E:$X,MATCH($A96,SPPR!$A:$A,0),5)),$C96*INDEX(SPPR!$E:$X,MATCH($A96,SPPR!$A:$A,0),5),""),"")</f>
        <v/>
      </c>
      <c r="I96">
        <f>IFERROR(IF(ISNUMBER(INDEX(SPPR!$E:$X,MATCH($A96,SPPR!$A:$A,0),6)),$C96*INDEX(SPPR!$E:$X,MATCH($A96,SPPR!$A:$A,0),6),""),"")</f>
        <v/>
      </c>
      <c r="J96">
        <f>IFERROR(IF(ISNUMBER(INDEX(SPPR!$E:$X,MATCH($A96,SPPR!$A:$A,0),7)),$C96*INDEX(SPPR!$E:$X,MATCH($A96,SPPR!$A:$A,0),7),""),"")</f>
        <v/>
      </c>
      <c r="K96">
        <f>IFERROR(IF(ISNUMBER(INDEX(SPPR!$E:$X,MATCH($A96,SPPR!$A:$A,0),8)),$C96*INDEX(SPPR!$E:$X,MATCH($A96,SPPR!$A:$A,0),8),""),"")</f>
        <v/>
      </c>
      <c r="L96">
        <f>IFERROR(IF(ISNUMBER(INDEX(SPPR!$E:$X,MATCH($A96,SPPR!$A:$A,0),9)),$C96*INDEX(SPPR!$E:$X,MATCH($A96,SPPR!$A:$A,0),9),""),"")</f>
        <v/>
      </c>
      <c r="M96">
        <f>IFERROR(IF(ISNUMBER(INDEX(SPPR!$E:$X,MATCH($A96,SPPR!$A:$A,0),10)),$C96*INDEX(SPPR!$E:$X,MATCH($A96,SPPR!$A:$A,0),10),""),"")</f>
        <v/>
      </c>
      <c r="N96">
        <f>IFERROR(IF(ISNUMBER(INDEX(SPPR!$E:$X,MATCH($A96,SPPR!$A:$A,0),11)),$C96*INDEX(SPPR!$E:$X,MATCH($A96,SPPR!$A:$A,0),11),""),"")</f>
        <v/>
      </c>
      <c r="O96">
        <f>IFERROR(IF(ISNUMBER(INDEX(SPPR!$E:$X,MATCH($A96,SPPR!$A:$A,0),12)),$C96*INDEX(SPPR!$E:$X,MATCH($A96,SPPR!$A:$A,0),12),""),"")</f>
        <v/>
      </c>
      <c r="P96">
        <f>IFERROR(IF(ISNUMBER(INDEX(SPPR!$E:$X,MATCH($A96,SPPR!$A:$A,0),13)),$C96*INDEX(SPPR!$E:$X,MATCH($A96,SPPR!$A:$A,0),13),""),"")</f>
        <v/>
      </c>
      <c r="Q96">
        <f>IFERROR(IF(ISNUMBER(INDEX(SPPR!$E:$X,MATCH($A96,SPPR!$A:$A,0),14)),$C96*INDEX(SPPR!$E:$X,MATCH($A96,SPPR!$A:$A,0),14),""),"")</f>
        <v/>
      </c>
      <c r="R96">
        <f>IFERROR(IF(ISNUMBER(INDEX(SPPR!$E:$X,MATCH($A96,SPPR!$A:$A,0),15)),$C96*INDEX(SPPR!$E:$X,MATCH($A96,SPPR!$A:$A,0),15),""),"")</f>
        <v/>
      </c>
      <c r="S96">
        <f>IFERROR(IF(ISNUMBER(INDEX(SPPR!$E:$X,MATCH($A96,SPPR!$A:$A,0),16)),$C96*INDEX(SPPR!$E:$X,MATCH($A96,SPPR!$A:$A,0),16),""),"")</f>
        <v/>
      </c>
      <c r="T96">
        <f>IFERROR(IF(ISNUMBER(INDEX(SPPR!$E:$X,MATCH($A96,SPPR!$A:$A,0),17)),$C96*INDEX(SPPR!$E:$X,MATCH($A96,SPPR!$A:$A,0),17),""),"")</f>
        <v/>
      </c>
      <c r="U96">
        <f>IFERROR(IF(ISNUMBER(INDEX(SPPR!$E:$X,MATCH($A96,SPPR!$A:$A,0),18)),$C96*INDEX(SPPR!$E:$X,MATCH($A96,SPPR!$A:$A,0),18),""),"")</f>
        <v/>
      </c>
      <c r="V96">
        <f>IFERROR(IF(ISNUMBER(INDEX(SPPR!$E:$X,MATCH($A96,SPPR!$A:$A,0),19)),$C96*INDEX(SPPR!$E:$X,MATCH($A96,SPPR!$A:$A,0),19),""),"")</f>
        <v/>
      </c>
      <c r="W96">
        <f>IFERROR(IF(ISNUMBER(INDEX(SPPR!$E:$X,MATCH($A96,SPPR!$A:$A,0),20)),$C96*INDEX(SPPR!$E:$X,MATCH($A96,SPPR!$A:$A,0),20),""),"")</f>
        <v/>
      </c>
    </row>
    <row r="97">
      <c r="A97" t="inlineStr">
        <is>
          <t>Exocoetidae</t>
        </is>
      </c>
      <c r="B97">
        <f>IFERROR(INDEX(SPPR!$D:$D,MATCH($A97,SPPR!$A:$A,0)),"")</f>
        <v/>
      </c>
      <c r="C97">
        <f>IFERROR(INDEX(Catch!$E:$BV,MATCH($A97,Catch!$A:$A,0),MATCH($B$4,Catch!$E$1:$BV$1,0)),0)</f>
        <v/>
      </c>
      <c r="D97">
        <f>IFERROR(IF(ISNUMBER(INDEX(SPPR!$E:$X,MATCH($A97,SPPR!$A:$A,0),1)),$C97*INDEX(SPPR!$E:$X,MATCH($A97,SPPR!$A:$A,0),1),""),"")</f>
        <v/>
      </c>
      <c r="E97">
        <f>IFERROR(IF(ISNUMBER(INDEX(SPPR!$E:$X,MATCH($A97,SPPR!$A:$A,0),2)),$C97*INDEX(SPPR!$E:$X,MATCH($A97,SPPR!$A:$A,0),2),""),"")</f>
        <v/>
      </c>
      <c r="F97">
        <f>IFERROR(IF(ISNUMBER(INDEX(SPPR!$E:$X,MATCH($A97,SPPR!$A:$A,0),3)),$C97*INDEX(SPPR!$E:$X,MATCH($A97,SPPR!$A:$A,0),3),""),"")</f>
        <v/>
      </c>
      <c r="G97">
        <f>IFERROR(IF(ISNUMBER(INDEX(SPPR!$E:$X,MATCH($A97,SPPR!$A:$A,0),4)),$C97*INDEX(SPPR!$E:$X,MATCH($A97,SPPR!$A:$A,0),4),""),"")</f>
        <v/>
      </c>
      <c r="H97">
        <f>IFERROR(IF(ISNUMBER(INDEX(SPPR!$E:$X,MATCH($A97,SPPR!$A:$A,0),5)),$C97*INDEX(SPPR!$E:$X,MATCH($A97,SPPR!$A:$A,0),5),""),"")</f>
        <v/>
      </c>
      <c r="I97">
        <f>IFERROR(IF(ISNUMBER(INDEX(SPPR!$E:$X,MATCH($A97,SPPR!$A:$A,0),6)),$C97*INDEX(SPPR!$E:$X,MATCH($A97,SPPR!$A:$A,0),6),""),"")</f>
        <v/>
      </c>
      <c r="J97">
        <f>IFERROR(IF(ISNUMBER(INDEX(SPPR!$E:$X,MATCH($A97,SPPR!$A:$A,0),7)),$C97*INDEX(SPPR!$E:$X,MATCH($A97,SPPR!$A:$A,0),7),""),"")</f>
        <v/>
      </c>
      <c r="K97">
        <f>IFERROR(IF(ISNUMBER(INDEX(SPPR!$E:$X,MATCH($A97,SPPR!$A:$A,0),8)),$C97*INDEX(SPPR!$E:$X,MATCH($A97,SPPR!$A:$A,0),8),""),"")</f>
        <v/>
      </c>
      <c r="L97">
        <f>IFERROR(IF(ISNUMBER(INDEX(SPPR!$E:$X,MATCH($A97,SPPR!$A:$A,0),9)),$C97*INDEX(SPPR!$E:$X,MATCH($A97,SPPR!$A:$A,0),9),""),"")</f>
        <v/>
      </c>
      <c r="M97">
        <f>IFERROR(IF(ISNUMBER(INDEX(SPPR!$E:$X,MATCH($A97,SPPR!$A:$A,0),10)),$C97*INDEX(SPPR!$E:$X,MATCH($A97,SPPR!$A:$A,0),10),""),"")</f>
        <v/>
      </c>
      <c r="N97">
        <f>IFERROR(IF(ISNUMBER(INDEX(SPPR!$E:$X,MATCH($A97,SPPR!$A:$A,0),11)),$C97*INDEX(SPPR!$E:$X,MATCH($A97,SPPR!$A:$A,0),11),""),"")</f>
        <v/>
      </c>
      <c r="O97">
        <f>IFERROR(IF(ISNUMBER(INDEX(SPPR!$E:$X,MATCH($A97,SPPR!$A:$A,0),12)),$C97*INDEX(SPPR!$E:$X,MATCH($A97,SPPR!$A:$A,0),12),""),"")</f>
        <v/>
      </c>
      <c r="P97">
        <f>IFERROR(IF(ISNUMBER(INDEX(SPPR!$E:$X,MATCH($A97,SPPR!$A:$A,0),13)),$C97*INDEX(SPPR!$E:$X,MATCH($A97,SPPR!$A:$A,0),13),""),"")</f>
        <v/>
      </c>
      <c r="Q97">
        <f>IFERROR(IF(ISNUMBER(INDEX(SPPR!$E:$X,MATCH($A97,SPPR!$A:$A,0),14)),$C97*INDEX(SPPR!$E:$X,MATCH($A97,SPPR!$A:$A,0),14),""),"")</f>
        <v/>
      </c>
      <c r="R97">
        <f>IFERROR(IF(ISNUMBER(INDEX(SPPR!$E:$X,MATCH($A97,SPPR!$A:$A,0),15)),$C97*INDEX(SPPR!$E:$X,MATCH($A97,SPPR!$A:$A,0),15),""),"")</f>
        <v/>
      </c>
      <c r="S97">
        <f>IFERROR(IF(ISNUMBER(INDEX(SPPR!$E:$X,MATCH($A97,SPPR!$A:$A,0),16)),$C97*INDEX(SPPR!$E:$X,MATCH($A97,SPPR!$A:$A,0),16),""),"")</f>
        <v/>
      </c>
      <c r="T97">
        <f>IFERROR(IF(ISNUMBER(INDEX(SPPR!$E:$X,MATCH($A97,SPPR!$A:$A,0),17)),$C97*INDEX(SPPR!$E:$X,MATCH($A97,SPPR!$A:$A,0),17),""),"")</f>
        <v/>
      </c>
      <c r="U97">
        <f>IFERROR(IF(ISNUMBER(INDEX(SPPR!$E:$X,MATCH($A97,SPPR!$A:$A,0),18)),$C97*INDEX(SPPR!$E:$X,MATCH($A97,SPPR!$A:$A,0),18),""),"")</f>
        <v/>
      </c>
      <c r="V97">
        <f>IFERROR(IF(ISNUMBER(INDEX(SPPR!$E:$X,MATCH($A97,SPPR!$A:$A,0),19)),$C97*INDEX(SPPR!$E:$X,MATCH($A97,SPPR!$A:$A,0),19),""),"")</f>
        <v/>
      </c>
      <c r="W97">
        <f>IFERROR(IF(ISNUMBER(INDEX(SPPR!$E:$X,MATCH($A97,SPPR!$A:$A,0),20)),$C97*INDEX(SPPR!$E:$X,MATCH($A97,SPPR!$A:$A,0),20),""),"")</f>
        <v/>
      </c>
    </row>
    <row r="98">
      <c r="A98" t="inlineStr">
        <is>
          <t>Scomber australasicus</t>
        </is>
      </c>
      <c r="B98">
        <f>IFERROR(INDEX(SPPR!$D:$D,MATCH($A98,SPPR!$A:$A,0)),"")</f>
        <v/>
      </c>
      <c r="C98">
        <f>IFERROR(INDEX(Catch!$E:$BV,MATCH($A98,Catch!$A:$A,0),MATCH($B$4,Catch!$E$1:$BV$1,0)),0)</f>
        <v/>
      </c>
      <c r="D98">
        <f>IFERROR(IF(ISNUMBER(INDEX(SPPR!$E:$X,MATCH($A98,SPPR!$A:$A,0),1)),$C98*INDEX(SPPR!$E:$X,MATCH($A98,SPPR!$A:$A,0),1),""),"")</f>
        <v/>
      </c>
      <c r="E98">
        <f>IFERROR(IF(ISNUMBER(INDEX(SPPR!$E:$X,MATCH($A98,SPPR!$A:$A,0),2)),$C98*INDEX(SPPR!$E:$X,MATCH($A98,SPPR!$A:$A,0),2),""),"")</f>
        <v/>
      </c>
      <c r="F98">
        <f>IFERROR(IF(ISNUMBER(INDEX(SPPR!$E:$X,MATCH($A98,SPPR!$A:$A,0),3)),$C98*INDEX(SPPR!$E:$X,MATCH($A98,SPPR!$A:$A,0),3),""),"")</f>
        <v/>
      </c>
      <c r="G98">
        <f>IFERROR(IF(ISNUMBER(INDEX(SPPR!$E:$X,MATCH($A98,SPPR!$A:$A,0),4)),$C98*INDEX(SPPR!$E:$X,MATCH($A98,SPPR!$A:$A,0),4),""),"")</f>
        <v/>
      </c>
      <c r="H98">
        <f>IFERROR(IF(ISNUMBER(INDEX(SPPR!$E:$X,MATCH($A98,SPPR!$A:$A,0),5)),$C98*INDEX(SPPR!$E:$X,MATCH($A98,SPPR!$A:$A,0),5),""),"")</f>
        <v/>
      </c>
      <c r="I98">
        <f>IFERROR(IF(ISNUMBER(INDEX(SPPR!$E:$X,MATCH($A98,SPPR!$A:$A,0),6)),$C98*INDEX(SPPR!$E:$X,MATCH($A98,SPPR!$A:$A,0),6),""),"")</f>
        <v/>
      </c>
      <c r="J98">
        <f>IFERROR(IF(ISNUMBER(INDEX(SPPR!$E:$X,MATCH($A98,SPPR!$A:$A,0),7)),$C98*INDEX(SPPR!$E:$X,MATCH($A98,SPPR!$A:$A,0),7),""),"")</f>
        <v/>
      </c>
      <c r="K98">
        <f>IFERROR(IF(ISNUMBER(INDEX(SPPR!$E:$X,MATCH($A98,SPPR!$A:$A,0),8)),$C98*INDEX(SPPR!$E:$X,MATCH($A98,SPPR!$A:$A,0),8),""),"")</f>
        <v/>
      </c>
      <c r="L98">
        <f>IFERROR(IF(ISNUMBER(INDEX(SPPR!$E:$X,MATCH($A98,SPPR!$A:$A,0),9)),$C98*INDEX(SPPR!$E:$X,MATCH($A98,SPPR!$A:$A,0),9),""),"")</f>
        <v/>
      </c>
      <c r="M98">
        <f>IFERROR(IF(ISNUMBER(INDEX(SPPR!$E:$X,MATCH($A98,SPPR!$A:$A,0),10)),$C98*INDEX(SPPR!$E:$X,MATCH($A98,SPPR!$A:$A,0),10),""),"")</f>
        <v/>
      </c>
      <c r="N98">
        <f>IFERROR(IF(ISNUMBER(INDEX(SPPR!$E:$X,MATCH($A98,SPPR!$A:$A,0),11)),$C98*INDEX(SPPR!$E:$X,MATCH($A98,SPPR!$A:$A,0),11),""),"")</f>
        <v/>
      </c>
      <c r="O98">
        <f>IFERROR(IF(ISNUMBER(INDEX(SPPR!$E:$X,MATCH($A98,SPPR!$A:$A,0),12)),$C98*INDEX(SPPR!$E:$X,MATCH($A98,SPPR!$A:$A,0),12),""),"")</f>
        <v/>
      </c>
      <c r="P98">
        <f>IFERROR(IF(ISNUMBER(INDEX(SPPR!$E:$X,MATCH($A98,SPPR!$A:$A,0),13)),$C98*INDEX(SPPR!$E:$X,MATCH($A98,SPPR!$A:$A,0),13),""),"")</f>
        <v/>
      </c>
      <c r="Q98">
        <f>IFERROR(IF(ISNUMBER(INDEX(SPPR!$E:$X,MATCH($A98,SPPR!$A:$A,0),14)),$C98*INDEX(SPPR!$E:$X,MATCH($A98,SPPR!$A:$A,0),14),""),"")</f>
        <v/>
      </c>
      <c r="R98">
        <f>IFERROR(IF(ISNUMBER(INDEX(SPPR!$E:$X,MATCH($A98,SPPR!$A:$A,0),15)),$C98*INDEX(SPPR!$E:$X,MATCH($A98,SPPR!$A:$A,0),15),""),"")</f>
        <v/>
      </c>
      <c r="S98">
        <f>IFERROR(IF(ISNUMBER(INDEX(SPPR!$E:$X,MATCH($A98,SPPR!$A:$A,0),16)),$C98*INDEX(SPPR!$E:$X,MATCH($A98,SPPR!$A:$A,0),16),""),"")</f>
        <v/>
      </c>
      <c r="T98">
        <f>IFERROR(IF(ISNUMBER(INDEX(SPPR!$E:$X,MATCH($A98,SPPR!$A:$A,0),17)),$C98*INDEX(SPPR!$E:$X,MATCH($A98,SPPR!$A:$A,0),17),""),"")</f>
        <v/>
      </c>
      <c r="U98">
        <f>IFERROR(IF(ISNUMBER(INDEX(SPPR!$E:$X,MATCH($A98,SPPR!$A:$A,0),18)),$C98*INDEX(SPPR!$E:$X,MATCH($A98,SPPR!$A:$A,0),18),""),"")</f>
        <v/>
      </c>
      <c r="V98">
        <f>IFERROR(IF(ISNUMBER(INDEX(SPPR!$E:$X,MATCH($A98,SPPR!$A:$A,0),19)),$C98*INDEX(SPPR!$E:$X,MATCH($A98,SPPR!$A:$A,0),19),""),"")</f>
        <v/>
      </c>
      <c r="W98">
        <f>IFERROR(IF(ISNUMBER(INDEX(SPPR!$E:$X,MATCH($A98,SPPR!$A:$A,0),20)),$C98*INDEX(SPPR!$E:$X,MATCH($A98,SPPR!$A:$A,0),20),""),"")</f>
        <v/>
      </c>
    </row>
    <row r="99">
      <c r="A99" t="inlineStr">
        <is>
          <t>Mytilus coruscus</t>
        </is>
      </c>
      <c r="B99">
        <f>IFERROR(INDEX(SPPR!$D:$D,MATCH($A99,SPPR!$A:$A,0)),"")</f>
        <v/>
      </c>
      <c r="C99">
        <f>IFERROR(INDEX(Catch!$E:$BV,MATCH($A99,Catch!$A:$A,0),MATCH($B$4,Catch!$E$1:$BV$1,0)),0)</f>
        <v/>
      </c>
      <c r="D99">
        <f>IFERROR(IF(ISNUMBER(INDEX(SPPR!$E:$X,MATCH($A99,SPPR!$A:$A,0),1)),$C99*INDEX(SPPR!$E:$X,MATCH($A99,SPPR!$A:$A,0),1),""),"")</f>
        <v/>
      </c>
      <c r="E99">
        <f>IFERROR(IF(ISNUMBER(INDEX(SPPR!$E:$X,MATCH($A99,SPPR!$A:$A,0),2)),$C99*INDEX(SPPR!$E:$X,MATCH($A99,SPPR!$A:$A,0),2),""),"")</f>
        <v/>
      </c>
      <c r="F99">
        <f>IFERROR(IF(ISNUMBER(INDEX(SPPR!$E:$X,MATCH($A99,SPPR!$A:$A,0),3)),$C99*INDEX(SPPR!$E:$X,MATCH($A99,SPPR!$A:$A,0),3),""),"")</f>
        <v/>
      </c>
      <c r="G99">
        <f>IFERROR(IF(ISNUMBER(INDEX(SPPR!$E:$X,MATCH($A99,SPPR!$A:$A,0),4)),$C99*INDEX(SPPR!$E:$X,MATCH($A99,SPPR!$A:$A,0),4),""),"")</f>
        <v/>
      </c>
      <c r="H99">
        <f>IFERROR(IF(ISNUMBER(INDEX(SPPR!$E:$X,MATCH($A99,SPPR!$A:$A,0),5)),$C99*INDEX(SPPR!$E:$X,MATCH($A99,SPPR!$A:$A,0),5),""),"")</f>
        <v/>
      </c>
      <c r="I99">
        <f>IFERROR(IF(ISNUMBER(INDEX(SPPR!$E:$X,MATCH($A99,SPPR!$A:$A,0),6)),$C99*INDEX(SPPR!$E:$X,MATCH($A99,SPPR!$A:$A,0),6),""),"")</f>
        <v/>
      </c>
      <c r="J99">
        <f>IFERROR(IF(ISNUMBER(INDEX(SPPR!$E:$X,MATCH($A99,SPPR!$A:$A,0),7)),$C99*INDEX(SPPR!$E:$X,MATCH($A99,SPPR!$A:$A,0),7),""),"")</f>
        <v/>
      </c>
      <c r="K99">
        <f>IFERROR(IF(ISNUMBER(INDEX(SPPR!$E:$X,MATCH($A99,SPPR!$A:$A,0),8)),$C99*INDEX(SPPR!$E:$X,MATCH($A99,SPPR!$A:$A,0),8),""),"")</f>
        <v/>
      </c>
      <c r="L99">
        <f>IFERROR(IF(ISNUMBER(INDEX(SPPR!$E:$X,MATCH($A99,SPPR!$A:$A,0),9)),$C99*INDEX(SPPR!$E:$X,MATCH($A99,SPPR!$A:$A,0),9),""),"")</f>
        <v/>
      </c>
      <c r="M99">
        <f>IFERROR(IF(ISNUMBER(INDEX(SPPR!$E:$X,MATCH($A99,SPPR!$A:$A,0),10)),$C99*INDEX(SPPR!$E:$X,MATCH($A99,SPPR!$A:$A,0),10),""),"")</f>
        <v/>
      </c>
      <c r="N99">
        <f>IFERROR(IF(ISNUMBER(INDEX(SPPR!$E:$X,MATCH($A99,SPPR!$A:$A,0),11)),$C99*INDEX(SPPR!$E:$X,MATCH($A99,SPPR!$A:$A,0),11),""),"")</f>
        <v/>
      </c>
      <c r="O99">
        <f>IFERROR(IF(ISNUMBER(INDEX(SPPR!$E:$X,MATCH($A99,SPPR!$A:$A,0),12)),$C99*INDEX(SPPR!$E:$X,MATCH($A99,SPPR!$A:$A,0),12),""),"")</f>
        <v/>
      </c>
      <c r="P99">
        <f>IFERROR(IF(ISNUMBER(INDEX(SPPR!$E:$X,MATCH($A99,SPPR!$A:$A,0),13)),$C99*INDEX(SPPR!$E:$X,MATCH($A99,SPPR!$A:$A,0),13),""),"")</f>
        <v/>
      </c>
      <c r="Q99">
        <f>IFERROR(IF(ISNUMBER(INDEX(SPPR!$E:$X,MATCH($A99,SPPR!$A:$A,0),14)),$C99*INDEX(SPPR!$E:$X,MATCH($A99,SPPR!$A:$A,0),14),""),"")</f>
        <v/>
      </c>
      <c r="R99">
        <f>IFERROR(IF(ISNUMBER(INDEX(SPPR!$E:$X,MATCH($A99,SPPR!$A:$A,0),15)),$C99*INDEX(SPPR!$E:$X,MATCH($A99,SPPR!$A:$A,0),15),""),"")</f>
        <v/>
      </c>
      <c r="S99">
        <f>IFERROR(IF(ISNUMBER(INDEX(SPPR!$E:$X,MATCH($A99,SPPR!$A:$A,0),16)),$C99*INDEX(SPPR!$E:$X,MATCH($A99,SPPR!$A:$A,0),16),""),"")</f>
        <v/>
      </c>
      <c r="T99">
        <f>IFERROR(IF(ISNUMBER(INDEX(SPPR!$E:$X,MATCH($A99,SPPR!$A:$A,0),17)),$C99*INDEX(SPPR!$E:$X,MATCH($A99,SPPR!$A:$A,0),17),""),"")</f>
        <v/>
      </c>
      <c r="U99">
        <f>IFERROR(IF(ISNUMBER(INDEX(SPPR!$E:$X,MATCH($A99,SPPR!$A:$A,0),18)),$C99*INDEX(SPPR!$E:$X,MATCH($A99,SPPR!$A:$A,0),18),""),"")</f>
        <v/>
      </c>
      <c r="V99">
        <f>IFERROR(IF(ISNUMBER(INDEX(SPPR!$E:$X,MATCH($A99,SPPR!$A:$A,0),19)),$C99*INDEX(SPPR!$E:$X,MATCH($A99,SPPR!$A:$A,0),19),""),"")</f>
        <v/>
      </c>
      <c r="W99">
        <f>IFERROR(IF(ISNUMBER(INDEX(SPPR!$E:$X,MATCH($A99,SPPR!$A:$A,0),20)),$C99*INDEX(SPPR!$E:$X,MATCH($A99,SPPR!$A:$A,0),20),""),"")</f>
        <v/>
      </c>
    </row>
    <row r="100">
      <c r="A100" t="inlineStr">
        <is>
          <t>Atrobucca nibe</t>
        </is>
      </c>
      <c r="B100">
        <f>IFERROR(INDEX(SPPR!$D:$D,MATCH($A100,SPPR!$A:$A,0)),"")</f>
        <v/>
      </c>
      <c r="C100">
        <f>IFERROR(INDEX(Catch!$E:$BV,MATCH($A100,Catch!$A:$A,0),MATCH($B$4,Catch!$E$1:$BV$1,0)),0)</f>
        <v/>
      </c>
      <c r="D100">
        <f>IFERROR(IF(ISNUMBER(INDEX(SPPR!$E:$X,MATCH($A100,SPPR!$A:$A,0),1)),$C100*INDEX(SPPR!$E:$X,MATCH($A100,SPPR!$A:$A,0),1),""),"")</f>
        <v/>
      </c>
      <c r="E100">
        <f>IFERROR(IF(ISNUMBER(INDEX(SPPR!$E:$X,MATCH($A100,SPPR!$A:$A,0),2)),$C100*INDEX(SPPR!$E:$X,MATCH($A100,SPPR!$A:$A,0),2),""),"")</f>
        <v/>
      </c>
      <c r="F100">
        <f>IFERROR(IF(ISNUMBER(INDEX(SPPR!$E:$X,MATCH($A100,SPPR!$A:$A,0),3)),$C100*INDEX(SPPR!$E:$X,MATCH($A100,SPPR!$A:$A,0),3),""),"")</f>
        <v/>
      </c>
      <c r="G100">
        <f>IFERROR(IF(ISNUMBER(INDEX(SPPR!$E:$X,MATCH($A100,SPPR!$A:$A,0),4)),$C100*INDEX(SPPR!$E:$X,MATCH($A100,SPPR!$A:$A,0),4),""),"")</f>
        <v/>
      </c>
      <c r="H100">
        <f>IFERROR(IF(ISNUMBER(INDEX(SPPR!$E:$X,MATCH($A100,SPPR!$A:$A,0),5)),$C100*INDEX(SPPR!$E:$X,MATCH($A100,SPPR!$A:$A,0),5),""),"")</f>
        <v/>
      </c>
      <c r="I100">
        <f>IFERROR(IF(ISNUMBER(INDEX(SPPR!$E:$X,MATCH($A100,SPPR!$A:$A,0),6)),$C100*INDEX(SPPR!$E:$X,MATCH($A100,SPPR!$A:$A,0),6),""),"")</f>
        <v/>
      </c>
      <c r="J100">
        <f>IFERROR(IF(ISNUMBER(INDEX(SPPR!$E:$X,MATCH($A100,SPPR!$A:$A,0),7)),$C100*INDEX(SPPR!$E:$X,MATCH($A100,SPPR!$A:$A,0),7),""),"")</f>
        <v/>
      </c>
      <c r="K100">
        <f>IFERROR(IF(ISNUMBER(INDEX(SPPR!$E:$X,MATCH($A100,SPPR!$A:$A,0),8)),$C100*INDEX(SPPR!$E:$X,MATCH($A100,SPPR!$A:$A,0),8),""),"")</f>
        <v/>
      </c>
      <c r="L100">
        <f>IFERROR(IF(ISNUMBER(INDEX(SPPR!$E:$X,MATCH($A100,SPPR!$A:$A,0),9)),$C100*INDEX(SPPR!$E:$X,MATCH($A100,SPPR!$A:$A,0),9),""),"")</f>
        <v/>
      </c>
      <c r="M100">
        <f>IFERROR(IF(ISNUMBER(INDEX(SPPR!$E:$X,MATCH($A100,SPPR!$A:$A,0),10)),$C100*INDEX(SPPR!$E:$X,MATCH($A100,SPPR!$A:$A,0),10),""),"")</f>
        <v/>
      </c>
      <c r="N100">
        <f>IFERROR(IF(ISNUMBER(INDEX(SPPR!$E:$X,MATCH($A100,SPPR!$A:$A,0),11)),$C100*INDEX(SPPR!$E:$X,MATCH($A100,SPPR!$A:$A,0),11),""),"")</f>
        <v/>
      </c>
      <c r="O100">
        <f>IFERROR(IF(ISNUMBER(INDEX(SPPR!$E:$X,MATCH($A100,SPPR!$A:$A,0),12)),$C100*INDEX(SPPR!$E:$X,MATCH($A100,SPPR!$A:$A,0),12),""),"")</f>
        <v/>
      </c>
      <c r="P100">
        <f>IFERROR(IF(ISNUMBER(INDEX(SPPR!$E:$X,MATCH($A100,SPPR!$A:$A,0),13)),$C100*INDEX(SPPR!$E:$X,MATCH($A100,SPPR!$A:$A,0),13),""),"")</f>
        <v/>
      </c>
      <c r="Q100">
        <f>IFERROR(IF(ISNUMBER(INDEX(SPPR!$E:$X,MATCH($A100,SPPR!$A:$A,0),14)),$C100*INDEX(SPPR!$E:$X,MATCH($A100,SPPR!$A:$A,0),14),""),"")</f>
        <v/>
      </c>
      <c r="R100">
        <f>IFERROR(IF(ISNUMBER(INDEX(SPPR!$E:$X,MATCH($A100,SPPR!$A:$A,0),15)),$C100*INDEX(SPPR!$E:$X,MATCH($A100,SPPR!$A:$A,0),15),""),"")</f>
        <v/>
      </c>
      <c r="S100">
        <f>IFERROR(IF(ISNUMBER(INDEX(SPPR!$E:$X,MATCH($A100,SPPR!$A:$A,0),16)),$C100*INDEX(SPPR!$E:$X,MATCH($A100,SPPR!$A:$A,0),16),""),"")</f>
        <v/>
      </c>
      <c r="T100">
        <f>IFERROR(IF(ISNUMBER(INDEX(SPPR!$E:$X,MATCH($A100,SPPR!$A:$A,0),17)),$C100*INDEX(SPPR!$E:$X,MATCH($A100,SPPR!$A:$A,0),17),""),"")</f>
        <v/>
      </c>
      <c r="U100">
        <f>IFERROR(IF(ISNUMBER(INDEX(SPPR!$E:$X,MATCH($A100,SPPR!$A:$A,0),18)),$C100*INDEX(SPPR!$E:$X,MATCH($A100,SPPR!$A:$A,0),18),""),"")</f>
        <v/>
      </c>
      <c r="V100">
        <f>IFERROR(IF(ISNUMBER(INDEX(SPPR!$E:$X,MATCH($A100,SPPR!$A:$A,0),19)),$C100*INDEX(SPPR!$E:$X,MATCH($A100,SPPR!$A:$A,0),19),""),"")</f>
        <v/>
      </c>
      <c r="W100">
        <f>IFERROR(IF(ISNUMBER(INDEX(SPPR!$E:$X,MATCH($A100,SPPR!$A:$A,0),20)),$C100*INDEX(SPPR!$E:$X,MATCH($A100,SPPR!$A:$A,0),20),""),"")</f>
        <v/>
      </c>
    </row>
    <row r="101">
      <c r="A101" t="inlineStr">
        <is>
          <t>Spratelloides gracilis</t>
        </is>
      </c>
      <c r="B101">
        <f>IFERROR(INDEX(SPPR!$D:$D,MATCH($A101,SPPR!$A:$A,0)),"")</f>
        <v/>
      </c>
      <c r="C101">
        <f>IFERROR(INDEX(Catch!$E:$BV,MATCH($A101,Catch!$A:$A,0),MATCH($B$4,Catch!$E$1:$BV$1,0)),0)</f>
        <v/>
      </c>
      <c r="D101">
        <f>IFERROR(IF(ISNUMBER(INDEX(SPPR!$E:$X,MATCH($A101,SPPR!$A:$A,0),1)),$C101*INDEX(SPPR!$E:$X,MATCH($A101,SPPR!$A:$A,0),1),""),"")</f>
        <v/>
      </c>
      <c r="E101">
        <f>IFERROR(IF(ISNUMBER(INDEX(SPPR!$E:$X,MATCH($A101,SPPR!$A:$A,0),2)),$C101*INDEX(SPPR!$E:$X,MATCH($A101,SPPR!$A:$A,0),2),""),"")</f>
        <v/>
      </c>
      <c r="F101">
        <f>IFERROR(IF(ISNUMBER(INDEX(SPPR!$E:$X,MATCH($A101,SPPR!$A:$A,0),3)),$C101*INDEX(SPPR!$E:$X,MATCH($A101,SPPR!$A:$A,0),3),""),"")</f>
        <v/>
      </c>
      <c r="G101">
        <f>IFERROR(IF(ISNUMBER(INDEX(SPPR!$E:$X,MATCH($A101,SPPR!$A:$A,0),4)),$C101*INDEX(SPPR!$E:$X,MATCH($A101,SPPR!$A:$A,0),4),""),"")</f>
        <v/>
      </c>
      <c r="H101">
        <f>IFERROR(IF(ISNUMBER(INDEX(SPPR!$E:$X,MATCH($A101,SPPR!$A:$A,0),5)),$C101*INDEX(SPPR!$E:$X,MATCH($A101,SPPR!$A:$A,0),5),""),"")</f>
        <v/>
      </c>
      <c r="I101">
        <f>IFERROR(IF(ISNUMBER(INDEX(SPPR!$E:$X,MATCH($A101,SPPR!$A:$A,0),6)),$C101*INDEX(SPPR!$E:$X,MATCH($A101,SPPR!$A:$A,0),6),""),"")</f>
        <v/>
      </c>
      <c r="J101">
        <f>IFERROR(IF(ISNUMBER(INDEX(SPPR!$E:$X,MATCH($A101,SPPR!$A:$A,0),7)),$C101*INDEX(SPPR!$E:$X,MATCH($A101,SPPR!$A:$A,0),7),""),"")</f>
        <v/>
      </c>
      <c r="K101">
        <f>IFERROR(IF(ISNUMBER(INDEX(SPPR!$E:$X,MATCH($A101,SPPR!$A:$A,0),8)),$C101*INDEX(SPPR!$E:$X,MATCH($A101,SPPR!$A:$A,0),8),""),"")</f>
        <v/>
      </c>
      <c r="L101">
        <f>IFERROR(IF(ISNUMBER(INDEX(SPPR!$E:$X,MATCH($A101,SPPR!$A:$A,0),9)),$C101*INDEX(SPPR!$E:$X,MATCH($A101,SPPR!$A:$A,0),9),""),"")</f>
        <v/>
      </c>
      <c r="M101">
        <f>IFERROR(IF(ISNUMBER(INDEX(SPPR!$E:$X,MATCH($A101,SPPR!$A:$A,0),10)),$C101*INDEX(SPPR!$E:$X,MATCH($A101,SPPR!$A:$A,0),10),""),"")</f>
        <v/>
      </c>
      <c r="N101">
        <f>IFERROR(IF(ISNUMBER(INDEX(SPPR!$E:$X,MATCH($A101,SPPR!$A:$A,0),11)),$C101*INDEX(SPPR!$E:$X,MATCH($A101,SPPR!$A:$A,0),11),""),"")</f>
        <v/>
      </c>
      <c r="O101">
        <f>IFERROR(IF(ISNUMBER(INDEX(SPPR!$E:$X,MATCH($A101,SPPR!$A:$A,0),12)),$C101*INDEX(SPPR!$E:$X,MATCH($A101,SPPR!$A:$A,0),12),""),"")</f>
        <v/>
      </c>
      <c r="P101">
        <f>IFERROR(IF(ISNUMBER(INDEX(SPPR!$E:$X,MATCH($A101,SPPR!$A:$A,0),13)),$C101*INDEX(SPPR!$E:$X,MATCH($A101,SPPR!$A:$A,0),13),""),"")</f>
        <v/>
      </c>
      <c r="Q101">
        <f>IFERROR(IF(ISNUMBER(INDEX(SPPR!$E:$X,MATCH($A101,SPPR!$A:$A,0),14)),$C101*INDEX(SPPR!$E:$X,MATCH($A101,SPPR!$A:$A,0),14),""),"")</f>
        <v/>
      </c>
      <c r="R101">
        <f>IFERROR(IF(ISNUMBER(INDEX(SPPR!$E:$X,MATCH($A101,SPPR!$A:$A,0),15)),$C101*INDEX(SPPR!$E:$X,MATCH($A101,SPPR!$A:$A,0),15),""),"")</f>
        <v/>
      </c>
      <c r="S101">
        <f>IFERROR(IF(ISNUMBER(INDEX(SPPR!$E:$X,MATCH($A101,SPPR!$A:$A,0),16)),$C101*INDEX(SPPR!$E:$X,MATCH($A101,SPPR!$A:$A,0),16),""),"")</f>
        <v/>
      </c>
      <c r="T101">
        <f>IFERROR(IF(ISNUMBER(INDEX(SPPR!$E:$X,MATCH($A101,SPPR!$A:$A,0),17)),$C101*INDEX(SPPR!$E:$X,MATCH($A101,SPPR!$A:$A,0),17),""),"")</f>
        <v/>
      </c>
      <c r="U101">
        <f>IFERROR(IF(ISNUMBER(INDEX(SPPR!$E:$X,MATCH($A101,SPPR!$A:$A,0),18)),$C101*INDEX(SPPR!$E:$X,MATCH($A101,SPPR!$A:$A,0),18),""),"")</f>
        <v/>
      </c>
      <c r="V101">
        <f>IFERROR(IF(ISNUMBER(INDEX(SPPR!$E:$X,MATCH($A101,SPPR!$A:$A,0),19)),$C101*INDEX(SPPR!$E:$X,MATCH($A101,SPPR!$A:$A,0),19),""),"")</f>
        <v/>
      </c>
      <c r="W101">
        <f>IFERROR(IF(ISNUMBER(INDEX(SPPR!$E:$X,MATCH($A101,SPPR!$A:$A,0),20)),$C101*INDEX(SPPR!$E:$X,MATCH($A101,SPPR!$A:$A,0),20),""),"")</f>
        <v/>
      </c>
    </row>
    <row r="102">
      <c r="A102" t="inlineStr">
        <is>
          <t>Ruvettus pretiosus</t>
        </is>
      </c>
      <c r="B102">
        <f>IFERROR(INDEX(SPPR!$D:$D,MATCH($A102,SPPR!$A:$A,0)),"")</f>
        <v/>
      </c>
      <c r="C102">
        <f>IFERROR(INDEX(Catch!$E:$BV,MATCH($A102,Catch!$A:$A,0),MATCH($B$4,Catch!$E$1:$BV$1,0)),0)</f>
        <v/>
      </c>
      <c r="D102">
        <f>IFERROR(IF(ISNUMBER(INDEX(SPPR!$E:$X,MATCH($A102,SPPR!$A:$A,0),1)),$C102*INDEX(SPPR!$E:$X,MATCH($A102,SPPR!$A:$A,0),1),""),"")</f>
        <v/>
      </c>
      <c r="E102">
        <f>IFERROR(IF(ISNUMBER(INDEX(SPPR!$E:$X,MATCH($A102,SPPR!$A:$A,0),2)),$C102*INDEX(SPPR!$E:$X,MATCH($A102,SPPR!$A:$A,0),2),""),"")</f>
        <v/>
      </c>
      <c r="F102">
        <f>IFERROR(IF(ISNUMBER(INDEX(SPPR!$E:$X,MATCH($A102,SPPR!$A:$A,0),3)),$C102*INDEX(SPPR!$E:$X,MATCH($A102,SPPR!$A:$A,0),3),""),"")</f>
        <v/>
      </c>
      <c r="G102">
        <f>IFERROR(IF(ISNUMBER(INDEX(SPPR!$E:$X,MATCH($A102,SPPR!$A:$A,0),4)),$C102*INDEX(SPPR!$E:$X,MATCH($A102,SPPR!$A:$A,0),4),""),"")</f>
        <v/>
      </c>
      <c r="H102">
        <f>IFERROR(IF(ISNUMBER(INDEX(SPPR!$E:$X,MATCH($A102,SPPR!$A:$A,0),5)),$C102*INDEX(SPPR!$E:$X,MATCH($A102,SPPR!$A:$A,0),5),""),"")</f>
        <v/>
      </c>
      <c r="I102">
        <f>IFERROR(IF(ISNUMBER(INDEX(SPPR!$E:$X,MATCH($A102,SPPR!$A:$A,0),6)),$C102*INDEX(SPPR!$E:$X,MATCH($A102,SPPR!$A:$A,0),6),""),"")</f>
        <v/>
      </c>
      <c r="J102">
        <f>IFERROR(IF(ISNUMBER(INDEX(SPPR!$E:$X,MATCH($A102,SPPR!$A:$A,0),7)),$C102*INDEX(SPPR!$E:$X,MATCH($A102,SPPR!$A:$A,0),7),""),"")</f>
        <v/>
      </c>
      <c r="K102">
        <f>IFERROR(IF(ISNUMBER(INDEX(SPPR!$E:$X,MATCH($A102,SPPR!$A:$A,0),8)),$C102*INDEX(SPPR!$E:$X,MATCH($A102,SPPR!$A:$A,0),8),""),"")</f>
        <v/>
      </c>
      <c r="L102">
        <f>IFERROR(IF(ISNUMBER(INDEX(SPPR!$E:$X,MATCH($A102,SPPR!$A:$A,0),9)),$C102*INDEX(SPPR!$E:$X,MATCH($A102,SPPR!$A:$A,0),9),""),"")</f>
        <v/>
      </c>
      <c r="M102">
        <f>IFERROR(IF(ISNUMBER(INDEX(SPPR!$E:$X,MATCH($A102,SPPR!$A:$A,0),10)),$C102*INDEX(SPPR!$E:$X,MATCH($A102,SPPR!$A:$A,0),10),""),"")</f>
        <v/>
      </c>
      <c r="N102">
        <f>IFERROR(IF(ISNUMBER(INDEX(SPPR!$E:$X,MATCH($A102,SPPR!$A:$A,0),11)),$C102*INDEX(SPPR!$E:$X,MATCH($A102,SPPR!$A:$A,0),11),""),"")</f>
        <v/>
      </c>
      <c r="O102">
        <f>IFERROR(IF(ISNUMBER(INDEX(SPPR!$E:$X,MATCH($A102,SPPR!$A:$A,0),12)),$C102*INDEX(SPPR!$E:$X,MATCH($A102,SPPR!$A:$A,0),12),""),"")</f>
        <v/>
      </c>
      <c r="P102">
        <f>IFERROR(IF(ISNUMBER(INDEX(SPPR!$E:$X,MATCH($A102,SPPR!$A:$A,0),13)),$C102*INDEX(SPPR!$E:$X,MATCH($A102,SPPR!$A:$A,0),13),""),"")</f>
        <v/>
      </c>
      <c r="Q102">
        <f>IFERROR(IF(ISNUMBER(INDEX(SPPR!$E:$X,MATCH($A102,SPPR!$A:$A,0),14)),$C102*INDEX(SPPR!$E:$X,MATCH($A102,SPPR!$A:$A,0),14),""),"")</f>
        <v/>
      </c>
      <c r="R102">
        <f>IFERROR(IF(ISNUMBER(INDEX(SPPR!$E:$X,MATCH($A102,SPPR!$A:$A,0),15)),$C102*INDEX(SPPR!$E:$X,MATCH($A102,SPPR!$A:$A,0),15),""),"")</f>
        <v/>
      </c>
      <c r="S102">
        <f>IFERROR(IF(ISNUMBER(INDEX(SPPR!$E:$X,MATCH($A102,SPPR!$A:$A,0),16)),$C102*INDEX(SPPR!$E:$X,MATCH($A102,SPPR!$A:$A,0),16),""),"")</f>
        <v/>
      </c>
      <c r="T102">
        <f>IFERROR(IF(ISNUMBER(INDEX(SPPR!$E:$X,MATCH($A102,SPPR!$A:$A,0),17)),$C102*INDEX(SPPR!$E:$X,MATCH($A102,SPPR!$A:$A,0),17),""),"")</f>
        <v/>
      </c>
      <c r="U102">
        <f>IFERROR(IF(ISNUMBER(INDEX(SPPR!$E:$X,MATCH($A102,SPPR!$A:$A,0),18)),$C102*INDEX(SPPR!$E:$X,MATCH($A102,SPPR!$A:$A,0),18),""),"")</f>
        <v/>
      </c>
      <c r="V102">
        <f>IFERROR(IF(ISNUMBER(INDEX(SPPR!$E:$X,MATCH($A102,SPPR!$A:$A,0),19)),$C102*INDEX(SPPR!$E:$X,MATCH($A102,SPPR!$A:$A,0),19),""),"")</f>
        <v/>
      </c>
      <c r="W102">
        <f>IFERROR(IF(ISNUMBER(INDEX(SPPR!$E:$X,MATCH($A102,SPPR!$A:$A,0),20)),$C102*INDEX(SPPR!$E:$X,MATCH($A102,SPPR!$A:$A,0),20),""),"")</f>
        <v/>
      </c>
    </row>
    <row r="103">
      <c r="A103" t="inlineStr">
        <is>
          <t>Lutjanidae</t>
        </is>
      </c>
      <c r="B103">
        <f>IFERROR(INDEX(SPPR!$D:$D,MATCH($A103,SPPR!$A:$A,0)),"")</f>
        <v/>
      </c>
      <c r="C103">
        <f>IFERROR(INDEX(Catch!$E:$BV,MATCH($A103,Catch!$A:$A,0),MATCH($B$4,Catch!$E$1:$BV$1,0)),0)</f>
        <v/>
      </c>
      <c r="D103">
        <f>IFERROR(IF(ISNUMBER(INDEX(SPPR!$E:$X,MATCH($A103,SPPR!$A:$A,0),1)),$C103*INDEX(SPPR!$E:$X,MATCH($A103,SPPR!$A:$A,0),1),""),"")</f>
        <v/>
      </c>
      <c r="E103">
        <f>IFERROR(IF(ISNUMBER(INDEX(SPPR!$E:$X,MATCH($A103,SPPR!$A:$A,0),2)),$C103*INDEX(SPPR!$E:$X,MATCH($A103,SPPR!$A:$A,0),2),""),"")</f>
        <v/>
      </c>
      <c r="F103">
        <f>IFERROR(IF(ISNUMBER(INDEX(SPPR!$E:$X,MATCH($A103,SPPR!$A:$A,0),3)),$C103*INDEX(SPPR!$E:$X,MATCH($A103,SPPR!$A:$A,0),3),""),"")</f>
        <v/>
      </c>
      <c r="G103">
        <f>IFERROR(IF(ISNUMBER(INDEX(SPPR!$E:$X,MATCH($A103,SPPR!$A:$A,0),4)),$C103*INDEX(SPPR!$E:$X,MATCH($A103,SPPR!$A:$A,0),4),""),"")</f>
        <v/>
      </c>
      <c r="H103">
        <f>IFERROR(IF(ISNUMBER(INDEX(SPPR!$E:$X,MATCH($A103,SPPR!$A:$A,0),5)),$C103*INDEX(SPPR!$E:$X,MATCH($A103,SPPR!$A:$A,0),5),""),"")</f>
        <v/>
      </c>
      <c r="I103">
        <f>IFERROR(IF(ISNUMBER(INDEX(SPPR!$E:$X,MATCH($A103,SPPR!$A:$A,0),6)),$C103*INDEX(SPPR!$E:$X,MATCH($A103,SPPR!$A:$A,0),6),""),"")</f>
        <v/>
      </c>
      <c r="J103">
        <f>IFERROR(IF(ISNUMBER(INDEX(SPPR!$E:$X,MATCH($A103,SPPR!$A:$A,0),7)),$C103*INDEX(SPPR!$E:$X,MATCH($A103,SPPR!$A:$A,0),7),""),"")</f>
        <v/>
      </c>
      <c r="K103">
        <f>IFERROR(IF(ISNUMBER(INDEX(SPPR!$E:$X,MATCH($A103,SPPR!$A:$A,0),8)),$C103*INDEX(SPPR!$E:$X,MATCH($A103,SPPR!$A:$A,0),8),""),"")</f>
        <v/>
      </c>
      <c r="L103">
        <f>IFERROR(IF(ISNUMBER(INDEX(SPPR!$E:$X,MATCH($A103,SPPR!$A:$A,0),9)),$C103*INDEX(SPPR!$E:$X,MATCH($A103,SPPR!$A:$A,0),9),""),"")</f>
        <v/>
      </c>
      <c r="M103">
        <f>IFERROR(IF(ISNUMBER(INDEX(SPPR!$E:$X,MATCH($A103,SPPR!$A:$A,0),10)),$C103*INDEX(SPPR!$E:$X,MATCH($A103,SPPR!$A:$A,0),10),""),"")</f>
        <v/>
      </c>
      <c r="N103">
        <f>IFERROR(IF(ISNUMBER(INDEX(SPPR!$E:$X,MATCH($A103,SPPR!$A:$A,0),11)),$C103*INDEX(SPPR!$E:$X,MATCH($A103,SPPR!$A:$A,0),11),""),"")</f>
        <v/>
      </c>
      <c r="O103">
        <f>IFERROR(IF(ISNUMBER(INDEX(SPPR!$E:$X,MATCH($A103,SPPR!$A:$A,0),12)),$C103*INDEX(SPPR!$E:$X,MATCH($A103,SPPR!$A:$A,0),12),""),"")</f>
        <v/>
      </c>
      <c r="P103">
        <f>IFERROR(IF(ISNUMBER(INDEX(SPPR!$E:$X,MATCH($A103,SPPR!$A:$A,0),13)),$C103*INDEX(SPPR!$E:$X,MATCH($A103,SPPR!$A:$A,0),13),""),"")</f>
        <v/>
      </c>
      <c r="Q103">
        <f>IFERROR(IF(ISNUMBER(INDEX(SPPR!$E:$X,MATCH($A103,SPPR!$A:$A,0),14)),$C103*INDEX(SPPR!$E:$X,MATCH($A103,SPPR!$A:$A,0),14),""),"")</f>
        <v/>
      </c>
      <c r="R103">
        <f>IFERROR(IF(ISNUMBER(INDEX(SPPR!$E:$X,MATCH($A103,SPPR!$A:$A,0),15)),$C103*INDEX(SPPR!$E:$X,MATCH($A103,SPPR!$A:$A,0),15),""),"")</f>
        <v/>
      </c>
      <c r="S103">
        <f>IFERROR(IF(ISNUMBER(INDEX(SPPR!$E:$X,MATCH($A103,SPPR!$A:$A,0),16)),$C103*INDEX(SPPR!$E:$X,MATCH($A103,SPPR!$A:$A,0),16),""),"")</f>
        <v/>
      </c>
      <c r="T103">
        <f>IFERROR(IF(ISNUMBER(INDEX(SPPR!$E:$X,MATCH($A103,SPPR!$A:$A,0),17)),$C103*INDEX(SPPR!$E:$X,MATCH($A103,SPPR!$A:$A,0),17),""),"")</f>
        <v/>
      </c>
      <c r="U103">
        <f>IFERROR(IF(ISNUMBER(INDEX(SPPR!$E:$X,MATCH($A103,SPPR!$A:$A,0),18)),$C103*INDEX(SPPR!$E:$X,MATCH($A103,SPPR!$A:$A,0),18),""),"")</f>
        <v/>
      </c>
      <c r="V103">
        <f>IFERROR(IF(ISNUMBER(INDEX(SPPR!$E:$X,MATCH($A103,SPPR!$A:$A,0),19)),$C103*INDEX(SPPR!$E:$X,MATCH($A103,SPPR!$A:$A,0),19),""),"")</f>
        <v/>
      </c>
      <c r="W103">
        <f>IFERROR(IF(ISNUMBER(INDEX(SPPR!$E:$X,MATCH($A103,SPPR!$A:$A,0),20)),$C103*INDEX(SPPR!$E:$X,MATCH($A103,SPPR!$A:$A,0),20),""),"")</f>
        <v/>
      </c>
    </row>
    <row r="104">
      <c r="A104" t="inlineStr">
        <is>
          <t>Sebastidae</t>
        </is>
      </c>
      <c r="B104">
        <f>IFERROR(INDEX(SPPR!$D:$D,MATCH($A104,SPPR!$A:$A,0)),"")</f>
        <v/>
      </c>
      <c r="C104">
        <f>IFERROR(INDEX(Catch!$E:$BV,MATCH($A104,Catch!$A:$A,0),MATCH($B$4,Catch!$E$1:$BV$1,0)),0)</f>
        <v/>
      </c>
      <c r="D104">
        <f>IFERROR(IF(ISNUMBER(INDEX(SPPR!$E:$X,MATCH($A104,SPPR!$A:$A,0),1)),$C104*INDEX(SPPR!$E:$X,MATCH($A104,SPPR!$A:$A,0),1),""),"")</f>
        <v/>
      </c>
      <c r="E104">
        <f>IFERROR(IF(ISNUMBER(INDEX(SPPR!$E:$X,MATCH($A104,SPPR!$A:$A,0),2)),$C104*INDEX(SPPR!$E:$X,MATCH($A104,SPPR!$A:$A,0),2),""),"")</f>
        <v/>
      </c>
      <c r="F104">
        <f>IFERROR(IF(ISNUMBER(INDEX(SPPR!$E:$X,MATCH($A104,SPPR!$A:$A,0),3)),$C104*INDEX(SPPR!$E:$X,MATCH($A104,SPPR!$A:$A,0),3),""),"")</f>
        <v/>
      </c>
      <c r="G104">
        <f>IFERROR(IF(ISNUMBER(INDEX(SPPR!$E:$X,MATCH($A104,SPPR!$A:$A,0),4)),$C104*INDEX(SPPR!$E:$X,MATCH($A104,SPPR!$A:$A,0),4),""),"")</f>
        <v/>
      </c>
      <c r="H104">
        <f>IFERROR(IF(ISNUMBER(INDEX(SPPR!$E:$X,MATCH($A104,SPPR!$A:$A,0),5)),$C104*INDEX(SPPR!$E:$X,MATCH($A104,SPPR!$A:$A,0),5),""),"")</f>
        <v/>
      </c>
      <c r="I104">
        <f>IFERROR(IF(ISNUMBER(INDEX(SPPR!$E:$X,MATCH($A104,SPPR!$A:$A,0),6)),$C104*INDEX(SPPR!$E:$X,MATCH($A104,SPPR!$A:$A,0),6),""),"")</f>
        <v/>
      </c>
      <c r="J104">
        <f>IFERROR(IF(ISNUMBER(INDEX(SPPR!$E:$X,MATCH($A104,SPPR!$A:$A,0),7)),$C104*INDEX(SPPR!$E:$X,MATCH($A104,SPPR!$A:$A,0),7),""),"")</f>
        <v/>
      </c>
      <c r="K104">
        <f>IFERROR(IF(ISNUMBER(INDEX(SPPR!$E:$X,MATCH($A104,SPPR!$A:$A,0),8)),$C104*INDEX(SPPR!$E:$X,MATCH($A104,SPPR!$A:$A,0),8),""),"")</f>
        <v/>
      </c>
      <c r="L104">
        <f>IFERROR(IF(ISNUMBER(INDEX(SPPR!$E:$X,MATCH($A104,SPPR!$A:$A,0),9)),$C104*INDEX(SPPR!$E:$X,MATCH($A104,SPPR!$A:$A,0),9),""),"")</f>
        <v/>
      </c>
      <c r="M104">
        <f>IFERROR(IF(ISNUMBER(INDEX(SPPR!$E:$X,MATCH($A104,SPPR!$A:$A,0),10)),$C104*INDEX(SPPR!$E:$X,MATCH($A104,SPPR!$A:$A,0),10),""),"")</f>
        <v/>
      </c>
      <c r="N104">
        <f>IFERROR(IF(ISNUMBER(INDEX(SPPR!$E:$X,MATCH($A104,SPPR!$A:$A,0),11)),$C104*INDEX(SPPR!$E:$X,MATCH($A104,SPPR!$A:$A,0),11),""),"")</f>
        <v/>
      </c>
      <c r="O104">
        <f>IFERROR(IF(ISNUMBER(INDEX(SPPR!$E:$X,MATCH($A104,SPPR!$A:$A,0),12)),$C104*INDEX(SPPR!$E:$X,MATCH($A104,SPPR!$A:$A,0),12),""),"")</f>
        <v/>
      </c>
      <c r="P104">
        <f>IFERROR(IF(ISNUMBER(INDEX(SPPR!$E:$X,MATCH($A104,SPPR!$A:$A,0),13)),$C104*INDEX(SPPR!$E:$X,MATCH($A104,SPPR!$A:$A,0),13),""),"")</f>
        <v/>
      </c>
      <c r="Q104">
        <f>IFERROR(IF(ISNUMBER(INDEX(SPPR!$E:$X,MATCH($A104,SPPR!$A:$A,0),14)),$C104*INDEX(SPPR!$E:$X,MATCH($A104,SPPR!$A:$A,0),14),""),"")</f>
        <v/>
      </c>
      <c r="R104">
        <f>IFERROR(IF(ISNUMBER(INDEX(SPPR!$E:$X,MATCH($A104,SPPR!$A:$A,0),15)),$C104*INDEX(SPPR!$E:$X,MATCH($A104,SPPR!$A:$A,0),15),""),"")</f>
        <v/>
      </c>
      <c r="S104">
        <f>IFERROR(IF(ISNUMBER(INDEX(SPPR!$E:$X,MATCH($A104,SPPR!$A:$A,0),16)),$C104*INDEX(SPPR!$E:$X,MATCH($A104,SPPR!$A:$A,0),16),""),"")</f>
        <v/>
      </c>
      <c r="T104">
        <f>IFERROR(IF(ISNUMBER(INDEX(SPPR!$E:$X,MATCH($A104,SPPR!$A:$A,0),17)),$C104*INDEX(SPPR!$E:$X,MATCH($A104,SPPR!$A:$A,0),17),""),"")</f>
        <v/>
      </c>
      <c r="U104">
        <f>IFERROR(IF(ISNUMBER(INDEX(SPPR!$E:$X,MATCH($A104,SPPR!$A:$A,0),18)),$C104*INDEX(SPPR!$E:$X,MATCH($A104,SPPR!$A:$A,0),18),""),"")</f>
        <v/>
      </c>
      <c r="V104">
        <f>IFERROR(IF(ISNUMBER(INDEX(SPPR!$E:$X,MATCH($A104,SPPR!$A:$A,0),19)),$C104*INDEX(SPPR!$E:$X,MATCH($A104,SPPR!$A:$A,0),19),""),"")</f>
        <v/>
      </c>
      <c r="W104">
        <f>IFERROR(IF(ISNUMBER(INDEX(SPPR!$E:$X,MATCH($A104,SPPR!$A:$A,0),20)),$C104*INDEX(SPPR!$E:$X,MATCH($A104,SPPR!$A:$A,0),20),""),"")</f>
        <v/>
      </c>
    </row>
    <row r="105">
      <c r="A105" t="inlineStr">
        <is>
          <t>Pleurogrammus azonus</t>
        </is>
      </c>
      <c r="B105">
        <f>IFERROR(INDEX(SPPR!$D:$D,MATCH($A105,SPPR!$A:$A,0)),"")</f>
        <v/>
      </c>
      <c r="C105">
        <f>IFERROR(INDEX(Catch!$E:$BV,MATCH($A105,Catch!$A:$A,0),MATCH($B$4,Catch!$E$1:$BV$1,0)),0)</f>
        <v/>
      </c>
      <c r="D105">
        <f>IFERROR(IF(ISNUMBER(INDEX(SPPR!$E:$X,MATCH($A105,SPPR!$A:$A,0),1)),$C105*INDEX(SPPR!$E:$X,MATCH($A105,SPPR!$A:$A,0),1),""),"")</f>
        <v/>
      </c>
      <c r="E105">
        <f>IFERROR(IF(ISNUMBER(INDEX(SPPR!$E:$X,MATCH($A105,SPPR!$A:$A,0),2)),$C105*INDEX(SPPR!$E:$X,MATCH($A105,SPPR!$A:$A,0),2),""),"")</f>
        <v/>
      </c>
      <c r="F105">
        <f>IFERROR(IF(ISNUMBER(INDEX(SPPR!$E:$X,MATCH($A105,SPPR!$A:$A,0),3)),$C105*INDEX(SPPR!$E:$X,MATCH($A105,SPPR!$A:$A,0),3),""),"")</f>
        <v/>
      </c>
      <c r="G105">
        <f>IFERROR(IF(ISNUMBER(INDEX(SPPR!$E:$X,MATCH($A105,SPPR!$A:$A,0),4)),$C105*INDEX(SPPR!$E:$X,MATCH($A105,SPPR!$A:$A,0),4),""),"")</f>
        <v/>
      </c>
      <c r="H105">
        <f>IFERROR(IF(ISNUMBER(INDEX(SPPR!$E:$X,MATCH($A105,SPPR!$A:$A,0),5)),$C105*INDEX(SPPR!$E:$X,MATCH($A105,SPPR!$A:$A,0),5),""),"")</f>
        <v/>
      </c>
      <c r="I105">
        <f>IFERROR(IF(ISNUMBER(INDEX(SPPR!$E:$X,MATCH($A105,SPPR!$A:$A,0),6)),$C105*INDEX(SPPR!$E:$X,MATCH($A105,SPPR!$A:$A,0),6),""),"")</f>
        <v/>
      </c>
      <c r="J105">
        <f>IFERROR(IF(ISNUMBER(INDEX(SPPR!$E:$X,MATCH($A105,SPPR!$A:$A,0),7)),$C105*INDEX(SPPR!$E:$X,MATCH($A105,SPPR!$A:$A,0),7),""),"")</f>
        <v/>
      </c>
      <c r="K105">
        <f>IFERROR(IF(ISNUMBER(INDEX(SPPR!$E:$X,MATCH($A105,SPPR!$A:$A,0),8)),$C105*INDEX(SPPR!$E:$X,MATCH($A105,SPPR!$A:$A,0),8),""),"")</f>
        <v/>
      </c>
      <c r="L105">
        <f>IFERROR(IF(ISNUMBER(INDEX(SPPR!$E:$X,MATCH($A105,SPPR!$A:$A,0),9)),$C105*INDEX(SPPR!$E:$X,MATCH($A105,SPPR!$A:$A,0),9),""),"")</f>
        <v/>
      </c>
      <c r="M105">
        <f>IFERROR(IF(ISNUMBER(INDEX(SPPR!$E:$X,MATCH($A105,SPPR!$A:$A,0),10)),$C105*INDEX(SPPR!$E:$X,MATCH($A105,SPPR!$A:$A,0),10),""),"")</f>
        <v/>
      </c>
      <c r="N105">
        <f>IFERROR(IF(ISNUMBER(INDEX(SPPR!$E:$X,MATCH($A105,SPPR!$A:$A,0),11)),$C105*INDEX(SPPR!$E:$X,MATCH($A105,SPPR!$A:$A,0),11),""),"")</f>
        <v/>
      </c>
      <c r="O105">
        <f>IFERROR(IF(ISNUMBER(INDEX(SPPR!$E:$X,MATCH($A105,SPPR!$A:$A,0),12)),$C105*INDEX(SPPR!$E:$X,MATCH($A105,SPPR!$A:$A,0),12),""),"")</f>
        <v/>
      </c>
      <c r="P105">
        <f>IFERROR(IF(ISNUMBER(INDEX(SPPR!$E:$X,MATCH($A105,SPPR!$A:$A,0),13)),$C105*INDEX(SPPR!$E:$X,MATCH($A105,SPPR!$A:$A,0),13),""),"")</f>
        <v/>
      </c>
      <c r="Q105">
        <f>IFERROR(IF(ISNUMBER(INDEX(SPPR!$E:$X,MATCH($A105,SPPR!$A:$A,0),14)),$C105*INDEX(SPPR!$E:$X,MATCH($A105,SPPR!$A:$A,0),14),""),"")</f>
        <v/>
      </c>
      <c r="R105">
        <f>IFERROR(IF(ISNUMBER(INDEX(SPPR!$E:$X,MATCH($A105,SPPR!$A:$A,0),15)),$C105*INDEX(SPPR!$E:$X,MATCH($A105,SPPR!$A:$A,0),15),""),"")</f>
        <v/>
      </c>
      <c r="S105">
        <f>IFERROR(IF(ISNUMBER(INDEX(SPPR!$E:$X,MATCH($A105,SPPR!$A:$A,0),16)),$C105*INDEX(SPPR!$E:$X,MATCH($A105,SPPR!$A:$A,0),16),""),"")</f>
        <v/>
      </c>
      <c r="T105">
        <f>IFERROR(IF(ISNUMBER(INDEX(SPPR!$E:$X,MATCH($A105,SPPR!$A:$A,0),17)),$C105*INDEX(SPPR!$E:$X,MATCH($A105,SPPR!$A:$A,0),17),""),"")</f>
        <v/>
      </c>
      <c r="U105">
        <f>IFERROR(IF(ISNUMBER(INDEX(SPPR!$E:$X,MATCH($A105,SPPR!$A:$A,0),18)),$C105*INDEX(SPPR!$E:$X,MATCH($A105,SPPR!$A:$A,0),18),""),"")</f>
        <v/>
      </c>
      <c r="V105">
        <f>IFERROR(IF(ISNUMBER(INDEX(SPPR!$E:$X,MATCH($A105,SPPR!$A:$A,0),19)),$C105*INDEX(SPPR!$E:$X,MATCH($A105,SPPR!$A:$A,0),19),""),"")</f>
        <v/>
      </c>
      <c r="W105">
        <f>IFERROR(IF(ISNUMBER(INDEX(SPPR!$E:$X,MATCH($A105,SPPR!$A:$A,0),20)),$C105*INDEX(SPPR!$E:$X,MATCH($A105,SPPR!$A:$A,0),20),""),"")</f>
        <v/>
      </c>
    </row>
    <row r="106">
      <c r="A106" t="inlineStr">
        <is>
          <t>Bathylagidae</t>
        </is>
      </c>
      <c r="B106">
        <f>IFERROR(INDEX(SPPR!$D:$D,MATCH($A106,SPPR!$A:$A,0)),"")</f>
        <v/>
      </c>
      <c r="C106">
        <f>IFERROR(INDEX(Catch!$E:$BV,MATCH($A106,Catch!$A:$A,0),MATCH($B$4,Catch!$E$1:$BV$1,0)),0)</f>
        <v/>
      </c>
      <c r="D106">
        <f>IFERROR(IF(ISNUMBER(INDEX(SPPR!$E:$X,MATCH($A106,SPPR!$A:$A,0),1)),$C106*INDEX(SPPR!$E:$X,MATCH($A106,SPPR!$A:$A,0),1),""),"")</f>
        <v/>
      </c>
      <c r="E106">
        <f>IFERROR(IF(ISNUMBER(INDEX(SPPR!$E:$X,MATCH($A106,SPPR!$A:$A,0),2)),$C106*INDEX(SPPR!$E:$X,MATCH($A106,SPPR!$A:$A,0),2),""),"")</f>
        <v/>
      </c>
      <c r="F106">
        <f>IFERROR(IF(ISNUMBER(INDEX(SPPR!$E:$X,MATCH($A106,SPPR!$A:$A,0),3)),$C106*INDEX(SPPR!$E:$X,MATCH($A106,SPPR!$A:$A,0),3),""),"")</f>
        <v/>
      </c>
      <c r="G106">
        <f>IFERROR(IF(ISNUMBER(INDEX(SPPR!$E:$X,MATCH($A106,SPPR!$A:$A,0),4)),$C106*INDEX(SPPR!$E:$X,MATCH($A106,SPPR!$A:$A,0),4),""),"")</f>
        <v/>
      </c>
      <c r="H106">
        <f>IFERROR(IF(ISNUMBER(INDEX(SPPR!$E:$X,MATCH($A106,SPPR!$A:$A,0),5)),$C106*INDEX(SPPR!$E:$X,MATCH($A106,SPPR!$A:$A,0),5),""),"")</f>
        <v/>
      </c>
      <c r="I106">
        <f>IFERROR(IF(ISNUMBER(INDEX(SPPR!$E:$X,MATCH($A106,SPPR!$A:$A,0),6)),$C106*INDEX(SPPR!$E:$X,MATCH($A106,SPPR!$A:$A,0),6),""),"")</f>
        <v/>
      </c>
      <c r="J106">
        <f>IFERROR(IF(ISNUMBER(INDEX(SPPR!$E:$X,MATCH($A106,SPPR!$A:$A,0),7)),$C106*INDEX(SPPR!$E:$X,MATCH($A106,SPPR!$A:$A,0),7),""),"")</f>
        <v/>
      </c>
      <c r="K106">
        <f>IFERROR(IF(ISNUMBER(INDEX(SPPR!$E:$X,MATCH($A106,SPPR!$A:$A,0),8)),$C106*INDEX(SPPR!$E:$X,MATCH($A106,SPPR!$A:$A,0),8),""),"")</f>
        <v/>
      </c>
      <c r="L106">
        <f>IFERROR(IF(ISNUMBER(INDEX(SPPR!$E:$X,MATCH($A106,SPPR!$A:$A,0),9)),$C106*INDEX(SPPR!$E:$X,MATCH($A106,SPPR!$A:$A,0),9),""),"")</f>
        <v/>
      </c>
      <c r="M106">
        <f>IFERROR(IF(ISNUMBER(INDEX(SPPR!$E:$X,MATCH($A106,SPPR!$A:$A,0),10)),$C106*INDEX(SPPR!$E:$X,MATCH($A106,SPPR!$A:$A,0),10),""),"")</f>
        <v/>
      </c>
      <c r="N106">
        <f>IFERROR(IF(ISNUMBER(INDEX(SPPR!$E:$X,MATCH($A106,SPPR!$A:$A,0),11)),$C106*INDEX(SPPR!$E:$X,MATCH($A106,SPPR!$A:$A,0),11),""),"")</f>
        <v/>
      </c>
      <c r="O106">
        <f>IFERROR(IF(ISNUMBER(INDEX(SPPR!$E:$X,MATCH($A106,SPPR!$A:$A,0),12)),$C106*INDEX(SPPR!$E:$X,MATCH($A106,SPPR!$A:$A,0),12),""),"")</f>
        <v/>
      </c>
      <c r="P106">
        <f>IFERROR(IF(ISNUMBER(INDEX(SPPR!$E:$X,MATCH($A106,SPPR!$A:$A,0),13)),$C106*INDEX(SPPR!$E:$X,MATCH($A106,SPPR!$A:$A,0),13),""),"")</f>
        <v/>
      </c>
      <c r="Q106">
        <f>IFERROR(IF(ISNUMBER(INDEX(SPPR!$E:$X,MATCH($A106,SPPR!$A:$A,0),14)),$C106*INDEX(SPPR!$E:$X,MATCH($A106,SPPR!$A:$A,0),14),""),"")</f>
        <v/>
      </c>
      <c r="R106">
        <f>IFERROR(IF(ISNUMBER(INDEX(SPPR!$E:$X,MATCH($A106,SPPR!$A:$A,0),15)),$C106*INDEX(SPPR!$E:$X,MATCH($A106,SPPR!$A:$A,0),15),""),"")</f>
        <v/>
      </c>
      <c r="S106">
        <f>IFERROR(IF(ISNUMBER(INDEX(SPPR!$E:$X,MATCH($A106,SPPR!$A:$A,0),16)),$C106*INDEX(SPPR!$E:$X,MATCH($A106,SPPR!$A:$A,0),16),""),"")</f>
        <v/>
      </c>
      <c r="T106">
        <f>IFERROR(IF(ISNUMBER(INDEX(SPPR!$E:$X,MATCH($A106,SPPR!$A:$A,0),17)),$C106*INDEX(SPPR!$E:$X,MATCH($A106,SPPR!$A:$A,0),17),""),"")</f>
        <v/>
      </c>
      <c r="U106">
        <f>IFERROR(IF(ISNUMBER(INDEX(SPPR!$E:$X,MATCH($A106,SPPR!$A:$A,0),18)),$C106*INDEX(SPPR!$E:$X,MATCH($A106,SPPR!$A:$A,0),18),""),"")</f>
        <v/>
      </c>
      <c r="V106">
        <f>IFERROR(IF(ISNUMBER(INDEX(SPPR!$E:$X,MATCH($A106,SPPR!$A:$A,0),19)),$C106*INDEX(SPPR!$E:$X,MATCH($A106,SPPR!$A:$A,0),19),""),"")</f>
        <v/>
      </c>
      <c r="W106">
        <f>IFERROR(IF(ISNUMBER(INDEX(SPPR!$E:$X,MATCH($A106,SPPR!$A:$A,0),20)),$C106*INDEX(SPPR!$E:$X,MATCH($A106,SPPR!$A:$A,0),20),""),"")</f>
        <v/>
      </c>
    </row>
    <row r="107">
      <c r="A107" t="inlineStr">
        <is>
          <t>Clupeiformes</t>
        </is>
      </c>
      <c r="B107">
        <f>IFERROR(INDEX(SPPR!$D:$D,MATCH($A107,SPPR!$A:$A,0)),"")</f>
        <v/>
      </c>
      <c r="C107">
        <f>IFERROR(INDEX(Catch!$E:$BV,MATCH($A107,Catch!$A:$A,0),MATCH($B$4,Catch!$E$1:$BV$1,0)),0)</f>
        <v/>
      </c>
      <c r="D107">
        <f>IFERROR(IF(ISNUMBER(INDEX(SPPR!$E:$X,MATCH($A107,SPPR!$A:$A,0),1)),$C107*INDEX(SPPR!$E:$X,MATCH($A107,SPPR!$A:$A,0),1),""),"")</f>
        <v/>
      </c>
      <c r="E107">
        <f>IFERROR(IF(ISNUMBER(INDEX(SPPR!$E:$X,MATCH($A107,SPPR!$A:$A,0),2)),$C107*INDEX(SPPR!$E:$X,MATCH($A107,SPPR!$A:$A,0),2),""),"")</f>
        <v/>
      </c>
      <c r="F107">
        <f>IFERROR(IF(ISNUMBER(INDEX(SPPR!$E:$X,MATCH($A107,SPPR!$A:$A,0),3)),$C107*INDEX(SPPR!$E:$X,MATCH($A107,SPPR!$A:$A,0),3),""),"")</f>
        <v/>
      </c>
      <c r="G107">
        <f>IFERROR(IF(ISNUMBER(INDEX(SPPR!$E:$X,MATCH($A107,SPPR!$A:$A,0),4)),$C107*INDEX(SPPR!$E:$X,MATCH($A107,SPPR!$A:$A,0),4),""),"")</f>
        <v/>
      </c>
      <c r="H107">
        <f>IFERROR(IF(ISNUMBER(INDEX(SPPR!$E:$X,MATCH($A107,SPPR!$A:$A,0),5)),$C107*INDEX(SPPR!$E:$X,MATCH($A107,SPPR!$A:$A,0),5),""),"")</f>
        <v/>
      </c>
      <c r="I107">
        <f>IFERROR(IF(ISNUMBER(INDEX(SPPR!$E:$X,MATCH($A107,SPPR!$A:$A,0),6)),$C107*INDEX(SPPR!$E:$X,MATCH($A107,SPPR!$A:$A,0),6),""),"")</f>
        <v/>
      </c>
      <c r="J107">
        <f>IFERROR(IF(ISNUMBER(INDEX(SPPR!$E:$X,MATCH($A107,SPPR!$A:$A,0),7)),$C107*INDEX(SPPR!$E:$X,MATCH($A107,SPPR!$A:$A,0),7),""),"")</f>
        <v/>
      </c>
      <c r="K107">
        <f>IFERROR(IF(ISNUMBER(INDEX(SPPR!$E:$X,MATCH($A107,SPPR!$A:$A,0),8)),$C107*INDEX(SPPR!$E:$X,MATCH($A107,SPPR!$A:$A,0),8),""),"")</f>
        <v/>
      </c>
      <c r="L107">
        <f>IFERROR(IF(ISNUMBER(INDEX(SPPR!$E:$X,MATCH($A107,SPPR!$A:$A,0),9)),$C107*INDEX(SPPR!$E:$X,MATCH($A107,SPPR!$A:$A,0),9),""),"")</f>
        <v/>
      </c>
      <c r="M107">
        <f>IFERROR(IF(ISNUMBER(INDEX(SPPR!$E:$X,MATCH($A107,SPPR!$A:$A,0),10)),$C107*INDEX(SPPR!$E:$X,MATCH($A107,SPPR!$A:$A,0),10),""),"")</f>
        <v/>
      </c>
      <c r="N107">
        <f>IFERROR(IF(ISNUMBER(INDEX(SPPR!$E:$X,MATCH($A107,SPPR!$A:$A,0),11)),$C107*INDEX(SPPR!$E:$X,MATCH($A107,SPPR!$A:$A,0),11),""),"")</f>
        <v/>
      </c>
      <c r="O107">
        <f>IFERROR(IF(ISNUMBER(INDEX(SPPR!$E:$X,MATCH($A107,SPPR!$A:$A,0),12)),$C107*INDEX(SPPR!$E:$X,MATCH($A107,SPPR!$A:$A,0),12),""),"")</f>
        <v/>
      </c>
      <c r="P107">
        <f>IFERROR(IF(ISNUMBER(INDEX(SPPR!$E:$X,MATCH($A107,SPPR!$A:$A,0),13)),$C107*INDEX(SPPR!$E:$X,MATCH($A107,SPPR!$A:$A,0),13),""),"")</f>
        <v/>
      </c>
      <c r="Q107">
        <f>IFERROR(IF(ISNUMBER(INDEX(SPPR!$E:$X,MATCH($A107,SPPR!$A:$A,0),14)),$C107*INDEX(SPPR!$E:$X,MATCH($A107,SPPR!$A:$A,0),14),""),"")</f>
        <v/>
      </c>
      <c r="R107">
        <f>IFERROR(IF(ISNUMBER(INDEX(SPPR!$E:$X,MATCH($A107,SPPR!$A:$A,0),15)),$C107*INDEX(SPPR!$E:$X,MATCH($A107,SPPR!$A:$A,0),15),""),"")</f>
        <v/>
      </c>
      <c r="S107">
        <f>IFERROR(IF(ISNUMBER(INDEX(SPPR!$E:$X,MATCH($A107,SPPR!$A:$A,0),16)),$C107*INDEX(SPPR!$E:$X,MATCH($A107,SPPR!$A:$A,0),16),""),"")</f>
        <v/>
      </c>
      <c r="T107">
        <f>IFERROR(IF(ISNUMBER(INDEX(SPPR!$E:$X,MATCH($A107,SPPR!$A:$A,0),17)),$C107*INDEX(SPPR!$E:$X,MATCH($A107,SPPR!$A:$A,0),17),""),"")</f>
        <v/>
      </c>
      <c r="U107">
        <f>IFERROR(IF(ISNUMBER(INDEX(SPPR!$E:$X,MATCH($A107,SPPR!$A:$A,0),18)),$C107*INDEX(SPPR!$E:$X,MATCH($A107,SPPR!$A:$A,0),18),""),"")</f>
        <v/>
      </c>
      <c r="V107">
        <f>IFERROR(IF(ISNUMBER(INDEX(SPPR!$E:$X,MATCH($A107,SPPR!$A:$A,0),19)),$C107*INDEX(SPPR!$E:$X,MATCH($A107,SPPR!$A:$A,0),19),""),"")</f>
        <v/>
      </c>
      <c r="W107">
        <f>IFERROR(IF(ISNUMBER(INDEX(SPPR!$E:$X,MATCH($A107,SPPR!$A:$A,0),20)),$C107*INDEX(SPPR!$E:$X,MATCH($A107,SPPR!$A:$A,0),20),""),"")</f>
        <v/>
      </c>
    </row>
    <row r="108">
      <c r="A108" t="inlineStr">
        <is>
          <t>Mullidae</t>
        </is>
      </c>
      <c r="B108">
        <f>IFERROR(INDEX(SPPR!$D:$D,MATCH($A108,SPPR!$A:$A,0)),"")</f>
        <v/>
      </c>
      <c r="C108">
        <f>IFERROR(INDEX(Catch!$E:$BV,MATCH($A108,Catch!$A:$A,0),MATCH($B$4,Catch!$E$1:$BV$1,0)),0)</f>
        <v/>
      </c>
      <c r="D108">
        <f>IFERROR(IF(ISNUMBER(INDEX(SPPR!$E:$X,MATCH($A108,SPPR!$A:$A,0),1)),$C108*INDEX(SPPR!$E:$X,MATCH($A108,SPPR!$A:$A,0),1),""),"")</f>
        <v/>
      </c>
      <c r="E108">
        <f>IFERROR(IF(ISNUMBER(INDEX(SPPR!$E:$X,MATCH($A108,SPPR!$A:$A,0),2)),$C108*INDEX(SPPR!$E:$X,MATCH($A108,SPPR!$A:$A,0),2),""),"")</f>
        <v/>
      </c>
      <c r="F108">
        <f>IFERROR(IF(ISNUMBER(INDEX(SPPR!$E:$X,MATCH($A108,SPPR!$A:$A,0),3)),$C108*INDEX(SPPR!$E:$X,MATCH($A108,SPPR!$A:$A,0),3),""),"")</f>
        <v/>
      </c>
      <c r="G108">
        <f>IFERROR(IF(ISNUMBER(INDEX(SPPR!$E:$X,MATCH($A108,SPPR!$A:$A,0),4)),$C108*INDEX(SPPR!$E:$X,MATCH($A108,SPPR!$A:$A,0),4),""),"")</f>
        <v/>
      </c>
      <c r="H108">
        <f>IFERROR(IF(ISNUMBER(INDEX(SPPR!$E:$X,MATCH($A108,SPPR!$A:$A,0),5)),$C108*INDEX(SPPR!$E:$X,MATCH($A108,SPPR!$A:$A,0),5),""),"")</f>
        <v/>
      </c>
      <c r="I108">
        <f>IFERROR(IF(ISNUMBER(INDEX(SPPR!$E:$X,MATCH($A108,SPPR!$A:$A,0),6)),$C108*INDEX(SPPR!$E:$X,MATCH($A108,SPPR!$A:$A,0),6),""),"")</f>
        <v/>
      </c>
      <c r="J108">
        <f>IFERROR(IF(ISNUMBER(INDEX(SPPR!$E:$X,MATCH($A108,SPPR!$A:$A,0),7)),$C108*INDEX(SPPR!$E:$X,MATCH($A108,SPPR!$A:$A,0),7),""),"")</f>
        <v/>
      </c>
      <c r="K108">
        <f>IFERROR(IF(ISNUMBER(INDEX(SPPR!$E:$X,MATCH($A108,SPPR!$A:$A,0),8)),$C108*INDEX(SPPR!$E:$X,MATCH($A108,SPPR!$A:$A,0),8),""),"")</f>
        <v/>
      </c>
      <c r="L108">
        <f>IFERROR(IF(ISNUMBER(INDEX(SPPR!$E:$X,MATCH($A108,SPPR!$A:$A,0),9)),$C108*INDEX(SPPR!$E:$X,MATCH($A108,SPPR!$A:$A,0),9),""),"")</f>
        <v/>
      </c>
      <c r="M108">
        <f>IFERROR(IF(ISNUMBER(INDEX(SPPR!$E:$X,MATCH($A108,SPPR!$A:$A,0),10)),$C108*INDEX(SPPR!$E:$X,MATCH($A108,SPPR!$A:$A,0),10),""),"")</f>
        <v/>
      </c>
      <c r="N108">
        <f>IFERROR(IF(ISNUMBER(INDEX(SPPR!$E:$X,MATCH($A108,SPPR!$A:$A,0),11)),$C108*INDEX(SPPR!$E:$X,MATCH($A108,SPPR!$A:$A,0),11),""),"")</f>
        <v/>
      </c>
      <c r="O108">
        <f>IFERROR(IF(ISNUMBER(INDEX(SPPR!$E:$X,MATCH($A108,SPPR!$A:$A,0),12)),$C108*INDEX(SPPR!$E:$X,MATCH($A108,SPPR!$A:$A,0),12),""),"")</f>
        <v/>
      </c>
      <c r="P108">
        <f>IFERROR(IF(ISNUMBER(INDEX(SPPR!$E:$X,MATCH($A108,SPPR!$A:$A,0),13)),$C108*INDEX(SPPR!$E:$X,MATCH($A108,SPPR!$A:$A,0),13),""),"")</f>
        <v/>
      </c>
      <c r="Q108">
        <f>IFERROR(IF(ISNUMBER(INDEX(SPPR!$E:$X,MATCH($A108,SPPR!$A:$A,0),14)),$C108*INDEX(SPPR!$E:$X,MATCH($A108,SPPR!$A:$A,0),14),""),"")</f>
        <v/>
      </c>
      <c r="R108">
        <f>IFERROR(IF(ISNUMBER(INDEX(SPPR!$E:$X,MATCH($A108,SPPR!$A:$A,0),15)),$C108*INDEX(SPPR!$E:$X,MATCH($A108,SPPR!$A:$A,0),15),""),"")</f>
        <v/>
      </c>
      <c r="S108">
        <f>IFERROR(IF(ISNUMBER(INDEX(SPPR!$E:$X,MATCH($A108,SPPR!$A:$A,0),16)),$C108*INDEX(SPPR!$E:$X,MATCH($A108,SPPR!$A:$A,0),16),""),"")</f>
        <v/>
      </c>
      <c r="T108">
        <f>IFERROR(IF(ISNUMBER(INDEX(SPPR!$E:$X,MATCH($A108,SPPR!$A:$A,0),17)),$C108*INDEX(SPPR!$E:$X,MATCH($A108,SPPR!$A:$A,0),17),""),"")</f>
        <v/>
      </c>
      <c r="U108">
        <f>IFERROR(IF(ISNUMBER(INDEX(SPPR!$E:$X,MATCH($A108,SPPR!$A:$A,0),18)),$C108*INDEX(SPPR!$E:$X,MATCH($A108,SPPR!$A:$A,0),18),""),"")</f>
        <v/>
      </c>
      <c r="V108">
        <f>IFERROR(IF(ISNUMBER(INDEX(SPPR!$E:$X,MATCH($A108,SPPR!$A:$A,0),19)),$C108*INDEX(SPPR!$E:$X,MATCH($A108,SPPR!$A:$A,0),19),""),"")</f>
        <v/>
      </c>
      <c r="W108">
        <f>IFERROR(IF(ISNUMBER(INDEX(SPPR!$E:$X,MATCH($A108,SPPR!$A:$A,0),20)),$C108*INDEX(SPPR!$E:$X,MATCH($A108,SPPR!$A:$A,0),20),""),"")</f>
        <v/>
      </c>
    </row>
    <row r="109">
      <c r="A109" t="inlineStr">
        <is>
          <t>Chelidonichthys kumu</t>
        </is>
      </c>
      <c r="B109">
        <f>IFERROR(INDEX(SPPR!$D:$D,MATCH($A109,SPPR!$A:$A,0)),"")</f>
        <v/>
      </c>
      <c r="C109">
        <f>IFERROR(INDEX(Catch!$E:$BV,MATCH($A109,Catch!$A:$A,0),MATCH($B$4,Catch!$E$1:$BV$1,0)),0)</f>
        <v/>
      </c>
      <c r="D109">
        <f>IFERROR(IF(ISNUMBER(INDEX(SPPR!$E:$X,MATCH($A109,SPPR!$A:$A,0),1)),$C109*INDEX(SPPR!$E:$X,MATCH($A109,SPPR!$A:$A,0),1),""),"")</f>
        <v/>
      </c>
      <c r="E109">
        <f>IFERROR(IF(ISNUMBER(INDEX(SPPR!$E:$X,MATCH($A109,SPPR!$A:$A,0),2)),$C109*INDEX(SPPR!$E:$X,MATCH($A109,SPPR!$A:$A,0),2),""),"")</f>
        <v/>
      </c>
      <c r="F109">
        <f>IFERROR(IF(ISNUMBER(INDEX(SPPR!$E:$X,MATCH($A109,SPPR!$A:$A,0),3)),$C109*INDEX(SPPR!$E:$X,MATCH($A109,SPPR!$A:$A,0),3),""),"")</f>
        <v/>
      </c>
      <c r="G109">
        <f>IFERROR(IF(ISNUMBER(INDEX(SPPR!$E:$X,MATCH($A109,SPPR!$A:$A,0),4)),$C109*INDEX(SPPR!$E:$X,MATCH($A109,SPPR!$A:$A,0),4),""),"")</f>
        <v/>
      </c>
      <c r="H109">
        <f>IFERROR(IF(ISNUMBER(INDEX(SPPR!$E:$X,MATCH($A109,SPPR!$A:$A,0),5)),$C109*INDEX(SPPR!$E:$X,MATCH($A109,SPPR!$A:$A,0),5),""),"")</f>
        <v/>
      </c>
      <c r="I109">
        <f>IFERROR(IF(ISNUMBER(INDEX(SPPR!$E:$X,MATCH($A109,SPPR!$A:$A,0),6)),$C109*INDEX(SPPR!$E:$X,MATCH($A109,SPPR!$A:$A,0),6),""),"")</f>
        <v/>
      </c>
      <c r="J109">
        <f>IFERROR(IF(ISNUMBER(INDEX(SPPR!$E:$X,MATCH($A109,SPPR!$A:$A,0),7)),$C109*INDEX(SPPR!$E:$X,MATCH($A109,SPPR!$A:$A,0),7),""),"")</f>
        <v/>
      </c>
      <c r="K109">
        <f>IFERROR(IF(ISNUMBER(INDEX(SPPR!$E:$X,MATCH($A109,SPPR!$A:$A,0),8)),$C109*INDEX(SPPR!$E:$X,MATCH($A109,SPPR!$A:$A,0),8),""),"")</f>
        <v/>
      </c>
      <c r="L109">
        <f>IFERROR(IF(ISNUMBER(INDEX(SPPR!$E:$X,MATCH($A109,SPPR!$A:$A,0),9)),$C109*INDEX(SPPR!$E:$X,MATCH($A109,SPPR!$A:$A,0),9),""),"")</f>
        <v/>
      </c>
      <c r="M109">
        <f>IFERROR(IF(ISNUMBER(INDEX(SPPR!$E:$X,MATCH($A109,SPPR!$A:$A,0),10)),$C109*INDEX(SPPR!$E:$X,MATCH($A109,SPPR!$A:$A,0),10),""),"")</f>
        <v/>
      </c>
      <c r="N109">
        <f>IFERROR(IF(ISNUMBER(INDEX(SPPR!$E:$X,MATCH($A109,SPPR!$A:$A,0),11)),$C109*INDEX(SPPR!$E:$X,MATCH($A109,SPPR!$A:$A,0),11),""),"")</f>
        <v/>
      </c>
      <c r="O109">
        <f>IFERROR(IF(ISNUMBER(INDEX(SPPR!$E:$X,MATCH($A109,SPPR!$A:$A,0),12)),$C109*INDEX(SPPR!$E:$X,MATCH($A109,SPPR!$A:$A,0),12),""),"")</f>
        <v/>
      </c>
      <c r="P109">
        <f>IFERROR(IF(ISNUMBER(INDEX(SPPR!$E:$X,MATCH($A109,SPPR!$A:$A,0),13)),$C109*INDEX(SPPR!$E:$X,MATCH($A109,SPPR!$A:$A,0),13),""),"")</f>
        <v/>
      </c>
      <c r="Q109">
        <f>IFERROR(IF(ISNUMBER(INDEX(SPPR!$E:$X,MATCH($A109,SPPR!$A:$A,0),14)),$C109*INDEX(SPPR!$E:$X,MATCH($A109,SPPR!$A:$A,0),14),""),"")</f>
        <v/>
      </c>
      <c r="R109">
        <f>IFERROR(IF(ISNUMBER(INDEX(SPPR!$E:$X,MATCH($A109,SPPR!$A:$A,0),15)),$C109*INDEX(SPPR!$E:$X,MATCH($A109,SPPR!$A:$A,0),15),""),"")</f>
        <v/>
      </c>
      <c r="S109">
        <f>IFERROR(IF(ISNUMBER(INDEX(SPPR!$E:$X,MATCH($A109,SPPR!$A:$A,0),16)),$C109*INDEX(SPPR!$E:$X,MATCH($A109,SPPR!$A:$A,0),16),""),"")</f>
        <v/>
      </c>
      <c r="T109">
        <f>IFERROR(IF(ISNUMBER(INDEX(SPPR!$E:$X,MATCH($A109,SPPR!$A:$A,0),17)),$C109*INDEX(SPPR!$E:$X,MATCH($A109,SPPR!$A:$A,0),17),""),"")</f>
        <v/>
      </c>
      <c r="U109">
        <f>IFERROR(IF(ISNUMBER(INDEX(SPPR!$E:$X,MATCH($A109,SPPR!$A:$A,0),18)),$C109*INDEX(SPPR!$E:$X,MATCH($A109,SPPR!$A:$A,0),18),""),"")</f>
        <v/>
      </c>
      <c r="V109">
        <f>IFERROR(IF(ISNUMBER(INDEX(SPPR!$E:$X,MATCH($A109,SPPR!$A:$A,0),19)),$C109*INDEX(SPPR!$E:$X,MATCH($A109,SPPR!$A:$A,0),19),""),"")</f>
        <v/>
      </c>
      <c r="W109">
        <f>IFERROR(IF(ISNUMBER(INDEX(SPPR!$E:$X,MATCH($A109,SPPR!$A:$A,0),20)),$C109*INDEX(SPPR!$E:$X,MATCH($A109,SPPR!$A:$A,0),20),""),"")</f>
        <v/>
      </c>
    </row>
    <row r="110">
      <c r="A110" t="inlineStr">
        <is>
          <t>Nibea mitsukurii</t>
        </is>
      </c>
      <c r="B110">
        <f>IFERROR(INDEX(SPPR!$D:$D,MATCH($A110,SPPR!$A:$A,0)),"")</f>
        <v/>
      </c>
      <c r="C110">
        <f>IFERROR(INDEX(Catch!$E:$BV,MATCH($A110,Catch!$A:$A,0),MATCH($B$4,Catch!$E$1:$BV$1,0)),0)</f>
        <v/>
      </c>
      <c r="D110">
        <f>IFERROR(IF(ISNUMBER(INDEX(SPPR!$E:$X,MATCH($A110,SPPR!$A:$A,0),1)),$C110*INDEX(SPPR!$E:$X,MATCH($A110,SPPR!$A:$A,0),1),""),"")</f>
        <v/>
      </c>
      <c r="E110">
        <f>IFERROR(IF(ISNUMBER(INDEX(SPPR!$E:$X,MATCH($A110,SPPR!$A:$A,0),2)),$C110*INDEX(SPPR!$E:$X,MATCH($A110,SPPR!$A:$A,0),2),""),"")</f>
        <v/>
      </c>
      <c r="F110">
        <f>IFERROR(IF(ISNUMBER(INDEX(SPPR!$E:$X,MATCH($A110,SPPR!$A:$A,0),3)),$C110*INDEX(SPPR!$E:$X,MATCH($A110,SPPR!$A:$A,0),3),""),"")</f>
        <v/>
      </c>
      <c r="G110">
        <f>IFERROR(IF(ISNUMBER(INDEX(SPPR!$E:$X,MATCH($A110,SPPR!$A:$A,0),4)),$C110*INDEX(SPPR!$E:$X,MATCH($A110,SPPR!$A:$A,0),4),""),"")</f>
        <v/>
      </c>
      <c r="H110">
        <f>IFERROR(IF(ISNUMBER(INDEX(SPPR!$E:$X,MATCH($A110,SPPR!$A:$A,0),5)),$C110*INDEX(SPPR!$E:$X,MATCH($A110,SPPR!$A:$A,0),5),""),"")</f>
        <v/>
      </c>
      <c r="I110">
        <f>IFERROR(IF(ISNUMBER(INDEX(SPPR!$E:$X,MATCH($A110,SPPR!$A:$A,0),6)),$C110*INDEX(SPPR!$E:$X,MATCH($A110,SPPR!$A:$A,0),6),""),"")</f>
        <v/>
      </c>
      <c r="J110">
        <f>IFERROR(IF(ISNUMBER(INDEX(SPPR!$E:$X,MATCH($A110,SPPR!$A:$A,0),7)),$C110*INDEX(SPPR!$E:$X,MATCH($A110,SPPR!$A:$A,0),7),""),"")</f>
        <v/>
      </c>
      <c r="K110">
        <f>IFERROR(IF(ISNUMBER(INDEX(SPPR!$E:$X,MATCH($A110,SPPR!$A:$A,0),8)),$C110*INDEX(SPPR!$E:$X,MATCH($A110,SPPR!$A:$A,0),8),""),"")</f>
        <v/>
      </c>
      <c r="L110">
        <f>IFERROR(IF(ISNUMBER(INDEX(SPPR!$E:$X,MATCH($A110,SPPR!$A:$A,0),9)),$C110*INDEX(SPPR!$E:$X,MATCH($A110,SPPR!$A:$A,0),9),""),"")</f>
        <v/>
      </c>
      <c r="M110">
        <f>IFERROR(IF(ISNUMBER(INDEX(SPPR!$E:$X,MATCH($A110,SPPR!$A:$A,0),10)),$C110*INDEX(SPPR!$E:$X,MATCH($A110,SPPR!$A:$A,0),10),""),"")</f>
        <v/>
      </c>
      <c r="N110">
        <f>IFERROR(IF(ISNUMBER(INDEX(SPPR!$E:$X,MATCH($A110,SPPR!$A:$A,0),11)),$C110*INDEX(SPPR!$E:$X,MATCH($A110,SPPR!$A:$A,0),11),""),"")</f>
        <v/>
      </c>
      <c r="O110">
        <f>IFERROR(IF(ISNUMBER(INDEX(SPPR!$E:$X,MATCH($A110,SPPR!$A:$A,0),12)),$C110*INDEX(SPPR!$E:$X,MATCH($A110,SPPR!$A:$A,0),12),""),"")</f>
        <v/>
      </c>
      <c r="P110">
        <f>IFERROR(IF(ISNUMBER(INDEX(SPPR!$E:$X,MATCH($A110,SPPR!$A:$A,0),13)),$C110*INDEX(SPPR!$E:$X,MATCH($A110,SPPR!$A:$A,0),13),""),"")</f>
        <v/>
      </c>
      <c r="Q110">
        <f>IFERROR(IF(ISNUMBER(INDEX(SPPR!$E:$X,MATCH($A110,SPPR!$A:$A,0),14)),$C110*INDEX(SPPR!$E:$X,MATCH($A110,SPPR!$A:$A,0),14),""),"")</f>
        <v/>
      </c>
      <c r="R110">
        <f>IFERROR(IF(ISNUMBER(INDEX(SPPR!$E:$X,MATCH($A110,SPPR!$A:$A,0),15)),$C110*INDEX(SPPR!$E:$X,MATCH($A110,SPPR!$A:$A,0),15),""),"")</f>
        <v/>
      </c>
      <c r="S110">
        <f>IFERROR(IF(ISNUMBER(INDEX(SPPR!$E:$X,MATCH($A110,SPPR!$A:$A,0),16)),$C110*INDEX(SPPR!$E:$X,MATCH($A110,SPPR!$A:$A,0),16),""),"")</f>
        <v/>
      </c>
      <c r="T110">
        <f>IFERROR(IF(ISNUMBER(INDEX(SPPR!$E:$X,MATCH($A110,SPPR!$A:$A,0),17)),$C110*INDEX(SPPR!$E:$X,MATCH($A110,SPPR!$A:$A,0),17),""),"")</f>
        <v/>
      </c>
      <c r="U110">
        <f>IFERROR(IF(ISNUMBER(INDEX(SPPR!$E:$X,MATCH($A110,SPPR!$A:$A,0),18)),$C110*INDEX(SPPR!$E:$X,MATCH($A110,SPPR!$A:$A,0),18),""),"")</f>
        <v/>
      </c>
      <c r="V110">
        <f>IFERROR(IF(ISNUMBER(INDEX(SPPR!$E:$X,MATCH($A110,SPPR!$A:$A,0),19)),$C110*INDEX(SPPR!$E:$X,MATCH($A110,SPPR!$A:$A,0),19),""),"")</f>
        <v/>
      </c>
      <c r="W110">
        <f>IFERROR(IF(ISNUMBER(INDEX(SPPR!$E:$X,MATCH($A110,SPPR!$A:$A,0),20)),$C110*INDEX(SPPR!$E:$X,MATCH($A110,SPPR!$A:$A,0),20),""),"")</f>
        <v/>
      </c>
    </row>
    <row r="111">
      <c r="A111" t="inlineStr">
        <is>
          <t>Saurida tumbil</t>
        </is>
      </c>
      <c r="B111">
        <f>IFERROR(INDEX(SPPR!$D:$D,MATCH($A111,SPPR!$A:$A,0)),"")</f>
        <v/>
      </c>
      <c r="C111">
        <f>IFERROR(INDEX(Catch!$E:$BV,MATCH($A111,Catch!$A:$A,0),MATCH($B$4,Catch!$E$1:$BV$1,0)),0)</f>
        <v/>
      </c>
      <c r="D111">
        <f>IFERROR(IF(ISNUMBER(INDEX(SPPR!$E:$X,MATCH($A111,SPPR!$A:$A,0),1)),$C111*INDEX(SPPR!$E:$X,MATCH($A111,SPPR!$A:$A,0),1),""),"")</f>
        <v/>
      </c>
      <c r="E111">
        <f>IFERROR(IF(ISNUMBER(INDEX(SPPR!$E:$X,MATCH($A111,SPPR!$A:$A,0),2)),$C111*INDEX(SPPR!$E:$X,MATCH($A111,SPPR!$A:$A,0),2),""),"")</f>
        <v/>
      </c>
      <c r="F111">
        <f>IFERROR(IF(ISNUMBER(INDEX(SPPR!$E:$X,MATCH($A111,SPPR!$A:$A,0),3)),$C111*INDEX(SPPR!$E:$X,MATCH($A111,SPPR!$A:$A,0),3),""),"")</f>
        <v/>
      </c>
      <c r="G111">
        <f>IFERROR(IF(ISNUMBER(INDEX(SPPR!$E:$X,MATCH($A111,SPPR!$A:$A,0),4)),$C111*INDEX(SPPR!$E:$X,MATCH($A111,SPPR!$A:$A,0),4),""),"")</f>
        <v/>
      </c>
      <c r="H111">
        <f>IFERROR(IF(ISNUMBER(INDEX(SPPR!$E:$X,MATCH($A111,SPPR!$A:$A,0),5)),$C111*INDEX(SPPR!$E:$X,MATCH($A111,SPPR!$A:$A,0),5),""),"")</f>
        <v/>
      </c>
      <c r="I111">
        <f>IFERROR(IF(ISNUMBER(INDEX(SPPR!$E:$X,MATCH($A111,SPPR!$A:$A,0),6)),$C111*INDEX(SPPR!$E:$X,MATCH($A111,SPPR!$A:$A,0),6),""),"")</f>
        <v/>
      </c>
      <c r="J111">
        <f>IFERROR(IF(ISNUMBER(INDEX(SPPR!$E:$X,MATCH($A111,SPPR!$A:$A,0),7)),$C111*INDEX(SPPR!$E:$X,MATCH($A111,SPPR!$A:$A,0),7),""),"")</f>
        <v/>
      </c>
      <c r="K111">
        <f>IFERROR(IF(ISNUMBER(INDEX(SPPR!$E:$X,MATCH($A111,SPPR!$A:$A,0),8)),$C111*INDEX(SPPR!$E:$X,MATCH($A111,SPPR!$A:$A,0),8),""),"")</f>
        <v/>
      </c>
      <c r="L111">
        <f>IFERROR(IF(ISNUMBER(INDEX(SPPR!$E:$X,MATCH($A111,SPPR!$A:$A,0),9)),$C111*INDEX(SPPR!$E:$X,MATCH($A111,SPPR!$A:$A,0),9),""),"")</f>
        <v/>
      </c>
      <c r="M111">
        <f>IFERROR(IF(ISNUMBER(INDEX(SPPR!$E:$X,MATCH($A111,SPPR!$A:$A,0),10)),$C111*INDEX(SPPR!$E:$X,MATCH($A111,SPPR!$A:$A,0),10),""),"")</f>
        <v/>
      </c>
      <c r="N111">
        <f>IFERROR(IF(ISNUMBER(INDEX(SPPR!$E:$X,MATCH($A111,SPPR!$A:$A,0),11)),$C111*INDEX(SPPR!$E:$X,MATCH($A111,SPPR!$A:$A,0),11),""),"")</f>
        <v/>
      </c>
      <c r="O111">
        <f>IFERROR(IF(ISNUMBER(INDEX(SPPR!$E:$X,MATCH($A111,SPPR!$A:$A,0),12)),$C111*INDEX(SPPR!$E:$X,MATCH($A111,SPPR!$A:$A,0),12),""),"")</f>
        <v/>
      </c>
      <c r="P111">
        <f>IFERROR(IF(ISNUMBER(INDEX(SPPR!$E:$X,MATCH($A111,SPPR!$A:$A,0),13)),$C111*INDEX(SPPR!$E:$X,MATCH($A111,SPPR!$A:$A,0),13),""),"")</f>
        <v/>
      </c>
      <c r="Q111">
        <f>IFERROR(IF(ISNUMBER(INDEX(SPPR!$E:$X,MATCH($A111,SPPR!$A:$A,0),14)),$C111*INDEX(SPPR!$E:$X,MATCH($A111,SPPR!$A:$A,0),14),""),"")</f>
        <v/>
      </c>
      <c r="R111">
        <f>IFERROR(IF(ISNUMBER(INDEX(SPPR!$E:$X,MATCH($A111,SPPR!$A:$A,0),15)),$C111*INDEX(SPPR!$E:$X,MATCH($A111,SPPR!$A:$A,0),15),""),"")</f>
        <v/>
      </c>
      <c r="S111">
        <f>IFERROR(IF(ISNUMBER(INDEX(SPPR!$E:$X,MATCH($A111,SPPR!$A:$A,0),16)),$C111*INDEX(SPPR!$E:$X,MATCH($A111,SPPR!$A:$A,0),16),""),"")</f>
        <v/>
      </c>
      <c r="T111">
        <f>IFERROR(IF(ISNUMBER(INDEX(SPPR!$E:$X,MATCH($A111,SPPR!$A:$A,0),17)),$C111*INDEX(SPPR!$E:$X,MATCH($A111,SPPR!$A:$A,0),17),""),"")</f>
        <v/>
      </c>
      <c r="U111">
        <f>IFERROR(IF(ISNUMBER(INDEX(SPPR!$E:$X,MATCH($A111,SPPR!$A:$A,0),18)),$C111*INDEX(SPPR!$E:$X,MATCH($A111,SPPR!$A:$A,0),18),""),"")</f>
        <v/>
      </c>
      <c r="V111">
        <f>IFERROR(IF(ISNUMBER(INDEX(SPPR!$E:$X,MATCH($A111,SPPR!$A:$A,0),19)),$C111*INDEX(SPPR!$E:$X,MATCH($A111,SPPR!$A:$A,0),19),""),"")</f>
        <v/>
      </c>
      <c r="W111">
        <f>IFERROR(IF(ISNUMBER(INDEX(SPPR!$E:$X,MATCH($A111,SPPR!$A:$A,0),20)),$C111*INDEX(SPPR!$E:$X,MATCH($A111,SPPR!$A:$A,0),20),""),"")</f>
        <v/>
      </c>
    </row>
    <row r="112">
      <c r="A112" t="inlineStr">
        <is>
          <t>Mugilidae</t>
        </is>
      </c>
      <c r="B112">
        <f>IFERROR(INDEX(SPPR!$D:$D,MATCH($A112,SPPR!$A:$A,0)),"")</f>
        <v/>
      </c>
      <c r="C112">
        <f>IFERROR(INDEX(Catch!$E:$BV,MATCH($A112,Catch!$A:$A,0),MATCH($B$4,Catch!$E$1:$BV$1,0)),0)</f>
        <v/>
      </c>
      <c r="D112">
        <f>IFERROR(IF(ISNUMBER(INDEX(SPPR!$E:$X,MATCH($A112,SPPR!$A:$A,0),1)),$C112*INDEX(SPPR!$E:$X,MATCH($A112,SPPR!$A:$A,0),1),""),"")</f>
        <v/>
      </c>
      <c r="E112">
        <f>IFERROR(IF(ISNUMBER(INDEX(SPPR!$E:$X,MATCH($A112,SPPR!$A:$A,0),2)),$C112*INDEX(SPPR!$E:$X,MATCH($A112,SPPR!$A:$A,0),2),""),"")</f>
        <v/>
      </c>
      <c r="F112">
        <f>IFERROR(IF(ISNUMBER(INDEX(SPPR!$E:$X,MATCH($A112,SPPR!$A:$A,0),3)),$C112*INDEX(SPPR!$E:$X,MATCH($A112,SPPR!$A:$A,0),3),""),"")</f>
        <v/>
      </c>
      <c r="G112">
        <f>IFERROR(IF(ISNUMBER(INDEX(SPPR!$E:$X,MATCH($A112,SPPR!$A:$A,0),4)),$C112*INDEX(SPPR!$E:$X,MATCH($A112,SPPR!$A:$A,0),4),""),"")</f>
        <v/>
      </c>
      <c r="H112">
        <f>IFERROR(IF(ISNUMBER(INDEX(SPPR!$E:$X,MATCH($A112,SPPR!$A:$A,0),5)),$C112*INDEX(SPPR!$E:$X,MATCH($A112,SPPR!$A:$A,0),5),""),"")</f>
        <v/>
      </c>
      <c r="I112">
        <f>IFERROR(IF(ISNUMBER(INDEX(SPPR!$E:$X,MATCH($A112,SPPR!$A:$A,0),6)),$C112*INDEX(SPPR!$E:$X,MATCH($A112,SPPR!$A:$A,0),6),""),"")</f>
        <v/>
      </c>
      <c r="J112">
        <f>IFERROR(IF(ISNUMBER(INDEX(SPPR!$E:$X,MATCH($A112,SPPR!$A:$A,0),7)),$C112*INDEX(SPPR!$E:$X,MATCH($A112,SPPR!$A:$A,0),7),""),"")</f>
        <v/>
      </c>
      <c r="K112">
        <f>IFERROR(IF(ISNUMBER(INDEX(SPPR!$E:$X,MATCH($A112,SPPR!$A:$A,0),8)),$C112*INDEX(SPPR!$E:$X,MATCH($A112,SPPR!$A:$A,0),8),""),"")</f>
        <v/>
      </c>
      <c r="L112">
        <f>IFERROR(IF(ISNUMBER(INDEX(SPPR!$E:$X,MATCH($A112,SPPR!$A:$A,0),9)),$C112*INDEX(SPPR!$E:$X,MATCH($A112,SPPR!$A:$A,0),9),""),"")</f>
        <v/>
      </c>
      <c r="M112">
        <f>IFERROR(IF(ISNUMBER(INDEX(SPPR!$E:$X,MATCH($A112,SPPR!$A:$A,0),10)),$C112*INDEX(SPPR!$E:$X,MATCH($A112,SPPR!$A:$A,0),10),""),"")</f>
        <v/>
      </c>
      <c r="N112">
        <f>IFERROR(IF(ISNUMBER(INDEX(SPPR!$E:$X,MATCH($A112,SPPR!$A:$A,0),11)),$C112*INDEX(SPPR!$E:$X,MATCH($A112,SPPR!$A:$A,0),11),""),"")</f>
        <v/>
      </c>
      <c r="O112">
        <f>IFERROR(IF(ISNUMBER(INDEX(SPPR!$E:$X,MATCH($A112,SPPR!$A:$A,0),12)),$C112*INDEX(SPPR!$E:$X,MATCH($A112,SPPR!$A:$A,0),12),""),"")</f>
        <v/>
      </c>
      <c r="P112">
        <f>IFERROR(IF(ISNUMBER(INDEX(SPPR!$E:$X,MATCH($A112,SPPR!$A:$A,0),13)),$C112*INDEX(SPPR!$E:$X,MATCH($A112,SPPR!$A:$A,0),13),""),"")</f>
        <v/>
      </c>
      <c r="Q112">
        <f>IFERROR(IF(ISNUMBER(INDEX(SPPR!$E:$X,MATCH($A112,SPPR!$A:$A,0),14)),$C112*INDEX(SPPR!$E:$X,MATCH($A112,SPPR!$A:$A,0),14),""),"")</f>
        <v/>
      </c>
      <c r="R112">
        <f>IFERROR(IF(ISNUMBER(INDEX(SPPR!$E:$X,MATCH($A112,SPPR!$A:$A,0),15)),$C112*INDEX(SPPR!$E:$X,MATCH($A112,SPPR!$A:$A,0),15),""),"")</f>
        <v/>
      </c>
      <c r="S112">
        <f>IFERROR(IF(ISNUMBER(INDEX(SPPR!$E:$X,MATCH($A112,SPPR!$A:$A,0),16)),$C112*INDEX(SPPR!$E:$X,MATCH($A112,SPPR!$A:$A,0),16),""),"")</f>
        <v/>
      </c>
      <c r="T112">
        <f>IFERROR(IF(ISNUMBER(INDEX(SPPR!$E:$X,MATCH($A112,SPPR!$A:$A,0),17)),$C112*INDEX(SPPR!$E:$X,MATCH($A112,SPPR!$A:$A,0),17),""),"")</f>
        <v/>
      </c>
      <c r="U112">
        <f>IFERROR(IF(ISNUMBER(INDEX(SPPR!$E:$X,MATCH($A112,SPPR!$A:$A,0),18)),$C112*INDEX(SPPR!$E:$X,MATCH($A112,SPPR!$A:$A,0),18),""),"")</f>
        <v/>
      </c>
      <c r="V112">
        <f>IFERROR(IF(ISNUMBER(INDEX(SPPR!$E:$X,MATCH($A112,SPPR!$A:$A,0),19)),$C112*INDEX(SPPR!$E:$X,MATCH($A112,SPPR!$A:$A,0),19),""),"")</f>
        <v/>
      </c>
      <c r="W112">
        <f>IFERROR(IF(ISNUMBER(INDEX(SPPR!$E:$X,MATCH($A112,SPPR!$A:$A,0),20)),$C112*INDEX(SPPR!$E:$X,MATCH($A112,SPPR!$A:$A,0),20),""),"")</f>
        <v/>
      </c>
    </row>
    <row r="113">
      <c r="A113" t="inlineStr">
        <is>
          <t>Coryphaena</t>
        </is>
      </c>
      <c r="B113">
        <f>IFERROR(INDEX(SPPR!$D:$D,MATCH($A113,SPPR!$A:$A,0)),"")</f>
        <v/>
      </c>
      <c r="C113">
        <f>IFERROR(INDEX(Catch!$E:$BV,MATCH($A113,Catch!$A:$A,0),MATCH($B$4,Catch!$E$1:$BV$1,0)),0)</f>
        <v/>
      </c>
      <c r="D113">
        <f>IFERROR(IF(ISNUMBER(INDEX(SPPR!$E:$X,MATCH($A113,SPPR!$A:$A,0),1)),$C113*INDEX(SPPR!$E:$X,MATCH($A113,SPPR!$A:$A,0),1),""),"")</f>
        <v/>
      </c>
      <c r="E113">
        <f>IFERROR(IF(ISNUMBER(INDEX(SPPR!$E:$X,MATCH($A113,SPPR!$A:$A,0),2)),$C113*INDEX(SPPR!$E:$X,MATCH($A113,SPPR!$A:$A,0),2),""),"")</f>
        <v/>
      </c>
      <c r="F113">
        <f>IFERROR(IF(ISNUMBER(INDEX(SPPR!$E:$X,MATCH($A113,SPPR!$A:$A,0),3)),$C113*INDEX(SPPR!$E:$X,MATCH($A113,SPPR!$A:$A,0),3),""),"")</f>
        <v/>
      </c>
      <c r="G113">
        <f>IFERROR(IF(ISNUMBER(INDEX(SPPR!$E:$X,MATCH($A113,SPPR!$A:$A,0),4)),$C113*INDEX(SPPR!$E:$X,MATCH($A113,SPPR!$A:$A,0),4),""),"")</f>
        <v/>
      </c>
      <c r="H113">
        <f>IFERROR(IF(ISNUMBER(INDEX(SPPR!$E:$X,MATCH($A113,SPPR!$A:$A,0),5)),$C113*INDEX(SPPR!$E:$X,MATCH($A113,SPPR!$A:$A,0),5),""),"")</f>
        <v/>
      </c>
      <c r="I113">
        <f>IFERROR(IF(ISNUMBER(INDEX(SPPR!$E:$X,MATCH($A113,SPPR!$A:$A,0),6)),$C113*INDEX(SPPR!$E:$X,MATCH($A113,SPPR!$A:$A,0),6),""),"")</f>
        <v/>
      </c>
      <c r="J113">
        <f>IFERROR(IF(ISNUMBER(INDEX(SPPR!$E:$X,MATCH($A113,SPPR!$A:$A,0),7)),$C113*INDEX(SPPR!$E:$X,MATCH($A113,SPPR!$A:$A,0),7),""),"")</f>
        <v/>
      </c>
      <c r="K113">
        <f>IFERROR(IF(ISNUMBER(INDEX(SPPR!$E:$X,MATCH($A113,SPPR!$A:$A,0),8)),$C113*INDEX(SPPR!$E:$X,MATCH($A113,SPPR!$A:$A,0),8),""),"")</f>
        <v/>
      </c>
      <c r="L113">
        <f>IFERROR(IF(ISNUMBER(INDEX(SPPR!$E:$X,MATCH($A113,SPPR!$A:$A,0),9)),$C113*INDEX(SPPR!$E:$X,MATCH($A113,SPPR!$A:$A,0),9),""),"")</f>
        <v/>
      </c>
      <c r="M113">
        <f>IFERROR(IF(ISNUMBER(INDEX(SPPR!$E:$X,MATCH($A113,SPPR!$A:$A,0),10)),$C113*INDEX(SPPR!$E:$X,MATCH($A113,SPPR!$A:$A,0),10),""),"")</f>
        <v/>
      </c>
      <c r="N113">
        <f>IFERROR(IF(ISNUMBER(INDEX(SPPR!$E:$X,MATCH($A113,SPPR!$A:$A,0),11)),$C113*INDEX(SPPR!$E:$X,MATCH($A113,SPPR!$A:$A,0),11),""),"")</f>
        <v/>
      </c>
      <c r="O113">
        <f>IFERROR(IF(ISNUMBER(INDEX(SPPR!$E:$X,MATCH($A113,SPPR!$A:$A,0),12)),$C113*INDEX(SPPR!$E:$X,MATCH($A113,SPPR!$A:$A,0),12),""),"")</f>
        <v/>
      </c>
      <c r="P113">
        <f>IFERROR(IF(ISNUMBER(INDEX(SPPR!$E:$X,MATCH($A113,SPPR!$A:$A,0),13)),$C113*INDEX(SPPR!$E:$X,MATCH($A113,SPPR!$A:$A,0),13),""),"")</f>
        <v/>
      </c>
      <c r="Q113">
        <f>IFERROR(IF(ISNUMBER(INDEX(SPPR!$E:$X,MATCH($A113,SPPR!$A:$A,0),14)),$C113*INDEX(SPPR!$E:$X,MATCH($A113,SPPR!$A:$A,0),14),""),"")</f>
        <v/>
      </c>
      <c r="R113">
        <f>IFERROR(IF(ISNUMBER(INDEX(SPPR!$E:$X,MATCH($A113,SPPR!$A:$A,0),15)),$C113*INDEX(SPPR!$E:$X,MATCH($A113,SPPR!$A:$A,0),15),""),"")</f>
        <v/>
      </c>
      <c r="S113">
        <f>IFERROR(IF(ISNUMBER(INDEX(SPPR!$E:$X,MATCH($A113,SPPR!$A:$A,0),16)),$C113*INDEX(SPPR!$E:$X,MATCH($A113,SPPR!$A:$A,0),16),""),"")</f>
        <v/>
      </c>
      <c r="T113">
        <f>IFERROR(IF(ISNUMBER(INDEX(SPPR!$E:$X,MATCH($A113,SPPR!$A:$A,0),17)),$C113*INDEX(SPPR!$E:$X,MATCH($A113,SPPR!$A:$A,0),17),""),"")</f>
        <v/>
      </c>
      <c r="U113">
        <f>IFERROR(IF(ISNUMBER(INDEX(SPPR!$E:$X,MATCH($A113,SPPR!$A:$A,0),18)),$C113*INDEX(SPPR!$E:$X,MATCH($A113,SPPR!$A:$A,0),18),""),"")</f>
        <v/>
      </c>
      <c r="V113">
        <f>IFERROR(IF(ISNUMBER(INDEX(SPPR!$E:$X,MATCH($A113,SPPR!$A:$A,0),19)),$C113*INDEX(SPPR!$E:$X,MATCH($A113,SPPR!$A:$A,0),19),""),"")</f>
        <v/>
      </c>
      <c r="W113">
        <f>IFERROR(IF(ISNUMBER(INDEX(SPPR!$E:$X,MATCH($A113,SPPR!$A:$A,0),20)),$C113*INDEX(SPPR!$E:$X,MATCH($A113,SPPR!$A:$A,0),20),""),"")</f>
        <v/>
      </c>
    </row>
    <row r="114">
      <c r="A114" t="inlineStr">
        <is>
          <t>Thunnus alalunga</t>
        </is>
      </c>
      <c r="B114">
        <f>IFERROR(INDEX(SPPR!$D:$D,MATCH($A114,SPPR!$A:$A,0)),"")</f>
        <v/>
      </c>
      <c r="C114">
        <f>IFERROR(INDEX(Catch!$E:$BV,MATCH($A114,Catch!$A:$A,0),MATCH($B$4,Catch!$E$1:$BV$1,0)),0)</f>
        <v/>
      </c>
      <c r="D114">
        <f>IFERROR(IF(ISNUMBER(INDEX(SPPR!$E:$X,MATCH($A114,SPPR!$A:$A,0),1)),$C114*INDEX(SPPR!$E:$X,MATCH($A114,SPPR!$A:$A,0),1),""),"")</f>
        <v/>
      </c>
      <c r="E114">
        <f>IFERROR(IF(ISNUMBER(INDEX(SPPR!$E:$X,MATCH($A114,SPPR!$A:$A,0),2)),$C114*INDEX(SPPR!$E:$X,MATCH($A114,SPPR!$A:$A,0),2),""),"")</f>
        <v/>
      </c>
      <c r="F114">
        <f>IFERROR(IF(ISNUMBER(INDEX(SPPR!$E:$X,MATCH($A114,SPPR!$A:$A,0),3)),$C114*INDEX(SPPR!$E:$X,MATCH($A114,SPPR!$A:$A,0),3),""),"")</f>
        <v/>
      </c>
      <c r="G114">
        <f>IFERROR(IF(ISNUMBER(INDEX(SPPR!$E:$X,MATCH($A114,SPPR!$A:$A,0),4)),$C114*INDEX(SPPR!$E:$X,MATCH($A114,SPPR!$A:$A,0),4),""),"")</f>
        <v/>
      </c>
      <c r="H114">
        <f>IFERROR(IF(ISNUMBER(INDEX(SPPR!$E:$X,MATCH($A114,SPPR!$A:$A,0),5)),$C114*INDEX(SPPR!$E:$X,MATCH($A114,SPPR!$A:$A,0),5),""),"")</f>
        <v/>
      </c>
      <c r="I114">
        <f>IFERROR(IF(ISNUMBER(INDEX(SPPR!$E:$X,MATCH($A114,SPPR!$A:$A,0),6)),$C114*INDEX(SPPR!$E:$X,MATCH($A114,SPPR!$A:$A,0),6),""),"")</f>
        <v/>
      </c>
      <c r="J114">
        <f>IFERROR(IF(ISNUMBER(INDEX(SPPR!$E:$X,MATCH($A114,SPPR!$A:$A,0),7)),$C114*INDEX(SPPR!$E:$X,MATCH($A114,SPPR!$A:$A,0),7),""),"")</f>
        <v/>
      </c>
      <c r="K114">
        <f>IFERROR(IF(ISNUMBER(INDEX(SPPR!$E:$X,MATCH($A114,SPPR!$A:$A,0),8)),$C114*INDEX(SPPR!$E:$X,MATCH($A114,SPPR!$A:$A,0),8),""),"")</f>
        <v/>
      </c>
      <c r="L114">
        <f>IFERROR(IF(ISNUMBER(INDEX(SPPR!$E:$X,MATCH($A114,SPPR!$A:$A,0),9)),$C114*INDEX(SPPR!$E:$X,MATCH($A114,SPPR!$A:$A,0),9),""),"")</f>
        <v/>
      </c>
      <c r="M114">
        <f>IFERROR(IF(ISNUMBER(INDEX(SPPR!$E:$X,MATCH($A114,SPPR!$A:$A,0),10)),$C114*INDEX(SPPR!$E:$X,MATCH($A114,SPPR!$A:$A,0),10),""),"")</f>
        <v/>
      </c>
      <c r="N114">
        <f>IFERROR(IF(ISNUMBER(INDEX(SPPR!$E:$X,MATCH($A114,SPPR!$A:$A,0),11)),$C114*INDEX(SPPR!$E:$X,MATCH($A114,SPPR!$A:$A,0),11),""),"")</f>
        <v/>
      </c>
      <c r="O114">
        <f>IFERROR(IF(ISNUMBER(INDEX(SPPR!$E:$X,MATCH($A114,SPPR!$A:$A,0),12)),$C114*INDEX(SPPR!$E:$X,MATCH($A114,SPPR!$A:$A,0),12),""),"")</f>
        <v/>
      </c>
      <c r="P114">
        <f>IFERROR(IF(ISNUMBER(INDEX(SPPR!$E:$X,MATCH($A114,SPPR!$A:$A,0),13)),$C114*INDEX(SPPR!$E:$X,MATCH($A114,SPPR!$A:$A,0),13),""),"")</f>
        <v/>
      </c>
      <c r="Q114">
        <f>IFERROR(IF(ISNUMBER(INDEX(SPPR!$E:$X,MATCH($A114,SPPR!$A:$A,0),14)),$C114*INDEX(SPPR!$E:$X,MATCH($A114,SPPR!$A:$A,0),14),""),"")</f>
        <v/>
      </c>
      <c r="R114">
        <f>IFERROR(IF(ISNUMBER(INDEX(SPPR!$E:$X,MATCH($A114,SPPR!$A:$A,0),15)),$C114*INDEX(SPPR!$E:$X,MATCH($A114,SPPR!$A:$A,0),15),""),"")</f>
        <v/>
      </c>
      <c r="S114">
        <f>IFERROR(IF(ISNUMBER(INDEX(SPPR!$E:$X,MATCH($A114,SPPR!$A:$A,0),16)),$C114*INDEX(SPPR!$E:$X,MATCH($A114,SPPR!$A:$A,0),16),""),"")</f>
        <v/>
      </c>
      <c r="T114">
        <f>IFERROR(IF(ISNUMBER(INDEX(SPPR!$E:$X,MATCH($A114,SPPR!$A:$A,0),17)),$C114*INDEX(SPPR!$E:$X,MATCH($A114,SPPR!$A:$A,0),17),""),"")</f>
        <v/>
      </c>
      <c r="U114">
        <f>IFERROR(IF(ISNUMBER(INDEX(SPPR!$E:$X,MATCH($A114,SPPR!$A:$A,0),18)),$C114*INDEX(SPPR!$E:$X,MATCH($A114,SPPR!$A:$A,0),18),""),"")</f>
        <v/>
      </c>
      <c r="V114">
        <f>IFERROR(IF(ISNUMBER(INDEX(SPPR!$E:$X,MATCH($A114,SPPR!$A:$A,0),19)),$C114*INDEX(SPPR!$E:$X,MATCH($A114,SPPR!$A:$A,0),19),""),"")</f>
        <v/>
      </c>
      <c r="W114">
        <f>IFERROR(IF(ISNUMBER(INDEX(SPPR!$E:$X,MATCH($A114,SPPR!$A:$A,0),20)),$C114*INDEX(SPPR!$E:$X,MATCH($A114,SPPR!$A:$A,0),20),""),"")</f>
        <v/>
      </c>
    </row>
    <row r="115">
      <c r="A115" t="inlineStr">
        <is>
          <t>Platycephalus indicus</t>
        </is>
      </c>
      <c r="B115">
        <f>IFERROR(INDEX(SPPR!$D:$D,MATCH($A115,SPPR!$A:$A,0)),"")</f>
        <v/>
      </c>
      <c r="C115">
        <f>IFERROR(INDEX(Catch!$E:$BV,MATCH($A115,Catch!$A:$A,0),MATCH($B$4,Catch!$E$1:$BV$1,0)),0)</f>
        <v/>
      </c>
      <c r="D115">
        <f>IFERROR(IF(ISNUMBER(INDEX(SPPR!$E:$X,MATCH($A115,SPPR!$A:$A,0),1)),$C115*INDEX(SPPR!$E:$X,MATCH($A115,SPPR!$A:$A,0),1),""),"")</f>
        <v/>
      </c>
      <c r="E115">
        <f>IFERROR(IF(ISNUMBER(INDEX(SPPR!$E:$X,MATCH($A115,SPPR!$A:$A,0),2)),$C115*INDEX(SPPR!$E:$X,MATCH($A115,SPPR!$A:$A,0),2),""),"")</f>
        <v/>
      </c>
      <c r="F115">
        <f>IFERROR(IF(ISNUMBER(INDEX(SPPR!$E:$X,MATCH($A115,SPPR!$A:$A,0),3)),$C115*INDEX(SPPR!$E:$X,MATCH($A115,SPPR!$A:$A,0),3),""),"")</f>
        <v/>
      </c>
      <c r="G115">
        <f>IFERROR(IF(ISNUMBER(INDEX(SPPR!$E:$X,MATCH($A115,SPPR!$A:$A,0),4)),$C115*INDEX(SPPR!$E:$X,MATCH($A115,SPPR!$A:$A,0),4),""),"")</f>
        <v/>
      </c>
      <c r="H115">
        <f>IFERROR(IF(ISNUMBER(INDEX(SPPR!$E:$X,MATCH($A115,SPPR!$A:$A,0),5)),$C115*INDEX(SPPR!$E:$X,MATCH($A115,SPPR!$A:$A,0),5),""),"")</f>
        <v/>
      </c>
      <c r="I115">
        <f>IFERROR(IF(ISNUMBER(INDEX(SPPR!$E:$X,MATCH($A115,SPPR!$A:$A,0),6)),$C115*INDEX(SPPR!$E:$X,MATCH($A115,SPPR!$A:$A,0),6),""),"")</f>
        <v/>
      </c>
      <c r="J115">
        <f>IFERROR(IF(ISNUMBER(INDEX(SPPR!$E:$X,MATCH($A115,SPPR!$A:$A,0),7)),$C115*INDEX(SPPR!$E:$X,MATCH($A115,SPPR!$A:$A,0),7),""),"")</f>
        <v/>
      </c>
      <c r="K115">
        <f>IFERROR(IF(ISNUMBER(INDEX(SPPR!$E:$X,MATCH($A115,SPPR!$A:$A,0),8)),$C115*INDEX(SPPR!$E:$X,MATCH($A115,SPPR!$A:$A,0),8),""),"")</f>
        <v/>
      </c>
      <c r="L115">
        <f>IFERROR(IF(ISNUMBER(INDEX(SPPR!$E:$X,MATCH($A115,SPPR!$A:$A,0),9)),$C115*INDEX(SPPR!$E:$X,MATCH($A115,SPPR!$A:$A,0),9),""),"")</f>
        <v/>
      </c>
      <c r="M115">
        <f>IFERROR(IF(ISNUMBER(INDEX(SPPR!$E:$X,MATCH($A115,SPPR!$A:$A,0),10)),$C115*INDEX(SPPR!$E:$X,MATCH($A115,SPPR!$A:$A,0),10),""),"")</f>
        <v/>
      </c>
      <c r="N115">
        <f>IFERROR(IF(ISNUMBER(INDEX(SPPR!$E:$X,MATCH($A115,SPPR!$A:$A,0),11)),$C115*INDEX(SPPR!$E:$X,MATCH($A115,SPPR!$A:$A,0),11),""),"")</f>
        <v/>
      </c>
      <c r="O115">
        <f>IFERROR(IF(ISNUMBER(INDEX(SPPR!$E:$X,MATCH($A115,SPPR!$A:$A,0),12)),$C115*INDEX(SPPR!$E:$X,MATCH($A115,SPPR!$A:$A,0),12),""),"")</f>
        <v/>
      </c>
      <c r="P115">
        <f>IFERROR(IF(ISNUMBER(INDEX(SPPR!$E:$X,MATCH($A115,SPPR!$A:$A,0),13)),$C115*INDEX(SPPR!$E:$X,MATCH($A115,SPPR!$A:$A,0),13),""),"")</f>
        <v/>
      </c>
      <c r="Q115">
        <f>IFERROR(IF(ISNUMBER(INDEX(SPPR!$E:$X,MATCH($A115,SPPR!$A:$A,0),14)),$C115*INDEX(SPPR!$E:$X,MATCH($A115,SPPR!$A:$A,0),14),""),"")</f>
        <v/>
      </c>
      <c r="R115">
        <f>IFERROR(IF(ISNUMBER(INDEX(SPPR!$E:$X,MATCH($A115,SPPR!$A:$A,0),15)),$C115*INDEX(SPPR!$E:$X,MATCH($A115,SPPR!$A:$A,0),15),""),"")</f>
        <v/>
      </c>
      <c r="S115">
        <f>IFERROR(IF(ISNUMBER(INDEX(SPPR!$E:$X,MATCH($A115,SPPR!$A:$A,0),16)),$C115*INDEX(SPPR!$E:$X,MATCH($A115,SPPR!$A:$A,0),16),""),"")</f>
        <v/>
      </c>
      <c r="T115">
        <f>IFERROR(IF(ISNUMBER(INDEX(SPPR!$E:$X,MATCH($A115,SPPR!$A:$A,0),17)),$C115*INDEX(SPPR!$E:$X,MATCH($A115,SPPR!$A:$A,0),17),""),"")</f>
        <v/>
      </c>
      <c r="U115">
        <f>IFERROR(IF(ISNUMBER(INDEX(SPPR!$E:$X,MATCH($A115,SPPR!$A:$A,0),18)),$C115*INDEX(SPPR!$E:$X,MATCH($A115,SPPR!$A:$A,0),18),""),"")</f>
        <v/>
      </c>
      <c r="V115">
        <f>IFERROR(IF(ISNUMBER(INDEX(SPPR!$E:$X,MATCH($A115,SPPR!$A:$A,0),19)),$C115*INDEX(SPPR!$E:$X,MATCH($A115,SPPR!$A:$A,0),19),""),"")</f>
        <v/>
      </c>
      <c r="W115">
        <f>IFERROR(IF(ISNUMBER(INDEX(SPPR!$E:$X,MATCH($A115,SPPR!$A:$A,0),20)),$C115*INDEX(SPPR!$E:$X,MATCH($A115,SPPR!$A:$A,0),20),""),"")</f>
        <v/>
      </c>
    </row>
    <row r="116">
      <c r="A116" t="inlineStr">
        <is>
          <t>Mactridae</t>
        </is>
      </c>
      <c r="B116">
        <f>IFERROR(INDEX(SPPR!$D:$D,MATCH($A116,SPPR!$A:$A,0)),"")</f>
        <v/>
      </c>
      <c r="C116">
        <f>IFERROR(INDEX(Catch!$E:$BV,MATCH($A116,Catch!$A:$A,0),MATCH($B$4,Catch!$E$1:$BV$1,0)),0)</f>
        <v/>
      </c>
      <c r="D116">
        <f>IFERROR(IF(ISNUMBER(INDEX(SPPR!$E:$X,MATCH($A116,SPPR!$A:$A,0),1)),$C116*INDEX(SPPR!$E:$X,MATCH($A116,SPPR!$A:$A,0),1),""),"")</f>
        <v/>
      </c>
      <c r="E116">
        <f>IFERROR(IF(ISNUMBER(INDEX(SPPR!$E:$X,MATCH($A116,SPPR!$A:$A,0),2)),$C116*INDEX(SPPR!$E:$X,MATCH($A116,SPPR!$A:$A,0),2),""),"")</f>
        <v/>
      </c>
      <c r="F116">
        <f>IFERROR(IF(ISNUMBER(INDEX(SPPR!$E:$X,MATCH($A116,SPPR!$A:$A,0),3)),$C116*INDEX(SPPR!$E:$X,MATCH($A116,SPPR!$A:$A,0),3),""),"")</f>
        <v/>
      </c>
      <c r="G116">
        <f>IFERROR(IF(ISNUMBER(INDEX(SPPR!$E:$X,MATCH($A116,SPPR!$A:$A,0),4)),$C116*INDEX(SPPR!$E:$X,MATCH($A116,SPPR!$A:$A,0),4),""),"")</f>
        <v/>
      </c>
      <c r="H116">
        <f>IFERROR(IF(ISNUMBER(INDEX(SPPR!$E:$X,MATCH($A116,SPPR!$A:$A,0),5)),$C116*INDEX(SPPR!$E:$X,MATCH($A116,SPPR!$A:$A,0),5),""),"")</f>
        <v/>
      </c>
      <c r="I116">
        <f>IFERROR(IF(ISNUMBER(INDEX(SPPR!$E:$X,MATCH($A116,SPPR!$A:$A,0),6)),$C116*INDEX(SPPR!$E:$X,MATCH($A116,SPPR!$A:$A,0),6),""),"")</f>
        <v/>
      </c>
      <c r="J116">
        <f>IFERROR(IF(ISNUMBER(INDEX(SPPR!$E:$X,MATCH($A116,SPPR!$A:$A,0),7)),$C116*INDEX(SPPR!$E:$X,MATCH($A116,SPPR!$A:$A,0),7),""),"")</f>
        <v/>
      </c>
      <c r="K116">
        <f>IFERROR(IF(ISNUMBER(INDEX(SPPR!$E:$X,MATCH($A116,SPPR!$A:$A,0),8)),$C116*INDEX(SPPR!$E:$X,MATCH($A116,SPPR!$A:$A,0),8),""),"")</f>
        <v/>
      </c>
      <c r="L116">
        <f>IFERROR(IF(ISNUMBER(INDEX(SPPR!$E:$X,MATCH($A116,SPPR!$A:$A,0),9)),$C116*INDEX(SPPR!$E:$X,MATCH($A116,SPPR!$A:$A,0),9),""),"")</f>
        <v/>
      </c>
      <c r="M116">
        <f>IFERROR(IF(ISNUMBER(INDEX(SPPR!$E:$X,MATCH($A116,SPPR!$A:$A,0),10)),$C116*INDEX(SPPR!$E:$X,MATCH($A116,SPPR!$A:$A,0),10),""),"")</f>
        <v/>
      </c>
      <c r="N116">
        <f>IFERROR(IF(ISNUMBER(INDEX(SPPR!$E:$X,MATCH($A116,SPPR!$A:$A,0),11)),$C116*INDEX(SPPR!$E:$X,MATCH($A116,SPPR!$A:$A,0),11),""),"")</f>
        <v/>
      </c>
      <c r="O116">
        <f>IFERROR(IF(ISNUMBER(INDEX(SPPR!$E:$X,MATCH($A116,SPPR!$A:$A,0),12)),$C116*INDEX(SPPR!$E:$X,MATCH($A116,SPPR!$A:$A,0),12),""),"")</f>
        <v/>
      </c>
      <c r="P116">
        <f>IFERROR(IF(ISNUMBER(INDEX(SPPR!$E:$X,MATCH($A116,SPPR!$A:$A,0),13)),$C116*INDEX(SPPR!$E:$X,MATCH($A116,SPPR!$A:$A,0),13),""),"")</f>
        <v/>
      </c>
      <c r="Q116">
        <f>IFERROR(IF(ISNUMBER(INDEX(SPPR!$E:$X,MATCH($A116,SPPR!$A:$A,0),14)),$C116*INDEX(SPPR!$E:$X,MATCH($A116,SPPR!$A:$A,0),14),""),"")</f>
        <v/>
      </c>
      <c r="R116">
        <f>IFERROR(IF(ISNUMBER(INDEX(SPPR!$E:$X,MATCH($A116,SPPR!$A:$A,0),15)),$C116*INDEX(SPPR!$E:$X,MATCH($A116,SPPR!$A:$A,0),15),""),"")</f>
        <v/>
      </c>
      <c r="S116">
        <f>IFERROR(IF(ISNUMBER(INDEX(SPPR!$E:$X,MATCH($A116,SPPR!$A:$A,0),16)),$C116*INDEX(SPPR!$E:$X,MATCH($A116,SPPR!$A:$A,0),16),""),"")</f>
        <v/>
      </c>
      <c r="T116">
        <f>IFERROR(IF(ISNUMBER(INDEX(SPPR!$E:$X,MATCH($A116,SPPR!$A:$A,0),17)),$C116*INDEX(SPPR!$E:$X,MATCH($A116,SPPR!$A:$A,0),17),""),"")</f>
        <v/>
      </c>
      <c r="U116">
        <f>IFERROR(IF(ISNUMBER(INDEX(SPPR!$E:$X,MATCH($A116,SPPR!$A:$A,0),18)),$C116*INDEX(SPPR!$E:$X,MATCH($A116,SPPR!$A:$A,0),18),""),"")</f>
        <v/>
      </c>
      <c r="V116">
        <f>IFERROR(IF(ISNUMBER(INDEX(SPPR!$E:$X,MATCH($A116,SPPR!$A:$A,0),19)),$C116*INDEX(SPPR!$E:$X,MATCH($A116,SPPR!$A:$A,0),19),""),"")</f>
        <v/>
      </c>
      <c r="W116">
        <f>IFERROR(IF(ISNUMBER(INDEX(SPPR!$E:$X,MATCH($A116,SPPR!$A:$A,0),20)),$C116*INDEX(SPPR!$E:$X,MATCH($A116,SPPR!$A:$A,0),20),""),"")</f>
        <v/>
      </c>
    </row>
    <row r="117">
      <c r="A117" t="inlineStr">
        <is>
          <t>Muraenesocidae</t>
        </is>
      </c>
      <c r="B117">
        <f>IFERROR(INDEX(SPPR!$D:$D,MATCH($A117,SPPR!$A:$A,0)),"")</f>
        <v/>
      </c>
      <c r="C117">
        <f>IFERROR(INDEX(Catch!$E:$BV,MATCH($A117,Catch!$A:$A,0),MATCH($B$4,Catch!$E$1:$BV$1,0)),0)</f>
        <v/>
      </c>
      <c r="D117">
        <f>IFERROR(IF(ISNUMBER(INDEX(SPPR!$E:$X,MATCH($A117,SPPR!$A:$A,0),1)),$C117*INDEX(SPPR!$E:$X,MATCH($A117,SPPR!$A:$A,0),1),""),"")</f>
        <v/>
      </c>
      <c r="E117">
        <f>IFERROR(IF(ISNUMBER(INDEX(SPPR!$E:$X,MATCH($A117,SPPR!$A:$A,0),2)),$C117*INDEX(SPPR!$E:$X,MATCH($A117,SPPR!$A:$A,0),2),""),"")</f>
        <v/>
      </c>
      <c r="F117">
        <f>IFERROR(IF(ISNUMBER(INDEX(SPPR!$E:$X,MATCH($A117,SPPR!$A:$A,0),3)),$C117*INDEX(SPPR!$E:$X,MATCH($A117,SPPR!$A:$A,0),3),""),"")</f>
        <v/>
      </c>
      <c r="G117">
        <f>IFERROR(IF(ISNUMBER(INDEX(SPPR!$E:$X,MATCH($A117,SPPR!$A:$A,0),4)),$C117*INDEX(SPPR!$E:$X,MATCH($A117,SPPR!$A:$A,0),4),""),"")</f>
        <v/>
      </c>
      <c r="H117">
        <f>IFERROR(IF(ISNUMBER(INDEX(SPPR!$E:$X,MATCH($A117,SPPR!$A:$A,0),5)),$C117*INDEX(SPPR!$E:$X,MATCH($A117,SPPR!$A:$A,0),5),""),"")</f>
        <v/>
      </c>
      <c r="I117">
        <f>IFERROR(IF(ISNUMBER(INDEX(SPPR!$E:$X,MATCH($A117,SPPR!$A:$A,0),6)),$C117*INDEX(SPPR!$E:$X,MATCH($A117,SPPR!$A:$A,0),6),""),"")</f>
        <v/>
      </c>
      <c r="J117">
        <f>IFERROR(IF(ISNUMBER(INDEX(SPPR!$E:$X,MATCH($A117,SPPR!$A:$A,0),7)),$C117*INDEX(SPPR!$E:$X,MATCH($A117,SPPR!$A:$A,0),7),""),"")</f>
        <v/>
      </c>
      <c r="K117">
        <f>IFERROR(IF(ISNUMBER(INDEX(SPPR!$E:$X,MATCH($A117,SPPR!$A:$A,0),8)),$C117*INDEX(SPPR!$E:$X,MATCH($A117,SPPR!$A:$A,0),8),""),"")</f>
        <v/>
      </c>
      <c r="L117">
        <f>IFERROR(IF(ISNUMBER(INDEX(SPPR!$E:$X,MATCH($A117,SPPR!$A:$A,0),9)),$C117*INDEX(SPPR!$E:$X,MATCH($A117,SPPR!$A:$A,0),9),""),"")</f>
        <v/>
      </c>
      <c r="M117">
        <f>IFERROR(IF(ISNUMBER(INDEX(SPPR!$E:$X,MATCH($A117,SPPR!$A:$A,0),10)),$C117*INDEX(SPPR!$E:$X,MATCH($A117,SPPR!$A:$A,0),10),""),"")</f>
        <v/>
      </c>
      <c r="N117">
        <f>IFERROR(IF(ISNUMBER(INDEX(SPPR!$E:$X,MATCH($A117,SPPR!$A:$A,0),11)),$C117*INDEX(SPPR!$E:$X,MATCH($A117,SPPR!$A:$A,0),11),""),"")</f>
        <v/>
      </c>
      <c r="O117">
        <f>IFERROR(IF(ISNUMBER(INDEX(SPPR!$E:$X,MATCH($A117,SPPR!$A:$A,0),12)),$C117*INDEX(SPPR!$E:$X,MATCH($A117,SPPR!$A:$A,0),12),""),"")</f>
        <v/>
      </c>
      <c r="P117">
        <f>IFERROR(IF(ISNUMBER(INDEX(SPPR!$E:$X,MATCH($A117,SPPR!$A:$A,0),13)),$C117*INDEX(SPPR!$E:$X,MATCH($A117,SPPR!$A:$A,0),13),""),"")</f>
        <v/>
      </c>
      <c r="Q117">
        <f>IFERROR(IF(ISNUMBER(INDEX(SPPR!$E:$X,MATCH($A117,SPPR!$A:$A,0),14)),$C117*INDEX(SPPR!$E:$X,MATCH($A117,SPPR!$A:$A,0),14),""),"")</f>
        <v/>
      </c>
      <c r="R117">
        <f>IFERROR(IF(ISNUMBER(INDEX(SPPR!$E:$X,MATCH($A117,SPPR!$A:$A,0),15)),$C117*INDEX(SPPR!$E:$X,MATCH($A117,SPPR!$A:$A,0),15),""),"")</f>
        <v/>
      </c>
      <c r="S117">
        <f>IFERROR(IF(ISNUMBER(INDEX(SPPR!$E:$X,MATCH($A117,SPPR!$A:$A,0),16)),$C117*INDEX(SPPR!$E:$X,MATCH($A117,SPPR!$A:$A,0),16),""),"")</f>
        <v/>
      </c>
      <c r="T117">
        <f>IFERROR(IF(ISNUMBER(INDEX(SPPR!$E:$X,MATCH($A117,SPPR!$A:$A,0),17)),$C117*INDEX(SPPR!$E:$X,MATCH($A117,SPPR!$A:$A,0),17),""),"")</f>
        <v/>
      </c>
      <c r="U117">
        <f>IFERROR(IF(ISNUMBER(INDEX(SPPR!$E:$X,MATCH($A117,SPPR!$A:$A,0),18)),$C117*INDEX(SPPR!$E:$X,MATCH($A117,SPPR!$A:$A,0),18),""),"")</f>
        <v/>
      </c>
      <c r="V117">
        <f>IFERROR(IF(ISNUMBER(INDEX(SPPR!$E:$X,MATCH($A117,SPPR!$A:$A,0),19)),$C117*INDEX(SPPR!$E:$X,MATCH($A117,SPPR!$A:$A,0),19),""),"")</f>
        <v/>
      </c>
      <c r="W117">
        <f>IFERROR(IF(ISNUMBER(INDEX(SPPR!$E:$X,MATCH($A117,SPPR!$A:$A,0),20)),$C117*INDEX(SPPR!$E:$X,MATCH($A117,SPPR!$A:$A,0),20),""),"")</f>
        <v/>
      </c>
    </row>
    <row r="118">
      <c r="A118" t="inlineStr">
        <is>
          <t>Squalidae</t>
        </is>
      </c>
      <c r="B118">
        <f>IFERROR(INDEX(SPPR!$D:$D,MATCH($A118,SPPR!$A:$A,0)),"")</f>
        <v/>
      </c>
      <c r="C118">
        <f>IFERROR(INDEX(Catch!$E:$BV,MATCH($A118,Catch!$A:$A,0),MATCH($B$4,Catch!$E$1:$BV$1,0)),0)</f>
        <v/>
      </c>
      <c r="D118">
        <f>IFERROR(IF(ISNUMBER(INDEX(SPPR!$E:$X,MATCH($A118,SPPR!$A:$A,0),1)),$C118*INDEX(SPPR!$E:$X,MATCH($A118,SPPR!$A:$A,0),1),""),"")</f>
        <v/>
      </c>
      <c r="E118">
        <f>IFERROR(IF(ISNUMBER(INDEX(SPPR!$E:$X,MATCH($A118,SPPR!$A:$A,0),2)),$C118*INDEX(SPPR!$E:$X,MATCH($A118,SPPR!$A:$A,0),2),""),"")</f>
        <v/>
      </c>
      <c r="F118">
        <f>IFERROR(IF(ISNUMBER(INDEX(SPPR!$E:$X,MATCH($A118,SPPR!$A:$A,0),3)),$C118*INDEX(SPPR!$E:$X,MATCH($A118,SPPR!$A:$A,0),3),""),"")</f>
        <v/>
      </c>
      <c r="G118">
        <f>IFERROR(IF(ISNUMBER(INDEX(SPPR!$E:$X,MATCH($A118,SPPR!$A:$A,0),4)),$C118*INDEX(SPPR!$E:$X,MATCH($A118,SPPR!$A:$A,0),4),""),"")</f>
        <v/>
      </c>
      <c r="H118">
        <f>IFERROR(IF(ISNUMBER(INDEX(SPPR!$E:$X,MATCH($A118,SPPR!$A:$A,0),5)),$C118*INDEX(SPPR!$E:$X,MATCH($A118,SPPR!$A:$A,0),5),""),"")</f>
        <v/>
      </c>
      <c r="I118">
        <f>IFERROR(IF(ISNUMBER(INDEX(SPPR!$E:$X,MATCH($A118,SPPR!$A:$A,0),6)),$C118*INDEX(SPPR!$E:$X,MATCH($A118,SPPR!$A:$A,0),6),""),"")</f>
        <v/>
      </c>
      <c r="J118">
        <f>IFERROR(IF(ISNUMBER(INDEX(SPPR!$E:$X,MATCH($A118,SPPR!$A:$A,0),7)),$C118*INDEX(SPPR!$E:$X,MATCH($A118,SPPR!$A:$A,0),7),""),"")</f>
        <v/>
      </c>
      <c r="K118">
        <f>IFERROR(IF(ISNUMBER(INDEX(SPPR!$E:$X,MATCH($A118,SPPR!$A:$A,0),8)),$C118*INDEX(SPPR!$E:$X,MATCH($A118,SPPR!$A:$A,0),8),""),"")</f>
        <v/>
      </c>
      <c r="L118">
        <f>IFERROR(IF(ISNUMBER(INDEX(SPPR!$E:$X,MATCH($A118,SPPR!$A:$A,0),9)),$C118*INDEX(SPPR!$E:$X,MATCH($A118,SPPR!$A:$A,0),9),""),"")</f>
        <v/>
      </c>
      <c r="M118">
        <f>IFERROR(IF(ISNUMBER(INDEX(SPPR!$E:$X,MATCH($A118,SPPR!$A:$A,0),10)),$C118*INDEX(SPPR!$E:$X,MATCH($A118,SPPR!$A:$A,0),10),""),"")</f>
        <v/>
      </c>
      <c r="N118">
        <f>IFERROR(IF(ISNUMBER(INDEX(SPPR!$E:$X,MATCH($A118,SPPR!$A:$A,0),11)),$C118*INDEX(SPPR!$E:$X,MATCH($A118,SPPR!$A:$A,0),11),""),"")</f>
        <v/>
      </c>
      <c r="O118">
        <f>IFERROR(IF(ISNUMBER(INDEX(SPPR!$E:$X,MATCH($A118,SPPR!$A:$A,0),12)),$C118*INDEX(SPPR!$E:$X,MATCH($A118,SPPR!$A:$A,0),12),""),"")</f>
        <v/>
      </c>
      <c r="P118">
        <f>IFERROR(IF(ISNUMBER(INDEX(SPPR!$E:$X,MATCH($A118,SPPR!$A:$A,0),13)),$C118*INDEX(SPPR!$E:$X,MATCH($A118,SPPR!$A:$A,0),13),""),"")</f>
        <v/>
      </c>
      <c r="Q118">
        <f>IFERROR(IF(ISNUMBER(INDEX(SPPR!$E:$X,MATCH($A118,SPPR!$A:$A,0),14)),$C118*INDEX(SPPR!$E:$X,MATCH($A118,SPPR!$A:$A,0),14),""),"")</f>
        <v/>
      </c>
      <c r="R118">
        <f>IFERROR(IF(ISNUMBER(INDEX(SPPR!$E:$X,MATCH($A118,SPPR!$A:$A,0),15)),$C118*INDEX(SPPR!$E:$X,MATCH($A118,SPPR!$A:$A,0),15),""),"")</f>
        <v/>
      </c>
      <c r="S118">
        <f>IFERROR(IF(ISNUMBER(INDEX(SPPR!$E:$X,MATCH($A118,SPPR!$A:$A,0),16)),$C118*INDEX(SPPR!$E:$X,MATCH($A118,SPPR!$A:$A,0),16),""),"")</f>
        <v/>
      </c>
      <c r="T118">
        <f>IFERROR(IF(ISNUMBER(INDEX(SPPR!$E:$X,MATCH($A118,SPPR!$A:$A,0),17)),$C118*INDEX(SPPR!$E:$X,MATCH($A118,SPPR!$A:$A,0),17),""),"")</f>
        <v/>
      </c>
      <c r="U118">
        <f>IFERROR(IF(ISNUMBER(INDEX(SPPR!$E:$X,MATCH($A118,SPPR!$A:$A,0),18)),$C118*INDEX(SPPR!$E:$X,MATCH($A118,SPPR!$A:$A,0),18),""),"")</f>
        <v/>
      </c>
      <c r="V118">
        <f>IFERROR(IF(ISNUMBER(INDEX(SPPR!$E:$X,MATCH($A118,SPPR!$A:$A,0),19)),$C118*INDEX(SPPR!$E:$X,MATCH($A118,SPPR!$A:$A,0),19),""),"")</f>
        <v/>
      </c>
      <c r="W118">
        <f>IFERROR(IF(ISNUMBER(INDEX(SPPR!$E:$X,MATCH($A118,SPPR!$A:$A,0),20)),$C118*INDEX(SPPR!$E:$X,MATCH($A118,SPPR!$A:$A,0),20),""),"")</f>
        <v/>
      </c>
    </row>
    <row r="119">
      <c r="A119" t="inlineStr">
        <is>
          <t>Seriola lalandi</t>
        </is>
      </c>
      <c r="B119">
        <f>IFERROR(INDEX(SPPR!$D:$D,MATCH($A119,SPPR!$A:$A,0)),"")</f>
        <v/>
      </c>
      <c r="C119">
        <f>IFERROR(INDEX(Catch!$E:$BV,MATCH($A119,Catch!$A:$A,0),MATCH($B$4,Catch!$E$1:$BV$1,0)),0)</f>
        <v/>
      </c>
      <c r="D119">
        <f>IFERROR(IF(ISNUMBER(INDEX(SPPR!$E:$X,MATCH($A119,SPPR!$A:$A,0),1)),$C119*INDEX(SPPR!$E:$X,MATCH($A119,SPPR!$A:$A,0),1),""),"")</f>
        <v/>
      </c>
      <c r="E119">
        <f>IFERROR(IF(ISNUMBER(INDEX(SPPR!$E:$X,MATCH($A119,SPPR!$A:$A,0),2)),$C119*INDEX(SPPR!$E:$X,MATCH($A119,SPPR!$A:$A,0),2),""),"")</f>
        <v/>
      </c>
      <c r="F119">
        <f>IFERROR(IF(ISNUMBER(INDEX(SPPR!$E:$X,MATCH($A119,SPPR!$A:$A,0),3)),$C119*INDEX(SPPR!$E:$X,MATCH($A119,SPPR!$A:$A,0),3),""),"")</f>
        <v/>
      </c>
      <c r="G119">
        <f>IFERROR(IF(ISNUMBER(INDEX(SPPR!$E:$X,MATCH($A119,SPPR!$A:$A,0),4)),$C119*INDEX(SPPR!$E:$X,MATCH($A119,SPPR!$A:$A,0),4),""),"")</f>
        <v/>
      </c>
      <c r="H119">
        <f>IFERROR(IF(ISNUMBER(INDEX(SPPR!$E:$X,MATCH($A119,SPPR!$A:$A,0),5)),$C119*INDEX(SPPR!$E:$X,MATCH($A119,SPPR!$A:$A,0),5),""),"")</f>
        <v/>
      </c>
      <c r="I119">
        <f>IFERROR(IF(ISNUMBER(INDEX(SPPR!$E:$X,MATCH($A119,SPPR!$A:$A,0),6)),$C119*INDEX(SPPR!$E:$X,MATCH($A119,SPPR!$A:$A,0),6),""),"")</f>
        <v/>
      </c>
      <c r="J119">
        <f>IFERROR(IF(ISNUMBER(INDEX(SPPR!$E:$X,MATCH($A119,SPPR!$A:$A,0),7)),$C119*INDEX(SPPR!$E:$X,MATCH($A119,SPPR!$A:$A,0),7),""),"")</f>
        <v/>
      </c>
      <c r="K119">
        <f>IFERROR(IF(ISNUMBER(INDEX(SPPR!$E:$X,MATCH($A119,SPPR!$A:$A,0),8)),$C119*INDEX(SPPR!$E:$X,MATCH($A119,SPPR!$A:$A,0),8),""),"")</f>
        <v/>
      </c>
      <c r="L119">
        <f>IFERROR(IF(ISNUMBER(INDEX(SPPR!$E:$X,MATCH($A119,SPPR!$A:$A,0),9)),$C119*INDEX(SPPR!$E:$X,MATCH($A119,SPPR!$A:$A,0),9),""),"")</f>
        <v/>
      </c>
      <c r="M119">
        <f>IFERROR(IF(ISNUMBER(INDEX(SPPR!$E:$X,MATCH($A119,SPPR!$A:$A,0),10)),$C119*INDEX(SPPR!$E:$X,MATCH($A119,SPPR!$A:$A,0),10),""),"")</f>
        <v/>
      </c>
      <c r="N119">
        <f>IFERROR(IF(ISNUMBER(INDEX(SPPR!$E:$X,MATCH($A119,SPPR!$A:$A,0),11)),$C119*INDEX(SPPR!$E:$X,MATCH($A119,SPPR!$A:$A,0),11),""),"")</f>
        <v/>
      </c>
      <c r="O119">
        <f>IFERROR(IF(ISNUMBER(INDEX(SPPR!$E:$X,MATCH($A119,SPPR!$A:$A,0),12)),$C119*INDEX(SPPR!$E:$X,MATCH($A119,SPPR!$A:$A,0),12),""),"")</f>
        <v/>
      </c>
      <c r="P119">
        <f>IFERROR(IF(ISNUMBER(INDEX(SPPR!$E:$X,MATCH($A119,SPPR!$A:$A,0),13)),$C119*INDEX(SPPR!$E:$X,MATCH($A119,SPPR!$A:$A,0),13),""),"")</f>
        <v/>
      </c>
      <c r="Q119">
        <f>IFERROR(IF(ISNUMBER(INDEX(SPPR!$E:$X,MATCH($A119,SPPR!$A:$A,0),14)),$C119*INDEX(SPPR!$E:$X,MATCH($A119,SPPR!$A:$A,0),14),""),"")</f>
        <v/>
      </c>
      <c r="R119">
        <f>IFERROR(IF(ISNUMBER(INDEX(SPPR!$E:$X,MATCH($A119,SPPR!$A:$A,0),15)),$C119*INDEX(SPPR!$E:$X,MATCH($A119,SPPR!$A:$A,0),15),""),"")</f>
        <v/>
      </c>
      <c r="S119">
        <f>IFERROR(IF(ISNUMBER(INDEX(SPPR!$E:$X,MATCH($A119,SPPR!$A:$A,0),16)),$C119*INDEX(SPPR!$E:$X,MATCH($A119,SPPR!$A:$A,0),16),""),"")</f>
        <v/>
      </c>
      <c r="T119">
        <f>IFERROR(IF(ISNUMBER(INDEX(SPPR!$E:$X,MATCH($A119,SPPR!$A:$A,0),17)),$C119*INDEX(SPPR!$E:$X,MATCH($A119,SPPR!$A:$A,0),17),""),"")</f>
        <v/>
      </c>
      <c r="U119">
        <f>IFERROR(IF(ISNUMBER(INDEX(SPPR!$E:$X,MATCH($A119,SPPR!$A:$A,0),18)),$C119*INDEX(SPPR!$E:$X,MATCH($A119,SPPR!$A:$A,0),18),""),"")</f>
        <v/>
      </c>
      <c r="V119">
        <f>IFERROR(IF(ISNUMBER(INDEX(SPPR!$E:$X,MATCH($A119,SPPR!$A:$A,0),19)),$C119*INDEX(SPPR!$E:$X,MATCH($A119,SPPR!$A:$A,0),19),""),"")</f>
        <v/>
      </c>
      <c r="W119">
        <f>IFERROR(IF(ISNUMBER(INDEX(SPPR!$E:$X,MATCH($A119,SPPR!$A:$A,0),20)),$C119*INDEX(SPPR!$E:$X,MATCH($A119,SPPR!$A:$A,0),20),""),"")</f>
        <v/>
      </c>
    </row>
    <row r="120">
      <c r="A120" t="inlineStr">
        <is>
          <t>Portunidae</t>
        </is>
      </c>
      <c r="B120">
        <f>IFERROR(INDEX(SPPR!$D:$D,MATCH($A120,SPPR!$A:$A,0)),"")</f>
        <v/>
      </c>
      <c r="C120">
        <f>IFERROR(INDEX(Catch!$E:$BV,MATCH($A120,Catch!$A:$A,0),MATCH($B$4,Catch!$E$1:$BV$1,0)),0)</f>
        <v/>
      </c>
      <c r="D120">
        <f>IFERROR(IF(ISNUMBER(INDEX(SPPR!$E:$X,MATCH($A120,SPPR!$A:$A,0),1)),$C120*INDEX(SPPR!$E:$X,MATCH($A120,SPPR!$A:$A,0),1),""),"")</f>
        <v/>
      </c>
      <c r="E120">
        <f>IFERROR(IF(ISNUMBER(INDEX(SPPR!$E:$X,MATCH($A120,SPPR!$A:$A,0),2)),$C120*INDEX(SPPR!$E:$X,MATCH($A120,SPPR!$A:$A,0),2),""),"")</f>
        <v/>
      </c>
      <c r="F120">
        <f>IFERROR(IF(ISNUMBER(INDEX(SPPR!$E:$X,MATCH($A120,SPPR!$A:$A,0),3)),$C120*INDEX(SPPR!$E:$X,MATCH($A120,SPPR!$A:$A,0),3),""),"")</f>
        <v/>
      </c>
      <c r="G120">
        <f>IFERROR(IF(ISNUMBER(INDEX(SPPR!$E:$X,MATCH($A120,SPPR!$A:$A,0),4)),$C120*INDEX(SPPR!$E:$X,MATCH($A120,SPPR!$A:$A,0),4),""),"")</f>
        <v/>
      </c>
      <c r="H120">
        <f>IFERROR(IF(ISNUMBER(INDEX(SPPR!$E:$X,MATCH($A120,SPPR!$A:$A,0),5)),$C120*INDEX(SPPR!$E:$X,MATCH($A120,SPPR!$A:$A,0),5),""),"")</f>
        <v/>
      </c>
      <c r="I120">
        <f>IFERROR(IF(ISNUMBER(INDEX(SPPR!$E:$X,MATCH($A120,SPPR!$A:$A,0),6)),$C120*INDEX(SPPR!$E:$X,MATCH($A120,SPPR!$A:$A,0),6),""),"")</f>
        <v/>
      </c>
      <c r="J120">
        <f>IFERROR(IF(ISNUMBER(INDEX(SPPR!$E:$X,MATCH($A120,SPPR!$A:$A,0),7)),$C120*INDEX(SPPR!$E:$X,MATCH($A120,SPPR!$A:$A,0),7),""),"")</f>
        <v/>
      </c>
      <c r="K120">
        <f>IFERROR(IF(ISNUMBER(INDEX(SPPR!$E:$X,MATCH($A120,SPPR!$A:$A,0),8)),$C120*INDEX(SPPR!$E:$X,MATCH($A120,SPPR!$A:$A,0),8),""),"")</f>
        <v/>
      </c>
      <c r="L120">
        <f>IFERROR(IF(ISNUMBER(INDEX(SPPR!$E:$X,MATCH($A120,SPPR!$A:$A,0),9)),$C120*INDEX(SPPR!$E:$X,MATCH($A120,SPPR!$A:$A,0),9),""),"")</f>
        <v/>
      </c>
      <c r="M120">
        <f>IFERROR(IF(ISNUMBER(INDEX(SPPR!$E:$X,MATCH($A120,SPPR!$A:$A,0),10)),$C120*INDEX(SPPR!$E:$X,MATCH($A120,SPPR!$A:$A,0),10),""),"")</f>
        <v/>
      </c>
      <c r="N120">
        <f>IFERROR(IF(ISNUMBER(INDEX(SPPR!$E:$X,MATCH($A120,SPPR!$A:$A,0),11)),$C120*INDEX(SPPR!$E:$X,MATCH($A120,SPPR!$A:$A,0),11),""),"")</f>
        <v/>
      </c>
      <c r="O120">
        <f>IFERROR(IF(ISNUMBER(INDEX(SPPR!$E:$X,MATCH($A120,SPPR!$A:$A,0),12)),$C120*INDEX(SPPR!$E:$X,MATCH($A120,SPPR!$A:$A,0),12),""),"")</f>
        <v/>
      </c>
      <c r="P120">
        <f>IFERROR(IF(ISNUMBER(INDEX(SPPR!$E:$X,MATCH($A120,SPPR!$A:$A,0),13)),$C120*INDEX(SPPR!$E:$X,MATCH($A120,SPPR!$A:$A,0),13),""),"")</f>
        <v/>
      </c>
      <c r="Q120">
        <f>IFERROR(IF(ISNUMBER(INDEX(SPPR!$E:$X,MATCH($A120,SPPR!$A:$A,0),14)),$C120*INDEX(SPPR!$E:$X,MATCH($A120,SPPR!$A:$A,0),14),""),"")</f>
        <v/>
      </c>
      <c r="R120">
        <f>IFERROR(IF(ISNUMBER(INDEX(SPPR!$E:$X,MATCH($A120,SPPR!$A:$A,0),15)),$C120*INDEX(SPPR!$E:$X,MATCH($A120,SPPR!$A:$A,0),15),""),"")</f>
        <v/>
      </c>
      <c r="S120">
        <f>IFERROR(IF(ISNUMBER(INDEX(SPPR!$E:$X,MATCH($A120,SPPR!$A:$A,0),16)),$C120*INDEX(SPPR!$E:$X,MATCH($A120,SPPR!$A:$A,0),16),""),"")</f>
        <v/>
      </c>
      <c r="T120">
        <f>IFERROR(IF(ISNUMBER(INDEX(SPPR!$E:$X,MATCH($A120,SPPR!$A:$A,0),17)),$C120*INDEX(SPPR!$E:$X,MATCH($A120,SPPR!$A:$A,0),17),""),"")</f>
        <v/>
      </c>
      <c r="U120">
        <f>IFERROR(IF(ISNUMBER(INDEX(SPPR!$E:$X,MATCH($A120,SPPR!$A:$A,0),18)),$C120*INDEX(SPPR!$E:$X,MATCH($A120,SPPR!$A:$A,0),18),""),"")</f>
        <v/>
      </c>
      <c r="V120">
        <f>IFERROR(IF(ISNUMBER(INDEX(SPPR!$E:$X,MATCH($A120,SPPR!$A:$A,0),19)),$C120*INDEX(SPPR!$E:$X,MATCH($A120,SPPR!$A:$A,0),19),""),"")</f>
        <v/>
      </c>
      <c r="W120">
        <f>IFERROR(IF(ISNUMBER(INDEX(SPPR!$E:$X,MATCH($A120,SPPR!$A:$A,0),20)),$C120*INDEX(SPPR!$E:$X,MATCH($A120,SPPR!$A:$A,0),20),""),"")</f>
        <v/>
      </c>
    </row>
    <row r="121">
      <c r="A121" t="inlineStr">
        <is>
          <t>Pagrus auratus</t>
        </is>
      </c>
      <c r="B121">
        <f>IFERROR(INDEX(SPPR!$D:$D,MATCH($A121,SPPR!$A:$A,0)),"")</f>
        <v/>
      </c>
      <c r="C121">
        <f>IFERROR(INDEX(Catch!$E:$BV,MATCH($A121,Catch!$A:$A,0),MATCH($B$4,Catch!$E$1:$BV$1,0)),0)</f>
        <v/>
      </c>
      <c r="D121">
        <f>IFERROR(IF(ISNUMBER(INDEX(SPPR!$E:$X,MATCH($A121,SPPR!$A:$A,0),1)),$C121*INDEX(SPPR!$E:$X,MATCH($A121,SPPR!$A:$A,0),1),""),"")</f>
        <v/>
      </c>
      <c r="E121">
        <f>IFERROR(IF(ISNUMBER(INDEX(SPPR!$E:$X,MATCH($A121,SPPR!$A:$A,0),2)),$C121*INDEX(SPPR!$E:$X,MATCH($A121,SPPR!$A:$A,0),2),""),"")</f>
        <v/>
      </c>
      <c r="F121">
        <f>IFERROR(IF(ISNUMBER(INDEX(SPPR!$E:$X,MATCH($A121,SPPR!$A:$A,0),3)),$C121*INDEX(SPPR!$E:$X,MATCH($A121,SPPR!$A:$A,0),3),""),"")</f>
        <v/>
      </c>
      <c r="G121">
        <f>IFERROR(IF(ISNUMBER(INDEX(SPPR!$E:$X,MATCH($A121,SPPR!$A:$A,0),4)),$C121*INDEX(SPPR!$E:$X,MATCH($A121,SPPR!$A:$A,0),4),""),"")</f>
        <v/>
      </c>
      <c r="H121">
        <f>IFERROR(IF(ISNUMBER(INDEX(SPPR!$E:$X,MATCH($A121,SPPR!$A:$A,0),5)),$C121*INDEX(SPPR!$E:$X,MATCH($A121,SPPR!$A:$A,0),5),""),"")</f>
        <v/>
      </c>
      <c r="I121">
        <f>IFERROR(IF(ISNUMBER(INDEX(SPPR!$E:$X,MATCH($A121,SPPR!$A:$A,0),6)),$C121*INDEX(SPPR!$E:$X,MATCH($A121,SPPR!$A:$A,0),6),""),"")</f>
        <v/>
      </c>
      <c r="J121">
        <f>IFERROR(IF(ISNUMBER(INDEX(SPPR!$E:$X,MATCH($A121,SPPR!$A:$A,0),7)),$C121*INDEX(SPPR!$E:$X,MATCH($A121,SPPR!$A:$A,0),7),""),"")</f>
        <v/>
      </c>
      <c r="K121">
        <f>IFERROR(IF(ISNUMBER(INDEX(SPPR!$E:$X,MATCH($A121,SPPR!$A:$A,0),8)),$C121*INDEX(SPPR!$E:$X,MATCH($A121,SPPR!$A:$A,0),8),""),"")</f>
        <v/>
      </c>
      <c r="L121">
        <f>IFERROR(IF(ISNUMBER(INDEX(SPPR!$E:$X,MATCH($A121,SPPR!$A:$A,0),9)),$C121*INDEX(SPPR!$E:$X,MATCH($A121,SPPR!$A:$A,0),9),""),"")</f>
        <v/>
      </c>
      <c r="M121">
        <f>IFERROR(IF(ISNUMBER(INDEX(SPPR!$E:$X,MATCH($A121,SPPR!$A:$A,0),10)),$C121*INDEX(SPPR!$E:$X,MATCH($A121,SPPR!$A:$A,0),10),""),"")</f>
        <v/>
      </c>
      <c r="N121">
        <f>IFERROR(IF(ISNUMBER(INDEX(SPPR!$E:$X,MATCH($A121,SPPR!$A:$A,0),11)),$C121*INDEX(SPPR!$E:$X,MATCH($A121,SPPR!$A:$A,0),11),""),"")</f>
        <v/>
      </c>
      <c r="O121">
        <f>IFERROR(IF(ISNUMBER(INDEX(SPPR!$E:$X,MATCH($A121,SPPR!$A:$A,0),12)),$C121*INDEX(SPPR!$E:$X,MATCH($A121,SPPR!$A:$A,0),12),""),"")</f>
        <v/>
      </c>
      <c r="P121">
        <f>IFERROR(IF(ISNUMBER(INDEX(SPPR!$E:$X,MATCH($A121,SPPR!$A:$A,0),13)),$C121*INDEX(SPPR!$E:$X,MATCH($A121,SPPR!$A:$A,0),13),""),"")</f>
        <v/>
      </c>
      <c r="Q121">
        <f>IFERROR(IF(ISNUMBER(INDEX(SPPR!$E:$X,MATCH($A121,SPPR!$A:$A,0),14)),$C121*INDEX(SPPR!$E:$X,MATCH($A121,SPPR!$A:$A,0),14),""),"")</f>
        <v/>
      </c>
      <c r="R121">
        <f>IFERROR(IF(ISNUMBER(INDEX(SPPR!$E:$X,MATCH($A121,SPPR!$A:$A,0),15)),$C121*INDEX(SPPR!$E:$X,MATCH($A121,SPPR!$A:$A,0),15),""),"")</f>
        <v/>
      </c>
      <c r="S121">
        <f>IFERROR(IF(ISNUMBER(INDEX(SPPR!$E:$X,MATCH($A121,SPPR!$A:$A,0),16)),$C121*INDEX(SPPR!$E:$X,MATCH($A121,SPPR!$A:$A,0),16),""),"")</f>
        <v/>
      </c>
      <c r="T121">
        <f>IFERROR(IF(ISNUMBER(INDEX(SPPR!$E:$X,MATCH($A121,SPPR!$A:$A,0),17)),$C121*INDEX(SPPR!$E:$X,MATCH($A121,SPPR!$A:$A,0),17),""),"")</f>
        <v/>
      </c>
      <c r="U121">
        <f>IFERROR(IF(ISNUMBER(INDEX(SPPR!$E:$X,MATCH($A121,SPPR!$A:$A,0),18)),$C121*INDEX(SPPR!$E:$X,MATCH($A121,SPPR!$A:$A,0),18),""),"")</f>
        <v/>
      </c>
      <c r="V121">
        <f>IFERROR(IF(ISNUMBER(INDEX(SPPR!$E:$X,MATCH($A121,SPPR!$A:$A,0),19)),$C121*INDEX(SPPR!$E:$X,MATCH($A121,SPPR!$A:$A,0),19),""),"")</f>
        <v/>
      </c>
      <c r="W121">
        <f>IFERROR(IF(ISNUMBER(INDEX(SPPR!$E:$X,MATCH($A121,SPPR!$A:$A,0),20)),$C121*INDEX(SPPR!$E:$X,MATCH($A121,SPPR!$A:$A,0),20),""),"")</f>
        <v/>
      </c>
    </row>
    <row r="122">
      <c r="A122" t="inlineStr">
        <is>
          <t>Thunnus obesus</t>
        </is>
      </c>
      <c r="B122">
        <f>IFERROR(INDEX(SPPR!$D:$D,MATCH($A122,SPPR!$A:$A,0)),"")</f>
        <v/>
      </c>
      <c r="C122">
        <f>IFERROR(INDEX(Catch!$E:$BV,MATCH($A122,Catch!$A:$A,0),MATCH($B$4,Catch!$E$1:$BV$1,0)),0)</f>
        <v/>
      </c>
      <c r="D122">
        <f>IFERROR(IF(ISNUMBER(INDEX(SPPR!$E:$X,MATCH($A122,SPPR!$A:$A,0),1)),$C122*INDEX(SPPR!$E:$X,MATCH($A122,SPPR!$A:$A,0),1),""),"")</f>
        <v/>
      </c>
      <c r="E122">
        <f>IFERROR(IF(ISNUMBER(INDEX(SPPR!$E:$X,MATCH($A122,SPPR!$A:$A,0),2)),$C122*INDEX(SPPR!$E:$X,MATCH($A122,SPPR!$A:$A,0),2),""),"")</f>
        <v/>
      </c>
      <c r="F122">
        <f>IFERROR(IF(ISNUMBER(INDEX(SPPR!$E:$X,MATCH($A122,SPPR!$A:$A,0),3)),$C122*INDEX(SPPR!$E:$X,MATCH($A122,SPPR!$A:$A,0),3),""),"")</f>
        <v/>
      </c>
      <c r="G122">
        <f>IFERROR(IF(ISNUMBER(INDEX(SPPR!$E:$X,MATCH($A122,SPPR!$A:$A,0),4)),$C122*INDEX(SPPR!$E:$X,MATCH($A122,SPPR!$A:$A,0),4),""),"")</f>
        <v/>
      </c>
      <c r="H122">
        <f>IFERROR(IF(ISNUMBER(INDEX(SPPR!$E:$X,MATCH($A122,SPPR!$A:$A,0),5)),$C122*INDEX(SPPR!$E:$X,MATCH($A122,SPPR!$A:$A,0),5),""),"")</f>
        <v/>
      </c>
      <c r="I122">
        <f>IFERROR(IF(ISNUMBER(INDEX(SPPR!$E:$X,MATCH($A122,SPPR!$A:$A,0),6)),$C122*INDEX(SPPR!$E:$X,MATCH($A122,SPPR!$A:$A,0),6),""),"")</f>
        <v/>
      </c>
      <c r="J122">
        <f>IFERROR(IF(ISNUMBER(INDEX(SPPR!$E:$X,MATCH($A122,SPPR!$A:$A,0),7)),$C122*INDEX(SPPR!$E:$X,MATCH($A122,SPPR!$A:$A,0),7),""),"")</f>
        <v/>
      </c>
      <c r="K122">
        <f>IFERROR(IF(ISNUMBER(INDEX(SPPR!$E:$X,MATCH($A122,SPPR!$A:$A,0),8)),$C122*INDEX(SPPR!$E:$X,MATCH($A122,SPPR!$A:$A,0),8),""),"")</f>
        <v/>
      </c>
      <c r="L122">
        <f>IFERROR(IF(ISNUMBER(INDEX(SPPR!$E:$X,MATCH($A122,SPPR!$A:$A,0),9)),$C122*INDEX(SPPR!$E:$X,MATCH($A122,SPPR!$A:$A,0),9),""),"")</f>
        <v/>
      </c>
      <c r="M122">
        <f>IFERROR(IF(ISNUMBER(INDEX(SPPR!$E:$X,MATCH($A122,SPPR!$A:$A,0),10)),$C122*INDEX(SPPR!$E:$X,MATCH($A122,SPPR!$A:$A,0),10),""),"")</f>
        <v/>
      </c>
      <c r="N122">
        <f>IFERROR(IF(ISNUMBER(INDEX(SPPR!$E:$X,MATCH($A122,SPPR!$A:$A,0),11)),$C122*INDEX(SPPR!$E:$X,MATCH($A122,SPPR!$A:$A,0),11),""),"")</f>
        <v/>
      </c>
      <c r="O122">
        <f>IFERROR(IF(ISNUMBER(INDEX(SPPR!$E:$X,MATCH($A122,SPPR!$A:$A,0),12)),$C122*INDEX(SPPR!$E:$X,MATCH($A122,SPPR!$A:$A,0),12),""),"")</f>
        <v/>
      </c>
      <c r="P122">
        <f>IFERROR(IF(ISNUMBER(INDEX(SPPR!$E:$X,MATCH($A122,SPPR!$A:$A,0),13)),$C122*INDEX(SPPR!$E:$X,MATCH($A122,SPPR!$A:$A,0),13),""),"")</f>
        <v/>
      </c>
      <c r="Q122">
        <f>IFERROR(IF(ISNUMBER(INDEX(SPPR!$E:$X,MATCH($A122,SPPR!$A:$A,0),14)),$C122*INDEX(SPPR!$E:$X,MATCH($A122,SPPR!$A:$A,0),14),""),"")</f>
        <v/>
      </c>
      <c r="R122">
        <f>IFERROR(IF(ISNUMBER(INDEX(SPPR!$E:$X,MATCH($A122,SPPR!$A:$A,0),15)),$C122*INDEX(SPPR!$E:$X,MATCH($A122,SPPR!$A:$A,0),15),""),"")</f>
        <v/>
      </c>
      <c r="S122">
        <f>IFERROR(IF(ISNUMBER(INDEX(SPPR!$E:$X,MATCH($A122,SPPR!$A:$A,0),16)),$C122*INDEX(SPPR!$E:$X,MATCH($A122,SPPR!$A:$A,0),16),""),"")</f>
        <v/>
      </c>
      <c r="T122">
        <f>IFERROR(IF(ISNUMBER(INDEX(SPPR!$E:$X,MATCH($A122,SPPR!$A:$A,0),17)),$C122*INDEX(SPPR!$E:$X,MATCH($A122,SPPR!$A:$A,0),17),""),"")</f>
        <v/>
      </c>
      <c r="U122">
        <f>IFERROR(IF(ISNUMBER(INDEX(SPPR!$E:$X,MATCH($A122,SPPR!$A:$A,0),18)),$C122*INDEX(SPPR!$E:$X,MATCH($A122,SPPR!$A:$A,0),18),""),"")</f>
        <v/>
      </c>
      <c r="V122">
        <f>IFERROR(IF(ISNUMBER(INDEX(SPPR!$E:$X,MATCH($A122,SPPR!$A:$A,0),19)),$C122*INDEX(SPPR!$E:$X,MATCH($A122,SPPR!$A:$A,0),19),""),"")</f>
        <v/>
      </c>
      <c r="W122">
        <f>IFERROR(IF(ISNUMBER(INDEX(SPPR!$E:$X,MATCH($A122,SPPR!$A:$A,0),20)),$C122*INDEX(SPPR!$E:$X,MATCH($A122,SPPR!$A:$A,0),20),""),"")</f>
        <v/>
      </c>
    </row>
    <row r="123">
      <c r="A123" t="inlineStr">
        <is>
          <t>Haemulidae</t>
        </is>
      </c>
      <c r="B123">
        <f>IFERROR(INDEX(SPPR!$D:$D,MATCH($A123,SPPR!$A:$A,0)),"")</f>
        <v/>
      </c>
      <c r="C123">
        <f>IFERROR(INDEX(Catch!$E:$BV,MATCH($A123,Catch!$A:$A,0),MATCH($B$4,Catch!$E$1:$BV$1,0)),0)</f>
        <v/>
      </c>
      <c r="D123">
        <f>IFERROR(IF(ISNUMBER(INDEX(SPPR!$E:$X,MATCH($A123,SPPR!$A:$A,0),1)),$C123*INDEX(SPPR!$E:$X,MATCH($A123,SPPR!$A:$A,0),1),""),"")</f>
        <v/>
      </c>
      <c r="E123">
        <f>IFERROR(IF(ISNUMBER(INDEX(SPPR!$E:$X,MATCH($A123,SPPR!$A:$A,0),2)),$C123*INDEX(SPPR!$E:$X,MATCH($A123,SPPR!$A:$A,0),2),""),"")</f>
        <v/>
      </c>
      <c r="F123">
        <f>IFERROR(IF(ISNUMBER(INDEX(SPPR!$E:$X,MATCH($A123,SPPR!$A:$A,0),3)),$C123*INDEX(SPPR!$E:$X,MATCH($A123,SPPR!$A:$A,0),3),""),"")</f>
        <v/>
      </c>
      <c r="G123">
        <f>IFERROR(IF(ISNUMBER(INDEX(SPPR!$E:$X,MATCH($A123,SPPR!$A:$A,0),4)),$C123*INDEX(SPPR!$E:$X,MATCH($A123,SPPR!$A:$A,0),4),""),"")</f>
        <v/>
      </c>
      <c r="H123">
        <f>IFERROR(IF(ISNUMBER(INDEX(SPPR!$E:$X,MATCH($A123,SPPR!$A:$A,0),5)),$C123*INDEX(SPPR!$E:$X,MATCH($A123,SPPR!$A:$A,0),5),""),"")</f>
        <v/>
      </c>
      <c r="I123">
        <f>IFERROR(IF(ISNUMBER(INDEX(SPPR!$E:$X,MATCH($A123,SPPR!$A:$A,0),6)),$C123*INDEX(SPPR!$E:$X,MATCH($A123,SPPR!$A:$A,0),6),""),"")</f>
        <v/>
      </c>
      <c r="J123">
        <f>IFERROR(IF(ISNUMBER(INDEX(SPPR!$E:$X,MATCH($A123,SPPR!$A:$A,0),7)),$C123*INDEX(SPPR!$E:$X,MATCH($A123,SPPR!$A:$A,0),7),""),"")</f>
        <v/>
      </c>
      <c r="K123">
        <f>IFERROR(IF(ISNUMBER(INDEX(SPPR!$E:$X,MATCH($A123,SPPR!$A:$A,0),8)),$C123*INDEX(SPPR!$E:$X,MATCH($A123,SPPR!$A:$A,0),8),""),"")</f>
        <v/>
      </c>
      <c r="L123">
        <f>IFERROR(IF(ISNUMBER(INDEX(SPPR!$E:$X,MATCH($A123,SPPR!$A:$A,0),9)),$C123*INDEX(SPPR!$E:$X,MATCH($A123,SPPR!$A:$A,0),9),""),"")</f>
        <v/>
      </c>
      <c r="M123">
        <f>IFERROR(IF(ISNUMBER(INDEX(SPPR!$E:$X,MATCH($A123,SPPR!$A:$A,0),10)),$C123*INDEX(SPPR!$E:$X,MATCH($A123,SPPR!$A:$A,0),10),""),"")</f>
        <v/>
      </c>
      <c r="N123">
        <f>IFERROR(IF(ISNUMBER(INDEX(SPPR!$E:$X,MATCH($A123,SPPR!$A:$A,0),11)),$C123*INDEX(SPPR!$E:$X,MATCH($A123,SPPR!$A:$A,0),11),""),"")</f>
        <v/>
      </c>
      <c r="O123">
        <f>IFERROR(IF(ISNUMBER(INDEX(SPPR!$E:$X,MATCH($A123,SPPR!$A:$A,0),12)),$C123*INDEX(SPPR!$E:$X,MATCH($A123,SPPR!$A:$A,0),12),""),"")</f>
        <v/>
      </c>
      <c r="P123">
        <f>IFERROR(IF(ISNUMBER(INDEX(SPPR!$E:$X,MATCH($A123,SPPR!$A:$A,0),13)),$C123*INDEX(SPPR!$E:$X,MATCH($A123,SPPR!$A:$A,0),13),""),"")</f>
        <v/>
      </c>
      <c r="Q123">
        <f>IFERROR(IF(ISNUMBER(INDEX(SPPR!$E:$X,MATCH($A123,SPPR!$A:$A,0),14)),$C123*INDEX(SPPR!$E:$X,MATCH($A123,SPPR!$A:$A,0),14),""),"")</f>
        <v/>
      </c>
      <c r="R123">
        <f>IFERROR(IF(ISNUMBER(INDEX(SPPR!$E:$X,MATCH($A123,SPPR!$A:$A,0),15)),$C123*INDEX(SPPR!$E:$X,MATCH($A123,SPPR!$A:$A,0),15),""),"")</f>
        <v/>
      </c>
      <c r="S123">
        <f>IFERROR(IF(ISNUMBER(INDEX(SPPR!$E:$X,MATCH($A123,SPPR!$A:$A,0),16)),$C123*INDEX(SPPR!$E:$X,MATCH($A123,SPPR!$A:$A,0),16),""),"")</f>
        <v/>
      </c>
      <c r="T123">
        <f>IFERROR(IF(ISNUMBER(INDEX(SPPR!$E:$X,MATCH($A123,SPPR!$A:$A,0),17)),$C123*INDEX(SPPR!$E:$X,MATCH($A123,SPPR!$A:$A,0),17),""),"")</f>
        <v/>
      </c>
      <c r="U123">
        <f>IFERROR(IF(ISNUMBER(INDEX(SPPR!$E:$X,MATCH($A123,SPPR!$A:$A,0),18)),$C123*INDEX(SPPR!$E:$X,MATCH($A123,SPPR!$A:$A,0),18),""),"")</f>
        <v/>
      </c>
      <c r="V123">
        <f>IFERROR(IF(ISNUMBER(INDEX(SPPR!$E:$X,MATCH($A123,SPPR!$A:$A,0),19)),$C123*INDEX(SPPR!$E:$X,MATCH($A123,SPPR!$A:$A,0),19),""),"")</f>
        <v/>
      </c>
      <c r="W123">
        <f>IFERROR(IF(ISNUMBER(INDEX(SPPR!$E:$X,MATCH($A123,SPPR!$A:$A,0),20)),$C123*INDEX(SPPR!$E:$X,MATCH($A123,SPPR!$A:$A,0),20),""),"")</f>
        <v/>
      </c>
    </row>
    <row r="124">
      <c r="A124" t="inlineStr">
        <is>
          <t>Gastropoda</t>
        </is>
      </c>
      <c r="B124">
        <f>IFERROR(INDEX(SPPR!$D:$D,MATCH($A124,SPPR!$A:$A,0)),"")</f>
        <v/>
      </c>
      <c r="C124">
        <f>IFERROR(INDEX(Catch!$E:$BV,MATCH($A124,Catch!$A:$A,0),MATCH($B$4,Catch!$E$1:$BV$1,0)),0)</f>
        <v/>
      </c>
      <c r="D124">
        <f>IFERROR(IF(ISNUMBER(INDEX(SPPR!$E:$X,MATCH($A124,SPPR!$A:$A,0),1)),$C124*INDEX(SPPR!$E:$X,MATCH($A124,SPPR!$A:$A,0),1),""),"")</f>
        <v/>
      </c>
      <c r="E124">
        <f>IFERROR(IF(ISNUMBER(INDEX(SPPR!$E:$X,MATCH($A124,SPPR!$A:$A,0),2)),$C124*INDEX(SPPR!$E:$X,MATCH($A124,SPPR!$A:$A,0),2),""),"")</f>
        <v/>
      </c>
      <c r="F124">
        <f>IFERROR(IF(ISNUMBER(INDEX(SPPR!$E:$X,MATCH($A124,SPPR!$A:$A,0),3)),$C124*INDEX(SPPR!$E:$X,MATCH($A124,SPPR!$A:$A,0),3),""),"")</f>
        <v/>
      </c>
      <c r="G124">
        <f>IFERROR(IF(ISNUMBER(INDEX(SPPR!$E:$X,MATCH($A124,SPPR!$A:$A,0),4)),$C124*INDEX(SPPR!$E:$X,MATCH($A124,SPPR!$A:$A,0),4),""),"")</f>
        <v/>
      </c>
      <c r="H124">
        <f>IFERROR(IF(ISNUMBER(INDEX(SPPR!$E:$X,MATCH($A124,SPPR!$A:$A,0),5)),$C124*INDEX(SPPR!$E:$X,MATCH($A124,SPPR!$A:$A,0),5),""),"")</f>
        <v/>
      </c>
      <c r="I124">
        <f>IFERROR(IF(ISNUMBER(INDEX(SPPR!$E:$X,MATCH($A124,SPPR!$A:$A,0),6)),$C124*INDEX(SPPR!$E:$X,MATCH($A124,SPPR!$A:$A,0),6),""),"")</f>
        <v/>
      </c>
      <c r="J124">
        <f>IFERROR(IF(ISNUMBER(INDEX(SPPR!$E:$X,MATCH($A124,SPPR!$A:$A,0),7)),$C124*INDEX(SPPR!$E:$X,MATCH($A124,SPPR!$A:$A,0),7),""),"")</f>
        <v/>
      </c>
      <c r="K124">
        <f>IFERROR(IF(ISNUMBER(INDEX(SPPR!$E:$X,MATCH($A124,SPPR!$A:$A,0),8)),$C124*INDEX(SPPR!$E:$X,MATCH($A124,SPPR!$A:$A,0),8),""),"")</f>
        <v/>
      </c>
      <c r="L124">
        <f>IFERROR(IF(ISNUMBER(INDEX(SPPR!$E:$X,MATCH($A124,SPPR!$A:$A,0),9)),$C124*INDEX(SPPR!$E:$X,MATCH($A124,SPPR!$A:$A,0),9),""),"")</f>
        <v/>
      </c>
      <c r="M124">
        <f>IFERROR(IF(ISNUMBER(INDEX(SPPR!$E:$X,MATCH($A124,SPPR!$A:$A,0),10)),$C124*INDEX(SPPR!$E:$X,MATCH($A124,SPPR!$A:$A,0),10),""),"")</f>
        <v/>
      </c>
      <c r="N124">
        <f>IFERROR(IF(ISNUMBER(INDEX(SPPR!$E:$X,MATCH($A124,SPPR!$A:$A,0),11)),$C124*INDEX(SPPR!$E:$X,MATCH($A124,SPPR!$A:$A,0),11),""),"")</f>
        <v/>
      </c>
      <c r="O124">
        <f>IFERROR(IF(ISNUMBER(INDEX(SPPR!$E:$X,MATCH($A124,SPPR!$A:$A,0),12)),$C124*INDEX(SPPR!$E:$X,MATCH($A124,SPPR!$A:$A,0),12),""),"")</f>
        <v/>
      </c>
      <c r="P124">
        <f>IFERROR(IF(ISNUMBER(INDEX(SPPR!$E:$X,MATCH($A124,SPPR!$A:$A,0),13)),$C124*INDEX(SPPR!$E:$X,MATCH($A124,SPPR!$A:$A,0),13),""),"")</f>
        <v/>
      </c>
      <c r="Q124">
        <f>IFERROR(IF(ISNUMBER(INDEX(SPPR!$E:$X,MATCH($A124,SPPR!$A:$A,0),14)),$C124*INDEX(SPPR!$E:$X,MATCH($A124,SPPR!$A:$A,0),14),""),"")</f>
        <v/>
      </c>
      <c r="R124">
        <f>IFERROR(IF(ISNUMBER(INDEX(SPPR!$E:$X,MATCH($A124,SPPR!$A:$A,0),15)),$C124*INDEX(SPPR!$E:$X,MATCH($A124,SPPR!$A:$A,0),15),""),"")</f>
        <v/>
      </c>
      <c r="S124">
        <f>IFERROR(IF(ISNUMBER(INDEX(SPPR!$E:$X,MATCH($A124,SPPR!$A:$A,0),16)),$C124*INDEX(SPPR!$E:$X,MATCH($A124,SPPR!$A:$A,0),16),""),"")</f>
        <v/>
      </c>
      <c r="T124">
        <f>IFERROR(IF(ISNUMBER(INDEX(SPPR!$E:$X,MATCH($A124,SPPR!$A:$A,0),17)),$C124*INDEX(SPPR!$E:$X,MATCH($A124,SPPR!$A:$A,0),17),""),"")</f>
        <v/>
      </c>
      <c r="U124">
        <f>IFERROR(IF(ISNUMBER(INDEX(SPPR!$E:$X,MATCH($A124,SPPR!$A:$A,0),18)),$C124*INDEX(SPPR!$E:$X,MATCH($A124,SPPR!$A:$A,0),18),""),"")</f>
        <v/>
      </c>
      <c r="V124">
        <f>IFERROR(IF(ISNUMBER(INDEX(SPPR!$E:$X,MATCH($A124,SPPR!$A:$A,0),19)),$C124*INDEX(SPPR!$E:$X,MATCH($A124,SPPR!$A:$A,0),19),""),"")</f>
        <v/>
      </c>
      <c r="W124">
        <f>IFERROR(IF(ISNUMBER(INDEX(SPPR!$E:$X,MATCH($A124,SPPR!$A:$A,0),20)),$C124*INDEX(SPPR!$E:$X,MATCH($A124,SPPR!$A:$A,0),20),""),"")</f>
        <v/>
      </c>
    </row>
    <row r="125">
      <c r="A125" t="inlineStr">
        <is>
          <t>Holothuroidea</t>
        </is>
      </c>
      <c r="B125">
        <f>IFERROR(INDEX(SPPR!$D:$D,MATCH($A125,SPPR!$A:$A,0)),"")</f>
        <v/>
      </c>
      <c r="C125">
        <f>IFERROR(INDEX(Catch!$E:$BV,MATCH($A125,Catch!$A:$A,0),MATCH($B$4,Catch!$E$1:$BV$1,0)),0)</f>
        <v/>
      </c>
      <c r="D125">
        <f>IFERROR(IF(ISNUMBER(INDEX(SPPR!$E:$X,MATCH($A125,SPPR!$A:$A,0),1)),$C125*INDEX(SPPR!$E:$X,MATCH($A125,SPPR!$A:$A,0),1),""),"")</f>
        <v/>
      </c>
      <c r="E125">
        <f>IFERROR(IF(ISNUMBER(INDEX(SPPR!$E:$X,MATCH($A125,SPPR!$A:$A,0),2)),$C125*INDEX(SPPR!$E:$X,MATCH($A125,SPPR!$A:$A,0),2),""),"")</f>
        <v/>
      </c>
      <c r="F125">
        <f>IFERROR(IF(ISNUMBER(INDEX(SPPR!$E:$X,MATCH($A125,SPPR!$A:$A,0),3)),$C125*INDEX(SPPR!$E:$X,MATCH($A125,SPPR!$A:$A,0),3),""),"")</f>
        <v/>
      </c>
      <c r="G125">
        <f>IFERROR(IF(ISNUMBER(INDEX(SPPR!$E:$X,MATCH($A125,SPPR!$A:$A,0),4)),$C125*INDEX(SPPR!$E:$X,MATCH($A125,SPPR!$A:$A,0),4),""),"")</f>
        <v/>
      </c>
      <c r="H125">
        <f>IFERROR(IF(ISNUMBER(INDEX(SPPR!$E:$X,MATCH($A125,SPPR!$A:$A,0),5)),$C125*INDEX(SPPR!$E:$X,MATCH($A125,SPPR!$A:$A,0),5),""),"")</f>
        <v/>
      </c>
      <c r="I125">
        <f>IFERROR(IF(ISNUMBER(INDEX(SPPR!$E:$X,MATCH($A125,SPPR!$A:$A,0),6)),$C125*INDEX(SPPR!$E:$X,MATCH($A125,SPPR!$A:$A,0),6),""),"")</f>
        <v/>
      </c>
      <c r="J125">
        <f>IFERROR(IF(ISNUMBER(INDEX(SPPR!$E:$X,MATCH($A125,SPPR!$A:$A,0),7)),$C125*INDEX(SPPR!$E:$X,MATCH($A125,SPPR!$A:$A,0),7),""),"")</f>
        <v/>
      </c>
      <c r="K125">
        <f>IFERROR(IF(ISNUMBER(INDEX(SPPR!$E:$X,MATCH($A125,SPPR!$A:$A,0),8)),$C125*INDEX(SPPR!$E:$X,MATCH($A125,SPPR!$A:$A,0),8),""),"")</f>
        <v/>
      </c>
      <c r="L125">
        <f>IFERROR(IF(ISNUMBER(INDEX(SPPR!$E:$X,MATCH($A125,SPPR!$A:$A,0),9)),$C125*INDEX(SPPR!$E:$X,MATCH($A125,SPPR!$A:$A,0),9),""),"")</f>
        <v/>
      </c>
      <c r="M125">
        <f>IFERROR(IF(ISNUMBER(INDEX(SPPR!$E:$X,MATCH($A125,SPPR!$A:$A,0),10)),$C125*INDEX(SPPR!$E:$X,MATCH($A125,SPPR!$A:$A,0),10),""),"")</f>
        <v/>
      </c>
      <c r="N125">
        <f>IFERROR(IF(ISNUMBER(INDEX(SPPR!$E:$X,MATCH($A125,SPPR!$A:$A,0),11)),$C125*INDEX(SPPR!$E:$X,MATCH($A125,SPPR!$A:$A,0),11),""),"")</f>
        <v/>
      </c>
      <c r="O125">
        <f>IFERROR(IF(ISNUMBER(INDEX(SPPR!$E:$X,MATCH($A125,SPPR!$A:$A,0),12)),$C125*INDEX(SPPR!$E:$X,MATCH($A125,SPPR!$A:$A,0),12),""),"")</f>
        <v/>
      </c>
      <c r="P125">
        <f>IFERROR(IF(ISNUMBER(INDEX(SPPR!$E:$X,MATCH($A125,SPPR!$A:$A,0),13)),$C125*INDEX(SPPR!$E:$X,MATCH($A125,SPPR!$A:$A,0),13),""),"")</f>
        <v/>
      </c>
      <c r="Q125">
        <f>IFERROR(IF(ISNUMBER(INDEX(SPPR!$E:$X,MATCH($A125,SPPR!$A:$A,0),14)),$C125*INDEX(SPPR!$E:$X,MATCH($A125,SPPR!$A:$A,0),14),""),"")</f>
        <v/>
      </c>
      <c r="R125">
        <f>IFERROR(IF(ISNUMBER(INDEX(SPPR!$E:$X,MATCH($A125,SPPR!$A:$A,0),15)),$C125*INDEX(SPPR!$E:$X,MATCH($A125,SPPR!$A:$A,0),15),""),"")</f>
        <v/>
      </c>
      <c r="S125">
        <f>IFERROR(IF(ISNUMBER(INDEX(SPPR!$E:$X,MATCH($A125,SPPR!$A:$A,0),16)),$C125*INDEX(SPPR!$E:$X,MATCH($A125,SPPR!$A:$A,0),16),""),"")</f>
        <v/>
      </c>
      <c r="T125">
        <f>IFERROR(IF(ISNUMBER(INDEX(SPPR!$E:$X,MATCH($A125,SPPR!$A:$A,0),17)),$C125*INDEX(SPPR!$E:$X,MATCH($A125,SPPR!$A:$A,0),17),""),"")</f>
        <v/>
      </c>
      <c r="U125">
        <f>IFERROR(IF(ISNUMBER(INDEX(SPPR!$E:$X,MATCH($A125,SPPR!$A:$A,0),18)),$C125*INDEX(SPPR!$E:$X,MATCH($A125,SPPR!$A:$A,0),18),""),"")</f>
        <v/>
      </c>
      <c r="V125">
        <f>IFERROR(IF(ISNUMBER(INDEX(SPPR!$E:$X,MATCH($A125,SPPR!$A:$A,0),19)),$C125*INDEX(SPPR!$E:$X,MATCH($A125,SPPR!$A:$A,0),19),""),"")</f>
        <v/>
      </c>
      <c r="W125">
        <f>IFERROR(IF(ISNUMBER(INDEX(SPPR!$E:$X,MATCH($A125,SPPR!$A:$A,0),20)),$C125*INDEX(SPPR!$E:$X,MATCH($A125,SPPR!$A:$A,0),20),""),"")</f>
        <v/>
      </c>
    </row>
    <row r="126">
      <c r="A126" t="inlineStr">
        <is>
          <t>Penaeus japonicus</t>
        </is>
      </c>
      <c r="B126">
        <f>IFERROR(INDEX(SPPR!$D:$D,MATCH($A126,SPPR!$A:$A,0)),"")</f>
        <v/>
      </c>
      <c r="C126">
        <f>IFERROR(INDEX(Catch!$E:$BV,MATCH($A126,Catch!$A:$A,0),MATCH($B$4,Catch!$E$1:$BV$1,0)),0)</f>
        <v/>
      </c>
      <c r="D126">
        <f>IFERROR(IF(ISNUMBER(INDEX(SPPR!$E:$X,MATCH($A126,SPPR!$A:$A,0),1)),$C126*INDEX(SPPR!$E:$X,MATCH($A126,SPPR!$A:$A,0),1),""),"")</f>
        <v/>
      </c>
      <c r="E126">
        <f>IFERROR(IF(ISNUMBER(INDEX(SPPR!$E:$X,MATCH($A126,SPPR!$A:$A,0),2)),$C126*INDEX(SPPR!$E:$X,MATCH($A126,SPPR!$A:$A,0),2),""),"")</f>
        <v/>
      </c>
      <c r="F126">
        <f>IFERROR(IF(ISNUMBER(INDEX(SPPR!$E:$X,MATCH($A126,SPPR!$A:$A,0),3)),$C126*INDEX(SPPR!$E:$X,MATCH($A126,SPPR!$A:$A,0),3),""),"")</f>
        <v/>
      </c>
      <c r="G126">
        <f>IFERROR(IF(ISNUMBER(INDEX(SPPR!$E:$X,MATCH($A126,SPPR!$A:$A,0),4)),$C126*INDEX(SPPR!$E:$X,MATCH($A126,SPPR!$A:$A,0),4),""),"")</f>
        <v/>
      </c>
      <c r="H126">
        <f>IFERROR(IF(ISNUMBER(INDEX(SPPR!$E:$X,MATCH($A126,SPPR!$A:$A,0),5)),$C126*INDEX(SPPR!$E:$X,MATCH($A126,SPPR!$A:$A,0),5),""),"")</f>
        <v/>
      </c>
      <c r="I126">
        <f>IFERROR(IF(ISNUMBER(INDEX(SPPR!$E:$X,MATCH($A126,SPPR!$A:$A,0),6)),$C126*INDEX(SPPR!$E:$X,MATCH($A126,SPPR!$A:$A,0),6),""),"")</f>
        <v/>
      </c>
      <c r="J126">
        <f>IFERROR(IF(ISNUMBER(INDEX(SPPR!$E:$X,MATCH($A126,SPPR!$A:$A,0),7)),$C126*INDEX(SPPR!$E:$X,MATCH($A126,SPPR!$A:$A,0),7),""),"")</f>
        <v/>
      </c>
      <c r="K126">
        <f>IFERROR(IF(ISNUMBER(INDEX(SPPR!$E:$X,MATCH($A126,SPPR!$A:$A,0),8)),$C126*INDEX(SPPR!$E:$X,MATCH($A126,SPPR!$A:$A,0),8),""),"")</f>
        <v/>
      </c>
      <c r="L126">
        <f>IFERROR(IF(ISNUMBER(INDEX(SPPR!$E:$X,MATCH($A126,SPPR!$A:$A,0),9)),$C126*INDEX(SPPR!$E:$X,MATCH($A126,SPPR!$A:$A,0),9),""),"")</f>
        <v/>
      </c>
      <c r="M126">
        <f>IFERROR(IF(ISNUMBER(INDEX(SPPR!$E:$X,MATCH($A126,SPPR!$A:$A,0),10)),$C126*INDEX(SPPR!$E:$X,MATCH($A126,SPPR!$A:$A,0),10),""),"")</f>
        <v/>
      </c>
      <c r="N126">
        <f>IFERROR(IF(ISNUMBER(INDEX(SPPR!$E:$X,MATCH($A126,SPPR!$A:$A,0),11)),$C126*INDEX(SPPR!$E:$X,MATCH($A126,SPPR!$A:$A,0),11),""),"")</f>
        <v/>
      </c>
      <c r="O126">
        <f>IFERROR(IF(ISNUMBER(INDEX(SPPR!$E:$X,MATCH($A126,SPPR!$A:$A,0),12)),$C126*INDEX(SPPR!$E:$X,MATCH($A126,SPPR!$A:$A,0),12),""),"")</f>
        <v/>
      </c>
      <c r="P126">
        <f>IFERROR(IF(ISNUMBER(INDEX(SPPR!$E:$X,MATCH($A126,SPPR!$A:$A,0),13)),$C126*INDEX(SPPR!$E:$X,MATCH($A126,SPPR!$A:$A,0),13),""),"")</f>
        <v/>
      </c>
      <c r="Q126">
        <f>IFERROR(IF(ISNUMBER(INDEX(SPPR!$E:$X,MATCH($A126,SPPR!$A:$A,0),14)),$C126*INDEX(SPPR!$E:$X,MATCH($A126,SPPR!$A:$A,0),14),""),"")</f>
        <v/>
      </c>
      <c r="R126">
        <f>IFERROR(IF(ISNUMBER(INDEX(SPPR!$E:$X,MATCH($A126,SPPR!$A:$A,0),15)),$C126*INDEX(SPPR!$E:$X,MATCH($A126,SPPR!$A:$A,0),15),""),"")</f>
        <v/>
      </c>
      <c r="S126">
        <f>IFERROR(IF(ISNUMBER(INDEX(SPPR!$E:$X,MATCH($A126,SPPR!$A:$A,0),16)),$C126*INDEX(SPPR!$E:$X,MATCH($A126,SPPR!$A:$A,0),16),""),"")</f>
        <v/>
      </c>
      <c r="T126">
        <f>IFERROR(IF(ISNUMBER(INDEX(SPPR!$E:$X,MATCH($A126,SPPR!$A:$A,0),17)),$C126*INDEX(SPPR!$E:$X,MATCH($A126,SPPR!$A:$A,0),17),""),"")</f>
        <v/>
      </c>
      <c r="U126">
        <f>IFERROR(IF(ISNUMBER(INDEX(SPPR!$E:$X,MATCH($A126,SPPR!$A:$A,0),18)),$C126*INDEX(SPPR!$E:$X,MATCH($A126,SPPR!$A:$A,0),18),""),"")</f>
        <v/>
      </c>
      <c r="V126">
        <f>IFERROR(IF(ISNUMBER(INDEX(SPPR!$E:$X,MATCH($A126,SPPR!$A:$A,0),19)),$C126*INDEX(SPPR!$E:$X,MATCH($A126,SPPR!$A:$A,0),19),""),"")</f>
        <v/>
      </c>
      <c r="W126">
        <f>IFERROR(IF(ISNUMBER(INDEX(SPPR!$E:$X,MATCH($A126,SPPR!$A:$A,0),20)),$C126*INDEX(SPPR!$E:$X,MATCH($A126,SPPR!$A:$A,0),20),""),"")</f>
        <v/>
      </c>
    </row>
    <row r="127">
      <c r="A127" t="inlineStr">
        <is>
          <t>Mytilidae</t>
        </is>
      </c>
      <c r="B127">
        <f>IFERROR(INDEX(SPPR!$D:$D,MATCH($A127,SPPR!$A:$A,0)),"")</f>
        <v/>
      </c>
      <c r="C127">
        <f>IFERROR(INDEX(Catch!$E:$BV,MATCH($A127,Catch!$A:$A,0),MATCH($B$4,Catch!$E$1:$BV$1,0)),0)</f>
        <v/>
      </c>
      <c r="D127">
        <f>IFERROR(IF(ISNUMBER(INDEX(SPPR!$E:$X,MATCH($A127,SPPR!$A:$A,0),1)),$C127*INDEX(SPPR!$E:$X,MATCH($A127,SPPR!$A:$A,0),1),""),"")</f>
        <v/>
      </c>
      <c r="E127">
        <f>IFERROR(IF(ISNUMBER(INDEX(SPPR!$E:$X,MATCH($A127,SPPR!$A:$A,0),2)),$C127*INDEX(SPPR!$E:$X,MATCH($A127,SPPR!$A:$A,0),2),""),"")</f>
        <v/>
      </c>
      <c r="F127">
        <f>IFERROR(IF(ISNUMBER(INDEX(SPPR!$E:$X,MATCH($A127,SPPR!$A:$A,0),3)),$C127*INDEX(SPPR!$E:$X,MATCH($A127,SPPR!$A:$A,0),3),""),"")</f>
        <v/>
      </c>
      <c r="G127">
        <f>IFERROR(IF(ISNUMBER(INDEX(SPPR!$E:$X,MATCH($A127,SPPR!$A:$A,0),4)),$C127*INDEX(SPPR!$E:$X,MATCH($A127,SPPR!$A:$A,0),4),""),"")</f>
        <v/>
      </c>
      <c r="H127">
        <f>IFERROR(IF(ISNUMBER(INDEX(SPPR!$E:$X,MATCH($A127,SPPR!$A:$A,0),5)),$C127*INDEX(SPPR!$E:$X,MATCH($A127,SPPR!$A:$A,0),5),""),"")</f>
        <v/>
      </c>
      <c r="I127">
        <f>IFERROR(IF(ISNUMBER(INDEX(SPPR!$E:$X,MATCH($A127,SPPR!$A:$A,0),6)),$C127*INDEX(SPPR!$E:$X,MATCH($A127,SPPR!$A:$A,0),6),""),"")</f>
        <v/>
      </c>
      <c r="J127">
        <f>IFERROR(IF(ISNUMBER(INDEX(SPPR!$E:$X,MATCH($A127,SPPR!$A:$A,0),7)),$C127*INDEX(SPPR!$E:$X,MATCH($A127,SPPR!$A:$A,0),7),""),"")</f>
        <v/>
      </c>
      <c r="K127">
        <f>IFERROR(IF(ISNUMBER(INDEX(SPPR!$E:$X,MATCH($A127,SPPR!$A:$A,0),8)),$C127*INDEX(SPPR!$E:$X,MATCH($A127,SPPR!$A:$A,0),8),""),"")</f>
        <v/>
      </c>
      <c r="L127">
        <f>IFERROR(IF(ISNUMBER(INDEX(SPPR!$E:$X,MATCH($A127,SPPR!$A:$A,0),9)),$C127*INDEX(SPPR!$E:$X,MATCH($A127,SPPR!$A:$A,0),9),""),"")</f>
        <v/>
      </c>
      <c r="M127">
        <f>IFERROR(IF(ISNUMBER(INDEX(SPPR!$E:$X,MATCH($A127,SPPR!$A:$A,0),10)),$C127*INDEX(SPPR!$E:$X,MATCH($A127,SPPR!$A:$A,0),10),""),"")</f>
        <v/>
      </c>
      <c r="N127">
        <f>IFERROR(IF(ISNUMBER(INDEX(SPPR!$E:$X,MATCH($A127,SPPR!$A:$A,0),11)),$C127*INDEX(SPPR!$E:$X,MATCH($A127,SPPR!$A:$A,0),11),""),"")</f>
        <v/>
      </c>
      <c r="O127">
        <f>IFERROR(IF(ISNUMBER(INDEX(SPPR!$E:$X,MATCH($A127,SPPR!$A:$A,0),12)),$C127*INDEX(SPPR!$E:$X,MATCH($A127,SPPR!$A:$A,0),12),""),"")</f>
        <v/>
      </c>
      <c r="P127">
        <f>IFERROR(IF(ISNUMBER(INDEX(SPPR!$E:$X,MATCH($A127,SPPR!$A:$A,0),13)),$C127*INDEX(SPPR!$E:$X,MATCH($A127,SPPR!$A:$A,0),13),""),"")</f>
        <v/>
      </c>
      <c r="Q127">
        <f>IFERROR(IF(ISNUMBER(INDEX(SPPR!$E:$X,MATCH($A127,SPPR!$A:$A,0),14)),$C127*INDEX(SPPR!$E:$X,MATCH($A127,SPPR!$A:$A,0),14),""),"")</f>
        <v/>
      </c>
      <c r="R127">
        <f>IFERROR(IF(ISNUMBER(INDEX(SPPR!$E:$X,MATCH($A127,SPPR!$A:$A,0),15)),$C127*INDEX(SPPR!$E:$X,MATCH($A127,SPPR!$A:$A,0),15),""),"")</f>
        <v/>
      </c>
      <c r="S127">
        <f>IFERROR(IF(ISNUMBER(INDEX(SPPR!$E:$X,MATCH($A127,SPPR!$A:$A,0),16)),$C127*INDEX(SPPR!$E:$X,MATCH($A127,SPPR!$A:$A,0),16),""),"")</f>
        <v/>
      </c>
      <c r="T127">
        <f>IFERROR(IF(ISNUMBER(INDEX(SPPR!$E:$X,MATCH($A127,SPPR!$A:$A,0),17)),$C127*INDEX(SPPR!$E:$X,MATCH($A127,SPPR!$A:$A,0),17),""),"")</f>
        <v/>
      </c>
      <c r="U127">
        <f>IFERROR(IF(ISNUMBER(INDEX(SPPR!$E:$X,MATCH($A127,SPPR!$A:$A,0),18)),$C127*INDEX(SPPR!$E:$X,MATCH($A127,SPPR!$A:$A,0),18),""),"")</f>
        <v/>
      </c>
      <c r="V127">
        <f>IFERROR(IF(ISNUMBER(INDEX(SPPR!$E:$X,MATCH($A127,SPPR!$A:$A,0),19)),$C127*INDEX(SPPR!$E:$X,MATCH($A127,SPPR!$A:$A,0),19),""),"")</f>
        <v/>
      </c>
      <c r="W127">
        <f>IFERROR(IF(ISNUMBER(INDEX(SPPR!$E:$X,MATCH($A127,SPPR!$A:$A,0),20)),$C127*INDEX(SPPR!$E:$X,MATCH($A127,SPPR!$A:$A,0),20),""),"")</f>
        <v/>
      </c>
    </row>
    <row r="128">
      <c r="A128" t="inlineStr">
        <is>
          <t>Penaeidae</t>
        </is>
      </c>
      <c r="B128">
        <f>IFERROR(INDEX(SPPR!$D:$D,MATCH($A128,SPPR!$A:$A,0)),"")</f>
        <v/>
      </c>
      <c r="C128">
        <f>IFERROR(INDEX(Catch!$E:$BV,MATCH($A128,Catch!$A:$A,0),MATCH($B$4,Catch!$E$1:$BV$1,0)),0)</f>
        <v/>
      </c>
      <c r="D128">
        <f>IFERROR(IF(ISNUMBER(INDEX(SPPR!$E:$X,MATCH($A128,SPPR!$A:$A,0),1)),$C128*INDEX(SPPR!$E:$X,MATCH($A128,SPPR!$A:$A,0),1),""),"")</f>
        <v/>
      </c>
      <c r="E128">
        <f>IFERROR(IF(ISNUMBER(INDEX(SPPR!$E:$X,MATCH($A128,SPPR!$A:$A,0),2)),$C128*INDEX(SPPR!$E:$X,MATCH($A128,SPPR!$A:$A,0),2),""),"")</f>
        <v/>
      </c>
      <c r="F128">
        <f>IFERROR(IF(ISNUMBER(INDEX(SPPR!$E:$X,MATCH($A128,SPPR!$A:$A,0),3)),$C128*INDEX(SPPR!$E:$X,MATCH($A128,SPPR!$A:$A,0),3),""),"")</f>
        <v/>
      </c>
      <c r="G128">
        <f>IFERROR(IF(ISNUMBER(INDEX(SPPR!$E:$X,MATCH($A128,SPPR!$A:$A,0),4)),$C128*INDEX(SPPR!$E:$X,MATCH($A128,SPPR!$A:$A,0),4),""),"")</f>
        <v/>
      </c>
      <c r="H128">
        <f>IFERROR(IF(ISNUMBER(INDEX(SPPR!$E:$X,MATCH($A128,SPPR!$A:$A,0),5)),$C128*INDEX(SPPR!$E:$X,MATCH($A128,SPPR!$A:$A,0),5),""),"")</f>
        <v/>
      </c>
      <c r="I128">
        <f>IFERROR(IF(ISNUMBER(INDEX(SPPR!$E:$X,MATCH($A128,SPPR!$A:$A,0),6)),$C128*INDEX(SPPR!$E:$X,MATCH($A128,SPPR!$A:$A,0),6),""),"")</f>
        <v/>
      </c>
      <c r="J128">
        <f>IFERROR(IF(ISNUMBER(INDEX(SPPR!$E:$X,MATCH($A128,SPPR!$A:$A,0),7)),$C128*INDEX(SPPR!$E:$X,MATCH($A128,SPPR!$A:$A,0),7),""),"")</f>
        <v/>
      </c>
      <c r="K128">
        <f>IFERROR(IF(ISNUMBER(INDEX(SPPR!$E:$X,MATCH($A128,SPPR!$A:$A,0),8)),$C128*INDEX(SPPR!$E:$X,MATCH($A128,SPPR!$A:$A,0),8),""),"")</f>
        <v/>
      </c>
      <c r="L128">
        <f>IFERROR(IF(ISNUMBER(INDEX(SPPR!$E:$X,MATCH($A128,SPPR!$A:$A,0),9)),$C128*INDEX(SPPR!$E:$X,MATCH($A128,SPPR!$A:$A,0),9),""),"")</f>
        <v/>
      </c>
      <c r="M128">
        <f>IFERROR(IF(ISNUMBER(INDEX(SPPR!$E:$X,MATCH($A128,SPPR!$A:$A,0),10)),$C128*INDEX(SPPR!$E:$X,MATCH($A128,SPPR!$A:$A,0),10),""),"")</f>
        <v/>
      </c>
      <c r="N128">
        <f>IFERROR(IF(ISNUMBER(INDEX(SPPR!$E:$X,MATCH($A128,SPPR!$A:$A,0),11)),$C128*INDEX(SPPR!$E:$X,MATCH($A128,SPPR!$A:$A,0),11),""),"")</f>
        <v/>
      </c>
      <c r="O128">
        <f>IFERROR(IF(ISNUMBER(INDEX(SPPR!$E:$X,MATCH($A128,SPPR!$A:$A,0),12)),$C128*INDEX(SPPR!$E:$X,MATCH($A128,SPPR!$A:$A,0),12),""),"")</f>
        <v/>
      </c>
      <c r="P128">
        <f>IFERROR(IF(ISNUMBER(INDEX(SPPR!$E:$X,MATCH($A128,SPPR!$A:$A,0),13)),$C128*INDEX(SPPR!$E:$X,MATCH($A128,SPPR!$A:$A,0),13),""),"")</f>
        <v/>
      </c>
      <c r="Q128">
        <f>IFERROR(IF(ISNUMBER(INDEX(SPPR!$E:$X,MATCH($A128,SPPR!$A:$A,0),14)),$C128*INDEX(SPPR!$E:$X,MATCH($A128,SPPR!$A:$A,0),14),""),"")</f>
        <v/>
      </c>
      <c r="R128">
        <f>IFERROR(IF(ISNUMBER(INDEX(SPPR!$E:$X,MATCH($A128,SPPR!$A:$A,0),15)),$C128*INDEX(SPPR!$E:$X,MATCH($A128,SPPR!$A:$A,0),15),""),"")</f>
        <v/>
      </c>
      <c r="S128">
        <f>IFERROR(IF(ISNUMBER(INDEX(SPPR!$E:$X,MATCH($A128,SPPR!$A:$A,0),16)),$C128*INDEX(SPPR!$E:$X,MATCH($A128,SPPR!$A:$A,0),16),""),"")</f>
        <v/>
      </c>
      <c r="T128">
        <f>IFERROR(IF(ISNUMBER(INDEX(SPPR!$E:$X,MATCH($A128,SPPR!$A:$A,0),17)),$C128*INDEX(SPPR!$E:$X,MATCH($A128,SPPR!$A:$A,0),17),""),"")</f>
        <v/>
      </c>
      <c r="U128">
        <f>IFERROR(IF(ISNUMBER(INDEX(SPPR!$E:$X,MATCH($A128,SPPR!$A:$A,0),18)),$C128*INDEX(SPPR!$E:$X,MATCH($A128,SPPR!$A:$A,0),18),""),"")</f>
        <v/>
      </c>
      <c r="V128">
        <f>IFERROR(IF(ISNUMBER(INDEX(SPPR!$E:$X,MATCH($A128,SPPR!$A:$A,0),19)),$C128*INDEX(SPPR!$E:$X,MATCH($A128,SPPR!$A:$A,0),19),""),"")</f>
        <v/>
      </c>
      <c r="W128">
        <f>IFERROR(IF(ISNUMBER(INDEX(SPPR!$E:$X,MATCH($A128,SPPR!$A:$A,0),20)),$C128*INDEX(SPPR!$E:$X,MATCH($A128,SPPR!$A:$A,0),20),""),"")</f>
        <v/>
      </c>
    </row>
    <row r="129">
      <c r="A129" t="inlineStr">
        <is>
          <t>Trichiuridae</t>
        </is>
      </c>
      <c r="B129">
        <f>IFERROR(INDEX(SPPR!$D:$D,MATCH($A129,SPPR!$A:$A,0)),"")</f>
        <v/>
      </c>
      <c r="C129">
        <f>IFERROR(INDEX(Catch!$E:$BV,MATCH($A129,Catch!$A:$A,0),MATCH($B$4,Catch!$E$1:$BV$1,0)),0)</f>
        <v/>
      </c>
      <c r="D129">
        <f>IFERROR(IF(ISNUMBER(INDEX(SPPR!$E:$X,MATCH($A129,SPPR!$A:$A,0),1)),$C129*INDEX(SPPR!$E:$X,MATCH($A129,SPPR!$A:$A,0),1),""),"")</f>
        <v/>
      </c>
      <c r="E129">
        <f>IFERROR(IF(ISNUMBER(INDEX(SPPR!$E:$X,MATCH($A129,SPPR!$A:$A,0),2)),$C129*INDEX(SPPR!$E:$X,MATCH($A129,SPPR!$A:$A,0),2),""),"")</f>
        <v/>
      </c>
      <c r="F129">
        <f>IFERROR(IF(ISNUMBER(INDEX(SPPR!$E:$X,MATCH($A129,SPPR!$A:$A,0),3)),$C129*INDEX(SPPR!$E:$X,MATCH($A129,SPPR!$A:$A,0),3),""),"")</f>
        <v/>
      </c>
      <c r="G129">
        <f>IFERROR(IF(ISNUMBER(INDEX(SPPR!$E:$X,MATCH($A129,SPPR!$A:$A,0),4)),$C129*INDEX(SPPR!$E:$X,MATCH($A129,SPPR!$A:$A,0),4),""),"")</f>
        <v/>
      </c>
      <c r="H129">
        <f>IFERROR(IF(ISNUMBER(INDEX(SPPR!$E:$X,MATCH($A129,SPPR!$A:$A,0),5)),$C129*INDEX(SPPR!$E:$X,MATCH($A129,SPPR!$A:$A,0),5),""),"")</f>
        <v/>
      </c>
      <c r="I129">
        <f>IFERROR(IF(ISNUMBER(INDEX(SPPR!$E:$X,MATCH($A129,SPPR!$A:$A,0),6)),$C129*INDEX(SPPR!$E:$X,MATCH($A129,SPPR!$A:$A,0),6),""),"")</f>
        <v/>
      </c>
      <c r="J129">
        <f>IFERROR(IF(ISNUMBER(INDEX(SPPR!$E:$X,MATCH($A129,SPPR!$A:$A,0),7)),$C129*INDEX(SPPR!$E:$X,MATCH($A129,SPPR!$A:$A,0),7),""),"")</f>
        <v/>
      </c>
      <c r="K129">
        <f>IFERROR(IF(ISNUMBER(INDEX(SPPR!$E:$X,MATCH($A129,SPPR!$A:$A,0),8)),$C129*INDEX(SPPR!$E:$X,MATCH($A129,SPPR!$A:$A,0),8),""),"")</f>
        <v/>
      </c>
      <c r="L129">
        <f>IFERROR(IF(ISNUMBER(INDEX(SPPR!$E:$X,MATCH($A129,SPPR!$A:$A,0),9)),$C129*INDEX(SPPR!$E:$X,MATCH($A129,SPPR!$A:$A,0),9),""),"")</f>
        <v/>
      </c>
      <c r="M129">
        <f>IFERROR(IF(ISNUMBER(INDEX(SPPR!$E:$X,MATCH($A129,SPPR!$A:$A,0),10)),$C129*INDEX(SPPR!$E:$X,MATCH($A129,SPPR!$A:$A,0),10),""),"")</f>
        <v/>
      </c>
      <c r="N129">
        <f>IFERROR(IF(ISNUMBER(INDEX(SPPR!$E:$X,MATCH($A129,SPPR!$A:$A,0),11)),$C129*INDEX(SPPR!$E:$X,MATCH($A129,SPPR!$A:$A,0),11),""),"")</f>
        <v/>
      </c>
      <c r="O129">
        <f>IFERROR(IF(ISNUMBER(INDEX(SPPR!$E:$X,MATCH($A129,SPPR!$A:$A,0),12)),$C129*INDEX(SPPR!$E:$X,MATCH($A129,SPPR!$A:$A,0),12),""),"")</f>
        <v/>
      </c>
      <c r="P129">
        <f>IFERROR(IF(ISNUMBER(INDEX(SPPR!$E:$X,MATCH($A129,SPPR!$A:$A,0),13)),$C129*INDEX(SPPR!$E:$X,MATCH($A129,SPPR!$A:$A,0),13),""),"")</f>
        <v/>
      </c>
      <c r="Q129">
        <f>IFERROR(IF(ISNUMBER(INDEX(SPPR!$E:$X,MATCH($A129,SPPR!$A:$A,0),14)),$C129*INDEX(SPPR!$E:$X,MATCH($A129,SPPR!$A:$A,0),14),""),"")</f>
        <v/>
      </c>
      <c r="R129">
        <f>IFERROR(IF(ISNUMBER(INDEX(SPPR!$E:$X,MATCH($A129,SPPR!$A:$A,0),15)),$C129*INDEX(SPPR!$E:$X,MATCH($A129,SPPR!$A:$A,0),15),""),"")</f>
        <v/>
      </c>
      <c r="S129">
        <f>IFERROR(IF(ISNUMBER(INDEX(SPPR!$E:$X,MATCH($A129,SPPR!$A:$A,0),16)),$C129*INDEX(SPPR!$E:$X,MATCH($A129,SPPR!$A:$A,0),16),""),"")</f>
        <v/>
      </c>
      <c r="T129">
        <f>IFERROR(IF(ISNUMBER(INDEX(SPPR!$E:$X,MATCH($A129,SPPR!$A:$A,0),17)),$C129*INDEX(SPPR!$E:$X,MATCH($A129,SPPR!$A:$A,0),17),""),"")</f>
        <v/>
      </c>
      <c r="U129">
        <f>IFERROR(IF(ISNUMBER(INDEX(SPPR!$E:$X,MATCH($A129,SPPR!$A:$A,0),18)),$C129*INDEX(SPPR!$E:$X,MATCH($A129,SPPR!$A:$A,0),18),""),"")</f>
        <v/>
      </c>
      <c r="V129">
        <f>IFERROR(IF(ISNUMBER(INDEX(SPPR!$E:$X,MATCH($A129,SPPR!$A:$A,0),19)),$C129*INDEX(SPPR!$E:$X,MATCH($A129,SPPR!$A:$A,0),19),""),"")</f>
        <v/>
      </c>
      <c r="W129">
        <f>IFERROR(IF(ISNUMBER(INDEX(SPPR!$E:$X,MATCH($A129,SPPR!$A:$A,0),20)),$C129*INDEX(SPPR!$E:$X,MATCH($A129,SPPR!$A:$A,0),20),""),"")</f>
        <v/>
      </c>
    </row>
    <row r="130">
      <c r="A130" t="inlineStr">
        <is>
          <t>Parastromateus niger</t>
        </is>
      </c>
      <c r="B130">
        <f>IFERROR(INDEX(SPPR!$D:$D,MATCH($A130,SPPR!$A:$A,0)),"")</f>
        <v/>
      </c>
      <c r="C130">
        <f>IFERROR(INDEX(Catch!$E:$BV,MATCH($A130,Catch!$A:$A,0),MATCH($B$4,Catch!$E$1:$BV$1,0)),0)</f>
        <v/>
      </c>
      <c r="D130">
        <f>IFERROR(IF(ISNUMBER(INDEX(SPPR!$E:$X,MATCH($A130,SPPR!$A:$A,0),1)),$C130*INDEX(SPPR!$E:$X,MATCH($A130,SPPR!$A:$A,0),1),""),"")</f>
        <v/>
      </c>
      <c r="E130">
        <f>IFERROR(IF(ISNUMBER(INDEX(SPPR!$E:$X,MATCH($A130,SPPR!$A:$A,0),2)),$C130*INDEX(SPPR!$E:$X,MATCH($A130,SPPR!$A:$A,0),2),""),"")</f>
        <v/>
      </c>
      <c r="F130">
        <f>IFERROR(IF(ISNUMBER(INDEX(SPPR!$E:$X,MATCH($A130,SPPR!$A:$A,0),3)),$C130*INDEX(SPPR!$E:$X,MATCH($A130,SPPR!$A:$A,0),3),""),"")</f>
        <v/>
      </c>
      <c r="G130">
        <f>IFERROR(IF(ISNUMBER(INDEX(SPPR!$E:$X,MATCH($A130,SPPR!$A:$A,0),4)),$C130*INDEX(SPPR!$E:$X,MATCH($A130,SPPR!$A:$A,0),4),""),"")</f>
        <v/>
      </c>
      <c r="H130">
        <f>IFERROR(IF(ISNUMBER(INDEX(SPPR!$E:$X,MATCH($A130,SPPR!$A:$A,0),5)),$C130*INDEX(SPPR!$E:$X,MATCH($A130,SPPR!$A:$A,0),5),""),"")</f>
        <v/>
      </c>
      <c r="I130">
        <f>IFERROR(IF(ISNUMBER(INDEX(SPPR!$E:$X,MATCH($A130,SPPR!$A:$A,0),6)),$C130*INDEX(SPPR!$E:$X,MATCH($A130,SPPR!$A:$A,0),6),""),"")</f>
        <v/>
      </c>
      <c r="J130">
        <f>IFERROR(IF(ISNUMBER(INDEX(SPPR!$E:$X,MATCH($A130,SPPR!$A:$A,0),7)),$C130*INDEX(SPPR!$E:$X,MATCH($A130,SPPR!$A:$A,0),7),""),"")</f>
        <v/>
      </c>
      <c r="K130">
        <f>IFERROR(IF(ISNUMBER(INDEX(SPPR!$E:$X,MATCH($A130,SPPR!$A:$A,0),8)),$C130*INDEX(SPPR!$E:$X,MATCH($A130,SPPR!$A:$A,0),8),""),"")</f>
        <v/>
      </c>
      <c r="L130">
        <f>IFERROR(IF(ISNUMBER(INDEX(SPPR!$E:$X,MATCH($A130,SPPR!$A:$A,0),9)),$C130*INDEX(SPPR!$E:$X,MATCH($A130,SPPR!$A:$A,0),9),""),"")</f>
        <v/>
      </c>
      <c r="M130">
        <f>IFERROR(IF(ISNUMBER(INDEX(SPPR!$E:$X,MATCH($A130,SPPR!$A:$A,0),10)),$C130*INDEX(SPPR!$E:$X,MATCH($A130,SPPR!$A:$A,0),10),""),"")</f>
        <v/>
      </c>
      <c r="N130">
        <f>IFERROR(IF(ISNUMBER(INDEX(SPPR!$E:$X,MATCH($A130,SPPR!$A:$A,0),11)),$C130*INDEX(SPPR!$E:$X,MATCH($A130,SPPR!$A:$A,0),11),""),"")</f>
        <v/>
      </c>
      <c r="O130">
        <f>IFERROR(IF(ISNUMBER(INDEX(SPPR!$E:$X,MATCH($A130,SPPR!$A:$A,0),12)),$C130*INDEX(SPPR!$E:$X,MATCH($A130,SPPR!$A:$A,0),12),""),"")</f>
        <v/>
      </c>
      <c r="P130">
        <f>IFERROR(IF(ISNUMBER(INDEX(SPPR!$E:$X,MATCH($A130,SPPR!$A:$A,0),13)),$C130*INDEX(SPPR!$E:$X,MATCH($A130,SPPR!$A:$A,0),13),""),"")</f>
        <v/>
      </c>
      <c r="Q130">
        <f>IFERROR(IF(ISNUMBER(INDEX(SPPR!$E:$X,MATCH($A130,SPPR!$A:$A,0),14)),$C130*INDEX(SPPR!$E:$X,MATCH($A130,SPPR!$A:$A,0),14),""),"")</f>
        <v/>
      </c>
      <c r="R130">
        <f>IFERROR(IF(ISNUMBER(INDEX(SPPR!$E:$X,MATCH($A130,SPPR!$A:$A,0),15)),$C130*INDEX(SPPR!$E:$X,MATCH($A130,SPPR!$A:$A,0),15),""),"")</f>
        <v/>
      </c>
      <c r="S130">
        <f>IFERROR(IF(ISNUMBER(INDEX(SPPR!$E:$X,MATCH($A130,SPPR!$A:$A,0),16)),$C130*INDEX(SPPR!$E:$X,MATCH($A130,SPPR!$A:$A,0),16),""),"")</f>
        <v/>
      </c>
      <c r="T130">
        <f>IFERROR(IF(ISNUMBER(INDEX(SPPR!$E:$X,MATCH($A130,SPPR!$A:$A,0),17)),$C130*INDEX(SPPR!$E:$X,MATCH($A130,SPPR!$A:$A,0),17),""),"")</f>
        <v/>
      </c>
      <c r="U130">
        <f>IFERROR(IF(ISNUMBER(INDEX(SPPR!$E:$X,MATCH($A130,SPPR!$A:$A,0),18)),$C130*INDEX(SPPR!$E:$X,MATCH($A130,SPPR!$A:$A,0),18),""),"")</f>
        <v/>
      </c>
      <c r="V130">
        <f>IFERROR(IF(ISNUMBER(INDEX(SPPR!$E:$X,MATCH($A130,SPPR!$A:$A,0),19)),$C130*INDEX(SPPR!$E:$X,MATCH($A130,SPPR!$A:$A,0),19),""),"")</f>
        <v/>
      </c>
      <c r="W130">
        <f>IFERROR(IF(ISNUMBER(INDEX(SPPR!$E:$X,MATCH($A130,SPPR!$A:$A,0),20)),$C130*INDEX(SPPR!$E:$X,MATCH($A130,SPPR!$A:$A,0),20),""),"")</f>
        <v/>
      </c>
    </row>
    <row r="131">
      <c r="A131" t="inlineStr">
        <is>
          <t>Miichthys miiuy</t>
        </is>
      </c>
      <c r="B131">
        <f>IFERROR(INDEX(SPPR!$D:$D,MATCH($A131,SPPR!$A:$A,0)),"")</f>
        <v/>
      </c>
      <c r="C131">
        <f>IFERROR(INDEX(Catch!$E:$BV,MATCH($A131,Catch!$A:$A,0),MATCH($B$4,Catch!$E$1:$BV$1,0)),0)</f>
        <v/>
      </c>
      <c r="D131">
        <f>IFERROR(IF(ISNUMBER(INDEX(SPPR!$E:$X,MATCH($A131,SPPR!$A:$A,0),1)),$C131*INDEX(SPPR!$E:$X,MATCH($A131,SPPR!$A:$A,0),1),""),"")</f>
        <v/>
      </c>
      <c r="E131">
        <f>IFERROR(IF(ISNUMBER(INDEX(SPPR!$E:$X,MATCH($A131,SPPR!$A:$A,0),2)),$C131*INDEX(SPPR!$E:$X,MATCH($A131,SPPR!$A:$A,0),2),""),"")</f>
        <v/>
      </c>
      <c r="F131">
        <f>IFERROR(IF(ISNUMBER(INDEX(SPPR!$E:$X,MATCH($A131,SPPR!$A:$A,0),3)),$C131*INDEX(SPPR!$E:$X,MATCH($A131,SPPR!$A:$A,0),3),""),"")</f>
        <v/>
      </c>
      <c r="G131">
        <f>IFERROR(IF(ISNUMBER(INDEX(SPPR!$E:$X,MATCH($A131,SPPR!$A:$A,0),4)),$C131*INDEX(SPPR!$E:$X,MATCH($A131,SPPR!$A:$A,0),4),""),"")</f>
        <v/>
      </c>
      <c r="H131">
        <f>IFERROR(IF(ISNUMBER(INDEX(SPPR!$E:$X,MATCH($A131,SPPR!$A:$A,0),5)),$C131*INDEX(SPPR!$E:$X,MATCH($A131,SPPR!$A:$A,0),5),""),"")</f>
        <v/>
      </c>
      <c r="I131">
        <f>IFERROR(IF(ISNUMBER(INDEX(SPPR!$E:$X,MATCH($A131,SPPR!$A:$A,0),6)),$C131*INDEX(SPPR!$E:$X,MATCH($A131,SPPR!$A:$A,0),6),""),"")</f>
        <v/>
      </c>
      <c r="J131">
        <f>IFERROR(IF(ISNUMBER(INDEX(SPPR!$E:$X,MATCH($A131,SPPR!$A:$A,0),7)),$C131*INDEX(SPPR!$E:$X,MATCH($A131,SPPR!$A:$A,0),7),""),"")</f>
        <v/>
      </c>
      <c r="K131">
        <f>IFERROR(IF(ISNUMBER(INDEX(SPPR!$E:$X,MATCH($A131,SPPR!$A:$A,0),8)),$C131*INDEX(SPPR!$E:$X,MATCH($A131,SPPR!$A:$A,0),8),""),"")</f>
        <v/>
      </c>
      <c r="L131">
        <f>IFERROR(IF(ISNUMBER(INDEX(SPPR!$E:$X,MATCH($A131,SPPR!$A:$A,0),9)),$C131*INDEX(SPPR!$E:$X,MATCH($A131,SPPR!$A:$A,0),9),""),"")</f>
        <v/>
      </c>
      <c r="M131">
        <f>IFERROR(IF(ISNUMBER(INDEX(SPPR!$E:$X,MATCH($A131,SPPR!$A:$A,0),10)),$C131*INDEX(SPPR!$E:$X,MATCH($A131,SPPR!$A:$A,0),10),""),"")</f>
        <v/>
      </c>
      <c r="N131">
        <f>IFERROR(IF(ISNUMBER(INDEX(SPPR!$E:$X,MATCH($A131,SPPR!$A:$A,0),11)),$C131*INDEX(SPPR!$E:$X,MATCH($A131,SPPR!$A:$A,0),11),""),"")</f>
        <v/>
      </c>
      <c r="O131">
        <f>IFERROR(IF(ISNUMBER(INDEX(SPPR!$E:$X,MATCH($A131,SPPR!$A:$A,0),12)),$C131*INDEX(SPPR!$E:$X,MATCH($A131,SPPR!$A:$A,0),12),""),"")</f>
        <v/>
      </c>
      <c r="P131">
        <f>IFERROR(IF(ISNUMBER(INDEX(SPPR!$E:$X,MATCH($A131,SPPR!$A:$A,0),13)),$C131*INDEX(SPPR!$E:$X,MATCH($A131,SPPR!$A:$A,0),13),""),"")</f>
        <v/>
      </c>
      <c r="Q131">
        <f>IFERROR(IF(ISNUMBER(INDEX(SPPR!$E:$X,MATCH($A131,SPPR!$A:$A,0),14)),$C131*INDEX(SPPR!$E:$X,MATCH($A131,SPPR!$A:$A,0),14),""),"")</f>
        <v/>
      </c>
      <c r="R131">
        <f>IFERROR(IF(ISNUMBER(INDEX(SPPR!$E:$X,MATCH($A131,SPPR!$A:$A,0),15)),$C131*INDEX(SPPR!$E:$X,MATCH($A131,SPPR!$A:$A,0),15),""),"")</f>
        <v/>
      </c>
      <c r="S131">
        <f>IFERROR(IF(ISNUMBER(INDEX(SPPR!$E:$X,MATCH($A131,SPPR!$A:$A,0),16)),$C131*INDEX(SPPR!$E:$X,MATCH($A131,SPPR!$A:$A,0),16),""),"")</f>
        <v/>
      </c>
      <c r="T131">
        <f>IFERROR(IF(ISNUMBER(INDEX(SPPR!$E:$X,MATCH($A131,SPPR!$A:$A,0),17)),$C131*INDEX(SPPR!$E:$X,MATCH($A131,SPPR!$A:$A,0),17),""),"")</f>
        <v/>
      </c>
      <c r="U131">
        <f>IFERROR(IF(ISNUMBER(INDEX(SPPR!$E:$X,MATCH($A131,SPPR!$A:$A,0),18)),$C131*INDEX(SPPR!$E:$X,MATCH($A131,SPPR!$A:$A,0),18),""),"")</f>
        <v/>
      </c>
      <c r="V131">
        <f>IFERROR(IF(ISNUMBER(INDEX(SPPR!$E:$X,MATCH($A131,SPPR!$A:$A,0),19)),$C131*INDEX(SPPR!$E:$X,MATCH($A131,SPPR!$A:$A,0),19),""),"")</f>
        <v/>
      </c>
      <c r="W131">
        <f>IFERROR(IF(ISNUMBER(INDEX(SPPR!$E:$X,MATCH($A131,SPPR!$A:$A,0),20)),$C131*INDEX(SPPR!$E:$X,MATCH($A131,SPPR!$A:$A,0),20),""),"")</f>
        <v/>
      </c>
    </row>
    <row r="132">
      <c r="A132" t="inlineStr">
        <is>
          <t>Nemopilema nomurai</t>
        </is>
      </c>
      <c r="B132">
        <f>IFERROR(INDEX(SPPR!$D:$D,MATCH($A132,SPPR!$A:$A,0)),"")</f>
        <v/>
      </c>
      <c r="C132">
        <f>IFERROR(INDEX(Catch!$E:$BV,MATCH($A132,Catch!$A:$A,0),MATCH($B$4,Catch!$E$1:$BV$1,0)),0)</f>
        <v/>
      </c>
      <c r="D132">
        <f>IFERROR(IF(ISNUMBER(INDEX(SPPR!$E:$X,MATCH($A132,SPPR!$A:$A,0),1)),$C132*INDEX(SPPR!$E:$X,MATCH($A132,SPPR!$A:$A,0),1),""),"")</f>
        <v/>
      </c>
      <c r="E132">
        <f>IFERROR(IF(ISNUMBER(INDEX(SPPR!$E:$X,MATCH($A132,SPPR!$A:$A,0),2)),$C132*INDEX(SPPR!$E:$X,MATCH($A132,SPPR!$A:$A,0),2),""),"")</f>
        <v/>
      </c>
      <c r="F132">
        <f>IFERROR(IF(ISNUMBER(INDEX(SPPR!$E:$X,MATCH($A132,SPPR!$A:$A,0),3)),$C132*INDEX(SPPR!$E:$X,MATCH($A132,SPPR!$A:$A,0),3),""),"")</f>
        <v/>
      </c>
      <c r="G132">
        <f>IFERROR(IF(ISNUMBER(INDEX(SPPR!$E:$X,MATCH($A132,SPPR!$A:$A,0),4)),$C132*INDEX(SPPR!$E:$X,MATCH($A132,SPPR!$A:$A,0),4),""),"")</f>
        <v/>
      </c>
      <c r="H132">
        <f>IFERROR(IF(ISNUMBER(INDEX(SPPR!$E:$X,MATCH($A132,SPPR!$A:$A,0),5)),$C132*INDEX(SPPR!$E:$X,MATCH($A132,SPPR!$A:$A,0),5),""),"")</f>
        <v/>
      </c>
      <c r="I132">
        <f>IFERROR(IF(ISNUMBER(INDEX(SPPR!$E:$X,MATCH($A132,SPPR!$A:$A,0),6)),$C132*INDEX(SPPR!$E:$X,MATCH($A132,SPPR!$A:$A,0),6),""),"")</f>
        <v/>
      </c>
      <c r="J132">
        <f>IFERROR(IF(ISNUMBER(INDEX(SPPR!$E:$X,MATCH($A132,SPPR!$A:$A,0),7)),$C132*INDEX(SPPR!$E:$X,MATCH($A132,SPPR!$A:$A,0),7),""),"")</f>
        <v/>
      </c>
      <c r="K132">
        <f>IFERROR(IF(ISNUMBER(INDEX(SPPR!$E:$X,MATCH($A132,SPPR!$A:$A,0),8)),$C132*INDEX(SPPR!$E:$X,MATCH($A132,SPPR!$A:$A,0),8),""),"")</f>
        <v/>
      </c>
      <c r="L132">
        <f>IFERROR(IF(ISNUMBER(INDEX(SPPR!$E:$X,MATCH($A132,SPPR!$A:$A,0),9)),$C132*INDEX(SPPR!$E:$X,MATCH($A132,SPPR!$A:$A,0),9),""),"")</f>
        <v/>
      </c>
      <c r="M132">
        <f>IFERROR(IF(ISNUMBER(INDEX(SPPR!$E:$X,MATCH($A132,SPPR!$A:$A,0),10)),$C132*INDEX(SPPR!$E:$X,MATCH($A132,SPPR!$A:$A,0),10),""),"")</f>
        <v/>
      </c>
      <c r="N132">
        <f>IFERROR(IF(ISNUMBER(INDEX(SPPR!$E:$X,MATCH($A132,SPPR!$A:$A,0),11)),$C132*INDEX(SPPR!$E:$X,MATCH($A132,SPPR!$A:$A,0),11),""),"")</f>
        <v/>
      </c>
      <c r="O132">
        <f>IFERROR(IF(ISNUMBER(INDEX(SPPR!$E:$X,MATCH($A132,SPPR!$A:$A,0),12)),$C132*INDEX(SPPR!$E:$X,MATCH($A132,SPPR!$A:$A,0),12),""),"")</f>
        <v/>
      </c>
      <c r="P132">
        <f>IFERROR(IF(ISNUMBER(INDEX(SPPR!$E:$X,MATCH($A132,SPPR!$A:$A,0),13)),$C132*INDEX(SPPR!$E:$X,MATCH($A132,SPPR!$A:$A,0),13),""),"")</f>
        <v/>
      </c>
      <c r="Q132">
        <f>IFERROR(IF(ISNUMBER(INDEX(SPPR!$E:$X,MATCH($A132,SPPR!$A:$A,0),14)),$C132*INDEX(SPPR!$E:$X,MATCH($A132,SPPR!$A:$A,0),14),""),"")</f>
        <v/>
      </c>
      <c r="R132">
        <f>IFERROR(IF(ISNUMBER(INDEX(SPPR!$E:$X,MATCH($A132,SPPR!$A:$A,0),15)),$C132*INDEX(SPPR!$E:$X,MATCH($A132,SPPR!$A:$A,0),15),""),"")</f>
        <v/>
      </c>
      <c r="S132">
        <f>IFERROR(IF(ISNUMBER(INDEX(SPPR!$E:$X,MATCH($A132,SPPR!$A:$A,0),16)),$C132*INDEX(SPPR!$E:$X,MATCH($A132,SPPR!$A:$A,0),16),""),"")</f>
        <v/>
      </c>
      <c r="T132">
        <f>IFERROR(IF(ISNUMBER(INDEX(SPPR!$E:$X,MATCH($A132,SPPR!$A:$A,0),17)),$C132*INDEX(SPPR!$E:$X,MATCH($A132,SPPR!$A:$A,0),17),""),"")</f>
        <v/>
      </c>
      <c r="U132">
        <f>IFERROR(IF(ISNUMBER(INDEX(SPPR!$E:$X,MATCH($A132,SPPR!$A:$A,0),18)),$C132*INDEX(SPPR!$E:$X,MATCH($A132,SPPR!$A:$A,0),18),""),"")</f>
        <v/>
      </c>
      <c r="V132">
        <f>IFERROR(IF(ISNUMBER(INDEX(SPPR!$E:$X,MATCH($A132,SPPR!$A:$A,0),19)),$C132*INDEX(SPPR!$E:$X,MATCH($A132,SPPR!$A:$A,0),19),""),"")</f>
        <v/>
      </c>
      <c r="W132">
        <f>IFERROR(IF(ISNUMBER(INDEX(SPPR!$E:$X,MATCH($A132,SPPR!$A:$A,0),20)),$C132*INDEX(SPPR!$E:$X,MATCH($A132,SPPR!$A:$A,0),20),""),"")</f>
        <v/>
      </c>
    </row>
    <row r="133">
      <c r="A133" t="inlineStr">
        <is>
          <t>Decapterus</t>
        </is>
      </c>
      <c r="B133">
        <f>IFERROR(INDEX(SPPR!$D:$D,MATCH($A133,SPPR!$A:$A,0)),"")</f>
        <v/>
      </c>
      <c r="C133">
        <f>IFERROR(INDEX(Catch!$E:$BV,MATCH($A133,Catch!$A:$A,0),MATCH($B$4,Catch!$E$1:$BV$1,0)),0)</f>
        <v/>
      </c>
      <c r="D133">
        <f>IFERROR(IF(ISNUMBER(INDEX(SPPR!$E:$X,MATCH($A133,SPPR!$A:$A,0),1)),$C133*INDEX(SPPR!$E:$X,MATCH($A133,SPPR!$A:$A,0),1),""),"")</f>
        <v/>
      </c>
      <c r="E133">
        <f>IFERROR(IF(ISNUMBER(INDEX(SPPR!$E:$X,MATCH($A133,SPPR!$A:$A,0),2)),$C133*INDEX(SPPR!$E:$X,MATCH($A133,SPPR!$A:$A,0),2),""),"")</f>
        <v/>
      </c>
      <c r="F133">
        <f>IFERROR(IF(ISNUMBER(INDEX(SPPR!$E:$X,MATCH($A133,SPPR!$A:$A,0),3)),$C133*INDEX(SPPR!$E:$X,MATCH($A133,SPPR!$A:$A,0),3),""),"")</f>
        <v/>
      </c>
      <c r="G133">
        <f>IFERROR(IF(ISNUMBER(INDEX(SPPR!$E:$X,MATCH($A133,SPPR!$A:$A,0),4)),$C133*INDEX(SPPR!$E:$X,MATCH($A133,SPPR!$A:$A,0),4),""),"")</f>
        <v/>
      </c>
      <c r="H133">
        <f>IFERROR(IF(ISNUMBER(INDEX(SPPR!$E:$X,MATCH($A133,SPPR!$A:$A,0),5)),$C133*INDEX(SPPR!$E:$X,MATCH($A133,SPPR!$A:$A,0),5),""),"")</f>
        <v/>
      </c>
      <c r="I133">
        <f>IFERROR(IF(ISNUMBER(INDEX(SPPR!$E:$X,MATCH($A133,SPPR!$A:$A,0),6)),$C133*INDEX(SPPR!$E:$X,MATCH($A133,SPPR!$A:$A,0),6),""),"")</f>
        <v/>
      </c>
      <c r="J133">
        <f>IFERROR(IF(ISNUMBER(INDEX(SPPR!$E:$X,MATCH($A133,SPPR!$A:$A,0),7)),$C133*INDEX(SPPR!$E:$X,MATCH($A133,SPPR!$A:$A,0),7),""),"")</f>
        <v/>
      </c>
      <c r="K133">
        <f>IFERROR(IF(ISNUMBER(INDEX(SPPR!$E:$X,MATCH($A133,SPPR!$A:$A,0),8)),$C133*INDEX(SPPR!$E:$X,MATCH($A133,SPPR!$A:$A,0),8),""),"")</f>
        <v/>
      </c>
      <c r="L133">
        <f>IFERROR(IF(ISNUMBER(INDEX(SPPR!$E:$X,MATCH($A133,SPPR!$A:$A,0),9)),$C133*INDEX(SPPR!$E:$X,MATCH($A133,SPPR!$A:$A,0),9),""),"")</f>
        <v/>
      </c>
      <c r="M133">
        <f>IFERROR(IF(ISNUMBER(INDEX(SPPR!$E:$X,MATCH($A133,SPPR!$A:$A,0),10)),$C133*INDEX(SPPR!$E:$X,MATCH($A133,SPPR!$A:$A,0),10),""),"")</f>
        <v/>
      </c>
      <c r="N133">
        <f>IFERROR(IF(ISNUMBER(INDEX(SPPR!$E:$X,MATCH($A133,SPPR!$A:$A,0),11)),$C133*INDEX(SPPR!$E:$X,MATCH($A133,SPPR!$A:$A,0),11),""),"")</f>
        <v/>
      </c>
      <c r="O133">
        <f>IFERROR(IF(ISNUMBER(INDEX(SPPR!$E:$X,MATCH($A133,SPPR!$A:$A,0),12)),$C133*INDEX(SPPR!$E:$X,MATCH($A133,SPPR!$A:$A,0),12),""),"")</f>
        <v/>
      </c>
      <c r="P133">
        <f>IFERROR(IF(ISNUMBER(INDEX(SPPR!$E:$X,MATCH($A133,SPPR!$A:$A,0),13)),$C133*INDEX(SPPR!$E:$X,MATCH($A133,SPPR!$A:$A,0),13),""),"")</f>
        <v/>
      </c>
      <c r="Q133">
        <f>IFERROR(IF(ISNUMBER(INDEX(SPPR!$E:$X,MATCH($A133,SPPR!$A:$A,0),14)),$C133*INDEX(SPPR!$E:$X,MATCH($A133,SPPR!$A:$A,0),14),""),"")</f>
        <v/>
      </c>
      <c r="R133">
        <f>IFERROR(IF(ISNUMBER(INDEX(SPPR!$E:$X,MATCH($A133,SPPR!$A:$A,0),15)),$C133*INDEX(SPPR!$E:$X,MATCH($A133,SPPR!$A:$A,0),15),""),"")</f>
        <v/>
      </c>
      <c r="S133">
        <f>IFERROR(IF(ISNUMBER(INDEX(SPPR!$E:$X,MATCH($A133,SPPR!$A:$A,0),16)),$C133*INDEX(SPPR!$E:$X,MATCH($A133,SPPR!$A:$A,0),16),""),"")</f>
        <v/>
      </c>
      <c r="T133">
        <f>IFERROR(IF(ISNUMBER(INDEX(SPPR!$E:$X,MATCH($A133,SPPR!$A:$A,0),17)),$C133*INDEX(SPPR!$E:$X,MATCH($A133,SPPR!$A:$A,0),17),""),"")</f>
        <v/>
      </c>
      <c r="U133">
        <f>IFERROR(IF(ISNUMBER(INDEX(SPPR!$E:$X,MATCH($A133,SPPR!$A:$A,0),18)),$C133*INDEX(SPPR!$E:$X,MATCH($A133,SPPR!$A:$A,0),18),""),"")</f>
        <v/>
      </c>
      <c r="V133">
        <f>IFERROR(IF(ISNUMBER(INDEX(SPPR!$E:$X,MATCH($A133,SPPR!$A:$A,0),19)),$C133*INDEX(SPPR!$E:$X,MATCH($A133,SPPR!$A:$A,0),19),""),"")</f>
        <v/>
      </c>
      <c r="W133">
        <f>IFERROR(IF(ISNUMBER(INDEX(SPPR!$E:$X,MATCH($A133,SPPR!$A:$A,0),20)),$C133*INDEX(SPPR!$E:$X,MATCH($A133,SPPR!$A:$A,0),20),""),"")</f>
        <v/>
      </c>
    </row>
    <row r="134">
      <c r="A134" t="inlineStr">
        <is>
          <t>Gadus chalcogrammus</t>
        </is>
      </c>
      <c r="B134">
        <f>IFERROR(INDEX(SPPR!$D:$D,MATCH($A134,SPPR!$A:$A,0)),"")</f>
        <v/>
      </c>
      <c r="C134">
        <f>IFERROR(INDEX(Catch!$E:$BV,MATCH($A134,Catch!$A:$A,0),MATCH($B$4,Catch!$E$1:$BV$1,0)),0)</f>
        <v/>
      </c>
      <c r="D134">
        <f>IFERROR(IF(ISNUMBER(INDEX(SPPR!$E:$X,MATCH($A134,SPPR!$A:$A,0),1)),$C134*INDEX(SPPR!$E:$X,MATCH($A134,SPPR!$A:$A,0),1),""),"")</f>
        <v/>
      </c>
      <c r="E134">
        <f>IFERROR(IF(ISNUMBER(INDEX(SPPR!$E:$X,MATCH($A134,SPPR!$A:$A,0),2)),$C134*INDEX(SPPR!$E:$X,MATCH($A134,SPPR!$A:$A,0),2),""),"")</f>
        <v/>
      </c>
      <c r="F134">
        <f>IFERROR(IF(ISNUMBER(INDEX(SPPR!$E:$X,MATCH($A134,SPPR!$A:$A,0),3)),$C134*INDEX(SPPR!$E:$X,MATCH($A134,SPPR!$A:$A,0),3),""),"")</f>
        <v/>
      </c>
      <c r="G134">
        <f>IFERROR(IF(ISNUMBER(INDEX(SPPR!$E:$X,MATCH($A134,SPPR!$A:$A,0),4)),$C134*INDEX(SPPR!$E:$X,MATCH($A134,SPPR!$A:$A,0),4),""),"")</f>
        <v/>
      </c>
      <c r="H134">
        <f>IFERROR(IF(ISNUMBER(INDEX(SPPR!$E:$X,MATCH($A134,SPPR!$A:$A,0),5)),$C134*INDEX(SPPR!$E:$X,MATCH($A134,SPPR!$A:$A,0),5),""),"")</f>
        <v/>
      </c>
      <c r="I134">
        <f>IFERROR(IF(ISNUMBER(INDEX(SPPR!$E:$X,MATCH($A134,SPPR!$A:$A,0),6)),$C134*INDEX(SPPR!$E:$X,MATCH($A134,SPPR!$A:$A,0),6),""),"")</f>
        <v/>
      </c>
      <c r="J134">
        <f>IFERROR(IF(ISNUMBER(INDEX(SPPR!$E:$X,MATCH($A134,SPPR!$A:$A,0),7)),$C134*INDEX(SPPR!$E:$X,MATCH($A134,SPPR!$A:$A,0),7),""),"")</f>
        <v/>
      </c>
      <c r="K134">
        <f>IFERROR(IF(ISNUMBER(INDEX(SPPR!$E:$X,MATCH($A134,SPPR!$A:$A,0),8)),$C134*INDEX(SPPR!$E:$X,MATCH($A134,SPPR!$A:$A,0),8),""),"")</f>
        <v/>
      </c>
      <c r="L134">
        <f>IFERROR(IF(ISNUMBER(INDEX(SPPR!$E:$X,MATCH($A134,SPPR!$A:$A,0),9)),$C134*INDEX(SPPR!$E:$X,MATCH($A134,SPPR!$A:$A,0),9),""),"")</f>
        <v/>
      </c>
      <c r="M134">
        <f>IFERROR(IF(ISNUMBER(INDEX(SPPR!$E:$X,MATCH($A134,SPPR!$A:$A,0),10)),$C134*INDEX(SPPR!$E:$X,MATCH($A134,SPPR!$A:$A,0),10),""),"")</f>
        <v/>
      </c>
      <c r="N134">
        <f>IFERROR(IF(ISNUMBER(INDEX(SPPR!$E:$X,MATCH($A134,SPPR!$A:$A,0),11)),$C134*INDEX(SPPR!$E:$X,MATCH($A134,SPPR!$A:$A,0),11),""),"")</f>
        <v/>
      </c>
      <c r="O134">
        <f>IFERROR(IF(ISNUMBER(INDEX(SPPR!$E:$X,MATCH($A134,SPPR!$A:$A,0),12)),$C134*INDEX(SPPR!$E:$X,MATCH($A134,SPPR!$A:$A,0),12),""),"")</f>
        <v/>
      </c>
      <c r="P134">
        <f>IFERROR(IF(ISNUMBER(INDEX(SPPR!$E:$X,MATCH($A134,SPPR!$A:$A,0),13)),$C134*INDEX(SPPR!$E:$X,MATCH($A134,SPPR!$A:$A,0),13),""),"")</f>
        <v/>
      </c>
      <c r="Q134">
        <f>IFERROR(IF(ISNUMBER(INDEX(SPPR!$E:$X,MATCH($A134,SPPR!$A:$A,0),14)),$C134*INDEX(SPPR!$E:$X,MATCH($A134,SPPR!$A:$A,0),14),""),"")</f>
        <v/>
      </c>
      <c r="R134">
        <f>IFERROR(IF(ISNUMBER(INDEX(SPPR!$E:$X,MATCH($A134,SPPR!$A:$A,0),15)),$C134*INDEX(SPPR!$E:$X,MATCH($A134,SPPR!$A:$A,0),15),""),"")</f>
        <v/>
      </c>
      <c r="S134">
        <f>IFERROR(IF(ISNUMBER(INDEX(SPPR!$E:$X,MATCH($A134,SPPR!$A:$A,0),16)),$C134*INDEX(SPPR!$E:$X,MATCH($A134,SPPR!$A:$A,0),16),""),"")</f>
        <v/>
      </c>
      <c r="T134">
        <f>IFERROR(IF(ISNUMBER(INDEX(SPPR!$E:$X,MATCH($A134,SPPR!$A:$A,0),17)),$C134*INDEX(SPPR!$E:$X,MATCH($A134,SPPR!$A:$A,0),17),""),"")</f>
        <v/>
      </c>
      <c r="U134">
        <f>IFERROR(IF(ISNUMBER(INDEX(SPPR!$E:$X,MATCH($A134,SPPR!$A:$A,0),18)),$C134*INDEX(SPPR!$E:$X,MATCH($A134,SPPR!$A:$A,0),18),""),"")</f>
        <v/>
      </c>
      <c r="V134">
        <f>IFERROR(IF(ISNUMBER(INDEX(SPPR!$E:$X,MATCH($A134,SPPR!$A:$A,0),19)),$C134*INDEX(SPPR!$E:$X,MATCH($A134,SPPR!$A:$A,0),19),""),"")</f>
        <v/>
      </c>
      <c r="W134">
        <f>IFERROR(IF(ISNUMBER(INDEX(SPPR!$E:$X,MATCH($A134,SPPR!$A:$A,0),20)),$C134*INDEX(SPPR!$E:$X,MATCH($A134,SPPR!$A:$A,0),20),""),"")</f>
        <v/>
      </c>
    </row>
    <row r="135">
      <c r="A135" t="inlineStr">
        <is>
          <t>Branchiostegus japonicus</t>
        </is>
      </c>
      <c r="B135">
        <f>IFERROR(INDEX(SPPR!$D:$D,MATCH($A135,SPPR!$A:$A,0)),"")</f>
        <v/>
      </c>
      <c r="C135">
        <f>IFERROR(INDEX(Catch!$E:$BV,MATCH($A135,Catch!$A:$A,0),MATCH($B$4,Catch!$E$1:$BV$1,0)),0)</f>
        <v/>
      </c>
      <c r="D135">
        <f>IFERROR(IF(ISNUMBER(INDEX(SPPR!$E:$X,MATCH($A135,SPPR!$A:$A,0),1)),$C135*INDEX(SPPR!$E:$X,MATCH($A135,SPPR!$A:$A,0),1),""),"")</f>
        <v/>
      </c>
      <c r="E135">
        <f>IFERROR(IF(ISNUMBER(INDEX(SPPR!$E:$X,MATCH($A135,SPPR!$A:$A,0),2)),$C135*INDEX(SPPR!$E:$X,MATCH($A135,SPPR!$A:$A,0),2),""),"")</f>
        <v/>
      </c>
      <c r="F135">
        <f>IFERROR(IF(ISNUMBER(INDEX(SPPR!$E:$X,MATCH($A135,SPPR!$A:$A,0),3)),$C135*INDEX(SPPR!$E:$X,MATCH($A135,SPPR!$A:$A,0),3),""),"")</f>
        <v/>
      </c>
      <c r="G135">
        <f>IFERROR(IF(ISNUMBER(INDEX(SPPR!$E:$X,MATCH($A135,SPPR!$A:$A,0),4)),$C135*INDEX(SPPR!$E:$X,MATCH($A135,SPPR!$A:$A,0),4),""),"")</f>
        <v/>
      </c>
      <c r="H135">
        <f>IFERROR(IF(ISNUMBER(INDEX(SPPR!$E:$X,MATCH($A135,SPPR!$A:$A,0),5)),$C135*INDEX(SPPR!$E:$X,MATCH($A135,SPPR!$A:$A,0),5),""),"")</f>
        <v/>
      </c>
      <c r="I135">
        <f>IFERROR(IF(ISNUMBER(INDEX(SPPR!$E:$X,MATCH($A135,SPPR!$A:$A,0),6)),$C135*INDEX(SPPR!$E:$X,MATCH($A135,SPPR!$A:$A,0),6),""),"")</f>
        <v/>
      </c>
      <c r="J135">
        <f>IFERROR(IF(ISNUMBER(INDEX(SPPR!$E:$X,MATCH($A135,SPPR!$A:$A,0),7)),$C135*INDEX(SPPR!$E:$X,MATCH($A135,SPPR!$A:$A,0),7),""),"")</f>
        <v/>
      </c>
      <c r="K135">
        <f>IFERROR(IF(ISNUMBER(INDEX(SPPR!$E:$X,MATCH($A135,SPPR!$A:$A,0),8)),$C135*INDEX(SPPR!$E:$X,MATCH($A135,SPPR!$A:$A,0),8),""),"")</f>
        <v/>
      </c>
      <c r="L135">
        <f>IFERROR(IF(ISNUMBER(INDEX(SPPR!$E:$X,MATCH($A135,SPPR!$A:$A,0),9)),$C135*INDEX(SPPR!$E:$X,MATCH($A135,SPPR!$A:$A,0),9),""),"")</f>
        <v/>
      </c>
      <c r="M135">
        <f>IFERROR(IF(ISNUMBER(INDEX(SPPR!$E:$X,MATCH($A135,SPPR!$A:$A,0),10)),$C135*INDEX(SPPR!$E:$X,MATCH($A135,SPPR!$A:$A,0),10),""),"")</f>
        <v/>
      </c>
      <c r="N135">
        <f>IFERROR(IF(ISNUMBER(INDEX(SPPR!$E:$X,MATCH($A135,SPPR!$A:$A,0),11)),$C135*INDEX(SPPR!$E:$X,MATCH($A135,SPPR!$A:$A,0),11),""),"")</f>
        <v/>
      </c>
      <c r="O135">
        <f>IFERROR(IF(ISNUMBER(INDEX(SPPR!$E:$X,MATCH($A135,SPPR!$A:$A,0),12)),$C135*INDEX(SPPR!$E:$X,MATCH($A135,SPPR!$A:$A,0),12),""),"")</f>
        <v/>
      </c>
      <c r="P135">
        <f>IFERROR(IF(ISNUMBER(INDEX(SPPR!$E:$X,MATCH($A135,SPPR!$A:$A,0),13)),$C135*INDEX(SPPR!$E:$X,MATCH($A135,SPPR!$A:$A,0),13),""),"")</f>
        <v/>
      </c>
      <c r="Q135">
        <f>IFERROR(IF(ISNUMBER(INDEX(SPPR!$E:$X,MATCH($A135,SPPR!$A:$A,0),14)),$C135*INDEX(SPPR!$E:$X,MATCH($A135,SPPR!$A:$A,0),14),""),"")</f>
        <v/>
      </c>
      <c r="R135">
        <f>IFERROR(IF(ISNUMBER(INDEX(SPPR!$E:$X,MATCH($A135,SPPR!$A:$A,0),15)),$C135*INDEX(SPPR!$E:$X,MATCH($A135,SPPR!$A:$A,0),15),""),"")</f>
        <v/>
      </c>
      <c r="S135">
        <f>IFERROR(IF(ISNUMBER(INDEX(SPPR!$E:$X,MATCH($A135,SPPR!$A:$A,0),16)),$C135*INDEX(SPPR!$E:$X,MATCH($A135,SPPR!$A:$A,0),16),""),"")</f>
        <v/>
      </c>
      <c r="T135">
        <f>IFERROR(IF(ISNUMBER(INDEX(SPPR!$E:$X,MATCH($A135,SPPR!$A:$A,0),17)),$C135*INDEX(SPPR!$E:$X,MATCH($A135,SPPR!$A:$A,0),17),""),"")</f>
        <v/>
      </c>
      <c r="U135">
        <f>IFERROR(IF(ISNUMBER(INDEX(SPPR!$E:$X,MATCH($A135,SPPR!$A:$A,0),18)),$C135*INDEX(SPPR!$E:$X,MATCH($A135,SPPR!$A:$A,0),18),""),"")</f>
        <v/>
      </c>
      <c r="V135">
        <f>IFERROR(IF(ISNUMBER(INDEX(SPPR!$E:$X,MATCH($A135,SPPR!$A:$A,0),19)),$C135*INDEX(SPPR!$E:$X,MATCH($A135,SPPR!$A:$A,0),19),""),"")</f>
        <v/>
      </c>
      <c r="W135">
        <f>IFERROR(IF(ISNUMBER(INDEX(SPPR!$E:$X,MATCH($A135,SPPR!$A:$A,0),20)),$C135*INDEX(SPPR!$E:$X,MATCH($A135,SPPR!$A:$A,0),20),""),"")</f>
        <v/>
      </c>
    </row>
    <row r="136">
      <c r="A136" t="inlineStr">
        <is>
          <t>Meretrix lusoria</t>
        </is>
      </c>
      <c r="B136">
        <f>IFERROR(INDEX(SPPR!$D:$D,MATCH($A136,SPPR!$A:$A,0)),"")</f>
        <v/>
      </c>
      <c r="C136">
        <f>IFERROR(INDEX(Catch!$E:$BV,MATCH($A136,Catch!$A:$A,0),MATCH($B$4,Catch!$E$1:$BV$1,0)),0)</f>
        <v/>
      </c>
      <c r="D136">
        <f>IFERROR(IF(ISNUMBER(INDEX(SPPR!$E:$X,MATCH($A136,SPPR!$A:$A,0),1)),$C136*INDEX(SPPR!$E:$X,MATCH($A136,SPPR!$A:$A,0),1),""),"")</f>
        <v/>
      </c>
      <c r="E136">
        <f>IFERROR(IF(ISNUMBER(INDEX(SPPR!$E:$X,MATCH($A136,SPPR!$A:$A,0),2)),$C136*INDEX(SPPR!$E:$X,MATCH($A136,SPPR!$A:$A,0),2),""),"")</f>
        <v/>
      </c>
      <c r="F136">
        <f>IFERROR(IF(ISNUMBER(INDEX(SPPR!$E:$X,MATCH($A136,SPPR!$A:$A,0),3)),$C136*INDEX(SPPR!$E:$X,MATCH($A136,SPPR!$A:$A,0),3),""),"")</f>
        <v/>
      </c>
      <c r="G136">
        <f>IFERROR(IF(ISNUMBER(INDEX(SPPR!$E:$X,MATCH($A136,SPPR!$A:$A,0),4)),$C136*INDEX(SPPR!$E:$X,MATCH($A136,SPPR!$A:$A,0),4),""),"")</f>
        <v/>
      </c>
      <c r="H136">
        <f>IFERROR(IF(ISNUMBER(INDEX(SPPR!$E:$X,MATCH($A136,SPPR!$A:$A,0),5)),$C136*INDEX(SPPR!$E:$X,MATCH($A136,SPPR!$A:$A,0),5),""),"")</f>
        <v/>
      </c>
      <c r="I136">
        <f>IFERROR(IF(ISNUMBER(INDEX(SPPR!$E:$X,MATCH($A136,SPPR!$A:$A,0),6)),$C136*INDEX(SPPR!$E:$X,MATCH($A136,SPPR!$A:$A,0),6),""),"")</f>
        <v/>
      </c>
      <c r="J136">
        <f>IFERROR(IF(ISNUMBER(INDEX(SPPR!$E:$X,MATCH($A136,SPPR!$A:$A,0),7)),$C136*INDEX(SPPR!$E:$X,MATCH($A136,SPPR!$A:$A,0),7),""),"")</f>
        <v/>
      </c>
      <c r="K136">
        <f>IFERROR(IF(ISNUMBER(INDEX(SPPR!$E:$X,MATCH($A136,SPPR!$A:$A,0),8)),$C136*INDEX(SPPR!$E:$X,MATCH($A136,SPPR!$A:$A,0),8),""),"")</f>
        <v/>
      </c>
      <c r="L136">
        <f>IFERROR(IF(ISNUMBER(INDEX(SPPR!$E:$X,MATCH($A136,SPPR!$A:$A,0),9)),$C136*INDEX(SPPR!$E:$X,MATCH($A136,SPPR!$A:$A,0),9),""),"")</f>
        <v/>
      </c>
      <c r="M136">
        <f>IFERROR(IF(ISNUMBER(INDEX(SPPR!$E:$X,MATCH($A136,SPPR!$A:$A,0),10)),$C136*INDEX(SPPR!$E:$X,MATCH($A136,SPPR!$A:$A,0),10),""),"")</f>
        <v/>
      </c>
      <c r="N136">
        <f>IFERROR(IF(ISNUMBER(INDEX(SPPR!$E:$X,MATCH($A136,SPPR!$A:$A,0),11)),$C136*INDEX(SPPR!$E:$X,MATCH($A136,SPPR!$A:$A,0),11),""),"")</f>
        <v/>
      </c>
      <c r="O136">
        <f>IFERROR(IF(ISNUMBER(INDEX(SPPR!$E:$X,MATCH($A136,SPPR!$A:$A,0),12)),$C136*INDEX(SPPR!$E:$X,MATCH($A136,SPPR!$A:$A,0),12),""),"")</f>
        <v/>
      </c>
      <c r="P136">
        <f>IFERROR(IF(ISNUMBER(INDEX(SPPR!$E:$X,MATCH($A136,SPPR!$A:$A,0),13)),$C136*INDEX(SPPR!$E:$X,MATCH($A136,SPPR!$A:$A,0),13),""),"")</f>
        <v/>
      </c>
      <c r="Q136">
        <f>IFERROR(IF(ISNUMBER(INDEX(SPPR!$E:$X,MATCH($A136,SPPR!$A:$A,0),14)),$C136*INDEX(SPPR!$E:$X,MATCH($A136,SPPR!$A:$A,0),14),""),"")</f>
        <v/>
      </c>
      <c r="R136">
        <f>IFERROR(IF(ISNUMBER(INDEX(SPPR!$E:$X,MATCH($A136,SPPR!$A:$A,0),15)),$C136*INDEX(SPPR!$E:$X,MATCH($A136,SPPR!$A:$A,0),15),""),"")</f>
        <v/>
      </c>
      <c r="S136">
        <f>IFERROR(IF(ISNUMBER(INDEX(SPPR!$E:$X,MATCH($A136,SPPR!$A:$A,0),16)),$C136*INDEX(SPPR!$E:$X,MATCH($A136,SPPR!$A:$A,0),16),""),"")</f>
        <v/>
      </c>
      <c r="T136">
        <f>IFERROR(IF(ISNUMBER(INDEX(SPPR!$E:$X,MATCH($A136,SPPR!$A:$A,0),17)),$C136*INDEX(SPPR!$E:$X,MATCH($A136,SPPR!$A:$A,0),17),""),"")</f>
        <v/>
      </c>
      <c r="U136">
        <f>IFERROR(IF(ISNUMBER(INDEX(SPPR!$E:$X,MATCH($A136,SPPR!$A:$A,0),18)),$C136*INDEX(SPPR!$E:$X,MATCH($A136,SPPR!$A:$A,0),18),""),"")</f>
        <v/>
      </c>
      <c r="V136">
        <f>IFERROR(IF(ISNUMBER(INDEX(SPPR!$E:$X,MATCH($A136,SPPR!$A:$A,0),19)),$C136*INDEX(SPPR!$E:$X,MATCH($A136,SPPR!$A:$A,0),19),""),"")</f>
        <v/>
      </c>
      <c r="W136">
        <f>IFERROR(IF(ISNUMBER(INDEX(SPPR!$E:$X,MATCH($A136,SPPR!$A:$A,0),20)),$C136*INDEX(SPPR!$E:$X,MATCH($A136,SPPR!$A:$A,0),20),""),"")</f>
        <v/>
      </c>
    </row>
    <row r="137">
      <c r="A137" t="inlineStr">
        <is>
          <t>Gadidae</t>
        </is>
      </c>
      <c r="B137">
        <f>IFERROR(INDEX(SPPR!$D:$D,MATCH($A137,SPPR!$A:$A,0)),"")</f>
        <v/>
      </c>
      <c r="C137">
        <f>IFERROR(INDEX(Catch!$E:$BV,MATCH($A137,Catch!$A:$A,0),MATCH($B$4,Catch!$E$1:$BV$1,0)),0)</f>
        <v/>
      </c>
      <c r="D137">
        <f>IFERROR(IF(ISNUMBER(INDEX(SPPR!$E:$X,MATCH($A137,SPPR!$A:$A,0),1)),$C137*INDEX(SPPR!$E:$X,MATCH($A137,SPPR!$A:$A,0),1),""),"")</f>
        <v/>
      </c>
      <c r="E137">
        <f>IFERROR(IF(ISNUMBER(INDEX(SPPR!$E:$X,MATCH($A137,SPPR!$A:$A,0),2)),$C137*INDEX(SPPR!$E:$X,MATCH($A137,SPPR!$A:$A,0),2),""),"")</f>
        <v/>
      </c>
      <c r="F137">
        <f>IFERROR(IF(ISNUMBER(INDEX(SPPR!$E:$X,MATCH($A137,SPPR!$A:$A,0),3)),$C137*INDEX(SPPR!$E:$X,MATCH($A137,SPPR!$A:$A,0),3),""),"")</f>
        <v/>
      </c>
      <c r="G137">
        <f>IFERROR(IF(ISNUMBER(INDEX(SPPR!$E:$X,MATCH($A137,SPPR!$A:$A,0),4)),$C137*INDEX(SPPR!$E:$X,MATCH($A137,SPPR!$A:$A,0),4),""),"")</f>
        <v/>
      </c>
      <c r="H137">
        <f>IFERROR(IF(ISNUMBER(INDEX(SPPR!$E:$X,MATCH($A137,SPPR!$A:$A,0),5)),$C137*INDEX(SPPR!$E:$X,MATCH($A137,SPPR!$A:$A,0),5),""),"")</f>
        <v/>
      </c>
      <c r="I137">
        <f>IFERROR(IF(ISNUMBER(INDEX(SPPR!$E:$X,MATCH($A137,SPPR!$A:$A,0),6)),$C137*INDEX(SPPR!$E:$X,MATCH($A137,SPPR!$A:$A,0),6),""),"")</f>
        <v/>
      </c>
      <c r="J137">
        <f>IFERROR(IF(ISNUMBER(INDEX(SPPR!$E:$X,MATCH($A137,SPPR!$A:$A,0),7)),$C137*INDEX(SPPR!$E:$X,MATCH($A137,SPPR!$A:$A,0),7),""),"")</f>
        <v/>
      </c>
      <c r="K137">
        <f>IFERROR(IF(ISNUMBER(INDEX(SPPR!$E:$X,MATCH($A137,SPPR!$A:$A,0),8)),$C137*INDEX(SPPR!$E:$X,MATCH($A137,SPPR!$A:$A,0),8),""),"")</f>
        <v/>
      </c>
      <c r="L137">
        <f>IFERROR(IF(ISNUMBER(INDEX(SPPR!$E:$X,MATCH($A137,SPPR!$A:$A,0),9)),$C137*INDEX(SPPR!$E:$X,MATCH($A137,SPPR!$A:$A,0),9),""),"")</f>
        <v/>
      </c>
      <c r="M137">
        <f>IFERROR(IF(ISNUMBER(INDEX(SPPR!$E:$X,MATCH($A137,SPPR!$A:$A,0),10)),$C137*INDEX(SPPR!$E:$X,MATCH($A137,SPPR!$A:$A,0),10),""),"")</f>
        <v/>
      </c>
      <c r="N137">
        <f>IFERROR(IF(ISNUMBER(INDEX(SPPR!$E:$X,MATCH($A137,SPPR!$A:$A,0),11)),$C137*INDEX(SPPR!$E:$X,MATCH($A137,SPPR!$A:$A,0),11),""),"")</f>
        <v/>
      </c>
      <c r="O137">
        <f>IFERROR(IF(ISNUMBER(INDEX(SPPR!$E:$X,MATCH($A137,SPPR!$A:$A,0),12)),$C137*INDEX(SPPR!$E:$X,MATCH($A137,SPPR!$A:$A,0),12),""),"")</f>
        <v/>
      </c>
      <c r="P137">
        <f>IFERROR(IF(ISNUMBER(INDEX(SPPR!$E:$X,MATCH($A137,SPPR!$A:$A,0),13)),$C137*INDEX(SPPR!$E:$X,MATCH($A137,SPPR!$A:$A,0),13),""),"")</f>
        <v/>
      </c>
      <c r="Q137">
        <f>IFERROR(IF(ISNUMBER(INDEX(SPPR!$E:$X,MATCH($A137,SPPR!$A:$A,0),14)),$C137*INDEX(SPPR!$E:$X,MATCH($A137,SPPR!$A:$A,0),14),""),"")</f>
        <v/>
      </c>
      <c r="R137">
        <f>IFERROR(IF(ISNUMBER(INDEX(SPPR!$E:$X,MATCH($A137,SPPR!$A:$A,0),15)),$C137*INDEX(SPPR!$E:$X,MATCH($A137,SPPR!$A:$A,0),15),""),"")</f>
        <v/>
      </c>
      <c r="S137">
        <f>IFERROR(IF(ISNUMBER(INDEX(SPPR!$E:$X,MATCH($A137,SPPR!$A:$A,0),16)),$C137*INDEX(SPPR!$E:$X,MATCH($A137,SPPR!$A:$A,0),16),""),"")</f>
        <v/>
      </c>
      <c r="T137">
        <f>IFERROR(IF(ISNUMBER(INDEX(SPPR!$E:$X,MATCH($A137,SPPR!$A:$A,0),17)),$C137*INDEX(SPPR!$E:$X,MATCH($A137,SPPR!$A:$A,0),17),""),"")</f>
        <v/>
      </c>
      <c r="U137">
        <f>IFERROR(IF(ISNUMBER(INDEX(SPPR!$E:$X,MATCH($A137,SPPR!$A:$A,0),18)),$C137*INDEX(SPPR!$E:$X,MATCH($A137,SPPR!$A:$A,0),18),""),"")</f>
        <v/>
      </c>
      <c r="V137">
        <f>IFERROR(IF(ISNUMBER(INDEX(SPPR!$E:$X,MATCH($A137,SPPR!$A:$A,0),19)),$C137*INDEX(SPPR!$E:$X,MATCH($A137,SPPR!$A:$A,0),19),""),"")</f>
        <v/>
      </c>
      <c r="W137">
        <f>IFERROR(IF(ISNUMBER(INDEX(SPPR!$E:$X,MATCH($A137,SPPR!$A:$A,0),20)),$C137*INDEX(SPPR!$E:$X,MATCH($A137,SPPR!$A:$A,0),20),""),"")</f>
        <v/>
      </c>
    </row>
    <row r="138">
      <c r="A138" t="inlineStr">
        <is>
          <t>Scomberomorus guttatus</t>
        </is>
      </c>
      <c r="B138">
        <f>IFERROR(INDEX(SPPR!$D:$D,MATCH($A138,SPPR!$A:$A,0)),"")</f>
        <v/>
      </c>
      <c r="C138">
        <f>IFERROR(INDEX(Catch!$E:$BV,MATCH($A138,Catch!$A:$A,0),MATCH($B$4,Catch!$E$1:$BV$1,0)),0)</f>
        <v/>
      </c>
      <c r="D138">
        <f>IFERROR(IF(ISNUMBER(INDEX(SPPR!$E:$X,MATCH($A138,SPPR!$A:$A,0),1)),$C138*INDEX(SPPR!$E:$X,MATCH($A138,SPPR!$A:$A,0),1),""),"")</f>
        <v/>
      </c>
      <c r="E138">
        <f>IFERROR(IF(ISNUMBER(INDEX(SPPR!$E:$X,MATCH($A138,SPPR!$A:$A,0),2)),$C138*INDEX(SPPR!$E:$X,MATCH($A138,SPPR!$A:$A,0),2),""),"")</f>
        <v/>
      </c>
      <c r="F138">
        <f>IFERROR(IF(ISNUMBER(INDEX(SPPR!$E:$X,MATCH($A138,SPPR!$A:$A,0),3)),$C138*INDEX(SPPR!$E:$X,MATCH($A138,SPPR!$A:$A,0),3),""),"")</f>
        <v/>
      </c>
      <c r="G138">
        <f>IFERROR(IF(ISNUMBER(INDEX(SPPR!$E:$X,MATCH($A138,SPPR!$A:$A,0),4)),$C138*INDEX(SPPR!$E:$X,MATCH($A138,SPPR!$A:$A,0),4),""),"")</f>
        <v/>
      </c>
      <c r="H138">
        <f>IFERROR(IF(ISNUMBER(INDEX(SPPR!$E:$X,MATCH($A138,SPPR!$A:$A,0),5)),$C138*INDEX(SPPR!$E:$X,MATCH($A138,SPPR!$A:$A,0),5),""),"")</f>
        <v/>
      </c>
      <c r="I138">
        <f>IFERROR(IF(ISNUMBER(INDEX(SPPR!$E:$X,MATCH($A138,SPPR!$A:$A,0),6)),$C138*INDEX(SPPR!$E:$X,MATCH($A138,SPPR!$A:$A,0),6),""),"")</f>
        <v/>
      </c>
      <c r="J138">
        <f>IFERROR(IF(ISNUMBER(INDEX(SPPR!$E:$X,MATCH($A138,SPPR!$A:$A,0),7)),$C138*INDEX(SPPR!$E:$X,MATCH($A138,SPPR!$A:$A,0),7),""),"")</f>
        <v/>
      </c>
      <c r="K138">
        <f>IFERROR(IF(ISNUMBER(INDEX(SPPR!$E:$X,MATCH($A138,SPPR!$A:$A,0),8)),$C138*INDEX(SPPR!$E:$X,MATCH($A138,SPPR!$A:$A,0),8),""),"")</f>
        <v/>
      </c>
      <c r="L138">
        <f>IFERROR(IF(ISNUMBER(INDEX(SPPR!$E:$X,MATCH($A138,SPPR!$A:$A,0),9)),$C138*INDEX(SPPR!$E:$X,MATCH($A138,SPPR!$A:$A,0),9),""),"")</f>
        <v/>
      </c>
      <c r="M138">
        <f>IFERROR(IF(ISNUMBER(INDEX(SPPR!$E:$X,MATCH($A138,SPPR!$A:$A,0),10)),$C138*INDEX(SPPR!$E:$X,MATCH($A138,SPPR!$A:$A,0),10),""),"")</f>
        <v/>
      </c>
      <c r="N138">
        <f>IFERROR(IF(ISNUMBER(INDEX(SPPR!$E:$X,MATCH($A138,SPPR!$A:$A,0),11)),$C138*INDEX(SPPR!$E:$X,MATCH($A138,SPPR!$A:$A,0),11),""),"")</f>
        <v/>
      </c>
      <c r="O138">
        <f>IFERROR(IF(ISNUMBER(INDEX(SPPR!$E:$X,MATCH($A138,SPPR!$A:$A,0),12)),$C138*INDEX(SPPR!$E:$X,MATCH($A138,SPPR!$A:$A,0),12),""),"")</f>
        <v/>
      </c>
      <c r="P138">
        <f>IFERROR(IF(ISNUMBER(INDEX(SPPR!$E:$X,MATCH($A138,SPPR!$A:$A,0),13)),$C138*INDEX(SPPR!$E:$X,MATCH($A138,SPPR!$A:$A,0),13),""),"")</f>
        <v/>
      </c>
      <c r="Q138">
        <f>IFERROR(IF(ISNUMBER(INDEX(SPPR!$E:$X,MATCH($A138,SPPR!$A:$A,0),14)),$C138*INDEX(SPPR!$E:$X,MATCH($A138,SPPR!$A:$A,0),14),""),"")</f>
        <v/>
      </c>
      <c r="R138">
        <f>IFERROR(IF(ISNUMBER(INDEX(SPPR!$E:$X,MATCH($A138,SPPR!$A:$A,0),15)),$C138*INDEX(SPPR!$E:$X,MATCH($A138,SPPR!$A:$A,0),15),""),"")</f>
        <v/>
      </c>
      <c r="S138">
        <f>IFERROR(IF(ISNUMBER(INDEX(SPPR!$E:$X,MATCH($A138,SPPR!$A:$A,0),16)),$C138*INDEX(SPPR!$E:$X,MATCH($A138,SPPR!$A:$A,0),16),""),"")</f>
        <v/>
      </c>
      <c r="T138">
        <f>IFERROR(IF(ISNUMBER(INDEX(SPPR!$E:$X,MATCH($A138,SPPR!$A:$A,0),17)),$C138*INDEX(SPPR!$E:$X,MATCH($A138,SPPR!$A:$A,0),17),""),"")</f>
        <v/>
      </c>
      <c r="U138">
        <f>IFERROR(IF(ISNUMBER(INDEX(SPPR!$E:$X,MATCH($A138,SPPR!$A:$A,0),18)),$C138*INDEX(SPPR!$E:$X,MATCH($A138,SPPR!$A:$A,0),18),""),"")</f>
        <v/>
      </c>
      <c r="V138">
        <f>IFERROR(IF(ISNUMBER(INDEX(SPPR!$E:$X,MATCH($A138,SPPR!$A:$A,0),19)),$C138*INDEX(SPPR!$E:$X,MATCH($A138,SPPR!$A:$A,0),19),""),"")</f>
        <v/>
      </c>
      <c r="W138">
        <f>IFERROR(IF(ISNUMBER(INDEX(SPPR!$E:$X,MATCH($A138,SPPR!$A:$A,0),20)),$C138*INDEX(SPPR!$E:$X,MATCH($A138,SPPR!$A:$A,0),20),""),"")</f>
        <v/>
      </c>
    </row>
    <row r="139">
      <c r="A139" t="inlineStr">
        <is>
          <t>Tegillarca granosa</t>
        </is>
      </c>
      <c r="B139">
        <f>IFERROR(INDEX(SPPR!$D:$D,MATCH($A139,SPPR!$A:$A,0)),"")</f>
        <v/>
      </c>
      <c r="C139">
        <f>IFERROR(INDEX(Catch!$E:$BV,MATCH($A139,Catch!$A:$A,0),MATCH($B$4,Catch!$E$1:$BV$1,0)),0)</f>
        <v/>
      </c>
      <c r="D139">
        <f>IFERROR(IF(ISNUMBER(INDEX(SPPR!$E:$X,MATCH($A139,SPPR!$A:$A,0),1)),$C139*INDEX(SPPR!$E:$X,MATCH($A139,SPPR!$A:$A,0),1),""),"")</f>
        <v/>
      </c>
      <c r="E139">
        <f>IFERROR(IF(ISNUMBER(INDEX(SPPR!$E:$X,MATCH($A139,SPPR!$A:$A,0),2)),$C139*INDEX(SPPR!$E:$X,MATCH($A139,SPPR!$A:$A,0),2),""),"")</f>
        <v/>
      </c>
      <c r="F139">
        <f>IFERROR(IF(ISNUMBER(INDEX(SPPR!$E:$X,MATCH($A139,SPPR!$A:$A,0),3)),$C139*INDEX(SPPR!$E:$X,MATCH($A139,SPPR!$A:$A,0),3),""),"")</f>
        <v/>
      </c>
      <c r="G139">
        <f>IFERROR(IF(ISNUMBER(INDEX(SPPR!$E:$X,MATCH($A139,SPPR!$A:$A,0),4)),$C139*INDEX(SPPR!$E:$X,MATCH($A139,SPPR!$A:$A,0),4),""),"")</f>
        <v/>
      </c>
      <c r="H139">
        <f>IFERROR(IF(ISNUMBER(INDEX(SPPR!$E:$X,MATCH($A139,SPPR!$A:$A,0),5)),$C139*INDEX(SPPR!$E:$X,MATCH($A139,SPPR!$A:$A,0),5),""),"")</f>
        <v/>
      </c>
      <c r="I139">
        <f>IFERROR(IF(ISNUMBER(INDEX(SPPR!$E:$X,MATCH($A139,SPPR!$A:$A,0),6)),$C139*INDEX(SPPR!$E:$X,MATCH($A139,SPPR!$A:$A,0),6),""),"")</f>
        <v/>
      </c>
      <c r="J139">
        <f>IFERROR(IF(ISNUMBER(INDEX(SPPR!$E:$X,MATCH($A139,SPPR!$A:$A,0),7)),$C139*INDEX(SPPR!$E:$X,MATCH($A139,SPPR!$A:$A,0),7),""),"")</f>
        <v/>
      </c>
      <c r="K139">
        <f>IFERROR(IF(ISNUMBER(INDEX(SPPR!$E:$X,MATCH($A139,SPPR!$A:$A,0),8)),$C139*INDEX(SPPR!$E:$X,MATCH($A139,SPPR!$A:$A,0),8),""),"")</f>
        <v/>
      </c>
      <c r="L139">
        <f>IFERROR(IF(ISNUMBER(INDEX(SPPR!$E:$X,MATCH($A139,SPPR!$A:$A,0),9)),$C139*INDEX(SPPR!$E:$X,MATCH($A139,SPPR!$A:$A,0),9),""),"")</f>
        <v/>
      </c>
      <c r="M139">
        <f>IFERROR(IF(ISNUMBER(INDEX(SPPR!$E:$X,MATCH($A139,SPPR!$A:$A,0),10)),$C139*INDEX(SPPR!$E:$X,MATCH($A139,SPPR!$A:$A,0),10),""),"")</f>
        <v/>
      </c>
      <c r="N139">
        <f>IFERROR(IF(ISNUMBER(INDEX(SPPR!$E:$X,MATCH($A139,SPPR!$A:$A,0),11)),$C139*INDEX(SPPR!$E:$X,MATCH($A139,SPPR!$A:$A,0),11),""),"")</f>
        <v/>
      </c>
      <c r="O139">
        <f>IFERROR(IF(ISNUMBER(INDEX(SPPR!$E:$X,MATCH($A139,SPPR!$A:$A,0),12)),$C139*INDEX(SPPR!$E:$X,MATCH($A139,SPPR!$A:$A,0),12),""),"")</f>
        <v/>
      </c>
      <c r="P139">
        <f>IFERROR(IF(ISNUMBER(INDEX(SPPR!$E:$X,MATCH($A139,SPPR!$A:$A,0),13)),$C139*INDEX(SPPR!$E:$X,MATCH($A139,SPPR!$A:$A,0),13),""),"")</f>
        <v/>
      </c>
      <c r="Q139">
        <f>IFERROR(IF(ISNUMBER(INDEX(SPPR!$E:$X,MATCH($A139,SPPR!$A:$A,0),14)),$C139*INDEX(SPPR!$E:$X,MATCH($A139,SPPR!$A:$A,0),14),""),"")</f>
        <v/>
      </c>
      <c r="R139">
        <f>IFERROR(IF(ISNUMBER(INDEX(SPPR!$E:$X,MATCH($A139,SPPR!$A:$A,0),15)),$C139*INDEX(SPPR!$E:$X,MATCH($A139,SPPR!$A:$A,0),15),""),"")</f>
        <v/>
      </c>
      <c r="S139">
        <f>IFERROR(IF(ISNUMBER(INDEX(SPPR!$E:$X,MATCH($A139,SPPR!$A:$A,0),16)),$C139*INDEX(SPPR!$E:$X,MATCH($A139,SPPR!$A:$A,0),16),""),"")</f>
        <v/>
      </c>
      <c r="T139">
        <f>IFERROR(IF(ISNUMBER(INDEX(SPPR!$E:$X,MATCH($A139,SPPR!$A:$A,0),17)),$C139*INDEX(SPPR!$E:$X,MATCH($A139,SPPR!$A:$A,0),17),""),"")</f>
        <v/>
      </c>
      <c r="U139">
        <f>IFERROR(IF(ISNUMBER(INDEX(SPPR!$E:$X,MATCH($A139,SPPR!$A:$A,0),18)),$C139*INDEX(SPPR!$E:$X,MATCH($A139,SPPR!$A:$A,0),18),""),"")</f>
        <v/>
      </c>
      <c r="V139">
        <f>IFERROR(IF(ISNUMBER(INDEX(SPPR!$E:$X,MATCH($A139,SPPR!$A:$A,0),19)),$C139*INDEX(SPPR!$E:$X,MATCH($A139,SPPR!$A:$A,0),19),""),"")</f>
        <v/>
      </c>
      <c r="W139">
        <f>IFERROR(IF(ISNUMBER(INDEX(SPPR!$E:$X,MATCH($A139,SPPR!$A:$A,0),20)),$C139*INDEX(SPPR!$E:$X,MATCH($A139,SPPR!$A:$A,0),20),""),"")</f>
        <v/>
      </c>
    </row>
    <row r="140">
      <c r="A140" t="inlineStr">
        <is>
          <t>Menidae</t>
        </is>
      </c>
      <c r="B140">
        <f>IFERROR(INDEX(SPPR!$D:$D,MATCH($A140,SPPR!$A:$A,0)),"")</f>
        <v/>
      </c>
      <c r="C140">
        <f>IFERROR(INDEX(Catch!$E:$BV,MATCH($A140,Catch!$A:$A,0),MATCH($B$4,Catch!$E$1:$BV$1,0)),0)</f>
        <v/>
      </c>
      <c r="D140">
        <f>IFERROR(IF(ISNUMBER(INDEX(SPPR!$E:$X,MATCH($A140,SPPR!$A:$A,0),1)),$C140*INDEX(SPPR!$E:$X,MATCH($A140,SPPR!$A:$A,0),1),""),"")</f>
        <v/>
      </c>
      <c r="E140">
        <f>IFERROR(IF(ISNUMBER(INDEX(SPPR!$E:$X,MATCH($A140,SPPR!$A:$A,0),2)),$C140*INDEX(SPPR!$E:$X,MATCH($A140,SPPR!$A:$A,0),2),""),"")</f>
        <v/>
      </c>
      <c r="F140">
        <f>IFERROR(IF(ISNUMBER(INDEX(SPPR!$E:$X,MATCH($A140,SPPR!$A:$A,0),3)),$C140*INDEX(SPPR!$E:$X,MATCH($A140,SPPR!$A:$A,0),3),""),"")</f>
        <v/>
      </c>
      <c r="G140">
        <f>IFERROR(IF(ISNUMBER(INDEX(SPPR!$E:$X,MATCH($A140,SPPR!$A:$A,0),4)),$C140*INDEX(SPPR!$E:$X,MATCH($A140,SPPR!$A:$A,0),4),""),"")</f>
        <v/>
      </c>
      <c r="H140">
        <f>IFERROR(IF(ISNUMBER(INDEX(SPPR!$E:$X,MATCH($A140,SPPR!$A:$A,0),5)),$C140*INDEX(SPPR!$E:$X,MATCH($A140,SPPR!$A:$A,0),5),""),"")</f>
        <v/>
      </c>
      <c r="I140">
        <f>IFERROR(IF(ISNUMBER(INDEX(SPPR!$E:$X,MATCH($A140,SPPR!$A:$A,0),6)),$C140*INDEX(SPPR!$E:$X,MATCH($A140,SPPR!$A:$A,0),6),""),"")</f>
        <v/>
      </c>
      <c r="J140">
        <f>IFERROR(IF(ISNUMBER(INDEX(SPPR!$E:$X,MATCH($A140,SPPR!$A:$A,0),7)),$C140*INDEX(SPPR!$E:$X,MATCH($A140,SPPR!$A:$A,0),7),""),"")</f>
        <v/>
      </c>
      <c r="K140">
        <f>IFERROR(IF(ISNUMBER(INDEX(SPPR!$E:$X,MATCH($A140,SPPR!$A:$A,0),8)),$C140*INDEX(SPPR!$E:$X,MATCH($A140,SPPR!$A:$A,0),8),""),"")</f>
        <v/>
      </c>
      <c r="L140">
        <f>IFERROR(IF(ISNUMBER(INDEX(SPPR!$E:$X,MATCH($A140,SPPR!$A:$A,0),9)),$C140*INDEX(SPPR!$E:$X,MATCH($A140,SPPR!$A:$A,0),9),""),"")</f>
        <v/>
      </c>
      <c r="M140">
        <f>IFERROR(IF(ISNUMBER(INDEX(SPPR!$E:$X,MATCH($A140,SPPR!$A:$A,0),10)),$C140*INDEX(SPPR!$E:$X,MATCH($A140,SPPR!$A:$A,0),10),""),"")</f>
        <v/>
      </c>
      <c r="N140">
        <f>IFERROR(IF(ISNUMBER(INDEX(SPPR!$E:$X,MATCH($A140,SPPR!$A:$A,0),11)),$C140*INDEX(SPPR!$E:$X,MATCH($A140,SPPR!$A:$A,0),11),""),"")</f>
        <v/>
      </c>
      <c r="O140">
        <f>IFERROR(IF(ISNUMBER(INDEX(SPPR!$E:$X,MATCH($A140,SPPR!$A:$A,0),12)),$C140*INDEX(SPPR!$E:$X,MATCH($A140,SPPR!$A:$A,0),12),""),"")</f>
        <v/>
      </c>
      <c r="P140">
        <f>IFERROR(IF(ISNUMBER(INDEX(SPPR!$E:$X,MATCH($A140,SPPR!$A:$A,0),13)),$C140*INDEX(SPPR!$E:$X,MATCH($A140,SPPR!$A:$A,0),13),""),"")</f>
        <v/>
      </c>
      <c r="Q140">
        <f>IFERROR(IF(ISNUMBER(INDEX(SPPR!$E:$X,MATCH($A140,SPPR!$A:$A,0),14)),$C140*INDEX(SPPR!$E:$X,MATCH($A140,SPPR!$A:$A,0),14),""),"")</f>
        <v/>
      </c>
      <c r="R140">
        <f>IFERROR(IF(ISNUMBER(INDEX(SPPR!$E:$X,MATCH($A140,SPPR!$A:$A,0),15)),$C140*INDEX(SPPR!$E:$X,MATCH($A140,SPPR!$A:$A,0),15),""),"")</f>
        <v/>
      </c>
      <c r="S140">
        <f>IFERROR(IF(ISNUMBER(INDEX(SPPR!$E:$X,MATCH($A140,SPPR!$A:$A,0),16)),$C140*INDEX(SPPR!$E:$X,MATCH($A140,SPPR!$A:$A,0),16),""),"")</f>
        <v/>
      </c>
      <c r="T140">
        <f>IFERROR(IF(ISNUMBER(INDEX(SPPR!$E:$X,MATCH($A140,SPPR!$A:$A,0),17)),$C140*INDEX(SPPR!$E:$X,MATCH($A140,SPPR!$A:$A,0),17),""),"")</f>
        <v/>
      </c>
      <c r="U140">
        <f>IFERROR(IF(ISNUMBER(INDEX(SPPR!$E:$X,MATCH($A140,SPPR!$A:$A,0),18)),$C140*INDEX(SPPR!$E:$X,MATCH($A140,SPPR!$A:$A,0),18),""),"")</f>
        <v/>
      </c>
      <c r="V140">
        <f>IFERROR(IF(ISNUMBER(INDEX(SPPR!$E:$X,MATCH($A140,SPPR!$A:$A,0),19)),$C140*INDEX(SPPR!$E:$X,MATCH($A140,SPPR!$A:$A,0),19),""),"")</f>
        <v/>
      </c>
      <c r="W140">
        <f>IFERROR(IF(ISNUMBER(INDEX(SPPR!$E:$X,MATCH($A140,SPPR!$A:$A,0),20)),$C140*INDEX(SPPR!$E:$X,MATCH($A140,SPPR!$A:$A,0),20),""),"")</f>
        <v/>
      </c>
    </row>
    <row r="141">
      <c r="A141" t="inlineStr">
        <is>
          <t>Scorpaenidae</t>
        </is>
      </c>
      <c r="B141">
        <f>IFERROR(INDEX(SPPR!$D:$D,MATCH($A141,SPPR!$A:$A,0)),"")</f>
        <v/>
      </c>
      <c r="C141">
        <f>IFERROR(INDEX(Catch!$E:$BV,MATCH($A141,Catch!$A:$A,0),MATCH($B$4,Catch!$E$1:$BV$1,0)),0)</f>
        <v/>
      </c>
      <c r="D141">
        <f>IFERROR(IF(ISNUMBER(INDEX(SPPR!$E:$X,MATCH($A141,SPPR!$A:$A,0),1)),$C141*INDEX(SPPR!$E:$X,MATCH($A141,SPPR!$A:$A,0),1),""),"")</f>
        <v/>
      </c>
      <c r="E141">
        <f>IFERROR(IF(ISNUMBER(INDEX(SPPR!$E:$X,MATCH($A141,SPPR!$A:$A,0),2)),$C141*INDEX(SPPR!$E:$X,MATCH($A141,SPPR!$A:$A,0),2),""),"")</f>
        <v/>
      </c>
      <c r="F141">
        <f>IFERROR(IF(ISNUMBER(INDEX(SPPR!$E:$X,MATCH($A141,SPPR!$A:$A,0),3)),$C141*INDEX(SPPR!$E:$X,MATCH($A141,SPPR!$A:$A,0),3),""),"")</f>
        <v/>
      </c>
      <c r="G141">
        <f>IFERROR(IF(ISNUMBER(INDEX(SPPR!$E:$X,MATCH($A141,SPPR!$A:$A,0),4)),$C141*INDEX(SPPR!$E:$X,MATCH($A141,SPPR!$A:$A,0),4),""),"")</f>
        <v/>
      </c>
      <c r="H141">
        <f>IFERROR(IF(ISNUMBER(INDEX(SPPR!$E:$X,MATCH($A141,SPPR!$A:$A,0),5)),$C141*INDEX(SPPR!$E:$X,MATCH($A141,SPPR!$A:$A,0),5),""),"")</f>
        <v/>
      </c>
      <c r="I141">
        <f>IFERROR(IF(ISNUMBER(INDEX(SPPR!$E:$X,MATCH($A141,SPPR!$A:$A,0),6)),$C141*INDEX(SPPR!$E:$X,MATCH($A141,SPPR!$A:$A,0),6),""),"")</f>
        <v/>
      </c>
      <c r="J141">
        <f>IFERROR(IF(ISNUMBER(INDEX(SPPR!$E:$X,MATCH($A141,SPPR!$A:$A,0),7)),$C141*INDEX(SPPR!$E:$X,MATCH($A141,SPPR!$A:$A,0),7),""),"")</f>
        <v/>
      </c>
      <c r="K141">
        <f>IFERROR(IF(ISNUMBER(INDEX(SPPR!$E:$X,MATCH($A141,SPPR!$A:$A,0),8)),$C141*INDEX(SPPR!$E:$X,MATCH($A141,SPPR!$A:$A,0),8),""),"")</f>
        <v/>
      </c>
      <c r="L141">
        <f>IFERROR(IF(ISNUMBER(INDEX(SPPR!$E:$X,MATCH($A141,SPPR!$A:$A,0),9)),$C141*INDEX(SPPR!$E:$X,MATCH($A141,SPPR!$A:$A,0),9),""),"")</f>
        <v/>
      </c>
      <c r="M141">
        <f>IFERROR(IF(ISNUMBER(INDEX(SPPR!$E:$X,MATCH($A141,SPPR!$A:$A,0),10)),$C141*INDEX(SPPR!$E:$X,MATCH($A141,SPPR!$A:$A,0),10),""),"")</f>
        <v/>
      </c>
      <c r="N141">
        <f>IFERROR(IF(ISNUMBER(INDEX(SPPR!$E:$X,MATCH($A141,SPPR!$A:$A,0),11)),$C141*INDEX(SPPR!$E:$X,MATCH($A141,SPPR!$A:$A,0),11),""),"")</f>
        <v/>
      </c>
      <c r="O141">
        <f>IFERROR(IF(ISNUMBER(INDEX(SPPR!$E:$X,MATCH($A141,SPPR!$A:$A,0),12)),$C141*INDEX(SPPR!$E:$X,MATCH($A141,SPPR!$A:$A,0),12),""),"")</f>
        <v/>
      </c>
      <c r="P141">
        <f>IFERROR(IF(ISNUMBER(INDEX(SPPR!$E:$X,MATCH($A141,SPPR!$A:$A,0),13)),$C141*INDEX(SPPR!$E:$X,MATCH($A141,SPPR!$A:$A,0),13),""),"")</f>
        <v/>
      </c>
      <c r="Q141">
        <f>IFERROR(IF(ISNUMBER(INDEX(SPPR!$E:$X,MATCH($A141,SPPR!$A:$A,0),14)),$C141*INDEX(SPPR!$E:$X,MATCH($A141,SPPR!$A:$A,0),14),""),"")</f>
        <v/>
      </c>
      <c r="R141">
        <f>IFERROR(IF(ISNUMBER(INDEX(SPPR!$E:$X,MATCH($A141,SPPR!$A:$A,0),15)),$C141*INDEX(SPPR!$E:$X,MATCH($A141,SPPR!$A:$A,0),15),""),"")</f>
        <v/>
      </c>
      <c r="S141">
        <f>IFERROR(IF(ISNUMBER(INDEX(SPPR!$E:$X,MATCH($A141,SPPR!$A:$A,0),16)),$C141*INDEX(SPPR!$E:$X,MATCH($A141,SPPR!$A:$A,0),16),""),"")</f>
        <v/>
      </c>
      <c r="T141">
        <f>IFERROR(IF(ISNUMBER(INDEX(SPPR!$E:$X,MATCH($A141,SPPR!$A:$A,0),17)),$C141*INDEX(SPPR!$E:$X,MATCH($A141,SPPR!$A:$A,0),17),""),"")</f>
        <v/>
      </c>
      <c r="U141">
        <f>IFERROR(IF(ISNUMBER(INDEX(SPPR!$E:$X,MATCH($A141,SPPR!$A:$A,0),18)),$C141*INDEX(SPPR!$E:$X,MATCH($A141,SPPR!$A:$A,0),18),""),"")</f>
        <v/>
      </c>
      <c r="V141">
        <f>IFERROR(IF(ISNUMBER(INDEX(SPPR!$E:$X,MATCH($A141,SPPR!$A:$A,0),19)),$C141*INDEX(SPPR!$E:$X,MATCH($A141,SPPR!$A:$A,0),19),""),"")</f>
        <v/>
      </c>
      <c r="W141">
        <f>IFERROR(IF(ISNUMBER(INDEX(SPPR!$E:$X,MATCH($A141,SPPR!$A:$A,0),20)),$C141*INDEX(SPPR!$E:$X,MATCH($A141,SPPR!$A:$A,0),20),""),"")</f>
        <v/>
      </c>
    </row>
    <row r="142">
      <c r="A142" t="inlineStr">
        <is>
          <t>Ommastrephidae</t>
        </is>
      </c>
      <c r="B142">
        <f>IFERROR(INDEX(SPPR!$D:$D,MATCH($A142,SPPR!$A:$A,0)),"")</f>
        <v/>
      </c>
      <c r="C142">
        <f>IFERROR(INDEX(Catch!$E:$BV,MATCH($A142,Catch!$A:$A,0),MATCH($B$4,Catch!$E$1:$BV$1,0)),0)</f>
        <v/>
      </c>
      <c r="D142">
        <f>IFERROR(IF(ISNUMBER(INDEX(SPPR!$E:$X,MATCH($A142,SPPR!$A:$A,0),1)),$C142*INDEX(SPPR!$E:$X,MATCH($A142,SPPR!$A:$A,0),1),""),"")</f>
        <v/>
      </c>
      <c r="E142">
        <f>IFERROR(IF(ISNUMBER(INDEX(SPPR!$E:$X,MATCH($A142,SPPR!$A:$A,0),2)),$C142*INDEX(SPPR!$E:$X,MATCH($A142,SPPR!$A:$A,0),2),""),"")</f>
        <v/>
      </c>
      <c r="F142">
        <f>IFERROR(IF(ISNUMBER(INDEX(SPPR!$E:$X,MATCH($A142,SPPR!$A:$A,0),3)),$C142*INDEX(SPPR!$E:$X,MATCH($A142,SPPR!$A:$A,0),3),""),"")</f>
        <v/>
      </c>
      <c r="G142">
        <f>IFERROR(IF(ISNUMBER(INDEX(SPPR!$E:$X,MATCH($A142,SPPR!$A:$A,0),4)),$C142*INDEX(SPPR!$E:$X,MATCH($A142,SPPR!$A:$A,0),4),""),"")</f>
        <v/>
      </c>
      <c r="H142">
        <f>IFERROR(IF(ISNUMBER(INDEX(SPPR!$E:$X,MATCH($A142,SPPR!$A:$A,0),5)),$C142*INDEX(SPPR!$E:$X,MATCH($A142,SPPR!$A:$A,0),5),""),"")</f>
        <v/>
      </c>
      <c r="I142">
        <f>IFERROR(IF(ISNUMBER(INDEX(SPPR!$E:$X,MATCH($A142,SPPR!$A:$A,0),6)),$C142*INDEX(SPPR!$E:$X,MATCH($A142,SPPR!$A:$A,0),6),""),"")</f>
        <v/>
      </c>
      <c r="J142">
        <f>IFERROR(IF(ISNUMBER(INDEX(SPPR!$E:$X,MATCH($A142,SPPR!$A:$A,0),7)),$C142*INDEX(SPPR!$E:$X,MATCH($A142,SPPR!$A:$A,0),7),""),"")</f>
        <v/>
      </c>
      <c r="K142">
        <f>IFERROR(IF(ISNUMBER(INDEX(SPPR!$E:$X,MATCH($A142,SPPR!$A:$A,0),8)),$C142*INDEX(SPPR!$E:$X,MATCH($A142,SPPR!$A:$A,0),8),""),"")</f>
        <v/>
      </c>
      <c r="L142">
        <f>IFERROR(IF(ISNUMBER(INDEX(SPPR!$E:$X,MATCH($A142,SPPR!$A:$A,0),9)),$C142*INDEX(SPPR!$E:$X,MATCH($A142,SPPR!$A:$A,0),9),""),"")</f>
        <v/>
      </c>
      <c r="M142">
        <f>IFERROR(IF(ISNUMBER(INDEX(SPPR!$E:$X,MATCH($A142,SPPR!$A:$A,0),10)),$C142*INDEX(SPPR!$E:$X,MATCH($A142,SPPR!$A:$A,0),10),""),"")</f>
        <v/>
      </c>
      <c r="N142">
        <f>IFERROR(IF(ISNUMBER(INDEX(SPPR!$E:$X,MATCH($A142,SPPR!$A:$A,0),11)),$C142*INDEX(SPPR!$E:$X,MATCH($A142,SPPR!$A:$A,0),11),""),"")</f>
        <v/>
      </c>
      <c r="O142">
        <f>IFERROR(IF(ISNUMBER(INDEX(SPPR!$E:$X,MATCH($A142,SPPR!$A:$A,0),12)),$C142*INDEX(SPPR!$E:$X,MATCH($A142,SPPR!$A:$A,0),12),""),"")</f>
        <v/>
      </c>
      <c r="P142">
        <f>IFERROR(IF(ISNUMBER(INDEX(SPPR!$E:$X,MATCH($A142,SPPR!$A:$A,0),13)),$C142*INDEX(SPPR!$E:$X,MATCH($A142,SPPR!$A:$A,0),13),""),"")</f>
        <v/>
      </c>
      <c r="Q142">
        <f>IFERROR(IF(ISNUMBER(INDEX(SPPR!$E:$X,MATCH($A142,SPPR!$A:$A,0),14)),$C142*INDEX(SPPR!$E:$X,MATCH($A142,SPPR!$A:$A,0),14),""),"")</f>
        <v/>
      </c>
      <c r="R142">
        <f>IFERROR(IF(ISNUMBER(INDEX(SPPR!$E:$X,MATCH($A142,SPPR!$A:$A,0),15)),$C142*INDEX(SPPR!$E:$X,MATCH($A142,SPPR!$A:$A,0),15),""),"")</f>
        <v/>
      </c>
      <c r="S142">
        <f>IFERROR(IF(ISNUMBER(INDEX(SPPR!$E:$X,MATCH($A142,SPPR!$A:$A,0),16)),$C142*INDEX(SPPR!$E:$X,MATCH($A142,SPPR!$A:$A,0),16),""),"")</f>
        <v/>
      </c>
      <c r="T142">
        <f>IFERROR(IF(ISNUMBER(INDEX(SPPR!$E:$X,MATCH($A142,SPPR!$A:$A,0),17)),$C142*INDEX(SPPR!$E:$X,MATCH($A142,SPPR!$A:$A,0),17),""),"")</f>
        <v/>
      </c>
      <c r="U142">
        <f>IFERROR(IF(ISNUMBER(INDEX(SPPR!$E:$X,MATCH($A142,SPPR!$A:$A,0),18)),$C142*INDEX(SPPR!$E:$X,MATCH($A142,SPPR!$A:$A,0),18),""),"")</f>
        <v/>
      </c>
      <c r="V142">
        <f>IFERROR(IF(ISNUMBER(INDEX(SPPR!$E:$X,MATCH($A142,SPPR!$A:$A,0),19)),$C142*INDEX(SPPR!$E:$X,MATCH($A142,SPPR!$A:$A,0),19),""),"")</f>
        <v/>
      </c>
      <c r="W142">
        <f>IFERROR(IF(ISNUMBER(INDEX(SPPR!$E:$X,MATCH($A142,SPPR!$A:$A,0),20)),$C142*INDEX(SPPR!$E:$X,MATCH($A142,SPPR!$A:$A,0),20),""),"")</f>
        <v/>
      </c>
    </row>
    <row r="143">
      <c r="A143" t="inlineStr">
        <is>
          <t>Veneridae</t>
        </is>
      </c>
      <c r="B143">
        <f>IFERROR(INDEX(SPPR!$D:$D,MATCH($A143,SPPR!$A:$A,0)),"")</f>
        <v/>
      </c>
      <c r="C143">
        <f>IFERROR(INDEX(Catch!$E:$BV,MATCH($A143,Catch!$A:$A,0),MATCH($B$4,Catch!$E$1:$BV$1,0)),0)</f>
        <v/>
      </c>
      <c r="D143">
        <f>IFERROR(IF(ISNUMBER(INDEX(SPPR!$E:$X,MATCH($A143,SPPR!$A:$A,0),1)),$C143*INDEX(SPPR!$E:$X,MATCH($A143,SPPR!$A:$A,0),1),""),"")</f>
        <v/>
      </c>
      <c r="E143">
        <f>IFERROR(IF(ISNUMBER(INDEX(SPPR!$E:$X,MATCH($A143,SPPR!$A:$A,0),2)),$C143*INDEX(SPPR!$E:$X,MATCH($A143,SPPR!$A:$A,0),2),""),"")</f>
        <v/>
      </c>
      <c r="F143">
        <f>IFERROR(IF(ISNUMBER(INDEX(SPPR!$E:$X,MATCH($A143,SPPR!$A:$A,0),3)),$C143*INDEX(SPPR!$E:$X,MATCH($A143,SPPR!$A:$A,0),3),""),"")</f>
        <v/>
      </c>
      <c r="G143">
        <f>IFERROR(IF(ISNUMBER(INDEX(SPPR!$E:$X,MATCH($A143,SPPR!$A:$A,0),4)),$C143*INDEX(SPPR!$E:$X,MATCH($A143,SPPR!$A:$A,0),4),""),"")</f>
        <v/>
      </c>
      <c r="H143">
        <f>IFERROR(IF(ISNUMBER(INDEX(SPPR!$E:$X,MATCH($A143,SPPR!$A:$A,0),5)),$C143*INDEX(SPPR!$E:$X,MATCH($A143,SPPR!$A:$A,0),5),""),"")</f>
        <v/>
      </c>
      <c r="I143">
        <f>IFERROR(IF(ISNUMBER(INDEX(SPPR!$E:$X,MATCH($A143,SPPR!$A:$A,0),6)),$C143*INDEX(SPPR!$E:$X,MATCH($A143,SPPR!$A:$A,0),6),""),"")</f>
        <v/>
      </c>
      <c r="J143">
        <f>IFERROR(IF(ISNUMBER(INDEX(SPPR!$E:$X,MATCH($A143,SPPR!$A:$A,0),7)),$C143*INDEX(SPPR!$E:$X,MATCH($A143,SPPR!$A:$A,0),7),""),"")</f>
        <v/>
      </c>
      <c r="K143">
        <f>IFERROR(IF(ISNUMBER(INDEX(SPPR!$E:$X,MATCH($A143,SPPR!$A:$A,0),8)),$C143*INDEX(SPPR!$E:$X,MATCH($A143,SPPR!$A:$A,0),8),""),"")</f>
        <v/>
      </c>
      <c r="L143">
        <f>IFERROR(IF(ISNUMBER(INDEX(SPPR!$E:$X,MATCH($A143,SPPR!$A:$A,0),9)),$C143*INDEX(SPPR!$E:$X,MATCH($A143,SPPR!$A:$A,0),9),""),"")</f>
        <v/>
      </c>
      <c r="M143">
        <f>IFERROR(IF(ISNUMBER(INDEX(SPPR!$E:$X,MATCH($A143,SPPR!$A:$A,0),10)),$C143*INDEX(SPPR!$E:$X,MATCH($A143,SPPR!$A:$A,0),10),""),"")</f>
        <v/>
      </c>
      <c r="N143">
        <f>IFERROR(IF(ISNUMBER(INDEX(SPPR!$E:$X,MATCH($A143,SPPR!$A:$A,0),11)),$C143*INDEX(SPPR!$E:$X,MATCH($A143,SPPR!$A:$A,0),11),""),"")</f>
        <v/>
      </c>
      <c r="O143">
        <f>IFERROR(IF(ISNUMBER(INDEX(SPPR!$E:$X,MATCH($A143,SPPR!$A:$A,0),12)),$C143*INDEX(SPPR!$E:$X,MATCH($A143,SPPR!$A:$A,0),12),""),"")</f>
        <v/>
      </c>
      <c r="P143">
        <f>IFERROR(IF(ISNUMBER(INDEX(SPPR!$E:$X,MATCH($A143,SPPR!$A:$A,0),13)),$C143*INDEX(SPPR!$E:$X,MATCH($A143,SPPR!$A:$A,0),13),""),"")</f>
        <v/>
      </c>
      <c r="Q143">
        <f>IFERROR(IF(ISNUMBER(INDEX(SPPR!$E:$X,MATCH($A143,SPPR!$A:$A,0),14)),$C143*INDEX(SPPR!$E:$X,MATCH($A143,SPPR!$A:$A,0),14),""),"")</f>
        <v/>
      </c>
      <c r="R143">
        <f>IFERROR(IF(ISNUMBER(INDEX(SPPR!$E:$X,MATCH($A143,SPPR!$A:$A,0),15)),$C143*INDEX(SPPR!$E:$X,MATCH($A143,SPPR!$A:$A,0),15),""),"")</f>
        <v/>
      </c>
      <c r="S143">
        <f>IFERROR(IF(ISNUMBER(INDEX(SPPR!$E:$X,MATCH($A143,SPPR!$A:$A,0),16)),$C143*INDEX(SPPR!$E:$X,MATCH($A143,SPPR!$A:$A,0),16),""),"")</f>
        <v/>
      </c>
      <c r="T143">
        <f>IFERROR(IF(ISNUMBER(INDEX(SPPR!$E:$X,MATCH($A143,SPPR!$A:$A,0),17)),$C143*INDEX(SPPR!$E:$X,MATCH($A143,SPPR!$A:$A,0),17),""),"")</f>
        <v/>
      </c>
      <c r="U143">
        <f>IFERROR(IF(ISNUMBER(INDEX(SPPR!$E:$X,MATCH($A143,SPPR!$A:$A,0),18)),$C143*INDEX(SPPR!$E:$X,MATCH($A143,SPPR!$A:$A,0),18),""),"")</f>
        <v/>
      </c>
      <c r="V143">
        <f>IFERROR(IF(ISNUMBER(INDEX(SPPR!$E:$X,MATCH($A143,SPPR!$A:$A,0),19)),$C143*INDEX(SPPR!$E:$X,MATCH($A143,SPPR!$A:$A,0),19),""),"")</f>
        <v/>
      </c>
      <c r="W143">
        <f>IFERROR(IF(ISNUMBER(INDEX(SPPR!$E:$X,MATCH($A143,SPPR!$A:$A,0),20)),$C143*INDEX(SPPR!$E:$X,MATCH($A143,SPPR!$A:$A,0),20),""),"")</f>
        <v/>
      </c>
    </row>
    <row r="144">
      <c r="A144" t="inlineStr">
        <is>
          <t>Meretrix</t>
        </is>
      </c>
      <c r="B144">
        <f>IFERROR(INDEX(SPPR!$D:$D,MATCH($A144,SPPR!$A:$A,0)),"")</f>
        <v/>
      </c>
      <c r="C144">
        <f>IFERROR(INDEX(Catch!$E:$BV,MATCH($A144,Catch!$A:$A,0),MATCH($B$4,Catch!$E$1:$BV$1,0)),0)</f>
        <v/>
      </c>
      <c r="D144">
        <f>IFERROR(IF(ISNUMBER(INDEX(SPPR!$E:$X,MATCH($A144,SPPR!$A:$A,0),1)),$C144*INDEX(SPPR!$E:$X,MATCH($A144,SPPR!$A:$A,0),1),""),"")</f>
        <v/>
      </c>
      <c r="E144">
        <f>IFERROR(IF(ISNUMBER(INDEX(SPPR!$E:$X,MATCH($A144,SPPR!$A:$A,0),2)),$C144*INDEX(SPPR!$E:$X,MATCH($A144,SPPR!$A:$A,0),2),""),"")</f>
        <v/>
      </c>
      <c r="F144">
        <f>IFERROR(IF(ISNUMBER(INDEX(SPPR!$E:$X,MATCH($A144,SPPR!$A:$A,0),3)),$C144*INDEX(SPPR!$E:$X,MATCH($A144,SPPR!$A:$A,0),3),""),"")</f>
        <v/>
      </c>
      <c r="G144">
        <f>IFERROR(IF(ISNUMBER(INDEX(SPPR!$E:$X,MATCH($A144,SPPR!$A:$A,0),4)),$C144*INDEX(SPPR!$E:$X,MATCH($A144,SPPR!$A:$A,0),4),""),"")</f>
        <v/>
      </c>
      <c r="H144">
        <f>IFERROR(IF(ISNUMBER(INDEX(SPPR!$E:$X,MATCH($A144,SPPR!$A:$A,0),5)),$C144*INDEX(SPPR!$E:$X,MATCH($A144,SPPR!$A:$A,0),5),""),"")</f>
        <v/>
      </c>
      <c r="I144">
        <f>IFERROR(IF(ISNUMBER(INDEX(SPPR!$E:$X,MATCH($A144,SPPR!$A:$A,0),6)),$C144*INDEX(SPPR!$E:$X,MATCH($A144,SPPR!$A:$A,0),6),""),"")</f>
        <v/>
      </c>
      <c r="J144">
        <f>IFERROR(IF(ISNUMBER(INDEX(SPPR!$E:$X,MATCH($A144,SPPR!$A:$A,0),7)),$C144*INDEX(SPPR!$E:$X,MATCH($A144,SPPR!$A:$A,0),7),""),"")</f>
        <v/>
      </c>
      <c r="K144">
        <f>IFERROR(IF(ISNUMBER(INDEX(SPPR!$E:$X,MATCH($A144,SPPR!$A:$A,0),8)),$C144*INDEX(SPPR!$E:$X,MATCH($A144,SPPR!$A:$A,0),8),""),"")</f>
        <v/>
      </c>
      <c r="L144">
        <f>IFERROR(IF(ISNUMBER(INDEX(SPPR!$E:$X,MATCH($A144,SPPR!$A:$A,0),9)),$C144*INDEX(SPPR!$E:$X,MATCH($A144,SPPR!$A:$A,0),9),""),"")</f>
        <v/>
      </c>
      <c r="M144">
        <f>IFERROR(IF(ISNUMBER(INDEX(SPPR!$E:$X,MATCH($A144,SPPR!$A:$A,0),10)),$C144*INDEX(SPPR!$E:$X,MATCH($A144,SPPR!$A:$A,0),10),""),"")</f>
        <v/>
      </c>
      <c r="N144">
        <f>IFERROR(IF(ISNUMBER(INDEX(SPPR!$E:$X,MATCH($A144,SPPR!$A:$A,0),11)),$C144*INDEX(SPPR!$E:$X,MATCH($A144,SPPR!$A:$A,0),11),""),"")</f>
        <v/>
      </c>
      <c r="O144">
        <f>IFERROR(IF(ISNUMBER(INDEX(SPPR!$E:$X,MATCH($A144,SPPR!$A:$A,0),12)),$C144*INDEX(SPPR!$E:$X,MATCH($A144,SPPR!$A:$A,0),12),""),"")</f>
        <v/>
      </c>
      <c r="P144">
        <f>IFERROR(IF(ISNUMBER(INDEX(SPPR!$E:$X,MATCH($A144,SPPR!$A:$A,0),13)),$C144*INDEX(SPPR!$E:$X,MATCH($A144,SPPR!$A:$A,0),13),""),"")</f>
        <v/>
      </c>
      <c r="Q144">
        <f>IFERROR(IF(ISNUMBER(INDEX(SPPR!$E:$X,MATCH($A144,SPPR!$A:$A,0),14)),$C144*INDEX(SPPR!$E:$X,MATCH($A144,SPPR!$A:$A,0),14),""),"")</f>
        <v/>
      </c>
      <c r="R144">
        <f>IFERROR(IF(ISNUMBER(INDEX(SPPR!$E:$X,MATCH($A144,SPPR!$A:$A,0),15)),$C144*INDEX(SPPR!$E:$X,MATCH($A144,SPPR!$A:$A,0),15),""),"")</f>
        <v/>
      </c>
      <c r="S144">
        <f>IFERROR(IF(ISNUMBER(INDEX(SPPR!$E:$X,MATCH($A144,SPPR!$A:$A,0),16)),$C144*INDEX(SPPR!$E:$X,MATCH($A144,SPPR!$A:$A,0),16),""),"")</f>
        <v/>
      </c>
      <c r="T144">
        <f>IFERROR(IF(ISNUMBER(INDEX(SPPR!$E:$X,MATCH($A144,SPPR!$A:$A,0),17)),$C144*INDEX(SPPR!$E:$X,MATCH($A144,SPPR!$A:$A,0),17),""),"")</f>
        <v/>
      </c>
      <c r="U144">
        <f>IFERROR(IF(ISNUMBER(INDEX(SPPR!$E:$X,MATCH($A144,SPPR!$A:$A,0),18)),$C144*INDEX(SPPR!$E:$X,MATCH($A144,SPPR!$A:$A,0),18),""),"")</f>
        <v/>
      </c>
      <c r="V144">
        <f>IFERROR(IF(ISNUMBER(INDEX(SPPR!$E:$X,MATCH($A144,SPPR!$A:$A,0),19)),$C144*INDEX(SPPR!$E:$X,MATCH($A144,SPPR!$A:$A,0),19),""),"")</f>
        <v/>
      </c>
      <c r="W144">
        <f>IFERROR(IF(ISNUMBER(INDEX(SPPR!$E:$X,MATCH($A144,SPPR!$A:$A,0),20)),$C144*INDEX(SPPR!$E:$X,MATCH($A144,SPPR!$A:$A,0),20),""),"")</f>
        <v/>
      </c>
    </row>
    <row r="145">
      <c r="A145" t="inlineStr">
        <is>
          <t>Miscellaneous aquatic invertebrates</t>
        </is>
      </c>
      <c r="B145">
        <f>IFERROR(INDEX(SPPR!$D:$D,MATCH($A145,SPPR!$A:$A,0)),"")</f>
        <v/>
      </c>
      <c r="C145">
        <f>IFERROR(INDEX(Catch!$E:$BV,MATCH($A145,Catch!$A:$A,0),MATCH($B$4,Catch!$E$1:$BV$1,0)),0)</f>
        <v/>
      </c>
      <c r="D145">
        <f>IFERROR(IF(ISNUMBER(INDEX(SPPR!$E:$X,MATCH($A145,SPPR!$A:$A,0),1)),$C145*INDEX(SPPR!$E:$X,MATCH($A145,SPPR!$A:$A,0),1),""),"")</f>
        <v/>
      </c>
      <c r="E145">
        <f>IFERROR(IF(ISNUMBER(INDEX(SPPR!$E:$X,MATCH($A145,SPPR!$A:$A,0),2)),$C145*INDEX(SPPR!$E:$X,MATCH($A145,SPPR!$A:$A,0),2),""),"")</f>
        <v/>
      </c>
      <c r="F145">
        <f>IFERROR(IF(ISNUMBER(INDEX(SPPR!$E:$X,MATCH($A145,SPPR!$A:$A,0),3)),$C145*INDEX(SPPR!$E:$X,MATCH($A145,SPPR!$A:$A,0),3),""),"")</f>
        <v/>
      </c>
      <c r="G145">
        <f>IFERROR(IF(ISNUMBER(INDEX(SPPR!$E:$X,MATCH($A145,SPPR!$A:$A,0),4)),$C145*INDEX(SPPR!$E:$X,MATCH($A145,SPPR!$A:$A,0),4),""),"")</f>
        <v/>
      </c>
      <c r="H145">
        <f>IFERROR(IF(ISNUMBER(INDEX(SPPR!$E:$X,MATCH($A145,SPPR!$A:$A,0),5)),$C145*INDEX(SPPR!$E:$X,MATCH($A145,SPPR!$A:$A,0),5),""),"")</f>
        <v/>
      </c>
      <c r="I145">
        <f>IFERROR(IF(ISNUMBER(INDEX(SPPR!$E:$X,MATCH($A145,SPPR!$A:$A,0),6)),$C145*INDEX(SPPR!$E:$X,MATCH($A145,SPPR!$A:$A,0),6),""),"")</f>
        <v/>
      </c>
      <c r="J145">
        <f>IFERROR(IF(ISNUMBER(INDEX(SPPR!$E:$X,MATCH($A145,SPPR!$A:$A,0),7)),$C145*INDEX(SPPR!$E:$X,MATCH($A145,SPPR!$A:$A,0),7),""),"")</f>
        <v/>
      </c>
      <c r="K145">
        <f>IFERROR(IF(ISNUMBER(INDEX(SPPR!$E:$X,MATCH($A145,SPPR!$A:$A,0),8)),$C145*INDEX(SPPR!$E:$X,MATCH($A145,SPPR!$A:$A,0),8),""),"")</f>
        <v/>
      </c>
      <c r="L145">
        <f>IFERROR(IF(ISNUMBER(INDEX(SPPR!$E:$X,MATCH($A145,SPPR!$A:$A,0),9)),$C145*INDEX(SPPR!$E:$X,MATCH($A145,SPPR!$A:$A,0),9),""),"")</f>
        <v/>
      </c>
      <c r="M145">
        <f>IFERROR(IF(ISNUMBER(INDEX(SPPR!$E:$X,MATCH($A145,SPPR!$A:$A,0),10)),$C145*INDEX(SPPR!$E:$X,MATCH($A145,SPPR!$A:$A,0),10),""),"")</f>
        <v/>
      </c>
      <c r="N145">
        <f>IFERROR(IF(ISNUMBER(INDEX(SPPR!$E:$X,MATCH($A145,SPPR!$A:$A,0),11)),$C145*INDEX(SPPR!$E:$X,MATCH($A145,SPPR!$A:$A,0),11),""),"")</f>
        <v/>
      </c>
      <c r="O145">
        <f>IFERROR(IF(ISNUMBER(INDEX(SPPR!$E:$X,MATCH($A145,SPPR!$A:$A,0),12)),$C145*INDEX(SPPR!$E:$X,MATCH($A145,SPPR!$A:$A,0),12),""),"")</f>
        <v/>
      </c>
      <c r="P145">
        <f>IFERROR(IF(ISNUMBER(INDEX(SPPR!$E:$X,MATCH($A145,SPPR!$A:$A,0),13)),$C145*INDEX(SPPR!$E:$X,MATCH($A145,SPPR!$A:$A,0),13),""),"")</f>
        <v/>
      </c>
      <c r="Q145">
        <f>IFERROR(IF(ISNUMBER(INDEX(SPPR!$E:$X,MATCH($A145,SPPR!$A:$A,0),14)),$C145*INDEX(SPPR!$E:$X,MATCH($A145,SPPR!$A:$A,0),14),""),"")</f>
        <v/>
      </c>
      <c r="R145">
        <f>IFERROR(IF(ISNUMBER(INDEX(SPPR!$E:$X,MATCH($A145,SPPR!$A:$A,0),15)),$C145*INDEX(SPPR!$E:$X,MATCH($A145,SPPR!$A:$A,0),15),""),"")</f>
        <v/>
      </c>
      <c r="S145">
        <f>IFERROR(IF(ISNUMBER(INDEX(SPPR!$E:$X,MATCH($A145,SPPR!$A:$A,0),16)),$C145*INDEX(SPPR!$E:$X,MATCH($A145,SPPR!$A:$A,0),16),""),"")</f>
        <v/>
      </c>
      <c r="T145">
        <f>IFERROR(IF(ISNUMBER(INDEX(SPPR!$E:$X,MATCH($A145,SPPR!$A:$A,0),17)),$C145*INDEX(SPPR!$E:$X,MATCH($A145,SPPR!$A:$A,0),17),""),"")</f>
        <v/>
      </c>
      <c r="U145">
        <f>IFERROR(IF(ISNUMBER(INDEX(SPPR!$E:$X,MATCH($A145,SPPR!$A:$A,0),18)),$C145*INDEX(SPPR!$E:$X,MATCH($A145,SPPR!$A:$A,0),18),""),"")</f>
        <v/>
      </c>
      <c r="V145">
        <f>IFERROR(IF(ISNUMBER(INDEX(SPPR!$E:$X,MATCH($A145,SPPR!$A:$A,0),19)),$C145*INDEX(SPPR!$E:$X,MATCH($A145,SPPR!$A:$A,0),19),""),"")</f>
        <v/>
      </c>
      <c r="W145">
        <f>IFERROR(IF(ISNUMBER(INDEX(SPPR!$E:$X,MATCH($A145,SPPR!$A:$A,0),20)),$C145*INDEX(SPPR!$E:$X,MATCH($A145,SPPR!$A:$A,0),20),""),"")</f>
        <v/>
      </c>
    </row>
    <row r="146">
      <c r="A146" t="inlineStr">
        <is>
          <t>Ariidae</t>
        </is>
      </c>
      <c r="B146">
        <f>IFERROR(INDEX(SPPR!$D:$D,MATCH($A146,SPPR!$A:$A,0)),"")</f>
        <v/>
      </c>
      <c r="C146">
        <f>IFERROR(INDEX(Catch!$E:$BV,MATCH($A146,Catch!$A:$A,0),MATCH($B$4,Catch!$E$1:$BV$1,0)),0)</f>
        <v/>
      </c>
      <c r="D146">
        <f>IFERROR(IF(ISNUMBER(INDEX(SPPR!$E:$X,MATCH($A146,SPPR!$A:$A,0),1)),$C146*INDEX(SPPR!$E:$X,MATCH($A146,SPPR!$A:$A,0),1),""),"")</f>
        <v/>
      </c>
      <c r="E146">
        <f>IFERROR(IF(ISNUMBER(INDEX(SPPR!$E:$X,MATCH($A146,SPPR!$A:$A,0),2)),$C146*INDEX(SPPR!$E:$X,MATCH($A146,SPPR!$A:$A,0),2),""),"")</f>
        <v/>
      </c>
      <c r="F146">
        <f>IFERROR(IF(ISNUMBER(INDEX(SPPR!$E:$X,MATCH($A146,SPPR!$A:$A,0),3)),$C146*INDEX(SPPR!$E:$X,MATCH($A146,SPPR!$A:$A,0),3),""),"")</f>
        <v/>
      </c>
      <c r="G146">
        <f>IFERROR(IF(ISNUMBER(INDEX(SPPR!$E:$X,MATCH($A146,SPPR!$A:$A,0),4)),$C146*INDEX(SPPR!$E:$X,MATCH($A146,SPPR!$A:$A,0),4),""),"")</f>
        <v/>
      </c>
      <c r="H146">
        <f>IFERROR(IF(ISNUMBER(INDEX(SPPR!$E:$X,MATCH($A146,SPPR!$A:$A,0),5)),$C146*INDEX(SPPR!$E:$X,MATCH($A146,SPPR!$A:$A,0),5),""),"")</f>
        <v/>
      </c>
      <c r="I146">
        <f>IFERROR(IF(ISNUMBER(INDEX(SPPR!$E:$X,MATCH($A146,SPPR!$A:$A,0),6)),$C146*INDEX(SPPR!$E:$X,MATCH($A146,SPPR!$A:$A,0),6),""),"")</f>
        <v/>
      </c>
      <c r="J146">
        <f>IFERROR(IF(ISNUMBER(INDEX(SPPR!$E:$X,MATCH($A146,SPPR!$A:$A,0),7)),$C146*INDEX(SPPR!$E:$X,MATCH($A146,SPPR!$A:$A,0),7),""),"")</f>
        <v/>
      </c>
      <c r="K146">
        <f>IFERROR(IF(ISNUMBER(INDEX(SPPR!$E:$X,MATCH($A146,SPPR!$A:$A,0),8)),$C146*INDEX(SPPR!$E:$X,MATCH($A146,SPPR!$A:$A,0),8),""),"")</f>
        <v/>
      </c>
      <c r="L146">
        <f>IFERROR(IF(ISNUMBER(INDEX(SPPR!$E:$X,MATCH($A146,SPPR!$A:$A,0),9)),$C146*INDEX(SPPR!$E:$X,MATCH($A146,SPPR!$A:$A,0),9),""),"")</f>
        <v/>
      </c>
      <c r="M146">
        <f>IFERROR(IF(ISNUMBER(INDEX(SPPR!$E:$X,MATCH($A146,SPPR!$A:$A,0),10)),$C146*INDEX(SPPR!$E:$X,MATCH($A146,SPPR!$A:$A,0),10),""),"")</f>
        <v/>
      </c>
      <c r="N146">
        <f>IFERROR(IF(ISNUMBER(INDEX(SPPR!$E:$X,MATCH($A146,SPPR!$A:$A,0),11)),$C146*INDEX(SPPR!$E:$X,MATCH($A146,SPPR!$A:$A,0),11),""),"")</f>
        <v/>
      </c>
      <c r="O146">
        <f>IFERROR(IF(ISNUMBER(INDEX(SPPR!$E:$X,MATCH($A146,SPPR!$A:$A,0),12)),$C146*INDEX(SPPR!$E:$X,MATCH($A146,SPPR!$A:$A,0),12),""),"")</f>
        <v/>
      </c>
      <c r="P146">
        <f>IFERROR(IF(ISNUMBER(INDEX(SPPR!$E:$X,MATCH($A146,SPPR!$A:$A,0),13)),$C146*INDEX(SPPR!$E:$X,MATCH($A146,SPPR!$A:$A,0),13),""),"")</f>
        <v/>
      </c>
      <c r="Q146">
        <f>IFERROR(IF(ISNUMBER(INDEX(SPPR!$E:$X,MATCH($A146,SPPR!$A:$A,0),14)),$C146*INDEX(SPPR!$E:$X,MATCH($A146,SPPR!$A:$A,0),14),""),"")</f>
        <v/>
      </c>
      <c r="R146">
        <f>IFERROR(IF(ISNUMBER(INDEX(SPPR!$E:$X,MATCH($A146,SPPR!$A:$A,0),15)),$C146*INDEX(SPPR!$E:$X,MATCH($A146,SPPR!$A:$A,0),15),""),"")</f>
        <v/>
      </c>
      <c r="S146">
        <f>IFERROR(IF(ISNUMBER(INDEX(SPPR!$E:$X,MATCH($A146,SPPR!$A:$A,0),16)),$C146*INDEX(SPPR!$E:$X,MATCH($A146,SPPR!$A:$A,0),16),""),"")</f>
        <v/>
      </c>
      <c r="T146">
        <f>IFERROR(IF(ISNUMBER(INDEX(SPPR!$E:$X,MATCH($A146,SPPR!$A:$A,0),17)),$C146*INDEX(SPPR!$E:$X,MATCH($A146,SPPR!$A:$A,0),17),""),"")</f>
        <v/>
      </c>
      <c r="U146">
        <f>IFERROR(IF(ISNUMBER(INDEX(SPPR!$E:$X,MATCH($A146,SPPR!$A:$A,0),18)),$C146*INDEX(SPPR!$E:$X,MATCH($A146,SPPR!$A:$A,0),18),""),"")</f>
        <v/>
      </c>
      <c r="V146">
        <f>IFERROR(IF(ISNUMBER(INDEX(SPPR!$E:$X,MATCH($A146,SPPR!$A:$A,0),19)),$C146*INDEX(SPPR!$E:$X,MATCH($A146,SPPR!$A:$A,0),19),""),"")</f>
        <v/>
      </c>
      <c r="W146">
        <f>IFERROR(IF(ISNUMBER(INDEX(SPPR!$E:$X,MATCH($A146,SPPR!$A:$A,0),20)),$C146*INDEX(SPPR!$E:$X,MATCH($A146,SPPR!$A:$A,0),20),""),"")</f>
        <v/>
      </c>
    </row>
    <row r="147">
      <c r="A147" t="inlineStr">
        <is>
          <t>Mene maculata</t>
        </is>
      </c>
      <c r="B147">
        <f>IFERROR(INDEX(SPPR!$D:$D,MATCH($A147,SPPR!$A:$A,0)),"")</f>
        <v/>
      </c>
      <c r="C147">
        <f>IFERROR(INDEX(Catch!$E:$BV,MATCH($A147,Catch!$A:$A,0),MATCH($B$4,Catch!$E$1:$BV$1,0)),0)</f>
        <v/>
      </c>
      <c r="D147">
        <f>IFERROR(IF(ISNUMBER(INDEX(SPPR!$E:$X,MATCH($A147,SPPR!$A:$A,0),1)),$C147*INDEX(SPPR!$E:$X,MATCH($A147,SPPR!$A:$A,0),1),""),"")</f>
        <v/>
      </c>
      <c r="E147">
        <f>IFERROR(IF(ISNUMBER(INDEX(SPPR!$E:$X,MATCH($A147,SPPR!$A:$A,0),2)),$C147*INDEX(SPPR!$E:$X,MATCH($A147,SPPR!$A:$A,0),2),""),"")</f>
        <v/>
      </c>
      <c r="F147">
        <f>IFERROR(IF(ISNUMBER(INDEX(SPPR!$E:$X,MATCH($A147,SPPR!$A:$A,0),3)),$C147*INDEX(SPPR!$E:$X,MATCH($A147,SPPR!$A:$A,0),3),""),"")</f>
        <v/>
      </c>
      <c r="G147">
        <f>IFERROR(IF(ISNUMBER(INDEX(SPPR!$E:$X,MATCH($A147,SPPR!$A:$A,0),4)),$C147*INDEX(SPPR!$E:$X,MATCH($A147,SPPR!$A:$A,0),4),""),"")</f>
        <v/>
      </c>
      <c r="H147">
        <f>IFERROR(IF(ISNUMBER(INDEX(SPPR!$E:$X,MATCH($A147,SPPR!$A:$A,0),5)),$C147*INDEX(SPPR!$E:$X,MATCH($A147,SPPR!$A:$A,0),5),""),"")</f>
        <v/>
      </c>
      <c r="I147">
        <f>IFERROR(IF(ISNUMBER(INDEX(SPPR!$E:$X,MATCH($A147,SPPR!$A:$A,0),6)),$C147*INDEX(SPPR!$E:$X,MATCH($A147,SPPR!$A:$A,0),6),""),"")</f>
        <v/>
      </c>
      <c r="J147">
        <f>IFERROR(IF(ISNUMBER(INDEX(SPPR!$E:$X,MATCH($A147,SPPR!$A:$A,0),7)),$C147*INDEX(SPPR!$E:$X,MATCH($A147,SPPR!$A:$A,0),7),""),"")</f>
        <v/>
      </c>
      <c r="K147">
        <f>IFERROR(IF(ISNUMBER(INDEX(SPPR!$E:$X,MATCH($A147,SPPR!$A:$A,0),8)),$C147*INDEX(SPPR!$E:$X,MATCH($A147,SPPR!$A:$A,0),8),""),"")</f>
        <v/>
      </c>
      <c r="L147">
        <f>IFERROR(IF(ISNUMBER(INDEX(SPPR!$E:$X,MATCH($A147,SPPR!$A:$A,0),9)),$C147*INDEX(SPPR!$E:$X,MATCH($A147,SPPR!$A:$A,0),9),""),"")</f>
        <v/>
      </c>
      <c r="M147">
        <f>IFERROR(IF(ISNUMBER(INDEX(SPPR!$E:$X,MATCH($A147,SPPR!$A:$A,0),10)),$C147*INDEX(SPPR!$E:$X,MATCH($A147,SPPR!$A:$A,0),10),""),"")</f>
        <v/>
      </c>
      <c r="N147">
        <f>IFERROR(IF(ISNUMBER(INDEX(SPPR!$E:$X,MATCH($A147,SPPR!$A:$A,0),11)),$C147*INDEX(SPPR!$E:$X,MATCH($A147,SPPR!$A:$A,0),11),""),"")</f>
        <v/>
      </c>
      <c r="O147">
        <f>IFERROR(IF(ISNUMBER(INDEX(SPPR!$E:$X,MATCH($A147,SPPR!$A:$A,0),12)),$C147*INDEX(SPPR!$E:$X,MATCH($A147,SPPR!$A:$A,0),12),""),"")</f>
        <v/>
      </c>
      <c r="P147">
        <f>IFERROR(IF(ISNUMBER(INDEX(SPPR!$E:$X,MATCH($A147,SPPR!$A:$A,0),13)),$C147*INDEX(SPPR!$E:$X,MATCH($A147,SPPR!$A:$A,0),13),""),"")</f>
        <v/>
      </c>
      <c r="Q147">
        <f>IFERROR(IF(ISNUMBER(INDEX(SPPR!$E:$X,MATCH($A147,SPPR!$A:$A,0),14)),$C147*INDEX(SPPR!$E:$X,MATCH($A147,SPPR!$A:$A,0),14),""),"")</f>
        <v/>
      </c>
      <c r="R147">
        <f>IFERROR(IF(ISNUMBER(INDEX(SPPR!$E:$X,MATCH($A147,SPPR!$A:$A,0),15)),$C147*INDEX(SPPR!$E:$X,MATCH($A147,SPPR!$A:$A,0),15),""),"")</f>
        <v/>
      </c>
      <c r="S147">
        <f>IFERROR(IF(ISNUMBER(INDEX(SPPR!$E:$X,MATCH($A147,SPPR!$A:$A,0),16)),$C147*INDEX(SPPR!$E:$X,MATCH($A147,SPPR!$A:$A,0),16),""),"")</f>
        <v/>
      </c>
      <c r="T147">
        <f>IFERROR(IF(ISNUMBER(INDEX(SPPR!$E:$X,MATCH($A147,SPPR!$A:$A,0),17)),$C147*INDEX(SPPR!$E:$X,MATCH($A147,SPPR!$A:$A,0),17),""),"")</f>
        <v/>
      </c>
      <c r="U147">
        <f>IFERROR(IF(ISNUMBER(INDEX(SPPR!$E:$X,MATCH($A147,SPPR!$A:$A,0),18)),$C147*INDEX(SPPR!$E:$X,MATCH($A147,SPPR!$A:$A,0),18),""),"")</f>
        <v/>
      </c>
      <c r="V147">
        <f>IFERROR(IF(ISNUMBER(INDEX(SPPR!$E:$X,MATCH($A147,SPPR!$A:$A,0),19)),$C147*INDEX(SPPR!$E:$X,MATCH($A147,SPPR!$A:$A,0),19),""),"")</f>
        <v/>
      </c>
      <c r="W147">
        <f>IFERROR(IF(ISNUMBER(INDEX(SPPR!$E:$X,MATCH($A147,SPPR!$A:$A,0),20)),$C147*INDEX(SPPR!$E:$X,MATCH($A147,SPPR!$A:$A,0),20),""),"")</f>
        <v/>
      </c>
    </row>
    <row r="148">
      <c r="A148" t="inlineStr">
        <is>
          <t>Acanthopagrus schlegelii</t>
        </is>
      </c>
      <c r="B148">
        <f>IFERROR(INDEX(SPPR!$D:$D,MATCH($A148,SPPR!$A:$A,0)),"")</f>
        <v/>
      </c>
      <c r="C148">
        <f>IFERROR(INDEX(Catch!$E:$BV,MATCH($A148,Catch!$A:$A,0),MATCH($B$4,Catch!$E$1:$BV$1,0)),0)</f>
        <v/>
      </c>
      <c r="D148">
        <f>IFERROR(IF(ISNUMBER(INDEX(SPPR!$E:$X,MATCH($A148,SPPR!$A:$A,0),1)),$C148*INDEX(SPPR!$E:$X,MATCH($A148,SPPR!$A:$A,0),1),""),"")</f>
        <v/>
      </c>
      <c r="E148">
        <f>IFERROR(IF(ISNUMBER(INDEX(SPPR!$E:$X,MATCH($A148,SPPR!$A:$A,0),2)),$C148*INDEX(SPPR!$E:$X,MATCH($A148,SPPR!$A:$A,0),2),""),"")</f>
        <v/>
      </c>
      <c r="F148">
        <f>IFERROR(IF(ISNUMBER(INDEX(SPPR!$E:$X,MATCH($A148,SPPR!$A:$A,0),3)),$C148*INDEX(SPPR!$E:$X,MATCH($A148,SPPR!$A:$A,0),3),""),"")</f>
        <v/>
      </c>
      <c r="G148">
        <f>IFERROR(IF(ISNUMBER(INDEX(SPPR!$E:$X,MATCH($A148,SPPR!$A:$A,0),4)),$C148*INDEX(SPPR!$E:$X,MATCH($A148,SPPR!$A:$A,0),4),""),"")</f>
        <v/>
      </c>
      <c r="H148">
        <f>IFERROR(IF(ISNUMBER(INDEX(SPPR!$E:$X,MATCH($A148,SPPR!$A:$A,0),5)),$C148*INDEX(SPPR!$E:$X,MATCH($A148,SPPR!$A:$A,0),5),""),"")</f>
        <v/>
      </c>
      <c r="I148">
        <f>IFERROR(IF(ISNUMBER(INDEX(SPPR!$E:$X,MATCH($A148,SPPR!$A:$A,0),6)),$C148*INDEX(SPPR!$E:$X,MATCH($A148,SPPR!$A:$A,0),6),""),"")</f>
        <v/>
      </c>
      <c r="J148">
        <f>IFERROR(IF(ISNUMBER(INDEX(SPPR!$E:$X,MATCH($A148,SPPR!$A:$A,0),7)),$C148*INDEX(SPPR!$E:$X,MATCH($A148,SPPR!$A:$A,0),7),""),"")</f>
        <v/>
      </c>
      <c r="K148">
        <f>IFERROR(IF(ISNUMBER(INDEX(SPPR!$E:$X,MATCH($A148,SPPR!$A:$A,0),8)),$C148*INDEX(SPPR!$E:$X,MATCH($A148,SPPR!$A:$A,0),8),""),"")</f>
        <v/>
      </c>
      <c r="L148">
        <f>IFERROR(IF(ISNUMBER(INDEX(SPPR!$E:$X,MATCH($A148,SPPR!$A:$A,0),9)),$C148*INDEX(SPPR!$E:$X,MATCH($A148,SPPR!$A:$A,0),9),""),"")</f>
        <v/>
      </c>
      <c r="M148">
        <f>IFERROR(IF(ISNUMBER(INDEX(SPPR!$E:$X,MATCH($A148,SPPR!$A:$A,0),10)),$C148*INDEX(SPPR!$E:$X,MATCH($A148,SPPR!$A:$A,0),10),""),"")</f>
        <v/>
      </c>
      <c r="N148">
        <f>IFERROR(IF(ISNUMBER(INDEX(SPPR!$E:$X,MATCH($A148,SPPR!$A:$A,0),11)),$C148*INDEX(SPPR!$E:$X,MATCH($A148,SPPR!$A:$A,0),11),""),"")</f>
        <v/>
      </c>
      <c r="O148">
        <f>IFERROR(IF(ISNUMBER(INDEX(SPPR!$E:$X,MATCH($A148,SPPR!$A:$A,0),12)),$C148*INDEX(SPPR!$E:$X,MATCH($A148,SPPR!$A:$A,0),12),""),"")</f>
        <v/>
      </c>
      <c r="P148">
        <f>IFERROR(IF(ISNUMBER(INDEX(SPPR!$E:$X,MATCH($A148,SPPR!$A:$A,0),13)),$C148*INDEX(SPPR!$E:$X,MATCH($A148,SPPR!$A:$A,0),13),""),"")</f>
        <v/>
      </c>
      <c r="Q148">
        <f>IFERROR(IF(ISNUMBER(INDEX(SPPR!$E:$X,MATCH($A148,SPPR!$A:$A,0),14)),$C148*INDEX(SPPR!$E:$X,MATCH($A148,SPPR!$A:$A,0),14),""),"")</f>
        <v/>
      </c>
      <c r="R148">
        <f>IFERROR(IF(ISNUMBER(INDEX(SPPR!$E:$X,MATCH($A148,SPPR!$A:$A,0),15)),$C148*INDEX(SPPR!$E:$X,MATCH($A148,SPPR!$A:$A,0),15),""),"")</f>
        <v/>
      </c>
      <c r="S148">
        <f>IFERROR(IF(ISNUMBER(INDEX(SPPR!$E:$X,MATCH($A148,SPPR!$A:$A,0),16)),$C148*INDEX(SPPR!$E:$X,MATCH($A148,SPPR!$A:$A,0),16),""),"")</f>
        <v/>
      </c>
      <c r="T148">
        <f>IFERROR(IF(ISNUMBER(INDEX(SPPR!$E:$X,MATCH($A148,SPPR!$A:$A,0),17)),$C148*INDEX(SPPR!$E:$X,MATCH($A148,SPPR!$A:$A,0),17),""),"")</f>
        <v/>
      </c>
      <c r="U148">
        <f>IFERROR(IF(ISNUMBER(INDEX(SPPR!$E:$X,MATCH($A148,SPPR!$A:$A,0),18)),$C148*INDEX(SPPR!$E:$X,MATCH($A148,SPPR!$A:$A,0),18),""),"")</f>
        <v/>
      </c>
      <c r="V148">
        <f>IFERROR(IF(ISNUMBER(INDEX(SPPR!$E:$X,MATCH($A148,SPPR!$A:$A,0),19)),$C148*INDEX(SPPR!$E:$X,MATCH($A148,SPPR!$A:$A,0),19),""),"")</f>
        <v/>
      </c>
      <c r="W148">
        <f>IFERROR(IF(ISNUMBER(INDEX(SPPR!$E:$X,MATCH($A148,SPPR!$A:$A,0),20)),$C148*INDEX(SPPR!$E:$X,MATCH($A148,SPPR!$A:$A,0),20),""),"")</f>
        <v/>
      </c>
    </row>
    <row r="149">
      <c r="A149" t="inlineStr">
        <is>
          <t>Octopus</t>
        </is>
      </c>
      <c r="B149">
        <f>IFERROR(INDEX(SPPR!$D:$D,MATCH($A149,SPPR!$A:$A,0)),"")</f>
        <v/>
      </c>
      <c r="C149">
        <f>IFERROR(INDEX(Catch!$E:$BV,MATCH($A149,Catch!$A:$A,0),MATCH($B$4,Catch!$E$1:$BV$1,0)),0)</f>
        <v/>
      </c>
      <c r="D149">
        <f>IFERROR(IF(ISNUMBER(INDEX(SPPR!$E:$X,MATCH($A149,SPPR!$A:$A,0),1)),$C149*INDEX(SPPR!$E:$X,MATCH($A149,SPPR!$A:$A,0),1),""),"")</f>
        <v/>
      </c>
      <c r="E149">
        <f>IFERROR(IF(ISNUMBER(INDEX(SPPR!$E:$X,MATCH($A149,SPPR!$A:$A,0),2)),$C149*INDEX(SPPR!$E:$X,MATCH($A149,SPPR!$A:$A,0),2),""),"")</f>
        <v/>
      </c>
      <c r="F149">
        <f>IFERROR(IF(ISNUMBER(INDEX(SPPR!$E:$X,MATCH($A149,SPPR!$A:$A,0),3)),$C149*INDEX(SPPR!$E:$X,MATCH($A149,SPPR!$A:$A,0),3),""),"")</f>
        <v/>
      </c>
      <c r="G149">
        <f>IFERROR(IF(ISNUMBER(INDEX(SPPR!$E:$X,MATCH($A149,SPPR!$A:$A,0),4)),$C149*INDEX(SPPR!$E:$X,MATCH($A149,SPPR!$A:$A,0),4),""),"")</f>
        <v/>
      </c>
      <c r="H149">
        <f>IFERROR(IF(ISNUMBER(INDEX(SPPR!$E:$X,MATCH($A149,SPPR!$A:$A,0),5)),$C149*INDEX(SPPR!$E:$X,MATCH($A149,SPPR!$A:$A,0),5),""),"")</f>
        <v/>
      </c>
      <c r="I149">
        <f>IFERROR(IF(ISNUMBER(INDEX(SPPR!$E:$X,MATCH($A149,SPPR!$A:$A,0),6)),$C149*INDEX(SPPR!$E:$X,MATCH($A149,SPPR!$A:$A,0),6),""),"")</f>
        <v/>
      </c>
      <c r="J149">
        <f>IFERROR(IF(ISNUMBER(INDEX(SPPR!$E:$X,MATCH($A149,SPPR!$A:$A,0),7)),$C149*INDEX(SPPR!$E:$X,MATCH($A149,SPPR!$A:$A,0),7),""),"")</f>
        <v/>
      </c>
      <c r="K149">
        <f>IFERROR(IF(ISNUMBER(INDEX(SPPR!$E:$X,MATCH($A149,SPPR!$A:$A,0),8)),$C149*INDEX(SPPR!$E:$X,MATCH($A149,SPPR!$A:$A,0),8),""),"")</f>
        <v/>
      </c>
      <c r="L149">
        <f>IFERROR(IF(ISNUMBER(INDEX(SPPR!$E:$X,MATCH($A149,SPPR!$A:$A,0),9)),$C149*INDEX(SPPR!$E:$X,MATCH($A149,SPPR!$A:$A,0),9),""),"")</f>
        <v/>
      </c>
      <c r="M149">
        <f>IFERROR(IF(ISNUMBER(INDEX(SPPR!$E:$X,MATCH($A149,SPPR!$A:$A,0),10)),$C149*INDEX(SPPR!$E:$X,MATCH($A149,SPPR!$A:$A,0),10),""),"")</f>
        <v/>
      </c>
      <c r="N149">
        <f>IFERROR(IF(ISNUMBER(INDEX(SPPR!$E:$X,MATCH($A149,SPPR!$A:$A,0),11)),$C149*INDEX(SPPR!$E:$X,MATCH($A149,SPPR!$A:$A,0),11),""),"")</f>
        <v/>
      </c>
      <c r="O149">
        <f>IFERROR(IF(ISNUMBER(INDEX(SPPR!$E:$X,MATCH($A149,SPPR!$A:$A,0),12)),$C149*INDEX(SPPR!$E:$X,MATCH($A149,SPPR!$A:$A,0),12),""),"")</f>
        <v/>
      </c>
      <c r="P149">
        <f>IFERROR(IF(ISNUMBER(INDEX(SPPR!$E:$X,MATCH($A149,SPPR!$A:$A,0),13)),$C149*INDEX(SPPR!$E:$X,MATCH($A149,SPPR!$A:$A,0),13),""),"")</f>
        <v/>
      </c>
      <c r="Q149">
        <f>IFERROR(IF(ISNUMBER(INDEX(SPPR!$E:$X,MATCH($A149,SPPR!$A:$A,0),14)),$C149*INDEX(SPPR!$E:$X,MATCH($A149,SPPR!$A:$A,0),14),""),"")</f>
        <v/>
      </c>
      <c r="R149">
        <f>IFERROR(IF(ISNUMBER(INDEX(SPPR!$E:$X,MATCH($A149,SPPR!$A:$A,0),15)),$C149*INDEX(SPPR!$E:$X,MATCH($A149,SPPR!$A:$A,0),15),""),"")</f>
        <v/>
      </c>
      <c r="S149">
        <f>IFERROR(IF(ISNUMBER(INDEX(SPPR!$E:$X,MATCH($A149,SPPR!$A:$A,0),16)),$C149*INDEX(SPPR!$E:$X,MATCH($A149,SPPR!$A:$A,0),16),""),"")</f>
        <v/>
      </c>
      <c r="T149">
        <f>IFERROR(IF(ISNUMBER(INDEX(SPPR!$E:$X,MATCH($A149,SPPR!$A:$A,0),17)),$C149*INDEX(SPPR!$E:$X,MATCH($A149,SPPR!$A:$A,0),17),""),"")</f>
        <v/>
      </c>
      <c r="U149">
        <f>IFERROR(IF(ISNUMBER(INDEX(SPPR!$E:$X,MATCH($A149,SPPR!$A:$A,0),18)),$C149*INDEX(SPPR!$E:$X,MATCH($A149,SPPR!$A:$A,0),18),""),"")</f>
        <v/>
      </c>
      <c r="V149">
        <f>IFERROR(IF(ISNUMBER(INDEX(SPPR!$E:$X,MATCH($A149,SPPR!$A:$A,0),19)),$C149*INDEX(SPPR!$E:$X,MATCH($A149,SPPR!$A:$A,0),19),""),"")</f>
        <v/>
      </c>
      <c r="W149">
        <f>IFERROR(IF(ISNUMBER(INDEX(SPPR!$E:$X,MATCH($A149,SPPR!$A:$A,0),20)),$C149*INDEX(SPPR!$E:$X,MATCH($A149,SPPR!$A:$A,0),20),""),"")</f>
        <v/>
      </c>
    </row>
    <row r="150">
      <c r="A150" t="inlineStr">
        <is>
          <t>Apostichopus japonicus</t>
        </is>
      </c>
      <c r="B150">
        <f>IFERROR(INDEX(SPPR!$D:$D,MATCH($A150,SPPR!$A:$A,0)),"")</f>
        <v/>
      </c>
      <c r="C150">
        <f>IFERROR(INDEX(Catch!$E:$BV,MATCH($A150,Catch!$A:$A,0),MATCH($B$4,Catch!$E$1:$BV$1,0)),0)</f>
        <v/>
      </c>
      <c r="D150">
        <f>IFERROR(IF(ISNUMBER(INDEX(SPPR!$E:$X,MATCH($A150,SPPR!$A:$A,0),1)),$C150*INDEX(SPPR!$E:$X,MATCH($A150,SPPR!$A:$A,0),1),""),"")</f>
        <v/>
      </c>
      <c r="E150">
        <f>IFERROR(IF(ISNUMBER(INDEX(SPPR!$E:$X,MATCH($A150,SPPR!$A:$A,0),2)),$C150*INDEX(SPPR!$E:$X,MATCH($A150,SPPR!$A:$A,0),2),""),"")</f>
        <v/>
      </c>
      <c r="F150">
        <f>IFERROR(IF(ISNUMBER(INDEX(SPPR!$E:$X,MATCH($A150,SPPR!$A:$A,0),3)),$C150*INDEX(SPPR!$E:$X,MATCH($A150,SPPR!$A:$A,0),3),""),"")</f>
        <v/>
      </c>
      <c r="G150">
        <f>IFERROR(IF(ISNUMBER(INDEX(SPPR!$E:$X,MATCH($A150,SPPR!$A:$A,0),4)),$C150*INDEX(SPPR!$E:$X,MATCH($A150,SPPR!$A:$A,0),4),""),"")</f>
        <v/>
      </c>
      <c r="H150">
        <f>IFERROR(IF(ISNUMBER(INDEX(SPPR!$E:$X,MATCH($A150,SPPR!$A:$A,0),5)),$C150*INDEX(SPPR!$E:$X,MATCH($A150,SPPR!$A:$A,0),5),""),"")</f>
        <v/>
      </c>
      <c r="I150">
        <f>IFERROR(IF(ISNUMBER(INDEX(SPPR!$E:$X,MATCH($A150,SPPR!$A:$A,0),6)),$C150*INDEX(SPPR!$E:$X,MATCH($A150,SPPR!$A:$A,0),6),""),"")</f>
        <v/>
      </c>
      <c r="J150">
        <f>IFERROR(IF(ISNUMBER(INDEX(SPPR!$E:$X,MATCH($A150,SPPR!$A:$A,0),7)),$C150*INDEX(SPPR!$E:$X,MATCH($A150,SPPR!$A:$A,0),7),""),"")</f>
        <v/>
      </c>
      <c r="K150">
        <f>IFERROR(IF(ISNUMBER(INDEX(SPPR!$E:$X,MATCH($A150,SPPR!$A:$A,0),8)),$C150*INDEX(SPPR!$E:$X,MATCH($A150,SPPR!$A:$A,0),8),""),"")</f>
        <v/>
      </c>
      <c r="L150">
        <f>IFERROR(IF(ISNUMBER(INDEX(SPPR!$E:$X,MATCH($A150,SPPR!$A:$A,0),9)),$C150*INDEX(SPPR!$E:$X,MATCH($A150,SPPR!$A:$A,0),9),""),"")</f>
        <v/>
      </c>
      <c r="M150">
        <f>IFERROR(IF(ISNUMBER(INDEX(SPPR!$E:$X,MATCH($A150,SPPR!$A:$A,0),10)),$C150*INDEX(SPPR!$E:$X,MATCH($A150,SPPR!$A:$A,0),10),""),"")</f>
        <v/>
      </c>
      <c r="N150">
        <f>IFERROR(IF(ISNUMBER(INDEX(SPPR!$E:$X,MATCH($A150,SPPR!$A:$A,0),11)),$C150*INDEX(SPPR!$E:$X,MATCH($A150,SPPR!$A:$A,0),11),""),"")</f>
        <v/>
      </c>
      <c r="O150">
        <f>IFERROR(IF(ISNUMBER(INDEX(SPPR!$E:$X,MATCH($A150,SPPR!$A:$A,0),12)),$C150*INDEX(SPPR!$E:$X,MATCH($A150,SPPR!$A:$A,0),12),""),"")</f>
        <v/>
      </c>
      <c r="P150">
        <f>IFERROR(IF(ISNUMBER(INDEX(SPPR!$E:$X,MATCH($A150,SPPR!$A:$A,0),13)),$C150*INDEX(SPPR!$E:$X,MATCH($A150,SPPR!$A:$A,0),13),""),"")</f>
        <v/>
      </c>
      <c r="Q150">
        <f>IFERROR(IF(ISNUMBER(INDEX(SPPR!$E:$X,MATCH($A150,SPPR!$A:$A,0),14)),$C150*INDEX(SPPR!$E:$X,MATCH($A150,SPPR!$A:$A,0),14),""),"")</f>
        <v/>
      </c>
      <c r="R150">
        <f>IFERROR(IF(ISNUMBER(INDEX(SPPR!$E:$X,MATCH($A150,SPPR!$A:$A,0),15)),$C150*INDEX(SPPR!$E:$X,MATCH($A150,SPPR!$A:$A,0),15),""),"")</f>
        <v/>
      </c>
      <c r="S150">
        <f>IFERROR(IF(ISNUMBER(INDEX(SPPR!$E:$X,MATCH($A150,SPPR!$A:$A,0),16)),$C150*INDEX(SPPR!$E:$X,MATCH($A150,SPPR!$A:$A,0),16),""),"")</f>
        <v/>
      </c>
      <c r="T150">
        <f>IFERROR(IF(ISNUMBER(INDEX(SPPR!$E:$X,MATCH($A150,SPPR!$A:$A,0),17)),$C150*INDEX(SPPR!$E:$X,MATCH($A150,SPPR!$A:$A,0),17),""),"")</f>
        <v/>
      </c>
      <c r="U150">
        <f>IFERROR(IF(ISNUMBER(INDEX(SPPR!$E:$X,MATCH($A150,SPPR!$A:$A,0),18)),$C150*INDEX(SPPR!$E:$X,MATCH($A150,SPPR!$A:$A,0),18),""),"")</f>
        <v/>
      </c>
      <c r="V150">
        <f>IFERROR(IF(ISNUMBER(INDEX(SPPR!$E:$X,MATCH($A150,SPPR!$A:$A,0),19)),$C150*INDEX(SPPR!$E:$X,MATCH($A150,SPPR!$A:$A,0),19),""),"")</f>
        <v/>
      </c>
      <c r="W150">
        <f>IFERROR(IF(ISNUMBER(INDEX(SPPR!$E:$X,MATCH($A150,SPPR!$A:$A,0),20)),$C150*INDEX(SPPR!$E:$X,MATCH($A150,SPPR!$A:$A,0),20),""),"")</f>
        <v/>
      </c>
    </row>
    <row r="151">
      <c r="A151" t="inlineStr">
        <is>
          <t>Arctoscopus japonicus</t>
        </is>
      </c>
      <c r="B151">
        <f>IFERROR(INDEX(SPPR!$D:$D,MATCH($A151,SPPR!$A:$A,0)),"")</f>
        <v/>
      </c>
      <c r="C151">
        <f>IFERROR(INDEX(Catch!$E:$BV,MATCH($A151,Catch!$A:$A,0),MATCH($B$4,Catch!$E$1:$BV$1,0)),0)</f>
        <v/>
      </c>
      <c r="D151">
        <f>IFERROR(IF(ISNUMBER(INDEX(SPPR!$E:$X,MATCH($A151,SPPR!$A:$A,0),1)),$C151*INDEX(SPPR!$E:$X,MATCH($A151,SPPR!$A:$A,0),1),""),"")</f>
        <v/>
      </c>
      <c r="E151">
        <f>IFERROR(IF(ISNUMBER(INDEX(SPPR!$E:$X,MATCH($A151,SPPR!$A:$A,0),2)),$C151*INDEX(SPPR!$E:$X,MATCH($A151,SPPR!$A:$A,0),2),""),"")</f>
        <v/>
      </c>
      <c r="F151">
        <f>IFERROR(IF(ISNUMBER(INDEX(SPPR!$E:$X,MATCH($A151,SPPR!$A:$A,0),3)),$C151*INDEX(SPPR!$E:$X,MATCH($A151,SPPR!$A:$A,0),3),""),"")</f>
        <v/>
      </c>
      <c r="G151">
        <f>IFERROR(IF(ISNUMBER(INDEX(SPPR!$E:$X,MATCH($A151,SPPR!$A:$A,0),4)),$C151*INDEX(SPPR!$E:$X,MATCH($A151,SPPR!$A:$A,0),4),""),"")</f>
        <v/>
      </c>
      <c r="H151">
        <f>IFERROR(IF(ISNUMBER(INDEX(SPPR!$E:$X,MATCH($A151,SPPR!$A:$A,0),5)),$C151*INDEX(SPPR!$E:$X,MATCH($A151,SPPR!$A:$A,0),5),""),"")</f>
        <v/>
      </c>
      <c r="I151">
        <f>IFERROR(IF(ISNUMBER(INDEX(SPPR!$E:$X,MATCH($A151,SPPR!$A:$A,0),6)),$C151*INDEX(SPPR!$E:$X,MATCH($A151,SPPR!$A:$A,0),6),""),"")</f>
        <v/>
      </c>
      <c r="J151">
        <f>IFERROR(IF(ISNUMBER(INDEX(SPPR!$E:$X,MATCH($A151,SPPR!$A:$A,0),7)),$C151*INDEX(SPPR!$E:$X,MATCH($A151,SPPR!$A:$A,0),7),""),"")</f>
        <v/>
      </c>
      <c r="K151">
        <f>IFERROR(IF(ISNUMBER(INDEX(SPPR!$E:$X,MATCH($A151,SPPR!$A:$A,0),8)),$C151*INDEX(SPPR!$E:$X,MATCH($A151,SPPR!$A:$A,0),8),""),"")</f>
        <v/>
      </c>
      <c r="L151">
        <f>IFERROR(IF(ISNUMBER(INDEX(SPPR!$E:$X,MATCH($A151,SPPR!$A:$A,0),9)),$C151*INDEX(SPPR!$E:$X,MATCH($A151,SPPR!$A:$A,0),9),""),"")</f>
        <v/>
      </c>
      <c r="M151">
        <f>IFERROR(IF(ISNUMBER(INDEX(SPPR!$E:$X,MATCH($A151,SPPR!$A:$A,0),10)),$C151*INDEX(SPPR!$E:$X,MATCH($A151,SPPR!$A:$A,0),10),""),"")</f>
        <v/>
      </c>
      <c r="N151">
        <f>IFERROR(IF(ISNUMBER(INDEX(SPPR!$E:$X,MATCH($A151,SPPR!$A:$A,0),11)),$C151*INDEX(SPPR!$E:$X,MATCH($A151,SPPR!$A:$A,0),11),""),"")</f>
        <v/>
      </c>
      <c r="O151">
        <f>IFERROR(IF(ISNUMBER(INDEX(SPPR!$E:$X,MATCH($A151,SPPR!$A:$A,0),12)),$C151*INDEX(SPPR!$E:$X,MATCH($A151,SPPR!$A:$A,0),12),""),"")</f>
        <v/>
      </c>
      <c r="P151">
        <f>IFERROR(IF(ISNUMBER(INDEX(SPPR!$E:$X,MATCH($A151,SPPR!$A:$A,0),13)),$C151*INDEX(SPPR!$E:$X,MATCH($A151,SPPR!$A:$A,0),13),""),"")</f>
        <v/>
      </c>
      <c r="Q151">
        <f>IFERROR(IF(ISNUMBER(INDEX(SPPR!$E:$X,MATCH($A151,SPPR!$A:$A,0),14)),$C151*INDEX(SPPR!$E:$X,MATCH($A151,SPPR!$A:$A,0),14),""),"")</f>
        <v/>
      </c>
      <c r="R151">
        <f>IFERROR(IF(ISNUMBER(INDEX(SPPR!$E:$X,MATCH($A151,SPPR!$A:$A,0),15)),$C151*INDEX(SPPR!$E:$X,MATCH($A151,SPPR!$A:$A,0),15),""),"")</f>
        <v/>
      </c>
      <c r="S151">
        <f>IFERROR(IF(ISNUMBER(INDEX(SPPR!$E:$X,MATCH($A151,SPPR!$A:$A,0),16)),$C151*INDEX(SPPR!$E:$X,MATCH($A151,SPPR!$A:$A,0),16),""),"")</f>
        <v/>
      </c>
      <c r="T151">
        <f>IFERROR(IF(ISNUMBER(INDEX(SPPR!$E:$X,MATCH($A151,SPPR!$A:$A,0),17)),$C151*INDEX(SPPR!$E:$X,MATCH($A151,SPPR!$A:$A,0),17),""),"")</f>
        <v/>
      </c>
      <c r="U151">
        <f>IFERROR(IF(ISNUMBER(INDEX(SPPR!$E:$X,MATCH($A151,SPPR!$A:$A,0),18)),$C151*INDEX(SPPR!$E:$X,MATCH($A151,SPPR!$A:$A,0),18),""),"")</f>
        <v/>
      </c>
      <c r="V151">
        <f>IFERROR(IF(ISNUMBER(INDEX(SPPR!$E:$X,MATCH($A151,SPPR!$A:$A,0),19)),$C151*INDEX(SPPR!$E:$X,MATCH($A151,SPPR!$A:$A,0),19),""),"")</f>
        <v/>
      </c>
      <c r="W151">
        <f>IFERROR(IF(ISNUMBER(INDEX(SPPR!$E:$X,MATCH($A151,SPPR!$A:$A,0),20)),$C151*INDEX(SPPR!$E:$X,MATCH($A151,SPPR!$A:$A,0),20),""),"")</f>
        <v/>
      </c>
    </row>
    <row r="152">
      <c r="A152" t="inlineStr">
        <is>
          <t>Batoidea</t>
        </is>
      </c>
      <c r="B152">
        <f>IFERROR(INDEX(SPPR!$D:$D,MATCH($A152,SPPR!$A:$A,0)),"")</f>
        <v/>
      </c>
      <c r="C152">
        <f>IFERROR(INDEX(Catch!$E:$BV,MATCH($A152,Catch!$A:$A,0),MATCH($B$4,Catch!$E$1:$BV$1,0)),0)</f>
        <v/>
      </c>
      <c r="D152">
        <f>IFERROR(IF(ISNUMBER(INDEX(SPPR!$E:$X,MATCH($A152,SPPR!$A:$A,0),1)),$C152*INDEX(SPPR!$E:$X,MATCH($A152,SPPR!$A:$A,0),1),""),"")</f>
        <v/>
      </c>
      <c r="E152">
        <f>IFERROR(IF(ISNUMBER(INDEX(SPPR!$E:$X,MATCH($A152,SPPR!$A:$A,0),2)),$C152*INDEX(SPPR!$E:$X,MATCH($A152,SPPR!$A:$A,0),2),""),"")</f>
        <v/>
      </c>
      <c r="F152">
        <f>IFERROR(IF(ISNUMBER(INDEX(SPPR!$E:$X,MATCH($A152,SPPR!$A:$A,0),3)),$C152*INDEX(SPPR!$E:$X,MATCH($A152,SPPR!$A:$A,0),3),""),"")</f>
        <v/>
      </c>
      <c r="G152">
        <f>IFERROR(IF(ISNUMBER(INDEX(SPPR!$E:$X,MATCH($A152,SPPR!$A:$A,0),4)),$C152*INDEX(SPPR!$E:$X,MATCH($A152,SPPR!$A:$A,0),4),""),"")</f>
        <v/>
      </c>
      <c r="H152">
        <f>IFERROR(IF(ISNUMBER(INDEX(SPPR!$E:$X,MATCH($A152,SPPR!$A:$A,0),5)),$C152*INDEX(SPPR!$E:$X,MATCH($A152,SPPR!$A:$A,0),5),""),"")</f>
        <v/>
      </c>
      <c r="I152">
        <f>IFERROR(IF(ISNUMBER(INDEX(SPPR!$E:$X,MATCH($A152,SPPR!$A:$A,0),6)),$C152*INDEX(SPPR!$E:$X,MATCH($A152,SPPR!$A:$A,0),6),""),"")</f>
        <v/>
      </c>
      <c r="J152">
        <f>IFERROR(IF(ISNUMBER(INDEX(SPPR!$E:$X,MATCH($A152,SPPR!$A:$A,0),7)),$C152*INDEX(SPPR!$E:$X,MATCH($A152,SPPR!$A:$A,0),7),""),"")</f>
        <v/>
      </c>
      <c r="K152">
        <f>IFERROR(IF(ISNUMBER(INDEX(SPPR!$E:$X,MATCH($A152,SPPR!$A:$A,0),8)),$C152*INDEX(SPPR!$E:$X,MATCH($A152,SPPR!$A:$A,0),8),""),"")</f>
        <v/>
      </c>
      <c r="L152">
        <f>IFERROR(IF(ISNUMBER(INDEX(SPPR!$E:$X,MATCH($A152,SPPR!$A:$A,0),9)),$C152*INDEX(SPPR!$E:$X,MATCH($A152,SPPR!$A:$A,0),9),""),"")</f>
        <v/>
      </c>
      <c r="M152">
        <f>IFERROR(IF(ISNUMBER(INDEX(SPPR!$E:$X,MATCH($A152,SPPR!$A:$A,0),10)),$C152*INDEX(SPPR!$E:$X,MATCH($A152,SPPR!$A:$A,0),10),""),"")</f>
        <v/>
      </c>
      <c r="N152">
        <f>IFERROR(IF(ISNUMBER(INDEX(SPPR!$E:$X,MATCH($A152,SPPR!$A:$A,0),11)),$C152*INDEX(SPPR!$E:$X,MATCH($A152,SPPR!$A:$A,0),11),""),"")</f>
        <v/>
      </c>
      <c r="O152">
        <f>IFERROR(IF(ISNUMBER(INDEX(SPPR!$E:$X,MATCH($A152,SPPR!$A:$A,0),12)),$C152*INDEX(SPPR!$E:$X,MATCH($A152,SPPR!$A:$A,0),12),""),"")</f>
        <v/>
      </c>
      <c r="P152">
        <f>IFERROR(IF(ISNUMBER(INDEX(SPPR!$E:$X,MATCH($A152,SPPR!$A:$A,0),13)),$C152*INDEX(SPPR!$E:$X,MATCH($A152,SPPR!$A:$A,0),13),""),"")</f>
        <v/>
      </c>
      <c r="Q152">
        <f>IFERROR(IF(ISNUMBER(INDEX(SPPR!$E:$X,MATCH($A152,SPPR!$A:$A,0),14)),$C152*INDEX(SPPR!$E:$X,MATCH($A152,SPPR!$A:$A,0),14),""),"")</f>
        <v/>
      </c>
      <c r="R152">
        <f>IFERROR(IF(ISNUMBER(INDEX(SPPR!$E:$X,MATCH($A152,SPPR!$A:$A,0),15)),$C152*INDEX(SPPR!$E:$X,MATCH($A152,SPPR!$A:$A,0),15),""),"")</f>
        <v/>
      </c>
      <c r="S152">
        <f>IFERROR(IF(ISNUMBER(INDEX(SPPR!$E:$X,MATCH($A152,SPPR!$A:$A,0),16)),$C152*INDEX(SPPR!$E:$X,MATCH($A152,SPPR!$A:$A,0),16),""),"")</f>
        <v/>
      </c>
      <c r="T152">
        <f>IFERROR(IF(ISNUMBER(INDEX(SPPR!$E:$X,MATCH($A152,SPPR!$A:$A,0),17)),$C152*INDEX(SPPR!$E:$X,MATCH($A152,SPPR!$A:$A,0),17),""),"")</f>
        <v/>
      </c>
      <c r="U152">
        <f>IFERROR(IF(ISNUMBER(INDEX(SPPR!$E:$X,MATCH($A152,SPPR!$A:$A,0),18)),$C152*INDEX(SPPR!$E:$X,MATCH($A152,SPPR!$A:$A,0),18),""),"")</f>
        <v/>
      </c>
      <c r="V152">
        <f>IFERROR(IF(ISNUMBER(INDEX(SPPR!$E:$X,MATCH($A152,SPPR!$A:$A,0),19)),$C152*INDEX(SPPR!$E:$X,MATCH($A152,SPPR!$A:$A,0),19),""),"")</f>
        <v/>
      </c>
      <c r="W152">
        <f>IFERROR(IF(ISNUMBER(INDEX(SPPR!$E:$X,MATCH($A152,SPPR!$A:$A,0),20)),$C152*INDEX(SPPR!$E:$X,MATCH($A152,SPPR!$A:$A,0),20),""),"")</f>
        <v/>
      </c>
    </row>
    <row r="153">
      <c r="A153" t="inlineStr">
        <is>
          <t>Perciformes</t>
        </is>
      </c>
      <c r="B153">
        <f>IFERROR(INDEX(SPPR!$D:$D,MATCH($A153,SPPR!$A:$A,0)),"")</f>
        <v/>
      </c>
      <c r="C153">
        <f>IFERROR(INDEX(Catch!$E:$BV,MATCH($A153,Catch!$A:$A,0),MATCH($B$4,Catch!$E$1:$BV$1,0)),0)</f>
        <v/>
      </c>
      <c r="D153">
        <f>IFERROR(IF(ISNUMBER(INDEX(SPPR!$E:$X,MATCH($A153,SPPR!$A:$A,0),1)),$C153*INDEX(SPPR!$E:$X,MATCH($A153,SPPR!$A:$A,0),1),""),"")</f>
        <v/>
      </c>
      <c r="E153">
        <f>IFERROR(IF(ISNUMBER(INDEX(SPPR!$E:$X,MATCH($A153,SPPR!$A:$A,0),2)),$C153*INDEX(SPPR!$E:$X,MATCH($A153,SPPR!$A:$A,0),2),""),"")</f>
        <v/>
      </c>
      <c r="F153">
        <f>IFERROR(IF(ISNUMBER(INDEX(SPPR!$E:$X,MATCH($A153,SPPR!$A:$A,0),3)),$C153*INDEX(SPPR!$E:$X,MATCH($A153,SPPR!$A:$A,0),3),""),"")</f>
        <v/>
      </c>
      <c r="G153">
        <f>IFERROR(IF(ISNUMBER(INDEX(SPPR!$E:$X,MATCH($A153,SPPR!$A:$A,0),4)),$C153*INDEX(SPPR!$E:$X,MATCH($A153,SPPR!$A:$A,0),4),""),"")</f>
        <v/>
      </c>
      <c r="H153">
        <f>IFERROR(IF(ISNUMBER(INDEX(SPPR!$E:$X,MATCH($A153,SPPR!$A:$A,0),5)),$C153*INDEX(SPPR!$E:$X,MATCH($A153,SPPR!$A:$A,0),5),""),"")</f>
        <v/>
      </c>
      <c r="I153">
        <f>IFERROR(IF(ISNUMBER(INDEX(SPPR!$E:$X,MATCH($A153,SPPR!$A:$A,0),6)),$C153*INDEX(SPPR!$E:$X,MATCH($A153,SPPR!$A:$A,0),6),""),"")</f>
        <v/>
      </c>
      <c r="J153">
        <f>IFERROR(IF(ISNUMBER(INDEX(SPPR!$E:$X,MATCH($A153,SPPR!$A:$A,0),7)),$C153*INDEX(SPPR!$E:$X,MATCH($A153,SPPR!$A:$A,0),7),""),"")</f>
        <v/>
      </c>
      <c r="K153">
        <f>IFERROR(IF(ISNUMBER(INDEX(SPPR!$E:$X,MATCH($A153,SPPR!$A:$A,0),8)),$C153*INDEX(SPPR!$E:$X,MATCH($A153,SPPR!$A:$A,0),8),""),"")</f>
        <v/>
      </c>
      <c r="L153">
        <f>IFERROR(IF(ISNUMBER(INDEX(SPPR!$E:$X,MATCH($A153,SPPR!$A:$A,0),9)),$C153*INDEX(SPPR!$E:$X,MATCH($A153,SPPR!$A:$A,0),9),""),"")</f>
        <v/>
      </c>
      <c r="M153">
        <f>IFERROR(IF(ISNUMBER(INDEX(SPPR!$E:$X,MATCH($A153,SPPR!$A:$A,0),10)),$C153*INDEX(SPPR!$E:$X,MATCH($A153,SPPR!$A:$A,0),10),""),"")</f>
        <v/>
      </c>
      <c r="N153">
        <f>IFERROR(IF(ISNUMBER(INDEX(SPPR!$E:$X,MATCH($A153,SPPR!$A:$A,0),11)),$C153*INDEX(SPPR!$E:$X,MATCH($A153,SPPR!$A:$A,0),11),""),"")</f>
        <v/>
      </c>
      <c r="O153">
        <f>IFERROR(IF(ISNUMBER(INDEX(SPPR!$E:$X,MATCH($A153,SPPR!$A:$A,0),12)),$C153*INDEX(SPPR!$E:$X,MATCH($A153,SPPR!$A:$A,0),12),""),"")</f>
        <v/>
      </c>
      <c r="P153">
        <f>IFERROR(IF(ISNUMBER(INDEX(SPPR!$E:$X,MATCH($A153,SPPR!$A:$A,0),13)),$C153*INDEX(SPPR!$E:$X,MATCH($A153,SPPR!$A:$A,0),13),""),"")</f>
        <v/>
      </c>
      <c r="Q153">
        <f>IFERROR(IF(ISNUMBER(INDEX(SPPR!$E:$X,MATCH($A153,SPPR!$A:$A,0),14)),$C153*INDEX(SPPR!$E:$X,MATCH($A153,SPPR!$A:$A,0),14),""),"")</f>
        <v/>
      </c>
      <c r="R153">
        <f>IFERROR(IF(ISNUMBER(INDEX(SPPR!$E:$X,MATCH($A153,SPPR!$A:$A,0),15)),$C153*INDEX(SPPR!$E:$X,MATCH($A153,SPPR!$A:$A,0),15),""),"")</f>
        <v/>
      </c>
      <c r="S153">
        <f>IFERROR(IF(ISNUMBER(INDEX(SPPR!$E:$X,MATCH($A153,SPPR!$A:$A,0),16)),$C153*INDEX(SPPR!$E:$X,MATCH($A153,SPPR!$A:$A,0),16),""),"")</f>
        <v/>
      </c>
      <c r="T153">
        <f>IFERROR(IF(ISNUMBER(INDEX(SPPR!$E:$X,MATCH($A153,SPPR!$A:$A,0),17)),$C153*INDEX(SPPR!$E:$X,MATCH($A153,SPPR!$A:$A,0),17),""),"")</f>
        <v/>
      </c>
      <c r="U153">
        <f>IFERROR(IF(ISNUMBER(INDEX(SPPR!$E:$X,MATCH($A153,SPPR!$A:$A,0),18)),$C153*INDEX(SPPR!$E:$X,MATCH($A153,SPPR!$A:$A,0),18),""),"")</f>
        <v/>
      </c>
      <c r="V153">
        <f>IFERROR(IF(ISNUMBER(INDEX(SPPR!$E:$X,MATCH($A153,SPPR!$A:$A,0),19)),$C153*INDEX(SPPR!$E:$X,MATCH($A153,SPPR!$A:$A,0),19),""),"")</f>
        <v/>
      </c>
      <c r="W153">
        <f>IFERROR(IF(ISNUMBER(INDEX(SPPR!$E:$X,MATCH($A153,SPPR!$A:$A,0),20)),$C153*INDEX(SPPR!$E:$X,MATCH($A153,SPPR!$A:$A,0),20),""),"")</f>
        <v/>
      </c>
    </row>
    <row r="154">
      <c r="A154" t="inlineStr">
        <is>
          <t>Ostreidae</t>
        </is>
      </c>
      <c r="B154">
        <f>IFERROR(INDEX(SPPR!$D:$D,MATCH($A154,SPPR!$A:$A,0)),"")</f>
        <v/>
      </c>
      <c r="C154">
        <f>IFERROR(INDEX(Catch!$E:$BV,MATCH($A154,Catch!$A:$A,0),MATCH($B$4,Catch!$E$1:$BV$1,0)),0)</f>
        <v/>
      </c>
      <c r="D154">
        <f>IFERROR(IF(ISNUMBER(INDEX(SPPR!$E:$X,MATCH($A154,SPPR!$A:$A,0),1)),$C154*INDEX(SPPR!$E:$X,MATCH($A154,SPPR!$A:$A,0),1),""),"")</f>
        <v/>
      </c>
      <c r="E154">
        <f>IFERROR(IF(ISNUMBER(INDEX(SPPR!$E:$X,MATCH($A154,SPPR!$A:$A,0),2)),$C154*INDEX(SPPR!$E:$X,MATCH($A154,SPPR!$A:$A,0),2),""),"")</f>
        <v/>
      </c>
      <c r="F154">
        <f>IFERROR(IF(ISNUMBER(INDEX(SPPR!$E:$X,MATCH($A154,SPPR!$A:$A,0),3)),$C154*INDEX(SPPR!$E:$X,MATCH($A154,SPPR!$A:$A,0),3),""),"")</f>
        <v/>
      </c>
      <c r="G154">
        <f>IFERROR(IF(ISNUMBER(INDEX(SPPR!$E:$X,MATCH($A154,SPPR!$A:$A,0),4)),$C154*INDEX(SPPR!$E:$X,MATCH($A154,SPPR!$A:$A,0),4),""),"")</f>
        <v/>
      </c>
      <c r="H154">
        <f>IFERROR(IF(ISNUMBER(INDEX(SPPR!$E:$X,MATCH($A154,SPPR!$A:$A,0),5)),$C154*INDEX(SPPR!$E:$X,MATCH($A154,SPPR!$A:$A,0),5),""),"")</f>
        <v/>
      </c>
      <c r="I154">
        <f>IFERROR(IF(ISNUMBER(INDEX(SPPR!$E:$X,MATCH($A154,SPPR!$A:$A,0),6)),$C154*INDEX(SPPR!$E:$X,MATCH($A154,SPPR!$A:$A,0),6),""),"")</f>
        <v/>
      </c>
      <c r="J154">
        <f>IFERROR(IF(ISNUMBER(INDEX(SPPR!$E:$X,MATCH($A154,SPPR!$A:$A,0),7)),$C154*INDEX(SPPR!$E:$X,MATCH($A154,SPPR!$A:$A,0),7),""),"")</f>
        <v/>
      </c>
      <c r="K154">
        <f>IFERROR(IF(ISNUMBER(INDEX(SPPR!$E:$X,MATCH($A154,SPPR!$A:$A,0),8)),$C154*INDEX(SPPR!$E:$X,MATCH($A154,SPPR!$A:$A,0),8),""),"")</f>
        <v/>
      </c>
      <c r="L154">
        <f>IFERROR(IF(ISNUMBER(INDEX(SPPR!$E:$X,MATCH($A154,SPPR!$A:$A,0),9)),$C154*INDEX(SPPR!$E:$X,MATCH($A154,SPPR!$A:$A,0),9),""),"")</f>
        <v/>
      </c>
      <c r="M154">
        <f>IFERROR(IF(ISNUMBER(INDEX(SPPR!$E:$X,MATCH($A154,SPPR!$A:$A,0),10)),$C154*INDEX(SPPR!$E:$X,MATCH($A154,SPPR!$A:$A,0),10),""),"")</f>
        <v/>
      </c>
      <c r="N154">
        <f>IFERROR(IF(ISNUMBER(INDEX(SPPR!$E:$X,MATCH($A154,SPPR!$A:$A,0),11)),$C154*INDEX(SPPR!$E:$X,MATCH($A154,SPPR!$A:$A,0),11),""),"")</f>
        <v/>
      </c>
      <c r="O154">
        <f>IFERROR(IF(ISNUMBER(INDEX(SPPR!$E:$X,MATCH($A154,SPPR!$A:$A,0),12)),$C154*INDEX(SPPR!$E:$X,MATCH($A154,SPPR!$A:$A,0),12),""),"")</f>
        <v/>
      </c>
      <c r="P154">
        <f>IFERROR(IF(ISNUMBER(INDEX(SPPR!$E:$X,MATCH($A154,SPPR!$A:$A,0),13)),$C154*INDEX(SPPR!$E:$X,MATCH($A154,SPPR!$A:$A,0),13),""),"")</f>
        <v/>
      </c>
      <c r="Q154">
        <f>IFERROR(IF(ISNUMBER(INDEX(SPPR!$E:$X,MATCH($A154,SPPR!$A:$A,0),14)),$C154*INDEX(SPPR!$E:$X,MATCH($A154,SPPR!$A:$A,0),14),""),"")</f>
        <v/>
      </c>
      <c r="R154">
        <f>IFERROR(IF(ISNUMBER(INDEX(SPPR!$E:$X,MATCH($A154,SPPR!$A:$A,0),15)),$C154*INDEX(SPPR!$E:$X,MATCH($A154,SPPR!$A:$A,0),15),""),"")</f>
        <v/>
      </c>
      <c r="S154">
        <f>IFERROR(IF(ISNUMBER(INDEX(SPPR!$E:$X,MATCH($A154,SPPR!$A:$A,0),16)),$C154*INDEX(SPPR!$E:$X,MATCH($A154,SPPR!$A:$A,0),16),""),"")</f>
        <v/>
      </c>
      <c r="T154">
        <f>IFERROR(IF(ISNUMBER(INDEX(SPPR!$E:$X,MATCH($A154,SPPR!$A:$A,0),17)),$C154*INDEX(SPPR!$E:$X,MATCH($A154,SPPR!$A:$A,0),17),""),"")</f>
        <v/>
      </c>
      <c r="U154">
        <f>IFERROR(IF(ISNUMBER(INDEX(SPPR!$E:$X,MATCH($A154,SPPR!$A:$A,0),18)),$C154*INDEX(SPPR!$E:$X,MATCH($A154,SPPR!$A:$A,0),18),""),"")</f>
        <v/>
      </c>
      <c r="V154">
        <f>IFERROR(IF(ISNUMBER(INDEX(SPPR!$E:$X,MATCH($A154,SPPR!$A:$A,0),19)),$C154*INDEX(SPPR!$E:$X,MATCH($A154,SPPR!$A:$A,0),19),""),"")</f>
        <v/>
      </c>
      <c r="W154">
        <f>IFERROR(IF(ISNUMBER(INDEX(SPPR!$E:$X,MATCH($A154,SPPR!$A:$A,0),20)),$C154*INDEX(SPPR!$E:$X,MATCH($A154,SPPR!$A:$A,0),20),""),"")</f>
        <v/>
      </c>
    </row>
    <row r="155">
      <c r="A155" t="inlineStr">
        <is>
          <t>Portunus</t>
        </is>
      </c>
      <c r="B155">
        <f>IFERROR(INDEX(SPPR!$D:$D,MATCH($A155,SPPR!$A:$A,0)),"")</f>
        <v/>
      </c>
      <c r="C155">
        <f>IFERROR(INDEX(Catch!$E:$BV,MATCH($A155,Catch!$A:$A,0),MATCH($B$4,Catch!$E$1:$BV$1,0)),0)</f>
        <v/>
      </c>
      <c r="D155">
        <f>IFERROR(IF(ISNUMBER(INDEX(SPPR!$E:$X,MATCH($A155,SPPR!$A:$A,0),1)),$C155*INDEX(SPPR!$E:$X,MATCH($A155,SPPR!$A:$A,0),1),""),"")</f>
        <v/>
      </c>
      <c r="E155">
        <f>IFERROR(IF(ISNUMBER(INDEX(SPPR!$E:$X,MATCH($A155,SPPR!$A:$A,0),2)),$C155*INDEX(SPPR!$E:$X,MATCH($A155,SPPR!$A:$A,0),2),""),"")</f>
        <v/>
      </c>
      <c r="F155">
        <f>IFERROR(IF(ISNUMBER(INDEX(SPPR!$E:$X,MATCH($A155,SPPR!$A:$A,0),3)),$C155*INDEX(SPPR!$E:$X,MATCH($A155,SPPR!$A:$A,0),3),""),"")</f>
        <v/>
      </c>
      <c r="G155">
        <f>IFERROR(IF(ISNUMBER(INDEX(SPPR!$E:$X,MATCH($A155,SPPR!$A:$A,0),4)),$C155*INDEX(SPPR!$E:$X,MATCH($A155,SPPR!$A:$A,0),4),""),"")</f>
        <v/>
      </c>
      <c r="H155">
        <f>IFERROR(IF(ISNUMBER(INDEX(SPPR!$E:$X,MATCH($A155,SPPR!$A:$A,0),5)),$C155*INDEX(SPPR!$E:$X,MATCH($A155,SPPR!$A:$A,0),5),""),"")</f>
        <v/>
      </c>
      <c r="I155">
        <f>IFERROR(IF(ISNUMBER(INDEX(SPPR!$E:$X,MATCH($A155,SPPR!$A:$A,0),6)),$C155*INDEX(SPPR!$E:$X,MATCH($A155,SPPR!$A:$A,0),6),""),"")</f>
        <v/>
      </c>
      <c r="J155">
        <f>IFERROR(IF(ISNUMBER(INDEX(SPPR!$E:$X,MATCH($A155,SPPR!$A:$A,0),7)),$C155*INDEX(SPPR!$E:$X,MATCH($A155,SPPR!$A:$A,0),7),""),"")</f>
        <v/>
      </c>
      <c r="K155">
        <f>IFERROR(IF(ISNUMBER(INDEX(SPPR!$E:$X,MATCH($A155,SPPR!$A:$A,0),8)),$C155*INDEX(SPPR!$E:$X,MATCH($A155,SPPR!$A:$A,0),8),""),"")</f>
        <v/>
      </c>
      <c r="L155">
        <f>IFERROR(IF(ISNUMBER(INDEX(SPPR!$E:$X,MATCH($A155,SPPR!$A:$A,0),9)),$C155*INDEX(SPPR!$E:$X,MATCH($A155,SPPR!$A:$A,0),9),""),"")</f>
        <v/>
      </c>
      <c r="M155">
        <f>IFERROR(IF(ISNUMBER(INDEX(SPPR!$E:$X,MATCH($A155,SPPR!$A:$A,0),10)),$C155*INDEX(SPPR!$E:$X,MATCH($A155,SPPR!$A:$A,0),10),""),"")</f>
        <v/>
      </c>
      <c r="N155">
        <f>IFERROR(IF(ISNUMBER(INDEX(SPPR!$E:$X,MATCH($A155,SPPR!$A:$A,0),11)),$C155*INDEX(SPPR!$E:$X,MATCH($A155,SPPR!$A:$A,0),11),""),"")</f>
        <v/>
      </c>
      <c r="O155">
        <f>IFERROR(IF(ISNUMBER(INDEX(SPPR!$E:$X,MATCH($A155,SPPR!$A:$A,0),12)),$C155*INDEX(SPPR!$E:$X,MATCH($A155,SPPR!$A:$A,0),12),""),"")</f>
        <v/>
      </c>
      <c r="P155">
        <f>IFERROR(IF(ISNUMBER(INDEX(SPPR!$E:$X,MATCH($A155,SPPR!$A:$A,0),13)),$C155*INDEX(SPPR!$E:$X,MATCH($A155,SPPR!$A:$A,0),13),""),"")</f>
        <v/>
      </c>
      <c r="Q155">
        <f>IFERROR(IF(ISNUMBER(INDEX(SPPR!$E:$X,MATCH($A155,SPPR!$A:$A,0),14)),$C155*INDEX(SPPR!$E:$X,MATCH($A155,SPPR!$A:$A,0),14),""),"")</f>
        <v/>
      </c>
      <c r="R155">
        <f>IFERROR(IF(ISNUMBER(INDEX(SPPR!$E:$X,MATCH($A155,SPPR!$A:$A,0),15)),$C155*INDEX(SPPR!$E:$X,MATCH($A155,SPPR!$A:$A,0),15),""),"")</f>
        <v/>
      </c>
      <c r="S155">
        <f>IFERROR(IF(ISNUMBER(INDEX(SPPR!$E:$X,MATCH($A155,SPPR!$A:$A,0),16)),$C155*INDEX(SPPR!$E:$X,MATCH($A155,SPPR!$A:$A,0),16),""),"")</f>
        <v/>
      </c>
      <c r="T155">
        <f>IFERROR(IF(ISNUMBER(INDEX(SPPR!$E:$X,MATCH($A155,SPPR!$A:$A,0),17)),$C155*INDEX(SPPR!$E:$X,MATCH($A155,SPPR!$A:$A,0),17),""),"")</f>
        <v/>
      </c>
      <c r="U155">
        <f>IFERROR(IF(ISNUMBER(INDEX(SPPR!$E:$X,MATCH($A155,SPPR!$A:$A,0),18)),$C155*INDEX(SPPR!$E:$X,MATCH($A155,SPPR!$A:$A,0),18),""),"")</f>
        <v/>
      </c>
      <c r="V155">
        <f>IFERROR(IF(ISNUMBER(INDEX(SPPR!$E:$X,MATCH($A155,SPPR!$A:$A,0),19)),$C155*INDEX(SPPR!$E:$X,MATCH($A155,SPPR!$A:$A,0),19),""),"")</f>
        <v/>
      </c>
      <c r="W155">
        <f>IFERROR(IF(ISNUMBER(INDEX(SPPR!$E:$X,MATCH($A155,SPPR!$A:$A,0),20)),$C155*INDEX(SPPR!$E:$X,MATCH($A155,SPPR!$A:$A,0),20),""),"")</f>
        <v/>
      </c>
    </row>
    <row r="156">
      <c r="A156" t="inlineStr">
        <is>
          <t>Penaeus penicillatus</t>
        </is>
      </c>
      <c r="B156">
        <f>IFERROR(INDEX(SPPR!$D:$D,MATCH($A156,SPPR!$A:$A,0)),"")</f>
        <v/>
      </c>
      <c r="C156">
        <f>IFERROR(INDEX(Catch!$E:$BV,MATCH($A156,Catch!$A:$A,0),MATCH($B$4,Catch!$E$1:$BV$1,0)),0)</f>
        <v/>
      </c>
      <c r="D156">
        <f>IFERROR(IF(ISNUMBER(INDEX(SPPR!$E:$X,MATCH($A156,SPPR!$A:$A,0),1)),$C156*INDEX(SPPR!$E:$X,MATCH($A156,SPPR!$A:$A,0),1),""),"")</f>
        <v/>
      </c>
      <c r="E156">
        <f>IFERROR(IF(ISNUMBER(INDEX(SPPR!$E:$X,MATCH($A156,SPPR!$A:$A,0),2)),$C156*INDEX(SPPR!$E:$X,MATCH($A156,SPPR!$A:$A,0),2),""),"")</f>
        <v/>
      </c>
      <c r="F156">
        <f>IFERROR(IF(ISNUMBER(INDEX(SPPR!$E:$X,MATCH($A156,SPPR!$A:$A,0),3)),$C156*INDEX(SPPR!$E:$X,MATCH($A156,SPPR!$A:$A,0),3),""),"")</f>
        <v/>
      </c>
      <c r="G156">
        <f>IFERROR(IF(ISNUMBER(INDEX(SPPR!$E:$X,MATCH($A156,SPPR!$A:$A,0),4)),$C156*INDEX(SPPR!$E:$X,MATCH($A156,SPPR!$A:$A,0),4),""),"")</f>
        <v/>
      </c>
      <c r="H156">
        <f>IFERROR(IF(ISNUMBER(INDEX(SPPR!$E:$X,MATCH($A156,SPPR!$A:$A,0),5)),$C156*INDEX(SPPR!$E:$X,MATCH($A156,SPPR!$A:$A,0),5),""),"")</f>
        <v/>
      </c>
      <c r="I156">
        <f>IFERROR(IF(ISNUMBER(INDEX(SPPR!$E:$X,MATCH($A156,SPPR!$A:$A,0),6)),$C156*INDEX(SPPR!$E:$X,MATCH($A156,SPPR!$A:$A,0),6),""),"")</f>
        <v/>
      </c>
      <c r="J156">
        <f>IFERROR(IF(ISNUMBER(INDEX(SPPR!$E:$X,MATCH($A156,SPPR!$A:$A,0),7)),$C156*INDEX(SPPR!$E:$X,MATCH($A156,SPPR!$A:$A,0),7),""),"")</f>
        <v/>
      </c>
      <c r="K156">
        <f>IFERROR(IF(ISNUMBER(INDEX(SPPR!$E:$X,MATCH($A156,SPPR!$A:$A,0),8)),$C156*INDEX(SPPR!$E:$X,MATCH($A156,SPPR!$A:$A,0),8),""),"")</f>
        <v/>
      </c>
      <c r="L156">
        <f>IFERROR(IF(ISNUMBER(INDEX(SPPR!$E:$X,MATCH($A156,SPPR!$A:$A,0),9)),$C156*INDEX(SPPR!$E:$X,MATCH($A156,SPPR!$A:$A,0),9),""),"")</f>
        <v/>
      </c>
      <c r="M156">
        <f>IFERROR(IF(ISNUMBER(INDEX(SPPR!$E:$X,MATCH($A156,SPPR!$A:$A,0),10)),$C156*INDEX(SPPR!$E:$X,MATCH($A156,SPPR!$A:$A,0),10),""),"")</f>
        <v/>
      </c>
      <c r="N156">
        <f>IFERROR(IF(ISNUMBER(INDEX(SPPR!$E:$X,MATCH($A156,SPPR!$A:$A,0),11)),$C156*INDEX(SPPR!$E:$X,MATCH($A156,SPPR!$A:$A,0),11),""),"")</f>
        <v/>
      </c>
      <c r="O156">
        <f>IFERROR(IF(ISNUMBER(INDEX(SPPR!$E:$X,MATCH($A156,SPPR!$A:$A,0),12)),$C156*INDEX(SPPR!$E:$X,MATCH($A156,SPPR!$A:$A,0),12),""),"")</f>
        <v/>
      </c>
      <c r="P156">
        <f>IFERROR(IF(ISNUMBER(INDEX(SPPR!$E:$X,MATCH($A156,SPPR!$A:$A,0),13)),$C156*INDEX(SPPR!$E:$X,MATCH($A156,SPPR!$A:$A,0),13),""),"")</f>
        <v/>
      </c>
      <c r="Q156">
        <f>IFERROR(IF(ISNUMBER(INDEX(SPPR!$E:$X,MATCH($A156,SPPR!$A:$A,0),14)),$C156*INDEX(SPPR!$E:$X,MATCH($A156,SPPR!$A:$A,0),14),""),"")</f>
        <v/>
      </c>
      <c r="R156">
        <f>IFERROR(IF(ISNUMBER(INDEX(SPPR!$E:$X,MATCH($A156,SPPR!$A:$A,0),15)),$C156*INDEX(SPPR!$E:$X,MATCH($A156,SPPR!$A:$A,0),15),""),"")</f>
        <v/>
      </c>
      <c r="S156">
        <f>IFERROR(IF(ISNUMBER(INDEX(SPPR!$E:$X,MATCH($A156,SPPR!$A:$A,0),16)),$C156*INDEX(SPPR!$E:$X,MATCH($A156,SPPR!$A:$A,0),16),""),"")</f>
        <v/>
      </c>
      <c r="T156">
        <f>IFERROR(IF(ISNUMBER(INDEX(SPPR!$E:$X,MATCH($A156,SPPR!$A:$A,0),17)),$C156*INDEX(SPPR!$E:$X,MATCH($A156,SPPR!$A:$A,0),17),""),"")</f>
        <v/>
      </c>
      <c r="U156">
        <f>IFERROR(IF(ISNUMBER(INDEX(SPPR!$E:$X,MATCH($A156,SPPR!$A:$A,0),18)),$C156*INDEX(SPPR!$E:$X,MATCH($A156,SPPR!$A:$A,0),18),""),"")</f>
        <v/>
      </c>
      <c r="V156">
        <f>IFERROR(IF(ISNUMBER(INDEX(SPPR!$E:$X,MATCH($A156,SPPR!$A:$A,0),19)),$C156*INDEX(SPPR!$E:$X,MATCH($A156,SPPR!$A:$A,0),19),""),"")</f>
        <v/>
      </c>
      <c r="W156">
        <f>IFERROR(IF(ISNUMBER(INDEX(SPPR!$E:$X,MATCH($A156,SPPR!$A:$A,0),20)),$C156*INDEX(SPPR!$E:$X,MATCH($A156,SPPR!$A:$A,0),20),""),"")</f>
        <v/>
      </c>
    </row>
    <row r="157">
      <c r="A157" t="inlineStr">
        <is>
          <t>Thunnus orientalis</t>
        </is>
      </c>
      <c r="B157">
        <f>IFERROR(INDEX(SPPR!$D:$D,MATCH($A157,SPPR!$A:$A,0)),"")</f>
        <v/>
      </c>
      <c r="C157">
        <f>IFERROR(INDEX(Catch!$E:$BV,MATCH($A157,Catch!$A:$A,0),MATCH($B$4,Catch!$E$1:$BV$1,0)),0)</f>
        <v/>
      </c>
      <c r="D157">
        <f>IFERROR(IF(ISNUMBER(INDEX(SPPR!$E:$X,MATCH($A157,SPPR!$A:$A,0),1)),$C157*INDEX(SPPR!$E:$X,MATCH($A157,SPPR!$A:$A,0),1),""),"")</f>
        <v/>
      </c>
      <c r="E157">
        <f>IFERROR(IF(ISNUMBER(INDEX(SPPR!$E:$X,MATCH($A157,SPPR!$A:$A,0),2)),$C157*INDEX(SPPR!$E:$X,MATCH($A157,SPPR!$A:$A,0),2),""),"")</f>
        <v/>
      </c>
      <c r="F157">
        <f>IFERROR(IF(ISNUMBER(INDEX(SPPR!$E:$X,MATCH($A157,SPPR!$A:$A,0),3)),$C157*INDEX(SPPR!$E:$X,MATCH($A157,SPPR!$A:$A,0),3),""),"")</f>
        <v/>
      </c>
      <c r="G157">
        <f>IFERROR(IF(ISNUMBER(INDEX(SPPR!$E:$X,MATCH($A157,SPPR!$A:$A,0),4)),$C157*INDEX(SPPR!$E:$X,MATCH($A157,SPPR!$A:$A,0),4),""),"")</f>
        <v/>
      </c>
      <c r="H157">
        <f>IFERROR(IF(ISNUMBER(INDEX(SPPR!$E:$X,MATCH($A157,SPPR!$A:$A,0),5)),$C157*INDEX(SPPR!$E:$X,MATCH($A157,SPPR!$A:$A,0),5),""),"")</f>
        <v/>
      </c>
      <c r="I157">
        <f>IFERROR(IF(ISNUMBER(INDEX(SPPR!$E:$X,MATCH($A157,SPPR!$A:$A,0),6)),$C157*INDEX(SPPR!$E:$X,MATCH($A157,SPPR!$A:$A,0),6),""),"")</f>
        <v/>
      </c>
      <c r="J157">
        <f>IFERROR(IF(ISNUMBER(INDEX(SPPR!$E:$X,MATCH($A157,SPPR!$A:$A,0),7)),$C157*INDEX(SPPR!$E:$X,MATCH($A157,SPPR!$A:$A,0),7),""),"")</f>
        <v/>
      </c>
      <c r="K157">
        <f>IFERROR(IF(ISNUMBER(INDEX(SPPR!$E:$X,MATCH($A157,SPPR!$A:$A,0),8)),$C157*INDEX(SPPR!$E:$X,MATCH($A157,SPPR!$A:$A,0),8),""),"")</f>
        <v/>
      </c>
      <c r="L157">
        <f>IFERROR(IF(ISNUMBER(INDEX(SPPR!$E:$X,MATCH($A157,SPPR!$A:$A,0),9)),$C157*INDEX(SPPR!$E:$X,MATCH($A157,SPPR!$A:$A,0),9),""),"")</f>
        <v/>
      </c>
      <c r="M157">
        <f>IFERROR(IF(ISNUMBER(INDEX(SPPR!$E:$X,MATCH($A157,SPPR!$A:$A,0),10)),$C157*INDEX(SPPR!$E:$X,MATCH($A157,SPPR!$A:$A,0),10),""),"")</f>
        <v/>
      </c>
      <c r="N157">
        <f>IFERROR(IF(ISNUMBER(INDEX(SPPR!$E:$X,MATCH($A157,SPPR!$A:$A,0),11)),$C157*INDEX(SPPR!$E:$X,MATCH($A157,SPPR!$A:$A,0),11),""),"")</f>
        <v/>
      </c>
      <c r="O157">
        <f>IFERROR(IF(ISNUMBER(INDEX(SPPR!$E:$X,MATCH($A157,SPPR!$A:$A,0),12)),$C157*INDEX(SPPR!$E:$X,MATCH($A157,SPPR!$A:$A,0),12),""),"")</f>
        <v/>
      </c>
      <c r="P157">
        <f>IFERROR(IF(ISNUMBER(INDEX(SPPR!$E:$X,MATCH($A157,SPPR!$A:$A,0),13)),$C157*INDEX(SPPR!$E:$X,MATCH($A157,SPPR!$A:$A,0),13),""),"")</f>
        <v/>
      </c>
      <c r="Q157">
        <f>IFERROR(IF(ISNUMBER(INDEX(SPPR!$E:$X,MATCH($A157,SPPR!$A:$A,0),14)),$C157*INDEX(SPPR!$E:$X,MATCH($A157,SPPR!$A:$A,0),14),""),"")</f>
        <v/>
      </c>
      <c r="R157">
        <f>IFERROR(IF(ISNUMBER(INDEX(SPPR!$E:$X,MATCH($A157,SPPR!$A:$A,0),15)),$C157*INDEX(SPPR!$E:$X,MATCH($A157,SPPR!$A:$A,0),15),""),"")</f>
        <v/>
      </c>
      <c r="S157">
        <f>IFERROR(IF(ISNUMBER(INDEX(SPPR!$E:$X,MATCH($A157,SPPR!$A:$A,0),16)),$C157*INDEX(SPPR!$E:$X,MATCH($A157,SPPR!$A:$A,0),16),""),"")</f>
        <v/>
      </c>
      <c r="T157">
        <f>IFERROR(IF(ISNUMBER(INDEX(SPPR!$E:$X,MATCH($A157,SPPR!$A:$A,0),17)),$C157*INDEX(SPPR!$E:$X,MATCH($A157,SPPR!$A:$A,0),17),""),"")</f>
        <v/>
      </c>
      <c r="U157">
        <f>IFERROR(IF(ISNUMBER(INDEX(SPPR!$E:$X,MATCH($A157,SPPR!$A:$A,0),18)),$C157*INDEX(SPPR!$E:$X,MATCH($A157,SPPR!$A:$A,0),18),""),"")</f>
        <v/>
      </c>
      <c r="V157">
        <f>IFERROR(IF(ISNUMBER(INDEX(SPPR!$E:$X,MATCH($A157,SPPR!$A:$A,0),19)),$C157*INDEX(SPPR!$E:$X,MATCH($A157,SPPR!$A:$A,0),19),""),"")</f>
        <v/>
      </c>
      <c r="W157">
        <f>IFERROR(IF(ISNUMBER(INDEX(SPPR!$E:$X,MATCH($A157,SPPR!$A:$A,0),20)),$C157*INDEX(SPPR!$E:$X,MATCH($A157,SPPR!$A:$A,0),20),""),"")</f>
        <v/>
      </c>
    </row>
    <row r="158">
      <c r="A158" t="inlineStr">
        <is>
          <t>Liparis tanakae</t>
        </is>
      </c>
      <c r="B158">
        <f>IFERROR(INDEX(SPPR!$D:$D,MATCH($A158,SPPR!$A:$A,0)),"")</f>
        <v/>
      </c>
      <c r="C158">
        <f>IFERROR(INDEX(Catch!$E:$BV,MATCH($A158,Catch!$A:$A,0),MATCH($B$4,Catch!$E$1:$BV$1,0)),0)</f>
        <v/>
      </c>
      <c r="D158">
        <f>IFERROR(IF(ISNUMBER(INDEX(SPPR!$E:$X,MATCH($A158,SPPR!$A:$A,0),1)),$C158*INDEX(SPPR!$E:$X,MATCH($A158,SPPR!$A:$A,0),1),""),"")</f>
        <v/>
      </c>
      <c r="E158">
        <f>IFERROR(IF(ISNUMBER(INDEX(SPPR!$E:$X,MATCH($A158,SPPR!$A:$A,0),2)),$C158*INDEX(SPPR!$E:$X,MATCH($A158,SPPR!$A:$A,0),2),""),"")</f>
        <v/>
      </c>
      <c r="F158">
        <f>IFERROR(IF(ISNUMBER(INDEX(SPPR!$E:$X,MATCH($A158,SPPR!$A:$A,0),3)),$C158*INDEX(SPPR!$E:$X,MATCH($A158,SPPR!$A:$A,0),3),""),"")</f>
        <v/>
      </c>
      <c r="G158">
        <f>IFERROR(IF(ISNUMBER(INDEX(SPPR!$E:$X,MATCH($A158,SPPR!$A:$A,0),4)),$C158*INDEX(SPPR!$E:$X,MATCH($A158,SPPR!$A:$A,0),4),""),"")</f>
        <v/>
      </c>
      <c r="H158">
        <f>IFERROR(IF(ISNUMBER(INDEX(SPPR!$E:$X,MATCH($A158,SPPR!$A:$A,0),5)),$C158*INDEX(SPPR!$E:$X,MATCH($A158,SPPR!$A:$A,0),5),""),"")</f>
        <v/>
      </c>
      <c r="I158">
        <f>IFERROR(IF(ISNUMBER(INDEX(SPPR!$E:$X,MATCH($A158,SPPR!$A:$A,0),6)),$C158*INDEX(SPPR!$E:$X,MATCH($A158,SPPR!$A:$A,0),6),""),"")</f>
        <v/>
      </c>
      <c r="J158">
        <f>IFERROR(IF(ISNUMBER(INDEX(SPPR!$E:$X,MATCH($A158,SPPR!$A:$A,0),7)),$C158*INDEX(SPPR!$E:$X,MATCH($A158,SPPR!$A:$A,0),7),""),"")</f>
        <v/>
      </c>
      <c r="K158">
        <f>IFERROR(IF(ISNUMBER(INDEX(SPPR!$E:$X,MATCH($A158,SPPR!$A:$A,0),8)),$C158*INDEX(SPPR!$E:$X,MATCH($A158,SPPR!$A:$A,0),8),""),"")</f>
        <v/>
      </c>
      <c r="L158">
        <f>IFERROR(IF(ISNUMBER(INDEX(SPPR!$E:$X,MATCH($A158,SPPR!$A:$A,0),9)),$C158*INDEX(SPPR!$E:$X,MATCH($A158,SPPR!$A:$A,0),9),""),"")</f>
        <v/>
      </c>
      <c r="M158">
        <f>IFERROR(IF(ISNUMBER(INDEX(SPPR!$E:$X,MATCH($A158,SPPR!$A:$A,0),10)),$C158*INDEX(SPPR!$E:$X,MATCH($A158,SPPR!$A:$A,0),10),""),"")</f>
        <v/>
      </c>
      <c r="N158">
        <f>IFERROR(IF(ISNUMBER(INDEX(SPPR!$E:$X,MATCH($A158,SPPR!$A:$A,0),11)),$C158*INDEX(SPPR!$E:$X,MATCH($A158,SPPR!$A:$A,0),11),""),"")</f>
        <v/>
      </c>
      <c r="O158">
        <f>IFERROR(IF(ISNUMBER(INDEX(SPPR!$E:$X,MATCH($A158,SPPR!$A:$A,0),12)),$C158*INDEX(SPPR!$E:$X,MATCH($A158,SPPR!$A:$A,0),12),""),"")</f>
        <v/>
      </c>
      <c r="P158">
        <f>IFERROR(IF(ISNUMBER(INDEX(SPPR!$E:$X,MATCH($A158,SPPR!$A:$A,0),13)),$C158*INDEX(SPPR!$E:$X,MATCH($A158,SPPR!$A:$A,0),13),""),"")</f>
        <v/>
      </c>
      <c r="Q158">
        <f>IFERROR(IF(ISNUMBER(INDEX(SPPR!$E:$X,MATCH($A158,SPPR!$A:$A,0),14)),$C158*INDEX(SPPR!$E:$X,MATCH($A158,SPPR!$A:$A,0),14),""),"")</f>
        <v/>
      </c>
      <c r="R158">
        <f>IFERROR(IF(ISNUMBER(INDEX(SPPR!$E:$X,MATCH($A158,SPPR!$A:$A,0),15)),$C158*INDEX(SPPR!$E:$X,MATCH($A158,SPPR!$A:$A,0),15),""),"")</f>
        <v/>
      </c>
      <c r="S158">
        <f>IFERROR(IF(ISNUMBER(INDEX(SPPR!$E:$X,MATCH($A158,SPPR!$A:$A,0),16)),$C158*INDEX(SPPR!$E:$X,MATCH($A158,SPPR!$A:$A,0),16),""),"")</f>
        <v/>
      </c>
      <c r="T158">
        <f>IFERROR(IF(ISNUMBER(INDEX(SPPR!$E:$X,MATCH($A158,SPPR!$A:$A,0),17)),$C158*INDEX(SPPR!$E:$X,MATCH($A158,SPPR!$A:$A,0),17),""),"")</f>
        <v/>
      </c>
      <c r="U158">
        <f>IFERROR(IF(ISNUMBER(INDEX(SPPR!$E:$X,MATCH($A158,SPPR!$A:$A,0),18)),$C158*INDEX(SPPR!$E:$X,MATCH($A158,SPPR!$A:$A,0),18),""),"")</f>
        <v/>
      </c>
      <c r="V158">
        <f>IFERROR(IF(ISNUMBER(INDEX(SPPR!$E:$X,MATCH($A158,SPPR!$A:$A,0),19)),$C158*INDEX(SPPR!$E:$X,MATCH($A158,SPPR!$A:$A,0),19),""),"")</f>
        <v/>
      </c>
      <c r="W158">
        <f>IFERROR(IF(ISNUMBER(INDEX(SPPR!$E:$X,MATCH($A158,SPPR!$A:$A,0),20)),$C158*INDEX(SPPR!$E:$X,MATCH($A158,SPPR!$A:$A,0),20),""),"")</f>
        <v/>
      </c>
    </row>
    <row r="159">
      <c r="A159" t="inlineStr">
        <is>
          <t>Trachurus</t>
        </is>
      </c>
      <c r="B159">
        <f>IFERROR(INDEX(SPPR!$D:$D,MATCH($A159,SPPR!$A:$A,0)),"")</f>
        <v/>
      </c>
      <c r="C159">
        <f>IFERROR(INDEX(Catch!$E:$BV,MATCH($A159,Catch!$A:$A,0),MATCH($B$4,Catch!$E$1:$BV$1,0)),0)</f>
        <v/>
      </c>
      <c r="D159">
        <f>IFERROR(IF(ISNUMBER(INDEX(SPPR!$E:$X,MATCH($A159,SPPR!$A:$A,0),1)),$C159*INDEX(SPPR!$E:$X,MATCH($A159,SPPR!$A:$A,0),1),""),"")</f>
        <v/>
      </c>
      <c r="E159">
        <f>IFERROR(IF(ISNUMBER(INDEX(SPPR!$E:$X,MATCH($A159,SPPR!$A:$A,0),2)),$C159*INDEX(SPPR!$E:$X,MATCH($A159,SPPR!$A:$A,0),2),""),"")</f>
        <v/>
      </c>
      <c r="F159">
        <f>IFERROR(IF(ISNUMBER(INDEX(SPPR!$E:$X,MATCH($A159,SPPR!$A:$A,0),3)),$C159*INDEX(SPPR!$E:$X,MATCH($A159,SPPR!$A:$A,0),3),""),"")</f>
        <v/>
      </c>
      <c r="G159">
        <f>IFERROR(IF(ISNUMBER(INDEX(SPPR!$E:$X,MATCH($A159,SPPR!$A:$A,0),4)),$C159*INDEX(SPPR!$E:$X,MATCH($A159,SPPR!$A:$A,0),4),""),"")</f>
        <v/>
      </c>
      <c r="H159">
        <f>IFERROR(IF(ISNUMBER(INDEX(SPPR!$E:$X,MATCH($A159,SPPR!$A:$A,0),5)),$C159*INDEX(SPPR!$E:$X,MATCH($A159,SPPR!$A:$A,0),5),""),"")</f>
        <v/>
      </c>
      <c r="I159">
        <f>IFERROR(IF(ISNUMBER(INDEX(SPPR!$E:$X,MATCH($A159,SPPR!$A:$A,0),6)),$C159*INDEX(SPPR!$E:$X,MATCH($A159,SPPR!$A:$A,0),6),""),"")</f>
        <v/>
      </c>
      <c r="J159">
        <f>IFERROR(IF(ISNUMBER(INDEX(SPPR!$E:$X,MATCH($A159,SPPR!$A:$A,0),7)),$C159*INDEX(SPPR!$E:$X,MATCH($A159,SPPR!$A:$A,0),7),""),"")</f>
        <v/>
      </c>
      <c r="K159">
        <f>IFERROR(IF(ISNUMBER(INDEX(SPPR!$E:$X,MATCH($A159,SPPR!$A:$A,0),8)),$C159*INDEX(SPPR!$E:$X,MATCH($A159,SPPR!$A:$A,0),8),""),"")</f>
        <v/>
      </c>
      <c r="L159">
        <f>IFERROR(IF(ISNUMBER(INDEX(SPPR!$E:$X,MATCH($A159,SPPR!$A:$A,0),9)),$C159*INDEX(SPPR!$E:$X,MATCH($A159,SPPR!$A:$A,0),9),""),"")</f>
        <v/>
      </c>
      <c r="M159">
        <f>IFERROR(IF(ISNUMBER(INDEX(SPPR!$E:$X,MATCH($A159,SPPR!$A:$A,0),10)),$C159*INDEX(SPPR!$E:$X,MATCH($A159,SPPR!$A:$A,0),10),""),"")</f>
        <v/>
      </c>
      <c r="N159">
        <f>IFERROR(IF(ISNUMBER(INDEX(SPPR!$E:$X,MATCH($A159,SPPR!$A:$A,0),11)),$C159*INDEX(SPPR!$E:$X,MATCH($A159,SPPR!$A:$A,0),11),""),"")</f>
        <v/>
      </c>
      <c r="O159">
        <f>IFERROR(IF(ISNUMBER(INDEX(SPPR!$E:$X,MATCH($A159,SPPR!$A:$A,0),12)),$C159*INDEX(SPPR!$E:$X,MATCH($A159,SPPR!$A:$A,0),12),""),"")</f>
        <v/>
      </c>
      <c r="P159">
        <f>IFERROR(IF(ISNUMBER(INDEX(SPPR!$E:$X,MATCH($A159,SPPR!$A:$A,0),13)),$C159*INDEX(SPPR!$E:$X,MATCH($A159,SPPR!$A:$A,0),13),""),"")</f>
        <v/>
      </c>
      <c r="Q159">
        <f>IFERROR(IF(ISNUMBER(INDEX(SPPR!$E:$X,MATCH($A159,SPPR!$A:$A,0),14)),$C159*INDEX(SPPR!$E:$X,MATCH($A159,SPPR!$A:$A,0),14),""),"")</f>
        <v/>
      </c>
      <c r="R159">
        <f>IFERROR(IF(ISNUMBER(INDEX(SPPR!$E:$X,MATCH($A159,SPPR!$A:$A,0),15)),$C159*INDEX(SPPR!$E:$X,MATCH($A159,SPPR!$A:$A,0),15),""),"")</f>
        <v/>
      </c>
      <c r="S159">
        <f>IFERROR(IF(ISNUMBER(INDEX(SPPR!$E:$X,MATCH($A159,SPPR!$A:$A,0),16)),$C159*INDEX(SPPR!$E:$X,MATCH($A159,SPPR!$A:$A,0),16),""),"")</f>
        <v/>
      </c>
      <c r="T159">
        <f>IFERROR(IF(ISNUMBER(INDEX(SPPR!$E:$X,MATCH($A159,SPPR!$A:$A,0),17)),$C159*INDEX(SPPR!$E:$X,MATCH($A159,SPPR!$A:$A,0),17),""),"")</f>
        <v/>
      </c>
      <c r="U159">
        <f>IFERROR(IF(ISNUMBER(INDEX(SPPR!$E:$X,MATCH($A159,SPPR!$A:$A,0),18)),$C159*INDEX(SPPR!$E:$X,MATCH($A159,SPPR!$A:$A,0),18),""),"")</f>
        <v/>
      </c>
      <c r="V159">
        <f>IFERROR(IF(ISNUMBER(INDEX(SPPR!$E:$X,MATCH($A159,SPPR!$A:$A,0),19)),$C159*INDEX(SPPR!$E:$X,MATCH($A159,SPPR!$A:$A,0),19),""),"")</f>
        <v/>
      </c>
      <c r="W159">
        <f>IFERROR(IF(ISNUMBER(INDEX(SPPR!$E:$X,MATCH($A159,SPPR!$A:$A,0),20)),$C159*INDEX(SPPR!$E:$X,MATCH($A159,SPPR!$A:$A,0),20),""),"")</f>
        <v/>
      </c>
    </row>
    <row r="160">
      <c r="A160" t="inlineStr">
        <is>
          <t>Hyporhamphus sajori</t>
        </is>
      </c>
      <c r="B160">
        <f>IFERROR(INDEX(SPPR!$D:$D,MATCH($A160,SPPR!$A:$A,0)),"")</f>
        <v/>
      </c>
      <c r="C160">
        <f>IFERROR(INDEX(Catch!$E:$BV,MATCH($A160,Catch!$A:$A,0),MATCH($B$4,Catch!$E$1:$BV$1,0)),0)</f>
        <v/>
      </c>
      <c r="D160">
        <f>IFERROR(IF(ISNUMBER(INDEX(SPPR!$E:$X,MATCH($A160,SPPR!$A:$A,0),1)),$C160*INDEX(SPPR!$E:$X,MATCH($A160,SPPR!$A:$A,0),1),""),"")</f>
        <v/>
      </c>
      <c r="E160">
        <f>IFERROR(IF(ISNUMBER(INDEX(SPPR!$E:$X,MATCH($A160,SPPR!$A:$A,0),2)),$C160*INDEX(SPPR!$E:$X,MATCH($A160,SPPR!$A:$A,0),2),""),"")</f>
        <v/>
      </c>
      <c r="F160">
        <f>IFERROR(IF(ISNUMBER(INDEX(SPPR!$E:$X,MATCH($A160,SPPR!$A:$A,0),3)),$C160*INDEX(SPPR!$E:$X,MATCH($A160,SPPR!$A:$A,0),3),""),"")</f>
        <v/>
      </c>
      <c r="G160">
        <f>IFERROR(IF(ISNUMBER(INDEX(SPPR!$E:$X,MATCH($A160,SPPR!$A:$A,0),4)),$C160*INDEX(SPPR!$E:$X,MATCH($A160,SPPR!$A:$A,0),4),""),"")</f>
        <v/>
      </c>
      <c r="H160">
        <f>IFERROR(IF(ISNUMBER(INDEX(SPPR!$E:$X,MATCH($A160,SPPR!$A:$A,0),5)),$C160*INDEX(SPPR!$E:$X,MATCH($A160,SPPR!$A:$A,0),5),""),"")</f>
        <v/>
      </c>
      <c r="I160">
        <f>IFERROR(IF(ISNUMBER(INDEX(SPPR!$E:$X,MATCH($A160,SPPR!$A:$A,0),6)),$C160*INDEX(SPPR!$E:$X,MATCH($A160,SPPR!$A:$A,0),6),""),"")</f>
        <v/>
      </c>
      <c r="J160">
        <f>IFERROR(IF(ISNUMBER(INDEX(SPPR!$E:$X,MATCH($A160,SPPR!$A:$A,0),7)),$C160*INDEX(SPPR!$E:$X,MATCH($A160,SPPR!$A:$A,0),7),""),"")</f>
        <v/>
      </c>
      <c r="K160">
        <f>IFERROR(IF(ISNUMBER(INDEX(SPPR!$E:$X,MATCH($A160,SPPR!$A:$A,0),8)),$C160*INDEX(SPPR!$E:$X,MATCH($A160,SPPR!$A:$A,0),8),""),"")</f>
        <v/>
      </c>
      <c r="L160">
        <f>IFERROR(IF(ISNUMBER(INDEX(SPPR!$E:$X,MATCH($A160,SPPR!$A:$A,0),9)),$C160*INDEX(SPPR!$E:$X,MATCH($A160,SPPR!$A:$A,0),9),""),"")</f>
        <v/>
      </c>
      <c r="M160">
        <f>IFERROR(IF(ISNUMBER(INDEX(SPPR!$E:$X,MATCH($A160,SPPR!$A:$A,0),10)),$C160*INDEX(SPPR!$E:$X,MATCH($A160,SPPR!$A:$A,0),10),""),"")</f>
        <v/>
      </c>
      <c r="N160">
        <f>IFERROR(IF(ISNUMBER(INDEX(SPPR!$E:$X,MATCH($A160,SPPR!$A:$A,0),11)),$C160*INDEX(SPPR!$E:$X,MATCH($A160,SPPR!$A:$A,0),11),""),"")</f>
        <v/>
      </c>
      <c r="O160">
        <f>IFERROR(IF(ISNUMBER(INDEX(SPPR!$E:$X,MATCH($A160,SPPR!$A:$A,0),12)),$C160*INDEX(SPPR!$E:$X,MATCH($A160,SPPR!$A:$A,0),12),""),"")</f>
        <v/>
      </c>
      <c r="P160">
        <f>IFERROR(IF(ISNUMBER(INDEX(SPPR!$E:$X,MATCH($A160,SPPR!$A:$A,0),13)),$C160*INDEX(SPPR!$E:$X,MATCH($A160,SPPR!$A:$A,0),13),""),"")</f>
        <v/>
      </c>
      <c r="Q160">
        <f>IFERROR(IF(ISNUMBER(INDEX(SPPR!$E:$X,MATCH($A160,SPPR!$A:$A,0),14)),$C160*INDEX(SPPR!$E:$X,MATCH($A160,SPPR!$A:$A,0),14),""),"")</f>
        <v/>
      </c>
      <c r="R160">
        <f>IFERROR(IF(ISNUMBER(INDEX(SPPR!$E:$X,MATCH($A160,SPPR!$A:$A,0),15)),$C160*INDEX(SPPR!$E:$X,MATCH($A160,SPPR!$A:$A,0),15),""),"")</f>
        <v/>
      </c>
      <c r="S160">
        <f>IFERROR(IF(ISNUMBER(INDEX(SPPR!$E:$X,MATCH($A160,SPPR!$A:$A,0),16)),$C160*INDEX(SPPR!$E:$X,MATCH($A160,SPPR!$A:$A,0),16),""),"")</f>
        <v/>
      </c>
      <c r="T160">
        <f>IFERROR(IF(ISNUMBER(INDEX(SPPR!$E:$X,MATCH($A160,SPPR!$A:$A,0),17)),$C160*INDEX(SPPR!$E:$X,MATCH($A160,SPPR!$A:$A,0),17),""),"")</f>
        <v/>
      </c>
      <c r="U160">
        <f>IFERROR(IF(ISNUMBER(INDEX(SPPR!$E:$X,MATCH($A160,SPPR!$A:$A,0),18)),$C160*INDEX(SPPR!$E:$X,MATCH($A160,SPPR!$A:$A,0),18),""),"")</f>
        <v/>
      </c>
      <c r="V160">
        <f>IFERROR(IF(ISNUMBER(INDEX(SPPR!$E:$X,MATCH($A160,SPPR!$A:$A,0),19)),$C160*INDEX(SPPR!$E:$X,MATCH($A160,SPPR!$A:$A,0),19),""),"")</f>
        <v/>
      </c>
      <c r="W160">
        <f>IFERROR(IF(ISNUMBER(INDEX(SPPR!$E:$X,MATCH($A160,SPPR!$A:$A,0),20)),$C160*INDEX(SPPR!$E:$X,MATCH($A160,SPPR!$A:$A,0),20),""),"")</f>
        <v/>
      </c>
    </row>
    <row r="161">
      <c r="A161" t="inlineStr">
        <is>
          <t>Kajikia audax</t>
        </is>
      </c>
      <c r="B161">
        <f>IFERROR(INDEX(SPPR!$D:$D,MATCH($A161,SPPR!$A:$A,0)),"")</f>
        <v/>
      </c>
      <c r="C161">
        <f>IFERROR(INDEX(Catch!$E:$BV,MATCH($A161,Catch!$A:$A,0),MATCH($B$4,Catch!$E$1:$BV$1,0)),0)</f>
        <v/>
      </c>
      <c r="D161">
        <f>IFERROR(IF(ISNUMBER(INDEX(SPPR!$E:$X,MATCH($A161,SPPR!$A:$A,0),1)),$C161*INDEX(SPPR!$E:$X,MATCH($A161,SPPR!$A:$A,0),1),""),"")</f>
        <v/>
      </c>
      <c r="E161">
        <f>IFERROR(IF(ISNUMBER(INDEX(SPPR!$E:$X,MATCH($A161,SPPR!$A:$A,0),2)),$C161*INDEX(SPPR!$E:$X,MATCH($A161,SPPR!$A:$A,0),2),""),"")</f>
        <v/>
      </c>
      <c r="F161">
        <f>IFERROR(IF(ISNUMBER(INDEX(SPPR!$E:$X,MATCH($A161,SPPR!$A:$A,0),3)),$C161*INDEX(SPPR!$E:$X,MATCH($A161,SPPR!$A:$A,0),3),""),"")</f>
        <v/>
      </c>
      <c r="G161">
        <f>IFERROR(IF(ISNUMBER(INDEX(SPPR!$E:$X,MATCH($A161,SPPR!$A:$A,0),4)),$C161*INDEX(SPPR!$E:$X,MATCH($A161,SPPR!$A:$A,0),4),""),"")</f>
        <v/>
      </c>
      <c r="H161">
        <f>IFERROR(IF(ISNUMBER(INDEX(SPPR!$E:$X,MATCH($A161,SPPR!$A:$A,0),5)),$C161*INDEX(SPPR!$E:$X,MATCH($A161,SPPR!$A:$A,0),5),""),"")</f>
        <v/>
      </c>
      <c r="I161">
        <f>IFERROR(IF(ISNUMBER(INDEX(SPPR!$E:$X,MATCH($A161,SPPR!$A:$A,0),6)),$C161*INDEX(SPPR!$E:$X,MATCH($A161,SPPR!$A:$A,0),6),""),"")</f>
        <v/>
      </c>
      <c r="J161">
        <f>IFERROR(IF(ISNUMBER(INDEX(SPPR!$E:$X,MATCH($A161,SPPR!$A:$A,0),7)),$C161*INDEX(SPPR!$E:$X,MATCH($A161,SPPR!$A:$A,0),7),""),"")</f>
        <v/>
      </c>
      <c r="K161">
        <f>IFERROR(IF(ISNUMBER(INDEX(SPPR!$E:$X,MATCH($A161,SPPR!$A:$A,0),8)),$C161*INDEX(SPPR!$E:$X,MATCH($A161,SPPR!$A:$A,0),8),""),"")</f>
        <v/>
      </c>
      <c r="L161">
        <f>IFERROR(IF(ISNUMBER(INDEX(SPPR!$E:$X,MATCH($A161,SPPR!$A:$A,0),9)),$C161*INDEX(SPPR!$E:$X,MATCH($A161,SPPR!$A:$A,0),9),""),"")</f>
        <v/>
      </c>
      <c r="M161">
        <f>IFERROR(IF(ISNUMBER(INDEX(SPPR!$E:$X,MATCH($A161,SPPR!$A:$A,0),10)),$C161*INDEX(SPPR!$E:$X,MATCH($A161,SPPR!$A:$A,0),10),""),"")</f>
        <v/>
      </c>
      <c r="N161">
        <f>IFERROR(IF(ISNUMBER(INDEX(SPPR!$E:$X,MATCH($A161,SPPR!$A:$A,0),11)),$C161*INDEX(SPPR!$E:$X,MATCH($A161,SPPR!$A:$A,0),11),""),"")</f>
        <v/>
      </c>
      <c r="O161">
        <f>IFERROR(IF(ISNUMBER(INDEX(SPPR!$E:$X,MATCH($A161,SPPR!$A:$A,0),12)),$C161*INDEX(SPPR!$E:$X,MATCH($A161,SPPR!$A:$A,0),12),""),"")</f>
        <v/>
      </c>
      <c r="P161">
        <f>IFERROR(IF(ISNUMBER(INDEX(SPPR!$E:$X,MATCH($A161,SPPR!$A:$A,0),13)),$C161*INDEX(SPPR!$E:$X,MATCH($A161,SPPR!$A:$A,0),13),""),"")</f>
        <v/>
      </c>
      <c r="Q161">
        <f>IFERROR(IF(ISNUMBER(INDEX(SPPR!$E:$X,MATCH($A161,SPPR!$A:$A,0),14)),$C161*INDEX(SPPR!$E:$X,MATCH($A161,SPPR!$A:$A,0),14),""),"")</f>
        <v/>
      </c>
      <c r="R161">
        <f>IFERROR(IF(ISNUMBER(INDEX(SPPR!$E:$X,MATCH($A161,SPPR!$A:$A,0),15)),$C161*INDEX(SPPR!$E:$X,MATCH($A161,SPPR!$A:$A,0),15),""),"")</f>
        <v/>
      </c>
      <c r="S161">
        <f>IFERROR(IF(ISNUMBER(INDEX(SPPR!$E:$X,MATCH($A161,SPPR!$A:$A,0),16)),$C161*INDEX(SPPR!$E:$X,MATCH($A161,SPPR!$A:$A,0),16),""),"")</f>
        <v/>
      </c>
      <c r="T161">
        <f>IFERROR(IF(ISNUMBER(INDEX(SPPR!$E:$X,MATCH($A161,SPPR!$A:$A,0),17)),$C161*INDEX(SPPR!$E:$X,MATCH($A161,SPPR!$A:$A,0),17),""),"")</f>
        <v/>
      </c>
      <c r="U161">
        <f>IFERROR(IF(ISNUMBER(INDEX(SPPR!$E:$X,MATCH($A161,SPPR!$A:$A,0),18)),$C161*INDEX(SPPR!$E:$X,MATCH($A161,SPPR!$A:$A,0),18),""),"")</f>
        <v/>
      </c>
      <c r="V161">
        <f>IFERROR(IF(ISNUMBER(INDEX(SPPR!$E:$X,MATCH($A161,SPPR!$A:$A,0),19)),$C161*INDEX(SPPR!$E:$X,MATCH($A161,SPPR!$A:$A,0),19),""),"")</f>
        <v/>
      </c>
      <c r="W161">
        <f>IFERROR(IF(ISNUMBER(INDEX(SPPR!$E:$X,MATCH($A161,SPPR!$A:$A,0),20)),$C161*INDEX(SPPR!$E:$X,MATCH($A161,SPPR!$A:$A,0),20),""),"")</f>
        <v/>
      </c>
    </row>
    <row r="162">
      <c r="A162" t="inlineStr">
        <is>
          <t>Clupea pallasii</t>
        </is>
      </c>
      <c r="B162">
        <f>IFERROR(INDEX(SPPR!$D:$D,MATCH($A162,SPPR!$A:$A,0)),"")</f>
        <v/>
      </c>
      <c r="C162">
        <f>IFERROR(INDEX(Catch!$E:$BV,MATCH($A162,Catch!$A:$A,0),MATCH($B$4,Catch!$E$1:$BV$1,0)),0)</f>
        <v/>
      </c>
      <c r="D162">
        <f>IFERROR(IF(ISNUMBER(INDEX(SPPR!$E:$X,MATCH($A162,SPPR!$A:$A,0),1)),$C162*INDEX(SPPR!$E:$X,MATCH($A162,SPPR!$A:$A,0),1),""),"")</f>
        <v/>
      </c>
      <c r="E162">
        <f>IFERROR(IF(ISNUMBER(INDEX(SPPR!$E:$X,MATCH($A162,SPPR!$A:$A,0),2)),$C162*INDEX(SPPR!$E:$X,MATCH($A162,SPPR!$A:$A,0),2),""),"")</f>
        <v/>
      </c>
      <c r="F162">
        <f>IFERROR(IF(ISNUMBER(INDEX(SPPR!$E:$X,MATCH($A162,SPPR!$A:$A,0),3)),$C162*INDEX(SPPR!$E:$X,MATCH($A162,SPPR!$A:$A,0),3),""),"")</f>
        <v/>
      </c>
      <c r="G162">
        <f>IFERROR(IF(ISNUMBER(INDEX(SPPR!$E:$X,MATCH($A162,SPPR!$A:$A,0),4)),$C162*INDEX(SPPR!$E:$X,MATCH($A162,SPPR!$A:$A,0),4),""),"")</f>
        <v/>
      </c>
      <c r="H162">
        <f>IFERROR(IF(ISNUMBER(INDEX(SPPR!$E:$X,MATCH($A162,SPPR!$A:$A,0),5)),$C162*INDEX(SPPR!$E:$X,MATCH($A162,SPPR!$A:$A,0),5),""),"")</f>
        <v/>
      </c>
      <c r="I162">
        <f>IFERROR(IF(ISNUMBER(INDEX(SPPR!$E:$X,MATCH($A162,SPPR!$A:$A,0),6)),$C162*INDEX(SPPR!$E:$X,MATCH($A162,SPPR!$A:$A,0),6),""),"")</f>
        <v/>
      </c>
      <c r="J162">
        <f>IFERROR(IF(ISNUMBER(INDEX(SPPR!$E:$X,MATCH($A162,SPPR!$A:$A,0),7)),$C162*INDEX(SPPR!$E:$X,MATCH($A162,SPPR!$A:$A,0),7),""),"")</f>
        <v/>
      </c>
      <c r="K162">
        <f>IFERROR(IF(ISNUMBER(INDEX(SPPR!$E:$X,MATCH($A162,SPPR!$A:$A,0),8)),$C162*INDEX(SPPR!$E:$X,MATCH($A162,SPPR!$A:$A,0),8),""),"")</f>
        <v/>
      </c>
      <c r="L162">
        <f>IFERROR(IF(ISNUMBER(INDEX(SPPR!$E:$X,MATCH($A162,SPPR!$A:$A,0),9)),$C162*INDEX(SPPR!$E:$X,MATCH($A162,SPPR!$A:$A,0),9),""),"")</f>
        <v/>
      </c>
      <c r="M162">
        <f>IFERROR(IF(ISNUMBER(INDEX(SPPR!$E:$X,MATCH($A162,SPPR!$A:$A,0),10)),$C162*INDEX(SPPR!$E:$X,MATCH($A162,SPPR!$A:$A,0),10),""),"")</f>
        <v/>
      </c>
      <c r="N162">
        <f>IFERROR(IF(ISNUMBER(INDEX(SPPR!$E:$X,MATCH($A162,SPPR!$A:$A,0),11)),$C162*INDEX(SPPR!$E:$X,MATCH($A162,SPPR!$A:$A,0),11),""),"")</f>
        <v/>
      </c>
      <c r="O162">
        <f>IFERROR(IF(ISNUMBER(INDEX(SPPR!$E:$X,MATCH($A162,SPPR!$A:$A,0),12)),$C162*INDEX(SPPR!$E:$X,MATCH($A162,SPPR!$A:$A,0),12),""),"")</f>
        <v/>
      </c>
      <c r="P162">
        <f>IFERROR(IF(ISNUMBER(INDEX(SPPR!$E:$X,MATCH($A162,SPPR!$A:$A,0),13)),$C162*INDEX(SPPR!$E:$X,MATCH($A162,SPPR!$A:$A,0),13),""),"")</f>
        <v/>
      </c>
      <c r="Q162">
        <f>IFERROR(IF(ISNUMBER(INDEX(SPPR!$E:$X,MATCH($A162,SPPR!$A:$A,0),14)),$C162*INDEX(SPPR!$E:$X,MATCH($A162,SPPR!$A:$A,0),14),""),"")</f>
        <v/>
      </c>
      <c r="R162">
        <f>IFERROR(IF(ISNUMBER(INDEX(SPPR!$E:$X,MATCH($A162,SPPR!$A:$A,0),15)),$C162*INDEX(SPPR!$E:$X,MATCH($A162,SPPR!$A:$A,0),15),""),"")</f>
        <v/>
      </c>
      <c r="S162">
        <f>IFERROR(IF(ISNUMBER(INDEX(SPPR!$E:$X,MATCH($A162,SPPR!$A:$A,0),16)),$C162*INDEX(SPPR!$E:$X,MATCH($A162,SPPR!$A:$A,0),16),""),"")</f>
        <v/>
      </c>
      <c r="T162">
        <f>IFERROR(IF(ISNUMBER(INDEX(SPPR!$E:$X,MATCH($A162,SPPR!$A:$A,0),17)),$C162*INDEX(SPPR!$E:$X,MATCH($A162,SPPR!$A:$A,0),17),""),"")</f>
        <v/>
      </c>
      <c r="U162">
        <f>IFERROR(IF(ISNUMBER(INDEX(SPPR!$E:$X,MATCH($A162,SPPR!$A:$A,0),18)),$C162*INDEX(SPPR!$E:$X,MATCH($A162,SPPR!$A:$A,0),18),""),"")</f>
        <v/>
      </c>
      <c r="V162">
        <f>IFERROR(IF(ISNUMBER(INDEX(SPPR!$E:$X,MATCH($A162,SPPR!$A:$A,0),19)),$C162*INDEX(SPPR!$E:$X,MATCH($A162,SPPR!$A:$A,0),19),""),"")</f>
        <v/>
      </c>
      <c r="W162">
        <f>IFERROR(IF(ISNUMBER(INDEX(SPPR!$E:$X,MATCH($A162,SPPR!$A:$A,0),20)),$C162*INDEX(SPPR!$E:$X,MATCH($A162,SPPR!$A:$A,0),20),""),"")</f>
        <v/>
      </c>
    </row>
    <row r="163">
      <c r="A163" t="inlineStr">
        <is>
          <t>Sepia</t>
        </is>
      </c>
      <c r="B163">
        <f>IFERROR(INDEX(SPPR!$D:$D,MATCH($A163,SPPR!$A:$A,0)),"")</f>
        <v/>
      </c>
      <c r="C163">
        <f>IFERROR(INDEX(Catch!$E:$BV,MATCH($A163,Catch!$A:$A,0),MATCH($B$4,Catch!$E$1:$BV$1,0)),0)</f>
        <v/>
      </c>
      <c r="D163">
        <f>IFERROR(IF(ISNUMBER(INDEX(SPPR!$E:$X,MATCH($A163,SPPR!$A:$A,0),1)),$C163*INDEX(SPPR!$E:$X,MATCH($A163,SPPR!$A:$A,0),1),""),"")</f>
        <v/>
      </c>
      <c r="E163">
        <f>IFERROR(IF(ISNUMBER(INDEX(SPPR!$E:$X,MATCH($A163,SPPR!$A:$A,0),2)),$C163*INDEX(SPPR!$E:$X,MATCH($A163,SPPR!$A:$A,0),2),""),"")</f>
        <v/>
      </c>
      <c r="F163">
        <f>IFERROR(IF(ISNUMBER(INDEX(SPPR!$E:$X,MATCH($A163,SPPR!$A:$A,0),3)),$C163*INDEX(SPPR!$E:$X,MATCH($A163,SPPR!$A:$A,0),3),""),"")</f>
        <v/>
      </c>
      <c r="G163">
        <f>IFERROR(IF(ISNUMBER(INDEX(SPPR!$E:$X,MATCH($A163,SPPR!$A:$A,0),4)),$C163*INDEX(SPPR!$E:$X,MATCH($A163,SPPR!$A:$A,0),4),""),"")</f>
        <v/>
      </c>
      <c r="H163">
        <f>IFERROR(IF(ISNUMBER(INDEX(SPPR!$E:$X,MATCH($A163,SPPR!$A:$A,0),5)),$C163*INDEX(SPPR!$E:$X,MATCH($A163,SPPR!$A:$A,0),5),""),"")</f>
        <v/>
      </c>
      <c r="I163">
        <f>IFERROR(IF(ISNUMBER(INDEX(SPPR!$E:$X,MATCH($A163,SPPR!$A:$A,0),6)),$C163*INDEX(SPPR!$E:$X,MATCH($A163,SPPR!$A:$A,0),6),""),"")</f>
        <v/>
      </c>
      <c r="J163">
        <f>IFERROR(IF(ISNUMBER(INDEX(SPPR!$E:$X,MATCH($A163,SPPR!$A:$A,0),7)),$C163*INDEX(SPPR!$E:$X,MATCH($A163,SPPR!$A:$A,0),7),""),"")</f>
        <v/>
      </c>
      <c r="K163">
        <f>IFERROR(IF(ISNUMBER(INDEX(SPPR!$E:$X,MATCH($A163,SPPR!$A:$A,0),8)),$C163*INDEX(SPPR!$E:$X,MATCH($A163,SPPR!$A:$A,0),8),""),"")</f>
        <v/>
      </c>
      <c r="L163">
        <f>IFERROR(IF(ISNUMBER(INDEX(SPPR!$E:$X,MATCH($A163,SPPR!$A:$A,0),9)),$C163*INDEX(SPPR!$E:$X,MATCH($A163,SPPR!$A:$A,0),9),""),"")</f>
        <v/>
      </c>
      <c r="M163">
        <f>IFERROR(IF(ISNUMBER(INDEX(SPPR!$E:$X,MATCH($A163,SPPR!$A:$A,0),10)),$C163*INDEX(SPPR!$E:$X,MATCH($A163,SPPR!$A:$A,0),10),""),"")</f>
        <v/>
      </c>
      <c r="N163">
        <f>IFERROR(IF(ISNUMBER(INDEX(SPPR!$E:$X,MATCH($A163,SPPR!$A:$A,0),11)),$C163*INDEX(SPPR!$E:$X,MATCH($A163,SPPR!$A:$A,0),11),""),"")</f>
        <v/>
      </c>
      <c r="O163">
        <f>IFERROR(IF(ISNUMBER(INDEX(SPPR!$E:$X,MATCH($A163,SPPR!$A:$A,0),12)),$C163*INDEX(SPPR!$E:$X,MATCH($A163,SPPR!$A:$A,0),12),""),"")</f>
        <v/>
      </c>
      <c r="P163">
        <f>IFERROR(IF(ISNUMBER(INDEX(SPPR!$E:$X,MATCH($A163,SPPR!$A:$A,0),13)),$C163*INDEX(SPPR!$E:$X,MATCH($A163,SPPR!$A:$A,0),13),""),"")</f>
        <v/>
      </c>
      <c r="Q163">
        <f>IFERROR(IF(ISNUMBER(INDEX(SPPR!$E:$X,MATCH($A163,SPPR!$A:$A,0),14)),$C163*INDEX(SPPR!$E:$X,MATCH($A163,SPPR!$A:$A,0),14),""),"")</f>
        <v/>
      </c>
      <c r="R163">
        <f>IFERROR(IF(ISNUMBER(INDEX(SPPR!$E:$X,MATCH($A163,SPPR!$A:$A,0),15)),$C163*INDEX(SPPR!$E:$X,MATCH($A163,SPPR!$A:$A,0),15),""),"")</f>
        <v/>
      </c>
      <c r="S163">
        <f>IFERROR(IF(ISNUMBER(INDEX(SPPR!$E:$X,MATCH($A163,SPPR!$A:$A,0),16)),$C163*INDEX(SPPR!$E:$X,MATCH($A163,SPPR!$A:$A,0),16),""),"")</f>
        <v/>
      </c>
      <c r="T163">
        <f>IFERROR(IF(ISNUMBER(INDEX(SPPR!$E:$X,MATCH($A163,SPPR!$A:$A,0),17)),$C163*INDEX(SPPR!$E:$X,MATCH($A163,SPPR!$A:$A,0),17),""),"")</f>
        <v/>
      </c>
      <c r="U163">
        <f>IFERROR(IF(ISNUMBER(INDEX(SPPR!$E:$X,MATCH($A163,SPPR!$A:$A,0),18)),$C163*INDEX(SPPR!$E:$X,MATCH($A163,SPPR!$A:$A,0),18),""),"")</f>
        <v/>
      </c>
      <c r="V163">
        <f>IFERROR(IF(ISNUMBER(INDEX(SPPR!$E:$X,MATCH($A163,SPPR!$A:$A,0),19)),$C163*INDEX(SPPR!$E:$X,MATCH($A163,SPPR!$A:$A,0),19),""),"")</f>
        <v/>
      </c>
      <c r="W163">
        <f>IFERROR(IF(ISNUMBER(INDEX(SPPR!$E:$X,MATCH($A163,SPPR!$A:$A,0),20)),$C163*INDEX(SPPR!$E:$X,MATCH($A163,SPPR!$A:$A,0),20),""),"")</f>
        <v/>
      </c>
    </row>
    <row r="164">
      <c r="A164" t="inlineStr">
        <is>
          <t>Haliotidae</t>
        </is>
      </c>
      <c r="B164">
        <f>IFERROR(INDEX(SPPR!$D:$D,MATCH($A164,SPPR!$A:$A,0)),"")</f>
        <v/>
      </c>
      <c r="C164">
        <f>IFERROR(INDEX(Catch!$E:$BV,MATCH($A164,Catch!$A:$A,0),MATCH($B$4,Catch!$E$1:$BV$1,0)),0)</f>
        <v/>
      </c>
      <c r="D164">
        <f>IFERROR(IF(ISNUMBER(INDEX(SPPR!$E:$X,MATCH($A164,SPPR!$A:$A,0),1)),$C164*INDEX(SPPR!$E:$X,MATCH($A164,SPPR!$A:$A,0),1),""),"")</f>
        <v/>
      </c>
      <c r="E164">
        <f>IFERROR(IF(ISNUMBER(INDEX(SPPR!$E:$X,MATCH($A164,SPPR!$A:$A,0),2)),$C164*INDEX(SPPR!$E:$X,MATCH($A164,SPPR!$A:$A,0),2),""),"")</f>
        <v/>
      </c>
      <c r="F164">
        <f>IFERROR(IF(ISNUMBER(INDEX(SPPR!$E:$X,MATCH($A164,SPPR!$A:$A,0),3)),$C164*INDEX(SPPR!$E:$X,MATCH($A164,SPPR!$A:$A,0),3),""),"")</f>
        <v/>
      </c>
      <c r="G164">
        <f>IFERROR(IF(ISNUMBER(INDEX(SPPR!$E:$X,MATCH($A164,SPPR!$A:$A,0),4)),$C164*INDEX(SPPR!$E:$X,MATCH($A164,SPPR!$A:$A,0),4),""),"")</f>
        <v/>
      </c>
      <c r="H164">
        <f>IFERROR(IF(ISNUMBER(INDEX(SPPR!$E:$X,MATCH($A164,SPPR!$A:$A,0),5)),$C164*INDEX(SPPR!$E:$X,MATCH($A164,SPPR!$A:$A,0),5),""),"")</f>
        <v/>
      </c>
      <c r="I164">
        <f>IFERROR(IF(ISNUMBER(INDEX(SPPR!$E:$X,MATCH($A164,SPPR!$A:$A,0),6)),$C164*INDEX(SPPR!$E:$X,MATCH($A164,SPPR!$A:$A,0),6),""),"")</f>
        <v/>
      </c>
      <c r="J164">
        <f>IFERROR(IF(ISNUMBER(INDEX(SPPR!$E:$X,MATCH($A164,SPPR!$A:$A,0),7)),$C164*INDEX(SPPR!$E:$X,MATCH($A164,SPPR!$A:$A,0),7),""),"")</f>
        <v/>
      </c>
      <c r="K164">
        <f>IFERROR(IF(ISNUMBER(INDEX(SPPR!$E:$X,MATCH($A164,SPPR!$A:$A,0),8)),$C164*INDEX(SPPR!$E:$X,MATCH($A164,SPPR!$A:$A,0),8),""),"")</f>
        <v/>
      </c>
      <c r="L164">
        <f>IFERROR(IF(ISNUMBER(INDEX(SPPR!$E:$X,MATCH($A164,SPPR!$A:$A,0),9)),$C164*INDEX(SPPR!$E:$X,MATCH($A164,SPPR!$A:$A,0),9),""),"")</f>
        <v/>
      </c>
      <c r="M164">
        <f>IFERROR(IF(ISNUMBER(INDEX(SPPR!$E:$X,MATCH($A164,SPPR!$A:$A,0),10)),$C164*INDEX(SPPR!$E:$X,MATCH($A164,SPPR!$A:$A,0),10),""),"")</f>
        <v/>
      </c>
      <c r="N164">
        <f>IFERROR(IF(ISNUMBER(INDEX(SPPR!$E:$X,MATCH($A164,SPPR!$A:$A,0),11)),$C164*INDEX(SPPR!$E:$X,MATCH($A164,SPPR!$A:$A,0),11),""),"")</f>
        <v/>
      </c>
      <c r="O164">
        <f>IFERROR(IF(ISNUMBER(INDEX(SPPR!$E:$X,MATCH($A164,SPPR!$A:$A,0),12)),$C164*INDEX(SPPR!$E:$X,MATCH($A164,SPPR!$A:$A,0),12),""),"")</f>
        <v/>
      </c>
      <c r="P164">
        <f>IFERROR(IF(ISNUMBER(INDEX(SPPR!$E:$X,MATCH($A164,SPPR!$A:$A,0),13)),$C164*INDEX(SPPR!$E:$X,MATCH($A164,SPPR!$A:$A,0),13),""),"")</f>
        <v/>
      </c>
      <c r="Q164">
        <f>IFERROR(IF(ISNUMBER(INDEX(SPPR!$E:$X,MATCH($A164,SPPR!$A:$A,0),14)),$C164*INDEX(SPPR!$E:$X,MATCH($A164,SPPR!$A:$A,0),14),""),"")</f>
        <v/>
      </c>
      <c r="R164">
        <f>IFERROR(IF(ISNUMBER(INDEX(SPPR!$E:$X,MATCH($A164,SPPR!$A:$A,0),15)),$C164*INDEX(SPPR!$E:$X,MATCH($A164,SPPR!$A:$A,0),15),""),"")</f>
        <v/>
      </c>
      <c r="S164">
        <f>IFERROR(IF(ISNUMBER(INDEX(SPPR!$E:$X,MATCH($A164,SPPR!$A:$A,0),16)),$C164*INDEX(SPPR!$E:$X,MATCH($A164,SPPR!$A:$A,0),16),""),"")</f>
        <v/>
      </c>
      <c r="T164">
        <f>IFERROR(IF(ISNUMBER(INDEX(SPPR!$E:$X,MATCH($A164,SPPR!$A:$A,0),17)),$C164*INDEX(SPPR!$E:$X,MATCH($A164,SPPR!$A:$A,0),17),""),"")</f>
        <v/>
      </c>
      <c r="U164">
        <f>IFERROR(IF(ISNUMBER(INDEX(SPPR!$E:$X,MATCH($A164,SPPR!$A:$A,0),18)),$C164*INDEX(SPPR!$E:$X,MATCH($A164,SPPR!$A:$A,0),18),""),"")</f>
        <v/>
      </c>
      <c r="V164">
        <f>IFERROR(IF(ISNUMBER(INDEX(SPPR!$E:$X,MATCH($A164,SPPR!$A:$A,0),19)),$C164*INDEX(SPPR!$E:$X,MATCH($A164,SPPR!$A:$A,0),19),""),"")</f>
        <v/>
      </c>
      <c r="W164">
        <f>IFERROR(IF(ISNUMBER(INDEX(SPPR!$E:$X,MATCH($A164,SPPR!$A:$A,0),20)),$C164*INDEX(SPPR!$E:$X,MATCH($A164,SPPR!$A:$A,0),20),""),"")</f>
        <v/>
      </c>
    </row>
    <row r="165">
      <c r="A165" t="inlineStr">
        <is>
          <t>Metapenaeus</t>
        </is>
      </c>
      <c r="B165">
        <f>IFERROR(INDEX(SPPR!$D:$D,MATCH($A165,SPPR!$A:$A,0)),"")</f>
        <v/>
      </c>
      <c r="C165">
        <f>IFERROR(INDEX(Catch!$E:$BV,MATCH($A165,Catch!$A:$A,0),MATCH($B$4,Catch!$E$1:$BV$1,0)),0)</f>
        <v/>
      </c>
      <c r="D165">
        <f>IFERROR(IF(ISNUMBER(INDEX(SPPR!$E:$X,MATCH($A165,SPPR!$A:$A,0),1)),$C165*INDEX(SPPR!$E:$X,MATCH($A165,SPPR!$A:$A,0),1),""),"")</f>
        <v/>
      </c>
      <c r="E165">
        <f>IFERROR(IF(ISNUMBER(INDEX(SPPR!$E:$X,MATCH($A165,SPPR!$A:$A,0),2)),$C165*INDEX(SPPR!$E:$X,MATCH($A165,SPPR!$A:$A,0),2),""),"")</f>
        <v/>
      </c>
      <c r="F165">
        <f>IFERROR(IF(ISNUMBER(INDEX(SPPR!$E:$X,MATCH($A165,SPPR!$A:$A,0),3)),$C165*INDEX(SPPR!$E:$X,MATCH($A165,SPPR!$A:$A,0),3),""),"")</f>
        <v/>
      </c>
      <c r="G165">
        <f>IFERROR(IF(ISNUMBER(INDEX(SPPR!$E:$X,MATCH($A165,SPPR!$A:$A,0),4)),$C165*INDEX(SPPR!$E:$X,MATCH($A165,SPPR!$A:$A,0),4),""),"")</f>
        <v/>
      </c>
      <c r="H165">
        <f>IFERROR(IF(ISNUMBER(INDEX(SPPR!$E:$X,MATCH($A165,SPPR!$A:$A,0),5)),$C165*INDEX(SPPR!$E:$X,MATCH($A165,SPPR!$A:$A,0),5),""),"")</f>
        <v/>
      </c>
      <c r="I165">
        <f>IFERROR(IF(ISNUMBER(INDEX(SPPR!$E:$X,MATCH($A165,SPPR!$A:$A,0),6)),$C165*INDEX(SPPR!$E:$X,MATCH($A165,SPPR!$A:$A,0),6),""),"")</f>
        <v/>
      </c>
      <c r="J165">
        <f>IFERROR(IF(ISNUMBER(INDEX(SPPR!$E:$X,MATCH($A165,SPPR!$A:$A,0),7)),$C165*INDEX(SPPR!$E:$X,MATCH($A165,SPPR!$A:$A,0),7),""),"")</f>
        <v/>
      </c>
      <c r="K165">
        <f>IFERROR(IF(ISNUMBER(INDEX(SPPR!$E:$X,MATCH($A165,SPPR!$A:$A,0),8)),$C165*INDEX(SPPR!$E:$X,MATCH($A165,SPPR!$A:$A,0),8),""),"")</f>
        <v/>
      </c>
      <c r="L165">
        <f>IFERROR(IF(ISNUMBER(INDEX(SPPR!$E:$X,MATCH($A165,SPPR!$A:$A,0),9)),$C165*INDEX(SPPR!$E:$X,MATCH($A165,SPPR!$A:$A,0),9),""),"")</f>
        <v/>
      </c>
      <c r="M165">
        <f>IFERROR(IF(ISNUMBER(INDEX(SPPR!$E:$X,MATCH($A165,SPPR!$A:$A,0),10)),$C165*INDEX(SPPR!$E:$X,MATCH($A165,SPPR!$A:$A,0),10),""),"")</f>
        <v/>
      </c>
      <c r="N165">
        <f>IFERROR(IF(ISNUMBER(INDEX(SPPR!$E:$X,MATCH($A165,SPPR!$A:$A,0),11)),$C165*INDEX(SPPR!$E:$X,MATCH($A165,SPPR!$A:$A,0),11),""),"")</f>
        <v/>
      </c>
      <c r="O165">
        <f>IFERROR(IF(ISNUMBER(INDEX(SPPR!$E:$X,MATCH($A165,SPPR!$A:$A,0),12)),$C165*INDEX(SPPR!$E:$X,MATCH($A165,SPPR!$A:$A,0),12),""),"")</f>
        <v/>
      </c>
      <c r="P165">
        <f>IFERROR(IF(ISNUMBER(INDEX(SPPR!$E:$X,MATCH($A165,SPPR!$A:$A,0),13)),$C165*INDEX(SPPR!$E:$X,MATCH($A165,SPPR!$A:$A,0),13),""),"")</f>
        <v/>
      </c>
      <c r="Q165">
        <f>IFERROR(IF(ISNUMBER(INDEX(SPPR!$E:$X,MATCH($A165,SPPR!$A:$A,0),14)),$C165*INDEX(SPPR!$E:$X,MATCH($A165,SPPR!$A:$A,0),14),""),"")</f>
        <v/>
      </c>
      <c r="R165">
        <f>IFERROR(IF(ISNUMBER(INDEX(SPPR!$E:$X,MATCH($A165,SPPR!$A:$A,0),15)),$C165*INDEX(SPPR!$E:$X,MATCH($A165,SPPR!$A:$A,0),15),""),"")</f>
        <v/>
      </c>
      <c r="S165">
        <f>IFERROR(IF(ISNUMBER(INDEX(SPPR!$E:$X,MATCH($A165,SPPR!$A:$A,0),16)),$C165*INDEX(SPPR!$E:$X,MATCH($A165,SPPR!$A:$A,0),16),""),"")</f>
        <v/>
      </c>
      <c r="T165">
        <f>IFERROR(IF(ISNUMBER(INDEX(SPPR!$E:$X,MATCH($A165,SPPR!$A:$A,0),17)),$C165*INDEX(SPPR!$E:$X,MATCH($A165,SPPR!$A:$A,0),17),""),"")</f>
        <v/>
      </c>
      <c r="U165">
        <f>IFERROR(IF(ISNUMBER(INDEX(SPPR!$E:$X,MATCH($A165,SPPR!$A:$A,0),18)),$C165*INDEX(SPPR!$E:$X,MATCH($A165,SPPR!$A:$A,0),18),""),"")</f>
        <v/>
      </c>
      <c r="V165">
        <f>IFERROR(IF(ISNUMBER(INDEX(SPPR!$E:$X,MATCH($A165,SPPR!$A:$A,0),19)),$C165*INDEX(SPPR!$E:$X,MATCH($A165,SPPR!$A:$A,0),19),""),"")</f>
        <v/>
      </c>
      <c r="W165">
        <f>IFERROR(IF(ISNUMBER(INDEX(SPPR!$E:$X,MATCH($A165,SPPR!$A:$A,0),20)),$C165*INDEX(SPPR!$E:$X,MATCH($A165,SPPR!$A:$A,0),20),""),"")</f>
        <v/>
      </c>
    </row>
    <row r="166">
      <c r="A166" t="inlineStr">
        <is>
          <t>Serranidae</t>
        </is>
      </c>
      <c r="B166">
        <f>IFERROR(INDEX(SPPR!$D:$D,MATCH($A166,SPPR!$A:$A,0)),"")</f>
        <v/>
      </c>
      <c r="C166">
        <f>IFERROR(INDEX(Catch!$E:$BV,MATCH($A166,Catch!$A:$A,0),MATCH($B$4,Catch!$E$1:$BV$1,0)),0)</f>
        <v/>
      </c>
      <c r="D166">
        <f>IFERROR(IF(ISNUMBER(INDEX(SPPR!$E:$X,MATCH($A166,SPPR!$A:$A,0),1)),$C166*INDEX(SPPR!$E:$X,MATCH($A166,SPPR!$A:$A,0),1),""),"")</f>
        <v/>
      </c>
      <c r="E166">
        <f>IFERROR(IF(ISNUMBER(INDEX(SPPR!$E:$X,MATCH($A166,SPPR!$A:$A,0),2)),$C166*INDEX(SPPR!$E:$X,MATCH($A166,SPPR!$A:$A,0),2),""),"")</f>
        <v/>
      </c>
      <c r="F166">
        <f>IFERROR(IF(ISNUMBER(INDEX(SPPR!$E:$X,MATCH($A166,SPPR!$A:$A,0),3)),$C166*INDEX(SPPR!$E:$X,MATCH($A166,SPPR!$A:$A,0),3),""),"")</f>
        <v/>
      </c>
      <c r="G166">
        <f>IFERROR(IF(ISNUMBER(INDEX(SPPR!$E:$X,MATCH($A166,SPPR!$A:$A,0),4)),$C166*INDEX(SPPR!$E:$X,MATCH($A166,SPPR!$A:$A,0),4),""),"")</f>
        <v/>
      </c>
      <c r="H166">
        <f>IFERROR(IF(ISNUMBER(INDEX(SPPR!$E:$X,MATCH($A166,SPPR!$A:$A,0),5)),$C166*INDEX(SPPR!$E:$X,MATCH($A166,SPPR!$A:$A,0),5),""),"")</f>
        <v/>
      </c>
      <c r="I166">
        <f>IFERROR(IF(ISNUMBER(INDEX(SPPR!$E:$X,MATCH($A166,SPPR!$A:$A,0),6)),$C166*INDEX(SPPR!$E:$X,MATCH($A166,SPPR!$A:$A,0),6),""),"")</f>
        <v/>
      </c>
      <c r="J166">
        <f>IFERROR(IF(ISNUMBER(INDEX(SPPR!$E:$X,MATCH($A166,SPPR!$A:$A,0),7)),$C166*INDEX(SPPR!$E:$X,MATCH($A166,SPPR!$A:$A,0),7),""),"")</f>
        <v/>
      </c>
      <c r="K166">
        <f>IFERROR(IF(ISNUMBER(INDEX(SPPR!$E:$X,MATCH($A166,SPPR!$A:$A,0),8)),$C166*INDEX(SPPR!$E:$X,MATCH($A166,SPPR!$A:$A,0),8),""),"")</f>
        <v/>
      </c>
      <c r="L166">
        <f>IFERROR(IF(ISNUMBER(INDEX(SPPR!$E:$X,MATCH($A166,SPPR!$A:$A,0),9)),$C166*INDEX(SPPR!$E:$X,MATCH($A166,SPPR!$A:$A,0),9),""),"")</f>
        <v/>
      </c>
      <c r="M166">
        <f>IFERROR(IF(ISNUMBER(INDEX(SPPR!$E:$X,MATCH($A166,SPPR!$A:$A,0),10)),$C166*INDEX(SPPR!$E:$X,MATCH($A166,SPPR!$A:$A,0),10),""),"")</f>
        <v/>
      </c>
      <c r="N166">
        <f>IFERROR(IF(ISNUMBER(INDEX(SPPR!$E:$X,MATCH($A166,SPPR!$A:$A,0),11)),$C166*INDEX(SPPR!$E:$X,MATCH($A166,SPPR!$A:$A,0),11),""),"")</f>
        <v/>
      </c>
      <c r="O166">
        <f>IFERROR(IF(ISNUMBER(INDEX(SPPR!$E:$X,MATCH($A166,SPPR!$A:$A,0),12)),$C166*INDEX(SPPR!$E:$X,MATCH($A166,SPPR!$A:$A,0),12),""),"")</f>
        <v/>
      </c>
      <c r="P166">
        <f>IFERROR(IF(ISNUMBER(INDEX(SPPR!$E:$X,MATCH($A166,SPPR!$A:$A,0),13)),$C166*INDEX(SPPR!$E:$X,MATCH($A166,SPPR!$A:$A,0),13),""),"")</f>
        <v/>
      </c>
      <c r="Q166">
        <f>IFERROR(IF(ISNUMBER(INDEX(SPPR!$E:$X,MATCH($A166,SPPR!$A:$A,0),14)),$C166*INDEX(SPPR!$E:$X,MATCH($A166,SPPR!$A:$A,0),14),""),"")</f>
        <v/>
      </c>
      <c r="R166">
        <f>IFERROR(IF(ISNUMBER(INDEX(SPPR!$E:$X,MATCH($A166,SPPR!$A:$A,0),15)),$C166*INDEX(SPPR!$E:$X,MATCH($A166,SPPR!$A:$A,0),15),""),"")</f>
        <v/>
      </c>
      <c r="S166">
        <f>IFERROR(IF(ISNUMBER(INDEX(SPPR!$E:$X,MATCH($A166,SPPR!$A:$A,0),16)),$C166*INDEX(SPPR!$E:$X,MATCH($A166,SPPR!$A:$A,0),16),""),"")</f>
        <v/>
      </c>
      <c r="T166">
        <f>IFERROR(IF(ISNUMBER(INDEX(SPPR!$E:$X,MATCH($A166,SPPR!$A:$A,0),17)),$C166*INDEX(SPPR!$E:$X,MATCH($A166,SPPR!$A:$A,0),17),""),"")</f>
        <v/>
      </c>
      <c r="U166">
        <f>IFERROR(IF(ISNUMBER(INDEX(SPPR!$E:$X,MATCH($A166,SPPR!$A:$A,0),18)),$C166*INDEX(SPPR!$E:$X,MATCH($A166,SPPR!$A:$A,0),18),""),"")</f>
        <v/>
      </c>
      <c r="V166">
        <f>IFERROR(IF(ISNUMBER(INDEX(SPPR!$E:$X,MATCH($A166,SPPR!$A:$A,0),19)),$C166*INDEX(SPPR!$E:$X,MATCH($A166,SPPR!$A:$A,0),19),""),"")</f>
        <v/>
      </c>
      <c r="W166">
        <f>IFERROR(IF(ISNUMBER(INDEX(SPPR!$E:$X,MATCH($A166,SPPR!$A:$A,0),20)),$C166*INDEX(SPPR!$E:$X,MATCH($A166,SPPR!$A:$A,0),20),""),"")</f>
        <v/>
      </c>
    </row>
    <row r="167">
      <c r="A167" t="inlineStr">
        <is>
          <t>Pleuronectiformes</t>
        </is>
      </c>
      <c r="B167">
        <f>IFERROR(INDEX(SPPR!$D:$D,MATCH($A167,SPPR!$A:$A,0)),"")</f>
        <v/>
      </c>
      <c r="C167">
        <f>IFERROR(INDEX(Catch!$E:$BV,MATCH($A167,Catch!$A:$A,0),MATCH($B$4,Catch!$E$1:$BV$1,0)),0)</f>
        <v/>
      </c>
      <c r="D167">
        <f>IFERROR(IF(ISNUMBER(INDEX(SPPR!$E:$X,MATCH($A167,SPPR!$A:$A,0),1)),$C167*INDEX(SPPR!$E:$X,MATCH($A167,SPPR!$A:$A,0),1),""),"")</f>
        <v/>
      </c>
      <c r="E167">
        <f>IFERROR(IF(ISNUMBER(INDEX(SPPR!$E:$X,MATCH($A167,SPPR!$A:$A,0),2)),$C167*INDEX(SPPR!$E:$X,MATCH($A167,SPPR!$A:$A,0),2),""),"")</f>
        <v/>
      </c>
      <c r="F167">
        <f>IFERROR(IF(ISNUMBER(INDEX(SPPR!$E:$X,MATCH($A167,SPPR!$A:$A,0),3)),$C167*INDEX(SPPR!$E:$X,MATCH($A167,SPPR!$A:$A,0),3),""),"")</f>
        <v/>
      </c>
      <c r="G167">
        <f>IFERROR(IF(ISNUMBER(INDEX(SPPR!$E:$X,MATCH($A167,SPPR!$A:$A,0),4)),$C167*INDEX(SPPR!$E:$X,MATCH($A167,SPPR!$A:$A,0),4),""),"")</f>
        <v/>
      </c>
      <c r="H167">
        <f>IFERROR(IF(ISNUMBER(INDEX(SPPR!$E:$X,MATCH($A167,SPPR!$A:$A,0),5)),$C167*INDEX(SPPR!$E:$X,MATCH($A167,SPPR!$A:$A,0),5),""),"")</f>
        <v/>
      </c>
      <c r="I167">
        <f>IFERROR(IF(ISNUMBER(INDEX(SPPR!$E:$X,MATCH($A167,SPPR!$A:$A,0),6)),$C167*INDEX(SPPR!$E:$X,MATCH($A167,SPPR!$A:$A,0),6),""),"")</f>
        <v/>
      </c>
      <c r="J167">
        <f>IFERROR(IF(ISNUMBER(INDEX(SPPR!$E:$X,MATCH($A167,SPPR!$A:$A,0),7)),$C167*INDEX(SPPR!$E:$X,MATCH($A167,SPPR!$A:$A,0),7),""),"")</f>
        <v/>
      </c>
      <c r="K167">
        <f>IFERROR(IF(ISNUMBER(INDEX(SPPR!$E:$X,MATCH($A167,SPPR!$A:$A,0),8)),$C167*INDEX(SPPR!$E:$X,MATCH($A167,SPPR!$A:$A,0),8),""),"")</f>
        <v/>
      </c>
      <c r="L167">
        <f>IFERROR(IF(ISNUMBER(INDEX(SPPR!$E:$X,MATCH($A167,SPPR!$A:$A,0),9)),$C167*INDEX(SPPR!$E:$X,MATCH($A167,SPPR!$A:$A,0),9),""),"")</f>
        <v/>
      </c>
      <c r="M167">
        <f>IFERROR(IF(ISNUMBER(INDEX(SPPR!$E:$X,MATCH($A167,SPPR!$A:$A,0),10)),$C167*INDEX(SPPR!$E:$X,MATCH($A167,SPPR!$A:$A,0),10),""),"")</f>
        <v/>
      </c>
      <c r="N167">
        <f>IFERROR(IF(ISNUMBER(INDEX(SPPR!$E:$X,MATCH($A167,SPPR!$A:$A,0),11)),$C167*INDEX(SPPR!$E:$X,MATCH($A167,SPPR!$A:$A,0),11),""),"")</f>
        <v/>
      </c>
      <c r="O167">
        <f>IFERROR(IF(ISNUMBER(INDEX(SPPR!$E:$X,MATCH($A167,SPPR!$A:$A,0),12)),$C167*INDEX(SPPR!$E:$X,MATCH($A167,SPPR!$A:$A,0),12),""),"")</f>
        <v/>
      </c>
      <c r="P167">
        <f>IFERROR(IF(ISNUMBER(INDEX(SPPR!$E:$X,MATCH($A167,SPPR!$A:$A,0),13)),$C167*INDEX(SPPR!$E:$X,MATCH($A167,SPPR!$A:$A,0),13),""),"")</f>
        <v/>
      </c>
      <c r="Q167">
        <f>IFERROR(IF(ISNUMBER(INDEX(SPPR!$E:$X,MATCH($A167,SPPR!$A:$A,0),14)),$C167*INDEX(SPPR!$E:$X,MATCH($A167,SPPR!$A:$A,0),14),""),"")</f>
        <v/>
      </c>
      <c r="R167">
        <f>IFERROR(IF(ISNUMBER(INDEX(SPPR!$E:$X,MATCH($A167,SPPR!$A:$A,0),15)),$C167*INDEX(SPPR!$E:$X,MATCH($A167,SPPR!$A:$A,0),15),""),"")</f>
        <v/>
      </c>
      <c r="S167">
        <f>IFERROR(IF(ISNUMBER(INDEX(SPPR!$E:$X,MATCH($A167,SPPR!$A:$A,0),16)),$C167*INDEX(SPPR!$E:$X,MATCH($A167,SPPR!$A:$A,0),16),""),"")</f>
        <v/>
      </c>
      <c r="T167">
        <f>IFERROR(IF(ISNUMBER(INDEX(SPPR!$E:$X,MATCH($A167,SPPR!$A:$A,0),17)),$C167*INDEX(SPPR!$E:$X,MATCH($A167,SPPR!$A:$A,0),17),""),"")</f>
        <v/>
      </c>
      <c r="U167">
        <f>IFERROR(IF(ISNUMBER(INDEX(SPPR!$E:$X,MATCH($A167,SPPR!$A:$A,0),18)),$C167*INDEX(SPPR!$E:$X,MATCH($A167,SPPR!$A:$A,0),18),""),"")</f>
        <v/>
      </c>
      <c r="V167">
        <f>IFERROR(IF(ISNUMBER(INDEX(SPPR!$E:$X,MATCH($A167,SPPR!$A:$A,0),19)),$C167*INDEX(SPPR!$E:$X,MATCH($A167,SPPR!$A:$A,0),19),""),"")</f>
        <v/>
      </c>
      <c r="W167">
        <f>IFERROR(IF(ISNUMBER(INDEX(SPPR!$E:$X,MATCH($A167,SPPR!$A:$A,0),20)),$C167*INDEX(SPPR!$E:$X,MATCH($A167,SPPR!$A:$A,0),20),""),"")</f>
        <v/>
      </c>
    </row>
    <row r="168">
      <c r="A168" t="inlineStr">
        <is>
          <t>Scomberomorus commerson</t>
        </is>
      </c>
      <c r="B168">
        <f>IFERROR(INDEX(SPPR!$D:$D,MATCH($A168,SPPR!$A:$A,0)),"")</f>
        <v/>
      </c>
      <c r="C168">
        <f>IFERROR(INDEX(Catch!$E:$BV,MATCH($A168,Catch!$A:$A,0),MATCH($B$4,Catch!$E$1:$BV$1,0)),0)</f>
        <v/>
      </c>
      <c r="D168">
        <f>IFERROR(IF(ISNUMBER(INDEX(SPPR!$E:$X,MATCH($A168,SPPR!$A:$A,0),1)),$C168*INDEX(SPPR!$E:$X,MATCH($A168,SPPR!$A:$A,0),1),""),"")</f>
        <v/>
      </c>
      <c r="E168">
        <f>IFERROR(IF(ISNUMBER(INDEX(SPPR!$E:$X,MATCH($A168,SPPR!$A:$A,0),2)),$C168*INDEX(SPPR!$E:$X,MATCH($A168,SPPR!$A:$A,0),2),""),"")</f>
        <v/>
      </c>
      <c r="F168">
        <f>IFERROR(IF(ISNUMBER(INDEX(SPPR!$E:$X,MATCH($A168,SPPR!$A:$A,0),3)),$C168*INDEX(SPPR!$E:$X,MATCH($A168,SPPR!$A:$A,0),3),""),"")</f>
        <v/>
      </c>
      <c r="G168">
        <f>IFERROR(IF(ISNUMBER(INDEX(SPPR!$E:$X,MATCH($A168,SPPR!$A:$A,0),4)),$C168*INDEX(SPPR!$E:$X,MATCH($A168,SPPR!$A:$A,0),4),""),"")</f>
        <v/>
      </c>
      <c r="H168">
        <f>IFERROR(IF(ISNUMBER(INDEX(SPPR!$E:$X,MATCH($A168,SPPR!$A:$A,0),5)),$C168*INDEX(SPPR!$E:$X,MATCH($A168,SPPR!$A:$A,0),5),""),"")</f>
        <v/>
      </c>
      <c r="I168">
        <f>IFERROR(IF(ISNUMBER(INDEX(SPPR!$E:$X,MATCH($A168,SPPR!$A:$A,0),6)),$C168*INDEX(SPPR!$E:$X,MATCH($A168,SPPR!$A:$A,0),6),""),"")</f>
        <v/>
      </c>
      <c r="J168">
        <f>IFERROR(IF(ISNUMBER(INDEX(SPPR!$E:$X,MATCH($A168,SPPR!$A:$A,0),7)),$C168*INDEX(SPPR!$E:$X,MATCH($A168,SPPR!$A:$A,0),7),""),"")</f>
        <v/>
      </c>
      <c r="K168">
        <f>IFERROR(IF(ISNUMBER(INDEX(SPPR!$E:$X,MATCH($A168,SPPR!$A:$A,0),8)),$C168*INDEX(SPPR!$E:$X,MATCH($A168,SPPR!$A:$A,0),8),""),"")</f>
        <v/>
      </c>
      <c r="L168">
        <f>IFERROR(IF(ISNUMBER(INDEX(SPPR!$E:$X,MATCH($A168,SPPR!$A:$A,0),9)),$C168*INDEX(SPPR!$E:$X,MATCH($A168,SPPR!$A:$A,0),9),""),"")</f>
        <v/>
      </c>
      <c r="M168">
        <f>IFERROR(IF(ISNUMBER(INDEX(SPPR!$E:$X,MATCH($A168,SPPR!$A:$A,0),10)),$C168*INDEX(SPPR!$E:$X,MATCH($A168,SPPR!$A:$A,0),10),""),"")</f>
        <v/>
      </c>
      <c r="N168">
        <f>IFERROR(IF(ISNUMBER(INDEX(SPPR!$E:$X,MATCH($A168,SPPR!$A:$A,0),11)),$C168*INDEX(SPPR!$E:$X,MATCH($A168,SPPR!$A:$A,0),11),""),"")</f>
        <v/>
      </c>
      <c r="O168">
        <f>IFERROR(IF(ISNUMBER(INDEX(SPPR!$E:$X,MATCH($A168,SPPR!$A:$A,0),12)),$C168*INDEX(SPPR!$E:$X,MATCH($A168,SPPR!$A:$A,0),12),""),"")</f>
        <v/>
      </c>
      <c r="P168">
        <f>IFERROR(IF(ISNUMBER(INDEX(SPPR!$E:$X,MATCH($A168,SPPR!$A:$A,0),13)),$C168*INDEX(SPPR!$E:$X,MATCH($A168,SPPR!$A:$A,0),13),""),"")</f>
        <v/>
      </c>
      <c r="Q168">
        <f>IFERROR(IF(ISNUMBER(INDEX(SPPR!$E:$X,MATCH($A168,SPPR!$A:$A,0),14)),$C168*INDEX(SPPR!$E:$X,MATCH($A168,SPPR!$A:$A,0),14),""),"")</f>
        <v/>
      </c>
      <c r="R168">
        <f>IFERROR(IF(ISNUMBER(INDEX(SPPR!$E:$X,MATCH($A168,SPPR!$A:$A,0),15)),$C168*INDEX(SPPR!$E:$X,MATCH($A168,SPPR!$A:$A,0),15),""),"")</f>
        <v/>
      </c>
      <c r="S168">
        <f>IFERROR(IF(ISNUMBER(INDEX(SPPR!$E:$X,MATCH($A168,SPPR!$A:$A,0),16)),$C168*INDEX(SPPR!$E:$X,MATCH($A168,SPPR!$A:$A,0),16),""),"")</f>
        <v/>
      </c>
      <c r="T168">
        <f>IFERROR(IF(ISNUMBER(INDEX(SPPR!$E:$X,MATCH($A168,SPPR!$A:$A,0),17)),$C168*INDEX(SPPR!$E:$X,MATCH($A168,SPPR!$A:$A,0),17),""),"")</f>
        <v/>
      </c>
      <c r="U168">
        <f>IFERROR(IF(ISNUMBER(INDEX(SPPR!$E:$X,MATCH($A168,SPPR!$A:$A,0),18)),$C168*INDEX(SPPR!$E:$X,MATCH($A168,SPPR!$A:$A,0),18),""),"")</f>
        <v/>
      </c>
      <c r="V168">
        <f>IFERROR(IF(ISNUMBER(INDEX(SPPR!$E:$X,MATCH($A168,SPPR!$A:$A,0),19)),$C168*INDEX(SPPR!$E:$X,MATCH($A168,SPPR!$A:$A,0),19),""),"")</f>
        <v/>
      </c>
      <c r="W168">
        <f>IFERROR(IF(ISNUMBER(INDEX(SPPR!$E:$X,MATCH($A168,SPPR!$A:$A,0),20)),$C168*INDEX(SPPR!$E:$X,MATCH($A168,SPPR!$A:$A,0),20),""),"")</f>
        <v/>
      </c>
    </row>
    <row r="169">
      <c r="A169" t="inlineStr">
        <is>
          <t>Engraulidae</t>
        </is>
      </c>
      <c r="B169">
        <f>IFERROR(INDEX(SPPR!$D:$D,MATCH($A169,SPPR!$A:$A,0)),"")</f>
        <v/>
      </c>
      <c r="C169">
        <f>IFERROR(INDEX(Catch!$E:$BV,MATCH($A169,Catch!$A:$A,0),MATCH($B$4,Catch!$E$1:$BV$1,0)),0)</f>
        <v/>
      </c>
      <c r="D169">
        <f>IFERROR(IF(ISNUMBER(INDEX(SPPR!$E:$X,MATCH($A169,SPPR!$A:$A,0),1)),$C169*INDEX(SPPR!$E:$X,MATCH($A169,SPPR!$A:$A,0),1),""),"")</f>
        <v/>
      </c>
      <c r="E169">
        <f>IFERROR(IF(ISNUMBER(INDEX(SPPR!$E:$X,MATCH($A169,SPPR!$A:$A,0),2)),$C169*INDEX(SPPR!$E:$X,MATCH($A169,SPPR!$A:$A,0),2),""),"")</f>
        <v/>
      </c>
      <c r="F169">
        <f>IFERROR(IF(ISNUMBER(INDEX(SPPR!$E:$X,MATCH($A169,SPPR!$A:$A,0),3)),$C169*INDEX(SPPR!$E:$X,MATCH($A169,SPPR!$A:$A,0),3),""),"")</f>
        <v/>
      </c>
      <c r="G169">
        <f>IFERROR(IF(ISNUMBER(INDEX(SPPR!$E:$X,MATCH($A169,SPPR!$A:$A,0),4)),$C169*INDEX(SPPR!$E:$X,MATCH($A169,SPPR!$A:$A,0),4),""),"")</f>
        <v/>
      </c>
      <c r="H169">
        <f>IFERROR(IF(ISNUMBER(INDEX(SPPR!$E:$X,MATCH($A169,SPPR!$A:$A,0),5)),$C169*INDEX(SPPR!$E:$X,MATCH($A169,SPPR!$A:$A,0),5),""),"")</f>
        <v/>
      </c>
      <c r="I169">
        <f>IFERROR(IF(ISNUMBER(INDEX(SPPR!$E:$X,MATCH($A169,SPPR!$A:$A,0),6)),$C169*INDEX(SPPR!$E:$X,MATCH($A169,SPPR!$A:$A,0),6),""),"")</f>
        <v/>
      </c>
      <c r="J169">
        <f>IFERROR(IF(ISNUMBER(INDEX(SPPR!$E:$X,MATCH($A169,SPPR!$A:$A,0),7)),$C169*INDEX(SPPR!$E:$X,MATCH($A169,SPPR!$A:$A,0),7),""),"")</f>
        <v/>
      </c>
      <c r="K169">
        <f>IFERROR(IF(ISNUMBER(INDEX(SPPR!$E:$X,MATCH($A169,SPPR!$A:$A,0),8)),$C169*INDEX(SPPR!$E:$X,MATCH($A169,SPPR!$A:$A,0),8),""),"")</f>
        <v/>
      </c>
      <c r="L169">
        <f>IFERROR(IF(ISNUMBER(INDEX(SPPR!$E:$X,MATCH($A169,SPPR!$A:$A,0),9)),$C169*INDEX(SPPR!$E:$X,MATCH($A169,SPPR!$A:$A,0),9),""),"")</f>
        <v/>
      </c>
      <c r="M169">
        <f>IFERROR(IF(ISNUMBER(INDEX(SPPR!$E:$X,MATCH($A169,SPPR!$A:$A,0),10)),$C169*INDEX(SPPR!$E:$X,MATCH($A169,SPPR!$A:$A,0),10),""),"")</f>
        <v/>
      </c>
      <c r="N169">
        <f>IFERROR(IF(ISNUMBER(INDEX(SPPR!$E:$X,MATCH($A169,SPPR!$A:$A,0),11)),$C169*INDEX(SPPR!$E:$X,MATCH($A169,SPPR!$A:$A,0),11),""),"")</f>
        <v/>
      </c>
      <c r="O169">
        <f>IFERROR(IF(ISNUMBER(INDEX(SPPR!$E:$X,MATCH($A169,SPPR!$A:$A,0),12)),$C169*INDEX(SPPR!$E:$X,MATCH($A169,SPPR!$A:$A,0),12),""),"")</f>
        <v/>
      </c>
      <c r="P169">
        <f>IFERROR(IF(ISNUMBER(INDEX(SPPR!$E:$X,MATCH($A169,SPPR!$A:$A,0),13)),$C169*INDEX(SPPR!$E:$X,MATCH($A169,SPPR!$A:$A,0),13),""),"")</f>
        <v/>
      </c>
      <c r="Q169">
        <f>IFERROR(IF(ISNUMBER(INDEX(SPPR!$E:$X,MATCH($A169,SPPR!$A:$A,0),14)),$C169*INDEX(SPPR!$E:$X,MATCH($A169,SPPR!$A:$A,0),14),""),"")</f>
        <v/>
      </c>
      <c r="R169">
        <f>IFERROR(IF(ISNUMBER(INDEX(SPPR!$E:$X,MATCH($A169,SPPR!$A:$A,0),15)),$C169*INDEX(SPPR!$E:$X,MATCH($A169,SPPR!$A:$A,0),15),""),"")</f>
        <v/>
      </c>
      <c r="S169">
        <f>IFERROR(IF(ISNUMBER(INDEX(SPPR!$E:$X,MATCH($A169,SPPR!$A:$A,0),16)),$C169*INDEX(SPPR!$E:$X,MATCH($A169,SPPR!$A:$A,0),16),""),"")</f>
        <v/>
      </c>
      <c r="T169">
        <f>IFERROR(IF(ISNUMBER(INDEX(SPPR!$E:$X,MATCH($A169,SPPR!$A:$A,0),17)),$C169*INDEX(SPPR!$E:$X,MATCH($A169,SPPR!$A:$A,0),17),""),"")</f>
        <v/>
      </c>
      <c r="U169">
        <f>IFERROR(IF(ISNUMBER(INDEX(SPPR!$E:$X,MATCH($A169,SPPR!$A:$A,0),18)),$C169*INDEX(SPPR!$E:$X,MATCH($A169,SPPR!$A:$A,0),18),""),"")</f>
        <v/>
      </c>
      <c r="V169">
        <f>IFERROR(IF(ISNUMBER(INDEX(SPPR!$E:$X,MATCH($A169,SPPR!$A:$A,0),19)),$C169*INDEX(SPPR!$E:$X,MATCH($A169,SPPR!$A:$A,0),19),""),"")</f>
        <v/>
      </c>
      <c r="W169">
        <f>IFERROR(IF(ISNUMBER(INDEX(SPPR!$E:$X,MATCH($A169,SPPR!$A:$A,0),20)),$C169*INDEX(SPPR!$E:$X,MATCH($A169,SPPR!$A:$A,0),20),""),"")</f>
        <v/>
      </c>
    </row>
    <row r="170">
      <c r="A170" t="inlineStr">
        <is>
          <t>Metapenaeus joyneri</t>
        </is>
      </c>
      <c r="B170">
        <f>IFERROR(INDEX(SPPR!$D:$D,MATCH($A170,SPPR!$A:$A,0)),"")</f>
        <v/>
      </c>
      <c r="C170">
        <f>IFERROR(INDEX(Catch!$E:$BV,MATCH($A170,Catch!$A:$A,0),MATCH($B$4,Catch!$E$1:$BV$1,0)),0)</f>
        <v/>
      </c>
      <c r="D170">
        <f>IFERROR(IF(ISNUMBER(INDEX(SPPR!$E:$X,MATCH($A170,SPPR!$A:$A,0),1)),$C170*INDEX(SPPR!$E:$X,MATCH($A170,SPPR!$A:$A,0),1),""),"")</f>
        <v/>
      </c>
      <c r="E170">
        <f>IFERROR(IF(ISNUMBER(INDEX(SPPR!$E:$X,MATCH($A170,SPPR!$A:$A,0),2)),$C170*INDEX(SPPR!$E:$X,MATCH($A170,SPPR!$A:$A,0),2),""),"")</f>
        <v/>
      </c>
      <c r="F170">
        <f>IFERROR(IF(ISNUMBER(INDEX(SPPR!$E:$X,MATCH($A170,SPPR!$A:$A,0),3)),$C170*INDEX(SPPR!$E:$X,MATCH($A170,SPPR!$A:$A,0),3),""),"")</f>
        <v/>
      </c>
      <c r="G170">
        <f>IFERROR(IF(ISNUMBER(INDEX(SPPR!$E:$X,MATCH($A170,SPPR!$A:$A,0),4)),$C170*INDEX(SPPR!$E:$X,MATCH($A170,SPPR!$A:$A,0),4),""),"")</f>
        <v/>
      </c>
      <c r="H170">
        <f>IFERROR(IF(ISNUMBER(INDEX(SPPR!$E:$X,MATCH($A170,SPPR!$A:$A,0),5)),$C170*INDEX(SPPR!$E:$X,MATCH($A170,SPPR!$A:$A,0),5),""),"")</f>
        <v/>
      </c>
      <c r="I170">
        <f>IFERROR(IF(ISNUMBER(INDEX(SPPR!$E:$X,MATCH($A170,SPPR!$A:$A,0),6)),$C170*INDEX(SPPR!$E:$X,MATCH($A170,SPPR!$A:$A,0),6),""),"")</f>
        <v/>
      </c>
      <c r="J170">
        <f>IFERROR(IF(ISNUMBER(INDEX(SPPR!$E:$X,MATCH($A170,SPPR!$A:$A,0),7)),$C170*INDEX(SPPR!$E:$X,MATCH($A170,SPPR!$A:$A,0),7),""),"")</f>
        <v/>
      </c>
      <c r="K170">
        <f>IFERROR(IF(ISNUMBER(INDEX(SPPR!$E:$X,MATCH($A170,SPPR!$A:$A,0),8)),$C170*INDEX(SPPR!$E:$X,MATCH($A170,SPPR!$A:$A,0),8),""),"")</f>
        <v/>
      </c>
      <c r="L170">
        <f>IFERROR(IF(ISNUMBER(INDEX(SPPR!$E:$X,MATCH($A170,SPPR!$A:$A,0),9)),$C170*INDEX(SPPR!$E:$X,MATCH($A170,SPPR!$A:$A,0),9),""),"")</f>
        <v/>
      </c>
      <c r="M170">
        <f>IFERROR(IF(ISNUMBER(INDEX(SPPR!$E:$X,MATCH($A170,SPPR!$A:$A,0),10)),$C170*INDEX(SPPR!$E:$X,MATCH($A170,SPPR!$A:$A,0),10),""),"")</f>
        <v/>
      </c>
      <c r="N170">
        <f>IFERROR(IF(ISNUMBER(INDEX(SPPR!$E:$X,MATCH($A170,SPPR!$A:$A,0),11)),$C170*INDEX(SPPR!$E:$X,MATCH($A170,SPPR!$A:$A,0),11),""),"")</f>
        <v/>
      </c>
      <c r="O170">
        <f>IFERROR(IF(ISNUMBER(INDEX(SPPR!$E:$X,MATCH($A170,SPPR!$A:$A,0),12)),$C170*INDEX(SPPR!$E:$X,MATCH($A170,SPPR!$A:$A,0),12),""),"")</f>
        <v/>
      </c>
      <c r="P170">
        <f>IFERROR(IF(ISNUMBER(INDEX(SPPR!$E:$X,MATCH($A170,SPPR!$A:$A,0),13)),$C170*INDEX(SPPR!$E:$X,MATCH($A170,SPPR!$A:$A,0),13),""),"")</f>
        <v/>
      </c>
      <c r="Q170">
        <f>IFERROR(IF(ISNUMBER(INDEX(SPPR!$E:$X,MATCH($A170,SPPR!$A:$A,0),14)),$C170*INDEX(SPPR!$E:$X,MATCH($A170,SPPR!$A:$A,0),14),""),"")</f>
        <v/>
      </c>
      <c r="R170">
        <f>IFERROR(IF(ISNUMBER(INDEX(SPPR!$E:$X,MATCH($A170,SPPR!$A:$A,0),15)),$C170*INDEX(SPPR!$E:$X,MATCH($A170,SPPR!$A:$A,0),15),""),"")</f>
        <v/>
      </c>
      <c r="S170">
        <f>IFERROR(IF(ISNUMBER(INDEX(SPPR!$E:$X,MATCH($A170,SPPR!$A:$A,0),16)),$C170*INDEX(SPPR!$E:$X,MATCH($A170,SPPR!$A:$A,0),16),""),"")</f>
        <v/>
      </c>
      <c r="T170">
        <f>IFERROR(IF(ISNUMBER(INDEX(SPPR!$E:$X,MATCH($A170,SPPR!$A:$A,0),17)),$C170*INDEX(SPPR!$E:$X,MATCH($A170,SPPR!$A:$A,0),17),""),"")</f>
        <v/>
      </c>
      <c r="U170">
        <f>IFERROR(IF(ISNUMBER(INDEX(SPPR!$E:$X,MATCH($A170,SPPR!$A:$A,0),18)),$C170*INDEX(SPPR!$E:$X,MATCH($A170,SPPR!$A:$A,0),18),""),"")</f>
        <v/>
      </c>
      <c r="V170">
        <f>IFERROR(IF(ISNUMBER(INDEX(SPPR!$E:$X,MATCH($A170,SPPR!$A:$A,0),19)),$C170*INDEX(SPPR!$E:$X,MATCH($A170,SPPR!$A:$A,0),19),""),"")</f>
        <v/>
      </c>
      <c r="W170">
        <f>IFERROR(IF(ISNUMBER(INDEX(SPPR!$E:$X,MATCH($A170,SPPR!$A:$A,0),20)),$C170*INDEX(SPPR!$E:$X,MATCH($A170,SPPR!$A:$A,0),20),""),"")</f>
        <v/>
      </c>
    </row>
    <row r="171">
      <c r="A171" t="inlineStr">
        <is>
          <t>Kyphosidae</t>
        </is>
      </c>
      <c r="B171">
        <f>IFERROR(INDEX(SPPR!$D:$D,MATCH($A171,SPPR!$A:$A,0)),"")</f>
        <v/>
      </c>
      <c r="C171">
        <f>IFERROR(INDEX(Catch!$E:$BV,MATCH($A171,Catch!$A:$A,0),MATCH($B$4,Catch!$E$1:$BV$1,0)),0)</f>
        <v/>
      </c>
      <c r="D171">
        <f>IFERROR(IF(ISNUMBER(INDEX(SPPR!$E:$X,MATCH($A171,SPPR!$A:$A,0),1)),$C171*INDEX(SPPR!$E:$X,MATCH($A171,SPPR!$A:$A,0),1),""),"")</f>
        <v/>
      </c>
      <c r="E171">
        <f>IFERROR(IF(ISNUMBER(INDEX(SPPR!$E:$X,MATCH($A171,SPPR!$A:$A,0),2)),$C171*INDEX(SPPR!$E:$X,MATCH($A171,SPPR!$A:$A,0),2),""),"")</f>
        <v/>
      </c>
      <c r="F171">
        <f>IFERROR(IF(ISNUMBER(INDEX(SPPR!$E:$X,MATCH($A171,SPPR!$A:$A,0),3)),$C171*INDEX(SPPR!$E:$X,MATCH($A171,SPPR!$A:$A,0),3),""),"")</f>
        <v/>
      </c>
      <c r="G171">
        <f>IFERROR(IF(ISNUMBER(INDEX(SPPR!$E:$X,MATCH($A171,SPPR!$A:$A,0),4)),$C171*INDEX(SPPR!$E:$X,MATCH($A171,SPPR!$A:$A,0),4),""),"")</f>
        <v/>
      </c>
      <c r="H171">
        <f>IFERROR(IF(ISNUMBER(INDEX(SPPR!$E:$X,MATCH($A171,SPPR!$A:$A,0),5)),$C171*INDEX(SPPR!$E:$X,MATCH($A171,SPPR!$A:$A,0),5),""),"")</f>
        <v/>
      </c>
      <c r="I171">
        <f>IFERROR(IF(ISNUMBER(INDEX(SPPR!$E:$X,MATCH($A171,SPPR!$A:$A,0),6)),$C171*INDEX(SPPR!$E:$X,MATCH($A171,SPPR!$A:$A,0),6),""),"")</f>
        <v/>
      </c>
      <c r="J171">
        <f>IFERROR(IF(ISNUMBER(INDEX(SPPR!$E:$X,MATCH($A171,SPPR!$A:$A,0),7)),$C171*INDEX(SPPR!$E:$X,MATCH($A171,SPPR!$A:$A,0),7),""),"")</f>
        <v/>
      </c>
      <c r="K171">
        <f>IFERROR(IF(ISNUMBER(INDEX(SPPR!$E:$X,MATCH($A171,SPPR!$A:$A,0),8)),$C171*INDEX(SPPR!$E:$X,MATCH($A171,SPPR!$A:$A,0),8),""),"")</f>
        <v/>
      </c>
      <c r="L171">
        <f>IFERROR(IF(ISNUMBER(INDEX(SPPR!$E:$X,MATCH($A171,SPPR!$A:$A,0),9)),$C171*INDEX(SPPR!$E:$X,MATCH($A171,SPPR!$A:$A,0),9),""),"")</f>
        <v/>
      </c>
      <c r="M171">
        <f>IFERROR(IF(ISNUMBER(INDEX(SPPR!$E:$X,MATCH($A171,SPPR!$A:$A,0),10)),$C171*INDEX(SPPR!$E:$X,MATCH($A171,SPPR!$A:$A,0),10),""),"")</f>
        <v/>
      </c>
      <c r="N171">
        <f>IFERROR(IF(ISNUMBER(INDEX(SPPR!$E:$X,MATCH($A171,SPPR!$A:$A,0),11)),$C171*INDEX(SPPR!$E:$X,MATCH($A171,SPPR!$A:$A,0),11),""),"")</f>
        <v/>
      </c>
      <c r="O171">
        <f>IFERROR(IF(ISNUMBER(INDEX(SPPR!$E:$X,MATCH($A171,SPPR!$A:$A,0),12)),$C171*INDEX(SPPR!$E:$X,MATCH($A171,SPPR!$A:$A,0),12),""),"")</f>
        <v/>
      </c>
      <c r="P171">
        <f>IFERROR(IF(ISNUMBER(INDEX(SPPR!$E:$X,MATCH($A171,SPPR!$A:$A,0),13)),$C171*INDEX(SPPR!$E:$X,MATCH($A171,SPPR!$A:$A,0),13),""),"")</f>
        <v/>
      </c>
      <c r="Q171">
        <f>IFERROR(IF(ISNUMBER(INDEX(SPPR!$E:$X,MATCH($A171,SPPR!$A:$A,0),14)),$C171*INDEX(SPPR!$E:$X,MATCH($A171,SPPR!$A:$A,0),14),""),"")</f>
        <v/>
      </c>
      <c r="R171">
        <f>IFERROR(IF(ISNUMBER(INDEX(SPPR!$E:$X,MATCH($A171,SPPR!$A:$A,0),15)),$C171*INDEX(SPPR!$E:$X,MATCH($A171,SPPR!$A:$A,0),15),""),"")</f>
        <v/>
      </c>
      <c r="S171">
        <f>IFERROR(IF(ISNUMBER(INDEX(SPPR!$E:$X,MATCH($A171,SPPR!$A:$A,0),16)),$C171*INDEX(SPPR!$E:$X,MATCH($A171,SPPR!$A:$A,0),16),""),"")</f>
        <v/>
      </c>
      <c r="T171">
        <f>IFERROR(IF(ISNUMBER(INDEX(SPPR!$E:$X,MATCH($A171,SPPR!$A:$A,0),17)),$C171*INDEX(SPPR!$E:$X,MATCH($A171,SPPR!$A:$A,0),17),""),"")</f>
        <v/>
      </c>
      <c r="U171">
        <f>IFERROR(IF(ISNUMBER(INDEX(SPPR!$E:$X,MATCH($A171,SPPR!$A:$A,0),18)),$C171*INDEX(SPPR!$E:$X,MATCH($A171,SPPR!$A:$A,0),18),""),"")</f>
        <v/>
      </c>
      <c r="V171">
        <f>IFERROR(IF(ISNUMBER(INDEX(SPPR!$E:$X,MATCH($A171,SPPR!$A:$A,0),19)),$C171*INDEX(SPPR!$E:$X,MATCH($A171,SPPR!$A:$A,0),19),""),"")</f>
        <v/>
      </c>
      <c r="W171">
        <f>IFERROR(IF(ISNUMBER(INDEX(SPPR!$E:$X,MATCH($A171,SPPR!$A:$A,0),20)),$C171*INDEX(SPPR!$E:$X,MATCH($A171,SPPR!$A:$A,0),20),""),"")</f>
        <v/>
      </c>
    </row>
    <row r="172">
      <c r="A172" t="inlineStr">
        <is>
          <t>Marine finfishes not identified</t>
        </is>
      </c>
      <c r="B172">
        <f>IFERROR(INDEX(SPPR!$D:$D,MATCH($A172,SPPR!$A:$A,0)),"")</f>
        <v/>
      </c>
      <c r="C172">
        <f>IFERROR(INDEX(Catch!$E:$BV,MATCH($A172,Catch!$A:$A,0),MATCH($B$4,Catch!$E$1:$BV$1,0)),0)</f>
        <v/>
      </c>
      <c r="D172">
        <f>IFERROR(IF(ISNUMBER(INDEX(SPPR!$E:$X,MATCH($A172,SPPR!$A:$A,0),1)),$C172*INDEX(SPPR!$E:$X,MATCH($A172,SPPR!$A:$A,0),1),""),"")</f>
        <v/>
      </c>
      <c r="E172">
        <f>IFERROR(IF(ISNUMBER(INDEX(SPPR!$E:$X,MATCH($A172,SPPR!$A:$A,0),2)),$C172*INDEX(SPPR!$E:$X,MATCH($A172,SPPR!$A:$A,0),2),""),"")</f>
        <v/>
      </c>
      <c r="F172">
        <f>IFERROR(IF(ISNUMBER(INDEX(SPPR!$E:$X,MATCH($A172,SPPR!$A:$A,0),3)),$C172*INDEX(SPPR!$E:$X,MATCH($A172,SPPR!$A:$A,0),3),""),"")</f>
        <v/>
      </c>
      <c r="G172">
        <f>IFERROR(IF(ISNUMBER(INDEX(SPPR!$E:$X,MATCH($A172,SPPR!$A:$A,0),4)),$C172*INDEX(SPPR!$E:$X,MATCH($A172,SPPR!$A:$A,0),4),""),"")</f>
        <v/>
      </c>
      <c r="H172">
        <f>IFERROR(IF(ISNUMBER(INDEX(SPPR!$E:$X,MATCH($A172,SPPR!$A:$A,0),5)),$C172*INDEX(SPPR!$E:$X,MATCH($A172,SPPR!$A:$A,0),5),""),"")</f>
        <v/>
      </c>
      <c r="I172">
        <f>IFERROR(IF(ISNUMBER(INDEX(SPPR!$E:$X,MATCH($A172,SPPR!$A:$A,0),6)),$C172*INDEX(SPPR!$E:$X,MATCH($A172,SPPR!$A:$A,0),6),""),"")</f>
        <v/>
      </c>
      <c r="J172">
        <f>IFERROR(IF(ISNUMBER(INDEX(SPPR!$E:$X,MATCH($A172,SPPR!$A:$A,0),7)),$C172*INDEX(SPPR!$E:$X,MATCH($A172,SPPR!$A:$A,0),7),""),"")</f>
        <v/>
      </c>
      <c r="K172">
        <f>IFERROR(IF(ISNUMBER(INDEX(SPPR!$E:$X,MATCH($A172,SPPR!$A:$A,0),8)),$C172*INDEX(SPPR!$E:$X,MATCH($A172,SPPR!$A:$A,0),8),""),"")</f>
        <v/>
      </c>
      <c r="L172">
        <f>IFERROR(IF(ISNUMBER(INDEX(SPPR!$E:$X,MATCH($A172,SPPR!$A:$A,0),9)),$C172*INDEX(SPPR!$E:$X,MATCH($A172,SPPR!$A:$A,0),9),""),"")</f>
        <v/>
      </c>
      <c r="M172">
        <f>IFERROR(IF(ISNUMBER(INDEX(SPPR!$E:$X,MATCH($A172,SPPR!$A:$A,0),10)),$C172*INDEX(SPPR!$E:$X,MATCH($A172,SPPR!$A:$A,0),10),""),"")</f>
        <v/>
      </c>
      <c r="N172">
        <f>IFERROR(IF(ISNUMBER(INDEX(SPPR!$E:$X,MATCH($A172,SPPR!$A:$A,0),11)),$C172*INDEX(SPPR!$E:$X,MATCH($A172,SPPR!$A:$A,0),11),""),"")</f>
        <v/>
      </c>
      <c r="O172">
        <f>IFERROR(IF(ISNUMBER(INDEX(SPPR!$E:$X,MATCH($A172,SPPR!$A:$A,0),12)),$C172*INDEX(SPPR!$E:$X,MATCH($A172,SPPR!$A:$A,0),12),""),"")</f>
        <v/>
      </c>
      <c r="P172">
        <f>IFERROR(IF(ISNUMBER(INDEX(SPPR!$E:$X,MATCH($A172,SPPR!$A:$A,0),13)),$C172*INDEX(SPPR!$E:$X,MATCH($A172,SPPR!$A:$A,0),13),""),"")</f>
        <v/>
      </c>
      <c r="Q172">
        <f>IFERROR(IF(ISNUMBER(INDEX(SPPR!$E:$X,MATCH($A172,SPPR!$A:$A,0),14)),$C172*INDEX(SPPR!$E:$X,MATCH($A172,SPPR!$A:$A,0),14),""),"")</f>
        <v/>
      </c>
      <c r="R172">
        <f>IFERROR(IF(ISNUMBER(INDEX(SPPR!$E:$X,MATCH($A172,SPPR!$A:$A,0),15)),$C172*INDEX(SPPR!$E:$X,MATCH($A172,SPPR!$A:$A,0),15),""),"")</f>
        <v/>
      </c>
      <c r="S172">
        <f>IFERROR(IF(ISNUMBER(INDEX(SPPR!$E:$X,MATCH($A172,SPPR!$A:$A,0),16)),$C172*INDEX(SPPR!$E:$X,MATCH($A172,SPPR!$A:$A,0),16),""),"")</f>
        <v/>
      </c>
      <c r="T172">
        <f>IFERROR(IF(ISNUMBER(INDEX(SPPR!$E:$X,MATCH($A172,SPPR!$A:$A,0),17)),$C172*INDEX(SPPR!$E:$X,MATCH($A172,SPPR!$A:$A,0),17),""),"")</f>
        <v/>
      </c>
      <c r="U172">
        <f>IFERROR(IF(ISNUMBER(INDEX(SPPR!$E:$X,MATCH($A172,SPPR!$A:$A,0),18)),$C172*INDEX(SPPR!$E:$X,MATCH($A172,SPPR!$A:$A,0),18),""),"")</f>
        <v/>
      </c>
      <c r="V172">
        <f>IFERROR(IF(ISNUMBER(INDEX(SPPR!$E:$X,MATCH($A172,SPPR!$A:$A,0),19)),$C172*INDEX(SPPR!$E:$X,MATCH($A172,SPPR!$A:$A,0),19),""),"")</f>
        <v/>
      </c>
      <c r="W172">
        <f>IFERROR(IF(ISNUMBER(INDEX(SPPR!$E:$X,MATCH($A172,SPPR!$A:$A,0),20)),$C172*INDEX(SPPR!$E:$X,MATCH($A172,SPPR!$A:$A,0),20),""),"")</f>
        <v/>
      </c>
    </row>
    <row r="173">
      <c r="A173" t="inlineStr">
        <is>
          <t>Oplegnathus fasciatus</t>
        </is>
      </c>
      <c r="B173">
        <f>IFERROR(INDEX(SPPR!$D:$D,MATCH($A173,SPPR!$A:$A,0)),"")</f>
        <v/>
      </c>
      <c r="C173">
        <f>IFERROR(INDEX(Catch!$E:$BV,MATCH($A173,Catch!$A:$A,0),MATCH($B$4,Catch!$E$1:$BV$1,0)),0)</f>
        <v/>
      </c>
      <c r="D173">
        <f>IFERROR(IF(ISNUMBER(INDEX(SPPR!$E:$X,MATCH($A173,SPPR!$A:$A,0),1)),$C173*INDEX(SPPR!$E:$X,MATCH($A173,SPPR!$A:$A,0),1),""),"")</f>
        <v/>
      </c>
      <c r="E173">
        <f>IFERROR(IF(ISNUMBER(INDEX(SPPR!$E:$X,MATCH($A173,SPPR!$A:$A,0),2)),$C173*INDEX(SPPR!$E:$X,MATCH($A173,SPPR!$A:$A,0),2),""),"")</f>
        <v/>
      </c>
      <c r="F173">
        <f>IFERROR(IF(ISNUMBER(INDEX(SPPR!$E:$X,MATCH($A173,SPPR!$A:$A,0),3)),$C173*INDEX(SPPR!$E:$X,MATCH($A173,SPPR!$A:$A,0),3),""),"")</f>
        <v/>
      </c>
      <c r="G173">
        <f>IFERROR(IF(ISNUMBER(INDEX(SPPR!$E:$X,MATCH($A173,SPPR!$A:$A,0),4)),$C173*INDEX(SPPR!$E:$X,MATCH($A173,SPPR!$A:$A,0),4),""),"")</f>
        <v/>
      </c>
      <c r="H173">
        <f>IFERROR(IF(ISNUMBER(INDEX(SPPR!$E:$X,MATCH($A173,SPPR!$A:$A,0),5)),$C173*INDEX(SPPR!$E:$X,MATCH($A173,SPPR!$A:$A,0),5),""),"")</f>
        <v/>
      </c>
      <c r="I173">
        <f>IFERROR(IF(ISNUMBER(INDEX(SPPR!$E:$X,MATCH($A173,SPPR!$A:$A,0),6)),$C173*INDEX(SPPR!$E:$X,MATCH($A173,SPPR!$A:$A,0),6),""),"")</f>
        <v/>
      </c>
      <c r="J173">
        <f>IFERROR(IF(ISNUMBER(INDEX(SPPR!$E:$X,MATCH($A173,SPPR!$A:$A,0),7)),$C173*INDEX(SPPR!$E:$X,MATCH($A173,SPPR!$A:$A,0),7),""),"")</f>
        <v/>
      </c>
      <c r="K173">
        <f>IFERROR(IF(ISNUMBER(INDEX(SPPR!$E:$X,MATCH($A173,SPPR!$A:$A,0),8)),$C173*INDEX(SPPR!$E:$X,MATCH($A173,SPPR!$A:$A,0),8),""),"")</f>
        <v/>
      </c>
      <c r="L173">
        <f>IFERROR(IF(ISNUMBER(INDEX(SPPR!$E:$X,MATCH($A173,SPPR!$A:$A,0),9)),$C173*INDEX(SPPR!$E:$X,MATCH($A173,SPPR!$A:$A,0),9),""),"")</f>
        <v/>
      </c>
      <c r="M173">
        <f>IFERROR(IF(ISNUMBER(INDEX(SPPR!$E:$X,MATCH($A173,SPPR!$A:$A,0),10)),$C173*INDEX(SPPR!$E:$X,MATCH($A173,SPPR!$A:$A,0),10),""),"")</f>
        <v/>
      </c>
      <c r="N173">
        <f>IFERROR(IF(ISNUMBER(INDEX(SPPR!$E:$X,MATCH($A173,SPPR!$A:$A,0),11)),$C173*INDEX(SPPR!$E:$X,MATCH($A173,SPPR!$A:$A,0),11),""),"")</f>
        <v/>
      </c>
      <c r="O173">
        <f>IFERROR(IF(ISNUMBER(INDEX(SPPR!$E:$X,MATCH($A173,SPPR!$A:$A,0),12)),$C173*INDEX(SPPR!$E:$X,MATCH($A173,SPPR!$A:$A,0),12),""),"")</f>
        <v/>
      </c>
      <c r="P173">
        <f>IFERROR(IF(ISNUMBER(INDEX(SPPR!$E:$X,MATCH($A173,SPPR!$A:$A,0),13)),$C173*INDEX(SPPR!$E:$X,MATCH($A173,SPPR!$A:$A,0),13),""),"")</f>
        <v/>
      </c>
      <c r="Q173">
        <f>IFERROR(IF(ISNUMBER(INDEX(SPPR!$E:$X,MATCH($A173,SPPR!$A:$A,0),14)),$C173*INDEX(SPPR!$E:$X,MATCH($A173,SPPR!$A:$A,0),14),""),"")</f>
        <v/>
      </c>
      <c r="R173">
        <f>IFERROR(IF(ISNUMBER(INDEX(SPPR!$E:$X,MATCH($A173,SPPR!$A:$A,0),15)),$C173*INDEX(SPPR!$E:$X,MATCH($A173,SPPR!$A:$A,0),15),""),"")</f>
        <v/>
      </c>
      <c r="S173">
        <f>IFERROR(IF(ISNUMBER(INDEX(SPPR!$E:$X,MATCH($A173,SPPR!$A:$A,0),16)),$C173*INDEX(SPPR!$E:$X,MATCH($A173,SPPR!$A:$A,0),16),""),"")</f>
        <v/>
      </c>
      <c r="T173">
        <f>IFERROR(IF(ISNUMBER(INDEX(SPPR!$E:$X,MATCH($A173,SPPR!$A:$A,0),17)),$C173*INDEX(SPPR!$E:$X,MATCH($A173,SPPR!$A:$A,0),17),""),"")</f>
        <v/>
      </c>
      <c r="U173">
        <f>IFERROR(IF(ISNUMBER(INDEX(SPPR!$E:$X,MATCH($A173,SPPR!$A:$A,0),18)),$C173*INDEX(SPPR!$E:$X,MATCH($A173,SPPR!$A:$A,0),18),""),"")</f>
        <v/>
      </c>
      <c r="V173">
        <f>IFERROR(IF(ISNUMBER(INDEX(SPPR!$E:$X,MATCH($A173,SPPR!$A:$A,0),19)),$C173*INDEX(SPPR!$E:$X,MATCH($A173,SPPR!$A:$A,0),19),""),"")</f>
        <v/>
      </c>
      <c r="W173">
        <f>IFERROR(IF(ISNUMBER(INDEX(SPPR!$E:$X,MATCH($A173,SPPR!$A:$A,0),20)),$C173*INDEX(SPPR!$E:$X,MATCH($A173,SPPR!$A:$A,0),20),""),"")</f>
        <v/>
      </c>
    </row>
    <row r="174">
      <c r="A174" t="inlineStr">
        <is>
          <t>Cardiidae</t>
        </is>
      </c>
      <c r="B174">
        <f>IFERROR(INDEX(SPPR!$D:$D,MATCH($A174,SPPR!$A:$A,0)),"")</f>
        <v/>
      </c>
      <c r="C174">
        <f>IFERROR(INDEX(Catch!$E:$BV,MATCH($A174,Catch!$A:$A,0),MATCH($B$4,Catch!$E$1:$BV$1,0)),0)</f>
        <v/>
      </c>
      <c r="D174">
        <f>IFERROR(IF(ISNUMBER(INDEX(SPPR!$E:$X,MATCH($A174,SPPR!$A:$A,0),1)),$C174*INDEX(SPPR!$E:$X,MATCH($A174,SPPR!$A:$A,0),1),""),"")</f>
        <v/>
      </c>
      <c r="E174">
        <f>IFERROR(IF(ISNUMBER(INDEX(SPPR!$E:$X,MATCH($A174,SPPR!$A:$A,0),2)),$C174*INDEX(SPPR!$E:$X,MATCH($A174,SPPR!$A:$A,0),2),""),"")</f>
        <v/>
      </c>
      <c r="F174">
        <f>IFERROR(IF(ISNUMBER(INDEX(SPPR!$E:$X,MATCH($A174,SPPR!$A:$A,0),3)),$C174*INDEX(SPPR!$E:$X,MATCH($A174,SPPR!$A:$A,0),3),""),"")</f>
        <v/>
      </c>
      <c r="G174">
        <f>IFERROR(IF(ISNUMBER(INDEX(SPPR!$E:$X,MATCH($A174,SPPR!$A:$A,0),4)),$C174*INDEX(SPPR!$E:$X,MATCH($A174,SPPR!$A:$A,0),4),""),"")</f>
        <v/>
      </c>
      <c r="H174">
        <f>IFERROR(IF(ISNUMBER(INDEX(SPPR!$E:$X,MATCH($A174,SPPR!$A:$A,0),5)),$C174*INDEX(SPPR!$E:$X,MATCH($A174,SPPR!$A:$A,0),5),""),"")</f>
        <v/>
      </c>
      <c r="I174">
        <f>IFERROR(IF(ISNUMBER(INDEX(SPPR!$E:$X,MATCH($A174,SPPR!$A:$A,0),6)),$C174*INDEX(SPPR!$E:$X,MATCH($A174,SPPR!$A:$A,0),6),""),"")</f>
        <v/>
      </c>
      <c r="J174">
        <f>IFERROR(IF(ISNUMBER(INDEX(SPPR!$E:$X,MATCH($A174,SPPR!$A:$A,0),7)),$C174*INDEX(SPPR!$E:$X,MATCH($A174,SPPR!$A:$A,0),7),""),"")</f>
        <v/>
      </c>
      <c r="K174">
        <f>IFERROR(IF(ISNUMBER(INDEX(SPPR!$E:$X,MATCH($A174,SPPR!$A:$A,0),8)),$C174*INDEX(SPPR!$E:$X,MATCH($A174,SPPR!$A:$A,0),8),""),"")</f>
        <v/>
      </c>
      <c r="L174">
        <f>IFERROR(IF(ISNUMBER(INDEX(SPPR!$E:$X,MATCH($A174,SPPR!$A:$A,0),9)),$C174*INDEX(SPPR!$E:$X,MATCH($A174,SPPR!$A:$A,0),9),""),"")</f>
        <v/>
      </c>
      <c r="M174">
        <f>IFERROR(IF(ISNUMBER(INDEX(SPPR!$E:$X,MATCH($A174,SPPR!$A:$A,0),10)),$C174*INDEX(SPPR!$E:$X,MATCH($A174,SPPR!$A:$A,0),10),""),"")</f>
        <v/>
      </c>
      <c r="N174">
        <f>IFERROR(IF(ISNUMBER(INDEX(SPPR!$E:$X,MATCH($A174,SPPR!$A:$A,0),11)),$C174*INDEX(SPPR!$E:$X,MATCH($A174,SPPR!$A:$A,0),11),""),"")</f>
        <v/>
      </c>
      <c r="O174">
        <f>IFERROR(IF(ISNUMBER(INDEX(SPPR!$E:$X,MATCH($A174,SPPR!$A:$A,0),12)),$C174*INDEX(SPPR!$E:$X,MATCH($A174,SPPR!$A:$A,0),12),""),"")</f>
        <v/>
      </c>
      <c r="P174">
        <f>IFERROR(IF(ISNUMBER(INDEX(SPPR!$E:$X,MATCH($A174,SPPR!$A:$A,0),13)),$C174*INDEX(SPPR!$E:$X,MATCH($A174,SPPR!$A:$A,0),13),""),"")</f>
        <v/>
      </c>
      <c r="Q174">
        <f>IFERROR(IF(ISNUMBER(INDEX(SPPR!$E:$X,MATCH($A174,SPPR!$A:$A,0),14)),$C174*INDEX(SPPR!$E:$X,MATCH($A174,SPPR!$A:$A,0),14),""),"")</f>
        <v/>
      </c>
      <c r="R174">
        <f>IFERROR(IF(ISNUMBER(INDEX(SPPR!$E:$X,MATCH($A174,SPPR!$A:$A,0),15)),$C174*INDEX(SPPR!$E:$X,MATCH($A174,SPPR!$A:$A,0),15),""),"")</f>
        <v/>
      </c>
      <c r="S174">
        <f>IFERROR(IF(ISNUMBER(INDEX(SPPR!$E:$X,MATCH($A174,SPPR!$A:$A,0),16)),$C174*INDEX(SPPR!$E:$X,MATCH($A174,SPPR!$A:$A,0),16),""),"")</f>
        <v/>
      </c>
      <c r="T174">
        <f>IFERROR(IF(ISNUMBER(INDEX(SPPR!$E:$X,MATCH($A174,SPPR!$A:$A,0),17)),$C174*INDEX(SPPR!$E:$X,MATCH($A174,SPPR!$A:$A,0),17),""),"")</f>
        <v/>
      </c>
      <c r="U174">
        <f>IFERROR(IF(ISNUMBER(INDEX(SPPR!$E:$X,MATCH($A174,SPPR!$A:$A,0),18)),$C174*INDEX(SPPR!$E:$X,MATCH($A174,SPPR!$A:$A,0),18),""),"")</f>
        <v/>
      </c>
      <c r="V174">
        <f>IFERROR(IF(ISNUMBER(INDEX(SPPR!$E:$X,MATCH($A174,SPPR!$A:$A,0),19)),$C174*INDEX(SPPR!$E:$X,MATCH($A174,SPPR!$A:$A,0),19),""),"")</f>
        <v/>
      </c>
      <c r="W174">
        <f>IFERROR(IF(ISNUMBER(INDEX(SPPR!$E:$X,MATCH($A174,SPPR!$A:$A,0),20)),$C174*INDEX(SPPR!$E:$X,MATCH($A174,SPPR!$A:$A,0),20),""),"")</f>
        <v/>
      </c>
    </row>
    <row r="175">
      <c r="A175" t="inlineStr">
        <is>
          <t>Lethrinidae</t>
        </is>
      </c>
      <c r="B175">
        <f>IFERROR(INDEX(SPPR!$D:$D,MATCH($A175,SPPR!$A:$A,0)),"")</f>
        <v/>
      </c>
      <c r="C175">
        <f>IFERROR(INDEX(Catch!$E:$BV,MATCH($A175,Catch!$A:$A,0),MATCH($B$4,Catch!$E$1:$BV$1,0)),0)</f>
        <v/>
      </c>
      <c r="D175">
        <f>IFERROR(IF(ISNUMBER(INDEX(SPPR!$E:$X,MATCH($A175,SPPR!$A:$A,0),1)),$C175*INDEX(SPPR!$E:$X,MATCH($A175,SPPR!$A:$A,0),1),""),"")</f>
        <v/>
      </c>
      <c r="E175">
        <f>IFERROR(IF(ISNUMBER(INDEX(SPPR!$E:$X,MATCH($A175,SPPR!$A:$A,0),2)),$C175*INDEX(SPPR!$E:$X,MATCH($A175,SPPR!$A:$A,0),2),""),"")</f>
        <v/>
      </c>
      <c r="F175">
        <f>IFERROR(IF(ISNUMBER(INDEX(SPPR!$E:$X,MATCH($A175,SPPR!$A:$A,0),3)),$C175*INDEX(SPPR!$E:$X,MATCH($A175,SPPR!$A:$A,0),3),""),"")</f>
        <v/>
      </c>
      <c r="G175">
        <f>IFERROR(IF(ISNUMBER(INDEX(SPPR!$E:$X,MATCH($A175,SPPR!$A:$A,0),4)),$C175*INDEX(SPPR!$E:$X,MATCH($A175,SPPR!$A:$A,0),4),""),"")</f>
        <v/>
      </c>
      <c r="H175">
        <f>IFERROR(IF(ISNUMBER(INDEX(SPPR!$E:$X,MATCH($A175,SPPR!$A:$A,0),5)),$C175*INDEX(SPPR!$E:$X,MATCH($A175,SPPR!$A:$A,0),5),""),"")</f>
        <v/>
      </c>
      <c r="I175">
        <f>IFERROR(IF(ISNUMBER(INDEX(SPPR!$E:$X,MATCH($A175,SPPR!$A:$A,0),6)),$C175*INDEX(SPPR!$E:$X,MATCH($A175,SPPR!$A:$A,0),6),""),"")</f>
        <v/>
      </c>
      <c r="J175">
        <f>IFERROR(IF(ISNUMBER(INDEX(SPPR!$E:$X,MATCH($A175,SPPR!$A:$A,0),7)),$C175*INDEX(SPPR!$E:$X,MATCH($A175,SPPR!$A:$A,0),7),""),"")</f>
        <v/>
      </c>
      <c r="K175">
        <f>IFERROR(IF(ISNUMBER(INDEX(SPPR!$E:$X,MATCH($A175,SPPR!$A:$A,0),8)),$C175*INDEX(SPPR!$E:$X,MATCH($A175,SPPR!$A:$A,0),8),""),"")</f>
        <v/>
      </c>
      <c r="L175">
        <f>IFERROR(IF(ISNUMBER(INDEX(SPPR!$E:$X,MATCH($A175,SPPR!$A:$A,0),9)),$C175*INDEX(SPPR!$E:$X,MATCH($A175,SPPR!$A:$A,0),9),""),"")</f>
        <v/>
      </c>
      <c r="M175">
        <f>IFERROR(IF(ISNUMBER(INDEX(SPPR!$E:$X,MATCH($A175,SPPR!$A:$A,0),10)),$C175*INDEX(SPPR!$E:$X,MATCH($A175,SPPR!$A:$A,0),10),""),"")</f>
        <v/>
      </c>
      <c r="N175">
        <f>IFERROR(IF(ISNUMBER(INDEX(SPPR!$E:$X,MATCH($A175,SPPR!$A:$A,0),11)),$C175*INDEX(SPPR!$E:$X,MATCH($A175,SPPR!$A:$A,0),11),""),"")</f>
        <v/>
      </c>
      <c r="O175">
        <f>IFERROR(IF(ISNUMBER(INDEX(SPPR!$E:$X,MATCH($A175,SPPR!$A:$A,0),12)),$C175*INDEX(SPPR!$E:$X,MATCH($A175,SPPR!$A:$A,0),12),""),"")</f>
        <v/>
      </c>
      <c r="P175">
        <f>IFERROR(IF(ISNUMBER(INDEX(SPPR!$E:$X,MATCH($A175,SPPR!$A:$A,0),13)),$C175*INDEX(SPPR!$E:$X,MATCH($A175,SPPR!$A:$A,0),13),""),"")</f>
        <v/>
      </c>
      <c r="Q175">
        <f>IFERROR(IF(ISNUMBER(INDEX(SPPR!$E:$X,MATCH($A175,SPPR!$A:$A,0),14)),$C175*INDEX(SPPR!$E:$X,MATCH($A175,SPPR!$A:$A,0),14),""),"")</f>
        <v/>
      </c>
      <c r="R175">
        <f>IFERROR(IF(ISNUMBER(INDEX(SPPR!$E:$X,MATCH($A175,SPPR!$A:$A,0),15)),$C175*INDEX(SPPR!$E:$X,MATCH($A175,SPPR!$A:$A,0),15),""),"")</f>
        <v/>
      </c>
      <c r="S175">
        <f>IFERROR(IF(ISNUMBER(INDEX(SPPR!$E:$X,MATCH($A175,SPPR!$A:$A,0),16)),$C175*INDEX(SPPR!$E:$X,MATCH($A175,SPPR!$A:$A,0),16),""),"")</f>
        <v/>
      </c>
      <c r="T175">
        <f>IFERROR(IF(ISNUMBER(INDEX(SPPR!$E:$X,MATCH($A175,SPPR!$A:$A,0),17)),$C175*INDEX(SPPR!$E:$X,MATCH($A175,SPPR!$A:$A,0),17),""),"")</f>
        <v/>
      </c>
      <c r="U175">
        <f>IFERROR(IF(ISNUMBER(INDEX(SPPR!$E:$X,MATCH($A175,SPPR!$A:$A,0),18)),$C175*INDEX(SPPR!$E:$X,MATCH($A175,SPPR!$A:$A,0),18),""),"")</f>
        <v/>
      </c>
      <c r="V175">
        <f>IFERROR(IF(ISNUMBER(INDEX(SPPR!$E:$X,MATCH($A175,SPPR!$A:$A,0),19)),$C175*INDEX(SPPR!$E:$X,MATCH($A175,SPPR!$A:$A,0),19),""),"")</f>
        <v/>
      </c>
      <c r="W175">
        <f>IFERROR(IF(ISNUMBER(INDEX(SPPR!$E:$X,MATCH($A175,SPPR!$A:$A,0),20)),$C175*INDEX(SPPR!$E:$X,MATCH($A175,SPPR!$A:$A,0),20),""),"")</f>
        <v/>
      </c>
    </row>
    <row r="176">
      <c r="A176" t="inlineStr">
        <is>
          <t>Chondrichthyes</t>
        </is>
      </c>
      <c r="B176">
        <f>IFERROR(INDEX(SPPR!$D:$D,MATCH($A176,SPPR!$A:$A,0)),"")</f>
        <v/>
      </c>
      <c r="C176">
        <f>IFERROR(INDEX(Catch!$E:$BV,MATCH($A176,Catch!$A:$A,0),MATCH($B$4,Catch!$E$1:$BV$1,0)),0)</f>
        <v/>
      </c>
      <c r="D176">
        <f>IFERROR(IF(ISNUMBER(INDEX(SPPR!$E:$X,MATCH($A176,SPPR!$A:$A,0),1)),$C176*INDEX(SPPR!$E:$X,MATCH($A176,SPPR!$A:$A,0),1),""),"")</f>
        <v/>
      </c>
      <c r="E176">
        <f>IFERROR(IF(ISNUMBER(INDEX(SPPR!$E:$X,MATCH($A176,SPPR!$A:$A,0),2)),$C176*INDEX(SPPR!$E:$X,MATCH($A176,SPPR!$A:$A,0),2),""),"")</f>
        <v/>
      </c>
      <c r="F176">
        <f>IFERROR(IF(ISNUMBER(INDEX(SPPR!$E:$X,MATCH($A176,SPPR!$A:$A,0),3)),$C176*INDEX(SPPR!$E:$X,MATCH($A176,SPPR!$A:$A,0),3),""),"")</f>
        <v/>
      </c>
      <c r="G176">
        <f>IFERROR(IF(ISNUMBER(INDEX(SPPR!$E:$X,MATCH($A176,SPPR!$A:$A,0),4)),$C176*INDEX(SPPR!$E:$X,MATCH($A176,SPPR!$A:$A,0),4),""),"")</f>
        <v/>
      </c>
      <c r="H176">
        <f>IFERROR(IF(ISNUMBER(INDEX(SPPR!$E:$X,MATCH($A176,SPPR!$A:$A,0),5)),$C176*INDEX(SPPR!$E:$X,MATCH($A176,SPPR!$A:$A,0),5),""),"")</f>
        <v/>
      </c>
      <c r="I176">
        <f>IFERROR(IF(ISNUMBER(INDEX(SPPR!$E:$X,MATCH($A176,SPPR!$A:$A,0),6)),$C176*INDEX(SPPR!$E:$X,MATCH($A176,SPPR!$A:$A,0),6),""),"")</f>
        <v/>
      </c>
      <c r="J176">
        <f>IFERROR(IF(ISNUMBER(INDEX(SPPR!$E:$X,MATCH($A176,SPPR!$A:$A,0),7)),$C176*INDEX(SPPR!$E:$X,MATCH($A176,SPPR!$A:$A,0),7),""),"")</f>
        <v/>
      </c>
      <c r="K176">
        <f>IFERROR(IF(ISNUMBER(INDEX(SPPR!$E:$X,MATCH($A176,SPPR!$A:$A,0),8)),$C176*INDEX(SPPR!$E:$X,MATCH($A176,SPPR!$A:$A,0),8),""),"")</f>
        <v/>
      </c>
      <c r="L176">
        <f>IFERROR(IF(ISNUMBER(INDEX(SPPR!$E:$X,MATCH($A176,SPPR!$A:$A,0),9)),$C176*INDEX(SPPR!$E:$X,MATCH($A176,SPPR!$A:$A,0),9),""),"")</f>
        <v/>
      </c>
      <c r="M176">
        <f>IFERROR(IF(ISNUMBER(INDEX(SPPR!$E:$X,MATCH($A176,SPPR!$A:$A,0),10)),$C176*INDEX(SPPR!$E:$X,MATCH($A176,SPPR!$A:$A,0),10),""),"")</f>
        <v/>
      </c>
      <c r="N176">
        <f>IFERROR(IF(ISNUMBER(INDEX(SPPR!$E:$X,MATCH($A176,SPPR!$A:$A,0),11)),$C176*INDEX(SPPR!$E:$X,MATCH($A176,SPPR!$A:$A,0),11),""),"")</f>
        <v/>
      </c>
      <c r="O176">
        <f>IFERROR(IF(ISNUMBER(INDEX(SPPR!$E:$X,MATCH($A176,SPPR!$A:$A,0),12)),$C176*INDEX(SPPR!$E:$X,MATCH($A176,SPPR!$A:$A,0),12),""),"")</f>
        <v/>
      </c>
      <c r="P176">
        <f>IFERROR(IF(ISNUMBER(INDEX(SPPR!$E:$X,MATCH($A176,SPPR!$A:$A,0),13)),$C176*INDEX(SPPR!$E:$X,MATCH($A176,SPPR!$A:$A,0),13),""),"")</f>
        <v/>
      </c>
      <c r="Q176">
        <f>IFERROR(IF(ISNUMBER(INDEX(SPPR!$E:$X,MATCH($A176,SPPR!$A:$A,0),14)),$C176*INDEX(SPPR!$E:$X,MATCH($A176,SPPR!$A:$A,0),14),""),"")</f>
        <v/>
      </c>
      <c r="R176">
        <f>IFERROR(IF(ISNUMBER(INDEX(SPPR!$E:$X,MATCH($A176,SPPR!$A:$A,0),15)),$C176*INDEX(SPPR!$E:$X,MATCH($A176,SPPR!$A:$A,0),15),""),"")</f>
        <v/>
      </c>
      <c r="S176">
        <f>IFERROR(IF(ISNUMBER(INDEX(SPPR!$E:$X,MATCH($A176,SPPR!$A:$A,0),16)),$C176*INDEX(SPPR!$E:$X,MATCH($A176,SPPR!$A:$A,0),16),""),"")</f>
        <v/>
      </c>
      <c r="T176">
        <f>IFERROR(IF(ISNUMBER(INDEX(SPPR!$E:$X,MATCH($A176,SPPR!$A:$A,0),17)),$C176*INDEX(SPPR!$E:$X,MATCH($A176,SPPR!$A:$A,0),17),""),"")</f>
        <v/>
      </c>
      <c r="U176">
        <f>IFERROR(IF(ISNUMBER(INDEX(SPPR!$E:$X,MATCH($A176,SPPR!$A:$A,0),18)),$C176*INDEX(SPPR!$E:$X,MATCH($A176,SPPR!$A:$A,0),18),""),"")</f>
        <v/>
      </c>
      <c r="V176">
        <f>IFERROR(IF(ISNUMBER(INDEX(SPPR!$E:$X,MATCH($A176,SPPR!$A:$A,0),19)),$C176*INDEX(SPPR!$E:$X,MATCH($A176,SPPR!$A:$A,0),19),""),"")</f>
        <v/>
      </c>
      <c r="W176">
        <f>IFERROR(IF(ISNUMBER(INDEX(SPPR!$E:$X,MATCH($A176,SPPR!$A:$A,0),20)),$C176*INDEX(SPPR!$E:$X,MATCH($A176,SPPR!$A:$A,0),20),""),"")</f>
        <v/>
      </c>
    </row>
    <row r="177">
      <c r="A177" t="inlineStr">
        <is>
          <t>Parapristipoma trilineatum</t>
        </is>
      </c>
      <c r="B177">
        <f>IFERROR(INDEX(SPPR!$D:$D,MATCH($A177,SPPR!$A:$A,0)),"")</f>
        <v/>
      </c>
      <c r="C177">
        <f>IFERROR(INDEX(Catch!$E:$BV,MATCH($A177,Catch!$A:$A,0),MATCH($B$4,Catch!$E$1:$BV$1,0)),0)</f>
        <v/>
      </c>
      <c r="D177">
        <f>IFERROR(IF(ISNUMBER(INDEX(SPPR!$E:$X,MATCH($A177,SPPR!$A:$A,0),1)),$C177*INDEX(SPPR!$E:$X,MATCH($A177,SPPR!$A:$A,0),1),""),"")</f>
        <v/>
      </c>
      <c r="E177">
        <f>IFERROR(IF(ISNUMBER(INDEX(SPPR!$E:$X,MATCH($A177,SPPR!$A:$A,0),2)),$C177*INDEX(SPPR!$E:$X,MATCH($A177,SPPR!$A:$A,0),2),""),"")</f>
        <v/>
      </c>
      <c r="F177">
        <f>IFERROR(IF(ISNUMBER(INDEX(SPPR!$E:$X,MATCH($A177,SPPR!$A:$A,0),3)),$C177*INDEX(SPPR!$E:$X,MATCH($A177,SPPR!$A:$A,0),3),""),"")</f>
        <v/>
      </c>
      <c r="G177">
        <f>IFERROR(IF(ISNUMBER(INDEX(SPPR!$E:$X,MATCH($A177,SPPR!$A:$A,0),4)),$C177*INDEX(SPPR!$E:$X,MATCH($A177,SPPR!$A:$A,0),4),""),"")</f>
        <v/>
      </c>
      <c r="H177">
        <f>IFERROR(IF(ISNUMBER(INDEX(SPPR!$E:$X,MATCH($A177,SPPR!$A:$A,0),5)),$C177*INDEX(SPPR!$E:$X,MATCH($A177,SPPR!$A:$A,0),5),""),"")</f>
        <v/>
      </c>
      <c r="I177">
        <f>IFERROR(IF(ISNUMBER(INDEX(SPPR!$E:$X,MATCH($A177,SPPR!$A:$A,0),6)),$C177*INDEX(SPPR!$E:$X,MATCH($A177,SPPR!$A:$A,0),6),""),"")</f>
        <v/>
      </c>
      <c r="J177">
        <f>IFERROR(IF(ISNUMBER(INDEX(SPPR!$E:$X,MATCH($A177,SPPR!$A:$A,0),7)),$C177*INDEX(SPPR!$E:$X,MATCH($A177,SPPR!$A:$A,0),7),""),"")</f>
        <v/>
      </c>
      <c r="K177">
        <f>IFERROR(IF(ISNUMBER(INDEX(SPPR!$E:$X,MATCH($A177,SPPR!$A:$A,0),8)),$C177*INDEX(SPPR!$E:$X,MATCH($A177,SPPR!$A:$A,0),8),""),"")</f>
        <v/>
      </c>
      <c r="L177">
        <f>IFERROR(IF(ISNUMBER(INDEX(SPPR!$E:$X,MATCH($A177,SPPR!$A:$A,0),9)),$C177*INDEX(SPPR!$E:$X,MATCH($A177,SPPR!$A:$A,0),9),""),"")</f>
        <v/>
      </c>
      <c r="M177">
        <f>IFERROR(IF(ISNUMBER(INDEX(SPPR!$E:$X,MATCH($A177,SPPR!$A:$A,0),10)),$C177*INDEX(SPPR!$E:$X,MATCH($A177,SPPR!$A:$A,0),10),""),"")</f>
        <v/>
      </c>
      <c r="N177">
        <f>IFERROR(IF(ISNUMBER(INDEX(SPPR!$E:$X,MATCH($A177,SPPR!$A:$A,0),11)),$C177*INDEX(SPPR!$E:$X,MATCH($A177,SPPR!$A:$A,0),11),""),"")</f>
        <v/>
      </c>
      <c r="O177">
        <f>IFERROR(IF(ISNUMBER(INDEX(SPPR!$E:$X,MATCH($A177,SPPR!$A:$A,0),12)),$C177*INDEX(SPPR!$E:$X,MATCH($A177,SPPR!$A:$A,0),12),""),"")</f>
        <v/>
      </c>
      <c r="P177">
        <f>IFERROR(IF(ISNUMBER(INDEX(SPPR!$E:$X,MATCH($A177,SPPR!$A:$A,0),13)),$C177*INDEX(SPPR!$E:$X,MATCH($A177,SPPR!$A:$A,0),13),""),"")</f>
        <v/>
      </c>
      <c r="Q177">
        <f>IFERROR(IF(ISNUMBER(INDEX(SPPR!$E:$X,MATCH($A177,SPPR!$A:$A,0),14)),$C177*INDEX(SPPR!$E:$X,MATCH($A177,SPPR!$A:$A,0),14),""),"")</f>
        <v/>
      </c>
      <c r="R177">
        <f>IFERROR(IF(ISNUMBER(INDEX(SPPR!$E:$X,MATCH($A177,SPPR!$A:$A,0),15)),$C177*INDEX(SPPR!$E:$X,MATCH($A177,SPPR!$A:$A,0),15),""),"")</f>
        <v/>
      </c>
      <c r="S177">
        <f>IFERROR(IF(ISNUMBER(INDEX(SPPR!$E:$X,MATCH($A177,SPPR!$A:$A,0),16)),$C177*INDEX(SPPR!$E:$X,MATCH($A177,SPPR!$A:$A,0),16),""),"")</f>
        <v/>
      </c>
      <c r="T177">
        <f>IFERROR(IF(ISNUMBER(INDEX(SPPR!$E:$X,MATCH($A177,SPPR!$A:$A,0),17)),$C177*INDEX(SPPR!$E:$X,MATCH($A177,SPPR!$A:$A,0),17),""),"")</f>
        <v/>
      </c>
      <c r="U177">
        <f>IFERROR(IF(ISNUMBER(INDEX(SPPR!$E:$X,MATCH($A177,SPPR!$A:$A,0),18)),$C177*INDEX(SPPR!$E:$X,MATCH($A177,SPPR!$A:$A,0),18),""),"")</f>
        <v/>
      </c>
      <c r="V177">
        <f>IFERROR(IF(ISNUMBER(INDEX(SPPR!$E:$X,MATCH($A177,SPPR!$A:$A,0),19)),$C177*INDEX(SPPR!$E:$X,MATCH($A177,SPPR!$A:$A,0),19),""),"")</f>
        <v/>
      </c>
      <c r="W177">
        <f>IFERROR(IF(ISNUMBER(INDEX(SPPR!$E:$X,MATCH($A177,SPPR!$A:$A,0),20)),$C177*INDEX(SPPR!$E:$X,MATCH($A177,SPPR!$A:$A,0),20),""),"")</f>
        <v/>
      </c>
    </row>
    <row r="178">
      <c r="A178" t="inlineStr">
        <is>
          <t>Evynnis tumifrons</t>
        </is>
      </c>
      <c r="B178">
        <f>IFERROR(INDEX(SPPR!$D:$D,MATCH($A178,SPPR!$A:$A,0)),"")</f>
        <v/>
      </c>
      <c r="C178">
        <f>IFERROR(INDEX(Catch!$E:$BV,MATCH($A178,Catch!$A:$A,0),MATCH($B$4,Catch!$E$1:$BV$1,0)),0)</f>
        <v/>
      </c>
      <c r="D178">
        <f>IFERROR(IF(ISNUMBER(INDEX(SPPR!$E:$X,MATCH($A178,SPPR!$A:$A,0),1)),$C178*INDEX(SPPR!$E:$X,MATCH($A178,SPPR!$A:$A,0),1),""),"")</f>
        <v/>
      </c>
      <c r="E178">
        <f>IFERROR(IF(ISNUMBER(INDEX(SPPR!$E:$X,MATCH($A178,SPPR!$A:$A,0),2)),$C178*INDEX(SPPR!$E:$X,MATCH($A178,SPPR!$A:$A,0),2),""),"")</f>
        <v/>
      </c>
      <c r="F178">
        <f>IFERROR(IF(ISNUMBER(INDEX(SPPR!$E:$X,MATCH($A178,SPPR!$A:$A,0),3)),$C178*INDEX(SPPR!$E:$X,MATCH($A178,SPPR!$A:$A,0),3),""),"")</f>
        <v/>
      </c>
      <c r="G178">
        <f>IFERROR(IF(ISNUMBER(INDEX(SPPR!$E:$X,MATCH($A178,SPPR!$A:$A,0),4)),$C178*INDEX(SPPR!$E:$X,MATCH($A178,SPPR!$A:$A,0),4),""),"")</f>
        <v/>
      </c>
      <c r="H178">
        <f>IFERROR(IF(ISNUMBER(INDEX(SPPR!$E:$X,MATCH($A178,SPPR!$A:$A,0),5)),$C178*INDEX(SPPR!$E:$X,MATCH($A178,SPPR!$A:$A,0),5),""),"")</f>
        <v/>
      </c>
      <c r="I178">
        <f>IFERROR(IF(ISNUMBER(INDEX(SPPR!$E:$X,MATCH($A178,SPPR!$A:$A,0),6)),$C178*INDEX(SPPR!$E:$X,MATCH($A178,SPPR!$A:$A,0),6),""),"")</f>
        <v/>
      </c>
      <c r="J178">
        <f>IFERROR(IF(ISNUMBER(INDEX(SPPR!$E:$X,MATCH($A178,SPPR!$A:$A,0),7)),$C178*INDEX(SPPR!$E:$X,MATCH($A178,SPPR!$A:$A,0),7),""),"")</f>
        <v/>
      </c>
      <c r="K178">
        <f>IFERROR(IF(ISNUMBER(INDEX(SPPR!$E:$X,MATCH($A178,SPPR!$A:$A,0),8)),$C178*INDEX(SPPR!$E:$X,MATCH($A178,SPPR!$A:$A,0),8),""),"")</f>
        <v/>
      </c>
      <c r="L178">
        <f>IFERROR(IF(ISNUMBER(INDEX(SPPR!$E:$X,MATCH($A178,SPPR!$A:$A,0),9)),$C178*INDEX(SPPR!$E:$X,MATCH($A178,SPPR!$A:$A,0),9),""),"")</f>
        <v/>
      </c>
      <c r="M178">
        <f>IFERROR(IF(ISNUMBER(INDEX(SPPR!$E:$X,MATCH($A178,SPPR!$A:$A,0),10)),$C178*INDEX(SPPR!$E:$X,MATCH($A178,SPPR!$A:$A,0),10),""),"")</f>
        <v/>
      </c>
      <c r="N178">
        <f>IFERROR(IF(ISNUMBER(INDEX(SPPR!$E:$X,MATCH($A178,SPPR!$A:$A,0),11)),$C178*INDEX(SPPR!$E:$X,MATCH($A178,SPPR!$A:$A,0),11),""),"")</f>
        <v/>
      </c>
      <c r="O178">
        <f>IFERROR(IF(ISNUMBER(INDEX(SPPR!$E:$X,MATCH($A178,SPPR!$A:$A,0),12)),$C178*INDEX(SPPR!$E:$X,MATCH($A178,SPPR!$A:$A,0),12),""),"")</f>
        <v/>
      </c>
      <c r="P178">
        <f>IFERROR(IF(ISNUMBER(INDEX(SPPR!$E:$X,MATCH($A178,SPPR!$A:$A,0),13)),$C178*INDEX(SPPR!$E:$X,MATCH($A178,SPPR!$A:$A,0),13),""),"")</f>
        <v/>
      </c>
      <c r="Q178">
        <f>IFERROR(IF(ISNUMBER(INDEX(SPPR!$E:$X,MATCH($A178,SPPR!$A:$A,0),14)),$C178*INDEX(SPPR!$E:$X,MATCH($A178,SPPR!$A:$A,0),14),""),"")</f>
        <v/>
      </c>
      <c r="R178">
        <f>IFERROR(IF(ISNUMBER(INDEX(SPPR!$E:$X,MATCH($A178,SPPR!$A:$A,0),15)),$C178*INDEX(SPPR!$E:$X,MATCH($A178,SPPR!$A:$A,0),15),""),"")</f>
        <v/>
      </c>
      <c r="S178">
        <f>IFERROR(IF(ISNUMBER(INDEX(SPPR!$E:$X,MATCH($A178,SPPR!$A:$A,0),16)),$C178*INDEX(SPPR!$E:$X,MATCH($A178,SPPR!$A:$A,0),16),""),"")</f>
        <v/>
      </c>
      <c r="T178">
        <f>IFERROR(IF(ISNUMBER(INDEX(SPPR!$E:$X,MATCH($A178,SPPR!$A:$A,0),17)),$C178*INDEX(SPPR!$E:$X,MATCH($A178,SPPR!$A:$A,0),17),""),"")</f>
        <v/>
      </c>
      <c r="U178">
        <f>IFERROR(IF(ISNUMBER(INDEX(SPPR!$E:$X,MATCH($A178,SPPR!$A:$A,0),18)),$C178*INDEX(SPPR!$E:$X,MATCH($A178,SPPR!$A:$A,0),18),""),"")</f>
        <v/>
      </c>
      <c r="V178">
        <f>IFERROR(IF(ISNUMBER(INDEX(SPPR!$E:$X,MATCH($A178,SPPR!$A:$A,0),19)),$C178*INDEX(SPPR!$E:$X,MATCH($A178,SPPR!$A:$A,0),19),""),"")</f>
        <v/>
      </c>
      <c r="W178">
        <f>IFERROR(IF(ISNUMBER(INDEX(SPPR!$E:$X,MATCH($A178,SPPR!$A:$A,0),20)),$C178*INDEX(SPPR!$E:$X,MATCH($A178,SPPR!$A:$A,0),20),""),"")</f>
        <v/>
      </c>
    </row>
    <row r="179">
      <c r="A179" t="inlineStr">
        <is>
          <t>Scyllaridae</t>
        </is>
      </c>
      <c r="B179">
        <f>IFERROR(INDEX(SPPR!$D:$D,MATCH($A179,SPPR!$A:$A,0)),"")</f>
        <v/>
      </c>
      <c r="C179">
        <f>IFERROR(INDEX(Catch!$E:$BV,MATCH($A179,Catch!$A:$A,0),MATCH($B$4,Catch!$E$1:$BV$1,0)),0)</f>
        <v/>
      </c>
      <c r="D179">
        <f>IFERROR(IF(ISNUMBER(INDEX(SPPR!$E:$X,MATCH($A179,SPPR!$A:$A,0),1)),$C179*INDEX(SPPR!$E:$X,MATCH($A179,SPPR!$A:$A,0),1),""),"")</f>
        <v/>
      </c>
      <c r="E179">
        <f>IFERROR(IF(ISNUMBER(INDEX(SPPR!$E:$X,MATCH($A179,SPPR!$A:$A,0),2)),$C179*INDEX(SPPR!$E:$X,MATCH($A179,SPPR!$A:$A,0),2),""),"")</f>
        <v/>
      </c>
      <c r="F179">
        <f>IFERROR(IF(ISNUMBER(INDEX(SPPR!$E:$X,MATCH($A179,SPPR!$A:$A,0),3)),$C179*INDEX(SPPR!$E:$X,MATCH($A179,SPPR!$A:$A,0),3),""),"")</f>
        <v/>
      </c>
      <c r="G179">
        <f>IFERROR(IF(ISNUMBER(INDEX(SPPR!$E:$X,MATCH($A179,SPPR!$A:$A,0),4)),$C179*INDEX(SPPR!$E:$X,MATCH($A179,SPPR!$A:$A,0),4),""),"")</f>
        <v/>
      </c>
      <c r="H179">
        <f>IFERROR(IF(ISNUMBER(INDEX(SPPR!$E:$X,MATCH($A179,SPPR!$A:$A,0),5)),$C179*INDEX(SPPR!$E:$X,MATCH($A179,SPPR!$A:$A,0),5),""),"")</f>
        <v/>
      </c>
      <c r="I179">
        <f>IFERROR(IF(ISNUMBER(INDEX(SPPR!$E:$X,MATCH($A179,SPPR!$A:$A,0),6)),$C179*INDEX(SPPR!$E:$X,MATCH($A179,SPPR!$A:$A,0),6),""),"")</f>
        <v/>
      </c>
      <c r="J179">
        <f>IFERROR(IF(ISNUMBER(INDEX(SPPR!$E:$X,MATCH($A179,SPPR!$A:$A,0),7)),$C179*INDEX(SPPR!$E:$X,MATCH($A179,SPPR!$A:$A,0),7),""),"")</f>
        <v/>
      </c>
      <c r="K179">
        <f>IFERROR(IF(ISNUMBER(INDEX(SPPR!$E:$X,MATCH($A179,SPPR!$A:$A,0),8)),$C179*INDEX(SPPR!$E:$X,MATCH($A179,SPPR!$A:$A,0),8),""),"")</f>
        <v/>
      </c>
      <c r="L179">
        <f>IFERROR(IF(ISNUMBER(INDEX(SPPR!$E:$X,MATCH($A179,SPPR!$A:$A,0),9)),$C179*INDEX(SPPR!$E:$X,MATCH($A179,SPPR!$A:$A,0),9),""),"")</f>
        <v/>
      </c>
      <c r="M179">
        <f>IFERROR(IF(ISNUMBER(INDEX(SPPR!$E:$X,MATCH($A179,SPPR!$A:$A,0),10)),$C179*INDEX(SPPR!$E:$X,MATCH($A179,SPPR!$A:$A,0),10),""),"")</f>
        <v/>
      </c>
      <c r="N179">
        <f>IFERROR(IF(ISNUMBER(INDEX(SPPR!$E:$X,MATCH($A179,SPPR!$A:$A,0),11)),$C179*INDEX(SPPR!$E:$X,MATCH($A179,SPPR!$A:$A,0),11),""),"")</f>
        <v/>
      </c>
      <c r="O179">
        <f>IFERROR(IF(ISNUMBER(INDEX(SPPR!$E:$X,MATCH($A179,SPPR!$A:$A,0),12)),$C179*INDEX(SPPR!$E:$X,MATCH($A179,SPPR!$A:$A,0),12),""),"")</f>
        <v/>
      </c>
      <c r="P179">
        <f>IFERROR(IF(ISNUMBER(INDEX(SPPR!$E:$X,MATCH($A179,SPPR!$A:$A,0),13)),$C179*INDEX(SPPR!$E:$X,MATCH($A179,SPPR!$A:$A,0),13),""),"")</f>
        <v/>
      </c>
      <c r="Q179">
        <f>IFERROR(IF(ISNUMBER(INDEX(SPPR!$E:$X,MATCH($A179,SPPR!$A:$A,0),14)),$C179*INDEX(SPPR!$E:$X,MATCH($A179,SPPR!$A:$A,0),14),""),"")</f>
        <v/>
      </c>
      <c r="R179">
        <f>IFERROR(IF(ISNUMBER(INDEX(SPPR!$E:$X,MATCH($A179,SPPR!$A:$A,0),15)),$C179*INDEX(SPPR!$E:$X,MATCH($A179,SPPR!$A:$A,0),15),""),"")</f>
        <v/>
      </c>
      <c r="S179">
        <f>IFERROR(IF(ISNUMBER(INDEX(SPPR!$E:$X,MATCH($A179,SPPR!$A:$A,0),16)),$C179*INDEX(SPPR!$E:$X,MATCH($A179,SPPR!$A:$A,0),16),""),"")</f>
        <v/>
      </c>
      <c r="T179">
        <f>IFERROR(IF(ISNUMBER(INDEX(SPPR!$E:$X,MATCH($A179,SPPR!$A:$A,0),17)),$C179*INDEX(SPPR!$E:$X,MATCH($A179,SPPR!$A:$A,0),17),""),"")</f>
        <v/>
      </c>
      <c r="U179">
        <f>IFERROR(IF(ISNUMBER(INDEX(SPPR!$E:$X,MATCH($A179,SPPR!$A:$A,0),18)),$C179*INDEX(SPPR!$E:$X,MATCH($A179,SPPR!$A:$A,0),18),""),"")</f>
        <v/>
      </c>
      <c r="V179">
        <f>IFERROR(IF(ISNUMBER(INDEX(SPPR!$E:$X,MATCH($A179,SPPR!$A:$A,0),19)),$C179*INDEX(SPPR!$E:$X,MATCH($A179,SPPR!$A:$A,0),19),""),"")</f>
        <v/>
      </c>
      <c r="W179">
        <f>IFERROR(IF(ISNUMBER(INDEX(SPPR!$E:$X,MATCH($A179,SPPR!$A:$A,0),20)),$C179*INDEX(SPPR!$E:$X,MATCH($A179,SPPR!$A:$A,0),20),""),"")</f>
        <v/>
      </c>
    </row>
    <row r="180">
      <c r="A180" t="inlineStr">
        <is>
          <t>Xiphias gladius</t>
        </is>
      </c>
      <c r="B180">
        <f>IFERROR(INDEX(SPPR!$D:$D,MATCH($A180,SPPR!$A:$A,0)),"")</f>
        <v/>
      </c>
      <c r="C180">
        <f>IFERROR(INDEX(Catch!$E:$BV,MATCH($A180,Catch!$A:$A,0),MATCH($B$4,Catch!$E$1:$BV$1,0)),0)</f>
        <v/>
      </c>
      <c r="D180">
        <f>IFERROR(IF(ISNUMBER(INDEX(SPPR!$E:$X,MATCH($A180,SPPR!$A:$A,0),1)),$C180*INDEX(SPPR!$E:$X,MATCH($A180,SPPR!$A:$A,0),1),""),"")</f>
        <v/>
      </c>
      <c r="E180">
        <f>IFERROR(IF(ISNUMBER(INDEX(SPPR!$E:$X,MATCH($A180,SPPR!$A:$A,0),2)),$C180*INDEX(SPPR!$E:$X,MATCH($A180,SPPR!$A:$A,0),2),""),"")</f>
        <v/>
      </c>
      <c r="F180">
        <f>IFERROR(IF(ISNUMBER(INDEX(SPPR!$E:$X,MATCH($A180,SPPR!$A:$A,0),3)),$C180*INDEX(SPPR!$E:$X,MATCH($A180,SPPR!$A:$A,0),3),""),"")</f>
        <v/>
      </c>
      <c r="G180">
        <f>IFERROR(IF(ISNUMBER(INDEX(SPPR!$E:$X,MATCH($A180,SPPR!$A:$A,0),4)),$C180*INDEX(SPPR!$E:$X,MATCH($A180,SPPR!$A:$A,0),4),""),"")</f>
        <v/>
      </c>
      <c r="H180">
        <f>IFERROR(IF(ISNUMBER(INDEX(SPPR!$E:$X,MATCH($A180,SPPR!$A:$A,0),5)),$C180*INDEX(SPPR!$E:$X,MATCH($A180,SPPR!$A:$A,0),5),""),"")</f>
        <v/>
      </c>
      <c r="I180">
        <f>IFERROR(IF(ISNUMBER(INDEX(SPPR!$E:$X,MATCH($A180,SPPR!$A:$A,0),6)),$C180*INDEX(SPPR!$E:$X,MATCH($A180,SPPR!$A:$A,0),6),""),"")</f>
        <v/>
      </c>
      <c r="J180">
        <f>IFERROR(IF(ISNUMBER(INDEX(SPPR!$E:$X,MATCH($A180,SPPR!$A:$A,0),7)),$C180*INDEX(SPPR!$E:$X,MATCH($A180,SPPR!$A:$A,0),7),""),"")</f>
        <v/>
      </c>
      <c r="K180">
        <f>IFERROR(IF(ISNUMBER(INDEX(SPPR!$E:$X,MATCH($A180,SPPR!$A:$A,0),8)),$C180*INDEX(SPPR!$E:$X,MATCH($A180,SPPR!$A:$A,0),8),""),"")</f>
        <v/>
      </c>
      <c r="L180">
        <f>IFERROR(IF(ISNUMBER(INDEX(SPPR!$E:$X,MATCH($A180,SPPR!$A:$A,0),9)),$C180*INDEX(SPPR!$E:$X,MATCH($A180,SPPR!$A:$A,0),9),""),"")</f>
        <v/>
      </c>
      <c r="M180">
        <f>IFERROR(IF(ISNUMBER(INDEX(SPPR!$E:$X,MATCH($A180,SPPR!$A:$A,0),10)),$C180*INDEX(SPPR!$E:$X,MATCH($A180,SPPR!$A:$A,0),10),""),"")</f>
        <v/>
      </c>
      <c r="N180">
        <f>IFERROR(IF(ISNUMBER(INDEX(SPPR!$E:$X,MATCH($A180,SPPR!$A:$A,0),11)),$C180*INDEX(SPPR!$E:$X,MATCH($A180,SPPR!$A:$A,0),11),""),"")</f>
        <v/>
      </c>
      <c r="O180">
        <f>IFERROR(IF(ISNUMBER(INDEX(SPPR!$E:$X,MATCH($A180,SPPR!$A:$A,0),12)),$C180*INDEX(SPPR!$E:$X,MATCH($A180,SPPR!$A:$A,0),12),""),"")</f>
        <v/>
      </c>
      <c r="P180">
        <f>IFERROR(IF(ISNUMBER(INDEX(SPPR!$E:$X,MATCH($A180,SPPR!$A:$A,0),13)),$C180*INDEX(SPPR!$E:$X,MATCH($A180,SPPR!$A:$A,0),13),""),"")</f>
        <v/>
      </c>
      <c r="Q180">
        <f>IFERROR(IF(ISNUMBER(INDEX(SPPR!$E:$X,MATCH($A180,SPPR!$A:$A,0),14)),$C180*INDEX(SPPR!$E:$X,MATCH($A180,SPPR!$A:$A,0),14),""),"")</f>
        <v/>
      </c>
      <c r="R180">
        <f>IFERROR(IF(ISNUMBER(INDEX(SPPR!$E:$X,MATCH($A180,SPPR!$A:$A,0),15)),$C180*INDEX(SPPR!$E:$X,MATCH($A180,SPPR!$A:$A,0),15),""),"")</f>
        <v/>
      </c>
      <c r="S180">
        <f>IFERROR(IF(ISNUMBER(INDEX(SPPR!$E:$X,MATCH($A180,SPPR!$A:$A,0),16)),$C180*INDEX(SPPR!$E:$X,MATCH($A180,SPPR!$A:$A,0),16),""),"")</f>
        <v/>
      </c>
      <c r="T180">
        <f>IFERROR(IF(ISNUMBER(INDEX(SPPR!$E:$X,MATCH($A180,SPPR!$A:$A,0),17)),$C180*INDEX(SPPR!$E:$X,MATCH($A180,SPPR!$A:$A,0),17),""),"")</f>
        <v/>
      </c>
      <c r="U180">
        <f>IFERROR(IF(ISNUMBER(INDEX(SPPR!$E:$X,MATCH($A180,SPPR!$A:$A,0),18)),$C180*INDEX(SPPR!$E:$X,MATCH($A180,SPPR!$A:$A,0),18),""),"")</f>
        <v/>
      </c>
      <c r="V180">
        <f>IFERROR(IF(ISNUMBER(INDEX(SPPR!$E:$X,MATCH($A180,SPPR!$A:$A,0),19)),$C180*INDEX(SPPR!$E:$X,MATCH($A180,SPPR!$A:$A,0),19),""),"")</f>
        <v/>
      </c>
      <c r="W180">
        <f>IFERROR(IF(ISNUMBER(INDEX(SPPR!$E:$X,MATCH($A180,SPPR!$A:$A,0),20)),$C180*INDEX(SPPR!$E:$X,MATCH($A180,SPPR!$A:$A,0),20),""),"")</f>
        <v/>
      </c>
    </row>
    <row r="181">
      <c r="A181" t="inlineStr">
        <is>
          <t>Epinephelus coioides</t>
        </is>
      </c>
      <c r="B181">
        <f>IFERROR(INDEX(SPPR!$D:$D,MATCH($A181,SPPR!$A:$A,0)),"")</f>
        <v/>
      </c>
      <c r="C181">
        <f>IFERROR(INDEX(Catch!$E:$BV,MATCH($A181,Catch!$A:$A,0),MATCH($B$4,Catch!$E$1:$BV$1,0)),0)</f>
        <v/>
      </c>
      <c r="D181">
        <f>IFERROR(IF(ISNUMBER(INDEX(SPPR!$E:$X,MATCH($A181,SPPR!$A:$A,0),1)),$C181*INDEX(SPPR!$E:$X,MATCH($A181,SPPR!$A:$A,0),1),""),"")</f>
        <v/>
      </c>
      <c r="E181">
        <f>IFERROR(IF(ISNUMBER(INDEX(SPPR!$E:$X,MATCH($A181,SPPR!$A:$A,0),2)),$C181*INDEX(SPPR!$E:$X,MATCH($A181,SPPR!$A:$A,0),2),""),"")</f>
        <v/>
      </c>
      <c r="F181">
        <f>IFERROR(IF(ISNUMBER(INDEX(SPPR!$E:$X,MATCH($A181,SPPR!$A:$A,0),3)),$C181*INDEX(SPPR!$E:$X,MATCH($A181,SPPR!$A:$A,0),3),""),"")</f>
        <v/>
      </c>
      <c r="G181">
        <f>IFERROR(IF(ISNUMBER(INDEX(SPPR!$E:$X,MATCH($A181,SPPR!$A:$A,0),4)),$C181*INDEX(SPPR!$E:$X,MATCH($A181,SPPR!$A:$A,0),4),""),"")</f>
        <v/>
      </c>
      <c r="H181">
        <f>IFERROR(IF(ISNUMBER(INDEX(SPPR!$E:$X,MATCH($A181,SPPR!$A:$A,0),5)),$C181*INDEX(SPPR!$E:$X,MATCH($A181,SPPR!$A:$A,0),5),""),"")</f>
        <v/>
      </c>
      <c r="I181">
        <f>IFERROR(IF(ISNUMBER(INDEX(SPPR!$E:$X,MATCH($A181,SPPR!$A:$A,0),6)),$C181*INDEX(SPPR!$E:$X,MATCH($A181,SPPR!$A:$A,0),6),""),"")</f>
        <v/>
      </c>
      <c r="J181">
        <f>IFERROR(IF(ISNUMBER(INDEX(SPPR!$E:$X,MATCH($A181,SPPR!$A:$A,0),7)),$C181*INDEX(SPPR!$E:$X,MATCH($A181,SPPR!$A:$A,0),7),""),"")</f>
        <v/>
      </c>
      <c r="K181">
        <f>IFERROR(IF(ISNUMBER(INDEX(SPPR!$E:$X,MATCH($A181,SPPR!$A:$A,0),8)),$C181*INDEX(SPPR!$E:$X,MATCH($A181,SPPR!$A:$A,0),8),""),"")</f>
        <v/>
      </c>
      <c r="L181">
        <f>IFERROR(IF(ISNUMBER(INDEX(SPPR!$E:$X,MATCH($A181,SPPR!$A:$A,0),9)),$C181*INDEX(SPPR!$E:$X,MATCH($A181,SPPR!$A:$A,0),9),""),"")</f>
        <v/>
      </c>
      <c r="M181">
        <f>IFERROR(IF(ISNUMBER(INDEX(SPPR!$E:$X,MATCH($A181,SPPR!$A:$A,0),10)),$C181*INDEX(SPPR!$E:$X,MATCH($A181,SPPR!$A:$A,0),10),""),"")</f>
        <v/>
      </c>
      <c r="N181">
        <f>IFERROR(IF(ISNUMBER(INDEX(SPPR!$E:$X,MATCH($A181,SPPR!$A:$A,0),11)),$C181*INDEX(SPPR!$E:$X,MATCH($A181,SPPR!$A:$A,0),11),""),"")</f>
        <v/>
      </c>
      <c r="O181">
        <f>IFERROR(IF(ISNUMBER(INDEX(SPPR!$E:$X,MATCH($A181,SPPR!$A:$A,0),12)),$C181*INDEX(SPPR!$E:$X,MATCH($A181,SPPR!$A:$A,0),12),""),"")</f>
        <v/>
      </c>
      <c r="P181">
        <f>IFERROR(IF(ISNUMBER(INDEX(SPPR!$E:$X,MATCH($A181,SPPR!$A:$A,0),13)),$C181*INDEX(SPPR!$E:$X,MATCH($A181,SPPR!$A:$A,0),13),""),"")</f>
        <v/>
      </c>
      <c r="Q181">
        <f>IFERROR(IF(ISNUMBER(INDEX(SPPR!$E:$X,MATCH($A181,SPPR!$A:$A,0),14)),$C181*INDEX(SPPR!$E:$X,MATCH($A181,SPPR!$A:$A,0),14),""),"")</f>
        <v/>
      </c>
      <c r="R181">
        <f>IFERROR(IF(ISNUMBER(INDEX(SPPR!$E:$X,MATCH($A181,SPPR!$A:$A,0),15)),$C181*INDEX(SPPR!$E:$X,MATCH($A181,SPPR!$A:$A,0),15),""),"")</f>
        <v/>
      </c>
      <c r="S181">
        <f>IFERROR(IF(ISNUMBER(INDEX(SPPR!$E:$X,MATCH($A181,SPPR!$A:$A,0),16)),$C181*INDEX(SPPR!$E:$X,MATCH($A181,SPPR!$A:$A,0),16),""),"")</f>
        <v/>
      </c>
      <c r="T181">
        <f>IFERROR(IF(ISNUMBER(INDEX(SPPR!$E:$X,MATCH($A181,SPPR!$A:$A,0),17)),$C181*INDEX(SPPR!$E:$X,MATCH($A181,SPPR!$A:$A,0),17),""),"")</f>
        <v/>
      </c>
      <c r="U181">
        <f>IFERROR(IF(ISNUMBER(INDEX(SPPR!$E:$X,MATCH($A181,SPPR!$A:$A,0),18)),$C181*INDEX(SPPR!$E:$X,MATCH($A181,SPPR!$A:$A,0),18),""),"")</f>
        <v/>
      </c>
      <c r="V181">
        <f>IFERROR(IF(ISNUMBER(INDEX(SPPR!$E:$X,MATCH($A181,SPPR!$A:$A,0),19)),$C181*INDEX(SPPR!$E:$X,MATCH($A181,SPPR!$A:$A,0),19),""),"")</f>
        <v/>
      </c>
      <c r="W181">
        <f>IFERROR(IF(ISNUMBER(INDEX(SPPR!$E:$X,MATCH($A181,SPPR!$A:$A,0),20)),$C181*INDEX(SPPR!$E:$X,MATCH($A181,SPPR!$A:$A,0),20),""),"")</f>
        <v/>
      </c>
    </row>
    <row r="182">
      <c r="A182" t="inlineStr">
        <is>
          <t>Gobiidae</t>
        </is>
      </c>
      <c r="B182">
        <f>IFERROR(INDEX(SPPR!$D:$D,MATCH($A182,SPPR!$A:$A,0)),"")</f>
        <v/>
      </c>
      <c r="C182">
        <f>IFERROR(INDEX(Catch!$E:$BV,MATCH($A182,Catch!$A:$A,0),MATCH($B$4,Catch!$E$1:$BV$1,0)),0)</f>
        <v/>
      </c>
      <c r="D182">
        <f>IFERROR(IF(ISNUMBER(INDEX(SPPR!$E:$X,MATCH($A182,SPPR!$A:$A,0),1)),$C182*INDEX(SPPR!$E:$X,MATCH($A182,SPPR!$A:$A,0),1),""),"")</f>
        <v/>
      </c>
      <c r="E182">
        <f>IFERROR(IF(ISNUMBER(INDEX(SPPR!$E:$X,MATCH($A182,SPPR!$A:$A,0),2)),$C182*INDEX(SPPR!$E:$X,MATCH($A182,SPPR!$A:$A,0),2),""),"")</f>
        <v/>
      </c>
      <c r="F182">
        <f>IFERROR(IF(ISNUMBER(INDEX(SPPR!$E:$X,MATCH($A182,SPPR!$A:$A,0),3)),$C182*INDEX(SPPR!$E:$X,MATCH($A182,SPPR!$A:$A,0),3),""),"")</f>
        <v/>
      </c>
      <c r="G182">
        <f>IFERROR(IF(ISNUMBER(INDEX(SPPR!$E:$X,MATCH($A182,SPPR!$A:$A,0),4)),$C182*INDEX(SPPR!$E:$X,MATCH($A182,SPPR!$A:$A,0),4),""),"")</f>
        <v/>
      </c>
      <c r="H182">
        <f>IFERROR(IF(ISNUMBER(INDEX(SPPR!$E:$X,MATCH($A182,SPPR!$A:$A,0),5)),$C182*INDEX(SPPR!$E:$X,MATCH($A182,SPPR!$A:$A,0),5),""),"")</f>
        <v/>
      </c>
      <c r="I182">
        <f>IFERROR(IF(ISNUMBER(INDEX(SPPR!$E:$X,MATCH($A182,SPPR!$A:$A,0),6)),$C182*INDEX(SPPR!$E:$X,MATCH($A182,SPPR!$A:$A,0),6),""),"")</f>
        <v/>
      </c>
      <c r="J182">
        <f>IFERROR(IF(ISNUMBER(INDEX(SPPR!$E:$X,MATCH($A182,SPPR!$A:$A,0),7)),$C182*INDEX(SPPR!$E:$X,MATCH($A182,SPPR!$A:$A,0),7),""),"")</f>
        <v/>
      </c>
      <c r="K182">
        <f>IFERROR(IF(ISNUMBER(INDEX(SPPR!$E:$X,MATCH($A182,SPPR!$A:$A,0),8)),$C182*INDEX(SPPR!$E:$X,MATCH($A182,SPPR!$A:$A,0),8),""),"")</f>
        <v/>
      </c>
      <c r="L182">
        <f>IFERROR(IF(ISNUMBER(INDEX(SPPR!$E:$X,MATCH($A182,SPPR!$A:$A,0),9)),$C182*INDEX(SPPR!$E:$X,MATCH($A182,SPPR!$A:$A,0),9),""),"")</f>
        <v/>
      </c>
      <c r="M182">
        <f>IFERROR(IF(ISNUMBER(INDEX(SPPR!$E:$X,MATCH($A182,SPPR!$A:$A,0),10)),$C182*INDEX(SPPR!$E:$X,MATCH($A182,SPPR!$A:$A,0),10),""),"")</f>
        <v/>
      </c>
      <c r="N182">
        <f>IFERROR(IF(ISNUMBER(INDEX(SPPR!$E:$X,MATCH($A182,SPPR!$A:$A,0),11)),$C182*INDEX(SPPR!$E:$X,MATCH($A182,SPPR!$A:$A,0),11),""),"")</f>
        <v/>
      </c>
      <c r="O182">
        <f>IFERROR(IF(ISNUMBER(INDEX(SPPR!$E:$X,MATCH($A182,SPPR!$A:$A,0),12)),$C182*INDEX(SPPR!$E:$X,MATCH($A182,SPPR!$A:$A,0),12),""),"")</f>
        <v/>
      </c>
      <c r="P182">
        <f>IFERROR(IF(ISNUMBER(INDEX(SPPR!$E:$X,MATCH($A182,SPPR!$A:$A,0),13)),$C182*INDEX(SPPR!$E:$X,MATCH($A182,SPPR!$A:$A,0),13),""),"")</f>
        <v/>
      </c>
      <c r="Q182">
        <f>IFERROR(IF(ISNUMBER(INDEX(SPPR!$E:$X,MATCH($A182,SPPR!$A:$A,0),14)),$C182*INDEX(SPPR!$E:$X,MATCH($A182,SPPR!$A:$A,0),14),""),"")</f>
        <v/>
      </c>
      <c r="R182">
        <f>IFERROR(IF(ISNUMBER(INDEX(SPPR!$E:$X,MATCH($A182,SPPR!$A:$A,0),15)),$C182*INDEX(SPPR!$E:$X,MATCH($A182,SPPR!$A:$A,0),15),""),"")</f>
        <v/>
      </c>
      <c r="S182">
        <f>IFERROR(IF(ISNUMBER(INDEX(SPPR!$E:$X,MATCH($A182,SPPR!$A:$A,0),16)),$C182*INDEX(SPPR!$E:$X,MATCH($A182,SPPR!$A:$A,0),16),""),"")</f>
        <v/>
      </c>
      <c r="T182">
        <f>IFERROR(IF(ISNUMBER(INDEX(SPPR!$E:$X,MATCH($A182,SPPR!$A:$A,0),17)),$C182*INDEX(SPPR!$E:$X,MATCH($A182,SPPR!$A:$A,0),17),""),"")</f>
        <v/>
      </c>
      <c r="U182">
        <f>IFERROR(IF(ISNUMBER(INDEX(SPPR!$E:$X,MATCH($A182,SPPR!$A:$A,0),18)),$C182*INDEX(SPPR!$E:$X,MATCH($A182,SPPR!$A:$A,0),18),""),"")</f>
        <v/>
      </c>
      <c r="V182">
        <f>IFERROR(IF(ISNUMBER(INDEX(SPPR!$E:$X,MATCH($A182,SPPR!$A:$A,0),19)),$C182*INDEX(SPPR!$E:$X,MATCH($A182,SPPR!$A:$A,0),19),""),"")</f>
        <v/>
      </c>
      <c r="W182">
        <f>IFERROR(IF(ISNUMBER(INDEX(SPPR!$E:$X,MATCH($A182,SPPR!$A:$A,0),20)),$C182*INDEX(SPPR!$E:$X,MATCH($A182,SPPR!$A:$A,0),20),""),"")</f>
        <v/>
      </c>
    </row>
    <row r="183">
      <c r="A183" t="inlineStr">
        <is>
          <t>Ariomma indica</t>
        </is>
      </c>
      <c r="B183">
        <f>IFERROR(INDEX(SPPR!$D:$D,MATCH($A183,SPPR!$A:$A,0)),"")</f>
        <v/>
      </c>
      <c r="C183">
        <f>IFERROR(INDEX(Catch!$E:$BV,MATCH($A183,Catch!$A:$A,0),MATCH($B$4,Catch!$E$1:$BV$1,0)),0)</f>
        <v/>
      </c>
      <c r="D183">
        <f>IFERROR(IF(ISNUMBER(INDEX(SPPR!$E:$X,MATCH($A183,SPPR!$A:$A,0),1)),$C183*INDEX(SPPR!$E:$X,MATCH($A183,SPPR!$A:$A,0),1),""),"")</f>
        <v/>
      </c>
      <c r="E183">
        <f>IFERROR(IF(ISNUMBER(INDEX(SPPR!$E:$X,MATCH($A183,SPPR!$A:$A,0),2)),$C183*INDEX(SPPR!$E:$X,MATCH($A183,SPPR!$A:$A,0),2),""),"")</f>
        <v/>
      </c>
      <c r="F183">
        <f>IFERROR(IF(ISNUMBER(INDEX(SPPR!$E:$X,MATCH($A183,SPPR!$A:$A,0),3)),$C183*INDEX(SPPR!$E:$X,MATCH($A183,SPPR!$A:$A,0),3),""),"")</f>
        <v/>
      </c>
      <c r="G183">
        <f>IFERROR(IF(ISNUMBER(INDEX(SPPR!$E:$X,MATCH($A183,SPPR!$A:$A,0),4)),$C183*INDEX(SPPR!$E:$X,MATCH($A183,SPPR!$A:$A,0),4),""),"")</f>
        <v/>
      </c>
      <c r="H183">
        <f>IFERROR(IF(ISNUMBER(INDEX(SPPR!$E:$X,MATCH($A183,SPPR!$A:$A,0),5)),$C183*INDEX(SPPR!$E:$X,MATCH($A183,SPPR!$A:$A,0),5),""),"")</f>
        <v/>
      </c>
      <c r="I183">
        <f>IFERROR(IF(ISNUMBER(INDEX(SPPR!$E:$X,MATCH($A183,SPPR!$A:$A,0),6)),$C183*INDEX(SPPR!$E:$X,MATCH($A183,SPPR!$A:$A,0),6),""),"")</f>
        <v/>
      </c>
      <c r="J183">
        <f>IFERROR(IF(ISNUMBER(INDEX(SPPR!$E:$X,MATCH($A183,SPPR!$A:$A,0),7)),$C183*INDEX(SPPR!$E:$X,MATCH($A183,SPPR!$A:$A,0),7),""),"")</f>
        <v/>
      </c>
      <c r="K183">
        <f>IFERROR(IF(ISNUMBER(INDEX(SPPR!$E:$X,MATCH($A183,SPPR!$A:$A,0),8)),$C183*INDEX(SPPR!$E:$X,MATCH($A183,SPPR!$A:$A,0),8),""),"")</f>
        <v/>
      </c>
      <c r="L183">
        <f>IFERROR(IF(ISNUMBER(INDEX(SPPR!$E:$X,MATCH($A183,SPPR!$A:$A,0),9)),$C183*INDEX(SPPR!$E:$X,MATCH($A183,SPPR!$A:$A,0),9),""),"")</f>
        <v/>
      </c>
      <c r="M183">
        <f>IFERROR(IF(ISNUMBER(INDEX(SPPR!$E:$X,MATCH($A183,SPPR!$A:$A,0),10)),$C183*INDEX(SPPR!$E:$X,MATCH($A183,SPPR!$A:$A,0),10),""),"")</f>
        <v/>
      </c>
      <c r="N183">
        <f>IFERROR(IF(ISNUMBER(INDEX(SPPR!$E:$X,MATCH($A183,SPPR!$A:$A,0),11)),$C183*INDEX(SPPR!$E:$X,MATCH($A183,SPPR!$A:$A,0),11),""),"")</f>
        <v/>
      </c>
      <c r="O183">
        <f>IFERROR(IF(ISNUMBER(INDEX(SPPR!$E:$X,MATCH($A183,SPPR!$A:$A,0),12)),$C183*INDEX(SPPR!$E:$X,MATCH($A183,SPPR!$A:$A,0),12),""),"")</f>
        <v/>
      </c>
      <c r="P183">
        <f>IFERROR(IF(ISNUMBER(INDEX(SPPR!$E:$X,MATCH($A183,SPPR!$A:$A,0),13)),$C183*INDEX(SPPR!$E:$X,MATCH($A183,SPPR!$A:$A,0),13),""),"")</f>
        <v/>
      </c>
      <c r="Q183">
        <f>IFERROR(IF(ISNUMBER(INDEX(SPPR!$E:$X,MATCH($A183,SPPR!$A:$A,0),14)),$C183*INDEX(SPPR!$E:$X,MATCH($A183,SPPR!$A:$A,0),14),""),"")</f>
        <v/>
      </c>
      <c r="R183">
        <f>IFERROR(IF(ISNUMBER(INDEX(SPPR!$E:$X,MATCH($A183,SPPR!$A:$A,0),15)),$C183*INDEX(SPPR!$E:$X,MATCH($A183,SPPR!$A:$A,0),15),""),"")</f>
        <v/>
      </c>
      <c r="S183">
        <f>IFERROR(IF(ISNUMBER(INDEX(SPPR!$E:$X,MATCH($A183,SPPR!$A:$A,0),16)),$C183*INDEX(SPPR!$E:$X,MATCH($A183,SPPR!$A:$A,0),16),""),"")</f>
        <v/>
      </c>
      <c r="T183">
        <f>IFERROR(IF(ISNUMBER(INDEX(SPPR!$E:$X,MATCH($A183,SPPR!$A:$A,0),17)),$C183*INDEX(SPPR!$E:$X,MATCH($A183,SPPR!$A:$A,0),17),""),"")</f>
        <v/>
      </c>
      <c r="U183">
        <f>IFERROR(IF(ISNUMBER(INDEX(SPPR!$E:$X,MATCH($A183,SPPR!$A:$A,0),18)),$C183*INDEX(SPPR!$E:$X,MATCH($A183,SPPR!$A:$A,0),18),""),"")</f>
        <v/>
      </c>
      <c r="V183">
        <f>IFERROR(IF(ISNUMBER(INDEX(SPPR!$E:$X,MATCH($A183,SPPR!$A:$A,0),19)),$C183*INDEX(SPPR!$E:$X,MATCH($A183,SPPR!$A:$A,0),19),""),"")</f>
        <v/>
      </c>
      <c r="W183">
        <f>IFERROR(IF(ISNUMBER(INDEX(SPPR!$E:$X,MATCH($A183,SPPR!$A:$A,0),20)),$C183*INDEX(SPPR!$E:$X,MATCH($A183,SPPR!$A:$A,0),20),""),"")</f>
        <v/>
      </c>
    </row>
    <row r="184">
      <c r="A184" t="inlineStr">
        <is>
          <t>Platycaranx talamparoides</t>
        </is>
      </c>
      <c r="B184">
        <f>IFERROR(INDEX(SPPR!$D:$D,MATCH($A184,SPPR!$A:$A,0)),"")</f>
        <v/>
      </c>
      <c r="C184">
        <f>IFERROR(INDEX(Catch!$E:$BV,MATCH($A184,Catch!$A:$A,0),MATCH($B$4,Catch!$E$1:$BV$1,0)),0)</f>
        <v/>
      </c>
      <c r="D184">
        <f>IFERROR(IF(ISNUMBER(INDEX(SPPR!$E:$X,MATCH($A184,SPPR!$A:$A,0),1)),$C184*INDEX(SPPR!$E:$X,MATCH($A184,SPPR!$A:$A,0),1),""),"")</f>
        <v/>
      </c>
      <c r="E184">
        <f>IFERROR(IF(ISNUMBER(INDEX(SPPR!$E:$X,MATCH($A184,SPPR!$A:$A,0),2)),$C184*INDEX(SPPR!$E:$X,MATCH($A184,SPPR!$A:$A,0),2),""),"")</f>
        <v/>
      </c>
      <c r="F184">
        <f>IFERROR(IF(ISNUMBER(INDEX(SPPR!$E:$X,MATCH($A184,SPPR!$A:$A,0),3)),$C184*INDEX(SPPR!$E:$X,MATCH($A184,SPPR!$A:$A,0),3),""),"")</f>
        <v/>
      </c>
      <c r="G184">
        <f>IFERROR(IF(ISNUMBER(INDEX(SPPR!$E:$X,MATCH($A184,SPPR!$A:$A,0),4)),$C184*INDEX(SPPR!$E:$X,MATCH($A184,SPPR!$A:$A,0),4),""),"")</f>
        <v/>
      </c>
      <c r="H184">
        <f>IFERROR(IF(ISNUMBER(INDEX(SPPR!$E:$X,MATCH($A184,SPPR!$A:$A,0),5)),$C184*INDEX(SPPR!$E:$X,MATCH($A184,SPPR!$A:$A,0),5),""),"")</f>
        <v/>
      </c>
      <c r="I184">
        <f>IFERROR(IF(ISNUMBER(INDEX(SPPR!$E:$X,MATCH($A184,SPPR!$A:$A,0),6)),$C184*INDEX(SPPR!$E:$X,MATCH($A184,SPPR!$A:$A,0),6),""),"")</f>
        <v/>
      </c>
      <c r="J184">
        <f>IFERROR(IF(ISNUMBER(INDEX(SPPR!$E:$X,MATCH($A184,SPPR!$A:$A,0),7)),$C184*INDEX(SPPR!$E:$X,MATCH($A184,SPPR!$A:$A,0),7),""),"")</f>
        <v/>
      </c>
      <c r="K184">
        <f>IFERROR(IF(ISNUMBER(INDEX(SPPR!$E:$X,MATCH($A184,SPPR!$A:$A,0),8)),$C184*INDEX(SPPR!$E:$X,MATCH($A184,SPPR!$A:$A,0),8),""),"")</f>
        <v/>
      </c>
      <c r="L184">
        <f>IFERROR(IF(ISNUMBER(INDEX(SPPR!$E:$X,MATCH($A184,SPPR!$A:$A,0),9)),$C184*INDEX(SPPR!$E:$X,MATCH($A184,SPPR!$A:$A,0),9),""),"")</f>
        <v/>
      </c>
      <c r="M184">
        <f>IFERROR(IF(ISNUMBER(INDEX(SPPR!$E:$X,MATCH($A184,SPPR!$A:$A,0),10)),$C184*INDEX(SPPR!$E:$X,MATCH($A184,SPPR!$A:$A,0),10),""),"")</f>
        <v/>
      </c>
      <c r="N184">
        <f>IFERROR(IF(ISNUMBER(INDEX(SPPR!$E:$X,MATCH($A184,SPPR!$A:$A,0),11)),$C184*INDEX(SPPR!$E:$X,MATCH($A184,SPPR!$A:$A,0),11),""),"")</f>
        <v/>
      </c>
      <c r="O184">
        <f>IFERROR(IF(ISNUMBER(INDEX(SPPR!$E:$X,MATCH($A184,SPPR!$A:$A,0),12)),$C184*INDEX(SPPR!$E:$X,MATCH($A184,SPPR!$A:$A,0),12),""),"")</f>
        <v/>
      </c>
      <c r="P184">
        <f>IFERROR(IF(ISNUMBER(INDEX(SPPR!$E:$X,MATCH($A184,SPPR!$A:$A,0),13)),$C184*INDEX(SPPR!$E:$X,MATCH($A184,SPPR!$A:$A,0),13),""),"")</f>
        <v/>
      </c>
      <c r="Q184">
        <f>IFERROR(IF(ISNUMBER(INDEX(SPPR!$E:$X,MATCH($A184,SPPR!$A:$A,0),14)),$C184*INDEX(SPPR!$E:$X,MATCH($A184,SPPR!$A:$A,0),14),""),"")</f>
        <v/>
      </c>
      <c r="R184">
        <f>IFERROR(IF(ISNUMBER(INDEX(SPPR!$E:$X,MATCH($A184,SPPR!$A:$A,0),15)),$C184*INDEX(SPPR!$E:$X,MATCH($A184,SPPR!$A:$A,0),15),""),"")</f>
        <v/>
      </c>
      <c r="S184">
        <f>IFERROR(IF(ISNUMBER(INDEX(SPPR!$E:$X,MATCH($A184,SPPR!$A:$A,0),16)),$C184*INDEX(SPPR!$E:$X,MATCH($A184,SPPR!$A:$A,0),16),""),"")</f>
        <v/>
      </c>
      <c r="T184">
        <f>IFERROR(IF(ISNUMBER(INDEX(SPPR!$E:$X,MATCH($A184,SPPR!$A:$A,0),17)),$C184*INDEX(SPPR!$E:$X,MATCH($A184,SPPR!$A:$A,0),17),""),"")</f>
        <v/>
      </c>
      <c r="U184">
        <f>IFERROR(IF(ISNUMBER(INDEX(SPPR!$E:$X,MATCH($A184,SPPR!$A:$A,0),18)),$C184*INDEX(SPPR!$E:$X,MATCH($A184,SPPR!$A:$A,0),18),""),"")</f>
        <v/>
      </c>
      <c r="V184">
        <f>IFERROR(IF(ISNUMBER(INDEX(SPPR!$E:$X,MATCH($A184,SPPR!$A:$A,0),19)),$C184*INDEX(SPPR!$E:$X,MATCH($A184,SPPR!$A:$A,0),19),""),"")</f>
        <v/>
      </c>
      <c r="W184">
        <f>IFERROR(IF(ISNUMBER(INDEX(SPPR!$E:$X,MATCH($A184,SPPR!$A:$A,0),20)),$C184*INDEX(SPPR!$E:$X,MATCH($A184,SPPR!$A:$A,0),20),""),"")</f>
        <v/>
      </c>
    </row>
    <row r="185">
      <c r="A185" t="inlineStr">
        <is>
          <t>Decapterus russelli</t>
        </is>
      </c>
      <c r="B185">
        <f>IFERROR(INDEX(SPPR!$D:$D,MATCH($A185,SPPR!$A:$A,0)),"")</f>
        <v/>
      </c>
      <c r="C185">
        <f>IFERROR(INDEX(Catch!$E:$BV,MATCH($A185,Catch!$A:$A,0),MATCH($B$4,Catch!$E$1:$BV$1,0)),0)</f>
        <v/>
      </c>
      <c r="D185">
        <f>IFERROR(IF(ISNUMBER(INDEX(SPPR!$E:$X,MATCH($A185,SPPR!$A:$A,0),1)),$C185*INDEX(SPPR!$E:$X,MATCH($A185,SPPR!$A:$A,0),1),""),"")</f>
        <v/>
      </c>
      <c r="E185">
        <f>IFERROR(IF(ISNUMBER(INDEX(SPPR!$E:$X,MATCH($A185,SPPR!$A:$A,0),2)),$C185*INDEX(SPPR!$E:$X,MATCH($A185,SPPR!$A:$A,0),2),""),"")</f>
        <v/>
      </c>
      <c r="F185">
        <f>IFERROR(IF(ISNUMBER(INDEX(SPPR!$E:$X,MATCH($A185,SPPR!$A:$A,0),3)),$C185*INDEX(SPPR!$E:$X,MATCH($A185,SPPR!$A:$A,0),3),""),"")</f>
        <v/>
      </c>
      <c r="G185">
        <f>IFERROR(IF(ISNUMBER(INDEX(SPPR!$E:$X,MATCH($A185,SPPR!$A:$A,0),4)),$C185*INDEX(SPPR!$E:$X,MATCH($A185,SPPR!$A:$A,0),4),""),"")</f>
        <v/>
      </c>
      <c r="H185">
        <f>IFERROR(IF(ISNUMBER(INDEX(SPPR!$E:$X,MATCH($A185,SPPR!$A:$A,0),5)),$C185*INDEX(SPPR!$E:$X,MATCH($A185,SPPR!$A:$A,0),5),""),"")</f>
        <v/>
      </c>
      <c r="I185">
        <f>IFERROR(IF(ISNUMBER(INDEX(SPPR!$E:$X,MATCH($A185,SPPR!$A:$A,0),6)),$C185*INDEX(SPPR!$E:$X,MATCH($A185,SPPR!$A:$A,0),6),""),"")</f>
        <v/>
      </c>
      <c r="J185">
        <f>IFERROR(IF(ISNUMBER(INDEX(SPPR!$E:$X,MATCH($A185,SPPR!$A:$A,0),7)),$C185*INDEX(SPPR!$E:$X,MATCH($A185,SPPR!$A:$A,0),7),""),"")</f>
        <v/>
      </c>
      <c r="K185">
        <f>IFERROR(IF(ISNUMBER(INDEX(SPPR!$E:$X,MATCH($A185,SPPR!$A:$A,0),8)),$C185*INDEX(SPPR!$E:$X,MATCH($A185,SPPR!$A:$A,0),8),""),"")</f>
        <v/>
      </c>
      <c r="L185">
        <f>IFERROR(IF(ISNUMBER(INDEX(SPPR!$E:$X,MATCH($A185,SPPR!$A:$A,0),9)),$C185*INDEX(SPPR!$E:$X,MATCH($A185,SPPR!$A:$A,0),9),""),"")</f>
        <v/>
      </c>
      <c r="M185">
        <f>IFERROR(IF(ISNUMBER(INDEX(SPPR!$E:$X,MATCH($A185,SPPR!$A:$A,0),10)),$C185*INDEX(SPPR!$E:$X,MATCH($A185,SPPR!$A:$A,0),10),""),"")</f>
        <v/>
      </c>
      <c r="N185">
        <f>IFERROR(IF(ISNUMBER(INDEX(SPPR!$E:$X,MATCH($A185,SPPR!$A:$A,0),11)),$C185*INDEX(SPPR!$E:$X,MATCH($A185,SPPR!$A:$A,0),11),""),"")</f>
        <v/>
      </c>
      <c r="O185">
        <f>IFERROR(IF(ISNUMBER(INDEX(SPPR!$E:$X,MATCH($A185,SPPR!$A:$A,0),12)),$C185*INDEX(SPPR!$E:$X,MATCH($A185,SPPR!$A:$A,0),12),""),"")</f>
        <v/>
      </c>
      <c r="P185">
        <f>IFERROR(IF(ISNUMBER(INDEX(SPPR!$E:$X,MATCH($A185,SPPR!$A:$A,0),13)),$C185*INDEX(SPPR!$E:$X,MATCH($A185,SPPR!$A:$A,0),13),""),"")</f>
        <v/>
      </c>
      <c r="Q185">
        <f>IFERROR(IF(ISNUMBER(INDEX(SPPR!$E:$X,MATCH($A185,SPPR!$A:$A,0),14)),$C185*INDEX(SPPR!$E:$X,MATCH($A185,SPPR!$A:$A,0),14),""),"")</f>
        <v/>
      </c>
      <c r="R185">
        <f>IFERROR(IF(ISNUMBER(INDEX(SPPR!$E:$X,MATCH($A185,SPPR!$A:$A,0),15)),$C185*INDEX(SPPR!$E:$X,MATCH($A185,SPPR!$A:$A,0),15),""),"")</f>
        <v/>
      </c>
      <c r="S185">
        <f>IFERROR(IF(ISNUMBER(INDEX(SPPR!$E:$X,MATCH($A185,SPPR!$A:$A,0),16)),$C185*INDEX(SPPR!$E:$X,MATCH($A185,SPPR!$A:$A,0),16),""),"")</f>
        <v/>
      </c>
      <c r="T185">
        <f>IFERROR(IF(ISNUMBER(INDEX(SPPR!$E:$X,MATCH($A185,SPPR!$A:$A,0),17)),$C185*INDEX(SPPR!$E:$X,MATCH($A185,SPPR!$A:$A,0),17),""),"")</f>
        <v/>
      </c>
      <c r="U185">
        <f>IFERROR(IF(ISNUMBER(INDEX(SPPR!$E:$X,MATCH($A185,SPPR!$A:$A,0),18)),$C185*INDEX(SPPR!$E:$X,MATCH($A185,SPPR!$A:$A,0),18),""),"")</f>
        <v/>
      </c>
      <c r="V185">
        <f>IFERROR(IF(ISNUMBER(INDEX(SPPR!$E:$X,MATCH($A185,SPPR!$A:$A,0),19)),$C185*INDEX(SPPR!$E:$X,MATCH($A185,SPPR!$A:$A,0),19),""),"")</f>
        <v/>
      </c>
      <c r="W185">
        <f>IFERROR(IF(ISNUMBER(INDEX(SPPR!$E:$X,MATCH($A185,SPPR!$A:$A,0),20)),$C185*INDEX(SPPR!$E:$X,MATCH($A185,SPPR!$A:$A,0),20),""),"")</f>
        <v/>
      </c>
    </row>
    <row r="186">
      <c r="A186" t="inlineStr">
        <is>
          <t>Panulirus</t>
        </is>
      </c>
      <c r="B186">
        <f>IFERROR(INDEX(SPPR!$D:$D,MATCH($A186,SPPR!$A:$A,0)),"")</f>
        <v/>
      </c>
      <c r="C186">
        <f>IFERROR(INDEX(Catch!$E:$BV,MATCH($A186,Catch!$A:$A,0),MATCH($B$4,Catch!$E$1:$BV$1,0)),0)</f>
        <v/>
      </c>
      <c r="D186">
        <f>IFERROR(IF(ISNUMBER(INDEX(SPPR!$E:$X,MATCH($A186,SPPR!$A:$A,0),1)),$C186*INDEX(SPPR!$E:$X,MATCH($A186,SPPR!$A:$A,0),1),""),"")</f>
        <v/>
      </c>
      <c r="E186">
        <f>IFERROR(IF(ISNUMBER(INDEX(SPPR!$E:$X,MATCH($A186,SPPR!$A:$A,0),2)),$C186*INDEX(SPPR!$E:$X,MATCH($A186,SPPR!$A:$A,0),2),""),"")</f>
        <v/>
      </c>
      <c r="F186">
        <f>IFERROR(IF(ISNUMBER(INDEX(SPPR!$E:$X,MATCH($A186,SPPR!$A:$A,0),3)),$C186*INDEX(SPPR!$E:$X,MATCH($A186,SPPR!$A:$A,0),3),""),"")</f>
        <v/>
      </c>
      <c r="G186">
        <f>IFERROR(IF(ISNUMBER(INDEX(SPPR!$E:$X,MATCH($A186,SPPR!$A:$A,0),4)),$C186*INDEX(SPPR!$E:$X,MATCH($A186,SPPR!$A:$A,0),4),""),"")</f>
        <v/>
      </c>
      <c r="H186">
        <f>IFERROR(IF(ISNUMBER(INDEX(SPPR!$E:$X,MATCH($A186,SPPR!$A:$A,0),5)),$C186*INDEX(SPPR!$E:$X,MATCH($A186,SPPR!$A:$A,0),5),""),"")</f>
        <v/>
      </c>
      <c r="I186">
        <f>IFERROR(IF(ISNUMBER(INDEX(SPPR!$E:$X,MATCH($A186,SPPR!$A:$A,0),6)),$C186*INDEX(SPPR!$E:$X,MATCH($A186,SPPR!$A:$A,0),6),""),"")</f>
        <v/>
      </c>
      <c r="J186">
        <f>IFERROR(IF(ISNUMBER(INDEX(SPPR!$E:$X,MATCH($A186,SPPR!$A:$A,0),7)),$C186*INDEX(SPPR!$E:$X,MATCH($A186,SPPR!$A:$A,0),7),""),"")</f>
        <v/>
      </c>
      <c r="K186">
        <f>IFERROR(IF(ISNUMBER(INDEX(SPPR!$E:$X,MATCH($A186,SPPR!$A:$A,0),8)),$C186*INDEX(SPPR!$E:$X,MATCH($A186,SPPR!$A:$A,0),8),""),"")</f>
        <v/>
      </c>
      <c r="L186">
        <f>IFERROR(IF(ISNUMBER(INDEX(SPPR!$E:$X,MATCH($A186,SPPR!$A:$A,0),9)),$C186*INDEX(SPPR!$E:$X,MATCH($A186,SPPR!$A:$A,0),9),""),"")</f>
        <v/>
      </c>
      <c r="M186">
        <f>IFERROR(IF(ISNUMBER(INDEX(SPPR!$E:$X,MATCH($A186,SPPR!$A:$A,0),10)),$C186*INDEX(SPPR!$E:$X,MATCH($A186,SPPR!$A:$A,0),10),""),"")</f>
        <v/>
      </c>
      <c r="N186">
        <f>IFERROR(IF(ISNUMBER(INDEX(SPPR!$E:$X,MATCH($A186,SPPR!$A:$A,0),11)),$C186*INDEX(SPPR!$E:$X,MATCH($A186,SPPR!$A:$A,0),11),""),"")</f>
        <v/>
      </c>
      <c r="O186">
        <f>IFERROR(IF(ISNUMBER(INDEX(SPPR!$E:$X,MATCH($A186,SPPR!$A:$A,0),12)),$C186*INDEX(SPPR!$E:$X,MATCH($A186,SPPR!$A:$A,0),12),""),"")</f>
        <v/>
      </c>
      <c r="P186">
        <f>IFERROR(IF(ISNUMBER(INDEX(SPPR!$E:$X,MATCH($A186,SPPR!$A:$A,0),13)),$C186*INDEX(SPPR!$E:$X,MATCH($A186,SPPR!$A:$A,0),13),""),"")</f>
        <v/>
      </c>
      <c r="Q186">
        <f>IFERROR(IF(ISNUMBER(INDEX(SPPR!$E:$X,MATCH($A186,SPPR!$A:$A,0),14)),$C186*INDEX(SPPR!$E:$X,MATCH($A186,SPPR!$A:$A,0),14),""),"")</f>
        <v/>
      </c>
      <c r="R186">
        <f>IFERROR(IF(ISNUMBER(INDEX(SPPR!$E:$X,MATCH($A186,SPPR!$A:$A,0),15)),$C186*INDEX(SPPR!$E:$X,MATCH($A186,SPPR!$A:$A,0),15),""),"")</f>
        <v/>
      </c>
      <c r="S186">
        <f>IFERROR(IF(ISNUMBER(INDEX(SPPR!$E:$X,MATCH($A186,SPPR!$A:$A,0),16)),$C186*INDEX(SPPR!$E:$X,MATCH($A186,SPPR!$A:$A,0),16),""),"")</f>
        <v/>
      </c>
      <c r="T186">
        <f>IFERROR(IF(ISNUMBER(INDEX(SPPR!$E:$X,MATCH($A186,SPPR!$A:$A,0),17)),$C186*INDEX(SPPR!$E:$X,MATCH($A186,SPPR!$A:$A,0),17),""),"")</f>
        <v/>
      </c>
      <c r="U186">
        <f>IFERROR(IF(ISNUMBER(INDEX(SPPR!$E:$X,MATCH($A186,SPPR!$A:$A,0),18)),$C186*INDEX(SPPR!$E:$X,MATCH($A186,SPPR!$A:$A,0),18),""),"")</f>
        <v/>
      </c>
      <c r="V186">
        <f>IFERROR(IF(ISNUMBER(INDEX(SPPR!$E:$X,MATCH($A186,SPPR!$A:$A,0),19)),$C186*INDEX(SPPR!$E:$X,MATCH($A186,SPPR!$A:$A,0),19),""),"")</f>
        <v/>
      </c>
      <c r="W186">
        <f>IFERROR(IF(ISNUMBER(INDEX(SPPR!$E:$X,MATCH($A186,SPPR!$A:$A,0),20)),$C186*INDEX(SPPR!$E:$X,MATCH($A186,SPPR!$A:$A,0),20),""),"")</f>
        <v/>
      </c>
    </row>
    <row r="187">
      <c r="A187" t="inlineStr">
        <is>
          <t>Niphon spinosus</t>
        </is>
      </c>
      <c r="B187">
        <f>IFERROR(INDEX(SPPR!$D:$D,MATCH($A187,SPPR!$A:$A,0)),"")</f>
        <v/>
      </c>
      <c r="C187">
        <f>IFERROR(INDEX(Catch!$E:$BV,MATCH($A187,Catch!$A:$A,0),MATCH($B$4,Catch!$E$1:$BV$1,0)),0)</f>
        <v/>
      </c>
      <c r="D187">
        <f>IFERROR(IF(ISNUMBER(INDEX(SPPR!$E:$X,MATCH($A187,SPPR!$A:$A,0),1)),$C187*INDEX(SPPR!$E:$X,MATCH($A187,SPPR!$A:$A,0),1),""),"")</f>
        <v/>
      </c>
      <c r="E187">
        <f>IFERROR(IF(ISNUMBER(INDEX(SPPR!$E:$X,MATCH($A187,SPPR!$A:$A,0),2)),$C187*INDEX(SPPR!$E:$X,MATCH($A187,SPPR!$A:$A,0),2),""),"")</f>
        <v/>
      </c>
      <c r="F187">
        <f>IFERROR(IF(ISNUMBER(INDEX(SPPR!$E:$X,MATCH($A187,SPPR!$A:$A,0),3)),$C187*INDEX(SPPR!$E:$X,MATCH($A187,SPPR!$A:$A,0),3),""),"")</f>
        <v/>
      </c>
      <c r="G187">
        <f>IFERROR(IF(ISNUMBER(INDEX(SPPR!$E:$X,MATCH($A187,SPPR!$A:$A,0),4)),$C187*INDEX(SPPR!$E:$X,MATCH($A187,SPPR!$A:$A,0),4),""),"")</f>
        <v/>
      </c>
      <c r="H187">
        <f>IFERROR(IF(ISNUMBER(INDEX(SPPR!$E:$X,MATCH($A187,SPPR!$A:$A,0),5)),$C187*INDEX(SPPR!$E:$X,MATCH($A187,SPPR!$A:$A,0),5),""),"")</f>
        <v/>
      </c>
      <c r="I187">
        <f>IFERROR(IF(ISNUMBER(INDEX(SPPR!$E:$X,MATCH($A187,SPPR!$A:$A,0),6)),$C187*INDEX(SPPR!$E:$X,MATCH($A187,SPPR!$A:$A,0),6),""),"")</f>
        <v/>
      </c>
      <c r="J187">
        <f>IFERROR(IF(ISNUMBER(INDEX(SPPR!$E:$X,MATCH($A187,SPPR!$A:$A,0),7)),$C187*INDEX(SPPR!$E:$X,MATCH($A187,SPPR!$A:$A,0),7),""),"")</f>
        <v/>
      </c>
      <c r="K187">
        <f>IFERROR(IF(ISNUMBER(INDEX(SPPR!$E:$X,MATCH($A187,SPPR!$A:$A,0),8)),$C187*INDEX(SPPR!$E:$X,MATCH($A187,SPPR!$A:$A,0),8),""),"")</f>
        <v/>
      </c>
      <c r="L187">
        <f>IFERROR(IF(ISNUMBER(INDEX(SPPR!$E:$X,MATCH($A187,SPPR!$A:$A,0),9)),$C187*INDEX(SPPR!$E:$X,MATCH($A187,SPPR!$A:$A,0),9),""),"")</f>
        <v/>
      </c>
      <c r="M187">
        <f>IFERROR(IF(ISNUMBER(INDEX(SPPR!$E:$X,MATCH($A187,SPPR!$A:$A,0),10)),$C187*INDEX(SPPR!$E:$X,MATCH($A187,SPPR!$A:$A,0),10),""),"")</f>
        <v/>
      </c>
      <c r="N187">
        <f>IFERROR(IF(ISNUMBER(INDEX(SPPR!$E:$X,MATCH($A187,SPPR!$A:$A,0),11)),$C187*INDEX(SPPR!$E:$X,MATCH($A187,SPPR!$A:$A,0),11),""),"")</f>
        <v/>
      </c>
      <c r="O187">
        <f>IFERROR(IF(ISNUMBER(INDEX(SPPR!$E:$X,MATCH($A187,SPPR!$A:$A,0),12)),$C187*INDEX(SPPR!$E:$X,MATCH($A187,SPPR!$A:$A,0),12),""),"")</f>
        <v/>
      </c>
      <c r="P187">
        <f>IFERROR(IF(ISNUMBER(INDEX(SPPR!$E:$X,MATCH($A187,SPPR!$A:$A,0),13)),$C187*INDEX(SPPR!$E:$X,MATCH($A187,SPPR!$A:$A,0),13),""),"")</f>
        <v/>
      </c>
      <c r="Q187">
        <f>IFERROR(IF(ISNUMBER(INDEX(SPPR!$E:$X,MATCH($A187,SPPR!$A:$A,0),14)),$C187*INDEX(SPPR!$E:$X,MATCH($A187,SPPR!$A:$A,0),14),""),"")</f>
        <v/>
      </c>
      <c r="R187">
        <f>IFERROR(IF(ISNUMBER(INDEX(SPPR!$E:$X,MATCH($A187,SPPR!$A:$A,0),15)),$C187*INDEX(SPPR!$E:$X,MATCH($A187,SPPR!$A:$A,0),15),""),"")</f>
        <v/>
      </c>
      <c r="S187">
        <f>IFERROR(IF(ISNUMBER(INDEX(SPPR!$E:$X,MATCH($A187,SPPR!$A:$A,0),16)),$C187*INDEX(SPPR!$E:$X,MATCH($A187,SPPR!$A:$A,0),16),""),"")</f>
        <v/>
      </c>
      <c r="T187">
        <f>IFERROR(IF(ISNUMBER(INDEX(SPPR!$E:$X,MATCH($A187,SPPR!$A:$A,0),17)),$C187*INDEX(SPPR!$E:$X,MATCH($A187,SPPR!$A:$A,0),17),""),"")</f>
        <v/>
      </c>
      <c r="U187">
        <f>IFERROR(IF(ISNUMBER(INDEX(SPPR!$E:$X,MATCH($A187,SPPR!$A:$A,0),18)),$C187*INDEX(SPPR!$E:$X,MATCH($A187,SPPR!$A:$A,0),18),""),"")</f>
        <v/>
      </c>
      <c r="V187">
        <f>IFERROR(IF(ISNUMBER(INDEX(SPPR!$E:$X,MATCH($A187,SPPR!$A:$A,0),19)),$C187*INDEX(SPPR!$E:$X,MATCH($A187,SPPR!$A:$A,0),19),""),"")</f>
        <v/>
      </c>
      <c r="W187">
        <f>IFERROR(IF(ISNUMBER(INDEX(SPPR!$E:$X,MATCH($A187,SPPR!$A:$A,0),20)),$C187*INDEX(SPPR!$E:$X,MATCH($A187,SPPR!$A:$A,0),20),""),"")</f>
        <v/>
      </c>
    </row>
    <row r="188">
      <c r="A188" t="inlineStr">
        <is>
          <t>Chanos chanos</t>
        </is>
      </c>
      <c r="B188">
        <f>IFERROR(INDEX(SPPR!$D:$D,MATCH($A188,SPPR!$A:$A,0)),"")</f>
        <v/>
      </c>
      <c r="C188">
        <f>IFERROR(INDEX(Catch!$E:$BV,MATCH($A188,Catch!$A:$A,0),MATCH($B$4,Catch!$E$1:$BV$1,0)),0)</f>
        <v/>
      </c>
      <c r="D188">
        <f>IFERROR(IF(ISNUMBER(INDEX(SPPR!$E:$X,MATCH($A188,SPPR!$A:$A,0),1)),$C188*INDEX(SPPR!$E:$X,MATCH($A188,SPPR!$A:$A,0),1),""),"")</f>
        <v/>
      </c>
      <c r="E188">
        <f>IFERROR(IF(ISNUMBER(INDEX(SPPR!$E:$X,MATCH($A188,SPPR!$A:$A,0),2)),$C188*INDEX(SPPR!$E:$X,MATCH($A188,SPPR!$A:$A,0),2),""),"")</f>
        <v/>
      </c>
      <c r="F188">
        <f>IFERROR(IF(ISNUMBER(INDEX(SPPR!$E:$X,MATCH($A188,SPPR!$A:$A,0),3)),$C188*INDEX(SPPR!$E:$X,MATCH($A188,SPPR!$A:$A,0),3),""),"")</f>
        <v/>
      </c>
      <c r="G188">
        <f>IFERROR(IF(ISNUMBER(INDEX(SPPR!$E:$X,MATCH($A188,SPPR!$A:$A,0),4)),$C188*INDEX(SPPR!$E:$X,MATCH($A188,SPPR!$A:$A,0),4),""),"")</f>
        <v/>
      </c>
      <c r="H188">
        <f>IFERROR(IF(ISNUMBER(INDEX(SPPR!$E:$X,MATCH($A188,SPPR!$A:$A,0),5)),$C188*INDEX(SPPR!$E:$X,MATCH($A188,SPPR!$A:$A,0),5),""),"")</f>
        <v/>
      </c>
      <c r="I188">
        <f>IFERROR(IF(ISNUMBER(INDEX(SPPR!$E:$X,MATCH($A188,SPPR!$A:$A,0),6)),$C188*INDEX(SPPR!$E:$X,MATCH($A188,SPPR!$A:$A,0),6),""),"")</f>
        <v/>
      </c>
      <c r="J188">
        <f>IFERROR(IF(ISNUMBER(INDEX(SPPR!$E:$X,MATCH($A188,SPPR!$A:$A,0),7)),$C188*INDEX(SPPR!$E:$X,MATCH($A188,SPPR!$A:$A,0),7),""),"")</f>
        <v/>
      </c>
      <c r="K188">
        <f>IFERROR(IF(ISNUMBER(INDEX(SPPR!$E:$X,MATCH($A188,SPPR!$A:$A,0),8)),$C188*INDEX(SPPR!$E:$X,MATCH($A188,SPPR!$A:$A,0),8),""),"")</f>
        <v/>
      </c>
      <c r="L188">
        <f>IFERROR(IF(ISNUMBER(INDEX(SPPR!$E:$X,MATCH($A188,SPPR!$A:$A,0),9)),$C188*INDEX(SPPR!$E:$X,MATCH($A188,SPPR!$A:$A,0),9),""),"")</f>
        <v/>
      </c>
      <c r="M188">
        <f>IFERROR(IF(ISNUMBER(INDEX(SPPR!$E:$X,MATCH($A188,SPPR!$A:$A,0),10)),$C188*INDEX(SPPR!$E:$X,MATCH($A188,SPPR!$A:$A,0),10),""),"")</f>
        <v/>
      </c>
      <c r="N188">
        <f>IFERROR(IF(ISNUMBER(INDEX(SPPR!$E:$X,MATCH($A188,SPPR!$A:$A,0),11)),$C188*INDEX(SPPR!$E:$X,MATCH($A188,SPPR!$A:$A,0),11),""),"")</f>
        <v/>
      </c>
      <c r="O188">
        <f>IFERROR(IF(ISNUMBER(INDEX(SPPR!$E:$X,MATCH($A188,SPPR!$A:$A,0),12)),$C188*INDEX(SPPR!$E:$X,MATCH($A188,SPPR!$A:$A,0),12),""),"")</f>
        <v/>
      </c>
      <c r="P188">
        <f>IFERROR(IF(ISNUMBER(INDEX(SPPR!$E:$X,MATCH($A188,SPPR!$A:$A,0),13)),$C188*INDEX(SPPR!$E:$X,MATCH($A188,SPPR!$A:$A,0),13),""),"")</f>
        <v/>
      </c>
      <c r="Q188">
        <f>IFERROR(IF(ISNUMBER(INDEX(SPPR!$E:$X,MATCH($A188,SPPR!$A:$A,0),14)),$C188*INDEX(SPPR!$E:$X,MATCH($A188,SPPR!$A:$A,0),14),""),"")</f>
        <v/>
      </c>
      <c r="R188">
        <f>IFERROR(IF(ISNUMBER(INDEX(SPPR!$E:$X,MATCH($A188,SPPR!$A:$A,0),15)),$C188*INDEX(SPPR!$E:$X,MATCH($A188,SPPR!$A:$A,0),15),""),"")</f>
        <v/>
      </c>
      <c r="S188">
        <f>IFERROR(IF(ISNUMBER(INDEX(SPPR!$E:$X,MATCH($A188,SPPR!$A:$A,0),16)),$C188*INDEX(SPPR!$E:$X,MATCH($A188,SPPR!$A:$A,0),16),""),"")</f>
        <v/>
      </c>
      <c r="T188">
        <f>IFERROR(IF(ISNUMBER(INDEX(SPPR!$E:$X,MATCH($A188,SPPR!$A:$A,0),17)),$C188*INDEX(SPPR!$E:$X,MATCH($A188,SPPR!$A:$A,0),17),""),"")</f>
        <v/>
      </c>
      <c r="U188">
        <f>IFERROR(IF(ISNUMBER(INDEX(SPPR!$E:$X,MATCH($A188,SPPR!$A:$A,0),18)),$C188*INDEX(SPPR!$E:$X,MATCH($A188,SPPR!$A:$A,0),18),""),"")</f>
        <v/>
      </c>
      <c r="V188">
        <f>IFERROR(IF(ISNUMBER(INDEX(SPPR!$E:$X,MATCH($A188,SPPR!$A:$A,0),19)),$C188*INDEX(SPPR!$E:$X,MATCH($A188,SPPR!$A:$A,0),19),""),"")</f>
        <v/>
      </c>
      <c r="W188">
        <f>IFERROR(IF(ISNUMBER(INDEX(SPPR!$E:$X,MATCH($A188,SPPR!$A:$A,0),20)),$C188*INDEX(SPPR!$E:$X,MATCH($A188,SPPR!$A:$A,0),20),""),"")</f>
        <v/>
      </c>
    </row>
    <row r="189">
      <c r="A189" t="inlineStr">
        <is>
          <t>Istiompax indica</t>
        </is>
      </c>
      <c r="B189">
        <f>IFERROR(INDEX(SPPR!$D:$D,MATCH($A189,SPPR!$A:$A,0)),"")</f>
        <v/>
      </c>
      <c r="C189">
        <f>IFERROR(INDEX(Catch!$E:$BV,MATCH($A189,Catch!$A:$A,0),MATCH($B$4,Catch!$E$1:$BV$1,0)),0)</f>
        <v/>
      </c>
      <c r="D189">
        <f>IFERROR(IF(ISNUMBER(INDEX(SPPR!$E:$X,MATCH($A189,SPPR!$A:$A,0),1)),$C189*INDEX(SPPR!$E:$X,MATCH($A189,SPPR!$A:$A,0),1),""),"")</f>
        <v/>
      </c>
      <c r="E189">
        <f>IFERROR(IF(ISNUMBER(INDEX(SPPR!$E:$X,MATCH($A189,SPPR!$A:$A,0),2)),$C189*INDEX(SPPR!$E:$X,MATCH($A189,SPPR!$A:$A,0),2),""),"")</f>
        <v/>
      </c>
      <c r="F189">
        <f>IFERROR(IF(ISNUMBER(INDEX(SPPR!$E:$X,MATCH($A189,SPPR!$A:$A,0),3)),$C189*INDEX(SPPR!$E:$X,MATCH($A189,SPPR!$A:$A,0),3),""),"")</f>
        <v/>
      </c>
      <c r="G189">
        <f>IFERROR(IF(ISNUMBER(INDEX(SPPR!$E:$X,MATCH($A189,SPPR!$A:$A,0),4)),$C189*INDEX(SPPR!$E:$X,MATCH($A189,SPPR!$A:$A,0),4),""),"")</f>
        <v/>
      </c>
      <c r="H189">
        <f>IFERROR(IF(ISNUMBER(INDEX(SPPR!$E:$X,MATCH($A189,SPPR!$A:$A,0),5)),$C189*INDEX(SPPR!$E:$X,MATCH($A189,SPPR!$A:$A,0),5),""),"")</f>
        <v/>
      </c>
      <c r="I189">
        <f>IFERROR(IF(ISNUMBER(INDEX(SPPR!$E:$X,MATCH($A189,SPPR!$A:$A,0),6)),$C189*INDEX(SPPR!$E:$X,MATCH($A189,SPPR!$A:$A,0),6),""),"")</f>
        <v/>
      </c>
      <c r="J189">
        <f>IFERROR(IF(ISNUMBER(INDEX(SPPR!$E:$X,MATCH($A189,SPPR!$A:$A,0),7)),$C189*INDEX(SPPR!$E:$X,MATCH($A189,SPPR!$A:$A,0),7),""),"")</f>
        <v/>
      </c>
      <c r="K189">
        <f>IFERROR(IF(ISNUMBER(INDEX(SPPR!$E:$X,MATCH($A189,SPPR!$A:$A,0),8)),$C189*INDEX(SPPR!$E:$X,MATCH($A189,SPPR!$A:$A,0),8),""),"")</f>
        <v/>
      </c>
      <c r="L189">
        <f>IFERROR(IF(ISNUMBER(INDEX(SPPR!$E:$X,MATCH($A189,SPPR!$A:$A,0),9)),$C189*INDEX(SPPR!$E:$X,MATCH($A189,SPPR!$A:$A,0),9),""),"")</f>
        <v/>
      </c>
      <c r="M189">
        <f>IFERROR(IF(ISNUMBER(INDEX(SPPR!$E:$X,MATCH($A189,SPPR!$A:$A,0),10)),$C189*INDEX(SPPR!$E:$X,MATCH($A189,SPPR!$A:$A,0),10),""),"")</f>
        <v/>
      </c>
      <c r="N189">
        <f>IFERROR(IF(ISNUMBER(INDEX(SPPR!$E:$X,MATCH($A189,SPPR!$A:$A,0),11)),$C189*INDEX(SPPR!$E:$X,MATCH($A189,SPPR!$A:$A,0),11),""),"")</f>
        <v/>
      </c>
      <c r="O189">
        <f>IFERROR(IF(ISNUMBER(INDEX(SPPR!$E:$X,MATCH($A189,SPPR!$A:$A,0),12)),$C189*INDEX(SPPR!$E:$X,MATCH($A189,SPPR!$A:$A,0),12),""),"")</f>
        <v/>
      </c>
      <c r="P189">
        <f>IFERROR(IF(ISNUMBER(INDEX(SPPR!$E:$X,MATCH($A189,SPPR!$A:$A,0),13)),$C189*INDEX(SPPR!$E:$X,MATCH($A189,SPPR!$A:$A,0),13),""),"")</f>
        <v/>
      </c>
      <c r="Q189">
        <f>IFERROR(IF(ISNUMBER(INDEX(SPPR!$E:$X,MATCH($A189,SPPR!$A:$A,0),14)),$C189*INDEX(SPPR!$E:$X,MATCH($A189,SPPR!$A:$A,0),14),""),"")</f>
        <v/>
      </c>
      <c r="R189">
        <f>IFERROR(IF(ISNUMBER(INDEX(SPPR!$E:$X,MATCH($A189,SPPR!$A:$A,0),15)),$C189*INDEX(SPPR!$E:$X,MATCH($A189,SPPR!$A:$A,0),15),""),"")</f>
        <v/>
      </c>
      <c r="S189">
        <f>IFERROR(IF(ISNUMBER(INDEX(SPPR!$E:$X,MATCH($A189,SPPR!$A:$A,0),16)),$C189*INDEX(SPPR!$E:$X,MATCH($A189,SPPR!$A:$A,0),16),""),"")</f>
        <v/>
      </c>
      <c r="T189">
        <f>IFERROR(IF(ISNUMBER(INDEX(SPPR!$E:$X,MATCH($A189,SPPR!$A:$A,0),17)),$C189*INDEX(SPPR!$E:$X,MATCH($A189,SPPR!$A:$A,0),17),""),"")</f>
        <v/>
      </c>
      <c r="U189">
        <f>IFERROR(IF(ISNUMBER(INDEX(SPPR!$E:$X,MATCH($A189,SPPR!$A:$A,0),18)),$C189*INDEX(SPPR!$E:$X,MATCH($A189,SPPR!$A:$A,0),18),""),"")</f>
        <v/>
      </c>
      <c r="V189">
        <f>IFERROR(IF(ISNUMBER(INDEX(SPPR!$E:$X,MATCH($A189,SPPR!$A:$A,0),19)),$C189*INDEX(SPPR!$E:$X,MATCH($A189,SPPR!$A:$A,0),19),""),"")</f>
        <v/>
      </c>
      <c r="W189">
        <f>IFERROR(IF(ISNUMBER(INDEX(SPPR!$E:$X,MATCH($A189,SPPR!$A:$A,0),20)),$C189*INDEX(SPPR!$E:$X,MATCH($A189,SPPR!$A:$A,0),20),""),"")</f>
        <v/>
      </c>
    </row>
    <row r="190">
      <c r="A190" t="inlineStr">
        <is>
          <t>Panulirus longipes</t>
        </is>
      </c>
      <c r="B190">
        <f>IFERROR(INDEX(SPPR!$D:$D,MATCH($A190,SPPR!$A:$A,0)),"")</f>
        <v/>
      </c>
      <c r="C190">
        <f>IFERROR(INDEX(Catch!$E:$BV,MATCH($A190,Catch!$A:$A,0),MATCH($B$4,Catch!$E$1:$BV$1,0)),0)</f>
        <v/>
      </c>
      <c r="D190">
        <f>IFERROR(IF(ISNUMBER(INDEX(SPPR!$E:$X,MATCH($A190,SPPR!$A:$A,0),1)),$C190*INDEX(SPPR!$E:$X,MATCH($A190,SPPR!$A:$A,0),1),""),"")</f>
        <v/>
      </c>
      <c r="E190">
        <f>IFERROR(IF(ISNUMBER(INDEX(SPPR!$E:$X,MATCH($A190,SPPR!$A:$A,0),2)),$C190*INDEX(SPPR!$E:$X,MATCH($A190,SPPR!$A:$A,0),2),""),"")</f>
        <v/>
      </c>
      <c r="F190">
        <f>IFERROR(IF(ISNUMBER(INDEX(SPPR!$E:$X,MATCH($A190,SPPR!$A:$A,0),3)),$C190*INDEX(SPPR!$E:$X,MATCH($A190,SPPR!$A:$A,0),3),""),"")</f>
        <v/>
      </c>
      <c r="G190">
        <f>IFERROR(IF(ISNUMBER(INDEX(SPPR!$E:$X,MATCH($A190,SPPR!$A:$A,0),4)),$C190*INDEX(SPPR!$E:$X,MATCH($A190,SPPR!$A:$A,0),4),""),"")</f>
        <v/>
      </c>
      <c r="H190">
        <f>IFERROR(IF(ISNUMBER(INDEX(SPPR!$E:$X,MATCH($A190,SPPR!$A:$A,0),5)),$C190*INDEX(SPPR!$E:$X,MATCH($A190,SPPR!$A:$A,0),5),""),"")</f>
        <v/>
      </c>
      <c r="I190">
        <f>IFERROR(IF(ISNUMBER(INDEX(SPPR!$E:$X,MATCH($A190,SPPR!$A:$A,0),6)),$C190*INDEX(SPPR!$E:$X,MATCH($A190,SPPR!$A:$A,0),6),""),"")</f>
        <v/>
      </c>
      <c r="J190">
        <f>IFERROR(IF(ISNUMBER(INDEX(SPPR!$E:$X,MATCH($A190,SPPR!$A:$A,0),7)),$C190*INDEX(SPPR!$E:$X,MATCH($A190,SPPR!$A:$A,0),7),""),"")</f>
        <v/>
      </c>
      <c r="K190">
        <f>IFERROR(IF(ISNUMBER(INDEX(SPPR!$E:$X,MATCH($A190,SPPR!$A:$A,0),8)),$C190*INDEX(SPPR!$E:$X,MATCH($A190,SPPR!$A:$A,0),8),""),"")</f>
        <v/>
      </c>
      <c r="L190">
        <f>IFERROR(IF(ISNUMBER(INDEX(SPPR!$E:$X,MATCH($A190,SPPR!$A:$A,0),9)),$C190*INDEX(SPPR!$E:$X,MATCH($A190,SPPR!$A:$A,0),9),""),"")</f>
        <v/>
      </c>
      <c r="M190">
        <f>IFERROR(IF(ISNUMBER(INDEX(SPPR!$E:$X,MATCH($A190,SPPR!$A:$A,0),10)),$C190*INDEX(SPPR!$E:$X,MATCH($A190,SPPR!$A:$A,0),10),""),"")</f>
        <v/>
      </c>
      <c r="N190">
        <f>IFERROR(IF(ISNUMBER(INDEX(SPPR!$E:$X,MATCH($A190,SPPR!$A:$A,0),11)),$C190*INDEX(SPPR!$E:$X,MATCH($A190,SPPR!$A:$A,0),11),""),"")</f>
        <v/>
      </c>
      <c r="O190">
        <f>IFERROR(IF(ISNUMBER(INDEX(SPPR!$E:$X,MATCH($A190,SPPR!$A:$A,0),12)),$C190*INDEX(SPPR!$E:$X,MATCH($A190,SPPR!$A:$A,0),12),""),"")</f>
        <v/>
      </c>
      <c r="P190">
        <f>IFERROR(IF(ISNUMBER(INDEX(SPPR!$E:$X,MATCH($A190,SPPR!$A:$A,0),13)),$C190*INDEX(SPPR!$E:$X,MATCH($A190,SPPR!$A:$A,0),13),""),"")</f>
        <v/>
      </c>
      <c r="Q190">
        <f>IFERROR(IF(ISNUMBER(INDEX(SPPR!$E:$X,MATCH($A190,SPPR!$A:$A,0),14)),$C190*INDEX(SPPR!$E:$X,MATCH($A190,SPPR!$A:$A,0),14),""),"")</f>
        <v/>
      </c>
      <c r="R190">
        <f>IFERROR(IF(ISNUMBER(INDEX(SPPR!$E:$X,MATCH($A190,SPPR!$A:$A,0),15)),$C190*INDEX(SPPR!$E:$X,MATCH($A190,SPPR!$A:$A,0),15),""),"")</f>
        <v/>
      </c>
      <c r="S190">
        <f>IFERROR(IF(ISNUMBER(INDEX(SPPR!$E:$X,MATCH($A190,SPPR!$A:$A,0),16)),$C190*INDEX(SPPR!$E:$X,MATCH($A190,SPPR!$A:$A,0),16),""),"")</f>
        <v/>
      </c>
      <c r="T190">
        <f>IFERROR(IF(ISNUMBER(INDEX(SPPR!$E:$X,MATCH($A190,SPPR!$A:$A,0),17)),$C190*INDEX(SPPR!$E:$X,MATCH($A190,SPPR!$A:$A,0),17),""),"")</f>
        <v/>
      </c>
      <c r="U190">
        <f>IFERROR(IF(ISNUMBER(INDEX(SPPR!$E:$X,MATCH($A190,SPPR!$A:$A,0),18)),$C190*INDEX(SPPR!$E:$X,MATCH($A190,SPPR!$A:$A,0),18),""),"")</f>
        <v/>
      </c>
      <c r="V190">
        <f>IFERROR(IF(ISNUMBER(INDEX(SPPR!$E:$X,MATCH($A190,SPPR!$A:$A,0),19)),$C190*INDEX(SPPR!$E:$X,MATCH($A190,SPPR!$A:$A,0),19),""),"")</f>
        <v/>
      </c>
      <c r="W190">
        <f>IFERROR(IF(ISNUMBER(INDEX(SPPR!$E:$X,MATCH($A190,SPPR!$A:$A,0),20)),$C190*INDEX(SPPR!$E:$X,MATCH($A190,SPPR!$A:$A,0),20),""),"")</f>
        <v/>
      </c>
    </row>
    <row r="191">
      <c r="A191" t="inlineStr">
        <is>
          <t>Sillaginidae</t>
        </is>
      </c>
      <c r="B191">
        <f>IFERROR(INDEX(SPPR!$D:$D,MATCH($A191,SPPR!$A:$A,0)),"")</f>
        <v/>
      </c>
      <c r="C191">
        <f>IFERROR(INDEX(Catch!$E:$BV,MATCH($A191,Catch!$A:$A,0),MATCH($B$4,Catch!$E$1:$BV$1,0)),0)</f>
        <v/>
      </c>
      <c r="D191">
        <f>IFERROR(IF(ISNUMBER(INDEX(SPPR!$E:$X,MATCH($A191,SPPR!$A:$A,0),1)),$C191*INDEX(SPPR!$E:$X,MATCH($A191,SPPR!$A:$A,0),1),""),"")</f>
        <v/>
      </c>
      <c r="E191">
        <f>IFERROR(IF(ISNUMBER(INDEX(SPPR!$E:$X,MATCH($A191,SPPR!$A:$A,0),2)),$C191*INDEX(SPPR!$E:$X,MATCH($A191,SPPR!$A:$A,0),2),""),"")</f>
        <v/>
      </c>
      <c r="F191">
        <f>IFERROR(IF(ISNUMBER(INDEX(SPPR!$E:$X,MATCH($A191,SPPR!$A:$A,0),3)),$C191*INDEX(SPPR!$E:$X,MATCH($A191,SPPR!$A:$A,0),3),""),"")</f>
        <v/>
      </c>
      <c r="G191">
        <f>IFERROR(IF(ISNUMBER(INDEX(SPPR!$E:$X,MATCH($A191,SPPR!$A:$A,0),4)),$C191*INDEX(SPPR!$E:$X,MATCH($A191,SPPR!$A:$A,0),4),""),"")</f>
        <v/>
      </c>
      <c r="H191">
        <f>IFERROR(IF(ISNUMBER(INDEX(SPPR!$E:$X,MATCH($A191,SPPR!$A:$A,0),5)),$C191*INDEX(SPPR!$E:$X,MATCH($A191,SPPR!$A:$A,0),5),""),"")</f>
        <v/>
      </c>
      <c r="I191">
        <f>IFERROR(IF(ISNUMBER(INDEX(SPPR!$E:$X,MATCH($A191,SPPR!$A:$A,0),6)),$C191*INDEX(SPPR!$E:$X,MATCH($A191,SPPR!$A:$A,0),6),""),"")</f>
        <v/>
      </c>
      <c r="J191">
        <f>IFERROR(IF(ISNUMBER(INDEX(SPPR!$E:$X,MATCH($A191,SPPR!$A:$A,0),7)),$C191*INDEX(SPPR!$E:$X,MATCH($A191,SPPR!$A:$A,0),7),""),"")</f>
        <v/>
      </c>
      <c r="K191">
        <f>IFERROR(IF(ISNUMBER(INDEX(SPPR!$E:$X,MATCH($A191,SPPR!$A:$A,0),8)),$C191*INDEX(SPPR!$E:$X,MATCH($A191,SPPR!$A:$A,0),8),""),"")</f>
        <v/>
      </c>
      <c r="L191">
        <f>IFERROR(IF(ISNUMBER(INDEX(SPPR!$E:$X,MATCH($A191,SPPR!$A:$A,0),9)),$C191*INDEX(SPPR!$E:$X,MATCH($A191,SPPR!$A:$A,0),9),""),"")</f>
        <v/>
      </c>
      <c r="M191">
        <f>IFERROR(IF(ISNUMBER(INDEX(SPPR!$E:$X,MATCH($A191,SPPR!$A:$A,0),10)),$C191*INDEX(SPPR!$E:$X,MATCH($A191,SPPR!$A:$A,0),10),""),"")</f>
        <v/>
      </c>
      <c r="N191">
        <f>IFERROR(IF(ISNUMBER(INDEX(SPPR!$E:$X,MATCH($A191,SPPR!$A:$A,0),11)),$C191*INDEX(SPPR!$E:$X,MATCH($A191,SPPR!$A:$A,0),11),""),"")</f>
        <v/>
      </c>
      <c r="O191">
        <f>IFERROR(IF(ISNUMBER(INDEX(SPPR!$E:$X,MATCH($A191,SPPR!$A:$A,0),12)),$C191*INDEX(SPPR!$E:$X,MATCH($A191,SPPR!$A:$A,0),12),""),"")</f>
        <v/>
      </c>
      <c r="P191">
        <f>IFERROR(IF(ISNUMBER(INDEX(SPPR!$E:$X,MATCH($A191,SPPR!$A:$A,0),13)),$C191*INDEX(SPPR!$E:$X,MATCH($A191,SPPR!$A:$A,0),13),""),"")</f>
        <v/>
      </c>
      <c r="Q191">
        <f>IFERROR(IF(ISNUMBER(INDEX(SPPR!$E:$X,MATCH($A191,SPPR!$A:$A,0),14)),$C191*INDEX(SPPR!$E:$X,MATCH($A191,SPPR!$A:$A,0),14),""),"")</f>
        <v/>
      </c>
      <c r="R191">
        <f>IFERROR(IF(ISNUMBER(INDEX(SPPR!$E:$X,MATCH($A191,SPPR!$A:$A,0),15)),$C191*INDEX(SPPR!$E:$X,MATCH($A191,SPPR!$A:$A,0),15),""),"")</f>
        <v/>
      </c>
      <c r="S191">
        <f>IFERROR(IF(ISNUMBER(INDEX(SPPR!$E:$X,MATCH($A191,SPPR!$A:$A,0),16)),$C191*INDEX(SPPR!$E:$X,MATCH($A191,SPPR!$A:$A,0),16),""),"")</f>
        <v/>
      </c>
      <c r="T191">
        <f>IFERROR(IF(ISNUMBER(INDEX(SPPR!$E:$X,MATCH($A191,SPPR!$A:$A,0),17)),$C191*INDEX(SPPR!$E:$X,MATCH($A191,SPPR!$A:$A,0),17),""),"")</f>
        <v/>
      </c>
      <c r="U191">
        <f>IFERROR(IF(ISNUMBER(INDEX(SPPR!$E:$X,MATCH($A191,SPPR!$A:$A,0),18)),$C191*INDEX(SPPR!$E:$X,MATCH($A191,SPPR!$A:$A,0),18),""),"")</f>
        <v/>
      </c>
      <c r="V191">
        <f>IFERROR(IF(ISNUMBER(INDEX(SPPR!$E:$X,MATCH($A191,SPPR!$A:$A,0),19)),$C191*INDEX(SPPR!$E:$X,MATCH($A191,SPPR!$A:$A,0),19),""),"")</f>
        <v/>
      </c>
      <c r="W191">
        <f>IFERROR(IF(ISNUMBER(INDEX(SPPR!$E:$X,MATCH($A191,SPPR!$A:$A,0),20)),$C191*INDEX(SPPR!$E:$X,MATCH($A191,SPPR!$A:$A,0),20),""),"")</f>
        <v/>
      </c>
    </row>
    <row r="192">
      <c r="A192" t="inlineStr">
        <is>
          <t>Lateolabracidae</t>
        </is>
      </c>
      <c r="B192">
        <f>IFERROR(INDEX(SPPR!$D:$D,MATCH($A192,SPPR!$A:$A,0)),"")</f>
        <v/>
      </c>
      <c r="C192">
        <f>IFERROR(INDEX(Catch!$E:$BV,MATCH($A192,Catch!$A:$A,0),MATCH($B$4,Catch!$E$1:$BV$1,0)),0)</f>
        <v/>
      </c>
      <c r="D192">
        <f>IFERROR(IF(ISNUMBER(INDEX(SPPR!$E:$X,MATCH($A192,SPPR!$A:$A,0),1)),$C192*INDEX(SPPR!$E:$X,MATCH($A192,SPPR!$A:$A,0),1),""),"")</f>
        <v/>
      </c>
      <c r="E192">
        <f>IFERROR(IF(ISNUMBER(INDEX(SPPR!$E:$X,MATCH($A192,SPPR!$A:$A,0),2)),$C192*INDEX(SPPR!$E:$X,MATCH($A192,SPPR!$A:$A,0),2),""),"")</f>
        <v/>
      </c>
      <c r="F192">
        <f>IFERROR(IF(ISNUMBER(INDEX(SPPR!$E:$X,MATCH($A192,SPPR!$A:$A,0),3)),$C192*INDEX(SPPR!$E:$X,MATCH($A192,SPPR!$A:$A,0),3),""),"")</f>
        <v/>
      </c>
      <c r="G192">
        <f>IFERROR(IF(ISNUMBER(INDEX(SPPR!$E:$X,MATCH($A192,SPPR!$A:$A,0),4)),$C192*INDEX(SPPR!$E:$X,MATCH($A192,SPPR!$A:$A,0),4),""),"")</f>
        <v/>
      </c>
      <c r="H192">
        <f>IFERROR(IF(ISNUMBER(INDEX(SPPR!$E:$X,MATCH($A192,SPPR!$A:$A,0),5)),$C192*INDEX(SPPR!$E:$X,MATCH($A192,SPPR!$A:$A,0),5),""),"")</f>
        <v/>
      </c>
      <c r="I192">
        <f>IFERROR(IF(ISNUMBER(INDEX(SPPR!$E:$X,MATCH($A192,SPPR!$A:$A,0),6)),$C192*INDEX(SPPR!$E:$X,MATCH($A192,SPPR!$A:$A,0),6),""),"")</f>
        <v/>
      </c>
      <c r="J192">
        <f>IFERROR(IF(ISNUMBER(INDEX(SPPR!$E:$X,MATCH($A192,SPPR!$A:$A,0),7)),$C192*INDEX(SPPR!$E:$X,MATCH($A192,SPPR!$A:$A,0),7),""),"")</f>
        <v/>
      </c>
      <c r="K192">
        <f>IFERROR(IF(ISNUMBER(INDEX(SPPR!$E:$X,MATCH($A192,SPPR!$A:$A,0),8)),$C192*INDEX(SPPR!$E:$X,MATCH($A192,SPPR!$A:$A,0),8),""),"")</f>
        <v/>
      </c>
      <c r="L192">
        <f>IFERROR(IF(ISNUMBER(INDEX(SPPR!$E:$X,MATCH($A192,SPPR!$A:$A,0),9)),$C192*INDEX(SPPR!$E:$X,MATCH($A192,SPPR!$A:$A,0),9),""),"")</f>
        <v/>
      </c>
      <c r="M192">
        <f>IFERROR(IF(ISNUMBER(INDEX(SPPR!$E:$X,MATCH($A192,SPPR!$A:$A,0),10)),$C192*INDEX(SPPR!$E:$X,MATCH($A192,SPPR!$A:$A,0),10),""),"")</f>
        <v/>
      </c>
      <c r="N192">
        <f>IFERROR(IF(ISNUMBER(INDEX(SPPR!$E:$X,MATCH($A192,SPPR!$A:$A,0),11)),$C192*INDEX(SPPR!$E:$X,MATCH($A192,SPPR!$A:$A,0),11),""),"")</f>
        <v/>
      </c>
      <c r="O192">
        <f>IFERROR(IF(ISNUMBER(INDEX(SPPR!$E:$X,MATCH($A192,SPPR!$A:$A,0),12)),$C192*INDEX(SPPR!$E:$X,MATCH($A192,SPPR!$A:$A,0),12),""),"")</f>
        <v/>
      </c>
      <c r="P192">
        <f>IFERROR(IF(ISNUMBER(INDEX(SPPR!$E:$X,MATCH($A192,SPPR!$A:$A,0),13)),$C192*INDEX(SPPR!$E:$X,MATCH($A192,SPPR!$A:$A,0),13),""),"")</f>
        <v/>
      </c>
      <c r="Q192">
        <f>IFERROR(IF(ISNUMBER(INDEX(SPPR!$E:$X,MATCH($A192,SPPR!$A:$A,0),14)),$C192*INDEX(SPPR!$E:$X,MATCH($A192,SPPR!$A:$A,0),14),""),"")</f>
        <v/>
      </c>
      <c r="R192">
        <f>IFERROR(IF(ISNUMBER(INDEX(SPPR!$E:$X,MATCH($A192,SPPR!$A:$A,0),15)),$C192*INDEX(SPPR!$E:$X,MATCH($A192,SPPR!$A:$A,0),15),""),"")</f>
        <v/>
      </c>
      <c r="S192">
        <f>IFERROR(IF(ISNUMBER(INDEX(SPPR!$E:$X,MATCH($A192,SPPR!$A:$A,0),16)),$C192*INDEX(SPPR!$E:$X,MATCH($A192,SPPR!$A:$A,0),16),""),"")</f>
        <v/>
      </c>
      <c r="T192">
        <f>IFERROR(IF(ISNUMBER(INDEX(SPPR!$E:$X,MATCH($A192,SPPR!$A:$A,0),17)),$C192*INDEX(SPPR!$E:$X,MATCH($A192,SPPR!$A:$A,0),17),""),"")</f>
        <v/>
      </c>
      <c r="U192">
        <f>IFERROR(IF(ISNUMBER(INDEX(SPPR!$E:$X,MATCH($A192,SPPR!$A:$A,0),18)),$C192*INDEX(SPPR!$E:$X,MATCH($A192,SPPR!$A:$A,0),18),""),"")</f>
        <v/>
      </c>
      <c r="V192">
        <f>IFERROR(IF(ISNUMBER(INDEX(SPPR!$E:$X,MATCH($A192,SPPR!$A:$A,0),19)),$C192*INDEX(SPPR!$E:$X,MATCH($A192,SPPR!$A:$A,0),19),""),"")</f>
        <v/>
      </c>
      <c r="W192">
        <f>IFERROR(IF(ISNUMBER(INDEX(SPPR!$E:$X,MATCH($A192,SPPR!$A:$A,0),20)),$C192*INDEX(SPPR!$E:$X,MATCH($A192,SPPR!$A:$A,0),20),""),"")</f>
        <v/>
      </c>
    </row>
    <row r="193">
      <c r="A193" t="inlineStr">
        <is>
          <t>Ammodytes</t>
        </is>
      </c>
      <c r="B193">
        <f>IFERROR(INDEX(SPPR!$D:$D,MATCH($A193,SPPR!$A:$A,0)),"")</f>
        <v/>
      </c>
      <c r="C193">
        <f>IFERROR(INDEX(Catch!$E:$BV,MATCH($A193,Catch!$A:$A,0),MATCH($B$4,Catch!$E$1:$BV$1,0)),0)</f>
        <v/>
      </c>
      <c r="D193">
        <f>IFERROR(IF(ISNUMBER(INDEX(SPPR!$E:$X,MATCH($A193,SPPR!$A:$A,0),1)),$C193*INDEX(SPPR!$E:$X,MATCH($A193,SPPR!$A:$A,0),1),""),"")</f>
        <v/>
      </c>
      <c r="E193">
        <f>IFERROR(IF(ISNUMBER(INDEX(SPPR!$E:$X,MATCH($A193,SPPR!$A:$A,0),2)),$C193*INDEX(SPPR!$E:$X,MATCH($A193,SPPR!$A:$A,0),2),""),"")</f>
        <v/>
      </c>
      <c r="F193">
        <f>IFERROR(IF(ISNUMBER(INDEX(SPPR!$E:$X,MATCH($A193,SPPR!$A:$A,0),3)),$C193*INDEX(SPPR!$E:$X,MATCH($A193,SPPR!$A:$A,0),3),""),"")</f>
        <v/>
      </c>
      <c r="G193">
        <f>IFERROR(IF(ISNUMBER(INDEX(SPPR!$E:$X,MATCH($A193,SPPR!$A:$A,0),4)),$C193*INDEX(SPPR!$E:$X,MATCH($A193,SPPR!$A:$A,0),4),""),"")</f>
        <v/>
      </c>
      <c r="H193">
        <f>IFERROR(IF(ISNUMBER(INDEX(SPPR!$E:$X,MATCH($A193,SPPR!$A:$A,0),5)),$C193*INDEX(SPPR!$E:$X,MATCH($A193,SPPR!$A:$A,0),5),""),"")</f>
        <v/>
      </c>
      <c r="I193">
        <f>IFERROR(IF(ISNUMBER(INDEX(SPPR!$E:$X,MATCH($A193,SPPR!$A:$A,0),6)),$C193*INDEX(SPPR!$E:$X,MATCH($A193,SPPR!$A:$A,0),6),""),"")</f>
        <v/>
      </c>
      <c r="J193">
        <f>IFERROR(IF(ISNUMBER(INDEX(SPPR!$E:$X,MATCH($A193,SPPR!$A:$A,0),7)),$C193*INDEX(SPPR!$E:$X,MATCH($A193,SPPR!$A:$A,0),7),""),"")</f>
        <v/>
      </c>
      <c r="K193">
        <f>IFERROR(IF(ISNUMBER(INDEX(SPPR!$E:$X,MATCH($A193,SPPR!$A:$A,0),8)),$C193*INDEX(SPPR!$E:$X,MATCH($A193,SPPR!$A:$A,0),8),""),"")</f>
        <v/>
      </c>
      <c r="L193">
        <f>IFERROR(IF(ISNUMBER(INDEX(SPPR!$E:$X,MATCH($A193,SPPR!$A:$A,0),9)),$C193*INDEX(SPPR!$E:$X,MATCH($A193,SPPR!$A:$A,0),9),""),"")</f>
        <v/>
      </c>
      <c r="M193">
        <f>IFERROR(IF(ISNUMBER(INDEX(SPPR!$E:$X,MATCH($A193,SPPR!$A:$A,0),10)),$C193*INDEX(SPPR!$E:$X,MATCH($A193,SPPR!$A:$A,0),10),""),"")</f>
        <v/>
      </c>
      <c r="N193">
        <f>IFERROR(IF(ISNUMBER(INDEX(SPPR!$E:$X,MATCH($A193,SPPR!$A:$A,0),11)),$C193*INDEX(SPPR!$E:$X,MATCH($A193,SPPR!$A:$A,0),11),""),"")</f>
        <v/>
      </c>
      <c r="O193">
        <f>IFERROR(IF(ISNUMBER(INDEX(SPPR!$E:$X,MATCH($A193,SPPR!$A:$A,0),12)),$C193*INDEX(SPPR!$E:$X,MATCH($A193,SPPR!$A:$A,0),12),""),"")</f>
        <v/>
      </c>
      <c r="P193">
        <f>IFERROR(IF(ISNUMBER(INDEX(SPPR!$E:$X,MATCH($A193,SPPR!$A:$A,0),13)),$C193*INDEX(SPPR!$E:$X,MATCH($A193,SPPR!$A:$A,0),13),""),"")</f>
        <v/>
      </c>
      <c r="Q193">
        <f>IFERROR(IF(ISNUMBER(INDEX(SPPR!$E:$X,MATCH($A193,SPPR!$A:$A,0),14)),$C193*INDEX(SPPR!$E:$X,MATCH($A193,SPPR!$A:$A,0),14),""),"")</f>
        <v/>
      </c>
      <c r="R193">
        <f>IFERROR(IF(ISNUMBER(INDEX(SPPR!$E:$X,MATCH($A193,SPPR!$A:$A,0),15)),$C193*INDEX(SPPR!$E:$X,MATCH($A193,SPPR!$A:$A,0),15),""),"")</f>
        <v/>
      </c>
      <c r="S193">
        <f>IFERROR(IF(ISNUMBER(INDEX(SPPR!$E:$X,MATCH($A193,SPPR!$A:$A,0),16)),$C193*INDEX(SPPR!$E:$X,MATCH($A193,SPPR!$A:$A,0),16),""),"")</f>
        <v/>
      </c>
      <c r="T193">
        <f>IFERROR(IF(ISNUMBER(INDEX(SPPR!$E:$X,MATCH($A193,SPPR!$A:$A,0),17)),$C193*INDEX(SPPR!$E:$X,MATCH($A193,SPPR!$A:$A,0),17),""),"")</f>
        <v/>
      </c>
      <c r="U193">
        <f>IFERROR(IF(ISNUMBER(INDEX(SPPR!$E:$X,MATCH($A193,SPPR!$A:$A,0),18)),$C193*INDEX(SPPR!$E:$X,MATCH($A193,SPPR!$A:$A,0),18),""),"")</f>
        <v/>
      </c>
      <c r="V193">
        <f>IFERROR(IF(ISNUMBER(INDEX(SPPR!$E:$X,MATCH($A193,SPPR!$A:$A,0),19)),$C193*INDEX(SPPR!$E:$X,MATCH($A193,SPPR!$A:$A,0),19),""),"")</f>
        <v/>
      </c>
      <c r="W193">
        <f>IFERROR(IF(ISNUMBER(INDEX(SPPR!$E:$X,MATCH($A193,SPPR!$A:$A,0),20)),$C193*INDEX(SPPR!$E:$X,MATCH($A193,SPPR!$A:$A,0),20),""),"")</f>
        <v/>
      </c>
    </row>
    <row r="194">
      <c r="A194" t="inlineStr">
        <is>
          <t>Cypselurus</t>
        </is>
      </c>
      <c r="B194">
        <f>IFERROR(INDEX(SPPR!$D:$D,MATCH($A194,SPPR!$A:$A,0)),"")</f>
        <v/>
      </c>
      <c r="C194">
        <f>IFERROR(INDEX(Catch!$E:$BV,MATCH($A194,Catch!$A:$A,0),MATCH($B$4,Catch!$E$1:$BV$1,0)),0)</f>
        <v/>
      </c>
      <c r="D194">
        <f>IFERROR(IF(ISNUMBER(INDEX(SPPR!$E:$X,MATCH($A194,SPPR!$A:$A,0),1)),$C194*INDEX(SPPR!$E:$X,MATCH($A194,SPPR!$A:$A,0),1),""),"")</f>
        <v/>
      </c>
      <c r="E194">
        <f>IFERROR(IF(ISNUMBER(INDEX(SPPR!$E:$X,MATCH($A194,SPPR!$A:$A,0),2)),$C194*INDEX(SPPR!$E:$X,MATCH($A194,SPPR!$A:$A,0),2),""),"")</f>
        <v/>
      </c>
      <c r="F194">
        <f>IFERROR(IF(ISNUMBER(INDEX(SPPR!$E:$X,MATCH($A194,SPPR!$A:$A,0),3)),$C194*INDEX(SPPR!$E:$X,MATCH($A194,SPPR!$A:$A,0),3),""),"")</f>
        <v/>
      </c>
      <c r="G194">
        <f>IFERROR(IF(ISNUMBER(INDEX(SPPR!$E:$X,MATCH($A194,SPPR!$A:$A,0),4)),$C194*INDEX(SPPR!$E:$X,MATCH($A194,SPPR!$A:$A,0),4),""),"")</f>
        <v/>
      </c>
      <c r="H194">
        <f>IFERROR(IF(ISNUMBER(INDEX(SPPR!$E:$X,MATCH($A194,SPPR!$A:$A,0),5)),$C194*INDEX(SPPR!$E:$X,MATCH($A194,SPPR!$A:$A,0),5),""),"")</f>
        <v/>
      </c>
      <c r="I194">
        <f>IFERROR(IF(ISNUMBER(INDEX(SPPR!$E:$X,MATCH($A194,SPPR!$A:$A,0),6)),$C194*INDEX(SPPR!$E:$X,MATCH($A194,SPPR!$A:$A,0),6),""),"")</f>
        <v/>
      </c>
      <c r="J194">
        <f>IFERROR(IF(ISNUMBER(INDEX(SPPR!$E:$X,MATCH($A194,SPPR!$A:$A,0),7)),$C194*INDEX(SPPR!$E:$X,MATCH($A194,SPPR!$A:$A,0),7),""),"")</f>
        <v/>
      </c>
      <c r="K194">
        <f>IFERROR(IF(ISNUMBER(INDEX(SPPR!$E:$X,MATCH($A194,SPPR!$A:$A,0),8)),$C194*INDEX(SPPR!$E:$X,MATCH($A194,SPPR!$A:$A,0),8),""),"")</f>
        <v/>
      </c>
      <c r="L194">
        <f>IFERROR(IF(ISNUMBER(INDEX(SPPR!$E:$X,MATCH($A194,SPPR!$A:$A,0),9)),$C194*INDEX(SPPR!$E:$X,MATCH($A194,SPPR!$A:$A,0),9),""),"")</f>
        <v/>
      </c>
      <c r="M194">
        <f>IFERROR(IF(ISNUMBER(INDEX(SPPR!$E:$X,MATCH($A194,SPPR!$A:$A,0),10)),$C194*INDEX(SPPR!$E:$X,MATCH($A194,SPPR!$A:$A,0),10),""),"")</f>
        <v/>
      </c>
      <c r="N194">
        <f>IFERROR(IF(ISNUMBER(INDEX(SPPR!$E:$X,MATCH($A194,SPPR!$A:$A,0),11)),$C194*INDEX(SPPR!$E:$X,MATCH($A194,SPPR!$A:$A,0),11),""),"")</f>
        <v/>
      </c>
      <c r="O194">
        <f>IFERROR(IF(ISNUMBER(INDEX(SPPR!$E:$X,MATCH($A194,SPPR!$A:$A,0),12)),$C194*INDEX(SPPR!$E:$X,MATCH($A194,SPPR!$A:$A,0),12),""),"")</f>
        <v/>
      </c>
      <c r="P194">
        <f>IFERROR(IF(ISNUMBER(INDEX(SPPR!$E:$X,MATCH($A194,SPPR!$A:$A,0),13)),$C194*INDEX(SPPR!$E:$X,MATCH($A194,SPPR!$A:$A,0),13),""),"")</f>
        <v/>
      </c>
      <c r="Q194">
        <f>IFERROR(IF(ISNUMBER(INDEX(SPPR!$E:$X,MATCH($A194,SPPR!$A:$A,0),14)),$C194*INDEX(SPPR!$E:$X,MATCH($A194,SPPR!$A:$A,0),14),""),"")</f>
        <v/>
      </c>
      <c r="R194">
        <f>IFERROR(IF(ISNUMBER(INDEX(SPPR!$E:$X,MATCH($A194,SPPR!$A:$A,0),15)),$C194*INDEX(SPPR!$E:$X,MATCH($A194,SPPR!$A:$A,0),15),""),"")</f>
        <v/>
      </c>
      <c r="S194">
        <f>IFERROR(IF(ISNUMBER(INDEX(SPPR!$E:$X,MATCH($A194,SPPR!$A:$A,0),16)),$C194*INDEX(SPPR!$E:$X,MATCH($A194,SPPR!$A:$A,0),16),""),"")</f>
        <v/>
      </c>
      <c r="T194">
        <f>IFERROR(IF(ISNUMBER(INDEX(SPPR!$E:$X,MATCH($A194,SPPR!$A:$A,0),17)),$C194*INDEX(SPPR!$E:$X,MATCH($A194,SPPR!$A:$A,0),17),""),"")</f>
        <v/>
      </c>
      <c r="U194">
        <f>IFERROR(IF(ISNUMBER(INDEX(SPPR!$E:$X,MATCH($A194,SPPR!$A:$A,0),18)),$C194*INDEX(SPPR!$E:$X,MATCH($A194,SPPR!$A:$A,0),18),""),"")</f>
        <v/>
      </c>
      <c r="V194">
        <f>IFERROR(IF(ISNUMBER(INDEX(SPPR!$E:$X,MATCH($A194,SPPR!$A:$A,0),19)),$C194*INDEX(SPPR!$E:$X,MATCH($A194,SPPR!$A:$A,0),19),""),"")</f>
        <v/>
      </c>
      <c r="W194">
        <f>IFERROR(IF(ISNUMBER(INDEX(SPPR!$E:$X,MATCH($A194,SPPR!$A:$A,0),20)),$C194*INDEX(SPPR!$E:$X,MATCH($A194,SPPR!$A:$A,0),20),""),"")</f>
        <v/>
      </c>
    </row>
    <row r="195">
      <c r="A195" t="inlineStr">
        <is>
          <t>Gymnocranius</t>
        </is>
      </c>
      <c r="B195">
        <f>IFERROR(INDEX(SPPR!$D:$D,MATCH($A195,SPPR!$A:$A,0)),"")</f>
        <v/>
      </c>
      <c r="C195">
        <f>IFERROR(INDEX(Catch!$E:$BV,MATCH($A195,Catch!$A:$A,0),MATCH($B$4,Catch!$E$1:$BV$1,0)),0)</f>
        <v/>
      </c>
      <c r="D195">
        <f>IFERROR(IF(ISNUMBER(INDEX(SPPR!$E:$X,MATCH($A195,SPPR!$A:$A,0),1)),$C195*INDEX(SPPR!$E:$X,MATCH($A195,SPPR!$A:$A,0),1),""),"")</f>
        <v/>
      </c>
      <c r="E195">
        <f>IFERROR(IF(ISNUMBER(INDEX(SPPR!$E:$X,MATCH($A195,SPPR!$A:$A,0),2)),$C195*INDEX(SPPR!$E:$X,MATCH($A195,SPPR!$A:$A,0),2),""),"")</f>
        <v/>
      </c>
      <c r="F195">
        <f>IFERROR(IF(ISNUMBER(INDEX(SPPR!$E:$X,MATCH($A195,SPPR!$A:$A,0),3)),$C195*INDEX(SPPR!$E:$X,MATCH($A195,SPPR!$A:$A,0),3),""),"")</f>
        <v/>
      </c>
      <c r="G195">
        <f>IFERROR(IF(ISNUMBER(INDEX(SPPR!$E:$X,MATCH($A195,SPPR!$A:$A,0),4)),$C195*INDEX(SPPR!$E:$X,MATCH($A195,SPPR!$A:$A,0),4),""),"")</f>
        <v/>
      </c>
      <c r="H195">
        <f>IFERROR(IF(ISNUMBER(INDEX(SPPR!$E:$X,MATCH($A195,SPPR!$A:$A,0),5)),$C195*INDEX(SPPR!$E:$X,MATCH($A195,SPPR!$A:$A,0),5),""),"")</f>
        <v/>
      </c>
      <c r="I195">
        <f>IFERROR(IF(ISNUMBER(INDEX(SPPR!$E:$X,MATCH($A195,SPPR!$A:$A,0),6)),$C195*INDEX(SPPR!$E:$X,MATCH($A195,SPPR!$A:$A,0),6),""),"")</f>
        <v/>
      </c>
      <c r="J195">
        <f>IFERROR(IF(ISNUMBER(INDEX(SPPR!$E:$X,MATCH($A195,SPPR!$A:$A,0),7)),$C195*INDEX(SPPR!$E:$X,MATCH($A195,SPPR!$A:$A,0),7),""),"")</f>
        <v/>
      </c>
      <c r="K195">
        <f>IFERROR(IF(ISNUMBER(INDEX(SPPR!$E:$X,MATCH($A195,SPPR!$A:$A,0),8)),$C195*INDEX(SPPR!$E:$X,MATCH($A195,SPPR!$A:$A,0),8),""),"")</f>
        <v/>
      </c>
      <c r="L195">
        <f>IFERROR(IF(ISNUMBER(INDEX(SPPR!$E:$X,MATCH($A195,SPPR!$A:$A,0),9)),$C195*INDEX(SPPR!$E:$X,MATCH($A195,SPPR!$A:$A,0),9),""),"")</f>
        <v/>
      </c>
      <c r="M195">
        <f>IFERROR(IF(ISNUMBER(INDEX(SPPR!$E:$X,MATCH($A195,SPPR!$A:$A,0),10)),$C195*INDEX(SPPR!$E:$X,MATCH($A195,SPPR!$A:$A,0),10),""),"")</f>
        <v/>
      </c>
      <c r="N195">
        <f>IFERROR(IF(ISNUMBER(INDEX(SPPR!$E:$X,MATCH($A195,SPPR!$A:$A,0),11)),$C195*INDEX(SPPR!$E:$X,MATCH($A195,SPPR!$A:$A,0),11),""),"")</f>
        <v/>
      </c>
      <c r="O195">
        <f>IFERROR(IF(ISNUMBER(INDEX(SPPR!$E:$X,MATCH($A195,SPPR!$A:$A,0),12)),$C195*INDEX(SPPR!$E:$X,MATCH($A195,SPPR!$A:$A,0),12),""),"")</f>
        <v/>
      </c>
      <c r="P195">
        <f>IFERROR(IF(ISNUMBER(INDEX(SPPR!$E:$X,MATCH($A195,SPPR!$A:$A,0),13)),$C195*INDEX(SPPR!$E:$X,MATCH($A195,SPPR!$A:$A,0),13),""),"")</f>
        <v/>
      </c>
      <c r="Q195">
        <f>IFERROR(IF(ISNUMBER(INDEX(SPPR!$E:$X,MATCH($A195,SPPR!$A:$A,0),14)),$C195*INDEX(SPPR!$E:$X,MATCH($A195,SPPR!$A:$A,0),14),""),"")</f>
        <v/>
      </c>
      <c r="R195">
        <f>IFERROR(IF(ISNUMBER(INDEX(SPPR!$E:$X,MATCH($A195,SPPR!$A:$A,0),15)),$C195*INDEX(SPPR!$E:$X,MATCH($A195,SPPR!$A:$A,0),15),""),"")</f>
        <v/>
      </c>
      <c r="S195">
        <f>IFERROR(IF(ISNUMBER(INDEX(SPPR!$E:$X,MATCH($A195,SPPR!$A:$A,0),16)),$C195*INDEX(SPPR!$E:$X,MATCH($A195,SPPR!$A:$A,0),16),""),"")</f>
        <v/>
      </c>
      <c r="T195">
        <f>IFERROR(IF(ISNUMBER(INDEX(SPPR!$E:$X,MATCH($A195,SPPR!$A:$A,0),17)),$C195*INDEX(SPPR!$E:$X,MATCH($A195,SPPR!$A:$A,0),17),""),"")</f>
        <v/>
      </c>
      <c r="U195">
        <f>IFERROR(IF(ISNUMBER(INDEX(SPPR!$E:$X,MATCH($A195,SPPR!$A:$A,0),18)),$C195*INDEX(SPPR!$E:$X,MATCH($A195,SPPR!$A:$A,0),18),""),"")</f>
        <v/>
      </c>
      <c r="V195">
        <f>IFERROR(IF(ISNUMBER(INDEX(SPPR!$E:$X,MATCH($A195,SPPR!$A:$A,0),19)),$C195*INDEX(SPPR!$E:$X,MATCH($A195,SPPR!$A:$A,0),19),""),"")</f>
        <v/>
      </c>
      <c r="W195">
        <f>IFERROR(IF(ISNUMBER(INDEX(SPPR!$E:$X,MATCH($A195,SPPR!$A:$A,0),20)),$C195*INDEX(SPPR!$E:$X,MATCH($A195,SPPR!$A:$A,0),20),""),"")</f>
        <v/>
      </c>
    </row>
    <row r="196">
      <c r="A196" t="inlineStr">
        <is>
          <t>Muraenidae</t>
        </is>
      </c>
      <c r="B196">
        <f>IFERROR(INDEX(SPPR!$D:$D,MATCH($A196,SPPR!$A:$A,0)),"")</f>
        <v/>
      </c>
      <c r="C196">
        <f>IFERROR(INDEX(Catch!$E:$BV,MATCH($A196,Catch!$A:$A,0),MATCH($B$4,Catch!$E$1:$BV$1,0)),0)</f>
        <v/>
      </c>
      <c r="D196">
        <f>IFERROR(IF(ISNUMBER(INDEX(SPPR!$E:$X,MATCH($A196,SPPR!$A:$A,0),1)),$C196*INDEX(SPPR!$E:$X,MATCH($A196,SPPR!$A:$A,0),1),""),"")</f>
        <v/>
      </c>
      <c r="E196">
        <f>IFERROR(IF(ISNUMBER(INDEX(SPPR!$E:$X,MATCH($A196,SPPR!$A:$A,0),2)),$C196*INDEX(SPPR!$E:$X,MATCH($A196,SPPR!$A:$A,0),2),""),"")</f>
        <v/>
      </c>
      <c r="F196">
        <f>IFERROR(IF(ISNUMBER(INDEX(SPPR!$E:$X,MATCH($A196,SPPR!$A:$A,0),3)),$C196*INDEX(SPPR!$E:$X,MATCH($A196,SPPR!$A:$A,0),3),""),"")</f>
        <v/>
      </c>
      <c r="G196">
        <f>IFERROR(IF(ISNUMBER(INDEX(SPPR!$E:$X,MATCH($A196,SPPR!$A:$A,0),4)),$C196*INDEX(SPPR!$E:$X,MATCH($A196,SPPR!$A:$A,0),4),""),"")</f>
        <v/>
      </c>
      <c r="H196">
        <f>IFERROR(IF(ISNUMBER(INDEX(SPPR!$E:$X,MATCH($A196,SPPR!$A:$A,0),5)),$C196*INDEX(SPPR!$E:$X,MATCH($A196,SPPR!$A:$A,0),5),""),"")</f>
        <v/>
      </c>
      <c r="I196">
        <f>IFERROR(IF(ISNUMBER(INDEX(SPPR!$E:$X,MATCH($A196,SPPR!$A:$A,0),6)),$C196*INDEX(SPPR!$E:$X,MATCH($A196,SPPR!$A:$A,0),6),""),"")</f>
        <v/>
      </c>
      <c r="J196">
        <f>IFERROR(IF(ISNUMBER(INDEX(SPPR!$E:$X,MATCH($A196,SPPR!$A:$A,0),7)),$C196*INDEX(SPPR!$E:$X,MATCH($A196,SPPR!$A:$A,0),7),""),"")</f>
        <v/>
      </c>
      <c r="K196">
        <f>IFERROR(IF(ISNUMBER(INDEX(SPPR!$E:$X,MATCH($A196,SPPR!$A:$A,0),8)),$C196*INDEX(SPPR!$E:$X,MATCH($A196,SPPR!$A:$A,0),8),""),"")</f>
        <v/>
      </c>
      <c r="L196">
        <f>IFERROR(IF(ISNUMBER(INDEX(SPPR!$E:$X,MATCH($A196,SPPR!$A:$A,0),9)),$C196*INDEX(SPPR!$E:$X,MATCH($A196,SPPR!$A:$A,0),9),""),"")</f>
        <v/>
      </c>
      <c r="M196">
        <f>IFERROR(IF(ISNUMBER(INDEX(SPPR!$E:$X,MATCH($A196,SPPR!$A:$A,0),10)),$C196*INDEX(SPPR!$E:$X,MATCH($A196,SPPR!$A:$A,0),10),""),"")</f>
        <v/>
      </c>
      <c r="N196">
        <f>IFERROR(IF(ISNUMBER(INDEX(SPPR!$E:$X,MATCH($A196,SPPR!$A:$A,0),11)),$C196*INDEX(SPPR!$E:$X,MATCH($A196,SPPR!$A:$A,0),11),""),"")</f>
        <v/>
      </c>
      <c r="O196">
        <f>IFERROR(IF(ISNUMBER(INDEX(SPPR!$E:$X,MATCH($A196,SPPR!$A:$A,0),12)),$C196*INDEX(SPPR!$E:$X,MATCH($A196,SPPR!$A:$A,0),12),""),"")</f>
        <v/>
      </c>
      <c r="P196">
        <f>IFERROR(IF(ISNUMBER(INDEX(SPPR!$E:$X,MATCH($A196,SPPR!$A:$A,0),13)),$C196*INDEX(SPPR!$E:$X,MATCH($A196,SPPR!$A:$A,0),13),""),"")</f>
        <v/>
      </c>
      <c r="Q196">
        <f>IFERROR(IF(ISNUMBER(INDEX(SPPR!$E:$X,MATCH($A196,SPPR!$A:$A,0),14)),$C196*INDEX(SPPR!$E:$X,MATCH($A196,SPPR!$A:$A,0),14),""),"")</f>
        <v/>
      </c>
      <c r="R196">
        <f>IFERROR(IF(ISNUMBER(INDEX(SPPR!$E:$X,MATCH($A196,SPPR!$A:$A,0),15)),$C196*INDEX(SPPR!$E:$X,MATCH($A196,SPPR!$A:$A,0),15),""),"")</f>
        <v/>
      </c>
      <c r="S196">
        <f>IFERROR(IF(ISNUMBER(INDEX(SPPR!$E:$X,MATCH($A196,SPPR!$A:$A,0),16)),$C196*INDEX(SPPR!$E:$X,MATCH($A196,SPPR!$A:$A,0),16),""),"")</f>
        <v/>
      </c>
      <c r="T196">
        <f>IFERROR(IF(ISNUMBER(INDEX(SPPR!$E:$X,MATCH($A196,SPPR!$A:$A,0),17)),$C196*INDEX(SPPR!$E:$X,MATCH($A196,SPPR!$A:$A,0),17),""),"")</f>
        <v/>
      </c>
      <c r="U196">
        <f>IFERROR(IF(ISNUMBER(INDEX(SPPR!$E:$X,MATCH($A196,SPPR!$A:$A,0),18)),$C196*INDEX(SPPR!$E:$X,MATCH($A196,SPPR!$A:$A,0),18),""),"")</f>
        <v/>
      </c>
      <c r="V196">
        <f>IFERROR(IF(ISNUMBER(INDEX(SPPR!$E:$X,MATCH($A196,SPPR!$A:$A,0),19)),$C196*INDEX(SPPR!$E:$X,MATCH($A196,SPPR!$A:$A,0),19),""),"")</f>
        <v/>
      </c>
      <c r="W196">
        <f>IFERROR(IF(ISNUMBER(INDEX(SPPR!$E:$X,MATCH($A196,SPPR!$A:$A,0),20)),$C196*INDEX(SPPR!$E:$X,MATCH($A196,SPPR!$A:$A,0),20),""),"")</f>
        <v/>
      </c>
    </row>
    <row r="197">
      <c r="A197" t="inlineStr">
        <is>
          <t>Ibacus ciliatus</t>
        </is>
      </c>
      <c r="B197">
        <f>IFERROR(INDEX(SPPR!$D:$D,MATCH($A197,SPPR!$A:$A,0)),"")</f>
        <v/>
      </c>
      <c r="C197">
        <f>IFERROR(INDEX(Catch!$E:$BV,MATCH($A197,Catch!$A:$A,0),MATCH($B$4,Catch!$E$1:$BV$1,0)),0)</f>
        <v/>
      </c>
      <c r="D197">
        <f>IFERROR(IF(ISNUMBER(INDEX(SPPR!$E:$X,MATCH($A197,SPPR!$A:$A,0),1)),$C197*INDEX(SPPR!$E:$X,MATCH($A197,SPPR!$A:$A,0),1),""),"")</f>
        <v/>
      </c>
      <c r="E197">
        <f>IFERROR(IF(ISNUMBER(INDEX(SPPR!$E:$X,MATCH($A197,SPPR!$A:$A,0),2)),$C197*INDEX(SPPR!$E:$X,MATCH($A197,SPPR!$A:$A,0),2),""),"")</f>
        <v/>
      </c>
      <c r="F197">
        <f>IFERROR(IF(ISNUMBER(INDEX(SPPR!$E:$X,MATCH($A197,SPPR!$A:$A,0),3)),$C197*INDEX(SPPR!$E:$X,MATCH($A197,SPPR!$A:$A,0),3),""),"")</f>
        <v/>
      </c>
      <c r="G197">
        <f>IFERROR(IF(ISNUMBER(INDEX(SPPR!$E:$X,MATCH($A197,SPPR!$A:$A,0),4)),$C197*INDEX(SPPR!$E:$X,MATCH($A197,SPPR!$A:$A,0),4),""),"")</f>
        <v/>
      </c>
      <c r="H197">
        <f>IFERROR(IF(ISNUMBER(INDEX(SPPR!$E:$X,MATCH($A197,SPPR!$A:$A,0),5)),$C197*INDEX(SPPR!$E:$X,MATCH($A197,SPPR!$A:$A,0),5),""),"")</f>
        <v/>
      </c>
      <c r="I197">
        <f>IFERROR(IF(ISNUMBER(INDEX(SPPR!$E:$X,MATCH($A197,SPPR!$A:$A,0),6)),$C197*INDEX(SPPR!$E:$X,MATCH($A197,SPPR!$A:$A,0),6),""),"")</f>
        <v/>
      </c>
      <c r="J197">
        <f>IFERROR(IF(ISNUMBER(INDEX(SPPR!$E:$X,MATCH($A197,SPPR!$A:$A,0),7)),$C197*INDEX(SPPR!$E:$X,MATCH($A197,SPPR!$A:$A,0),7),""),"")</f>
        <v/>
      </c>
      <c r="K197">
        <f>IFERROR(IF(ISNUMBER(INDEX(SPPR!$E:$X,MATCH($A197,SPPR!$A:$A,0),8)),$C197*INDEX(SPPR!$E:$X,MATCH($A197,SPPR!$A:$A,0),8),""),"")</f>
        <v/>
      </c>
      <c r="L197">
        <f>IFERROR(IF(ISNUMBER(INDEX(SPPR!$E:$X,MATCH($A197,SPPR!$A:$A,0),9)),$C197*INDEX(SPPR!$E:$X,MATCH($A197,SPPR!$A:$A,0),9),""),"")</f>
        <v/>
      </c>
      <c r="M197">
        <f>IFERROR(IF(ISNUMBER(INDEX(SPPR!$E:$X,MATCH($A197,SPPR!$A:$A,0),10)),$C197*INDEX(SPPR!$E:$X,MATCH($A197,SPPR!$A:$A,0),10),""),"")</f>
        <v/>
      </c>
      <c r="N197">
        <f>IFERROR(IF(ISNUMBER(INDEX(SPPR!$E:$X,MATCH($A197,SPPR!$A:$A,0),11)),$C197*INDEX(SPPR!$E:$X,MATCH($A197,SPPR!$A:$A,0),11),""),"")</f>
        <v/>
      </c>
      <c r="O197">
        <f>IFERROR(IF(ISNUMBER(INDEX(SPPR!$E:$X,MATCH($A197,SPPR!$A:$A,0),12)),$C197*INDEX(SPPR!$E:$X,MATCH($A197,SPPR!$A:$A,0),12),""),"")</f>
        <v/>
      </c>
      <c r="P197">
        <f>IFERROR(IF(ISNUMBER(INDEX(SPPR!$E:$X,MATCH($A197,SPPR!$A:$A,0),13)),$C197*INDEX(SPPR!$E:$X,MATCH($A197,SPPR!$A:$A,0),13),""),"")</f>
        <v/>
      </c>
      <c r="Q197">
        <f>IFERROR(IF(ISNUMBER(INDEX(SPPR!$E:$X,MATCH($A197,SPPR!$A:$A,0),14)),$C197*INDEX(SPPR!$E:$X,MATCH($A197,SPPR!$A:$A,0),14),""),"")</f>
        <v/>
      </c>
      <c r="R197">
        <f>IFERROR(IF(ISNUMBER(INDEX(SPPR!$E:$X,MATCH($A197,SPPR!$A:$A,0),15)),$C197*INDEX(SPPR!$E:$X,MATCH($A197,SPPR!$A:$A,0),15),""),"")</f>
        <v/>
      </c>
      <c r="S197">
        <f>IFERROR(IF(ISNUMBER(INDEX(SPPR!$E:$X,MATCH($A197,SPPR!$A:$A,0),16)),$C197*INDEX(SPPR!$E:$X,MATCH($A197,SPPR!$A:$A,0),16),""),"")</f>
        <v/>
      </c>
      <c r="T197">
        <f>IFERROR(IF(ISNUMBER(INDEX(SPPR!$E:$X,MATCH($A197,SPPR!$A:$A,0),17)),$C197*INDEX(SPPR!$E:$X,MATCH($A197,SPPR!$A:$A,0),17),""),"")</f>
        <v/>
      </c>
      <c r="U197">
        <f>IFERROR(IF(ISNUMBER(INDEX(SPPR!$E:$X,MATCH($A197,SPPR!$A:$A,0),18)),$C197*INDEX(SPPR!$E:$X,MATCH($A197,SPPR!$A:$A,0),18),""),"")</f>
        <v/>
      </c>
      <c r="V197">
        <f>IFERROR(IF(ISNUMBER(INDEX(SPPR!$E:$X,MATCH($A197,SPPR!$A:$A,0),19)),$C197*INDEX(SPPR!$E:$X,MATCH($A197,SPPR!$A:$A,0),19),""),"")</f>
        <v/>
      </c>
      <c r="W197">
        <f>IFERROR(IF(ISNUMBER(INDEX(SPPR!$E:$X,MATCH($A197,SPPR!$A:$A,0),20)),$C197*INDEX(SPPR!$E:$X,MATCH($A197,SPPR!$A:$A,0),20),""),"")</f>
        <v/>
      </c>
    </row>
    <row r="198">
      <c r="A198" t="inlineStr">
        <is>
          <t>Scylla serrata</t>
        </is>
      </c>
      <c r="B198">
        <f>IFERROR(INDEX(SPPR!$D:$D,MATCH($A198,SPPR!$A:$A,0)),"")</f>
        <v/>
      </c>
      <c r="C198">
        <f>IFERROR(INDEX(Catch!$E:$BV,MATCH($A198,Catch!$A:$A,0),MATCH($B$4,Catch!$E$1:$BV$1,0)),0)</f>
        <v/>
      </c>
      <c r="D198">
        <f>IFERROR(IF(ISNUMBER(INDEX(SPPR!$E:$X,MATCH($A198,SPPR!$A:$A,0),1)),$C198*INDEX(SPPR!$E:$X,MATCH($A198,SPPR!$A:$A,0),1),""),"")</f>
        <v/>
      </c>
      <c r="E198">
        <f>IFERROR(IF(ISNUMBER(INDEX(SPPR!$E:$X,MATCH($A198,SPPR!$A:$A,0),2)),$C198*INDEX(SPPR!$E:$X,MATCH($A198,SPPR!$A:$A,0),2),""),"")</f>
        <v/>
      </c>
      <c r="F198">
        <f>IFERROR(IF(ISNUMBER(INDEX(SPPR!$E:$X,MATCH($A198,SPPR!$A:$A,0),3)),$C198*INDEX(SPPR!$E:$X,MATCH($A198,SPPR!$A:$A,0),3),""),"")</f>
        <v/>
      </c>
      <c r="G198">
        <f>IFERROR(IF(ISNUMBER(INDEX(SPPR!$E:$X,MATCH($A198,SPPR!$A:$A,0),4)),$C198*INDEX(SPPR!$E:$X,MATCH($A198,SPPR!$A:$A,0),4),""),"")</f>
        <v/>
      </c>
      <c r="H198">
        <f>IFERROR(IF(ISNUMBER(INDEX(SPPR!$E:$X,MATCH($A198,SPPR!$A:$A,0),5)),$C198*INDEX(SPPR!$E:$X,MATCH($A198,SPPR!$A:$A,0),5),""),"")</f>
        <v/>
      </c>
      <c r="I198">
        <f>IFERROR(IF(ISNUMBER(INDEX(SPPR!$E:$X,MATCH($A198,SPPR!$A:$A,0),6)),$C198*INDEX(SPPR!$E:$X,MATCH($A198,SPPR!$A:$A,0),6),""),"")</f>
        <v/>
      </c>
      <c r="J198">
        <f>IFERROR(IF(ISNUMBER(INDEX(SPPR!$E:$X,MATCH($A198,SPPR!$A:$A,0),7)),$C198*INDEX(SPPR!$E:$X,MATCH($A198,SPPR!$A:$A,0),7),""),"")</f>
        <v/>
      </c>
      <c r="K198">
        <f>IFERROR(IF(ISNUMBER(INDEX(SPPR!$E:$X,MATCH($A198,SPPR!$A:$A,0),8)),$C198*INDEX(SPPR!$E:$X,MATCH($A198,SPPR!$A:$A,0),8),""),"")</f>
        <v/>
      </c>
      <c r="L198">
        <f>IFERROR(IF(ISNUMBER(INDEX(SPPR!$E:$X,MATCH($A198,SPPR!$A:$A,0),9)),$C198*INDEX(SPPR!$E:$X,MATCH($A198,SPPR!$A:$A,0),9),""),"")</f>
        <v/>
      </c>
      <c r="M198">
        <f>IFERROR(IF(ISNUMBER(INDEX(SPPR!$E:$X,MATCH($A198,SPPR!$A:$A,0),10)),$C198*INDEX(SPPR!$E:$X,MATCH($A198,SPPR!$A:$A,0),10),""),"")</f>
        <v/>
      </c>
      <c r="N198">
        <f>IFERROR(IF(ISNUMBER(INDEX(SPPR!$E:$X,MATCH($A198,SPPR!$A:$A,0),11)),$C198*INDEX(SPPR!$E:$X,MATCH($A198,SPPR!$A:$A,0),11),""),"")</f>
        <v/>
      </c>
      <c r="O198">
        <f>IFERROR(IF(ISNUMBER(INDEX(SPPR!$E:$X,MATCH($A198,SPPR!$A:$A,0),12)),$C198*INDEX(SPPR!$E:$X,MATCH($A198,SPPR!$A:$A,0),12),""),"")</f>
        <v/>
      </c>
      <c r="P198">
        <f>IFERROR(IF(ISNUMBER(INDEX(SPPR!$E:$X,MATCH($A198,SPPR!$A:$A,0),13)),$C198*INDEX(SPPR!$E:$X,MATCH($A198,SPPR!$A:$A,0),13),""),"")</f>
        <v/>
      </c>
      <c r="Q198">
        <f>IFERROR(IF(ISNUMBER(INDEX(SPPR!$E:$X,MATCH($A198,SPPR!$A:$A,0),14)),$C198*INDEX(SPPR!$E:$X,MATCH($A198,SPPR!$A:$A,0),14),""),"")</f>
        <v/>
      </c>
      <c r="R198">
        <f>IFERROR(IF(ISNUMBER(INDEX(SPPR!$E:$X,MATCH($A198,SPPR!$A:$A,0),15)),$C198*INDEX(SPPR!$E:$X,MATCH($A198,SPPR!$A:$A,0),15),""),"")</f>
        <v/>
      </c>
      <c r="S198">
        <f>IFERROR(IF(ISNUMBER(INDEX(SPPR!$E:$X,MATCH($A198,SPPR!$A:$A,0),16)),$C198*INDEX(SPPR!$E:$X,MATCH($A198,SPPR!$A:$A,0),16),""),"")</f>
        <v/>
      </c>
      <c r="T198">
        <f>IFERROR(IF(ISNUMBER(INDEX(SPPR!$E:$X,MATCH($A198,SPPR!$A:$A,0),17)),$C198*INDEX(SPPR!$E:$X,MATCH($A198,SPPR!$A:$A,0),17),""),"")</f>
        <v/>
      </c>
      <c r="U198">
        <f>IFERROR(IF(ISNUMBER(INDEX(SPPR!$E:$X,MATCH($A198,SPPR!$A:$A,0),18)),$C198*INDEX(SPPR!$E:$X,MATCH($A198,SPPR!$A:$A,0),18),""),"")</f>
        <v/>
      </c>
      <c r="V198">
        <f>IFERROR(IF(ISNUMBER(INDEX(SPPR!$E:$X,MATCH($A198,SPPR!$A:$A,0),19)),$C198*INDEX(SPPR!$E:$X,MATCH($A198,SPPR!$A:$A,0),19),""),"")</f>
        <v/>
      </c>
      <c r="W198">
        <f>IFERROR(IF(ISNUMBER(INDEX(SPPR!$E:$X,MATCH($A198,SPPR!$A:$A,0),20)),$C198*INDEX(SPPR!$E:$X,MATCH($A198,SPPR!$A:$A,0),20),""),"")</f>
        <v/>
      </c>
    </row>
    <row r="199">
      <c r="A199" t="inlineStr">
        <is>
          <t>Istiophoridae</t>
        </is>
      </c>
      <c r="B199">
        <f>IFERROR(INDEX(SPPR!$D:$D,MATCH($A199,SPPR!$A:$A,0)),"")</f>
        <v/>
      </c>
      <c r="C199">
        <f>IFERROR(INDEX(Catch!$E:$BV,MATCH($A199,Catch!$A:$A,0),MATCH($B$4,Catch!$E$1:$BV$1,0)),0)</f>
        <v/>
      </c>
      <c r="D199">
        <f>IFERROR(IF(ISNUMBER(INDEX(SPPR!$E:$X,MATCH($A199,SPPR!$A:$A,0),1)),$C199*INDEX(SPPR!$E:$X,MATCH($A199,SPPR!$A:$A,0),1),""),"")</f>
        <v/>
      </c>
      <c r="E199">
        <f>IFERROR(IF(ISNUMBER(INDEX(SPPR!$E:$X,MATCH($A199,SPPR!$A:$A,0),2)),$C199*INDEX(SPPR!$E:$X,MATCH($A199,SPPR!$A:$A,0),2),""),"")</f>
        <v/>
      </c>
      <c r="F199">
        <f>IFERROR(IF(ISNUMBER(INDEX(SPPR!$E:$X,MATCH($A199,SPPR!$A:$A,0),3)),$C199*INDEX(SPPR!$E:$X,MATCH($A199,SPPR!$A:$A,0),3),""),"")</f>
        <v/>
      </c>
      <c r="G199">
        <f>IFERROR(IF(ISNUMBER(INDEX(SPPR!$E:$X,MATCH($A199,SPPR!$A:$A,0),4)),$C199*INDEX(SPPR!$E:$X,MATCH($A199,SPPR!$A:$A,0),4),""),"")</f>
        <v/>
      </c>
      <c r="H199">
        <f>IFERROR(IF(ISNUMBER(INDEX(SPPR!$E:$X,MATCH($A199,SPPR!$A:$A,0),5)),$C199*INDEX(SPPR!$E:$X,MATCH($A199,SPPR!$A:$A,0),5),""),"")</f>
        <v/>
      </c>
      <c r="I199">
        <f>IFERROR(IF(ISNUMBER(INDEX(SPPR!$E:$X,MATCH($A199,SPPR!$A:$A,0),6)),$C199*INDEX(SPPR!$E:$X,MATCH($A199,SPPR!$A:$A,0),6),""),"")</f>
        <v/>
      </c>
      <c r="J199">
        <f>IFERROR(IF(ISNUMBER(INDEX(SPPR!$E:$X,MATCH($A199,SPPR!$A:$A,0),7)),$C199*INDEX(SPPR!$E:$X,MATCH($A199,SPPR!$A:$A,0),7),""),"")</f>
        <v/>
      </c>
      <c r="K199">
        <f>IFERROR(IF(ISNUMBER(INDEX(SPPR!$E:$X,MATCH($A199,SPPR!$A:$A,0),8)),$C199*INDEX(SPPR!$E:$X,MATCH($A199,SPPR!$A:$A,0),8),""),"")</f>
        <v/>
      </c>
      <c r="L199">
        <f>IFERROR(IF(ISNUMBER(INDEX(SPPR!$E:$X,MATCH($A199,SPPR!$A:$A,0),9)),$C199*INDEX(SPPR!$E:$X,MATCH($A199,SPPR!$A:$A,0),9),""),"")</f>
        <v/>
      </c>
      <c r="M199">
        <f>IFERROR(IF(ISNUMBER(INDEX(SPPR!$E:$X,MATCH($A199,SPPR!$A:$A,0),10)),$C199*INDEX(SPPR!$E:$X,MATCH($A199,SPPR!$A:$A,0),10),""),"")</f>
        <v/>
      </c>
      <c r="N199">
        <f>IFERROR(IF(ISNUMBER(INDEX(SPPR!$E:$X,MATCH($A199,SPPR!$A:$A,0),11)),$C199*INDEX(SPPR!$E:$X,MATCH($A199,SPPR!$A:$A,0),11),""),"")</f>
        <v/>
      </c>
      <c r="O199">
        <f>IFERROR(IF(ISNUMBER(INDEX(SPPR!$E:$X,MATCH($A199,SPPR!$A:$A,0),12)),$C199*INDEX(SPPR!$E:$X,MATCH($A199,SPPR!$A:$A,0),12),""),"")</f>
        <v/>
      </c>
      <c r="P199">
        <f>IFERROR(IF(ISNUMBER(INDEX(SPPR!$E:$X,MATCH($A199,SPPR!$A:$A,0),13)),$C199*INDEX(SPPR!$E:$X,MATCH($A199,SPPR!$A:$A,0),13),""),"")</f>
        <v/>
      </c>
      <c r="Q199">
        <f>IFERROR(IF(ISNUMBER(INDEX(SPPR!$E:$X,MATCH($A199,SPPR!$A:$A,0),14)),$C199*INDEX(SPPR!$E:$X,MATCH($A199,SPPR!$A:$A,0),14),""),"")</f>
        <v/>
      </c>
      <c r="R199">
        <f>IFERROR(IF(ISNUMBER(INDEX(SPPR!$E:$X,MATCH($A199,SPPR!$A:$A,0),15)),$C199*INDEX(SPPR!$E:$X,MATCH($A199,SPPR!$A:$A,0),15),""),"")</f>
        <v/>
      </c>
      <c r="S199">
        <f>IFERROR(IF(ISNUMBER(INDEX(SPPR!$E:$X,MATCH($A199,SPPR!$A:$A,0),16)),$C199*INDEX(SPPR!$E:$X,MATCH($A199,SPPR!$A:$A,0),16),""),"")</f>
        <v/>
      </c>
      <c r="T199">
        <f>IFERROR(IF(ISNUMBER(INDEX(SPPR!$E:$X,MATCH($A199,SPPR!$A:$A,0),17)),$C199*INDEX(SPPR!$E:$X,MATCH($A199,SPPR!$A:$A,0),17),""),"")</f>
        <v/>
      </c>
      <c r="U199">
        <f>IFERROR(IF(ISNUMBER(INDEX(SPPR!$E:$X,MATCH($A199,SPPR!$A:$A,0),18)),$C199*INDEX(SPPR!$E:$X,MATCH($A199,SPPR!$A:$A,0),18),""),"")</f>
        <v/>
      </c>
      <c r="V199">
        <f>IFERROR(IF(ISNUMBER(INDEX(SPPR!$E:$X,MATCH($A199,SPPR!$A:$A,0),19)),$C199*INDEX(SPPR!$E:$X,MATCH($A199,SPPR!$A:$A,0),19),""),"")</f>
        <v/>
      </c>
      <c r="W199">
        <f>IFERROR(IF(ISNUMBER(INDEX(SPPR!$E:$X,MATCH($A199,SPPR!$A:$A,0),20)),$C199*INDEX(SPPR!$E:$X,MATCH($A199,SPPR!$A:$A,0),20),""),"")</f>
        <v/>
      </c>
    </row>
    <row r="200">
      <c r="A200" t="inlineStr">
        <is>
          <t>Megalaspis cordyla</t>
        </is>
      </c>
      <c r="B200">
        <f>IFERROR(INDEX(SPPR!$D:$D,MATCH($A200,SPPR!$A:$A,0)),"")</f>
        <v/>
      </c>
      <c r="C200">
        <f>IFERROR(INDEX(Catch!$E:$BV,MATCH($A200,Catch!$A:$A,0),MATCH($B$4,Catch!$E$1:$BV$1,0)),0)</f>
        <v/>
      </c>
      <c r="D200">
        <f>IFERROR(IF(ISNUMBER(INDEX(SPPR!$E:$X,MATCH($A200,SPPR!$A:$A,0),1)),$C200*INDEX(SPPR!$E:$X,MATCH($A200,SPPR!$A:$A,0),1),""),"")</f>
        <v/>
      </c>
      <c r="E200">
        <f>IFERROR(IF(ISNUMBER(INDEX(SPPR!$E:$X,MATCH($A200,SPPR!$A:$A,0),2)),$C200*INDEX(SPPR!$E:$X,MATCH($A200,SPPR!$A:$A,0),2),""),"")</f>
        <v/>
      </c>
      <c r="F200">
        <f>IFERROR(IF(ISNUMBER(INDEX(SPPR!$E:$X,MATCH($A200,SPPR!$A:$A,0),3)),$C200*INDEX(SPPR!$E:$X,MATCH($A200,SPPR!$A:$A,0),3),""),"")</f>
        <v/>
      </c>
      <c r="G200">
        <f>IFERROR(IF(ISNUMBER(INDEX(SPPR!$E:$X,MATCH($A200,SPPR!$A:$A,0),4)),$C200*INDEX(SPPR!$E:$X,MATCH($A200,SPPR!$A:$A,0),4),""),"")</f>
        <v/>
      </c>
      <c r="H200">
        <f>IFERROR(IF(ISNUMBER(INDEX(SPPR!$E:$X,MATCH($A200,SPPR!$A:$A,0),5)),$C200*INDEX(SPPR!$E:$X,MATCH($A200,SPPR!$A:$A,0),5),""),"")</f>
        <v/>
      </c>
      <c r="I200">
        <f>IFERROR(IF(ISNUMBER(INDEX(SPPR!$E:$X,MATCH($A200,SPPR!$A:$A,0),6)),$C200*INDEX(SPPR!$E:$X,MATCH($A200,SPPR!$A:$A,0),6),""),"")</f>
        <v/>
      </c>
      <c r="J200">
        <f>IFERROR(IF(ISNUMBER(INDEX(SPPR!$E:$X,MATCH($A200,SPPR!$A:$A,0),7)),$C200*INDEX(SPPR!$E:$X,MATCH($A200,SPPR!$A:$A,0),7),""),"")</f>
        <v/>
      </c>
      <c r="K200">
        <f>IFERROR(IF(ISNUMBER(INDEX(SPPR!$E:$X,MATCH($A200,SPPR!$A:$A,0),8)),$C200*INDEX(SPPR!$E:$X,MATCH($A200,SPPR!$A:$A,0),8),""),"")</f>
        <v/>
      </c>
      <c r="L200">
        <f>IFERROR(IF(ISNUMBER(INDEX(SPPR!$E:$X,MATCH($A200,SPPR!$A:$A,0),9)),$C200*INDEX(SPPR!$E:$X,MATCH($A200,SPPR!$A:$A,0),9),""),"")</f>
        <v/>
      </c>
      <c r="M200">
        <f>IFERROR(IF(ISNUMBER(INDEX(SPPR!$E:$X,MATCH($A200,SPPR!$A:$A,0),10)),$C200*INDEX(SPPR!$E:$X,MATCH($A200,SPPR!$A:$A,0),10),""),"")</f>
        <v/>
      </c>
      <c r="N200">
        <f>IFERROR(IF(ISNUMBER(INDEX(SPPR!$E:$X,MATCH($A200,SPPR!$A:$A,0),11)),$C200*INDEX(SPPR!$E:$X,MATCH($A200,SPPR!$A:$A,0),11),""),"")</f>
        <v/>
      </c>
      <c r="O200">
        <f>IFERROR(IF(ISNUMBER(INDEX(SPPR!$E:$X,MATCH($A200,SPPR!$A:$A,0),12)),$C200*INDEX(SPPR!$E:$X,MATCH($A200,SPPR!$A:$A,0),12),""),"")</f>
        <v/>
      </c>
      <c r="P200">
        <f>IFERROR(IF(ISNUMBER(INDEX(SPPR!$E:$X,MATCH($A200,SPPR!$A:$A,0),13)),$C200*INDEX(SPPR!$E:$X,MATCH($A200,SPPR!$A:$A,0),13),""),"")</f>
        <v/>
      </c>
      <c r="Q200">
        <f>IFERROR(IF(ISNUMBER(INDEX(SPPR!$E:$X,MATCH($A200,SPPR!$A:$A,0),14)),$C200*INDEX(SPPR!$E:$X,MATCH($A200,SPPR!$A:$A,0),14),""),"")</f>
        <v/>
      </c>
      <c r="R200">
        <f>IFERROR(IF(ISNUMBER(INDEX(SPPR!$E:$X,MATCH($A200,SPPR!$A:$A,0),15)),$C200*INDEX(SPPR!$E:$X,MATCH($A200,SPPR!$A:$A,0),15),""),"")</f>
        <v/>
      </c>
      <c r="S200">
        <f>IFERROR(IF(ISNUMBER(INDEX(SPPR!$E:$X,MATCH($A200,SPPR!$A:$A,0),16)),$C200*INDEX(SPPR!$E:$X,MATCH($A200,SPPR!$A:$A,0),16),""),"")</f>
        <v/>
      </c>
      <c r="T200">
        <f>IFERROR(IF(ISNUMBER(INDEX(SPPR!$E:$X,MATCH($A200,SPPR!$A:$A,0),17)),$C200*INDEX(SPPR!$E:$X,MATCH($A200,SPPR!$A:$A,0),17),""),"")</f>
        <v/>
      </c>
      <c r="U200">
        <f>IFERROR(IF(ISNUMBER(INDEX(SPPR!$E:$X,MATCH($A200,SPPR!$A:$A,0),18)),$C200*INDEX(SPPR!$E:$X,MATCH($A200,SPPR!$A:$A,0),18),""),"")</f>
        <v/>
      </c>
      <c r="V200">
        <f>IFERROR(IF(ISNUMBER(INDEX(SPPR!$E:$X,MATCH($A200,SPPR!$A:$A,0),19)),$C200*INDEX(SPPR!$E:$X,MATCH($A200,SPPR!$A:$A,0),19),""),"")</f>
        <v/>
      </c>
      <c r="W200">
        <f>IFERROR(IF(ISNUMBER(INDEX(SPPR!$E:$X,MATCH($A200,SPPR!$A:$A,0),20)),$C200*INDEX(SPPR!$E:$X,MATCH($A200,SPPR!$A:$A,0),20),""),"")</f>
        <v/>
      </c>
    </row>
    <row r="201">
      <c r="A201" t="inlineStr">
        <is>
          <t>Hexagrammos otakii</t>
        </is>
      </c>
      <c r="B201">
        <f>IFERROR(INDEX(SPPR!$D:$D,MATCH($A201,SPPR!$A:$A,0)),"")</f>
        <v/>
      </c>
      <c r="C201">
        <f>IFERROR(INDEX(Catch!$E:$BV,MATCH($A201,Catch!$A:$A,0),MATCH($B$4,Catch!$E$1:$BV$1,0)),0)</f>
        <v/>
      </c>
      <c r="D201">
        <f>IFERROR(IF(ISNUMBER(INDEX(SPPR!$E:$X,MATCH($A201,SPPR!$A:$A,0),1)),$C201*INDEX(SPPR!$E:$X,MATCH($A201,SPPR!$A:$A,0),1),""),"")</f>
        <v/>
      </c>
      <c r="E201">
        <f>IFERROR(IF(ISNUMBER(INDEX(SPPR!$E:$X,MATCH($A201,SPPR!$A:$A,0),2)),$C201*INDEX(SPPR!$E:$X,MATCH($A201,SPPR!$A:$A,0),2),""),"")</f>
        <v/>
      </c>
      <c r="F201">
        <f>IFERROR(IF(ISNUMBER(INDEX(SPPR!$E:$X,MATCH($A201,SPPR!$A:$A,0),3)),$C201*INDEX(SPPR!$E:$X,MATCH($A201,SPPR!$A:$A,0),3),""),"")</f>
        <v/>
      </c>
      <c r="G201">
        <f>IFERROR(IF(ISNUMBER(INDEX(SPPR!$E:$X,MATCH($A201,SPPR!$A:$A,0),4)),$C201*INDEX(SPPR!$E:$X,MATCH($A201,SPPR!$A:$A,0),4),""),"")</f>
        <v/>
      </c>
      <c r="H201">
        <f>IFERROR(IF(ISNUMBER(INDEX(SPPR!$E:$X,MATCH($A201,SPPR!$A:$A,0),5)),$C201*INDEX(SPPR!$E:$X,MATCH($A201,SPPR!$A:$A,0),5),""),"")</f>
        <v/>
      </c>
      <c r="I201">
        <f>IFERROR(IF(ISNUMBER(INDEX(SPPR!$E:$X,MATCH($A201,SPPR!$A:$A,0),6)),$C201*INDEX(SPPR!$E:$X,MATCH($A201,SPPR!$A:$A,0),6),""),"")</f>
        <v/>
      </c>
      <c r="J201">
        <f>IFERROR(IF(ISNUMBER(INDEX(SPPR!$E:$X,MATCH($A201,SPPR!$A:$A,0),7)),$C201*INDEX(SPPR!$E:$X,MATCH($A201,SPPR!$A:$A,0),7),""),"")</f>
        <v/>
      </c>
      <c r="K201">
        <f>IFERROR(IF(ISNUMBER(INDEX(SPPR!$E:$X,MATCH($A201,SPPR!$A:$A,0),8)),$C201*INDEX(SPPR!$E:$X,MATCH($A201,SPPR!$A:$A,0),8),""),"")</f>
        <v/>
      </c>
      <c r="L201">
        <f>IFERROR(IF(ISNUMBER(INDEX(SPPR!$E:$X,MATCH($A201,SPPR!$A:$A,0),9)),$C201*INDEX(SPPR!$E:$X,MATCH($A201,SPPR!$A:$A,0),9),""),"")</f>
        <v/>
      </c>
      <c r="M201">
        <f>IFERROR(IF(ISNUMBER(INDEX(SPPR!$E:$X,MATCH($A201,SPPR!$A:$A,0),10)),$C201*INDEX(SPPR!$E:$X,MATCH($A201,SPPR!$A:$A,0),10),""),"")</f>
        <v/>
      </c>
      <c r="N201">
        <f>IFERROR(IF(ISNUMBER(INDEX(SPPR!$E:$X,MATCH($A201,SPPR!$A:$A,0),11)),$C201*INDEX(SPPR!$E:$X,MATCH($A201,SPPR!$A:$A,0),11),""),"")</f>
        <v/>
      </c>
      <c r="O201">
        <f>IFERROR(IF(ISNUMBER(INDEX(SPPR!$E:$X,MATCH($A201,SPPR!$A:$A,0),12)),$C201*INDEX(SPPR!$E:$X,MATCH($A201,SPPR!$A:$A,0),12),""),"")</f>
        <v/>
      </c>
      <c r="P201">
        <f>IFERROR(IF(ISNUMBER(INDEX(SPPR!$E:$X,MATCH($A201,SPPR!$A:$A,0),13)),$C201*INDEX(SPPR!$E:$X,MATCH($A201,SPPR!$A:$A,0),13),""),"")</f>
        <v/>
      </c>
      <c r="Q201">
        <f>IFERROR(IF(ISNUMBER(INDEX(SPPR!$E:$X,MATCH($A201,SPPR!$A:$A,0),14)),$C201*INDEX(SPPR!$E:$X,MATCH($A201,SPPR!$A:$A,0),14),""),"")</f>
        <v/>
      </c>
      <c r="R201">
        <f>IFERROR(IF(ISNUMBER(INDEX(SPPR!$E:$X,MATCH($A201,SPPR!$A:$A,0),15)),$C201*INDEX(SPPR!$E:$X,MATCH($A201,SPPR!$A:$A,0),15),""),"")</f>
        <v/>
      </c>
      <c r="S201">
        <f>IFERROR(IF(ISNUMBER(INDEX(SPPR!$E:$X,MATCH($A201,SPPR!$A:$A,0),16)),$C201*INDEX(SPPR!$E:$X,MATCH($A201,SPPR!$A:$A,0),16),""),"")</f>
        <v/>
      </c>
      <c r="T201">
        <f>IFERROR(IF(ISNUMBER(INDEX(SPPR!$E:$X,MATCH($A201,SPPR!$A:$A,0),17)),$C201*INDEX(SPPR!$E:$X,MATCH($A201,SPPR!$A:$A,0),17),""),"")</f>
        <v/>
      </c>
      <c r="U201">
        <f>IFERROR(IF(ISNUMBER(INDEX(SPPR!$E:$X,MATCH($A201,SPPR!$A:$A,0),18)),$C201*INDEX(SPPR!$E:$X,MATCH($A201,SPPR!$A:$A,0),18),""),"")</f>
        <v/>
      </c>
      <c r="V201">
        <f>IFERROR(IF(ISNUMBER(INDEX(SPPR!$E:$X,MATCH($A201,SPPR!$A:$A,0),19)),$C201*INDEX(SPPR!$E:$X,MATCH($A201,SPPR!$A:$A,0),19),""),"")</f>
        <v/>
      </c>
      <c r="W201">
        <f>IFERROR(IF(ISNUMBER(INDEX(SPPR!$E:$X,MATCH($A201,SPPR!$A:$A,0),20)),$C201*INDEX(SPPR!$E:$X,MATCH($A201,SPPR!$A:$A,0),20),""),"")</f>
        <v/>
      </c>
    </row>
    <row r="202">
      <c r="A202" t="inlineStr">
        <is>
          <t>Mizuhopecten yessoensis</t>
        </is>
      </c>
      <c r="B202">
        <f>IFERROR(INDEX(SPPR!$D:$D,MATCH($A202,SPPR!$A:$A,0)),"")</f>
        <v/>
      </c>
      <c r="C202">
        <f>IFERROR(INDEX(Catch!$E:$BV,MATCH($A202,Catch!$A:$A,0),MATCH($B$4,Catch!$E$1:$BV$1,0)),0)</f>
        <v/>
      </c>
      <c r="D202">
        <f>IFERROR(IF(ISNUMBER(INDEX(SPPR!$E:$X,MATCH($A202,SPPR!$A:$A,0),1)),$C202*INDEX(SPPR!$E:$X,MATCH($A202,SPPR!$A:$A,0),1),""),"")</f>
        <v/>
      </c>
      <c r="E202">
        <f>IFERROR(IF(ISNUMBER(INDEX(SPPR!$E:$X,MATCH($A202,SPPR!$A:$A,0),2)),$C202*INDEX(SPPR!$E:$X,MATCH($A202,SPPR!$A:$A,0),2),""),"")</f>
        <v/>
      </c>
      <c r="F202">
        <f>IFERROR(IF(ISNUMBER(INDEX(SPPR!$E:$X,MATCH($A202,SPPR!$A:$A,0),3)),$C202*INDEX(SPPR!$E:$X,MATCH($A202,SPPR!$A:$A,0),3),""),"")</f>
        <v/>
      </c>
      <c r="G202">
        <f>IFERROR(IF(ISNUMBER(INDEX(SPPR!$E:$X,MATCH($A202,SPPR!$A:$A,0),4)),$C202*INDEX(SPPR!$E:$X,MATCH($A202,SPPR!$A:$A,0),4),""),"")</f>
        <v/>
      </c>
      <c r="H202">
        <f>IFERROR(IF(ISNUMBER(INDEX(SPPR!$E:$X,MATCH($A202,SPPR!$A:$A,0),5)),$C202*INDEX(SPPR!$E:$X,MATCH($A202,SPPR!$A:$A,0),5),""),"")</f>
        <v/>
      </c>
      <c r="I202">
        <f>IFERROR(IF(ISNUMBER(INDEX(SPPR!$E:$X,MATCH($A202,SPPR!$A:$A,0),6)),$C202*INDEX(SPPR!$E:$X,MATCH($A202,SPPR!$A:$A,0),6),""),"")</f>
        <v/>
      </c>
      <c r="J202">
        <f>IFERROR(IF(ISNUMBER(INDEX(SPPR!$E:$X,MATCH($A202,SPPR!$A:$A,0),7)),$C202*INDEX(SPPR!$E:$X,MATCH($A202,SPPR!$A:$A,0),7),""),"")</f>
        <v/>
      </c>
      <c r="K202">
        <f>IFERROR(IF(ISNUMBER(INDEX(SPPR!$E:$X,MATCH($A202,SPPR!$A:$A,0),8)),$C202*INDEX(SPPR!$E:$X,MATCH($A202,SPPR!$A:$A,0),8),""),"")</f>
        <v/>
      </c>
      <c r="L202">
        <f>IFERROR(IF(ISNUMBER(INDEX(SPPR!$E:$X,MATCH($A202,SPPR!$A:$A,0),9)),$C202*INDEX(SPPR!$E:$X,MATCH($A202,SPPR!$A:$A,0),9),""),"")</f>
        <v/>
      </c>
      <c r="M202">
        <f>IFERROR(IF(ISNUMBER(INDEX(SPPR!$E:$X,MATCH($A202,SPPR!$A:$A,0),10)),$C202*INDEX(SPPR!$E:$X,MATCH($A202,SPPR!$A:$A,0),10),""),"")</f>
        <v/>
      </c>
      <c r="N202">
        <f>IFERROR(IF(ISNUMBER(INDEX(SPPR!$E:$X,MATCH($A202,SPPR!$A:$A,0),11)),$C202*INDEX(SPPR!$E:$X,MATCH($A202,SPPR!$A:$A,0),11),""),"")</f>
        <v/>
      </c>
      <c r="O202">
        <f>IFERROR(IF(ISNUMBER(INDEX(SPPR!$E:$X,MATCH($A202,SPPR!$A:$A,0),12)),$C202*INDEX(SPPR!$E:$X,MATCH($A202,SPPR!$A:$A,0),12),""),"")</f>
        <v/>
      </c>
      <c r="P202">
        <f>IFERROR(IF(ISNUMBER(INDEX(SPPR!$E:$X,MATCH($A202,SPPR!$A:$A,0),13)),$C202*INDEX(SPPR!$E:$X,MATCH($A202,SPPR!$A:$A,0),13),""),"")</f>
        <v/>
      </c>
      <c r="Q202">
        <f>IFERROR(IF(ISNUMBER(INDEX(SPPR!$E:$X,MATCH($A202,SPPR!$A:$A,0),14)),$C202*INDEX(SPPR!$E:$X,MATCH($A202,SPPR!$A:$A,0),14),""),"")</f>
        <v/>
      </c>
      <c r="R202">
        <f>IFERROR(IF(ISNUMBER(INDEX(SPPR!$E:$X,MATCH($A202,SPPR!$A:$A,0),15)),$C202*INDEX(SPPR!$E:$X,MATCH($A202,SPPR!$A:$A,0),15),""),"")</f>
        <v/>
      </c>
      <c r="S202">
        <f>IFERROR(IF(ISNUMBER(INDEX(SPPR!$E:$X,MATCH($A202,SPPR!$A:$A,0),16)),$C202*INDEX(SPPR!$E:$X,MATCH($A202,SPPR!$A:$A,0),16),""),"")</f>
        <v/>
      </c>
      <c r="T202">
        <f>IFERROR(IF(ISNUMBER(INDEX(SPPR!$E:$X,MATCH($A202,SPPR!$A:$A,0),17)),$C202*INDEX(SPPR!$E:$X,MATCH($A202,SPPR!$A:$A,0),17),""),"")</f>
        <v/>
      </c>
      <c r="U202">
        <f>IFERROR(IF(ISNUMBER(INDEX(SPPR!$E:$X,MATCH($A202,SPPR!$A:$A,0),18)),$C202*INDEX(SPPR!$E:$X,MATCH($A202,SPPR!$A:$A,0),18),""),"")</f>
        <v/>
      </c>
      <c r="V202">
        <f>IFERROR(IF(ISNUMBER(INDEX(SPPR!$E:$X,MATCH($A202,SPPR!$A:$A,0),19)),$C202*INDEX(SPPR!$E:$X,MATCH($A202,SPPR!$A:$A,0),19),""),"")</f>
        <v/>
      </c>
      <c r="W202">
        <f>IFERROR(IF(ISNUMBER(INDEX(SPPR!$E:$X,MATCH($A202,SPPR!$A:$A,0),20)),$C202*INDEX(SPPR!$E:$X,MATCH($A202,SPPR!$A:$A,0),20),""),"")</f>
        <v/>
      </c>
    </row>
    <row r="203">
      <c r="A203" t="inlineStr">
        <is>
          <t>Platycaranx malabaricus</t>
        </is>
      </c>
      <c r="B203">
        <f>IFERROR(INDEX(SPPR!$D:$D,MATCH($A203,SPPR!$A:$A,0)),"")</f>
        <v/>
      </c>
      <c r="C203">
        <f>IFERROR(INDEX(Catch!$E:$BV,MATCH($A203,Catch!$A:$A,0),MATCH($B$4,Catch!$E$1:$BV$1,0)),0)</f>
        <v/>
      </c>
      <c r="D203">
        <f>IFERROR(IF(ISNUMBER(INDEX(SPPR!$E:$X,MATCH($A203,SPPR!$A:$A,0),1)),$C203*INDEX(SPPR!$E:$X,MATCH($A203,SPPR!$A:$A,0),1),""),"")</f>
        <v/>
      </c>
      <c r="E203">
        <f>IFERROR(IF(ISNUMBER(INDEX(SPPR!$E:$X,MATCH($A203,SPPR!$A:$A,0),2)),$C203*INDEX(SPPR!$E:$X,MATCH($A203,SPPR!$A:$A,0),2),""),"")</f>
        <v/>
      </c>
      <c r="F203">
        <f>IFERROR(IF(ISNUMBER(INDEX(SPPR!$E:$X,MATCH($A203,SPPR!$A:$A,0),3)),$C203*INDEX(SPPR!$E:$X,MATCH($A203,SPPR!$A:$A,0),3),""),"")</f>
        <v/>
      </c>
      <c r="G203">
        <f>IFERROR(IF(ISNUMBER(INDEX(SPPR!$E:$X,MATCH($A203,SPPR!$A:$A,0),4)),$C203*INDEX(SPPR!$E:$X,MATCH($A203,SPPR!$A:$A,0),4),""),"")</f>
        <v/>
      </c>
      <c r="H203">
        <f>IFERROR(IF(ISNUMBER(INDEX(SPPR!$E:$X,MATCH($A203,SPPR!$A:$A,0),5)),$C203*INDEX(SPPR!$E:$X,MATCH($A203,SPPR!$A:$A,0),5),""),"")</f>
        <v/>
      </c>
      <c r="I203">
        <f>IFERROR(IF(ISNUMBER(INDEX(SPPR!$E:$X,MATCH($A203,SPPR!$A:$A,0),6)),$C203*INDEX(SPPR!$E:$X,MATCH($A203,SPPR!$A:$A,0),6),""),"")</f>
        <v/>
      </c>
      <c r="J203">
        <f>IFERROR(IF(ISNUMBER(INDEX(SPPR!$E:$X,MATCH($A203,SPPR!$A:$A,0),7)),$C203*INDEX(SPPR!$E:$X,MATCH($A203,SPPR!$A:$A,0),7),""),"")</f>
        <v/>
      </c>
      <c r="K203">
        <f>IFERROR(IF(ISNUMBER(INDEX(SPPR!$E:$X,MATCH($A203,SPPR!$A:$A,0),8)),$C203*INDEX(SPPR!$E:$X,MATCH($A203,SPPR!$A:$A,0),8),""),"")</f>
        <v/>
      </c>
      <c r="L203">
        <f>IFERROR(IF(ISNUMBER(INDEX(SPPR!$E:$X,MATCH($A203,SPPR!$A:$A,0),9)),$C203*INDEX(SPPR!$E:$X,MATCH($A203,SPPR!$A:$A,0),9),""),"")</f>
        <v/>
      </c>
      <c r="M203">
        <f>IFERROR(IF(ISNUMBER(INDEX(SPPR!$E:$X,MATCH($A203,SPPR!$A:$A,0),10)),$C203*INDEX(SPPR!$E:$X,MATCH($A203,SPPR!$A:$A,0),10),""),"")</f>
        <v/>
      </c>
      <c r="N203">
        <f>IFERROR(IF(ISNUMBER(INDEX(SPPR!$E:$X,MATCH($A203,SPPR!$A:$A,0),11)),$C203*INDEX(SPPR!$E:$X,MATCH($A203,SPPR!$A:$A,0),11),""),"")</f>
        <v/>
      </c>
      <c r="O203">
        <f>IFERROR(IF(ISNUMBER(INDEX(SPPR!$E:$X,MATCH($A203,SPPR!$A:$A,0),12)),$C203*INDEX(SPPR!$E:$X,MATCH($A203,SPPR!$A:$A,0),12),""),"")</f>
        <v/>
      </c>
      <c r="P203">
        <f>IFERROR(IF(ISNUMBER(INDEX(SPPR!$E:$X,MATCH($A203,SPPR!$A:$A,0),13)),$C203*INDEX(SPPR!$E:$X,MATCH($A203,SPPR!$A:$A,0),13),""),"")</f>
        <v/>
      </c>
      <c r="Q203">
        <f>IFERROR(IF(ISNUMBER(INDEX(SPPR!$E:$X,MATCH($A203,SPPR!$A:$A,0),14)),$C203*INDEX(SPPR!$E:$X,MATCH($A203,SPPR!$A:$A,0),14),""),"")</f>
        <v/>
      </c>
      <c r="R203">
        <f>IFERROR(IF(ISNUMBER(INDEX(SPPR!$E:$X,MATCH($A203,SPPR!$A:$A,0),15)),$C203*INDEX(SPPR!$E:$X,MATCH($A203,SPPR!$A:$A,0),15),""),"")</f>
        <v/>
      </c>
      <c r="S203">
        <f>IFERROR(IF(ISNUMBER(INDEX(SPPR!$E:$X,MATCH($A203,SPPR!$A:$A,0),16)),$C203*INDEX(SPPR!$E:$X,MATCH($A203,SPPR!$A:$A,0),16),""),"")</f>
        <v/>
      </c>
      <c r="T203">
        <f>IFERROR(IF(ISNUMBER(INDEX(SPPR!$E:$X,MATCH($A203,SPPR!$A:$A,0),17)),$C203*INDEX(SPPR!$E:$X,MATCH($A203,SPPR!$A:$A,0),17),""),"")</f>
        <v/>
      </c>
      <c r="U203">
        <f>IFERROR(IF(ISNUMBER(INDEX(SPPR!$E:$X,MATCH($A203,SPPR!$A:$A,0),18)),$C203*INDEX(SPPR!$E:$X,MATCH($A203,SPPR!$A:$A,0),18),""),"")</f>
        <v/>
      </c>
      <c r="V203">
        <f>IFERROR(IF(ISNUMBER(INDEX(SPPR!$E:$X,MATCH($A203,SPPR!$A:$A,0),19)),$C203*INDEX(SPPR!$E:$X,MATCH($A203,SPPR!$A:$A,0),19),""),"")</f>
        <v/>
      </c>
      <c r="W203">
        <f>IFERROR(IF(ISNUMBER(INDEX(SPPR!$E:$X,MATCH($A203,SPPR!$A:$A,0),20)),$C203*INDEX(SPPR!$E:$X,MATCH($A203,SPPR!$A:$A,0),20),""),"")</f>
        <v/>
      </c>
    </row>
    <row r="204">
      <c r="A204" t="inlineStr">
        <is>
          <t>Rachycentridae</t>
        </is>
      </c>
      <c r="B204">
        <f>IFERROR(INDEX(SPPR!$D:$D,MATCH($A204,SPPR!$A:$A,0)),"")</f>
        <v/>
      </c>
      <c r="C204">
        <f>IFERROR(INDEX(Catch!$E:$BV,MATCH($A204,Catch!$A:$A,0),MATCH($B$4,Catch!$E$1:$BV$1,0)),0)</f>
        <v/>
      </c>
      <c r="D204">
        <f>IFERROR(IF(ISNUMBER(INDEX(SPPR!$E:$X,MATCH($A204,SPPR!$A:$A,0),1)),$C204*INDEX(SPPR!$E:$X,MATCH($A204,SPPR!$A:$A,0),1),""),"")</f>
        <v/>
      </c>
      <c r="E204">
        <f>IFERROR(IF(ISNUMBER(INDEX(SPPR!$E:$X,MATCH($A204,SPPR!$A:$A,0),2)),$C204*INDEX(SPPR!$E:$X,MATCH($A204,SPPR!$A:$A,0),2),""),"")</f>
        <v/>
      </c>
      <c r="F204">
        <f>IFERROR(IF(ISNUMBER(INDEX(SPPR!$E:$X,MATCH($A204,SPPR!$A:$A,0),3)),$C204*INDEX(SPPR!$E:$X,MATCH($A204,SPPR!$A:$A,0),3),""),"")</f>
        <v/>
      </c>
      <c r="G204">
        <f>IFERROR(IF(ISNUMBER(INDEX(SPPR!$E:$X,MATCH($A204,SPPR!$A:$A,0),4)),$C204*INDEX(SPPR!$E:$X,MATCH($A204,SPPR!$A:$A,0),4),""),"")</f>
        <v/>
      </c>
      <c r="H204">
        <f>IFERROR(IF(ISNUMBER(INDEX(SPPR!$E:$X,MATCH($A204,SPPR!$A:$A,0),5)),$C204*INDEX(SPPR!$E:$X,MATCH($A204,SPPR!$A:$A,0),5),""),"")</f>
        <v/>
      </c>
      <c r="I204">
        <f>IFERROR(IF(ISNUMBER(INDEX(SPPR!$E:$X,MATCH($A204,SPPR!$A:$A,0),6)),$C204*INDEX(SPPR!$E:$X,MATCH($A204,SPPR!$A:$A,0),6),""),"")</f>
        <v/>
      </c>
      <c r="J204">
        <f>IFERROR(IF(ISNUMBER(INDEX(SPPR!$E:$X,MATCH($A204,SPPR!$A:$A,0),7)),$C204*INDEX(SPPR!$E:$X,MATCH($A204,SPPR!$A:$A,0),7),""),"")</f>
        <v/>
      </c>
      <c r="K204">
        <f>IFERROR(IF(ISNUMBER(INDEX(SPPR!$E:$X,MATCH($A204,SPPR!$A:$A,0),8)),$C204*INDEX(SPPR!$E:$X,MATCH($A204,SPPR!$A:$A,0),8),""),"")</f>
        <v/>
      </c>
      <c r="L204">
        <f>IFERROR(IF(ISNUMBER(INDEX(SPPR!$E:$X,MATCH($A204,SPPR!$A:$A,0),9)),$C204*INDEX(SPPR!$E:$X,MATCH($A204,SPPR!$A:$A,0),9),""),"")</f>
        <v/>
      </c>
      <c r="M204">
        <f>IFERROR(IF(ISNUMBER(INDEX(SPPR!$E:$X,MATCH($A204,SPPR!$A:$A,0),10)),$C204*INDEX(SPPR!$E:$X,MATCH($A204,SPPR!$A:$A,0),10),""),"")</f>
        <v/>
      </c>
      <c r="N204">
        <f>IFERROR(IF(ISNUMBER(INDEX(SPPR!$E:$X,MATCH($A204,SPPR!$A:$A,0),11)),$C204*INDEX(SPPR!$E:$X,MATCH($A204,SPPR!$A:$A,0),11),""),"")</f>
        <v/>
      </c>
      <c r="O204">
        <f>IFERROR(IF(ISNUMBER(INDEX(SPPR!$E:$X,MATCH($A204,SPPR!$A:$A,0),12)),$C204*INDEX(SPPR!$E:$X,MATCH($A204,SPPR!$A:$A,0),12),""),"")</f>
        <v/>
      </c>
      <c r="P204">
        <f>IFERROR(IF(ISNUMBER(INDEX(SPPR!$E:$X,MATCH($A204,SPPR!$A:$A,0),13)),$C204*INDEX(SPPR!$E:$X,MATCH($A204,SPPR!$A:$A,0),13),""),"")</f>
        <v/>
      </c>
      <c r="Q204">
        <f>IFERROR(IF(ISNUMBER(INDEX(SPPR!$E:$X,MATCH($A204,SPPR!$A:$A,0),14)),$C204*INDEX(SPPR!$E:$X,MATCH($A204,SPPR!$A:$A,0),14),""),"")</f>
        <v/>
      </c>
      <c r="R204">
        <f>IFERROR(IF(ISNUMBER(INDEX(SPPR!$E:$X,MATCH($A204,SPPR!$A:$A,0),15)),$C204*INDEX(SPPR!$E:$X,MATCH($A204,SPPR!$A:$A,0),15),""),"")</f>
        <v/>
      </c>
      <c r="S204">
        <f>IFERROR(IF(ISNUMBER(INDEX(SPPR!$E:$X,MATCH($A204,SPPR!$A:$A,0),16)),$C204*INDEX(SPPR!$E:$X,MATCH($A204,SPPR!$A:$A,0),16),""),"")</f>
        <v/>
      </c>
      <c r="T204">
        <f>IFERROR(IF(ISNUMBER(INDEX(SPPR!$E:$X,MATCH($A204,SPPR!$A:$A,0),17)),$C204*INDEX(SPPR!$E:$X,MATCH($A204,SPPR!$A:$A,0),17),""),"")</f>
        <v/>
      </c>
      <c r="U204">
        <f>IFERROR(IF(ISNUMBER(INDEX(SPPR!$E:$X,MATCH($A204,SPPR!$A:$A,0),18)),$C204*INDEX(SPPR!$E:$X,MATCH($A204,SPPR!$A:$A,0),18),""),"")</f>
        <v/>
      </c>
      <c r="V204">
        <f>IFERROR(IF(ISNUMBER(INDEX(SPPR!$E:$X,MATCH($A204,SPPR!$A:$A,0),19)),$C204*INDEX(SPPR!$E:$X,MATCH($A204,SPPR!$A:$A,0),19),""),"")</f>
        <v/>
      </c>
      <c r="W204">
        <f>IFERROR(IF(ISNUMBER(INDEX(SPPR!$E:$X,MATCH($A204,SPPR!$A:$A,0),20)),$C204*INDEX(SPPR!$E:$X,MATCH($A204,SPPR!$A:$A,0),20),""),"")</f>
        <v/>
      </c>
    </row>
    <row r="205">
      <c r="A205" t="inlineStr">
        <is>
          <t>Haliotis</t>
        </is>
      </c>
      <c r="B205">
        <f>IFERROR(INDEX(SPPR!$D:$D,MATCH($A205,SPPR!$A:$A,0)),"")</f>
        <v/>
      </c>
      <c r="C205">
        <f>IFERROR(INDEX(Catch!$E:$BV,MATCH($A205,Catch!$A:$A,0),MATCH($B$4,Catch!$E$1:$BV$1,0)),0)</f>
        <v/>
      </c>
      <c r="D205">
        <f>IFERROR(IF(ISNUMBER(INDEX(SPPR!$E:$X,MATCH($A205,SPPR!$A:$A,0),1)),$C205*INDEX(SPPR!$E:$X,MATCH($A205,SPPR!$A:$A,0),1),""),"")</f>
        <v/>
      </c>
      <c r="E205">
        <f>IFERROR(IF(ISNUMBER(INDEX(SPPR!$E:$X,MATCH($A205,SPPR!$A:$A,0),2)),$C205*INDEX(SPPR!$E:$X,MATCH($A205,SPPR!$A:$A,0),2),""),"")</f>
        <v/>
      </c>
      <c r="F205">
        <f>IFERROR(IF(ISNUMBER(INDEX(SPPR!$E:$X,MATCH($A205,SPPR!$A:$A,0),3)),$C205*INDEX(SPPR!$E:$X,MATCH($A205,SPPR!$A:$A,0),3),""),"")</f>
        <v/>
      </c>
      <c r="G205">
        <f>IFERROR(IF(ISNUMBER(INDEX(SPPR!$E:$X,MATCH($A205,SPPR!$A:$A,0),4)),$C205*INDEX(SPPR!$E:$X,MATCH($A205,SPPR!$A:$A,0),4),""),"")</f>
        <v/>
      </c>
      <c r="H205">
        <f>IFERROR(IF(ISNUMBER(INDEX(SPPR!$E:$X,MATCH($A205,SPPR!$A:$A,0),5)),$C205*INDEX(SPPR!$E:$X,MATCH($A205,SPPR!$A:$A,0),5),""),"")</f>
        <v/>
      </c>
      <c r="I205">
        <f>IFERROR(IF(ISNUMBER(INDEX(SPPR!$E:$X,MATCH($A205,SPPR!$A:$A,0),6)),$C205*INDEX(SPPR!$E:$X,MATCH($A205,SPPR!$A:$A,0),6),""),"")</f>
        <v/>
      </c>
      <c r="J205">
        <f>IFERROR(IF(ISNUMBER(INDEX(SPPR!$E:$X,MATCH($A205,SPPR!$A:$A,0),7)),$C205*INDEX(SPPR!$E:$X,MATCH($A205,SPPR!$A:$A,0),7),""),"")</f>
        <v/>
      </c>
      <c r="K205">
        <f>IFERROR(IF(ISNUMBER(INDEX(SPPR!$E:$X,MATCH($A205,SPPR!$A:$A,0),8)),$C205*INDEX(SPPR!$E:$X,MATCH($A205,SPPR!$A:$A,0),8),""),"")</f>
        <v/>
      </c>
      <c r="L205">
        <f>IFERROR(IF(ISNUMBER(INDEX(SPPR!$E:$X,MATCH($A205,SPPR!$A:$A,0),9)),$C205*INDEX(SPPR!$E:$X,MATCH($A205,SPPR!$A:$A,0),9),""),"")</f>
        <v/>
      </c>
      <c r="M205">
        <f>IFERROR(IF(ISNUMBER(INDEX(SPPR!$E:$X,MATCH($A205,SPPR!$A:$A,0),10)),$C205*INDEX(SPPR!$E:$X,MATCH($A205,SPPR!$A:$A,0),10),""),"")</f>
        <v/>
      </c>
      <c r="N205">
        <f>IFERROR(IF(ISNUMBER(INDEX(SPPR!$E:$X,MATCH($A205,SPPR!$A:$A,0),11)),$C205*INDEX(SPPR!$E:$X,MATCH($A205,SPPR!$A:$A,0),11),""),"")</f>
        <v/>
      </c>
      <c r="O205">
        <f>IFERROR(IF(ISNUMBER(INDEX(SPPR!$E:$X,MATCH($A205,SPPR!$A:$A,0),12)),$C205*INDEX(SPPR!$E:$X,MATCH($A205,SPPR!$A:$A,0),12),""),"")</f>
        <v/>
      </c>
      <c r="P205">
        <f>IFERROR(IF(ISNUMBER(INDEX(SPPR!$E:$X,MATCH($A205,SPPR!$A:$A,0),13)),$C205*INDEX(SPPR!$E:$X,MATCH($A205,SPPR!$A:$A,0),13),""),"")</f>
        <v/>
      </c>
      <c r="Q205">
        <f>IFERROR(IF(ISNUMBER(INDEX(SPPR!$E:$X,MATCH($A205,SPPR!$A:$A,0),14)),$C205*INDEX(SPPR!$E:$X,MATCH($A205,SPPR!$A:$A,0),14),""),"")</f>
        <v/>
      </c>
      <c r="R205">
        <f>IFERROR(IF(ISNUMBER(INDEX(SPPR!$E:$X,MATCH($A205,SPPR!$A:$A,0),15)),$C205*INDEX(SPPR!$E:$X,MATCH($A205,SPPR!$A:$A,0),15),""),"")</f>
        <v/>
      </c>
      <c r="S205">
        <f>IFERROR(IF(ISNUMBER(INDEX(SPPR!$E:$X,MATCH($A205,SPPR!$A:$A,0),16)),$C205*INDEX(SPPR!$E:$X,MATCH($A205,SPPR!$A:$A,0),16),""),"")</f>
        <v/>
      </c>
      <c r="T205">
        <f>IFERROR(IF(ISNUMBER(INDEX(SPPR!$E:$X,MATCH($A205,SPPR!$A:$A,0),17)),$C205*INDEX(SPPR!$E:$X,MATCH($A205,SPPR!$A:$A,0),17),""),"")</f>
        <v/>
      </c>
      <c r="U205">
        <f>IFERROR(IF(ISNUMBER(INDEX(SPPR!$E:$X,MATCH($A205,SPPR!$A:$A,0),18)),$C205*INDEX(SPPR!$E:$X,MATCH($A205,SPPR!$A:$A,0),18),""),"")</f>
        <v/>
      </c>
      <c r="V205">
        <f>IFERROR(IF(ISNUMBER(INDEX(SPPR!$E:$X,MATCH($A205,SPPR!$A:$A,0),19)),$C205*INDEX(SPPR!$E:$X,MATCH($A205,SPPR!$A:$A,0),19),""),"")</f>
        <v/>
      </c>
      <c r="W205">
        <f>IFERROR(IF(ISNUMBER(INDEX(SPPR!$E:$X,MATCH($A205,SPPR!$A:$A,0),20)),$C205*INDEX(SPPR!$E:$X,MATCH($A205,SPPR!$A:$A,0),20),""),"")</f>
        <v/>
      </c>
    </row>
    <row r="206">
      <c r="A206" t="inlineStr">
        <is>
          <t>Sillago</t>
        </is>
      </c>
      <c r="B206">
        <f>IFERROR(INDEX(SPPR!$D:$D,MATCH($A206,SPPR!$A:$A,0)),"")</f>
        <v/>
      </c>
      <c r="C206">
        <f>IFERROR(INDEX(Catch!$E:$BV,MATCH($A206,Catch!$A:$A,0),MATCH($B$4,Catch!$E$1:$BV$1,0)),0)</f>
        <v/>
      </c>
      <c r="D206">
        <f>IFERROR(IF(ISNUMBER(INDEX(SPPR!$E:$X,MATCH($A206,SPPR!$A:$A,0),1)),$C206*INDEX(SPPR!$E:$X,MATCH($A206,SPPR!$A:$A,0),1),""),"")</f>
        <v/>
      </c>
      <c r="E206">
        <f>IFERROR(IF(ISNUMBER(INDEX(SPPR!$E:$X,MATCH($A206,SPPR!$A:$A,0),2)),$C206*INDEX(SPPR!$E:$X,MATCH($A206,SPPR!$A:$A,0),2),""),"")</f>
        <v/>
      </c>
      <c r="F206">
        <f>IFERROR(IF(ISNUMBER(INDEX(SPPR!$E:$X,MATCH($A206,SPPR!$A:$A,0),3)),$C206*INDEX(SPPR!$E:$X,MATCH($A206,SPPR!$A:$A,0),3),""),"")</f>
        <v/>
      </c>
      <c r="G206">
        <f>IFERROR(IF(ISNUMBER(INDEX(SPPR!$E:$X,MATCH($A206,SPPR!$A:$A,0),4)),$C206*INDEX(SPPR!$E:$X,MATCH($A206,SPPR!$A:$A,0),4),""),"")</f>
        <v/>
      </c>
      <c r="H206">
        <f>IFERROR(IF(ISNUMBER(INDEX(SPPR!$E:$X,MATCH($A206,SPPR!$A:$A,0),5)),$C206*INDEX(SPPR!$E:$X,MATCH($A206,SPPR!$A:$A,0),5),""),"")</f>
        <v/>
      </c>
      <c r="I206">
        <f>IFERROR(IF(ISNUMBER(INDEX(SPPR!$E:$X,MATCH($A206,SPPR!$A:$A,0),6)),$C206*INDEX(SPPR!$E:$X,MATCH($A206,SPPR!$A:$A,0),6),""),"")</f>
        <v/>
      </c>
      <c r="J206">
        <f>IFERROR(IF(ISNUMBER(INDEX(SPPR!$E:$X,MATCH($A206,SPPR!$A:$A,0),7)),$C206*INDEX(SPPR!$E:$X,MATCH($A206,SPPR!$A:$A,0),7),""),"")</f>
        <v/>
      </c>
      <c r="K206">
        <f>IFERROR(IF(ISNUMBER(INDEX(SPPR!$E:$X,MATCH($A206,SPPR!$A:$A,0),8)),$C206*INDEX(SPPR!$E:$X,MATCH($A206,SPPR!$A:$A,0),8),""),"")</f>
        <v/>
      </c>
      <c r="L206">
        <f>IFERROR(IF(ISNUMBER(INDEX(SPPR!$E:$X,MATCH($A206,SPPR!$A:$A,0),9)),$C206*INDEX(SPPR!$E:$X,MATCH($A206,SPPR!$A:$A,0),9),""),"")</f>
        <v/>
      </c>
      <c r="M206">
        <f>IFERROR(IF(ISNUMBER(INDEX(SPPR!$E:$X,MATCH($A206,SPPR!$A:$A,0),10)),$C206*INDEX(SPPR!$E:$X,MATCH($A206,SPPR!$A:$A,0),10),""),"")</f>
        <v/>
      </c>
      <c r="N206">
        <f>IFERROR(IF(ISNUMBER(INDEX(SPPR!$E:$X,MATCH($A206,SPPR!$A:$A,0),11)),$C206*INDEX(SPPR!$E:$X,MATCH($A206,SPPR!$A:$A,0),11),""),"")</f>
        <v/>
      </c>
      <c r="O206">
        <f>IFERROR(IF(ISNUMBER(INDEX(SPPR!$E:$X,MATCH($A206,SPPR!$A:$A,0),12)),$C206*INDEX(SPPR!$E:$X,MATCH($A206,SPPR!$A:$A,0),12),""),"")</f>
        <v/>
      </c>
      <c r="P206">
        <f>IFERROR(IF(ISNUMBER(INDEX(SPPR!$E:$X,MATCH($A206,SPPR!$A:$A,0),13)),$C206*INDEX(SPPR!$E:$X,MATCH($A206,SPPR!$A:$A,0),13),""),"")</f>
        <v/>
      </c>
      <c r="Q206">
        <f>IFERROR(IF(ISNUMBER(INDEX(SPPR!$E:$X,MATCH($A206,SPPR!$A:$A,0),14)),$C206*INDEX(SPPR!$E:$X,MATCH($A206,SPPR!$A:$A,0),14),""),"")</f>
        <v/>
      </c>
      <c r="R206">
        <f>IFERROR(IF(ISNUMBER(INDEX(SPPR!$E:$X,MATCH($A206,SPPR!$A:$A,0),15)),$C206*INDEX(SPPR!$E:$X,MATCH($A206,SPPR!$A:$A,0),15),""),"")</f>
        <v/>
      </c>
      <c r="S206">
        <f>IFERROR(IF(ISNUMBER(INDEX(SPPR!$E:$X,MATCH($A206,SPPR!$A:$A,0),16)),$C206*INDEX(SPPR!$E:$X,MATCH($A206,SPPR!$A:$A,0),16),""),"")</f>
        <v/>
      </c>
      <c r="T206">
        <f>IFERROR(IF(ISNUMBER(INDEX(SPPR!$E:$X,MATCH($A206,SPPR!$A:$A,0),17)),$C206*INDEX(SPPR!$E:$X,MATCH($A206,SPPR!$A:$A,0),17),""),"")</f>
        <v/>
      </c>
      <c r="U206">
        <f>IFERROR(IF(ISNUMBER(INDEX(SPPR!$E:$X,MATCH($A206,SPPR!$A:$A,0),18)),$C206*INDEX(SPPR!$E:$X,MATCH($A206,SPPR!$A:$A,0),18),""),"")</f>
        <v/>
      </c>
      <c r="V206">
        <f>IFERROR(IF(ISNUMBER(INDEX(SPPR!$E:$X,MATCH($A206,SPPR!$A:$A,0),19)),$C206*INDEX(SPPR!$E:$X,MATCH($A206,SPPR!$A:$A,0),19),""),"")</f>
        <v/>
      </c>
      <c r="W206">
        <f>IFERROR(IF(ISNUMBER(INDEX(SPPR!$E:$X,MATCH($A206,SPPR!$A:$A,0),20)),$C206*INDEX(SPPR!$E:$X,MATCH($A206,SPPR!$A:$A,0),20),""),"")</f>
        <v/>
      </c>
    </row>
    <row r="207">
      <c r="A207" t="inlineStr">
        <is>
          <t>Hemiramphidae</t>
        </is>
      </c>
      <c r="B207">
        <f>IFERROR(INDEX(SPPR!$D:$D,MATCH($A207,SPPR!$A:$A,0)),"")</f>
        <v/>
      </c>
      <c r="C207">
        <f>IFERROR(INDEX(Catch!$E:$BV,MATCH($A207,Catch!$A:$A,0),MATCH($B$4,Catch!$E$1:$BV$1,0)),0)</f>
        <v/>
      </c>
      <c r="D207">
        <f>IFERROR(IF(ISNUMBER(INDEX(SPPR!$E:$X,MATCH($A207,SPPR!$A:$A,0),1)),$C207*INDEX(SPPR!$E:$X,MATCH($A207,SPPR!$A:$A,0),1),""),"")</f>
        <v/>
      </c>
      <c r="E207">
        <f>IFERROR(IF(ISNUMBER(INDEX(SPPR!$E:$X,MATCH($A207,SPPR!$A:$A,0),2)),$C207*INDEX(SPPR!$E:$X,MATCH($A207,SPPR!$A:$A,0),2),""),"")</f>
        <v/>
      </c>
      <c r="F207">
        <f>IFERROR(IF(ISNUMBER(INDEX(SPPR!$E:$X,MATCH($A207,SPPR!$A:$A,0),3)),$C207*INDEX(SPPR!$E:$X,MATCH($A207,SPPR!$A:$A,0),3),""),"")</f>
        <v/>
      </c>
      <c r="G207">
        <f>IFERROR(IF(ISNUMBER(INDEX(SPPR!$E:$X,MATCH($A207,SPPR!$A:$A,0),4)),$C207*INDEX(SPPR!$E:$X,MATCH($A207,SPPR!$A:$A,0),4),""),"")</f>
        <v/>
      </c>
      <c r="H207">
        <f>IFERROR(IF(ISNUMBER(INDEX(SPPR!$E:$X,MATCH($A207,SPPR!$A:$A,0),5)),$C207*INDEX(SPPR!$E:$X,MATCH($A207,SPPR!$A:$A,0),5),""),"")</f>
        <v/>
      </c>
      <c r="I207">
        <f>IFERROR(IF(ISNUMBER(INDEX(SPPR!$E:$X,MATCH($A207,SPPR!$A:$A,0),6)),$C207*INDEX(SPPR!$E:$X,MATCH($A207,SPPR!$A:$A,0),6),""),"")</f>
        <v/>
      </c>
      <c r="J207">
        <f>IFERROR(IF(ISNUMBER(INDEX(SPPR!$E:$X,MATCH($A207,SPPR!$A:$A,0),7)),$C207*INDEX(SPPR!$E:$X,MATCH($A207,SPPR!$A:$A,0),7),""),"")</f>
        <v/>
      </c>
      <c r="K207">
        <f>IFERROR(IF(ISNUMBER(INDEX(SPPR!$E:$X,MATCH($A207,SPPR!$A:$A,0),8)),$C207*INDEX(SPPR!$E:$X,MATCH($A207,SPPR!$A:$A,0),8),""),"")</f>
        <v/>
      </c>
      <c r="L207">
        <f>IFERROR(IF(ISNUMBER(INDEX(SPPR!$E:$X,MATCH($A207,SPPR!$A:$A,0),9)),$C207*INDEX(SPPR!$E:$X,MATCH($A207,SPPR!$A:$A,0),9),""),"")</f>
        <v/>
      </c>
      <c r="M207">
        <f>IFERROR(IF(ISNUMBER(INDEX(SPPR!$E:$X,MATCH($A207,SPPR!$A:$A,0),10)),$C207*INDEX(SPPR!$E:$X,MATCH($A207,SPPR!$A:$A,0),10),""),"")</f>
        <v/>
      </c>
      <c r="N207">
        <f>IFERROR(IF(ISNUMBER(INDEX(SPPR!$E:$X,MATCH($A207,SPPR!$A:$A,0),11)),$C207*INDEX(SPPR!$E:$X,MATCH($A207,SPPR!$A:$A,0),11),""),"")</f>
        <v/>
      </c>
      <c r="O207">
        <f>IFERROR(IF(ISNUMBER(INDEX(SPPR!$E:$X,MATCH($A207,SPPR!$A:$A,0),12)),$C207*INDEX(SPPR!$E:$X,MATCH($A207,SPPR!$A:$A,0),12),""),"")</f>
        <v/>
      </c>
      <c r="P207">
        <f>IFERROR(IF(ISNUMBER(INDEX(SPPR!$E:$X,MATCH($A207,SPPR!$A:$A,0),13)),$C207*INDEX(SPPR!$E:$X,MATCH($A207,SPPR!$A:$A,0),13),""),"")</f>
        <v/>
      </c>
      <c r="Q207">
        <f>IFERROR(IF(ISNUMBER(INDEX(SPPR!$E:$X,MATCH($A207,SPPR!$A:$A,0),14)),$C207*INDEX(SPPR!$E:$X,MATCH($A207,SPPR!$A:$A,0),14),""),"")</f>
        <v/>
      </c>
      <c r="R207">
        <f>IFERROR(IF(ISNUMBER(INDEX(SPPR!$E:$X,MATCH($A207,SPPR!$A:$A,0),15)),$C207*INDEX(SPPR!$E:$X,MATCH($A207,SPPR!$A:$A,0),15),""),"")</f>
        <v/>
      </c>
      <c r="S207">
        <f>IFERROR(IF(ISNUMBER(INDEX(SPPR!$E:$X,MATCH($A207,SPPR!$A:$A,0),16)),$C207*INDEX(SPPR!$E:$X,MATCH($A207,SPPR!$A:$A,0),16),""),"")</f>
        <v/>
      </c>
      <c r="T207">
        <f>IFERROR(IF(ISNUMBER(INDEX(SPPR!$E:$X,MATCH($A207,SPPR!$A:$A,0),17)),$C207*INDEX(SPPR!$E:$X,MATCH($A207,SPPR!$A:$A,0),17),""),"")</f>
        <v/>
      </c>
      <c r="U207">
        <f>IFERROR(IF(ISNUMBER(INDEX(SPPR!$E:$X,MATCH($A207,SPPR!$A:$A,0),18)),$C207*INDEX(SPPR!$E:$X,MATCH($A207,SPPR!$A:$A,0),18),""),"")</f>
        <v/>
      </c>
      <c r="V207">
        <f>IFERROR(IF(ISNUMBER(INDEX(SPPR!$E:$X,MATCH($A207,SPPR!$A:$A,0),19)),$C207*INDEX(SPPR!$E:$X,MATCH($A207,SPPR!$A:$A,0),19),""),"")</f>
        <v/>
      </c>
      <c r="W207">
        <f>IFERROR(IF(ISNUMBER(INDEX(SPPR!$E:$X,MATCH($A207,SPPR!$A:$A,0),20)),$C207*INDEX(SPPR!$E:$X,MATCH($A207,SPPR!$A:$A,0),20),""),"")</f>
        <v/>
      </c>
    </row>
    <row r="208">
      <c r="A208" t="inlineStr">
        <is>
          <t>Hypoptychus dybowskii</t>
        </is>
      </c>
      <c r="B208">
        <f>IFERROR(INDEX(SPPR!$D:$D,MATCH($A208,SPPR!$A:$A,0)),"")</f>
        <v/>
      </c>
      <c r="C208">
        <f>IFERROR(INDEX(Catch!$E:$BV,MATCH($A208,Catch!$A:$A,0),MATCH($B$4,Catch!$E$1:$BV$1,0)),0)</f>
        <v/>
      </c>
      <c r="D208">
        <f>IFERROR(IF(ISNUMBER(INDEX(SPPR!$E:$X,MATCH($A208,SPPR!$A:$A,0),1)),$C208*INDEX(SPPR!$E:$X,MATCH($A208,SPPR!$A:$A,0),1),""),"")</f>
        <v/>
      </c>
      <c r="E208">
        <f>IFERROR(IF(ISNUMBER(INDEX(SPPR!$E:$X,MATCH($A208,SPPR!$A:$A,0),2)),$C208*INDEX(SPPR!$E:$X,MATCH($A208,SPPR!$A:$A,0),2),""),"")</f>
        <v/>
      </c>
      <c r="F208">
        <f>IFERROR(IF(ISNUMBER(INDEX(SPPR!$E:$X,MATCH($A208,SPPR!$A:$A,0),3)),$C208*INDEX(SPPR!$E:$X,MATCH($A208,SPPR!$A:$A,0),3),""),"")</f>
        <v/>
      </c>
      <c r="G208">
        <f>IFERROR(IF(ISNUMBER(INDEX(SPPR!$E:$X,MATCH($A208,SPPR!$A:$A,0),4)),$C208*INDEX(SPPR!$E:$X,MATCH($A208,SPPR!$A:$A,0),4),""),"")</f>
        <v/>
      </c>
      <c r="H208">
        <f>IFERROR(IF(ISNUMBER(INDEX(SPPR!$E:$X,MATCH($A208,SPPR!$A:$A,0),5)),$C208*INDEX(SPPR!$E:$X,MATCH($A208,SPPR!$A:$A,0),5),""),"")</f>
        <v/>
      </c>
      <c r="I208">
        <f>IFERROR(IF(ISNUMBER(INDEX(SPPR!$E:$X,MATCH($A208,SPPR!$A:$A,0),6)),$C208*INDEX(SPPR!$E:$X,MATCH($A208,SPPR!$A:$A,0),6),""),"")</f>
        <v/>
      </c>
      <c r="J208">
        <f>IFERROR(IF(ISNUMBER(INDEX(SPPR!$E:$X,MATCH($A208,SPPR!$A:$A,0),7)),$C208*INDEX(SPPR!$E:$X,MATCH($A208,SPPR!$A:$A,0),7),""),"")</f>
        <v/>
      </c>
      <c r="K208">
        <f>IFERROR(IF(ISNUMBER(INDEX(SPPR!$E:$X,MATCH($A208,SPPR!$A:$A,0),8)),$C208*INDEX(SPPR!$E:$X,MATCH($A208,SPPR!$A:$A,0),8),""),"")</f>
        <v/>
      </c>
      <c r="L208">
        <f>IFERROR(IF(ISNUMBER(INDEX(SPPR!$E:$X,MATCH($A208,SPPR!$A:$A,0),9)),$C208*INDEX(SPPR!$E:$X,MATCH($A208,SPPR!$A:$A,0),9),""),"")</f>
        <v/>
      </c>
      <c r="M208">
        <f>IFERROR(IF(ISNUMBER(INDEX(SPPR!$E:$X,MATCH($A208,SPPR!$A:$A,0),10)),$C208*INDEX(SPPR!$E:$X,MATCH($A208,SPPR!$A:$A,0),10),""),"")</f>
        <v/>
      </c>
      <c r="N208">
        <f>IFERROR(IF(ISNUMBER(INDEX(SPPR!$E:$X,MATCH($A208,SPPR!$A:$A,0),11)),$C208*INDEX(SPPR!$E:$X,MATCH($A208,SPPR!$A:$A,0),11),""),"")</f>
        <v/>
      </c>
      <c r="O208">
        <f>IFERROR(IF(ISNUMBER(INDEX(SPPR!$E:$X,MATCH($A208,SPPR!$A:$A,0),12)),$C208*INDEX(SPPR!$E:$X,MATCH($A208,SPPR!$A:$A,0),12),""),"")</f>
        <v/>
      </c>
      <c r="P208">
        <f>IFERROR(IF(ISNUMBER(INDEX(SPPR!$E:$X,MATCH($A208,SPPR!$A:$A,0),13)),$C208*INDEX(SPPR!$E:$X,MATCH($A208,SPPR!$A:$A,0),13),""),"")</f>
        <v/>
      </c>
      <c r="Q208">
        <f>IFERROR(IF(ISNUMBER(INDEX(SPPR!$E:$X,MATCH($A208,SPPR!$A:$A,0),14)),$C208*INDEX(SPPR!$E:$X,MATCH($A208,SPPR!$A:$A,0),14),""),"")</f>
        <v/>
      </c>
      <c r="R208">
        <f>IFERROR(IF(ISNUMBER(INDEX(SPPR!$E:$X,MATCH($A208,SPPR!$A:$A,0),15)),$C208*INDEX(SPPR!$E:$X,MATCH($A208,SPPR!$A:$A,0),15),""),"")</f>
        <v/>
      </c>
      <c r="S208">
        <f>IFERROR(IF(ISNUMBER(INDEX(SPPR!$E:$X,MATCH($A208,SPPR!$A:$A,0),16)),$C208*INDEX(SPPR!$E:$X,MATCH($A208,SPPR!$A:$A,0),16),""),"")</f>
        <v/>
      </c>
      <c r="T208">
        <f>IFERROR(IF(ISNUMBER(INDEX(SPPR!$E:$X,MATCH($A208,SPPR!$A:$A,0),17)),$C208*INDEX(SPPR!$E:$X,MATCH($A208,SPPR!$A:$A,0),17),""),"")</f>
        <v/>
      </c>
      <c r="U208">
        <f>IFERROR(IF(ISNUMBER(INDEX(SPPR!$E:$X,MATCH($A208,SPPR!$A:$A,0),18)),$C208*INDEX(SPPR!$E:$X,MATCH($A208,SPPR!$A:$A,0),18),""),"")</f>
        <v/>
      </c>
      <c r="V208">
        <f>IFERROR(IF(ISNUMBER(INDEX(SPPR!$E:$X,MATCH($A208,SPPR!$A:$A,0),19)),$C208*INDEX(SPPR!$E:$X,MATCH($A208,SPPR!$A:$A,0),19),""),"")</f>
        <v/>
      </c>
      <c r="W208">
        <f>IFERROR(IF(ISNUMBER(INDEX(SPPR!$E:$X,MATCH($A208,SPPR!$A:$A,0),20)),$C208*INDEX(SPPR!$E:$X,MATCH($A208,SPPR!$A:$A,0),20),""),"")</f>
        <v/>
      </c>
    </row>
    <row r="209">
      <c r="A209" t="inlineStr">
        <is>
          <t>Bramidae</t>
        </is>
      </c>
      <c r="B209">
        <f>IFERROR(INDEX(SPPR!$D:$D,MATCH($A209,SPPR!$A:$A,0)),"")</f>
        <v/>
      </c>
      <c r="C209">
        <f>IFERROR(INDEX(Catch!$E:$BV,MATCH($A209,Catch!$A:$A,0),MATCH($B$4,Catch!$E$1:$BV$1,0)),0)</f>
        <v/>
      </c>
      <c r="D209">
        <f>IFERROR(IF(ISNUMBER(INDEX(SPPR!$E:$X,MATCH($A209,SPPR!$A:$A,0),1)),$C209*INDEX(SPPR!$E:$X,MATCH($A209,SPPR!$A:$A,0),1),""),"")</f>
        <v/>
      </c>
      <c r="E209">
        <f>IFERROR(IF(ISNUMBER(INDEX(SPPR!$E:$X,MATCH($A209,SPPR!$A:$A,0),2)),$C209*INDEX(SPPR!$E:$X,MATCH($A209,SPPR!$A:$A,0),2),""),"")</f>
        <v/>
      </c>
      <c r="F209">
        <f>IFERROR(IF(ISNUMBER(INDEX(SPPR!$E:$X,MATCH($A209,SPPR!$A:$A,0),3)),$C209*INDEX(SPPR!$E:$X,MATCH($A209,SPPR!$A:$A,0),3),""),"")</f>
        <v/>
      </c>
      <c r="G209">
        <f>IFERROR(IF(ISNUMBER(INDEX(SPPR!$E:$X,MATCH($A209,SPPR!$A:$A,0),4)),$C209*INDEX(SPPR!$E:$X,MATCH($A209,SPPR!$A:$A,0),4),""),"")</f>
        <v/>
      </c>
      <c r="H209">
        <f>IFERROR(IF(ISNUMBER(INDEX(SPPR!$E:$X,MATCH($A209,SPPR!$A:$A,0),5)),$C209*INDEX(SPPR!$E:$X,MATCH($A209,SPPR!$A:$A,0),5),""),"")</f>
        <v/>
      </c>
      <c r="I209">
        <f>IFERROR(IF(ISNUMBER(INDEX(SPPR!$E:$X,MATCH($A209,SPPR!$A:$A,0),6)),$C209*INDEX(SPPR!$E:$X,MATCH($A209,SPPR!$A:$A,0),6),""),"")</f>
        <v/>
      </c>
      <c r="J209">
        <f>IFERROR(IF(ISNUMBER(INDEX(SPPR!$E:$X,MATCH($A209,SPPR!$A:$A,0),7)),$C209*INDEX(SPPR!$E:$X,MATCH($A209,SPPR!$A:$A,0),7),""),"")</f>
        <v/>
      </c>
      <c r="K209">
        <f>IFERROR(IF(ISNUMBER(INDEX(SPPR!$E:$X,MATCH($A209,SPPR!$A:$A,0),8)),$C209*INDEX(SPPR!$E:$X,MATCH($A209,SPPR!$A:$A,0),8),""),"")</f>
        <v/>
      </c>
      <c r="L209">
        <f>IFERROR(IF(ISNUMBER(INDEX(SPPR!$E:$X,MATCH($A209,SPPR!$A:$A,0),9)),$C209*INDEX(SPPR!$E:$X,MATCH($A209,SPPR!$A:$A,0),9),""),"")</f>
        <v/>
      </c>
      <c r="M209">
        <f>IFERROR(IF(ISNUMBER(INDEX(SPPR!$E:$X,MATCH($A209,SPPR!$A:$A,0),10)),$C209*INDEX(SPPR!$E:$X,MATCH($A209,SPPR!$A:$A,0),10),""),"")</f>
        <v/>
      </c>
      <c r="N209">
        <f>IFERROR(IF(ISNUMBER(INDEX(SPPR!$E:$X,MATCH($A209,SPPR!$A:$A,0),11)),$C209*INDEX(SPPR!$E:$X,MATCH($A209,SPPR!$A:$A,0),11),""),"")</f>
        <v/>
      </c>
      <c r="O209">
        <f>IFERROR(IF(ISNUMBER(INDEX(SPPR!$E:$X,MATCH($A209,SPPR!$A:$A,0),12)),$C209*INDEX(SPPR!$E:$X,MATCH($A209,SPPR!$A:$A,0),12),""),"")</f>
        <v/>
      </c>
      <c r="P209">
        <f>IFERROR(IF(ISNUMBER(INDEX(SPPR!$E:$X,MATCH($A209,SPPR!$A:$A,0),13)),$C209*INDEX(SPPR!$E:$X,MATCH($A209,SPPR!$A:$A,0),13),""),"")</f>
        <v/>
      </c>
      <c r="Q209">
        <f>IFERROR(IF(ISNUMBER(INDEX(SPPR!$E:$X,MATCH($A209,SPPR!$A:$A,0),14)),$C209*INDEX(SPPR!$E:$X,MATCH($A209,SPPR!$A:$A,0),14),""),"")</f>
        <v/>
      </c>
      <c r="R209">
        <f>IFERROR(IF(ISNUMBER(INDEX(SPPR!$E:$X,MATCH($A209,SPPR!$A:$A,0),15)),$C209*INDEX(SPPR!$E:$X,MATCH($A209,SPPR!$A:$A,0),15),""),"")</f>
        <v/>
      </c>
      <c r="S209">
        <f>IFERROR(IF(ISNUMBER(INDEX(SPPR!$E:$X,MATCH($A209,SPPR!$A:$A,0),16)),$C209*INDEX(SPPR!$E:$X,MATCH($A209,SPPR!$A:$A,0),16),""),"")</f>
        <v/>
      </c>
      <c r="T209">
        <f>IFERROR(IF(ISNUMBER(INDEX(SPPR!$E:$X,MATCH($A209,SPPR!$A:$A,0),17)),$C209*INDEX(SPPR!$E:$X,MATCH($A209,SPPR!$A:$A,0),17),""),"")</f>
        <v/>
      </c>
      <c r="U209">
        <f>IFERROR(IF(ISNUMBER(INDEX(SPPR!$E:$X,MATCH($A209,SPPR!$A:$A,0),18)),$C209*INDEX(SPPR!$E:$X,MATCH($A209,SPPR!$A:$A,0),18),""),"")</f>
        <v/>
      </c>
      <c r="V209">
        <f>IFERROR(IF(ISNUMBER(INDEX(SPPR!$E:$X,MATCH($A209,SPPR!$A:$A,0),19)),$C209*INDEX(SPPR!$E:$X,MATCH($A209,SPPR!$A:$A,0),19),""),"")</f>
        <v/>
      </c>
      <c r="W209">
        <f>IFERROR(IF(ISNUMBER(INDEX(SPPR!$E:$X,MATCH($A209,SPPR!$A:$A,0),20)),$C209*INDEX(SPPR!$E:$X,MATCH($A209,SPPR!$A:$A,0),20),""),"")</f>
        <v/>
      </c>
    </row>
    <row r="210">
      <c r="A210" t="inlineStr">
        <is>
          <t>Penaeus monodon</t>
        </is>
      </c>
      <c r="B210">
        <f>IFERROR(INDEX(SPPR!$D:$D,MATCH($A210,SPPR!$A:$A,0)),"")</f>
        <v/>
      </c>
      <c r="C210">
        <f>IFERROR(INDEX(Catch!$E:$BV,MATCH($A210,Catch!$A:$A,0),MATCH($B$4,Catch!$E$1:$BV$1,0)),0)</f>
        <v/>
      </c>
      <c r="D210">
        <f>IFERROR(IF(ISNUMBER(INDEX(SPPR!$E:$X,MATCH($A210,SPPR!$A:$A,0),1)),$C210*INDEX(SPPR!$E:$X,MATCH($A210,SPPR!$A:$A,0),1),""),"")</f>
        <v/>
      </c>
      <c r="E210">
        <f>IFERROR(IF(ISNUMBER(INDEX(SPPR!$E:$X,MATCH($A210,SPPR!$A:$A,0),2)),$C210*INDEX(SPPR!$E:$X,MATCH($A210,SPPR!$A:$A,0),2),""),"")</f>
        <v/>
      </c>
      <c r="F210">
        <f>IFERROR(IF(ISNUMBER(INDEX(SPPR!$E:$X,MATCH($A210,SPPR!$A:$A,0),3)),$C210*INDEX(SPPR!$E:$X,MATCH($A210,SPPR!$A:$A,0),3),""),"")</f>
        <v/>
      </c>
      <c r="G210">
        <f>IFERROR(IF(ISNUMBER(INDEX(SPPR!$E:$X,MATCH($A210,SPPR!$A:$A,0),4)),$C210*INDEX(SPPR!$E:$X,MATCH($A210,SPPR!$A:$A,0),4),""),"")</f>
        <v/>
      </c>
      <c r="H210">
        <f>IFERROR(IF(ISNUMBER(INDEX(SPPR!$E:$X,MATCH($A210,SPPR!$A:$A,0),5)),$C210*INDEX(SPPR!$E:$X,MATCH($A210,SPPR!$A:$A,0),5),""),"")</f>
        <v/>
      </c>
      <c r="I210">
        <f>IFERROR(IF(ISNUMBER(INDEX(SPPR!$E:$X,MATCH($A210,SPPR!$A:$A,0),6)),$C210*INDEX(SPPR!$E:$X,MATCH($A210,SPPR!$A:$A,0),6),""),"")</f>
        <v/>
      </c>
      <c r="J210">
        <f>IFERROR(IF(ISNUMBER(INDEX(SPPR!$E:$X,MATCH($A210,SPPR!$A:$A,0),7)),$C210*INDEX(SPPR!$E:$X,MATCH($A210,SPPR!$A:$A,0),7),""),"")</f>
        <v/>
      </c>
      <c r="K210">
        <f>IFERROR(IF(ISNUMBER(INDEX(SPPR!$E:$X,MATCH($A210,SPPR!$A:$A,0),8)),$C210*INDEX(SPPR!$E:$X,MATCH($A210,SPPR!$A:$A,0),8),""),"")</f>
        <v/>
      </c>
      <c r="L210">
        <f>IFERROR(IF(ISNUMBER(INDEX(SPPR!$E:$X,MATCH($A210,SPPR!$A:$A,0),9)),$C210*INDEX(SPPR!$E:$X,MATCH($A210,SPPR!$A:$A,0),9),""),"")</f>
        <v/>
      </c>
      <c r="M210">
        <f>IFERROR(IF(ISNUMBER(INDEX(SPPR!$E:$X,MATCH($A210,SPPR!$A:$A,0),10)),$C210*INDEX(SPPR!$E:$X,MATCH($A210,SPPR!$A:$A,0),10),""),"")</f>
        <v/>
      </c>
      <c r="N210">
        <f>IFERROR(IF(ISNUMBER(INDEX(SPPR!$E:$X,MATCH($A210,SPPR!$A:$A,0),11)),$C210*INDEX(SPPR!$E:$X,MATCH($A210,SPPR!$A:$A,0),11),""),"")</f>
        <v/>
      </c>
      <c r="O210">
        <f>IFERROR(IF(ISNUMBER(INDEX(SPPR!$E:$X,MATCH($A210,SPPR!$A:$A,0),12)),$C210*INDEX(SPPR!$E:$X,MATCH($A210,SPPR!$A:$A,0),12),""),"")</f>
        <v/>
      </c>
      <c r="P210">
        <f>IFERROR(IF(ISNUMBER(INDEX(SPPR!$E:$X,MATCH($A210,SPPR!$A:$A,0),13)),$C210*INDEX(SPPR!$E:$X,MATCH($A210,SPPR!$A:$A,0),13),""),"")</f>
        <v/>
      </c>
      <c r="Q210">
        <f>IFERROR(IF(ISNUMBER(INDEX(SPPR!$E:$X,MATCH($A210,SPPR!$A:$A,0),14)),$C210*INDEX(SPPR!$E:$X,MATCH($A210,SPPR!$A:$A,0),14),""),"")</f>
        <v/>
      </c>
      <c r="R210">
        <f>IFERROR(IF(ISNUMBER(INDEX(SPPR!$E:$X,MATCH($A210,SPPR!$A:$A,0),15)),$C210*INDEX(SPPR!$E:$X,MATCH($A210,SPPR!$A:$A,0),15),""),"")</f>
        <v/>
      </c>
      <c r="S210">
        <f>IFERROR(IF(ISNUMBER(INDEX(SPPR!$E:$X,MATCH($A210,SPPR!$A:$A,0),16)),$C210*INDEX(SPPR!$E:$X,MATCH($A210,SPPR!$A:$A,0),16),""),"")</f>
        <v/>
      </c>
      <c r="T210">
        <f>IFERROR(IF(ISNUMBER(INDEX(SPPR!$E:$X,MATCH($A210,SPPR!$A:$A,0),17)),$C210*INDEX(SPPR!$E:$X,MATCH($A210,SPPR!$A:$A,0),17),""),"")</f>
        <v/>
      </c>
      <c r="U210">
        <f>IFERROR(IF(ISNUMBER(INDEX(SPPR!$E:$X,MATCH($A210,SPPR!$A:$A,0),18)),$C210*INDEX(SPPR!$E:$X,MATCH($A210,SPPR!$A:$A,0),18),""),"")</f>
        <v/>
      </c>
      <c r="V210">
        <f>IFERROR(IF(ISNUMBER(INDEX(SPPR!$E:$X,MATCH($A210,SPPR!$A:$A,0),19)),$C210*INDEX(SPPR!$E:$X,MATCH($A210,SPPR!$A:$A,0),19),""),"")</f>
        <v/>
      </c>
      <c r="W210">
        <f>IFERROR(IF(ISNUMBER(INDEX(SPPR!$E:$X,MATCH($A210,SPPR!$A:$A,0),20)),$C210*INDEX(SPPR!$E:$X,MATCH($A210,SPPR!$A:$A,0),20),""),"")</f>
        <v/>
      </c>
    </row>
    <row r="211">
      <c r="A211" t="inlineStr">
        <is>
          <t>Acanthocybium solandri</t>
        </is>
      </c>
      <c r="B211">
        <f>IFERROR(INDEX(SPPR!$D:$D,MATCH($A211,SPPR!$A:$A,0)),"")</f>
        <v/>
      </c>
      <c r="C211">
        <f>IFERROR(INDEX(Catch!$E:$BV,MATCH($A211,Catch!$A:$A,0),MATCH($B$4,Catch!$E$1:$BV$1,0)),0)</f>
        <v/>
      </c>
      <c r="D211">
        <f>IFERROR(IF(ISNUMBER(INDEX(SPPR!$E:$X,MATCH($A211,SPPR!$A:$A,0),1)),$C211*INDEX(SPPR!$E:$X,MATCH($A211,SPPR!$A:$A,0),1),""),"")</f>
        <v/>
      </c>
      <c r="E211">
        <f>IFERROR(IF(ISNUMBER(INDEX(SPPR!$E:$X,MATCH($A211,SPPR!$A:$A,0),2)),$C211*INDEX(SPPR!$E:$X,MATCH($A211,SPPR!$A:$A,0),2),""),"")</f>
        <v/>
      </c>
      <c r="F211">
        <f>IFERROR(IF(ISNUMBER(INDEX(SPPR!$E:$X,MATCH($A211,SPPR!$A:$A,0),3)),$C211*INDEX(SPPR!$E:$X,MATCH($A211,SPPR!$A:$A,0),3),""),"")</f>
        <v/>
      </c>
      <c r="G211">
        <f>IFERROR(IF(ISNUMBER(INDEX(SPPR!$E:$X,MATCH($A211,SPPR!$A:$A,0),4)),$C211*INDEX(SPPR!$E:$X,MATCH($A211,SPPR!$A:$A,0),4),""),"")</f>
        <v/>
      </c>
      <c r="H211">
        <f>IFERROR(IF(ISNUMBER(INDEX(SPPR!$E:$X,MATCH($A211,SPPR!$A:$A,0),5)),$C211*INDEX(SPPR!$E:$X,MATCH($A211,SPPR!$A:$A,0),5),""),"")</f>
        <v/>
      </c>
      <c r="I211">
        <f>IFERROR(IF(ISNUMBER(INDEX(SPPR!$E:$X,MATCH($A211,SPPR!$A:$A,0),6)),$C211*INDEX(SPPR!$E:$X,MATCH($A211,SPPR!$A:$A,0),6),""),"")</f>
        <v/>
      </c>
      <c r="J211">
        <f>IFERROR(IF(ISNUMBER(INDEX(SPPR!$E:$X,MATCH($A211,SPPR!$A:$A,0),7)),$C211*INDEX(SPPR!$E:$X,MATCH($A211,SPPR!$A:$A,0),7),""),"")</f>
        <v/>
      </c>
      <c r="K211">
        <f>IFERROR(IF(ISNUMBER(INDEX(SPPR!$E:$X,MATCH($A211,SPPR!$A:$A,0),8)),$C211*INDEX(SPPR!$E:$X,MATCH($A211,SPPR!$A:$A,0),8),""),"")</f>
        <v/>
      </c>
      <c r="L211">
        <f>IFERROR(IF(ISNUMBER(INDEX(SPPR!$E:$X,MATCH($A211,SPPR!$A:$A,0),9)),$C211*INDEX(SPPR!$E:$X,MATCH($A211,SPPR!$A:$A,0),9),""),"")</f>
        <v/>
      </c>
      <c r="M211">
        <f>IFERROR(IF(ISNUMBER(INDEX(SPPR!$E:$X,MATCH($A211,SPPR!$A:$A,0),10)),$C211*INDEX(SPPR!$E:$X,MATCH($A211,SPPR!$A:$A,0),10),""),"")</f>
        <v/>
      </c>
      <c r="N211">
        <f>IFERROR(IF(ISNUMBER(INDEX(SPPR!$E:$X,MATCH($A211,SPPR!$A:$A,0),11)),$C211*INDEX(SPPR!$E:$X,MATCH($A211,SPPR!$A:$A,0),11),""),"")</f>
        <v/>
      </c>
      <c r="O211">
        <f>IFERROR(IF(ISNUMBER(INDEX(SPPR!$E:$X,MATCH($A211,SPPR!$A:$A,0),12)),$C211*INDEX(SPPR!$E:$X,MATCH($A211,SPPR!$A:$A,0),12),""),"")</f>
        <v/>
      </c>
      <c r="P211">
        <f>IFERROR(IF(ISNUMBER(INDEX(SPPR!$E:$X,MATCH($A211,SPPR!$A:$A,0),13)),$C211*INDEX(SPPR!$E:$X,MATCH($A211,SPPR!$A:$A,0),13),""),"")</f>
        <v/>
      </c>
      <c r="Q211">
        <f>IFERROR(IF(ISNUMBER(INDEX(SPPR!$E:$X,MATCH($A211,SPPR!$A:$A,0),14)),$C211*INDEX(SPPR!$E:$X,MATCH($A211,SPPR!$A:$A,0),14),""),"")</f>
        <v/>
      </c>
      <c r="R211">
        <f>IFERROR(IF(ISNUMBER(INDEX(SPPR!$E:$X,MATCH($A211,SPPR!$A:$A,0),15)),$C211*INDEX(SPPR!$E:$X,MATCH($A211,SPPR!$A:$A,0),15),""),"")</f>
        <v/>
      </c>
      <c r="S211">
        <f>IFERROR(IF(ISNUMBER(INDEX(SPPR!$E:$X,MATCH($A211,SPPR!$A:$A,0),16)),$C211*INDEX(SPPR!$E:$X,MATCH($A211,SPPR!$A:$A,0),16),""),"")</f>
        <v/>
      </c>
      <c r="T211">
        <f>IFERROR(IF(ISNUMBER(INDEX(SPPR!$E:$X,MATCH($A211,SPPR!$A:$A,0),17)),$C211*INDEX(SPPR!$E:$X,MATCH($A211,SPPR!$A:$A,0),17),""),"")</f>
        <v/>
      </c>
      <c r="U211">
        <f>IFERROR(IF(ISNUMBER(INDEX(SPPR!$E:$X,MATCH($A211,SPPR!$A:$A,0),18)),$C211*INDEX(SPPR!$E:$X,MATCH($A211,SPPR!$A:$A,0),18),""),"")</f>
        <v/>
      </c>
      <c r="V211">
        <f>IFERROR(IF(ISNUMBER(INDEX(SPPR!$E:$X,MATCH($A211,SPPR!$A:$A,0),19)),$C211*INDEX(SPPR!$E:$X,MATCH($A211,SPPR!$A:$A,0),19),""),"")</f>
        <v/>
      </c>
      <c r="W211">
        <f>IFERROR(IF(ISNUMBER(INDEX(SPPR!$E:$X,MATCH($A211,SPPR!$A:$A,0),20)),$C211*INDEX(SPPR!$E:$X,MATCH($A211,SPPR!$A:$A,0),20),""),"")</f>
        <v/>
      </c>
    </row>
    <row r="212">
      <c r="A212" t="inlineStr">
        <is>
          <t>Saurida undosquamis</t>
        </is>
      </c>
      <c r="B212">
        <f>IFERROR(INDEX(SPPR!$D:$D,MATCH($A212,SPPR!$A:$A,0)),"")</f>
        <v/>
      </c>
      <c r="C212">
        <f>IFERROR(INDEX(Catch!$E:$BV,MATCH($A212,Catch!$A:$A,0),MATCH($B$4,Catch!$E$1:$BV$1,0)),0)</f>
        <v/>
      </c>
      <c r="D212">
        <f>IFERROR(IF(ISNUMBER(INDEX(SPPR!$E:$X,MATCH($A212,SPPR!$A:$A,0),1)),$C212*INDEX(SPPR!$E:$X,MATCH($A212,SPPR!$A:$A,0),1),""),"")</f>
        <v/>
      </c>
      <c r="E212">
        <f>IFERROR(IF(ISNUMBER(INDEX(SPPR!$E:$X,MATCH($A212,SPPR!$A:$A,0),2)),$C212*INDEX(SPPR!$E:$X,MATCH($A212,SPPR!$A:$A,0),2),""),"")</f>
        <v/>
      </c>
      <c r="F212">
        <f>IFERROR(IF(ISNUMBER(INDEX(SPPR!$E:$X,MATCH($A212,SPPR!$A:$A,0),3)),$C212*INDEX(SPPR!$E:$X,MATCH($A212,SPPR!$A:$A,0),3),""),"")</f>
        <v/>
      </c>
      <c r="G212">
        <f>IFERROR(IF(ISNUMBER(INDEX(SPPR!$E:$X,MATCH($A212,SPPR!$A:$A,0),4)),$C212*INDEX(SPPR!$E:$X,MATCH($A212,SPPR!$A:$A,0),4),""),"")</f>
        <v/>
      </c>
      <c r="H212">
        <f>IFERROR(IF(ISNUMBER(INDEX(SPPR!$E:$X,MATCH($A212,SPPR!$A:$A,0),5)),$C212*INDEX(SPPR!$E:$X,MATCH($A212,SPPR!$A:$A,0),5),""),"")</f>
        <v/>
      </c>
      <c r="I212">
        <f>IFERROR(IF(ISNUMBER(INDEX(SPPR!$E:$X,MATCH($A212,SPPR!$A:$A,0),6)),$C212*INDEX(SPPR!$E:$X,MATCH($A212,SPPR!$A:$A,0),6),""),"")</f>
        <v/>
      </c>
      <c r="J212">
        <f>IFERROR(IF(ISNUMBER(INDEX(SPPR!$E:$X,MATCH($A212,SPPR!$A:$A,0),7)),$C212*INDEX(SPPR!$E:$X,MATCH($A212,SPPR!$A:$A,0),7),""),"")</f>
        <v/>
      </c>
      <c r="K212">
        <f>IFERROR(IF(ISNUMBER(INDEX(SPPR!$E:$X,MATCH($A212,SPPR!$A:$A,0),8)),$C212*INDEX(SPPR!$E:$X,MATCH($A212,SPPR!$A:$A,0),8),""),"")</f>
        <v/>
      </c>
      <c r="L212">
        <f>IFERROR(IF(ISNUMBER(INDEX(SPPR!$E:$X,MATCH($A212,SPPR!$A:$A,0),9)),$C212*INDEX(SPPR!$E:$X,MATCH($A212,SPPR!$A:$A,0),9),""),"")</f>
        <v/>
      </c>
      <c r="M212">
        <f>IFERROR(IF(ISNUMBER(INDEX(SPPR!$E:$X,MATCH($A212,SPPR!$A:$A,0),10)),$C212*INDEX(SPPR!$E:$X,MATCH($A212,SPPR!$A:$A,0),10),""),"")</f>
        <v/>
      </c>
      <c r="N212">
        <f>IFERROR(IF(ISNUMBER(INDEX(SPPR!$E:$X,MATCH($A212,SPPR!$A:$A,0),11)),$C212*INDEX(SPPR!$E:$X,MATCH($A212,SPPR!$A:$A,0),11),""),"")</f>
        <v/>
      </c>
      <c r="O212">
        <f>IFERROR(IF(ISNUMBER(INDEX(SPPR!$E:$X,MATCH($A212,SPPR!$A:$A,0),12)),$C212*INDEX(SPPR!$E:$X,MATCH($A212,SPPR!$A:$A,0),12),""),"")</f>
        <v/>
      </c>
      <c r="P212">
        <f>IFERROR(IF(ISNUMBER(INDEX(SPPR!$E:$X,MATCH($A212,SPPR!$A:$A,0),13)),$C212*INDEX(SPPR!$E:$X,MATCH($A212,SPPR!$A:$A,0),13),""),"")</f>
        <v/>
      </c>
      <c r="Q212">
        <f>IFERROR(IF(ISNUMBER(INDEX(SPPR!$E:$X,MATCH($A212,SPPR!$A:$A,0),14)),$C212*INDEX(SPPR!$E:$X,MATCH($A212,SPPR!$A:$A,0),14),""),"")</f>
        <v/>
      </c>
      <c r="R212">
        <f>IFERROR(IF(ISNUMBER(INDEX(SPPR!$E:$X,MATCH($A212,SPPR!$A:$A,0),15)),$C212*INDEX(SPPR!$E:$X,MATCH($A212,SPPR!$A:$A,0),15),""),"")</f>
        <v/>
      </c>
      <c r="S212">
        <f>IFERROR(IF(ISNUMBER(INDEX(SPPR!$E:$X,MATCH($A212,SPPR!$A:$A,0),16)),$C212*INDEX(SPPR!$E:$X,MATCH($A212,SPPR!$A:$A,0),16),""),"")</f>
        <v/>
      </c>
      <c r="T212">
        <f>IFERROR(IF(ISNUMBER(INDEX(SPPR!$E:$X,MATCH($A212,SPPR!$A:$A,0),17)),$C212*INDEX(SPPR!$E:$X,MATCH($A212,SPPR!$A:$A,0),17),""),"")</f>
        <v/>
      </c>
      <c r="U212">
        <f>IFERROR(IF(ISNUMBER(INDEX(SPPR!$E:$X,MATCH($A212,SPPR!$A:$A,0),18)),$C212*INDEX(SPPR!$E:$X,MATCH($A212,SPPR!$A:$A,0),18),""),"")</f>
        <v/>
      </c>
      <c r="V212">
        <f>IFERROR(IF(ISNUMBER(INDEX(SPPR!$E:$X,MATCH($A212,SPPR!$A:$A,0),19)),$C212*INDEX(SPPR!$E:$X,MATCH($A212,SPPR!$A:$A,0),19),""),"")</f>
        <v/>
      </c>
      <c r="W212">
        <f>IFERROR(IF(ISNUMBER(INDEX(SPPR!$E:$X,MATCH($A212,SPPR!$A:$A,0),20)),$C212*INDEX(SPPR!$E:$X,MATCH($A212,SPPR!$A:$A,0),20),""),"")</f>
        <v/>
      </c>
    </row>
    <row r="213">
      <c r="A213" t="inlineStr">
        <is>
          <t>Beryx splendens</t>
        </is>
      </c>
      <c r="B213">
        <f>IFERROR(INDEX(SPPR!$D:$D,MATCH($A213,SPPR!$A:$A,0)),"")</f>
        <v/>
      </c>
      <c r="C213">
        <f>IFERROR(INDEX(Catch!$E:$BV,MATCH($A213,Catch!$A:$A,0),MATCH($B$4,Catch!$E$1:$BV$1,0)),0)</f>
        <v/>
      </c>
      <c r="D213">
        <f>IFERROR(IF(ISNUMBER(INDEX(SPPR!$E:$X,MATCH($A213,SPPR!$A:$A,0),1)),$C213*INDEX(SPPR!$E:$X,MATCH($A213,SPPR!$A:$A,0),1),""),"")</f>
        <v/>
      </c>
      <c r="E213">
        <f>IFERROR(IF(ISNUMBER(INDEX(SPPR!$E:$X,MATCH($A213,SPPR!$A:$A,0),2)),$C213*INDEX(SPPR!$E:$X,MATCH($A213,SPPR!$A:$A,0),2),""),"")</f>
        <v/>
      </c>
      <c r="F213">
        <f>IFERROR(IF(ISNUMBER(INDEX(SPPR!$E:$X,MATCH($A213,SPPR!$A:$A,0),3)),$C213*INDEX(SPPR!$E:$X,MATCH($A213,SPPR!$A:$A,0),3),""),"")</f>
        <v/>
      </c>
      <c r="G213">
        <f>IFERROR(IF(ISNUMBER(INDEX(SPPR!$E:$X,MATCH($A213,SPPR!$A:$A,0),4)),$C213*INDEX(SPPR!$E:$X,MATCH($A213,SPPR!$A:$A,0),4),""),"")</f>
        <v/>
      </c>
      <c r="H213">
        <f>IFERROR(IF(ISNUMBER(INDEX(SPPR!$E:$X,MATCH($A213,SPPR!$A:$A,0),5)),$C213*INDEX(SPPR!$E:$X,MATCH($A213,SPPR!$A:$A,0),5),""),"")</f>
        <v/>
      </c>
      <c r="I213">
        <f>IFERROR(IF(ISNUMBER(INDEX(SPPR!$E:$X,MATCH($A213,SPPR!$A:$A,0),6)),$C213*INDEX(SPPR!$E:$X,MATCH($A213,SPPR!$A:$A,0),6),""),"")</f>
        <v/>
      </c>
      <c r="J213">
        <f>IFERROR(IF(ISNUMBER(INDEX(SPPR!$E:$X,MATCH($A213,SPPR!$A:$A,0),7)),$C213*INDEX(SPPR!$E:$X,MATCH($A213,SPPR!$A:$A,0),7),""),"")</f>
        <v/>
      </c>
      <c r="K213">
        <f>IFERROR(IF(ISNUMBER(INDEX(SPPR!$E:$X,MATCH($A213,SPPR!$A:$A,0),8)),$C213*INDEX(SPPR!$E:$X,MATCH($A213,SPPR!$A:$A,0),8),""),"")</f>
        <v/>
      </c>
      <c r="L213">
        <f>IFERROR(IF(ISNUMBER(INDEX(SPPR!$E:$X,MATCH($A213,SPPR!$A:$A,0),9)),$C213*INDEX(SPPR!$E:$X,MATCH($A213,SPPR!$A:$A,0),9),""),"")</f>
        <v/>
      </c>
      <c r="M213">
        <f>IFERROR(IF(ISNUMBER(INDEX(SPPR!$E:$X,MATCH($A213,SPPR!$A:$A,0),10)),$C213*INDEX(SPPR!$E:$X,MATCH($A213,SPPR!$A:$A,0),10),""),"")</f>
        <v/>
      </c>
      <c r="N213">
        <f>IFERROR(IF(ISNUMBER(INDEX(SPPR!$E:$X,MATCH($A213,SPPR!$A:$A,0),11)),$C213*INDEX(SPPR!$E:$X,MATCH($A213,SPPR!$A:$A,0),11),""),"")</f>
        <v/>
      </c>
      <c r="O213">
        <f>IFERROR(IF(ISNUMBER(INDEX(SPPR!$E:$X,MATCH($A213,SPPR!$A:$A,0),12)),$C213*INDEX(SPPR!$E:$X,MATCH($A213,SPPR!$A:$A,0),12),""),"")</f>
        <v/>
      </c>
      <c r="P213">
        <f>IFERROR(IF(ISNUMBER(INDEX(SPPR!$E:$X,MATCH($A213,SPPR!$A:$A,0),13)),$C213*INDEX(SPPR!$E:$X,MATCH($A213,SPPR!$A:$A,0),13),""),"")</f>
        <v/>
      </c>
      <c r="Q213">
        <f>IFERROR(IF(ISNUMBER(INDEX(SPPR!$E:$X,MATCH($A213,SPPR!$A:$A,0),14)),$C213*INDEX(SPPR!$E:$X,MATCH($A213,SPPR!$A:$A,0),14),""),"")</f>
        <v/>
      </c>
      <c r="R213">
        <f>IFERROR(IF(ISNUMBER(INDEX(SPPR!$E:$X,MATCH($A213,SPPR!$A:$A,0),15)),$C213*INDEX(SPPR!$E:$X,MATCH($A213,SPPR!$A:$A,0),15),""),"")</f>
        <v/>
      </c>
      <c r="S213">
        <f>IFERROR(IF(ISNUMBER(INDEX(SPPR!$E:$X,MATCH($A213,SPPR!$A:$A,0),16)),$C213*INDEX(SPPR!$E:$X,MATCH($A213,SPPR!$A:$A,0),16),""),"")</f>
        <v/>
      </c>
      <c r="T213">
        <f>IFERROR(IF(ISNUMBER(INDEX(SPPR!$E:$X,MATCH($A213,SPPR!$A:$A,0),17)),$C213*INDEX(SPPR!$E:$X,MATCH($A213,SPPR!$A:$A,0),17),""),"")</f>
        <v/>
      </c>
      <c r="U213">
        <f>IFERROR(IF(ISNUMBER(INDEX(SPPR!$E:$X,MATCH($A213,SPPR!$A:$A,0),18)),$C213*INDEX(SPPR!$E:$X,MATCH($A213,SPPR!$A:$A,0),18),""),"")</f>
        <v/>
      </c>
      <c r="V213">
        <f>IFERROR(IF(ISNUMBER(INDEX(SPPR!$E:$X,MATCH($A213,SPPR!$A:$A,0),19)),$C213*INDEX(SPPR!$E:$X,MATCH($A213,SPPR!$A:$A,0),19),""),"")</f>
        <v/>
      </c>
      <c r="W213">
        <f>IFERROR(IF(ISNUMBER(INDEX(SPPR!$E:$X,MATCH($A213,SPPR!$A:$A,0),20)),$C213*INDEX(SPPR!$E:$X,MATCH($A213,SPPR!$A:$A,0),20),""),"")</f>
        <v/>
      </c>
    </row>
    <row r="214">
      <c r="A214" t="inlineStr">
        <is>
          <t>Auxis rochei</t>
        </is>
      </c>
      <c r="B214">
        <f>IFERROR(INDEX(SPPR!$D:$D,MATCH($A214,SPPR!$A:$A,0)),"")</f>
        <v/>
      </c>
      <c r="C214">
        <f>IFERROR(INDEX(Catch!$E:$BV,MATCH($A214,Catch!$A:$A,0),MATCH($B$4,Catch!$E$1:$BV$1,0)),0)</f>
        <v/>
      </c>
      <c r="D214">
        <f>IFERROR(IF(ISNUMBER(INDEX(SPPR!$E:$X,MATCH($A214,SPPR!$A:$A,0),1)),$C214*INDEX(SPPR!$E:$X,MATCH($A214,SPPR!$A:$A,0),1),""),"")</f>
        <v/>
      </c>
      <c r="E214">
        <f>IFERROR(IF(ISNUMBER(INDEX(SPPR!$E:$X,MATCH($A214,SPPR!$A:$A,0),2)),$C214*INDEX(SPPR!$E:$X,MATCH($A214,SPPR!$A:$A,0),2),""),"")</f>
        <v/>
      </c>
      <c r="F214">
        <f>IFERROR(IF(ISNUMBER(INDEX(SPPR!$E:$X,MATCH($A214,SPPR!$A:$A,0),3)),$C214*INDEX(SPPR!$E:$X,MATCH($A214,SPPR!$A:$A,0),3),""),"")</f>
        <v/>
      </c>
      <c r="G214">
        <f>IFERROR(IF(ISNUMBER(INDEX(SPPR!$E:$X,MATCH($A214,SPPR!$A:$A,0),4)),$C214*INDEX(SPPR!$E:$X,MATCH($A214,SPPR!$A:$A,0),4),""),"")</f>
        <v/>
      </c>
      <c r="H214">
        <f>IFERROR(IF(ISNUMBER(INDEX(SPPR!$E:$X,MATCH($A214,SPPR!$A:$A,0),5)),$C214*INDEX(SPPR!$E:$X,MATCH($A214,SPPR!$A:$A,0),5),""),"")</f>
        <v/>
      </c>
      <c r="I214">
        <f>IFERROR(IF(ISNUMBER(INDEX(SPPR!$E:$X,MATCH($A214,SPPR!$A:$A,0),6)),$C214*INDEX(SPPR!$E:$X,MATCH($A214,SPPR!$A:$A,0),6),""),"")</f>
        <v/>
      </c>
      <c r="J214">
        <f>IFERROR(IF(ISNUMBER(INDEX(SPPR!$E:$X,MATCH($A214,SPPR!$A:$A,0),7)),$C214*INDEX(SPPR!$E:$X,MATCH($A214,SPPR!$A:$A,0),7),""),"")</f>
        <v/>
      </c>
      <c r="K214">
        <f>IFERROR(IF(ISNUMBER(INDEX(SPPR!$E:$X,MATCH($A214,SPPR!$A:$A,0),8)),$C214*INDEX(SPPR!$E:$X,MATCH($A214,SPPR!$A:$A,0),8),""),"")</f>
        <v/>
      </c>
      <c r="L214">
        <f>IFERROR(IF(ISNUMBER(INDEX(SPPR!$E:$X,MATCH($A214,SPPR!$A:$A,0),9)),$C214*INDEX(SPPR!$E:$X,MATCH($A214,SPPR!$A:$A,0),9),""),"")</f>
        <v/>
      </c>
      <c r="M214">
        <f>IFERROR(IF(ISNUMBER(INDEX(SPPR!$E:$X,MATCH($A214,SPPR!$A:$A,0),10)),$C214*INDEX(SPPR!$E:$X,MATCH($A214,SPPR!$A:$A,0),10),""),"")</f>
        <v/>
      </c>
      <c r="N214">
        <f>IFERROR(IF(ISNUMBER(INDEX(SPPR!$E:$X,MATCH($A214,SPPR!$A:$A,0),11)),$C214*INDEX(SPPR!$E:$X,MATCH($A214,SPPR!$A:$A,0),11),""),"")</f>
        <v/>
      </c>
      <c r="O214">
        <f>IFERROR(IF(ISNUMBER(INDEX(SPPR!$E:$X,MATCH($A214,SPPR!$A:$A,0),12)),$C214*INDEX(SPPR!$E:$X,MATCH($A214,SPPR!$A:$A,0),12),""),"")</f>
        <v/>
      </c>
      <c r="P214">
        <f>IFERROR(IF(ISNUMBER(INDEX(SPPR!$E:$X,MATCH($A214,SPPR!$A:$A,0),13)),$C214*INDEX(SPPR!$E:$X,MATCH($A214,SPPR!$A:$A,0),13),""),"")</f>
        <v/>
      </c>
      <c r="Q214">
        <f>IFERROR(IF(ISNUMBER(INDEX(SPPR!$E:$X,MATCH($A214,SPPR!$A:$A,0),14)),$C214*INDEX(SPPR!$E:$X,MATCH($A214,SPPR!$A:$A,0),14),""),"")</f>
        <v/>
      </c>
      <c r="R214">
        <f>IFERROR(IF(ISNUMBER(INDEX(SPPR!$E:$X,MATCH($A214,SPPR!$A:$A,0),15)),$C214*INDEX(SPPR!$E:$X,MATCH($A214,SPPR!$A:$A,0),15),""),"")</f>
        <v/>
      </c>
      <c r="S214">
        <f>IFERROR(IF(ISNUMBER(INDEX(SPPR!$E:$X,MATCH($A214,SPPR!$A:$A,0),16)),$C214*INDEX(SPPR!$E:$X,MATCH($A214,SPPR!$A:$A,0),16),""),"")</f>
        <v/>
      </c>
      <c r="T214">
        <f>IFERROR(IF(ISNUMBER(INDEX(SPPR!$E:$X,MATCH($A214,SPPR!$A:$A,0),17)),$C214*INDEX(SPPR!$E:$X,MATCH($A214,SPPR!$A:$A,0),17),""),"")</f>
        <v/>
      </c>
      <c r="U214">
        <f>IFERROR(IF(ISNUMBER(INDEX(SPPR!$E:$X,MATCH($A214,SPPR!$A:$A,0),18)),$C214*INDEX(SPPR!$E:$X,MATCH($A214,SPPR!$A:$A,0),18),""),"")</f>
        <v/>
      </c>
      <c r="V214">
        <f>IFERROR(IF(ISNUMBER(INDEX(SPPR!$E:$X,MATCH($A214,SPPR!$A:$A,0),19)),$C214*INDEX(SPPR!$E:$X,MATCH($A214,SPPR!$A:$A,0),19),""),"")</f>
        <v/>
      </c>
      <c r="W214">
        <f>IFERROR(IF(ISNUMBER(INDEX(SPPR!$E:$X,MATCH($A214,SPPR!$A:$A,0),20)),$C214*INDEX(SPPR!$E:$X,MATCH($A214,SPPR!$A:$A,0),20),""),"")</f>
        <v/>
      </c>
    </row>
    <row r="215">
      <c r="A215" t="inlineStr">
        <is>
          <t>Scorpaeniformes</t>
        </is>
      </c>
      <c r="B215">
        <f>IFERROR(INDEX(SPPR!$D:$D,MATCH($A215,SPPR!$A:$A,0)),"")</f>
        <v/>
      </c>
      <c r="C215">
        <f>IFERROR(INDEX(Catch!$E:$BV,MATCH($A215,Catch!$A:$A,0),MATCH($B$4,Catch!$E$1:$BV$1,0)),0)</f>
        <v/>
      </c>
      <c r="D215">
        <f>IFERROR(IF(ISNUMBER(INDEX(SPPR!$E:$X,MATCH($A215,SPPR!$A:$A,0),1)),$C215*INDEX(SPPR!$E:$X,MATCH($A215,SPPR!$A:$A,0),1),""),"")</f>
        <v/>
      </c>
      <c r="E215">
        <f>IFERROR(IF(ISNUMBER(INDEX(SPPR!$E:$X,MATCH($A215,SPPR!$A:$A,0),2)),$C215*INDEX(SPPR!$E:$X,MATCH($A215,SPPR!$A:$A,0),2),""),"")</f>
        <v/>
      </c>
      <c r="F215">
        <f>IFERROR(IF(ISNUMBER(INDEX(SPPR!$E:$X,MATCH($A215,SPPR!$A:$A,0),3)),$C215*INDEX(SPPR!$E:$X,MATCH($A215,SPPR!$A:$A,0),3),""),"")</f>
        <v/>
      </c>
      <c r="G215">
        <f>IFERROR(IF(ISNUMBER(INDEX(SPPR!$E:$X,MATCH($A215,SPPR!$A:$A,0),4)),$C215*INDEX(SPPR!$E:$X,MATCH($A215,SPPR!$A:$A,0),4),""),"")</f>
        <v/>
      </c>
      <c r="H215">
        <f>IFERROR(IF(ISNUMBER(INDEX(SPPR!$E:$X,MATCH($A215,SPPR!$A:$A,0),5)),$C215*INDEX(SPPR!$E:$X,MATCH($A215,SPPR!$A:$A,0),5),""),"")</f>
        <v/>
      </c>
      <c r="I215">
        <f>IFERROR(IF(ISNUMBER(INDEX(SPPR!$E:$X,MATCH($A215,SPPR!$A:$A,0),6)),$C215*INDEX(SPPR!$E:$X,MATCH($A215,SPPR!$A:$A,0),6),""),"")</f>
        <v/>
      </c>
      <c r="J215">
        <f>IFERROR(IF(ISNUMBER(INDEX(SPPR!$E:$X,MATCH($A215,SPPR!$A:$A,0),7)),$C215*INDEX(SPPR!$E:$X,MATCH($A215,SPPR!$A:$A,0),7),""),"")</f>
        <v/>
      </c>
      <c r="K215">
        <f>IFERROR(IF(ISNUMBER(INDEX(SPPR!$E:$X,MATCH($A215,SPPR!$A:$A,0),8)),$C215*INDEX(SPPR!$E:$X,MATCH($A215,SPPR!$A:$A,0),8),""),"")</f>
        <v/>
      </c>
      <c r="L215">
        <f>IFERROR(IF(ISNUMBER(INDEX(SPPR!$E:$X,MATCH($A215,SPPR!$A:$A,0),9)),$C215*INDEX(SPPR!$E:$X,MATCH($A215,SPPR!$A:$A,0),9),""),"")</f>
        <v/>
      </c>
      <c r="M215">
        <f>IFERROR(IF(ISNUMBER(INDEX(SPPR!$E:$X,MATCH($A215,SPPR!$A:$A,0),10)),$C215*INDEX(SPPR!$E:$X,MATCH($A215,SPPR!$A:$A,0),10),""),"")</f>
        <v/>
      </c>
      <c r="N215">
        <f>IFERROR(IF(ISNUMBER(INDEX(SPPR!$E:$X,MATCH($A215,SPPR!$A:$A,0),11)),$C215*INDEX(SPPR!$E:$X,MATCH($A215,SPPR!$A:$A,0),11),""),"")</f>
        <v/>
      </c>
      <c r="O215">
        <f>IFERROR(IF(ISNUMBER(INDEX(SPPR!$E:$X,MATCH($A215,SPPR!$A:$A,0),12)),$C215*INDEX(SPPR!$E:$X,MATCH($A215,SPPR!$A:$A,0),12),""),"")</f>
        <v/>
      </c>
      <c r="P215">
        <f>IFERROR(IF(ISNUMBER(INDEX(SPPR!$E:$X,MATCH($A215,SPPR!$A:$A,0),13)),$C215*INDEX(SPPR!$E:$X,MATCH($A215,SPPR!$A:$A,0),13),""),"")</f>
        <v/>
      </c>
      <c r="Q215">
        <f>IFERROR(IF(ISNUMBER(INDEX(SPPR!$E:$X,MATCH($A215,SPPR!$A:$A,0),14)),$C215*INDEX(SPPR!$E:$X,MATCH($A215,SPPR!$A:$A,0),14),""),"")</f>
        <v/>
      </c>
      <c r="R215">
        <f>IFERROR(IF(ISNUMBER(INDEX(SPPR!$E:$X,MATCH($A215,SPPR!$A:$A,0),15)),$C215*INDEX(SPPR!$E:$X,MATCH($A215,SPPR!$A:$A,0),15),""),"")</f>
        <v/>
      </c>
      <c r="S215">
        <f>IFERROR(IF(ISNUMBER(INDEX(SPPR!$E:$X,MATCH($A215,SPPR!$A:$A,0),16)),$C215*INDEX(SPPR!$E:$X,MATCH($A215,SPPR!$A:$A,0),16),""),"")</f>
        <v/>
      </c>
      <c r="T215">
        <f>IFERROR(IF(ISNUMBER(INDEX(SPPR!$E:$X,MATCH($A215,SPPR!$A:$A,0),17)),$C215*INDEX(SPPR!$E:$X,MATCH($A215,SPPR!$A:$A,0),17),""),"")</f>
        <v/>
      </c>
      <c r="U215">
        <f>IFERROR(IF(ISNUMBER(INDEX(SPPR!$E:$X,MATCH($A215,SPPR!$A:$A,0),18)),$C215*INDEX(SPPR!$E:$X,MATCH($A215,SPPR!$A:$A,0),18),""),"")</f>
        <v/>
      </c>
      <c r="V215">
        <f>IFERROR(IF(ISNUMBER(INDEX(SPPR!$E:$X,MATCH($A215,SPPR!$A:$A,0),19)),$C215*INDEX(SPPR!$E:$X,MATCH($A215,SPPR!$A:$A,0),19),""),"")</f>
        <v/>
      </c>
      <c r="W215">
        <f>IFERROR(IF(ISNUMBER(INDEX(SPPR!$E:$X,MATCH($A215,SPPR!$A:$A,0),20)),$C215*INDEX(SPPR!$E:$X,MATCH($A215,SPPR!$A:$A,0),20),""),"")</f>
        <v/>
      </c>
    </row>
    <row r="216">
      <c r="A216" t="inlineStr">
        <is>
          <t>Epinephelus maculatus</t>
        </is>
      </c>
      <c r="B216">
        <f>IFERROR(INDEX(SPPR!$D:$D,MATCH($A216,SPPR!$A:$A,0)),"")</f>
        <v/>
      </c>
      <c r="C216">
        <f>IFERROR(INDEX(Catch!$E:$BV,MATCH($A216,Catch!$A:$A,0),MATCH($B$4,Catch!$E$1:$BV$1,0)),0)</f>
        <v/>
      </c>
      <c r="D216">
        <f>IFERROR(IF(ISNUMBER(INDEX(SPPR!$E:$X,MATCH($A216,SPPR!$A:$A,0),1)),$C216*INDEX(SPPR!$E:$X,MATCH($A216,SPPR!$A:$A,0),1),""),"")</f>
        <v/>
      </c>
      <c r="E216">
        <f>IFERROR(IF(ISNUMBER(INDEX(SPPR!$E:$X,MATCH($A216,SPPR!$A:$A,0),2)),$C216*INDEX(SPPR!$E:$X,MATCH($A216,SPPR!$A:$A,0),2),""),"")</f>
        <v/>
      </c>
      <c r="F216">
        <f>IFERROR(IF(ISNUMBER(INDEX(SPPR!$E:$X,MATCH($A216,SPPR!$A:$A,0),3)),$C216*INDEX(SPPR!$E:$X,MATCH($A216,SPPR!$A:$A,0),3),""),"")</f>
        <v/>
      </c>
      <c r="G216">
        <f>IFERROR(IF(ISNUMBER(INDEX(SPPR!$E:$X,MATCH($A216,SPPR!$A:$A,0),4)),$C216*INDEX(SPPR!$E:$X,MATCH($A216,SPPR!$A:$A,0),4),""),"")</f>
        <v/>
      </c>
      <c r="H216">
        <f>IFERROR(IF(ISNUMBER(INDEX(SPPR!$E:$X,MATCH($A216,SPPR!$A:$A,0),5)),$C216*INDEX(SPPR!$E:$X,MATCH($A216,SPPR!$A:$A,0),5),""),"")</f>
        <v/>
      </c>
      <c r="I216">
        <f>IFERROR(IF(ISNUMBER(INDEX(SPPR!$E:$X,MATCH($A216,SPPR!$A:$A,0),6)),$C216*INDEX(SPPR!$E:$X,MATCH($A216,SPPR!$A:$A,0),6),""),"")</f>
        <v/>
      </c>
      <c r="J216">
        <f>IFERROR(IF(ISNUMBER(INDEX(SPPR!$E:$X,MATCH($A216,SPPR!$A:$A,0),7)),$C216*INDEX(SPPR!$E:$X,MATCH($A216,SPPR!$A:$A,0),7),""),"")</f>
        <v/>
      </c>
      <c r="K216">
        <f>IFERROR(IF(ISNUMBER(INDEX(SPPR!$E:$X,MATCH($A216,SPPR!$A:$A,0),8)),$C216*INDEX(SPPR!$E:$X,MATCH($A216,SPPR!$A:$A,0),8),""),"")</f>
        <v/>
      </c>
      <c r="L216">
        <f>IFERROR(IF(ISNUMBER(INDEX(SPPR!$E:$X,MATCH($A216,SPPR!$A:$A,0),9)),$C216*INDEX(SPPR!$E:$X,MATCH($A216,SPPR!$A:$A,0),9),""),"")</f>
        <v/>
      </c>
      <c r="M216">
        <f>IFERROR(IF(ISNUMBER(INDEX(SPPR!$E:$X,MATCH($A216,SPPR!$A:$A,0),10)),$C216*INDEX(SPPR!$E:$X,MATCH($A216,SPPR!$A:$A,0),10),""),"")</f>
        <v/>
      </c>
      <c r="N216">
        <f>IFERROR(IF(ISNUMBER(INDEX(SPPR!$E:$X,MATCH($A216,SPPR!$A:$A,0),11)),$C216*INDEX(SPPR!$E:$X,MATCH($A216,SPPR!$A:$A,0),11),""),"")</f>
        <v/>
      </c>
      <c r="O216">
        <f>IFERROR(IF(ISNUMBER(INDEX(SPPR!$E:$X,MATCH($A216,SPPR!$A:$A,0),12)),$C216*INDEX(SPPR!$E:$X,MATCH($A216,SPPR!$A:$A,0),12),""),"")</f>
        <v/>
      </c>
      <c r="P216">
        <f>IFERROR(IF(ISNUMBER(INDEX(SPPR!$E:$X,MATCH($A216,SPPR!$A:$A,0),13)),$C216*INDEX(SPPR!$E:$X,MATCH($A216,SPPR!$A:$A,0),13),""),"")</f>
        <v/>
      </c>
      <c r="Q216">
        <f>IFERROR(IF(ISNUMBER(INDEX(SPPR!$E:$X,MATCH($A216,SPPR!$A:$A,0),14)),$C216*INDEX(SPPR!$E:$X,MATCH($A216,SPPR!$A:$A,0),14),""),"")</f>
        <v/>
      </c>
      <c r="R216">
        <f>IFERROR(IF(ISNUMBER(INDEX(SPPR!$E:$X,MATCH($A216,SPPR!$A:$A,0),15)),$C216*INDEX(SPPR!$E:$X,MATCH($A216,SPPR!$A:$A,0),15),""),"")</f>
        <v/>
      </c>
      <c r="S216">
        <f>IFERROR(IF(ISNUMBER(INDEX(SPPR!$E:$X,MATCH($A216,SPPR!$A:$A,0),16)),$C216*INDEX(SPPR!$E:$X,MATCH($A216,SPPR!$A:$A,0),16),""),"")</f>
        <v/>
      </c>
      <c r="T216">
        <f>IFERROR(IF(ISNUMBER(INDEX(SPPR!$E:$X,MATCH($A216,SPPR!$A:$A,0),17)),$C216*INDEX(SPPR!$E:$X,MATCH($A216,SPPR!$A:$A,0),17),""),"")</f>
        <v/>
      </c>
      <c r="U216">
        <f>IFERROR(IF(ISNUMBER(INDEX(SPPR!$E:$X,MATCH($A216,SPPR!$A:$A,0),18)),$C216*INDEX(SPPR!$E:$X,MATCH($A216,SPPR!$A:$A,0),18),""),"")</f>
        <v/>
      </c>
      <c r="V216">
        <f>IFERROR(IF(ISNUMBER(INDEX(SPPR!$E:$X,MATCH($A216,SPPR!$A:$A,0),19)),$C216*INDEX(SPPR!$E:$X,MATCH($A216,SPPR!$A:$A,0),19),""),"")</f>
        <v/>
      </c>
      <c r="W216">
        <f>IFERROR(IF(ISNUMBER(INDEX(SPPR!$E:$X,MATCH($A216,SPPR!$A:$A,0),20)),$C216*INDEX(SPPR!$E:$X,MATCH($A216,SPPR!$A:$A,0),20),""),"")</f>
        <v/>
      </c>
    </row>
    <row r="217">
      <c r="A217" t="inlineStr">
        <is>
          <t>Isurus</t>
        </is>
      </c>
      <c r="B217">
        <f>IFERROR(INDEX(SPPR!$D:$D,MATCH($A217,SPPR!$A:$A,0)),"")</f>
        <v/>
      </c>
      <c r="C217">
        <f>IFERROR(INDEX(Catch!$E:$BV,MATCH($A217,Catch!$A:$A,0),MATCH($B$4,Catch!$E$1:$BV$1,0)),0)</f>
        <v/>
      </c>
      <c r="D217">
        <f>IFERROR(IF(ISNUMBER(INDEX(SPPR!$E:$X,MATCH($A217,SPPR!$A:$A,0),1)),$C217*INDEX(SPPR!$E:$X,MATCH($A217,SPPR!$A:$A,0),1),""),"")</f>
        <v/>
      </c>
      <c r="E217">
        <f>IFERROR(IF(ISNUMBER(INDEX(SPPR!$E:$X,MATCH($A217,SPPR!$A:$A,0),2)),$C217*INDEX(SPPR!$E:$X,MATCH($A217,SPPR!$A:$A,0),2),""),"")</f>
        <v/>
      </c>
      <c r="F217">
        <f>IFERROR(IF(ISNUMBER(INDEX(SPPR!$E:$X,MATCH($A217,SPPR!$A:$A,0),3)),$C217*INDEX(SPPR!$E:$X,MATCH($A217,SPPR!$A:$A,0),3),""),"")</f>
        <v/>
      </c>
      <c r="G217">
        <f>IFERROR(IF(ISNUMBER(INDEX(SPPR!$E:$X,MATCH($A217,SPPR!$A:$A,0),4)),$C217*INDEX(SPPR!$E:$X,MATCH($A217,SPPR!$A:$A,0),4),""),"")</f>
        <v/>
      </c>
      <c r="H217">
        <f>IFERROR(IF(ISNUMBER(INDEX(SPPR!$E:$X,MATCH($A217,SPPR!$A:$A,0),5)),$C217*INDEX(SPPR!$E:$X,MATCH($A217,SPPR!$A:$A,0),5),""),"")</f>
        <v/>
      </c>
      <c r="I217">
        <f>IFERROR(IF(ISNUMBER(INDEX(SPPR!$E:$X,MATCH($A217,SPPR!$A:$A,0),6)),$C217*INDEX(SPPR!$E:$X,MATCH($A217,SPPR!$A:$A,0),6),""),"")</f>
        <v/>
      </c>
      <c r="J217">
        <f>IFERROR(IF(ISNUMBER(INDEX(SPPR!$E:$X,MATCH($A217,SPPR!$A:$A,0),7)),$C217*INDEX(SPPR!$E:$X,MATCH($A217,SPPR!$A:$A,0),7),""),"")</f>
        <v/>
      </c>
      <c r="K217">
        <f>IFERROR(IF(ISNUMBER(INDEX(SPPR!$E:$X,MATCH($A217,SPPR!$A:$A,0),8)),$C217*INDEX(SPPR!$E:$X,MATCH($A217,SPPR!$A:$A,0),8),""),"")</f>
        <v/>
      </c>
      <c r="L217">
        <f>IFERROR(IF(ISNUMBER(INDEX(SPPR!$E:$X,MATCH($A217,SPPR!$A:$A,0),9)),$C217*INDEX(SPPR!$E:$X,MATCH($A217,SPPR!$A:$A,0),9),""),"")</f>
        <v/>
      </c>
      <c r="M217">
        <f>IFERROR(IF(ISNUMBER(INDEX(SPPR!$E:$X,MATCH($A217,SPPR!$A:$A,0),10)),$C217*INDEX(SPPR!$E:$X,MATCH($A217,SPPR!$A:$A,0),10),""),"")</f>
        <v/>
      </c>
      <c r="N217">
        <f>IFERROR(IF(ISNUMBER(INDEX(SPPR!$E:$X,MATCH($A217,SPPR!$A:$A,0),11)),$C217*INDEX(SPPR!$E:$X,MATCH($A217,SPPR!$A:$A,0),11),""),"")</f>
        <v/>
      </c>
      <c r="O217">
        <f>IFERROR(IF(ISNUMBER(INDEX(SPPR!$E:$X,MATCH($A217,SPPR!$A:$A,0),12)),$C217*INDEX(SPPR!$E:$X,MATCH($A217,SPPR!$A:$A,0),12),""),"")</f>
        <v/>
      </c>
      <c r="P217">
        <f>IFERROR(IF(ISNUMBER(INDEX(SPPR!$E:$X,MATCH($A217,SPPR!$A:$A,0),13)),$C217*INDEX(SPPR!$E:$X,MATCH($A217,SPPR!$A:$A,0),13),""),"")</f>
        <v/>
      </c>
      <c r="Q217">
        <f>IFERROR(IF(ISNUMBER(INDEX(SPPR!$E:$X,MATCH($A217,SPPR!$A:$A,0),14)),$C217*INDEX(SPPR!$E:$X,MATCH($A217,SPPR!$A:$A,0),14),""),"")</f>
        <v/>
      </c>
      <c r="R217">
        <f>IFERROR(IF(ISNUMBER(INDEX(SPPR!$E:$X,MATCH($A217,SPPR!$A:$A,0),15)),$C217*INDEX(SPPR!$E:$X,MATCH($A217,SPPR!$A:$A,0),15),""),"")</f>
        <v/>
      </c>
      <c r="S217">
        <f>IFERROR(IF(ISNUMBER(INDEX(SPPR!$E:$X,MATCH($A217,SPPR!$A:$A,0),16)),$C217*INDEX(SPPR!$E:$X,MATCH($A217,SPPR!$A:$A,0),16),""),"")</f>
        <v/>
      </c>
      <c r="T217">
        <f>IFERROR(IF(ISNUMBER(INDEX(SPPR!$E:$X,MATCH($A217,SPPR!$A:$A,0),17)),$C217*INDEX(SPPR!$E:$X,MATCH($A217,SPPR!$A:$A,0),17),""),"")</f>
        <v/>
      </c>
      <c r="U217">
        <f>IFERROR(IF(ISNUMBER(INDEX(SPPR!$E:$X,MATCH($A217,SPPR!$A:$A,0),18)),$C217*INDEX(SPPR!$E:$X,MATCH($A217,SPPR!$A:$A,0),18),""),"")</f>
        <v/>
      </c>
      <c r="V217">
        <f>IFERROR(IF(ISNUMBER(INDEX(SPPR!$E:$X,MATCH($A217,SPPR!$A:$A,0),19)),$C217*INDEX(SPPR!$E:$X,MATCH($A217,SPPR!$A:$A,0),19),""),"")</f>
        <v/>
      </c>
      <c r="W217">
        <f>IFERROR(IF(ISNUMBER(INDEX(SPPR!$E:$X,MATCH($A217,SPPR!$A:$A,0),20)),$C217*INDEX(SPPR!$E:$X,MATCH($A217,SPPR!$A:$A,0),20),""),"")</f>
        <v/>
      </c>
    </row>
    <row r="218">
      <c r="A218" t="inlineStr">
        <is>
          <t>Dussumieria elopsoides</t>
        </is>
      </c>
      <c r="B218">
        <f>IFERROR(INDEX(SPPR!$D:$D,MATCH($A218,SPPR!$A:$A,0)),"")</f>
        <v/>
      </c>
      <c r="C218">
        <f>IFERROR(INDEX(Catch!$E:$BV,MATCH($A218,Catch!$A:$A,0),MATCH($B$4,Catch!$E$1:$BV$1,0)),0)</f>
        <v/>
      </c>
      <c r="D218">
        <f>IFERROR(IF(ISNUMBER(INDEX(SPPR!$E:$X,MATCH($A218,SPPR!$A:$A,0),1)),$C218*INDEX(SPPR!$E:$X,MATCH($A218,SPPR!$A:$A,0),1),""),"")</f>
        <v/>
      </c>
      <c r="E218">
        <f>IFERROR(IF(ISNUMBER(INDEX(SPPR!$E:$X,MATCH($A218,SPPR!$A:$A,0),2)),$C218*INDEX(SPPR!$E:$X,MATCH($A218,SPPR!$A:$A,0),2),""),"")</f>
        <v/>
      </c>
      <c r="F218">
        <f>IFERROR(IF(ISNUMBER(INDEX(SPPR!$E:$X,MATCH($A218,SPPR!$A:$A,0),3)),$C218*INDEX(SPPR!$E:$X,MATCH($A218,SPPR!$A:$A,0),3),""),"")</f>
        <v/>
      </c>
      <c r="G218">
        <f>IFERROR(IF(ISNUMBER(INDEX(SPPR!$E:$X,MATCH($A218,SPPR!$A:$A,0),4)),$C218*INDEX(SPPR!$E:$X,MATCH($A218,SPPR!$A:$A,0),4),""),"")</f>
        <v/>
      </c>
      <c r="H218">
        <f>IFERROR(IF(ISNUMBER(INDEX(SPPR!$E:$X,MATCH($A218,SPPR!$A:$A,0),5)),$C218*INDEX(SPPR!$E:$X,MATCH($A218,SPPR!$A:$A,0),5),""),"")</f>
        <v/>
      </c>
      <c r="I218">
        <f>IFERROR(IF(ISNUMBER(INDEX(SPPR!$E:$X,MATCH($A218,SPPR!$A:$A,0),6)),$C218*INDEX(SPPR!$E:$X,MATCH($A218,SPPR!$A:$A,0),6),""),"")</f>
        <v/>
      </c>
      <c r="J218">
        <f>IFERROR(IF(ISNUMBER(INDEX(SPPR!$E:$X,MATCH($A218,SPPR!$A:$A,0),7)),$C218*INDEX(SPPR!$E:$X,MATCH($A218,SPPR!$A:$A,0),7),""),"")</f>
        <v/>
      </c>
      <c r="K218">
        <f>IFERROR(IF(ISNUMBER(INDEX(SPPR!$E:$X,MATCH($A218,SPPR!$A:$A,0),8)),$C218*INDEX(SPPR!$E:$X,MATCH($A218,SPPR!$A:$A,0),8),""),"")</f>
        <v/>
      </c>
      <c r="L218">
        <f>IFERROR(IF(ISNUMBER(INDEX(SPPR!$E:$X,MATCH($A218,SPPR!$A:$A,0),9)),$C218*INDEX(SPPR!$E:$X,MATCH($A218,SPPR!$A:$A,0),9),""),"")</f>
        <v/>
      </c>
      <c r="M218">
        <f>IFERROR(IF(ISNUMBER(INDEX(SPPR!$E:$X,MATCH($A218,SPPR!$A:$A,0),10)),$C218*INDEX(SPPR!$E:$X,MATCH($A218,SPPR!$A:$A,0),10),""),"")</f>
        <v/>
      </c>
      <c r="N218">
        <f>IFERROR(IF(ISNUMBER(INDEX(SPPR!$E:$X,MATCH($A218,SPPR!$A:$A,0),11)),$C218*INDEX(SPPR!$E:$X,MATCH($A218,SPPR!$A:$A,0),11),""),"")</f>
        <v/>
      </c>
      <c r="O218">
        <f>IFERROR(IF(ISNUMBER(INDEX(SPPR!$E:$X,MATCH($A218,SPPR!$A:$A,0),12)),$C218*INDEX(SPPR!$E:$X,MATCH($A218,SPPR!$A:$A,0),12),""),"")</f>
        <v/>
      </c>
      <c r="P218">
        <f>IFERROR(IF(ISNUMBER(INDEX(SPPR!$E:$X,MATCH($A218,SPPR!$A:$A,0),13)),$C218*INDEX(SPPR!$E:$X,MATCH($A218,SPPR!$A:$A,0),13),""),"")</f>
        <v/>
      </c>
      <c r="Q218">
        <f>IFERROR(IF(ISNUMBER(INDEX(SPPR!$E:$X,MATCH($A218,SPPR!$A:$A,0),14)),$C218*INDEX(SPPR!$E:$X,MATCH($A218,SPPR!$A:$A,0),14),""),"")</f>
        <v/>
      </c>
      <c r="R218">
        <f>IFERROR(IF(ISNUMBER(INDEX(SPPR!$E:$X,MATCH($A218,SPPR!$A:$A,0),15)),$C218*INDEX(SPPR!$E:$X,MATCH($A218,SPPR!$A:$A,0),15),""),"")</f>
        <v/>
      </c>
      <c r="S218">
        <f>IFERROR(IF(ISNUMBER(INDEX(SPPR!$E:$X,MATCH($A218,SPPR!$A:$A,0),16)),$C218*INDEX(SPPR!$E:$X,MATCH($A218,SPPR!$A:$A,0),16),""),"")</f>
        <v/>
      </c>
      <c r="T218">
        <f>IFERROR(IF(ISNUMBER(INDEX(SPPR!$E:$X,MATCH($A218,SPPR!$A:$A,0),17)),$C218*INDEX(SPPR!$E:$X,MATCH($A218,SPPR!$A:$A,0),17),""),"")</f>
        <v/>
      </c>
      <c r="U218">
        <f>IFERROR(IF(ISNUMBER(INDEX(SPPR!$E:$X,MATCH($A218,SPPR!$A:$A,0),18)),$C218*INDEX(SPPR!$E:$X,MATCH($A218,SPPR!$A:$A,0),18),""),"")</f>
        <v/>
      </c>
      <c r="V218">
        <f>IFERROR(IF(ISNUMBER(INDEX(SPPR!$E:$X,MATCH($A218,SPPR!$A:$A,0),19)),$C218*INDEX(SPPR!$E:$X,MATCH($A218,SPPR!$A:$A,0),19),""),"")</f>
        <v/>
      </c>
      <c r="W218">
        <f>IFERROR(IF(ISNUMBER(INDEX(SPPR!$E:$X,MATCH($A218,SPPR!$A:$A,0),20)),$C218*INDEX(SPPR!$E:$X,MATCH($A218,SPPR!$A:$A,0),20),""),"")</f>
        <v/>
      </c>
    </row>
    <row r="219">
      <c r="A219" t="inlineStr">
        <is>
          <t>Chirocentrus dorab</t>
        </is>
      </c>
      <c r="B219">
        <f>IFERROR(INDEX(SPPR!$D:$D,MATCH($A219,SPPR!$A:$A,0)),"")</f>
        <v/>
      </c>
      <c r="C219">
        <f>IFERROR(INDEX(Catch!$E:$BV,MATCH($A219,Catch!$A:$A,0),MATCH($B$4,Catch!$E$1:$BV$1,0)),0)</f>
        <v/>
      </c>
      <c r="D219">
        <f>IFERROR(IF(ISNUMBER(INDEX(SPPR!$E:$X,MATCH($A219,SPPR!$A:$A,0),1)),$C219*INDEX(SPPR!$E:$X,MATCH($A219,SPPR!$A:$A,0),1),""),"")</f>
        <v/>
      </c>
      <c r="E219">
        <f>IFERROR(IF(ISNUMBER(INDEX(SPPR!$E:$X,MATCH($A219,SPPR!$A:$A,0),2)),$C219*INDEX(SPPR!$E:$X,MATCH($A219,SPPR!$A:$A,0),2),""),"")</f>
        <v/>
      </c>
      <c r="F219">
        <f>IFERROR(IF(ISNUMBER(INDEX(SPPR!$E:$X,MATCH($A219,SPPR!$A:$A,0),3)),$C219*INDEX(SPPR!$E:$X,MATCH($A219,SPPR!$A:$A,0),3),""),"")</f>
        <v/>
      </c>
      <c r="G219">
        <f>IFERROR(IF(ISNUMBER(INDEX(SPPR!$E:$X,MATCH($A219,SPPR!$A:$A,0),4)),$C219*INDEX(SPPR!$E:$X,MATCH($A219,SPPR!$A:$A,0),4),""),"")</f>
        <v/>
      </c>
      <c r="H219">
        <f>IFERROR(IF(ISNUMBER(INDEX(SPPR!$E:$X,MATCH($A219,SPPR!$A:$A,0),5)),$C219*INDEX(SPPR!$E:$X,MATCH($A219,SPPR!$A:$A,0),5),""),"")</f>
        <v/>
      </c>
      <c r="I219">
        <f>IFERROR(IF(ISNUMBER(INDEX(SPPR!$E:$X,MATCH($A219,SPPR!$A:$A,0),6)),$C219*INDEX(SPPR!$E:$X,MATCH($A219,SPPR!$A:$A,0),6),""),"")</f>
        <v/>
      </c>
      <c r="J219">
        <f>IFERROR(IF(ISNUMBER(INDEX(SPPR!$E:$X,MATCH($A219,SPPR!$A:$A,0),7)),$C219*INDEX(SPPR!$E:$X,MATCH($A219,SPPR!$A:$A,0),7),""),"")</f>
        <v/>
      </c>
      <c r="K219">
        <f>IFERROR(IF(ISNUMBER(INDEX(SPPR!$E:$X,MATCH($A219,SPPR!$A:$A,0),8)),$C219*INDEX(SPPR!$E:$X,MATCH($A219,SPPR!$A:$A,0),8),""),"")</f>
        <v/>
      </c>
      <c r="L219">
        <f>IFERROR(IF(ISNUMBER(INDEX(SPPR!$E:$X,MATCH($A219,SPPR!$A:$A,0),9)),$C219*INDEX(SPPR!$E:$X,MATCH($A219,SPPR!$A:$A,0),9),""),"")</f>
        <v/>
      </c>
      <c r="M219">
        <f>IFERROR(IF(ISNUMBER(INDEX(SPPR!$E:$X,MATCH($A219,SPPR!$A:$A,0),10)),$C219*INDEX(SPPR!$E:$X,MATCH($A219,SPPR!$A:$A,0),10),""),"")</f>
        <v/>
      </c>
      <c r="N219">
        <f>IFERROR(IF(ISNUMBER(INDEX(SPPR!$E:$X,MATCH($A219,SPPR!$A:$A,0),11)),$C219*INDEX(SPPR!$E:$X,MATCH($A219,SPPR!$A:$A,0),11),""),"")</f>
        <v/>
      </c>
      <c r="O219">
        <f>IFERROR(IF(ISNUMBER(INDEX(SPPR!$E:$X,MATCH($A219,SPPR!$A:$A,0),12)),$C219*INDEX(SPPR!$E:$X,MATCH($A219,SPPR!$A:$A,0),12),""),"")</f>
        <v/>
      </c>
      <c r="P219">
        <f>IFERROR(IF(ISNUMBER(INDEX(SPPR!$E:$X,MATCH($A219,SPPR!$A:$A,0),13)),$C219*INDEX(SPPR!$E:$X,MATCH($A219,SPPR!$A:$A,0),13),""),"")</f>
        <v/>
      </c>
      <c r="Q219">
        <f>IFERROR(IF(ISNUMBER(INDEX(SPPR!$E:$X,MATCH($A219,SPPR!$A:$A,0),14)),$C219*INDEX(SPPR!$E:$X,MATCH($A219,SPPR!$A:$A,0),14),""),"")</f>
        <v/>
      </c>
      <c r="R219">
        <f>IFERROR(IF(ISNUMBER(INDEX(SPPR!$E:$X,MATCH($A219,SPPR!$A:$A,0),15)),$C219*INDEX(SPPR!$E:$X,MATCH($A219,SPPR!$A:$A,0),15),""),"")</f>
        <v/>
      </c>
      <c r="S219">
        <f>IFERROR(IF(ISNUMBER(INDEX(SPPR!$E:$X,MATCH($A219,SPPR!$A:$A,0),16)),$C219*INDEX(SPPR!$E:$X,MATCH($A219,SPPR!$A:$A,0),16),""),"")</f>
        <v/>
      </c>
      <c r="T219">
        <f>IFERROR(IF(ISNUMBER(INDEX(SPPR!$E:$X,MATCH($A219,SPPR!$A:$A,0),17)),$C219*INDEX(SPPR!$E:$X,MATCH($A219,SPPR!$A:$A,0),17),""),"")</f>
        <v/>
      </c>
      <c r="U219">
        <f>IFERROR(IF(ISNUMBER(INDEX(SPPR!$E:$X,MATCH($A219,SPPR!$A:$A,0),18)),$C219*INDEX(SPPR!$E:$X,MATCH($A219,SPPR!$A:$A,0),18),""),"")</f>
        <v/>
      </c>
      <c r="V219">
        <f>IFERROR(IF(ISNUMBER(INDEX(SPPR!$E:$X,MATCH($A219,SPPR!$A:$A,0),19)),$C219*INDEX(SPPR!$E:$X,MATCH($A219,SPPR!$A:$A,0),19),""),"")</f>
        <v/>
      </c>
      <c r="W219">
        <f>IFERROR(IF(ISNUMBER(INDEX(SPPR!$E:$X,MATCH($A219,SPPR!$A:$A,0),20)),$C219*INDEX(SPPR!$E:$X,MATCH($A219,SPPR!$A:$A,0),20),""),"")</f>
        <v/>
      </c>
    </row>
    <row r="220">
      <c r="A220" t="inlineStr">
        <is>
          <t>Oratosquilla oratoria</t>
        </is>
      </c>
      <c r="B220">
        <f>IFERROR(INDEX(SPPR!$D:$D,MATCH($A220,SPPR!$A:$A,0)),"")</f>
        <v/>
      </c>
      <c r="C220">
        <f>IFERROR(INDEX(Catch!$E:$BV,MATCH($A220,Catch!$A:$A,0),MATCH($B$4,Catch!$E$1:$BV$1,0)),0)</f>
        <v/>
      </c>
      <c r="D220">
        <f>IFERROR(IF(ISNUMBER(INDEX(SPPR!$E:$X,MATCH($A220,SPPR!$A:$A,0),1)),$C220*INDEX(SPPR!$E:$X,MATCH($A220,SPPR!$A:$A,0),1),""),"")</f>
        <v/>
      </c>
      <c r="E220">
        <f>IFERROR(IF(ISNUMBER(INDEX(SPPR!$E:$X,MATCH($A220,SPPR!$A:$A,0),2)),$C220*INDEX(SPPR!$E:$X,MATCH($A220,SPPR!$A:$A,0),2),""),"")</f>
        <v/>
      </c>
      <c r="F220">
        <f>IFERROR(IF(ISNUMBER(INDEX(SPPR!$E:$X,MATCH($A220,SPPR!$A:$A,0),3)),$C220*INDEX(SPPR!$E:$X,MATCH($A220,SPPR!$A:$A,0),3),""),"")</f>
        <v/>
      </c>
      <c r="G220">
        <f>IFERROR(IF(ISNUMBER(INDEX(SPPR!$E:$X,MATCH($A220,SPPR!$A:$A,0),4)),$C220*INDEX(SPPR!$E:$X,MATCH($A220,SPPR!$A:$A,0),4),""),"")</f>
        <v/>
      </c>
      <c r="H220">
        <f>IFERROR(IF(ISNUMBER(INDEX(SPPR!$E:$X,MATCH($A220,SPPR!$A:$A,0),5)),$C220*INDEX(SPPR!$E:$X,MATCH($A220,SPPR!$A:$A,0),5),""),"")</f>
        <v/>
      </c>
      <c r="I220">
        <f>IFERROR(IF(ISNUMBER(INDEX(SPPR!$E:$X,MATCH($A220,SPPR!$A:$A,0),6)),$C220*INDEX(SPPR!$E:$X,MATCH($A220,SPPR!$A:$A,0),6),""),"")</f>
        <v/>
      </c>
      <c r="J220">
        <f>IFERROR(IF(ISNUMBER(INDEX(SPPR!$E:$X,MATCH($A220,SPPR!$A:$A,0),7)),$C220*INDEX(SPPR!$E:$X,MATCH($A220,SPPR!$A:$A,0),7),""),"")</f>
        <v/>
      </c>
      <c r="K220">
        <f>IFERROR(IF(ISNUMBER(INDEX(SPPR!$E:$X,MATCH($A220,SPPR!$A:$A,0),8)),$C220*INDEX(SPPR!$E:$X,MATCH($A220,SPPR!$A:$A,0),8),""),"")</f>
        <v/>
      </c>
      <c r="L220">
        <f>IFERROR(IF(ISNUMBER(INDEX(SPPR!$E:$X,MATCH($A220,SPPR!$A:$A,0),9)),$C220*INDEX(SPPR!$E:$X,MATCH($A220,SPPR!$A:$A,0),9),""),"")</f>
        <v/>
      </c>
      <c r="M220">
        <f>IFERROR(IF(ISNUMBER(INDEX(SPPR!$E:$X,MATCH($A220,SPPR!$A:$A,0),10)),$C220*INDEX(SPPR!$E:$X,MATCH($A220,SPPR!$A:$A,0),10),""),"")</f>
        <v/>
      </c>
      <c r="N220">
        <f>IFERROR(IF(ISNUMBER(INDEX(SPPR!$E:$X,MATCH($A220,SPPR!$A:$A,0),11)),$C220*INDEX(SPPR!$E:$X,MATCH($A220,SPPR!$A:$A,0),11),""),"")</f>
        <v/>
      </c>
      <c r="O220">
        <f>IFERROR(IF(ISNUMBER(INDEX(SPPR!$E:$X,MATCH($A220,SPPR!$A:$A,0),12)),$C220*INDEX(SPPR!$E:$X,MATCH($A220,SPPR!$A:$A,0),12),""),"")</f>
        <v/>
      </c>
      <c r="P220">
        <f>IFERROR(IF(ISNUMBER(INDEX(SPPR!$E:$X,MATCH($A220,SPPR!$A:$A,0),13)),$C220*INDEX(SPPR!$E:$X,MATCH($A220,SPPR!$A:$A,0),13),""),"")</f>
        <v/>
      </c>
      <c r="Q220">
        <f>IFERROR(IF(ISNUMBER(INDEX(SPPR!$E:$X,MATCH($A220,SPPR!$A:$A,0),14)),$C220*INDEX(SPPR!$E:$X,MATCH($A220,SPPR!$A:$A,0),14),""),"")</f>
        <v/>
      </c>
      <c r="R220">
        <f>IFERROR(IF(ISNUMBER(INDEX(SPPR!$E:$X,MATCH($A220,SPPR!$A:$A,0),15)),$C220*INDEX(SPPR!$E:$X,MATCH($A220,SPPR!$A:$A,0),15),""),"")</f>
        <v/>
      </c>
      <c r="S220">
        <f>IFERROR(IF(ISNUMBER(INDEX(SPPR!$E:$X,MATCH($A220,SPPR!$A:$A,0),16)),$C220*INDEX(SPPR!$E:$X,MATCH($A220,SPPR!$A:$A,0),16),""),"")</f>
        <v/>
      </c>
      <c r="T220">
        <f>IFERROR(IF(ISNUMBER(INDEX(SPPR!$E:$X,MATCH($A220,SPPR!$A:$A,0),17)),$C220*INDEX(SPPR!$E:$X,MATCH($A220,SPPR!$A:$A,0),17),""),"")</f>
        <v/>
      </c>
      <c r="U220">
        <f>IFERROR(IF(ISNUMBER(INDEX(SPPR!$E:$X,MATCH($A220,SPPR!$A:$A,0),18)),$C220*INDEX(SPPR!$E:$X,MATCH($A220,SPPR!$A:$A,0),18),""),"")</f>
        <v/>
      </c>
      <c r="V220">
        <f>IFERROR(IF(ISNUMBER(INDEX(SPPR!$E:$X,MATCH($A220,SPPR!$A:$A,0),19)),$C220*INDEX(SPPR!$E:$X,MATCH($A220,SPPR!$A:$A,0),19),""),"")</f>
        <v/>
      </c>
      <c r="W220">
        <f>IFERROR(IF(ISNUMBER(INDEX(SPPR!$E:$X,MATCH($A220,SPPR!$A:$A,0),20)),$C220*INDEX(SPPR!$E:$X,MATCH($A220,SPPR!$A:$A,0),20),""),"")</f>
        <v/>
      </c>
    </row>
    <row r="221">
      <c r="A221" t="inlineStr">
        <is>
          <t>Saurida</t>
        </is>
      </c>
      <c r="B221">
        <f>IFERROR(INDEX(SPPR!$D:$D,MATCH($A221,SPPR!$A:$A,0)),"")</f>
        <v/>
      </c>
      <c r="C221">
        <f>IFERROR(INDEX(Catch!$E:$BV,MATCH($A221,Catch!$A:$A,0),MATCH($B$4,Catch!$E$1:$BV$1,0)),0)</f>
        <v/>
      </c>
      <c r="D221">
        <f>IFERROR(IF(ISNUMBER(INDEX(SPPR!$E:$X,MATCH($A221,SPPR!$A:$A,0),1)),$C221*INDEX(SPPR!$E:$X,MATCH($A221,SPPR!$A:$A,0),1),""),"")</f>
        <v/>
      </c>
      <c r="E221">
        <f>IFERROR(IF(ISNUMBER(INDEX(SPPR!$E:$X,MATCH($A221,SPPR!$A:$A,0),2)),$C221*INDEX(SPPR!$E:$X,MATCH($A221,SPPR!$A:$A,0),2),""),"")</f>
        <v/>
      </c>
      <c r="F221">
        <f>IFERROR(IF(ISNUMBER(INDEX(SPPR!$E:$X,MATCH($A221,SPPR!$A:$A,0),3)),$C221*INDEX(SPPR!$E:$X,MATCH($A221,SPPR!$A:$A,0),3),""),"")</f>
        <v/>
      </c>
      <c r="G221">
        <f>IFERROR(IF(ISNUMBER(INDEX(SPPR!$E:$X,MATCH($A221,SPPR!$A:$A,0),4)),$C221*INDEX(SPPR!$E:$X,MATCH($A221,SPPR!$A:$A,0),4),""),"")</f>
        <v/>
      </c>
      <c r="H221">
        <f>IFERROR(IF(ISNUMBER(INDEX(SPPR!$E:$X,MATCH($A221,SPPR!$A:$A,0),5)),$C221*INDEX(SPPR!$E:$X,MATCH($A221,SPPR!$A:$A,0),5),""),"")</f>
        <v/>
      </c>
      <c r="I221">
        <f>IFERROR(IF(ISNUMBER(INDEX(SPPR!$E:$X,MATCH($A221,SPPR!$A:$A,0),6)),$C221*INDEX(SPPR!$E:$X,MATCH($A221,SPPR!$A:$A,0),6),""),"")</f>
        <v/>
      </c>
      <c r="J221">
        <f>IFERROR(IF(ISNUMBER(INDEX(SPPR!$E:$X,MATCH($A221,SPPR!$A:$A,0),7)),$C221*INDEX(SPPR!$E:$X,MATCH($A221,SPPR!$A:$A,0),7),""),"")</f>
        <v/>
      </c>
      <c r="K221">
        <f>IFERROR(IF(ISNUMBER(INDEX(SPPR!$E:$X,MATCH($A221,SPPR!$A:$A,0),8)),$C221*INDEX(SPPR!$E:$X,MATCH($A221,SPPR!$A:$A,0),8),""),"")</f>
        <v/>
      </c>
      <c r="L221">
        <f>IFERROR(IF(ISNUMBER(INDEX(SPPR!$E:$X,MATCH($A221,SPPR!$A:$A,0),9)),$C221*INDEX(SPPR!$E:$X,MATCH($A221,SPPR!$A:$A,0),9),""),"")</f>
        <v/>
      </c>
      <c r="M221">
        <f>IFERROR(IF(ISNUMBER(INDEX(SPPR!$E:$X,MATCH($A221,SPPR!$A:$A,0),10)),$C221*INDEX(SPPR!$E:$X,MATCH($A221,SPPR!$A:$A,0),10),""),"")</f>
        <v/>
      </c>
      <c r="N221">
        <f>IFERROR(IF(ISNUMBER(INDEX(SPPR!$E:$X,MATCH($A221,SPPR!$A:$A,0),11)),$C221*INDEX(SPPR!$E:$X,MATCH($A221,SPPR!$A:$A,0),11),""),"")</f>
        <v/>
      </c>
      <c r="O221">
        <f>IFERROR(IF(ISNUMBER(INDEX(SPPR!$E:$X,MATCH($A221,SPPR!$A:$A,0),12)),$C221*INDEX(SPPR!$E:$X,MATCH($A221,SPPR!$A:$A,0),12),""),"")</f>
        <v/>
      </c>
      <c r="P221">
        <f>IFERROR(IF(ISNUMBER(INDEX(SPPR!$E:$X,MATCH($A221,SPPR!$A:$A,0),13)),$C221*INDEX(SPPR!$E:$X,MATCH($A221,SPPR!$A:$A,0),13),""),"")</f>
        <v/>
      </c>
      <c r="Q221">
        <f>IFERROR(IF(ISNUMBER(INDEX(SPPR!$E:$X,MATCH($A221,SPPR!$A:$A,0),14)),$C221*INDEX(SPPR!$E:$X,MATCH($A221,SPPR!$A:$A,0),14),""),"")</f>
        <v/>
      </c>
      <c r="R221">
        <f>IFERROR(IF(ISNUMBER(INDEX(SPPR!$E:$X,MATCH($A221,SPPR!$A:$A,0),15)),$C221*INDEX(SPPR!$E:$X,MATCH($A221,SPPR!$A:$A,0),15),""),"")</f>
        <v/>
      </c>
      <c r="S221">
        <f>IFERROR(IF(ISNUMBER(INDEX(SPPR!$E:$X,MATCH($A221,SPPR!$A:$A,0),16)),$C221*INDEX(SPPR!$E:$X,MATCH($A221,SPPR!$A:$A,0),16),""),"")</f>
        <v/>
      </c>
      <c r="T221">
        <f>IFERROR(IF(ISNUMBER(INDEX(SPPR!$E:$X,MATCH($A221,SPPR!$A:$A,0),17)),$C221*INDEX(SPPR!$E:$X,MATCH($A221,SPPR!$A:$A,0),17),""),"")</f>
        <v/>
      </c>
      <c r="U221">
        <f>IFERROR(IF(ISNUMBER(INDEX(SPPR!$E:$X,MATCH($A221,SPPR!$A:$A,0),18)),$C221*INDEX(SPPR!$E:$X,MATCH($A221,SPPR!$A:$A,0),18),""),"")</f>
        <v/>
      </c>
      <c r="V221">
        <f>IFERROR(IF(ISNUMBER(INDEX(SPPR!$E:$X,MATCH($A221,SPPR!$A:$A,0),19)),$C221*INDEX(SPPR!$E:$X,MATCH($A221,SPPR!$A:$A,0),19),""),"")</f>
        <v/>
      </c>
      <c r="W221">
        <f>IFERROR(IF(ISNUMBER(INDEX(SPPR!$E:$X,MATCH($A221,SPPR!$A:$A,0),20)),$C221*INDEX(SPPR!$E:$X,MATCH($A221,SPPR!$A:$A,0),20),""),"")</f>
        <v/>
      </c>
    </row>
    <row r="222">
      <c r="A222" t="inlineStr">
        <is>
          <t>Stolephorus</t>
        </is>
      </c>
      <c r="B222">
        <f>IFERROR(INDEX(SPPR!$D:$D,MATCH($A222,SPPR!$A:$A,0)),"")</f>
        <v/>
      </c>
      <c r="C222">
        <f>IFERROR(INDEX(Catch!$E:$BV,MATCH($A222,Catch!$A:$A,0),MATCH($B$4,Catch!$E$1:$BV$1,0)),0)</f>
        <v/>
      </c>
      <c r="D222">
        <f>IFERROR(IF(ISNUMBER(INDEX(SPPR!$E:$X,MATCH($A222,SPPR!$A:$A,0),1)),$C222*INDEX(SPPR!$E:$X,MATCH($A222,SPPR!$A:$A,0),1),""),"")</f>
        <v/>
      </c>
      <c r="E222">
        <f>IFERROR(IF(ISNUMBER(INDEX(SPPR!$E:$X,MATCH($A222,SPPR!$A:$A,0),2)),$C222*INDEX(SPPR!$E:$X,MATCH($A222,SPPR!$A:$A,0),2),""),"")</f>
        <v/>
      </c>
      <c r="F222">
        <f>IFERROR(IF(ISNUMBER(INDEX(SPPR!$E:$X,MATCH($A222,SPPR!$A:$A,0),3)),$C222*INDEX(SPPR!$E:$X,MATCH($A222,SPPR!$A:$A,0),3),""),"")</f>
        <v/>
      </c>
      <c r="G222">
        <f>IFERROR(IF(ISNUMBER(INDEX(SPPR!$E:$X,MATCH($A222,SPPR!$A:$A,0),4)),$C222*INDEX(SPPR!$E:$X,MATCH($A222,SPPR!$A:$A,0),4),""),"")</f>
        <v/>
      </c>
      <c r="H222">
        <f>IFERROR(IF(ISNUMBER(INDEX(SPPR!$E:$X,MATCH($A222,SPPR!$A:$A,0),5)),$C222*INDEX(SPPR!$E:$X,MATCH($A222,SPPR!$A:$A,0),5),""),"")</f>
        <v/>
      </c>
      <c r="I222">
        <f>IFERROR(IF(ISNUMBER(INDEX(SPPR!$E:$X,MATCH($A222,SPPR!$A:$A,0),6)),$C222*INDEX(SPPR!$E:$X,MATCH($A222,SPPR!$A:$A,0),6),""),"")</f>
        <v/>
      </c>
      <c r="J222">
        <f>IFERROR(IF(ISNUMBER(INDEX(SPPR!$E:$X,MATCH($A222,SPPR!$A:$A,0),7)),$C222*INDEX(SPPR!$E:$X,MATCH($A222,SPPR!$A:$A,0),7),""),"")</f>
        <v/>
      </c>
      <c r="K222">
        <f>IFERROR(IF(ISNUMBER(INDEX(SPPR!$E:$X,MATCH($A222,SPPR!$A:$A,0),8)),$C222*INDEX(SPPR!$E:$X,MATCH($A222,SPPR!$A:$A,0),8),""),"")</f>
        <v/>
      </c>
      <c r="L222">
        <f>IFERROR(IF(ISNUMBER(INDEX(SPPR!$E:$X,MATCH($A222,SPPR!$A:$A,0),9)),$C222*INDEX(SPPR!$E:$X,MATCH($A222,SPPR!$A:$A,0),9),""),"")</f>
        <v/>
      </c>
      <c r="M222">
        <f>IFERROR(IF(ISNUMBER(INDEX(SPPR!$E:$X,MATCH($A222,SPPR!$A:$A,0),10)),$C222*INDEX(SPPR!$E:$X,MATCH($A222,SPPR!$A:$A,0),10),""),"")</f>
        <v/>
      </c>
      <c r="N222">
        <f>IFERROR(IF(ISNUMBER(INDEX(SPPR!$E:$X,MATCH($A222,SPPR!$A:$A,0),11)),$C222*INDEX(SPPR!$E:$X,MATCH($A222,SPPR!$A:$A,0),11),""),"")</f>
        <v/>
      </c>
      <c r="O222">
        <f>IFERROR(IF(ISNUMBER(INDEX(SPPR!$E:$X,MATCH($A222,SPPR!$A:$A,0),12)),$C222*INDEX(SPPR!$E:$X,MATCH($A222,SPPR!$A:$A,0),12),""),"")</f>
        <v/>
      </c>
      <c r="P222">
        <f>IFERROR(IF(ISNUMBER(INDEX(SPPR!$E:$X,MATCH($A222,SPPR!$A:$A,0),13)),$C222*INDEX(SPPR!$E:$X,MATCH($A222,SPPR!$A:$A,0),13),""),"")</f>
        <v/>
      </c>
      <c r="Q222">
        <f>IFERROR(IF(ISNUMBER(INDEX(SPPR!$E:$X,MATCH($A222,SPPR!$A:$A,0),14)),$C222*INDEX(SPPR!$E:$X,MATCH($A222,SPPR!$A:$A,0),14),""),"")</f>
        <v/>
      </c>
      <c r="R222">
        <f>IFERROR(IF(ISNUMBER(INDEX(SPPR!$E:$X,MATCH($A222,SPPR!$A:$A,0),15)),$C222*INDEX(SPPR!$E:$X,MATCH($A222,SPPR!$A:$A,0),15),""),"")</f>
        <v/>
      </c>
      <c r="S222">
        <f>IFERROR(IF(ISNUMBER(INDEX(SPPR!$E:$X,MATCH($A222,SPPR!$A:$A,0),16)),$C222*INDEX(SPPR!$E:$X,MATCH($A222,SPPR!$A:$A,0),16),""),"")</f>
        <v/>
      </c>
      <c r="T222">
        <f>IFERROR(IF(ISNUMBER(INDEX(SPPR!$E:$X,MATCH($A222,SPPR!$A:$A,0),17)),$C222*INDEX(SPPR!$E:$X,MATCH($A222,SPPR!$A:$A,0),17),""),"")</f>
        <v/>
      </c>
      <c r="U222">
        <f>IFERROR(IF(ISNUMBER(INDEX(SPPR!$E:$X,MATCH($A222,SPPR!$A:$A,0),18)),$C222*INDEX(SPPR!$E:$X,MATCH($A222,SPPR!$A:$A,0),18),""),"")</f>
        <v/>
      </c>
      <c r="V222">
        <f>IFERROR(IF(ISNUMBER(INDEX(SPPR!$E:$X,MATCH($A222,SPPR!$A:$A,0),19)),$C222*INDEX(SPPR!$E:$X,MATCH($A222,SPPR!$A:$A,0),19),""),"")</f>
        <v/>
      </c>
      <c r="W222">
        <f>IFERROR(IF(ISNUMBER(INDEX(SPPR!$E:$X,MATCH($A222,SPPR!$A:$A,0),20)),$C222*INDEX(SPPR!$E:$X,MATCH($A222,SPPR!$A:$A,0),20),""),"")</f>
        <v/>
      </c>
    </row>
    <row r="223">
      <c r="A223" t="inlineStr">
        <is>
          <t>Sphyraena</t>
        </is>
      </c>
      <c r="B223">
        <f>IFERROR(INDEX(SPPR!$D:$D,MATCH($A223,SPPR!$A:$A,0)),"")</f>
        <v/>
      </c>
      <c r="C223">
        <f>IFERROR(INDEX(Catch!$E:$BV,MATCH($A223,Catch!$A:$A,0),MATCH($B$4,Catch!$E$1:$BV$1,0)),0)</f>
        <v/>
      </c>
      <c r="D223">
        <f>IFERROR(IF(ISNUMBER(INDEX(SPPR!$E:$X,MATCH($A223,SPPR!$A:$A,0),1)),$C223*INDEX(SPPR!$E:$X,MATCH($A223,SPPR!$A:$A,0),1),""),"")</f>
        <v/>
      </c>
      <c r="E223">
        <f>IFERROR(IF(ISNUMBER(INDEX(SPPR!$E:$X,MATCH($A223,SPPR!$A:$A,0),2)),$C223*INDEX(SPPR!$E:$X,MATCH($A223,SPPR!$A:$A,0),2),""),"")</f>
        <v/>
      </c>
      <c r="F223">
        <f>IFERROR(IF(ISNUMBER(INDEX(SPPR!$E:$X,MATCH($A223,SPPR!$A:$A,0),3)),$C223*INDEX(SPPR!$E:$X,MATCH($A223,SPPR!$A:$A,0),3),""),"")</f>
        <v/>
      </c>
      <c r="G223">
        <f>IFERROR(IF(ISNUMBER(INDEX(SPPR!$E:$X,MATCH($A223,SPPR!$A:$A,0),4)),$C223*INDEX(SPPR!$E:$X,MATCH($A223,SPPR!$A:$A,0),4),""),"")</f>
        <v/>
      </c>
      <c r="H223">
        <f>IFERROR(IF(ISNUMBER(INDEX(SPPR!$E:$X,MATCH($A223,SPPR!$A:$A,0),5)),$C223*INDEX(SPPR!$E:$X,MATCH($A223,SPPR!$A:$A,0),5),""),"")</f>
        <v/>
      </c>
      <c r="I223">
        <f>IFERROR(IF(ISNUMBER(INDEX(SPPR!$E:$X,MATCH($A223,SPPR!$A:$A,0),6)),$C223*INDEX(SPPR!$E:$X,MATCH($A223,SPPR!$A:$A,0),6),""),"")</f>
        <v/>
      </c>
      <c r="J223">
        <f>IFERROR(IF(ISNUMBER(INDEX(SPPR!$E:$X,MATCH($A223,SPPR!$A:$A,0),7)),$C223*INDEX(SPPR!$E:$X,MATCH($A223,SPPR!$A:$A,0),7),""),"")</f>
        <v/>
      </c>
      <c r="K223">
        <f>IFERROR(IF(ISNUMBER(INDEX(SPPR!$E:$X,MATCH($A223,SPPR!$A:$A,0),8)),$C223*INDEX(SPPR!$E:$X,MATCH($A223,SPPR!$A:$A,0),8),""),"")</f>
        <v/>
      </c>
      <c r="L223">
        <f>IFERROR(IF(ISNUMBER(INDEX(SPPR!$E:$X,MATCH($A223,SPPR!$A:$A,0),9)),$C223*INDEX(SPPR!$E:$X,MATCH($A223,SPPR!$A:$A,0),9),""),"")</f>
        <v/>
      </c>
      <c r="M223">
        <f>IFERROR(IF(ISNUMBER(INDEX(SPPR!$E:$X,MATCH($A223,SPPR!$A:$A,0),10)),$C223*INDEX(SPPR!$E:$X,MATCH($A223,SPPR!$A:$A,0),10),""),"")</f>
        <v/>
      </c>
      <c r="N223">
        <f>IFERROR(IF(ISNUMBER(INDEX(SPPR!$E:$X,MATCH($A223,SPPR!$A:$A,0),11)),$C223*INDEX(SPPR!$E:$X,MATCH($A223,SPPR!$A:$A,0),11),""),"")</f>
        <v/>
      </c>
      <c r="O223">
        <f>IFERROR(IF(ISNUMBER(INDEX(SPPR!$E:$X,MATCH($A223,SPPR!$A:$A,0),12)),$C223*INDEX(SPPR!$E:$X,MATCH($A223,SPPR!$A:$A,0),12),""),"")</f>
        <v/>
      </c>
      <c r="P223">
        <f>IFERROR(IF(ISNUMBER(INDEX(SPPR!$E:$X,MATCH($A223,SPPR!$A:$A,0),13)),$C223*INDEX(SPPR!$E:$X,MATCH($A223,SPPR!$A:$A,0),13),""),"")</f>
        <v/>
      </c>
      <c r="Q223">
        <f>IFERROR(IF(ISNUMBER(INDEX(SPPR!$E:$X,MATCH($A223,SPPR!$A:$A,0),14)),$C223*INDEX(SPPR!$E:$X,MATCH($A223,SPPR!$A:$A,0),14),""),"")</f>
        <v/>
      </c>
      <c r="R223">
        <f>IFERROR(IF(ISNUMBER(INDEX(SPPR!$E:$X,MATCH($A223,SPPR!$A:$A,0),15)),$C223*INDEX(SPPR!$E:$X,MATCH($A223,SPPR!$A:$A,0),15),""),"")</f>
        <v/>
      </c>
      <c r="S223">
        <f>IFERROR(IF(ISNUMBER(INDEX(SPPR!$E:$X,MATCH($A223,SPPR!$A:$A,0),16)),$C223*INDEX(SPPR!$E:$X,MATCH($A223,SPPR!$A:$A,0),16),""),"")</f>
        <v/>
      </c>
      <c r="T223">
        <f>IFERROR(IF(ISNUMBER(INDEX(SPPR!$E:$X,MATCH($A223,SPPR!$A:$A,0),17)),$C223*INDEX(SPPR!$E:$X,MATCH($A223,SPPR!$A:$A,0),17),""),"")</f>
        <v/>
      </c>
      <c r="U223">
        <f>IFERROR(IF(ISNUMBER(INDEX(SPPR!$E:$X,MATCH($A223,SPPR!$A:$A,0),18)),$C223*INDEX(SPPR!$E:$X,MATCH($A223,SPPR!$A:$A,0),18),""),"")</f>
        <v/>
      </c>
      <c r="V223">
        <f>IFERROR(IF(ISNUMBER(INDEX(SPPR!$E:$X,MATCH($A223,SPPR!$A:$A,0),19)),$C223*INDEX(SPPR!$E:$X,MATCH($A223,SPPR!$A:$A,0),19),""),"")</f>
        <v/>
      </c>
      <c r="W223">
        <f>IFERROR(IF(ISNUMBER(INDEX(SPPR!$E:$X,MATCH($A223,SPPR!$A:$A,0),20)),$C223*INDEX(SPPR!$E:$X,MATCH($A223,SPPR!$A:$A,0),20),""),"")</f>
        <v/>
      </c>
    </row>
    <row r="224">
      <c r="A224" t="inlineStr">
        <is>
          <t>Rapana</t>
        </is>
      </c>
      <c r="B224">
        <f>IFERROR(INDEX(SPPR!$D:$D,MATCH($A224,SPPR!$A:$A,0)),"")</f>
        <v/>
      </c>
      <c r="C224">
        <f>IFERROR(INDEX(Catch!$E:$BV,MATCH($A224,Catch!$A:$A,0),MATCH($B$4,Catch!$E$1:$BV$1,0)),0)</f>
        <v/>
      </c>
      <c r="D224">
        <f>IFERROR(IF(ISNUMBER(INDEX(SPPR!$E:$X,MATCH($A224,SPPR!$A:$A,0),1)),$C224*INDEX(SPPR!$E:$X,MATCH($A224,SPPR!$A:$A,0),1),""),"")</f>
        <v/>
      </c>
      <c r="E224">
        <f>IFERROR(IF(ISNUMBER(INDEX(SPPR!$E:$X,MATCH($A224,SPPR!$A:$A,0),2)),$C224*INDEX(SPPR!$E:$X,MATCH($A224,SPPR!$A:$A,0),2),""),"")</f>
        <v/>
      </c>
      <c r="F224">
        <f>IFERROR(IF(ISNUMBER(INDEX(SPPR!$E:$X,MATCH($A224,SPPR!$A:$A,0),3)),$C224*INDEX(SPPR!$E:$X,MATCH($A224,SPPR!$A:$A,0),3),""),"")</f>
        <v/>
      </c>
      <c r="G224">
        <f>IFERROR(IF(ISNUMBER(INDEX(SPPR!$E:$X,MATCH($A224,SPPR!$A:$A,0),4)),$C224*INDEX(SPPR!$E:$X,MATCH($A224,SPPR!$A:$A,0),4),""),"")</f>
        <v/>
      </c>
      <c r="H224">
        <f>IFERROR(IF(ISNUMBER(INDEX(SPPR!$E:$X,MATCH($A224,SPPR!$A:$A,0),5)),$C224*INDEX(SPPR!$E:$X,MATCH($A224,SPPR!$A:$A,0),5),""),"")</f>
        <v/>
      </c>
      <c r="I224">
        <f>IFERROR(IF(ISNUMBER(INDEX(SPPR!$E:$X,MATCH($A224,SPPR!$A:$A,0),6)),$C224*INDEX(SPPR!$E:$X,MATCH($A224,SPPR!$A:$A,0),6),""),"")</f>
        <v/>
      </c>
      <c r="J224">
        <f>IFERROR(IF(ISNUMBER(INDEX(SPPR!$E:$X,MATCH($A224,SPPR!$A:$A,0),7)),$C224*INDEX(SPPR!$E:$X,MATCH($A224,SPPR!$A:$A,0),7),""),"")</f>
        <v/>
      </c>
      <c r="K224">
        <f>IFERROR(IF(ISNUMBER(INDEX(SPPR!$E:$X,MATCH($A224,SPPR!$A:$A,0),8)),$C224*INDEX(SPPR!$E:$X,MATCH($A224,SPPR!$A:$A,0),8),""),"")</f>
        <v/>
      </c>
      <c r="L224">
        <f>IFERROR(IF(ISNUMBER(INDEX(SPPR!$E:$X,MATCH($A224,SPPR!$A:$A,0),9)),$C224*INDEX(SPPR!$E:$X,MATCH($A224,SPPR!$A:$A,0),9),""),"")</f>
        <v/>
      </c>
      <c r="M224">
        <f>IFERROR(IF(ISNUMBER(INDEX(SPPR!$E:$X,MATCH($A224,SPPR!$A:$A,0),10)),$C224*INDEX(SPPR!$E:$X,MATCH($A224,SPPR!$A:$A,0),10),""),"")</f>
        <v/>
      </c>
      <c r="N224">
        <f>IFERROR(IF(ISNUMBER(INDEX(SPPR!$E:$X,MATCH($A224,SPPR!$A:$A,0),11)),$C224*INDEX(SPPR!$E:$X,MATCH($A224,SPPR!$A:$A,0),11),""),"")</f>
        <v/>
      </c>
      <c r="O224">
        <f>IFERROR(IF(ISNUMBER(INDEX(SPPR!$E:$X,MATCH($A224,SPPR!$A:$A,0),12)),$C224*INDEX(SPPR!$E:$X,MATCH($A224,SPPR!$A:$A,0),12),""),"")</f>
        <v/>
      </c>
      <c r="P224">
        <f>IFERROR(IF(ISNUMBER(INDEX(SPPR!$E:$X,MATCH($A224,SPPR!$A:$A,0),13)),$C224*INDEX(SPPR!$E:$X,MATCH($A224,SPPR!$A:$A,0),13),""),"")</f>
        <v/>
      </c>
      <c r="Q224">
        <f>IFERROR(IF(ISNUMBER(INDEX(SPPR!$E:$X,MATCH($A224,SPPR!$A:$A,0),14)),$C224*INDEX(SPPR!$E:$X,MATCH($A224,SPPR!$A:$A,0),14),""),"")</f>
        <v/>
      </c>
      <c r="R224">
        <f>IFERROR(IF(ISNUMBER(INDEX(SPPR!$E:$X,MATCH($A224,SPPR!$A:$A,0),15)),$C224*INDEX(SPPR!$E:$X,MATCH($A224,SPPR!$A:$A,0),15),""),"")</f>
        <v/>
      </c>
      <c r="S224">
        <f>IFERROR(IF(ISNUMBER(INDEX(SPPR!$E:$X,MATCH($A224,SPPR!$A:$A,0),16)),$C224*INDEX(SPPR!$E:$X,MATCH($A224,SPPR!$A:$A,0),16),""),"")</f>
        <v/>
      </c>
      <c r="T224">
        <f>IFERROR(IF(ISNUMBER(INDEX(SPPR!$E:$X,MATCH($A224,SPPR!$A:$A,0),17)),$C224*INDEX(SPPR!$E:$X,MATCH($A224,SPPR!$A:$A,0),17),""),"")</f>
        <v/>
      </c>
      <c r="U224">
        <f>IFERROR(IF(ISNUMBER(INDEX(SPPR!$E:$X,MATCH($A224,SPPR!$A:$A,0),18)),$C224*INDEX(SPPR!$E:$X,MATCH($A224,SPPR!$A:$A,0),18),""),"")</f>
        <v/>
      </c>
      <c r="V224">
        <f>IFERROR(IF(ISNUMBER(INDEX(SPPR!$E:$X,MATCH($A224,SPPR!$A:$A,0),19)),$C224*INDEX(SPPR!$E:$X,MATCH($A224,SPPR!$A:$A,0),19),""),"")</f>
        <v/>
      </c>
      <c r="W224">
        <f>IFERROR(IF(ISNUMBER(INDEX(SPPR!$E:$X,MATCH($A224,SPPR!$A:$A,0),20)),$C224*INDEX(SPPR!$E:$X,MATCH($A224,SPPR!$A:$A,0),20),""),"")</f>
        <v/>
      </c>
    </row>
    <row r="225">
      <c r="A225" t="inlineStr">
        <is>
          <t>Sphyraenidae</t>
        </is>
      </c>
      <c r="B225">
        <f>IFERROR(INDEX(SPPR!$D:$D,MATCH($A225,SPPR!$A:$A,0)),"")</f>
        <v/>
      </c>
      <c r="C225">
        <f>IFERROR(INDEX(Catch!$E:$BV,MATCH($A225,Catch!$A:$A,0),MATCH($B$4,Catch!$E$1:$BV$1,0)),0)</f>
        <v/>
      </c>
      <c r="D225">
        <f>IFERROR(IF(ISNUMBER(INDEX(SPPR!$E:$X,MATCH($A225,SPPR!$A:$A,0),1)),$C225*INDEX(SPPR!$E:$X,MATCH($A225,SPPR!$A:$A,0),1),""),"")</f>
        <v/>
      </c>
      <c r="E225">
        <f>IFERROR(IF(ISNUMBER(INDEX(SPPR!$E:$X,MATCH($A225,SPPR!$A:$A,0),2)),$C225*INDEX(SPPR!$E:$X,MATCH($A225,SPPR!$A:$A,0),2),""),"")</f>
        <v/>
      </c>
      <c r="F225">
        <f>IFERROR(IF(ISNUMBER(INDEX(SPPR!$E:$X,MATCH($A225,SPPR!$A:$A,0),3)),$C225*INDEX(SPPR!$E:$X,MATCH($A225,SPPR!$A:$A,0),3),""),"")</f>
        <v/>
      </c>
      <c r="G225">
        <f>IFERROR(IF(ISNUMBER(INDEX(SPPR!$E:$X,MATCH($A225,SPPR!$A:$A,0),4)),$C225*INDEX(SPPR!$E:$X,MATCH($A225,SPPR!$A:$A,0),4),""),"")</f>
        <v/>
      </c>
      <c r="H225">
        <f>IFERROR(IF(ISNUMBER(INDEX(SPPR!$E:$X,MATCH($A225,SPPR!$A:$A,0),5)),$C225*INDEX(SPPR!$E:$X,MATCH($A225,SPPR!$A:$A,0),5),""),"")</f>
        <v/>
      </c>
      <c r="I225">
        <f>IFERROR(IF(ISNUMBER(INDEX(SPPR!$E:$X,MATCH($A225,SPPR!$A:$A,0),6)),$C225*INDEX(SPPR!$E:$X,MATCH($A225,SPPR!$A:$A,0),6),""),"")</f>
        <v/>
      </c>
      <c r="J225">
        <f>IFERROR(IF(ISNUMBER(INDEX(SPPR!$E:$X,MATCH($A225,SPPR!$A:$A,0),7)),$C225*INDEX(SPPR!$E:$X,MATCH($A225,SPPR!$A:$A,0),7),""),"")</f>
        <v/>
      </c>
      <c r="K225">
        <f>IFERROR(IF(ISNUMBER(INDEX(SPPR!$E:$X,MATCH($A225,SPPR!$A:$A,0),8)),$C225*INDEX(SPPR!$E:$X,MATCH($A225,SPPR!$A:$A,0),8),""),"")</f>
        <v/>
      </c>
      <c r="L225">
        <f>IFERROR(IF(ISNUMBER(INDEX(SPPR!$E:$X,MATCH($A225,SPPR!$A:$A,0),9)),$C225*INDEX(SPPR!$E:$X,MATCH($A225,SPPR!$A:$A,0),9),""),"")</f>
        <v/>
      </c>
      <c r="M225">
        <f>IFERROR(IF(ISNUMBER(INDEX(SPPR!$E:$X,MATCH($A225,SPPR!$A:$A,0),10)),$C225*INDEX(SPPR!$E:$X,MATCH($A225,SPPR!$A:$A,0),10),""),"")</f>
        <v/>
      </c>
      <c r="N225">
        <f>IFERROR(IF(ISNUMBER(INDEX(SPPR!$E:$X,MATCH($A225,SPPR!$A:$A,0),11)),$C225*INDEX(SPPR!$E:$X,MATCH($A225,SPPR!$A:$A,0),11),""),"")</f>
        <v/>
      </c>
      <c r="O225">
        <f>IFERROR(IF(ISNUMBER(INDEX(SPPR!$E:$X,MATCH($A225,SPPR!$A:$A,0),12)),$C225*INDEX(SPPR!$E:$X,MATCH($A225,SPPR!$A:$A,0),12),""),"")</f>
        <v/>
      </c>
      <c r="P225">
        <f>IFERROR(IF(ISNUMBER(INDEX(SPPR!$E:$X,MATCH($A225,SPPR!$A:$A,0),13)),$C225*INDEX(SPPR!$E:$X,MATCH($A225,SPPR!$A:$A,0),13),""),"")</f>
        <v/>
      </c>
      <c r="Q225">
        <f>IFERROR(IF(ISNUMBER(INDEX(SPPR!$E:$X,MATCH($A225,SPPR!$A:$A,0),14)),$C225*INDEX(SPPR!$E:$X,MATCH($A225,SPPR!$A:$A,0),14),""),"")</f>
        <v/>
      </c>
      <c r="R225">
        <f>IFERROR(IF(ISNUMBER(INDEX(SPPR!$E:$X,MATCH($A225,SPPR!$A:$A,0),15)),$C225*INDEX(SPPR!$E:$X,MATCH($A225,SPPR!$A:$A,0),15),""),"")</f>
        <v/>
      </c>
      <c r="S225">
        <f>IFERROR(IF(ISNUMBER(INDEX(SPPR!$E:$X,MATCH($A225,SPPR!$A:$A,0),16)),$C225*INDEX(SPPR!$E:$X,MATCH($A225,SPPR!$A:$A,0),16),""),"")</f>
        <v/>
      </c>
      <c r="T225">
        <f>IFERROR(IF(ISNUMBER(INDEX(SPPR!$E:$X,MATCH($A225,SPPR!$A:$A,0),17)),$C225*INDEX(SPPR!$E:$X,MATCH($A225,SPPR!$A:$A,0),17),""),"")</f>
        <v/>
      </c>
      <c r="U225">
        <f>IFERROR(IF(ISNUMBER(INDEX(SPPR!$E:$X,MATCH($A225,SPPR!$A:$A,0),18)),$C225*INDEX(SPPR!$E:$X,MATCH($A225,SPPR!$A:$A,0),18),""),"")</f>
        <v/>
      </c>
      <c r="V225">
        <f>IFERROR(IF(ISNUMBER(INDEX(SPPR!$E:$X,MATCH($A225,SPPR!$A:$A,0),19)),$C225*INDEX(SPPR!$E:$X,MATCH($A225,SPPR!$A:$A,0),19),""),"")</f>
        <v/>
      </c>
      <c r="W225">
        <f>IFERROR(IF(ISNUMBER(INDEX(SPPR!$E:$X,MATCH($A225,SPPR!$A:$A,0),20)),$C225*INDEX(SPPR!$E:$X,MATCH($A225,SPPR!$A:$A,0),20),""),"")</f>
        <v/>
      </c>
    </row>
    <row r="226">
      <c r="A226" t="inlineStr">
        <is>
          <t>Pseudopleuronectes herzensteini</t>
        </is>
      </c>
      <c r="B226">
        <f>IFERROR(INDEX(SPPR!$D:$D,MATCH($A226,SPPR!$A:$A,0)),"")</f>
        <v/>
      </c>
      <c r="C226">
        <f>IFERROR(INDEX(Catch!$E:$BV,MATCH($A226,Catch!$A:$A,0),MATCH($B$4,Catch!$E$1:$BV$1,0)),0)</f>
        <v/>
      </c>
      <c r="D226">
        <f>IFERROR(IF(ISNUMBER(INDEX(SPPR!$E:$X,MATCH($A226,SPPR!$A:$A,0),1)),$C226*INDEX(SPPR!$E:$X,MATCH($A226,SPPR!$A:$A,0),1),""),"")</f>
        <v/>
      </c>
      <c r="E226">
        <f>IFERROR(IF(ISNUMBER(INDEX(SPPR!$E:$X,MATCH($A226,SPPR!$A:$A,0),2)),$C226*INDEX(SPPR!$E:$X,MATCH($A226,SPPR!$A:$A,0),2),""),"")</f>
        <v/>
      </c>
      <c r="F226">
        <f>IFERROR(IF(ISNUMBER(INDEX(SPPR!$E:$X,MATCH($A226,SPPR!$A:$A,0),3)),$C226*INDEX(SPPR!$E:$X,MATCH($A226,SPPR!$A:$A,0),3),""),"")</f>
        <v/>
      </c>
      <c r="G226">
        <f>IFERROR(IF(ISNUMBER(INDEX(SPPR!$E:$X,MATCH($A226,SPPR!$A:$A,0),4)),$C226*INDEX(SPPR!$E:$X,MATCH($A226,SPPR!$A:$A,0),4),""),"")</f>
        <v/>
      </c>
      <c r="H226">
        <f>IFERROR(IF(ISNUMBER(INDEX(SPPR!$E:$X,MATCH($A226,SPPR!$A:$A,0),5)),$C226*INDEX(SPPR!$E:$X,MATCH($A226,SPPR!$A:$A,0),5),""),"")</f>
        <v/>
      </c>
      <c r="I226">
        <f>IFERROR(IF(ISNUMBER(INDEX(SPPR!$E:$X,MATCH($A226,SPPR!$A:$A,0),6)),$C226*INDEX(SPPR!$E:$X,MATCH($A226,SPPR!$A:$A,0),6),""),"")</f>
        <v/>
      </c>
      <c r="J226">
        <f>IFERROR(IF(ISNUMBER(INDEX(SPPR!$E:$X,MATCH($A226,SPPR!$A:$A,0),7)),$C226*INDEX(SPPR!$E:$X,MATCH($A226,SPPR!$A:$A,0),7),""),"")</f>
        <v/>
      </c>
      <c r="K226">
        <f>IFERROR(IF(ISNUMBER(INDEX(SPPR!$E:$X,MATCH($A226,SPPR!$A:$A,0),8)),$C226*INDEX(SPPR!$E:$X,MATCH($A226,SPPR!$A:$A,0),8),""),"")</f>
        <v/>
      </c>
      <c r="L226">
        <f>IFERROR(IF(ISNUMBER(INDEX(SPPR!$E:$X,MATCH($A226,SPPR!$A:$A,0),9)),$C226*INDEX(SPPR!$E:$X,MATCH($A226,SPPR!$A:$A,0),9),""),"")</f>
        <v/>
      </c>
      <c r="M226">
        <f>IFERROR(IF(ISNUMBER(INDEX(SPPR!$E:$X,MATCH($A226,SPPR!$A:$A,0),10)),$C226*INDEX(SPPR!$E:$X,MATCH($A226,SPPR!$A:$A,0),10),""),"")</f>
        <v/>
      </c>
      <c r="N226">
        <f>IFERROR(IF(ISNUMBER(INDEX(SPPR!$E:$X,MATCH($A226,SPPR!$A:$A,0),11)),$C226*INDEX(SPPR!$E:$X,MATCH($A226,SPPR!$A:$A,0),11),""),"")</f>
        <v/>
      </c>
      <c r="O226">
        <f>IFERROR(IF(ISNUMBER(INDEX(SPPR!$E:$X,MATCH($A226,SPPR!$A:$A,0),12)),$C226*INDEX(SPPR!$E:$X,MATCH($A226,SPPR!$A:$A,0),12),""),"")</f>
        <v/>
      </c>
      <c r="P226">
        <f>IFERROR(IF(ISNUMBER(INDEX(SPPR!$E:$X,MATCH($A226,SPPR!$A:$A,0),13)),$C226*INDEX(SPPR!$E:$X,MATCH($A226,SPPR!$A:$A,0),13),""),"")</f>
        <v/>
      </c>
      <c r="Q226">
        <f>IFERROR(IF(ISNUMBER(INDEX(SPPR!$E:$X,MATCH($A226,SPPR!$A:$A,0),14)),$C226*INDEX(SPPR!$E:$X,MATCH($A226,SPPR!$A:$A,0),14),""),"")</f>
        <v/>
      </c>
      <c r="R226">
        <f>IFERROR(IF(ISNUMBER(INDEX(SPPR!$E:$X,MATCH($A226,SPPR!$A:$A,0),15)),$C226*INDEX(SPPR!$E:$X,MATCH($A226,SPPR!$A:$A,0),15),""),"")</f>
        <v/>
      </c>
      <c r="S226">
        <f>IFERROR(IF(ISNUMBER(INDEX(SPPR!$E:$X,MATCH($A226,SPPR!$A:$A,0),16)),$C226*INDEX(SPPR!$E:$X,MATCH($A226,SPPR!$A:$A,0),16),""),"")</f>
        <v/>
      </c>
      <c r="T226">
        <f>IFERROR(IF(ISNUMBER(INDEX(SPPR!$E:$X,MATCH($A226,SPPR!$A:$A,0),17)),$C226*INDEX(SPPR!$E:$X,MATCH($A226,SPPR!$A:$A,0),17),""),"")</f>
        <v/>
      </c>
      <c r="U226">
        <f>IFERROR(IF(ISNUMBER(INDEX(SPPR!$E:$X,MATCH($A226,SPPR!$A:$A,0),18)),$C226*INDEX(SPPR!$E:$X,MATCH($A226,SPPR!$A:$A,0),18),""),"")</f>
        <v/>
      </c>
      <c r="V226">
        <f>IFERROR(IF(ISNUMBER(INDEX(SPPR!$E:$X,MATCH($A226,SPPR!$A:$A,0),19)),$C226*INDEX(SPPR!$E:$X,MATCH($A226,SPPR!$A:$A,0),19),""),"")</f>
        <v/>
      </c>
      <c r="W226">
        <f>IFERROR(IF(ISNUMBER(INDEX(SPPR!$E:$X,MATCH($A226,SPPR!$A:$A,0),20)),$C226*INDEX(SPPR!$E:$X,MATCH($A226,SPPR!$A:$A,0),20),""),"")</f>
        <v/>
      </c>
    </row>
    <row r="227">
      <c r="A227" t="inlineStr">
        <is>
          <t>Hemitriakis japanica</t>
        </is>
      </c>
      <c r="B227">
        <f>IFERROR(INDEX(SPPR!$D:$D,MATCH($A227,SPPR!$A:$A,0)),"")</f>
        <v/>
      </c>
      <c r="C227">
        <f>IFERROR(INDEX(Catch!$E:$BV,MATCH($A227,Catch!$A:$A,0),MATCH($B$4,Catch!$E$1:$BV$1,0)),0)</f>
        <v/>
      </c>
      <c r="D227">
        <f>IFERROR(IF(ISNUMBER(INDEX(SPPR!$E:$X,MATCH($A227,SPPR!$A:$A,0),1)),$C227*INDEX(SPPR!$E:$X,MATCH($A227,SPPR!$A:$A,0),1),""),"")</f>
        <v/>
      </c>
      <c r="E227">
        <f>IFERROR(IF(ISNUMBER(INDEX(SPPR!$E:$X,MATCH($A227,SPPR!$A:$A,0),2)),$C227*INDEX(SPPR!$E:$X,MATCH($A227,SPPR!$A:$A,0),2),""),"")</f>
        <v/>
      </c>
      <c r="F227">
        <f>IFERROR(IF(ISNUMBER(INDEX(SPPR!$E:$X,MATCH($A227,SPPR!$A:$A,0),3)),$C227*INDEX(SPPR!$E:$X,MATCH($A227,SPPR!$A:$A,0),3),""),"")</f>
        <v/>
      </c>
      <c r="G227">
        <f>IFERROR(IF(ISNUMBER(INDEX(SPPR!$E:$X,MATCH($A227,SPPR!$A:$A,0),4)),$C227*INDEX(SPPR!$E:$X,MATCH($A227,SPPR!$A:$A,0),4),""),"")</f>
        <v/>
      </c>
      <c r="H227">
        <f>IFERROR(IF(ISNUMBER(INDEX(SPPR!$E:$X,MATCH($A227,SPPR!$A:$A,0),5)),$C227*INDEX(SPPR!$E:$X,MATCH($A227,SPPR!$A:$A,0),5),""),"")</f>
        <v/>
      </c>
      <c r="I227">
        <f>IFERROR(IF(ISNUMBER(INDEX(SPPR!$E:$X,MATCH($A227,SPPR!$A:$A,0),6)),$C227*INDEX(SPPR!$E:$X,MATCH($A227,SPPR!$A:$A,0),6),""),"")</f>
        <v/>
      </c>
      <c r="J227">
        <f>IFERROR(IF(ISNUMBER(INDEX(SPPR!$E:$X,MATCH($A227,SPPR!$A:$A,0),7)),$C227*INDEX(SPPR!$E:$X,MATCH($A227,SPPR!$A:$A,0),7),""),"")</f>
        <v/>
      </c>
      <c r="K227">
        <f>IFERROR(IF(ISNUMBER(INDEX(SPPR!$E:$X,MATCH($A227,SPPR!$A:$A,0),8)),$C227*INDEX(SPPR!$E:$X,MATCH($A227,SPPR!$A:$A,0),8),""),"")</f>
        <v/>
      </c>
      <c r="L227">
        <f>IFERROR(IF(ISNUMBER(INDEX(SPPR!$E:$X,MATCH($A227,SPPR!$A:$A,0),9)),$C227*INDEX(SPPR!$E:$X,MATCH($A227,SPPR!$A:$A,0),9),""),"")</f>
        <v/>
      </c>
      <c r="M227">
        <f>IFERROR(IF(ISNUMBER(INDEX(SPPR!$E:$X,MATCH($A227,SPPR!$A:$A,0),10)),$C227*INDEX(SPPR!$E:$X,MATCH($A227,SPPR!$A:$A,0),10),""),"")</f>
        <v/>
      </c>
      <c r="N227">
        <f>IFERROR(IF(ISNUMBER(INDEX(SPPR!$E:$X,MATCH($A227,SPPR!$A:$A,0),11)),$C227*INDEX(SPPR!$E:$X,MATCH($A227,SPPR!$A:$A,0),11),""),"")</f>
        <v/>
      </c>
      <c r="O227">
        <f>IFERROR(IF(ISNUMBER(INDEX(SPPR!$E:$X,MATCH($A227,SPPR!$A:$A,0),12)),$C227*INDEX(SPPR!$E:$X,MATCH($A227,SPPR!$A:$A,0),12),""),"")</f>
        <v/>
      </c>
      <c r="P227">
        <f>IFERROR(IF(ISNUMBER(INDEX(SPPR!$E:$X,MATCH($A227,SPPR!$A:$A,0),13)),$C227*INDEX(SPPR!$E:$X,MATCH($A227,SPPR!$A:$A,0),13),""),"")</f>
        <v/>
      </c>
      <c r="Q227">
        <f>IFERROR(IF(ISNUMBER(INDEX(SPPR!$E:$X,MATCH($A227,SPPR!$A:$A,0),14)),$C227*INDEX(SPPR!$E:$X,MATCH($A227,SPPR!$A:$A,0),14),""),"")</f>
        <v/>
      </c>
      <c r="R227">
        <f>IFERROR(IF(ISNUMBER(INDEX(SPPR!$E:$X,MATCH($A227,SPPR!$A:$A,0),15)),$C227*INDEX(SPPR!$E:$X,MATCH($A227,SPPR!$A:$A,0),15),""),"")</f>
        <v/>
      </c>
      <c r="S227">
        <f>IFERROR(IF(ISNUMBER(INDEX(SPPR!$E:$X,MATCH($A227,SPPR!$A:$A,0),16)),$C227*INDEX(SPPR!$E:$X,MATCH($A227,SPPR!$A:$A,0),16),""),"")</f>
        <v/>
      </c>
      <c r="T227">
        <f>IFERROR(IF(ISNUMBER(INDEX(SPPR!$E:$X,MATCH($A227,SPPR!$A:$A,0),17)),$C227*INDEX(SPPR!$E:$X,MATCH($A227,SPPR!$A:$A,0),17),""),"")</f>
        <v/>
      </c>
      <c r="U227">
        <f>IFERROR(IF(ISNUMBER(INDEX(SPPR!$E:$X,MATCH($A227,SPPR!$A:$A,0),18)),$C227*INDEX(SPPR!$E:$X,MATCH($A227,SPPR!$A:$A,0),18),""),"")</f>
        <v/>
      </c>
      <c r="V227">
        <f>IFERROR(IF(ISNUMBER(INDEX(SPPR!$E:$X,MATCH($A227,SPPR!$A:$A,0),19)),$C227*INDEX(SPPR!$E:$X,MATCH($A227,SPPR!$A:$A,0),19),""),"")</f>
        <v/>
      </c>
      <c r="W227">
        <f>IFERROR(IF(ISNUMBER(INDEX(SPPR!$E:$X,MATCH($A227,SPPR!$A:$A,0),20)),$C227*INDEX(SPPR!$E:$X,MATCH($A227,SPPR!$A:$A,0),20),""),"")</f>
        <v/>
      </c>
    </row>
    <row r="228">
      <c r="A228" t="inlineStr">
        <is>
          <t>Makaira mazara</t>
        </is>
      </c>
      <c r="B228">
        <f>IFERROR(INDEX(SPPR!$D:$D,MATCH($A228,SPPR!$A:$A,0)),"")</f>
        <v/>
      </c>
      <c r="C228">
        <f>IFERROR(INDEX(Catch!$E:$BV,MATCH($A228,Catch!$A:$A,0),MATCH($B$4,Catch!$E$1:$BV$1,0)),0)</f>
        <v/>
      </c>
      <c r="D228">
        <f>IFERROR(IF(ISNUMBER(INDEX(SPPR!$E:$X,MATCH($A228,SPPR!$A:$A,0),1)),$C228*INDEX(SPPR!$E:$X,MATCH($A228,SPPR!$A:$A,0),1),""),"")</f>
        <v/>
      </c>
      <c r="E228">
        <f>IFERROR(IF(ISNUMBER(INDEX(SPPR!$E:$X,MATCH($A228,SPPR!$A:$A,0),2)),$C228*INDEX(SPPR!$E:$X,MATCH($A228,SPPR!$A:$A,0),2),""),"")</f>
        <v/>
      </c>
      <c r="F228">
        <f>IFERROR(IF(ISNUMBER(INDEX(SPPR!$E:$X,MATCH($A228,SPPR!$A:$A,0),3)),$C228*INDEX(SPPR!$E:$X,MATCH($A228,SPPR!$A:$A,0),3),""),"")</f>
        <v/>
      </c>
      <c r="G228">
        <f>IFERROR(IF(ISNUMBER(INDEX(SPPR!$E:$X,MATCH($A228,SPPR!$A:$A,0),4)),$C228*INDEX(SPPR!$E:$X,MATCH($A228,SPPR!$A:$A,0),4),""),"")</f>
        <v/>
      </c>
      <c r="H228">
        <f>IFERROR(IF(ISNUMBER(INDEX(SPPR!$E:$X,MATCH($A228,SPPR!$A:$A,0),5)),$C228*INDEX(SPPR!$E:$X,MATCH($A228,SPPR!$A:$A,0),5),""),"")</f>
        <v/>
      </c>
      <c r="I228">
        <f>IFERROR(IF(ISNUMBER(INDEX(SPPR!$E:$X,MATCH($A228,SPPR!$A:$A,0),6)),$C228*INDEX(SPPR!$E:$X,MATCH($A228,SPPR!$A:$A,0),6),""),"")</f>
        <v/>
      </c>
      <c r="J228">
        <f>IFERROR(IF(ISNUMBER(INDEX(SPPR!$E:$X,MATCH($A228,SPPR!$A:$A,0),7)),$C228*INDEX(SPPR!$E:$X,MATCH($A228,SPPR!$A:$A,0),7),""),"")</f>
        <v/>
      </c>
      <c r="K228">
        <f>IFERROR(IF(ISNUMBER(INDEX(SPPR!$E:$X,MATCH($A228,SPPR!$A:$A,0),8)),$C228*INDEX(SPPR!$E:$X,MATCH($A228,SPPR!$A:$A,0),8),""),"")</f>
        <v/>
      </c>
      <c r="L228">
        <f>IFERROR(IF(ISNUMBER(INDEX(SPPR!$E:$X,MATCH($A228,SPPR!$A:$A,0),9)),$C228*INDEX(SPPR!$E:$X,MATCH($A228,SPPR!$A:$A,0),9),""),"")</f>
        <v/>
      </c>
      <c r="M228">
        <f>IFERROR(IF(ISNUMBER(INDEX(SPPR!$E:$X,MATCH($A228,SPPR!$A:$A,0),10)),$C228*INDEX(SPPR!$E:$X,MATCH($A228,SPPR!$A:$A,0),10),""),"")</f>
        <v/>
      </c>
      <c r="N228">
        <f>IFERROR(IF(ISNUMBER(INDEX(SPPR!$E:$X,MATCH($A228,SPPR!$A:$A,0),11)),$C228*INDEX(SPPR!$E:$X,MATCH($A228,SPPR!$A:$A,0),11),""),"")</f>
        <v/>
      </c>
      <c r="O228">
        <f>IFERROR(IF(ISNUMBER(INDEX(SPPR!$E:$X,MATCH($A228,SPPR!$A:$A,0),12)),$C228*INDEX(SPPR!$E:$X,MATCH($A228,SPPR!$A:$A,0),12),""),"")</f>
        <v/>
      </c>
      <c r="P228">
        <f>IFERROR(IF(ISNUMBER(INDEX(SPPR!$E:$X,MATCH($A228,SPPR!$A:$A,0),13)),$C228*INDEX(SPPR!$E:$X,MATCH($A228,SPPR!$A:$A,0),13),""),"")</f>
        <v/>
      </c>
      <c r="Q228">
        <f>IFERROR(IF(ISNUMBER(INDEX(SPPR!$E:$X,MATCH($A228,SPPR!$A:$A,0),14)),$C228*INDEX(SPPR!$E:$X,MATCH($A228,SPPR!$A:$A,0),14),""),"")</f>
        <v/>
      </c>
      <c r="R228">
        <f>IFERROR(IF(ISNUMBER(INDEX(SPPR!$E:$X,MATCH($A228,SPPR!$A:$A,0),15)),$C228*INDEX(SPPR!$E:$X,MATCH($A228,SPPR!$A:$A,0),15),""),"")</f>
        <v/>
      </c>
      <c r="S228">
        <f>IFERROR(IF(ISNUMBER(INDEX(SPPR!$E:$X,MATCH($A228,SPPR!$A:$A,0),16)),$C228*INDEX(SPPR!$E:$X,MATCH($A228,SPPR!$A:$A,0),16),""),"")</f>
        <v/>
      </c>
      <c r="T228">
        <f>IFERROR(IF(ISNUMBER(INDEX(SPPR!$E:$X,MATCH($A228,SPPR!$A:$A,0),17)),$C228*INDEX(SPPR!$E:$X,MATCH($A228,SPPR!$A:$A,0),17),""),"")</f>
        <v/>
      </c>
      <c r="U228">
        <f>IFERROR(IF(ISNUMBER(INDEX(SPPR!$E:$X,MATCH($A228,SPPR!$A:$A,0),18)),$C228*INDEX(SPPR!$E:$X,MATCH($A228,SPPR!$A:$A,0),18),""),"")</f>
        <v/>
      </c>
      <c r="V228">
        <f>IFERROR(IF(ISNUMBER(INDEX(SPPR!$E:$X,MATCH($A228,SPPR!$A:$A,0),19)),$C228*INDEX(SPPR!$E:$X,MATCH($A228,SPPR!$A:$A,0),19),""),"")</f>
        <v/>
      </c>
      <c r="W228">
        <f>IFERROR(IF(ISNUMBER(INDEX(SPPR!$E:$X,MATCH($A228,SPPR!$A:$A,0),20)),$C228*INDEX(SPPR!$E:$X,MATCH($A228,SPPR!$A:$A,0),20),""),"")</f>
        <v/>
      </c>
    </row>
    <row r="229">
      <c r="A229" t="inlineStr">
        <is>
          <t>Marine pelagic fishes not identified</t>
        </is>
      </c>
      <c r="B229">
        <f>IFERROR(INDEX(SPPR!$D:$D,MATCH($A229,SPPR!$A:$A,0)),"")</f>
        <v/>
      </c>
      <c r="C229">
        <f>IFERROR(INDEX(Catch!$E:$BV,MATCH($A229,Catch!$A:$A,0),MATCH($B$4,Catch!$E$1:$BV$1,0)),0)</f>
        <v/>
      </c>
      <c r="D229">
        <f>IFERROR(IF(ISNUMBER(INDEX(SPPR!$E:$X,MATCH($A229,SPPR!$A:$A,0),1)),$C229*INDEX(SPPR!$E:$X,MATCH($A229,SPPR!$A:$A,0),1),""),"")</f>
        <v/>
      </c>
      <c r="E229">
        <f>IFERROR(IF(ISNUMBER(INDEX(SPPR!$E:$X,MATCH($A229,SPPR!$A:$A,0),2)),$C229*INDEX(SPPR!$E:$X,MATCH($A229,SPPR!$A:$A,0),2),""),"")</f>
        <v/>
      </c>
      <c r="F229">
        <f>IFERROR(IF(ISNUMBER(INDEX(SPPR!$E:$X,MATCH($A229,SPPR!$A:$A,0),3)),$C229*INDEX(SPPR!$E:$X,MATCH($A229,SPPR!$A:$A,0),3),""),"")</f>
        <v/>
      </c>
      <c r="G229">
        <f>IFERROR(IF(ISNUMBER(INDEX(SPPR!$E:$X,MATCH($A229,SPPR!$A:$A,0),4)),$C229*INDEX(SPPR!$E:$X,MATCH($A229,SPPR!$A:$A,0),4),""),"")</f>
        <v/>
      </c>
      <c r="H229">
        <f>IFERROR(IF(ISNUMBER(INDEX(SPPR!$E:$X,MATCH($A229,SPPR!$A:$A,0),5)),$C229*INDEX(SPPR!$E:$X,MATCH($A229,SPPR!$A:$A,0),5),""),"")</f>
        <v/>
      </c>
      <c r="I229">
        <f>IFERROR(IF(ISNUMBER(INDEX(SPPR!$E:$X,MATCH($A229,SPPR!$A:$A,0),6)),$C229*INDEX(SPPR!$E:$X,MATCH($A229,SPPR!$A:$A,0),6),""),"")</f>
        <v/>
      </c>
      <c r="J229">
        <f>IFERROR(IF(ISNUMBER(INDEX(SPPR!$E:$X,MATCH($A229,SPPR!$A:$A,0),7)),$C229*INDEX(SPPR!$E:$X,MATCH($A229,SPPR!$A:$A,0),7),""),"")</f>
        <v/>
      </c>
      <c r="K229">
        <f>IFERROR(IF(ISNUMBER(INDEX(SPPR!$E:$X,MATCH($A229,SPPR!$A:$A,0),8)),$C229*INDEX(SPPR!$E:$X,MATCH($A229,SPPR!$A:$A,0),8),""),"")</f>
        <v/>
      </c>
      <c r="L229">
        <f>IFERROR(IF(ISNUMBER(INDEX(SPPR!$E:$X,MATCH($A229,SPPR!$A:$A,0),9)),$C229*INDEX(SPPR!$E:$X,MATCH($A229,SPPR!$A:$A,0),9),""),"")</f>
        <v/>
      </c>
      <c r="M229">
        <f>IFERROR(IF(ISNUMBER(INDEX(SPPR!$E:$X,MATCH($A229,SPPR!$A:$A,0),10)),$C229*INDEX(SPPR!$E:$X,MATCH($A229,SPPR!$A:$A,0),10),""),"")</f>
        <v/>
      </c>
      <c r="N229">
        <f>IFERROR(IF(ISNUMBER(INDEX(SPPR!$E:$X,MATCH($A229,SPPR!$A:$A,0),11)),$C229*INDEX(SPPR!$E:$X,MATCH($A229,SPPR!$A:$A,0),11),""),"")</f>
        <v/>
      </c>
      <c r="O229">
        <f>IFERROR(IF(ISNUMBER(INDEX(SPPR!$E:$X,MATCH($A229,SPPR!$A:$A,0),12)),$C229*INDEX(SPPR!$E:$X,MATCH($A229,SPPR!$A:$A,0),12),""),"")</f>
        <v/>
      </c>
      <c r="P229">
        <f>IFERROR(IF(ISNUMBER(INDEX(SPPR!$E:$X,MATCH($A229,SPPR!$A:$A,0),13)),$C229*INDEX(SPPR!$E:$X,MATCH($A229,SPPR!$A:$A,0),13),""),"")</f>
        <v/>
      </c>
      <c r="Q229">
        <f>IFERROR(IF(ISNUMBER(INDEX(SPPR!$E:$X,MATCH($A229,SPPR!$A:$A,0),14)),$C229*INDEX(SPPR!$E:$X,MATCH($A229,SPPR!$A:$A,0),14),""),"")</f>
        <v/>
      </c>
      <c r="R229">
        <f>IFERROR(IF(ISNUMBER(INDEX(SPPR!$E:$X,MATCH($A229,SPPR!$A:$A,0),15)),$C229*INDEX(SPPR!$E:$X,MATCH($A229,SPPR!$A:$A,0),15),""),"")</f>
        <v/>
      </c>
      <c r="S229">
        <f>IFERROR(IF(ISNUMBER(INDEX(SPPR!$E:$X,MATCH($A229,SPPR!$A:$A,0),16)),$C229*INDEX(SPPR!$E:$X,MATCH($A229,SPPR!$A:$A,0),16),""),"")</f>
        <v/>
      </c>
      <c r="T229">
        <f>IFERROR(IF(ISNUMBER(INDEX(SPPR!$E:$X,MATCH($A229,SPPR!$A:$A,0),17)),$C229*INDEX(SPPR!$E:$X,MATCH($A229,SPPR!$A:$A,0),17),""),"")</f>
        <v/>
      </c>
      <c r="U229">
        <f>IFERROR(IF(ISNUMBER(INDEX(SPPR!$E:$X,MATCH($A229,SPPR!$A:$A,0),18)),$C229*INDEX(SPPR!$E:$X,MATCH($A229,SPPR!$A:$A,0),18),""),"")</f>
        <v/>
      </c>
      <c r="V229">
        <f>IFERROR(IF(ISNUMBER(INDEX(SPPR!$E:$X,MATCH($A229,SPPR!$A:$A,0),19)),$C229*INDEX(SPPR!$E:$X,MATCH($A229,SPPR!$A:$A,0),19),""),"")</f>
        <v/>
      </c>
      <c r="W229">
        <f>IFERROR(IF(ISNUMBER(INDEX(SPPR!$E:$X,MATCH($A229,SPPR!$A:$A,0),20)),$C229*INDEX(SPPR!$E:$X,MATCH($A229,SPPR!$A:$A,0),20),""),"")</f>
        <v/>
      </c>
    </row>
    <row r="230">
      <c r="A230" t="inlineStr">
        <is>
          <t>Mierspenaeopsis hardwickii</t>
        </is>
      </c>
      <c r="B230">
        <f>IFERROR(INDEX(SPPR!$D:$D,MATCH($A230,SPPR!$A:$A,0)),"")</f>
        <v/>
      </c>
      <c r="C230">
        <f>IFERROR(INDEX(Catch!$E:$BV,MATCH($A230,Catch!$A:$A,0),MATCH($B$4,Catch!$E$1:$BV$1,0)),0)</f>
        <v/>
      </c>
      <c r="D230">
        <f>IFERROR(IF(ISNUMBER(INDEX(SPPR!$E:$X,MATCH($A230,SPPR!$A:$A,0),1)),$C230*INDEX(SPPR!$E:$X,MATCH($A230,SPPR!$A:$A,0),1),""),"")</f>
        <v/>
      </c>
      <c r="E230">
        <f>IFERROR(IF(ISNUMBER(INDEX(SPPR!$E:$X,MATCH($A230,SPPR!$A:$A,0),2)),$C230*INDEX(SPPR!$E:$X,MATCH($A230,SPPR!$A:$A,0),2),""),"")</f>
        <v/>
      </c>
      <c r="F230">
        <f>IFERROR(IF(ISNUMBER(INDEX(SPPR!$E:$X,MATCH($A230,SPPR!$A:$A,0),3)),$C230*INDEX(SPPR!$E:$X,MATCH($A230,SPPR!$A:$A,0),3),""),"")</f>
        <v/>
      </c>
      <c r="G230">
        <f>IFERROR(IF(ISNUMBER(INDEX(SPPR!$E:$X,MATCH($A230,SPPR!$A:$A,0),4)),$C230*INDEX(SPPR!$E:$X,MATCH($A230,SPPR!$A:$A,0),4),""),"")</f>
        <v/>
      </c>
      <c r="H230">
        <f>IFERROR(IF(ISNUMBER(INDEX(SPPR!$E:$X,MATCH($A230,SPPR!$A:$A,0),5)),$C230*INDEX(SPPR!$E:$X,MATCH($A230,SPPR!$A:$A,0),5),""),"")</f>
        <v/>
      </c>
      <c r="I230">
        <f>IFERROR(IF(ISNUMBER(INDEX(SPPR!$E:$X,MATCH($A230,SPPR!$A:$A,0),6)),$C230*INDEX(SPPR!$E:$X,MATCH($A230,SPPR!$A:$A,0),6),""),"")</f>
        <v/>
      </c>
      <c r="J230">
        <f>IFERROR(IF(ISNUMBER(INDEX(SPPR!$E:$X,MATCH($A230,SPPR!$A:$A,0),7)),$C230*INDEX(SPPR!$E:$X,MATCH($A230,SPPR!$A:$A,0),7),""),"")</f>
        <v/>
      </c>
      <c r="K230">
        <f>IFERROR(IF(ISNUMBER(INDEX(SPPR!$E:$X,MATCH($A230,SPPR!$A:$A,0),8)),$C230*INDEX(SPPR!$E:$X,MATCH($A230,SPPR!$A:$A,0),8),""),"")</f>
        <v/>
      </c>
      <c r="L230">
        <f>IFERROR(IF(ISNUMBER(INDEX(SPPR!$E:$X,MATCH($A230,SPPR!$A:$A,0),9)),$C230*INDEX(SPPR!$E:$X,MATCH($A230,SPPR!$A:$A,0),9),""),"")</f>
        <v/>
      </c>
      <c r="M230">
        <f>IFERROR(IF(ISNUMBER(INDEX(SPPR!$E:$X,MATCH($A230,SPPR!$A:$A,0),10)),$C230*INDEX(SPPR!$E:$X,MATCH($A230,SPPR!$A:$A,0),10),""),"")</f>
        <v/>
      </c>
      <c r="N230">
        <f>IFERROR(IF(ISNUMBER(INDEX(SPPR!$E:$X,MATCH($A230,SPPR!$A:$A,0),11)),$C230*INDEX(SPPR!$E:$X,MATCH($A230,SPPR!$A:$A,0),11),""),"")</f>
        <v/>
      </c>
      <c r="O230">
        <f>IFERROR(IF(ISNUMBER(INDEX(SPPR!$E:$X,MATCH($A230,SPPR!$A:$A,0),12)),$C230*INDEX(SPPR!$E:$X,MATCH($A230,SPPR!$A:$A,0),12),""),"")</f>
        <v/>
      </c>
      <c r="P230">
        <f>IFERROR(IF(ISNUMBER(INDEX(SPPR!$E:$X,MATCH($A230,SPPR!$A:$A,0),13)),$C230*INDEX(SPPR!$E:$X,MATCH($A230,SPPR!$A:$A,0),13),""),"")</f>
        <v/>
      </c>
      <c r="Q230">
        <f>IFERROR(IF(ISNUMBER(INDEX(SPPR!$E:$X,MATCH($A230,SPPR!$A:$A,0),14)),$C230*INDEX(SPPR!$E:$X,MATCH($A230,SPPR!$A:$A,0),14),""),"")</f>
        <v/>
      </c>
      <c r="R230">
        <f>IFERROR(IF(ISNUMBER(INDEX(SPPR!$E:$X,MATCH($A230,SPPR!$A:$A,0),15)),$C230*INDEX(SPPR!$E:$X,MATCH($A230,SPPR!$A:$A,0),15),""),"")</f>
        <v/>
      </c>
      <c r="S230">
        <f>IFERROR(IF(ISNUMBER(INDEX(SPPR!$E:$X,MATCH($A230,SPPR!$A:$A,0),16)),$C230*INDEX(SPPR!$E:$X,MATCH($A230,SPPR!$A:$A,0),16),""),"")</f>
        <v/>
      </c>
      <c r="T230">
        <f>IFERROR(IF(ISNUMBER(INDEX(SPPR!$E:$X,MATCH($A230,SPPR!$A:$A,0),17)),$C230*INDEX(SPPR!$E:$X,MATCH($A230,SPPR!$A:$A,0),17),""),"")</f>
        <v/>
      </c>
      <c r="U230">
        <f>IFERROR(IF(ISNUMBER(INDEX(SPPR!$E:$X,MATCH($A230,SPPR!$A:$A,0),18)),$C230*INDEX(SPPR!$E:$X,MATCH($A230,SPPR!$A:$A,0),18),""),"")</f>
        <v/>
      </c>
      <c r="V230">
        <f>IFERROR(IF(ISNUMBER(INDEX(SPPR!$E:$X,MATCH($A230,SPPR!$A:$A,0),19)),$C230*INDEX(SPPR!$E:$X,MATCH($A230,SPPR!$A:$A,0),19),""),"")</f>
        <v/>
      </c>
      <c r="W230">
        <f>IFERROR(IF(ISNUMBER(INDEX(SPPR!$E:$X,MATCH($A230,SPPR!$A:$A,0),20)),$C230*INDEX(SPPR!$E:$X,MATCH($A230,SPPR!$A:$A,0),20),""),"")</f>
        <v/>
      </c>
    </row>
    <row r="231">
      <c r="A231" t="inlineStr">
        <is>
          <t>Beryx</t>
        </is>
      </c>
      <c r="B231">
        <f>IFERROR(INDEX(SPPR!$D:$D,MATCH($A231,SPPR!$A:$A,0)),"")</f>
        <v/>
      </c>
      <c r="C231">
        <f>IFERROR(INDEX(Catch!$E:$BV,MATCH($A231,Catch!$A:$A,0),MATCH($B$4,Catch!$E$1:$BV$1,0)),0)</f>
        <v/>
      </c>
      <c r="D231">
        <f>IFERROR(IF(ISNUMBER(INDEX(SPPR!$E:$X,MATCH($A231,SPPR!$A:$A,0),1)),$C231*INDEX(SPPR!$E:$X,MATCH($A231,SPPR!$A:$A,0),1),""),"")</f>
        <v/>
      </c>
      <c r="E231">
        <f>IFERROR(IF(ISNUMBER(INDEX(SPPR!$E:$X,MATCH($A231,SPPR!$A:$A,0),2)),$C231*INDEX(SPPR!$E:$X,MATCH($A231,SPPR!$A:$A,0),2),""),"")</f>
        <v/>
      </c>
      <c r="F231">
        <f>IFERROR(IF(ISNUMBER(INDEX(SPPR!$E:$X,MATCH($A231,SPPR!$A:$A,0),3)),$C231*INDEX(SPPR!$E:$X,MATCH($A231,SPPR!$A:$A,0),3),""),"")</f>
        <v/>
      </c>
      <c r="G231">
        <f>IFERROR(IF(ISNUMBER(INDEX(SPPR!$E:$X,MATCH($A231,SPPR!$A:$A,0),4)),$C231*INDEX(SPPR!$E:$X,MATCH($A231,SPPR!$A:$A,0),4),""),"")</f>
        <v/>
      </c>
      <c r="H231">
        <f>IFERROR(IF(ISNUMBER(INDEX(SPPR!$E:$X,MATCH($A231,SPPR!$A:$A,0),5)),$C231*INDEX(SPPR!$E:$X,MATCH($A231,SPPR!$A:$A,0),5),""),"")</f>
        <v/>
      </c>
      <c r="I231">
        <f>IFERROR(IF(ISNUMBER(INDEX(SPPR!$E:$X,MATCH($A231,SPPR!$A:$A,0),6)),$C231*INDEX(SPPR!$E:$X,MATCH($A231,SPPR!$A:$A,0),6),""),"")</f>
        <v/>
      </c>
      <c r="J231">
        <f>IFERROR(IF(ISNUMBER(INDEX(SPPR!$E:$X,MATCH($A231,SPPR!$A:$A,0),7)),$C231*INDEX(SPPR!$E:$X,MATCH($A231,SPPR!$A:$A,0),7),""),"")</f>
        <v/>
      </c>
      <c r="K231">
        <f>IFERROR(IF(ISNUMBER(INDEX(SPPR!$E:$X,MATCH($A231,SPPR!$A:$A,0),8)),$C231*INDEX(SPPR!$E:$X,MATCH($A231,SPPR!$A:$A,0),8),""),"")</f>
        <v/>
      </c>
      <c r="L231">
        <f>IFERROR(IF(ISNUMBER(INDEX(SPPR!$E:$X,MATCH($A231,SPPR!$A:$A,0),9)),$C231*INDEX(SPPR!$E:$X,MATCH($A231,SPPR!$A:$A,0),9),""),"")</f>
        <v/>
      </c>
      <c r="M231">
        <f>IFERROR(IF(ISNUMBER(INDEX(SPPR!$E:$X,MATCH($A231,SPPR!$A:$A,0),10)),$C231*INDEX(SPPR!$E:$X,MATCH($A231,SPPR!$A:$A,0),10),""),"")</f>
        <v/>
      </c>
      <c r="N231">
        <f>IFERROR(IF(ISNUMBER(INDEX(SPPR!$E:$X,MATCH($A231,SPPR!$A:$A,0),11)),$C231*INDEX(SPPR!$E:$X,MATCH($A231,SPPR!$A:$A,0),11),""),"")</f>
        <v/>
      </c>
      <c r="O231">
        <f>IFERROR(IF(ISNUMBER(INDEX(SPPR!$E:$X,MATCH($A231,SPPR!$A:$A,0),12)),$C231*INDEX(SPPR!$E:$X,MATCH($A231,SPPR!$A:$A,0),12),""),"")</f>
        <v/>
      </c>
      <c r="P231">
        <f>IFERROR(IF(ISNUMBER(INDEX(SPPR!$E:$X,MATCH($A231,SPPR!$A:$A,0),13)),$C231*INDEX(SPPR!$E:$X,MATCH($A231,SPPR!$A:$A,0),13),""),"")</f>
        <v/>
      </c>
      <c r="Q231">
        <f>IFERROR(IF(ISNUMBER(INDEX(SPPR!$E:$X,MATCH($A231,SPPR!$A:$A,0),14)),$C231*INDEX(SPPR!$E:$X,MATCH($A231,SPPR!$A:$A,0),14),""),"")</f>
        <v/>
      </c>
      <c r="R231">
        <f>IFERROR(IF(ISNUMBER(INDEX(SPPR!$E:$X,MATCH($A231,SPPR!$A:$A,0),15)),$C231*INDEX(SPPR!$E:$X,MATCH($A231,SPPR!$A:$A,0),15),""),"")</f>
        <v/>
      </c>
      <c r="S231">
        <f>IFERROR(IF(ISNUMBER(INDEX(SPPR!$E:$X,MATCH($A231,SPPR!$A:$A,0),16)),$C231*INDEX(SPPR!$E:$X,MATCH($A231,SPPR!$A:$A,0),16),""),"")</f>
        <v/>
      </c>
      <c r="T231">
        <f>IFERROR(IF(ISNUMBER(INDEX(SPPR!$E:$X,MATCH($A231,SPPR!$A:$A,0),17)),$C231*INDEX(SPPR!$E:$X,MATCH($A231,SPPR!$A:$A,0),17),""),"")</f>
        <v/>
      </c>
      <c r="U231">
        <f>IFERROR(IF(ISNUMBER(INDEX(SPPR!$E:$X,MATCH($A231,SPPR!$A:$A,0),18)),$C231*INDEX(SPPR!$E:$X,MATCH($A231,SPPR!$A:$A,0),18),""),"")</f>
        <v/>
      </c>
      <c r="V231">
        <f>IFERROR(IF(ISNUMBER(INDEX(SPPR!$E:$X,MATCH($A231,SPPR!$A:$A,0),19)),$C231*INDEX(SPPR!$E:$X,MATCH($A231,SPPR!$A:$A,0),19),""),"")</f>
        <v/>
      </c>
      <c r="W231">
        <f>IFERROR(IF(ISNUMBER(INDEX(SPPR!$E:$X,MATCH($A231,SPPR!$A:$A,0),20)),$C231*INDEX(SPPR!$E:$X,MATCH($A231,SPPR!$A:$A,0),20),""),"")</f>
        <v/>
      </c>
    </row>
    <row r="232">
      <c r="A232" t="inlineStr">
        <is>
          <t>Auxis thazard</t>
        </is>
      </c>
      <c r="B232">
        <f>IFERROR(INDEX(SPPR!$D:$D,MATCH($A232,SPPR!$A:$A,0)),"")</f>
        <v/>
      </c>
      <c r="C232">
        <f>IFERROR(INDEX(Catch!$E:$BV,MATCH($A232,Catch!$A:$A,0),MATCH($B$4,Catch!$E$1:$BV$1,0)),0)</f>
        <v/>
      </c>
      <c r="D232">
        <f>IFERROR(IF(ISNUMBER(INDEX(SPPR!$E:$X,MATCH($A232,SPPR!$A:$A,0),1)),$C232*INDEX(SPPR!$E:$X,MATCH($A232,SPPR!$A:$A,0),1),""),"")</f>
        <v/>
      </c>
      <c r="E232">
        <f>IFERROR(IF(ISNUMBER(INDEX(SPPR!$E:$X,MATCH($A232,SPPR!$A:$A,0),2)),$C232*INDEX(SPPR!$E:$X,MATCH($A232,SPPR!$A:$A,0),2),""),"")</f>
        <v/>
      </c>
      <c r="F232">
        <f>IFERROR(IF(ISNUMBER(INDEX(SPPR!$E:$X,MATCH($A232,SPPR!$A:$A,0),3)),$C232*INDEX(SPPR!$E:$X,MATCH($A232,SPPR!$A:$A,0),3),""),"")</f>
        <v/>
      </c>
      <c r="G232">
        <f>IFERROR(IF(ISNUMBER(INDEX(SPPR!$E:$X,MATCH($A232,SPPR!$A:$A,0),4)),$C232*INDEX(SPPR!$E:$X,MATCH($A232,SPPR!$A:$A,0),4),""),"")</f>
        <v/>
      </c>
      <c r="H232">
        <f>IFERROR(IF(ISNUMBER(INDEX(SPPR!$E:$X,MATCH($A232,SPPR!$A:$A,0),5)),$C232*INDEX(SPPR!$E:$X,MATCH($A232,SPPR!$A:$A,0),5),""),"")</f>
        <v/>
      </c>
      <c r="I232">
        <f>IFERROR(IF(ISNUMBER(INDEX(SPPR!$E:$X,MATCH($A232,SPPR!$A:$A,0),6)),$C232*INDEX(SPPR!$E:$X,MATCH($A232,SPPR!$A:$A,0),6),""),"")</f>
        <v/>
      </c>
      <c r="J232">
        <f>IFERROR(IF(ISNUMBER(INDEX(SPPR!$E:$X,MATCH($A232,SPPR!$A:$A,0),7)),$C232*INDEX(SPPR!$E:$X,MATCH($A232,SPPR!$A:$A,0),7),""),"")</f>
        <v/>
      </c>
      <c r="K232">
        <f>IFERROR(IF(ISNUMBER(INDEX(SPPR!$E:$X,MATCH($A232,SPPR!$A:$A,0),8)),$C232*INDEX(SPPR!$E:$X,MATCH($A232,SPPR!$A:$A,0),8),""),"")</f>
        <v/>
      </c>
      <c r="L232">
        <f>IFERROR(IF(ISNUMBER(INDEX(SPPR!$E:$X,MATCH($A232,SPPR!$A:$A,0),9)),$C232*INDEX(SPPR!$E:$X,MATCH($A232,SPPR!$A:$A,0),9),""),"")</f>
        <v/>
      </c>
      <c r="M232">
        <f>IFERROR(IF(ISNUMBER(INDEX(SPPR!$E:$X,MATCH($A232,SPPR!$A:$A,0),10)),$C232*INDEX(SPPR!$E:$X,MATCH($A232,SPPR!$A:$A,0),10),""),"")</f>
        <v/>
      </c>
      <c r="N232">
        <f>IFERROR(IF(ISNUMBER(INDEX(SPPR!$E:$X,MATCH($A232,SPPR!$A:$A,0),11)),$C232*INDEX(SPPR!$E:$X,MATCH($A232,SPPR!$A:$A,0),11),""),"")</f>
        <v/>
      </c>
      <c r="O232">
        <f>IFERROR(IF(ISNUMBER(INDEX(SPPR!$E:$X,MATCH($A232,SPPR!$A:$A,0),12)),$C232*INDEX(SPPR!$E:$X,MATCH($A232,SPPR!$A:$A,0),12),""),"")</f>
        <v/>
      </c>
      <c r="P232">
        <f>IFERROR(IF(ISNUMBER(INDEX(SPPR!$E:$X,MATCH($A232,SPPR!$A:$A,0),13)),$C232*INDEX(SPPR!$E:$X,MATCH($A232,SPPR!$A:$A,0),13),""),"")</f>
        <v/>
      </c>
      <c r="Q232">
        <f>IFERROR(IF(ISNUMBER(INDEX(SPPR!$E:$X,MATCH($A232,SPPR!$A:$A,0),14)),$C232*INDEX(SPPR!$E:$X,MATCH($A232,SPPR!$A:$A,0),14),""),"")</f>
        <v/>
      </c>
      <c r="R232">
        <f>IFERROR(IF(ISNUMBER(INDEX(SPPR!$E:$X,MATCH($A232,SPPR!$A:$A,0),15)),$C232*INDEX(SPPR!$E:$X,MATCH($A232,SPPR!$A:$A,0),15),""),"")</f>
        <v/>
      </c>
      <c r="S232">
        <f>IFERROR(IF(ISNUMBER(INDEX(SPPR!$E:$X,MATCH($A232,SPPR!$A:$A,0),16)),$C232*INDEX(SPPR!$E:$X,MATCH($A232,SPPR!$A:$A,0),16),""),"")</f>
        <v/>
      </c>
      <c r="T232">
        <f>IFERROR(IF(ISNUMBER(INDEX(SPPR!$E:$X,MATCH($A232,SPPR!$A:$A,0),17)),$C232*INDEX(SPPR!$E:$X,MATCH($A232,SPPR!$A:$A,0),17),""),"")</f>
        <v/>
      </c>
      <c r="U232">
        <f>IFERROR(IF(ISNUMBER(INDEX(SPPR!$E:$X,MATCH($A232,SPPR!$A:$A,0),18)),$C232*INDEX(SPPR!$E:$X,MATCH($A232,SPPR!$A:$A,0),18),""),"")</f>
        <v/>
      </c>
      <c r="V232">
        <f>IFERROR(IF(ISNUMBER(INDEX(SPPR!$E:$X,MATCH($A232,SPPR!$A:$A,0),19)),$C232*INDEX(SPPR!$E:$X,MATCH($A232,SPPR!$A:$A,0),19),""),"")</f>
        <v/>
      </c>
      <c r="W232">
        <f>IFERROR(IF(ISNUMBER(INDEX(SPPR!$E:$X,MATCH($A232,SPPR!$A:$A,0),20)),$C232*INDEX(SPPR!$E:$X,MATCH($A232,SPPR!$A:$A,0),20),""),"")</f>
        <v/>
      </c>
    </row>
    <row r="233">
      <c r="A233" t="inlineStr">
        <is>
          <t>Polydactylus sexfilis</t>
        </is>
      </c>
      <c r="B233">
        <f>IFERROR(INDEX(SPPR!$D:$D,MATCH($A233,SPPR!$A:$A,0)),"")</f>
        <v/>
      </c>
      <c r="C233">
        <f>IFERROR(INDEX(Catch!$E:$BV,MATCH($A233,Catch!$A:$A,0),MATCH($B$4,Catch!$E$1:$BV$1,0)),0)</f>
        <v/>
      </c>
      <c r="D233">
        <f>IFERROR(IF(ISNUMBER(INDEX(SPPR!$E:$X,MATCH($A233,SPPR!$A:$A,0),1)),$C233*INDEX(SPPR!$E:$X,MATCH($A233,SPPR!$A:$A,0),1),""),"")</f>
        <v/>
      </c>
      <c r="E233">
        <f>IFERROR(IF(ISNUMBER(INDEX(SPPR!$E:$X,MATCH($A233,SPPR!$A:$A,0),2)),$C233*INDEX(SPPR!$E:$X,MATCH($A233,SPPR!$A:$A,0),2),""),"")</f>
        <v/>
      </c>
      <c r="F233">
        <f>IFERROR(IF(ISNUMBER(INDEX(SPPR!$E:$X,MATCH($A233,SPPR!$A:$A,0),3)),$C233*INDEX(SPPR!$E:$X,MATCH($A233,SPPR!$A:$A,0),3),""),"")</f>
        <v/>
      </c>
      <c r="G233">
        <f>IFERROR(IF(ISNUMBER(INDEX(SPPR!$E:$X,MATCH($A233,SPPR!$A:$A,0),4)),$C233*INDEX(SPPR!$E:$X,MATCH($A233,SPPR!$A:$A,0),4),""),"")</f>
        <v/>
      </c>
      <c r="H233">
        <f>IFERROR(IF(ISNUMBER(INDEX(SPPR!$E:$X,MATCH($A233,SPPR!$A:$A,0),5)),$C233*INDEX(SPPR!$E:$X,MATCH($A233,SPPR!$A:$A,0),5),""),"")</f>
        <v/>
      </c>
      <c r="I233">
        <f>IFERROR(IF(ISNUMBER(INDEX(SPPR!$E:$X,MATCH($A233,SPPR!$A:$A,0),6)),$C233*INDEX(SPPR!$E:$X,MATCH($A233,SPPR!$A:$A,0),6),""),"")</f>
        <v/>
      </c>
      <c r="J233">
        <f>IFERROR(IF(ISNUMBER(INDEX(SPPR!$E:$X,MATCH($A233,SPPR!$A:$A,0),7)),$C233*INDEX(SPPR!$E:$X,MATCH($A233,SPPR!$A:$A,0),7),""),"")</f>
        <v/>
      </c>
      <c r="K233">
        <f>IFERROR(IF(ISNUMBER(INDEX(SPPR!$E:$X,MATCH($A233,SPPR!$A:$A,0),8)),$C233*INDEX(SPPR!$E:$X,MATCH($A233,SPPR!$A:$A,0),8),""),"")</f>
        <v/>
      </c>
      <c r="L233">
        <f>IFERROR(IF(ISNUMBER(INDEX(SPPR!$E:$X,MATCH($A233,SPPR!$A:$A,0),9)),$C233*INDEX(SPPR!$E:$X,MATCH($A233,SPPR!$A:$A,0),9),""),"")</f>
        <v/>
      </c>
      <c r="M233">
        <f>IFERROR(IF(ISNUMBER(INDEX(SPPR!$E:$X,MATCH($A233,SPPR!$A:$A,0),10)),$C233*INDEX(SPPR!$E:$X,MATCH($A233,SPPR!$A:$A,0),10),""),"")</f>
        <v/>
      </c>
      <c r="N233">
        <f>IFERROR(IF(ISNUMBER(INDEX(SPPR!$E:$X,MATCH($A233,SPPR!$A:$A,0),11)),$C233*INDEX(SPPR!$E:$X,MATCH($A233,SPPR!$A:$A,0),11),""),"")</f>
        <v/>
      </c>
      <c r="O233">
        <f>IFERROR(IF(ISNUMBER(INDEX(SPPR!$E:$X,MATCH($A233,SPPR!$A:$A,0),12)),$C233*INDEX(SPPR!$E:$X,MATCH($A233,SPPR!$A:$A,0),12),""),"")</f>
        <v/>
      </c>
      <c r="P233">
        <f>IFERROR(IF(ISNUMBER(INDEX(SPPR!$E:$X,MATCH($A233,SPPR!$A:$A,0),13)),$C233*INDEX(SPPR!$E:$X,MATCH($A233,SPPR!$A:$A,0),13),""),"")</f>
        <v/>
      </c>
      <c r="Q233">
        <f>IFERROR(IF(ISNUMBER(INDEX(SPPR!$E:$X,MATCH($A233,SPPR!$A:$A,0),14)),$C233*INDEX(SPPR!$E:$X,MATCH($A233,SPPR!$A:$A,0),14),""),"")</f>
        <v/>
      </c>
      <c r="R233">
        <f>IFERROR(IF(ISNUMBER(INDEX(SPPR!$E:$X,MATCH($A233,SPPR!$A:$A,0),15)),$C233*INDEX(SPPR!$E:$X,MATCH($A233,SPPR!$A:$A,0),15),""),"")</f>
        <v/>
      </c>
      <c r="S233">
        <f>IFERROR(IF(ISNUMBER(INDEX(SPPR!$E:$X,MATCH($A233,SPPR!$A:$A,0),16)),$C233*INDEX(SPPR!$E:$X,MATCH($A233,SPPR!$A:$A,0),16),""),"")</f>
        <v/>
      </c>
      <c r="T233">
        <f>IFERROR(IF(ISNUMBER(INDEX(SPPR!$E:$X,MATCH($A233,SPPR!$A:$A,0),17)),$C233*INDEX(SPPR!$E:$X,MATCH($A233,SPPR!$A:$A,0),17),""),"")</f>
        <v/>
      </c>
      <c r="U233">
        <f>IFERROR(IF(ISNUMBER(INDEX(SPPR!$E:$X,MATCH($A233,SPPR!$A:$A,0),18)),$C233*INDEX(SPPR!$E:$X,MATCH($A233,SPPR!$A:$A,0),18),""),"")</f>
        <v/>
      </c>
      <c r="V233">
        <f>IFERROR(IF(ISNUMBER(INDEX(SPPR!$E:$X,MATCH($A233,SPPR!$A:$A,0),19)),$C233*INDEX(SPPR!$E:$X,MATCH($A233,SPPR!$A:$A,0),19),""),"")</f>
        <v/>
      </c>
      <c r="W233">
        <f>IFERROR(IF(ISNUMBER(INDEX(SPPR!$E:$X,MATCH($A233,SPPR!$A:$A,0),20)),$C233*INDEX(SPPR!$E:$X,MATCH($A233,SPPR!$A:$A,0),20),""),"")</f>
        <v/>
      </c>
    </row>
    <row r="234">
      <c r="A234" t="inlineStr">
        <is>
          <t>Seriola dumerili</t>
        </is>
      </c>
      <c r="B234">
        <f>IFERROR(INDEX(SPPR!$D:$D,MATCH($A234,SPPR!$A:$A,0)),"")</f>
        <v/>
      </c>
      <c r="C234">
        <f>IFERROR(INDEX(Catch!$E:$BV,MATCH($A234,Catch!$A:$A,0),MATCH($B$4,Catch!$E$1:$BV$1,0)),0)</f>
        <v/>
      </c>
      <c r="D234">
        <f>IFERROR(IF(ISNUMBER(INDEX(SPPR!$E:$X,MATCH($A234,SPPR!$A:$A,0),1)),$C234*INDEX(SPPR!$E:$X,MATCH($A234,SPPR!$A:$A,0),1),""),"")</f>
        <v/>
      </c>
      <c r="E234">
        <f>IFERROR(IF(ISNUMBER(INDEX(SPPR!$E:$X,MATCH($A234,SPPR!$A:$A,0),2)),$C234*INDEX(SPPR!$E:$X,MATCH($A234,SPPR!$A:$A,0),2),""),"")</f>
        <v/>
      </c>
      <c r="F234">
        <f>IFERROR(IF(ISNUMBER(INDEX(SPPR!$E:$X,MATCH($A234,SPPR!$A:$A,0),3)),$C234*INDEX(SPPR!$E:$X,MATCH($A234,SPPR!$A:$A,0),3),""),"")</f>
        <v/>
      </c>
      <c r="G234">
        <f>IFERROR(IF(ISNUMBER(INDEX(SPPR!$E:$X,MATCH($A234,SPPR!$A:$A,0),4)),$C234*INDEX(SPPR!$E:$X,MATCH($A234,SPPR!$A:$A,0),4),""),"")</f>
        <v/>
      </c>
      <c r="H234">
        <f>IFERROR(IF(ISNUMBER(INDEX(SPPR!$E:$X,MATCH($A234,SPPR!$A:$A,0),5)),$C234*INDEX(SPPR!$E:$X,MATCH($A234,SPPR!$A:$A,0),5),""),"")</f>
        <v/>
      </c>
      <c r="I234">
        <f>IFERROR(IF(ISNUMBER(INDEX(SPPR!$E:$X,MATCH($A234,SPPR!$A:$A,0),6)),$C234*INDEX(SPPR!$E:$X,MATCH($A234,SPPR!$A:$A,0),6),""),"")</f>
        <v/>
      </c>
      <c r="J234">
        <f>IFERROR(IF(ISNUMBER(INDEX(SPPR!$E:$X,MATCH($A234,SPPR!$A:$A,0),7)),$C234*INDEX(SPPR!$E:$X,MATCH($A234,SPPR!$A:$A,0),7),""),"")</f>
        <v/>
      </c>
      <c r="K234">
        <f>IFERROR(IF(ISNUMBER(INDEX(SPPR!$E:$X,MATCH($A234,SPPR!$A:$A,0),8)),$C234*INDEX(SPPR!$E:$X,MATCH($A234,SPPR!$A:$A,0),8),""),"")</f>
        <v/>
      </c>
      <c r="L234">
        <f>IFERROR(IF(ISNUMBER(INDEX(SPPR!$E:$X,MATCH($A234,SPPR!$A:$A,0),9)),$C234*INDEX(SPPR!$E:$X,MATCH($A234,SPPR!$A:$A,0),9),""),"")</f>
        <v/>
      </c>
      <c r="M234">
        <f>IFERROR(IF(ISNUMBER(INDEX(SPPR!$E:$X,MATCH($A234,SPPR!$A:$A,0),10)),$C234*INDEX(SPPR!$E:$X,MATCH($A234,SPPR!$A:$A,0),10),""),"")</f>
        <v/>
      </c>
      <c r="N234">
        <f>IFERROR(IF(ISNUMBER(INDEX(SPPR!$E:$X,MATCH($A234,SPPR!$A:$A,0),11)),$C234*INDEX(SPPR!$E:$X,MATCH($A234,SPPR!$A:$A,0),11),""),"")</f>
        <v/>
      </c>
      <c r="O234">
        <f>IFERROR(IF(ISNUMBER(INDEX(SPPR!$E:$X,MATCH($A234,SPPR!$A:$A,0),12)),$C234*INDEX(SPPR!$E:$X,MATCH($A234,SPPR!$A:$A,0),12),""),"")</f>
        <v/>
      </c>
      <c r="P234">
        <f>IFERROR(IF(ISNUMBER(INDEX(SPPR!$E:$X,MATCH($A234,SPPR!$A:$A,0),13)),$C234*INDEX(SPPR!$E:$X,MATCH($A234,SPPR!$A:$A,0),13),""),"")</f>
        <v/>
      </c>
      <c r="Q234">
        <f>IFERROR(IF(ISNUMBER(INDEX(SPPR!$E:$X,MATCH($A234,SPPR!$A:$A,0),14)),$C234*INDEX(SPPR!$E:$X,MATCH($A234,SPPR!$A:$A,0),14),""),"")</f>
        <v/>
      </c>
      <c r="R234">
        <f>IFERROR(IF(ISNUMBER(INDEX(SPPR!$E:$X,MATCH($A234,SPPR!$A:$A,0),15)),$C234*INDEX(SPPR!$E:$X,MATCH($A234,SPPR!$A:$A,0),15),""),"")</f>
        <v/>
      </c>
      <c r="S234">
        <f>IFERROR(IF(ISNUMBER(INDEX(SPPR!$E:$X,MATCH($A234,SPPR!$A:$A,0),16)),$C234*INDEX(SPPR!$E:$X,MATCH($A234,SPPR!$A:$A,0),16),""),"")</f>
        <v/>
      </c>
      <c r="T234">
        <f>IFERROR(IF(ISNUMBER(INDEX(SPPR!$E:$X,MATCH($A234,SPPR!$A:$A,0),17)),$C234*INDEX(SPPR!$E:$X,MATCH($A234,SPPR!$A:$A,0),17),""),"")</f>
        <v/>
      </c>
      <c r="U234">
        <f>IFERROR(IF(ISNUMBER(INDEX(SPPR!$E:$X,MATCH($A234,SPPR!$A:$A,0),18)),$C234*INDEX(SPPR!$E:$X,MATCH($A234,SPPR!$A:$A,0),18),""),"")</f>
        <v/>
      </c>
      <c r="V234">
        <f>IFERROR(IF(ISNUMBER(INDEX(SPPR!$E:$X,MATCH($A234,SPPR!$A:$A,0),19)),$C234*INDEX(SPPR!$E:$X,MATCH($A234,SPPR!$A:$A,0),19),""),"")</f>
        <v/>
      </c>
      <c r="W234">
        <f>IFERROR(IF(ISNUMBER(INDEX(SPPR!$E:$X,MATCH($A234,SPPR!$A:$A,0),20)),$C234*INDEX(SPPR!$E:$X,MATCH($A234,SPPR!$A:$A,0),20),""),"")</f>
        <v/>
      </c>
    </row>
    <row r="235">
      <c r="A235" t="inlineStr">
        <is>
          <t>Cheilopogon unicolor</t>
        </is>
      </c>
      <c r="B235">
        <f>IFERROR(INDEX(SPPR!$D:$D,MATCH($A235,SPPR!$A:$A,0)),"")</f>
        <v/>
      </c>
      <c r="C235">
        <f>IFERROR(INDEX(Catch!$E:$BV,MATCH($A235,Catch!$A:$A,0),MATCH($B$4,Catch!$E$1:$BV$1,0)),0)</f>
        <v/>
      </c>
      <c r="D235">
        <f>IFERROR(IF(ISNUMBER(INDEX(SPPR!$E:$X,MATCH($A235,SPPR!$A:$A,0),1)),$C235*INDEX(SPPR!$E:$X,MATCH($A235,SPPR!$A:$A,0),1),""),"")</f>
        <v/>
      </c>
      <c r="E235">
        <f>IFERROR(IF(ISNUMBER(INDEX(SPPR!$E:$X,MATCH($A235,SPPR!$A:$A,0),2)),$C235*INDEX(SPPR!$E:$X,MATCH($A235,SPPR!$A:$A,0),2),""),"")</f>
        <v/>
      </c>
      <c r="F235">
        <f>IFERROR(IF(ISNUMBER(INDEX(SPPR!$E:$X,MATCH($A235,SPPR!$A:$A,0),3)),$C235*INDEX(SPPR!$E:$X,MATCH($A235,SPPR!$A:$A,0),3),""),"")</f>
        <v/>
      </c>
      <c r="G235">
        <f>IFERROR(IF(ISNUMBER(INDEX(SPPR!$E:$X,MATCH($A235,SPPR!$A:$A,0),4)),$C235*INDEX(SPPR!$E:$X,MATCH($A235,SPPR!$A:$A,0),4),""),"")</f>
        <v/>
      </c>
      <c r="H235">
        <f>IFERROR(IF(ISNUMBER(INDEX(SPPR!$E:$X,MATCH($A235,SPPR!$A:$A,0),5)),$C235*INDEX(SPPR!$E:$X,MATCH($A235,SPPR!$A:$A,0),5),""),"")</f>
        <v/>
      </c>
      <c r="I235">
        <f>IFERROR(IF(ISNUMBER(INDEX(SPPR!$E:$X,MATCH($A235,SPPR!$A:$A,0),6)),$C235*INDEX(SPPR!$E:$X,MATCH($A235,SPPR!$A:$A,0),6),""),"")</f>
        <v/>
      </c>
      <c r="J235">
        <f>IFERROR(IF(ISNUMBER(INDEX(SPPR!$E:$X,MATCH($A235,SPPR!$A:$A,0),7)),$C235*INDEX(SPPR!$E:$X,MATCH($A235,SPPR!$A:$A,0),7),""),"")</f>
        <v/>
      </c>
      <c r="K235">
        <f>IFERROR(IF(ISNUMBER(INDEX(SPPR!$E:$X,MATCH($A235,SPPR!$A:$A,0),8)),$C235*INDEX(SPPR!$E:$X,MATCH($A235,SPPR!$A:$A,0),8),""),"")</f>
        <v/>
      </c>
      <c r="L235">
        <f>IFERROR(IF(ISNUMBER(INDEX(SPPR!$E:$X,MATCH($A235,SPPR!$A:$A,0),9)),$C235*INDEX(SPPR!$E:$X,MATCH($A235,SPPR!$A:$A,0),9),""),"")</f>
        <v/>
      </c>
      <c r="M235">
        <f>IFERROR(IF(ISNUMBER(INDEX(SPPR!$E:$X,MATCH($A235,SPPR!$A:$A,0),10)),$C235*INDEX(SPPR!$E:$X,MATCH($A235,SPPR!$A:$A,0),10),""),"")</f>
        <v/>
      </c>
      <c r="N235">
        <f>IFERROR(IF(ISNUMBER(INDEX(SPPR!$E:$X,MATCH($A235,SPPR!$A:$A,0),11)),$C235*INDEX(SPPR!$E:$X,MATCH($A235,SPPR!$A:$A,0),11),""),"")</f>
        <v/>
      </c>
      <c r="O235">
        <f>IFERROR(IF(ISNUMBER(INDEX(SPPR!$E:$X,MATCH($A235,SPPR!$A:$A,0),12)),$C235*INDEX(SPPR!$E:$X,MATCH($A235,SPPR!$A:$A,0),12),""),"")</f>
        <v/>
      </c>
      <c r="P235">
        <f>IFERROR(IF(ISNUMBER(INDEX(SPPR!$E:$X,MATCH($A235,SPPR!$A:$A,0),13)),$C235*INDEX(SPPR!$E:$X,MATCH($A235,SPPR!$A:$A,0),13),""),"")</f>
        <v/>
      </c>
      <c r="Q235">
        <f>IFERROR(IF(ISNUMBER(INDEX(SPPR!$E:$X,MATCH($A235,SPPR!$A:$A,0),14)),$C235*INDEX(SPPR!$E:$X,MATCH($A235,SPPR!$A:$A,0),14),""),"")</f>
        <v/>
      </c>
      <c r="R235">
        <f>IFERROR(IF(ISNUMBER(INDEX(SPPR!$E:$X,MATCH($A235,SPPR!$A:$A,0),15)),$C235*INDEX(SPPR!$E:$X,MATCH($A235,SPPR!$A:$A,0),15),""),"")</f>
        <v/>
      </c>
      <c r="S235">
        <f>IFERROR(IF(ISNUMBER(INDEX(SPPR!$E:$X,MATCH($A235,SPPR!$A:$A,0),16)),$C235*INDEX(SPPR!$E:$X,MATCH($A235,SPPR!$A:$A,0),16),""),"")</f>
        <v/>
      </c>
      <c r="T235">
        <f>IFERROR(IF(ISNUMBER(INDEX(SPPR!$E:$X,MATCH($A235,SPPR!$A:$A,0),17)),$C235*INDEX(SPPR!$E:$X,MATCH($A235,SPPR!$A:$A,0),17),""),"")</f>
        <v/>
      </c>
      <c r="U235">
        <f>IFERROR(IF(ISNUMBER(INDEX(SPPR!$E:$X,MATCH($A235,SPPR!$A:$A,0),18)),$C235*INDEX(SPPR!$E:$X,MATCH($A235,SPPR!$A:$A,0),18),""),"")</f>
        <v/>
      </c>
      <c r="V235">
        <f>IFERROR(IF(ISNUMBER(INDEX(SPPR!$E:$X,MATCH($A235,SPPR!$A:$A,0),19)),$C235*INDEX(SPPR!$E:$X,MATCH($A235,SPPR!$A:$A,0),19),""),"")</f>
        <v/>
      </c>
      <c r="W235">
        <f>IFERROR(IF(ISNUMBER(INDEX(SPPR!$E:$X,MATCH($A235,SPPR!$A:$A,0),20)),$C235*INDEX(SPPR!$E:$X,MATCH($A235,SPPR!$A:$A,0),20),""),"")</f>
        <v/>
      </c>
    </row>
    <row r="236">
      <c r="A236" t="inlineStr">
        <is>
          <t>Lates calcarifer</t>
        </is>
      </c>
      <c r="B236">
        <f>IFERROR(INDEX(SPPR!$D:$D,MATCH($A236,SPPR!$A:$A,0)),"")</f>
        <v/>
      </c>
      <c r="C236">
        <f>IFERROR(INDEX(Catch!$E:$BV,MATCH($A236,Catch!$A:$A,0),MATCH($B$4,Catch!$E$1:$BV$1,0)),0)</f>
        <v/>
      </c>
      <c r="D236">
        <f>IFERROR(IF(ISNUMBER(INDEX(SPPR!$E:$X,MATCH($A236,SPPR!$A:$A,0),1)),$C236*INDEX(SPPR!$E:$X,MATCH($A236,SPPR!$A:$A,0),1),""),"")</f>
        <v/>
      </c>
      <c r="E236">
        <f>IFERROR(IF(ISNUMBER(INDEX(SPPR!$E:$X,MATCH($A236,SPPR!$A:$A,0),2)),$C236*INDEX(SPPR!$E:$X,MATCH($A236,SPPR!$A:$A,0),2),""),"")</f>
        <v/>
      </c>
      <c r="F236">
        <f>IFERROR(IF(ISNUMBER(INDEX(SPPR!$E:$X,MATCH($A236,SPPR!$A:$A,0),3)),$C236*INDEX(SPPR!$E:$X,MATCH($A236,SPPR!$A:$A,0),3),""),"")</f>
        <v/>
      </c>
      <c r="G236">
        <f>IFERROR(IF(ISNUMBER(INDEX(SPPR!$E:$X,MATCH($A236,SPPR!$A:$A,0),4)),$C236*INDEX(SPPR!$E:$X,MATCH($A236,SPPR!$A:$A,0),4),""),"")</f>
        <v/>
      </c>
      <c r="H236">
        <f>IFERROR(IF(ISNUMBER(INDEX(SPPR!$E:$X,MATCH($A236,SPPR!$A:$A,0),5)),$C236*INDEX(SPPR!$E:$X,MATCH($A236,SPPR!$A:$A,0),5),""),"")</f>
        <v/>
      </c>
      <c r="I236">
        <f>IFERROR(IF(ISNUMBER(INDEX(SPPR!$E:$X,MATCH($A236,SPPR!$A:$A,0),6)),$C236*INDEX(SPPR!$E:$X,MATCH($A236,SPPR!$A:$A,0),6),""),"")</f>
        <v/>
      </c>
      <c r="J236">
        <f>IFERROR(IF(ISNUMBER(INDEX(SPPR!$E:$X,MATCH($A236,SPPR!$A:$A,0),7)),$C236*INDEX(SPPR!$E:$X,MATCH($A236,SPPR!$A:$A,0),7),""),"")</f>
        <v/>
      </c>
      <c r="K236">
        <f>IFERROR(IF(ISNUMBER(INDEX(SPPR!$E:$X,MATCH($A236,SPPR!$A:$A,0),8)),$C236*INDEX(SPPR!$E:$X,MATCH($A236,SPPR!$A:$A,0),8),""),"")</f>
        <v/>
      </c>
      <c r="L236">
        <f>IFERROR(IF(ISNUMBER(INDEX(SPPR!$E:$X,MATCH($A236,SPPR!$A:$A,0),9)),$C236*INDEX(SPPR!$E:$X,MATCH($A236,SPPR!$A:$A,0),9),""),"")</f>
        <v/>
      </c>
      <c r="M236">
        <f>IFERROR(IF(ISNUMBER(INDEX(SPPR!$E:$X,MATCH($A236,SPPR!$A:$A,0),10)),$C236*INDEX(SPPR!$E:$X,MATCH($A236,SPPR!$A:$A,0),10),""),"")</f>
        <v/>
      </c>
      <c r="N236">
        <f>IFERROR(IF(ISNUMBER(INDEX(SPPR!$E:$X,MATCH($A236,SPPR!$A:$A,0),11)),$C236*INDEX(SPPR!$E:$X,MATCH($A236,SPPR!$A:$A,0),11),""),"")</f>
        <v/>
      </c>
      <c r="O236">
        <f>IFERROR(IF(ISNUMBER(INDEX(SPPR!$E:$X,MATCH($A236,SPPR!$A:$A,0),12)),$C236*INDEX(SPPR!$E:$X,MATCH($A236,SPPR!$A:$A,0),12),""),"")</f>
        <v/>
      </c>
      <c r="P236">
        <f>IFERROR(IF(ISNUMBER(INDEX(SPPR!$E:$X,MATCH($A236,SPPR!$A:$A,0),13)),$C236*INDEX(SPPR!$E:$X,MATCH($A236,SPPR!$A:$A,0),13),""),"")</f>
        <v/>
      </c>
      <c r="Q236">
        <f>IFERROR(IF(ISNUMBER(INDEX(SPPR!$E:$X,MATCH($A236,SPPR!$A:$A,0),14)),$C236*INDEX(SPPR!$E:$X,MATCH($A236,SPPR!$A:$A,0),14),""),"")</f>
        <v/>
      </c>
      <c r="R236">
        <f>IFERROR(IF(ISNUMBER(INDEX(SPPR!$E:$X,MATCH($A236,SPPR!$A:$A,0),15)),$C236*INDEX(SPPR!$E:$X,MATCH($A236,SPPR!$A:$A,0),15),""),"")</f>
        <v/>
      </c>
      <c r="S236">
        <f>IFERROR(IF(ISNUMBER(INDEX(SPPR!$E:$X,MATCH($A236,SPPR!$A:$A,0),16)),$C236*INDEX(SPPR!$E:$X,MATCH($A236,SPPR!$A:$A,0),16),""),"")</f>
        <v/>
      </c>
      <c r="T236">
        <f>IFERROR(IF(ISNUMBER(INDEX(SPPR!$E:$X,MATCH($A236,SPPR!$A:$A,0),17)),$C236*INDEX(SPPR!$E:$X,MATCH($A236,SPPR!$A:$A,0),17),""),"")</f>
        <v/>
      </c>
      <c r="U236">
        <f>IFERROR(IF(ISNUMBER(INDEX(SPPR!$E:$X,MATCH($A236,SPPR!$A:$A,0),18)),$C236*INDEX(SPPR!$E:$X,MATCH($A236,SPPR!$A:$A,0),18),""),"")</f>
        <v/>
      </c>
      <c r="V236">
        <f>IFERROR(IF(ISNUMBER(INDEX(SPPR!$E:$X,MATCH($A236,SPPR!$A:$A,0),19)),$C236*INDEX(SPPR!$E:$X,MATCH($A236,SPPR!$A:$A,0),19),""),"")</f>
        <v/>
      </c>
      <c r="W236">
        <f>IFERROR(IF(ISNUMBER(INDEX(SPPR!$E:$X,MATCH($A236,SPPR!$A:$A,0),20)),$C236*INDEX(SPPR!$E:$X,MATCH($A236,SPPR!$A:$A,0),20),""),"")</f>
        <v/>
      </c>
    </row>
    <row r="237">
      <c r="A237" t="inlineStr">
        <is>
          <t>Hexagrammidae</t>
        </is>
      </c>
      <c r="B237">
        <f>IFERROR(INDEX(SPPR!$D:$D,MATCH($A237,SPPR!$A:$A,0)),"")</f>
        <v/>
      </c>
      <c r="C237">
        <f>IFERROR(INDEX(Catch!$E:$BV,MATCH($A237,Catch!$A:$A,0),MATCH($B$4,Catch!$E$1:$BV$1,0)),0)</f>
        <v/>
      </c>
      <c r="D237">
        <f>IFERROR(IF(ISNUMBER(INDEX(SPPR!$E:$X,MATCH($A237,SPPR!$A:$A,0),1)),$C237*INDEX(SPPR!$E:$X,MATCH($A237,SPPR!$A:$A,0),1),""),"")</f>
        <v/>
      </c>
      <c r="E237">
        <f>IFERROR(IF(ISNUMBER(INDEX(SPPR!$E:$X,MATCH($A237,SPPR!$A:$A,0),2)),$C237*INDEX(SPPR!$E:$X,MATCH($A237,SPPR!$A:$A,0),2),""),"")</f>
        <v/>
      </c>
      <c r="F237">
        <f>IFERROR(IF(ISNUMBER(INDEX(SPPR!$E:$X,MATCH($A237,SPPR!$A:$A,0),3)),$C237*INDEX(SPPR!$E:$X,MATCH($A237,SPPR!$A:$A,0),3),""),"")</f>
        <v/>
      </c>
      <c r="G237">
        <f>IFERROR(IF(ISNUMBER(INDEX(SPPR!$E:$X,MATCH($A237,SPPR!$A:$A,0),4)),$C237*INDEX(SPPR!$E:$X,MATCH($A237,SPPR!$A:$A,0),4),""),"")</f>
        <v/>
      </c>
      <c r="H237">
        <f>IFERROR(IF(ISNUMBER(INDEX(SPPR!$E:$X,MATCH($A237,SPPR!$A:$A,0),5)),$C237*INDEX(SPPR!$E:$X,MATCH($A237,SPPR!$A:$A,0),5),""),"")</f>
        <v/>
      </c>
      <c r="I237">
        <f>IFERROR(IF(ISNUMBER(INDEX(SPPR!$E:$X,MATCH($A237,SPPR!$A:$A,0),6)),$C237*INDEX(SPPR!$E:$X,MATCH($A237,SPPR!$A:$A,0),6),""),"")</f>
        <v/>
      </c>
      <c r="J237">
        <f>IFERROR(IF(ISNUMBER(INDEX(SPPR!$E:$X,MATCH($A237,SPPR!$A:$A,0),7)),$C237*INDEX(SPPR!$E:$X,MATCH($A237,SPPR!$A:$A,0),7),""),"")</f>
        <v/>
      </c>
      <c r="K237">
        <f>IFERROR(IF(ISNUMBER(INDEX(SPPR!$E:$X,MATCH($A237,SPPR!$A:$A,0),8)),$C237*INDEX(SPPR!$E:$X,MATCH($A237,SPPR!$A:$A,0),8),""),"")</f>
        <v/>
      </c>
      <c r="L237">
        <f>IFERROR(IF(ISNUMBER(INDEX(SPPR!$E:$X,MATCH($A237,SPPR!$A:$A,0),9)),$C237*INDEX(SPPR!$E:$X,MATCH($A237,SPPR!$A:$A,0),9),""),"")</f>
        <v/>
      </c>
      <c r="M237">
        <f>IFERROR(IF(ISNUMBER(INDEX(SPPR!$E:$X,MATCH($A237,SPPR!$A:$A,0),10)),$C237*INDEX(SPPR!$E:$X,MATCH($A237,SPPR!$A:$A,0),10),""),"")</f>
        <v/>
      </c>
      <c r="N237">
        <f>IFERROR(IF(ISNUMBER(INDEX(SPPR!$E:$X,MATCH($A237,SPPR!$A:$A,0),11)),$C237*INDEX(SPPR!$E:$X,MATCH($A237,SPPR!$A:$A,0),11),""),"")</f>
        <v/>
      </c>
      <c r="O237">
        <f>IFERROR(IF(ISNUMBER(INDEX(SPPR!$E:$X,MATCH($A237,SPPR!$A:$A,0),12)),$C237*INDEX(SPPR!$E:$X,MATCH($A237,SPPR!$A:$A,0),12),""),"")</f>
        <v/>
      </c>
      <c r="P237">
        <f>IFERROR(IF(ISNUMBER(INDEX(SPPR!$E:$X,MATCH($A237,SPPR!$A:$A,0),13)),$C237*INDEX(SPPR!$E:$X,MATCH($A237,SPPR!$A:$A,0),13),""),"")</f>
        <v/>
      </c>
      <c r="Q237">
        <f>IFERROR(IF(ISNUMBER(INDEX(SPPR!$E:$X,MATCH($A237,SPPR!$A:$A,0),14)),$C237*INDEX(SPPR!$E:$X,MATCH($A237,SPPR!$A:$A,0),14),""),"")</f>
        <v/>
      </c>
      <c r="R237">
        <f>IFERROR(IF(ISNUMBER(INDEX(SPPR!$E:$X,MATCH($A237,SPPR!$A:$A,0),15)),$C237*INDEX(SPPR!$E:$X,MATCH($A237,SPPR!$A:$A,0),15),""),"")</f>
        <v/>
      </c>
      <c r="S237">
        <f>IFERROR(IF(ISNUMBER(INDEX(SPPR!$E:$X,MATCH($A237,SPPR!$A:$A,0),16)),$C237*INDEX(SPPR!$E:$X,MATCH($A237,SPPR!$A:$A,0),16),""),"")</f>
        <v/>
      </c>
      <c r="T237">
        <f>IFERROR(IF(ISNUMBER(INDEX(SPPR!$E:$X,MATCH($A237,SPPR!$A:$A,0),17)),$C237*INDEX(SPPR!$E:$X,MATCH($A237,SPPR!$A:$A,0),17),""),"")</f>
        <v/>
      </c>
      <c r="U237">
        <f>IFERROR(IF(ISNUMBER(INDEX(SPPR!$E:$X,MATCH($A237,SPPR!$A:$A,0),18)),$C237*INDEX(SPPR!$E:$X,MATCH($A237,SPPR!$A:$A,0),18),""),"")</f>
        <v/>
      </c>
      <c r="V237">
        <f>IFERROR(IF(ISNUMBER(INDEX(SPPR!$E:$X,MATCH($A237,SPPR!$A:$A,0),19)),$C237*INDEX(SPPR!$E:$X,MATCH($A237,SPPR!$A:$A,0),19),""),"")</f>
        <v/>
      </c>
      <c r="W237">
        <f>IFERROR(IF(ISNUMBER(INDEX(SPPR!$E:$X,MATCH($A237,SPPR!$A:$A,0),20)),$C237*INDEX(SPPR!$E:$X,MATCH($A237,SPPR!$A:$A,0),20),""),"")</f>
        <v/>
      </c>
    </row>
    <row r="238">
      <c r="A238" t="inlineStr">
        <is>
          <t>Clupanodon thrissa</t>
        </is>
      </c>
      <c r="B238">
        <f>IFERROR(INDEX(SPPR!$D:$D,MATCH($A238,SPPR!$A:$A,0)),"")</f>
        <v/>
      </c>
      <c r="C238">
        <f>IFERROR(INDEX(Catch!$E:$BV,MATCH($A238,Catch!$A:$A,0),MATCH($B$4,Catch!$E$1:$BV$1,0)),0)</f>
        <v/>
      </c>
      <c r="D238">
        <f>IFERROR(IF(ISNUMBER(INDEX(SPPR!$E:$X,MATCH($A238,SPPR!$A:$A,0),1)),$C238*INDEX(SPPR!$E:$X,MATCH($A238,SPPR!$A:$A,0),1),""),"")</f>
        <v/>
      </c>
      <c r="E238">
        <f>IFERROR(IF(ISNUMBER(INDEX(SPPR!$E:$X,MATCH($A238,SPPR!$A:$A,0),2)),$C238*INDEX(SPPR!$E:$X,MATCH($A238,SPPR!$A:$A,0),2),""),"")</f>
        <v/>
      </c>
      <c r="F238">
        <f>IFERROR(IF(ISNUMBER(INDEX(SPPR!$E:$X,MATCH($A238,SPPR!$A:$A,0),3)),$C238*INDEX(SPPR!$E:$X,MATCH($A238,SPPR!$A:$A,0),3),""),"")</f>
        <v/>
      </c>
      <c r="G238">
        <f>IFERROR(IF(ISNUMBER(INDEX(SPPR!$E:$X,MATCH($A238,SPPR!$A:$A,0),4)),$C238*INDEX(SPPR!$E:$X,MATCH($A238,SPPR!$A:$A,0),4),""),"")</f>
        <v/>
      </c>
      <c r="H238">
        <f>IFERROR(IF(ISNUMBER(INDEX(SPPR!$E:$X,MATCH($A238,SPPR!$A:$A,0),5)),$C238*INDEX(SPPR!$E:$X,MATCH($A238,SPPR!$A:$A,0),5),""),"")</f>
        <v/>
      </c>
      <c r="I238">
        <f>IFERROR(IF(ISNUMBER(INDEX(SPPR!$E:$X,MATCH($A238,SPPR!$A:$A,0),6)),$C238*INDEX(SPPR!$E:$X,MATCH($A238,SPPR!$A:$A,0),6),""),"")</f>
        <v/>
      </c>
      <c r="J238">
        <f>IFERROR(IF(ISNUMBER(INDEX(SPPR!$E:$X,MATCH($A238,SPPR!$A:$A,0),7)),$C238*INDEX(SPPR!$E:$X,MATCH($A238,SPPR!$A:$A,0),7),""),"")</f>
        <v/>
      </c>
      <c r="K238">
        <f>IFERROR(IF(ISNUMBER(INDEX(SPPR!$E:$X,MATCH($A238,SPPR!$A:$A,0),8)),$C238*INDEX(SPPR!$E:$X,MATCH($A238,SPPR!$A:$A,0),8),""),"")</f>
        <v/>
      </c>
      <c r="L238">
        <f>IFERROR(IF(ISNUMBER(INDEX(SPPR!$E:$X,MATCH($A238,SPPR!$A:$A,0),9)),$C238*INDEX(SPPR!$E:$X,MATCH($A238,SPPR!$A:$A,0),9),""),"")</f>
        <v/>
      </c>
      <c r="M238">
        <f>IFERROR(IF(ISNUMBER(INDEX(SPPR!$E:$X,MATCH($A238,SPPR!$A:$A,0),10)),$C238*INDEX(SPPR!$E:$X,MATCH($A238,SPPR!$A:$A,0),10),""),"")</f>
        <v/>
      </c>
      <c r="N238">
        <f>IFERROR(IF(ISNUMBER(INDEX(SPPR!$E:$X,MATCH($A238,SPPR!$A:$A,0),11)),$C238*INDEX(SPPR!$E:$X,MATCH($A238,SPPR!$A:$A,0),11),""),"")</f>
        <v/>
      </c>
      <c r="O238">
        <f>IFERROR(IF(ISNUMBER(INDEX(SPPR!$E:$X,MATCH($A238,SPPR!$A:$A,0),12)),$C238*INDEX(SPPR!$E:$X,MATCH($A238,SPPR!$A:$A,0),12),""),"")</f>
        <v/>
      </c>
      <c r="P238">
        <f>IFERROR(IF(ISNUMBER(INDEX(SPPR!$E:$X,MATCH($A238,SPPR!$A:$A,0),13)),$C238*INDEX(SPPR!$E:$X,MATCH($A238,SPPR!$A:$A,0),13),""),"")</f>
        <v/>
      </c>
      <c r="Q238">
        <f>IFERROR(IF(ISNUMBER(INDEX(SPPR!$E:$X,MATCH($A238,SPPR!$A:$A,0),14)),$C238*INDEX(SPPR!$E:$X,MATCH($A238,SPPR!$A:$A,0),14),""),"")</f>
        <v/>
      </c>
      <c r="R238">
        <f>IFERROR(IF(ISNUMBER(INDEX(SPPR!$E:$X,MATCH($A238,SPPR!$A:$A,0),15)),$C238*INDEX(SPPR!$E:$X,MATCH($A238,SPPR!$A:$A,0),15),""),"")</f>
        <v/>
      </c>
      <c r="S238">
        <f>IFERROR(IF(ISNUMBER(INDEX(SPPR!$E:$X,MATCH($A238,SPPR!$A:$A,0),16)),$C238*INDEX(SPPR!$E:$X,MATCH($A238,SPPR!$A:$A,0),16),""),"")</f>
        <v/>
      </c>
      <c r="T238">
        <f>IFERROR(IF(ISNUMBER(INDEX(SPPR!$E:$X,MATCH($A238,SPPR!$A:$A,0),17)),$C238*INDEX(SPPR!$E:$X,MATCH($A238,SPPR!$A:$A,0),17),""),"")</f>
        <v/>
      </c>
      <c r="U238">
        <f>IFERROR(IF(ISNUMBER(INDEX(SPPR!$E:$X,MATCH($A238,SPPR!$A:$A,0),18)),$C238*INDEX(SPPR!$E:$X,MATCH($A238,SPPR!$A:$A,0),18),""),"")</f>
        <v/>
      </c>
      <c r="V238">
        <f>IFERROR(IF(ISNUMBER(INDEX(SPPR!$E:$X,MATCH($A238,SPPR!$A:$A,0),19)),$C238*INDEX(SPPR!$E:$X,MATCH($A238,SPPR!$A:$A,0),19),""),"")</f>
        <v/>
      </c>
      <c r="W238">
        <f>IFERROR(IF(ISNUMBER(INDEX(SPPR!$E:$X,MATCH($A238,SPPR!$A:$A,0),20)),$C238*INDEX(SPPR!$E:$X,MATCH($A238,SPPR!$A:$A,0),20),""),"")</f>
        <v/>
      </c>
    </row>
    <row r="239">
      <c r="A239" t="inlineStr">
        <is>
          <t>Ommastrephes bartramii</t>
        </is>
      </c>
      <c r="B239">
        <f>IFERROR(INDEX(SPPR!$D:$D,MATCH($A239,SPPR!$A:$A,0)),"")</f>
        <v/>
      </c>
      <c r="C239">
        <f>IFERROR(INDEX(Catch!$E:$BV,MATCH($A239,Catch!$A:$A,0),MATCH($B$4,Catch!$E$1:$BV$1,0)),0)</f>
        <v/>
      </c>
      <c r="D239">
        <f>IFERROR(IF(ISNUMBER(INDEX(SPPR!$E:$X,MATCH($A239,SPPR!$A:$A,0),1)),$C239*INDEX(SPPR!$E:$X,MATCH($A239,SPPR!$A:$A,0),1),""),"")</f>
        <v/>
      </c>
      <c r="E239">
        <f>IFERROR(IF(ISNUMBER(INDEX(SPPR!$E:$X,MATCH($A239,SPPR!$A:$A,0),2)),$C239*INDEX(SPPR!$E:$X,MATCH($A239,SPPR!$A:$A,0),2),""),"")</f>
        <v/>
      </c>
      <c r="F239">
        <f>IFERROR(IF(ISNUMBER(INDEX(SPPR!$E:$X,MATCH($A239,SPPR!$A:$A,0),3)),$C239*INDEX(SPPR!$E:$X,MATCH($A239,SPPR!$A:$A,0),3),""),"")</f>
        <v/>
      </c>
      <c r="G239">
        <f>IFERROR(IF(ISNUMBER(INDEX(SPPR!$E:$X,MATCH($A239,SPPR!$A:$A,0),4)),$C239*INDEX(SPPR!$E:$X,MATCH($A239,SPPR!$A:$A,0),4),""),"")</f>
        <v/>
      </c>
      <c r="H239">
        <f>IFERROR(IF(ISNUMBER(INDEX(SPPR!$E:$X,MATCH($A239,SPPR!$A:$A,0),5)),$C239*INDEX(SPPR!$E:$X,MATCH($A239,SPPR!$A:$A,0),5),""),"")</f>
        <v/>
      </c>
      <c r="I239">
        <f>IFERROR(IF(ISNUMBER(INDEX(SPPR!$E:$X,MATCH($A239,SPPR!$A:$A,0),6)),$C239*INDEX(SPPR!$E:$X,MATCH($A239,SPPR!$A:$A,0),6),""),"")</f>
        <v/>
      </c>
      <c r="J239">
        <f>IFERROR(IF(ISNUMBER(INDEX(SPPR!$E:$X,MATCH($A239,SPPR!$A:$A,0),7)),$C239*INDEX(SPPR!$E:$X,MATCH($A239,SPPR!$A:$A,0),7),""),"")</f>
        <v/>
      </c>
      <c r="K239">
        <f>IFERROR(IF(ISNUMBER(INDEX(SPPR!$E:$X,MATCH($A239,SPPR!$A:$A,0),8)),$C239*INDEX(SPPR!$E:$X,MATCH($A239,SPPR!$A:$A,0),8),""),"")</f>
        <v/>
      </c>
      <c r="L239">
        <f>IFERROR(IF(ISNUMBER(INDEX(SPPR!$E:$X,MATCH($A239,SPPR!$A:$A,0),9)),$C239*INDEX(SPPR!$E:$X,MATCH($A239,SPPR!$A:$A,0),9),""),"")</f>
        <v/>
      </c>
      <c r="M239">
        <f>IFERROR(IF(ISNUMBER(INDEX(SPPR!$E:$X,MATCH($A239,SPPR!$A:$A,0),10)),$C239*INDEX(SPPR!$E:$X,MATCH($A239,SPPR!$A:$A,0),10),""),"")</f>
        <v/>
      </c>
      <c r="N239">
        <f>IFERROR(IF(ISNUMBER(INDEX(SPPR!$E:$X,MATCH($A239,SPPR!$A:$A,0),11)),$C239*INDEX(SPPR!$E:$X,MATCH($A239,SPPR!$A:$A,0),11),""),"")</f>
        <v/>
      </c>
      <c r="O239">
        <f>IFERROR(IF(ISNUMBER(INDEX(SPPR!$E:$X,MATCH($A239,SPPR!$A:$A,0),12)),$C239*INDEX(SPPR!$E:$X,MATCH($A239,SPPR!$A:$A,0),12),""),"")</f>
        <v/>
      </c>
      <c r="P239">
        <f>IFERROR(IF(ISNUMBER(INDEX(SPPR!$E:$X,MATCH($A239,SPPR!$A:$A,0),13)),$C239*INDEX(SPPR!$E:$X,MATCH($A239,SPPR!$A:$A,0),13),""),"")</f>
        <v/>
      </c>
      <c r="Q239">
        <f>IFERROR(IF(ISNUMBER(INDEX(SPPR!$E:$X,MATCH($A239,SPPR!$A:$A,0),14)),$C239*INDEX(SPPR!$E:$X,MATCH($A239,SPPR!$A:$A,0),14),""),"")</f>
        <v/>
      </c>
      <c r="R239">
        <f>IFERROR(IF(ISNUMBER(INDEX(SPPR!$E:$X,MATCH($A239,SPPR!$A:$A,0),15)),$C239*INDEX(SPPR!$E:$X,MATCH($A239,SPPR!$A:$A,0),15),""),"")</f>
        <v/>
      </c>
      <c r="S239">
        <f>IFERROR(IF(ISNUMBER(INDEX(SPPR!$E:$X,MATCH($A239,SPPR!$A:$A,0),16)),$C239*INDEX(SPPR!$E:$X,MATCH($A239,SPPR!$A:$A,0),16),""),"")</f>
        <v/>
      </c>
      <c r="T239">
        <f>IFERROR(IF(ISNUMBER(INDEX(SPPR!$E:$X,MATCH($A239,SPPR!$A:$A,0),17)),$C239*INDEX(SPPR!$E:$X,MATCH($A239,SPPR!$A:$A,0),17),""),"")</f>
        <v/>
      </c>
      <c r="U239">
        <f>IFERROR(IF(ISNUMBER(INDEX(SPPR!$E:$X,MATCH($A239,SPPR!$A:$A,0),18)),$C239*INDEX(SPPR!$E:$X,MATCH($A239,SPPR!$A:$A,0),18),""),"")</f>
        <v/>
      </c>
      <c r="V239">
        <f>IFERROR(IF(ISNUMBER(INDEX(SPPR!$E:$X,MATCH($A239,SPPR!$A:$A,0),19)),$C239*INDEX(SPPR!$E:$X,MATCH($A239,SPPR!$A:$A,0),19),""),"")</f>
        <v/>
      </c>
      <c r="W239">
        <f>IFERROR(IF(ISNUMBER(INDEX(SPPR!$E:$X,MATCH($A239,SPPR!$A:$A,0),20)),$C239*INDEX(SPPR!$E:$X,MATCH($A239,SPPR!$A:$A,0),20),""),"")</f>
        <v/>
      </c>
    </row>
    <row r="240">
      <c r="A240" t="inlineStr">
        <is>
          <t>Mola mola</t>
        </is>
      </c>
      <c r="B240">
        <f>IFERROR(INDEX(SPPR!$D:$D,MATCH($A240,SPPR!$A:$A,0)),"")</f>
        <v/>
      </c>
      <c r="C240">
        <f>IFERROR(INDEX(Catch!$E:$BV,MATCH($A240,Catch!$A:$A,0),MATCH($B$4,Catch!$E$1:$BV$1,0)),0)</f>
        <v/>
      </c>
      <c r="D240">
        <f>IFERROR(IF(ISNUMBER(INDEX(SPPR!$E:$X,MATCH($A240,SPPR!$A:$A,0),1)),$C240*INDEX(SPPR!$E:$X,MATCH($A240,SPPR!$A:$A,0),1),""),"")</f>
        <v/>
      </c>
      <c r="E240">
        <f>IFERROR(IF(ISNUMBER(INDEX(SPPR!$E:$X,MATCH($A240,SPPR!$A:$A,0),2)),$C240*INDEX(SPPR!$E:$X,MATCH($A240,SPPR!$A:$A,0),2),""),"")</f>
        <v/>
      </c>
      <c r="F240">
        <f>IFERROR(IF(ISNUMBER(INDEX(SPPR!$E:$X,MATCH($A240,SPPR!$A:$A,0),3)),$C240*INDEX(SPPR!$E:$X,MATCH($A240,SPPR!$A:$A,0),3),""),"")</f>
        <v/>
      </c>
      <c r="G240">
        <f>IFERROR(IF(ISNUMBER(INDEX(SPPR!$E:$X,MATCH($A240,SPPR!$A:$A,0),4)),$C240*INDEX(SPPR!$E:$X,MATCH($A240,SPPR!$A:$A,0),4),""),"")</f>
        <v/>
      </c>
      <c r="H240">
        <f>IFERROR(IF(ISNUMBER(INDEX(SPPR!$E:$X,MATCH($A240,SPPR!$A:$A,0),5)),$C240*INDEX(SPPR!$E:$X,MATCH($A240,SPPR!$A:$A,0),5),""),"")</f>
        <v/>
      </c>
      <c r="I240">
        <f>IFERROR(IF(ISNUMBER(INDEX(SPPR!$E:$X,MATCH($A240,SPPR!$A:$A,0),6)),$C240*INDEX(SPPR!$E:$X,MATCH($A240,SPPR!$A:$A,0),6),""),"")</f>
        <v/>
      </c>
      <c r="J240">
        <f>IFERROR(IF(ISNUMBER(INDEX(SPPR!$E:$X,MATCH($A240,SPPR!$A:$A,0),7)),$C240*INDEX(SPPR!$E:$X,MATCH($A240,SPPR!$A:$A,0),7),""),"")</f>
        <v/>
      </c>
      <c r="K240">
        <f>IFERROR(IF(ISNUMBER(INDEX(SPPR!$E:$X,MATCH($A240,SPPR!$A:$A,0),8)),$C240*INDEX(SPPR!$E:$X,MATCH($A240,SPPR!$A:$A,0),8),""),"")</f>
        <v/>
      </c>
      <c r="L240">
        <f>IFERROR(IF(ISNUMBER(INDEX(SPPR!$E:$X,MATCH($A240,SPPR!$A:$A,0),9)),$C240*INDEX(SPPR!$E:$X,MATCH($A240,SPPR!$A:$A,0),9),""),"")</f>
        <v/>
      </c>
      <c r="M240">
        <f>IFERROR(IF(ISNUMBER(INDEX(SPPR!$E:$X,MATCH($A240,SPPR!$A:$A,0),10)),$C240*INDEX(SPPR!$E:$X,MATCH($A240,SPPR!$A:$A,0),10),""),"")</f>
        <v/>
      </c>
      <c r="N240">
        <f>IFERROR(IF(ISNUMBER(INDEX(SPPR!$E:$X,MATCH($A240,SPPR!$A:$A,0),11)),$C240*INDEX(SPPR!$E:$X,MATCH($A240,SPPR!$A:$A,0),11),""),"")</f>
        <v/>
      </c>
      <c r="O240">
        <f>IFERROR(IF(ISNUMBER(INDEX(SPPR!$E:$X,MATCH($A240,SPPR!$A:$A,0),12)),$C240*INDEX(SPPR!$E:$X,MATCH($A240,SPPR!$A:$A,0),12),""),"")</f>
        <v/>
      </c>
      <c r="P240">
        <f>IFERROR(IF(ISNUMBER(INDEX(SPPR!$E:$X,MATCH($A240,SPPR!$A:$A,0),13)),$C240*INDEX(SPPR!$E:$X,MATCH($A240,SPPR!$A:$A,0),13),""),"")</f>
        <v/>
      </c>
      <c r="Q240">
        <f>IFERROR(IF(ISNUMBER(INDEX(SPPR!$E:$X,MATCH($A240,SPPR!$A:$A,0),14)),$C240*INDEX(SPPR!$E:$X,MATCH($A240,SPPR!$A:$A,0),14),""),"")</f>
        <v/>
      </c>
      <c r="R240">
        <f>IFERROR(IF(ISNUMBER(INDEX(SPPR!$E:$X,MATCH($A240,SPPR!$A:$A,0),15)),$C240*INDEX(SPPR!$E:$X,MATCH($A240,SPPR!$A:$A,0),15),""),"")</f>
        <v/>
      </c>
      <c r="S240">
        <f>IFERROR(IF(ISNUMBER(INDEX(SPPR!$E:$X,MATCH($A240,SPPR!$A:$A,0),16)),$C240*INDEX(SPPR!$E:$X,MATCH($A240,SPPR!$A:$A,0),16),""),"")</f>
        <v/>
      </c>
      <c r="T240">
        <f>IFERROR(IF(ISNUMBER(INDEX(SPPR!$E:$X,MATCH($A240,SPPR!$A:$A,0),17)),$C240*INDEX(SPPR!$E:$X,MATCH($A240,SPPR!$A:$A,0),17),""),"")</f>
        <v/>
      </c>
      <c r="U240">
        <f>IFERROR(IF(ISNUMBER(INDEX(SPPR!$E:$X,MATCH($A240,SPPR!$A:$A,0),18)),$C240*INDEX(SPPR!$E:$X,MATCH($A240,SPPR!$A:$A,0),18),""),"")</f>
        <v/>
      </c>
      <c r="V240">
        <f>IFERROR(IF(ISNUMBER(INDEX(SPPR!$E:$X,MATCH($A240,SPPR!$A:$A,0),19)),$C240*INDEX(SPPR!$E:$X,MATCH($A240,SPPR!$A:$A,0),19),""),"")</f>
        <v/>
      </c>
      <c r="W240">
        <f>IFERROR(IF(ISNUMBER(INDEX(SPPR!$E:$X,MATCH($A240,SPPR!$A:$A,0),20)),$C240*INDEX(SPPR!$E:$X,MATCH($A240,SPPR!$A:$A,0),20),""),"")</f>
        <v/>
      </c>
    </row>
    <row r="241">
      <c r="A241" t="inlineStr">
        <is>
          <t>Scaridae</t>
        </is>
      </c>
      <c r="B241">
        <f>IFERROR(INDEX(SPPR!$D:$D,MATCH($A241,SPPR!$A:$A,0)),"")</f>
        <v/>
      </c>
      <c r="C241">
        <f>IFERROR(INDEX(Catch!$E:$BV,MATCH($A241,Catch!$A:$A,0),MATCH($B$4,Catch!$E$1:$BV$1,0)),0)</f>
        <v/>
      </c>
      <c r="D241">
        <f>IFERROR(IF(ISNUMBER(INDEX(SPPR!$E:$X,MATCH($A241,SPPR!$A:$A,0),1)),$C241*INDEX(SPPR!$E:$X,MATCH($A241,SPPR!$A:$A,0),1),""),"")</f>
        <v/>
      </c>
      <c r="E241">
        <f>IFERROR(IF(ISNUMBER(INDEX(SPPR!$E:$X,MATCH($A241,SPPR!$A:$A,0),2)),$C241*INDEX(SPPR!$E:$X,MATCH($A241,SPPR!$A:$A,0),2),""),"")</f>
        <v/>
      </c>
      <c r="F241">
        <f>IFERROR(IF(ISNUMBER(INDEX(SPPR!$E:$X,MATCH($A241,SPPR!$A:$A,0),3)),$C241*INDEX(SPPR!$E:$X,MATCH($A241,SPPR!$A:$A,0),3),""),"")</f>
        <v/>
      </c>
      <c r="G241">
        <f>IFERROR(IF(ISNUMBER(INDEX(SPPR!$E:$X,MATCH($A241,SPPR!$A:$A,0),4)),$C241*INDEX(SPPR!$E:$X,MATCH($A241,SPPR!$A:$A,0),4),""),"")</f>
        <v/>
      </c>
      <c r="H241">
        <f>IFERROR(IF(ISNUMBER(INDEX(SPPR!$E:$X,MATCH($A241,SPPR!$A:$A,0),5)),$C241*INDEX(SPPR!$E:$X,MATCH($A241,SPPR!$A:$A,0),5),""),"")</f>
        <v/>
      </c>
      <c r="I241">
        <f>IFERROR(IF(ISNUMBER(INDEX(SPPR!$E:$X,MATCH($A241,SPPR!$A:$A,0),6)),$C241*INDEX(SPPR!$E:$X,MATCH($A241,SPPR!$A:$A,0),6),""),"")</f>
        <v/>
      </c>
      <c r="J241">
        <f>IFERROR(IF(ISNUMBER(INDEX(SPPR!$E:$X,MATCH($A241,SPPR!$A:$A,0),7)),$C241*INDEX(SPPR!$E:$X,MATCH($A241,SPPR!$A:$A,0),7),""),"")</f>
        <v/>
      </c>
      <c r="K241">
        <f>IFERROR(IF(ISNUMBER(INDEX(SPPR!$E:$X,MATCH($A241,SPPR!$A:$A,0),8)),$C241*INDEX(SPPR!$E:$X,MATCH($A241,SPPR!$A:$A,0),8),""),"")</f>
        <v/>
      </c>
      <c r="L241">
        <f>IFERROR(IF(ISNUMBER(INDEX(SPPR!$E:$X,MATCH($A241,SPPR!$A:$A,0),9)),$C241*INDEX(SPPR!$E:$X,MATCH($A241,SPPR!$A:$A,0),9),""),"")</f>
        <v/>
      </c>
      <c r="M241">
        <f>IFERROR(IF(ISNUMBER(INDEX(SPPR!$E:$X,MATCH($A241,SPPR!$A:$A,0),10)),$C241*INDEX(SPPR!$E:$X,MATCH($A241,SPPR!$A:$A,0),10),""),"")</f>
        <v/>
      </c>
      <c r="N241">
        <f>IFERROR(IF(ISNUMBER(INDEX(SPPR!$E:$X,MATCH($A241,SPPR!$A:$A,0),11)),$C241*INDEX(SPPR!$E:$X,MATCH($A241,SPPR!$A:$A,0),11),""),"")</f>
        <v/>
      </c>
      <c r="O241">
        <f>IFERROR(IF(ISNUMBER(INDEX(SPPR!$E:$X,MATCH($A241,SPPR!$A:$A,0),12)),$C241*INDEX(SPPR!$E:$X,MATCH($A241,SPPR!$A:$A,0),12),""),"")</f>
        <v/>
      </c>
      <c r="P241">
        <f>IFERROR(IF(ISNUMBER(INDEX(SPPR!$E:$X,MATCH($A241,SPPR!$A:$A,0),13)),$C241*INDEX(SPPR!$E:$X,MATCH($A241,SPPR!$A:$A,0),13),""),"")</f>
        <v/>
      </c>
      <c r="Q241">
        <f>IFERROR(IF(ISNUMBER(INDEX(SPPR!$E:$X,MATCH($A241,SPPR!$A:$A,0),14)),$C241*INDEX(SPPR!$E:$X,MATCH($A241,SPPR!$A:$A,0),14),""),"")</f>
        <v/>
      </c>
      <c r="R241">
        <f>IFERROR(IF(ISNUMBER(INDEX(SPPR!$E:$X,MATCH($A241,SPPR!$A:$A,0),15)),$C241*INDEX(SPPR!$E:$X,MATCH($A241,SPPR!$A:$A,0),15),""),"")</f>
        <v/>
      </c>
      <c r="S241">
        <f>IFERROR(IF(ISNUMBER(INDEX(SPPR!$E:$X,MATCH($A241,SPPR!$A:$A,0),16)),$C241*INDEX(SPPR!$E:$X,MATCH($A241,SPPR!$A:$A,0),16),""),"")</f>
        <v/>
      </c>
      <c r="T241">
        <f>IFERROR(IF(ISNUMBER(INDEX(SPPR!$E:$X,MATCH($A241,SPPR!$A:$A,0),17)),$C241*INDEX(SPPR!$E:$X,MATCH($A241,SPPR!$A:$A,0),17),""),"")</f>
        <v/>
      </c>
      <c r="U241">
        <f>IFERROR(IF(ISNUMBER(INDEX(SPPR!$E:$X,MATCH($A241,SPPR!$A:$A,0),18)),$C241*INDEX(SPPR!$E:$X,MATCH($A241,SPPR!$A:$A,0),18),""),"")</f>
        <v/>
      </c>
      <c r="V241">
        <f>IFERROR(IF(ISNUMBER(INDEX(SPPR!$E:$X,MATCH($A241,SPPR!$A:$A,0),19)),$C241*INDEX(SPPR!$E:$X,MATCH($A241,SPPR!$A:$A,0),19),""),"")</f>
        <v/>
      </c>
      <c r="W241">
        <f>IFERROR(IF(ISNUMBER(INDEX(SPPR!$E:$X,MATCH($A241,SPPR!$A:$A,0),20)),$C241*INDEX(SPPR!$E:$X,MATCH($A241,SPPR!$A:$A,0),20),""),"")</f>
        <v/>
      </c>
    </row>
    <row r="242">
      <c r="A242" t="inlineStr">
        <is>
          <t>Aluterus</t>
        </is>
      </c>
      <c r="B242">
        <f>IFERROR(INDEX(SPPR!$D:$D,MATCH($A242,SPPR!$A:$A,0)),"")</f>
        <v/>
      </c>
      <c r="C242">
        <f>IFERROR(INDEX(Catch!$E:$BV,MATCH($A242,Catch!$A:$A,0),MATCH($B$4,Catch!$E$1:$BV$1,0)),0)</f>
        <v/>
      </c>
      <c r="D242">
        <f>IFERROR(IF(ISNUMBER(INDEX(SPPR!$E:$X,MATCH($A242,SPPR!$A:$A,0),1)),$C242*INDEX(SPPR!$E:$X,MATCH($A242,SPPR!$A:$A,0),1),""),"")</f>
        <v/>
      </c>
      <c r="E242">
        <f>IFERROR(IF(ISNUMBER(INDEX(SPPR!$E:$X,MATCH($A242,SPPR!$A:$A,0),2)),$C242*INDEX(SPPR!$E:$X,MATCH($A242,SPPR!$A:$A,0),2),""),"")</f>
        <v/>
      </c>
      <c r="F242">
        <f>IFERROR(IF(ISNUMBER(INDEX(SPPR!$E:$X,MATCH($A242,SPPR!$A:$A,0),3)),$C242*INDEX(SPPR!$E:$X,MATCH($A242,SPPR!$A:$A,0),3),""),"")</f>
        <v/>
      </c>
      <c r="G242">
        <f>IFERROR(IF(ISNUMBER(INDEX(SPPR!$E:$X,MATCH($A242,SPPR!$A:$A,0),4)),$C242*INDEX(SPPR!$E:$X,MATCH($A242,SPPR!$A:$A,0),4),""),"")</f>
        <v/>
      </c>
      <c r="H242">
        <f>IFERROR(IF(ISNUMBER(INDEX(SPPR!$E:$X,MATCH($A242,SPPR!$A:$A,0),5)),$C242*INDEX(SPPR!$E:$X,MATCH($A242,SPPR!$A:$A,0),5),""),"")</f>
        <v/>
      </c>
      <c r="I242">
        <f>IFERROR(IF(ISNUMBER(INDEX(SPPR!$E:$X,MATCH($A242,SPPR!$A:$A,0),6)),$C242*INDEX(SPPR!$E:$X,MATCH($A242,SPPR!$A:$A,0),6),""),"")</f>
        <v/>
      </c>
      <c r="J242">
        <f>IFERROR(IF(ISNUMBER(INDEX(SPPR!$E:$X,MATCH($A242,SPPR!$A:$A,0),7)),$C242*INDEX(SPPR!$E:$X,MATCH($A242,SPPR!$A:$A,0),7),""),"")</f>
        <v/>
      </c>
      <c r="K242">
        <f>IFERROR(IF(ISNUMBER(INDEX(SPPR!$E:$X,MATCH($A242,SPPR!$A:$A,0),8)),$C242*INDEX(SPPR!$E:$X,MATCH($A242,SPPR!$A:$A,0),8),""),"")</f>
        <v/>
      </c>
      <c r="L242">
        <f>IFERROR(IF(ISNUMBER(INDEX(SPPR!$E:$X,MATCH($A242,SPPR!$A:$A,0),9)),$C242*INDEX(SPPR!$E:$X,MATCH($A242,SPPR!$A:$A,0),9),""),"")</f>
        <v/>
      </c>
      <c r="M242">
        <f>IFERROR(IF(ISNUMBER(INDEX(SPPR!$E:$X,MATCH($A242,SPPR!$A:$A,0),10)),$C242*INDEX(SPPR!$E:$X,MATCH($A242,SPPR!$A:$A,0),10),""),"")</f>
        <v/>
      </c>
      <c r="N242">
        <f>IFERROR(IF(ISNUMBER(INDEX(SPPR!$E:$X,MATCH($A242,SPPR!$A:$A,0),11)),$C242*INDEX(SPPR!$E:$X,MATCH($A242,SPPR!$A:$A,0),11),""),"")</f>
        <v/>
      </c>
      <c r="O242">
        <f>IFERROR(IF(ISNUMBER(INDEX(SPPR!$E:$X,MATCH($A242,SPPR!$A:$A,0),12)),$C242*INDEX(SPPR!$E:$X,MATCH($A242,SPPR!$A:$A,0),12),""),"")</f>
        <v/>
      </c>
      <c r="P242">
        <f>IFERROR(IF(ISNUMBER(INDEX(SPPR!$E:$X,MATCH($A242,SPPR!$A:$A,0),13)),$C242*INDEX(SPPR!$E:$X,MATCH($A242,SPPR!$A:$A,0),13),""),"")</f>
        <v/>
      </c>
      <c r="Q242">
        <f>IFERROR(IF(ISNUMBER(INDEX(SPPR!$E:$X,MATCH($A242,SPPR!$A:$A,0),14)),$C242*INDEX(SPPR!$E:$X,MATCH($A242,SPPR!$A:$A,0),14),""),"")</f>
        <v/>
      </c>
      <c r="R242">
        <f>IFERROR(IF(ISNUMBER(INDEX(SPPR!$E:$X,MATCH($A242,SPPR!$A:$A,0),15)),$C242*INDEX(SPPR!$E:$X,MATCH($A242,SPPR!$A:$A,0),15),""),"")</f>
        <v/>
      </c>
      <c r="S242">
        <f>IFERROR(IF(ISNUMBER(INDEX(SPPR!$E:$X,MATCH($A242,SPPR!$A:$A,0),16)),$C242*INDEX(SPPR!$E:$X,MATCH($A242,SPPR!$A:$A,0),16),""),"")</f>
        <v/>
      </c>
      <c r="T242">
        <f>IFERROR(IF(ISNUMBER(INDEX(SPPR!$E:$X,MATCH($A242,SPPR!$A:$A,0),17)),$C242*INDEX(SPPR!$E:$X,MATCH($A242,SPPR!$A:$A,0),17),""),"")</f>
        <v/>
      </c>
      <c r="U242">
        <f>IFERROR(IF(ISNUMBER(INDEX(SPPR!$E:$X,MATCH($A242,SPPR!$A:$A,0),18)),$C242*INDEX(SPPR!$E:$X,MATCH($A242,SPPR!$A:$A,0),18),""),"")</f>
        <v/>
      </c>
      <c r="V242">
        <f>IFERROR(IF(ISNUMBER(INDEX(SPPR!$E:$X,MATCH($A242,SPPR!$A:$A,0),19)),$C242*INDEX(SPPR!$E:$X,MATCH($A242,SPPR!$A:$A,0),19),""),"")</f>
        <v/>
      </c>
      <c r="W242">
        <f>IFERROR(IF(ISNUMBER(INDEX(SPPR!$E:$X,MATCH($A242,SPPR!$A:$A,0),20)),$C242*INDEX(SPPR!$E:$X,MATCH($A242,SPPR!$A:$A,0),20),""),"")</f>
        <v/>
      </c>
    </row>
    <row r="243">
      <c r="A243" t="inlineStr">
        <is>
          <t>Chionoecetes</t>
        </is>
      </c>
      <c r="B243">
        <f>IFERROR(INDEX(SPPR!$D:$D,MATCH($A243,SPPR!$A:$A,0)),"")</f>
        <v/>
      </c>
      <c r="C243">
        <f>IFERROR(INDEX(Catch!$E:$BV,MATCH($A243,Catch!$A:$A,0),MATCH($B$4,Catch!$E$1:$BV$1,0)),0)</f>
        <v/>
      </c>
      <c r="D243">
        <f>IFERROR(IF(ISNUMBER(INDEX(SPPR!$E:$X,MATCH($A243,SPPR!$A:$A,0),1)),$C243*INDEX(SPPR!$E:$X,MATCH($A243,SPPR!$A:$A,0),1),""),"")</f>
        <v/>
      </c>
      <c r="E243">
        <f>IFERROR(IF(ISNUMBER(INDEX(SPPR!$E:$X,MATCH($A243,SPPR!$A:$A,0),2)),$C243*INDEX(SPPR!$E:$X,MATCH($A243,SPPR!$A:$A,0),2),""),"")</f>
        <v/>
      </c>
      <c r="F243">
        <f>IFERROR(IF(ISNUMBER(INDEX(SPPR!$E:$X,MATCH($A243,SPPR!$A:$A,0),3)),$C243*INDEX(SPPR!$E:$X,MATCH($A243,SPPR!$A:$A,0),3),""),"")</f>
        <v/>
      </c>
      <c r="G243">
        <f>IFERROR(IF(ISNUMBER(INDEX(SPPR!$E:$X,MATCH($A243,SPPR!$A:$A,0),4)),$C243*INDEX(SPPR!$E:$X,MATCH($A243,SPPR!$A:$A,0),4),""),"")</f>
        <v/>
      </c>
      <c r="H243">
        <f>IFERROR(IF(ISNUMBER(INDEX(SPPR!$E:$X,MATCH($A243,SPPR!$A:$A,0),5)),$C243*INDEX(SPPR!$E:$X,MATCH($A243,SPPR!$A:$A,0),5),""),"")</f>
        <v/>
      </c>
      <c r="I243">
        <f>IFERROR(IF(ISNUMBER(INDEX(SPPR!$E:$X,MATCH($A243,SPPR!$A:$A,0),6)),$C243*INDEX(SPPR!$E:$X,MATCH($A243,SPPR!$A:$A,0),6),""),"")</f>
        <v/>
      </c>
      <c r="J243">
        <f>IFERROR(IF(ISNUMBER(INDEX(SPPR!$E:$X,MATCH($A243,SPPR!$A:$A,0),7)),$C243*INDEX(SPPR!$E:$X,MATCH($A243,SPPR!$A:$A,0),7),""),"")</f>
        <v/>
      </c>
      <c r="K243">
        <f>IFERROR(IF(ISNUMBER(INDEX(SPPR!$E:$X,MATCH($A243,SPPR!$A:$A,0),8)),$C243*INDEX(SPPR!$E:$X,MATCH($A243,SPPR!$A:$A,0),8),""),"")</f>
        <v/>
      </c>
      <c r="L243">
        <f>IFERROR(IF(ISNUMBER(INDEX(SPPR!$E:$X,MATCH($A243,SPPR!$A:$A,0),9)),$C243*INDEX(SPPR!$E:$X,MATCH($A243,SPPR!$A:$A,0),9),""),"")</f>
        <v/>
      </c>
      <c r="M243">
        <f>IFERROR(IF(ISNUMBER(INDEX(SPPR!$E:$X,MATCH($A243,SPPR!$A:$A,0),10)),$C243*INDEX(SPPR!$E:$X,MATCH($A243,SPPR!$A:$A,0),10),""),"")</f>
        <v/>
      </c>
      <c r="N243">
        <f>IFERROR(IF(ISNUMBER(INDEX(SPPR!$E:$X,MATCH($A243,SPPR!$A:$A,0),11)),$C243*INDEX(SPPR!$E:$X,MATCH($A243,SPPR!$A:$A,0),11),""),"")</f>
        <v/>
      </c>
      <c r="O243">
        <f>IFERROR(IF(ISNUMBER(INDEX(SPPR!$E:$X,MATCH($A243,SPPR!$A:$A,0),12)),$C243*INDEX(SPPR!$E:$X,MATCH($A243,SPPR!$A:$A,0),12),""),"")</f>
        <v/>
      </c>
      <c r="P243">
        <f>IFERROR(IF(ISNUMBER(INDEX(SPPR!$E:$X,MATCH($A243,SPPR!$A:$A,0),13)),$C243*INDEX(SPPR!$E:$X,MATCH($A243,SPPR!$A:$A,0),13),""),"")</f>
        <v/>
      </c>
      <c r="Q243">
        <f>IFERROR(IF(ISNUMBER(INDEX(SPPR!$E:$X,MATCH($A243,SPPR!$A:$A,0),14)),$C243*INDEX(SPPR!$E:$X,MATCH($A243,SPPR!$A:$A,0),14),""),"")</f>
        <v/>
      </c>
      <c r="R243">
        <f>IFERROR(IF(ISNUMBER(INDEX(SPPR!$E:$X,MATCH($A243,SPPR!$A:$A,0),15)),$C243*INDEX(SPPR!$E:$X,MATCH($A243,SPPR!$A:$A,0),15),""),"")</f>
        <v/>
      </c>
      <c r="S243">
        <f>IFERROR(IF(ISNUMBER(INDEX(SPPR!$E:$X,MATCH($A243,SPPR!$A:$A,0),16)),$C243*INDEX(SPPR!$E:$X,MATCH($A243,SPPR!$A:$A,0),16),""),"")</f>
        <v/>
      </c>
      <c r="T243">
        <f>IFERROR(IF(ISNUMBER(INDEX(SPPR!$E:$X,MATCH($A243,SPPR!$A:$A,0),17)),$C243*INDEX(SPPR!$E:$X,MATCH($A243,SPPR!$A:$A,0),17),""),"")</f>
        <v/>
      </c>
      <c r="U243">
        <f>IFERROR(IF(ISNUMBER(INDEX(SPPR!$E:$X,MATCH($A243,SPPR!$A:$A,0),18)),$C243*INDEX(SPPR!$E:$X,MATCH($A243,SPPR!$A:$A,0),18),""),"")</f>
        <v/>
      </c>
      <c r="V243">
        <f>IFERROR(IF(ISNUMBER(INDEX(SPPR!$E:$X,MATCH($A243,SPPR!$A:$A,0),19)),$C243*INDEX(SPPR!$E:$X,MATCH($A243,SPPR!$A:$A,0),19),""),"")</f>
        <v/>
      </c>
      <c r="W243">
        <f>IFERROR(IF(ISNUMBER(INDEX(SPPR!$E:$X,MATCH($A243,SPPR!$A:$A,0),20)),$C243*INDEX(SPPR!$E:$X,MATCH($A243,SPPR!$A:$A,0),20),""),"")</f>
        <v/>
      </c>
    </row>
    <row r="244">
      <c r="A244" t="inlineStr">
        <is>
          <t>Prionace glauca</t>
        </is>
      </c>
      <c r="B244">
        <f>IFERROR(INDEX(SPPR!$D:$D,MATCH($A244,SPPR!$A:$A,0)),"")</f>
        <v/>
      </c>
      <c r="C244">
        <f>IFERROR(INDEX(Catch!$E:$BV,MATCH($A244,Catch!$A:$A,0),MATCH($B$4,Catch!$E$1:$BV$1,0)),0)</f>
        <v/>
      </c>
      <c r="D244">
        <f>IFERROR(IF(ISNUMBER(INDEX(SPPR!$E:$X,MATCH($A244,SPPR!$A:$A,0),1)),$C244*INDEX(SPPR!$E:$X,MATCH($A244,SPPR!$A:$A,0),1),""),"")</f>
        <v/>
      </c>
      <c r="E244">
        <f>IFERROR(IF(ISNUMBER(INDEX(SPPR!$E:$X,MATCH($A244,SPPR!$A:$A,0),2)),$C244*INDEX(SPPR!$E:$X,MATCH($A244,SPPR!$A:$A,0),2),""),"")</f>
        <v/>
      </c>
      <c r="F244">
        <f>IFERROR(IF(ISNUMBER(INDEX(SPPR!$E:$X,MATCH($A244,SPPR!$A:$A,0),3)),$C244*INDEX(SPPR!$E:$X,MATCH($A244,SPPR!$A:$A,0),3),""),"")</f>
        <v/>
      </c>
      <c r="G244">
        <f>IFERROR(IF(ISNUMBER(INDEX(SPPR!$E:$X,MATCH($A244,SPPR!$A:$A,0),4)),$C244*INDEX(SPPR!$E:$X,MATCH($A244,SPPR!$A:$A,0),4),""),"")</f>
        <v/>
      </c>
      <c r="H244">
        <f>IFERROR(IF(ISNUMBER(INDEX(SPPR!$E:$X,MATCH($A244,SPPR!$A:$A,0),5)),$C244*INDEX(SPPR!$E:$X,MATCH($A244,SPPR!$A:$A,0),5),""),"")</f>
        <v/>
      </c>
      <c r="I244">
        <f>IFERROR(IF(ISNUMBER(INDEX(SPPR!$E:$X,MATCH($A244,SPPR!$A:$A,0),6)),$C244*INDEX(SPPR!$E:$X,MATCH($A244,SPPR!$A:$A,0),6),""),"")</f>
        <v/>
      </c>
      <c r="J244">
        <f>IFERROR(IF(ISNUMBER(INDEX(SPPR!$E:$X,MATCH($A244,SPPR!$A:$A,0),7)),$C244*INDEX(SPPR!$E:$X,MATCH($A244,SPPR!$A:$A,0),7),""),"")</f>
        <v/>
      </c>
      <c r="K244">
        <f>IFERROR(IF(ISNUMBER(INDEX(SPPR!$E:$X,MATCH($A244,SPPR!$A:$A,0),8)),$C244*INDEX(SPPR!$E:$X,MATCH($A244,SPPR!$A:$A,0),8),""),"")</f>
        <v/>
      </c>
      <c r="L244">
        <f>IFERROR(IF(ISNUMBER(INDEX(SPPR!$E:$X,MATCH($A244,SPPR!$A:$A,0),9)),$C244*INDEX(SPPR!$E:$X,MATCH($A244,SPPR!$A:$A,0),9),""),"")</f>
        <v/>
      </c>
      <c r="M244">
        <f>IFERROR(IF(ISNUMBER(INDEX(SPPR!$E:$X,MATCH($A244,SPPR!$A:$A,0),10)),$C244*INDEX(SPPR!$E:$X,MATCH($A244,SPPR!$A:$A,0),10),""),"")</f>
        <v/>
      </c>
      <c r="N244">
        <f>IFERROR(IF(ISNUMBER(INDEX(SPPR!$E:$X,MATCH($A244,SPPR!$A:$A,0),11)),$C244*INDEX(SPPR!$E:$X,MATCH($A244,SPPR!$A:$A,0),11),""),"")</f>
        <v/>
      </c>
      <c r="O244">
        <f>IFERROR(IF(ISNUMBER(INDEX(SPPR!$E:$X,MATCH($A244,SPPR!$A:$A,0),12)),$C244*INDEX(SPPR!$E:$X,MATCH($A244,SPPR!$A:$A,0),12),""),"")</f>
        <v/>
      </c>
      <c r="P244">
        <f>IFERROR(IF(ISNUMBER(INDEX(SPPR!$E:$X,MATCH($A244,SPPR!$A:$A,0),13)),$C244*INDEX(SPPR!$E:$X,MATCH($A244,SPPR!$A:$A,0),13),""),"")</f>
        <v/>
      </c>
      <c r="Q244">
        <f>IFERROR(IF(ISNUMBER(INDEX(SPPR!$E:$X,MATCH($A244,SPPR!$A:$A,0),14)),$C244*INDEX(SPPR!$E:$X,MATCH($A244,SPPR!$A:$A,0),14),""),"")</f>
        <v/>
      </c>
      <c r="R244">
        <f>IFERROR(IF(ISNUMBER(INDEX(SPPR!$E:$X,MATCH($A244,SPPR!$A:$A,0),15)),$C244*INDEX(SPPR!$E:$X,MATCH($A244,SPPR!$A:$A,0),15),""),"")</f>
        <v/>
      </c>
      <c r="S244">
        <f>IFERROR(IF(ISNUMBER(INDEX(SPPR!$E:$X,MATCH($A244,SPPR!$A:$A,0),16)),$C244*INDEX(SPPR!$E:$X,MATCH($A244,SPPR!$A:$A,0),16),""),"")</f>
        <v/>
      </c>
      <c r="T244">
        <f>IFERROR(IF(ISNUMBER(INDEX(SPPR!$E:$X,MATCH($A244,SPPR!$A:$A,0),17)),$C244*INDEX(SPPR!$E:$X,MATCH($A244,SPPR!$A:$A,0),17),""),"")</f>
        <v/>
      </c>
      <c r="U244">
        <f>IFERROR(IF(ISNUMBER(INDEX(SPPR!$E:$X,MATCH($A244,SPPR!$A:$A,0),18)),$C244*INDEX(SPPR!$E:$X,MATCH($A244,SPPR!$A:$A,0),18),""),"")</f>
        <v/>
      </c>
      <c r="V244">
        <f>IFERROR(IF(ISNUMBER(INDEX(SPPR!$E:$X,MATCH($A244,SPPR!$A:$A,0),19)),$C244*INDEX(SPPR!$E:$X,MATCH($A244,SPPR!$A:$A,0),19),""),"")</f>
        <v/>
      </c>
      <c r="W244">
        <f>IFERROR(IF(ISNUMBER(INDEX(SPPR!$E:$X,MATCH($A244,SPPR!$A:$A,0),20)),$C244*INDEX(SPPR!$E:$X,MATCH($A244,SPPR!$A:$A,0),20),""),"")</f>
        <v/>
      </c>
    </row>
    <row r="245">
      <c r="A245" t="inlineStr">
        <is>
          <t>Scylla</t>
        </is>
      </c>
      <c r="B245">
        <f>IFERROR(INDEX(SPPR!$D:$D,MATCH($A245,SPPR!$A:$A,0)),"")</f>
        <v/>
      </c>
      <c r="C245">
        <f>IFERROR(INDEX(Catch!$E:$BV,MATCH($A245,Catch!$A:$A,0),MATCH($B$4,Catch!$E$1:$BV$1,0)),0)</f>
        <v/>
      </c>
      <c r="D245">
        <f>IFERROR(IF(ISNUMBER(INDEX(SPPR!$E:$X,MATCH($A245,SPPR!$A:$A,0),1)),$C245*INDEX(SPPR!$E:$X,MATCH($A245,SPPR!$A:$A,0),1),""),"")</f>
        <v/>
      </c>
      <c r="E245">
        <f>IFERROR(IF(ISNUMBER(INDEX(SPPR!$E:$X,MATCH($A245,SPPR!$A:$A,0),2)),$C245*INDEX(SPPR!$E:$X,MATCH($A245,SPPR!$A:$A,0),2),""),"")</f>
        <v/>
      </c>
      <c r="F245">
        <f>IFERROR(IF(ISNUMBER(INDEX(SPPR!$E:$X,MATCH($A245,SPPR!$A:$A,0),3)),$C245*INDEX(SPPR!$E:$X,MATCH($A245,SPPR!$A:$A,0),3),""),"")</f>
        <v/>
      </c>
      <c r="G245">
        <f>IFERROR(IF(ISNUMBER(INDEX(SPPR!$E:$X,MATCH($A245,SPPR!$A:$A,0),4)),$C245*INDEX(SPPR!$E:$X,MATCH($A245,SPPR!$A:$A,0),4),""),"")</f>
        <v/>
      </c>
      <c r="H245">
        <f>IFERROR(IF(ISNUMBER(INDEX(SPPR!$E:$X,MATCH($A245,SPPR!$A:$A,0),5)),$C245*INDEX(SPPR!$E:$X,MATCH($A245,SPPR!$A:$A,0),5),""),"")</f>
        <v/>
      </c>
      <c r="I245">
        <f>IFERROR(IF(ISNUMBER(INDEX(SPPR!$E:$X,MATCH($A245,SPPR!$A:$A,0),6)),$C245*INDEX(SPPR!$E:$X,MATCH($A245,SPPR!$A:$A,0),6),""),"")</f>
        <v/>
      </c>
      <c r="J245">
        <f>IFERROR(IF(ISNUMBER(INDEX(SPPR!$E:$X,MATCH($A245,SPPR!$A:$A,0),7)),$C245*INDEX(SPPR!$E:$X,MATCH($A245,SPPR!$A:$A,0),7),""),"")</f>
        <v/>
      </c>
      <c r="K245">
        <f>IFERROR(IF(ISNUMBER(INDEX(SPPR!$E:$X,MATCH($A245,SPPR!$A:$A,0),8)),$C245*INDEX(SPPR!$E:$X,MATCH($A245,SPPR!$A:$A,0),8),""),"")</f>
        <v/>
      </c>
      <c r="L245">
        <f>IFERROR(IF(ISNUMBER(INDEX(SPPR!$E:$X,MATCH($A245,SPPR!$A:$A,0),9)),$C245*INDEX(SPPR!$E:$X,MATCH($A245,SPPR!$A:$A,0),9),""),"")</f>
        <v/>
      </c>
      <c r="M245">
        <f>IFERROR(IF(ISNUMBER(INDEX(SPPR!$E:$X,MATCH($A245,SPPR!$A:$A,0),10)),$C245*INDEX(SPPR!$E:$X,MATCH($A245,SPPR!$A:$A,0),10),""),"")</f>
        <v/>
      </c>
      <c r="N245">
        <f>IFERROR(IF(ISNUMBER(INDEX(SPPR!$E:$X,MATCH($A245,SPPR!$A:$A,0),11)),$C245*INDEX(SPPR!$E:$X,MATCH($A245,SPPR!$A:$A,0),11),""),"")</f>
        <v/>
      </c>
      <c r="O245">
        <f>IFERROR(IF(ISNUMBER(INDEX(SPPR!$E:$X,MATCH($A245,SPPR!$A:$A,0),12)),$C245*INDEX(SPPR!$E:$X,MATCH($A245,SPPR!$A:$A,0),12),""),"")</f>
        <v/>
      </c>
      <c r="P245">
        <f>IFERROR(IF(ISNUMBER(INDEX(SPPR!$E:$X,MATCH($A245,SPPR!$A:$A,0),13)),$C245*INDEX(SPPR!$E:$X,MATCH($A245,SPPR!$A:$A,0),13),""),"")</f>
        <v/>
      </c>
      <c r="Q245">
        <f>IFERROR(IF(ISNUMBER(INDEX(SPPR!$E:$X,MATCH($A245,SPPR!$A:$A,0),14)),$C245*INDEX(SPPR!$E:$X,MATCH($A245,SPPR!$A:$A,0),14),""),"")</f>
        <v/>
      </c>
      <c r="R245">
        <f>IFERROR(IF(ISNUMBER(INDEX(SPPR!$E:$X,MATCH($A245,SPPR!$A:$A,0),15)),$C245*INDEX(SPPR!$E:$X,MATCH($A245,SPPR!$A:$A,0),15),""),"")</f>
        <v/>
      </c>
      <c r="S245">
        <f>IFERROR(IF(ISNUMBER(INDEX(SPPR!$E:$X,MATCH($A245,SPPR!$A:$A,0),16)),$C245*INDEX(SPPR!$E:$X,MATCH($A245,SPPR!$A:$A,0),16),""),"")</f>
        <v/>
      </c>
      <c r="T245">
        <f>IFERROR(IF(ISNUMBER(INDEX(SPPR!$E:$X,MATCH($A245,SPPR!$A:$A,0),17)),$C245*INDEX(SPPR!$E:$X,MATCH($A245,SPPR!$A:$A,0),17),""),"")</f>
        <v/>
      </c>
      <c r="U245">
        <f>IFERROR(IF(ISNUMBER(INDEX(SPPR!$E:$X,MATCH($A245,SPPR!$A:$A,0),18)),$C245*INDEX(SPPR!$E:$X,MATCH($A245,SPPR!$A:$A,0),18),""),"")</f>
        <v/>
      </c>
      <c r="V245">
        <f>IFERROR(IF(ISNUMBER(INDEX(SPPR!$E:$X,MATCH($A245,SPPR!$A:$A,0),19)),$C245*INDEX(SPPR!$E:$X,MATCH($A245,SPPR!$A:$A,0),19),""),"")</f>
        <v/>
      </c>
      <c r="W245">
        <f>IFERROR(IF(ISNUMBER(INDEX(SPPR!$E:$X,MATCH($A245,SPPR!$A:$A,0),20)),$C245*INDEX(SPPR!$E:$X,MATCH($A245,SPPR!$A:$A,0),20),""),"")</f>
        <v/>
      </c>
    </row>
    <row r="246">
      <c r="A246" t="inlineStr">
        <is>
          <t>Gadiformes</t>
        </is>
      </c>
      <c r="B246">
        <f>IFERROR(INDEX(SPPR!$D:$D,MATCH($A246,SPPR!$A:$A,0)),"")</f>
        <v/>
      </c>
      <c r="C246">
        <f>IFERROR(INDEX(Catch!$E:$BV,MATCH($A246,Catch!$A:$A,0),MATCH($B$4,Catch!$E$1:$BV$1,0)),0)</f>
        <v/>
      </c>
      <c r="D246">
        <f>IFERROR(IF(ISNUMBER(INDEX(SPPR!$E:$X,MATCH($A246,SPPR!$A:$A,0),1)),$C246*INDEX(SPPR!$E:$X,MATCH($A246,SPPR!$A:$A,0),1),""),"")</f>
        <v/>
      </c>
      <c r="E246">
        <f>IFERROR(IF(ISNUMBER(INDEX(SPPR!$E:$X,MATCH($A246,SPPR!$A:$A,0),2)),$C246*INDEX(SPPR!$E:$X,MATCH($A246,SPPR!$A:$A,0),2),""),"")</f>
        <v/>
      </c>
      <c r="F246">
        <f>IFERROR(IF(ISNUMBER(INDEX(SPPR!$E:$X,MATCH($A246,SPPR!$A:$A,0),3)),$C246*INDEX(SPPR!$E:$X,MATCH($A246,SPPR!$A:$A,0),3),""),"")</f>
        <v/>
      </c>
      <c r="G246">
        <f>IFERROR(IF(ISNUMBER(INDEX(SPPR!$E:$X,MATCH($A246,SPPR!$A:$A,0),4)),$C246*INDEX(SPPR!$E:$X,MATCH($A246,SPPR!$A:$A,0),4),""),"")</f>
        <v/>
      </c>
      <c r="H246">
        <f>IFERROR(IF(ISNUMBER(INDEX(SPPR!$E:$X,MATCH($A246,SPPR!$A:$A,0),5)),$C246*INDEX(SPPR!$E:$X,MATCH($A246,SPPR!$A:$A,0),5),""),"")</f>
        <v/>
      </c>
      <c r="I246">
        <f>IFERROR(IF(ISNUMBER(INDEX(SPPR!$E:$X,MATCH($A246,SPPR!$A:$A,0),6)),$C246*INDEX(SPPR!$E:$X,MATCH($A246,SPPR!$A:$A,0),6),""),"")</f>
        <v/>
      </c>
      <c r="J246">
        <f>IFERROR(IF(ISNUMBER(INDEX(SPPR!$E:$X,MATCH($A246,SPPR!$A:$A,0),7)),$C246*INDEX(SPPR!$E:$X,MATCH($A246,SPPR!$A:$A,0),7),""),"")</f>
        <v/>
      </c>
      <c r="K246">
        <f>IFERROR(IF(ISNUMBER(INDEX(SPPR!$E:$X,MATCH($A246,SPPR!$A:$A,0),8)),$C246*INDEX(SPPR!$E:$X,MATCH($A246,SPPR!$A:$A,0),8),""),"")</f>
        <v/>
      </c>
      <c r="L246">
        <f>IFERROR(IF(ISNUMBER(INDEX(SPPR!$E:$X,MATCH($A246,SPPR!$A:$A,0),9)),$C246*INDEX(SPPR!$E:$X,MATCH($A246,SPPR!$A:$A,0),9),""),"")</f>
        <v/>
      </c>
      <c r="M246">
        <f>IFERROR(IF(ISNUMBER(INDEX(SPPR!$E:$X,MATCH($A246,SPPR!$A:$A,0),10)),$C246*INDEX(SPPR!$E:$X,MATCH($A246,SPPR!$A:$A,0),10),""),"")</f>
        <v/>
      </c>
      <c r="N246">
        <f>IFERROR(IF(ISNUMBER(INDEX(SPPR!$E:$X,MATCH($A246,SPPR!$A:$A,0),11)),$C246*INDEX(SPPR!$E:$X,MATCH($A246,SPPR!$A:$A,0),11),""),"")</f>
        <v/>
      </c>
      <c r="O246">
        <f>IFERROR(IF(ISNUMBER(INDEX(SPPR!$E:$X,MATCH($A246,SPPR!$A:$A,0),12)),$C246*INDEX(SPPR!$E:$X,MATCH($A246,SPPR!$A:$A,0),12),""),"")</f>
        <v/>
      </c>
      <c r="P246">
        <f>IFERROR(IF(ISNUMBER(INDEX(SPPR!$E:$X,MATCH($A246,SPPR!$A:$A,0),13)),$C246*INDEX(SPPR!$E:$X,MATCH($A246,SPPR!$A:$A,0),13),""),"")</f>
        <v/>
      </c>
      <c r="Q246">
        <f>IFERROR(IF(ISNUMBER(INDEX(SPPR!$E:$X,MATCH($A246,SPPR!$A:$A,0),14)),$C246*INDEX(SPPR!$E:$X,MATCH($A246,SPPR!$A:$A,0),14),""),"")</f>
        <v/>
      </c>
      <c r="R246">
        <f>IFERROR(IF(ISNUMBER(INDEX(SPPR!$E:$X,MATCH($A246,SPPR!$A:$A,0),15)),$C246*INDEX(SPPR!$E:$X,MATCH($A246,SPPR!$A:$A,0),15),""),"")</f>
        <v/>
      </c>
      <c r="S246">
        <f>IFERROR(IF(ISNUMBER(INDEX(SPPR!$E:$X,MATCH($A246,SPPR!$A:$A,0),16)),$C246*INDEX(SPPR!$E:$X,MATCH($A246,SPPR!$A:$A,0),16),""),"")</f>
        <v/>
      </c>
      <c r="T246">
        <f>IFERROR(IF(ISNUMBER(INDEX(SPPR!$E:$X,MATCH($A246,SPPR!$A:$A,0),17)),$C246*INDEX(SPPR!$E:$X,MATCH($A246,SPPR!$A:$A,0),17),""),"")</f>
        <v/>
      </c>
      <c r="U246">
        <f>IFERROR(IF(ISNUMBER(INDEX(SPPR!$E:$X,MATCH($A246,SPPR!$A:$A,0),18)),$C246*INDEX(SPPR!$E:$X,MATCH($A246,SPPR!$A:$A,0),18),""),"")</f>
        <v/>
      </c>
      <c r="V246">
        <f>IFERROR(IF(ISNUMBER(INDEX(SPPR!$E:$X,MATCH($A246,SPPR!$A:$A,0),19)),$C246*INDEX(SPPR!$E:$X,MATCH($A246,SPPR!$A:$A,0),19),""),"")</f>
        <v/>
      </c>
      <c r="W246">
        <f>IFERROR(IF(ISNUMBER(INDEX(SPPR!$E:$X,MATCH($A246,SPPR!$A:$A,0),20)),$C246*INDEX(SPPR!$E:$X,MATCH($A246,SPPR!$A:$A,0),20),""),"")</f>
        <v/>
      </c>
    </row>
    <row r="247">
      <c r="A247" t="inlineStr">
        <is>
          <t>Encrasicholina punctifer</t>
        </is>
      </c>
      <c r="B247">
        <f>IFERROR(INDEX(SPPR!$D:$D,MATCH($A247,SPPR!$A:$A,0)),"")</f>
        <v/>
      </c>
      <c r="C247">
        <f>IFERROR(INDEX(Catch!$E:$BV,MATCH($A247,Catch!$A:$A,0),MATCH($B$4,Catch!$E$1:$BV$1,0)),0)</f>
        <v/>
      </c>
      <c r="D247">
        <f>IFERROR(IF(ISNUMBER(INDEX(SPPR!$E:$X,MATCH($A247,SPPR!$A:$A,0),1)),$C247*INDEX(SPPR!$E:$X,MATCH($A247,SPPR!$A:$A,0),1),""),"")</f>
        <v/>
      </c>
      <c r="E247">
        <f>IFERROR(IF(ISNUMBER(INDEX(SPPR!$E:$X,MATCH($A247,SPPR!$A:$A,0),2)),$C247*INDEX(SPPR!$E:$X,MATCH($A247,SPPR!$A:$A,0),2),""),"")</f>
        <v/>
      </c>
      <c r="F247">
        <f>IFERROR(IF(ISNUMBER(INDEX(SPPR!$E:$X,MATCH($A247,SPPR!$A:$A,0),3)),$C247*INDEX(SPPR!$E:$X,MATCH($A247,SPPR!$A:$A,0),3),""),"")</f>
        <v/>
      </c>
      <c r="G247">
        <f>IFERROR(IF(ISNUMBER(INDEX(SPPR!$E:$X,MATCH($A247,SPPR!$A:$A,0),4)),$C247*INDEX(SPPR!$E:$X,MATCH($A247,SPPR!$A:$A,0),4),""),"")</f>
        <v/>
      </c>
      <c r="H247">
        <f>IFERROR(IF(ISNUMBER(INDEX(SPPR!$E:$X,MATCH($A247,SPPR!$A:$A,0),5)),$C247*INDEX(SPPR!$E:$X,MATCH($A247,SPPR!$A:$A,0),5),""),"")</f>
        <v/>
      </c>
      <c r="I247">
        <f>IFERROR(IF(ISNUMBER(INDEX(SPPR!$E:$X,MATCH($A247,SPPR!$A:$A,0),6)),$C247*INDEX(SPPR!$E:$X,MATCH($A247,SPPR!$A:$A,0),6),""),"")</f>
        <v/>
      </c>
      <c r="J247">
        <f>IFERROR(IF(ISNUMBER(INDEX(SPPR!$E:$X,MATCH($A247,SPPR!$A:$A,0),7)),$C247*INDEX(SPPR!$E:$X,MATCH($A247,SPPR!$A:$A,0),7),""),"")</f>
        <v/>
      </c>
      <c r="K247">
        <f>IFERROR(IF(ISNUMBER(INDEX(SPPR!$E:$X,MATCH($A247,SPPR!$A:$A,0),8)),$C247*INDEX(SPPR!$E:$X,MATCH($A247,SPPR!$A:$A,0),8),""),"")</f>
        <v/>
      </c>
      <c r="L247">
        <f>IFERROR(IF(ISNUMBER(INDEX(SPPR!$E:$X,MATCH($A247,SPPR!$A:$A,0),9)),$C247*INDEX(SPPR!$E:$X,MATCH($A247,SPPR!$A:$A,0),9),""),"")</f>
        <v/>
      </c>
      <c r="M247">
        <f>IFERROR(IF(ISNUMBER(INDEX(SPPR!$E:$X,MATCH($A247,SPPR!$A:$A,0),10)),$C247*INDEX(SPPR!$E:$X,MATCH($A247,SPPR!$A:$A,0),10),""),"")</f>
        <v/>
      </c>
      <c r="N247">
        <f>IFERROR(IF(ISNUMBER(INDEX(SPPR!$E:$X,MATCH($A247,SPPR!$A:$A,0),11)),$C247*INDEX(SPPR!$E:$X,MATCH($A247,SPPR!$A:$A,0),11),""),"")</f>
        <v/>
      </c>
      <c r="O247">
        <f>IFERROR(IF(ISNUMBER(INDEX(SPPR!$E:$X,MATCH($A247,SPPR!$A:$A,0),12)),$C247*INDEX(SPPR!$E:$X,MATCH($A247,SPPR!$A:$A,0),12),""),"")</f>
        <v/>
      </c>
      <c r="P247">
        <f>IFERROR(IF(ISNUMBER(INDEX(SPPR!$E:$X,MATCH($A247,SPPR!$A:$A,0),13)),$C247*INDEX(SPPR!$E:$X,MATCH($A247,SPPR!$A:$A,0),13),""),"")</f>
        <v/>
      </c>
      <c r="Q247">
        <f>IFERROR(IF(ISNUMBER(INDEX(SPPR!$E:$X,MATCH($A247,SPPR!$A:$A,0),14)),$C247*INDEX(SPPR!$E:$X,MATCH($A247,SPPR!$A:$A,0),14),""),"")</f>
        <v/>
      </c>
      <c r="R247">
        <f>IFERROR(IF(ISNUMBER(INDEX(SPPR!$E:$X,MATCH($A247,SPPR!$A:$A,0),15)),$C247*INDEX(SPPR!$E:$X,MATCH($A247,SPPR!$A:$A,0),15),""),"")</f>
        <v/>
      </c>
      <c r="S247">
        <f>IFERROR(IF(ISNUMBER(INDEX(SPPR!$E:$X,MATCH($A247,SPPR!$A:$A,0),16)),$C247*INDEX(SPPR!$E:$X,MATCH($A247,SPPR!$A:$A,0),16),""),"")</f>
        <v/>
      </c>
      <c r="T247">
        <f>IFERROR(IF(ISNUMBER(INDEX(SPPR!$E:$X,MATCH($A247,SPPR!$A:$A,0),17)),$C247*INDEX(SPPR!$E:$X,MATCH($A247,SPPR!$A:$A,0),17),""),"")</f>
        <v/>
      </c>
      <c r="U247">
        <f>IFERROR(IF(ISNUMBER(INDEX(SPPR!$E:$X,MATCH($A247,SPPR!$A:$A,0),18)),$C247*INDEX(SPPR!$E:$X,MATCH($A247,SPPR!$A:$A,0),18),""),"")</f>
        <v/>
      </c>
      <c r="V247">
        <f>IFERROR(IF(ISNUMBER(INDEX(SPPR!$E:$X,MATCH($A247,SPPR!$A:$A,0),19)),$C247*INDEX(SPPR!$E:$X,MATCH($A247,SPPR!$A:$A,0),19),""),"")</f>
        <v/>
      </c>
      <c r="W247">
        <f>IFERROR(IF(ISNUMBER(INDEX(SPPR!$E:$X,MATCH($A247,SPPR!$A:$A,0),20)),$C247*INDEX(SPPR!$E:$X,MATCH($A247,SPPR!$A:$A,0),20),""),"")</f>
        <v/>
      </c>
    </row>
    <row r="248">
      <c r="A248" t="inlineStr">
        <is>
          <t>Nibea albiflora</t>
        </is>
      </c>
      <c r="B248">
        <f>IFERROR(INDEX(SPPR!$D:$D,MATCH($A248,SPPR!$A:$A,0)),"")</f>
        <v/>
      </c>
      <c r="C248">
        <f>IFERROR(INDEX(Catch!$E:$BV,MATCH($A248,Catch!$A:$A,0),MATCH($B$4,Catch!$E$1:$BV$1,0)),0)</f>
        <v/>
      </c>
      <c r="D248">
        <f>IFERROR(IF(ISNUMBER(INDEX(SPPR!$E:$X,MATCH($A248,SPPR!$A:$A,0),1)),$C248*INDEX(SPPR!$E:$X,MATCH($A248,SPPR!$A:$A,0),1),""),"")</f>
        <v/>
      </c>
      <c r="E248">
        <f>IFERROR(IF(ISNUMBER(INDEX(SPPR!$E:$X,MATCH($A248,SPPR!$A:$A,0),2)),$C248*INDEX(SPPR!$E:$X,MATCH($A248,SPPR!$A:$A,0),2),""),"")</f>
        <v/>
      </c>
      <c r="F248">
        <f>IFERROR(IF(ISNUMBER(INDEX(SPPR!$E:$X,MATCH($A248,SPPR!$A:$A,0),3)),$C248*INDEX(SPPR!$E:$X,MATCH($A248,SPPR!$A:$A,0),3),""),"")</f>
        <v/>
      </c>
      <c r="G248">
        <f>IFERROR(IF(ISNUMBER(INDEX(SPPR!$E:$X,MATCH($A248,SPPR!$A:$A,0),4)),$C248*INDEX(SPPR!$E:$X,MATCH($A248,SPPR!$A:$A,0),4),""),"")</f>
        <v/>
      </c>
      <c r="H248">
        <f>IFERROR(IF(ISNUMBER(INDEX(SPPR!$E:$X,MATCH($A248,SPPR!$A:$A,0),5)),$C248*INDEX(SPPR!$E:$X,MATCH($A248,SPPR!$A:$A,0),5),""),"")</f>
        <v/>
      </c>
      <c r="I248">
        <f>IFERROR(IF(ISNUMBER(INDEX(SPPR!$E:$X,MATCH($A248,SPPR!$A:$A,0),6)),$C248*INDEX(SPPR!$E:$X,MATCH($A248,SPPR!$A:$A,0),6),""),"")</f>
        <v/>
      </c>
      <c r="J248">
        <f>IFERROR(IF(ISNUMBER(INDEX(SPPR!$E:$X,MATCH($A248,SPPR!$A:$A,0),7)),$C248*INDEX(SPPR!$E:$X,MATCH($A248,SPPR!$A:$A,0),7),""),"")</f>
        <v/>
      </c>
      <c r="K248">
        <f>IFERROR(IF(ISNUMBER(INDEX(SPPR!$E:$X,MATCH($A248,SPPR!$A:$A,0),8)),$C248*INDEX(SPPR!$E:$X,MATCH($A248,SPPR!$A:$A,0),8),""),"")</f>
        <v/>
      </c>
      <c r="L248">
        <f>IFERROR(IF(ISNUMBER(INDEX(SPPR!$E:$X,MATCH($A248,SPPR!$A:$A,0),9)),$C248*INDEX(SPPR!$E:$X,MATCH($A248,SPPR!$A:$A,0),9),""),"")</f>
        <v/>
      </c>
      <c r="M248">
        <f>IFERROR(IF(ISNUMBER(INDEX(SPPR!$E:$X,MATCH($A248,SPPR!$A:$A,0),10)),$C248*INDEX(SPPR!$E:$X,MATCH($A248,SPPR!$A:$A,0),10),""),"")</f>
        <v/>
      </c>
      <c r="N248">
        <f>IFERROR(IF(ISNUMBER(INDEX(SPPR!$E:$X,MATCH($A248,SPPR!$A:$A,0),11)),$C248*INDEX(SPPR!$E:$X,MATCH($A248,SPPR!$A:$A,0),11),""),"")</f>
        <v/>
      </c>
      <c r="O248">
        <f>IFERROR(IF(ISNUMBER(INDEX(SPPR!$E:$X,MATCH($A248,SPPR!$A:$A,0),12)),$C248*INDEX(SPPR!$E:$X,MATCH($A248,SPPR!$A:$A,0),12),""),"")</f>
        <v/>
      </c>
      <c r="P248">
        <f>IFERROR(IF(ISNUMBER(INDEX(SPPR!$E:$X,MATCH($A248,SPPR!$A:$A,0),13)),$C248*INDEX(SPPR!$E:$X,MATCH($A248,SPPR!$A:$A,0),13),""),"")</f>
        <v/>
      </c>
      <c r="Q248">
        <f>IFERROR(IF(ISNUMBER(INDEX(SPPR!$E:$X,MATCH($A248,SPPR!$A:$A,0),14)),$C248*INDEX(SPPR!$E:$X,MATCH($A248,SPPR!$A:$A,0),14),""),"")</f>
        <v/>
      </c>
      <c r="R248">
        <f>IFERROR(IF(ISNUMBER(INDEX(SPPR!$E:$X,MATCH($A248,SPPR!$A:$A,0),15)),$C248*INDEX(SPPR!$E:$X,MATCH($A248,SPPR!$A:$A,0),15),""),"")</f>
        <v/>
      </c>
      <c r="S248">
        <f>IFERROR(IF(ISNUMBER(INDEX(SPPR!$E:$X,MATCH($A248,SPPR!$A:$A,0),16)),$C248*INDEX(SPPR!$E:$X,MATCH($A248,SPPR!$A:$A,0),16),""),"")</f>
        <v/>
      </c>
      <c r="T248">
        <f>IFERROR(IF(ISNUMBER(INDEX(SPPR!$E:$X,MATCH($A248,SPPR!$A:$A,0),17)),$C248*INDEX(SPPR!$E:$X,MATCH($A248,SPPR!$A:$A,0),17),""),"")</f>
        <v/>
      </c>
      <c r="U248">
        <f>IFERROR(IF(ISNUMBER(INDEX(SPPR!$E:$X,MATCH($A248,SPPR!$A:$A,0),18)),$C248*INDEX(SPPR!$E:$X,MATCH($A248,SPPR!$A:$A,0),18),""),"")</f>
        <v/>
      </c>
      <c r="V248">
        <f>IFERROR(IF(ISNUMBER(INDEX(SPPR!$E:$X,MATCH($A248,SPPR!$A:$A,0),19)),$C248*INDEX(SPPR!$E:$X,MATCH($A248,SPPR!$A:$A,0),19),""),"")</f>
        <v/>
      </c>
      <c r="W248">
        <f>IFERROR(IF(ISNUMBER(INDEX(SPPR!$E:$X,MATCH($A248,SPPR!$A:$A,0),20)),$C248*INDEX(SPPR!$E:$X,MATCH($A248,SPPR!$A:$A,0),20),""),"")</f>
        <v/>
      </c>
    </row>
    <row r="249">
      <c r="A249" t="inlineStr">
        <is>
          <t>Carcharhinus falciformis</t>
        </is>
      </c>
      <c r="B249">
        <f>IFERROR(INDEX(SPPR!$D:$D,MATCH($A249,SPPR!$A:$A,0)),"")</f>
        <v/>
      </c>
      <c r="C249">
        <f>IFERROR(INDEX(Catch!$E:$BV,MATCH($A249,Catch!$A:$A,0),MATCH($B$4,Catch!$E$1:$BV$1,0)),0)</f>
        <v/>
      </c>
      <c r="D249">
        <f>IFERROR(IF(ISNUMBER(INDEX(SPPR!$E:$X,MATCH($A249,SPPR!$A:$A,0),1)),$C249*INDEX(SPPR!$E:$X,MATCH($A249,SPPR!$A:$A,0),1),""),"")</f>
        <v/>
      </c>
      <c r="E249">
        <f>IFERROR(IF(ISNUMBER(INDEX(SPPR!$E:$X,MATCH($A249,SPPR!$A:$A,0),2)),$C249*INDEX(SPPR!$E:$X,MATCH($A249,SPPR!$A:$A,0),2),""),"")</f>
        <v/>
      </c>
      <c r="F249">
        <f>IFERROR(IF(ISNUMBER(INDEX(SPPR!$E:$X,MATCH($A249,SPPR!$A:$A,0),3)),$C249*INDEX(SPPR!$E:$X,MATCH($A249,SPPR!$A:$A,0),3),""),"")</f>
        <v/>
      </c>
      <c r="G249">
        <f>IFERROR(IF(ISNUMBER(INDEX(SPPR!$E:$X,MATCH($A249,SPPR!$A:$A,0),4)),$C249*INDEX(SPPR!$E:$X,MATCH($A249,SPPR!$A:$A,0),4),""),"")</f>
        <v/>
      </c>
      <c r="H249">
        <f>IFERROR(IF(ISNUMBER(INDEX(SPPR!$E:$X,MATCH($A249,SPPR!$A:$A,0),5)),$C249*INDEX(SPPR!$E:$X,MATCH($A249,SPPR!$A:$A,0),5),""),"")</f>
        <v/>
      </c>
      <c r="I249">
        <f>IFERROR(IF(ISNUMBER(INDEX(SPPR!$E:$X,MATCH($A249,SPPR!$A:$A,0),6)),$C249*INDEX(SPPR!$E:$X,MATCH($A249,SPPR!$A:$A,0),6),""),"")</f>
        <v/>
      </c>
      <c r="J249">
        <f>IFERROR(IF(ISNUMBER(INDEX(SPPR!$E:$X,MATCH($A249,SPPR!$A:$A,0),7)),$C249*INDEX(SPPR!$E:$X,MATCH($A249,SPPR!$A:$A,0),7),""),"")</f>
        <v/>
      </c>
      <c r="K249">
        <f>IFERROR(IF(ISNUMBER(INDEX(SPPR!$E:$X,MATCH($A249,SPPR!$A:$A,0),8)),$C249*INDEX(SPPR!$E:$X,MATCH($A249,SPPR!$A:$A,0),8),""),"")</f>
        <v/>
      </c>
      <c r="L249">
        <f>IFERROR(IF(ISNUMBER(INDEX(SPPR!$E:$X,MATCH($A249,SPPR!$A:$A,0),9)),$C249*INDEX(SPPR!$E:$X,MATCH($A249,SPPR!$A:$A,0),9),""),"")</f>
        <v/>
      </c>
      <c r="M249">
        <f>IFERROR(IF(ISNUMBER(INDEX(SPPR!$E:$X,MATCH($A249,SPPR!$A:$A,0),10)),$C249*INDEX(SPPR!$E:$X,MATCH($A249,SPPR!$A:$A,0),10),""),"")</f>
        <v/>
      </c>
      <c r="N249">
        <f>IFERROR(IF(ISNUMBER(INDEX(SPPR!$E:$X,MATCH($A249,SPPR!$A:$A,0),11)),$C249*INDEX(SPPR!$E:$X,MATCH($A249,SPPR!$A:$A,0),11),""),"")</f>
        <v/>
      </c>
      <c r="O249">
        <f>IFERROR(IF(ISNUMBER(INDEX(SPPR!$E:$X,MATCH($A249,SPPR!$A:$A,0),12)),$C249*INDEX(SPPR!$E:$X,MATCH($A249,SPPR!$A:$A,0),12),""),"")</f>
        <v/>
      </c>
      <c r="P249">
        <f>IFERROR(IF(ISNUMBER(INDEX(SPPR!$E:$X,MATCH($A249,SPPR!$A:$A,0),13)),$C249*INDEX(SPPR!$E:$X,MATCH($A249,SPPR!$A:$A,0),13),""),"")</f>
        <v/>
      </c>
      <c r="Q249">
        <f>IFERROR(IF(ISNUMBER(INDEX(SPPR!$E:$X,MATCH($A249,SPPR!$A:$A,0),14)),$C249*INDEX(SPPR!$E:$X,MATCH($A249,SPPR!$A:$A,0),14),""),"")</f>
        <v/>
      </c>
      <c r="R249">
        <f>IFERROR(IF(ISNUMBER(INDEX(SPPR!$E:$X,MATCH($A249,SPPR!$A:$A,0),15)),$C249*INDEX(SPPR!$E:$X,MATCH($A249,SPPR!$A:$A,0),15),""),"")</f>
        <v/>
      </c>
      <c r="S249">
        <f>IFERROR(IF(ISNUMBER(INDEX(SPPR!$E:$X,MATCH($A249,SPPR!$A:$A,0),16)),$C249*INDEX(SPPR!$E:$X,MATCH($A249,SPPR!$A:$A,0),16),""),"")</f>
        <v/>
      </c>
      <c r="T249">
        <f>IFERROR(IF(ISNUMBER(INDEX(SPPR!$E:$X,MATCH($A249,SPPR!$A:$A,0),17)),$C249*INDEX(SPPR!$E:$X,MATCH($A249,SPPR!$A:$A,0),17),""),"")</f>
        <v/>
      </c>
      <c r="U249">
        <f>IFERROR(IF(ISNUMBER(INDEX(SPPR!$E:$X,MATCH($A249,SPPR!$A:$A,0),18)),$C249*INDEX(SPPR!$E:$X,MATCH($A249,SPPR!$A:$A,0),18),""),"")</f>
        <v/>
      </c>
      <c r="V249">
        <f>IFERROR(IF(ISNUMBER(INDEX(SPPR!$E:$X,MATCH($A249,SPPR!$A:$A,0),19)),$C249*INDEX(SPPR!$E:$X,MATCH($A249,SPPR!$A:$A,0),19),""),"")</f>
        <v/>
      </c>
      <c r="W249">
        <f>IFERROR(IF(ISNUMBER(INDEX(SPPR!$E:$X,MATCH($A249,SPPR!$A:$A,0),20)),$C249*INDEX(SPPR!$E:$X,MATCH($A249,SPPR!$A:$A,0),20),""),"")</f>
        <v/>
      </c>
    </row>
    <row r="250">
      <c r="A250" t="inlineStr">
        <is>
          <t>Parupeneus barberinus</t>
        </is>
      </c>
      <c r="B250">
        <f>IFERROR(INDEX(SPPR!$D:$D,MATCH($A250,SPPR!$A:$A,0)),"")</f>
        <v/>
      </c>
      <c r="C250">
        <f>IFERROR(INDEX(Catch!$E:$BV,MATCH($A250,Catch!$A:$A,0),MATCH($B$4,Catch!$E$1:$BV$1,0)),0)</f>
        <v/>
      </c>
      <c r="D250">
        <f>IFERROR(IF(ISNUMBER(INDEX(SPPR!$E:$X,MATCH($A250,SPPR!$A:$A,0),1)),$C250*INDEX(SPPR!$E:$X,MATCH($A250,SPPR!$A:$A,0),1),""),"")</f>
        <v/>
      </c>
      <c r="E250">
        <f>IFERROR(IF(ISNUMBER(INDEX(SPPR!$E:$X,MATCH($A250,SPPR!$A:$A,0),2)),$C250*INDEX(SPPR!$E:$X,MATCH($A250,SPPR!$A:$A,0),2),""),"")</f>
        <v/>
      </c>
      <c r="F250">
        <f>IFERROR(IF(ISNUMBER(INDEX(SPPR!$E:$X,MATCH($A250,SPPR!$A:$A,0),3)),$C250*INDEX(SPPR!$E:$X,MATCH($A250,SPPR!$A:$A,0),3),""),"")</f>
        <v/>
      </c>
      <c r="G250">
        <f>IFERROR(IF(ISNUMBER(INDEX(SPPR!$E:$X,MATCH($A250,SPPR!$A:$A,0),4)),$C250*INDEX(SPPR!$E:$X,MATCH($A250,SPPR!$A:$A,0),4),""),"")</f>
        <v/>
      </c>
      <c r="H250">
        <f>IFERROR(IF(ISNUMBER(INDEX(SPPR!$E:$X,MATCH($A250,SPPR!$A:$A,0),5)),$C250*INDEX(SPPR!$E:$X,MATCH($A250,SPPR!$A:$A,0),5),""),"")</f>
        <v/>
      </c>
      <c r="I250">
        <f>IFERROR(IF(ISNUMBER(INDEX(SPPR!$E:$X,MATCH($A250,SPPR!$A:$A,0),6)),$C250*INDEX(SPPR!$E:$X,MATCH($A250,SPPR!$A:$A,0),6),""),"")</f>
        <v/>
      </c>
      <c r="J250">
        <f>IFERROR(IF(ISNUMBER(INDEX(SPPR!$E:$X,MATCH($A250,SPPR!$A:$A,0),7)),$C250*INDEX(SPPR!$E:$X,MATCH($A250,SPPR!$A:$A,0),7),""),"")</f>
        <v/>
      </c>
      <c r="K250">
        <f>IFERROR(IF(ISNUMBER(INDEX(SPPR!$E:$X,MATCH($A250,SPPR!$A:$A,0),8)),$C250*INDEX(SPPR!$E:$X,MATCH($A250,SPPR!$A:$A,0),8),""),"")</f>
        <v/>
      </c>
      <c r="L250">
        <f>IFERROR(IF(ISNUMBER(INDEX(SPPR!$E:$X,MATCH($A250,SPPR!$A:$A,0),9)),$C250*INDEX(SPPR!$E:$X,MATCH($A250,SPPR!$A:$A,0),9),""),"")</f>
        <v/>
      </c>
      <c r="M250">
        <f>IFERROR(IF(ISNUMBER(INDEX(SPPR!$E:$X,MATCH($A250,SPPR!$A:$A,0),10)),$C250*INDEX(SPPR!$E:$X,MATCH($A250,SPPR!$A:$A,0),10),""),"")</f>
        <v/>
      </c>
      <c r="N250">
        <f>IFERROR(IF(ISNUMBER(INDEX(SPPR!$E:$X,MATCH($A250,SPPR!$A:$A,0),11)),$C250*INDEX(SPPR!$E:$X,MATCH($A250,SPPR!$A:$A,0),11),""),"")</f>
        <v/>
      </c>
      <c r="O250">
        <f>IFERROR(IF(ISNUMBER(INDEX(SPPR!$E:$X,MATCH($A250,SPPR!$A:$A,0),12)),$C250*INDEX(SPPR!$E:$X,MATCH($A250,SPPR!$A:$A,0),12),""),"")</f>
        <v/>
      </c>
      <c r="P250">
        <f>IFERROR(IF(ISNUMBER(INDEX(SPPR!$E:$X,MATCH($A250,SPPR!$A:$A,0),13)),$C250*INDEX(SPPR!$E:$X,MATCH($A250,SPPR!$A:$A,0),13),""),"")</f>
        <v/>
      </c>
      <c r="Q250">
        <f>IFERROR(IF(ISNUMBER(INDEX(SPPR!$E:$X,MATCH($A250,SPPR!$A:$A,0),14)),$C250*INDEX(SPPR!$E:$X,MATCH($A250,SPPR!$A:$A,0),14),""),"")</f>
        <v/>
      </c>
      <c r="R250">
        <f>IFERROR(IF(ISNUMBER(INDEX(SPPR!$E:$X,MATCH($A250,SPPR!$A:$A,0),15)),$C250*INDEX(SPPR!$E:$X,MATCH($A250,SPPR!$A:$A,0),15),""),"")</f>
        <v/>
      </c>
      <c r="S250">
        <f>IFERROR(IF(ISNUMBER(INDEX(SPPR!$E:$X,MATCH($A250,SPPR!$A:$A,0),16)),$C250*INDEX(SPPR!$E:$X,MATCH($A250,SPPR!$A:$A,0),16),""),"")</f>
        <v/>
      </c>
      <c r="T250">
        <f>IFERROR(IF(ISNUMBER(INDEX(SPPR!$E:$X,MATCH($A250,SPPR!$A:$A,0),17)),$C250*INDEX(SPPR!$E:$X,MATCH($A250,SPPR!$A:$A,0),17),""),"")</f>
        <v/>
      </c>
      <c r="U250">
        <f>IFERROR(IF(ISNUMBER(INDEX(SPPR!$E:$X,MATCH($A250,SPPR!$A:$A,0),18)),$C250*INDEX(SPPR!$E:$X,MATCH($A250,SPPR!$A:$A,0),18),""),"")</f>
        <v/>
      </c>
      <c r="V250">
        <f>IFERROR(IF(ISNUMBER(INDEX(SPPR!$E:$X,MATCH($A250,SPPR!$A:$A,0),19)),$C250*INDEX(SPPR!$E:$X,MATCH($A250,SPPR!$A:$A,0),19),""),"")</f>
        <v/>
      </c>
      <c r="W250">
        <f>IFERROR(IF(ISNUMBER(INDEX(SPPR!$E:$X,MATCH($A250,SPPR!$A:$A,0),20)),$C250*INDEX(SPPR!$E:$X,MATCH($A250,SPPR!$A:$A,0),20),""),"")</f>
        <v/>
      </c>
    </row>
    <row r="251">
      <c r="A251" t="inlineStr">
        <is>
          <t>Epinephelus malabaricus</t>
        </is>
      </c>
      <c r="B251">
        <f>IFERROR(INDEX(SPPR!$D:$D,MATCH($A251,SPPR!$A:$A,0)),"")</f>
        <v/>
      </c>
      <c r="C251">
        <f>IFERROR(INDEX(Catch!$E:$BV,MATCH($A251,Catch!$A:$A,0),MATCH($B$4,Catch!$E$1:$BV$1,0)),0)</f>
        <v/>
      </c>
      <c r="D251">
        <f>IFERROR(IF(ISNUMBER(INDEX(SPPR!$E:$X,MATCH($A251,SPPR!$A:$A,0),1)),$C251*INDEX(SPPR!$E:$X,MATCH($A251,SPPR!$A:$A,0),1),""),"")</f>
        <v/>
      </c>
      <c r="E251">
        <f>IFERROR(IF(ISNUMBER(INDEX(SPPR!$E:$X,MATCH($A251,SPPR!$A:$A,0),2)),$C251*INDEX(SPPR!$E:$X,MATCH($A251,SPPR!$A:$A,0),2),""),"")</f>
        <v/>
      </c>
      <c r="F251">
        <f>IFERROR(IF(ISNUMBER(INDEX(SPPR!$E:$X,MATCH($A251,SPPR!$A:$A,0),3)),$C251*INDEX(SPPR!$E:$X,MATCH($A251,SPPR!$A:$A,0),3),""),"")</f>
        <v/>
      </c>
      <c r="G251">
        <f>IFERROR(IF(ISNUMBER(INDEX(SPPR!$E:$X,MATCH($A251,SPPR!$A:$A,0),4)),$C251*INDEX(SPPR!$E:$X,MATCH($A251,SPPR!$A:$A,0),4),""),"")</f>
        <v/>
      </c>
      <c r="H251">
        <f>IFERROR(IF(ISNUMBER(INDEX(SPPR!$E:$X,MATCH($A251,SPPR!$A:$A,0),5)),$C251*INDEX(SPPR!$E:$X,MATCH($A251,SPPR!$A:$A,0),5),""),"")</f>
        <v/>
      </c>
      <c r="I251">
        <f>IFERROR(IF(ISNUMBER(INDEX(SPPR!$E:$X,MATCH($A251,SPPR!$A:$A,0),6)),$C251*INDEX(SPPR!$E:$X,MATCH($A251,SPPR!$A:$A,0),6),""),"")</f>
        <v/>
      </c>
      <c r="J251">
        <f>IFERROR(IF(ISNUMBER(INDEX(SPPR!$E:$X,MATCH($A251,SPPR!$A:$A,0),7)),$C251*INDEX(SPPR!$E:$X,MATCH($A251,SPPR!$A:$A,0),7),""),"")</f>
        <v/>
      </c>
      <c r="K251">
        <f>IFERROR(IF(ISNUMBER(INDEX(SPPR!$E:$X,MATCH($A251,SPPR!$A:$A,0),8)),$C251*INDEX(SPPR!$E:$X,MATCH($A251,SPPR!$A:$A,0),8),""),"")</f>
        <v/>
      </c>
      <c r="L251">
        <f>IFERROR(IF(ISNUMBER(INDEX(SPPR!$E:$X,MATCH($A251,SPPR!$A:$A,0),9)),$C251*INDEX(SPPR!$E:$X,MATCH($A251,SPPR!$A:$A,0),9),""),"")</f>
        <v/>
      </c>
      <c r="M251">
        <f>IFERROR(IF(ISNUMBER(INDEX(SPPR!$E:$X,MATCH($A251,SPPR!$A:$A,0),10)),$C251*INDEX(SPPR!$E:$X,MATCH($A251,SPPR!$A:$A,0),10),""),"")</f>
        <v/>
      </c>
      <c r="N251">
        <f>IFERROR(IF(ISNUMBER(INDEX(SPPR!$E:$X,MATCH($A251,SPPR!$A:$A,0),11)),$C251*INDEX(SPPR!$E:$X,MATCH($A251,SPPR!$A:$A,0),11),""),"")</f>
        <v/>
      </c>
      <c r="O251">
        <f>IFERROR(IF(ISNUMBER(INDEX(SPPR!$E:$X,MATCH($A251,SPPR!$A:$A,0),12)),$C251*INDEX(SPPR!$E:$X,MATCH($A251,SPPR!$A:$A,0),12),""),"")</f>
        <v/>
      </c>
      <c r="P251">
        <f>IFERROR(IF(ISNUMBER(INDEX(SPPR!$E:$X,MATCH($A251,SPPR!$A:$A,0),13)),$C251*INDEX(SPPR!$E:$X,MATCH($A251,SPPR!$A:$A,0),13),""),"")</f>
        <v/>
      </c>
      <c r="Q251">
        <f>IFERROR(IF(ISNUMBER(INDEX(SPPR!$E:$X,MATCH($A251,SPPR!$A:$A,0),14)),$C251*INDEX(SPPR!$E:$X,MATCH($A251,SPPR!$A:$A,0),14),""),"")</f>
        <v/>
      </c>
      <c r="R251">
        <f>IFERROR(IF(ISNUMBER(INDEX(SPPR!$E:$X,MATCH($A251,SPPR!$A:$A,0),15)),$C251*INDEX(SPPR!$E:$X,MATCH($A251,SPPR!$A:$A,0),15),""),"")</f>
        <v/>
      </c>
      <c r="S251">
        <f>IFERROR(IF(ISNUMBER(INDEX(SPPR!$E:$X,MATCH($A251,SPPR!$A:$A,0),16)),$C251*INDEX(SPPR!$E:$X,MATCH($A251,SPPR!$A:$A,0),16),""),"")</f>
        <v/>
      </c>
      <c r="T251">
        <f>IFERROR(IF(ISNUMBER(INDEX(SPPR!$E:$X,MATCH($A251,SPPR!$A:$A,0),17)),$C251*INDEX(SPPR!$E:$X,MATCH($A251,SPPR!$A:$A,0),17),""),"")</f>
        <v/>
      </c>
      <c r="U251">
        <f>IFERROR(IF(ISNUMBER(INDEX(SPPR!$E:$X,MATCH($A251,SPPR!$A:$A,0),18)),$C251*INDEX(SPPR!$E:$X,MATCH($A251,SPPR!$A:$A,0),18),""),"")</f>
        <v/>
      </c>
      <c r="V251">
        <f>IFERROR(IF(ISNUMBER(INDEX(SPPR!$E:$X,MATCH($A251,SPPR!$A:$A,0),19)),$C251*INDEX(SPPR!$E:$X,MATCH($A251,SPPR!$A:$A,0),19),""),"")</f>
        <v/>
      </c>
      <c r="W251">
        <f>IFERROR(IF(ISNUMBER(INDEX(SPPR!$E:$X,MATCH($A251,SPPR!$A:$A,0),20)),$C251*INDEX(SPPR!$E:$X,MATCH($A251,SPPR!$A:$A,0),20),""),"")</f>
        <v/>
      </c>
    </row>
    <row r="252">
      <c r="A252" t="inlineStr">
        <is>
          <t>Ranina ranina</t>
        </is>
      </c>
      <c r="B252">
        <f>IFERROR(INDEX(SPPR!$D:$D,MATCH($A252,SPPR!$A:$A,0)),"")</f>
        <v/>
      </c>
      <c r="C252">
        <f>IFERROR(INDEX(Catch!$E:$BV,MATCH($A252,Catch!$A:$A,0),MATCH($B$4,Catch!$E$1:$BV$1,0)),0)</f>
        <v/>
      </c>
      <c r="D252">
        <f>IFERROR(IF(ISNUMBER(INDEX(SPPR!$E:$X,MATCH($A252,SPPR!$A:$A,0),1)),$C252*INDEX(SPPR!$E:$X,MATCH($A252,SPPR!$A:$A,0),1),""),"")</f>
        <v/>
      </c>
      <c r="E252">
        <f>IFERROR(IF(ISNUMBER(INDEX(SPPR!$E:$X,MATCH($A252,SPPR!$A:$A,0),2)),$C252*INDEX(SPPR!$E:$X,MATCH($A252,SPPR!$A:$A,0),2),""),"")</f>
        <v/>
      </c>
      <c r="F252">
        <f>IFERROR(IF(ISNUMBER(INDEX(SPPR!$E:$X,MATCH($A252,SPPR!$A:$A,0),3)),$C252*INDEX(SPPR!$E:$X,MATCH($A252,SPPR!$A:$A,0),3),""),"")</f>
        <v/>
      </c>
      <c r="G252">
        <f>IFERROR(IF(ISNUMBER(INDEX(SPPR!$E:$X,MATCH($A252,SPPR!$A:$A,0),4)),$C252*INDEX(SPPR!$E:$X,MATCH($A252,SPPR!$A:$A,0),4),""),"")</f>
        <v/>
      </c>
      <c r="H252">
        <f>IFERROR(IF(ISNUMBER(INDEX(SPPR!$E:$X,MATCH($A252,SPPR!$A:$A,0),5)),$C252*INDEX(SPPR!$E:$X,MATCH($A252,SPPR!$A:$A,0),5),""),"")</f>
        <v/>
      </c>
      <c r="I252">
        <f>IFERROR(IF(ISNUMBER(INDEX(SPPR!$E:$X,MATCH($A252,SPPR!$A:$A,0),6)),$C252*INDEX(SPPR!$E:$X,MATCH($A252,SPPR!$A:$A,0),6),""),"")</f>
        <v/>
      </c>
      <c r="J252">
        <f>IFERROR(IF(ISNUMBER(INDEX(SPPR!$E:$X,MATCH($A252,SPPR!$A:$A,0),7)),$C252*INDEX(SPPR!$E:$X,MATCH($A252,SPPR!$A:$A,0),7),""),"")</f>
        <v/>
      </c>
      <c r="K252">
        <f>IFERROR(IF(ISNUMBER(INDEX(SPPR!$E:$X,MATCH($A252,SPPR!$A:$A,0),8)),$C252*INDEX(SPPR!$E:$X,MATCH($A252,SPPR!$A:$A,0),8),""),"")</f>
        <v/>
      </c>
      <c r="L252">
        <f>IFERROR(IF(ISNUMBER(INDEX(SPPR!$E:$X,MATCH($A252,SPPR!$A:$A,0),9)),$C252*INDEX(SPPR!$E:$X,MATCH($A252,SPPR!$A:$A,0),9),""),"")</f>
        <v/>
      </c>
      <c r="M252">
        <f>IFERROR(IF(ISNUMBER(INDEX(SPPR!$E:$X,MATCH($A252,SPPR!$A:$A,0),10)),$C252*INDEX(SPPR!$E:$X,MATCH($A252,SPPR!$A:$A,0),10),""),"")</f>
        <v/>
      </c>
      <c r="N252">
        <f>IFERROR(IF(ISNUMBER(INDEX(SPPR!$E:$X,MATCH($A252,SPPR!$A:$A,0),11)),$C252*INDEX(SPPR!$E:$X,MATCH($A252,SPPR!$A:$A,0),11),""),"")</f>
        <v/>
      </c>
      <c r="O252">
        <f>IFERROR(IF(ISNUMBER(INDEX(SPPR!$E:$X,MATCH($A252,SPPR!$A:$A,0),12)),$C252*INDEX(SPPR!$E:$X,MATCH($A252,SPPR!$A:$A,0),12),""),"")</f>
        <v/>
      </c>
      <c r="P252">
        <f>IFERROR(IF(ISNUMBER(INDEX(SPPR!$E:$X,MATCH($A252,SPPR!$A:$A,0),13)),$C252*INDEX(SPPR!$E:$X,MATCH($A252,SPPR!$A:$A,0),13),""),"")</f>
        <v/>
      </c>
      <c r="Q252">
        <f>IFERROR(IF(ISNUMBER(INDEX(SPPR!$E:$X,MATCH($A252,SPPR!$A:$A,0),14)),$C252*INDEX(SPPR!$E:$X,MATCH($A252,SPPR!$A:$A,0),14),""),"")</f>
        <v/>
      </c>
      <c r="R252">
        <f>IFERROR(IF(ISNUMBER(INDEX(SPPR!$E:$X,MATCH($A252,SPPR!$A:$A,0),15)),$C252*INDEX(SPPR!$E:$X,MATCH($A252,SPPR!$A:$A,0),15),""),"")</f>
        <v/>
      </c>
      <c r="S252">
        <f>IFERROR(IF(ISNUMBER(INDEX(SPPR!$E:$X,MATCH($A252,SPPR!$A:$A,0),16)),$C252*INDEX(SPPR!$E:$X,MATCH($A252,SPPR!$A:$A,0),16),""),"")</f>
        <v/>
      </c>
      <c r="T252">
        <f>IFERROR(IF(ISNUMBER(INDEX(SPPR!$E:$X,MATCH($A252,SPPR!$A:$A,0),17)),$C252*INDEX(SPPR!$E:$X,MATCH($A252,SPPR!$A:$A,0),17),""),"")</f>
        <v/>
      </c>
      <c r="U252">
        <f>IFERROR(IF(ISNUMBER(INDEX(SPPR!$E:$X,MATCH($A252,SPPR!$A:$A,0),18)),$C252*INDEX(SPPR!$E:$X,MATCH($A252,SPPR!$A:$A,0),18),""),"")</f>
        <v/>
      </c>
      <c r="V252">
        <f>IFERROR(IF(ISNUMBER(INDEX(SPPR!$E:$X,MATCH($A252,SPPR!$A:$A,0),19)),$C252*INDEX(SPPR!$E:$X,MATCH($A252,SPPR!$A:$A,0),19),""),"")</f>
        <v/>
      </c>
      <c r="W252">
        <f>IFERROR(IF(ISNUMBER(INDEX(SPPR!$E:$X,MATCH($A252,SPPR!$A:$A,0),20)),$C252*INDEX(SPPR!$E:$X,MATCH($A252,SPPR!$A:$A,0),20),""),"")</f>
        <v/>
      </c>
    </row>
    <row r="253">
      <c r="A253" t="inlineStr">
        <is>
          <t>Metapenaeus ensis</t>
        </is>
      </c>
      <c r="B253">
        <f>IFERROR(INDEX(SPPR!$D:$D,MATCH($A253,SPPR!$A:$A,0)),"")</f>
        <v/>
      </c>
      <c r="C253">
        <f>IFERROR(INDEX(Catch!$E:$BV,MATCH($A253,Catch!$A:$A,0),MATCH($B$4,Catch!$E$1:$BV$1,0)),0)</f>
        <v/>
      </c>
      <c r="D253">
        <f>IFERROR(IF(ISNUMBER(INDEX(SPPR!$E:$X,MATCH($A253,SPPR!$A:$A,0),1)),$C253*INDEX(SPPR!$E:$X,MATCH($A253,SPPR!$A:$A,0),1),""),"")</f>
        <v/>
      </c>
      <c r="E253">
        <f>IFERROR(IF(ISNUMBER(INDEX(SPPR!$E:$X,MATCH($A253,SPPR!$A:$A,0),2)),$C253*INDEX(SPPR!$E:$X,MATCH($A253,SPPR!$A:$A,0),2),""),"")</f>
        <v/>
      </c>
      <c r="F253">
        <f>IFERROR(IF(ISNUMBER(INDEX(SPPR!$E:$X,MATCH($A253,SPPR!$A:$A,0),3)),$C253*INDEX(SPPR!$E:$X,MATCH($A253,SPPR!$A:$A,0),3),""),"")</f>
        <v/>
      </c>
      <c r="G253">
        <f>IFERROR(IF(ISNUMBER(INDEX(SPPR!$E:$X,MATCH($A253,SPPR!$A:$A,0),4)),$C253*INDEX(SPPR!$E:$X,MATCH($A253,SPPR!$A:$A,0),4),""),"")</f>
        <v/>
      </c>
      <c r="H253">
        <f>IFERROR(IF(ISNUMBER(INDEX(SPPR!$E:$X,MATCH($A253,SPPR!$A:$A,0),5)),$C253*INDEX(SPPR!$E:$X,MATCH($A253,SPPR!$A:$A,0),5),""),"")</f>
        <v/>
      </c>
      <c r="I253">
        <f>IFERROR(IF(ISNUMBER(INDEX(SPPR!$E:$X,MATCH($A253,SPPR!$A:$A,0),6)),$C253*INDEX(SPPR!$E:$X,MATCH($A253,SPPR!$A:$A,0),6),""),"")</f>
        <v/>
      </c>
      <c r="J253">
        <f>IFERROR(IF(ISNUMBER(INDEX(SPPR!$E:$X,MATCH($A253,SPPR!$A:$A,0),7)),$C253*INDEX(SPPR!$E:$X,MATCH($A253,SPPR!$A:$A,0),7),""),"")</f>
        <v/>
      </c>
      <c r="K253">
        <f>IFERROR(IF(ISNUMBER(INDEX(SPPR!$E:$X,MATCH($A253,SPPR!$A:$A,0),8)),$C253*INDEX(SPPR!$E:$X,MATCH($A253,SPPR!$A:$A,0),8),""),"")</f>
        <v/>
      </c>
      <c r="L253">
        <f>IFERROR(IF(ISNUMBER(INDEX(SPPR!$E:$X,MATCH($A253,SPPR!$A:$A,0),9)),$C253*INDEX(SPPR!$E:$X,MATCH($A253,SPPR!$A:$A,0),9),""),"")</f>
        <v/>
      </c>
      <c r="M253">
        <f>IFERROR(IF(ISNUMBER(INDEX(SPPR!$E:$X,MATCH($A253,SPPR!$A:$A,0),10)),$C253*INDEX(SPPR!$E:$X,MATCH($A253,SPPR!$A:$A,0),10),""),"")</f>
        <v/>
      </c>
      <c r="N253">
        <f>IFERROR(IF(ISNUMBER(INDEX(SPPR!$E:$X,MATCH($A253,SPPR!$A:$A,0),11)),$C253*INDEX(SPPR!$E:$X,MATCH($A253,SPPR!$A:$A,0),11),""),"")</f>
        <v/>
      </c>
      <c r="O253">
        <f>IFERROR(IF(ISNUMBER(INDEX(SPPR!$E:$X,MATCH($A253,SPPR!$A:$A,0),12)),$C253*INDEX(SPPR!$E:$X,MATCH($A253,SPPR!$A:$A,0),12),""),"")</f>
        <v/>
      </c>
      <c r="P253">
        <f>IFERROR(IF(ISNUMBER(INDEX(SPPR!$E:$X,MATCH($A253,SPPR!$A:$A,0),13)),$C253*INDEX(SPPR!$E:$X,MATCH($A253,SPPR!$A:$A,0),13),""),"")</f>
        <v/>
      </c>
      <c r="Q253">
        <f>IFERROR(IF(ISNUMBER(INDEX(SPPR!$E:$X,MATCH($A253,SPPR!$A:$A,0),14)),$C253*INDEX(SPPR!$E:$X,MATCH($A253,SPPR!$A:$A,0),14),""),"")</f>
        <v/>
      </c>
      <c r="R253">
        <f>IFERROR(IF(ISNUMBER(INDEX(SPPR!$E:$X,MATCH($A253,SPPR!$A:$A,0),15)),$C253*INDEX(SPPR!$E:$X,MATCH($A253,SPPR!$A:$A,0),15),""),"")</f>
        <v/>
      </c>
      <c r="S253">
        <f>IFERROR(IF(ISNUMBER(INDEX(SPPR!$E:$X,MATCH($A253,SPPR!$A:$A,0),16)),$C253*INDEX(SPPR!$E:$X,MATCH($A253,SPPR!$A:$A,0),16),""),"")</f>
        <v/>
      </c>
      <c r="T253">
        <f>IFERROR(IF(ISNUMBER(INDEX(SPPR!$E:$X,MATCH($A253,SPPR!$A:$A,0),17)),$C253*INDEX(SPPR!$E:$X,MATCH($A253,SPPR!$A:$A,0),17),""),"")</f>
        <v/>
      </c>
      <c r="U253">
        <f>IFERROR(IF(ISNUMBER(INDEX(SPPR!$E:$X,MATCH($A253,SPPR!$A:$A,0),18)),$C253*INDEX(SPPR!$E:$X,MATCH($A253,SPPR!$A:$A,0),18),""),"")</f>
        <v/>
      </c>
      <c r="V253">
        <f>IFERROR(IF(ISNUMBER(INDEX(SPPR!$E:$X,MATCH($A253,SPPR!$A:$A,0),19)),$C253*INDEX(SPPR!$E:$X,MATCH($A253,SPPR!$A:$A,0),19),""),"")</f>
        <v/>
      </c>
      <c r="W253">
        <f>IFERROR(IF(ISNUMBER(INDEX(SPPR!$E:$X,MATCH($A253,SPPR!$A:$A,0),20)),$C253*INDEX(SPPR!$E:$X,MATCH($A253,SPPR!$A:$A,0),20),""),"")</f>
        <v/>
      </c>
    </row>
    <row r="254">
      <c r="A254" t="inlineStr">
        <is>
          <t>Rachycentron canadum</t>
        </is>
      </c>
      <c r="B254">
        <f>IFERROR(INDEX(SPPR!$D:$D,MATCH($A254,SPPR!$A:$A,0)),"")</f>
        <v/>
      </c>
      <c r="C254">
        <f>IFERROR(INDEX(Catch!$E:$BV,MATCH($A254,Catch!$A:$A,0),MATCH($B$4,Catch!$E$1:$BV$1,0)),0)</f>
        <v/>
      </c>
      <c r="D254">
        <f>IFERROR(IF(ISNUMBER(INDEX(SPPR!$E:$X,MATCH($A254,SPPR!$A:$A,0),1)),$C254*INDEX(SPPR!$E:$X,MATCH($A254,SPPR!$A:$A,0),1),""),"")</f>
        <v/>
      </c>
      <c r="E254">
        <f>IFERROR(IF(ISNUMBER(INDEX(SPPR!$E:$X,MATCH($A254,SPPR!$A:$A,0),2)),$C254*INDEX(SPPR!$E:$X,MATCH($A254,SPPR!$A:$A,0),2),""),"")</f>
        <v/>
      </c>
      <c r="F254">
        <f>IFERROR(IF(ISNUMBER(INDEX(SPPR!$E:$X,MATCH($A254,SPPR!$A:$A,0),3)),$C254*INDEX(SPPR!$E:$X,MATCH($A254,SPPR!$A:$A,0),3),""),"")</f>
        <v/>
      </c>
      <c r="G254">
        <f>IFERROR(IF(ISNUMBER(INDEX(SPPR!$E:$X,MATCH($A254,SPPR!$A:$A,0),4)),$C254*INDEX(SPPR!$E:$X,MATCH($A254,SPPR!$A:$A,0),4),""),"")</f>
        <v/>
      </c>
      <c r="H254">
        <f>IFERROR(IF(ISNUMBER(INDEX(SPPR!$E:$X,MATCH($A254,SPPR!$A:$A,0),5)),$C254*INDEX(SPPR!$E:$X,MATCH($A254,SPPR!$A:$A,0),5),""),"")</f>
        <v/>
      </c>
      <c r="I254">
        <f>IFERROR(IF(ISNUMBER(INDEX(SPPR!$E:$X,MATCH($A254,SPPR!$A:$A,0),6)),$C254*INDEX(SPPR!$E:$X,MATCH($A254,SPPR!$A:$A,0),6),""),"")</f>
        <v/>
      </c>
      <c r="J254">
        <f>IFERROR(IF(ISNUMBER(INDEX(SPPR!$E:$X,MATCH($A254,SPPR!$A:$A,0),7)),$C254*INDEX(SPPR!$E:$X,MATCH($A254,SPPR!$A:$A,0),7),""),"")</f>
        <v/>
      </c>
      <c r="K254">
        <f>IFERROR(IF(ISNUMBER(INDEX(SPPR!$E:$X,MATCH($A254,SPPR!$A:$A,0),8)),$C254*INDEX(SPPR!$E:$X,MATCH($A254,SPPR!$A:$A,0),8),""),"")</f>
        <v/>
      </c>
      <c r="L254">
        <f>IFERROR(IF(ISNUMBER(INDEX(SPPR!$E:$X,MATCH($A254,SPPR!$A:$A,0),9)),$C254*INDEX(SPPR!$E:$X,MATCH($A254,SPPR!$A:$A,0),9),""),"")</f>
        <v/>
      </c>
      <c r="M254">
        <f>IFERROR(IF(ISNUMBER(INDEX(SPPR!$E:$X,MATCH($A254,SPPR!$A:$A,0),10)),$C254*INDEX(SPPR!$E:$X,MATCH($A254,SPPR!$A:$A,0),10),""),"")</f>
        <v/>
      </c>
      <c r="N254">
        <f>IFERROR(IF(ISNUMBER(INDEX(SPPR!$E:$X,MATCH($A254,SPPR!$A:$A,0),11)),$C254*INDEX(SPPR!$E:$X,MATCH($A254,SPPR!$A:$A,0),11),""),"")</f>
        <v/>
      </c>
      <c r="O254">
        <f>IFERROR(IF(ISNUMBER(INDEX(SPPR!$E:$X,MATCH($A254,SPPR!$A:$A,0),12)),$C254*INDEX(SPPR!$E:$X,MATCH($A254,SPPR!$A:$A,0),12),""),"")</f>
        <v/>
      </c>
      <c r="P254">
        <f>IFERROR(IF(ISNUMBER(INDEX(SPPR!$E:$X,MATCH($A254,SPPR!$A:$A,0),13)),$C254*INDEX(SPPR!$E:$X,MATCH($A254,SPPR!$A:$A,0),13),""),"")</f>
        <v/>
      </c>
      <c r="Q254">
        <f>IFERROR(IF(ISNUMBER(INDEX(SPPR!$E:$X,MATCH($A254,SPPR!$A:$A,0),14)),$C254*INDEX(SPPR!$E:$X,MATCH($A254,SPPR!$A:$A,0),14),""),"")</f>
        <v/>
      </c>
      <c r="R254">
        <f>IFERROR(IF(ISNUMBER(INDEX(SPPR!$E:$X,MATCH($A254,SPPR!$A:$A,0),15)),$C254*INDEX(SPPR!$E:$X,MATCH($A254,SPPR!$A:$A,0),15),""),"")</f>
        <v/>
      </c>
      <c r="S254">
        <f>IFERROR(IF(ISNUMBER(INDEX(SPPR!$E:$X,MATCH($A254,SPPR!$A:$A,0),16)),$C254*INDEX(SPPR!$E:$X,MATCH($A254,SPPR!$A:$A,0),16),""),"")</f>
        <v/>
      </c>
      <c r="T254">
        <f>IFERROR(IF(ISNUMBER(INDEX(SPPR!$E:$X,MATCH($A254,SPPR!$A:$A,0),17)),$C254*INDEX(SPPR!$E:$X,MATCH($A254,SPPR!$A:$A,0),17),""),"")</f>
        <v/>
      </c>
      <c r="U254">
        <f>IFERROR(IF(ISNUMBER(INDEX(SPPR!$E:$X,MATCH($A254,SPPR!$A:$A,0),18)),$C254*INDEX(SPPR!$E:$X,MATCH($A254,SPPR!$A:$A,0),18),""),"")</f>
        <v/>
      </c>
      <c r="V254">
        <f>IFERROR(IF(ISNUMBER(INDEX(SPPR!$E:$X,MATCH($A254,SPPR!$A:$A,0),19)),$C254*INDEX(SPPR!$E:$X,MATCH($A254,SPPR!$A:$A,0),19),""),"")</f>
        <v/>
      </c>
      <c r="W254">
        <f>IFERROR(IF(ISNUMBER(INDEX(SPPR!$E:$X,MATCH($A254,SPPR!$A:$A,0),20)),$C254*INDEX(SPPR!$E:$X,MATCH($A254,SPPR!$A:$A,0),20),""),"")</f>
        <v/>
      </c>
    </row>
    <row r="255">
      <c r="A255" t="inlineStr">
        <is>
          <t>Sphyraena barracuda</t>
        </is>
      </c>
      <c r="B255">
        <f>IFERROR(INDEX(SPPR!$D:$D,MATCH($A255,SPPR!$A:$A,0)),"")</f>
        <v/>
      </c>
      <c r="C255">
        <f>IFERROR(INDEX(Catch!$E:$BV,MATCH($A255,Catch!$A:$A,0),MATCH($B$4,Catch!$E$1:$BV$1,0)),0)</f>
        <v/>
      </c>
      <c r="D255">
        <f>IFERROR(IF(ISNUMBER(INDEX(SPPR!$E:$X,MATCH($A255,SPPR!$A:$A,0),1)),$C255*INDEX(SPPR!$E:$X,MATCH($A255,SPPR!$A:$A,0),1),""),"")</f>
        <v/>
      </c>
      <c r="E255">
        <f>IFERROR(IF(ISNUMBER(INDEX(SPPR!$E:$X,MATCH($A255,SPPR!$A:$A,0),2)),$C255*INDEX(SPPR!$E:$X,MATCH($A255,SPPR!$A:$A,0),2),""),"")</f>
        <v/>
      </c>
      <c r="F255">
        <f>IFERROR(IF(ISNUMBER(INDEX(SPPR!$E:$X,MATCH($A255,SPPR!$A:$A,0),3)),$C255*INDEX(SPPR!$E:$X,MATCH($A255,SPPR!$A:$A,0),3),""),"")</f>
        <v/>
      </c>
      <c r="G255">
        <f>IFERROR(IF(ISNUMBER(INDEX(SPPR!$E:$X,MATCH($A255,SPPR!$A:$A,0),4)),$C255*INDEX(SPPR!$E:$X,MATCH($A255,SPPR!$A:$A,0),4),""),"")</f>
        <v/>
      </c>
      <c r="H255">
        <f>IFERROR(IF(ISNUMBER(INDEX(SPPR!$E:$X,MATCH($A255,SPPR!$A:$A,0),5)),$C255*INDEX(SPPR!$E:$X,MATCH($A255,SPPR!$A:$A,0),5),""),"")</f>
        <v/>
      </c>
      <c r="I255">
        <f>IFERROR(IF(ISNUMBER(INDEX(SPPR!$E:$X,MATCH($A255,SPPR!$A:$A,0),6)),$C255*INDEX(SPPR!$E:$X,MATCH($A255,SPPR!$A:$A,0),6),""),"")</f>
        <v/>
      </c>
      <c r="J255">
        <f>IFERROR(IF(ISNUMBER(INDEX(SPPR!$E:$X,MATCH($A255,SPPR!$A:$A,0),7)),$C255*INDEX(SPPR!$E:$X,MATCH($A255,SPPR!$A:$A,0),7),""),"")</f>
        <v/>
      </c>
      <c r="K255">
        <f>IFERROR(IF(ISNUMBER(INDEX(SPPR!$E:$X,MATCH($A255,SPPR!$A:$A,0),8)),$C255*INDEX(SPPR!$E:$X,MATCH($A255,SPPR!$A:$A,0),8),""),"")</f>
        <v/>
      </c>
      <c r="L255">
        <f>IFERROR(IF(ISNUMBER(INDEX(SPPR!$E:$X,MATCH($A255,SPPR!$A:$A,0),9)),$C255*INDEX(SPPR!$E:$X,MATCH($A255,SPPR!$A:$A,0),9),""),"")</f>
        <v/>
      </c>
      <c r="M255">
        <f>IFERROR(IF(ISNUMBER(INDEX(SPPR!$E:$X,MATCH($A255,SPPR!$A:$A,0),10)),$C255*INDEX(SPPR!$E:$X,MATCH($A255,SPPR!$A:$A,0),10),""),"")</f>
        <v/>
      </c>
      <c r="N255">
        <f>IFERROR(IF(ISNUMBER(INDEX(SPPR!$E:$X,MATCH($A255,SPPR!$A:$A,0),11)),$C255*INDEX(SPPR!$E:$X,MATCH($A255,SPPR!$A:$A,0),11),""),"")</f>
        <v/>
      </c>
      <c r="O255">
        <f>IFERROR(IF(ISNUMBER(INDEX(SPPR!$E:$X,MATCH($A255,SPPR!$A:$A,0),12)),$C255*INDEX(SPPR!$E:$X,MATCH($A255,SPPR!$A:$A,0),12),""),"")</f>
        <v/>
      </c>
      <c r="P255">
        <f>IFERROR(IF(ISNUMBER(INDEX(SPPR!$E:$X,MATCH($A255,SPPR!$A:$A,0),13)),$C255*INDEX(SPPR!$E:$X,MATCH($A255,SPPR!$A:$A,0),13),""),"")</f>
        <v/>
      </c>
      <c r="Q255">
        <f>IFERROR(IF(ISNUMBER(INDEX(SPPR!$E:$X,MATCH($A255,SPPR!$A:$A,0),14)),$C255*INDEX(SPPR!$E:$X,MATCH($A255,SPPR!$A:$A,0),14),""),"")</f>
        <v/>
      </c>
      <c r="R255">
        <f>IFERROR(IF(ISNUMBER(INDEX(SPPR!$E:$X,MATCH($A255,SPPR!$A:$A,0),15)),$C255*INDEX(SPPR!$E:$X,MATCH($A255,SPPR!$A:$A,0),15),""),"")</f>
        <v/>
      </c>
      <c r="S255">
        <f>IFERROR(IF(ISNUMBER(INDEX(SPPR!$E:$X,MATCH($A255,SPPR!$A:$A,0),16)),$C255*INDEX(SPPR!$E:$X,MATCH($A255,SPPR!$A:$A,0),16),""),"")</f>
        <v/>
      </c>
      <c r="T255">
        <f>IFERROR(IF(ISNUMBER(INDEX(SPPR!$E:$X,MATCH($A255,SPPR!$A:$A,0),17)),$C255*INDEX(SPPR!$E:$X,MATCH($A255,SPPR!$A:$A,0),17),""),"")</f>
        <v/>
      </c>
      <c r="U255">
        <f>IFERROR(IF(ISNUMBER(INDEX(SPPR!$E:$X,MATCH($A255,SPPR!$A:$A,0),18)),$C255*INDEX(SPPR!$E:$X,MATCH($A255,SPPR!$A:$A,0),18),""),"")</f>
        <v/>
      </c>
      <c r="V255">
        <f>IFERROR(IF(ISNUMBER(INDEX(SPPR!$E:$X,MATCH($A255,SPPR!$A:$A,0),19)),$C255*INDEX(SPPR!$E:$X,MATCH($A255,SPPR!$A:$A,0),19),""),"")</f>
        <v/>
      </c>
      <c r="W255">
        <f>IFERROR(IF(ISNUMBER(INDEX(SPPR!$E:$X,MATCH($A255,SPPR!$A:$A,0),20)),$C255*INDEX(SPPR!$E:$X,MATCH($A255,SPPR!$A:$A,0),20),""),"")</f>
        <v/>
      </c>
    </row>
    <row r="256">
      <c r="A256" t="inlineStr">
        <is>
          <t>Berycidae</t>
        </is>
      </c>
      <c r="B256">
        <f>IFERROR(INDEX(SPPR!$D:$D,MATCH($A256,SPPR!$A:$A,0)),"")</f>
        <v/>
      </c>
      <c r="C256">
        <f>IFERROR(INDEX(Catch!$E:$BV,MATCH($A256,Catch!$A:$A,0),MATCH($B$4,Catch!$E$1:$BV$1,0)),0)</f>
        <v/>
      </c>
      <c r="D256">
        <f>IFERROR(IF(ISNUMBER(INDEX(SPPR!$E:$X,MATCH($A256,SPPR!$A:$A,0),1)),$C256*INDEX(SPPR!$E:$X,MATCH($A256,SPPR!$A:$A,0),1),""),"")</f>
        <v/>
      </c>
      <c r="E256">
        <f>IFERROR(IF(ISNUMBER(INDEX(SPPR!$E:$X,MATCH($A256,SPPR!$A:$A,0),2)),$C256*INDEX(SPPR!$E:$X,MATCH($A256,SPPR!$A:$A,0),2),""),"")</f>
        <v/>
      </c>
      <c r="F256">
        <f>IFERROR(IF(ISNUMBER(INDEX(SPPR!$E:$X,MATCH($A256,SPPR!$A:$A,0),3)),$C256*INDEX(SPPR!$E:$X,MATCH($A256,SPPR!$A:$A,0),3),""),"")</f>
        <v/>
      </c>
      <c r="G256">
        <f>IFERROR(IF(ISNUMBER(INDEX(SPPR!$E:$X,MATCH($A256,SPPR!$A:$A,0),4)),$C256*INDEX(SPPR!$E:$X,MATCH($A256,SPPR!$A:$A,0),4),""),"")</f>
        <v/>
      </c>
      <c r="H256">
        <f>IFERROR(IF(ISNUMBER(INDEX(SPPR!$E:$X,MATCH($A256,SPPR!$A:$A,0),5)),$C256*INDEX(SPPR!$E:$X,MATCH($A256,SPPR!$A:$A,0),5),""),"")</f>
        <v/>
      </c>
      <c r="I256">
        <f>IFERROR(IF(ISNUMBER(INDEX(SPPR!$E:$X,MATCH($A256,SPPR!$A:$A,0),6)),$C256*INDEX(SPPR!$E:$X,MATCH($A256,SPPR!$A:$A,0),6),""),"")</f>
        <v/>
      </c>
      <c r="J256">
        <f>IFERROR(IF(ISNUMBER(INDEX(SPPR!$E:$X,MATCH($A256,SPPR!$A:$A,0),7)),$C256*INDEX(SPPR!$E:$X,MATCH($A256,SPPR!$A:$A,0),7),""),"")</f>
        <v/>
      </c>
      <c r="K256">
        <f>IFERROR(IF(ISNUMBER(INDEX(SPPR!$E:$X,MATCH($A256,SPPR!$A:$A,0),8)),$C256*INDEX(SPPR!$E:$X,MATCH($A256,SPPR!$A:$A,0),8),""),"")</f>
        <v/>
      </c>
      <c r="L256">
        <f>IFERROR(IF(ISNUMBER(INDEX(SPPR!$E:$X,MATCH($A256,SPPR!$A:$A,0),9)),$C256*INDEX(SPPR!$E:$X,MATCH($A256,SPPR!$A:$A,0),9),""),"")</f>
        <v/>
      </c>
      <c r="M256">
        <f>IFERROR(IF(ISNUMBER(INDEX(SPPR!$E:$X,MATCH($A256,SPPR!$A:$A,0),10)),$C256*INDEX(SPPR!$E:$X,MATCH($A256,SPPR!$A:$A,0),10),""),"")</f>
        <v/>
      </c>
      <c r="N256">
        <f>IFERROR(IF(ISNUMBER(INDEX(SPPR!$E:$X,MATCH($A256,SPPR!$A:$A,0),11)),$C256*INDEX(SPPR!$E:$X,MATCH($A256,SPPR!$A:$A,0),11),""),"")</f>
        <v/>
      </c>
      <c r="O256">
        <f>IFERROR(IF(ISNUMBER(INDEX(SPPR!$E:$X,MATCH($A256,SPPR!$A:$A,0),12)),$C256*INDEX(SPPR!$E:$X,MATCH($A256,SPPR!$A:$A,0),12),""),"")</f>
        <v/>
      </c>
      <c r="P256">
        <f>IFERROR(IF(ISNUMBER(INDEX(SPPR!$E:$X,MATCH($A256,SPPR!$A:$A,0),13)),$C256*INDEX(SPPR!$E:$X,MATCH($A256,SPPR!$A:$A,0),13),""),"")</f>
        <v/>
      </c>
      <c r="Q256">
        <f>IFERROR(IF(ISNUMBER(INDEX(SPPR!$E:$X,MATCH($A256,SPPR!$A:$A,0),14)),$C256*INDEX(SPPR!$E:$X,MATCH($A256,SPPR!$A:$A,0),14),""),"")</f>
        <v/>
      </c>
      <c r="R256">
        <f>IFERROR(IF(ISNUMBER(INDEX(SPPR!$E:$X,MATCH($A256,SPPR!$A:$A,0),15)),$C256*INDEX(SPPR!$E:$X,MATCH($A256,SPPR!$A:$A,0),15),""),"")</f>
        <v/>
      </c>
      <c r="S256">
        <f>IFERROR(IF(ISNUMBER(INDEX(SPPR!$E:$X,MATCH($A256,SPPR!$A:$A,0),16)),$C256*INDEX(SPPR!$E:$X,MATCH($A256,SPPR!$A:$A,0),16),""),"")</f>
        <v/>
      </c>
      <c r="T256">
        <f>IFERROR(IF(ISNUMBER(INDEX(SPPR!$E:$X,MATCH($A256,SPPR!$A:$A,0),17)),$C256*INDEX(SPPR!$E:$X,MATCH($A256,SPPR!$A:$A,0),17),""),"")</f>
        <v/>
      </c>
      <c r="U256">
        <f>IFERROR(IF(ISNUMBER(INDEX(SPPR!$E:$X,MATCH($A256,SPPR!$A:$A,0),18)),$C256*INDEX(SPPR!$E:$X,MATCH($A256,SPPR!$A:$A,0),18),""),"")</f>
        <v/>
      </c>
      <c r="V256">
        <f>IFERROR(IF(ISNUMBER(INDEX(SPPR!$E:$X,MATCH($A256,SPPR!$A:$A,0),19)),$C256*INDEX(SPPR!$E:$X,MATCH($A256,SPPR!$A:$A,0),19),""),"")</f>
        <v/>
      </c>
      <c r="W256">
        <f>IFERROR(IF(ISNUMBER(INDEX(SPPR!$E:$X,MATCH($A256,SPPR!$A:$A,0),20)),$C256*INDEX(SPPR!$E:$X,MATCH($A256,SPPR!$A:$A,0),20),""),"")</f>
        <v/>
      </c>
    </row>
    <row r="257">
      <c r="A257" t="inlineStr">
        <is>
          <t>Psettodes erumei</t>
        </is>
      </c>
      <c r="B257">
        <f>IFERROR(INDEX(SPPR!$D:$D,MATCH($A257,SPPR!$A:$A,0)),"")</f>
        <v/>
      </c>
      <c r="C257">
        <f>IFERROR(INDEX(Catch!$E:$BV,MATCH($A257,Catch!$A:$A,0),MATCH($B$4,Catch!$E$1:$BV$1,0)),0)</f>
        <v/>
      </c>
      <c r="D257">
        <f>IFERROR(IF(ISNUMBER(INDEX(SPPR!$E:$X,MATCH($A257,SPPR!$A:$A,0),1)),$C257*INDEX(SPPR!$E:$X,MATCH($A257,SPPR!$A:$A,0),1),""),"")</f>
        <v/>
      </c>
      <c r="E257">
        <f>IFERROR(IF(ISNUMBER(INDEX(SPPR!$E:$X,MATCH($A257,SPPR!$A:$A,0),2)),$C257*INDEX(SPPR!$E:$X,MATCH($A257,SPPR!$A:$A,0),2),""),"")</f>
        <v/>
      </c>
      <c r="F257">
        <f>IFERROR(IF(ISNUMBER(INDEX(SPPR!$E:$X,MATCH($A257,SPPR!$A:$A,0),3)),$C257*INDEX(SPPR!$E:$X,MATCH($A257,SPPR!$A:$A,0),3),""),"")</f>
        <v/>
      </c>
      <c r="G257">
        <f>IFERROR(IF(ISNUMBER(INDEX(SPPR!$E:$X,MATCH($A257,SPPR!$A:$A,0),4)),$C257*INDEX(SPPR!$E:$X,MATCH($A257,SPPR!$A:$A,0),4),""),"")</f>
        <v/>
      </c>
      <c r="H257">
        <f>IFERROR(IF(ISNUMBER(INDEX(SPPR!$E:$X,MATCH($A257,SPPR!$A:$A,0),5)),$C257*INDEX(SPPR!$E:$X,MATCH($A257,SPPR!$A:$A,0),5),""),"")</f>
        <v/>
      </c>
      <c r="I257">
        <f>IFERROR(IF(ISNUMBER(INDEX(SPPR!$E:$X,MATCH($A257,SPPR!$A:$A,0),6)),$C257*INDEX(SPPR!$E:$X,MATCH($A257,SPPR!$A:$A,0),6),""),"")</f>
        <v/>
      </c>
      <c r="J257">
        <f>IFERROR(IF(ISNUMBER(INDEX(SPPR!$E:$X,MATCH($A257,SPPR!$A:$A,0),7)),$C257*INDEX(SPPR!$E:$X,MATCH($A257,SPPR!$A:$A,0),7),""),"")</f>
        <v/>
      </c>
      <c r="K257">
        <f>IFERROR(IF(ISNUMBER(INDEX(SPPR!$E:$X,MATCH($A257,SPPR!$A:$A,0),8)),$C257*INDEX(SPPR!$E:$X,MATCH($A257,SPPR!$A:$A,0),8),""),"")</f>
        <v/>
      </c>
      <c r="L257">
        <f>IFERROR(IF(ISNUMBER(INDEX(SPPR!$E:$X,MATCH($A257,SPPR!$A:$A,0),9)),$C257*INDEX(SPPR!$E:$X,MATCH($A257,SPPR!$A:$A,0),9),""),"")</f>
        <v/>
      </c>
      <c r="M257">
        <f>IFERROR(IF(ISNUMBER(INDEX(SPPR!$E:$X,MATCH($A257,SPPR!$A:$A,0),10)),$C257*INDEX(SPPR!$E:$X,MATCH($A257,SPPR!$A:$A,0),10),""),"")</f>
        <v/>
      </c>
      <c r="N257">
        <f>IFERROR(IF(ISNUMBER(INDEX(SPPR!$E:$X,MATCH($A257,SPPR!$A:$A,0),11)),$C257*INDEX(SPPR!$E:$X,MATCH($A257,SPPR!$A:$A,0),11),""),"")</f>
        <v/>
      </c>
      <c r="O257">
        <f>IFERROR(IF(ISNUMBER(INDEX(SPPR!$E:$X,MATCH($A257,SPPR!$A:$A,0),12)),$C257*INDEX(SPPR!$E:$X,MATCH($A257,SPPR!$A:$A,0),12),""),"")</f>
        <v/>
      </c>
      <c r="P257">
        <f>IFERROR(IF(ISNUMBER(INDEX(SPPR!$E:$X,MATCH($A257,SPPR!$A:$A,0),13)),$C257*INDEX(SPPR!$E:$X,MATCH($A257,SPPR!$A:$A,0),13),""),"")</f>
        <v/>
      </c>
      <c r="Q257">
        <f>IFERROR(IF(ISNUMBER(INDEX(SPPR!$E:$X,MATCH($A257,SPPR!$A:$A,0),14)),$C257*INDEX(SPPR!$E:$X,MATCH($A257,SPPR!$A:$A,0),14),""),"")</f>
        <v/>
      </c>
      <c r="R257">
        <f>IFERROR(IF(ISNUMBER(INDEX(SPPR!$E:$X,MATCH($A257,SPPR!$A:$A,0),15)),$C257*INDEX(SPPR!$E:$X,MATCH($A257,SPPR!$A:$A,0),15),""),"")</f>
        <v/>
      </c>
      <c r="S257">
        <f>IFERROR(IF(ISNUMBER(INDEX(SPPR!$E:$X,MATCH($A257,SPPR!$A:$A,0),16)),$C257*INDEX(SPPR!$E:$X,MATCH($A257,SPPR!$A:$A,0),16),""),"")</f>
        <v/>
      </c>
      <c r="T257">
        <f>IFERROR(IF(ISNUMBER(INDEX(SPPR!$E:$X,MATCH($A257,SPPR!$A:$A,0),17)),$C257*INDEX(SPPR!$E:$X,MATCH($A257,SPPR!$A:$A,0),17),""),"")</f>
        <v/>
      </c>
      <c r="U257">
        <f>IFERROR(IF(ISNUMBER(INDEX(SPPR!$E:$X,MATCH($A257,SPPR!$A:$A,0),18)),$C257*INDEX(SPPR!$E:$X,MATCH($A257,SPPR!$A:$A,0),18),""),"")</f>
        <v/>
      </c>
      <c r="V257">
        <f>IFERROR(IF(ISNUMBER(INDEX(SPPR!$E:$X,MATCH($A257,SPPR!$A:$A,0),19)),$C257*INDEX(SPPR!$E:$X,MATCH($A257,SPPR!$A:$A,0),19),""),"")</f>
        <v/>
      </c>
      <c r="W257">
        <f>IFERROR(IF(ISNUMBER(INDEX(SPPR!$E:$X,MATCH($A257,SPPR!$A:$A,0),20)),$C257*INDEX(SPPR!$E:$X,MATCH($A257,SPPR!$A:$A,0),20),""),"")</f>
        <v/>
      </c>
    </row>
    <row r="258">
      <c r="A258" t="inlineStr">
        <is>
          <t>Paralithodes</t>
        </is>
      </c>
      <c r="B258">
        <f>IFERROR(INDEX(SPPR!$D:$D,MATCH($A258,SPPR!$A:$A,0)),"")</f>
        <v/>
      </c>
      <c r="C258">
        <f>IFERROR(INDEX(Catch!$E:$BV,MATCH($A258,Catch!$A:$A,0),MATCH($B$4,Catch!$E$1:$BV$1,0)),0)</f>
        <v/>
      </c>
      <c r="D258">
        <f>IFERROR(IF(ISNUMBER(INDEX(SPPR!$E:$X,MATCH($A258,SPPR!$A:$A,0),1)),$C258*INDEX(SPPR!$E:$X,MATCH($A258,SPPR!$A:$A,0),1),""),"")</f>
        <v/>
      </c>
      <c r="E258">
        <f>IFERROR(IF(ISNUMBER(INDEX(SPPR!$E:$X,MATCH($A258,SPPR!$A:$A,0),2)),$C258*INDEX(SPPR!$E:$X,MATCH($A258,SPPR!$A:$A,0),2),""),"")</f>
        <v/>
      </c>
      <c r="F258">
        <f>IFERROR(IF(ISNUMBER(INDEX(SPPR!$E:$X,MATCH($A258,SPPR!$A:$A,0),3)),$C258*INDEX(SPPR!$E:$X,MATCH($A258,SPPR!$A:$A,0),3),""),"")</f>
        <v/>
      </c>
      <c r="G258">
        <f>IFERROR(IF(ISNUMBER(INDEX(SPPR!$E:$X,MATCH($A258,SPPR!$A:$A,0),4)),$C258*INDEX(SPPR!$E:$X,MATCH($A258,SPPR!$A:$A,0),4),""),"")</f>
        <v/>
      </c>
      <c r="H258">
        <f>IFERROR(IF(ISNUMBER(INDEX(SPPR!$E:$X,MATCH($A258,SPPR!$A:$A,0),5)),$C258*INDEX(SPPR!$E:$X,MATCH($A258,SPPR!$A:$A,0),5),""),"")</f>
        <v/>
      </c>
      <c r="I258">
        <f>IFERROR(IF(ISNUMBER(INDEX(SPPR!$E:$X,MATCH($A258,SPPR!$A:$A,0),6)),$C258*INDEX(SPPR!$E:$X,MATCH($A258,SPPR!$A:$A,0),6),""),"")</f>
        <v/>
      </c>
      <c r="J258">
        <f>IFERROR(IF(ISNUMBER(INDEX(SPPR!$E:$X,MATCH($A258,SPPR!$A:$A,0),7)),$C258*INDEX(SPPR!$E:$X,MATCH($A258,SPPR!$A:$A,0),7),""),"")</f>
        <v/>
      </c>
      <c r="K258">
        <f>IFERROR(IF(ISNUMBER(INDEX(SPPR!$E:$X,MATCH($A258,SPPR!$A:$A,0),8)),$C258*INDEX(SPPR!$E:$X,MATCH($A258,SPPR!$A:$A,0),8),""),"")</f>
        <v/>
      </c>
      <c r="L258">
        <f>IFERROR(IF(ISNUMBER(INDEX(SPPR!$E:$X,MATCH($A258,SPPR!$A:$A,0),9)),$C258*INDEX(SPPR!$E:$X,MATCH($A258,SPPR!$A:$A,0),9),""),"")</f>
        <v/>
      </c>
      <c r="M258">
        <f>IFERROR(IF(ISNUMBER(INDEX(SPPR!$E:$X,MATCH($A258,SPPR!$A:$A,0),10)),$C258*INDEX(SPPR!$E:$X,MATCH($A258,SPPR!$A:$A,0),10),""),"")</f>
        <v/>
      </c>
      <c r="N258">
        <f>IFERROR(IF(ISNUMBER(INDEX(SPPR!$E:$X,MATCH($A258,SPPR!$A:$A,0),11)),$C258*INDEX(SPPR!$E:$X,MATCH($A258,SPPR!$A:$A,0),11),""),"")</f>
        <v/>
      </c>
      <c r="O258">
        <f>IFERROR(IF(ISNUMBER(INDEX(SPPR!$E:$X,MATCH($A258,SPPR!$A:$A,0),12)),$C258*INDEX(SPPR!$E:$X,MATCH($A258,SPPR!$A:$A,0),12),""),"")</f>
        <v/>
      </c>
      <c r="P258">
        <f>IFERROR(IF(ISNUMBER(INDEX(SPPR!$E:$X,MATCH($A258,SPPR!$A:$A,0),13)),$C258*INDEX(SPPR!$E:$X,MATCH($A258,SPPR!$A:$A,0),13),""),"")</f>
        <v/>
      </c>
      <c r="Q258">
        <f>IFERROR(IF(ISNUMBER(INDEX(SPPR!$E:$X,MATCH($A258,SPPR!$A:$A,0),14)),$C258*INDEX(SPPR!$E:$X,MATCH($A258,SPPR!$A:$A,0),14),""),"")</f>
        <v/>
      </c>
      <c r="R258">
        <f>IFERROR(IF(ISNUMBER(INDEX(SPPR!$E:$X,MATCH($A258,SPPR!$A:$A,0),15)),$C258*INDEX(SPPR!$E:$X,MATCH($A258,SPPR!$A:$A,0),15),""),"")</f>
        <v/>
      </c>
      <c r="S258">
        <f>IFERROR(IF(ISNUMBER(INDEX(SPPR!$E:$X,MATCH($A258,SPPR!$A:$A,0),16)),$C258*INDEX(SPPR!$E:$X,MATCH($A258,SPPR!$A:$A,0),16),""),"")</f>
        <v/>
      </c>
      <c r="T258">
        <f>IFERROR(IF(ISNUMBER(INDEX(SPPR!$E:$X,MATCH($A258,SPPR!$A:$A,0),17)),$C258*INDEX(SPPR!$E:$X,MATCH($A258,SPPR!$A:$A,0),17),""),"")</f>
        <v/>
      </c>
      <c r="U258">
        <f>IFERROR(IF(ISNUMBER(INDEX(SPPR!$E:$X,MATCH($A258,SPPR!$A:$A,0),18)),$C258*INDEX(SPPR!$E:$X,MATCH($A258,SPPR!$A:$A,0),18),""),"")</f>
        <v/>
      </c>
      <c r="V258">
        <f>IFERROR(IF(ISNUMBER(INDEX(SPPR!$E:$X,MATCH($A258,SPPR!$A:$A,0),19)),$C258*INDEX(SPPR!$E:$X,MATCH($A258,SPPR!$A:$A,0),19),""),"")</f>
        <v/>
      </c>
      <c r="W258">
        <f>IFERROR(IF(ISNUMBER(INDEX(SPPR!$E:$X,MATCH($A258,SPPR!$A:$A,0),20)),$C258*INDEX(SPPR!$E:$X,MATCH($A258,SPPR!$A:$A,0),20),""),"")</f>
        <v/>
      </c>
    </row>
    <row r="259">
      <c r="A259" t="inlineStr">
        <is>
          <t>Hemitrygon akajei</t>
        </is>
      </c>
      <c r="B259">
        <f>IFERROR(INDEX(SPPR!$D:$D,MATCH($A259,SPPR!$A:$A,0)),"")</f>
        <v/>
      </c>
      <c r="C259">
        <f>IFERROR(INDEX(Catch!$E:$BV,MATCH($A259,Catch!$A:$A,0),MATCH($B$4,Catch!$E$1:$BV$1,0)),0)</f>
        <v/>
      </c>
      <c r="D259">
        <f>IFERROR(IF(ISNUMBER(INDEX(SPPR!$E:$X,MATCH($A259,SPPR!$A:$A,0),1)),$C259*INDEX(SPPR!$E:$X,MATCH($A259,SPPR!$A:$A,0),1),""),"")</f>
        <v/>
      </c>
      <c r="E259">
        <f>IFERROR(IF(ISNUMBER(INDEX(SPPR!$E:$X,MATCH($A259,SPPR!$A:$A,0),2)),$C259*INDEX(SPPR!$E:$X,MATCH($A259,SPPR!$A:$A,0),2),""),"")</f>
        <v/>
      </c>
      <c r="F259">
        <f>IFERROR(IF(ISNUMBER(INDEX(SPPR!$E:$X,MATCH($A259,SPPR!$A:$A,0),3)),$C259*INDEX(SPPR!$E:$X,MATCH($A259,SPPR!$A:$A,0),3),""),"")</f>
        <v/>
      </c>
      <c r="G259">
        <f>IFERROR(IF(ISNUMBER(INDEX(SPPR!$E:$X,MATCH($A259,SPPR!$A:$A,0),4)),$C259*INDEX(SPPR!$E:$X,MATCH($A259,SPPR!$A:$A,0),4),""),"")</f>
        <v/>
      </c>
      <c r="H259">
        <f>IFERROR(IF(ISNUMBER(INDEX(SPPR!$E:$X,MATCH($A259,SPPR!$A:$A,0),5)),$C259*INDEX(SPPR!$E:$X,MATCH($A259,SPPR!$A:$A,0),5),""),"")</f>
        <v/>
      </c>
      <c r="I259">
        <f>IFERROR(IF(ISNUMBER(INDEX(SPPR!$E:$X,MATCH($A259,SPPR!$A:$A,0),6)),$C259*INDEX(SPPR!$E:$X,MATCH($A259,SPPR!$A:$A,0),6),""),"")</f>
        <v/>
      </c>
      <c r="J259">
        <f>IFERROR(IF(ISNUMBER(INDEX(SPPR!$E:$X,MATCH($A259,SPPR!$A:$A,0),7)),$C259*INDEX(SPPR!$E:$X,MATCH($A259,SPPR!$A:$A,0),7),""),"")</f>
        <v/>
      </c>
      <c r="K259">
        <f>IFERROR(IF(ISNUMBER(INDEX(SPPR!$E:$X,MATCH($A259,SPPR!$A:$A,0),8)),$C259*INDEX(SPPR!$E:$X,MATCH($A259,SPPR!$A:$A,0),8),""),"")</f>
        <v/>
      </c>
      <c r="L259">
        <f>IFERROR(IF(ISNUMBER(INDEX(SPPR!$E:$X,MATCH($A259,SPPR!$A:$A,0),9)),$C259*INDEX(SPPR!$E:$X,MATCH($A259,SPPR!$A:$A,0),9),""),"")</f>
        <v/>
      </c>
      <c r="M259">
        <f>IFERROR(IF(ISNUMBER(INDEX(SPPR!$E:$X,MATCH($A259,SPPR!$A:$A,0),10)),$C259*INDEX(SPPR!$E:$X,MATCH($A259,SPPR!$A:$A,0),10),""),"")</f>
        <v/>
      </c>
      <c r="N259">
        <f>IFERROR(IF(ISNUMBER(INDEX(SPPR!$E:$X,MATCH($A259,SPPR!$A:$A,0),11)),$C259*INDEX(SPPR!$E:$X,MATCH($A259,SPPR!$A:$A,0),11),""),"")</f>
        <v/>
      </c>
      <c r="O259">
        <f>IFERROR(IF(ISNUMBER(INDEX(SPPR!$E:$X,MATCH($A259,SPPR!$A:$A,0),12)),$C259*INDEX(SPPR!$E:$X,MATCH($A259,SPPR!$A:$A,0),12),""),"")</f>
        <v/>
      </c>
      <c r="P259">
        <f>IFERROR(IF(ISNUMBER(INDEX(SPPR!$E:$X,MATCH($A259,SPPR!$A:$A,0),13)),$C259*INDEX(SPPR!$E:$X,MATCH($A259,SPPR!$A:$A,0),13),""),"")</f>
        <v/>
      </c>
      <c r="Q259">
        <f>IFERROR(IF(ISNUMBER(INDEX(SPPR!$E:$X,MATCH($A259,SPPR!$A:$A,0),14)),$C259*INDEX(SPPR!$E:$X,MATCH($A259,SPPR!$A:$A,0),14),""),"")</f>
        <v/>
      </c>
      <c r="R259">
        <f>IFERROR(IF(ISNUMBER(INDEX(SPPR!$E:$X,MATCH($A259,SPPR!$A:$A,0),15)),$C259*INDEX(SPPR!$E:$X,MATCH($A259,SPPR!$A:$A,0),15),""),"")</f>
        <v/>
      </c>
      <c r="S259">
        <f>IFERROR(IF(ISNUMBER(INDEX(SPPR!$E:$X,MATCH($A259,SPPR!$A:$A,0),16)),$C259*INDEX(SPPR!$E:$X,MATCH($A259,SPPR!$A:$A,0),16),""),"")</f>
        <v/>
      </c>
      <c r="T259">
        <f>IFERROR(IF(ISNUMBER(INDEX(SPPR!$E:$X,MATCH($A259,SPPR!$A:$A,0),17)),$C259*INDEX(SPPR!$E:$X,MATCH($A259,SPPR!$A:$A,0),17),""),"")</f>
        <v/>
      </c>
      <c r="U259">
        <f>IFERROR(IF(ISNUMBER(INDEX(SPPR!$E:$X,MATCH($A259,SPPR!$A:$A,0),18)),$C259*INDEX(SPPR!$E:$X,MATCH($A259,SPPR!$A:$A,0),18),""),"")</f>
        <v/>
      </c>
      <c r="V259">
        <f>IFERROR(IF(ISNUMBER(INDEX(SPPR!$E:$X,MATCH($A259,SPPR!$A:$A,0),19)),$C259*INDEX(SPPR!$E:$X,MATCH($A259,SPPR!$A:$A,0),19),""),"")</f>
        <v/>
      </c>
      <c r="W259">
        <f>IFERROR(IF(ISNUMBER(INDEX(SPPR!$E:$X,MATCH($A259,SPPR!$A:$A,0),20)),$C259*INDEX(SPPR!$E:$X,MATCH($A259,SPPR!$A:$A,0),20),""),"")</f>
        <v/>
      </c>
    </row>
    <row r="260">
      <c r="A260" t="inlineStr">
        <is>
          <t>Chionoecetes opilio</t>
        </is>
      </c>
      <c r="B260">
        <f>IFERROR(INDEX(SPPR!$D:$D,MATCH($A260,SPPR!$A:$A,0)),"")</f>
        <v/>
      </c>
      <c r="C260">
        <f>IFERROR(INDEX(Catch!$E:$BV,MATCH($A260,Catch!$A:$A,0),MATCH($B$4,Catch!$E$1:$BV$1,0)),0)</f>
        <v/>
      </c>
      <c r="D260">
        <f>IFERROR(IF(ISNUMBER(INDEX(SPPR!$E:$X,MATCH($A260,SPPR!$A:$A,0),1)),$C260*INDEX(SPPR!$E:$X,MATCH($A260,SPPR!$A:$A,0),1),""),"")</f>
        <v/>
      </c>
      <c r="E260">
        <f>IFERROR(IF(ISNUMBER(INDEX(SPPR!$E:$X,MATCH($A260,SPPR!$A:$A,0),2)),$C260*INDEX(SPPR!$E:$X,MATCH($A260,SPPR!$A:$A,0),2),""),"")</f>
        <v/>
      </c>
      <c r="F260">
        <f>IFERROR(IF(ISNUMBER(INDEX(SPPR!$E:$X,MATCH($A260,SPPR!$A:$A,0),3)),$C260*INDEX(SPPR!$E:$X,MATCH($A260,SPPR!$A:$A,0),3),""),"")</f>
        <v/>
      </c>
      <c r="G260">
        <f>IFERROR(IF(ISNUMBER(INDEX(SPPR!$E:$X,MATCH($A260,SPPR!$A:$A,0),4)),$C260*INDEX(SPPR!$E:$X,MATCH($A260,SPPR!$A:$A,0),4),""),"")</f>
        <v/>
      </c>
      <c r="H260">
        <f>IFERROR(IF(ISNUMBER(INDEX(SPPR!$E:$X,MATCH($A260,SPPR!$A:$A,0),5)),$C260*INDEX(SPPR!$E:$X,MATCH($A260,SPPR!$A:$A,0),5),""),"")</f>
        <v/>
      </c>
      <c r="I260">
        <f>IFERROR(IF(ISNUMBER(INDEX(SPPR!$E:$X,MATCH($A260,SPPR!$A:$A,0),6)),$C260*INDEX(SPPR!$E:$X,MATCH($A260,SPPR!$A:$A,0),6),""),"")</f>
        <v/>
      </c>
      <c r="J260">
        <f>IFERROR(IF(ISNUMBER(INDEX(SPPR!$E:$X,MATCH($A260,SPPR!$A:$A,0),7)),$C260*INDEX(SPPR!$E:$X,MATCH($A260,SPPR!$A:$A,0),7),""),"")</f>
        <v/>
      </c>
      <c r="K260">
        <f>IFERROR(IF(ISNUMBER(INDEX(SPPR!$E:$X,MATCH($A260,SPPR!$A:$A,0),8)),$C260*INDEX(SPPR!$E:$X,MATCH($A260,SPPR!$A:$A,0),8),""),"")</f>
        <v/>
      </c>
      <c r="L260">
        <f>IFERROR(IF(ISNUMBER(INDEX(SPPR!$E:$X,MATCH($A260,SPPR!$A:$A,0),9)),$C260*INDEX(SPPR!$E:$X,MATCH($A260,SPPR!$A:$A,0),9),""),"")</f>
        <v/>
      </c>
      <c r="M260">
        <f>IFERROR(IF(ISNUMBER(INDEX(SPPR!$E:$X,MATCH($A260,SPPR!$A:$A,0),10)),$C260*INDEX(SPPR!$E:$X,MATCH($A260,SPPR!$A:$A,0),10),""),"")</f>
        <v/>
      </c>
      <c r="N260">
        <f>IFERROR(IF(ISNUMBER(INDEX(SPPR!$E:$X,MATCH($A260,SPPR!$A:$A,0),11)),$C260*INDEX(SPPR!$E:$X,MATCH($A260,SPPR!$A:$A,0),11),""),"")</f>
        <v/>
      </c>
      <c r="O260">
        <f>IFERROR(IF(ISNUMBER(INDEX(SPPR!$E:$X,MATCH($A260,SPPR!$A:$A,0),12)),$C260*INDEX(SPPR!$E:$X,MATCH($A260,SPPR!$A:$A,0),12),""),"")</f>
        <v/>
      </c>
      <c r="P260">
        <f>IFERROR(IF(ISNUMBER(INDEX(SPPR!$E:$X,MATCH($A260,SPPR!$A:$A,0),13)),$C260*INDEX(SPPR!$E:$X,MATCH($A260,SPPR!$A:$A,0),13),""),"")</f>
        <v/>
      </c>
      <c r="Q260">
        <f>IFERROR(IF(ISNUMBER(INDEX(SPPR!$E:$X,MATCH($A260,SPPR!$A:$A,0),14)),$C260*INDEX(SPPR!$E:$X,MATCH($A260,SPPR!$A:$A,0),14),""),"")</f>
        <v/>
      </c>
      <c r="R260">
        <f>IFERROR(IF(ISNUMBER(INDEX(SPPR!$E:$X,MATCH($A260,SPPR!$A:$A,0),15)),$C260*INDEX(SPPR!$E:$X,MATCH($A260,SPPR!$A:$A,0),15),""),"")</f>
        <v/>
      </c>
      <c r="S260">
        <f>IFERROR(IF(ISNUMBER(INDEX(SPPR!$E:$X,MATCH($A260,SPPR!$A:$A,0),16)),$C260*INDEX(SPPR!$E:$X,MATCH($A260,SPPR!$A:$A,0),16),""),"")</f>
        <v/>
      </c>
      <c r="T260">
        <f>IFERROR(IF(ISNUMBER(INDEX(SPPR!$E:$X,MATCH($A260,SPPR!$A:$A,0),17)),$C260*INDEX(SPPR!$E:$X,MATCH($A260,SPPR!$A:$A,0),17),""),"")</f>
        <v/>
      </c>
      <c r="U260">
        <f>IFERROR(IF(ISNUMBER(INDEX(SPPR!$E:$X,MATCH($A260,SPPR!$A:$A,0),18)),$C260*INDEX(SPPR!$E:$X,MATCH($A260,SPPR!$A:$A,0),18),""),"")</f>
        <v/>
      </c>
      <c r="V260">
        <f>IFERROR(IF(ISNUMBER(INDEX(SPPR!$E:$X,MATCH($A260,SPPR!$A:$A,0),19)),$C260*INDEX(SPPR!$E:$X,MATCH($A260,SPPR!$A:$A,0),19),""),"")</f>
        <v/>
      </c>
      <c r="W260">
        <f>IFERROR(IF(ISNUMBER(INDEX(SPPR!$E:$X,MATCH($A260,SPPR!$A:$A,0),20)),$C260*INDEX(SPPR!$E:$X,MATCH($A260,SPPR!$A:$A,0),20),""),"")</f>
        <v/>
      </c>
    </row>
    <row r="261">
      <c r="A261" t="inlineStr">
        <is>
          <t>Sillago sihama</t>
        </is>
      </c>
      <c r="B261">
        <f>IFERROR(INDEX(SPPR!$D:$D,MATCH($A261,SPPR!$A:$A,0)),"")</f>
        <v/>
      </c>
      <c r="C261">
        <f>IFERROR(INDEX(Catch!$E:$BV,MATCH($A261,Catch!$A:$A,0),MATCH($B$4,Catch!$E$1:$BV$1,0)),0)</f>
        <v/>
      </c>
      <c r="D261">
        <f>IFERROR(IF(ISNUMBER(INDEX(SPPR!$E:$X,MATCH($A261,SPPR!$A:$A,0),1)),$C261*INDEX(SPPR!$E:$X,MATCH($A261,SPPR!$A:$A,0),1),""),"")</f>
        <v/>
      </c>
      <c r="E261">
        <f>IFERROR(IF(ISNUMBER(INDEX(SPPR!$E:$X,MATCH($A261,SPPR!$A:$A,0),2)),$C261*INDEX(SPPR!$E:$X,MATCH($A261,SPPR!$A:$A,0),2),""),"")</f>
        <v/>
      </c>
      <c r="F261">
        <f>IFERROR(IF(ISNUMBER(INDEX(SPPR!$E:$X,MATCH($A261,SPPR!$A:$A,0),3)),$C261*INDEX(SPPR!$E:$X,MATCH($A261,SPPR!$A:$A,0),3),""),"")</f>
        <v/>
      </c>
      <c r="G261">
        <f>IFERROR(IF(ISNUMBER(INDEX(SPPR!$E:$X,MATCH($A261,SPPR!$A:$A,0),4)),$C261*INDEX(SPPR!$E:$X,MATCH($A261,SPPR!$A:$A,0),4),""),"")</f>
        <v/>
      </c>
      <c r="H261">
        <f>IFERROR(IF(ISNUMBER(INDEX(SPPR!$E:$X,MATCH($A261,SPPR!$A:$A,0),5)),$C261*INDEX(SPPR!$E:$X,MATCH($A261,SPPR!$A:$A,0),5),""),"")</f>
        <v/>
      </c>
      <c r="I261">
        <f>IFERROR(IF(ISNUMBER(INDEX(SPPR!$E:$X,MATCH($A261,SPPR!$A:$A,0),6)),$C261*INDEX(SPPR!$E:$X,MATCH($A261,SPPR!$A:$A,0),6),""),"")</f>
        <v/>
      </c>
      <c r="J261">
        <f>IFERROR(IF(ISNUMBER(INDEX(SPPR!$E:$X,MATCH($A261,SPPR!$A:$A,0),7)),$C261*INDEX(SPPR!$E:$X,MATCH($A261,SPPR!$A:$A,0),7),""),"")</f>
        <v/>
      </c>
      <c r="K261">
        <f>IFERROR(IF(ISNUMBER(INDEX(SPPR!$E:$X,MATCH($A261,SPPR!$A:$A,0),8)),$C261*INDEX(SPPR!$E:$X,MATCH($A261,SPPR!$A:$A,0),8),""),"")</f>
        <v/>
      </c>
      <c r="L261">
        <f>IFERROR(IF(ISNUMBER(INDEX(SPPR!$E:$X,MATCH($A261,SPPR!$A:$A,0),9)),$C261*INDEX(SPPR!$E:$X,MATCH($A261,SPPR!$A:$A,0),9),""),"")</f>
        <v/>
      </c>
      <c r="M261">
        <f>IFERROR(IF(ISNUMBER(INDEX(SPPR!$E:$X,MATCH($A261,SPPR!$A:$A,0),10)),$C261*INDEX(SPPR!$E:$X,MATCH($A261,SPPR!$A:$A,0),10),""),"")</f>
        <v/>
      </c>
      <c r="N261">
        <f>IFERROR(IF(ISNUMBER(INDEX(SPPR!$E:$X,MATCH($A261,SPPR!$A:$A,0),11)),$C261*INDEX(SPPR!$E:$X,MATCH($A261,SPPR!$A:$A,0),11),""),"")</f>
        <v/>
      </c>
      <c r="O261">
        <f>IFERROR(IF(ISNUMBER(INDEX(SPPR!$E:$X,MATCH($A261,SPPR!$A:$A,0),12)),$C261*INDEX(SPPR!$E:$X,MATCH($A261,SPPR!$A:$A,0),12),""),"")</f>
        <v/>
      </c>
      <c r="P261">
        <f>IFERROR(IF(ISNUMBER(INDEX(SPPR!$E:$X,MATCH($A261,SPPR!$A:$A,0),13)),$C261*INDEX(SPPR!$E:$X,MATCH($A261,SPPR!$A:$A,0),13),""),"")</f>
        <v/>
      </c>
      <c r="Q261">
        <f>IFERROR(IF(ISNUMBER(INDEX(SPPR!$E:$X,MATCH($A261,SPPR!$A:$A,0),14)),$C261*INDEX(SPPR!$E:$X,MATCH($A261,SPPR!$A:$A,0),14),""),"")</f>
        <v/>
      </c>
      <c r="R261">
        <f>IFERROR(IF(ISNUMBER(INDEX(SPPR!$E:$X,MATCH($A261,SPPR!$A:$A,0),15)),$C261*INDEX(SPPR!$E:$X,MATCH($A261,SPPR!$A:$A,0),15),""),"")</f>
        <v/>
      </c>
      <c r="S261">
        <f>IFERROR(IF(ISNUMBER(INDEX(SPPR!$E:$X,MATCH($A261,SPPR!$A:$A,0),16)),$C261*INDEX(SPPR!$E:$X,MATCH($A261,SPPR!$A:$A,0),16),""),"")</f>
        <v/>
      </c>
      <c r="T261">
        <f>IFERROR(IF(ISNUMBER(INDEX(SPPR!$E:$X,MATCH($A261,SPPR!$A:$A,0),17)),$C261*INDEX(SPPR!$E:$X,MATCH($A261,SPPR!$A:$A,0),17),""),"")</f>
        <v/>
      </c>
      <c r="U261">
        <f>IFERROR(IF(ISNUMBER(INDEX(SPPR!$E:$X,MATCH($A261,SPPR!$A:$A,0),18)),$C261*INDEX(SPPR!$E:$X,MATCH($A261,SPPR!$A:$A,0),18),""),"")</f>
        <v/>
      </c>
      <c r="V261">
        <f>IFERROR(IF(ISNUMBER(INDEX(SPPR!$E:$X,MATCH($A261,SPPR!$A:$A,0),19)),$C261*INDEX(SPPR!$E:$X,MATCH($A261,SPPR!$A:$A,0),19),""),"")</f>
        <v/>
      </c>
      <c r="W261">
        <f>IFERROR(IF(ISNUMBER(INDEX(SPPR!$E:$X,MATCH($A261,SPPR!$A:$A,0),20)),$C261*INDEX(SPPR!$E:$X,MATCH($A261,SPPR!$A:$A,0),20),""),"")</f>
        <v/>
      </c>
    </row>
    <row r="262">
      <c r="A262" t="inlineStr">
        <is>
          <t>Lethrinus miniatus</t>
        </is>
      </c>
      <c r="B262">
        <f>IFERROR(INDEX(SPPR!$D:$D,MATCH($A262,SPPR!$A:$A,0)),"")</f>
        <v/>
      </c>
      <c r="C262">
        <f>IFERROR(INDEX(Catch!$E:$BV,MATCH($A262,Catch!$A:$A,0),MATCH($B$4,Catch!$E$1:$BV$1,0)),0)</f>
        <v/>
      </c>
      <c r="D262">
        <f>IFERROR(IF(ISNUMBER(INDEX(SPPR!$E:$X,MATCH($A262,SPPR!$A:$A,0),1)),$C262*INDEX(SPPR!$E:$X,MATCH($A262,SPPR!$A:$A,0),1),""),"")</f>
        <v/>
      </c>
      <c r="E262">
        <f>IFERROR(IF(ISNUMBER(INDEX(SPPR!$E:$X,MATCH($A262,SPPR!$A:$A,0),2)),$C262*INDEX(SPPR!$E:$X,MATCH($A262,SPPR!$A:$A,0),2),""),"")</f>
        <v/>
      </c>
      <c r="F262">
        <f>IFERROR(IF(ISNUMBER(INDEX(SPPR!$E:$X,MATCH($A262,SPPR!$A:$A,0),3)),$C262*INDEX(SPPR!$E:$X,MATCH($A262,SPPR!$A:$A,0),3),""),"")</f>
        <v/>
      </c>
      <c r="G262">
        <f>IFERROR(IF(ISNUMBER(INDEX(SPPR!$E:$X,MATCH($A262,SPPR!$A:$A,0),4)),$C262*INDEX(SPPR!$E:$X,MATCH($A262,SPPR!$A:$A,0),4),""),"")</f>
        <v/>
      </c>
      <c r="H262">
        <f>IFERROR(IF(ISNUMBER(INDEX(SPPR!$E:$X,MATCH($A262,SPPR!$A:$A,0),5)),$C262*INDEX(SPPR!$E:$X,MATCH($A262,SPPR!$A:$A,0),5),""),"")</f>
        <v/>
      </c>
      <c r="I262">
        <f>IFERROR(IF(ISNUMBER(INDEX(SPPR!$E:$X,MATCH($A262,SPPR!$A:$A,0),6)),$C262*INDEX(SPPR!$E:$X,MATCH($A262,SPPR!$A:$A,0),6),""),"")</f>
        <v/>
      </c>
      <c r="J262">
        <f>IFERROR(IF(ISNUMBER(INDEX(SPPR!$E:$X,MATCH($A262,SPPR!$A:$A,0),7)),$C262*INDEX(SPPR!$E:$X,MATCH($A262,SPPR!$A:$A,0),7),""),"")</f>
        <v/>
      </c>
      <c r="K262">
        <f>IFERROR(IF(ISNUMBER(INDEX(SPPR!$E:$X,MATCH($A262,SPPR!$A:$A,0),8)),$C262*INDEX(SPPR!$E:$X,MATCH($A262,SPPR!$A:$A,0),8),""),"")</f>
        <v/>
      </c>
      <c r="L262">
        <f>IFERROR(IF(ISNUMBER(INDEX(SPPR!$E:$X,MATCH($A262,SPPR!$A:$A,0),9)),$C262*INDEX(SPPR!$E:$X,MATCH($A262,SPPR!$A:$A,0),9),""),"")</f>
        <v/>
      </c>
      <c r="M262">
        <f>IFERROR(IF(ISNUMBER(INDEX(SPPR!$E:$X,MATCH($A262,SPPR!$A:$A,0),10)),$C262*INDEX(SPPR!$E:$X,MATCH($A262,SPPR!$A:$A,0),10),""),"")</f>
        <v/>
      </c>
      <c r="N262">
        <f>IFERROR(IF(ISNUMBER(INDEX(SPPR!$E:$X,MATCH($A262,SPPR!$A:$A,0),11)),$C262*INDEX(SPPR!$E:$X,MATCH($A262,SPPR!$A:$A,0),11),""),"")</f>
        <v/>
      </c>
      <c r="O262">
        <f>IFERROR(IF(ISNUMBER(INDEX(SPPR!$E:$X,MATCH($A262,SPPR!$A:$A,0),12)),$C262*INDEX(SPPR!$E:$X,MATCH($A262,SPPR!$A:$A,0),12),""),"")</f>
        <v/>
      </c>
      <c r="P262">
        <f>IFERROR(IF(ISNUMBER(INDEX(SPPR!$E:$X,MATCH($A262,SPPR!$A:$A,0),13)),$C262*INDEX(SPPR!$E:$X,MATCH($A262,SPPR!$A:$A,0),13),""),"")</f>
        <v/>
      </c>
      <c r="Q262">
        <f>IFERROR(IF(ISNUMBER(INDEX(SPPR!$E:$X,MATCH($A262,SPPR!$A:$A,0),14)),$C262*INDEX(SPPR!$E:$X,MATCH($A262,SPPR!$A:$A,0),14),""),"")</f>
        <v/>
      </c>
      <c r="R262">
        <f>IFERROR(IF(ISNUMBER(INDEX(SPPR!$E:$X,MATCH($A262,SPPR!$A:$A,0),15)),$C262*INDEX(SPPR!$E:$X,MATCH($A262,SPPR!$A:$A,0),15),""),"")</f>
        <v/>
      </c>
      <c r="S262">
        <f>IFERROR(IF(ISNUMBER(INDEX(SPPR!$E:$X,MATCH($A262,SPPR!$A:$A,0),16)),$C262*INDEX(SPPR!$E:$X,MATCH($A262,SPPR!$A:$A,0),16),""),"")</f>
        <v/>
      </c>
      <c r="T262">
        <f>IFERROR(IF(ISNUMBER(INDEX(SPPR!$E:$X,MATCH($A262,SPPR!$A:$A,0),17)),$C262*INDEX(SPPR!$E:$X,MATCH($A262,SPPR!$A:$A,0),17),""),"")</f>
        <v/>
      </c>
      <c r="U262">
        <f>IFERROR(IF(ISNUMBER(INDEX(SPPR!$E:$X,MATCH($A262,SPPR!$A:$A,0),18)),$C262*INDEX(SPPR!$E:$X,MATCH($A262,SPPR!$A:$A,0),18),""),"")</f>
        <v/>
      </c>
      <c r="V262">
        <f>IFERROR(IF(ISNUMBER(INDEX(SPPR!$E:$X,MATCH($A262,SPPR!$A:$A,0),19)),$C262*INDEX(SPPR!$E:$X,MATCH($A262,SPPR!$A:$A,0),19),""),"")</f>
        <v/>
      </c>
      <c r="W262">
        <f>IFERROR(IF(ISNUMBER(INDEX(SPPR!$E:$X,MATCH($A262,SPPR!$A:$A,0),20)),$C262*INDEX(SPPR!$E:$X,MATCH($A262,SPPR!$A:$A,0),20),""),"")</f>
        <v/>
      </c>
    </row>
    <row r="263">
      <c r="A263" t="inlineStr">
        <is>
          <t>Istiophorus platypterus</t>
        </is>
      </c>
      <c r="B263">
        <f>IFERROR(INDEX(SPPR!$D:$D,MATCH($A263,SPPR!$A:$A,0)),"")</f>
        <v/>
      </c>
      <c r="C263">
        <f>IFERROR(INDEX(Catch!$E:$BV,MATCH($A263,Catch!$A:$A,0),MATCH($B$4,Catch!$E$1:$BV$1,0)),0)</f>
        <v/>
      </c>
      <c r="D263">
        <f>IFERROR(IF(ISNUMBER(INDEX(SPPR!$E:$X,MATCH($A263,SPPR!$A:$A,0),1)),$C263*INDEX(SPPR!$E:$X,MATCH($A263,SPPR!$A:$A,0),1),""),"")</f>
        <v/>
      </c>
      <c r="E263">
        <f>IFERROR(IF(ISNUMBER(INDEX(SPPR!$E:$X,MATCH($A263,SPPR!$A:$A,0),2)),$C263*INDEX(SPPR!$E:$X,MATCH($A263,SPPR!$A:$A,0),2),""),"")</f>
        <v/>
      </c>
      <c r="F263">
        <f>IFERROR(IF(ISNUMBER(INDEX(SPPR!$E:$X,MATCH($A263,SPPR!$A:$A,0),3)),$C263*INDEX(SPPR!$E:$X,MATCH($A263,SPPR!$A:$A,0),3),""),"")</f>
        <v/>
      </c>
      <c r="G263">
        <f>IFERROR(IF(ISNUMBER(INDEX(SPPR!$E:$X,MATCH($A263,SPPR!$A:$A,0),4)),$C263*INDEX(SPPR!$E:$X,MATCH($A263,SPPR!$A:$A,0),4),""),"")</f>
        <v/>
      </c>
      <c r="H263">
        <f>IFERROR(IF(ISNUMBER(INDEX(SPPR!$E:$X,MATCH($A263,SPPR!$A:$A,0),5)),$C263*INDEX(SPPR!$E:$X,MATCH($A263,SPPR!$A:$A,0),5),""),"")</f>
        <v/>
      </c>
      <c r="I263">
        <f>IFERROR(IF(ISNUMBER(INDEX(SPPR!$E:$X,MATCH($A263,SPPR!$A:$A,0),6)),$C263*INDEX(SPPR!$E:$X,MATCH($A263,SPPR!$A:$A,0),6),""),"")</f>
        <v/>
      </c>
      <c r="J263">
        <f>IFERROR(IF(ISNUMBER(INDEX(SPPR!$E:$X,MATCH($A263,SPPR!$A:$A,0),7)),$C263*INDEX(SPPR!$E:$X,MATCH($A263,SPPR!$A:$A,0),7),""),"")</f>
        <v/>
      </c>
      <c r="K263">
        <f>IFERROR(IF(ISNUMBER(INDEX(SPPR!$E:$X,MATCH($A263,SPPR!$A:$A,0),8)),$C263*INDEX(SPPR!$E:$X,MATCH($A263,SPPR!$A:$A,0),8),""),"")</f>
        <v/>
      </c>
      <c r="L263">
        <f>IFERROR(IF(ISNUMBER(INDEX(SPPR!$E:$X,MATCH($A263,SPPR!$A:$A,0),9)),$C263*INDEX(SPPR!$E:$X,MATCH($A263,SPPR!$A:$A,0),9),""),"")</f>
        <v/>
      </c>
      <c r="M263">
        <f>IFERROR(IF(ISNUMBER(INDEX(SPPR!$E:$X,MATCH($A263,SPPR!$A:$A,0),10)),$C263*INDEX(SPPR!$E:$X,MATCH($A263,SPPR!$A:$A,0),10),""),"")</f>
        <v/>
      </c>
      <c r="N263">
        <f>IFERROR(IF(ISNUMBER(INDEX(SPPR!$E:$X,MATCH($A263,SPPR!$A:$A,0),11)),$C263*INDEX(SPPR!$E:$X,MATCH($A263,SPPR!$A:$A,0),11),""),"")</f>
        <v/>
      </c>
      <c r="O263">
        <f>IFERROR(IF(ISNUMBER(INDEX(SPPR!$E:$X,MATCH($A263,SPPR!$A:$A,0),12)),$C263*INDEX(SPPR!$E:$X,MATCH($A263,SPPR!$A:$A,0),12),""),"")</f>
        <v/>
      </c>
      <c r="P263">
        <f>IFERROR(IF(ISNUMBER(INDEX(SPPR!$E:$X,MATCH($A263,SPPR!$A:$A,0),13)),$C263*INDEX(SPPR!$E:$X,MATCH($A263,SPPR!$A:$A,0),13),""),"")</f>
        <v/>
      </c>
      <c r="Q263">
        <f>IFERROR(IF(ISNUMBER(INDEX(SPPR!$E:$X,MATCH($A263,SPPR!$A:$A,0),14)),$C263*INDEX(SPPR!$E:$X,MATCH($A263,SPPR!$A:$A,0),14),""),"")</f>
        <v/>
      </c>
      <c r="R263">
        <f>IFERROR(IF(ISNUMBER(INDEX(SPPR!$E:$X,MATCH($A263,SPPR!$A:$A,0),15)),$C263*INDEX(SPPR!$E:$X,MATCH($A263,SPPR!$A:$A,0),15),""),"")</f>
        <v/>
      </c>
      <c r="S263">
        <f>IFERROR(IF(ISNUMBER(INDEX(SPPR!$E:$X,MATCH($A263,SPPR!$A:$A,0),16)),$C263*INDEX(SPPR!$E:$X,MATCH($A263,SPPR!$A:$A,0),16),""),"")</f>
        <v/>
      </c>
      <c r="T263">
        <f>IFERROR(IF(ISNUMBER(INDEX(SPPR!$E:$X,MATCH($A263,SPPR!$A:$A,0),17)),$C263*INDEX(SPPR!$E:$X,MATCH($A263,SPPR!$A:$A,0),17),""),"")</f>
        <v/>
      </c>
      <c r="U263">
        <f>IFERROR(IF(ISNUMBER(INDEX(SPPR!$E:$X,MATCH($A263,SPPR!$A:$A,0),18)),$C263*INDEX(SPPR!$E:$X,MATCH($A263,SPPR!$A:$A,0),18),""),"")</f>
        <v/>
      </c>
      <c r="V263">
        <f>IFERROR(IF(ISNUMBER(INDEX(SPPR!$E:$X,MATCH($A263,SPPR!$A:$A,0),19)),$C263*INDEX(SPPR!$E:$X,MATCH($A263,SPPR!$A:$A,0),19),""),"")</f>
        <v/>
      </c>
      <c r="W263">
        <f>IFERROR(IF(ISNUMBER(INDEX(SPPR!$E:$X,MATCH($A263,SPPR!$A:$A,0),20)),$C263*INDEX(SPPR!$E:$X,MATCH($A263,SPPR!$A:$A,0),20),""),"")</f>
        <v/>
      </c>
    </row>
    <row r="264">
      <c r="A264" t="inlineStr">
        <is>
          <t>Lutjanus bohar</t>
        </is>
      </c>
      <c r="B264">
        <f>IFERROR(INDEX(SPPR!$D:$D,MATCH($A264,SPPR!$A:$A,0)),"")</f>
        <v/>
      </c>
      <c r="C264">
        <f>IFERROR(INDEX(Catch!$E:$BV,MATCH($A264,Catch!$A:$A,0),MATCH($B$4,Catch!$E$1:$BV$1,0)),0)</f>
        <v/>
      </c>
      <c r="D264">
        <f>IFERROR(IF(ISNUMBER(INDEX(SPPR!$E:$X,MATCH($A264,SPPR!$A:$A,0),1)),$C264*INDEX(SPPR!$E:$X,MATCH($A264,SPPR!$A:$A,0),1),""),"")</f>
        <v/>
      </c>
      <c r="E264">
        <f>IFERROR(IF(ISNUMBER(INDEX(SPPR!$E:$X,MATCH($A264,SPPR!$A:$A,0),2)),$C264*INDEX(SPPR!$E:$X,MATCH($A264,SPPR!$A:$A,0),2),""),"")</f>
        <v/>
      </c>
      <c r="F264">
        <f>IFERROR(IF(ISNUMBER(INDEX(SPPR!$E:$X,MATCH($A264,SPPR!$A:$A,0),3)),$C264*INDEX(SPPR!$E:$X,MATCH($A264,SPPR!$A:$A,0),3),""),"")</f>
        <v/>
      </c>
      <c r="G264">
        <f>IFERROR(IF(ISNUMBER(INDEX(SPPR!$E:$X,MATCH($A264,SPPR!$A:$A,0),4)),$C264*INDEX(SPPR!$E:$X,MATCH($A264,SPPR!$A:$A,0),4),""),"")</f>
        <v/>
      </c>
      <c r="H264">
        <f>IFERROR(IF(ISNUMBER(INDEX(SPPR!$E:$X,MATCH($A264,SPPR!$A:$A,0),5)),$C264*INDEX(SPPR!$E:$X,MATCH($A264,SPPR!$A:$A,0),5),""),"")</f>
        <v/>
      </c>
      <c r="I264">
        <f>IFERROR(IF(ISNUMBER(INDEX(SPPR!$E:$X,MATCH($A264,SPPR!$A:$A,0),6)),$C264*INDEX(SPPR!$E:$X,MATCH($A264,SPPR!$A:$A,0),6),""),"")</f>
        <v/>
      </c>
      <c r="J264">
        <f>IFERROR(IF(ISNUMBER(INDEX(SPPR!$E:$X,MATCH($A264,SPPR!$A:$A,0),7)),$C264*INDEX(SPPR!$E:$X,MATCH($A264,SPPR!$A:$A,0),7),""),"")</f>
        <v/>
      </c>
      <c r="K264">
        <f>IFERROR(IF(ISNUMBER(INDEX(SPPR!$E:$X,MATCH($A264,SPPR!$A:$A,0),8)),$C264*INDEX(SPPR!$E:$X,MATCH($A264,SPPR!$A:$A,0),8),""),"")</f>
        <v/>
      </c>
      <c r="L264">
        <f>IFERROR(IF(ISNUMBER(INDEX(SPPR!$E:$X,MATCH($A264,SPPR!$A:$A,0),9)),$C264*INDEX(SPPR!$E:$X,MATCH($A264,SPPR!$A:$A,0),9),""),"")</f>
        <v/>
      </c>
      <c r="M264">
        <f>IFERROR(IF(ISNUMBER(INDEX(SPPR!$E:$X,MATCH($A264,SPPR!$A:$A,0),10)),$C264*INDEX(SPPR!$E:$X,MATCH($A264,SPPR!$A:$A,0),10),""),"")</f>
        <v/>
      </c>
      <c r="N264">
        <f>IFERROR(IF(ISNUMBER(INDEX(SPPR!$E:$X,MATCH($A264,SPPR!$A:$A,0),11)),$C264*INDEX(SPPR!$E:$X,MATCH($A264,SPPR!$A:$A,0),11),""),"")</f>
        <v/>
      </c>
      <c r="O264">
        <f>IFERROR(IF(ISNUMBER(INDEX(SPPR!$E:$X,MATCH($A264,SPPR!$A:$A,0),12)),$C264*INDEX(SPPR!$E:$X,MATCH($A264,SPPR!$A:$A,0),12),""),"")</f>
        <v/>
      </c>
      <c r="P264">
        <f>IFERROR(IF(ISNUMBER(INDEX(SPPR!$E:$X,MATCH($A264,SPPR!$A:$A,0),13)),$C264*INDEX(SPPR!$E:$X,MATCH($A264,SPPR!$A:$A,0),13),""),"")</f>
        <v/>
      </c>
      <c r="Q264">
        <f>IFERROR(IF(ISNUMBER(INDEX(SPPR!$E:$X,MATCH($A264,SPPR!$A:$A,0),14)),$C264*INDEX(SPPR!$E:$X,MATCH($A264,SPPR!$A:$A,0),14),""),"")</f>
        <v/>
      </c>
      <c r="R264">
        <f>IFERROR(IF(ISNUMBER(INDEX(SPPR!$E:$X,MATCH($A264,SPPR!$A:$A,0),15)),$C264*INDEX(SPPR!$E:$X,MATCH($A264,SPPR!$A:$A,0),15),""),"")</f>
        <v/>
      </c>
      <c r="S264">
        <f>IFERROR(IF(ISNUMBER(INDEX(SPPR!$E:$X,MATCH($A264,SPPR!$A:$A,0),16)),$C264*INDEX(SPPR!$E:$X,MATCH($A264,SPPR!$A:$A,0),16),""),"")</f>
        <v/>
      </c>
      <c r="T264">
        <f>IFERROR(IF(ISNUMBER(INDEX(SPPR!$E:$X,MATCH($A264,SPPR!$A:$A,0),17)),$C264*INDEX(SPPR!$E:$X,MATCH($A264,SPPR!$A:$A,0),17),""),"")</f>
        <v/>
      </c>
      <c r="U264">
        <f>IFERROR(IF(ISNUMBER(INDEX(SPPR!$E:$X,MATCH($A264,SPPR!$A:$A,0),18)),$C264*INDEX(SPPR!$E:$X,MATCH($A264,SPPR!$A:$A,0),18),""),"")</f>
        <v/>
      </c>
      <c r="V264">
        <f>IFERROR(IF(ISNUMBER(INDEX(SPPR!$E:$X,MATCH($A264,SPPR!$A:$A,0),19)),$C264*INDEX(SPPR!$E:$X,MATCH($A264,SPPR!$A:$A,0),19),""),"")</f>
        <v/>
      </c>
      <c r="W264">
        <f>IFERROR(IF(ISNUMBER(INDEX(SPPR!$E:$X,MATCH($A264,SPPR!$A:$A,0),20)),$C264*INDEX(SPPR!$E:$X,MATCH($A264,SPPR!$A:$A,0),20),""),"")</f>
        <v/>
      </c>
    </row>
    <row r="265">
      <c r="A265" t="inlineStr">
        <is>
          <t>Rhincodon typus</t>
        </is>
      </c>
      <c r="B265">
        <f>IFERROR(INDEX(SPPR!$D:$D,MATCH($A265,SPPR!$A:$A,0)),"")</f>
        <v/>
      </c>
      <c r="C265">
        <f>IFERROR(INDEX(Catch!$E:$BV,MATCH($A265,Catch!$A:$A,0),MATCH($B$4,Catch!$E$1:$BV$1,0)),0)</f>
        <v/>
      </c>
      <c r="D265">
        <f>IFERROR(IF(ISNUMBER(INDEX(SPPR!$E:$X,MATCH($A265,SPPR!$A:$A,0),1)),$C265*INDEX(SPPR!$E:$X,MATCH($A265,SPPR!$A:$A,0),1),""),"")</f>
        <v/>
      </c>
      <c r="E265">
        <f>IFERROR(IF(ISNUMBER(INDEX(SPPR!$E:$X,MATCH($A265,SPPR!$A:$A,0),2)),$C265*INDEX(SPPR!$E:$X,MATCH($A265,SPPR!$A:$A,0),2),""),"")</f>
        <v/>
      </c>
      <c r="F265">
        <f>IFERROR(IF(ISNUMBER(INDEX(SPPR!$E:$X,MATCH($A265,SPPR!$A:$A,0),3)),$C265*INDEX(SPPR!$E:$X,MATCH($A265,SPPR!$A:$A,0),3),""),"")</f>
        <v/>
      </c>
      <c r="G265">
        <f>IFERROR(IF(ISNUMBER(INDEX(SPPR!$E:$X,MATCH($A265,SPPR!$A:$A,0),4)),$C265*INDEX(SPPR!$E:$X,MATCH($A265,SPPR!$A:$A,0),4),""),"")</f>
        <v/>
      </c>
      <c r="H265">
        <f>IFERROR(IF(ISNUMBER(INDEX(SPPR!$E:$X,MATCH($A265,SPPR!$A:$A,0),5)),$C265*INDEX(SPPR!$E:$X,MATCH($A265,SPPR!$A:$A,0),5),""),"")</f>
        <v/>
      </c>
      <c r="I265">
        <f>IFERROR(IF(ISNUMBER(INDEX(SPPR!$E:$X,MATCH($A265,SPPR!$A:$A,0),6)),$C265*INDEX(SPPR!$E:$X,MATCH($A265,SPPR!$A:$A,0),6),""),"")</f>
        <v/>
      </c>
      <c r="J265">
        <f>IFERROR(IF(ISNUMBER(INDEX(SPPR!$E:$X,MATCH($A265,SPPR!$A:$A,0),7)),$C265*INDEX(SPPR!$E:$X,MATCH($A265,SPPR!$A:$A,0),7),""),"")</f>
        <v/>
      </c>
      <c r="K265">
        <f>IFERROR(IF(ISNUMBER(INDEX(SPPR!$E:$X,MATCH($A265,SPPR!$A:$A,0),8)),$C265*INDEX(SPPR!$E:$X,MATCH($A265,SPPR!$A:$A,0),8),""),"")</f>
        <v/>
      </c>
      <c r="L265">
        <f>IFERROR(IF(ISNUMBER(INDEX(SPPR!$E:$X,MATCH($A265,SPPR!$A:$A,0),9)),$C265*INDEX(SPPR!$E:$X,MATCH($A265,SPPR!$A:$A,0),9),""),"")</f>
        <v/>
      </c>
      <c r="M265">
        <f>IFERROR(IF(ISNUMBER(INDEX(SPPR!$E:$X,MATCH($A265,SPPR!$A:$A,0),10)),$C265*INDEX(SPPR!$E:$X,MATCH($A265,SPPR!$A:$A,0),10),""),"")</f>
        <v/>
      </c>
      <c r="N265">
        <f>IFERROR(IF(ISNUMBER(INDEX(SPPR!$E:$X,MATCH($A265,SPPR!$A:$A,0),11)),$C265*INDEX(SPPR!$E:$X,MATCH($A265,SPPR!$A:$A,0),11),""),"")</f>
        <v/>
      </c>
      <c r="O265">
        <f>IFERROR(IF(ISNUMBER(INDEX(SPPR!$E:$X,MATCH($A265,SPPR!$A:$A,0),12)),$C265*INDEX(SPPR!$E:$X,MATCH($A265,SPPR!$A:$A,0),12),""),"")</f>
        <v/>
      </c>
      <c r="P265">
        <f>IFERROR(IF(ISNUMBER(INDEX(SPPR!$E:$X,MATCH($A265,SPPR!$A:$A,0),13)),$C265*INDEX(SPPR!$E:$X,MATCH($A265,SPPR!$A:$A,0),13),""),"")</f>
        <v/>
      </c>
      <c r="Q265">
        <f>IFERROR(IF(ISNUMBER(INDEX(SPPR!$E:$X,MATCH($A265,SPPR!$A:$A,0),14)),$C265*INDEX(SPPR!$E:$X,MATCH($A265,SPPR!$A:$A,0),14),""),"")</f>
        <v/>
      </c>
      <c r="R265">
        <f>IFERROR(IF(ISNUMBER(INDEX(SPPR!$E:$X,MATCH($A265,SPPR!$A:$A,0),15)),$C265*INDEX(SPPR!$E:$X,MATCH($A265,SPPR!$A:$A,0),15),""),"")</f>
        <v/>
      </c>
      <c r="S265">
        <f>IFERROR(IF(ISNUMBER(INDEX(SPPR!$E:$X,MATCH($A265,SPPR!$A:$A,0),16)),$C265*INDEX(SPPR!$E:$X,MATCH($A265,SPPR!$A:$A,0),16),""),"")</f>
        <v/>
      </c>
      <c r="T265">
        <f>IFERROR(IF(ISNUMBER(INDEX(SPPR!$E:$X,MATCH($A265,SPPR!$A:$A,0),17)),$C265*INDEX(SPPR!$E:$X,MATCH($A265,SPPR!$A:$A,0),17),""),"")</f>
        <v/>
      </c>
      <c r="U265">
        <f>IFERROR(IF(ISNUMBER(INDEX(SPPR!$E:$X,MATCH($A265,SPPR!$A:$A,0),18)),$C265*INDEX(SPPR!$E:$X,MATCH($A265,SPPR!$A:$A,0),18),""),"")</f>
        <v/>
      </c>
      <c r="V265">
        <f>IFERROR(IF(ISNUMBER(INDEX(SPPR!$E:$X,MATCH($A265,SPPR!$A:$A,0),19)),$C265*INDEX(SPPR!$E:$X,MATCH($A265,SPPR!$A:$A,0),19),""),"")</f>
        <v/>
      </c>
      <c r="W265">
        <f>IFERROR(IF(ISNUMBER(INDEX(SPPR!$E:$X,MATCH($A265,SPPR!$A:$A,0),20)),$C265*INDEX(SPPR!$E:$X,MATCH($A265,SPPR!$A:$A,0),20),""),"")</f>
        <v/>
      </c>
    </row>
    <row r="266">
      <c r="A266" t="inlineStr">
        <is>
          <t>Sergestidae</t>
        </is>
      </c>
      <c r="B266">
        <f>IFERROR(INDEX(SPPR!$D:$D,MATCH($A266,SPPR!$A:$A,0)),"")</f>
        <v/>
      </c>
      <c r="C266">
        <f>IFERROR(INDEX(Catch!$E:$BV,MATCH($A266,Catch!$A:$A,0),MATCH($B$4,Catch!$E$1:$BV$1,0)),0)</f>
        <v/>
      </c>
      <c r="D266">
        <f>IFERROR(IF(ISNUMBER(INDEX(SPPR!$E:$X,MATCH($A266,SPPR!$A:$A,0),1)),$C266*INDEX(SPPR!$E:$X,MATCH($A266,SPPR!$A:$A,0),1),""),"")</f>
        <v/>
      </c>
      <c r="E266">
        <f>IFERROR(IF(ISNUMBER(INDEX(SPPR!$E:$X,MATCH($A266,SPPR!$A:$A,0),2)),$C266*INDEX(SPPR!$E:$X,MATCH($A266,SPPR!$A:$A,0),2),""),"")</f>
        <v/>
      </c>
      <c r="F266">
        <f>IFERROR(IF(ISNUMBER(INDEX(SPPR!$E:$X,MATCH($A266,SPPR!$A:$A,0),3)),$C266*INDEX(SPPR!$E:$X,MATCH($A266,SPPR!$A:$A,0),3),""),"")</f>
        <v/>
      </c>
      <c r="G266">
        <f>IFERROR(IF(ISNUMBER(INDEX(SPPR!$E:$X,MATCH($A266,SPPR!$A:$A,0),4)),$C266*INDEX(SPPR!$E:$X,MATCH($A266,SPPR!$A:$A,0),4),""),"")</f>
        <v/>
      </c>
      <c r="H266">
        <f>IFERROR(IF(ISNUMBER(INDEX(SPPR!$E:$X,MATCH($A266,SPPR!$A:$A,0),5)),$C266*INDEX(SPPR!$E:$X,MATCH($A266,SPPR!$A:$A,0),5),""),"")</f>
        <v/>
      </c>
      <c r="I266">
        <f>IFERROR(IF(ISNUMBER(INDEX(SPPR!$E:$X,MATCH($A266,SPPR!$A:$A,0),6)),$C266*INDEX(SPPR!$E:$X,MATCH($A266,SPPR!$A:$A,0),6),""),"")</f>
        <v/>
      </c>
      <c r="J266">
        <f>IFERROR(IF(ISNUMBER(INDEX(SPPR!$E:$X,MATCH($A266,SPPR!$A:$A,0),7)),$C266*INDEX(SPPR!$E:$X,MATCH($A266,SPPR!$A:$A,0),7),""),"")</f>
        <v/>
      </c>
      <c r="K266">
        <f>IFERROR(IF(ISNUMBER(INDEX(SPPR!$E:$X,MATCH($A266,SPPR!$A:$A,0),8)),$C266*INDEX(SPPR!$E:$X,MATCH($A266,SPPR!$A:$A,0),8),""),"")</f>
        <v/>
      </c>
      <c r="L266">
        <f>IFERROR(IF(ISNUMBER(INDEX(SPPR!$E:$X,MATCH($A266,SPPR!$A:$A,0),9)),$C266*INDEX(SPPR!$E:$X,MATCH($A266,SPPR!$A:$A,0),9),""),"")</f>
        <v/>
      </c>
      <c r="M266">
        <f>IFERROR(IF(ISNUMBER(INDEX(SPPR!$E:$X,MATCH($A266,SPPR!$A:$A,0),10)),$C266*INDEX(SPPR!$E:$X,MATCH($A266,SPPR!$A:$A,0),10),""),"")</f>
        <v/>
      </c>
      <c r="N266">
        <f>IFERROR(IF(ISNUMBER(INDEX(SPPR!$E:$X,MATCH($A266,SPPR!$A:$A,0),11)),$C266*INDEX(SPPR!$E:$X,MATCH($A266,SPPR!$A:$A,0),11),""),"")</f>
        <v/>
      </c>
      <c r="O266">
        <f>IFERROR(IF(ISNUMBER(INDEX(SPPR!$E:$X,MATCH($A266,SPPR!$A:$A,0),12)),$C266*INDEX(SPPR!$E:$X,MATCH($A266,SPPR!$A:$A,0),12),""),"")</f>
        <v/>
      </c>
      <c r="P266">
        <f>IFERROR(IF(ISNUMBER(INDEX(SPPR!$E:$X,MATCH($A266,SPPR!$A:$A,0),13)),$C266*INDEX(SPPR!$E:$X,MATCH($A266,SPPR!$A:$A,0),13),""),"")</f>
        <v/>
      </c>
      <c r="Q266">
        <f>IFERROR(IF(ISNUMBER(INDEX(SPPR!$E:$X,MATCH($A266,SPPR!$A:$A,0),14)),$C266*INDEX(SPPR!$E:$X,MATCH($A266,SPPR!$A:$A,0),14),""),"")</f>
        <v/>
      </c>
      <c r="R266">
        <f>IFERROR(IF(ISNUMBER(INDEX(SPPR!$E:$X,MATCH($A266,SPPR!$A:$A,0),15)),$C266*INDEX(SPPR!$E:$X,MATCH($A266,SPPR!$A:$A,0),15),""),"")</f>
        <v/>
      </c>
      <c r="S266">
        <f>IFERROR(IF(ISNUMBER(INDEX(SPPR!$E:$X,MATCH($A266,SPPR!$A:$A,0),16)),$C266*INDEX(SPPR!$E:$X,MATCH($A266,SPPR!$A:$A,0),16),""),"")</f>
        <v/>
      </c>
      <c r="T266">
        <f>IFERROR(IF(ISNUMBER(INDEX(SPPR!$E:$X,MATCH($A266,SPPR!$A:$A,0),17)),$C266*INDEX(SPPR!$E:$X,MATCH($A266,SPPR!$A:$A,0),17),""),"")</f>
        <v/>
      </c>
      <c r="U266">
        <f>IFERROR(IF(ISNUMBER(INDEX(SPPR!$E:$X,MATCH($A266,SPPR!$A:$A,0),18)),$C266*INDEX(SPPR!$E:$X,MATCH($A266,SPPR!$A:$A,0),18),""),"")</f>
        <v/>
      </c>
      <c r="V266">
        <f>IFERROR(IF(ISNUMBER(INDEX(SPPR!$E:$X,MATCH($A266,SPPR!$A:$A,0),19)),$C266*INDEX(SPPR!$E:$X,MATCH($A266,SPPR!$A:$A,0),19),""),"")</f>
        <v/>
      </c>
      <c r="W266">
        <f>IFERROR(IF(ISNUMBER(INDEX(SPPR!$E:$X,MATCH($A266,SPPR!$A:$A,0),20)),$C266*INDEX(SPPR!$E:$X,MATCH($A266,SPPR!$A:$A,0),20),""),"")</f>
        <v/>
      </c>
    </row>
    <row r="267">
      <c r="A267" t="inlineStr">
        <is>
          <t>Lepidocybium flavobrunneum</t>
        </is>
      </c>
      <c r="B267">
        <f>IFERROR(INDEX(SPPR!$D:$D,MATCH($A267,SPPR!$A:$A,0)),"")</f>
        <v/>
      </c>
      <c r="C267">
        <f>IFERROR(INDEX(Catch!$E:$BV,MATCH($A267,Catch!$A:$A,0),MATCH($B$4,Catch!$E$1:$BV$1,0)),0)</f>
        <v/>
      </c>
      <c r="D267">
        <f>IFERROR(IF(ISNUMBER(INDEX(SPPR!$E:$X,MATCH($A267,SPPR!$A:$A,0),1)),$C267*INDEX(SPPR!$E:$X,MATCH($A267,SPPR!$A:$A,0),1),""),"")</f>
        <v/>
      </c>
      <c r="E267">
        <f>IFERROR(IF(ISNUMBER(INDEX(SPPR!$E:$X,MATCH($A267,SPPR!$A:$A,0),2)),$C267*INDEX(SPPR!$E:$X,MATCH($A267,SPPR!$A:$A,0),2),""),"")</f>
        <v/>
      </c>
      <c r="F267">
        <f>IFERROR(IF(ISNUMBER(INDEX(SPPR!$E:$X,MATCH($A267,SPPR!$A:$A,0),3)),$C267*INDEX(SPPR!$E:$X,MATCH($A267,SPPR!$A:$A,0),3),""),"")</f>
        <v/>
      </c>
      <c r="G267">
        <f>IFERROR(IF(ISNUMBER(INDEX(SPPR!$E:$X,MATCH($A267,SPPR!$A:$A,0),4)),$C267*INDEX(SPPR!$E:$X,MATCH($A267,SPPR!$A:$A,0),4),""),"")</f>
        <v/>
      </c>
      <c r="H267">
        <f>IFERROR(IF(ISNUMBER(INDEX(SPPR!$E:$X,MATCH($A267,SPPR!$A:$A,0),5)),$C267*INDEX(SPPR!$E:$X,MATCH($A267,SPPR!$A:$A,0),5),""),"")</f>
        <v/>
      </c>
      <c r="I267">
        <f>IFERROR(IF(ISNUMBER(INDEX(SPPR!$E:$X,MATCH($A267,SPPR!$A:$A,0),6)),$C267*INDEX(SPPR!$E:$X,MATCH($A267,SPPR!$A:$A,0),6),""),"")</f>
        <v/>
      </c>
      <c r="J267">
        <f>IFERROR(IF(ISNUMBER(INDEX(SPPR!$E:$X,MATCH($A267,SPPR!$A:$A,0),7)),$C267*INDEX(SPPR!$E:$X,MATCH($A267,SPPR!$A:$A,0),7),""),"")</f>
        <v/>
      </c>
      <c r="K267">
        <f>IFERROR(IF(ISNUMBER(INDEX(SPPR!$E:$X,MATCH($A267,SPPR!$A:$A,0),8)),$C267*INDEX(SPPR!$E:$X,MATCH($A267,SPPR!$A:$A,0),8),""),"")</f>
        <v/>
      </c>
      <c r="L267">
        <f>IFERROR(IF(ISNUMBER(INDEX(SPPR!$E:$X,MATCH($A267,SPPR!$A:$A,0),9)),$C267*INDEX(SPPR!$E:$X,MATCH($A267,SPPR!$A:$A,0),9),""),"")</f>
        <v/>
      </c>
      <c r="M267">
        <f>IFERROR(IF(ISNUMBER(INDEX(SPPR!$E:$X,MATCH($A267,SPPR!$A:$A,0),10)),$C267*INDEX(SPPR!$E:$X,MATCH($A267,SPPR!$A:$A,0),10),""),"")</f>
        <v/>
      </c>
      <c r="N267">
        <f>IFERROR(IF(ISNUMBER(INDEX(SPPR!$E:$X,MATCH($A267,SPPR!$A:$A,0),11)),$C267*INDEX(SPPR!$E:$X,MATCH($A267,SPPR!$A:$A,0),11),""),"")</f>
        <v/>
      </c>
      <c r="O267">
        <f>IFERROR(IF(ISNUMBER(INDEX(SPPR!$E:$X,MATCH($A267,SPPR!$A:$A,0),12)),$C267*INDEX(SPPR!$E:$X,MATCH($A267,SPPR!$A:$A,0),12),""),"")</f>
        <v/>
      </c>
      <c r="P267">
        <f>IFERROR(IF(ISNUMBER(INDEX(SPPR!$E:$X,MATCH($A267,SPPR!$A:$A,0),13)),$C267*INDEX(SPPR!$E:$X,MATCH($A267,SPPR!$A:$A,0),13),""),"")</f>
        <v/>
      </c>
      <c r="Q267">
        <f>IFERROR(IF(ISNUMBER(INDEX(SPPR!$E:$X,MATCH($A267,SPPR!$A:$A,0),14)),$C267*INDEX(SPPR!$E:$X,MATCH($A267,SPPR!$A:$A,0),14),""),"")</f>
        <v/>
      </c>
      <c r="R267">
        <f>IFERROR(IF(ISNUMBER(INDEX(SPPR!$E:$X,MATCH($A267,SPPR!$A:$A,0),15)),$C267*INDEX(SPPR!$E:$X,MATCH($A267,SPPR!$A:$A,0),15),""),"")</f>
        <v/>
      </c>
      <c r="S267">
        <f>IFERROR(IF(ISNUMBER(INDEX(SPPR!$E:$X,MATCH($A267,SPPR!$A:$A,0),16)),$C267*INDEX(SPPR!$E:$X,MATCH($A267,SPPR!$A:$A,0),16),""),"")</f>
        <v/>
      </c>
      <c r="T267">
        <f>IFERROR(IF(ISNUMBER(INDEX(SPPR!$E:$X,MATCH($A267,SPPR!$A:$A,0),17)),$C267*INDEX(SPPR!$E:$X,MATCH($A267,SPPR!$A:$A,0),17),""),"")</f>
        <v/>
      </c>
      <c r="U267">
        <f>IFERROR(IF(ISNUMBER(INDEX(SPPR!$E:$X,MATCH($A267,SPPR!$A:$A,0),18)),$C267*INDEX(SPPR!$E:$X,MATCH($A267,SPPR!$A:$A,0),18),""),"")</f>
        <v/>
      </c>
      <c r="V267">
        <f>IFERROR(IF(ISNUMBER(INDEX(SPPR!$E:$X,MATCH($A267,SPPR!$A:$A,0),19)),$C267*INDEX(SPPR!$E:$X,MATCH($A267,SPPR!$A:$A,0),19),""),"")</f>
        <v/>
      </c>
      <c r="W267">
        <f>IFERROR(IF(ISNUMBER(INDEX(SPPR!$E:$X,MATCH($A267,SPPR!$A:$A,0),20)),$C267*INDEX(SPPR!$E:$X,MATCH($A267,SPPR!$A:$A,0),20),""),"")</f>
        <v/>
      </c>
    </row>
    <row r="268">
      <c r="A268" t="inlineStr">
        <is>
          <t>Acetes</t>
        </is>
      </c>
      <c r="B268">
        <f>IFERROR(INDEX(SPPR!$D:$D,MATCH($A268,SPPR!$A:$A,0)),"")</f>
        <v/>
      </c>
      <c r="C268">
        <f>IFERROR(INDEX(Catch!$E:$BV,MATCH($A268,Catch!$A:$A,0),MATCH($B$4,Catch!$E$1:$BV$1,0)),0)</f>
        <v/>
      </c>
      <c r="D268">
        <f>IFERROR(IF(ISNUMBER(INDEX(SPPR!$E:$X,MATCH($A268,SPPR!$A:$A,0),1)),$C268*INDEX(SPPR!$E:$X,MATCH($A268,SPPR!$A:$A,0),1),""),"")</f>
        <v/>
      </c>
      <c r="E268">
        <f>IFERROR(IF(ISNUMBER(INDEX(SPPR!$E:$X,MATCH($A268,SPPR!$A:$A,0),2)),$C268*INDEX(SPPR!$E:$X,MATCH($A268,SPPR!$A:$A,0),2),""),"")</f>
        <v/>
      </c>
      <c r="F268">
        <f>IFERROR(IF(ISNUMBER(INDEX(SPPR!$E:$X,MATCH($A268,SPPR!$A:$A,0),3)),$C268*INDEX(SPPR!$E:$X,MATCH($A268,SPPR!$A:$A,0),3),""),"")</f>
        <v/>
      </c>
      <c r="G268">
        <f>IFERROR(IF(ISNUMBER(INDEX(SPPR!$E:$X,MATCH($A268,SPPR!$A:$A,0),4)),$C268*INDEX(SPPR!$E:$X,MATCH($A268,SPPR!$A:$A,0),4),""),"")</f>
        <v/>
      </c>
      <c r="H268">
        <f>IFERROR(IF(ISNUMBER(INDEX(SPPR!$E:$X,MATCH($A268,SPPR!$A:$A,0),5)),$C268*INDEX(SPPR!$E:$X,MATCH($A268,SPPR!$A:$A,0),5),""),"")</f>
        <v/>
      </c>
      <c r="I268">
        <f>IFERROR(IF(ISNUMBER(INDEX(SPPR!$E:$X,MATCH($A268,SPPR!$A:$A,0),6)),$C268*INDEX(SPPR!$E:$X,MATCH($A268,SPPR!$A:$A,0),6),""),"")</f>
        <v/>
      </c>
      <c r="J268">
        <f>IFERROR(IF(ISNUMBER(INDEX(SPPR!$E:$X,MATCH($A268,SPPR!$A:$A,0),7)),$C268*INDEX(SPPR!$E:$X,MATCH($A268,SPPR!$A:$A,0),7),""),"")</f>
        <v/>
      </c>
      <c r="K268">
        <f>IFERROR(IF(ISNUMBER(INDEX(SPPR!$E:$X,MATCH($A268,SPPR!$A:$A,0),8)),$C268*INDEX(SPPR!$E:$X,MATCH($A268,SPPR!$A:$A,0),8),""),"")</f>
        <v/>
      </c>
      <c r="L268">
        <f>IFERROR(IF(ISNUMBER(INDEX(SPPR!$E:$X,MATCH($A268,SPPR!$A:$A,0),9)),$C268*INDEX(SPPR!$E:$X,MATCH($A268,SPPR!$A:$A,0),9),""),"")</f>
        <v/>
      </c>
      <c r="M268">
        <f>IFERROR(IF(ISNUMBER(INDEX(SPPR!$E:$X,MATCH($A268,SPPR!$A:$A,0),10)),$C268*INDEX(SPPR!$E:$X,MATCH($A268,SPPR!$A:$A,0),10),""),"")</f>
        <v/>
      </c>
      <c r="N268">
        <f>IFERROR(IF(ISNUMBER(INDEX(SPPR!$E:$X,MATCH($A268,SPPR!$A:$A,0),11)),$C268*INDEX(SPPR!$E:$X,MATCH($A268,SPPR!$A:$A,0),11),""),"")</f>
        <v/>
      </c>
      <c r="O268">
        <f>IFERROR(IF(ISNUMBER(INDEX(SPPR!$E:$X,MATCH($A268,SPPR!$A:$A,0),12)),$C268*INDEX(SPPR!$E:$X,MATCH($A268,SPPR!$A:$A,0),12),""),"")</f>
        <v/>
      </c>
      <c r="P268">
        <f>IFERROR(IF(ISNUMBER(INDEX(SPPR!$E:$X,MATCH($A268,SPPR!$A:$A,0),13)),$C268*INDEX(SPPR!$E:$X,MATCH($A268,SPPR!$A:$A,0),13),""),"")</f>
        <v/>
      </c>
      <c r="Q268">
        <f>IFERROR(IF(ISNUMBER(INDEX(SPPR!$E:$X,MATCH($A268,SPPR!$A:$A,0),14)),$C268*INDEX(SPPR!$E:$X,MATCH($A268,SPPR!$A:$A,0),14),""),"")</f>
        <v/>
      </c>
      <c r="R268">
        <f>IFERROR(IF(ISNUMBER(INDEX(SPPR!$E:$X,MATCH($A268,SPPR!$A:$A,0),15)),$C268*INDEX(SPPR!$E:$X,MATCH($A268,SPPR!$A:$A,0),15),""),"")</f>
        <v/>
      </c>
      <c r="S268">
        <f>IFERROR(IF(ISNUMBER(INDEX(SPPR!$E:$X,MATCH($A268,SPPR!$A:$A,0),16)),$C268*INDEX(SPPR!$E:$X,MATCH($A268,SPPR!$A:$A,0),16),""),"")</f>
        <v/>
      </c>
      <c r="T268">
        <f>IFERROR(IF(ISNUMBER(INDEX(SPPR!$E:$X,MATCH($A268,SPPR!$A:$A,0),17)),$C268*INDEX(SPPR!$E:$X,MATCH($A268,SPPR!$A:$A,0),17),""),"")</f>
        <v/>
      </c>
      <c r="U268">
        <f>IFERROR(IF(ISNUMBER(INDEX(SPPR!$E:$X,MATCH($A268,SPPR!$A:$A,0),18)),$C268*INDEX(SPPR!$E:$X,MATCH($A268,SPPR!$A:$A,0),18),""),"")</f>
        <v/>
      </c>
      <c r="V268">
        <f>IFERROR(IF(ISNUMBER(INDEX(SPPR!$E:$X,MATCH($A268,SPPR!$A:$A,0),19)),$C268*INDEX(SPPR!$E:$X,MATCH($A268,SPPR!$A:$A,0),19),""),"")</f>
        <v/>
      </c>
      <c r="W268">
        <f>IFERROR(IF(ISNUMBER(INDEX(SPPR!$E:$X,MATCH($A268,SPPR!$A:$A,0),20)),$C268*INDEX(SPPR!$E:$X,MATCH($A268,SPPR!$A:$A,0),20),""),"")</f>
        <v/>
      </c>
    </row>
    <row r="269">
      <c r="A269" t="inlineStr">
        <is>
          <t>Zenopsis nebulosa</t>
        </is>
      </c>
      <c r="B269">
        <f>IFERROR(INDEX(SPPR!$D:$D,MATCH($A269,SPPR!$A:$A,0)),"")</f>
        <v/>
      </c>
      <c r="C269">
        <f>IFERROR(INDEX(Catch!$E:$BV,MATCH($A269,Catch!$A:$A,0),MATCH($B$4,Catch!$E$1:$BV$1,0)),0)</f>
        <v/>
      </c>
      <c r="D269">
        <f>IFERROR(IF(ISNUMBER(INDEX(SPPR!$E:$X,MATCH($A269,SPPR!$A:$A,0),1)),$C269*INDEX(SPPR!$E:$X,MATCH($A269,SPPR!$A:$A,0),1),""),"")</f>
        <v/>
      </c>
      <c r="E269">
        <f>IFERROR(IF(ISNUMBER(INDEX(SPPR!$E:$X,MATCH($A269,SPPR!$A:$A,0),2)),$C269*INDEX(SPPR!$E:$X,MATCH($A269,SPPR!$A:$A,0),2),""),"")</f>
        <v/>
      </c>
      <c r="F269">
        <f>IFERROR(IF(ISNUMBER(INDEX(SPPR!$E:$X,MATCH($A269,SPPR!$A:$A,0),3)),$C269*INDEX(SPPR!$E:$X,MATCH($A269,SPPR!$A:$A,0),3),""),"")</f>
        <v/>
      </c>
      <c r="G269">
        <f>IFERROR(IF(ISNUMBER(INDEX(SPPR!$E:$X,MATCH($A269,SPPR!$A:$A,0),4)),$C269*INDEX(SPPR!$E:$X,MATCH($A269,SPPR!$A:$A,0),4),""),"")</f>
        <v/>
      </c>
      <c r="H269">
        <f>IFERROR(IF(ISNUMBER(INDEX(SPPR!$E:$X,MATCH($A269,SPPR!$A:$A,0),5)),$C269*INDEX(SPPR!$E:$X,MATCH($A269,SPPR!$A:$A,0),5),""),"")</f>
        <v/>
      </c>
      <c r="I269">
        <f>IFERROR(IF(ISNUMBER(INDEX(SPPR!$E:$X,MATCH($A269,SPPR!$A:$A,0),6)),$C269*INDEX(SPPR!$E:$X,MATCH($A269,SPPR!$A:$A,0),6),""),"")</f>
        <v/>
      </c>
      <c r="J269">
        <f>IFERROR(IF(ISNUMBER(INDEX(SPPR!$E:$X,MATCH($A269,SPPR!$A:$A,0),7)),$C269*INDEX(SPPR!$E:$X,MATCH($A269,SPPR!$A:$A,0),7),""),"")</f>
        <v/>
      </c>
      <c r="K269">
        <f>IFERROR(IF(ISNUMBER(INDEX(SPPR!$E:$X,MATCH($A269,SPPR!$A:$A,0),8)),$C269*INDEX(SPPR!$E:$X,MATCH($A269,SPPR!$A:$A,0),8),""),"")</f>
        <v/>
      </c>
      <c r="L269">
        <f>IFERROR(IF(ISNUMBER(INDEX(SPPR!$E:$X,MATCH($A269,SPPR!$A:$A,0),9)),$C269*INDEX(SPPR!$E:$X,MATCH($A269,SPPR!$A:$A,0),9),""),"")</f>
        <v/>
      </c>
      <c r="M269">
        <f>IFERROR(IF(ISNUMBER(INDEX(SPPR!$E:$X,MATCH($A269,SPPR!$A:$A,0),10)),$C269*INDEX(SPPR!$E:$X,MATCH($A269,SPPR!$A:$A,0),10),""),"")</f>
        <v/>
      </c>
      <c r="N269">
        <f>IFERROR(IF(ISNUMBER(INDEX(SPPR!$E:$X,MATCH($A269,SPPR!$A:$A,0),11)),$C269*INDEX(SPPR!$E:$X,MATCH($A269,SPPR!$A:$A,0),11),""),"")</f>
        <v/>
      </c>
      <c r="O269">
        <f>IFERROR(IF(ISNUMBER(INDEX(SPPR!$E:$X,MATCH($A269,SPPR!$A:$A,0),12)),$C269*INDEX(SPPR!$E:$X,MATCH($A269,SPPR!$A:$A,0),12),""),"")</f>
        <v/>
      </c>
      <c r="P269">
        <f>IFERROR(IF(ISNUMBER(INDEX(SPPR!$E:$X,MATCH($A269,SPPR!$A:$A,0),13)),$C269*INDEX(SPPR!$E:$X,MATCH($A269,SPPR!$A:$A,0),13),""),"")</f>
        <v/>
      </c>
      <c r="Q269">
        <f>IFERROR(IF(ISNUMBER(INDEX(SPPR!$E:$X,MATCH($A269,SPPR!$A:$A,0),14)),$C269*INDEX(SPPR!$E:$X,MATCH($A269,SPPR!$A:$A,0),14),""),"")</f>
        <v/>
      </c>
      <c r="R269">
        <f>IFERROR(IF(ISNUMBER(INDEX(SPPR!$E:$X,MATCH($A269,SPPR!$A:$A,0),15)),$C269*INDEX(SPPR!$E:$X,MATCH($A269,SPPR!$A:$A,0),15),""),"")</f>
        <v/>
      </c>
      <c r="S269">
        <f>IFERROR(IF(ISNUMBER(INDEX(SPPR!$E:$X,MATCH($A269,SPPR!$A:$A,0),16)),$C269*INDEX(SPPR!$E:$X,MATCH($A269,SPPR!$A:$A,0),16),""),"")</f>
        <v/>
      </c>
      <c r="T269">
        <f>IFERROR(IF(ISNUMBER(INDEX(SPPR!$E:$X,MATCH($A269,SPPR!$A:$A,0),17)),$C269*INDEX(SPPR!$E:$X,MATCH($A269,SPPR!$A:$A,0),17),""),"")</f>
        <v/>
      </c>
      <c r="U269">
        <f>IFERROR(IF(ISNUMBER(INDEX(SPPR!$E:$X,MATCH($A269,SPPR!$A:$A,0),18)),$C269*INDEX(SPPR!$E:$X,MATCH($A269,SPPR!$A:$A,0),18),""),"")</f>
        <v/>
      </c>
      <c r="V269">
        <f>IFERROR(IF(ISNUMBER(INDEX(SPPR!$E:$X,MATCH($A269,SPPR!$A:$A,0),19)),$C269*INDEX(SPPR!$E:$X,MATCH($A269,SPPR!$A:$A,0),19),""),"")</f>
        <v/>
      </c>
      <c r="W269">
        <f>IFERROR(IF(ISNUMBER(INDEX(SPPR!$E:$X,MATCH($A269,SPPR!$A:$A,0),20)),$C269*INDEX(SPPR!$E:$X,MATCH($A269,SPPR!$A:$A,0),20),""),"")</f>
        <v/>
      </c>
    </row>
    <row r="270">
      <c r="A270" t="inlineStr">
        <is>
          <t>Carcharhinus longimanus</t>
        </is>
      </c>
      <c r="B270">
        <f>IFERROR(INDEX(SPPR!$D:$D,MATCH($A270,SPPR!$A:$A,0)),"")</f>
        <v/>
      </c>
      <c r="C270">
        <f>IFERROR(INDEX(Catch!$E:$BV,MATCH($A270,Catch!$A:$A,0),MATCH($B$4,Catch!$E$1:$BV$1,0)),0)</f>
        <v/>
      </c>
      <c r="D270">
        <f>IFERROR(IF(ISNUMBER(INDEX(SPPR!$E:$X,MATCH($A270,SPPR!$A:$A,0),1)),$C270*INDEX(SPPR!$E:$X,MATCH($A270,SPPR!$A:$A,0),1),""),"")</f>
        <v/>
      </c>
      <c r="E270">
        <f>IFERROR(IF(ISNUMBER(INDEX(SPPR!$E:$X,MATCH($A270,SPPR!$A:$A,0),2)),$C270*INDEX(SPPR!$E:$X,MATCH($A270,SPPR!$A:$A,0),2),""),"")</f>
        <v/>
      </c>
      <c r="F270">
        <f>IFERROR(IF(ISNUMBER(INDEX(SPPR!$E:$X,MATCH($A270,SPPR!$A:$A,0),3)),$C270*INDEX(SPPR!$E:$X,MATCH($A270,SPPR!$A:$A,0),3),""),"")</f>
        <v/>
      </c>
      <c r="G270">
        <f>IFERROR(IF(ISNUMBER(INDEX(SPPR!$E:$X,MATCH($A270,SPPR!$A:$A,0),4)),$C270*INDEX(SPPR!$E:$X,MATCH($A270,SPPR!$A:$A,0),4),""),"")</f>
        <v/>
      </c>
      <c r="H270">
        <f>IFERROR(IF(ISNUMBER(INDEX(SPPR!$E:$X,MATCH($A270,SPPR!$A:$A,0),5)),$C270*INDEX(SPPR!$E:$X,MATCH($A270,SPPR!$A:$A,0),5),""),"")</f>
        <v/>
      </c>
      <c r="I270">
        <f>IFERROR(IF(ISNUMBER(INDEX(SPPR!$E:$X,MATCH($A270,SPPR!$A:$A,0),6)),$C270*INDEX(SPPR!$E:$X,MATCH($A270,SPPR!$A:$A,0),6),""),"")</f>
        <v/>
      </c>
      <c r="J270">
        <f>IFERROR(IF(ISNUMBER(INDEX(SPPR!$E:$X,MATCH($A270,SPPR!$A:$A,0),7)),$C270*INDEX(SPPR!$E:$X,MATCH($A270,SPPR!$A:$A,0),7),""),"")</f>
        <v/>
      </c>
      <c r="K270">
        <f>IFERROR(IF(ISNUMBER(INDEX(SPPR!$E:$X,MATCH($A270,SPPR!$A:$A,0),8)),$C270*INDEX(SPPR!$E:$X,MATCH($A270,SPPR!$A:$A,0),8),""),"")</f>
        <v/>
      </c>
      <c r="L270">
        <f>IFERROR(IF(ISNUMBER(INDEX(SPPR!$E:$X,MATCH($A270,SPPR!$A:$A,0),9)),$C270*INDEX(SPPR!$E:$X,MATCH($A270,SPPR!$A:$A,0),9),""),"")</f>
        <v/>
      </c>
      <c r="M270">
        <f>IFERROR(IF(ISNUMBER(INDEX(SPPR!$E:$X,MATCH($A270,SPPR!$A:$A,0),10)),$C270*INDEX(SPPR!$E:$X,MATCH($A270,SPPR!$A:$A,0),10),""),"")</f>
        <v/>
      </c>
      <c r="N270">
        <f>IFERROR(IF(ISNUMBER(INDEX(SPPR!$E:$X,MATCH($A270,SPPR!$A:$A,0),11)),$C270*INDEX(SPPR!$E:$X,MATCH($A270,SPPR!$A:$A,0),11),""),"")</f>
        <v/>
      </c>
      <c r="O270">
        <f>IFERROR(IF(ISNUMBER(INDEX(SPPR!$E:$X,MATCH($A270,SPPR!$A:$A,0),12)),$C270*INDEX(SPPR!$E:$X,MATCH($A270,SPPR!$A:$A,0),12),""),"")</f>
        <v/>
      </c>
      <c r="P270">
        <f>IFERROR(IF(ISNUMBER(INDEX(SPPR!$E:$X,MATCH($A270,SPPR!$A:$A,0),13)),$C270*INDEX(SPPR!$E:$X,MATCH($A270,SPPR!$A:$A,0),13),""),"")</f>
        <v/>
      </c>
      <c r="Q270">
        <f>IFERROR(IF(ISNUMBER(INDEX(SPPR!$E:$X,MATCH($A270,SPPR!$A:$A,0),14)),$C270*INDEX(SPPR!$E:$X,MATCH($A270,SPPR!$A:$A,0),14),""),"")</f>
        <v/>
      </c>
      <c r="R270">
        <f>IFERROR(IF(ISNUMBER(INDEX(SPPR!$E:$X,MATCH($A270,SPPR!$A:$A,0),15)),$C270*INDEX(SPPR!$E:$X,MATCH($A270,SPPR!$A:$A,0),15),""),"")</f>
        <v/>
      </c>
      <c r="S270">
        <f>IFERROR(IF(ISNUMBER(INDEX(SPPR!$E:$X,MATCH($A270,SPPR!$A:$A,0),16)),$C270*INDEX(SPPR!$E:$X,MATCH($A270,SPPR!$A:$A,0),16),""),"")</f>
        <v/>
      </c>
      <c r="T270">
        <f>IFERROR(IF(ISNUMBER(INDEX(SPPR!$E:$X,MATCH($A270,SPPR!$A:$A,0),17)),$C270*INDEX(SPPR!$E:$X,MATCH($A270,SPPR!$A:$A,0),17),""),"")</f>
        <v/>
      </c>
      <c r="U270">
        <f>IFERROR(IF(ISNUMBER(INDEX(SPPR!$E:$X,MATCH($A270,SPPR!$A:$A,0),18)),$C270*INDEX(SPPR!$E:$X,MATCH($A270,SPPR!$A:$A,0),18),""),"")</f>
        <v/>
      </c>
      <c r="V270">
        <f>IFERROR(IF(ISNUMBER(INDEX(SPPR!$E:$X,MATCH($A270,SPPR!$A:$A,0),19)),$C270*INDEX(SPPR!$E:$X,MATCH($A270,SPPR!$A:$A,0),19),""),"")</f>
        <v/>
      </c>
      <c r="W270">
        <f>IFERROR(IF(ISNUMBER(INDEX(SPPR!$E:$X,MATCH($A270,SPPR!$A:$A,0),20)),$C270*INDEX(SPPR!$E:$X,MATCH($A270,SPPR!$A:$A,0),20),""),"")</f>
        <v/>
      </c>
    </row>
    <row r="271">
      <c r="A271" t="inlineStr">
        <is>
          <t>Lutjanus</t>
        </is>
      </c>
      <c r="B271">
        <f>IFERROR(INDEX(SPPR!$D:$D,MATCH($A271,SPPR!$A:$A,0)),"")</f>
        <v/>
      </c>
      <c r="C271">
        <f>IFERROR(INDEX(Catch!$E:$BV,MATCH($A271,Catch!$A:$A,0),MATCH($B$4,Catch!$E$1:$BV$1,0)),0)</f>
        <v/>
      </c>
      <c r="D271">
        <f>IFERROR(IF(ISNUMBER(INDEX(SPPR!$E:$X,MATCH($A271,SPPR!$A:$A,0),1)),$C271*INDEX(SPPR!$E:$X,MATCH($A271,SPPR!$A:$A,0),1),""),"")</f>
        <v/>
      </c>
      <c r="E271">
        <f>IFERROR(IF(ISNUMBER(INDEX(SPPR!$E:$X,MATCH($A271,SPPR!$A:$A,0),2)),$C271*INDEX(SPPR!$E:$X,MATCH($A271,SPPR!$A:$A,0),2),""),"")</f>
        <v/>
      </c>
      <c r="F271">
        <f>IFERROR(IF(ISNUMBER(INDEX(SPPR!$E:$X,MATCH($A271,SPPR!$A:$A,0),3)),$C271*INDEX(SPPR!$E:$X,MATCH($A271,SPPR!$A:$A,0),3),""),"")</f>
        <v/>
      </c>
      <c r="G271">
        <f>IFERROR(IF(ISNUMBER(INDEX(SPPR!$E:$X,MATCH($A271,SPPR!$A:$A,0),4)),$C271*INDEX(SPPR!$E:$X,MATCH($A271,SPPR!$A:$A,0),4),""),"")</f>
        <v/>
      </c>
      <c r="H271">
        <f>IFERROR(IF(ISNUMBER(INDEX(SPPR!$E:$X,MATCH($A271,SPPR!$A:$A,0),5)),$C271*INDEX(SPPR!$E:$X,MATCH($A271,SPPR!$A:$A,0),5),""),"")</f>
        <v/>
      </c>
      <c r="I271">
        <f>IFERROR(IF(ISNUMBER(INDEX(SPPR!$E:$X,MATCH($A271,SPPR!$A:$A,0),6)),$C271*INDEX(SPPR!$E:$X,MATCH($A271,SPPR!$A:$A,0),6),""),"")</f>
        <v/>
      </c>
      <c r="J271">
        <f>IFERROR(IF(ISNUMBER(INDEX(SPPR!$E:$X,MATCH($A271,SPPR!$A:$A,0),7)),$C271*INDEX(SPPR!$E:$X,MATCH($A271,SPPR!$A:$A,0),7),""),"")</f>
        <v/>
      </c>
      <c r="K271">
        <f>IFERROR(IF(ISNUMBER(INDEX(SPPR!$E:$X,MATCH($A271,SPPR!$A:$A,0),8)),$C271*INDEX(SPPR!$E:$X,MATCH($A271,SPPR!$A:$A,0),8),""),"")</f>
        <v/>
      </c>
      <c r="L271">
        <f>IFERROR(IF(ISNUMBER(INDEX(SPPR!$E:$X,MATCH($A271,SPPR!$A:$A,0),9)),$C271*INDEX(SPPR!$E:$X,MATCH($A271,SPPR!$A:$A,0),9),""),"")</f>
        <v/>
      </c>
      <c r="M271">
        <f>IFERROR(IF(ISNUMBER(INDEX(SPPR!$E:$X,MATCH($A271,SPPR!$A:$A,0),10)),$C271*INDEX(SPPR!$E:$X,MATCH($A271,SPPR!$A:$A,0),10),""),"")</f>
        <v/>
      </c>
      <c r="N271">
        <f>IFERROR(IF(ISNUMBER(INDEX(SPPR!$E:$X,MATCH($A271,SPPR!$A:$A,0),11)),$C271*INDEX(SPPR!$E:$X,MATCH($A271,SPPR!$A:$A,0),11),""),"")</f>
        <v/>
      </c>
      <c r="O271">
        <f>IFERROR(IF(ISNUMBER(INDEX(SPPR!$E:$X,MATCH($A271,SPPR!$A:$A,0),12)),$C271*INDEX(SPPR!$E:$X,MATCH($A271,SPPR!$A:$A,0),12),""),"")</f>
        <v/>
      </c>
      <c r="P271">
        <f>IFERROR(IF(ISNUMBER(INDEX(SPPR!$E:$X,MATCH($A271,SPPR!$A:$A,0),13)),$C271*INDEX(SPPR!$E:$X,MATCH($A271,SPPR!$A:$A,0),13),""),"")</f>
        <v/>
      </c>
      <c r="Q271">
        <f>IFERROR(IF(ISNUMBER(INDEX(SPPR!$E:$X,MATCH($A271,SPPR!$A:$A,0),14)),$C271*INDEX(SPPR!$E:$X,MATCH($A271,SPPR!$A:$A,0),14),""),"")</f>
        <v/>
      </c>
      <c r="R271">
        <f>IFERROR(IF(ISNUMBER(INDEX(SPPR!$E:$X,MATCH($A271,SPPR!$A:$A,0),15)),$C271*INDEX(SPPR!$E:$X,MATCH($A271,SPPR!$A:$A,0),15),""),"")</f>
        <v/>
      </c>
      <c r="S271">
        <f>IFERROR(IF(ISNUMBER(INDEX(SPPR!$E:$X,MATCH($A271,SPPR!$A:$A,0),16)),$C271*INDEX(SPPR!$E:$X,MATCH($A271,SPPR!$A:$A,0),16),""),"")</f>
        <v/>
      </c>
      <c r="T271">
        <f>IFERROR(IF(ISNUMBER(INDEX(SPPR!$E:$X,MATCH($A271,SPPR!$A:$A,0),17)),$C271*INDEX(SPPR!$E:$X,MATCH($A271,SPPR!$A:$A,0),17),""),"")</f>
        <v/>
      </c>
      <c r="U271">
        <f>IFERROR(IF(ISNUMBER(INDEX(SPPR!$E:$X,MATCH($A271,SPPR!$A:$A,0),18)),$C271*INDEX(SPPR!$E:$X,MATCH($A271,SPPR!$A:$A,0),18),""),"")</f>
        <v/>
      </c>
      <c r="V271">
        <f>IFERROR(IF(ISNUMBER(INDEX(SPPR!$E:$X,MATCH($A271,SPPR!$A:$A,0),19)),$C271*INDEX(SPPR!$E:$X,MATCH($A271,SPPR!$A:$A,0),19),""),"")</f>
        <v/>
      </c>
      <c r="W271">
        <f>IFERROR(IF(ISNUMBER(INDEX(SPPR!$E:$X,MATCH($A271,SPPR!$A:$A,0),20)),$C271*INDEX(SPPR!$E:$X,MATCH($A271,SPPR!$A:$A,0),20),""),"")</f>
        <v/>
      </c>
    </row>
    <row r="272">
      <c r="A272" t="inlineStr">
        <is>
          <t>Alopias</t>
        </is>
      </c>
      <c r="B272">
        <f>IFERROR(INDEX(SPPR!$D:$D,MATCH($A272,SPPR!$A:$A,0)),"")</f>
        <v/>
      </c>
      <c r="C272">
        <f>IFERROR(INDEX(Catch!$E:$BV,MATCH($A272,Catch!$A:$A,0),MATCH($B$4,Catch!$E$1:$BV$1,0)),0)</f>
        <v/>
      </c>
      <c r="D272">
        <f>IFERROR(IF(ISNUMBER(INDEX(SPPR!$E:$X,MATCH($A272,SPPR!$A:$A,0),1)),$C272*INDEX(SPPR!$E:$X,MATCH($A272,SPPR!$A:$A,0),1),""),"")</f>
        <v/>
      </c>
      <c r="E272">
        <f>IFERROR(IF(ISNUMBER(INDEX(SPPR!$E:$X,MATCH($A272,SPPR!$A:$A,0),2)),$C272*INDEX(SPPR!$E:$X,MATCH($A272,SPPR!$A:$A,0),2),""),"")</f>
        <v/>
      </c>
      <c r="F272">
        <f>IFERROR(IF(ISNUMBER(INDEX(SPPR!$E:$X,MATCH($A272,SPPR!$A:$A,0),3)),$C272*INDEX(SPPR!$E:$X,MATCH($A272,SPPR!$A:$A,0),3),""),"")</f>
        <v/>
      </c>
      <c r="G272">
        <f>IFERROR(IF(ISNUMBER(INDEX(SPPR!$E:$X,MATCH($A272,SPPR!$A:$A,0),4)),$C272*INDEX(SPPR!$E:$X,MATCH($A272,SPPR!$A:$A,0),4),""),"")</f>
        <v/>
      </c>
      <c r="H272">
        <f>IFERROR(IF(ISNUMBER(INDEX(SPPR!$E:$X,MATCH($A272,SPPR!$A:$A,0),5)),$C272*INDEX(SPPR!$E:$X,MATCH($A272,SPPR!$A:$A,0),5),""),"")</f>
        <v/>
      </c>
      <c r="I272">
        <f>IFERROR(IF(ISNUMBER(INDEX(SPPR!$E:$X,MATCH($A272,SPPR!$A:$A,0),6)),$C272*INDEX(SPPR!$E:$X,MATCH($A272,SPPR!$A:$A,0),6),""),"")</f>
        <v/>
      </c>
      <c r="J272">
        <f>IFERROR(IF(ISNUMBER(INDEX(SPPR!$E:$X,MATCH($A272,SPPR!$A:$A,0),7)),$C272*INDEX(SPPR!$E:$X,MATCH($A272,SPPR!$A:$A,0),7),""),"")</f>
        <v/>
      </c>
      <c r="K272">
        <f>IFERROR(IF(ISNUMBER(INDEX(SPPR!$E:$X,MATCH($A272,SPPR!$A:$A,0),8)),$C272*INDEX(SPPR!$E:$X,MATCH($A272,SPPR!$A:$A,0),8),""),"")</f>
        <v/>
      </c>
      <c r="L272">
        <f>IFERROR(IF(ISNUMBER(INDEX(SPPR!$E:$X,MATCH($A272,SPPR!$A:$A,0),9)),$C272*INDEX(SPPR!$E:$X,MATCH($A272,SPPR!$A:$A,0),9),""),"")</f>
        <v/>
      </c>
      <c r="M272">
        <f>IFERROR(IF(ISNUMBER(INDEX(SPPR!$E:$X,MATCH($A272,SPPR!$A:$A,0),10)),$C272*INDEX(SPPR!$E:$X,MATCH($A272,SPPR!$A:$A,0),10),""),"")</f>
        <v/>
      </c>
      <c r="N272">
        <f>IFERROR(IF(ISNUMBER(INDEX(SPPR!$E:$X,MATCH($A272,SPPR!$A:$A,0),11)),$C272*INDEX(SPPR!$E:$X,MATCH($A272,SPPR!$A:$A,0),11),""),"")</f>
        <v/>
      </c>
      <c r="O272">
        <f>IFERROR(IF(ISNUMBER(INDEX(SPPR!$E:$X,MATCH($A272,SPPR!$A:$A,0),12)),$C272*INDEX(SPPR!$E:$X,MATCH($A272,SPPR!$A:$A,0),12),""),"")</f>
        <v/>
      </c>
      <c r="P272">
        <f>IFERROR(IF(ISNUMBER(INDEX(SPPR!$E:$X,MATCH($A272,SPPR!$A:$A,0),13)),$C272*INDEX(SPPR!$E:$X,MATCH($A272,SPPR!$A:$A,0),13),""),"")</f>
        <v/>
      </c>
      <c r="Q272">
        <f>IFERROR(IF(ISNUMBER(INDEX(SPPR!$E:$X,MATCH($A272,SPPR!$A:$A,0),14)),$C272*INDEX(SPPR!$E:$X,MATCH($A272,SPPR!$A:$A,0),14),""),"")</f>
        <v/>
      </c>
      <c r="R272">
        <f>IFERROR(IF(ISNUMBER(INDEX(SPPR!$E:$X,MATCH($A272,SPPR!$A:$A,0),15)),$C272*INDEX(SPPR!$E:$X,MATCH($A272,SPPR!$A:$A,0),15),""),"")</f>
        <v/>
      </c>
      <c r="S272">
        <f>IFERROR(IF(ISNUMBER(INDEX(SPPR!$E:$X,MATCH($A272,SPPR!$A:$A,0),16)),$C272*INDEX(SPPR!$E:$X,MATCH($A272,SPPR!$A:$A,0),16),""),"")</f>
        <v/>
      </c>
      <c r="T272">
        <f>IFERROR(IF(ISNUMBER(INDEX(SPPR!$E:$X,MATCH($A272,SPPR!$A:$A,0),17)),$C272*INDEX(SPPR!$E:$X,MATCH($A272,SPPR!$A:$A,0),17),""),"")</f>
        <v/>
      </c>
      <c r="U272">
        <f>IFERROR(IF(ISNUMBER(INDEX(SPPR!$E:$X,MATCH($A272,SPPR!$A:$A,0),18)),$C272*INDEX(SPPR!$E:$X,MATCH($A272,SPPR!$A:$A,0),18),""),"")</f>
        <v/>
      </c>
      <c r="V272">
        <f>IFERROR(IF(ISNUMBER(INDEX(SPPR!$E:$X,MATCH($A272,SPPR!$A:$A,0),19)),$C272*INDEX(SPPR!$E:$X,MATCH($A272,SPPR!$A:$A,0),19),""),"")</f>
        <v/>
      </c>
      <c r="W272">
        <f>IFERROR(IF(ISNUMBER(INDEX(SPPR!$E:$X,MATCH($A272,SPPR!$A:$A,0),20)),$C272*INDEX(SPPR!$E:$X,MATCH($A272,SPPR!$A:$A,0),20),""),"")</f>
        <v/>
      </c>
    </row>
    <row r="273">
      <c r="A273" t="inlineStr">
        <is>
          <t>Holothuriidae</t>
        </is>
      </c>
      <c r="B273">
        <f>IFERROR(INDEX(SPPR!$D:$D,MATCH($A273,SPPR!$A:$A,0)),"")</f>
        <v/>
      </c>
      <c r="C273">
        <f>IFERROR(INDEX(Catch!$E:$BV,MATCH($A273,Catch!$A:$A,0),MATCH($B$4,Catch!$E$1:$BV$1,0)),0)</f>
        <v/>
      </c>
      <c r="D273">
        <f>IFERROR(IF(ISNUMBER(INDEX(SPPR!$E:$X,MATCH($A273,SPPR!$A:$A,0),1)),$C273*INDEX(SPPR!$E:$X,MATCH($A273,SPPR!$A:$A,0),1),""),"")</f>
        <v/>
      </c>
      <c r="E273">
        <f>IFERROR(IF(ISNUMBER(INDEX(SPPR!$E:$X,MATCH($A273,SPPR!$A:$A,0),2)),$C273*INDEX(SPPR!$E:$X,MATCH($A273,SPPR!$A:$A,0),2),""),"")</f>
        <v/>
      </c>
      <c r="F273">
        <f>IFERROR(IF(ISNUMBER(INDEX(SPPR!$E:$X,MATCH($A273,SPPR!$A:$A,0),3)),$C273*INDEX(SPPR!$E:$X,MATCH($A273,SPPR!$A:$A,0),3),""),"")</f>
        <v/>
      </c>
      <c r="G273">
        <f>IFERROR(IF(ISNUMBER(INDEX(SPPR!$E:$X,MATCH($A273,SPPR!$A:$A,0),4)),$C273*INDEX(SPPR!$E:$X,MATCH($A273,SPPR!$A:$A,0),4),""),"")</f>
        <v/>
      </c>
      <c r="H273">
        <f>IFERROR(IF(ISNUMBER(INDEX(SPPR!$E:$X,MATCH($A273,SPPR!$A:$A,0),5)),$C273*INDEX(SPPR!$E:$X,MATCH($A273,SPPR!$A:$A,0),5),""),"")</f>
        <v/>
      </c>
      <c r="I273">
        <f>IFERROR(IF(ISNUMBER(INDEX(SPPR!$E:$X,MATCH($A273,SPPR!$A:$A,0),6)),$C273*INDEX(SPPR!$E:$X,MATCH($A273,SPPR!$A:$A,0),6),""),"")</f>
        <v/>
      </c>
      <c r="J273">
        <f>IFERROR(IF(ISNUMBER(INDEX(SPPR!$E:$X,MATCH($A273,SPPR!$A:$A,0),7)),$C273*INDEX(SPPR!$E:$X,MATCH($A273,SPPR!$A:$A,0),7),""),"")</f>
        <v/>
      </c>
      <c r="K273">
        <f>IFERROR(IF(ISNUMBER(INDEX(SPPR!$E:$X,MATCH($A273,SPPR!$A:$A,0),8)),$C273*INDEX(SPPR!$E:$X,MATCH($A273,SPPR!$A:$A,0),8),""),"")</f>
        <v/>
      </c>
      <c r="L273">
        <f>IFERROR(IF(ISNUMBER(INDEX(SPPR!$E:$X,MATCH($A273,SPPR!$A:$A,0),9)),$C273*INDEX(SPPR!$E:$X,MATCH($A273,SPPR!$A:$A,0),9),""),"")</f>
        <v/>
      </c>
      <c r="M273">
        <f>IFERROR(IF(ISNUMBER(INDEX(SPPR!$E:$X,MATCH($A273,SPPR!$A:$A,0),10)),$C273*INDEX(SPPR!$E:$X,MATCH($A273,SPPR!$A:$A,0),10),""),"")</f>
        <v/>
      </c>
      <c r="N273">
        <f>IFERROR(IF(ISNUMBER(INDEX(SPPR!$E:$X,MATCH($A273,SPPR!$A:$A,0),11)),$C273*INDEX(SPPR!$E:$X,MATCH($A273,SPPR!$A:$A,0),11),""),"")</f>
        <v/>
      </c>
      <c r="O273">
        <f>IFERROR(IF(ISNUMBER(INDEX(SPPR!$E:$X,MATCH($A273,SPPR!$A:$A,0),12)),$C273*INDEX(SPPR!$E:$X,MATCH($A273,SPPR!$A:$A,0),12),""),"")</f>
        <v/>
      </c>
      <c r="P273">
        <f>IFERROR(IF(ISNUMBER(INDEX(SPPR!$E:$X,MATCH($A273,SPPR!$A:$A,0),13)),$C273*INDEX(SPPR!$E:$X,MATCH($A273,SPPR!$A:$A,0),13),""),"")</f>
        <v/>
      </c>
      <c r="Q273">
        <f>IFERROR(IF(ISNUMBER(INDEX(SPPR!$E:$X,MATCH($A273,SPPR!$A:$A,0),14)),$C273*INDEX(SPPR!$E:$X,MATCH($A273,SPPR!$A:$A,0),14),""),"")</f>
        <v/>
      </c>
      <c r="R273">
        <f>IFERROR(IF(ISNUMBER(INDEX(SPPR!$E:$X,MATCH($A273,SPPR!$A:$A,0),15)),$C273*INDEX(SPPR!$E:$X,MATCH($A273,SPPR!$A:$A,0),15),""),"")</f>
        <v/>
      </c>
      <c r="S273">
        <f>IFERROR(IF(ISNUMBER(INDEX(SPPR!$E:$X,MATCH($A273,SPPR!$A:$A,0),16)),$C273*INDEX(SPPR!$E:$X,MATCH($A273,SPPR!$A:$A,0),16),""),"")</f>
        <v/>
      </c>
      <c r="T273">
        <f>IFERROR(IF(ISNUMBER(INDEX(SPPR!$E:$X,MATCH($A273,SPPR!$A:$A,0),17)),$C273*INDEX(SPPR!$E:$X,MATCH($A273,SPPR!$A:$A,0),17),""),"")</f>
        <v/>
      </c>
      <c r="U273">
        <f>IFERROR(IF(ISNUMBER(INDEX(SPPR!$E:$X,MATCH($A273,SPPR!$A:$A,0),18)),$C273*INDEX(SPPR!$E:$X,MATCH($A273,SPPR!$A:$A,0),18),""),"")</f>
        <v/>
      </c>
      <c r="V273">
        <f>IFERROR(IF(ISNUMBER(INDEX(SPPR!$E:$X,MATCH($A273,SPPR!$A:$A,0),19)),$C273*INDEX(SPPR!$E:$X,MATCH($A273,SPPR!$A:$A,0),19),""),"")</f>
        <v/>
      </c>
      <c r="W273">
        <f>IFERROR(IF(ISNUMBER(INDEX(SPPR!$E:$X,MATCH($A273,SPPR!$A:$A,0),20)),$C273*INDEX(SPPR!$E:$X,MATCH($A273,SPPR!$A:$A,0),20),""),"")</f>
        <v/>
      </c>
    </row>
    <row r="274">
      <c r="A274" t="inlineStr">
        <is>
          <t>Tripneustes gratilla</t>
        </is>
      </c>
      <c r="B274">
        <f>IFERROR(INDEX(SPPR!$D:$D,MATCH($A274,SPPR!$A:$A,0)),"")</f>
        <v/>
      </c>
      <c r="C274">
        <f>IFERROR(INDEX(Catch!$E:$BV,MATCH($A274,Catch!$A:$A,0),MATCH($B$4,Catch!$E$1:$BV$1,0)),0)</f>
        <v/>
      </c>
      <c r="D274">
        <f>IFERROR(IF(ISNUMBER(INDEX(SPPR!$E:$X,MATCH($A274,SPPR!$A:$A,0),1)),$C274*INDEX(SPPR!$E:$X,MATCH($A274,SPPR!$A:$A,0),1),""),"")</f>
        <v/>
      </c>
      <c r="E274">
        <f>IFERROR(IF(ISNUMBER(INDEX(SPPR!$E:$X,MATCH($A274,SPPR!$A:$A,0),2)),$C274*INDEX(SPPR!$E:$X,MATCH($A274,SPPR!$A:$A,0),2),""),"")</f>
        <v/>
      </c>
      <c r="F274">
        <f>IFERROR(IF(ISNUMBER(INDEX(SPPR!$E:$X,MATCH($A274,SPPR!$A:$A,0),3)),$C274*INDEX(SPPR!$E:$X,MATCH($A274,SPPR!$A:$A,0),3),""),"")</f>
        <v/>
      </c>
      <c r="G274">
        <f>IFERROR(IF(ISNUMBER(INDEX(SPPR!$E:$X,MATCH($A274,SPPR!$A:$A,0),4)),$C274*INDEX(SPPR!$E:$X,MATCH($A274,SPPR!$A:$A,0),4),""),"")</f>
        <v/>
      </c>
      <c r="H274">
        <f>IFERROR(IF(ISNUMBER(INDEX(SPPR!$E:$X,MATCH($A274,SPPR!$A:$A,0),5)),$C274*INDEX(SPPR!$E:$X,MATCH($A274,SPPR!$A:$A,0),5),""),"")</f>
        <v/>
      </c>
      <c r="I274">
        <f>IFERROR(IF(ISNUMBER(INDEX(SPPR!$E:$X,MATCH($A274,SPPR!$A:$A,0),6)),$C274*INDEX(SPPR!$E:$X,MATCH($A274,SPPR!$A:$A,0),6),""),"")</f>
        <v/>
      </c>
      <c r="J274">
        <f>IFERROR(IF(ISNUMBER(INDEX(SPPR!$E:$X,MATCH($A274,SPPR!$A:$A,0),7)),$C274*INDEX(SPPR!$E:$X,MATCH($A274,SPPR!$A:$A,0),7),""),"")</f>
        <v/>
      </c>
      <c r="K274">
        <f>IFERROR(IF(ISNUMBER(INDEX(SPPR!$E:$X,MATCH($A274,SPPR!$A:$A,0),8)),$C274*INDEX(SPPR!$E:$X,MATCH($A274,SPPR!$A:$A,0),8),""),"")</f>
        <v/>
      </c>
      <c r="L274">
        <f>IFERROR(IF(ISNUMBER(INDEX(SPPR!$E:$X,MATCH($A274,SPPR!$A:$A,0),9)),$C274*INDEX(SPPR!$E:$X,MATCH($A274,SPPR!$A:$A,0),9),""),"")</f>
        <v/>
      </c>
      <c r="M274">
        <f>IFERROR(IF(ISNUMBER(INDEX(SPPR!$E:$X,MATCH($A274,SPPR!$A:$A,0),10)),$C274*INDEX(SPPR!$E:$X,MATCH($A274,SPPR!$A:$A,0),10),""),"")</f>
        <v/>
      </c>
      <c r="N274">
        <f>IFERROR(IF(ISNUMBER(INDEX(SPPR!$E:$X,MATCH($A274,SPPR!$A:$A,0),11)),$C274*INDEX(SPPR!$E:$X,MATCH($A274,SPPR!$A:$A,0),11),""),"")</f>
        <v/>
      </c>
      <c r="O274">
        <f>IFERROR(IF(ISNUMBER(INDEX(SPPR!$E:$X,MATCH($A274,SPPR!$A:$A,0),12)),$C274*INDEX(SPPR!$E:$X,MATCH($A274,SPPR!$A:$A,0),12),""),"")</f>
        <v/>
      </c>
      <c r="P274">
        <f>IFERROR(IF(ISNUMBER(INDEX(SPPR!$E:$X,MATCH($A274,SPPR!$A:$A,0),13)),$C274*INDEX(SPPR!$E:$X,MATCH($A274,SPPR!$A:$A,0),13),""),"")</f>
        <v/>
      </c>
      <c r="Q274">
        <f>IFERROR(IF(ISNUMBER(INDEX(SPPR!$E:$X,MATCH($A274,SPPR!$A:$A,0),14)),$C274*INDEX(SPPR!$E:$X,MATCH($A274,SPPR!$A:$A,0),14),""),"")</f>
        <v/>
      </c>
      <c r="R274">
        <f>IFERROR(IF(ISNUMBER(INDEX(SPPR!$E:$X,MATCH($A274,SPPR!$A:$A,0),15)),$C274*INDEX(SPPR!$E:$X,MATCH($A274,SPPR!$A:$A,0),15),""),"")</f>
        <v/>
      </c>
      <c r="S274">
        <f>IFERROR(IF(ISNUMBER(INDEX(SPPR!$E:$X,MATCH($A274,SPPR!$A:$A,0),16)),$C274*INDEX(SPPR!$E:$X,MATCH($A274,SPPR!$A:$A,0),16),""),"")</f>
        <v/>
      </c>
      <c r="T274">
        <f>IFERROR(IF(ISNUMBER(INDEX(SPPR!$E:$X,MATCH($A274,SPPR!$A:$A,0),17)),$C274*INDEX(SPPR!$E:$X,MATCH($A274,SPPR!$A:$A,0),17),""),"")</f>
        <v/>
      </c>
      <c r="U274">
        <f>IFERROR(IF(ISNUMBER(INDEX(SPPR!$E:$X,MATCH($A274,SPPR!$A:$A,0),18)),$C274*INDEX(SPPR!$E:$X,MATCH($A274,SPPR!$A:$A,0),18),""),"")</f>
        <v/>
      </c>
      <c r="V274">
        <f>IFERROR(IF(ISNUMBER(INDEX(SPPR!$E:$X,MATCH($A274,SPPR!$A:$A,0),19)),$C274*INDEX(SPPR!$E:$X,MATCH($A274,SPPR!$A:$A,0),19),""),"")</f>
        <v/>
      </c>
      <c r="W274">
        <f>IFERROR(IF(ISNUMBER(INDEX(SPPR!$E:$X,MATCH($A274,SPPR!$A:$A,0),20)),$C274*INDEX(SPPR!$E:$X,MATCH($A274,SPPR!$A:$A,0),20),""),"")</f>
        <v/>
      </c>
    </row>
    <row r="275">
      <c r="A275" t="inlineStr">
        <is>
          <t>Chionoecetes japonicus</t>
        </is>
      </c>
      <c r="B275">
        <f>IFERROR(INDEX(SPPR!$D:$D,MATCH($A275,SPPR!$A:$A,0)),"")</f>
        <v/>
      </c>
      <c r="C275">
        <f>IFERROR(INDEX(Catch!$E:$BV,MATCH($A275,Catch!$A:$A,0),MATCH($B$4,Catch!$E$1:$BV$1,0)),0)</f>
        <v/>
      </c>
      <c r="D275">
        <f>IFERROR(IF(ISNUMBER(INDEX(SPPR!$E:$X,MATCH($A275,SPPR!$A:$A,0),1)),$C275*INDEX(SPPR!$E:$X,MATCH($A275,SPPR!$A:$A,0),1),""),"")</f>
        <v/>
      </c>
      <c r="E275">
        <f>IFERROR(IF(ISNUMBER(INDEX(SPPR!$E:$X,MATCH($A275,SPPR!$A:$A,0),2)),$C275*INDEX(SPPR!$E:$X,MATCH($A275,SPPR!$A:$A,0),2),""),"")</f>
        <v/>
      </c>
      <c r="F275">
        <f>IFERROR(IF(ISNUMBER(INDEX(SPPR!$E:$X,MATCH($A275,SPPR!$A:$A,0),3)),$C275*INDEX(SPPR!$E:$X,MATCH($A275,SPPR!$A:$A,0),3),""),"")</f>
        <v/>
      </c>
      <c r="G275">
        <f>IFERROR(IF(ISNUMBER(INDEX(SPPR!$E:$X,MATCH($A275,SPPR!$A:$A,0),4)),$C275*INDEX(SPPR!$E:$X,MATCH($A275,SPPR!$A:$A,0),4),""),"")</f>
        <v/>
      </c>
      <c r="H275">
        <f>IFERROR(IF(ISNUMBER(INDEX(SPPR!$E:$X,MATCH($A275,SPPR!$A:$A,0),5)),$C275*INDEX(SPPR!$E:$X,MATCH($A275,SPPR!$A:$A,0),5),""),"")</f>
        <v/>
      </c>
      <c r="I275">
        <f>IFERROR(IF(ISNUMBER(INDEX(SPPR!$E:$X,MATCH($A275,SPPR!$A:$A,0),6)),$C275*INDEX(SPPR!$E:$X,MATCH($A275,SPPR!$A:$A,0),6),""),"")</f>
        <v/>
      </c>
      <c r="J275">
        <f>IFERROR(IF(ISNUMBER(INDEX(SPPR!$E:$X,MATCH($A275,SPPR!$A:$A,0),7)),$C275*INDEX(SPPR!$E:$X,MATCH($A275,SPPR!$A:$A,0),7),""),"")</f>
        <v/>
      </c>
      <c r="K275">
        <f>IFERROR(IF(ISNUMBER(INDEX(SPPR!$E:$X,MATCH($A275,SPPR!$A:$A,0),8)),$C275*INDEX(SPPR!$E:$X,MATCH($A275,SPPR!$A:$A,0),8),""),"")</f>
        <v/>
      </c>
      <c r="L275">
        <f>IFERROR(IF(ISNUMBER(INDEX(SPPR!$E:$X,MATCH($A275,SPPR!$A:$A,0),9)),$C275*INDEX(SPPR!$E:$X,MATCH($A275,SPPR!$A:$A,0),9),""),"")</f>
        <v/>
      </c>
      <c r="M275">
        <f>IFERROR(IF(ISNUMBER(INDEX(SPPR!$E:$X,MATCH($A275,SPPR!$A:$A,0),10)),$C275*INDEX(SPPR!$E:$X,MATCH($A275,SPPR!$A:$A,0),10),""),"")</f>
        <v/>
      </c>
      <c r="N275">
        <f>IFERROR(IF(ISNUMBER(INDEX(SPPR!$E:$X,MATCH($A275,SPPR!$A:$A,0),11)),$C275*INDEX(SPPR!$E:$X,MATCH($A275,SPPR!$A:$A,0),11),""),"")</f>
        <v/>
      </c>
      <c r="O275">
        <f>IFERROR(IF(ISNUMBER(INDEX(SPPR!$E:$X,MATCH($A275,SPPR!$A:$A,0),12)),$C275*INDEX(SPPR!$E:$X,MATCH($A275,SPPR!$A:$A,0),12),""),"")</f>
        <v/>
      </c>
      <c r="P275">
        <f>IFERROR(IF(ISNUMBER(INDEX(SPPR!$E:$X,MATCH($A275,SPPR!$A:$A,0),13)),$C275*INDEX(SPPR!$E:$X,MATCH($A275,SPPR!$A:$A,0),13),""),"")</f>
        <v/>
      </c>
      <c r="Q275">
        <f>IFERROR(IF(ISNUMBER(INDEX(SPPR!$E:$X,MATCH($A275,SPPR!$A:$A,0),14)),$C275*INDEX(SPPR!$E:$X,MATCH($A275,SPPR!$A:$A,0),14),""),"")</f>
        <v/>
      </c>
      <c r="R275">
        <f>IFERROR(IF(ISNUMBER(INDEX(SPPR!$E:$X,MATCH($A275,SPPR!$A:$A,0),15)),$C275*INDEX(SPPR!$E:$X,MATCH($A275,SPPR!$A:$A,0),15),""),"")</f>
        <v/>
      </c>
      <c r="S275">
        <f>IFERROR(IF(ISNUMBER(INDEX(SPPR!$E:$X,MATCH($A275,SPPR!$A:$A,0),16)),$C275*INDEX(SPPR!$E:$X,MATCH($A275,SPPR!$A:$A,0),16),""),"")</f>
        <v/>
      </c>
      <c r="T275">
        <f>IFERROR(IF(ISNUMBER(INDEX(SPPR!$E:$X,MATCH($A275,SPPR!$A:$A,0),17)),$C275*INDEX(SPPR!$E:$X,MATCH($A275,SPPR!$A:$A,0),17),""),"")</f>
        <v/>
      </c>
      <c r="U275">
        <f>IFERROR(IF(ISNUMBER(INDEX(SPPR!$E:$X,MATCH($A275,SPPR!$A:$A,0),18)),$C275*INDEX(SPPR!$E:$X,MATCH($A275,SPPR!$A:$A,0),18),""),"")</f>
        <v/>
      </c>
      <c r="V275">
        <f>IFERROR(IF(ISNUMBER(INDEX(SPPR!$E:$X,MATCH($A275,SPPR!$A:$A,0),19)),$C275*INDEX(SPPR!$E:$X,MATCH($A275,SPPR!$A:$A,0),19),""),"")</f>
        <v/>
      </c>
      <c r="W275">
        <f>IFERROR(IF(ISNUMBER(INDEX(SPPR!$E:$X,MATCH($A275,SPPR!$A:$A,0),20)),$C275*INDEX(SPPR!$E:$X,MATCH($A275,SPPR!$A:$A,0),20),""),"")</f>
        <v/>
      </c>
    </row>
    <row r="276">
      <c r="A276" t="inlineStr">
        <is>
          <t>Upeneus</t>
        </is>
      </c>
      <c r="B276">
        <f>IFERROR(INDEX(SPPR!$D:$D,MATCH($A276,SPPR!$A:$A,0)),"")</f>
        <v/>
      </c>
      <c r="C276">
        <f>IFERROR(INDEX(Catch!$E:$BV,MATCH($A276,Catch!$A:$A,0),MATCH($B$4,Catch!$E$1:$BV$1,0)),0)</f>
        <v/>
      </c>
      <c r="D276">
        <f>IFERROR(IF(ISNUMBER(INDEX(SPPR!$E:$X,MATCH($A276,SPPR!$A:$A,0),1)),$C276*INDEX(SPPR!$E:$X,MATCH($A276,SPPR!$A:$A,0),1),""),"")</f>
        <v/>
      </c>
      <c r="E276">
        <f>IFERROR(IF(ISNUMBER(INDEX(SPPR!$E:$X,MATCH($A276,SPPR!$A:$A,0),2)),$C276*INDEX(SPPR!$E:$X,MATCH($A276,SPPR!$A:$A,0),2),""),"")</f>
        <v/>
      </c>
      <c r="F276">
        <f>IFERROR(IF(ISNUMBER(INDEX(SPPR!$E:$X,MATCH($A276,SPPR!$A:$A,0),3)),$C276*INDEX(SPPR!$E:$X,MATCH($A276,SPPR!$A:$A,0),3),""),"")</f>
        <v/>
      </c>
      <c r="G276">
        <f>IFERROR(IF(ISNUMBER(INDEX(SPPR!$E:$X,MATCH($A276,SPPR!$A:$A,0),4)),$C276*INDEX(SPPR!$E:$X,MATCH($A276,SPPR!$A:$A,0),4),""),"")</f>
        <v/>
      </c>
      <c r="H276">
        <f>IFERROR(IF(ISNUMBER(INDEX(SPPR!$E:$X,MATCH($A276,SPPR!$A:$A,0),5)),$C276*INDEX(SPPR!$E:$X,MATCH($A276,SPPR!$A:$A,0),5),""),"")</f>
        <v/>
      </c>
      <c r="I276">
        <f>IFERROR(IF(ISNUMBER(INDEX(SPPR!$E:$X,MATCH($A276,SPPR!$A:$A,0),6)),$C276*INDEX(SPPR!$E:$X,MATCH($A276,SPPR!$A:$A,0),6),""),"")</f>
        <v/>
      </c>
      <c r="J276">
        <f>IFERROR(IF(ISNUMBER(INDEX(SPPR!$E:$X,MATCH($A276,SPPR!$A:$A,0),7)),$C276*INDEX(SPPR!$E:$X,MATCH($A276,SPPR!$A:$A,0),7),""),"")</f>
        <v/>
      </c>
      <c r="K276">
        <f>IFERROR(IF(ISNUMBER(INDEX(SPPR!$E:$X,MATCH($A276,SPPR!$A:$A,0),8)),$C276*INDEX(SPPR!$E:$X,MATCH($A276,SPPR!$A:$A,0),8),""),"")</f>
        <v/>
      </c>
      <c r="L276">
        <f>IFERROR(IF(ISNUMBER(INDEX(SPPR!$E:$X,MATCH($A276,SPPR!$A:$A,0),9)),$C276*INDEX(SPPR!$E:$X,MATCH($A276,SPPR!$A:$A,0),9),""),"")</f>
        <v/>
      </c>
      <c r="M276">
        <f>IFERROR(IF(ISNUMBER(INDEX(SPPR!$E:$X,MATCH($A276,SPPR!$A:$A,0),10)),$C276*INDEX(SPPR!$E:$X,MATCH($A276,SPPR!$A:$A,0),10),""),"")</f>
        <v/>
      </c>
      <c r="N276">
        <f>IFERROR(IF(ISNUMBER(INDEX(SPPR!$E:$X,MATCH($A276,SPPR!$A:$A,0),11)),$C276*INDEX(SPPR!$E:$X,MATCH($A276,SPPR!$A:$A,0),11),""),"")</f>
        <v/>
      </c>
      <c r="O276">
        <f>IFERROR(IF(ISNUMBER(INDEX(SPPR!$E:$X,MATCH($A276,SPPR!$A:$A,0),12)),$C276*INDEX(SPPR!$E:$X,MATCH($A276,SPPR!$A:$A,0),12),""),"")</f>
        <v/>
      </c>
      <c r="P276">
        <f>IFERROR(IF(ISNUMBER(INDEX(SPPR!$E:$X,MATCH($A276,SPPR!$A:$A,0),13)),$C276*INDEX(SPPR!$E:$X,MATCH($A276,SPPR!$A:$A,0),13),""),"")</f>
        <v/>
      </c>
      <c r="Q276">
        <f>IFERROR(IF(ISNUMBER(INDEX(SPPR!$E:$X,MATCH($A276,SPPR!$A:$A,0),14)),$C276*INDEX(SPPR!$E:$X,MATCH($A276,SPPR!$A:$A,0),14),""),"")</f>
        <v/>
      </c>
      <c r="R276">
        <f>IFERROR(IF(ISNUMBER(INDEX(SPPR!$E:$X,MATCH($A276,SPPR!$A:$A,0),15)),$C276*INDEX(SPPR!$E:$X,MATCH($A276,SPPR!$A:$A,0),15),""),"")</f>
        <v/>
      </c>
      <c r="S276">
        <f>IFERROR(IF(ISNUMBER(INDEX(SPPR!$E:$X,MATCH($A276,SPPR!$A:$A,0),16)),$C276*INDEX(SPPR!$E:$X,MATCH($A276,SPPR!$A:$A,0),16),""),"")</f>
        <v/>
      </c>
      <c r="T276">
        <f>IFERROR(IF(ISNUMBER(INDEX(SPPR!$E:$X,MATCH($A276,SPPR!$A:$A,0),17)),$C276*INDEX(SPPR!$E:$X,MATCH($A276,SPPR!$A:$A,0),17),""),"")</f>
        <v/>
      </c>
      <c r="U276">
        <f>IFERROR(IF(ISNUMBER(INDEX(SPPR!$E:$X,MATCH($A276,SPPR!$A:$A,0),18)),$C276*INDEX(SPPR!$E:$X,MATCH($A276,SPPR!$A:$A,0),18),""),"")</f>
        <v/>
      </c>
      <c r="V276">
        <f>IFERROR(IF(ISNUMBER(INDEX(SPPR!$E:$X,MATCH($A276,SPPR!$A:$A,0),19)),$C276*INDEX(SPPR!$E:$X,MATCH($A276,SPPR!$A:$A,0),19),""),"")</f>
        <v/>
      </c>
      <c r="W276">
        <f>IFERROR(IF(ISNUMBER(INDEX(SPPR!$E:$X,MATCH($A276,SPPR!$A:$A,0),20)),$C276*INDEX(SPPR!$E:$X,MATCH($A276,SPPR!$A:$A,0),20),""),"")</f>
        <v/>
      </c>
    </row>
    <row r="277">
      <c r="A277" t="inlineStr">
        <is>
          <t>Echinozoa</t>
        </is>
      </c>
      <c r="B277">
        <f>IFERROR(INDEX(SPPR!$D:$D,MATCH($A277,SPPR!$A:$A,0)),"")</f>
        <v/>
      </c>
      <c r="C277">
        <f>IFERROR(INDEX(Catch!$E:$BV,MATCH($A277,Catch!$A:$A,0),MATCH($B$4,Catch!$E$1:$BV$1,0)),0)</f>
        <v/>
      </c>
      <c r="D277">
        <f>IFERROR(IF(ISNUMBER(INDEX(SPPR!$E:$X,MATCH($A277,SPPR!$A:$A,0),1)),$C277*INDEX(SPPR!$E:$X,MATCH($A277,SPPR!$A:$A,0),1),""),"")</f>
        <v/>
      </c>
      <c r="E277">
        <f>IFERROR(IF(ISNUMBER(INDEX(SPPR!$E:$X,MATCH($A277,SPPR!$A:$A,0),2)),$C277*INDEX(SPPR!$E:$X,MATCH($A277,SPPR!$A:$A,0),2),""),"")</f>
        <v/>
      </c>
      <c r="F277">
        <f>IFERROR(IF(ISNUMBER(INDEX(SPPR!$E:$X,MATCH($A277,SPPR!$A:$A,0),3)),$C277*INDEX(SPPR!$E:$X,MATCH($A277,SPPR!$A:$A,0),3),""),"")</f>
        <v/>
      </c>
      <c r="G277">
        <f>IFERROR(IF(ISNUMBER(INDEX(SPPR!$E:$X,MATCH($A277,SPPR!$A:$A,0),4)),$C277*INDEX(SPPR!$E:$X,MATCH($A277,SPPR!$A:$A,0),4),""),"")</f>
        <v/>
      </c>
      <c r="H277">
        <f>IFERROR(IF(ISNUMBER(INDEX(SPPR!$E:$X,MATCH($A277,SPPR!$A:$A,0),5)),$C277*INDEX(SPPR!$E:$X,MATCH($A277,SPPR!$A:$A,0),5),""),"")</f>
        <v/>
      </c>
      <c r="I277">
        <f>IFERROR(IF(ISNUMBER(INDEX(SPPR!$E:$X,MATCH($A277,SPPR!$A:$A,0),6)),$C277*INDEX(SPPR!$E:$X,MATCH($A277,SPPR!$A:$A,0),6),""),"")</f>
        <v/>
      </c>
      <c r="J277">
        <f>IFERROR(IF(ISNUMBER(INDEX(SPPR!$E:$X,MATCH($A277,SPPR!$A:$A,0),7)),$C277*INDEX(SPPR!$E:$X,MATCH($A277,SPPR!$A:$A,0),7),""),"")</f>
        <v/>
      </c>
      <c r="K277">
        <f>IFERROR(IF(ISNUMBER(INDEX(SPPR!$E:$X,MATCH($A277,SPPR!$A:$A,0),8)),$C277*INDEX(SPPR!$E:$X,MATCH($A277,SPPR!$A:$A,0),8),""),"")</f>
        <v/>
      </c>
      <c r="L277">
        <f>IFERROR(IF(ISNUMBER(INDEX(SPPR!$E:$X,MATCH($A277,SPPR!$A:$A,0),9)),$C277*INDEX(SPPR!$E:$X,MATCH($A277,SPPR!$A:$A,0),9),""),"")</f>
        <v/>
      </c>
      <c r="M277">
        <f>IFERROR(IF(ISNUMBER(INDEX(SPPR!$E:$X,MATCH($A277,SPPR!$A:$A,0),10)),$C277*INDEX(SPPR!$E:$X,MATCH($A277,SPPR!$A:$A,0),10),""),"")</f>
        <v/>
      </c>
      <c r="N277">
        <f>IFERROR(IF(ISNUMBER(INDEX(SPPR!$E:$X,MATCH($A277,SPPR!$A:$A,0),11)),$C277*INDEX(SPPR!$E:$X,MATCH($A277,SPPR!$A:$A,0),11),""),"")</f>
        <v/>
      </c>
      <c r="O277">
        <f>IFERROR(IF(ISNUMBER(INDEX(SPPR!$E:$X,MATCH($A277,SPPR!$A:$A,0),12)),$C277*INDEX(SPPR!$E:$X,MATCH($A277,SPPR!$A:$A,0),12),""),"")</f>
        <v/>
      </c>
      <c r="P277">
        <f>IFERROR(IF(ISNUMBER(INDEX(SPPR!$E:$X,MATCH($A277,SPPR!$A:$A,0),13)),$C277*INDEX(SPPR!$E:$X,MATCH($A277,SPPR!$A:$A,0),13),""),"")</f>
        <v/>
      </c>
      <c r="Q277">
        <f>IFERROR(IF(ISNUMBER(INDEX(SPPR!$E:$X,MATCH($A277,SPPR!$A:$A,0),14)),$C277*INDEX(SPPR!$E:$X,MATCH($A277,SPPR!$A:$A,0),14),""),"")</f>
        <v/>
      </c>
      <c r="R277">
        <f>IFERROR(IF(ISNUMBER(INDEX(SPPR!$E:$X,MATCH($A277,SPPR!$A:$A,0),15)),$C277*INDEX(SPPR!$E:$X,MATCH($A277,SPPR!$A:$A,0),15),""),"")</f>
        <v/>
      </c>
      <c r="S277">
        <f>IFERROR(IF(ISNUMBER(INDEX(SPPR!$E:$X,MATCH($A277,SPPR!$A:$A,0),16)),$C277*INDEX(SPPR!$E:$X,MATCH($A277,SPPR!$A:$A,0),16),""),"")</f>
        <v/>
      </c>
      <c r="T277">
        <f>IFERROR(IF(ISNUMBER(INDEX(SPPR!$E:$X,MATCH($A277,SPPR!$A:$A,0),17)),$C277*INDEX(SPPR!$E:$X,MATCH($A277,SPPR!$A:$A,0),17),""),"")</f>
        <v/>
      </c>
      <c r="U277">
        <f>IFERROR(IF(ISNUMBER(INDEX(SPPR!$E:$X,MATCH($A277,SPPR!$A:$A,0),18)),$C277*INDEX(SPPR!$E:$X,MATCH($A277,SPPR!$A:$A,0),18),""),"")</f>
        <v/>
      </c>
      <c r="V277">
        <f>IFERROR(IF(ISNUMBER(INDEX(SPPR!$E:$X,MATCH($A277,SPPR!$A:$A,0),19)),$C277*INDEX(SPPR!$E:$X,MATCH($A277,SPPR!$A:$A,0),19),""),"")</f>
        <v/>
      </c>
      <c r="W277">
        <f>IFERROR(IF(ISNUMBER(INDEX(SPPR!$E:$X,MATCH($A277,SPPR!$A:$A,0),20)),$C277*INDEX(SPPR!$E:$X,MATCH($A277,SPPR!$A:$A,0),20),""),"")</f>
        <v/>
      </c>
    </row>
    <row r="278">
      <c r="A278" t="inlineStr">
        <is>
          <t>Rhopilema hispidum</t>
        </is>
      </c>
      <c r="B278">
        <f>IFERROR(INDEX(SPPR!$D:$D,MATCH($A278,SPPR!$A:$A,0)),"")</f>
        <v/>
      </c>
      <c r="C278">
        <f>IFERROR(INDEX(Catch!$E:$BV,MATCH($A278,Catch!$A:$A,0),MATCH($B$4,Catch!$E$1:$BV$1,0)),0)</f>
        <v/>
      </c>
      <c r="D278">
        <f>IFERROR(IF(ISNUMBER(INDEX(SPPR!$E:$X,MATCH($A278,SPPR!$A:$A,0),1)),$C278*INDEX(SPPR!$E:$X,MATCH($A278,SPPR!$A:$A,0),1),""),"")</f>
        <v/>
      </c>
      <c r="E278">
        <f>IFERROR(IF(ISNUMBER(INDEX(SPPR!$E:$X,MATCH($A278,SPPR!$A:$A,0),2)),$C278*INDEX(SPPR!$E:$X,MATCH($A278,SPPR!$A:$A,0),2),""),"")</f>
        <v/>
      </c>
      <c r="F278">
        <f>IFERROR(IF(ISNUMBER(INDEX(SPPR!$E:$X,MATCH($A278,SPPR!$A:$A,0),3)),$C278*INDEX(SPPR!$E:$X,MATCH($A278,SPPR!$A:$A,0),3),""),"")</f>
        <v/>
      </c>
      <c r="G278">
        <f>IFERROR(IF(ISNUMBER(INDEX(SPPR!$E:$X,MATCH($A278,SPPR!$A:$A,0),4)),$C278*INDEX(SPPR!$E:$X,MATCH($A278,SPPR!$A:$A,0),4),""),"")</f>
        <v/>
      </c>
      <c r="H278">
        <f>IFERROR(IF(ISNUMBER(INDEX(SPPR!$E:$X,MATCH($A278,SPPR!$A:$A,0),5)),$C278*INDEX(SPPR!$E:$X,MATCH($A278,SPPR!$A:$A,0),5),""),"")</f>
        <v/>
      </c>
      <c r="I278">
        <f>IFERROR(IF(ISNUMBER(INDEX(SPPR!$E:$X,MATCH($A278,SPPR!$A:$A,0),6)),$C278*INDEX(SPPR!$E:$X,MATCH($A278,SPPR!$A:$A,0),6),""),"")</f>
        <v/>
      </c>
      <c r="J278">
        <f>IFERROR(IF(ISNUMBER(INDEX(SPPR!$E:$X,MATCH($A278,SPPR!$A:$A,0),7)),$C278*INDEX(SPPR!$E:$X,MATCH($A278,SPPR!$A:$A,0),7),""),"")</f>
        <v/>
      </c>
      <c r="K278">
        <f>IFERROR(IF(ISNUMBER(INDEX(SPPR!$E:$X,MATCH($A278,SPPR!$A:$A,0),8)),$C278*INDEX(SPPR!$E:$X,MATCH($A278,SPPR!$A:$A,0),8),""),"")</f>
        <v/>
      </c>
      <c r="L278">
        <f>IFERROR(IF(ISNUMBER(INDEX(SPPR!$E:$X,MATCH($A278,SPPR!$A:$A,0),9)),$C278*INDEX(SPPR!$E:$X,MATCH($A278,SPPR!$A:$A,0),9),""),"")</f>
        <v/>
      </c>
      <c r="M278">
        <f>IFERROR(IF(ISNUMBER(INDEX(SPPR!$E:$X,MATCH($A278,SPPR!$A:$A,0),10)),$C278*INDEX(SPPR!$E:$X,MATCH($A278,SPPR!$A:$A,0),10),""),"")</f>
        <v/>
      </c>
      <c r="N278">
        <f>IFERROR(IF(ISNUMBER(INDEX(SPPR!$E:$X,MATCH($A278,SPPR!$A:$A,0),11)),$C278*INDEX(SPPR!$E:$X,MATCH($A278,SPPR!$A:$A,0),11),""),"")</f>
        <v/>
      </c>
      <c r="O278">
        <f>IFERROR(IF(ISNUMBER(INDEX(SPPR!$E:$X,MATCH($A278,SPPR!$A:$A,0),12)),$C278*INDEX(SPPR!$E:$X,MATCH($A278,SPPR!$A:$A,0),12),""),"")</f>
        <v/>
      </c>
      <c r="P278">
        <f>IFERROR(IF(ISNUMBER(INDEX(SPPR!$E:$X,MATCH($A278,SPPR!$A:$A,0),13)),$C278*INDEX(SPPR!$E:$X,MATCH($A278,SPPR!$A:$A,0),13),""),"")</f>
        <v/>
      </c>
      <c r="Q278">
        <f>IFERROR(IF(ISNUMBER(INDEX(SPPR!$E:$X,MATCH($A278,SPPR!$A:$A,0),14)),$C278*INDEX(SPPR!$E:$X,MATCH($A278,SPPR!$A:$A,0),14),""),"")</f>
        <v/>
      </c>
      <c r="R278">
        <f>IFERROR(IF(ISNUMBER(INDEX(SPPR!$E:$X,MATCH($A278,SPPR!$A:$A,0),15)),$C278*INDEX(SPPR!$E:$X,MATCH($A278,SPPR!$A:$A,0),15),""),"")</f>
        <v/>
      </c>
      <c r="S278">
        <f>IFERROR(IF(ISNUMBER(INDEX(SPPR!$E:$X,MATCH($A278,SPPR!$A:$A,0),16)),$C278*INDEX(SPPR!$E:$X,MATCH($A278,SPPR!$A:$A,0),16),""),"")</f>
        <v/>
      </c>
      <c r="T278">
        <f>IFERROR(IF(ISNUMBER(INDEX(SPPR!$E:$X,MATCH($A278,SPPR!$A:$A,0),17)),$C278*INDEX(SPPR!$E:$X,MATCH($A278,SPPR!$A:$A,0),17),""),"")</f>
        <v/>
      </c>
      <c r="U278">
        <f>IFERROR(IF(ISNUMBER(INDEX(SPPR!$E:$X,MATCH($A278,SPPR!$A:$A,0),18)),$C278*INDEX(SPPR!$E:$X,MATCH($A278,SPPR!$A:$A,0),18),""),"")</f>
        <v/>
      </c>
      <c r="V278">
        <f>IFERROR(IF(ISNUMBER(INDEX(SPPR!$E:$X,MATCH($A278,SPPR!$A:$A,0),19)),$C278*INDEX(SPPR!$E:$X,MATCH($A278,SPPR!$A:$A,0),19),""),"")</f>
        <v/>
      </c>
      <c r="W278">
        <f>IFERROR(IF(ISNUMBER(INDEX(SPPR!$E:$X,MATCH($A278,SPPR!$A:$A,0),20)),$C278*INDEX(SPPR!$E:$X,MATCH($A278,SPPR!$A:$A,0),20),""),"")</f>
        <v/>
      </c>
    </row>
    <row r="279">
      <c r="A279" t="inlineStr">
        <is>
          <t>Sphyrna</t>
        </is>
      </c>
      <c r="B279">
        <f>IFERROR(INDEX(SPPR!$D:$D,MATCH($A279,SPPR!$A:$A,0)),"")</f>
        <v/>
      </c>
      <c r="C279">
        <f>IFERROR(INDEX(Catch!$E:$BV,MATCH($A279,Catch!$A:$A,0),MATCH($B$4,Catch!$E$1:$BV$1,0)),0)</f>
        <v/>
      </c>
      <c r="D279">
        <f>IFERROR(IF(ISNUMBER(INDEX(SPPR!$E:$X,MATCH($A279,SPPR!$A:$A,0),1)),$C279*INDEX(SPPR!$E:$X,MATCH($A279,SPPR!$A:$A,0),1),""),"")</f>
        <v/>
      </c>
      <c r="E279">
        <f>IFERROR(IF(ISNUMBER(INDEX(SPPR!$E:$X,MATCH($A279,SPPR!$A:$A,0),2)),$C279*INDEX(SPPR!$E:$X,MATCH($A279,SPPR!$A:$A,0),2),""),"")</f>
        <v/>
      </c>
      <c r="F279">
        <f>IFERROR(IF(ISNUMBER(INDEX(SPPR!$E:$X,MATCH($A279,SPPR!$A:$A,0),3)),$C279*INDEX(SPPR!$E:$X,MATCH($A279,SPPR!$A:$A,0),3),""),"")</f>
        <v/>
      </c>
      <c r="G279">
        <f>IFERROR(IF(ISNUMBER(INDEX(SPPR!$E:$X,MATCH($A279,SPPR!$A:$A,0),4)),$C279*INDEX(SPPR!$E:$X,MATCH($A279,SPPR!$A:$A,0),4),""),"")</f>
        <v/>
      </c>
      <c r="H279">
        <f>IFERROR(IF(ISNUMBER(INDEX(SPPR!$E:$X,MATCH($A279,SPPR!$A:$A,0),5)),$C279*INDEX(SPPR!$E:$X,MATCH($A279,SPPR!$A:$A,0),5),""),"")</f>
        <v/>
      </c>
      <c r="I279">
        <f>IFERROR(IF(ISNUMBER(INDEX(SPPR!$E:$X,MATCH($A279,SPPR!$A:$A,0),6)),$C279*INDEX(SPPR!$E:$X,MATCH($A279,SPPR!$A:$A,0),6),""),"")</f>
        <v/>
      </c>
      <c r="J279">
        <f>IFERROR(IF(ISNUMBER(INDEX(SPPR!$E:$X,MATCH($A279,SPPR!$A:$A,0),7)),$C279*INDEX(SPPR!$E:$X,MATCH($A279,SPPR!$A:$A,0),7),""),"")</f>
        <v/>
      </c>
      <c r="K279">
        <f>IFERROR(IF(ISNUMBER(INDEX(SPPR!$E:$X,MATCH($A279,SPPR!$A:$A,0),8)),$C279*INDEX(SPPR!$E:$X,MATCH($A279,SPPR!$A:$A,0),8),""),"")</f>
        <v/>
      </c>
      <c r="L279">
        <f>IFERROR(IF(ISNUMBER(INDEX(SPPR!$E:$X,MATCH($A279,SPPR!$A:$A,0),9)),$C279*INDEX(SPPR!$E:$X,MATCH($A279,SPPR!$A:$A,0),9),""),"")</f>
        <v/>
      </c>
      <c r="M279">
        <f>IFERROR(IF(ISNUMBER(INDEX(SPPR!$E:$X,MATCH($A279,SPPR!$A:$A,0),10)),$C279*INDEX(SPPR!$E:$X,MATCH($A279,SPPR!$A:$A,0),10),""),"")</f>
        <v/>
      </c>
      <c r="N279">
        <f>IFERROR(IF(ISNUMBER(INDEX(SPPR!$E:$X,MATCH($A279,SPPR!$A:$A,0),11)),$C279*INDEX(SPPR!$E:$X,MATCH($A279,SPPR!$A:$A,0),11),""),"")</f>
        <v/>
      </c>
      <c r="O279">
        <f>IFERROR(IF(ISNUMBER(INDEX(SPPR!$E:$X,MATCH($A279,SPPR!$A:$A,0),12)),$C279*INDEX(SPPR!$E:$X,MATCH($A279,SPPR!$A:$A,0),12),""),"")</f>
        <v/>
      </c>
      <c r="P279">
        <f>IFERROR(IF(ISNUMBER(INDEX(SPPR!$E:$X,MATCH($A279,SPPR!$A:$A,0),13)),$C279*INDEX(SPPR!$E:$X,MATCH($A279,SPPR!$A:$A,0),13),""),"")</f>
        <v/>
      </c>
      <c r="Q279">
        <f>IFERROR(IF(ISNUMBER(INDEX(SPPR!$E:$X,MATCH($A279,SPPR!$A:$A,0),14)),$C279*INDEX(SPPR!$E:$X,MATCH($A279,SPPR!$A:$A,0),14),""),"")</f>
        <v/>
      </c>
      <c r="R279">
        <f>IFERROR(IF(ISNUMBER(INDEX(SPPR!$E:$X,MATCH($A279,SPPR!$A:$A,0),15)),$C279*INDEX(SPPR!$E:$X,MATCH($A279,SPPR!$A:$A,0),15),""),"")</f>
        <v/>
      </c>
      <c r="S279">
        <f>IFERROR(IF(ISNUMBER(INDEX(SPPR!$E:$X,MATCH($A279,SPPR!$A:$A,0),16)),$C279*INDEX(SPPR!$E:$X,MATCH($A279,SPPR!$A:$A,0),16),""),"")</f>
        <v/>
      </c>
      <c r="T279">
        <f>IFERROR(IF(ISNUMBER(INDEX(SPPR!$E:$X,MATCH($A279,SPPR!$A:$A,0),17)),$C279*INDEX(SPPR!$E:$X,MATCH($A279,SPPR!$A:$A,0),17),""),"")</f>
        <v/>
      </c>
      <c r="U279">
        <f>IFERROR(IF(ISNUMBER(INDEX(SPPR!$E:$X,MATCH($A279,SPPR!$A:$A,0),18)),$C279*INDEX(SPPR!$E:$X,MATCH($A279,SPPR!$A:$A,0),18),""),"")</f>
        <v/>
      </c>
      <c r="V279">
        <f>IFERROR(IF(ISNUMBER(INDEX(SPPR!$E:$X,MATCH($A279,SPPR!$A:$A,0),19)),$C279*INDEX(SPPR!$E:$X,MATCH($A279,SPPR!$A:$A,0),19),""),"")</f>
        <v/>
      </c>
      <c r="W279">
        <f>IFERROR(IF(ISNUMBER(INDEX(SPPR!$E:$X,MATCH($A279,SPPR!$A:$A,0),20)),$C279*INDEX(SPPR!$E:$X,MATCH($A279,SPPR!$A:$A,0),20),""),"")</f>
        <v/>
      </c>
    </row>
    <row r="280">
      <c r="A280" t="inlineStr">
        <is>
          <t>Isurus oxyrinchus</t>
        </is>
      </c>
      <c r="B280">
        <f>IFERROR(INDEX(SPPR!$D:$D,MATCH($A280,SPPR!$A:$A,0)),"")</f>
        <v/>
      </c>
      <c r="C280">
        <f>IFERROR(INDEX(Catch!$E:$BV,MATCH($A280,Catch!$A:$A,0),MATCH($B$4,Catch!$E$1:$BV$1,0)),0)</f>
        <v/>
      </c>
      <c r="D280">
        <f>IFERROR(IF(ISNUMBER(INDEX(SPPR!$E:$X,MATCH($A280,SPPR!$A:$A,0),1)),$C280*INDEX(SPPR!$E:$X,MATCH($A280,SPPR!$A:$A,0),1),""),"")</f>
        <v/>
      </c>
      <c r="E280">
        <f>IFERROR(IF(ISNUMBER(INDEX(SPPR!$E:$X,MATCH($A280,SPPR!$A:$A,0),2)),$C280*INDEX(SPPR!$E:$X,MATCH($A280,SPPR!$A:$A,0),2),""),"")</f>
        <v/>
      </c>
      <c r="F280">
        <f>IFERROR(IF(ISNUMBER(INDEX(SPPR!$E:$X,MATCH($A280,SPPR!$A:$A,0),3)),$C280*INDEX(SPPR!$E:$X,MATCH($A280,SPPR!$A:$A,0),3),""),"")</f>
        <v/>
      </c>
      <c r="G280">
        <f>IFERROR(IF(ISNUMBER(INDEX(SPPR!$E:$X,MATCH($A280,SPPR!$A:$A,0),4)),$C280*INDEX(SPPR!$E:$X,MATCH($A280,SPPR!$A:$A,0),4),""),"")</f>
        <v/>
      </c>
      <c r="H280">
        <f>IFERROR(IF(ISNUMBER(INDEX(SPPR!$E:$X,MATCH($A280,SPPR!$A:$A,0),5)),$C280*INDEX(SPPR!$E:$X,MATCH($A280,SPPR!$A:$A,0),5),""),"")</f>
        <v/>
      </c>
      <c r="I280">
        <f>IFERROR(IF(ISNUMBER(INDEX(SPPR!$E:$X,MATCH($A280,SPPR!$A:$A,0),6)),$C280*INDEX(SPPR!$E:$X,MATCH($A280,SPPR!$A:$A,0),6),""),"")</f>
        <v/>
      </c>
      <c r="J280">
        <f>IFERROR(IF(ISNUMBER(INDEX(SPPR!$E:$X,MATCH($A280,SPPR!$A:$A,0),7)),$C280*INDEX(SPPR!$E:$X,MATCH($A280,SPPR!$A:$A,0),7),""),"")</f>
        <v/>
      </c>
      <c r="K280">
        <f>IFERROR(IF(ISNUMBER(INDEX(SPPR!$E:$X,MATCH($A280,SPPR!$A:$A,0),8)),$C280*INDEX(SPPR!$E:$X,MATCH($A280,SPPR!$A:$A,0),8),""),"")</f>
        <v/>
      </c>
      <c r="L280">
        <f>IFERROR(IF(ISNUMBER(INDEX(SPPR!$E:$X,MATCH($A280,SPPR!$A:$A,0),9)),$C280*INDEX(SPPR!$E:$X,MATCH($A280,SPPR!$A:$A,0),9),""),"")</f>
        <v/>
      </c>
      <c r="M280">
        <f>IFERROR(IF(ISNUMBER(INDEX(SPPR!$E:$X,MATCH($A280,SPPR!$A:$A,0),10)),$C280*INDEX(SPPR!$E:$X,MATCH($A280,SPPR!$A:$A,0),10),""),"")</f>
        <v/>
      </c>
      <c r="N280">
        <f>IFERROR(IF(ISNUMBER(INDEX(SPPR!$E:$X,MATCH($A280,SPPR!$A:$A,0),11)),$C280*INDEX(SPPR!$E:$X,MATCH($A280,SPPR!$A:$A,0),11),""),"")</f>
        <v/>
      </c>
      <c r="O280">
        <f>IFERROR(IF(ISNUMBER(INDEX(SPPR!$E:$X,MATCH($A280,SPPR!$A:$A,0),12)),$C280*INDEX(SPPR!$E:$X,MATCH($A280,SPPR!$A:$A,0),12),""),"")</f>
        <v/>
      </c>
      <c r="P280">
        <f>IFERROR(IF(ISNUMBER(INDEX(SPPR!$E:$X,MATCH($A280,SPPR!$A:$A,0),13)),$C280*INDEX(SPPR!$E:$X,MATCH($A280,SPPR!$A:$A,0),13),""),"")</f>
        <v/>
      </c>
      <c r="Q280">
        <f>IFERROR(IF(ISNUMBER(INDEX(SPPR!$E:$X,MATCH($A280,SPPR!$A:$A,0),14)),$C280*INDEX(SPPR!$E:$X,MATCH($A280,SPPR!$A:$A,0),14),""),"")</f>
        <v/>
      </c>
      <c r="R280">
        <f>IFERROR(IF(ISNUMBER(INDEX(SPPR!$E:$X,MATCH($A280,SPPR!$A:$A,0),15)),$C280*INDEX(SPPR!$E:$X,MATCH($A280,SPPR!$A:$A,0),15),""),"")</f>
        <v/>
      </c>
      <c r="S280">
        <f>IFERROR(IF(ISNUMBER(INDEX(SPPR!$E:$X,MATCH($A280,SPPR!$A:$A,0),16)),$C280*INDEX(SPPR!$E:$X,MATCH($A280,SPPR!$A:$A,0),16),""),"")</f>
        <v/>
      </c>
      <c r="T280">
        <f>IFERROR(IF(ISNUMBER(INDEX(SPPR!$E:$X,MATCH($A280,SPPR!$A:$A,0),17)),$C280*INDEX(SPPR!$E:$X,MATCH($A280,SPPR!$A:$A,0),17),""),"")</f>
        <v/>
      </c>
      <c r="U280">
        <f>IFERROR(IF(ISNUMBER(INDEX(SPPR!$E:$X,MATCH($A280,SPPR!$A:$A,0),18)),$C280*INDEX(SPPR!$E:$X,MATCH($A280,SPPR!$A:$A,0),18),""),"")</f>
        <v/>
      </c>
      <c r="V280">
        <f>IFERROR(IF(ISNUMBER(INDEX(SPPR!$E:$X,MATCH($A280,SPPR!$A:$A,0),19)),$C280*INDEX(SPPR!$E:$X,MATCH($A280,SPPR!$A:$A,0),19),""),"")</f>
        <v/>
      </c>
      <c r="W280">
        <f>IFERROR(IF(ISNUMBER(INDEX(SPPR!$E:$X,MATCH($A280,SPPR!$A:$A,0),20)),$C280*INDEX(SPPR!$E:$X,MATCH($A280,SPPR!$A:$A,0),20),""),"")</f>
        <v/>
      </c>
    </row>
    <row r="281">
      <c r="A281" t="inlineStr">
        <is>
          <t>Pinctada</t>
        </is>
      </c>
      <c r="B281">
        <f>IFERROR(INDEX(SPPR!$D:$D,MATCH($A281,SPPR!$A:$A,0)),"")</f>
        <v/>
      </c>
      <c r="C281">
        <f>IFERROR(INDEX(Catch!$E:$BV,MATCH($A281,Catch!$A:$A,0),MATCH($B$4,Catch!$E$1:$BV$1,0)),0)</f>
        <v/>
      </c>
      <c r="D281">
        <f>IFERROR(IF(ISNUMBER(INDEX(SPPR!$E:$X,MATCH($A281,SPPR!$A:$A,0),1)),$C281*INDEX(SPPR!$E:$X,MATCH($A281,SPPR!$A:$A,0),1),""),"")</f>
        <v/>
      </c>
      <c r="E281">
        <f>IFERROR(IF(ISNUMBER(INDEX(SPPR!$E:$X,MATCH($A281,SPPR!$A:$A,0),2)),$C281*INDEX(SPPR!$E:$X,MATCH($A281,SPPR!$A:$A,0),2),""),"")</f>
        <v/>
      </c>
      <c r="F281">
        <f>IFERROR(IF(ISNUMBER(INDEX(SPPR!$E:$X,MATCH($A281,SPPR!$A:$A,0),3)),$C281*INDEX(SPPR!$E:$X,MATCH($A281,SPPR!$A:$A,0),3),""),"")</f>
        <v/>
      </c>
      <c r="G281">
        <f>IFERROR(IF(ISNUMBER(INDEX(SPPR!$E:$X,MATCH($A281,SPPR!$A:$A,0),4)),$C281*INDEX(SPPR!$E:$X,MATCH($A281,SPPR!$A:$A,0),4),""),"")</f>
        <v/>
      </c>
      <c r="H281">
        <f>IFERROR(IF(ISNUMBER(INDEX(SPPR!$E:$X,MATCH($A281,SPPR!$A:$A,0),5)),$C281*INDEX(SPPR!$E:$X,MATCH($A281,SPPR!$A:$A,0),5),""),"")</f>
        <v/>
      </c>
      <c r="I281">
        <f>IFERROR(IF(ISNUMBER(INDEX(SPPR!$E:$X,MATCH($A281,SPPR!$A:$A,0),6)),$C281*INDEX(SPPR!$E:$X,MATCH($A281,SPPR!$A:$A,0),6),""),"")</f>
        <v/>
      </c>
      <c r="J281">
        <f>IFERROR(IF(ISNUMBER(INDEX(SPPR!$E:$X,MATCH($A281,SPPR!$A:$A,0),7)),$C281*INDEX(SPPR!$E:$X,MATCH($A281,SPPR!$A:$A,0),7),""),"")</f>
        <v/>
      </c>
      <c r="K281">
        <f>IFERROR(IF(ISNUMBER(INDEX(SPPR!$E:$X,MATCH($A281,SPPR!$A:$A,0),8)),$C281*INDEX(SPPR!$E:$X,MATCH($A281,SPPR!$A:$A,0),8),""),"")</f>
        <v/>
      </c>
      <c r="L281">
        <f>IFERROR(IF(ISNUMBER(INDEX(SPPR!$E:$X,MATCH($A281,SPPR!$A:$A,0),9)),$C281*INDEX(SPPR!$E:$X,MATCH($A281,SPPR!$A:$A,0),9),""),"")</f>
        <v/>
      </c>
      <c r="M281">
        <f>IFERROR(IF(ISNUMBER(INDEX(SPPR!$E:$X,MATCH($A281,SPPR!$A:$A,0),10)),$C281*INDEX(SPPR!$E:$X,MATCH($A281,SPPR!$A:$A,0),10),""),"")</f>
        <v/>
      </c>
      <c r="N281">
        <f>IFERROR(IF(ISNUMBER(INDEX(SPPR!$E:$X,MATCH($A281,SPPR!$A:$A,0),11)),$C281*INDEX(SPPR!$E:$X,MATCH($A281,SPPR!$A:$A,0),11),""),"")</f>
        <v/>
      </c>
      <c r="O281">
        <f>IFERROR(IF(ISNUMBER(INDEX(SPPR!$E:$X,MATCH($A281,SPPR!$A:$A,0),12)),$C281*INDEX(SPPR!$E:$X,MATCH($A281,SPPR!$A:$A,0),12),""),"")</f>
        <v/>
      </c>
      <c r="P281">
        <f>IFERROR(IF(ISNUMBER(INDEX(SPPR!$E:$X,MATCH($A281,SPPR!$A:$A,0),13)),$C281*INDEX(SPPR!$E:$X,MATCH($A281,SPPR!$A:$A,0),13),""),"")</f>
        <v/>
      </c>
      <c r="Q281">
        <f>IFERROR(IF(ISNUMBER(INDEX(SPPR!$E:$X,MATCH($A281,SPPR!$A:$A,0),14)),$C281*INDEX(SPPR!$E:$X,MATCH($A281,SPPR!$A:$A,0),14),""),"")</f>
        <v/>
      </c>
      <c r="R281">
        <f>IFERROR(IF(ISNUMBER(INDEX(SPPR!$E:$X,MATCH($A281,SPPR!$A:$A,0),15)),$C281*INDEX(SPPR!$E:$X,MATCH($A281,SPPR!$A:$A,0),15),""),"")</f>
        <v/>
      </c>
      <c r="S281">
        <f>IFERROR(IF(ISNUMBER(INDEX(SPPR!$E:$X,MATCH($A281,SPPR!$A:$A,0),16)),$C281*INDEX(SPPR!$E:$X,MATCH($A281,SPPR!$A:$A,0),16),""),"")</f>
        <v/>
      </c>
      <c r="T281">
        <f>IFERROR(IF(ISNUMBER(INDEX(SPPR!$E:$X,MATCH($A281,SPPR!$A:$A,0),17)),$C281*INDEX(SPPR!$E:$X,MATCH($A281,SPPR!$A:$A,0),17),""),"")</f>
        <v/>
      </c>
      <c r="U281">
        <f>IFERROR(IF(ISNUMBER(INDEX(SPPR!$E:$X,MATCH($A281,SPPR!$A:$A,0),18)),$C281*INDEX(SPPR!$E:$X,MATCH($A281,SPPR!$A:$A,0),18),""),"")</f>
        <v/>
      </c>
      <c r="V281">
        <f>IFERROR(IF(ISNUMBER(INDEX(SPPR!$E:$X,MATCH($A281,SPPR!$A:$A,0),19)),$C281*INDEX(SPPR!$E:$X,MATCH($A281,SPPR!$A:$A,0),19),""),"")</f>
        <v/>
      </c>
      <c r="W281">
        <f>IFERROR(IF(ISNUMBER(INDEX(SPPR!$E:$X,MATCH($A281,SPPR!$A:$A,0),20)),$C281*INDEX(SPPR!$E:$X,MATCH($A281,SPPR!$A:$A,0),20),""),"")</f>
        <v/>
      </c>
    </row>
    <row r="282">
      <c r="A282" t="inlineStr">
        <is>
          <t>Scombroidei</t>
        </is>
      </c>
      <c r="B282">
        <f>IFERROR(INDEX(SPPR!$D:$D,MATCH($A282,SPPR!$A:$A,0)),"")</f>
        <v/>
      </c>
      <c r="C282">
        <f>IFERROR(INDEX(Catch!$E:$BV,MATCH($A282,Catch!$A:$A,0),MATCH($B$4,Catch!$E$1:$BV$1,0)),0)</f>
        <v/>
      </c>
      <c r="D282">
        <f>IFERROR(IF(ISNUMBER(INDEX(SPPR!$E:$X,MATCH($A282,SPPR!$A:$A,0),1)),$C282*INDEX(SPPR!$E:$X,MATCH($A282,SPPR!$A:$A,0),1),""),"")</f>
        <v/>
      </c>
      <c r="E282">
        <f>IFERROR(IF(ISNUMBER(INDEX(SPPR!$E:$X,MATCH($A282,SPPR!$A:$A,0),2)),$C282*INDEX(SPPR!$E:$X,MATCH($A282,SPPR!$A:$A,0),2),""),"")</f>
        <v/>
      </c>
      <c r="F282">
        <f>IFERROR(IF(ISNUMBER(INDEX(SPPR!$E:$X,MATCH($A282,SPPR!$A:$A,0),3)),$C282*INDEX(SPPR!$E:$X,MATCH($A282,SPPR!$A:$A,0),3),""),"")</f>
        <v/>
      </c>
      <c r="G282">
        <f>IFERROR(IF(ISNUMBER(INDEX(SPPR!$E:$X,MATCH($A282,SPPR!$A:$A,0),4)),$C282*INDEX(SPPR!$E:$X,MATCH($A282,SPPR!$A:$A,0),4),""),"")</f>
        <v/>
      </c>
      <c r="H282">
        <f>IFERROR(IF(ISNUMBER(INDEX(SPPR!$E:$X,MATCH($A282,SPPR!$A:$A,0),5)),$C282*INDEX(SPPR!$E:$X,MATCH($A282,SPPR!$A:$A,0),5),""),"")</f>
        <v/>
      </c>
      <c r="I282">
        <f>IFERROR(IF(ISNUMBER(INDEX(SPPR!$E:$X,MATCH($A282,SPPR!$A:$A,0),6)),$C282*INDEX(SPPR!$E:$X,MATCH($A282,SPPR!$A:$A,0),6),""),"")</f>
        <v/>
      </c>
      <c r="J282">
        <f>IFERROR(IF(ISNUMBER(INDEX(SPPR!$E:$X,MATCH($A282,SPPR!$A:$A,0),7)),$C282*INDEX(SPPR!$E:$X,MATCH($A282,SPPR!$A:$A,0),7),""),"")</f>
        <v/>
      </c>
      <c r="K282">
        <f>IFERROR(IF(ISNUMBER(INDEX(SPPR!$E:$X,MATCH($A282,SPPR!$A:$A,0),8)),$C282*INDEX(SPPR!$E:$X,MATCH($A282,SPPR!$A:$A,0),8),""),"")</f>
        <v/>
      </c>
      <c r="L282">
        <f>IFERROR(IF(ISNUMBER(INDEX(SPPR!$E:$X,MATCH($A282,SPPR!$A:$A,0),9)),$C282*INDEX(SPPR!$E:$X,MATCH($A282,SPPR!$A:$A,0),9),""),"")</f>
        <v/>
      </c>
      <c r="M282">
        <f>IFERROR(IF(ISNUMBER(INDEX(SPPR!$E:$X,MATCH($A282,SPPR!$A:$A,0),10)),$C282*INDEX(SPPR!$E:$X,MATCH($A282,SPPR!$A:$A,0),10),""),"")</f>
        <v/>
      </c>
      <c r="N282">
        <f>IFERROR(IF(ISNUMBER(INDEX(SPPR!$E:$X,MATCH($A282,SPPR!$A:$A,0),11)),$C282*INDEX(SPPR!$E:$X,MATCH($A282,SPPR!$A:$A,0),11),""),"")</f>
        <v/>
      </c>
      <c r="O282">
        <f>IFERROR(IF(ISNUMBER(INDEX(SPPR!$E:$X,MATCH($A282,SPPR!$A:$A,0),12)),$C282*INDEX(SPPR!$E:$X,MATCH($A282,SPPR!$A:$A,0),12),""),"")</f>
        <v/>
      </c>
      <c r="P282">
        <f>IFERROR(IF(ISNUMBER(INDEX(SPPR!$E:$X,MATCH($A282,SPPR!$A:$A,0),13)),$C282*INDEX(SPPR!$E:$X,MATCH($A282,SPPR!$A:$A,0),13),""),"")</f>
        <v/>
      </c>
      <c r="Q282">
        <f>IFERROR(IF(ISNUMBER(INDEX(SPPR!$E:$X,MATCH($A282,SPPR!$A:$A,0),14)),$C282*INDEX(SPPR!$E:$X,MATCH($A282,SPPR!$A:$A,0),14),""),"")</f>
        <v/>
      </c>
      <c r="R282">
        <f>IFERROR(IF(ISNUMBER(INDEX(SPPR!$E:$X,MATCH($A282,SPPR!$A:$A,0),15)),$C282*INDEX(SPPR!$E:$X,MATCH($A282,SPPR!$A:$A,0),15),""),"")</f>
        <v/>
      </c>
      <c r="S282">
        <f>IFERROR(IF(ISNUMBER(INDEX(SPPR!$E:$X,MATCH($A282,SPPR!$A:$A,0),16)),$C282*INDEX(SPPR!$E:$X,MATCH($A282,SPPR!$A:$A,0),16),""),"")</f>
        <v/>
      </c>
      <c r="T282">
        <f>IFERROR(IF(ISNUMBER(INDEX(SPPR!$E:$X,MATCH($A282,SPPR!$A:$A,0),17)),$C282*INDEX(SPPR!$E:$X,MATCH($A282,SPPR!$A:$A,0),17),""),"")</f>
        <v/>
      </c>
      <c r="U282">
        <f>IFERROR(IF(ISNUMBER(INDEX(SPPR!$E:$X,MATCH($A282,SPPR!$A:$A,0),18)),$C282*INDEX(SPPR!$E:$X,MATCH($A282,SPPR!$A:$A,0),18),""),"")</f>
        <v/>
      </c>
      <c r="V282">
        <f>IFERROR(IF(ISNUMBER(INDEX(SPPR!$E:$X,MATCH($A282,SPPR!$A:$A,0),19)),$C282*INDEX(SPPR!$E:$X,MATCH($A282,SPPR!$A:$A,0),19),""),"")</f>
        <v/>
      </c>
      <c r="W282">
        <f>IFERROR(IF(ISNUMBER(INDEX(SPPR!$E:$X,MATCH($A282,SPPR!$A:$A,0),20)),$C282*INDEX(SPPR!$E:$X,MATCH($A282,SPPR!$A:$A,0),20),""),"")</f>
        <v/>
      </c>
    </row>
    <row r="283">
      <c r="A283" t="inlineStr">
        <is>
          <t>Caranx</t>
        </is>
      </c>
      <c r="B283">
        <f>IFERROR(INDEX(SPPR!$D:$D,MATCH($A283,SPPR!$A:$A,0)),"")</f>
        <v/>
      </c>
      <c r="C283">
        <f>IFERROR(INDEX(Catch!$E:$BV,MATCH($A283,Catch!$A:$A,0),MATCH($B$4,Catch!$E$1:$BV$1,0)),0)</f>
        <v/>
      </c>
      <c r="D283">
        <f>IFERROR(IF(ISNUMBER(INDEX(SPPR!$E:$X,MATCH($A283,SPPR!$A:$A,0),1)),$C283*INDEX(SPPR!$E:$X,MATCH($A283,SPPR!$A:$A,0),1),""),"")</f>
        <v/>
      </c>
      <c r="E283">
        <f>IFERROR(IF(ISNUMBER(INDEX(SPPR!$E:$X,MATCH($A283,SPPR!$A:$A,0),2)),$C283*INDEX(SPPR!$E:$X,MATCH($A283,SPPR!$A:$A,0),2),""),"")</f>
        <v/>
      </c>
      <c r="F283">
        <f>IFERROR(IF(ISNUMBER(INDEX(SPPR!$E:$X,MATCH($A283,SPPR!$A:$A,0),3)),$C283*INDEX(SPPR!$E:$X,MATCH($A283,SPPR!$A:$A,0),3),""),"")</f>
        <v/>
      </c>
      <c r="G283">
        <f>IFERROR(IF(ISNUMBER(INDEX(SPPR!$E:$X,MATCH($A283,SPPR!$A:$A,0),4)),$C283*INDEX(SPPR!$E:$X,MATCH($A283,SPPR!$A:$A,0),4),""),"")</f>
        <v/>
      </c>
      <c r="H283">
        <f>IFERROR(IF(ISNUMBER(INDEX(SPPR!$E:$X,MATCH($A283,SPPR!$A:$A,0),5)),$C283*INDEX(SPPR!$E:$X,MATCH($A283,SPPR!$A:$A,0),5),""),"")</f>
        <v/>
      </c>
      <c r="I283">
        <f>IFERROR(IF(ISNUMBER(INDEX(SPPR!$E:$X,MATCH($A283,SPPR!$A:$A,0),6)),$C283*INDEX(SPPR!$E:$X,MATCH($A283,SPPR!$A:$A,0),6),""),"")</f>
        <v/>
      </c>
      <c r="J283">
        <f>IFERROR(IF(ISNUMBER(INDEX(SPPR!$E:$X,MATCH($A283,SPPR!$A:$A,0),7)),$C283*INDEX(SPPR!$E:$X,MATCH($A283,SPPR!$A:$A,0),7),""),"")</f>
        <v/>
      </c>
      <c r="K283">
        <f>IFERROR(IF(ISNUMBER(INDEX(SPPR!$E:$X,MATCH($A283,SPPR!$A:$A,0),8)),$C283*INDEX(SPPR!$E:$X,MATCH($A283,SPPR!$A:$A,0),8),""),"")</f>
        <v/>
      </c>
      <c r="L283">
        <f>IFERROR(IF(ISNUMBER(INDEX(SPPR!$E:$X,MATCH($A283,SPPR!$A:$A,0),9)),$C283*INDEX(SPPR!$E:$X,MATCH($A283,SPPR!$A:$A,0),9),""),"")</f>
        <v/>
      </c>
      <c r="M283">
        <f>IFERROR(IF(ISNUMBER(INDEX(SPPR!$E:$X,MATCH($A283,SPPR!$A:$A,0),10)),$C283*INDEX(SPPR!$E:$X,MATCH($A283,SPPR!$A:$A,0),10),""),"")</f>
        <v/>
      </c>
      <c r="N283">
        <f>IFERROR(IF(ISNUMBER(INDEX(SPPR!$E:$X,MATCH($A283,SPPR!$A:$A,0),11)),$C283*INDEX(SPPR!$E:$X,MATCH($A283,SPPR!$A:$A,0),11),""),"")</f>
        <v/>
      </c>
      <c r="O283">
        <f>IFERROR(IF(ISNUMBER(INDEX(SPPR!$E:$X,MATCH($A283,SPPR!$A:$A,0),12)),$C283*INDEX(SPPR!$E:$X,MATCH($A283,SPPR!$A:$A,0),12),""),"")</f>
        <v/>
      </c>
      <c r="P283">
        <f>IFERROR(IF(ISNUMBER(INDEX(SPPR!$E:$X,MATCH($A283,SPPR!$A:$A,0),13)),$C283*INDEX(SPPR!$E:$X,MATCH($A283,SPPR!$A:$A,0),13),""),"")</f>
        <v/>
      </c>
      <c r="Q283">
        <f>IFERROR(IF(ISNUMBER(INDEX(SPPR!$E:$X,MATCH($A283,SPPR!$A:$A,0),14)),$C283*INDEX(SPPR!$E:$X,MATCH($A283,SPPR!$A:$A,0),14),""),"")</f>
        <v/>
      </c>
      <c r="R283">
        <f>IFERROR(IF(ISNUMBER(INDEX(SPPR!$E:$X,MATCH($A283,SPPR!$A:$A,0),15)),$C283*INDEX(SPPR!$E:$X,MATCH($A283,SPPR!$A:$A,0),15),""),"")</f>
        <v/>
      </c>
      <c r="S283">
        <f>IFERROR(IF(ISNUMBER(INDEX(SPPR!$E:$X,MATCH($A283,SPPR!$A:$A,0),16)),$C283*INDEX(SPPR!$E:$X,MATCH($A283,SPPR!$A:$A,0),16),""),"")</f>
        <v/>
      </c>
      <c r="T283">
        <f>IFERROR(IF(ISNUMBER(INDEX(SPPR!$E:$X,MATCH($A283,SPPR!$A:$A,0),17)),$C283*INDEX(SPPR!$E:$X,MATCH($A283,SPPR!$A:$A,0),17),""),"")</f>
        <v/>
      </c>
      <c r="U283">
        <f>IFERROR(IF(ISNUMBER(INDEX(SPPR!$E:$X,MATCH($A283,SPPR!$A:$A,0),18)),$C283*INDEX(SPPR!$E:$X,MATCH($A283,SPPR!$A:$A,0),18),""),"")</f>
        <v/>
      </c>
      <c r="V283">
        <f>IFERROR(IF(ISNUMBER(INDEX(SPPR!$E:$X,MATCH($A283,SPPR!$A:$A,0),19)),$C283*INDEX(SPPR!$E:$X,MATCH($A283,SPPR!$A:$A,0),19),""),"")</f>
        <v/>
      </c>
      <c r="W283">
        <f>IFERROR(IF(ISNUMBER(INDEX(SPPR!$E:$X,MATCH($A283,SPPR!$A:$A,0),20)),$C283*INDEX(SPPR!$E:$X,MATCH($A283,SPPR!$A:$A,0),20),""),"")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0.205</v>
      </c>
      <c r="G5" t="n">
        <v>16.52</v>
      </c>
      <c r="H5" t="n">
        <v>0</v>
      </c>
      <c r="I5" t="n">
        <v>0</v>
      </c>
      <c r="J5" t="n">
        <v>1</v>
      </c>
      <c r="K5" t="n">
        <v>1</v>
      </c>
      <c r="L5" t="n">
        <v>1</v>
      </c>
      <c r="M5" t="n">
        <v>1</v>
      </c>
      <c r="N5" t="n">
        <v>0</v>
      </c>
      <c r="O5" t="n">
        <v>0.205</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0.3080000000000001</v>
      </c>
      <c r="G6" t="n">
        <v>4.703</v>
      </c>
      <c r="H6" t="n">
        <v>0</v>
      </c>
      <c r="I6" t="n">
        <v>0</v>
      </c>
      <c r="J6" t="n">
        <v>10</v>
      </c>
      <c r="K6" t="n">
        <v>1.39069</v>
      </c>
      <c r="L6" t="n">
        <v>1.39069</v>
      </c>
      <c r="M6" t="n">
        <v>12.987013</v>
      </c>
      <c r="N6" t="n">
        <v>12.987013</v>
      </c>
      <c r="O6" t="n">
        <v>4</v>
      </c>
      <c r="P6" t="n">
        <v>12.420149</v>
      </c>
      <c r="Q6" t="n">
        <v>12.420149</v>
      </c>
      <c r="R6" t="n">
        <v>12.5466</v>
      </c>
      <c r="S6" t="n">
        <v>4.221348</v>
      </c>
      <c r="T6" t="n">
        <v>3.409389</v>
      </c>
      <c r="U6" t="n">
        <v>12.5466</v>
      </c>
      <c r="V6" t="n">
        <v>12.420149</v>
      </c>
      <c r="W6" t="n">
        <v>4.221348</v>
      </c>
      <c r="X6" t="n">
        <v>4.221348</v>
      </c>
      <c r="Y6" t="n">
        <v>3.409389</v>
      </c>
      <c r="Z6" t="n">
        <v>3.409389</v>
      </c>
      <c r="AA6" t="n">
        <v>4.182642</v>
      </c>
      <c r="AB6" t="n">
        <v>12.662599</v>
      </c>
    </row>
    <row r="7">
      <c r="A7" t="n">
        <v>3</v>
      </c>
      <c r="B7" t="inlineStr">
        <is>
          <t>Polychaetes</t>
        </is>
      </c>
      <c r="C7" t="inlineStr">
        <is>
          <t>Regular</t>
        </is>
      </c>
      <c r="D7" t="n">
        <v>2</v>
      </c>
      <c r="E7" t="n">
        <v>0.2768595041322314</v>
      </c>
      <c r="F7" t="n">
        <v>0.541</v>
      </c>
      <c r="G7" t="n">
        <v>3.13</v>
      </c>
      <c r="H7" t="n">
        <v>0</v>
      </c>
      <c r="I7" t="n">
        <v>0</v>
      </c>
      <c r="J7" t="n">
        <v>10</v>
      </c>
      <c r="K7" t="n">
        <v>1.39069</v>
      </c>
      <c r="L7" t="n">
        <v>1.39069</v>
      </c>
      <c r="M7" t="n">
        <v>6.676415</v>
      </c>
      <c r="N7" t="n">
        <v>6.676415</v>
      </c>
      <c r="O7" t="n">
        <v>3.61194</v>
      </c>
      <c r="P7" t="n">
        <v>5.705029</v>
      </c>
      <c r="Q7" t="n">
        <v>5.705029</v>
      </c>
      <c r="R7" t="n">
        <v>5.921717</v>
      </c>
      <c r="S7" t="n">
        <v>4.278187</v>
      </c>
      <c r="T7" t="n">
        <v>3.519803</v>
      </c>
      <c r="U7" t="n">
        <v>5.921717</v>
      </c>
      <c r="V7" t="n">
        <v>5.705029</v>
      </c>
      <c r="W7" t="n">
        <v>4.278187</v>
      </c>
      <c r="X7" t="n">
        <v>4.278187</v>
      </c>
      <c r="Y7" t="n">
        <v>3.519803</v>
      </c>
      <c r="Z7" t="n">
        <v>3.519803</v>
      </c>
      <c r="AA7" t="n">
        <v>4.309215</v>
      </c>
      <c r="AB7" t="n">
        <v>5.835162</v>
      </c>
    </row>
    <row r="8">
      <c r="A8" t="n">
        <v>4</v>
      </c>
      <c r="B8" t="inlineStr">
        <is>
          <t>Mollusks</t>
        </is>
      </c>
      <c r="C8" t="inlineStr">
        <is>
          <t>Regular</t>
        </is>
      </c>
      <c r="D8" t="n">
        <v>2.169354838709677</v>
      </c>
      <c r="E8" t="n">
        <v>0.4285714285714287</v>
      </c>
      <c r="F8" t="n">
        <v>0.3</v>
      </c>
      <c r="G8" t="n">
        <v>9.51</v>
      </c>
      <c r="H8" t="n">
        <v>0</v>
      </c>
      <c r="I8" t="n">
        <v>0</v>
      </c>
      <c r="J8" t="n">
        <v>14.497407</v>
      </c>
      <c r="K8" t="n">
        <v>1.466668</v>
      </c>
      <c r="L8" t="n">
        <v>1.466497</v>
      </c>
      <c r="M8" t="n">
        <v>17.850747</v>
      </c>
      <c r="N8" t="n">
        <v>17.850747</v>
      </c>
      <c r="O8" t="n">
        <v>5.355224</v>
      </c>
      <c r="P8" t="n">
        <v>17.186608</v>
      </c>
      <c r="Q8" t="n">
        <v>17.186608</v>
      </c>
      <c r="R8" t="n">
        <v>17.598965</v>
      </c>
      <c r="S8" t="n">
        <v>3.995111</v>
      </c>
      <c r="T8" t="n">
        <v>2.967513</v>
      </c>
      <c r="U8" t="n">
        <v>17.598965</v>
      </c>
      <c r="V8" t="n">
        <v>17.186608</v>
      </c>
      <c r="W8" t="n">
        <v>3.995111</v>
      </c>
      <c r="X8" t="n">
        <v>3.995111</v>
      </c>
      <c r="Y8" t="n">
        <v>2.967513</v>
      </c>
      <c r="Z8" t="n">
        <v>2.967513</v>
      </c>
      <c r="AA8" t="n">
        <v>3.990277</v>
      </c>
      <c r="AB8" t="n">
        <v>17.941416</v>
      </c>
    </row>
    <row r="9">
      <c r="A9" t="n">
        <v>5</v>
      </c>
      <c r="B9" t="inlineStr">
        <is>
          <t>Benthic Crustaceans</t>
        </is>
      </c>
      <c r="C9" t="inlineStr">
        <is>
          <t>Regular</t>
        </is>
      </c>
      <c r="D9" t="n">
        <v>2.161129032258064</v>
      </c>
      <c r="E9" t="n">
        <v>0.2438661710037175</v>
      </c>
      <c r="F9" t="n">
        <v>0.748</v>
      </c>
      <c r="G9" t="n">
        <v>1.6</v>
      </c>
      <c r="H9" t="n">
        <v>0</v>
      </c>
      <c r="I9" t="n">
        <v>0</v>
      </c>
      <c r="J9" t="n">
        <v>14.479112</v>
      </c>
      <c r="K9" t="n">
        <v>1.466403</v>
      </c>
      <c r="L9" t="n">
        <v>1.478879</v>
      </c>
      <c r="M9" t="n">
        <v>14.956937</v>
      </c>
      <c r="N9" t="n">
        <v>14.956937</v>
      </c>
      <c r="O9" t="n">
        <v>11.187789</v>
      </c>
      <c r="P9" t="n">
        <v>13.841643</v>
      </c>
      <c r="Q9" t="n">
        <v>13.841643</v>
      </c>
      <c r="R9" t="n">
        <v>14.159956</v>
      </c>
      <c r="S9" t="n">
        <v>6.579482</v>
      </c>
      <c r="T9" t="n">
        <v>4.896462</v>
      </c>
      <c r="U9" t="n">
        <v>14.159956</v>
      </c>
      <c r="V9" t="n">
        <v>13.841643</v>
      </c>
      <c r="W9" t="n">
        <v>6.579482</v>
      </c>
      <c r="X9" t="n">
        <v>6.579482</v>
      </c>
      <c r="Y9" t="n">
        <v>4.896462</v>
      </c>
      <c r="Z9" t="n">
        <v>4.896462</v>
      </c>
      <c r="AA9" t="n">
        <v>6.663272</v>
      </c>
      <c r="AB9" t="n">
        <v>14.549771</v>
      </c>
    </row>
    <row r="10">
      <c r="A10" t="n">
        <v>6</v>
      </c>
      <c r="B10" t="inlineStr">
        <is>
          <t>Echinoderms</t>
        </is>
      </c>
      <c r="C10" t="inlineStr">
        <is>
          <t>Regular</t>
        </is>
      </c>
      <c r="D10" t="n">
        <v>2.220235336464297</v>
      </c>
      <c r="E10" t="n">
        <v>0.3243243243243243</v>
      </c>
      <c r="F10" t="n">
        <v>0.1819999999999999</v>
      </c>
      <c r="G10" t="n">
        <v>3.46</v>
      </c>
      <c r="H10" t="n">
        <v>0</v>
      </c>
      <c r="I10" t="n">
        <v>0</v>
      </c>
      <c r="J10" t="n">
        <v>14.362944</v>
      </c>
      <c r="K10" t="n">
        <v>1.464712</v>
      </c>
      <c r="L10" t="n">
        <v>1.389744</v>
      </c>
      <c r="M10" t="n">
        <v>47.528559</v>
      </c>
      <c r="N10" t="n">
        <v>47.528559</v>
      </c>
      <c r="O10" t="n">
        <v>8.650198</v>
      </c>
      <c r="P10" t="n">
        <v>98169.820373</v>
      </c>
      <c r="Q10" t="n">
        <v>98169.820373</v>
      </c>
      <c r="R10" t="n">
        <v>99766.36788799999</v>
      </c>
      <c r="S10" t="n">
        <v>7.082345</v>
      </c>
      <c r="T10" t="n">
        <v>4.85352</v>
      </c>
      <c r="U10" t="n">
        <v>99766.36788799999</v>
      </c>
      <c r="V10" t="n">
        <v>98169.820373</v>
      </c>
      <c r="W10" t="n">
        <v>7.082345</v>
      </c>
      <c r="X10" t="n">
        <v>7.082345</v>
      </c>
      <c r="Y10" t="n">
        <v>4.85352</v>
      </c>
      <c r="Z10" t="n">
        <v>4.85352</v>
      </c>
      <c r="AA10" t="n">
        <v>7.237529</v>
      </c>
      <c r="AB10" t="n">
        <v>1019.755013</v>
      </c>
    </row>
    <row r="11">
      <c r="A11" t="n">
        <v>7</v>
      </c>
      <c r="B11" t="inlineStr">
        <is>
          <t>Other invertebrates</t>
        </is>
      </c>
      <c r="C11" t="inlineStr">
        <is>
          <t>Regular</t>
        </is>
      </c>
      <c r="D11" t="n">
        <v>2</v>
      </c>
      <c r="E11" t="n">
        <v>0.1111111111111111</v>
      </c>
      <c r="F11" t="n">
        <v>0.616</v>
      </c>
      <c r="G11" t="n">
        <v>3.16</v>
      </c>
      <c r="H11" t="n">
        <v>0</v>
      </c>
      <c r="I11" t="n">
        <v>0</v>
      </c>
      <c r="J11" t="n">
        <v>10</v>
      </c>
      <c r="K11" t="n">
        <v>1.39069</v>
      </c>
      <c r="L11" t="n">
        <v>1.39069</v>
      </c>
      <c r="M11" t="n">
        <v>14.61039</v>
      </c>
      <c r="N11" t="n">
        <v>14.61039</v>
      </c>
      <c r="O11" t="n">
        <v>9</v>
      </c>
      <c r="P11" t="n">
        <v>13.760094</v>
      </c>
      <c r="Q11" t="n">
        <v>13.760094</v>
      </c>
      <c r="R11" t="n">
        <v>13.94977</v>
      </c>
      <c r="S11" t="n">
        <v>9.664044000000001</v>
      </c>
      <c r="T11" t="n">
        <v>7.828167</v>
      </c>
      <c r="U11" t="n">
        <v>13.94977</v>
      </c>
      <c r="V11" t="n">
        <v>13.760094</v>
      </c>
      <c r="W11" t="n">
        <v>9.664044000000001</v>
      </c>
      <c r="X11" t="n">
        <v>9.664044000000001</v>
      </c>
      <c r="Y11" t="n">
        <v>7.828167</v>
      </c>
      <c r="Z11" t="n">
        <v>7.828167</v>
      </c>
      <c r="AA11" t="n">
        <v>9.661211</v>
      </c>
      <c r="AB11" t="n">
        <v>13.78907</v>
      </c>
    </row>
    <row r="12">
      <c r="A12" t="n">
        <v>8</v>
      </c>
      <c r="B12" t="inlineStr">
        <is>
          <t>Crabs</t>
        </is>
      </c>
      <c r="C12" t="inlineStr">
        <is>
          <t>Regular</t>
        </is>
      </c>
      <c r="D12" t="n">
        <v>2.322264264264264</v>
      </c>
      <c r="E12" t="n">
        <v>0.3750000000000001</v>
      </c>
      <c r="F12" t="n">
        <v>0.916</v>
      </c>
      <c r="G12" t="n">
        <v>0.143</v>
      </c>
      <c r="H12" t="n">
        <v>0</v>
      </c>
      <c r="I12" t="n">
        <v>0</v>
      </c>
      <c r="J12" t="n">
        <v>21.002175</v>
      </c>
      <c r="K12" t="n">
        <v>1.546636</v>
      </c>
      <c r="L12" t="n">
        <v>1.565985</v>
      </c>
      <c r="M12" t="n">
        <v>12.039474</v>
      </c>
      <c r="N12" t="n">
        <v>12.039474</v>
      </c>
      <c r="O12" t="n">
        <v>11.028158</v>
      </c>
      <c r="P12" t="n">
        <v>11.032425</v>
      </c>
      <c r="Q12" t="n">
        <v>11.032425</v>
      </c>
      <c r="R12" t="n">
        <v>11.257068</v>
      </c>
      <c r="S12" t="n">
        <v>7.495998</v>
      </c>
      <c r="T12" t="n">
        <v>5.212079</v>
      </c>
      <c r="U12" t="n">
        <v>11.257068</v>
      </c>
      <c r="V12" t="n">
        <v>11.032425</v>
      </c>
      <c r="W12" t="n">
        <v>7.495998</v>
      </c>
      <c r="X12" t="n">
        <v>7.495998</v>
      </c>
      <c r="Y12" t="n">
        <v>5.212079</v>
      </c>
      <c r="Z12" t="n">
        <v>5.212079</v>
      </c>
      <c r="AA12" t="n">
        <v>7.53635</v>
      </c>
      <c r="AB12" t="n">
        <v>11.035506</v>
      </c>
    </row>
    <row r="13">
      <c r="A13" t="n">
        <v>9</v>
      </c>
      <c r="B13" t="inlineStr">
        <is>
          <t>Shrimps</t>
        </is>
      </c>
      <c r="C13" t="inlineStr">
        <is>
          <t>Regular</t>
        </is>
      </c>
      <c r="D13" t="n">
        <v>2.314</v>
      </c>
      <c r="E13" t="n">
        <v>0.2656249999999999</v>
      </c>
      <c r="F13" t="n">
        <v>0.999</v>
      </c>
      <c r="G13" t="n">
        <v>0.161</v>
      </c>
      <c r="H13" t="n">
        <v>0</v>
      </c>
      <c r="I13" t="n">
        <v>0</v>
      </c>
      <c r="J13" t="n">
        <v>20.606299</v>
      </c>
      <c r="K13" t="n">
        <v>1.542427</v>
      </c>
      <c r="L13" t="n">
        <v>1.561295</v>
      </c>
      <c r="M13" t="n">
        <v>15.075177</v>
      </c>
      <c r="N13" t="n">
        <v>15.075177</v>
      </c>
      <c r="O13" t="n">
        <v>15.060102</v>
      </c>
      <c r="P13" t="n">
        <v>13.927162</v>
      </c>
      <c r="Q13" t="n">
        <v>13.927162</v>
      </c>
      <c r="R13" t="n">
        <v>14.183251</v>
      </c>
      <c r="S13" t="n">
        <v>7.969433</v>
      </c>
      <c r="T13" t="n">
        <v>5.681336</v>
      </c>
      <c r="U13" t="n">
        <v>14.183251</v>
      </c>
      <c r="V13" t="n">
        <v>13.927162</v>
      </c>
      <c r="W13" t="n">
        <v>7.969433</v>
      </c>
      <c r="X13" t="n">
        <v>7.969433</v>
      </c>
      <c r="Y13" t="n">
        <v>5.681336</v>
      </c>
      <c r="Z13" t="n">
        <v>5.681336</v>
      </c>
      <c r="AA13" t="n">
        <v>8.136905</v>
      </c>
      <c r="AB13" t="n">
        <v>14.885026</v>
      </c>
    </row>
    <row r="14">
      <c r="A14" t="n">
        <v>10</v>
      </c>
      <c r="B14" t="inlineStr">
        <is>
          <t>Cephalopods</t>
        </is>
      </c>
      <c r="C14" t="inlineStr">
        <is>
          <t>Regular</t>
        </is>
      </c>
      <c r="D14" t="n">
        <v>2.819131829142155</v>
      </c>
      <c r="E14" t="n">
        <v>0.3</v>
      </c>
      <c r="F14" t="n">
        <v>0.984</v>
      </c>
      <c r="G14" t="n">
        <v>0.549</v>
      </c>
      <c r="H14" t="n">
        <v>0</v>
      </c>
      <c r="I14" t="n">
        <v>0</v>
      </c>
      <c r="J14" t="n">
        <v>65.929169</v>
      </c>
      <c r="K14" t="n">
        <v>1.821994</v>
      </c>
      <c r="L14" t="n">
        <v>1.839433</v>
      </c>
      <c r="M14" t="n">
        <v>38.382342</v>
      </c>
      <c r="N14" t="n">
        <v>38.382342</v>
      </c>
      <c r="O14" t="n">
        <v>37.768225</v>
      </c>
      <c r="P14" t="n">
        <v>36.734327</v>
      </c>
      <c r="Q14" t="n">
        <v>36.734327</v>
      </c>
      <c r="R14" t="n">
        <v>37.111337</v>
      </c>
      <c r="S14" t="n">
        <v>12.794003</v>
      </c>
      <c r="T14" t="n">
        <v>8.242232</v>
      </c>
      <c r="U14" t="n">
        <v>37.111337</v>
      </c>
      <c r="V14" t="n">
        <v>36.734327</v>
      </c>
      <c r="W14" t="n">
        <v>12.794003</v>
      </c>
      <c r="X14" t="n">
        <v>12.794003</v>
      </c>
      <c r="Y14" t="n">
        <v>8.242232</v>
      </c>
      <c r="Z14" t="n">
        <v>8.242232</v>
      </c>
      <c r="AA14" t="n">
        <v>12.757448</v>
      </c>
      <c r="AB14" t="n">
        <v>38.53303</v>
      </c>
    </row>
    <row r="15">
      <c r="A15" t="n">
        <v>11</v>
      </c>
      <c r="B15" t="inlineStr">
        <is>
          <t>Planktivores</t>
        </is>
      </c>
      <c r="C15" t="inlineStr">
        <is>
          <t>Regular</t>
        </is>
      </c>
      <c r="D15" t="n">
        <v>3.007323841230849</v>
      </c>
      <c r="E15" t="n">
        <v>0.2434192672998643</v>
      </c>
      <c r="F15" t="n">
        <v>0.998</v>
      </c>
      <c r="G15" t="n">
        <v>0.71</v>
      </c>
      <c r="H15" t="n">
        <v>0</v>
      </c>
      <c r="I15" t="n">
        <v>0</v>
      </c>
      <c r="J15" t="n">
        <v>100.997642</v>
      </c>
      <c r="K15" t="n">
        <v>1.93677</v>
      </c>
      <c r="L15" t="n">
        <v>1.93149</v>
      </c>
      <c r="M15" t="n">
        <v>53.479795</v>
      </c>
      <c r="N15" t="n">
        <v>53.479795</v>
      </c>
      <c r="O15" t="n">
        <v>53.372836</v>
      </c>
      <c r="P15" t="n">
        <v>51.741399</v>
      </c>
      <c r="Q15" t="n">
        <v>51.741399</v>
      </c>
      <c r="R15" t="n">
        <v>52.283119</v>
      </c>
      <c r="S15" t="n">
        <v>17.749881</v>
      </c>
      <c r="T15" t="n">
        <v>11.404035</v>
      </c>
      <c r="U15" t="n">
        <v>52.283119</v>
      </c>
      <c r="V15" t="n">
        <v>51.741399</v>
      </c>
      <c r="W15" t="n">
        <v>17.749881</v>
      </c>
      <c r="X15" t="n">
        <v>17.749881</v>
      </c>
      <c r="Y15" t="n">
        <v>11.404035</v>
      </c>
      <c r="Z15" t="n">
        <v>11.404035</v>
      </c>
      <c r="AA15" t="n">
        <v>17.839302</v>
      </c>
      <c r="AB15" t="n">
        <v>54.129601</v>
      </c>
    </row>
    <row r="16">
      <c r="A16" t="n">
        <v>12</v>
      </c>
      <c r="B16" t="inlineStr">
        <is>
          <t>Benthivores</t>
        </is>
      </c>
      <c r="C16" t="inlineStr">
        <is>
          <t>Regular</t>
        </is>
      </c>
      <c r="D16" t="n">
        <v>2.846936152547148</v>
      </c>
      <c r="E16" t="n">
        <v>0.2948717948717949</v>
      </c>
      <c r="F16" t="n">
        <v>0.995</v>
      </c>
      <c r="G16" t="n">
        <v>0.0397</v>
      </c>
      <c r="H16" t="n">
        <v>0</v>
      </c>
      <c r="I16" t="n">
        <v>0</v>
      </c>
      <c r="J16" t="n">
        <v>67.81478300000001</v>
      </c>
      <c r="K16" t="n">
        <v>1.829368</v>
      </c>
      <c r="L16" t="n">
        <v>1.84033</v>
      </c>
      <c r="M16" t="n">
        <v>33.988491</v>
      </c>
      <c r="N16" t="n">
        <v>35.780255</v>
      </c>
      <c r="O16" t="n">
        <v>35.601354</v>
      </c>
      <c r="P16" t="n">
        <v>385.228839</v>
      </c>
      <c r="Q16" t="n">
        <v>385.228839</v>
      </c>
      <c r="R16" t="n">
        <v>391.588003</v>
      </c>
      <c r="S16" t="n">
        <v>16.66963</v>
      </c>
      <c r="T16" t="n">
        <v>9.973879999999999</v>
      </c>
      <c r="U16" t="n">
        <v>391.588003</v>
      </c>
      <c r="V16" t="n">
        <v>385.228839</v>
      </c>
      <c r="W16" t="n">
        <v>16.66963</v>
      </c>
      <c r="X16" t="n">
        <v>16.66963</v>
      </c>
      <c r="Y16" t="n">
        <v>9.973879999999999</v>
      </c>
      <c r="Z16" t="n">
        <v>9.973879999999999</v>
      </c>
      <c r="AA16" t="n">
        <v>17.246706</v>
      </c>
      <c r="AB16" t="n">
        <v>42.474741</v>
      </c>
    </row>
    <row r="17">
      <c r="A17" t="n">
        <v>13</v>
      </c>
      <c r="B17" t="inlineStr">
        <is>
          <t>Piscivores</t>
        </is>
      </c>
      <c r="C17" t="inlineStr">
        <is>
          <t>Regular</t>
        </is>
      </c>
      <c r="D17" t="n">
        <v>3.508809514410474</v>
      </c>
      <c r="E17" t="n">
        <v>0.3101339545719278</v>
      </c>
      <c r="F17" t="n">
        <v>0.804</v>
      </c>
      <c r="G17" t="n">
        <v>0.348</v>
      </c>
      <c r="H17" t="n">
        <v>0</v>
      </c>
      <c r="I17" t="n">
        <v>0</v>
      </c>
      <c r="J17" t="n">
        <v>304.388999</v>
      </c>
      <c r="K17" t="n">
        <v>2.268309</v>
      </c>
      <c r="L17" t="n">
        <v>2.300314</v>
      </c>
      <c r="M17" t="n">
        <v>249.259877</v>
      </c>
      <c r="N17" t="n">
        <v>251.428736</v>
      </c>
      <c r="O17" t="n">
        <v>202.148704</v>
      </c>
      <c r="P17" t="n">
        <v>282.597002</v>
      </c>
      <c r="Q17" t="n">
        <v>282.597002</v>
      </c>
      <c r="R17" t="n">
        <v>286.033173</v>
      </c>
      <c r="S17" t="n">
        <v>49.797649</v>
      </c>
      <c r="T17" t="n">
        <v>25.643377</v>
      </c>
      <c r="U17" t="n">
        <v>286.033173</v>
      </c>
      <c r="V17" t="n">
        <v>282.597002</v>
      </c>
      <c r="W17" t="n">
        <v>49.797649</v>
      </c>
      <c r="X17" t="n">
        <v>49.797649</v>
      </c>
      <c r="Y17" t="n">
        <v>25.643377</v>
      </c>
      <c r="Z17" t="n">
        <v>25.643377</v>
      </c>
      <c r="AA17" t="n">
        <v>51.082514</v>
      </c>
      <c r="AB17" t="n">
        <v>274.518943</v>
      </c>
    </row>
    <row r="18">
      <c r="A18" t="n">
        <v>14</v>
      </c>
      <c r="B18" t="inlineStr">
        <is>
          <t>Hairtails</t>
        </is>
      </c>
      <c r="C18" t="inlineStr">
        <is>
          <t>Regular</t>
        </is>
      </c>
      <c r="D18" t="n">
        <v>3.206991188715405</v>
      </c>
      <c r="E18" t="n">
        <v>0.1707128498531004</v>
      </c>
      <c r="F18" t="n">
        <v>0.998</v>
      </c>
      <c r="G18" t="n">
        <v>1.336</v>
      </c>
      <c r="H18" t="n">
        <v>0</v>
      </c>
      <c r="I18" t="n">
        <v>0</v>
      </c>
      <c r="J18" t="n">
        <v>137.300843</v>
      </c>
      <c r="K18" t="n">
        <v>2.023855</v>
      </c>
      <c r="L18" t="n">
        <v>1.935295</v>
      </c>
      <c r="M18" t="n">
        <v>245.6862</v>
      </c>
      <c r="N18" t="n">
        <v>262.948295</v>
      </c>
      <c r="O18" t="n">
        <v>262.422398</v>
      </c>
      <c r="P18" t="n">
        <v>395.11592</v>
      </c>
      <c r="Q18" t="n">
        <v>395.11592</v>
      </c>
      <c r="R18" t="n">
        <v>400.567632</v>
      </c>
      <c r="S18" t="n">
        <v>71.211755</v>
      </c>
      <c r="T18" t="n">
        <v>35.749118</v>
      </c>
      <c r="U18" t="n">
        <v>400.567632</v>
      </c>
      <c r="V18" t="n">
        <v>395.11592</v>
      </c>
      <c r="W18" t="n">
        <v>71.211755</v>
      </c>
      <c r="X18" t="n">
        <v>71.211755</v>
      </c>
      <c r="Y18" t="n">
        <v>35.749118</v>
      </c>
      <c r="Z18" t="n">
        <v>35.749118</v>
      </c>
      <c r="AA18" t="n">
        <v>71.925944</v>
      </c>
      <c r="AB18" t="n">
        <v>401.698177</v>
      </c>
    </row>
    <row r="19">
      <c r="A19" t="n">
        <v>15</v>
      </c>
      <c r="B19" t="inlineStr">
        <is>
          <t>Bombay duck</t>
        </is>
      </c>
      <c r="C19" t="inlineStr">
        <is>
          <t>Regular</t>
        </is>
      </c>
      <c r="D19" t="n">
        <v>3.772674520514855</v>
      </c>
      <c r="E19" t="n">
        <v>0.2365015618027666</v>
      </c>
      <c r="F19" t="n">
        <v>0.956</v>
      </c>
      <c r="G19" t="n">
        <v>0.11</v>
      </c>
      <c r="H19" t="n">
        <v>0</v>
      </c>
      <c r="I19" t="n">
        <v>0</v>
      </c>
      <c r="J19" t="n">
        <v>475.616645</v>
      </c>
      <c r="K19" t="n">
        <v>2.418044</v>
      </c>
      <c r="L19" t="n">
        <v>2.223977</v>
      </c>
      <c r="M19" t="n">
        <v>163.550723</v>
      </c>
      <c r="N19" t="n">
        <v>171.388581</v>
      </c>
      <c r="O19" t="n">
        <v>163.847484</v>
      </c>
      <c r="P19" t="n">
        <v>276.894756</v>
      </c>
      <c r="Q19" t="n">
        <v>276.894756</v>
      </c>
      <c r="R19" t="n">
        <v>279.916961</v>
      </c>
      <c r="S19" t="n">
        <v>82.586051</v>
      </c>
      <c r="T19" t="n">
        <v>39.003364</v>
      </c>
      <c r="U19" t="n">
        <v>279.916961</v>
      </c>
      <c r="V19" t="n">
        <v>276.894756</v>
      </c>
      <c r="W19" t="n">
        <v>82.586051</v>
      </c>
      <c r="X19" t="n">
        <v>82.586051</v>
      </c>
      <c r="Y19" t="n">
        <v>39.003364</v>
      </c>
      <c r="Z19" t="n">
        <v>39.003364</v>
      </c>
      <c r="AA19" t="n">
        <v>82.572946</v>
      </c>
      <c r="AB19" t="n">
        <v>277.056741</v>
      </c>
    </row>
    <row r="20">
      <c r="A20" t="n">
        <v>16</v>
      </c>
      <c r="B20" t="inlineStr">
        <is>
          <t>Planktivores/Benthivores</t>
        </is>
      </c>
      <c r="C20" t="inlineStr">
        <is>
          <t>Regular</t>
        </is>
      </c>
      <c r="D20" t="n">
        <v>2.958320591355371</v>
      </c>
      <c r="E20" t="n">
        <v>0.1101123595505618</v>
      </c>
      <c r="F20" t="n">
        <v>0.916</v>
      </c>
      <c r="G20" t="n">
        <v>0.609</v>
      </c>
      <c r="H20" t="n">
        <v>0</v>
      </c>
      <c r="I20" t="n">
        <v>0</v>
      </c>
      <c r="J20" t="n">
        <v>90.84783299999999</v>
      </c>
      <c r="K20" t="n">
        <v>1.907611</v>
      </c>
      <c r="L20" t="n">
        <v>1.91205</v>
      </c>
      <c r="M20" t="n">
        <v>124.271163</v>
      </c>
      <c r="N20" t="n">
        <v>124.271163</v>
      </c>
      <c r="O20" t="n">
        <v>113.832386</v>
      </c>
      <c r="P20" t="n">
        <v>118.840107</v>
      </c>
      <c r="Q20" t="n">
        <v>118.840107</v>
      </c>
      <c r="R20" t="n">
        <v>120.054666</v>
      </c>
      <c r="S20" t="n">
        <v>37.420523</v>
      </c>
      <c r="T20" t="n">
        <v>24.182504</v>
      </c>
      <c r="U20" t="n">
        <v>120.054666</v>
      </c>
      <c r="V20" t="n">
        <v>118.840107</v>
      </c>
      <c r="W20" t="n">
        <v>37.420523</v>
      </c>
      <c r="X20" t="n">
        <v>37.420523</v>
      </c>
      <c r="Y20" t="n">
        <v>24.182504</v>
      </c>
      <c r="Z20" t="n">
        <v>24.182504</v>
      </c>
      <c r="AA20" t="n">
        <v>38.102317</v>
      </c>
      <c r="AB20" t="n">
        <v>122.241888</v>
      </c>
    </row>
    <row r="21">
      <c r="A21" t="n">
        <v>17</v>
      </c>
      <c r="B21" t="inlineStr">
        <is>
          <t>Planktivores/piscivores</t>
        </is>
      </c>
      <c r="C21" t="inlineStr">
        <is>
          <t>Regular</t>
        </is>
      </c>
      <c r="D21" t="n">
        <v>3.098580953503004</v>
      </c>
      <c r="E21" t="n">
        <v>0.07551194539249147</v>
      </c>
      <c r="F21" t="n">
        <v>0.353</v>
      </c>
      <c r="G21" t="n">
        <v>2.588</v>
      </c>
      <c r="H21" t="n">
        <v>0</v>
      </c>
      <c r="I21" t="n">
        <v>0</v>
      </c>
      <c r="J21" t="n">
        <v>123.077794</v>
      </c>
      <c r="K21" t="n">
        <v>1.992402</v>
      </c>
      <c r="L21" t="n">
        <v>1.97781</v>
      </c>
      <c r="M21" t="n">
        <v>560.299311</v>
      </c>
      <c r="N21" t="n">
        <v>592.272682</v>
      </c>
      <c r="O21" t="n">
        <v>209.072257</v>
      </c>
      <c r="P21" t="n">
        <v>660.166914</v>
      </c>
      <c r="Q21" t="n">
        <v>660.166914</v>
      </c>
      <c r="R21" t="n">
        <v>670.165526</v>
      </c>
      <c r="S21" t="n">
        <v>72.857719</v>
      </c>
      <c r="T21" t="n">
        <v>43.071646</v>
      </c>
      <c r="U21" t="n">
        <v>670.165526</v>
      </c>
      <c r="V21" t="n">
        <v>660.166914</v>
      </c>
      <c r="W21" t="n">
        <v>72.857719</v>
      </c>
      <c r="X21" t="n">
        <v>72.857719</v>
      </c>
      <c r="Y21" t="n">
        <v>43.071646</v>
      </c>
      <c r="Z21" t="n">
        <v>43.071646</v>
      </c>
      <c r="AA21" t="n">
        <v>75.193746</v>
      </c>
      <c r="AB21" t="n">
        <v>683.804243</v>
      </c>
    </row>
    <row r="22">
      <c r="A22" t="n">
        <v>18</v>
      </c>
      <c r="B22" t="inlineStr">
        <is>
          <t>Benthivores/piscivores</t>
        </is>
      </c>
      <c r="C22" t="inlineStr">
        <is>
          <t>Regular</t>
        </is>
      </c>
      <c r="D22" t="n">
        <v>3.13873617353427</v>
      </c>
      <c r="E22" t="n">
        <v>0.4192130374182481</v>
      </c>
      <c r="F22" t="n">
        <v>0.985</v>
      </c>
      <c r="G22" t="n">
        <v>0.534</v>
      </c>
      <c r="H22" t="n">
        <v>0</v>
      </c>
      <c r="I22" t="n">
        <v>0</v>
      </c>
      <c r="J22" t="n">
        <v>136.120059</v>
      </c>
      <c r="K22" t="n">
        <v>2.021353</v>
      </c>
      <c r="L22" t="n">
        <v>2.039787</v>
      </c>
      <c r="M22" t="n">
        <v>36.046055</v>
      </c>
      <c r="N22" t="n">
        <v>36.076344</v>
      </c>
      <c r="O22" t="n">
        <v>35.535199</v>
      </c>
      <c r="P22" t="n">
        <v>34.759886</v>
      </c>
      <c r="Q22" t="n">
        <v>34.759886</v>
      </c>
      <c r="R22" t="n">
        <v>35.313702</v>
      </c>
      <c r="S22" t="n">
        <v>13.890783</v>
      </c>
      <c r="T22" t="n">
        <v>8.319739999999999</v>
      </c>
      <c r="U22" t="n">
        <v>35.313702</v>
      </c>
      <c r="V22" t="n">
        <v>34.759886</v>
      </c>
      <c r="W22" t="n">
        <v>13.890783</v>
      </c>
      <c r="X22" t="n">
        <v>13.890783</v>
      </c>
      <c r="Y22" t="n">
        <v>8.319739999999999</v>
      </c>
      <c r="Z22" t="n">
        <v>8.319739999999999</v>
      </c>
      <c r="AA22" t="n">
        <v>14.220855</v>
      </c>
      <c r="AB22" t="n">
        <v>35.767132</v>
      </c>
    </row>
    <row r="23">
      <c r="A23" t="n">
        <v>19</v>
      </c>
      <c r="B23" t="inlineStr">
        <is>
          <t>Omnivores</t>
        </is>
      </c>
      <c r="C23" t="inlineStr">
        <is>
          <t>Regular</t>
        </is>
      </c>
      <c r="D23" t="n">
        <v>3.13932907764769</v>
      </c>
      <c r="E23" t="n">
        <v>0.4102852852852852</v>
      </c>
      <c r="F23" t="n">
        <v>0.999</v>
      </c>
      <c r="G23" t="n">
        <v>0.136</v>
      </c>
      <c r="H23" t="n">
        <v>0</v>
      </c>
      <c r="I23" t="n">
        <v>0</v>
      </c>
      <c r="J23" t="n">
        <v>131.221463</v>
      </c>
      <c r="K23" t="n">
        <v>2.01077</v>
      </c>
      <c r="L23" t="n">
        <v>2.036134</v>
      </c>
      <c r="M23" t="n">
        <v>66.04435700000001</v>
      </c>
      <c r="N23" t="n">
        <v>68.25582300000001</v>
      </c>
      <c r="O23" t="n">
        <v>68.187568</v>
      </c>
      <c r="P23" t="n">
        <v>72.544996</v>
      </c>
      <c r="Q23" t="n">
        <v>72.544996</v>
      </c>
      <c r="R23" t="n">
        <v>73.57283200000001</v>
      </c>
      <c r="S23" t="n">
        <v>17.500018</v>
      </c>
      <c r="T23" t="n">
        <v>10.032554</v>
      </c>
      <c r="U23" t="n">
        <v>73.57283200000001</v>
      </c>
      <c r="V23" t="n">
        <v>72.544996</v>
      </c>
      <c r="W23" t="n">
        <v>17.500018</v>
      </c>
      <c r="X23" t="n">
        <v>17.500018</v>
      </c>
      <c r="Y23" t="n">
        <v>10.032554</v>
      </c>
      <c r="Z23" t="n">
        <v>10.032554</v>
      </c>
      <c r="AA23" t="n">
        <v>17.704629</v>
      </c>
      <c r="AB23" t="n">
        <v>72.854687</v>
      </c>
    </row>
    <row r="24">
      <c r="A24" t="n">
        <v>20</v>
      </c>
      <c r="B24" t="inlineStr">
        <is>
          <t>Large yellow croakers</t>
        </is>
      </c>
      <c r="C24" t="inlineStr">
        <is>
          <t>Regular</t>
        </is>
      </c>
      <c r="D24" t="n">
        <v>3.390382324723566</v>
      </c>
      <c r="E24" t="n">
        <v>0.4335436596784042</v>
      </c>
      <c r="F24" t="n">
        <v>0.997</v>
      </c>
      <c r="G24" t="n">
        <v>0.00107</v>
      </c>
      <c r="H24" t="n">
        <v>0</v>
      </c>
      <c r="I24" t="n">
        <v>0</v>
      </c>
      <c r="J24" t="n">
        <v>245.321683</v>
      </c>
      <c r="K24" t="n">
        <v>2.19929</v>
      </c>
      <c r="L24" t="n">
        <v>2.227316</v>
      </c>
      <c r="M24" t="n">
        <v>53.229062</v>
      </c>
      <c r="N24" t="n">
        <v>53.229062</v>
      </c>
      <c r="O24" t="n">
        <v>53.069375</v>
      </c>
      <c r="P24" t="n">
        <v>50.554211</v>
      </c>
      <c r="Q24" t="n">
        <v>50.554211</v>
      </c>
      <c r="R24" t="n">
        <v>51.236033</v>
      </c>
      <c r="S24" t="n">
        <v>21.207838</v>
      </c>
      <c r="T24" t="n">
        <v>11.769056</v>
      </c>
      <c r="U24" t="n">
        <v>51.236033</v>
      </c>
      <c r="V24" t="n">
        <v>50.554211</v>
      </c>
      <c r="W24" t="n">
        <v>21.207838</v>
      </c>
      <c r="X24" t="n">
        <v>21.207838</v>
      </c>
      <c r="Y24" t="n">
        <v>11.769056</v>
      </c>
      <c r="Z24" t="n">
        <v>11.769056</v>
      </c>
      <c r="AA24" t="n">
        <v>21.896355</v>
      </c>
      <c r="AB24" t="n">
        <v>53.886477</v>
      </c>
    </row>
    <row r="25">
      <c r="A25" t="n">
        <v>21</v>
      </c>
      <c r="B25" t="inlineStr">
        <is>
          <t>Small yellow croakers</t>
        </is>
      </c>
      <c r="C25" t="inlineStr">
        <is>
          <t>Regular</t>
        </is>
      </c>
      <c r="D25" t="n">
        <v>3.146723685909917</v>
      </c>
      <c r="E25" t="n">
        <v>0.4779370901411582</v>
      </c>
      <c r="F25" t="n">
        <v>0.2259999999999999</v>
      </c>
      <c r="G25" t="n">
        <v>0.356</v>
      </c>
      <c r="H25" t="n">
        <v>0</v>
      </c>
      <c r="I25" t="n">
        <v>0</v>
      </c>
      <c r="J25" t="n">
        <v>133.416232</v>
      </c>
      <c r="K25" t="n">
        <v>2.015553</v>
      </c>
      <c r="L25" t="n">
        <v>2.043652</v>
      </c>
      <c r="M25" t="n">
        <v>272.245191</v>
      </c>
      <c r="N25" t="n">
        <v>278.64023</v>
      </c>
      <c r="O25" t="n">
        <v>62.972692</v>
      </c>
      <c r="P25" t="n">
        <v>308.698938</v>
      </c>
      <c r="Q25" t="n">
        <v>308.698938</v>
      </c>
      <c r="R25" t="n">
        <v>312.828133</v>
      </c>
      <c r="S25" t="n">
        <v>15.479061</v>
      </c>
      <c r="T25" t="n">
        <v>8.820708</v>
      </c>
      <c r="U25" t="n">
        <v>312.828133</v>
      </c>
      <c r="V25" t="n">
        <v>308.698938</v>
      </c>
      <c r="W25" t="n">
        <v>15.479061</v>
      </c>
      <c r="X25" t="n">
        <v>15.479061</v>
      </c>
      <c r="Y25" t="n">
        <v>8.820708</v>
      </c>
      <c r="Z25" t="n">
        <v>8.820708</v>
      </c>
      <c r="AA25" t="n">
        <v>15.817561</v>
      </c>
      <c r="AB25" t="n">
        <v>303.129451</v>
      </c>
    </row>
    <row r="26">
      <c r="A26" t="n">
        <v>22</v>
      </c>
      <c r="B26" t="inlineStr">
        <is>
          <t>Sharks</t>
        </is>
      </c>
      <c r="C26" t="inlineStr">
        <is>
          <t>Regular</t>
        </is>
      </c>
      <c r="D26" t="n">
        <v>4.081369216765723</v>
      </c>
      <c r="E26" t="n">
        <v>0.15625</v>
      </c>
      <c r="F26" t="n">
        <v>0</v>
      </c>
      <c r="G26" t="n">
        <v>0.00889</v>
      </c>
      <c r="H26" t="n">
        <v>0</v>
      </c>
      <c r="I26" t="n">
        <v>0</v>
      </c>
      <c r="J26" t="n">
        <v>1154.744061</v>
      </c>
      <c r="K26" t="n">
        <v>2.745621</v>
      </c>
      <c r="L26" t="n">
        <v>2.742397</v>
      </c>
      <c r="M26" t="n">
        <v>0</v>
      </c>
      <c r="N26" t="n">
        <v>152.583853</v>
      </c>
      <c r="O26" t="n">
        <v>0</v>
      </c>
      <c r="P26" t="n">
        <v>0</v>
      </c>
      <c r="Q26" t="n">
        <v>0</v>
      </c>
      <c r="R26" t="n">
        <v>0</v>
      </c>
      <c r="S26" t="n">
        <v>205.199674</v>
      </c>
      <c r="T26" t="n">
        <v>93.831501</v>
      </c>
      <c r="U26" t="n">
        <v>0</v>
      </c>
      <c r="V26" t="n">
        <v>0</v>
      </c>
      <c r="W26" t="n">
        <v>205.199674</v>
      </c>
      <c r="X26" t="n">
        <v>205.199674</v>
      </c>
      <c r="Y26" t="n">
        <v>93.831501</v>
      </c>
      <c r="Z26" t="n">
        <v>93.831501</v>
      </c>
      <c r="AA26" t="n">
        <v>205.695409</v>
      </c>
      <c r="AB26" t="n">
        <v>0</v>
      </c>
    </row>
    <row r="27">
      <c r="A27" t="n">
        <v>23</v>
      </c>
      <c r="B27" t="inlineStr">
        <is>
          <t>Marine mammals</t>
        </is>
      </c>
      <c r="C27" t="inlineStr">
        <is>
          <t>Regular</t>
        </is>
      </c>
      <c r="D27" t="n">
        <v>3.813643593695144</v>
      </c>
      <c r="E27" t="n">
        <v>0.001666666666666667</v>
      </c>
      <c r="F27" t="n">
        <v>0</v>
      </c>
      <c r="G27" t="n">
        <v>0.00404</v>
      </c>
      <c r="H27" t="n">
        <v>0</v>
      </c>
      <c r="I27" t="n">
        <v>0</v>
      </c>
      <c r="J27" t="n">
        <v>645.615267</v>
      </c>
      <c r="K27" t="n">
        <v>2.526232</v>
      </c>
      <c r="L27" t="n">
        <v>2.552311</v>
      </c>
      <c r="M27" t="n">
        <v>0</v>
      </c>
      <c r="N27" t="n">
        <v>134.04481</v>
      </c>
      <c r="O27" t="n">
        <v>0</v>
      </c>
      <c r="P27" t="n">
        <v>0</v>
      </c>
      <c r="Q27" t="n">
        <v>0</v>
      </c>
      <c r="R27" t="n">
        <v>0</v>
      </c>
      <c r="S27" t="n">
        <v>14483.936801</v>
      </c>
      <c r="T27" t="n">
        <v>7073.497546</v>
      </c>
      <c r="U27" t="n">
        <v>0</v>
      </c>
      <c r="V27" t="n">
        <v>0</v>
      </c>
      <c r="W27" t="n">
        <v>14483.936801</v>
      </c>
      <c r="X27" t="n">
        <v>14483.936801</v>
      </c>
      <c r="Y27" t="n">
        <v>7073.497546</v>
      </c>
      <c r="Z27" t="n">
        <v>7073.497546</v>
      </c>
      <c r="AA27" t="n">
        <v>14750.339126</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0.854505</v>
      </c>
      <c r="Q28" t="n">
        <v>0.854505</v>
      </c>
      <c r="R28" t="n">
        <v>0.886961</v>
      </c>
      <c r="S28" t="n">
        <v>1.184457</v>
      </c>
      <c r="T28" t="n">
        <v>1.218114</v>
      </c>
      <c r="U28" t="n">
        <v>0.886961</v>
      </c>
      <c r="V28" t="n">
        <v>0.854505</v>
      </c>
      <c r="W28" t="n">
        <v>1.184457</v>
      </c>
      <c r="X28" t="n">
        <v>1.184457</v>
      </c>
      <c r="Y28" t="n">
        <v>1.218114</v>
      </c>
      <c r="Z28" t="n">
        <v>1.218114</v>
      </c>
      <c r="AA28" t="n">
        <v>1.184483</v>
      </c>
      <c r="AB28" t="n">
        <v>0.863581</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2026-09-07T09:35:10Z</dcterms:created>
  <dcterms:modified xsi:type="dcterms:W3CDTF">2026-09-07T09:35:12Z</dcterms:modified>
</cp:coreProperties>
</file>